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M:\Tahlil va hisobotlar\1.А.Муқимов\---------------------------\"/>
    </mc:Choice>
  </mc:AlternateContent>
  <workbookProtection workbookPassword="CA84" lockStructure="1"/>
  <bookViews>
    <workbookView xWindow="0" yWindow="45" windowWidth="15480" windowHeight="10230" tabRatio="905"/>
  </bookViews>
  <sheets>
    <sheet name="Balance" sheetId="1" r:id="rId1"/>
    <sheet name="Income " sheetId="2" r:id="rId2"/>
    <sheet name="Analysis of Interest" sheetId="3" r:id="rId3"/>
    <sheet name="Bank Capital Calc." sheetId="4" r:id="rId4"/>
    <sheet name="Calculation of Risk Weighted As" sheetId="5" r:id="rId5"/>
    <sheet name="Calculation of Risk" sheetId="23" r:id="rId6"/>
    <sheet name="Changes in Equity" sheetId="6" r:id="rId7"/>
    <sheet name="Recociliation " sheetId="7" r:id="rId8"/>
    <sheet name="Loans Receivable" sheetId="24" r:id="rId9"/>
    <sheet name="Aging Analysis" sheetId="9" r:id="rId10"/>
    <sheet name="Loan Classification" sheetId="10" r:id="rId11"/>
    <sheet name="Loans to Affiliated P." sheetId="11" r:id="rId12"/>
    <sheet name="Twenty Largest" sheetId="12" r:id="rId13"/>
    <sheet name="Charge-offs and Recoveries" sheetId="13" r:id="rId14"/>
    <sheet name="Deposits by Client" sheetId="14" r:id="rId15"/>
    <sheet name="Investment Securities" sheetId="15" r:id="rId16"/>
    <sheet name="Liquidity Analysis" sheetId="16" r:id="rId17"/>
    <sheet name="Bank Assets Analysis" sheetId="17" r:id="rId18"/>
    <sheet name="Bank Liabilities Analysis" sheetId="18" r:id="rId19"/>
    <sheet name="Commitments" sheetId="19" r:id="rId20"/>
    <sheet name="Economic Normatives" sheetId="20" r:id="rId21"/>
    <sheet name="Miscellaneous" sheetId="21" r:id="rId22"/>
  </sheets>
  <externalReferences>
    <externalReference r:id="rId23"/>
  </externalReferences>
  <definedNames>
    <definedName name="bal">[1]balance!$A:$IV</definedName>
    <definedName name="OLE_LINK19" localSheetId="0">Balance!$B$33</definedName>
    <definedName name="_xlnm.Print_Area" localSheetId="0">Balance!$A$1:$C$69</definedName>
    <definedName name="_xlnm.Print_Area" localSheetId="17">'Bank Assets Analysis'!$A$1:$K$50</definedName>
    <definedName name="_xlnm.Print_Area" localSheetId="3">'Bank Capital Calc.'!$A$1:$E$60</definedName>
    <definedName name="_xlnm.Print_Area" localSheetId="18">'Bank Liabilities Analysis'!$A$1:$K$37</definedName>
    <definedName name="_xlnm.Print_Area" localSheetId="5">'Calculation of Risk'!$A$1:$C$31</definedName>
    <definedName name="_xlnm.Print_Area" localSheetId="4">'Calculation of Risk Weighted As'!$A$1:$H$78</definedName>
    <definedName name="_xlnm.Print_Area" localSheetId="19">Commitments!$A$1:$B$26</definedName>
    <definedName name="_xlnm.Print_Area" localSheetId="20">'Economic Normatives'!$A$1:$K$49</definedName>
    <definedName name="_xlnm.Print_Area" localSheetId="1">'Income '!$A$1:$B$76</definedName>
    <definedName name="_xlnm.Print_Area" localSheetId="15">'Investment Securities'!$A$1:$C$53</definedName>
    <definedName name="_xlnm.Print_Area" localSheetId="16">'Liquidity Analysis'!$A$1:$B$57</definedName>
    <definedName name="_xlnm.Print_Area" localSheetId="10">'Loan Classification'!$A$1:$N$20</definedName>
    <definedName name="_xlnm.Print_Area" localSheetId="11">'Loans to Affiliated P.'!$A$1:$L$42</definedName>
    <definedName name="_xlnm.Print_Area" localSheetId="12">'Twenty Largest'!$A$1:$N$42</definedName>
  </definedNames>
  <calcPr calcId="162913"/>
</workbook>
</file>

<file path=xl/calcChain.xml><?xml version="1.0" encoding="utf-8"?>
<calcChain xmlns="http://schemas.openxmlformats.org/spreadsheetml/2006/main">
  <c r="D76" i="24" l="1"/>
  <c r="D75" i="24"/>
  <c r="D74" i="24"/>
  <c r="D73" i="24"/>
  <c r="D72" i="24"/>
  <c r="D71" i="24"/>
  <c r="D70" i="24"/>
  <c r="D69" i="24"/>
  <c r="D68" i="24"/>
  <c r="D67" i="24"/>
  <c r="D66" i="24"/>
  <c r="D63" i="24"/>
  <c r="D62" i="24"/>
  <c r="D61" i="24"/>
  <c r="D60" i="24"/>
  <c r="D59" i="24"/>
  <c r="D58" i="24"/>
  <c r="D55" i="24"/>
  <c r="D54" i="24"/>
  <c r="D53" i="24"/>
  <c r="D52" i="24"/>
  <c r="D51" i="24"/>
  <c r="D50" i="24"/>
  <c r="D47" i="24"/>
  <c r="D46" i="24"/>
  <c r="D45" i="24"/>
  <c r="D44" i="24"/>
  <c r="D43" i="24"/>
  <c r="D42" i="24"/>
  <c r="D39" i="24"/>
  <c r="D38" i="24"/>
  <c r="D37" i="24"/>
  <c r="D36" i="24"/>
  <c r="D35" i="24"/>
  <c r="D34" i="24"/>
  <c r="D31" i="24"/>
  <c r="D30" i="24"/>
  <c r="D29" i="24"/>
  <c r="D28" i="24"/>
  <c r="D27" i="24"/>
  <c r="D26" i="24"/>
  <c r="D23" i="24"/>
  <c r="D22" i="24"/>
  <c r="D21" i="24"/>
  <c r="D20" i="24"/>
  <c r="D19" i="24"/>
  <c r="D18" i="24"/>
  <c r="D17" i="24"/>
  <c r="D12" i="24"/>
  <c r="D11" i="24"/>
  <c r="D10" i="24"/>
  <c r="D9" i="24"/>
  <c r="D26" i="4" l="1"/>
  <c r="C26" i="4"/>
  <c r="F44" i="5" l="1"/>
  <c r="E26" i="4"/>
  <c r="B3" i="21"/>
  <c r="J3" i="20"/>
  <c r="K22" i="20"/>
  <c r="K24" i="20"/>
  <c r="K26" i="20"/>
  <c r="K41" i="20"/>
  <c r="K44" i="20"/>
  <c r="B3" i="19"/>
  <c r="B12" i="19"/>
  <c r="B20" i="19"/>
  <c r="I3" i="18"/>
  <c r="C10" i="18"/>
  <c r="D10" i="18"/>
  <c r="E10" i="18"/>
  <c r="F10" i="18"/>
  <c r="G10" i="18"/>
  <c r="H11" i="18"/>
  <c r="J11" i="18"/>
  <c r="K11" i="18" s="1"/>
  <c r="H12" i="18"/>
  <c r="J12" i="18"/>
  <c r="K12" i="18" s="1"/>
  <c r="H13" i="18"/>
  <c r="J13" i="18"/>
  <c r="K13" i="18" s="1"/>
  <c r="H14" i="18"/>
  <c r="J14" i="18"/>
  <c r="K14" i="18" s="1"/>
  <c r="H15" i="18"/>
  <c r="J15" i="18"/>
  <c r="K15" i="18" s="1"/>
  <c r="H16" i="18"/>
  <c r="J16" i="18"/>
  <c r="K16" i="18" s="1"/>
  <c r="H17" i="18"/>
  <c r="J17" i="18"/>
  <c r="K17" i="18" s="1"/>
  <c r="C18" i="18"/>
  <c r="D18" i="18"/>
  <c r="E18" i="18"/>
  <c r="F18" i="18"/>
  <c r="G18" i="18"/>
  <c r="K18" i="18"/>
  <c r="H19" i="18"/>
  <c r="J19" i="18"/>
  <c r="K19" i="18" s="1"/>
  <c r="H20" i="18"/>
  <c r="C45" i="1" s="1"/>
  <c r="J20" i="18"/>
  <c r="K20" i="18" s="1"/>
  <c r="H21" i="18"/>
  <c r="J21" i="18"/>
  <c r="K21" i="18"/>
  <c r="H22" i="18"/>
  <c r="J22" i="18"/>
  <c r="K22" i="18" s="1"/>
  <c r="H23" i="18"/>
  <c r="J23" i="18"/>
  <c r="K23" i="18" s="1"/>
  <c r="H24" i="18"/>
  <c r="J24" i="18"/>
  <c r="K24" i="18" s="1"/>
  <c r="H25" i="18"/>
  <c r="J25" i="18"/>
  <c r="K25" i="18" s="1"/>
  <c r="H26" i="18"/>
  <c r="J26" i="18"/>
  <c r="K26" i="18" s="1"/>
  <c r="C27" i="18"/>
  <c r="D27" i="18"/>
  <c r="E27" i="18"/>
  <c r="F27" i="18"/>
  <c r="F33" i="18" s="1"/>
  <c r="G27" i="18"/>
  <c r="H28" i="18"/>
  <c r="J28" i="18"/>
  <c r="K28" i="18" s="1"/>
  <c r="H29" i="18"/>
  <c r="J29" i="18"/>
  <c r="K29" i="18" s="1"/>
  <c r="H30" i="18"/>
  <c r="C49" i="1" s="1"/>
  <c r="J30" i="18"/>
  <c r="K30" i="18" s="1"/>
  <c r="H31" i="18"/>
  <c r="J31" i="18"/>
  <c r="K31" i="18" s="1"/>
  <c r="H32" i="18"/>
  <c r="J32" i="18"/>
  <c r="K32" i="18" s="1"/>
  <c r="I3" i="17"/>
  <c r="H9" i="17"/>
  <c r="J9" i="17"/>
  <c r="K9" i="17" s="1"/>
  <c r="J10" i="17"/>
  <c r="K10" i="17" s="1"/>
  <c r="H11" i="17"/>
  <c r="J11" i="17"/>
  <c r="K11" i="17" s="1"/>
  <c r="C12" i="17"/>
  <c r="D12" i="17"/>
  <c r="E12" i="17"/>
  <c r="E39" i="17" s="1"/>
  <c r="E40" i="17" s="1"/>
  <c r="F12" i="17"/>
  <c r="G12" i="17"/>
  <c r="K12" i="17"/>
  <c r="H13" i="17"/>
  <c r="J13" i="17" s="1"/>
  <c r="K13" i="17" s="1"/>
  <c r="H14" i="17"/>
  <c r="J14" i="17" s="1"/>
  <c r="K14" i="17" s="1"/>
  <c r="H15" i="17"/>
  <c r="J15" i="17" s="1"/>
  <c r="K15" i="17" s="1"/>
  <c r="C16" i="17"/>
  <c r="D16" i="17"/>
  <c r="E16" i="17"/>
  <c r="F16" i="17"/>
  <c r="G16" i="17"/>
  <c r="K16" i="17"/>
  <c r="H17" i="17"/>
  <c r="J17" i="17"/>
  <c r="K17" i="17" s="1"/>
  <c r="H18" i="17"/>
  <c r="J18" i="17"/>
  <c r="K18" i="17" s="1"/>
  <c r="H19" i="17"/>
  <c r="J19" i="17"/>
  <c r="K19" i="17"/>
  <c r="H20" i="17"/>
  <c r="J20" i="17"/>
  <c r="K20" i="17" s="1"/>
  <c r="H21" i="17"/>
  <c r="J21" i="17"/>
  <c r="K21" i="17" s="1"/>
  <c r="H22" i="17"/>
  <c r="J22" i="17"/>
  <c r="K22" i="17" s="1"/>
  <c r="H23" i="17"/>
  <c r="J23" i="17"/>
  <c r="K23" i="17" s="1"/>
  <c r="H24" i="17"/>
  <c r="J24" i="17"/>
  <c r="K24" i="17" s="1"/>
  <c r="H25" i="17"/>
  <c r="J25" i="17"/>
  <c r="K25" i="17" s="1"/>
  <c r="H26" i="17"/>
  <c r="J26" i="17"/>
  <c r="K26" i="17" s="1"/>
  <c r="H27" i="17"/>
  <c r="J27" i="17"/>
  <c r="K27" i="17" s="1"/>
  <c r="H28" i="17"/>
  <c r="C17" i="1" s="1"/>
  <c r="J28" i="17"/>
  <c r="K28" i="17"/>
  <c r="C29" i="17"/>
  <c r="D29" i="17"/>
  <c r="E29" i="17"/>
  <c r="F29" i="17"/>
  <c r="G29" i="17"/>
  <c r="K29" i="17"/>
  <c r="H30" i="17"/>
  <c r="J30" i="17"/>
  <c r="K30" i="17" s="1"/>
  <c r="H31" i="17"/>
  <c r="J31" i="17"/>
  <c r="K31" i="17" s="1"/>
  <c r="H32" i="17"/>
  <c r="B49" i="16" s="1"/>
  <c r="J32" i="17"/>
  <c r="K32" i="17" s="1"/>
  <c r="H33" i="17"/>
  <c r="C34" i="1" s="1"/>
  <c r="J33" i="17"/>
  <c r="K33" i="17" s="1"/>
  <c r="H34" i="17"/>
  <c r="J34" i="17"/>
  <c r="K34" i="17" s="1"/>
  <c r="H35" i="17"/>
  <c r="J35" i="17"/>
  <c r="K35" i="17"/>
  <c r="H36" i="17"/>
  <c r="J36" i="17"/>
  <c r="K36" i="17" s="1"/>
  <c r="H37" i="17"/>
  <c r="C29" i="1" s="1"/>
  <c r="J37" i="17"/>
  <c r="K37" i="17" s="1"/>
  <c r="H38" i="17"/>
  <c r="J38" i="17"/>
  <c r="K38" i="17" s="1"/>
  <c r="F39" i="17"/>
  <c r="F40" i="17" s="1"/>
  <c r="H44" i="17"/>
  <c r="H45" i="17"/>
  <c r="B3" i="16"/>
  <c r="B12" i="16"/>
  <c r="B15" i="16" s="1"/>
  <c r="B21" i="16"/>
  <c r="B24" i="16"/>
  <c r="B50" i="16"/>
  <c r="C3" i="15"/>
  <c r="B13" i="15"/>
  <c r="B15" i="15" s="1"/>
  <c r="C13" i="15"/>
  <c r="B44" i="15" s="1"/>
  <c r="B26" i="15"/>
  <c r="B28" i="15" s="1"/>
  <c r="C26" i="15"/>
  <c r="B37" i="15"/>
  <c r="C37" i="15"/>
  <c r="B39" i="15"/>
  <c r="B3" i="14"/>
  <c r="B12" i="14"/>
  <c r="C41" i="1" s="1"/>
  <c r="C12" i="14"/>
  <c r="B21" i="14"/>
  <c r="C42" i="1" s="1"/>
  <c r="C21" i="14"/>
  <c r="B30" i="14"/>
  <c r="C43" i="1" s="1"/>
  <c r="C30" i="14"/>
  <c r="D3" i="13"/>
  <c r="B16" i="13"/>
  <c r="C23" i="13" s="1"/>
  <c r="C16" i="13"/>
  <c r="D16" i="13"/>
  <c r="E16" i="13"/>
  <c r="C22" i="13"/>
  <c r="I3" i="12"/>
  <c r="F37" i="12"/>
  <c r="F38" i="12"/>
  <c r="I3" i="1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F37" i="11"/>
  <c r="F38" i="11"/>
  <c r="L3" i="10"/>
  <c r="C6" i="10"/>
  <c r="N6" i="10"/>
  <c r="C7" i="10"/>
  <c r="N7" i="10"/>
  <c r="C8" i="10"/>
  <c r="N8" i="10"/>
  <c r="C9" i="10"/>
  <c r="N9" i="10"/>
  <c r="C10" i="10"/>
  <c r="N10" i="10"/>
  <c r="C11" i="10"/>
  <c r="N11" i="10"/>
  <c r="C12" i="10"/>
  <c r="N12" i="10"/>
  <c r="C13" i="10"/>
  <c r="N13" i="10"/>
  <c r="D14" i="10"/>
  <c r="D16" i="10" s="1"/>
  <c r="E14" i="10"/>
  <c r="E16" i="10" s="1"/>
  <c r="C60" i="1" s="1"/>
  <c r="F14" i="10"/>
  <c r="F16" i="10" s="1"/>
  <c r="G14" i="10"/>
  <c r="G16" i="10" s="1"/>
  <c r="H14" i="10"/>
  <c r="I14" i="10"/>
  <c r="I16" i="10" s="1"/>
  <c r="J14" i="10"/>
  <c r="J16" i="10" s="1"/>
  <c r="K14" i="10"/>
  <c r="K16" i="10" s="1"/>
  <c r="L14" i="10"/>
  <c r="M14" i="10"/>
  <c r="C15" i="10"/>
  <c r="N15" i="10"/>
  <c r="H16" i="10"/>
  <c r="L16" i="10"/>
  <c r="O3" i="9"/>
  <c r="G11" i="9"/>
  <c r="G12" i="9"/>
  <c r="G13" i="9"/>
  <c r="G14" i="9"/>
  <c r="G15" i="9"/>
  <c r="G16" i="9"/>
  <c r="G17" i="9"/>
  <c r="G18" i="9"/>
  <c r="G19" i="9"/>
  <c r="G20" i="9"/>
  <c r="G21" i="9"/>
  <c r="G22" i="9"/>
  <c r="E24" i="9"/>
  <c r="F11" i="9" s="1"/>
  <c r="I24" i="9"/>
  <c r="J24" i="9"/>
  <c r="K24" i="9"/>
  <c r="L24" i="9"/>
  <c r="M24" i="9"/>
  <c r="N24" i="9"/>
  <c r="O24" i="9"/>
  <c r="P24" i="9"/>
  <c r="Q24" i="9"/>
  <c r="F25" i="9"/>
  <c r="F26" i="9"/>
  <c r="G27" i="9"/>
  <c r="F28" i="9"/>
  <c r="G28" i="9"/>
  <c r="F29" i="9"/>
  <c r="G29" i="9"/>
  <c r="G30" i="9"/>
  <c r="G31" i="9"/>
  <c r="F32" i="9"/>
  <c r="G32" i="9"/>
  <c r="G33" i="9"/>
  <c r="G36" i="9" s="1"/>
  <c r="F34" i="9"/>
  <c r="G34" i="9"/>
  <c r="E36" i="9"/>
  <c r="F36" i="9"/>
  <c r="I36" i="9"/>
  <c r="J36" i="9"/>
  <c r="K36" i="9"/>
  <c r="L36" i="9"/>
  <c r="M36" i="9"/>
  <c r="N36" i="9"/>
  <c r="O36" i="9"/>
  <c r="P36" i="9"/>
  <c r="Q36" i="9"/>
  <c r="P3" i="24"/>
  <c r="C9" i="24"/>
  <c r="A10" i="24"/>
  <c r="A11" i="24" s="1"/>
  <c r="A12" i="24" s="1"/>
  <c r="A13" i="24" s="1"/>
  <c r="A14" i="24" s="1"/>
  <c r="A15" i="24" s="1"/>
  <c r="A17" i="24" s="1"/>
  <c r="A18" i="24" s="1"/>
  <c r="A19" i="24" s="1"/>
  <c r="A20" i="24" s="1"/>
  <c r="A21" i="24" s="1"/>
  <c r="A22" i="24" s="1"/>
  <c r="A23" i="24" s="1"/>
  <c r="A24" i="24" s="1"/>
  <c r="A26" i="24" s="1"/>
  <c r="A27" i="24" s="1"/>
  <c r="A28" i="24" s="1"/>
  <c r="A29" i="24" s="1"/>
  <c r="A30" i="24" s="1"/>
  <c r="A31" i="24" s="1"/>
  <c r="A32" i="24" s="1"/>
  <c r="A34" i="24" s="1"/>
  <c r="A35" i="24" s="1"/>
  <c r="A36" i="24" s="1"/>
  <c r="A37" i="24" s="1"/>
  <c r="A38" i="24" s="1"/>
  <c r="A39" i="24" s="1"/>
  <c r="A40" i="24" s="1"/>
  <c r="A42" i="24" s="1"/>
  <c r="A43" i="24" s="1"/>
  <c r="A44" i="24" s="1"/>
  <c r="A45" i="24" s="1"/>
  <c r="A46" i="24" s="1"/>
  <c r="A47" i="24" s="1"/>
  <c r="A48" i="24" s="1"/>
  <c r="A50" i="24" s="1"/>
  <c r="A51" i="24" s="1"/>
  <c r="A52" i="24" s="1"/>
  <c r="A53" i="24" s="1"/>
  <c r="A54" i="24" s="1"/>
  <c r="A55" i="24" s="1"/>
  <c r="A56" i="24" s="1"/>
  <c r="A58" i="24" s="1"/>
  <c r="A59" i="24" s="1"/>
  <c r="A60" i="24" s="1"/>
  <c r="A61" i="24" s="1"/>
  <c r="A62" i="24" s="1"/>
  <c r="A63" i="24" s="1"/>
  <c r="A64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9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C10" i="24"/>
  <c r="C11" i="24"/>
  <c r="C12" i="24"/>
  <c r="C13" i="24"/>
  <c r="C14" i="24"/>
  <c r="D15" i="24"/>
  <c r="E15" i="24"/>
  <c r="G15" i="24"/>
  <c r="H15" i="24"/>
  <c r="I15" i="24"/>
  <c r="J15" i="24"/>
  <c r="K15" i="24"/>
  <c r="L15" i="24"/>
  <c r="M15" i="24"/>
  <c r="N15" i="24"/>
  <c r="O15" i="24"/>
  <c r="P15" i="24"/>
  <c r="Q15" i="24"/>
  <c r="R15" i="24"/>
  <c r="S15" i="24"/>
  <c r="T15" i="24"/>
  <c r="C17" i="24"/>
  <c r="C18" i="24"/>
  <c r="C19" i="24"/>
  <c r="C20" i="24"/>
  <c r="C21" i="24"/>
  <c r="C22" i="24"/>
  <c r="C23" i="24"/>
  <c r="D24" i="24"/>
  <c r="E24" i="24"/>
  <c r="G24" i="24"/>
  <c r="H24" i="24"/>
  <c r="I24" i="24"/>
  <c r="J24" i="24"/>
  <c r="K24" i="24"/>
  <c r="L24" i="24"/>
  <c r="M24" i="24"/>
  <c r="N24" i="24"/>
  <c r="O24" i="24"/>
  <c r="P24" i="24"/>
  <c r="Q24" i="24"/>
  <c r="R24" i="24"/>
  <c r="S24" i="24"/>
  <c r="T24" i="24"/>
  <c r="C26" i="24"/>
  <c r="C27" i="24"/>
  <c r="C28" i="24"/>
  <c r="C29" i="24"/>
  <c r="C30" i="24"/>
  <c r="C31" i="24"/>
  <c r="D32" i="24"/>
  <c r="E32" i="24"/>
  <c r="G32" i="24"/>
  <c r="H32" i="24"/>
  <c r="I32" i="24"/>
  <c r="J32" i="24"/>
  <c r="K32" i="24"/>
  <c r="L32" i="24"/>
  <c r="M32" i="24"/>
  <c r="N32" i="24"/>
  <c r="O32" i="24"/>
  <c r="P32" i="24"/>
  <c r="Q32" i="24"/>
  <c r="R32" i="24"/>
  <c r="S32" i="24"/>
  <c r="T32" i="24"/>
  <c r="C34" i="24"/>
  <c r="C35" i="24"/>
  <c r="C36" i="24"/>
  <c r="C37" i="24"/>
  <c r="C38" i="24"/>
  <c r="C39" i="24"/>
  <c r="D40" i="24"/>
  <c r="E40" i="24"/>
  <c r="G40" i="24"/>
  <c r="H40" i="24"/>
  <c r="I40" i="24"/>
  <c r="J40" i="24"/>
  <c r="K40" i="24"/>
  <c r="L40" i="24"/>
  <c r="M40" i="24"/>
  <c r="N40" i="24"/>
  <c r="O40" i="24"/>
  <c r="P40" i="24"/>
  <c r="Q40" i="24"/>
  <c r="R40" i="24"/>
  <c r="S40" i="24"/>
  <c r="T40" i="24"/>
  <c r="C42" i="24"/>
  <c r="C43" i="24"/>
  <c r="C44" i="24"/>
  <c r="C45" i="24"/>
  <c r="C46" i="24"/>
  <c r="C47" i="24"/>
  <c r="D48" i="24"/>
  <c r="E48" i="24"/>
  <c r="G48" i="24"/>
  <c r="H48" i="24"/>
  <c r="I48" i="24"/>
  <c r="J48" i="24"/>
  <c r="K48" i="24"/>
  <c r="L48" i="24"/>
  <c r="M48" i="24"/>
  <c r="N48" i="24"/>
  <c r="O48" i="24"/>
  <c r="P48" i="24"/>
  <c r="Q48" i="24"/>
  <c r="R48" i="24"/>
  <c r="S48" i="24"/>
  <c r="T48" i="24"/>
  <c r="C50" i="24"/>
  <c r="C51" i="24"/>
  <c r="C52" i="24"/>
  <c r="C53" i="24"/>
  <c r="C54" i="24"/>
  <c r="C55" i="24"/>
  <c r="D56" i="24"/>
  <c r="E56" i="24"/>
  <c r="G56" i="24"/>
  <c r="H56" i="24"/>
  <c r="I56" i="24"/>
  <c r="J56" i="24"/>
  <c r="K56" i="24"/>
  <c r="L56" i="24"/>
  <c r="M56" i="24"/>
  <c r="N56" i="24"/>
  <c r="O56" i="24"/>
  <c r="P56" i="24"/>
  <c r="Q56" i="24"/>
  <c r="R56" i="24"/>
  <c r="S56" i="24"/>
  <c r="T56" i="24"/>
  <c r="C58" i="24"/>
  <c r="C59" i="24"/>
  <c r="C60" i="24"/>
  <c r="C61" i="24"/>
  <c r="C62" i="24"/>
  <c r="C63" i="24"/>
  <c r="D64" i="24"/>
  <c r="E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C66" i="24"/>
  <c r="C67" i="24"/>
  <c r="C68" i="24"/>
  <c r="C69" i="24"/>
  <c r="C70" i="24"/>
  <c r="C71" i="24"/>
  <c r="C72" i="24"/>
  <c r="C73" i="24"/>
  <c r="C74" i="24"/>
  <c r="C75" i="24"/>
  <c r="C76" i="24"/>
  <c r="D77" i="24"/>
  <c r="E77" i="24"/>
  <c r="G77" i="24"/>
  <c r="H77" i="24"/>
  <c r="I77" i="24"/>
  <c r="J77" i="24"/>
  <c r="K77" i="24"/>
  <c r="L77" i="24"/>
  <c r="M77" i="24"/>
  <c r="N77" i="24"/>
  <c r="O77" i="24"/>
  <c r="P77" i="24"/>
  <c r="Q77" i="24"/>
  <c r="R77" i="24"/>
  <c r="S77" i="24"/>
  <c r="T77" i="24"/>
  <c r="D79" i="24"/>
  <c r="E79" i="24"/>
  <c r="G79" i="24"/>
  <c r="H79" i="24"/>
  <c r="I79" i="24"/>
  <c r="J79" i="24"/>
  <c r="K79" i="24"/>
  <c r="L79" i="24"/>
  <c r="M79" i="24"/>
  <c r="N79" i="24"/>
  <c r="O79" i="24"/>
  <c r="P79" i="24"/>
  <c r="Q79" i="24"/>
  <c r="Q91" i="24" s="1"/>
  <c r="R79" i="24"/>
  <c r="S79" i="24"/>
  <c r="S91" i="24" s="1"/>
  <c r="T79" i="24"/>
  <c r="D80" i="24"/>
  <c r="E80" i="24"/>
  <c r="G80" i="24"/>
  <c r="H80" i="24"/>
  <c r="I80" i="24"/>
  <c r="J80" i="24"/>
  <c r="K80" i="24"/>
  <c r="L80" i="24"/>
  <c r="M80" i="24"/>
  <c r="N80" i="24"/>
  <c r="O80" i="24"/>
  <c r="P80" i="24"/>
  <c r="Q80" i="24"/>
  <c r="R80" i="24"/>
  <c r="S80" i="24"/>
  <c r="T80" i="24"/>
  <c r="D81" i="24"/>
  <c r="E81" i="24"/>
  <c r="G81" i="24"/>
  <c r="H81" i="24"/>
  <c r="I81" i="24"/>
  <c r="J81" i="24"/>
  <c r="K81" i="24"/>
  <c r="L81" i="24"/>
  <c r="M81" i="24"/>
  <c r="N81" i="24"/>
  <c r="O81" i="24"/>
  <c r="P81" i="24"/>
  <c r="Q81" i="24"/>
  <c r="C81" i="24" s="1"/>
  <c r="F81" i="24" s="1"/>
  <c r="R81" i="24"/>
  <c r="S81" i="24"/>
  <c r="T81" i="24"/>
  <c r="D82" i="24"/>
  <c r="E82" i="24"/>
  <c r="G82" i="24"/>
  <c r="H82" i="24"/>
  <c r="I82" i="24"/>
  <c r="J82" i="24"/>
  <c r="K82" i="24"/>
  <c r="L82" i="24"/>
  <c r="M82" i="24"/>
  <c r="N82" i="24"/>
  <c r="O82" i="24"/>
  <c r="P82" i="24"/>
  <c r="Q82" i="24"/>
  <c r="R82" i="24"/>
  <c r="S82" i="24"/>
  <c r="T82" i="24"/>
  <c r="D83" i="24"/>
  <c r="E83" i="24"/>
  <c r="G83" i="24"/>
  <c r="H83" i="24"/>
  <c r="I83" i="24"/>
  <c r="J83" i="24"/>
  <c r="K83" i="24"/>
  <c r="L83" i="24"/>
  <c r="M83" i="24"/>
  <c r="N83" i="24"/>
  <c r="O83" i="24"/>
  <c r="P83" i="24"/>
  <c r="Q83" i="24"/>
  <c r="R83" i="24"/>
  <c r="S83" i="24"/>
  <c r="T83" i="24"/>
  <c r="D84" i="24"/>
  <c r="E84" i="24"/>
  <c r="F84" i="24"/>
  <c r="G84" i="24"/>
  <c r="H84" i="24"/>
  <c r="I84" i="24"/>
  <c r="J84" i="24"/>
  <c r="K84" i="24"/>
  <c r="L84" i="24"/>
  <c r="M84" i="24"/>
  <c r="M91" i="24" s="1"/>
  <c r="N84" i="24"/>
  <c r="O84" i="24"/>
  <c r="P84" i="24"/>
  <c r="Q84" i="24"/>
  <c r="R84" i="24"/>
  <c r="S84" i="24"/>
  <c r="T84" i="24"/>
  <c r="D85" i="24"/>
  <c r="E85" i="24"/>
  <c r="F85" i="24"/>
  <c r="G85" i="24"/>
  <c r="H85" i="24"/>
  <c r="I85" i="24"/>
  <c r="J85" i="24"/>
  <c r="K85" i="24"/>
  <c r="L85" i="24"/>
  <c r="M85" i="24"/>
  <c r="N85" i="24"/>
  <c r="O85" i="24"/>
  <c r="O91" i="24" s="1"/>
  <c r="P85" i="24"/>
  <c r="Q85" i="24"/>
  <c r="R85" i="24"/>
  <c r="S85" i="24"/>
  <c r="T85" i="24"/>
  <c r="D86" i="24"/>
  <c r="E86" i="24"/>
  <c r="F86" i="24"/>
  <c r="G86" i="24"/>
  <c r="H86" i="24"/>
  <c r="I86" i="24"/>
  <c r="J86" i="24"/>
  <c r="K86" i="24"/>
  <c r="K91" i="24" s="1"/>
  <c r="L86" i="24"/>
  <c r="M86" i="24"/>
  <c r="N86" i="24"/>
  <c r="N91" i="24" s="1"/>
  <c r="O86" i="24"/>
  <c r="P86" i="24"/>
  <c r="Q86" i="24"/>
  <c r="R86" i="24"/>
  <c r="S86" i="24"/>
  <c r="T86" i="24"/>
  <c r="D87" i="24"/>
  <c r="E87" i="24"/>
  <c r="F87" i="24"/>
  <c r="G87" i="24"/>
  <c r="H87" i="24"/>
  <c r="I87" i="24"/>
  <c r="J87" i="24"/>
  <c r="K87" i="24"/>
  <c r="L87" i="24"/>
  <c r="M87" i="24"/>
  <c r="N87" i="24"/>
  <c r="O87" i="24"/>
  <c r="P87" i="24"/>
  <c r="Q87" i="24"/>
  <c r="R87" i="24"/>
  <c r="S87" i="24"/>
  <c r="T87" i="24"/>
  <c r="D88" i="24"/>
  <c r="E88" i="24"/>
  <c r="F88" i="24"/>
  <c r="G88" i="24"/>
  <c r="H88" i="24"/>
  <c r="I88" i="24"/>
  <c r="I91" i="24" s="1"/>
  <c r="J88" i="24"/>
  <c r="K88" i="24"/>
  <c r="L88" i="24"/>
  <c r="M88" i="24"/>
  <c r="N88" i="24"/>
  <c r="O88" i="24"/>
  <c r="P88" i="24"/>
  <c r="Q88" i="24"/>
  <c r="R88" i="24"/>
  <c r="S88" i="24"/>
  <c r="T88" i="24"/>
  <c r="D89" i="24"/>
  <c r="E89" i="24"/>
  <c r="F89" i="24"/>
  <c r="G89" i="24"/>
  <c r="H89" i="24"/>
  <c r="I89" i="24"/>
  <c r="J89" i="24"/>
  <c r="K89" i="24"/>
  <c r="L89" i="24"/>
  <c r="M89" i="24"/>
  <c r="N89" i="24"/>
  <c r="O89" i="24"/>
  <c r="P89" i="24"/>
  <c r="Q89" i="24"/>
  <c r="R89" i="24"/>
  <c r="S89" i="24"/>
  <c r="T89" i="24"/>
  <c r="D90" i="24"/>
  <c r="E90" i="24"/>
  <c r="G90" i="24"/>
  <c r="H90" i="24"/>
  <c r="I90" i="24"/>
  <c r="J90" i="24"/>
  <c r="K90" i="24"/>
  <c r="L90" i="24"/>
  <c r="M90" i="24"/>
  <c r="N90" i="24"/>
  <c r="O90" i="24"/>
  <c r="P90" i="24"/>
  <c r="Q90" i="24"/>
  <c r="R90" i="24"/>
  <c r="S90" i="24"/>
  <c r="T90" i="24"/>
  <c r="C93" i="24"/>
  <c r="A4" i="7"/>
  <c r="B7" i="7"/>
  <c r="B14" i="7" s="1"/>
  <c r="B3" i="6"/>
  <c r="B7" i="6"/>
  <c r="B14" i="6" s="1"/>
  <c r="C4" i="23"/>
  <c r="C6" i="23"/>
  <c r="C18" i="23" s="1"/>
  <c r="C10" i="23"/>
  <c r="C14" i="23"/>
  <c r="C24" i="23"/>
  <c r="D24" i="23" s="1"/>
  <c r="D3" i="5"/>
  <c r="C44" i="5"/>
  <c r="D44" i="5"/>
  <c r="D45" i="5" s="1"/>
  <c r="E44" i="5"/>
  <c r="G44" i="5"/>
  <c r="G45" i="5" s="1"/>
  <c r="E45" i="5"/>
  <c r="H55" i="5"/>
  <c r="H56" i="5"/>
  <c r="H57" i="5"/>
  <c r="H58" i="5"/>
  <c r="H60" i="5"/>
  <c r="H61" i="5"/>
  <c r="H62" i="5"/>
  <c r="H65" i="5"/>
  <c r="H66" i="5"/>
  <c r="H67" i="5"/>
  <c r="H69" i="5"/>
  <c r="H70" i="5"/>
  <c r="H71" i="5"/>
  <c r="D72" i="5"/>
  <c r="E72" i="5"/>
  <c r="F72" i="5"/>
  <c r="G72" i="5"/>
  <c r="E53" i="4" s="1"/>
  <c r="D4" i="4"/>
  <c r="E12" i="4"/>
  <c r="C55" i="1" s="1"/>
  <c r="E16" i="4"/>
  <c r="C56" i="1" s="1"/>
  <c r="E17" i="4"/>
  <c r="E22" i="4"/>
  <c r="E23" i="4"/>
  <c r="E24" i="4"/>
  <c r="E25" i="4"/>
  <c r="E28" i="4"/>
  <c r="E55" i="4" s="1"/>
  <c r="E29" i="4"/>
  <c r="E30" i="4"/>
  <c r="C31" i="4"/>
  <c r="E31" i="4" s="1"/>
  <c r="E36" i="4"/>
  <c r="E37" i="4"/>
  <c r="E38" i="4"/>
  <c r="E39" i="4"/>
  <c r="E40" i="4"/>
  <c r="C42" i="4"/>
  <c r="E42" i="4" s="1"/>
  <c r="B3" i="3"/>
  <c r="B14" i="3"/>
  <c r="B19" i="3"/>
  <c r="B28" i="3"/>
  <c r="B36" i="3"/>
  <c r="B52" i="3"/>
  <c r="B61" i="3"/>
  <c r="B72" i="3" s="1"/>
  <c r="B70" i="3"/>
  <c r="B79" i="3"/>
  <c r="B3" i="2"/>
  <c r="B16" i="2"/>
  <c r="B24" i="2"/>
  <c r="B28" i="2"/>
  <c r="B41" i="2"/>
  <c r="B49" i="2"/>
  <c r="B61" i="2"/>
  <c r="A3" i="1"/>
  <c r="E8" i="23" s="1"/>
  <c r="E9" i="23" s="1"/>
  <c r="A4" i="1"/>
  <c r="A3" i="7" s="1"/>
  <c r="C7" i="1"/>
  <c r="B12" i="1"/>
  <c r="B13" i="1"/>
  <c r="B16" i="1"/>
  <c r="C26" i="1"/>
  <c r="C27" i="1"/>
  <c r="C44" i="1"/>
  <c r="C46" i="1"/>
  <c r="E60" i="1"/>
  <c r="B3" i="13"/>
  <c r="A3" i="19"/>
  <c r="C57" i="1"/>
  <c r="C28" i="1"/>
  <c r="G91" i="24"/>
  <c r="K33" i="20"/>
  <c r="A3" i="9"/>
  <c r="A3" i="17"/>
  <c r="H31" i="9" l="1"/>
  <c r="H28" i="9"/>
  <c r="H32" i="9"/>
  <c r="F35" i="9"/>
  <c r="F27" i="9"/>
  <c r="F33" i="9"/>
  <c r="B22" i="19"/>
  <c r="D33" i="18"/>
  <c r="F31" i="9"/>
  <c r="H27" i="18"/>
  <c r="F30" i="9"/>
  <c r="R91" i="24"/>
  <c r="G39" i="17"/>
  <c r="B48" i="16" s="1"/>
  <c r="B15" i="1"/>
  <c r="I29" i="20" s="1"/>
  <c r="K29" i="20" s="1"/>
  <c r="H33" i="9"/>
  <c r="H36" i="9"/>
  <c r="B81" i="3"/>
  <c r="C29" i="2" s="1"/>
  <c r="G24" i="9"/>
  <c r="H20" i="9" s="1"/>
  <c r="H13" i="9"/>
  <c r="H12" i="9"/>
  <c r="H16" i="9"/>
  <c r="H21" i="9"/>
  <c r="H14" i="9"/>
  <c r="E33" i="18"/>
  <c r="E32" i="4"/>
  <c r="B29" i="2"/>
  <c r="B31" i="2" s="1"/>
  <c r="B33" i="2" s="1"/>
  <c r="B51" i="2" s="1"/>
  <c r="B65" i="2" s="1"/>
  <c r="B68" i="2" s="1"/>
  <c r="B72" i="2" s="1"/>
  <c r="A3" i="18"/>
  <c r="A3" i="16"/>
  <c r="A3" i="14"/>
  <c r="A3" i="15"/>
  <c r="A3" i="6"/>
  <c r="A3" i="21"/>
  <c r="N14" i="10"/>
  <c r="E22" i="1" s="1"/>
  <c r="C14" i="10"/>
  <c r="C16" i="10" s="1"/>
  <c r="C77" i="24"/>
  <c r="F77" i="24" s="1"/>
  <c r="C16" i="9"/>
  <c r="C24" i="24"/>
  <c r="C28" i="9" s="1"/>
  <c r="BX7" i="10" s="1"/>
  <c r="L91" i="24"/>
  <c r="C80" i="24"/>
  <c r="F80" i="24" s="1"/>
  <c r="C15" i="24"/>
  <c r="C27" i="9" s="1"/>
  <c r="BX6" i="10" s="1"/>
  <c r="J91" i="24"/>
  <c r="C23" i="1"/>
  <c r="D39" i="17"/>
  <c r="D40" i="17" s="1"/>
  <c r="C50" i="1"/>
  <c r="C51" i="1" s="1"/>
  <c r="H18" i="18"/>
  <c r="H33" i="18" s="1"/>
  <c r="G33" i="18"/>
  <c r="B44" i="16" s="1"/>
  <c r="C33" i="18"/>
  <c r="B45" i="16" s="1"/>
  <c r="C88" i="24"/>
  <c r="C20" i="9" s="1"/>
  <c r="C86" i="24"/>
  <c r="C13" i="9" s="1"/>
  <c r="C84" i="24"/>
  <c r="C12" i="9" s="1"/>
  <c r="C83" i="24"/>
  <c r="D91" i="24"/>
  <c r="C82" i="24"/>
  <c r="C17" i="9" s="1"/>
  <c r="P91" i="24"/>
  <c r="E91" i="24"/>
  <c r="C64" i="24"/>
  <c r="C56" i="24"/>
  <c r="F56" i="24" s="1"/>
  <c r="J27" i="18"/>
  <c r="K27" i="18" s="1"/>
  <c r="K33" i="18" s="1"/>
  <c r="C15" i="9"/>
  <c r="H30" i="9"/>
  <c r="H27" i="9"/>
  <c r="H34" i="9"/>
  <c r="H29" i="9"/>
  <c r="C90" i="24"/>
  <c r="C89" i="24"/>
  <c r="C21" i="9" s="1"/>
  <c r="C87" i="24"/>
  <c r="C19" i="9" s="1"/>
  <c r="C85" i="24"/>
  <c r="C11" i="9" s="1"/>
  <c r="T91" i="24"/>
  <c r="H91" i="24"/>
  <c r="C79" i="24"/>
  <c r="F79" i="24" s="1"/>
  <c r="C48" i="24"/>
  <c r="C31" i="9" s="1"/>
  <c r="BX10" i="10" s="1"/>
  <c r="C40" i="24"/>
  <c r="F40" i="24" s="1"/>
  <c r="C32" i="24"/>
  <c r="C29" i="9" s="1"/>
  <c r="BX8" i="10" s="1"/>
  <c r="M16" i="10"/>
  <c r="N16" i="10" s="1"/>
  <c r="C32" i="14"/>
  <c r="B48" i="15"/>
  <c r="H16" i="17"/>
  <c r="C14" i="1" s="1"/>
  <c r="H12" i="17"/>
  <c r="H10" i="18"/>
  <c r="H10" i="17"/>
  <c r="C8" i="1" s="1"/>
  <c r="C39" i="17"/>
  <c r="C40" i="17" s="1"/>
  <c r="B11" i="1"/>
  <c r="B46" i="15"/>
  <c r="B32" i="14"/>
  <c r="C26" i="13"/>
  <c r="C18" i="9"/>
  <c r="F83" i="24"/>
  <c r="C33" i="9"/>
  <c r="BX12" i="10" s="1"/>
  <c r="F64" i="24"/>
  <c r="C22" i="9"/>
  <c r="F90" i="24"/>
  <c r="F48" i="24"/>
  <c r="C30" i="9"/>
  <c r="BX9" i="10" s="1"/>
  <c r="C9" i="1"/>
  <c r="K39" i="17"/>
  <c r="K41" i="17"/>
  <c r="B46" i="16"/>
  <c r="F22" i="9"/>
  <c r="F20" i="9"/>
  <c r="F18" i="9"/>
  <c r="F12" i="9"/>
  <c r="B4" i="23"/>
  <c r="B3" i="10"/>
  <c r="A3" i="12"/>
  <c r="A3" i="20"/>
  <c r="B3" i="5"/>
  <c r="A3" i="4"/>
  <c r="A3" i="11"/>
  <c r="B3" i="24"/>
  <c r="A3" i="2"/>
  <c r="A3" i="3"/>
  <c r="C64" i="1"/>
  <c r="F24" i="9"/>
  <c r="F21" i="9"/>
  <c r="F19" i="9"/>
  <c r="F17" i="9"/>
  <c r="F16" i="9"/>
  <c r="F15" i="9"/>
  <c r="F14" i="9"/>
  <c r="F13" i="9"/>
  <c r="H29" i="17"/>
  <c r="C18" i="1" s="1"/>
  <c r="G10" i="23"/>
  <c r="B14" i="23"/>
  <c r="G11" i="23"/>
  <c r="J18" i="20" s="1"/>
  <c r="C26" i="23"/>
  <c r="G12" i="23"/>
  <c r="J20" i="20" s="1"/>
  <c r="G8" i="23"/>
  <c r="B10" i="23"/>
  <c r="B6" i="23"/>
  <c r="H73" i="5"/>
  <c r="H44" i="5"/>
  <c r="F45" i="5"/>
  <c r="G46" i="5" s="1"/>
  <c r="I38" i="20"/>
  <c r="K38" i="20" s="1"/>
  <c r="E41" i="4"/>
  <c r="E43" i="4" s="1"/>
  <c r="I36" i="20"/>
  <c r="K36" i="20" s="1"/>
  <c r="I31" i="20"/>
  <c r="K31" i="20" s="1"/>
  <c r="B42" i="3"/>
  <c r="D16" i="2" s="1"/>
  <c r="B52" i="16" l="1"/>
  <c r="B47" i="16" s="1"/>
  <c r="E26" i="13"/>
  <c r="B22" i="1"/>
  <c r="H24" i="9"/>
  <c r="H15" i="9"/>
  <c r="H11" i="9"/>
  <c r="H18" i="9"/>
  <c r="H19" i="9"/>
  <c r="H17" i="9"/>
  <c r="H22" i="9"/>
  <c r="E44" i="4"/>
  <c r="B43" i="16" s="1"/>
  <c r="B42" i="16" s="1"/>
  <c r="B41" i="16" s="1"/>
  <c r="I19" i="20" s="1"/>
  <c r="K19" i="20" s="1"/>
  <c r="C34" i="9"/>
  <c r="BX13" i="10" s="1"/>
  <c r="C32" i="9"/>
  <c r="BX11" i="10" s="1"/>
  <c r="F82" i="24"/>
  <c r="F32" i="24"/>
  <c r="F24" i="24"/>
  <c r="C14" i="9"/>
  <c r="C24" i="9" s="1"/>
  <c r="C91" i="24"/>
  <c r="F15" i="24"/>
  <c r="B27" i="16"/>
  <c r="C36" i="1"/>
  <c r="H43" i="5" s="1"/>
  <c r="B32" i="16"/>
  <c r="I15" i="20" s="1"/>
  <c r="K15" i="20" s="1"/>
  <c r="C65" i="1"/>
  <c r="C41" i="17"/>
  <c r="D41" i="17" s="1"/>
  <c r="K40" i="17"/>
  <c r="K42" i="17" s="1"/>
  <c r="B40" i="16" s="1"/>
  <c r="B39" i="16"/>
  <c r="H39" i="17"/>
  <c r="C25" i="23"/>
  <c r="E48" i="4" s="1"/>
  <c r="C19" i="23"/>
  <c r="E47" i="4" s="1"/>
  <c r="J9" i="20"/>
  <c r="J11" i="20"/>
  <c r="G49" i="4"/>
  <c r="H74" i="5"/>
  <c r="E46" i="4" s="1"/>
  <c r="D26" i="13" l="1"/>
  <c r="F91" i="24"/>
  <c r="C36" i="9"/>
  <c r="D30" i="9" s="1"/>
  <c r="D22" i="9"/>
  <c r="D18" i="9"/>
  <c r="D13" i="9"/>
  <c r="D19" i="9"/>
  <c r="D16" i="9"/>
  <c r="D21" i="9"/>
  <c r="D15" i="9"/>
  <c r="D17" i="9"/>
  <c r="D12" i="9"/>
  <c r="D14" i="9"/>
  <c r="D11" i="9"/>
  <c r="D20" i="9"/>
  <c r="D24" i="9"/>
  <c r="E52" i="4"/>
  <c r="E51" i="4" s="1"/>
  <c r="E56" i="4" s="1"/>
  <c r="I12" i="20" s="1"/>
  <c r="K12" i="20" s="1"/>
  <c r="B38" i="16"/>
  <c r="I17" i="20" s="1"/>
  <c r="K17" i="20" s="1"/>
  <c r="E45" i="4"/>
  <c r="E49" i="4" s="1"/>
  <c r="I10" i="20" s="1"/>
  <c r="K10" i="20" s="1"/>
  <c r="I74" i="5"/>
  <c r="D29" i="9" l="1"/>
  <c r="D33" i="9"/>
  <c r="D27" i="9"/>
  <c r="D34" i="9"/>
  <c r="D28" i="9"/>
  <c r="D36" i="9"/>
  <c r="D31" i="9"/>
  <c r="D32" i="9"/>
  <c r="BX14" i="10"/>
  <c r="E50" i="4"/>
  <c r="I8" i="20" s="1"/>
  <c r="K8" i="20" s="1"/>
</calcChain>
</file>

<file path=xl/comments1.xml><?xml version="1.0" encoding="utf-8"?>
<comments xmlns="http://schemas.openxmlformats.org/spreadsheetml/2006/main">
  <authors>
    <author>Iskandarov_U</author>
  </authors>
  <commentList>
    <comment ref="B2" authorId="0" shapeId="0">
      <text>
        <r>
          <rPr>
            <b/>
            <sz val="8"/>
            <color indexed="81"/>
            <rFont val="Tahoma"/>
            <family val="2"/>
            <charset val="204"/>
          </rPr>
          <t>Iskandarov_U:</t>
        </r>
        <r>
          <rPr>
            <sz val="8"/>
            <color indexed="81"/>
            <rFont val="Tahoma"/>
            <family val="2"/>
            <charset val="204"/>
          </rPr>
          <t xml:space="preserve">
Последняя редакция январь  2014 года</t>
        </r>
      </text>
    </comment>
  </commentList>
</comments>
</file>

<file path=xl/comments2.xml><?xml version="1.0" encoding="utf-8"?>
<comments xmlns="http://schemas.openxmlformats.org/spreadsheetml/2006/main">
  <authors>
    <author>Бахром</author>
  </authors>
  <commentList>
    <comment ref="H44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Ячейка окрасится если сумма не равна строке 14. Итого Активовов Балансового отчета </t>
        </r>
      </text>
    </comment>
  </commentList>
</comments>
</file>

<file path=xl/sharedStrings.xml><?xml version="1.0" encoding="utf-8"?>
<sst xmlns="http://schemas.openxmlformats.org/spreadsheetml/2006/main" count="1338" uniqueCount="887">
  <si>
    <t xml:space="preserve">   в. Процентные расходы по соглашениям о продаже ц/б с последующим выкупом</t>
  </si>
  <si>
    <t xml:space="preserve">   г. Другие процентные расходы</t>
  </si>
  <si>
    <t xml:space="preserve">   д. ИТОГО ПРОЦЕНТНЫХ РАСХОДОВ ПО ДРУГИМ ОБЯЗАТЕЛЬСТВАМ</t>
  </si>
  <si>
    <t>9.  ИТОГО ПРОЦЕНТНЫХ РАСХОДОВ</t>
  </si>
  <si>
    <t xml:space="preserve">                         РАСЧЕТ КАПИТАЛА БАНКА</t>
  </si>
  <si>
    <t>Таблица-4                         (Форма-3004CAR)</t>
  </si>
  <si>
    <t>No.</t>
  </si>
  <si>
    <t>Характеристики</t>
  </si>
  <si>
    <t>Капитал</t>
  </si>
  <si>
    <t>(A)</t>
  </si>
  <si>
    <t>(Б)</t>
  </si>
  <si>
    <t>(В)</t>
  </si>
  <si>
    <t>(Г)</t>
  </si>
  <si>
    <t>I.</t>
  </si>
  <si>
    <t>Обыкновенные Акции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</si>
  <si>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</si>
  <si>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</si>
  <si>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</si>
  <si>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</si>
  <si>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</si>
  <si>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Выпущенные, полностью оплаченные обыкновенные акции 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</si>
  <si>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</si>
  <si>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</si>
  <si>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</si>
  <si>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</si>
  <si>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Выпущенные, полностью оплаченные привилегированные акции </t>
  </si>
  <si>
    <t>Добавленный капитал</t>
  </si>
  <si>
    <t>Нераспределенная прибыль</t>
  </si>
  <si>
    <t xml:space="preserve">Капитальные резервы </t>
  </si>
  <si>
    <t xml:space="preserve">Нераспределенная прибыль </t>
  </si>
  <si>
    <t xml:space="preserve">Минус: Убыток за текущий год </t>
  </si>
  <si>
    <t>г</t>
  </si>
  <si>
    <t xml:space="preserve">Итого нераспределенная прибыль </t>
  </si>
  <si>
    <t xml:space="preserve">Интерес меньшинства в консолидированных дочерних компаниях (согласно МБС) </t>
  </si>
  <si>
    <t>II</t>
  </si>
  <si>
    <t>ВЫЧЕТЫ ИЗ СУММЫ КАПИТАЛА УРОВНЯ I</t>
  </si>
  <si>
    <t xml:space="preserve">Нематериальные активы </t>
  </si>
  <si>
    <t>III</t>
  </si>
  <si>
    <t>СКОРРЕКТИРОВАННЫЙ КАПИТАЛ УРОВНЯ 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</si>
  <si>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</si>
  <si>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</si>
  <si>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</si>
  <si>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</si>
  <si>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</si>
  <si>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ОБЩАЯ  СУММА АКТИВОВ, ВЗВЕШЕННЫХ С УЧЕТОМ РИСКА</t>
  </si>
  <si>
    <t xml:space="preserve"> </t>
  </si>
  <si>
    <t xml:space="preserve">                  РАСЧЕТ АКТИВОВ ВЗВЕШЕННЫХ С УЧЕТОМ РИСКА</t>
  </si>
  <si>
    <t>Таблица-5 (Форма-3006CAR)</t>
  </si>
  <si>
    <t>№</t>
  </si>
  <si>
    <t>Риск</t>
  </si>
  <si>
    <t>(Д)</t>
  </si>
  <si>
    <t>(Е)</t>
  </si>
  <si>
    <t>Балансовые Активы</t>
  </si>
  <si>
    <t>1.</t>
  </si>
  <si>
    <t xml:space="preserve">Касса (наличность и монеты) и Драгоценные металлы </t>
  </si>
  <si>
    <t xml:space="preserve">Денежная наличность и другие платежные документы в пути  </t>
  </si>
  <si>
    <t xml:space="preserve">Корреспондентские и резервные счета в ЦБРУ </t>
  </si>
  <si>
    <t>а.</t>
  </si>
  <si>
    <t>Рыночные ценные бумаги, чистые</t>
  </si>
  <si>
    <t xml:space="preserve">Ценные бумаги, выпущенные Правительством Республики Узбекистан и ЦБРУ  </t>
  </si>
  <si>
    <t>Другие ценные бумаги</t>
  </si>
  <si>
    <t xml:space="preserve">Кредиты и лизинги, чистые </t>
  </si>
  <si>
    <t xml:space="preserve">Кредиты и лизинги в судебном разбирательстве, чистые </t>
  </si>
  <si>
    <t xml:space="preserve">Финансовый лизинг </t>
  </si>
  <si>
    <t>Основные средства, используемые в банковской деятельности (минус амортизация)</t>
  </si>
  <si>
    <t>Инвестиции в капитал неконсолидированных банковских и небанковских финансовых дочерних компаний и всех нефинансовых предприятий</t>
  </si>
  <si>
    <t>Все другие инвестиции, чистые</t>
  </si>
  <si>
    <t xml:space="preserve">Нематериальные активы, включая гудвилл </t>
  </si>
  <si>
    <t>Другие активы  в судебном разбирательстве и не взысканные в установленном порядке</t>
  </si>
  <si>
    <t>Другие активы, чистые</t>
  </si>
  <si>
    <t>Общая сумма балансовых активов согласно Инструкции</t>
  </si>
  <si>
    <t>Общая сумма балансовых рисковых активов, по группам риска</t>
  </si>
  <si>
    <t>Общая сумма балансовых рисковых активов</t>
  </si>
  <si>
    <t>Фактор пересчета кредита</t>
  </si>
  <si>
    <t>Значение риска</t>
  </si>
  <si>
    <t>(Ж)</t>
  </si>
  <si>
    <t>Забалансовые Активы</t>
  </si>
  <si>
    <t>Обязательства по выдаче кредита</t>
  </si>
  <si>
    <t>Более одного года</t>
  </si>
  <si>
    <t>Год и менее</t>
  </si>
  <si>
    <t xml:space="preserve">Обязательства по приобретению ценных бумаг и других активов (включая активы, проданные в соответствии с соглашениями о выкупе) </t>
  </si>
  <si>
    <t xml:space="preserve">Гарантии и поручительства </t>
  </si>
  <si>
    <t>Аккредитивы</t>
  </si>
  <si>
    <t>Прямые кредитные заменители</t>
  </si>
  <si>
    <t>Связанные со сделками</t>
  </si>
  <si>
    <t>Связанные с торговлей (краткосрочные, самоликвидирующиеся, обеспеченные)</t>
  </si>
  <si>
    <t xml:space="preserve">Форврдные котракты, свопы, опционы и подобные обязательства </t>
  </si>
  <si>
    <t>Контракты по процентной ставке</t>
  </si>
  <si>
    <t>а1</t>
  </si>
  <si>
    <t xml:space="preserve">Со оставшимся сроком погашения до одного года </t>
  </si>
  <si>
    <t>а2</t>
  </si>
  <si>
    <t xml:space="preserve">Со оставшимся сроком погашения от одного года до двух лет </t>
  </si>
  <si>
    <t>а3</t>
  </si>
  <si>
    <t>Со оставшимся сроком погашения от двух до трех  лет</t>
  </si>
  <si>
    <t>Валютные котракты и золото</t>
  </si>
  <si>
    <t>б1</t>
  </si>
  <si>
    <t>С первоначальным сроком погашения до одного года</t>
  </si>
  <si>
    <t>б2</t>
  </si>
  <si>
    <t>С первоначальным сроком погашения от одного года до двух лет</t>
  </si>
  <si>
    <t>б3</t>
  </si>
  <si>
    <t>С первоначальным сроком погашения  от двух до трех  лет</t>
  </si>
  <si>
    <t xml:space="preserve">Общая сумма забалансовых активов </t>
  </si>
  <si>
    <t xml:space="preserve">Общая сумма забалансовых активов, взвешенных с учетом риска </t>
  </si>
  <si>
    <t xml:space="preserve">Общая сумма активов, взвешенных с учетом риска </t>
  </si>
  <si>
    <t>ИЗМЕНЕНИЯ В СОБСТВЕННОМ КАПИТАЛЕ</t>
  </si>
  <si>
    <t>Таблица-6                      (Форма-3106CSA)</t>
  </si>
  <si>
    <t>1. Итого собственного капитала первоначально определенного за прошлый год</t>
  </si>
  <si>
    <t>2. Исправления в собственном капитале не показанные в отчете за прошлый год, чистые</t>
  </si>
  <si>
    <t>3. Исправленный баланс на конец прошлого календарного года (сумма строк 1 и 2)</t>
  </si>
  <si>
    <t>4. Чистый прибыль (убыток) по состоянию на дату от начала года</t>
  </si>
  <si>
    <t>5. Продажа, Обмен, Приобретение или выкуп акций, за текущий год (чистая выручка)</t>
  </si>
  <si>
    <t>6. Изменения в оценочной стоимости прироста над первонач. стоимостью, за текущий год (чистые)</t>
  </si>
  <si>
    <t>7. МИНУС: Денежные дивиденды объявленные по привилегированным акциям</t>
  </si>
  <si>
    <t>8. МИНУС: Денежные дивиденды объявленные по обыкновенным акциям</t>
  </si>
  <si>
    <t>9. Другие статьи влияющие на собственный капитал за текущий год (чистые)</t>
  </si>
  <si>
    <t>10. Итого собственного капитала на конец текущего периода (сумма строк с 3 по 10)</t>
  </si>
  <si>
    <t>ВЫВЕРКА НЕРАСПРЕДЕЛЕННОЙ ПРИБЫЛИ</t>
  </si>
  <si>
    <t>1. Нераспределенная прибыль, указанная в отчете за предыдущий календарный год</t>
  </si>
  <si>
    <t>2. Плюс или Минус: Предварит. корректировки не указанные в отчете к концу года</t>
  </si>
  <si>
    <t>3. Равно: Откорректированная нераспределенная прибыль</t>
  </si>
  <si>
    <t>4. Плюс или Минус: Кумулятивная чистая прибыль (Убытки) в текущем году</t>
  </si>
  <si>
    <t>5. Минус: Денежные дивиденды объявленные по обыкновенным акциям</t>
  </si>
  <si>
    <t>6. Минус: Денежные дивиденды объявленные по привилегированным акциям</t>
  </si>
  <si>
    <t>7. Минус: Дивиденды в виде акций объявленные по обыкновенным акциям</t>
  </si>
  <si>
    <t>8. Минус: Дивиденды в виде акций объявленные по привилегированным акциям</t>
  </si>
  <si>
    <t>9. Другие статьи, влияющие на нераспределенную прибыль,Чистые</t>
  </si>
  <si>
    <t>10. Равно: Текущий Баланс, Нераспределенная прибыль</t>
  </si>
  <si>
    <t>Кредиты к получению по отраслям экономики, типам клиентов и по типу обеспечения</t>
  </si>
  <si>
    <t>Таблица-8 (Форма-1516LES)</t>
  </si>
  <si>
    <t>из них</t>
  </si>
  <si>
    <t>Отрасль экономики</t>
  </si>
  <si>
    <t>Сумма кредита</t>
  </si>
  <si>
    <t>Начисляемые кредиты</t>
  </si>
  <si>
    <t>Неначисляемые кредиты</t>
  </si>
  <si>
    <t>Средняя процентная ставка</t>
  </si>
  <si>
    <t>Депозиты</t>
  </si>
  <si>
    <t>Гарантированные Правительством Республики Узбекистан</t>
  </si>
  <si>
    <t>Транспортные средства</t>
  </si>
  <si>
    <t>Инвентарь</t>
  </si>
  <si>
    <t>Недвижимость</t>
  </si>
  <si>
    <t>Оборудование</t>
  </si>
  <si>
    <t>Векселя (облигации)</t>
  </si>
  <si>
    <t>Акции</t>
  </si>
  <si>
    <t>Гарантия третьей стороны</t>
  </si>
  <si>
    <t xml:space="preserve">ИТОГО РЕГУЛЯТИВНЫЙ КАПИТАЛ </t>
  </si>
  <si>
    <t xml:space="preserve">Поручительства третьей стороны </t>
  </si>
  <si>
    <t>Страховой полис</t>
  </si>
  <si>
    <t>Необеспеченные</t>
  </si>
  <si>
    <t>Другое обеспечение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</si>
  <si>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</si>
  <si>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</si>
  <si>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</si>
  <si>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</si>
  <si>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</si>
  <si>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</si>
  <si>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</si>
  <si>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</si>
  <si>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</si>
  <si>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</si>
  <si>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</si>
  <si>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(С)</t>
  </si>
  <si>
    <t>(Т)</t>
  </si>
  <si>
    <t>Промышленность</t>
  </si>
  <si>
    <t xml:space="preserve">         Физические лица</t>
  </si>
  <si>
    <t xml:space="preserve">         Государственные предприятия</t>
  </si>
  <si>
    <t xml:space="preserve">         Совместные и иностранные предприятия</t>
  </si>
  <si>
    <t xml:space="preserve">         Частные товарищества и корпорации</t>
  </si>
  <si>
    <t xml:space="preserve">         Правительство</t>
  </si>
  <si>
    <t xml:space="preserve">         Прочие</t>
  </si>
  <si>
    <t xml:space="preserve">          Итого по промышленности</t>
  </si>
  <si>
    <t>Сельское хозяйство</t>
  </si>
  <si>
    <t xml:space="preserve">         Фермерское хозяйство</t>
  </si>
  <si>
    <t xml:space="preserve">         Итого по сельскому хозяйству</t>
  </si>
  <si>
    <t>Транспорт и коммуникации</t>
  </si>
  <si>
    <t xml:space="preserve">         Итого по транспорту и коммуникациям</t>
  </si>
  <si>
    <t>Строительство</t>
  </si>
  <si>
    <t xml:space="preserve">         Итого по строительству</t>
  </si>
  <si>
    <t>Торговля и общественное питание</t>
  </si>
  <si>
    <t xml:space="preserve">         Итого по торговле и общественному питанию</t>
  </si>
  <si>
    <t>Материально-техническое снабжение и сбыт</t>
  </si>
  <si>
    <t xml:space="preserve">        Итого по материально-техническому снабжению и сбыту</t>
  </si>
  <si>
    <t>Жилищно-коммунальные услуги</t>
  </si>
  <si>
    <t xml:space="preserve">        Итого по жилищно-коммунальным услугам</t>
  </si>
  <si>
    <t>Другие отрасли</t>
  </si>
  <si>
    <t xml:space="preserve">         Центральный банк</t>
  </si>
  <si>
    <t xml:space="preserve">         Другие банки</t>
  </si>
  <si>
    <t xml:space="preserve">         Небанковские финансовые институты</t>
  </si>
  <si>
    <t xml:space="preserve">         Негосударственные некоммерческие организации </t>
  </si>
  <si>
    <t xml:space="preserve">         Бюджетные организации</t>
  </si>
  <si>
    <t xml:space="preserve">         Итого по другим отраслям</t>
  </si>
  <si>
    <t>Кредитные и лизинговые операции</t>
  </si>
  <si>
    <t xml:space="preserve">    Итого кредита и лизинга</t>
  </si>
  <si>
    <t xml:space="preserve">Анализ просроченных кредитов и финансового лизинга к получению </t>
  </si>
  <si>
    <t>Таблица-9 (Форма-1604LOA)</t>
  </si>
  <si>
    <t>Всего задолжность по кредитам</t>
  </si>
  <si>
    <t>%</t>
  </si>
  <si>
    <t>Реструктуризированные кредиты</t>
  </si>
  <si>
    <t>Просроченная задолжность</t>
  </si>
  <si>
    <t>Анализ временной задолженности</t>
  </si>
  <si>
    <t>Всего</t>
  </si>
  <si>
    <t>1-30 дней</t>
  </si>
  <si>
    <t>31-60 дней</t>
  </si>
  <si>
    <t>61-90 дней</t>
  </si>
  <si>
    <t>91-180 дней</t>
  </si>
  <si>
    <t>181-365 дней</t>
  </si>
  <si>
    <t>366 дней-2лет</t>
  </si>
  <si>
    <t>Свыше 2 лет</t>
  </si>
  <si>
    <t>В ходе судебного разбирательства</t>
  </si>
  <si>
    <t>По типу клиента</t>
  </si>
  <si>
    <t>Центральный банк</t>
  </si>
  <si>
    <t>Другие банки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</si>
  <si>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</si>
  <si>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</si>
  <si>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</si>
  <si>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</si>
  <si>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</si>
  <si>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Фермерское хозяйство</t>
  </si>
  <si>
    <t>Небанковские финансовые институты</t>
  </si>
  <si>
    <t xml:space="preserve">Негосударственные некоммерческие организации </t>
  </si>
  <si>
    <t>Бюджетные организации</t>
  </si>
  <si>
    <t>Прочие</t>
  </si>
  <si>
    <t>Итого кредита и лизинга</t>
  </si>
  <si>
    <t>По сектору экономики</t>
  </si>
  <si>
    <t>Другие сектора</t>
  </si>
  <si>
    <t>Отчет о классификации активов по степени риска</t>
  </si>
  <si>
    <t>Таблица-10 (Форма-1596LKA)</t>
  </si>
  <si>
    <t xml:space="preserve"> Статьи баланса</t>
  </si>
  <si>
    <t>Общая сумма</t>
  </si>
  <si>
    <t>Стандартные</t>
  </si>
  <si>
    <t>Субстандартные</t>
  </si>
  <si>
    <t>Сомнительные</t>
  </si>
  <si>
    <t>Безнадежные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</si>
  <si>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</si>
  <si>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</si>
  <si>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</si>
  <si>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</si>
  <si>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</si>
  <si>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</si>
  <si>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</si>
  <si>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</si>
  <si>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</si>
  <si>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</si>
  <si>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</si>
  <si>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Торговля и сфера общественных услуг</t>
  </si>
  <si>
    <t>Другие классифицированные активы</t>
  </si>
  <si>
    <t>Всего классифицированных активов</t>
  </si>
  <si>
    <t>Отчет о кредитах и лизинге, выданным связанным лицам</t>
  </si>
  <si>
    <t>Таблица-11 (Форма-1624LCO)</t>
  </si>
  <si>
    <t>Наименования клиента</t>
  </si>
  <si>
    <t>Номер группы</t>
  </si>
  <si>
    <t xml:space="preserve">  Дата   выдачи</t>
  </si>
  <si>
    <t>Дата погашения</t>
  </si>
  <si>
    <t>Основная сумма кредита</t>
  </si>
  <si>
    <t>Текущая кредитная задолженность</t>
  </si>
  <si>
    <t>Пересмотрения</t>
  </si>
  <si>
    <t>Цель кредита</t>
  </si>
  <si>
    <t>Тип залога</t>
  </si>
  <si>
    <t>Классификация</t>
  </si>
  <si>
    <t>Источник кредита</t>
  </si>
  <si>
    <t>В</t>
  </si>
  <si>
    <t>Е</t>
  </si>
  <si>
    <t>ИТОГО СУММА КРЕДИТОВ/ ЛИЗИНГА СВЯЗАННЫМ ЛИЦАМ</t>
  </si>
  <si>
    <t>САМЫЙ КРУПНЫЙ КРЕДИТ/ ЛИЗИНГ ОДНОМУ ИНСАЙДЕРУ</t>
  </si>
  <si>
    <t>Кредиты и лизинги к получению - двадцать крупнейших заёмщиков</t>
  </si>
  <si>
    <t>Таблица-12 (Форма-1574LBB)</t>
  </si>
  <si>
    <t>Основная сумма кредиты</t>
  </si>
  <si>
    <t>ИТОГО КРУПНЫХ КРЕДИТОВ/ ЛИЗИНГА</t>
  </si>
  <si>
    <t>САМЫЙ КРУПНЫЙ КРЕДИТ/ ЛИЗИНГ, ВЫДАННЫЙ БАНКОМ</t>
  </si>
  <si>
    <t>ОТЧЕТ О CПИСАННЫХ И ВОЗВРАЩЕННЫХ ПЛАТЕЖАХ ИЗ РЕЗЕРВА ВОЗМОЖНЫХ ПОТЕРЬ                              ПО КРЕДИТАМ И ЛИЗИНГУ</t>
  </si>
  <si>
    <t>Таблица-13                  (Форма-1598LKA)</t>
  </si>
  <si>
    <t>Часть 1 Списания и возврат</t>
  </si>
  <si>
    <t>Списание - А</t>
  </si>
  <si>
    <t>Возврат - Б</t>
  </si>
  <si>
    <t>в иностранной валюте</t>
  </si>
  <si>
    <t>1. Промышленность</t>
  </si>
  <si>
    <t>2. Сельское хозяйство</t>
  </si>
  <si>
    <t>3. Транспорт и коммуникации</t>
  </si>
  <si>
    <t>4. Строительство</t>
  </si>
  <si>
    <t>5. Торговля и общественное питание</t>
  </si>
  <si>
    <t>6. Материально-техническое снабжение и сбыт</t>
  </si>
  <si>
    <t>7. Жилищно-коммунальные услуги</t>
  </si>
  <si>
    <t>8. Другие сектора</t>
  </si>
  <si>
    <t>9. Итого</t>
  </si>
  <si>
    <t>Часть 2</t>
  </si>
  <si>
    <t>Изменения в резерве возможных убытков по кредитам и лизингу</t>
  </si>
  <si>
    <t>1. Остаток на начало текущего года</t>
  </si>
  <si>
    <t>2. Плюс: Возвращенные платежи</t>
  </si>
  <si>
    <t>3. Минус: Списанные кредиты и лизинги</t>
  </si>
  <si>
    <t>4. Отчисления в резерв по состоянию на дату от начала года</t>
  </si>
  <si>
    <t>5. Поправки</t>
  </si>
  <si>
    <t>6. Текущий баланс</t>
  </si>
  <si>
    <t>ОТЧЕТ О ДЕПОЗИТАХ ПО ТИПАМ КЛИЕНТОВ         Таблица-14 (Форма-2106DMC)</t>
  </si>
  <si>
    <t>в том числе в иностранной валюте</t>
  </si>
  <si>
    <t>1. Депозиты до востребования</t>
  </si>
  <si>
    <t xml:space="preserve">     а. Правительство</t>
  </si>
  <si>
    <t xml:space="preserve">     б. Физические лица</t>
  </si>
  <si>
    <t xml:space="preserve">     в. Государственные предприятия</t>
  </si>
  <si>
    <t xml:space="preserve">     г. Совместные и иностранные предприятия</t>
  </si>
  <si>
    <t xml:space="preserve">     д. Частные товарищества и корпорации</t>
  </si>
  <si>
    <t xml:space="preserve">     е. Другие депозиты до востребования</t>
  </si>
  <si>
    <t xml:space="preserve">     ж. Итого депозитов до востребования</t>
  </si>
  <si>
    <t>2. Сберегательные депозиты</t>
  </si>
  <si>
    <t xml:space="preserve">     е. Другие сберегательные депозиты</t>
  </si>
  <si>
    <t xml:space="preserve">     ж. Итого сберегательных депозитов</t>
  </si>
  <si>
    <t>3. Срочные депозиты</t>
  </si>
  <si>
    <t xml:space="preserve">     е. Другие срочные депозиты</t>
  </si>
  <si>
    <t xml:space="preserve">     ж. Итого срочных депозитов</t>
  </si>
  <si>
    <t>4. Итого депозитов</t>
  </si>
  <si>
    <t>Примечание:</t>
  </si>
  <si>
    <t>Были ли случаи, что банк не смог выплатить вкладчику основную сумму вклада или же процент в течение квартала?</t>
  </si>
  <si>
    <t>н</t>
  </si>
  <si>
    <t>ОТЧЕТ ОБ ИНВЕСТИЦИЯХ В ЦЕННЫЕ БУМАГИ И СЧЕТА КУПЛИ-ПРОДАЖИ АКТИВОВ</t>
  </si>
  <si>
    <t>Таблица-15                           (Форма-1726SEC )</t>
  </si>
  <si>
    <t>Часть 1 - Инвестиции в ценные бумаги</t>
  </si>
  <si>
    <t>Балансовая 
    стоимость</t>
  </si>
  <si>
    <t>Рыночная 
стоимость</t>
  </si>
  <si>
    <t>1. Инвестиции в государственные облигации</t>
  </si>
  <si>
    <t>2. Инвестиции в ценные бумаги и облигации ЦБРУ</t>
  </si>
  <si>
    <t>3. Инвестиции в частные облигации</t>
  </si>
  <si>
    <t>4. Инвестиции в еврооблигации</t>
  </si>
  <si>
    <t>5. Инвестиции в акции гос предприятий</t>
  </si>
  <si>
    <t>6. Инвестиции в акции частных предприятий</t>
  </si>
  <si>
    <t>7. Инвестиции в другие ценные бумаги</t>
  </si>
  <si>
    <t>8. Итого инвестиций</t>
  </si>
  <si>
    <t>9. Минус: Резерв возможных убытков</t>
  </si>
  <si>
    <t>10. Чистая балансовая стоимость инвестиций</t>
  </si>
  <si>
    <t>Часть 2 - Счета купли-продажи ценных бумаг</t>
  </si>
  <si>
    <t>1. Государственные казначейские векселя</t>
  </si>
  <si>
    <t>2. Государственные облигации</t>
  </si>
  <si>
    <t>3. Ценные бумаги и облигации ЦБРУ</t>
  </si>
  <si>
    <t>4. Ценные бумаги гос корпораций</t>
  </si>
  <si>
    <t>5. Еврооблигации</t>
  </si>
  <si>
    <t>6. Частные ценные бумаги</t>
  </si>
  <si>
    <t>7. Другие ценные бумаги</t>
  </si>
  <si>
    <t>8. Итого по счетам купли-продажи ценных бумаг</t>
  </si>
  <si>
    <t>10. Чистая балансовая стоимость по счетам купли-продажи ц/б</t>
  </si>
  <si>
    <t>Часть 3 - Счета купли и продажи драгоценных металлов</t>
  </si>
  <si>
    <t>Первоначальная  
    стоимость</t>
  </si>
  <si>
    <t>1. Драгоценные металлы</t>
  </si>
  <si>
    <t>2. Драгоценные камни</t>
  </si>
  <si>
    <t>3. Драгоценные монеты</t>
  </si>
  <si>
    <t>5. Итого драгоценных металлов</t>
  </si>
  <si>
    <t>6. Минус: Резерв возможных убытков</t>
  </si>
  <si>
    <t>7. Чистая балансовая стоимость по счетам купли и продажи д/м</t>
  </si>
  <si>
    <t>Итого ценных бумаг заложенных для общественных депозитов</t>
  </si>
  <si>
    <t>Портфель инвестиций в ценные бумаги</t>
  </si>
  <si>
    <t>Увеличение (Снижение) стоимости</t>
  </si>
  <si>
    <t>Счета купли-продажи ценных бумаг</t>
  </si>
  <si>
    <t>Счета купли-продажи драгоценных предметов</t>
  </si>
  <si>
    <t>Formulas are for Original Cost only.</t>
  </si>
  <si>
    <t>АНАЛИЗ ЛИКВИДНОСТИ</t>
  </si>
  <si>
    <t>Таблица-16 
      (Форма-0022AAL)</t>
  </si>
  <si>
    <t>Часть 1. Ликвидные активы</t>
  </si>
  <si>
    <t xml:space="preserve">1. Касса (наличность и монеты) и Драгоценные металлы </t>
  </si>
  <si>
    <t>Часть 2. Коэфициенты наличности и ликвидности</t>
  </si>
  <si>
    <t>в процентах</t>
  </si>
  <si>
    <t>1. Коэффициент наличности</t>
  </si>
  <si>
    <t xml:space="preserve">       а. Итого кассы разделить на</t>
  </si>
  <si>
    <t xml:space="preserve">           среднее активов за текущий квартал</t>
  </si>
  <si>
    <t>2. Коэффициент ликвидности</t>
  </si>
  <si>
    <t xml:space="preserve">       а. Итого ликвидных активов разделить на</t>
  </si>
  <si>
    <t>3. Непостоянные обязательства/ среднее активов за текущий квартал</t>
  </si>
  <si>
    <t>4. Ликвидные активы/ Непостоянные обязательства</t>
  </si>
  <si>
    <t>5. Кредиты (чистые)/ Депозиты</t>
  </si>
  <si>
    <t>6 Заложенные ценные бумаги/ Общая сумма ценных бумаг</t>
  </si>
  <si>
    <t>Часть 3. Экономические нормативы - Ликвидность</t>
  </si>
  <si>
    <t>Укажите среднедневную сумму активов за текущий период, рассчитанную компьютерной системой действующей в банке.</t>
  </si>
  <si>
    <t>АНАЛИЗ АКТИВОВ БАНКА</t>
  </si>
  <si>
    <t>Таблица-17 (Форма-0024AAL)</t>
  </si>
  <si>
    <t>Дата погашения (в днях)</t>
  </si>
  <si>
    <t>ВСЕГО</t>
  </si>
  <si>
    <t>Бессрочные</t>
  </si>
  <si>
    <t>от 1 до 30</t>
  </si>
  <si>
    <t>от 31 до180</t>
  </si>
  <si>
    <t>от 181до 365</t>
  </si>
  <si>
    <t>Свыше 365</t>
  </si>
  <si>
    <t>Наличность и другие кассовые документы</t>
  </si>
  <si>
    <t>2.</t>
  </si>
  <si>
    <t>3.</t>
  </si>
  <si>
    <t>К получению из других банков</t>
  </si>
  <si>
    <t>4.</t>
  </si>
  <si>
    <t>Счета купли и продажи, чистые</t>
  </si>
  <si>
    <t>5.</t>
  </si>
  <si>
    <t>Купленные векселя, чистые</t>
  </si>
  <si>
    <t>6.</t>
  </si>
  <si>
    <t>Обязательства клиентов по траттам под аккредитивы или трастовые документы</t>
  </si>
  <si>
    <t>7.</t>
  </si>
  <si>
    <t>Обязательства клиентов по непогашенным акцептам этого банка</t>
  </si>
  <si>
    <t>8.</t>
  </si>
  <si>
    <t>Кредиты и лизинги, предоставленные ЦБРУ, чистые</t>
  </si>
  <si>
    <t>9.</t>
  </si>
  <si>
    <t>Кредиты и лизинги, предоставленные другим банкам, чистые</t>
  </si>
  <si>
    <t>Кредиты и лизинги, предоставленные другим клиентам, чистые</t>
  </si>
  <si>
    <t>Кредиты и лизинги и авансы в процессе судебного разбирательства, чистые</t>
  </si>
  <si>
    <t>12.</t>
  </si>
  <si>
    <t>Инвестиции, чистые</t>
  </si>
  <si>
    <t>13.</t>
  </si>
  <si>
    <t>Ценные бумаги купленные по соглашению с обратным выкупом</t>
  </si>
  <si>
    <t>14.</t>
  </si>
  <si>
    <t>Банковские помещения, мебель и оборудование, чистые</t>
  </si>
  <si>
    <t>15.</t>
  </si>
  <si>
    <t>Недвижимость и другое собственное имущество, чистые</t>
  </si>
  <si>
    <t>16.</t>
  </si>
  <si>
    <t>Нереализованная прибыль при ревальвации по сделкам "форвард"</t>
  </si>
  <si>
    <t>17.</t>
  </si>
  <si>
    <t>Счета купли-продажи валюты и валютные позиции</t>
  </si>
  <si>
    <t>18.</t>
  </si>
  <si>
    <t xml:space="preserve">Клиринговые счета </t>
  </si>
  <si>
    <t>19.</t>
  </si>
  <si>
    <t>Начисленные проценты</t>
  </si>
  <si>
    <t>20.</t>
  </si>
  <si>
    <t>Другие активы</t>
  </si>
  <si>
    <t>21.</t>
  </si>
  <si>
    <t>ИТОГО АКТИВОВ</t>
  </si>
  <si>
    <t>* Примечание: Показать раздельно суммы</t>
  </si>
  <si>
    <t>Корреспондентского счета в ЦБРУ</t>
  </si>
  <si>
    <t>Счета Обязательного Резерва в ЦБРУ</t>
  </si>
  <si>
    <t>АНАЛИЗ ОБЯЗАТЕЛЬСТВ БАНКА</t>
  </si>
  <si>
    <t>Срок погашения (в днях)</t>
  </si>
  <si>
    <t>Свыше 1 года</t>
  </si>
  <si>
    <t>ДЕПОЗИТЫ</t>
  </si>
  <si>
    <t>1.1</t>
  </si>
  <si>
    <t>Депозиты до востребования</t>
  </si>
  <si>
    <t>1.2</t>
  </si>
  <si>
    <t>Сберегательные депозиты</t>
  </si>
  <si>
    <t>1.3</t>
  </si>
  <si>
    <t>Срочные депозиты</t>
  </si>
  <si>
    <t>1.4</t>
  </si>
  <si>
    <t>Итого депозитов</t>
  </si>
  <si>
    <t>К оплате в ЦБРУ</t>
  </si>
  <si>
    <t>К оплате в другие банки</t>
  </si>
  <si>
    <t>Управленческие чеки</t>
  </si>
  <si>
    <t>Непогашенные акцепты, выполненные банком или по поручению этого банка</t>
  </si>
  <si>
    <t>Кредиты и лизинговые операции к оплате</t>
  </si>
  <si>
    <t>Ценные бумаги проданные по соглашению с последующим выкупом</t>
  </si>
  <si>
    <t>Другие депозиты клиентов</t>
  </si>
  <si>
    <t>Нереализованная прибыль или убытки по форвардным сделкам и другим отсроченным кредитам</t>
  </si>
  <si>
    <t>10.</t>
  </si>
  <si>
    <t>Клиринговые счета - кредитовый остаток</t>
  </si>
  <si>
    <t>11.</t>
  </si>
  <si>
    <t>Другие обязательства</t>
  </si>
  <si>
    <t>ИТОГО ОБЯЗАТЕЛЬСТВ</t>
  </si>
  <si>
    <t>ОТЧЕТ О СЧЕТАХ  ОБЯЗАТЕЛЬСТВ И НЕПРЕДВИДЕННЫХ ОБСТОЯТЕЛЬСТВ</t>
  </si>
  <si>
    <t>1. Линии кредита и Обязательства</t>
  </si>
  <si>
    <t xml:space="preserve">     а. Неиспользованные кредитные линии/Обязательства для финансирования кредита</t>
  </si>
  <si>
    <t>2. Гарантии и аккредитивы</t>
  </si>
  <si>
    <t xml:space="preserve">     а. Гарантии и финансовые аккредитивы "Стэнд-бай"</t>
  </si>
  <si>
    <t xml:space="preserve">     б. Аккредитивы "Стэнд-бай" под исполнение</t>
  </si>
  <si>
    <t xml:space="preserve">     в. Коммерческие аккредитивы (документарные)</t>
  </si>
  <si>
    <t xml:space="preserve">     г. Итого гарантий и аккредитивов</t>
  </si>
  <si>
    <t>3. Другие статьи непредвиденных обстоятельств</t>
  </si>
  <si>
    <t xml:space="preserve">     а. Условная стоимость процентного свопа</t>
  </si>
  <si>
    <t xml:space="preserve">     б. Условная стоимость обменного свопа (Валютный своп)</t>
  </si>
  <si>
    <t xml:space="preserve">     в. Фьючерсные, Форвардные и Опционные контракты</t>
  </si>
  <si>
    <t xml:space="preserve">     г. Обязательства по покупке кредитов, ценных бумаг или других активов</t>
  </si>
  <si>
    <t xml:space="preserve">     д. Другие счета непредвиденных обстоятельств</t>
  </si>
  <si>
    <t xml:space="preserve">     е. Итого других статей непредвиденных обстоятельств</t>
  </si>
  <si>
    <t>4. Итого статей непредвиденных обстоятельств</t>
  </si>
  <si>
    <t>РАСЧЕТ ЭКОНОМИЧЕСКИХ НОРМАТИВОВ</t>
  </si>
  <si>
    <r>
      <t xml:space="preserve">Таблица-20   </t>
    </r>
    <r>
      <rPr>
        <b/>
        <sz val="12"/>
        <rFont val="Times New Roman"/>
        <family val="1"/>
      </rPr>
      <t>(Форма-3006EN)</t>
    </r>
  </si>
  <si>
    <t>Наименование экономического норматива</t>
  </si>
  <si>
    <t>Формула</t>
  </si>
  <si>
    <t>Фактическое значение</t>
  </si>
  <si>
    <t>Нормативное значение</t>
  </si>
  <si>
    <t>Отклонение</t>
  </si>
  <si>
    <t xml:space="preserve">                              A</t>
  </si>
  <si>
    <t>Показатели достаточности капитала</t>
  </si>
  <si>
    <t>Коэффициент достаточности капитала</t>
  </si>
  <si>
    <t>Скорректированная общая капитала, основанного на риске</t>
  </si>
  <si>
    <t>Мин</t>
  </si>
  <si>
    <t>Активы с учетом риска</t>
  </si>
  <si>
    <t>Коэффициент достаточности Капитала Уровня 1</t>
  </si>
  <si>
    <t>Капитал Уровня I</t>
  </si>
  <si>
    <t>Левераж</t>
  </si>
  <si>
    <t>Показатель ликвидности</t>
  </si>
  <si>
    <t>2.1</t>
  </si>
  <si>
    <t>Коэффициент текущей ликвидности (Н4)</t>
  </si>
  <si>
    <t>Ликвидные активы и активы 
со сроком погашения до 30 дней</t>
  </si>
  <si>
    <t>Обязательства до востребования и со сроком погашения до 30 дней</t>
  </si>
  <si>
    <t>Нормативы по операциям с заемщиками</t>
  </si>
  <si>
    <t>3.1</t>
  </si>
  <si>
    <t>Максимальный размер риска на одного заемщика или группу взаимосвязанных заемщиков,Обеспеченные кредиты</t>
  </si>
  <si>
    <t>Максимальная сумма кредита на одного заемщика, обеспеченные кредиты</t>
  </si>
  <si>
    <t>Макс</t>
  </si>
  <si>
    <t>3.2</t>
  </si>
  <si>
    <t>Максимальный размер риска на одного заемщика или группу взаимосвязанных заемщиков, Необеспеченные кредиты</t>
  </si>
  <si>
    <t>Максимальная сумма кредита на одного заемщика, необеспеченные кредиты</t>
  </si>
  <si>
    <t>Максимальный размер риска для всех крупных кредитов</t>
  </si>
  <si>
    <t>Совокупная сумма крупных кредитов</t>
  </si>
  <si>
    <t>Нормативы по операциям с ценными бумагами</t>
  </si>
  <si>
    <t>4.1</t>
  </si>
  <si>
    <t xml:space="preserve">Максимальный размер инвестиций в ценные бумаги одного эмитента </t>
  </si>
  <si>
    <t>Инвестиции в негосударственные ценные бумаги одного эмитента</t>
  </si>
  <si>
    <t xml:space="preserve">Максимальный общий размер инвестиций в ценные бумаги для купли- продажи  </t>
  </si>
  <si>
    <t xml:space="preserve">Общий размер инвестиций в ценные бумаги для купли- продажи  </t>
  </si>
  <si>
    <t xml:space="preserve">Максимальный общий размер инвестиций в уставной капитал и другие ценные бумаги всех эмитентов  </t>
  </si>
  <si>
    <t xml:space="preserve">Общий размер инвестиций в уставной капитал и другие ценные бумаги всех эмитентов  </t>
  </si>
  <si>
    <t xml:space="preserve">               Нормативы показателей по операциям со связанными лицами (инсайдерами)</t>
  </si>
  <si>
    <t xml:space="preserve"> 5.1</t>
  </si>
  <si>
    <t xml:space="preserve">Сумма выданных кредитов одному инсайдеру или группе связанных лиц, Обеспеченные Кредиты/ Лизинг </t>
  </si>
  <si>
    <t>Самый крупный кредит одному инсайдеру, обеспеченный</t>
  </si>
  <si>
    <t>Совокупная сумма кредитов предоставленых банком всем инсайдерам</t>
  </si>
  <si>
    <t>Совокупная сумма кредитов выданных инсайдерам</t>
  </si>
  <si>
    <t>Нормативы по лизинговым услугам оказываемых банками</t>
  </si>
  <si>
    <t xml:space="preserve"> 6.1</t>
  </si>
  <si>
    <t>Максимальный размер риска лизинговых услуг оказываемых банками</t>
  </si>
  <si>
    <t>Общая сумма лизинговых услуг (за исключением авиализинга)</t>
  </si>
  <si>
    <t>Нормативы по банковским гарантиям</t>
  </si>
  <si>
    <t xml:space="preserve"> 7.1</t>
  </si>
  <si>
    <t>Сумма всех гарантий и средств, предоставленных коммерческими банками, уплаченных бенефициару и не покрытых принципалом</t>
  </si>
  <si>
    <t xml:space="preserve">Сумма всех предоставленных коммерческими банками гарантий </t>
  </si>
  <si>
    <t>РАЗНАЯ ИНФОРМАЦИЯ</t>
  </si>
  <si>
    <r>
      <t xml:space="preserve">Таблица-21                      </t>
    </r>
    <r>
      <rPr>
        <b/>
        <sz val="12"/>
        <rFont val="Arial Cyr"/>
      </rPr>
      <t>(Форма-9006ME)</t>
    </r>
  </si>
  <si>
    <t>1.  Назначал ли банк новых администраторов (начальников, директоров, членов</t>
  </si>
  <si>
    <t xml:space="preserve">     аудиторского комитета) в течение месяца?</t>
  </si>
  <si>
    <t>2.  Покупали ли физические или юридические лица или группы физических</t>
  </si>
  <si>
    <t xml:space="preserve">     или юридических лиц новые или дополнительные акции, тем самым </t>
  </si>
  <si>
    <t xml:space="preserve">     повлияв на долю владения собственностью учреждения на 5% и более?</t>
  </si>
  <si>
    <t xml:space="preserve">3.  Приобретал ли  банк долевое участие в каких-либо финансовых учреждениях  </t>
  </si>
  <si>
    <t xml:space="preserve">     или компаниях в течение месяца?</t>
  </si>
  <si>
    <t>4.  Занимался ли банк новой финансовой деятельностью в течение месяца?</t>
  </si>
  <si>
    <t>5.  Нарушались ли банком экономические нормативы в</t>
  </si>
  <si>
    <t xml:space="preserve">     течение месяца?</t>
  </si>
  <si>
    <t>Кол-во</t>
  </si>
  <si>
    <t>6. Численность работников банка,  включая административный, филиалы,</t>
  </si>
  <si>
    <t xml:space="preserve">       и представительства банка.</t>
  </si>
  <si>
    <t>7.  Общее количество отделений банка, включая административный, филиалы,</t>
  </si>
  <si>
    <t>Приложение №1 к Рекомендациям по заполнению отчетности коммерческих банков по банковскому надзору представляемых Центральному банку Республики Узбекистан</t>
  </si>
  <si>
    <t>БАЛАНСОВЫЙ ОТЧЕТ КОММЕРЧЕСКОГО БАНКА</t>
  </si>
  <si>
    <t>Таблица-1(Форма-0110BS)</t>
  </si>
  <si>
    <t>АКТИВЫ</t>
  </si>
  <si>
    <t>в тыс.сум</t>
  </si>
  <si>
    <t xml:space="preserve">1. Кассовая наличность и другие платежные документы </t>
  </si>
  <si>
    <t>2. К получению из ЦБРУ</t>
  </si>
  <si>
    <t>3. К получению из других банков</t>
  </si>
  <si>
    <t>4. Счета купли и продажи</t>
  </si>
  <si>
    <t xml:space="preserve">     а. Ценные бумаги</t>
  </si>
  <si>
    <t xml:space="preserve">     б. Драгоценные металлы, монеты, камни</t>
  </si>
  <si>
    <t xml:space="preserve">     в. Минус: Резерв возможных убытков по счетам купли-продажи</t>
  </si>
  <si>
    <t xml:space="preserve">     г. Счета купли-продажи, чистые</t>
  </si>
  <si>
    <t>5   а. Инвестиции</t>
  </si>
  <si>
    <t xml:space="preserve">     б. Минус: Резерв возможных убытков по инвестициям</t>
  </si>
  <si>
    <t xml:space="preserve">     в. Инвестиции, чистые</t>
  </si>
  <si>
    <t>6. Ценные бумаги купленные по соглашению c обратным выкупом</t>
  </si>
  <si>
    <t>7. Кредиты и лизинговые операции</t>
  </si>
  <si>
    <t xml:space="preserve">      а. Брутто кредиты</t>
  </si>
  <si>
    <t xml:space="preserve">      б. Лизинговые операции, Брутто</t>
  </si>
  <si>
    <t xml:space="preserve">      в. Минус: Резерв возможных убытков по кредитам и лизингу</t>
  </si>
  <si>
    <t xml:space="preserve">      г. Кредиты и лизинговые операции, чистые</t>
  </si>
  <si>
    <t>8    а. Купленные векселя</t>
  </si>
  <si>
    <t xml:space="preserve">      б. Минус: Резерв возможных убытков по купленным векселям</t>
  </si>
  <si>
    <t xml:space="preserve">      в. Купленные векселя, чистые</t>
  </si>
  <si>
    <t>9. Обязательства клиентов по финансовым инструментам</t>
  </si>
  <si>
    <t>10. Основные средства, чистые</t>
  </si>
  <si>
    <t>11. Начисленные проценты к получению</t>
  </si>
  <si>
    <t>12. Другое собственное имущество банка</t>
  </si>
  <si>
    <t xml:space="preserve">     а. Инвестиции в недвижимость</t>
  </si>
  <si>
    <t xml:space="preserve">     б. Другие активы, приобретенные при кредитных расчетах</t>
  </si>
  <si>
    <t>в. Минус:Резервы на возможные убытки по другому собственному имуществу банка</t>
  </si>
  <si>
    <t>г. Чистые, другое собственное имущество банка</t>
  </si>
  <si>
    <t>13. Другие активы</t>
  </si>
  <si>
    <t>14. Итого активов</t>
  </si>
  <si>
    <t>ОБЯЗАТЕЛЬСТВА И СОБСТВЕННЫЙ  КАПИТАЛ</t>
  </si>
  <si>
    <t>ОБЯЗАТЕЛЬСТВА</t>
  </si>
  <si>
    <t>15. Депозиты до востребования</t>
  </si>
  <si>
    <t>16.Сберегательные депозиты</t>
  </si>
  <si>
    <t xml:space="preserve">17. Срочные депозиты </t>
  </si>
  <si>
    <t>18. К оплате в ЦБРУ</t>
  </si>
  <si>
    <t>19. К оплате в другие банки</t>
  </si>
  <si>
    <t>20. Ценные бумаги проданные по соглашению с последующим выкупом</t>
  </si>
  <si>
    <t>21. Кредиты и лизинговые операции к оплате</t>
  </si>
  <si>
    <t>22. Субординированные долговые обязательства</t>
  </si>
  <si>
    <t>23. Начисленные проценты к оплате</t>
  </si>
  <si>
    <t>24. Другие обязательства</t>
  </si>
  <si>
    <t>25. Итого обязательств</t>
  </si>
  <si>
    <t>СОБСТВЕННЫЙ  КАПИТАЛ</t>
  </si>
  <si>
    <t>26. Уставный капитал</t>
  </si>
  <si>
    <t xml:space="preserve">     а. Акции - Обыкновенные</t>
  </si>
  <si>
    <t xml:space="preserve">     б.Акции - Привилегированные</t>
  </si>
  <si>
    <t>27. Добавленный капитал</t>
  </si>
  <si>
    <t>28. Резервный капитал.</t>
  </si>
  <si>
    <t xml:space="preserve">     а. Резервный фонд общего назначения </t>
  </si>
  <si>
    <t xml:space="preserve">     б. Резерв на Девальвацию</t>
  </si>
  <si>
    <t xml:space="preserve">     в. Другие резервы и фонды  </t>
  </si>
  <si>
    <t>29. Нераспределенная прибыль</t>
  </si>
  <si>
    <t>30. Итого собственного капитала</t>
  </si>
  <si>
    <t>31. Итого обязательств и собственного капитала</t>
  </si>
  <si>
    <t>Подпись Председателя правления:</t>
  </si>
  <si>
    <t>Подпись Главного Бухгалтера:</t>
  </si>
  <si>
    <t>ОТЧЕТ О ПРИБЫЛЯХ И УБЫТКАХ</t>
  </si>
  <si>
    <t>Таблица-2 (Форма-0204IS)</t>
  </si>
  <si>
    <t>Категории</t>
  </si>
  <si>
    <t>в тыс. сум</t>
  </si>
  <si>
    <t>1. ПРОЦЕНТНЫЕ ДОХОДЫ</t>
  </si>
  <si>
    <t xml:space="preserve">    a. Процентные доходы по счетам в ЦБРУ</t>
  </si>
  <si>
    <t xml:space="preserve">    б. Процентные доходы по счетам в других банках</t>
  </si>
  <si>
    <t xml:space="preserve">    в. Процентные доходы по купленным векселям</t>
  </si>
  <si>
    <t xml:space="preserve">    г. Процентные доходы по инвестициям       </t>
  </si>
  <si>
    <t xml:space="preserve">    д. Процентные доходы по счетам купли-продажи ценных бумаг</t>
  </si>
  <si>
    <t xml:space="preserve">    е. Процентные доходы по обязательствам клиентов</t>
  </si>
  <si>
    <t xml:space="preserve">    ж. Процентные доходы по обяз-вам клиентов по непогашенным акцептам этого банка </t>
  </si>
  <si>
    <t xml:space="preserve">    з. Процент, Дисконт (Скидки) и взносы по кредитным и лизинговым операциям</t>
  </si>
  <si>
    <t xml:space="preserve">    и. Процентные доходы по соглашениям о покупке ценных бумаг с обратным выкупом</t>
  </si>
  <si>
    <t xml:space="preserve">    к. Другие процентные доходы</t>
  </si>
  <si>
    <t xml:space="preserve">    л. Итого процентных доходов</t>
  </si>
  <si>
    <t>2. ПРОЦЕНТНЫЕ РАСХОДЫ</t>
  </si>
  <si>
    <t xml:space="preserve">     а. Процентные расходы по депозитам до востребования</t>
  </si>
  <si>
    <t xml:space="preserve">     б. Процентные расходы по сберегательным депозитам</t>
  </si>
  <si>
    <t xml:space="preserve">     в. Процентные расходы по срочным депозитам</t>
  </si>
  <si>
    <t xml:space="preserve">     г. Процентные расходы по счетам к оплате в ЦБРУ</t>
  </si>
  <si>
    <t xml:space="preserve">     д. Процентные расходы по счетам к оплате в другие банки</t>
  </si>
  <si>
    <t xml:space="preserve">     е. Итого процентных расходов по депозитам</t>
  </si>
  <si>
    <t xml:space="preserve">     ж. Процентные расходы по кредитам к оплате</t>
  </si>
  <si>
    <t xml:space="preserve">     з. Процентные расходы по соглашениям о продаже ц/б с последующим выкупом</t>
  </si>
  <si>
    <t xml:space="preserve">     и. Другие процентные расходы</t>
  </si>
  <si>
    <t xml:space="preserve">     к. Итого процентных расходов по займам</t>
  </si>
  <si>
    <t xml:space="preserve">     л. Итого процентных расходов</t>
  </si>
  <si>
    <t>3. ЧИСТЫЕ ПРОЦЕНТНЫЕ ДОХОДЫ ДО ОЦЕНКИ ВОЗМОЖНЫХ УБЫТКОВ ПО КРЕДИТАМ И ЛИЗИНГУ</t>
  </si>
  <si>
    <t xml:space="preserve">   а. Минус: Оценка возможных убытков по кредитам и лизингу</t>
  </si>
  <si>
    <t>б. Чистые процентные доходы после оценки возможных убытков по кредитам и лизингу</t>
  </si>
  <si>
    <t>4. БЕСПРОЦЕНТНЫЕ ДОХОДЫ</t>
  </si>
  <si>
    <t xml:space="preserve">     а. Доходы от комиссий и платы за услуги</t>
  </si>
  <si>
    <t xml:space="preserve">     б. Прибыль в иностранной валюте</t>
  </si>
  <si>
    <t xml:space="preserve">     в. Прибыль от коммерческих операций </t>
  </si>
  <si>
    <t xml:space="preserve">     г. Прибыль и дивиденды от инвестиций</t>
  </si>
  <si>
    <t xml:space="preserve">     д. Другие беспроцентные доходы</t>
  </si>
  <si>
    <t xml:space="preserve">     е. Итого беспроцентных доходов</t>
  </si>
  <si>
    <t>5. БЕСПРОЦЕНТНЫЕ РАСХОДЫ</t>
  </si>
  <si>
    <t xml:space="preserve">     а. Комиссионные расходы и расходы за услуги</t>
  </si>
  <si>
    <t xml:space="preserve">     б. Убытки в иностранной валюте</t>
  </si>
  <si>
    <t xml:space="preserve">     в. Убытки по счетам купли-продажи</t>
  </si>
  <si>
    <t xml:space="preserve">     г. Убытки от инвестиций</t>
  </si>
  <si>
    <t xml:space="preserve">     д. Другие беспроцентные расходы</t>
  </si>
  <si>
    <t xml:space="preserve">     е. Итого беспроцентных расходов</t>
  </si>
  <si>
    <t>6.  ЧИСТЫЙ ДОХОД ДО ОПЕРАЦИОННЫХ РАСХОДОВ</t>
  </si>
  <si>
    <t>7. ОПЕРАЦИОННЫЕ РАСХОДЫ</t>
  </si>
  <si>
    <t xml:space="preserve">    а. Заработная плата и другие расходы на сотрудников</t>
  </si>
  <si>
    <t xml:space="preserve">    б. Аренда и содержание</t>
  </si>
  <si>
    <t xml:space="preserve">    в. Командировочные и транспортные расходы</t>
  </si>
  <si>
    <t xml:space="preserve">    г. Административные расходы</t>
  </si>
  <si>
    <t xml:space="preserve">    д. Репрезентация и благотворительность</t>
  </si>
  <si>
    <t xml:space="preserve">    е. Расходы на износ</t>
  </si>
  <si>
    <t xml:space="preserve">    ж. Страхование, налоги и другие расходы</t>
  </si>
  <si>
    <t xml:space="preserve">    з. Итого операционных расходов</t>
  </si>
  <si>
    <t xml:space="preserve">  </t>
  </si>
  <si>
    <t>8.  ОЦЕНКА НЕКРЕДИТНЫХ УБЫТКОВ</t>
  </si>
  <si>
    <t>9. ЧИСТАЯ ПРИБЫЛЬ ДО УПЛАТЫ НАЛОГОВ И ДРУГИХ ПОПРАВОК</t>
  </si>
  <si>
    <t xml:space="preserve">      а. Оценка налога на прибыль </t>
  </si>
  <si>
    <t>10. ДОХОД ДО ВВЕДЕНИЯ ПОПРАВОК</t>
  </si>
  <si>
    <t xml:space="preserve">       а. Непредвиденные доходы или убытки, чистые</t>
  </si>
  <si>
    <t xml:space="preserve">       б. Другие поправки к прибыли, чистые</t>
  </si>
  <si>
    <t>11. ЧИСТАЯ ПРИБЫЛЬ (УБЫТКИ)</t>
  </si>
  <si>
    <t>АНАЛИЗ ПРОЦЕНТНЫХ ДОХОДОВ И РАСХОДОВ</t>
  </si>
  <si>
    <t>Таблица-3 (Форма-0206IS)</t>
  </si>
  <si>
    <t>Категория</t>
  </si>
  <si>
    <t>1 . ПРОЦЕНТНЫЕ ДОХОДЫ ПО КРЕДИТНЫМ И ЛИЗИНГОВЫМ ОПЕРАЦИЯМ</t>
  </si>
  <si>
    <t>a.  Кредиты и лизинговые операции ЦБРУ</t>
  </si>
  <si>
    <t>б.  Кредиты и лизинговые операции другим банкам</t>
  </si>
  <si>
    <t xml:space="preserve">в.  Кредиты и лизинговые операции Правительству </t>
  </si>
  <si>
    <t>г.  Кредиты и лизинговые операции физическим лицам</t>
  </si>
  <si>
    <t>д.  Кредиты и лизинговые операции государственным предприятиям</t>
  </si>
  <si>
    <t xml:space="preserve">е.  Кредиты и лизинговые операции совместным и иностранным предприятиям  </t>
  </si>
  <si>
    <t>ж.  Кредиты и лизинговые операции частным товариществам и корпорациям</t>
  </si>
  <si>
    <t xml:space="preserve">з.   Другие кредиты и лизинговые операции </t>
  </si>
  <si>
    <t>и.   ИТОГО ПРОЦЕНТНЫХ ДОХОДОВ ПО КРЕДИТНЫМ И ЛИЗИНГОВЫМ ОПЕРАЦИЯМ</t>
  </si>
  <si>
    <t>2.  ПРОЦЕНТНЫЕ ДОХОДЫ ПО КОРРЕСПОНДЕНТСКИМ СЧЕТАМ</t>
  </si>
  <si>
    <t>a.  К получению из ЦБРУ</t>
  </si>
  <si>
    <t>б.  К получению из других банков</t>
  </si>
  <si>
    <t>в.  ИТОГО ПРОЦЕНТНЫХ ДОХОДОВ ПО КОРРЕСПОНДЕНТСКИМ СЧЕТАМ</t>
  </si>
  <si>
    <t>3.  ПРОЦЕНТНЫЕ ДОХОДЫ ПО СЧЕТАМ КУПЛИ-ПРОДАЖИ Ц/Б</t>
  </si>
  <si>
    <t>a.  Государственные казначейские ценные бумаги</t>
  </si>
  <si>
    <t>б.  Облигации и ценные бумаги ЦБРУ</t>
  </si>
  <si>
    <t>в.  Ценные бумаги государственных корпораций</t>
  </si>
  <si>
    <t>г.   Еврооблигации</t>
  </si>
  <si>
    <t>д.  Частные ценные бумаги</t>
  </si>
  <si>
    <t>е.  Другие ценные бумаги</t>
  </si>
  <si>
    <t>ж. ИТОГО ПРОЦЕНТНЫХ ДОХОДОВ ПО СЧЕТАМ КУПЛИ-ПРОДАЖИ Ц/Б</t>
  </si>
  <si>
    <t>4.  ПРОЦЕНТНЫЕ ДОХОДЫ ПО ИНВЕСТИЦИЯМ</t>
  </si>
  <si>
    <t>а.  Государственные облигации</t>
  </si>
  <si>
    <t>в.  Частные  облигации</t>
  </si>
  <si>
    <t>г.  Еврооблигации</t>
  </si>
  <si>
    <t>д. Другие ценные бумаги</t>
  </si>
  <si>
    <t>е.  ИТОГО ПРОЦЕНТНЫХ ДОХОДОВ ПО ИНВЕСТИЦИЯМ</t>
  </si>
  <si>
    <t>5.  ДРУГИЕ ПРОЦЕНТНЫЕ ДОХОДЫ</t>
  </si>
  <si>
    <t>а. Процентные доходы по соглашениям о покупке ц/б c обратным выкупом</t>
  </si>
  <si>
    <t>б. Другие процентные доходы</t>
  </si>
  <si>
    <t>6.  ИТОГО ПРОЦЕНТНЫХ ДОХОДОВ</t>
  </si>
  <si>
    <t>7. ПРОЦЕНТНЫЕ РАСХОДЫ ПО ДЕПОЗИТАМ</t>
  </si>
  <si>
    <t xml:space="preserve">    A.  Депозиты до востребования</t>
  </si>
  <si>
    <t xml:space="preserve">      а. Правительство</t>
  </si>
  <si>
    <t xml:space="preserve">      б. Физические лица</t>
  </si>
  <si>
    <t xml:space="preserve">      в. Государственные предприятия</t>
  </si>
  <si>
    <t xml:space="preserve">      г. Совместные и иностранные предприятия</t>
  </si>
  <si>
    <t xml:space="preserve">      д. Частные товарищества и корпорации </t>
  </si>
  <si>
    <t xml:space="preserve">      е. Другие депозиты</t>
  </si>
  <si>
    <t xml:space="preserve">      ж. Итого процентных расходов по депозитам до востребования</t>
  </si>
  <si>
    <t xml:space="preserve">    Б. Сберегательные депозиты</t>
  </si>
  <si>
    <t xml:space="preserve">      ж. Итого процентных расходов по сберегательным депозитам</t>
  </si>
  <si>
    <t xml:space="preserve">    В. Срочные депозиты</t>
  </si>
  <si>
    <t xml:space="preserve">      ж. Итого процентных расходов по срочным депозитам</t>
  </si>
  <si>
    <t xml:space="preserve">   Г. ИТОГО ПРОЦЕНТНЫХ РАСХОДОВ ПО ДЕПОЗИТАМ</t>
  </si>
  <si>
    <t>8. ПРОЦЕНТНЫЕ РАСХОДЫ ПО ДРУГИМ ОБЯЗАТЕЛЬСТВАМ</t>
  </si>
  <si>
    <t xml:space="preserve">   а. Процентные расходы по непогашенным акцептам</t>
  </si>
  <si>
    <t xml:space="preserve">   б. Процентные расходы по кредитам к оплате</t>
  </si>
  <si>
    <t xml:space="preserve">Основной </t>
  </si>
  <si>
    <t xml:space="preserve">Дополнительный 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</si>
  <si>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</si>
  <si>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</si>
  <si>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</si>
  <si>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</si>
  <si>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</si>
  <si>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Неудовлетворительные</t>
  </si>
  <si>
    <t>Специальные резервы (100%)</t>
  </si>
  <si>
    <t>Другие инструменты капитала, в том числе обязательства смешанного типа (не более 1/3 части капитала 1 уровня после вычетов)</t>
  </si>
  <si>
    <t>Операционный риск</t>
  </si>
  <si>
    <t>Рыночный риск</t>
  </si>
  <si>
    <t>VI</t>
  </si>
  <si>
    <t>VII</t>
  </si>
  <si>
    <t>КАПИТАЛ УРОВНЯ 1 (до вычетов)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</si>
  <si>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</si>
  <si>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</si>
  <si>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требования к банкам стран с низким уровнем риска</t>
  </si>
  <si>
    <t>требования к другим банкам</t>
  </si>
  <si>
    <t>Недвижимое имущество банка, которым банк не пользуется более двух лет</t>
  </si>
  <si>
    <t>Реструктуризированные кредиты и кредиты в статусе "ненаращивания"</t>
  </si>
  <si>
    <t>Кредиты, по которым банк не имеет приоритетного права на залог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</si>
  <si>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</si>
  <si>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</si>
  <si>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 xml:space="preserve">Корр. счета, кредиты и другие требования к банкам и депозитарным институтам </t>
  </si>
  <si>
    <t>прямые требования к Правительству и Центральному банку Республики Узбекистан</t>
  </si>
  <si>
    <t>Требования банка к международным кредитным организациям, а также активы, гарантированные  этими организациями</t>
  </si>
  <si>
    <t>Основные средств и другое собственное имущество банка</t>
  </si>
  <si>
    <t>Просроченные кредиты и лизинги, чистые</t>
  </si>
  <si>
    <t>а)</t>
  </si>
  <si>
    <t>б)</t>
  </si>
  <si>
    <t>Другие</t>
  </si>
  <si>
    <t>8.1</t>
  </si>
  <si>
    <t>8.2</t>
  </si>
  <si>
    <t>3.3</t>
  </si>
  <si>
    <t>К получению из других банков по расчетам пластиковых карт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</si>
  <si>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</si>
  <si>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13.1</t>
  </si>
  <si>
    <t>Условные обязательства</t>
  </si>
  <si>
    <t>13,2</t>
  </si>
  <si>
    <t>Наименование показателя</t>
  </si>
  <si>
    <t xml:space="preserve">процентные доходы </t>
  </si>
  <si>
    <t>б.</t>
  </si>
  <si>
    <t xml:space="preserve">процентные расходы </t>
  </si>
  <si>
    <t>в.</t>
  </si>
  <si>
    <t>другие доходы</t>
  </si>
  <si>
    <t>Таблица-5А (Форма-3006CAR)</t>
  </si>
  <si>
    <t xml:space="preserve"> РАСЧЕТ ПО ОПЕРАЦИОННЫМ И РЫНОЧНЫМ РИСКАМ</t>
  </si>
  <si>
    <t>4. Ценные бумаги, выпущенные Правительством Республики Узбекистан и ЦБРУ  (векселя, облигации и другие долговые ценные бумаги)</t>
  </si>
  <si>
    <t>5. Ценные бумаги, выпущенные странами с низким уровня риска</t>
  </si>
  <si>
    <t>6. Другие легко реализуемые ценные бумаги</t>
  </si>
  <si>
    <t>7. Итого ликвидных активов</t>
  </si>
  <si>
    <t>Другие ценные бумаги купленные по соглашению с обратным выкупом (РЕПО)</t>
  </si>
  <si>
    <t>отток</t>
  </si>
  <si>
    <t>Активы с риском 0%</t>
  </si>
  <si>
    <t>Правительственные ценные бумаги купленные по соглашению с обратным выкупом (РЕПО)</t>
  </si>
  <si>
    <t xml:space="preserve">Высоко-ликвидные активы </t>
  </si>
  <si>
    <t>Открытая валютная позиция, всего</t>
  </si>
  <si>
    <t>Активы для расчета левеража</t>
  </si>
  <si>
    <t>Специальные резервы (мин 10%)</t>
  </si>
  <si>
    <t>Специальные резервы        (мин 25%)</t>
  </si>
  <si>
    <t>Специальные резервы       (мин 50%)</t>
  </si>
  <si>
    <t>Счета валютной позиции (счет 17101 (сумавая часть))</t>
  </si>
  <si>
    <t>8. Плюс: Кредиты и лизинги со сроком погашения 30 дней или менее</t>
  </si>
  <si>
    <t>10. Текущие Активы</t>
  </si>
  <si>
    <t>Часть 4.</t>
  </si>
  <si>
    <t>1. Коэффициент покрытия ликвидности</t>
  </si>
  <si>
    <t>2. Норма чистого стабильного финансирования</t>
  </si>
  <si>
    <t>3. Доступная сумма стабильного финансирования</t>
  </si>
  <si>
    <t>9. Минус: Просроченные, неблагоприятно классифицированные, неначисляемые, пролонгированные, или реструктуризированные кредиты и лизинги, включенные в строку 8.</t>
  </si>
  <si>
    <t>1. Расчет коэффициента текущей ликвидности (Н4)</t>
  </si>
  <si>
    <t>4.2</t>
  </si>
  <si>
    <t>4.3</t>
  </si>
  <si>
    <t>Другие статьи</t>
  </si>
  <si>
    <t>б) Обязательства свыше 1 года</t>
  </si>
  <si>
    <r>
      <rPr>
        <b/>
        <sz val="10"/>
        <rFont val="Arial Cyr"/>
        <charset val="204"/>
      </rPr>
      <t xml:space="preserve">а) </t>
    </r>
    <r>
      <rPr>
        <sz val="10"/>
        <rFont val="Arial Cyr"/>
        <family val="2"/>
        <charset val="204"/>
      </rPr>
      <t>Регулятивный капитал</t>
    </r>
  </si>
  <si>
    <r>
      <rPr>
        <b/>
        <sz val="10"/>
        <rFont val="Arial Cyr"/>
        <charset val="204"/>
      </rPr>
      <t>в)</t>
    </r>
    <r>
      <rPr>
        <sz val="10"/>
        <rFont val="Arial Cyr"/>
        <family val="2"/>
        <charset val="204"/>
      </rPr>
      <t xml:space="preserve"> 30% других бессрочных обязательств</t>
    </r>
  </si>
  <si>
    <r>
      <rPr>
        <b/>
        <sz val="10"/>
        <rFont val="Arial Cyr"/>
        <charset val="204"/>
      </rPr>
      <t>г)</t>
    </r>
    <r>
      <rPr>
        <sz val="10"/>
        <rFont val="Arial Cyr"/>
        <family val="2"/>
        <charset val="204"/>
      </rPr>
      <t xml:space="preserve"> 30% других обязательств менее 1 года</t>
    </r>
  </si>
  <si>
    <t>4. Необходимая сумма стабильного финансирования</t>
  </si>
  <si>
    <t xml:space="preserve">Ликвидные активы </t>
  </si>
  <si>
    <t>Сумма чистого расхода за 30 дней</t>
  </si>
  <si>
    <t>Коэффициент</t>
  </si>
  <si>
    <t>Вклады населения до востребования (не гарантированные)</t>
  </si>
  <si>
    <t>в)</t>
  </si>
  <si>
    <t>г)</t>
  </si>
  <si>
    <t>д)</t>
  </si>
  <si>
    <t xml:space="preserve">Другие депозиты до востребования </t>
  </si>
  <si>
    <t>Другие депозиты до востребования (под залогом по выданным кредитам)</t>
  </si>
  <si>
    <t>(К=З*И)</t>
  </si>
  <si>
    <t>Сумма расхода за 30 дней</t>
  </si>
  <si>
    <t>е)</t>
  </si>
  <si>
    <t>ж)</t>
  </si>
  <si>
    <t>Средний валовый доход банка
(за последние три года)</t>
  </si>
  <si>
    <t xml:space="preserve">Сумма операционных рисков </t>
  </si>
  <si>
    <t xml:space="preserve">Сумма рыночных рисков </t>
  </si>
  <si>
    <t>Действуюший минимальное требование к достаточности капитала</t>
  </si>
  <si>
    <t>2015</t>
  </si>
  <si>
    <t>2018</t>
  </si>
  <si>
    <t>2016</t>
  </si>
  <si>
    <t>2017</t>
  </si>
  <si>
    <t>2019</t>
  </si>
  <si>
    <t>Итого капитал уровня 1 до вычетов</t>
  </si>
  <si>
    <t>Итого вычетов из суммы капитала Уровня 1</t>
  </si>
  <si>
    <t>Итого капитала Уровня II</t>
  </si>
  <si>
    <t xml:space="preserve">Пересмотренные или пролонгированные кредиты и лизинги более одного раза </t>
  </si>
  <si>
    <t>СКОРРЕКТИРОВАННЫЙ КАПИТАЛ УРОВНЯ II</t>
  </si>
  <si>
    <t>IX</t>
  </si>
  <si>
    <t>X</t>
  </si>
  <si>
    <t>XI</t>
  </si>
  <si>
    <t>КОЭФФИЦИЕНТ КАПИТАЛА УРОВНЯ I (III/VII)</t>
  </si>
  <si>
    <t>КОЭФФИЦИЕНТ ОБЩЕЙ СУММЫ КАПИТАЛА, ОСНОВАННОГО НА РИСКЕ (VI/VII)</t>
  </si>
  <si>
    <t xml:space="preserve">Сумма активов </t>
  </si>
  <si>
    <t>К получению из ЦБРУ (сумма созданных резервов на покрытие возможных убытков по активам банка (ДОР))</t>
  </si>
  <si>
    <t>К получению из ЦБРУ не учитывая сумму "Резервов на покрытие возможных убытков" (без ДОР)</t>
  </si>
  <si>
    <t xml:space="preserve">Средства на банковских пластиковых карточках </t>
  </si>
  <si>
    <t>22.</t>
  </si>
  <si>
    <t>23.</t>
  </si>
  <si>
    <t xml:space="preserve">Кредиты и другие активы или их части, обеспеченные наличными деньгами, хранящимися на отдельном блокированном депозитном счете. </t>
  </si>
  <si>
    <t>Достаточность капитала - К1</t>
  </si>
  <si>
    <t>Доля основного капитала I уровня к регулятивному капиталу</t>
  </si>
  <si>
    <t>Коэффициент достаточности капитала I уровня K2</t>
  </si>
  <si>
    <t>Коэффициент нормы покрытия ликвидности</t>
  </si>
  <si>
    <t xml:space="preserve">Норма чистого стабильного финансирования  (НЧСФ) </t>
  </si>
  <si>
    <t>4.4</t>
  </si>
  <si>
    <t>Ценные бумаги ведущих транснациональных компаний с низким уровнем странового риска</t>
  </si>
  <si>
    <t>Правительственные ценные бумаги стран с низкой степенью странового риска</t>
  </si>
  <si>
    <t>О=Ж+И+Л+Н</t>
  </si>
  <si>
    <t>Совокупная сумма специальных резервов</t>
  </si>
  <si>
    <t xml:space="preserve">Общие активы </t>
  </si>
  <si>
    <t>забалансовые инструменты</t>
  </si>
  <si>
    <t>деривативные (производные) инструменты</t>
  </si>
  <si>
    <t>Минус: Нематериальные активы</t>
  </si>
  <si>
    <t>Коэффициент левеража</t>
  </si>
  <si>
    <t>Активы, обеспеченные ценными бумагами выпущенными банками зарегистрированными в странах с низким уровнем риска</t>
  </si>
  <si>
    <t xml:space="preserve">Активы или их части, обеспеченные залогом в виде ценных бумаг, оцененных по текущей рыночной стоимости и эмитированных международными финансовыми институтами </t>
  </si>
  <si>
    <t>Недвижимое имущество принятое на баланс банка в целях полного или частичного погащения задолженности</t>
  </si>
  <si>
    <t>Активы + забалансовые инструменты+ деривативные (производные) инструменты - Нематериальные активы</t>
  </si>
  <si>
    <t>Коэффициент покрытия ликвидности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</si>
  <si>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</si>
  <si>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</si>
  <si>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</si>
  <si>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</si>
  <si>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</si>
  <si>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 xml:space="preserve">К получению со счетов в банках стран с низким уровнем риска (ностро, депозиты), но размещенные не в качестве обеспечения </t>
  </si>
  <si>
    <t>Прибыль за текущий год (при подтверждении аудиторами - 100%, в противном случае 50% от суммы)</t>
  </si>
  <si>
    <t>Все требования банка, деноминированные в местную валюту стран не входящих в группу стран с низким уровнем риска, к Центральным банкам и центральным правительствам этих стран</t>
  </si>
  <si>
    <t>Активы или их части, обеспеченные ценными бумагами, которые оцененные по текущей рыночной стоимости и выпущенными или гарантированными Правительством Республики Узбекистан, Центральным банком Республики Узбекистан или Правительствами стран с низким уровнем риска.</t>
  </si>
  <si>
    <t>Кредиты на недвижимость обеспеченные приобретаемым или строящимся домом (квартирой)</t>
  </si>
  <si>
    <t>все другие кредиты (кроме лизинга)</t>
  </si>
  <si>
    <t>Гарантированные Правительством Республики Узбекистан в иностранной валюте (экв.сум)</t>
  </si>
  <si>
    <r>
      <t>(Ж</t>
    </r>
    <r>
      <rPr>
        <sz val="8"/>
        <rFont val="Arial Cyr"/>
        <charset val="204"/>
      </rPr>
      <t>1</t>
    </r>
    <r>
      <rPr>
        <sz val="10"/>
        <rFont val="Arial Cyr"/>
        <family val="2"/>
        <charset val="204"/>
      </rPr>
      <t>)</t>
    </r>
  </si>
  <si>
    <t>2.2</t>
  </si>
  <si>
    <t>2.3</t>
  </si>
  <si>
    <r>
      <t xml:space="preserve">Вклады населения до востребования 
</t>
    </r>
    <r>
      <rPr>
        <i/>
        <sz val="10"/>
        <rFont val="Arial Cyr"/>
        <family val="2"/>
        <charset val="204"/>
      </rPr>
      <t>(гарантированные)</t>
    </r>
  </si>
  <si>
    <t>Таблица-18 (Форма-0026AAL)</t>
  </si>
  <si>
    <r>
      <t xml:space="preserve">Вклады населения до востребования 
</t>
    </r>
    <r>
      <rPr>
        <i/>
        <sz val="10"/>
        <rFont val="Arial Cyr"/>
        <family val="2"/>
        <charset val="204"/>
      </rPr>
      <t>(под залогом по выданным кредитам)</t>
    </r>
  </si>
  <si>
    <t>Чистый расход за 30 дней</t>
  </si>
  <si>
    <t>а) Высоколиквидные активы</t>
  </si>
  <si>
    <t>б) Чистый отток в последующие 30 дней</t>
  </si>
  <si>
    <t>Продажа на условиях Своп и Форвард (счет 92709, 92732)</t>
  </si>
  <si>
    <t>Покупка на условиях Своп и Форвард (счет 92716, 92736)</t>
  </si>
  <si>
    <t>Ценные бумаги, выпущенные правительствами и центральными банками стран, с низким уровня риска, а также другие требования к центральным банкам и правительствам этих стран</t>
  </si>
  <si>
    <t>Общие резервы (1%)</t>
  </si>
  <si>
    <t>Таблица-19                                                       (Форма-0126BS)</t>
  </si>
  <si>
    <r>
      <rPr>
        <b/>
        <sz val="10"/>
        <rFont val="Arial Cyr"/>
        <charset val="204"/>
      </rPr>
      <t>б)</t>
    </r>
    <r>
      <rPr>
        <sz val="10"/>
        <rFont val="Arial Cyr"/>
        <family val="2"/>
        <charset val="204"/>
      </rPr>
      <t xml:space="preserve"> Банковские помещения, мебель и оборудование, чистые</t>
    </r>
  </si>
  <si>
    <r>
      <rPr>
        <b/>
        <sz val="10"/>
        <rFont val="Arial Cyr"/>
        <charset val="204"/>
      </rPr>
      <t>в)</t>
    </r>
    <r>
      <rPr>
        <sz val="10"/>
        <rFont val="Arial Cyr"/>
        <family val="2"/>
        <charset val="204"/>
      </rPr>
      <t xml:space="preserve"> Кредиты и лизинги и авансы в процессе судебного разбирательства, чистые или не взысканные в установленном порядке</t>
    </r>
  </si>
  <si>
    <t xml:space="preserve">     а.1. Из них, резервы созданные по стандартным активам</t>
  </si>
  <si>
    <r>
      <rPr>
        <b/>
        <sz val="10"/>
        <rFont val="Arial Cyr"/>
        <charset val="204"/>
      </rPr>
      <t>д)</t>
    </r>
    <r>
      <rPr>
        <sz val="10"/>
        <rFont val="Arial Cyr"/>
        <family val="2"/>
        <charset val="204"/>
      </rPr>
      <t xml:space="preserve"> 30% других активов менее 1 го года (за исключением бессрочных и со сроком менее 1 го года ликвидных активов)</t>
    </r>
  </si>
  <si>
    <r>
      <rPr>
        <b/>
        <sz val="10"/>
        <rFont val="Arial Cyr"/>
        <charset val="204"/>
      </rPr>
      <t>е)</t>
    </r>
    <r>
      <rPr>
        <sz val="10"/>
        <rFont val="Arial Cyr"/>
        <family val="2"/>
        <charset val="204"/>
      </rPr>
      <t xml:space="preserve"> 15% из забалансовых обязательств</t>
    </r>
  </si>
  <si>
    <r>
      <rPr>
        <b/>
        <sz val="10"/>
        <rFont val="Arial Cyr"/>
        <charset val="204"/>
      </rPr>
      <t>г)</t>
    </r>
    <r>
      <rPr>
        <sz val="10"/>
        <rFont val="Arial Cyr"/>
        <charset val="204"/>
      </rPr>
      <t xml:space="preserve"> Активы в процессе судебного разбирательства или не взысканные в установленном порядке(не указанные в строке "в)")</t>
    </r>
  </si>
  <si>
    <r>
      <rPr>
        <b/>
        <sz val="10"/>
        <rFont val="Arial Cyr"/>
        <charset val="204"/>
      </rPr>
      <t>а)</t>
    </r>
    <r>
      <rPr>
        <sz val="10"/>
        <rFont val="Arial Cyr"/>
        <charset val="204"/>
      </rPr>
      <t xml:space="preserve"> Активы свыше 1 года</t>
    </r>
  </si>
  <si>
    <t>Таблица-7                                             (Форма-0208IS)</t>
  </si>
  <si>
    <t>АКБ "Микрокредитбанк"</t>
  </si>
  <si>
    <t xml:space="preserve">60011-Кредиты, выданные населению на приобретение квартиры в многоквартирных домах </t>
  </si>
  <si>
    <t xml:space="preserve">22-Недвижимость (ипотека) </t>
  </si>
  <si>
    <t xml:space="preserve">1-Хороший </t>
  </si>
  <si>
    <t>собственный</t>
  </si>
  <si>
    <t>Хасанов М.</t>
  </si>
  <si>
    <t>Раджаметов М.</t>
  </si>
  <si>
    <t>Пулатова М.</t>
  </si>
  <si>
    <t>Якубова Н.</t>
  </si>
  <si>
    <t>Саксонов А.</t>
  </si>
  <si>
    <t>ISMATULLOYEV AKRAM AKMALOVICH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</si>
</sst>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_-* #,##0&quot;р.&quot;_-;\-* #,##0&quot;р.&quot;_-;_-* &quot;-&quot;&quot;р.&quot;_-;_-@_-"/>
    <numFmt numFmtId="165" formatCode="_-* #,##0_р_._-;\-* #,##0_р_._-;_-* &quot;-&quot;_р_._-;_-@_-"/>
    <numFmt numFmtId="166" formatCode="_-* #,##0.00_р_._-;\-* #,##0.00_р_._-;_-* &quot;-&quot;??_р_._-;_-@_-"/>
    <numFmt numFmtId="167" formatCode="\-############"/>
    <numFmt numFmtId="168" formatCode="\-##########"/>
    <numFmt numFmtId="169" formatCode="0.000"/>
    <numFmt numFmtId="170" formatCode="_-* #,##0_р_._-;\-* #,##0_р_._-;_-* &quot;-&quot;??_р_._-;_-@_-"/>
    <numFmt numFmtId="171" formatCode="0.0%"/>
    <numFmt numFmtId="172" formatCode="dd/mm/yy;@"/>
    <numFmt numFmtId="173" formatCode="#,##0.000"/>
    <numFmt numFmtId="174" formatCode="0.0"/>
    <numFmt numFmtId="175" formatCode="[$-F800]dddd\,\ mmmm\ dd\,\ yyyy"/>
    <numFmt numFmtId="176" formatCode="###\ ###\ ###\ ###\ ###\ ##0"/>
  </numFmts>
  <fonts count="63"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b/>
      <sz val="12"/>
      <name val="Arial Cyr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sz val="10"/>
      <color indexed="9"/>
      <name val="Arial Cyr"/>
      <family val="2"/>
      <charset val="204"/>
    </font>
    <font>
      <b/>
      <sz val="11"/>
      <name val="Arial Cyr"/>
      <charset val="204"/>
    </font>
    <font>
      <b/>
      <sz val="14"/>
      <name val="Arial Cyr"/>
      <family val="2"/>
      <charset val="204"/>
    </font>
    <font>
      <i/>
      <sz val="10"/>
      <name val="Arial Cyr"/>
      <family val="2"/>
      <charset val="204"/>
    </font>
    <font>
      <b/>
      <sz val="8"/>
      <name val="Arial Cyr"/>
      <family val="2"/>
      <charset val="204"/>
    </font>
    <font>
      <sz val="8"/>
      <name val="Arial Cyr"/>
      <family val="2"/>
      <charset val="204"/>
    </font>
    <font>
      <sz val="10"/>
      <color indexed="22"/>
      <name val="Arial Cyr"/>
      <family val="2"/>
      <charset val="204"/>
    </font>
    <font>
      <b/>
      <sz val="13"/>
      <name val="Arial Cyr"/>
      <family val="2"/>
      <charset val="204"/>
    </font>
    <font>
      <b/>
      <sz val="12"/>
      <name val="Arial Cyr"/>
      <charset val="204"/>
    </font>
    <font>
      <sz val="10"/>
      <color indexed="55"/>
      <name val="Arial Cyr"/>
      <family val="2"/>
      <charset val="204"/>
    </font>
    <font>
      <b/>
      <sz val="11"/>
      <name val="Arial Cyr"/>
      <family val="2"/>
      <charset val="204"/>
    </font>
    <font>
      <sz val="11"/>
      <name val="Arial Cyr"/>
      <family val="2"/>
      <charset val="204"/>
    </font>
    <font>
      <sz val="11"/>
      <color indexed="55"/>
      <name val="Arial Cyr"/>
      <family val="2"/>
      <charset val="204"/>
    </font>
    <font>
      <b/>
      <sz val="12"/>
      <name val="Times New Roman"/>
      <family val="1"/>
      <charset val="204"/>
    </font>
    <font>
      <b/>
      <sz val="12"/>
      <name val="Times New Roman"/>
      <family val="1"/>
    </font>
    <font>
      <sz val="9"/>
      <name val="Arial Cyr"/>
      <family val="2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charset val="204"/>
    </font>
    <font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Arial Cyr"/>
    </font>
    <font>
      <b/>
      <sz val="11"/>
      <name val="Times New Roman"/>
      <family val="1"/>
      <charset val="204"/>
    </font>
    <font>
      <sz val="11"/>
      <name val="Virtec Times New Roman Uz"/>
    </font>
    <font>
      <b/>
      <sz val="12"/>
      <name val="Times New Roman Cyr"/>
      <charset val="204"/>
    </font>
    <font>
      <sz val="12"/>
      <name val="Times New Roman Cyr"/>
      <charset val="204"/>
    </font>
    <font>
      <sz val="10"/>
      <color indexed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theme="0" tint="-0.34998626667073579"/>
      <name val="Arial Cyr"/>
      <family val="2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b/>
      <sz val="11"/>
      <color theme="0"/>
      <name val="Times New Roman Cyr"/>
      <charset val="204"/>
    </font>
    <font>
      <b/>
      <sz val="10"/>
      <color rgb="FFFF0000"/>
      <name val="Times New Roman Cyr"/>
      <charset val="204"/>
    </font>
    <font>
      <sz val="10"/>
      <color theme="0"/>
      <name val="Arial Cyr"/>
      <family val="2"/>
      <charset val="204"/>
    </font>
    <font>
      <b/>
      <sz val="10"/>
      <color theme="0"/>
      <name val="Arial Cyr"/>
      <family val="2"/>
      <charset val="204"/>
    </font>
    <font>
      <sz val="10"/>
      <color theme="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0" tint="-0.34998626667073579"/>
      <name val="Times New Roman"/>
      <family val="1"/>
      <charset val="204"/>
    </font>
    <font>
      <sz val="12"/>
      <color theme="0" tint="-0.34998626667073579"/>
      <name val="Times New Roman"/>
      <family val="1"/>
      <charset val="204"/>
    </font>
    <font>
      <sz val="11"/>
      <color theme="0" tint="-0.34998626667073579"/>
      <name val="Virtec Times New Roman Uz"/>
    </font>
    <font>
      <b/>
      <sz val="10"/>
      <color theme="0" tint="-0.34998626667073579"/>
      <name val="Arial Cyr"/>
    </font>
    <font>
      <b/>
      <sz val="10"/>
      <color theme="1"/>
      <name val="Times New Roman"/>
      <family val="1"/>
      <charset val="204"/>
    </font>
    <font>
      <b/>
      <u/>
      <sz val="10"/>
      <color theme="1"/>
      <name val="Times New Roman"/>
      <family val="1"/>
      <charset val="204"/>
    </font>
    <font>
      <b/>
      <sz val="11"/>
      <color theme="0" tint="-0.34998626667073579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0"/>
      <name val="Arial Cyr"/>
      <family val="2"/>
      <charset val="204"/>
    </font>
    <font>
      <sz val="10"/>
      <color theme="1"/>
      <name val="Arial Cyr"/>
    </font>
  </fonts>
  <fills count="1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gray125">
        <b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164" fontId="2" fillId="0" borderId="0" applyFont="0" applyFill="0" applyBorder="0" applyAlignment="0" applyProtection="0"/>
    <xf numFmtId="0" fontId="42" fillId="0" borderId="0"/>
    <xf numFmtId="0" fontId="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11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center"/>
    </xf>
    <xf numFmtId="0" fontId="6" fillId="0" borderId="0" xfId="0" applyFont="1" applyBorder="1" applyAlignment="1" applyProtection="1">
      <alignment horizontal="center"/>
      <protection locked="0"/>
    </xf>
    <xf numFmtId="0" fontId="3" fillId="0" borderId="0" xfId="0" applyFont="1" applyBorder="1"/>
    <xf numFmtId="0" fontId="3" fillId="0" borderId="0" xfId="0" applyFont="1" applyProtection="1">
      <protection hidden="1"/>
    </xf>
    <xf numFmtId="15" fontId="6" fillId="0" borderId="0" xfId="0" applyNumberFormat="1" applyFont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3" fillId="0" borderId="0" xfId="0" applyFont="1" applyBorder="1" applyProtection="1">
      <protection hidden="1"/>
    </xf>
    <xf numFmtId="0" fontId="6" fillId="0" borderId="2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/>
    <xf numFmtId="0" fontId="3" fillId="0" borderId="2" xfId="0" applyFont="1" applyBorder="1"/>
    <xf numFmtId="0" fontId="2" fillId="0" borderId="0" xfId="0" applyFont="1"/>
    <xf numFmtId="0" fontId="3" fillId="0" borderId="2" xfId="0" applyFont="1" applyBorder="1" applyAlignment="1">
      <alignment wrapText="1"/>
    </xf>
    <xf numFmtId="3" fontId="7" fillId="0" borderId="3" xfId="0" applyNumberFormat="1" applyFont="1" applyBorder="1" applyProtection="1">
      <protection locked="0"/>
    </xf>
    <xf numFmtId="0" fontId="3" fillId="0" borderId="2" xfId="0" applyFont="1" applyBorder="1" applyAlignment="1">
      <alignment horizontal="left" wrapText="1" indent="2"/>
    </xf>
    <xf numFmtId="0" fontId="6" fillId="0" borderId="2" xfId="0" applyFont="1" applyBorder="1"/>
    <xf numFmtId="0" fontId="3" fillId="0" borderId="2" xfId="1" applyNumberFormat="1" applyFont="1" applyBorder="1"/>
    <xf numFmtId="0" fontId="3" fillId="0" borderId="1" xfId="0" applyFont="1" applyBorder="1"/>
    <xf numFmtId="0" fontId="6" fillId="0" borderId="4" xfId="0" applyFont="1" applyBorder="1"/>
    <xf numFmtId="0" fontId="6" fillId="0" borderId="0" xfId="0" applyFont="1" applyBorder="1"/>
    <xf numFmtId="0" fontId="3" fillId="0" borderId="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3" fillId="2" borderId="1" xfId="0" applyFont="1" applyFill="1" applyBorder="1"/>
    <xf numFmtId="0" fontId="3" fillId="0" borderId="1" xfId="0" applyFont="1" applyBorder="1" applyAlignment="1">
      <alignment wrapText="1"/>
    </xf>
    <xf numFmtId="0" fontId="3" fillId="0" borderId="2" xfId="0" quotePrefix="1" applyFont="1" applyBorder="1" applyAlignment="1">
      <alignment horizontal="left" wrapText="1"/>
    </xf>
    <xf numFmtId="0" fontId="3" fillId="0" borderId="2" xfId="0" quotePrefix="1" applyFont="1" applyBorder="1" applyAlignment="1">
      <alignment horizontal="left"/>
    </xf>
    <xf numFmtId="0" fontId="6" fillId="0" borderId="2" xfId="0" quotePrefix="1" applyFont="1" applyBorder="1" applyAlignment="1">
      <alignment horizontal="left"/>
    </xf>
    <xf numFmtId="3" fontId="3" fillId="0" borderId="3" xfId="0" applyNumberFormat="1" applyFont="1" applyBorder="1"/>
    <xf numFmtId="3" fontId="3" fillId="3" borderId="3" xfId="0" applyNumberFormat="1" applyFont="1" applyFill="1" applyBorder="1"/>
    <xf numFmtId="3" fontId="3" fillId="2" borderId="3" xfId="0" applyNumberFormat="1" applyFont="1" applyFill="1" applyBorder="1"/>
    <xf numFmtId="3" fontId="3" fillId="0" borderId="3" xfId="0" applyNumberFormat="1" applyFont="1" applyFill="1" applyBorder="1"/>
    <xf numFmtId="0" fontId="3" fillId="0" borderId="2" xfId="0" quotePrefix="1" applyFont="1" applyBorder="1" applyAlignment="1">
      <alignment horizontal="left" vertical="top"/>
    </xf>
    <xf numFmtId="0" fontId="3" fillId="0" borderId="2" xfId="0" quotePrefix="1" applyFont="1" applyBorder="1" applyAlignment="1">
      <alignment horizontal="left" indent="1"/>
    </xf>
    <xf numFmtId="0" fontId="6" fillId="0" borderId="2" xfId="0" applyFont="1" applyBorder="1" applyAlignment="1">
      <alignment horizontal="left" wrapText="1" indent="2"/>
    </xf>
    <xf numFmtId="0" fontId="3" fillId="0" borderId="2" xfId="0" applyFont="1" applyBorder="1" applyAlignment="1">
      <alignment horizontal="left"/>
    </xf>
    <xf numFmtId="0" fontId="3" fillId="0" borderId="0" xfId="0" quotePrefix="1" applyFont="1" applyBorder="1" applyAlignment="1" applyProtection="1">
      <alignment horizontal="left"/>
      <protection hidden="1"/>
    </xf>
    <xf numFmtId="3" fontId="3" fillId="0" borderId="1" xfId="0" applyNumberFormat="1" applyFont="1" applyBorder="1"/>
    <xf numFmtId="0" fontId="4" fillId="0" borderId="0" xfId="0" applyFont="1" applyBorder="1" applyAlignment="1">
      <alignment horizontal="centerContinuous"/>
    </xf>
    <xf numFmtId="0" fontId="3" fillId="0" borderId="0" xfId="0" applyFont="1" applyFill="1" applyBorder="1" applyAlignment="1"/>
    <xf numFmtId="3" fontId="3" fillId="0" borderId="0" xfId="0" applyNumberFormat="1" applyFont="1" applyBorder="1" applyAlignment="1" applyProtection="1">
      <alignment horizontal="center" vertical="center"/>
    </xf>
    <xf numFmtId="49" fontId="6" fillId="0" borderId="1" xfId="0" quotePrefix="1" applyNumberFormat="1" applyFont="1" applyBorder="1" applyAlignment="1">
      <alignment horizontal="center"/>
    </xf>
    <xf numFmtId="0" fontId="6" fillId="0" borderId="1" xfId="0" applyFont="1" applyBorder="1"/>
    <xf numFmtId="0" fontId="3" fillId="2" borderId="1" xfId="0" applyFont="1" applyFill="1" applyBorder="1" applyProtection="1"/>
    <xf numFmtId="0" fontId="3" fillId="0" borderId="1" xfId="0" applyFont="1" applyFill="1" applyBorder="1" applyAlignment="1"/>
    <xf numFmtId="0" fontId="3" fillId="0" borderId="0" xfId="0" applyFont="1" applyBorder="1" applyAlignment="1" applyProtection="1">
      <protection hidden="1"/>
    </xf>
    <xf numFmtId="3" fontId="3" fillId="0" borderId="1" xfId="0" applyNumberFormat="1" applyFont="1" applyBorder="1" applyProtection="1"/>
    <xf numFmtId="3" fontId="3" fillId="2" borderId="1" xfId="0" applyNumberFormat="1" applyFont="1" applyFill="1" applyBorder="1" applyProtection="1"/>
    <xf numFmtId="0" fontId="3" fillId="0" borderId="1" xfId="0" applyFont="1" applyFill="1" applyBorder="1" applyAlignment="1">
      <alignment horizontal="left"/>
    </xf>
    <xf numFmtId="0" fontId="3" fillId="0" borderId="1" xfId="0" quotePrefix="1" applyFont="1" applyBorder="1" applyAlignment="1">
      <alignment horizontal="left" vertical="top"/>
    </xf>
    <xf numFmtId="0" fontId="3" fillId="0" borderId="1" xfId="0" quotePrefix="1" applyFont="1" applyBorder="1" applyAlignment="1">
      <alignment horizontal="left"/>
    </xf>
    <xf numFmtId="3" fontId="3" fillId="4" borderId="1" xfId="0" applyNumberFormat="1" applyFont="1" applyFill="1" applyBorder="1" applyProtection="1"/>
    <xf numFmtId="0" fontId="3" fillId="0" borderId="1" xfId="0" applyFont="1" applyFill="1" applyBorder="1"/>
    <xf numFmtId="0" fontId="6" fillId="0" borderId="1" xfId="0" applyFont="1" applyFill="1" applyBorder="1"/>
    <xf numFmtId="0" fontId="6" fillId="0" borderId="1" xfId="0" quotePrefix="1" applyFont="1" applyBorder="1" applyAlignment="1">
      <alignment horizontal="left"/>
    </xf>
    <xf numFmtId="0" fontId="4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6" fillId="0" borderId="0" xfId="0" applyFont="1" applyBorder="1" applyProtection="1"/>
    <xf numFmtId="0" fontId="6" fillId="0" borderId="0" xfId="0" applyFont="1" applyAlignment="1">
      <alignment horizontal="center"/>
    </xf>
    <xf numFmtId="3" fontId="3" fillId="0" borderId="1" xfId="0" applyNumberFormat="1" applyFont="1" applyBorder="1" applyAlignment="1" applyProtection="1">
      <alignment horizontal="right" vertical="top"/>
      <protection locked="0"/>
    </xf>
    <xf numFmtId="0" fontId="3" fillId="0" borderId="4" xfId="0" applyFont="1" applyBorder="1"/>
    <xf numFmtId="3" fontId="3" fillId="0" borderId="3" xfId="0" applyNumberFormat="1" applyFont="1" applyBorder="1" applyProtection="1">
      <protection locked="0"/>
    </xf>
    <xf numFmtId="167" fontId="3" fillId="0" borderId="3" xfId="0" applyNumberFormat="1" applyFont="1" applyBorder="1" applyProtection="1">
      <protection locked="0"/>
    </xf>
    <xf numFmtId="168" fontId="3" fillId="0" borderId="1" xfId="0" applyNumberFormat="1" applyFont="1" applyBorder="1" applyProtection="1">
      <protection locked="0"/>
    </xf>
    <xf numFmtId="0" fontId="15" fillId="0" borderId="1" xfId="0" applyFont="1" applyBorder="1"/>
    <xf numFmtId="0" fontId="6" fillId="0" borderId="0" xfId="0" applyFont="1" applyBorder="1" applyAlignment="1" applyProtection="1">
      <alignment horizontal="center"/>
      <protection hidden="1"/>
    </xf>
    <xf numFmtId="3" fontId="4" fillId="0" borderId="0" xfId="0" applyNumberFormat="1" applyFont="1" applyBorder="1" applyAlignment="1">
      <alignment horizontal="centerContinuous"/>
    </xf>
    <xf numFmtId="3" fontId="16" fillId="0" borderId="0" xfId="0" applyNumberFormat="1" applyFont="1" applyBorder="1" applyAlignment="1">
      <alignment horizontal="centerContinuous"/>
    </xf>
    <xf numFmtId="0" fontId="3" fillId="0" borderId="0" xfId="0" applyFont="1" applyBorder="1" applyAlignment="1">
      <alignment horizontal="center" vertical="center" textRotation="90" wrapText="1"/>
    </xf>
    <xf numFmtId="3" fontId="17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3" xfId="0" quotePrefix="1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/>
    </xf>
    <xf numFmtId="3" fontId="6" fillId="5" borderId="1" xfId="0" applyNumberFormat="1" applyFont="1" applyFill="1" applyBorder="1"/>
    <xf numFmtId="3" fontId="3" fillId="5" borderId="1" xfId="0" applyNumberFormat="1" applyFont="1" applyFill="1" applyBorder="1" applyProtection="1"/>
    <xf numFmtId="3" fontId="3" fillId="5" borderId="1" xfId="0" applyNumberFormat="1" applyFont="1" applyFill="1" applyBorder="1"/>
    <xf numFmtId="3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Protection="1">
      <protection locked="0"/>
    </xf>
    <xf numFmtId="3" fontId="3" fillId="0" borderId="0" xfId="0" applyNumberFormat="1" applyFont="1"/>
    <xf numFmtId="9" fontId="3" fillId="0" borderId="0" xfId="0" applyNumberFormat="1" applyFont="1"/>
    <xf numFmtId="3" fontId="3" fillId="0" borderId="1" xfId="0" applyNumberFormat="1" applyFont="1" applyFill="1" applyBorder="1" applyAlignment="1">
      <alignment horizontal="center"/>
    </xf>
    <xf numFmtId="3" fontId="3" fillId="0" borderId="1" xfId="0" applyNumberFormat="1" applyFont="1" applyFill="1" applyBorder="1"/>
    <xf numFmtId="0" fontId="3" fillId="0" borderId="0" xfId="0" applyFont="1" applyFill="1"/>
    <xf numFmtId="3" fontId="3" fillId="0" borderId="1" xfId="0" quotePrefix="1" applyNumberFormat="1" applyFont="1" applyFill="1" applyBorder="1" applyAlignment="1">
      <alignment horizontal="left"/>
    </xf>
    <xf numFmtId="10" fontId="3" fillId="5" borderId="1" xfId="0" applyNumberFormat="1" applyFont="1" applyFill="1" applyBorder="1" applyProtection="1">
      <protection hidden="1"/>
    </xf>
    <xf numFmtId="0" fontId="3" fillId="0" borderId="0" xfId="0" applyFont="1" applyFill="1" applyBorder="1"/>
    <xf numFmtId="3" fontId="3" fillId="5" borderId="1" xfId="0" applyNumberFormat="1" applyFont="1" applyFill="1" applyBorder="1" applyProtection="1">
      <protection locked="0"/>
    </xf>
    <xf numFmtId="3" fontId="14" fillId="0" borderId="0" xfId="0" applyNumberFormat="1" applyFont="1" applyProtection="1">
      <protection hidden="1"/>
    </xf>
    <xf numFmtId="3" fontId="14" fillId="0" borderId="0" xfId="0" applyNumberFormat="1" applyFont="1"/>
    <xf numFmtId="0" fontId="14" fillId="0" borderId="0" xfId="0" applyFont="1"/>
    <xf numFmtId="3" fontId="4" fillId="0" borderId="0" xfId="0" applyNumberFormat="1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3" fontId="11" fillId="0" borderId="0" xfId="0" applyNumberFormat="1" applyFont="1" applyBorder="1" applyAlignment="1">
      <alignment horizontal="center"/>
    </xf>
    <xf numFmtId="3" fontId="3" fillId="0" borderId="0" xfId="0" applyNumberFormat="1" applyFont="1" applyBorder="1" applyAlignment="1">
      <alignment horizontal="centerContinuous"/>
    </xf>
    <xf numFmtId="3" fontId="6" fillId="0" borderId="0" xfId="0" applyNumberFormat="1" applyFont="1"/>
    <xf numFmtId="3" fontId="6" fillId="0" borderId="5" xfId="0" applyNumberFormat="1" applyFont="1" applyBorder="1" applyAlignment="1">
      <alignment horizontal="center" vertical="center"/>
    </xf>
    <xf numFmtId="3" fontId="18" fillId="0" borderId="6" xfId="0" applyNumberFormat="1" applyFont="1" applyBorder="1"/>
    <xf numFmtId="3" fontId="18" fillId="0" borderId="7" xfId="0" applyNumberFormat="1" applyFont="1" applyBorder="1" applyAlignment="1">
      <alignment horizontal="center"/>
    </xf>
    <xf numFmtId="3" fontId="18" fillId="0" borderId="8" xfId="0" applyNumberFormat="1" applyFont="1" applyBorder="1" applyAlignment="1">
      <alignment horizontal="center"/>
    </xf>
    <xf numFmtId="3" fontId="18" fillId="0" borderId="9" xfId="0" applyNumberFormat="1" applyFont="1" applyBorder="1" applyAlignment="1">
      <alignment horizontal="center"/>
    </xf>
    <xf numFmtId="0" fontId="19" fillId="0" borderId="0" xfId="0" applyFont="1"/>
    <xf numFmtId="3" fontId="6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3" fontId="3" fillId="6" borderId="3" xfId="0" applyNumberFormat="1" applyFont="1" applyFill="1" applyBorder="1"/>
    <xf numFmtId="3" fontId="6" fillId="0" borderId="1" xfId="0" applyNumberFormat="1" applyFont="1" applyBorder="1" applyAlignment="1">
      <alignment horizontal="center"/>
    </xf>
    <xf numFmtId="3" fontId="3" fillId="0" borderId="1" xfId="0" applyNumberFormat="1" applyFont="1" applyBorder="1" applyProtection="1">
      <protection hidden="1"/>
    </xf>
    <xf numFmtId="9" fontId="3" fillId="0" borderId="1" xfId="0" applyNumberFormat="1" applyFont="1" applyBorder="1"/>
    <xf numFmtId="3" fontId="3" fillId="0" borderId="1" xfId="0" applyNumberFormat="1" applyFont="1" applyBorder="1" applyAlignment="1" applyProtection="1">
      <alignment horizontal="right"/>
      <protection locked="0"/>
    </xf>
    <xf numFmtId="0" fontId="3" fillId="0" borderId="1" xfId="0" applyFont="1" applyFill="1" applyBorder="1" applyAlignment="1">
      <alignment wrapText="1"/>
    </xf>
    <xf numFmtId="1" fontId="3" fillId="0" borderId="1" xfId="0" applyNumberFormat="1" applyFont="1" applyBorder="1"/>
    <xf numFmtId="3" fontId="6" fillId="6" borderId="1" xfId="0" applyNumberFormat="1" applyFont="1" applyFill="1" applyBorder="1" applyAlignment="1">
      <alignment horizontal="left" wrapText="1"/>
    </xf>
    <xf numFmtId="1" fontId="3" fillId="6" borderId="1" xfId="0" applyNumberFormat="1" applyFont="1" applyFill="1" applyBorder="1"/>
    <xf numFmtId="9" fontId="3" fillId="6" borderId="1" xfId="0" applyNumberFormat="1" applyFont="1" applyFill="1" applyBorder="1"/>
    <xf numFmtId="3" fontId="3" fillId="6" borderId="1" xfId="0" applyNumberFormat="1" applyFont="1" applyFill="1" applyBorder="1" applyProtection="1"/>
    <xf numFmtId="3" fontId="3" fillId="6" borderId="1" xfId="0" applyNumberFormat="1" applyFont="1" applyFill="1" applyBorder="1"/>
    <xf numFmtId="0" fontId="20" fillId="0" borderId="0" xfId="0" applyFont="1"/>
    <xf numFmtId="0" fontId="16" fillId="0" borderId="0" xfId="0" applyFont="1" applyAlignment="1">
      <alignment horizontal="centerContinuous"/>
    </xf>
    <xf numFmtId="3" fontId="12" fillId="0" borderId="0" xfId="0" applyNumberFormat="1" applyFont="1" applyAlignment="1">
      <alignment horizontal="centerContinuous"/>
    </xf>
    <xf numFmtId="3" fontId="11" fillId="0" borderId="0" xfId="0" applyNumberFormat="1" applyFont="1" applyAlignment="1">
      <alignment horizontal="center"/>
    </xf>
    <xf numFmtId="3" fontId="6" fillId="0" borderId="1" xfId="0" quotePrefix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3" fontId="6" fillId="0" borderId="1" xfId="0" applyNumberFormat="1" applyFont="1" applyBorder="1"/>
    <xf numFmtId="3" fontId="3" fillId="0" borderId="0" xfId="0" applyNumberFormat="1" applyFont="1" applyBorder="1" applyProtection="1"/>
    <xf numFmtId="3" fontId="3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/>
    <xf numFmtId="3" fontId="6" fillId="0" borderId="1" xfId="0" applyNumberFormat="1" applyFont="1" applyBorder="1" applyAlignment="1">
      <alignment wrapText="1"/>
    </xf>
    <xf numFmtId="0" fontId="4" fillId="0" borderId="0" xfId="0" applyFont="1"/>
    <xf numFmtId="3" fontId="21" fillId="0" borderId="0" xfId="0" applyNumberFormat="1" applyFont="1" applyAlignment="1">
      <alignment horizontal="centerContinuous"/>
    </xf>
    <xf numFmtId="3" fontId="22" fillId="0" borderId="0" xfId="0" applyNumberFormat="1" applyFont="1" applyAlignment="1">
      <alignment horizontal="centerContinuous"/>
    </xf>
    <xf numFmtId="3" fontId="4" fillId="0" borderId="0" xfId="0" applyNumberFormat="1" applyFont="1" applyAlignment="1">
      <alignment horizontal="center"/>
    </xf>
    <xf numFmtId="3" fontId="3" fillId="0" borderId="0" xfId="0" applyNumberFormat="1" applyFont="1" applyBorder="1"/>
    <xf numFmtId="3" fontId="6" fillId="0" borderId="5" xfId="0" quotePrefix="1" applyNumberFormat="1" applyFont="1" applyBorder="1" applyAlignment="1">
      <alignment horizontal="center" vertical="center" textRotation="90" wrapText="1"/>
    </xf>
    <xf numFmtId="3" fontId="6" fillId="0" borderId="5" xfId="0" applyNumberFormat="1" applyFont="1" applyBorder="1" applyAlignment="1">
      <alignment horizontal="center" vertical="center" textRotation="90" wrapText="1"/>
    </xf>
    <xf numFmtId="0" fontId="6" fillId="0" borderId="5" xfId="0" quotePrefix="1" applyFont="1" applyBorder="1" applyAlignment="1">
      <alignment horizontal="center" vertical="center" textRotation="90" wrapText="1"/>
    </xf>
    <xf numFmtId="3" fontId="6" fillId="0" borderId="10" xfId="0" applyNumberFormat="1" applyFont="1" applyBorder="1"/>
    <xf numFmtId="3" fontId="6" fillId="0" borderId="11" xfId="0" applyNumberFormat="1" applyFont="1" applyBorder="1" applyAlignment="1">
      <alignment horizontal="center"/>
    </xf>
    <xf numFmtId="3" fontId="6" fillId="0" borderId="11" xfId="0" applyNumberFormat="1" applyFont="1" applyBorder="1" applyAlignment="1">
      <alignment horizontal="center" wrapText="1"/>
    </xf>
    <xf numFmtId="3" fontId="6" fillId="0" borderId="12" xfId="0" applyNumberFormat="1" applyFont="1" applyBorder="1" applyAlignment="1">
      <alignment horizontal="center" wrapText="1"/>
    </xf>
    <xf numFmtId="3" fontId="3" fillId="0" borderId="1" xfId="0" applyNumberFormat="1" applyFont="1" applyBorder="1" applyAlignment="1" applyProtection="1">
      <alignment wrapText="1"/>
      <protection locked="0"/>
    </xf>
    <xf numFmtId="14" fontId="3" fillId="0" borderId="13" xfId="0" applyNumberFormat="1" applyFont="1" applyBorder="1" applyAlignment="1" applyProtection="1">
      <alignment horizontal="center" wrapText="1"/>
      <protection locked="0"/>
    </xf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14" fillId="0" borderId="0" xfId="0" applyFont="1" applyAlignment="1" applyProtection="1">
      <alignment wrapText="1"/>
      <protection hidden="1"/>
    </xf>
    <xf numFmtId="3" fontId="6" fillId="0" borderId="14" xfId="0" applyNumberFormat="1" applyFont="1" applyBorder="1" applyAlignment="1">
      <alignment horizontal="center" wrapText="1"/>
    </xf>
    <xf numFmtId="3" fontId="3" fillId="0" borderId="15" xfId="0" applyNumberFormat="1" applyFont="1" applyBorder="1" applyAlignment="1" applyProtection="1">
      <alignment wrapText="1"/>
      <protection locked="0"/>
    </xf>
    <xf numFmtId="3" fontId="3" fillId="0" borderId="16" xfId="0" applyNumberFormat="1" applyFont="1" applyBorder="1" applyAlignment="1" applyProtection="1">
      <alignment wrapText="1"/>
      <protection locked="0"/>
    </xf>
    <xf numFmtId="0" fontId="20" fillId="0" borderId="0" xfId="0" applyFont="1" applyAlignment="1">
      <alignment wrapText="1"/>
    </xf>
    <xf numFmtId="3" fontId="6" fillId="0" borderId="17" xfId="0" applyNumberFormat="1" applyFont="1" applyBorder="1" applyAlignment="1">
      <alignment horizontal="center" wrapText="1"/>
    </xf>
    <xf numFmtId="3" fontId="3" fillId="0" borderId="18" xfId="0" applyNumberFormat="1" applyFont="1" applyBorder="1" applyAlignment="1" applyProtection="1">
      <alignment wrapText="1"/>
      <protection locked="0"/>
    </xf>
    <xf numFmtId="3" fontId="6" fillId="0" borderId="6" xfId="0" applyNumberFormat="1" applyFont="1" applyBorder="1" applyAlignment="1">
      <alignment horizontal="center"/>
    </xf>
    <xf numFmtId="3" fontId="6" fillId="0" borderId="19" xfId="0" applyNumberFormat="1" applyFont="1" applyBorder="1"/>
    <xf numFmtId="3" fontId="3" fillId="0" borderId="9" xfId="0" applyNumberFormat="1" applyFont="1" applyBorder="1" applyAlignment="1" applyProtection="1">
      <alignment horizontal="right"/>
    </xf>
    <xf numFmtId="3" fontId="3" fillId="7" borderId="10" xfId="0" applyNumberFormat="1" applyFont="1" applyFill="1" applyBorder="1" applyAlignment="1">
      <alignment horizontal="right" vertical="top"/>
    </xf>
    <xf numFmtId="3" fontId="3" fillId="7" borderId="0" xfId="0" applyNumberFormat="1" applyFont="1" applyFill="1" applyBorder="1" applyAlignment="1">
      <alignment horizontal="right" vertical="top"/>
    </xf>
    <xf numFmtId="3" fontId="3" fillId="7" borderId="20" xfId="0" applyNumberFormat="1" applyFont="1" applyFill="1" applyBorder="1" applyAlignment="1">
      <alignment horizontal="right" vertical="top"/>
    </xf>
    <xf numFmtId="0" fontId="3" fillId="0" borderId="10" xfId="0" applyFont="1" applyBorder="1"/>
    <xf numFmtId="3" fontId="6" fillId="0" borderId="19" xfId="0" applyNumberFormat="1" applyFont="1" applyBorder="1" applyAlignment="1"/>
    <xf numFmtId="3" fontId="3" fillId="0" borderId="9" xfId="0" applyNumberFormat="1" applyFont="1" applyBorder="1" applyAlignment="1" applyProtection="1"/>
    <xf numFmtId="3" fontId="3" fillId="7" borderId="21" xfId="0" applyNumberFormat="1" applyFont="1" applyFill="1" applyBorder="1" applyAlignment="1">
      <alignment horizontal="right" vertical="top"/>
    </xf>
    <xf numFmtId="3" fontId="3" fillId="7" borderId="22" xfId="0" applyNumberFormat="1" applyFont="1" applyFill="1" applyBorder="1" applyAlignment="1">
      <alignment horizontal="right" vertical="top"/>
    </xf>
    <xf numFmtId="3" fontId="3" fillId="7" borderId="23" xfId="0" applyNumberFormat="1" applyFont="1" applyFill="1" applyBorder="1" applyAlignment="1">
      <alignment horizontal="right" vertical="top"/>
    </xf>
    <xf numFmtId="0" fontId="3" fillId="0" borderId="21" xfId="0" applyFont="1" applyBorder="1"/>
    <xf numFmtId="0" fontId="20" fillId="0" borderId="0" xfId="0" applyFont="1" applyBorder="1" applyProtection="1">
      <protection hidden="1"/>
    </xf>
    <xf numFmtId="0" fontId="21" fillId="0" borderId="0" xfId="0" applyFont="1" applyAlignment="1">
      <alignment horizontal="centerContinuous"/>
    </xf>
    <xf numFmtId="3" fontId="6" fillId="0" borderId="24" xfId="0" applyNumberFormat="1" applyFont="1" applyBorder="1"/>
    <xf numFmtId="3" fontId="6" fillId="0" borderId="5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 wrapText="1"/>
    </xf>
    <xf numFmtId="3" fontId="6" fillId="0" borderId="25" xfId="0" applyNumberFormat="1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3" fontId="3" fillId="0" borderId="0" xfId="0" applyNumberFormat="1" applyFont="1" applyAlignment="1">
      <alignment wrapText="1"/>
    </xf>
    <xf numFmtId="3" fontId="3" fillId="7" borderId="26" xfId="0" applyNumberFormat="1" applyFont="1" applyFill="1" applyBorder="1" applyAlignment="1">
      <alignment horizontal="right" vertical="top"/>
    </xf>
    <xf numFmtId="3" fontId="3" fillId="7" borderId="27" xfId="0" applyNumberFormat="1" applyFont="1" applyFill="1" applyBorder="1" applyAlignment="1">
      <alignment horizontal="right" vertical="top"/>
    </xf>
    <xf numFmtId="3" fontId="3" fillId="7" borderId="28" xfId="0" applyNumberFormat="1" applyFont="1" applyFill="1" applyBorder="1" applyAlignment="1">
      <alignment horizontal="right" vertical="top"/>
    </xf>
    <xf numFmtId="0" fontId="3" fillId="0" borderId="22" xfId="0" applyFont="1" applyBorder="1"/>
    <xf numFmtId="0" fontId="12" fillId="0" borderId="0" xfId="0" applyFont="1"/>
    <xf numFmtId="3" fontId="11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3" fontId="6" fillId="0" borderId="0" xfId="0" quotePrefix="1" applyNumberFormat="1" applyFont="1" applyAlignment="1">
      <alignment horizontal="left"/>
    </xf>
    <xf numFmtId="0" fontId="6" fillId="0" borderId="0" xfId="0" applyFont="1" applyBorder="1" applyAlignment="1">
      <alignment horizontal="centerContinuous"/>
    </xf>
    <xf numFmtId="0" fontId="6" fillId="0" borderId="0" xfId="0" quotePrefix="1" applyFont="1" applyBorder="1" applyAlignment="1">
      <alignment horizontal="centerContinuous"/>
    </xf>
    <xf numFmtId="3" fontId="6" fillId="0" borderId="12" xfId="0" applyNumberFormat="1" applyFont="1" applyBorder="1" applyAlignment="1">
      <alignment horizontal="centerContinuous" vertical="center" wrapText="1"/>
    </xf>
    <xf numFmtId="3" fontId="6" fillId="0" borderId="29" xfId="0" applyNumberFormat="1" applyFont="1" applyBorder="1" applyAlignment="1">
      <alignment horizontal="centerContinuous" vertical="center"/>
    </xf>
    <xf numFmtId="3" fontId="6" fillId="0" borderId="29" xfId="0" applyNumberFormat="1" applyFont="1" applyBorder="1" applyAlignment="1">
      <alignment horizontal="centerContinuous" vertical="center" wrapText="1"/>
    </xf>
    <xf numFmtId="0" fontId="6" fillId="0" borderId="0" xfId="0" applyFont="1" applyAlignment="1">
      <alignment vertical="center"/>
    </xf>
    <xf numFmtId="3" fontId="6" fillId="0" borderId="30" xfId="0" applyNumberFormat="1" applyFont="1" applyBorder="1" applyAlignment="1">
      <alignment horizontal="center" vertical="center" wrapText="1"/>
    </xf>
    <xf numFmtId="3" fontId="6" fillId="0" borderId="18" xfId="0" applyNumberFormat="1" applyFont="1" applyBorder="1" applyAlignment="1">
      <alignment horizontal="center" vertical="center" wrapText="1"/>
    </xf>
    <xf numFmtId="3" fontId="6" fillId="0" borderId="25" xfId="0" applyNumberFormat="1" applyFont="1" applyBorder="1" applyAlignment="1">
      <alignment horizontal="center" vertical="top" wrapText="1"/>
    </xf>
    <xf numFmtId="3" fontId="6" fillId="0" borderId="3" xfId="0" applyNumberFormat="1" applyFont="1" applyBorder="1" applyAlignment="1">
      <alignment horizontal="center" vertical="top" wrapText="1"/>
    </xf>
    <xf numFmtId="3" fontId="6" fillId="0" borderId="31" xfId="0" applyNumberFormat="1" applyFont="1" applyBorder="1" applyAlignment="1">
      <alignment horizontal="center" vertical="top" wrapText="1"/>
    </xf>
    <xf numFmtId="0" fontId="6" fillId="0" borderId="0" xfId="0" applyFont="1"/>
    <xf numFmtId="3" fontId="3" fillId="0" borderId="14" xfId="0" applyNumberFormat="1" applyFont="1" applyBorder="1" applyAlignment="1">
      <alignment wrapText="1"/>
    </xf>
    <xf numFmtId="3" fontId="3" fillId="0" borderId="15" xfId="0" applyNumberFormat="1" applyFont="1" applyBorder="1" applyAlignment="1" applyProtection="1">
      <alignment horizontal="right"/>
      <protection locked="0"/>
    </xf>
    <xf numFmtId="3" fontId="3" fillId="0" borderId="17" xfId="0" applyNumberFormat="1" applyFont="1" applyBorder="1" applyAlignment="1">
      <alignment wrapText="1"/>
    </xf>
    <xf numFmtId="3" fontId="3" fillId="0" borderId="13" xfId="0" applyNumberFormat="1" applyFont="1" applyBorder="1" applyAlignment="1" applyProtection="1">
      <alignment horizontal="right"/>
      <protection locked="0"/>
    </xf>
    <xf numFmtId="3" fontId="3" fillId="0" borderId="32" xfId="0" applyNumberFormat="1" applyFont="1" applyBorder="1" applyAlignment="1" applyProtection="1">
      <alignment horizontal="right"/>
      <protection locked="0"/>
    </xf>
    <xf numFmtId="3" fontId="5" fillId="0" borderId="6" xfId="0" applyNumberFormat="1" applyFont="1" applyBorder="1"/>
    <xf numFmtId="3" fontId="5" fillId="0" borderId="7" xfId="0" applyNumberFormat="1" applyFont="1" applyBorder="1" applyProtection="1">
      <protection hidden="1"/>
    </xf>
    <xf numFmtId="3" fontId="5" fillId="0" borderId="9" xfId="0" applyNumberFormat="1" applyFont="1" applyBorder="1" applyProtection="1">
      <protection hidden="1"/>
    </xf>
    <xf numFmtId="3" fontId="6" fillId="0" borderId="0" xfId="0" applyNumberFormat="1" applyFont="1" applyBorder="1"/>
    <xf numFmtId="3" fontId="6" fillId="0" borderId="22" xfId="0" quotePrefix="1" applyNumberFormat="1" applyFont="1" applyBorder="1" applyAlignment="1">
      <alignment horizontal="left"/>
    </xf>
    <xf numFmtId="3" fontId="6" fillId="0" borderId="22" xfId="0" applyNumberFormat="1" applyFont="1" applyBorder="1"/>
    <xf numFmtId="0" fontId="12" fillId="0" borderId="0" xfId="0" applyFont="1" applyBorder="1"/>
    <xf numFmtId="0" fontId="3" fillId="0" borderId="16" xfId="0" applyFont="1" applyBorder="1"/>
    <xf numFmtId="3" fontId="3" fillId="0" borderId="33" xfId="0" applyNumberFormat="1" applyFont="1" applyBorder="1" applyProtection="1">
      <protection locked="0"/>
    </xf>
    <xf numFmtId="3" fontId="3" fillId="0" borderId="10" xfId="0" applyNumberFormat="1" applyFont="1" applyBorder="1" applyAlignment="1">
      <alignment horizontal="center"/>
    </xf>
    <xf numFmtId="3" fontId="3" fillId="0" borderId="4" xfId="0" applyNumberFormat="1" applyFont="1" applyBorder="1" applyProtection="1">
      <protection hidden="1"/>
    </xf>
    <xf numFmtId="168" fontId="3" fillId="0" borderId="34" xfId="0" applyNumberFormat="1" applyFont="1" applyBorder="1" applyProtection="1">
      <protection hidden="1"/>
    </xf>
    <xf numFmtId="3" fontId="3" fillId="0" borderId="4" xfId="0" applyNumberFormat="1" applyFont="1" applyBorder="1" applyProtection="1">
      <protection locked="0"/>
    </xf>
    <xf numFmtId="0" fontId="3" fillId="0" borderId="35" xfId="0" applyFont="1" applyBorder="1"/>
    <xf numFmtId="0" fontId="3" fillId="0" borderId="36" xfId="0" applyFont="1" applyBorder="1"/>
    <xf numFmtId="3" fontId="3" fillId="0" borderId="35" xfId="0" applyNumberFormat="1" applyFont="1" applyBorder="1" applyProtection="1">
      <protection hidden="1"/>
    </xf>
    <xf numFmtId="3" fontId="14" fillId="0" borderId="10" xfId="0" applyNumberFormat="1" applyFont="1" applyBorder="1" applyAlignment="1">
      <alignment horizontal="center"/>
    </xf>
    <xf numFmtId="3" fontId="14" fillId="0" borderId="0" xfId="0" applyNumberFormat="1" applyFont="1" applyBorder="1"/>
    <xf numFmtId="0" fontId="3" fillId="0" borderId="0" xfId="0" applyFont="1" applyAlignment="1">
      <alignment horizontal="center"/>
    </xf>
    <xf numFmtId="0" fontId="3" fillId="0" borderId="0" xfId="0" quotePrefix="1" applyFont="1" applyAlignment="1" applyProtection="1">
      <alignment horizontal="right"/>
      <protection hidden="1"/>
    </xf>
    <xf numFmtId="0" fontId="6" fillId="0" borderId="1" xfId="0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wrapText="1"/>
    </xf>
    <xf numFmtId="0" fontId="3" fillId="2" borderId="37" xfId="0" applyFont="1" applyFill="1" applyBorder="1"/>
    <xf numFmtId="0" fontId="3" fillId="2" borderId="1" xfId="0" applyFont="1" applyFill="1" applyBorder="1" applyProtection="1">
      <protection hidden="1"/>
    </xf>
    <xf numFmtId="0" fontId="3" fillId="0" borderId="3" xfId="0" applyFont="1" applyBorder="1"/>
    <xf numFmtId="0" fontId="6" fillId="0" borderId="3" xfId="0" applyFont="1" applyBorder="1"/>
    <xf numFmtId="3" fontId="3" fillId="0" borderId="37" xfId="0" applyNumberFormat="1" applyFont="1" applyBorder="1"/>
    <xf numFmtId="0" fontId="3" fillId="0" borderId="1" xfId="0" applyFont="1" applyBorder="1" applyProtection="1">
      <protection hidden="1"/>
    </xf>
    <xf numFmtId="3" fontId="3" fillId="2" borderId="37" xfId="0" applyNumberFormat="1" applyFont="1" applyFill="1" applyBorder="1"/>
    <xf numFmtId="0" fontId="6" fillId="0" borderId="34" xfId="0" applyFont="1" applyBorder="1"/>
    <xf numFmtId="3" fontId="3" fillId="2" borderId="4" xfId="0" applyNumberFormat="1" applyFont="1" applyFill="1" applyBorder="1"/>
    <xf numFmtId="0" fontId="3" fillId="0" borderId="2" xfId="0" applyFont="1" applyBorder="1" applyAlignment="1">
      <alignment horizontal="left" wrapText="1"/>
    </xf>
    <xf numFmtId="3" fontId="3" fillId="0" borderId="4" xfId="0" applyNumberFormat="1" applyFont="1" applyBorder="1" applyAlignment="1" applyProtection="1">
      <alignment horizontal="center"/>
      <protection locked="0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 applyProtection="1">
      <alignment vertical="center"/>
    </xf>
    <xf numFmtId="0" fontId="3" fillId="0" borderId="0" xfId="0" applyFont="1" applyAlignment="1" applyProtection="1">
      <alignment vertical="center"/>
      <protection hidden="1"/>
    </xf>
    <xf numFmtId="0" fontId="6" fillId="0" borderId="1" xfId="0" quotePrefix="1" applyFont="1" applyFill="1" applyBorder="1" applyAlignment="1">
      <alignment horizontal="left"/>
    </xf>
    <xf numFmtId="3" fontId="3" fillId="0" borderId="1" xfId="0" applyNumberFormat="1" applyFont="1" applyFill="1" applyBorder="1" applyAlignment="1"/>
    <xf numFmtId="0" fontId="3" fillId="0" borderId="1" xfId="0" quotePrefix="1" applyFont="1" applyFill="1" applyBorder="1" applyAlignment="1">
      <alignment horizontal="left"/>
    </xf>
    <xf numFmtId="168" fontId="3" fillId="0" borderId="1" xfId="0" applyNumberFormat="1" applyFont="1" applyFill="1" applyBorder="1" applyAlignment="1" applyProtection="1">
      <protection locked="0"/>
    </xf>
    <xf numFmtId="3" fontId="3" fillId="7" borderId="13" xfId="0" applyNumberFormat="1" applyFont="1" applyFill="1" applyBorder="1" applyAlignment="1"/>
    <xf numFmtId="3" fontId="3" fillId="7" borderId="3" xfId="0" applyNumberFormat="1" applyFont="1" applyFill="1" applyBorder="1" applyAlignment="1"/>
    <xf numFmtId="0" fontId="6" fillId="0" borderId="0" xfId="0" applyFont="1" applyFill="1" applyBorder="1" applyAlignment="1"/>
    <xf numFmtId="0" fontId="6" fillId="0" borderId="1" xfId="0" applyFont="1" applyFill="1" applyBorder="1" applyAlignment="1"/>
    <xf numFmtId="0" fontId="4" fillId="0" borderId="0" xfId="0" applyFont="1" applyFill="1" applyBorder="1" applyAlignment="1">
      <alignment horizontal="left"/>
    </xf>
    <xf numFmtId="3" fontId="3" fillId="7" borderId="1" xfId="0" applyNumberFormat="1" applyFont="1" applyFill="1" applyBorder="1" applyAlignment="1"/>
    <xf numFmtId="0" fontId="3" fillId="0" borderId="0" xfId="0" applyFont="1" applyFill="1" applyBorder="1" applyProtection="1">
      <protection hidden="1"/>
    </xf>
    <xf numFmtId="0" fontId="3" fillId="0" borderId="1" xfId="0" quotePrefix="1" applyFont="1" applyBorder="1" applyAlignment="1">
      <alignment horizontal="left" wrapText="1"/>
    </xf>
    <xf numFmtId="3" fontId="3" fillId="0" borderId="1" xfId="0" applyNumberFormat="1" applyFont="1" applyFill="1" applyBorder="1" applyProtection="1">
      <protection locked="0"/>
    </xf>
    <xf numFmtId="3" fontId="3" fillId="0" borderId="1" xfId="0" applyNumberFormat="1" applyFont="1" applyFill="1" applyBorder="1" applyProtection="1"/>
    <xf numFmtId="0" fontId="14" fillId="0" borderId="0" xfId="0" applyFont="1" applyFill="1" applyProtection="1">
      <protection hidden="1"/>
    </xf>
    <xf numFmtId="0" fontId="23" fillId="0" borderId="0" xfId="0" applyFont="1"/>
    <xf numFmtId="0" fontId="4" fillId="0" borderId="0" xfId="0" applyFont="1" applyBorder="1" applyAlignment="1">
      <alignment horizontal="center" vertical="center" shrinkToFit="1"/>
    </xf>
    <xf numFmtId="0" fontId="11" fillId="0" borderId="0" xfId="0" applyFont="1" applyBorder="1" applyAlignment="1">
      <alignment horizontal="center" vertical="center" wrapText="1" shrinkToFit="1"/>
    </xf>
    <xf numFmtId="0" fontId="23" fillId="0" borderId="0" xfId="0" applyFont="1" applyAlignment="1" applyProtection="1">
      <alignment vertical="center"/>
      <protection hidden="1"/>
    </xf>
    <xf numFmtId="0" fontId="23" fillId="0" borderId="0" xfId="0" applyFont="1" applyProtection="1">
      <protection hidden="1"/>
    </xf>
    <xf numFmtId="0" fontId="24" fillId="0" borderId="4" xfId="0" applyFont="1" applyBorder="1" applyAlignment="1">
      <alignment horizontal="center"/>
    </xf>
    <xf numFmtId="49" fontId="24" fillId="0" borderId="1" xfId="0" quotePrefix="1" applyNumberFormat="1" applyFont="1" applyBorder="1" applyAlignment="1">
      <alignment horizontal="center"/>
    </xf>
    <xf numFmtId="0" fontId="25" fillId="0" borderId="0" xfId="0" applyFont="1" applyProtection="1">
      <protection hidden="1"/>
    </xf>
    <xf numFmtId="0" fontId="26" fillId="0" borderId="0" xfId="0" applyFont="1" applyProtection="1">
      <protection hidden="1"/>
    </xf>
    <xf numFmtId="0" fontId="25" fillId="0" borderId="0" xfId="0" applyFont="1"/>
    <xf numFmtId="0" fontId="4" fillId="0" borderId="2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3" fillId="2" borderId="13" xfId="0" applyFont="1" applyFill="1" applyBorder="1"/>
    <xf numFmtId="0" fontId="3" fillId="2" borderId="3" xfId="0" applyFont="1" applyFill="1" applyBorder="1"/>
    <xf numFmtId="0" fontId="6" fillId="0" borderId="2" xfId="0" applyFont="1" applyBorder="1" applyAlignment="1">
      <alignment wrapText="1"/>
    </xf>
    <xf numFmtId="10" fontId="3" fillId="0" borderId="3" xfId="0" applyNumberFormat="1" applyFont="1" applyBorder="1" applyProtection="1">
      <protection locked="0"/>
    </xf>
    <xf numFmtId="4" fontId="3" fillId="0" borderId="3" xfId="0" applyNumberFormat="1" applyFont="1" applyBorder="1" applyProtection="1">
      <protection locked="0"/>
    </xf>
    <xf numFmtId="3" fontId="6" fillId="0" borderId="0" xfId="0" applyNumberFormat="1" applyFont="1" applyBorder="1" applyAlignment="1">
      <alignment horizontal="centerContinuous"/>
    </xf>
    <xf numFmtId="3" fontId="3" fillId="0" borderId="0" xfId="0" applyNumberFormat="1" applyFont="1" applyAlignment="1">
      <alignment vertical="center"/>
    </xf>
    <xf numFmtId="3" fontId="6" fillId="0" borderId="0" xfId="0" applyNumberFormat="1" applyFont="1" applyBorder="1" applyAlignment="1">
      <alignment horizontal="centerContinuous" wrapText="1"/>
    </xf>
    <xf numFmtId="3" fontId="17" fillId="0" borderId="0" xfId="0" applyNumberFormat="1" applyFont="1" applyAlignment="1">
      <alignment horizontal="centerContinuous" wrapText="1"/>
    </xf>
    <xf numFmtId="0" fontId="3" fillId="0" borderId="0" xfId="0" applyFont="1" applyAlignment="1">
      <alignment horizontal="centerContinuous"/>
    </xf>
    <xf numFmtId="0" fontId="6" fillId="0" borderId="0" xfId="0" applyFont="1" applyProtection="1">
      <protection hidden="1"/>
    </xf>
    <xf numFmtId="0" fontId="3" fillId="0" borderId="0" xfId="0" applyFont="1" applyBorder="1" applyAlignment="1">
      <alignment horizontal="centerContinuous"/>
    </xf>
    <xf numFmtId="0" fontId="7" fillId="0" borderId="0" xfId="0" applyFont="1" applyBorder="1" applyAlignment="1" applyProtection="1">
      <alignment horizontal="centerContinuous"/>
    </xf>
    <xf numFmtId="0" fontId="7" fillId="0" borderId="0" xfId="0" applyFont="1" applyAlignment="1" applyProtection="1">
      <alignment horizontal="centerContinuous"/>
    </xf>
    <xf numFmtId="0" fontId="5" fillId="0" borderId="3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39" xfId="0" applyFont="1" applyBorder="1"/>
    <xf numFmtId="0" fontId="6" fillId="0" borderId="20" xfId="0" applyFont="1" applyBorder="1"/>
    <xf numFmtId="0" fontId="3" fillId="0" borderId="20" xfId="0" applyFont="1" applyBorder="1"/>
    <xf numFmtId="0" fontId="3" fillId="0" borderId="23" xfId="0" applyFont="1" applyBorder="1"/>
    <xf numFmtId="0" fontId="22" fillId="0" borderId="0" xfId="0" applyFont="1" applyAlignment="1">
      <alignment horizontal="center" vertical="center" wrapText="1"/>
    </xf>
    <xf numFmtId="3" fontId="3" fillId="2" borderId="1" xfId="0" applyNumberFormat="1" applyFont="1" applyFill="1" applyBorder="1"/>
    <xf numFmtId="49" fontId="3" fillId="0" borderId="1" xfId="0" applyNumberFormat="1" applyFont="1" applyBorder="1" applyAlignment="1" applyProtection="1">
      <alignment horizontal="center"/>
      <protection locked="0"/>
    </xf>
    <xf numFmtId="3" fontId="3" fillId="2" borderId="13" xfId="0" applyNumberFormat="1" applyFont="1" applyFill="1" applyBorder="1"/>
    <xf numFmtId="3" fontId="3" fillId="0" borderId="1" xfId="0" applyNumberFormat="1" applyFont="1" applyBorder="1" applyAlignment="1" applyProtection="1">
      <alignment horizontal="center"/>
      <protection locked="0"/>
    </xf>
    <xf numFmtId="3" fontId="3" fillId="0" borderId="0" xfId="0" applyNumberFormat="1" applyFont="1" applyBorder="1" applyProtection="1">
      <protection hidden="1"/>
    </xf>
    <xf numFmtId="3" fontId="7" fillId="0" borderId="3" xfId="0" applyNumberFormat="1" applyFont="1" applyBorder="1" applyAlignment="1" applyProtection="1">
      <alignment horizontal="right"/>
      <protection hidden="1"/>
    </xf>
    <xf numFmtId="3" fontId="7" fillId="0" borderId="3" xfId="0" applyNumberFormat="1" applyFont="1" applyBorder="1" applyAlignment="1" applyProtection="1">
      <alignment horizontal="right"/>
      <protection locked="0"/>
    </xf>
    <xf numFmtId="0" fontId="6" fillId="0" borderId="0" xfId="0" applyFont="1" applyBorder="1" applyProtection="1">
      <protection hidden="1"/>
    </xf>
    <xf numFmtId="0" fontId="5" fillId="0" borderId="2" xfId="0" applyFont="1" applyBorder="1"/>
    <xf numFmtId="0" fontId="5" fillId="0" borderId="0" xfId="0" applyFont="1" applyBorder="1" applyProtection="1">
      <protection hidden="1"/>
    </xf>
    <xf numFmtId="0" fontId="5" fillId="0" borderId="0" xfId="0" applyFont="1" applyBorder="1"/>
    <xf numFmtId="0" fontId="33" fillId="0" borderId="1" xfId="0" applyFont="1" applyBorder="1" applyAlignment="1">
      <alignment vertical="center" wrapText="1"/>
    </xf>
    <xf numFmtId="49" fontId="3" fillId="0" borderId="0" xfId="0" applyNumberFormat="1" applyFont="1"/>
    <xf numFmtId="49" fontId="4" fillId="0" borderId="0" xfId="0" applyNumberFormat="1" applyFont="1" applyAlignment="1">
      <alignment horizontal="centerContinuous"/>
    </xf>
    <xf numFmtId="49" fontId="4" fillId="0" borderId="0" xfId="0" applyNumberFormat="1" applyFont="1" applyBorder="1" applyAlignment="1">
      <alignment horizontal="centerContinuous"/>
    </xf>
    <xf numFmtId="3" fontId="3" fillId="8" borderId="0" xfId="0" applyNumberFormat="1" applyFont="1" applyFill="1" applyBorder="1"/>
    <xf numFmtId="0" fontId="3" fillId="9" borderId="0" xfId="0" applyFont="1" applyFill="1" applyProtection="1">
      <protection hidden="1"/>
    </xf>
    <xf numFmtId="0" fontId="23" fillId="9" borderId="0" xfId="0" applyFont="1" applyFill="1" applyProtection="1">
      <protection hidden="1"/>
    </xf>
    <xf numFmtId="0" fontId="3" fillId="9" borderId="0" xfId="0" applyFont="1" applyFill="1"/>
    <xf numFmtId="9" fontId="3" fillId="0" borderId="0" xfId="9" applyFont="1"/>
    <xf numFmtId="4" fontId="3" fillId="0" borderId="0" xfId="0" applyNumberFormat="1" applyFont="1" applyBorder="1" applyProtection="1">
      <protection locked="0"/>
    </xf>
    <xf numFmtId="0" fontId="3" fillId="10" borderId="0" xfId="0" applyFont="1" applyFill="1" applyProtection="1">
      <protection hidden="1"/>
    </xf>
    <xf numFmtId="0" fontId="23" fillId="10" borderId="0" xfId="0" applyFont="1" applyFill="1" applyProtection="1">
      <protection hidden="1"/>
    </xf>
    <xf numFmtId="0" fontId="3" fillId="10" borderId="0" xfId="0" applyFont="1" applyFill="1"/>
    <xf numFmtId="3" fontId="7" fillId="2" borderId="2" xfId="0" applyNumberFormat="1" applyFont="1" applyFill="1" applyBorder="1" applyAlignment="1" applyProtection="1">
      <alignment horizontal="right"/>
    </xf>
    <xf numFmtId="3" fontId="7" fillId="2" borderId="3" xfId="0" applyNumberFormat="1" applyFont="1" applyFill="1" applyBorder="1" applyAlignment="1" applyProtection="1">
      <alignment horizontal="right"/>
    </xf>
    <xf numFmtId="3" fontId="7" fillId="3" borderId="3" xfId="0" applyNumberFormat="1" applyFont="1" applyFill="1" applyBorder="1" applyAlignment="1" applyProtection="1">
      <alignment horizontal="right"/>
      <protection hidden="1"/>
    </xf>
    <xf numFmtId="3" fontId="7" fillId="0" borderId="2" xfId="0" applyNumberFormat="1" applyFont="1" applyBorder="1" applyAlignment="1" applyProtection="1">
      <alignment horizontal="right"/>
      <protection locked="0"/>
    </xf>
    <xf numFmtId="3" fontId="7" fillId="0" borderId="2" xfId="0" applyNumberFormat="1" applyFont="1" applyFill="1" applyBorder="1" applyAlignment="1" applyProtection="1">
      <alignment horizontal="right"/>
      <protection locked="0"/>
    </xf>
    <xf numFmtId="3" fontId="7" fillId="2" borderId="1" xfId="0" applyNumberFormat="1" applyFont="1" applyFill="1" applyBorder="1" applyAlignment="1" applyProtection="1">
      <alignment horizontal="right"/>
    </xf>
    <xf numFmtId="3" fontId="7" fillId="0" borderId="2" xfId="0" applyNumberFormat="1" applyFont="1" applyBorder="1" applyAlignment="1" applyProtection="1">
      <alignment horizontal="right"/>
    </xf>
    <xf numFmtId="3" fontId="7" fillId="0" borderId="3" xfId="0" applyNumberFormat="1" applyFont="1" applyBorder="1" applyAlignment="1" applyProtection="1">
      <alignment horizontal="right"/>
    </xf>
    <xf numFmtId="3" fontId="8" fillId="0" borderId="2" xfId="0" applyNumberFormat="1" applyFont="1" applyBorder="1" applyAlignment="1" applyProtection="1">
      <alignment horizontal="right"/>
    </xf>
    <xf numFmtId="3" fontId="7" fillId="3" borderId="2" xfId="0" applyNumberFormat="1" applyFont="1" applyFill="1" applyBorder="1" applyAlignment="1" applyProtection="1">
      <alignment horizontal="right"/>
    </xf>
    <xf numFmtId="3" fontId="7" fillId="3" borderId="3" xfId="0" applyNumberFormat="1" applyFont="1" applyFill="1" applyBorder="1" applyAlignment="1" applyProtection="1">
      <alignment horizontal="right"/>
    </xf>
    <xf numFmtId="3" fontId="7" fillId="3" borderId="3" xfId="0" applyNumberFormat="1" applyFont="1" applyFill="1" applyBorder="1" applyAlignment="1" applyProtection="1">
      <alignment horizontal="right"/>
      <protection locked="0"/>
    </xf>
    <xf numFmtId="3" fontId="7" fillId="2" borderId="4" xfId="0" applyNumberFormat="1" applyFont="1" applyFill="1" applyBorder="1" applyAlignment="1" applyProtection="1">
      <alignment horizontal="right"/>
    </xf>
    <xf numFmtId="3" fontId="7" fillId="0" borderId="1" xfId="0" applyNumberFormat="1" applyFont="1" applyBorder="1" applyAlignment="1" applyProtection="1">
      <alignment horizontal="right"/>
      <protection hidden="1"/>
    </xf>
    <xf numFmtId="3" fontId="3" fillId="3" borderId="3" xfId="0" applyNumberFormat="1" applyFont="1" applyFill="1" applyBorder="1" applyProtection="1">
      <protection locked="0"/>
    </xf>
    <xf numFmtId="3" fontId="3" fillId="3" borderId="1" xfId="0" applyNumberFormat="1" applyFont="1" applyFill="1" applyBorder="1"/>
    <xf numFmtId="0" fontId="6" fillId="0" borderId="1" xfId="0" quotePrefix="1" applyFont="1" applyBorder="1" applyAlignment="1">
      <alignment horizontal="left" vertical="top" wrapText="1"/>
    </xf>
    <xf numFmtId="0" fontId="6" fillId="0" borderId="1" xfId="0" applyFont="1" applyBorder="1" applyAlignment="1">
      <alignment horizontal="center" wrapText="1"/>
    </xf>
    <xf numFmtId="0" fontId="4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top"/>
    </xf>
    <xf numFmtId="0" fontId="12" fillId="0" borderId="1" xfId="0" applyFont="1" applyBorder="1"/>
    <xf numFmtId="3" fontId="3" fillId="0" borderId="0" xfId="0" applyNumberFormat="1" applyFont="1" applyFill="1" applyBorder="1"/>
    <xf numFmtId="3" fontId="6" fillId="0" borderId="4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 wrapText="1"/>
    </xf>
    <xf numFmtId="3" fontId="3" fillId="0" borderId="0" xfId="9" applyNumberFormat="1" applyFont="1"/>
    <xf numFmtId="3" fontId="3" fillId="0" borderId="0" xfId="0" applyNumberFormat="1" applyFont="1" applyFill="1"/>
    <xf numFmtId="3" fontId="3" fillId="0" borderId="41" xfId="0" applyNumberFormat="1" applyFont="1" applyFill="1" applyBorder="1" applyProtection="1">
      <protection locked="0"/>
    </xf>
    <xf numFmtId="0" fontId="3" fillId="0" borderId="1" xfId="0" applyFont="1" applyFill="1" applyBorder="1" applyAlignment="1" applyProtection="1">
      <alignment wrapText="1"/>
    </xf>
    <xf numFmtId="9" fontId="0" fillId="0" borderId="1" xfId="0" applyNumberFormat="1" applyFill="1" applyBorder="1" applyAlignment="1">
      <alignment wrapText="1"/>
    </xf>
    <xf numFmtId="3" fontId="5" fillId="0" borderId="1" xfId="0" applyNumberFormat="1" applyFont="1" applyFill="1" applyBorder="1" applyProtection="1">
      <protection locked="0"/>
    </xf>
    <xf numFmtId="0" fontId="3" fillId="0" borderId="0" xfId="0" applyFont="1" applyFill="1" applyProtection="1">
      <protection hidden="1"/>
    </xf>
    <xf numFmtId="0" fontId="23" fillId="0" borderId="0" xfId="0" applyFont="1" applyFill="1" applyProtection="1">
      <protection hidden="1"/>
    </xf>
    <xf numFmtId="3" fontId="7" fillId="0" borderId="2" xfId="0" applyNumberFormat="1" applyFont="1" applyFill="1" applyBorder="1" applyAlignment="1" applyProtection="1">
      <alignment horizontal="right"/>
    </xf>
    <xf numFmtId="3" fontId="0" fillId="0" borderId="3" xfId="0" applyNumberFormat="1" applyFont="1" applyBorder="1"/>
    <xf numFmtId="3" fontId="43" fillId="0" borderId="0" xfId="0" applyNumberFormat="1" applyFont="1" applyBorder="1" applyProtection="1">
      <protection hidden="1"/>
    </xf>
    <xf numFmtId="3" fontId="35" fillId="0" borderId="15" xfId="0" applyNumberFormat="1" applyFont="1" applyBorder="1" applyProtection="1">
      <protection hidden="1"/>
    </xf>
    <xf numFmtId="3" fontId="35" fillId="0" borderId="1" xfId="0" applyNumberFormat="1" applyFont="1" applyBorder="1" applyProtection="1">
      <protection hidden="1"/>
    </xf>
    <xf numFmtId="3" fontId="35" fillId="0" borderId="18" xfId="0" applyNumberFormat="1" applyFont="1" applyBorder="1" applyProtection="1">
      <protection hidden="1"/>
    </xf>
    <xf numFmtId="14" fontId="3" fillId="0" borderId="0" xfId="0" applyNumberFormat="1" applyFont="1" applyProtection="1">
      <protection hidden="1"/>
    </xf>
    <xf numFmtId="3" fontId="33" fillId="0" borderId="1" xfId="0" applyNumberFormat="1" applyFont="1" applyBorder="1" applyAlignment="1" applyProtection="1">
      <alignment wrapText="1"/>
      <protection hidden="1"/>
    </xf>
    <xf numFmtId="0" fontId="35" fillId="0" borderId="0" xfId="2" applyFont="1" applyFill="1"/>
    <xf numFmtId="0" fontId="38" fillId="0" borderId="0" xfId="0" applyFont="1" applyFill="1" applyAlignment="1">
      <alignment horizontal="justify"/>
    </xf>
    <xf numFmtId="49" fontId="35" fillId="0" borderId="0" xfId="2" applyNumberFormat="1" applyFont="1" applyFill="1"/>
    <xf numFmtId="0" fontId="35" fillId="0" borderId="0" xfId="2" applyFont="1" applyFill="1" applyBorder="1"/>
    <xf numFmtId="10" fontId="3" fillId="0" borderId="3" xfId="0" applyNumberFormat="1" applyFont="1" applyFill="1" applyBorder="1" applyProtection="1">
      <protection locked="0"/>
    </xf>
    <xf numFmtId="0" fontId="34" fillId="0" borderId="0" xfId="0" applyFont="1"/>
    <xf numFmtId="0" fontId="34" fillId="0" borderId="0" xfId="0" applyFont="1" applyBorder="1"/>
    <xf numFmtId="0" fontId="39" fillId="0" borderId="0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0" fontId="33" fillId="0" borderId="0" xfId="0" applyFont="1" applyBorder="1" applyProtection="1"/>
    <xf numFmtId="0" fontId="33" fillId="0" borderId="1" xfId="0" applyFont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4" fillId="0" borderId="0" xfId="0" applyFont="1" applyBorder="1" applyAlignment="1">
      <alignment vertical="center"/>
    </xf>
    <xf numFmtId="0" fontId="34" fillId="0" borderId="1" xfId="0" applyFont="1" applyBorder="1" applyAlignment="1">
      <alignment horizontal="center" wrapText="1"/>
    </xf>
    <xf numFmtId="0" fontId="33" fillId="0" borderId="1" xfId="0" applyFont="1" applyBorder="1" applyAlignment="1">
      <alignment horizontal="left" vertical="center"/>
    </xf>
    <xf numFmtId="3" fontId="44" fillId="7" borderId="1" xfId="0" applyNumberFormat="1" applyFont="1" applyFill="1" applyBorder="1" applyAlignment="1" applyProtection="1">
      <alignment horizontal="right" vertical="top"/>
    </xf>
    <xf numFmtId="0" fontId="34" fillId="0" borderId="1" xfId="0" applyFont="1" applyBorder="1" applyAlignment="1">
      <alignment wrapText="1"/>
    </xf>
    <xf numFmtId="3" fontId="34" fillId="0" borderId="1" xfId="0" applyNumberFormat="1" applyFont="1" applyBorder="1" applyProtection="1">
      <protection locked="0"/>
    </xf>
    <xf numFmtId="3" fontId="34" fillId="7" borderId="1" xfId="0" applyNumberFormat="1" applyFont="1" applyFill="1" applyBorder="1" applyAlignment="1" applyProtection="1">
      <alignment horizontal="right" vertical="top"/>
    </xf>
    <xf numFmtId="0" fontId="34" fillId="0" borderId="1" xfId="0" applyFont="1" applyFill="1" applyBorder="1" applyAlignment="1">
      <alignment horizontal="center" wrapText="1"/>
    </xf>
    <xf numFmtId="0" fontId="34" fillId="0" borderId="1" xfId="0" applyFont="1" applyFill="1" applyBorder="1" applyAlignment="1">
      <alignment wrapText="1"/>
    </xf>
    <xf numFmtId="3" fontId="34" fillId="0" borderId="1" xfId="0" applyNumberFormat="1" applyFont="1" applyFill="1" applyBorder="1" applyAlignment="1" applyProtection="1">
      <alignment wrapText="1"/>
      <protection hidden="1"/>
    </xf>
    <xf numFmtId="0" fontId="34" fillId="0" borderId="0" xfId="0" applyFont="1" applyFill="1"/>
    <xf numFmtId="0" fontId="34" fillId="0" borderId="0" xfId="0" applyFont="1" applyFill="1" applyBorder="1"/>
    <xf numFmtId="3" fontId="34" fillId="7" borderId="1" xfId="0" applyNumberFormat="1" applyFont="1" applyFill="1" applyBorder="1" applyAlignment="1">
      <alignment horizontal="right" vertical="top"/>
    </xf>
    <xf numFmtId="3" fontId="34" fillId="0" borderId="1" xfId="0" applyNumberFormat="1" applyFont="1" applyBorder="1" applyAlignment="1" applyProtection="1">
      <alignment wrapText="1"/>
      <protection hidden="1"/>
    </xf>
    <xf numFmtId="3" fontId="34" fillId="7" borderId="1" xfId="0" applyNumberFormat="1" applyFont="1" applyFill="1" applyBorder="1" applyAlignment="1">
      <alignment horizontal="right" vertical="center"/>
    </xf>
    <xf numFmtId="3" fontId="34" fillId="0" borderId="1" xfId="0" applyNumberFormat="1" applyFont="1" applyFill="1" applyBorder="1" applyAlignment="1" applyProtection="1">
      <alignment horizontal="right" vertical="top" wrapText="1"/>
      <protection locked="0"/>
    </xf>
    <xf numFmtId="0" fontId="34" fillId="0" borderId="1" xfId="0" applyFont="1" applyBorder="1" applyAlignment="1">
      <alignment horizontal="center" vertical="center" wrapText="1"/>
    </xf>
    <xf numFmtId="3" fontId="34" fillId="0" borderId="1" xfId="0" applyNumberFormat="1" applyFont="1" applyFill="1" applyBorder="1" applyAlignment="1" applyProtection="1">
      <alignment horizontal="right" wrapText="1"/>
      <protection locked="0"/>
    </xf>
    <xf numFmtId="3" fontId="34" fillId="0" borderId="1" xfId="0" applyNumberFormat="1" applyFont="1" applyFill="1" applyBorder="1" applyAlignment="1">
      <alignment horizontal="right"/>
    </xf>
    <xf numFmtId="3" fontId="34" fillId="0" borderId="1" xfId="0" applyNumberFormat="1" applyFont="1" applyFill="1" applyBorder="1" applyAlignment="1">
      <alignment horizontal="right" vertical="center"/>
    </xf>
    <xf numFmtId="173" fontId="34" fillId="0" borderId="0" xfId="0" applyNumberFormat="1" applyFont="1" applyBorder="1"/>
    <xf numFmtId="3" fontId="34" fillId="0" borderId="0" xfId="0" applyNumberFormat="1" applyFont="1"/>
    <xf numFmtId="3" fontId="34" fillId="0" borderId="1" xfId="0" applyNumberFormat="1" applyFont="1" applyBorder="1" applyAlignment="1" applyProtection="1">
      <alignment vertical="center" wrapText="1"/>
      <protection hidden="1"/>
    </xf>
    <xf numFmtId="170" fontId="34" fillId="0" borderId="0" xfId="10" applyNumberFormat="1" applyFont="1" applyAlignment="1">
      <alignment vertical="center"/>
    </xf>
    <xf numFmtId="3" fontId="34" fillId="0" borderId="1" xfId="0" applyNumberFormat="1" applyFont="1" applyFill="1" applyBorder="1" applyAlignment="1">
      <alignment horizontal="right" vertical="top"/>
    </xf>
    <xf numFmtId="3" fontId="34" fillId="0" borderId="1" xfId="0" applyNumberFormat="1" applyFont="1" applyBorder="1" applyAlignment="1" applyProtection="1">
      <alignment vertical="top" wrapText="1"/>
      <protection hidden="1"/>
    </xf>
    <xf numFmtId="0" fontId="45" fillId="0" borderId="0" xfId="0" applyFont="1" applyAlignment="1">
      <alignment vertical="center"/>
    </xf>
    <xf numFmtId="0" fontId="45" fillId="0" borderId="0" xfId="0" applyFont="1" applyBorder="1" applyAlignment="1">
      <alignment vertical="center"/>
    </xf>
    <xf numFmtId="0" fontId="45" fillId="0" borderId="0" xfId="0" applyFont="1"/>
    <xf numFmtId="0" fontId="45" fillId="0" borderId="0" xfId="0" applyFont="1" applyBorder="1"/>
    <xf numFmtId="0" fontId="33" fillId="0" borderId="1" xfId="0" applyFont="1" applyBorder="1" applyAlignment="1">
      <alignment horizontal="left" vertical="center" wrapText="1"/>
    </xf>
    <xf numFmtId="171" fontId="34" fillId="0" borderId="1" xfId="0" applyNumberFormat="1" applyFont="1" applyBorder="1" applyAlignment="1" applyProtection="1">
      <alignment vertical="center" wrapText="1"/>
      <protection hidden="1"/>
    </xf>
    <xf numFmtId="0" fontId="46" fillId="0" borderId="0" xfId="2" applyFont="1" applyBorder="1" applyAlignment="1">
      <alignment horizontal="right"/>
    </xf>
    <xf numFmtId="3" fontId="34" fillId="0" borderId="0" xfId="0" applyNumberFormat="1" applyFont="1" applyBorder="1" applyAlignment="1">
      <alignment vertical="center"/>
    </xf>
    <xf numFmtId="3" fontId="34" fillId="0" borderId="0" xfId="0" applyNumberFormat="1" applyFont="1" applyAlignment="1">
      <alignment vertical="center"/>
    </xf>
    <xf numFmtId="0" fontId="33" fillId="0" borderId="0" xfId="0" applyFont="1" applyBorder="1"/>
    <xf numFmtId="0" fontId="34" fillId="0" borderId="0" xfId="0" applyFont="1" applyAlignment="1">
      <alignment horizontal="right"/>
    </xf>
    <xf numFmtId="0" fontId="33" fillId="0" borderId="0" xfId="0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3" fontId="3" fillId="0" borderId="41" xfId="0" applyNumberFormat="1" applyFont="1" applyBorder="1" applyAlignment="1">
      <alignment horizontal="center" vertical="center" textRotation="90" wrapText="1"/>
    </xf>
    <xf numFmtId="3" fontId="3" fillId="5" borderId="1" xfId="0" applyNumberFormat="1" applyFont="1" applyFill="1" applyBorder="1" applyProtection="1">
      <protection hidden="1"/>
    </xf>
    <xf numFmtId="10" fontId="0" fillId="0" borderId="1" xfId="0" applyNumberFormat="1" applyBorder="1" applyProtection="1">
      <protection locked="0" hidden="1"/>
    </xf>
    <xf numFmtId="10" fontId="3" fillId="0" borderId="1" xfId="0" applyNumberFormat="1" applyFont="1" applyBorder="1" applyProtection="1">
      <protection locked="0" hidden="1"/>
    </xf>
    <xf numFmtId="10" fontId="3" fillId="5" borderId="1" xfId="0" applyNumberFormat="1" applyFont="1" applyFill="1" applyBorder="1" applyProtection="1">
      <protection locked="0" hidden="1"/>
    </xf>
    <xf numFmtId="10" fontId="3" fillId="0" borderId="1" xfId="0" applyNumberFormat="1" applyFont="1" applyBorder="1" applyProtection="1">
      <protection hidden="1"/>
    </xf>
    <xf numFmtId="3" fontId="3" fillId="0" borderId="0" xfId="0" applyNumberFormat="1" applyFont="1" applyProtection="1">
      <protection hidden="1"/>
    </xf>
    <xf numFmtId="3" fontId="4" fillId="0" borderId="0" xfId="0" applyNumberFormat="1" applyFont="1" applyBorder="1" applyAlignment="1" applyProtection="1">
      <alignment horizontal="centerContinuous"/>
      <protection hidden="1"/>
    </xf>
    <xf numFmtId="3" fontId="3" fillId="0" borderId="0" xfId="0" applyNumberFormat="1" applyFont="1" applyBorder="1" applyAlignment="1">
      <alignment horizontal="center"/>
    </xf>
    <xf numFmtId="3" fontId="3" fillId="0" borderId="40" xfId="0" applyNumberFormat="1" applyFont="1" applyBorder="1" applyAlignment="1">
      <alignment horizontal="centerContinuous"/>
    </xf>
    <xf numFmtId="3" fontId="6" fillId="0" borderId="0" xfId="0" applyNumberFormat="1" applyFont="1" applyBorder="1" applyAlignment="1">
      <alignment horizontal="center" vertical="center" wrapText="1"/>
    </xf>
    <xf numFmtId="3" fontId="3" fillId="0" borderId="42" xfId="0" applyNumberFormat="1" applyFont="1" applyBorder="1" applyAlignment="1" applyProtection="1">
      <alignment horizontal="right"/>
    </xf>
    <xf numFmtId="3" fontId="6" fillId="0" borderId="43" xfId="0" applyNumberFormat="1" applyFont="1" applyBorder="1" applyAlignment="1">
      <alignment horizontal="center"/>
    </xf>
    <xf numFmtId="3" fontId="6" fillId="0" borderId="30" xfId="0" applyNumberFormat="1" applyFont="1" applyBorder="1" applyAlignment="1">
      <alignment horizontal="center" wrapText="1"/>
    </xf>
    <xf numFmtId="3" fontId="3" fillId="0" borderId="41" xfId="0" applyNumberFormat="1" applyFont="1" applyBorder="1" applyAlignment="1" applyProtection="1">
      <alignment wrapText="1"/>
      <protection locked="0"/>
    </xf>
    <xf numFmtId="14" fontId="3" fillId="0" borderId="41" xfId="0" applyNumberFormat="1" applyFont="1" applyBorder="1" applyAlignment="1" applyProtection="1">
      <alignment horizontal="center" wrapText="1"/>
      <protection locked="0"/>
    </xf>
    <xf numFmtId="49" fontId="6" fillId="0" borderId="0" xfId="0" quotePrefix="1" applyNumberFormat="1" applyFont="1" applyFill="1" applyBorder="1" applyAlignment="1">
      <alignment wrapText="1"/>
    </xf>
    <xf numFmtId="3" fontId="6" fillId="0" borderId="1" xfId="0" applyNumberFormat="1" applyFont="1" applyBorder="1" applyAlignment="1">
      <alignment horizontal="center" vertical="center" textRotation="90" wrapText="1"/>
    </xf>
    <xf numFmtId="3" fontId="3" fillId="11" borderId="0" xfId="0" applyNumberFormat="1" applyFont="1" applyFill="1"/>
    <xf numFmtId="3" fontId="34" fillId="0" borderId="1" xfId="0" applyNumberFormat="1" applyFont="1" applyFill="1" applyBorder="1"/>
    <xf numFmtId="171" fontId="34" fillId="0" borderId="1" xfId="9" applyNumberFormat="1" applyFont="1" applyFill="1" applyBorder="1"/>
    <xf numFmtId="0" fontId="33" fillId="0" borderId="1" xfId="0" applyFont="1" applyFill="1" applyBorder="1" applyAlignment="1">
      <alignment vertical="center" wrapText="1"/>
    </xf>
    <xf numFmtId="0" fontId="34" fillId="0" borderId="1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vertical="center" wrapText="1"/>
    </xf>
    <xf numFmtId="0" fontId="33" fillId="0" borderId="1" xfId="0" applyFont="1" applyFill="1" applyBorder="1" applyAlignment="1">
      <alignment horizontal="center" wrapText="1"/>
    </xf>
    <xf numFmtId="0" fontId="33" fillId="0" borderId="1" xfId="0" applyFont="1" applyFill="1" applyBorder="1" applyAlignment="1">
      <alignment wrapText="1"/>
    </xf>
    <xf numFmtId="0" fontId="33" fillId="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left" vertical="center"/>
    </xf>
    <xf numFmtId="3" fontId="33" fillId="0" borderId="1" xfId="0" applyNumberFormat="1" applyFont="1" applyFill="1" applyBorder="1" applyAlignment="1" applyProtection="1">
      <alignment vertical="center"/>
      <protection locked="0"/>
    </xf>
    <xf numFmtId="3" fontId="33" fillId="0" borderId="1" xfId="0" applyNumberFormat="1" applyFont="1" applyFill="1" applyBorder="1" applyAlignment="1" applyProtection="1">
      <alignment vertical="center" wrapText="1"/>
      <protection hidden="1"/>
    </xf>
    <xf numFmtId="0" fontId="33" fillId="0" borderId="0" xfId="0" applyFont="1" applyFill="1" applyAlignment="1">
      <alignment vertical="center"/>
    </xf>
    <xf numFmtId="174" fontId="33" fillId="0" borderId="0" xfId="0" applyNumberFormat="1" applyFont="1" applyFill="1" applyBorder="1" applyAlignment="1">
      <alignment vertical="center"/>
    </xf>
    <xf numFmtId="0" fontId="33" fillId="0" borderId="0" xfId="0" applyFont="1" applyFill="1" applyBorder="1" applyAlignment="1">
      <alignment vertical="center"/>
    </xf>
    <xf numFmtId="3" fontId="47" fillId="0" borderId="1" xfId="0" applyNumberFormat="1" applyFont="1" applyFill="1" applyBorder="1" applyAlignment="1" applyProtection="1">
      <alignment vertical="center"/>
      <protection locked="0"/>
    </xf>
    <xf numFmtId="3" fontId="47" fillId="0" borderId="1" xfId="0" applyNumberFormat="1" applyFont="1" applyFill="1" applyBorder="1" applyAlignment="1" applyProtection="1">
      <alignment vertical="center" wrapText="1"/>
      <protection hidden="1"/>
    </xf>
    <xf numFmtId="0" fontId="47" fillId="0" borderId="0" xfId="0" applyFont="1" applyFill="1" applyAlignment="1">
      <alignment vertical="center"/>
    </xf>
    <xf numFmtId="0" fontId="47" fillId="0" borderId="0" xfId="0" applyFont="1" applyFill="1" applyBorder="1" applyAlignment="1">
      <alignment vertical="center"/>
    </xf>
    <xf numFmtId="0" fontId="43" fillId="0" borderId="0" xfId="0" applyFont="1" applyAlignment="1" applyProtection="1">
      <alignment wrapText="1"/>
      <protection hidden="1"/>
    </xf>
    <xf numFmtId="0" fontId="3" fillId="0" borderId="2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3" fontId="5" fillId="0" borderId="1" xfId="0" applyNumberFormat="1" applyFont="1" applyFill="1" applyBorder="1" applyAlignment="1">
      <alignment wrapText="1"/>
    </xf>
    <xf numFmtId="3" fontId="0" fillId="0" borderId="1" xfId="0" applyNumberFormat="1" applyFill="1" applyBorder="1" applyAlignment="1">
      <alignment wrapText="1"/>
    </xf>
    <xf numFmtId="0" fontId="0" fillId="0" borderId="1" xfId="0" applyFill="1" applyBorder="1" applyAlignment="1" applyProtection="1">
      <alignment wrapText="1"/>
    </xf>
    <xf numFmtId="0" fontId="3" fillId="0" borderId="1" xfId="0" quotePrefix="1" applyFont="1" applyFill="1" applyBorder="1" applyAlignment="1" applyProtection="1">
      <alignment horizontal="left" wrapText="1"/>
    </xf>
    <xf numFmtId="0" fontId="3" fillId="0" borderId="1" xfId="0" applyFont="1" applyFill="1" applyBorder="1" applyProtection="1"/>
    <xf numFmtId="0" fontId="3" fillId="0" borderId="41" xfId="0" applyFont="1" applyFill="1" applyBorder="1" applyProtection="1"/>
    <xf numFmtId="3" fontId="3" fillId="0" borderId="41" xfId="0" applyNumberFormat="1" applyFont="1" applyFill="1" applyBorder="1" applyProtection="1"/>
    <xf numFmtId="3" fontId="3" fillId="0" borderId="3" xfId="0" applyNumberFormat="1" applyFont="1" applyFill="1" applyBorder="1" applyProtection="1"/>
    <xf numFmtId="3" fontId="3" fillId="0" borderId="7" xfId="0" applyNumberFormat="1" applyFont="1" applyFill="1" applyBorder="1" applyProtection="1"/>
    <xf numFmtId="49" fontId="3" fillId="0" borderId="0" xfId="0" applyNumberFormat="1" applyFont="1" applyFill="1"/>
    <xf numFmtId="0" fontId="3" fillId="0" borderId="0" xfId="0" applyFont="1" applyFill="1" applyAlignment="1">
      <alignment wrapText="1"/>
    </xf>
    <xf numFmtId="9" fontId="3" fillId="0" borderId="0" xfId="9" applyFont="1" applyFill="1"/>
    <xf numFmtId="3" fontId="3" fillId="0" borderId="0" xfId="9" applyNumberFormat="1" applyFont="1" applyFill="1"/>
    <xf numFmtId="0" fontId="6" fillId="0" borderId="0" xfId="0" applyFont="1" applyFill="1" applyBorder="1"/>
    <xf numFmtId="3" fontId="48" fillId="0" borderId="0" xfId="0" applyNumberFormat="1" applyFont="1" applyFill="1" applyBorder="1"/>
    <xf numFmtId="0" fontId="33" fillId="0" borderId="0" xfId="0" applyFont="1" applyFill="1"/>
    <xf numFmtId="0" fontId="33" fillId="0" borderId="0" xfId="0" applyFont="1" applyFill="1" applyBorder="1"/>
    <xf numFmtId="3" fontId="33" fillId="0" borderId="1" xfId="0" applyNumberFormat="1" applyFont="1" applyFill="1" applyBorder="1" applyProtection="1">
      <protection locked="0"/>
    </xf>
    <xf numFmtId="3" fontId="33" fillId="0" borderId="1" xfId="0" applyNumberFormat="1" applyFont="1" applyFill="1" applyBorder="1" applyProtection="1">
      <protection hidden="1"/>
    </xf>
    <xf numFmtId="0" fontId="49" fillId="0" borderId="0" xfId="0" quotePrefix="1" applyNumberFormat="1" applyFont="1" applyFill="1" applyBorder="1" applyAlignment="1" applyProtection="1">
      <alignment horizontal="left"/>
      <protection hidden="1"/>
    </xf>
    <xf numFmtId="0" fontId="33" fillId="0" borderId="1" xfId="0" applyFont="1" applyFill="1" applyBorder="1" applyAlignment="1">
      <alignment horizontal="left" vertical="center" wrapText="1"/>
    </xf>
    <xf numFmtId="0" fontId="34" fillId="0" borderId="0" xfId="0" applyFont="1" applyFill="1" applyAlignment="1">
      <alignment vertical="center"/>
    </xf>
    <xf numFmtId="3" fontId="34" fillId="0" borderId="0" xfId="0" applyNumberFormat="1" applyFont="1" applyFill="1" applyBorder="1" applyAlignment="1">
      <alignment vertical="center"/>
    </xf>
    <xf numFmtId="3" fontId="34" fillId="0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0" fontId="6" fillId="0" borderId="44" xfId="0" applyFont="1" applyBorder="1" applyAlignment="1">
      <alignment horizontal="center"/>
    </xf>
    <xf numFmtId="3" fontId="7" fillId="0" borderId="3" xfId="0" applyNumberFormat="1" applyFont="1" applyBorder="1" applyProtection="1">
      <protection hidden="1"/>
    </xf>
    <xf numFmtId="3" fontId="7" fillId="0" borderId="3" xfId="0" applyNumberFormat="1" applyFont="1" applyFill="1" applyBorder="1" applyAlignment="1" applyProtection="1">
      <alignment horizontal="right"/>
      <protection hidden="1"/>
    </xf>
    <xf numFmtId="3" fontId="7" fillId="0" borderId="1" xfId="0" applyNumberFormat="1" applyFont="1" applyBorder="1" applyAlignment="1" applyProtection="1">
      <alignment horizontal="right" wrapText="1"/>
      <protection locked="0"/>
    </xf>
    <xf numFmtId="175" fontId="6" fillId="0" borderId="0" xfId="0" quotePrefix="1" applyNumberFormat="1" applyFont="1" applyBorder="1" applyAlignment="1" applyProtection="1">
      <alignment horizontal="left"/>
      <protection hidden="1"/>
    </xf>
    <xf numFmtId="175" fontId="3" fillId="0" borderId="0" xfId="0" applyNumberFormat="1" applyFont="1" applyBorder="1" applyAlignment="1">
      <alignment horizontal="left"/>
    </xf>
    <xf numFmtId="175" fontId="3" fillId="0" borderId="0" xfId="0" applyNumberFormat="1" applyFont="1" applyFill="1" applyBorder="1" applyAlignment="1">
      <alignment horizontal="left"/>
    </xf>
    <xf numFmtId="175" fontId="3" fillId="0" borderId="0" xfId="0" quotePrefix="1" applyNumberFormat="1" applyFont="1" applyBorder="1" applyAlignment="1">
      <alignment horizontal="left"/>
    </xf>
    <xf numFmtId="175" fontId="6" fillId="0" borderId="0" xfId="0" applyNumberFormat="1" applyFont="1" applyBorder="1" applyAlignment="1">
      <alignment horizontal="left"/>
    </xf>
    <xf numFmtId="175" fontId="6" fillId="0" borderId="0" xfId="0" applyNumberFormat="1" applyFont="1" applyAlignment="1">
      <alignment horizontal="centerContinuous"/>
    </xf>
    <xf numFmtId="175" fontId="3" fillId="0" borderId="0" xfId="0" applyNumberFormat="1" applyFont="1"/>
    <xf numFmtId="175" fontId="0" fillId="0" borderId="0" xfId="0" applyNumberFormat="1" applyAlignment="1">
      <alignment horizontal="left" wrapText="1"/>
    </xf>
    <xf numFmtId="0" fontId="3" fillId="0" borderId="2" xfId="0" applyFont="1" applyFill="1" applyBorder="1" applyAlignment="1"/>
    <xf numFmtId="3" fontId="0" fillId="0" borderId="1" xfId="0" applyNumberFormat="1" applyFont="1" applyFill="1" applyBorder="1" applyProtection="1">
      <protection hidden="1"/>
    </xf>
    <xf numFmtId="9" fontId="5" fillId="0" borderId="1" xfId="9" applyFont="1" applyFill="1" applyBorder="1" applyProtection="1">
      <protection hidden="1"/>
    </xf>
    <xf numFmtId="9" fontId="5" fillId="0" borderId="3" xfId="9" applyFont="1" applyBorder="1" applyProtection="1">
      <protection hidden="1"/>
    </xf>
    <xf numFmtId="3" fontId="3" fillId="0" borderId="8" xfId="0" applyNumberFormat="1" applyFont="1" applyFill="1" applyBorder="1" applyProtection="1"/>
    <xf numFmtId="175" fontId="6" fillId="0" borderId="0" xfId="0" quotePrefix="1" applyNumberFormat="1" applyFont="1" applyAlignment="1">
      <alignment horizontal="centerContinuous" vertical="center"/>
    </xf>
    <xf numFmtId="0" fontId="32" fillId="0" borderId="0" xfId="0" applyFont="1" applyAlignment="1" applyProtection="1">
      <alignment horizontal="center" vertical="center"/>
      <protection hidden="1"/>
    </xf>
    <xf numFmtId="0" fontId="35" fillId="0" borderId="0" xfId="0" applyFont="1" applyProtection="1">
      <protection hidden="1"/>
    </xf>
    <xf numFmtId="0" fontId="35" fillId="0" borderId="0" xfId="0" applyFont="1" applyAlignment="1" applyProtection="1">
      <alignment horizontal="center" vertical="center"/>
      <protection hidden="1"/>
    </xf>
    <xf numFmtId="0" fontId="32" fillId="0" borderId="45" xfId="0" applyFont="1" applyBorder="1" applyAlignment="1" applyProtection="1">
      <alignment horizontal="left" vertical="center"/>
      <protection hidden="1"/>
    </xf>
    <xf numFmtId="175" fontId="35" fillId="0" borderId="0" xfId="0" applyNumberFormat="1" applyFont="1" applyBorder="1" applyAlignment="1" applyProtection="1">
      <alignment horizontal="left"/>
      <protection hidden="1"/>
    </xf>
    <xf numFmtId="3" fontId="35" fillId="0" borderId="0" xfId="0" applyNumberFormat="1" applyFont="1" applyBorder="1" applyAlignment="1" applyProtection="1">
      <alignment horizontal="centerContinuous"/>
      <protection hidden="1"/>
    </xf>
    <xf numFmtId="0" fontId="35" fillId="0" borderId="0" xfId="0" applyFont="1" applyAlignment="1" applyProtection="1">
      <alignment horizontal="centerContinuous"/>
      <protection hidden="1"/>
    </xf>
    <xf numFmtId="9" fontId="35" fillId="0" borderId="40" xfId="9" applyFont="1" applyBorder="1" applyAlignment="1" applyProtection="1">
      <alignment horizontal="center" vertical="center"/>
      <protection hidden="1"/>
    </xf>
    <xf numFmtId="9" fontId="35" fillId="0" borderId="29" xfId="9" applyFont="1" applyBorder="1" applyAlignment="1" applyProtection="1">
      <alignment horizontal="center" vertical="center"/>
      <protection hidden="1"/>
    </xf>
    <xf numFmtId="0" fontId="32" fillId="0" borderId="1" xfId="0" applyFont="1" applyBorder="1" applyAlignment="1" applyProtection="1">
      <alignment horizontal="center" vertical="center"/>
      <protection hidden="1"/>
    </xf>
    <xf numFmtId="0" fontId="32" fillId="0" borderId="15" xfId="0" applyFont="1" applyBorder="1" applyAlignment="1" applyProtection="1">
      <alignment horizontal="center" vertical="center"/>
      <protection hidden="1"/>
    </xf>
    <xf numFmtId="0" fontId="32" fillId="0" borderId="14" xfId="0" applyFont="1" applyBorder="1" applyAlignment="1" applyProtection="1">
      <alignment horizontal="center" vertical="center"/>
      <protection hidden="1"/>
    </xf>
    <xf numFmtId="0" fontId="32" fillId="0" borderId="1" xfId="0" applyFont="1" applyBorder="1" applyAlignment="1" applyProtection="1">
      <alignment horizontal="right" vertical="center"/>
      <protection hidden="1"/>
    </xf>
    <xf numFmtId="3" fontId="32" fillId="0" borderId="1" xfId="0" applyNumberFormat="1" applyFont="1" applyBorder="1" applyAlignment="1" applyProtection="1">
      <alignment horizontal="centerContinuous"/>
      <protection hidden="1"/>
    </xf>
    <xf numFmtId="3" fontId="32" fillId="0" borderId="15" xfId="0" applyNumberFormat="1" applyFont="1" applyBorder="1" applyAlignment="1" applyProtection="1">
      <alignment horizontal="centerContinuous"/>
      <protection hidden="1"/>
    </xf>
    <xf numFmtId="0" fontId="35" fillId="0" borderId="1" xfId="0" applyFont="1" applyFill="1" applyBorder="1" applyAlignment="1" applyProtection="1">
      <alignment wrapText="1"/>
      <protection hidden="1"/>
    </xf>
    <xf numFmtId="3" fontId="35" fillId="7" borderId="1" xfId="0" applyNumberFormat="1" applyFont="1" applyFill="1" applyBorder="1" applyAlignment="1" applyProtection="1">
      <alignment horizontal="right" vertical="top"/>
      <protection hidden="1"/>
    </xf>
    <xf numFmtId="3" fontId="35" fillId="7" borderId="15" xfId="0" applyNumberFormat="1" applyFont="1" applyFill="1" applyBorder="1" applyAlignment="1" applyProtection="1">
      <alignment horizontal="right" vertical="top"/>
      <protection hidden="1"/>
    </xf>
    <xf numFmtId="165" fontId="35" fillId="0" borderId="0" xfId="0" applyNumberFormat="1" applyFont="1" applyProtection="1">
      <protection hidden="1"/>
    </xf>
    <xf numFmtId="0" fontId="35" fillId="0" borderId="1" xfId="0" applyFont="1" applyFill="1" applyBorder="1" applyAlignment="1" applyProtection="1">
      <alignment vertical="center" wrapText="1"/>
      <protection hidden="1"/>
    </xf>
    <xf numFmtId="0" fontId="13" fillId="0" borderId="1" xfId="0" applyFont="1" applyFill="1" applyBorder="1" applyAlignment="1" applyProtection="1">
      <alignment wrapText="1"/>
      <protection hidden="1"/>
    </xf>
    <xf numFmtId="3" fontId="35" fillId="7" borderId="16" xfId="0" applyNumberFormat="1" applyFont="1" applyFill="1" applyBorder="1" applyAlignment="1" applyProtection="1">
      <alignment horizontal="right" vertical="top"/>
      <protection hidden="1"/>
    </xf>
    <xf numFmtId="3" fontId="35" fillId="0" borderId="15" xfId="0" applyNumberFormat="1" applyFont="1" applyFill="1" applyBorder="1" applyAlignment="1" applyProtection="1">
      <alignment horizontal="right" vertical="top"/>
      <protection locked="0" hidden="1"/>
    </xf>
    <xf numFmtId="0" fontId="32" fillId="0" borderId="1" xfId="0" applyFont="1" applyFill="1" applyBorder="1" applyAlignment="1" applyProtection="1">
      <alignment vertical="center" wrapText="1"/>
      <protection hidden="1"/>
    </xf>
    <xf numFmtId="165" fontId="50" fillId="0" borderId="0" xfId="0" applyNumberFormat="1" applyFont="1" applyProtection="1">
      <protection hidden="1"/>
    </xf>
    <xf numFmtId="3" fontId="35" fillId="0" borderId="14" xfId="0" applyNumberFormat="1" applyFont="1" applyBorder="1" applyProtection="1">
      <protection hidden="1"/>
    </xf>
    <xf numFmtId="0" fontId="35" fillId="0" borderId="41" xfId="0" applyFont="1" applyFill="1" applyBorder="1" applyAlignment="1" applyProtection="1">
      <alignment wrapText="1"/>
      <protection hidden="1"/>
    </xf>
    <xf numFmtId="3" fontId="35" fillId="7" borderId="41" xfId="0" applyNumberFormat="1" applyFont="1" applyFill="1" applyBorder="1" applyAlignment="1" applyProtection="1">
      <alignment horizontal="right" vertical="top"/>
      <protection hidden="1"/>
    </xf>
    <xf numFmtId="3" fontId="35" fillId="0" borderId="5" xfId="0" applyNumberFormat="1" applyFont="1" applyBorder="1" applyProtection="1">
      <protection hidden="1"/>
    </xf>
    <xf numFmtId="0" fontId="32" fillId="0" borderId="0" xfId="0" applyFont="1" applyBorder="1" applyAlignment="1" applyProtection="1">
      <alignment horizontal="center" vertical="center"/>
      <protection hidden="1"/>
    </xf>
    <xf numFmtId="0" fontId="35" fillId="0" borderId="0" xfId="0" applyFont="1" applyBorder="1" applyAlignment="1" applyProtection="1">
      <alignment wrapText="1"/>
      <protection hidden="1"/>
    </xf>
    <xf numFmtId="0" fontId="35" fillId="0" borderId="0" xfId="0" applyFont="1" applyBorder="1" applyProtection="1">
      <protection hidden="1"/>
    </xf>
    <xf numFmtId="0" fontId="35" fillId="0" borderId="0" xfId="0" applyFont="1" applyBorder="1" applyAlignment="1" applyProtection="1">
      <alignment horizontal="left" vertical="top" wrapText="1"/>
      <protection hidden="1"/>
    </xf>
    <xf numFmtId="9" fontId="32" fillId="0" borderId="40" xfId="0" applyNumberFormat="1" applyFont="1" applyFill="1" applyBorder="1" applyAlignment="1" applyProtection="1">
      <alignment horizontal="center"/>
      <protection hidden="1"/>
    </xf>
    <xf numFmtId="9" fontId="32" fillId="0" borderId="40" xfId="0" applyNumberFormat="1" applyFont="1" applyBorder="1" applyAlignment="1" applyProtection="1">
      <alignment horizontal="center"/>
      <protection hidden="1"/>
    </xf>
    <xf numFmtId="0" fontId="32" fillId="0" borderId="1" xfId="0" applyFont="1" applyFill="1" applyBorder="1" applyAlignment="1" applyProtection="1">
      <alignment horizontal="center" vertical="center"/>
      <protection hidden="1"/>
    </xf>
    <xf numFmtId="0" fontId="32" fillId="0" borderId="14" xfId="0" applyFont="1" applyBorder="1" applyAlignment="1" applyProtection="1">
      <alignment horizontal="center" vertical="center" wrapText="1"/>
      <protection hidden="1"/>
    </xf>
    <xf numFmtId="0" fontId="35" fillId="0" borderId="1" xfId="0" applyFont="1" applyBorder="1" applyAlignment="1" applyProtection="1">
      <alignment wrapText="1"/>
      <protection hidden="1"/>
    </xf>
    <xf numFmtId="9" fontId="35" fillId="0" borderId="1" xfId="0" applyNumberFormat="1" applyFont="1" applyBorder="1" applyAlignment="1" applyProtection="1">
      <alignment horizontal="center" vertical="center"/>
      <protection hidden="1"/>
    </xf>
    <xf numFmtId="3" fontId="35" fillId="7" borderId="1" xfId="0" applyNumberFormat="1" applyFont="1" applyFill="1" applyBorder="1" applyAlignment="1" applyProtection="1">
      <alignment horizontal="center" vertical="center"/>
      <protection hidden="1"/>
    </xf>
    <xf numFmtId="10" fontId="35" fillId="0" borderId="1" xfId="0" applyNumberFormat="1" applyFont="1" applyBorder="1" applyAlignment="1" applyProtection="1">
      <alignment horizontal="center" vertical="center"/>
      <protection hidden="1"/>
    </xf>
    <xf numFmtId="0" fontId="32" fillId="0" borderId="30" xfId="0" applyFont="1" applyBorder="1" applyAlignment="1" applyProtection="1">
      <alignment horizontal="center" vertical="center" wrapText="1"/>
      <protection hidden="1"/>
    </xf>
    <xf numFmtId="0" fontId="35" fillId="0" borderId="41" xfId="0" applyFont="1" applyBorder="1" applyAlignment="1" applyProtection="1">
      <alignment wrapText="1"/>
      <protection hidden="1"/>
    </xf>
    <xf numFmtId="3" fontId="35" fillId="7" borderId="41" xfId="0" applyNumberFormat="1" applyFont="1" applyFill="1" applyBorder="1" applyAlignment="1" applyProtection="1">
      <alignment horizontal="center" vertical="center"/>
      <protection hidden="1"/>
    </xf>
    <xf numFmtId="0" fontId="32" fillId="0" borderId="0" xfId="0" applyFont="1" applyBorder="1" applyProtection="1">
      <protection hidden="1"/>
    </xf>
    <xf numFmtId="3" fontId="34" fillId="0" borderId="1" xfId="0" applyNumberFormat="1" applyFont="1" applyFill="1" applyBorder="1" applyProtection="1">
      <protection locked="0"/>
    </xf>
    <xf numFmtId="0" fontId="51" fillId="0" borderId="0" xfId="2" applyFont="1" applyProtection="1">
      <protection hidden="1"/>
    </xf>
    <xf numFmtId="0" fontId="51" fillId="0" borderId="0" xfId="2" applyFont="1" applyAlignment="1" applyProtection="1">
      <alignment horizontal="center" vertical="center" wrapText="1"/>
      <protection hidden="1"/>
    </xf>
    <xf numFmtId="0" fontId="52" fillId="12" borderId="0" xfId="2" applyFont="1" applyFill="1" applyProtection="1">
      <protection hidden="1"/>
    </xf>
    <xf numFmtId="0" fontId="52" fillId="12" borderId="0" xfId="2" applyFont="1" applyFill="1" applyBorder="1" applyProtection="1">
      <protection hidden="1"/>
    </xf>
    <xf numFmtId="0" fontId="52" fillId="12" borderId="0" xfId="2" applyFont="1" applyFill="1" applyAlignment="1" applyProtection="1">
      <alignment horizontal="center" wrapText="1"/>
      <protection hidden="1"/>
    </xf>
    <xf numFmtId="0" fontId="53" fillId="12" borderId="0" xfId="0" applyFont="1" applyFill="1" applyAlignment="1" applyProtection="1">
      <alignment horizontal="center" wrapText="1"/>
      <protection hidden="1"/>
    </xf>
    <xf numFmtId="0" fontId="54" fillId="12" borderId="0" xfId="0" applyFont="1" applyFill="1" applyAlignment="1" applyProtection="1">
      <alignment horizontal="justify"/>
      <protection hidden="1"/>
    </xf>
    <xf numFmtId="0" fontId="36" fillId="0" borderId="0" xfId="0" applyFont="1" applyAlignment="1" applyProtection="1">
      <alignment horizontal="center" vertical="center" wrapText="1"/>
      <protection hidden="1"/>
    </xf>
    <xf numFmtId="0" fontId="55" fillId="12" borderId="0" xfId="0" applyFont="1" applyFill="1" applyAlignment="1" applyProtection="1">
      <alignment horizontal="center" vertical="center" wrapText="1"/>
      <protection hidden="1"/>
    </xf>
    <xf numFmtId="175" fontId="56" fillId="0" borderId="0" xfId="2" applyNumberFormat="1" applyFont="1" applyBorder="1" applyAlignment="1" applyProtection="1">
      <alignment horizontal="left" vertical="center" wrapText="1"/>
      <protection hidden="1"/>
    </xf>
    <xf numFmtId="15" fontId="56" fillId="0" borderId="0" xfId="2" applyNumberFormat="1" applyFont="1" applyBorder="1" applyAlignment="1" applyProtection="1">
      <alignment horizontal="center" vertical="center" wrapText="1"/>
      <protection hidden="1"/>
    </xf>
    <xf numFmtId="0" fontId="56" fillId="0" borderId="1" xfId="2" applyFont="1" applyBorder="1" applyAlignment="1" applyProtection="1">
      <alignment horizontal="center" vertical="center"/>
      <protection hidden="1"/>
    </xf>
    <xf numFmtId="0" fontId="56" fillId="0" borderId="1" xfId="2" applyFont="1" applyBorder="1" applyAlignment="1" applyProtection="1">
      <alignment horizontal="center" vertical="center" wrapText="1"/>
      <protection hidden="1"/>
    </xf>
    <xf numFmtId="49" fontId="6" fillId="0" borderId="1" xfId="0" quotePrefix="1" applyNumberFormat="1" applyFont="1" applyBorder="1" applyAlignment="1" applyProtection="1">
      <alignment horizontal="center"/>
      <protection hidden="1"/>
    </xf>
    <xf numFmtId="0" fontId="51" fillId="0" borderId="1" xfId="2" applyFont="1" applyBorder="1" applyAlignment="1" applyProtection="1">
      <alignment horizontal="center" vertical="center"/>
      <protection hidden="1"/>
    </xf>
    <xf numFmtId="0" fontId="57" fillId="0" borderId="0" xfId="2" applyFont="1" applyProtection="1">
      <protection hidden="1"/>
    </xf>
    <xf numFmtId="170" fontId="56" fillId="0" borderId="1" xfId="10" applyNumberFormat="1" applyFont="1" applyBorder="1" applyAlignment="1" applyProtection="1">
      <alignment horizontal="center" vertical="center" wrapText="1"/>
      <protection hidden="1"/>
    </xf>
    <xf numFmtId="0" fontId="51" fillId="0" borderId="1" xfId="2" applyFont="1" applyBorder="1" applyAlignment="1" applyProtection="1">
      <alignment vertical="center" wrapText="1"/>
      <protection hidden="1"/>
    </xf>
    <xf numFmtId="172" fontId="52" fillId="12" borderId="0" xfId="2" applyNumberFormat="1" applyFont="1" applyFill="1" applyProtection="1">
      <protection hidden="1"/>
    </xf>
    <xf numFmtId="49" fontId="52" fillId="12" borderId="0" xfId="2" applyNumberFormat="1" applyFont="1" applyFill="1" applyProtection="1">
      <protection hidden="1"/>
    </xf>
    <xf numFmtId="1" fontId="52" fillId="12" borderId="0" xfId="2" applyNumberFormat="1" applyFont="1" applyFill="1" applyProtection="1">
      <protection hidden="1"/>
    </xf>
    <xf numFmtId="0" fontId="58" fillId="12" borderId="0" xfId="2" applyFont="1" applyFill="1" applyBorder="1" applyAlignment="1" applyProtection="1">
      <alignment horizontal="right"/>
      <protection hidden="1"/>
    </xf>
    <xf numFmtId="14" fontId="52" fillId="12" borderId="0" xfId="2" applyNumberFormat="1" applyFont="1" applyFill="1" applyProtection="1">
      <protection hidden="1"/>
    </xf>
    <xf numFmtId="0" fontId="59" fillId="0" borderId="1" xfId="2" applyFont="1" applyBorder="1" applyAlignment="1" applyProtection="1">
      <alignment vertical="center" wrapText="1"/>
      <protection hidden="1"/>
    </xf>
    <xf numFmtId="0" fontId="37" fillId="0" borderId="1" xfId="2" applyFont="1" applyBorder="1" applyAlignment="1" applyProtection="1">
      <alignment vertical="center" wrapText="1"/>
      <protection hidden="1"/>
    </xf>
    <xf numFmtId="170" fontId="56" fillId="0" borderId="1" xfId="10" applyNumberFormat="1" applyFont="1" applyFill="1" applyBorder="1" applyAlignment="1" applyProtection="1">
      <alignment horizontal="center" vertical="center" wrapText="1"/>
      <protection hidden="1"/>
    </xf>
    <xf numFmtId="0" fontId="51" fillId="12" borderId="0" xfId="2" applyFont="1" applyFill="1" applyBorder="1" applyAlignment="1" applyProtection="1">
      <alignment horizontal="center" vertical="center"/>
      <protection hidden="1"/>
    </xf>
    <xf numFmtId="0" fontId="51" fillId="12" borderId="0" xfId="2" applyFont="1" applyFill="1" applyBorder="1" applyAlignment="1" applyProtection="1">
      <alignment vertical="center" wrapText="1"/>
      <protection hidden="1"/>
    </xf>
    <xf numFmtId="0" fontId="51" fillId="12" borderId="0" xfId="2" applyFont="1" applyFill="1" applyBorder="1" applyAlignment="1" applyProtection="1">
      <alignment horizontal="center" vertical="center" wrapText="1"/>
      <protection hidden="1"/>
    </xf>
    <xf numFmtId="16" fontId="51" fillId="0" borderId="1" xfId="2" applyNumberFormat="1" applyFont="1" applyBorder="1" applyAlignment="1" applyProtection="1">
      <alignment horizontal="center" vertical="center"/>
      <protection hidden="1"/>
    </xf>
    <xf numFmtId="0" fontId="41" fillId="0" borderId="1" xfId="2" applyFont="1" applyBorder="1" applyAlignment="1" applyProtection="1">
      <alignment vertical="center" wrapText="1"/>
      <protection hidden="1"/>
    </xf>
    <xf numFmtId="0" fontId="53" fillId="12" borderId="0" xfId="2" applyFont="1" applyFill="1" applyProtection="1">
      <protection hidden="1"/>
    </xf>
    <xf numFmtId="0" fontId="52" fillId="12" borderId="0" xfId="2" applyFont="1" applyFill="1" applyBorder="1" applyAlignment="1" applyProtection="1">
      <alignment vertical="center" wrapText="1"/>
      <protection hidden="1"/>
    </xf>
    <xf numFmtId="0" fontId="60" fillId="0" borderId="0" xfId="2" applyFont="1" applyProtection="1">
      <protection hidden="1"/>
    </xf>
    <xf numFmtId="0" fontId="56" fillId="0" borderId="1" xfId="2" applyFont="1" applyBorder="1" applyAlignment="1" applyProtection="1">
      <alignment vertical="center" wrapText="1"/>
      <protection hidden="1"/>
    </xf>
    <xf numFmtId="0" fontId="27" fillId="0" borderId="0" xfId="0" applyFont="1" applyProtection="1">
      <protection hidden="1"/>
    </xf>
    <xf numFmtId="0" fontId="51" fillId="0" borderId="1" xfId="2" applyFont="1" applyBorder="1" applyAlignment="1" applyProtection="1">
      <alignment wrapText="1"/>
      <protection hidden="1"/>
    </xf>
    <xf numFmtId="0" fontId="59" fillId="0" borderId="1" xfId="2" applyFont="1" applyBorder="1" applyAlignment="1" applyProtection="1">
      <alignment horizontal="right"/>
      <protection hidden="1"/>
    </xf>
    <xf numFmtId="10" fontId="54" fillId="12" borderId="0" xfId="0" applyNumberFormat="1" applyFont="1" applyFill="1" applyAlignment="1" applyProtection="1">
      <alignment horizontal="justify"/>
      <protection hidden="1"/>
    </xf>
    <xf numFmtId="0" fontId="51" fillId="0" borderId="0" xfId="2" applyFont="1" applyBorder="1" applyProtection="1">
      <protection hidden="1"/>
    </xf>
    <xf numFmtId="0" fontId="51" fillId="0" borderId="0" xfId="2" applyFont="1" applyAlignment="1" applyProtection="1">
      <alignment horizontal="center"/>
      <protection hidden="1"/>
    </xf>
    <xf numFmtId="10" fontId="3" fillId="0" borderId="3" xfId="0" applyNumberFormat="1" applyFont="1" applyBorder="1" applyProtection="1">
      <protection hidden="1"/>
    </xf>
    <xf numFmtId="3" fontId="5" fillId="0" borderId="1" xfId="0" applyNumberFormat="1" applyFont="1" applyFill="1" applyBorder="1" applyProtection="1">
      <protection hidden="1"/>
    </xf>
    <xf numFmtId="3" fontId="5" fillId="0" borderId="1" xfId="9" applyNumberFormat="1" applyFont="1" applyFill="1" applyBorder="1" applyProtection="1">
      <protection hidden="1"/>
    </xf>
    <xf numFmtId="3" fontId="6" fillId="0" borderId="1" xfId="0" applyNumberFormat="1" applyFont="1" applyBorder="1" applyProtection="1">
      <protection locked="0"/>
    </xf>
    <xf numFmtId="3" fontId="6" fillId="0" borderId="1" xfId="0" applyNumberFormat="1" applyFont="1" applyBorder="1" applyProtection="1">
      <protection hidden="1"/>
    </xf>
    <xf numFmtId="0" fontId="6" fillId="0" borderId="1" xfId="0" applyFont="1" applyBorder="1" applyProtection="1">
      <protection locked="0"/>
    </xf>
    <xf numFmtId="3" fontId="3" fillId="0" borderId="3" xfId="0" applyNumberFormat="1" applyFont="1" applyBorder="1" applyProtection="1">
      <protection hidden="1"/>
    </xf>
    <xf numFmtId="0" fontId="3" fillId="0" borderId="46" xfId="0" applyFont="1" applyBorder="1"/>
    <xf numFmtId="0" fontId="24" fillId="0" borderId="0" xfId="0" applyFont="1" applyBorder="1" applyAlignment="1">
      <alignment horizontal="center"/>
    </xf>
    <xf numFmtId="0" fontId="25" fillId="0" borderId="0" xfId="0" applyFont="1" applyBorder="1"/>
    <xf numFmtId="0" fontId="3" fillId="0" borderId="44" xfId="0" applyFont="1" applyBorder="1"/>
    <xf numFmtId="3" fontId="6" fillId="0" borderId="7" xfId="0" applyNumberFormat="1" applyFont="1" applyBorder="1" applyProtection="1"/>
    <xf numFmtId="3" fontId="6" fillId="0" borderId="40" xfId="0" applyNumberFormat="1" applyFont="1" applyBorder="1" applyAlignment="1" applyProtection="1">
      <alignment horizontal="centerContinuous" vertical="center"/>
    </xf>
    <xf numFmtId="0" fontId="6" fillId="0" borderId="40" xfId="0" applyFont="1" applyBorder="1" applyAlignment="1" applyProtection="1">
      <alignment horizontal="centerContinuous" vertical="center"/>
    </xf>
    <xf numFmtId="3" fontId="6" fillId="0" borderId="13" xfId="0" applyNumberFormat="1" applyFont="1" applyBorder="1" applyAlignment="1" applyProtection="1">
      <alignment horizontal="center" vertical="center" wrapText="1"/>
    </xf>
    <xf numFmtId="49" fontId="6" fillId="0" borderId="6" xfId="0" applyNumberFormat="1" applyFont="1" applyBorder="1" applyAlignment="1" applyProtection="1">
      <alignment horizontal="center"/>
    </xf>
    <xf numFmtId="3" fontId="6" fillId="0" borderId="7" xfId="0" applyNumberFormat="1" applyFont="1" applyBorder="1" applyAlignment="1" applyProtection="1">
      <alignment horizontal="center"/>
    </xf>
    <xf numFmtId="0" fontId="6" fillId="0" borderId="7" xfId="0" applyFont="1" applyBorder="1" applyAlignment="1" applyProtection="1">
      <alignment horizontal="center"/>
    </xf>
    <xf numFmtId="0" fontId="6" fillId="0" borderId="9" xfId="0" applyFont="1" applyBorder="1" applyAlignment="1" applyProtection="1">
      <alignment horizontal="center"/>
    </xf>
    <xf numFmtId="49" fontId="3" fillId="0" borderId="25" xfId="0" applyNumberFormat="1" applyFont="1" applyBorder="1" applyProtection="1"/>
    <xf numFmtId="3" fontId="6" fillId="0" borderId="3" xfId="0" applyNumberFormat="1" applyFont="1" applyFill="1" applyBorder="1" applyAlignment="1" applyProtection="1">
      <alignment horizontal="center"/>
    </xf>
    <xf numFmtId="9" fontId="3" fillId="0" borderId="3" xfId="9" applyFont="1" applyFill="1" applyBorder="1" applyProtection="1"/>
    <xf numFmtId="3" fontId="3" fillId="0" borderId="3" xfId="9" applyNumberFormat="1" applyFont="1" applyBorder="1" applyProtection="1"/>
    <xf numFmtId="3" fontId="3" fillId="0" borderId="31" xfId="0" applyNumberFormat="1" applyFont="1" applyFill="1" applyBorder="1" applyProtection="1"/>
    <xf numFmtId="9" fontId="3" fillId="0" borderId="1" xfId="9" applyFont="1" applyFill="1" applyBorder="1" applyProtection="1"/>
    <xf numFmtId="3" fontId="3" fillId="0" borderId="1" xfId="9" applyNumberFormat="1" applyFont="1" applyBorder="1" applyProtection="1"/>
    <xf numFmtId="3" fontId="3" fillId="13" borderId="15" xfId="0" applyNumberFormat="1" applyFont="1" applyFill="1" applyBorder="1" applyProtection="1"/>
    <xf numFmtId="3" fontId="3" fillId="0" borderId="15" xfId="0" applyNumberFormat="1" applyFont="1" applyFill="1" applyBorder="1" applyProtection="1"/>
    <xf numFmtId="9" fontId="3" fillId="0" borderId="41" xfId="9" applyFont="1" applyFill="1" applyBorder="1" applyProtection="1"/>
    <xf numFmtId="3" fontId="3" fillId="0" borderId="41" xfId="9" applyNumberFormat="1" applyFont="1" applyBorder="1" applyProtection="1"/>
    <xf numFmtId="3" fontId="3" fillId="0" borderId="18" xfId="0" applyNumberFormat="1" applyFont="1" applyFill="1" applyBorder="1" applyProtection="1"/>
    <xf numFmtId="3" fontId="3" fillId="0" borderId="9" xfId="0" applyNumberFormat="1" applyFont="1" applyFill="1" applyBorder="1" applyProtection="1"/>
    <xf numFmtId="49" fontId="3" fillId="0" borderId="0" xfId="0" applyNumberFormat="1" applyFont="1" applyProtection="1"/>
    <xf numFmtId="3" fontId="3" fillId="0" borderId="0" xfId="0" applyNumberFormat="1" applyFont="1" applyProtection="1"/>
    <xf numFmtId="3" fontId="48" fillId="0" borderId="0" xfId="0" applyNumberFormat="1" applyFont="1" applyProtection="1"/>
    <xf numFmtId="49" fontId="6" fillId="0" borderId="47" xfId="0" applyNumberFormat="1" applyFont="1" applyBorder="1" applyAlignment="1" applyProtection="1">
      <alignment horizontal="center"/>
    </xf>
    <xf numFmtId="3" fontId="6" fillId="0" borderId="48" xfId="0" applyNumberFormat="1" applyFont="1" applyBorder="1" applyAlignment="1" applyProtection="1">
      <alignment horizontal="center" wrapText="1"/>
    </xf>
    <xf numFmtId="3" fontId="6" fillId="0" borderId="48" xfId="0" applyNumberFormat="1" applyFont="1" applyBorder="1" applyAlignment="1" applyProtection="1">
      <alignment horizontal="center"/>
    </xf>
    <xf numFmtId="0" fontId="6" fillId="0" borderId="48" xfId="0" applyFont="1" applyBorder="1" applyAlignment="1" applyProtection="1">
      <alignment horizontal="center"/>
    </xf>
    <xf numFmtId="0" fontId="6" fillId="0" borderId="49" xfId="0" applyFont="1" applyBorder="1" applyAlignment="1" applyProtection="1">
      <alignment horizontal="center"/>
    </xf>
    <xf numFmtId="49" fontId="3" fillId="0" borderId="12" xfId="0" applyNumberFormat="1" applyFont="1" applyBorder="1" applyProtection="1"/>
    <xf numFmtId="3" fontId="6" fillId="0" borderId="40" xfId="0" applyNumberFormat="1" applyFont="1" applyBorder="1" applyAlignment="1" applyProtection="1">
      <alignment horizontal="center" wrapText="1"/>
    </xf>
    <xf numFmtId="3" fontId="3" fillId="0" borderId="40" xfId="0" applyNumberFormat="1" applyFont="1" applyBorder="1" applyProtection="1"/>
    <xf numFmtId="9" fontId="3" fillId="0" borderId="40" xfId="9" applyFont="1" applyBorder="1" applyProtection="1"/>
    <xf numFmtId="3" fontId="3" fillId="0" borderId="40" xfId="9" applyNumberFormat="1" applyFont="1" applyBorder="1" applyProtection="1"/>
    <xf numFmtId="3" fontId="3" fillId="0" borderId="29" xfId="0" applyNumberFormat="1" applyFont="1" applyBorder="1" applyProtection="1"/>
    <xf numFmtId="49" fontId="6" fillId="0" borderId="14" xfId="0" applyNumberFormat="1" applyFont="1" applyBorder="1" applyAlignment="1" applyProtection="1">
      <alignment horizontal="left"/>
    </xf>
    <xf numFmtId="3" fontId="6" fillId="0" borderId="1" xfId="0" applyNumberFormat="1" applyFont="1" applyBorder="1" applyAlignment="1" applyProtection="1">
      <alignment wrapText="1"/>
    </xf>
    <xf numFmtId="9" fontId="3" fillId="0" borderId="1" xfId="9" applyFont="1" applyBorder="1" applyProtection="1"/>
    <xf numFmtId="3" fontId="3" fillId="0" borderId="15" xfId="0" applyNumberFormat="1" applyFont="1" applyBorder="1" applyProtection="1"/>
    <xf numFmtId="3" fontId="3" fillId="0" borderId="1" xfId="0" applyNumberFormat="1" applyFont="1" applyBorder="1" applyAlignment="1" applyProtection="1">
      <alignment wrapText="1"/>
    </xf>
    <xf numFmtId="49" fontId="6" fillId="0" borderId="14" xfId="0" applyNumberFormat="1" applyFont="1" applyFill="1" applyBorder="1" applyAlignment="1" applyProtection="1">
      <alignment horizontal="left"/>
    </xf>
    <xf numFmtId="3" fontId="3" fillId="0" borderId="1" xfId="0" applyNumberFormat="1" applyFont="1" applyFill="1" applyBorder="1" applyAlignment="1" applyProtection="1">
      <alignment wrapText="1"/>
    </xf>
    <xf numFmtId="3" fontId="3" fillId="0" borderId="1" xfId="9" applyNumberFormat="1" applyFont="1" applyFill="1" applyBorder="1" applyProtection="1"/>
    <xf numFmtId="3" fontId="17" fillId="0" borderId="1" xfId="0" applyNumberFormat="1" applyFont="1" applyFill="1" applyBorder="1" applyAlignment="1" applyProtection="1">
      <alignment wrapText="1"/>
    </xf>
    <xf numFmtId="3" fontId="6" fillId="0" borderId="1" xfId="0" applyNumberFormat="1" applyFont="1" applyFill="1" applyBorder="1" applyAlignment="1" applyProtection="1">
      <alignment wrapText="1"/>
    </xf>
    <xf numFmtId="49" fontId="6" fillId="0" borderId="14" xfId="0" applyNumberFormat="1" applyFont="1" applyFill="1" applyBorder="1" applyAlignment="1" applyProtection="1">
      <alignment horizontal="left" vertical="top"/>
    </xf>
    <xf numFmtId="3" fontId="3" fillId="0" borderId="1" xfId="0" quotePrefix="1" applyNumberFormat="1" applyFont="1" applyFill="1" applyBorder="1" applyAlignment="1" applyProtection="1">
      <alignment horizontal="left" wrapText="1"/>
    </xf>
    <xf numFmtId="49" fontId="6" fillId="0" borderId="14" xfId="0" quotePrefix="1" applyNumberFormat="1" applyFont="1" applyFill="1" applyBorder="1" applyAlignment="1" applyProtection="1">
      <alignment horizontal="left"/>
    </xf>
    <xf numFmtId="49" fontId="6" fillId="0" borderId="30" xfId="0" applyNumberFormat="1" applyFont="1" applyFill="1" applyBorder="1" applyAlignment="1" applyProtection="1">
      <alignment horizontal="left"/>
    </xf>
    <xf numFmtId="3" fontId="3" fillId="0" borderId="41" xfId="0" applyNumberFormat="1" applyFont="1" applyFill="1" applyBorder="1" applyAlignment="1" applyProtection="1">
      <alignment wrapText="1"/>
    </xf>
    <xf numFmtId="3" fontId="3" fillId="0" borderId="41" xfId="9" applyNumberFormat="1" applyFont="1" applyFill="1" applyBorder="1" applyProtection="1"/>
    <xf numFmtId="49" fontId="6" fillId="0" borderId="43" xfId="0" applyNumberFormat="1" applyFont="1" applyFill="1" applyBorder="1" applyAlignment="1" applyProtection="1">
      <alignment horizontal="left"/>
    </xf>
    <xf numFmtId="3" fontId="6" fillId="0" borderId="8" xfId="0" applyNumberFormat="1" applyFont="1" applyFill="1" applyBorder="1" applyAlignment="1" applyProtection="1">
      <alignment wrapText="1"/>
    </xf>
    <xf numFmtId="9" fontId="3" fillId="0" borderId="8" xfId="9" applyFont="1" applyFill="1" applyBorder="1" applyProtection="1"/>
    <xf numFmtId="3" fontId="3" fillId="0" borderId="50" xfId="9" applyNumberFormat="1" applyFont="1" applyFill="1" applyBorder="1" applyProtection="1"/>
    <xf numFmtId="3" fontId="3" fillId="0" borderId="42" xfId="0" applyNumberFormat="1" applyFont="1" applyFill="1" applyBorder="1" applyProtection="1"/>
    <xf numFmtId="0" fontId="5" fillId="0" borderId="12" xfId="0" applyFont="1" applyBorder="1" applyAlignment="1" applyProtection="1">
      <alignment horizontal="center" vertical="center"/>
      <protection hidden="1"/>
    </xf>
    <xf numFmtId="0" fontId="5" fillId="0" borderId="40" xfId="0" applyFont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/>
      <protection hidden="1"/>
    </xf>
    <xf numFmtId="0" fontId="3" fillId="0" borderId="25" xfId="0" applyFont="1" applyBorder="1" applyAlignment="1" applyProtection="1">
      <alignment vertical="center"/>
      <protection hidden="1"/>
    </xf>
    <xf numFmtId="0" fontId="3" fillId="0" borderId="51" xfId="0" applyFont="1" applyBorder="1" applyAlignment="1" applyProtection="1">
      <alignment horizontal="center"/>
      <protection hidden="1"/>
    </xf>
    <xf numFmtId="0" fontId="3" fillId="0" borderId="39" xfId="0" applyFont="1" applyBorder="1" applyAlignment="1" applyProtection="1">
      <alignment horizontal="center"/>
      <protection hidden="1"/>
    </xf>
    <xf numFmtId="0" fontId="6" fillId="0" borderId="14" xfId="0" applyFont="1" applyBorder="1" applyAlignment="1" applyProtection="1">
      <alignment horizontal="center" vertical="center"/>
      <protection hidden="1"/>
    </xf>
    <xf numFmtId="2" fontId="3" fillId="0" borderId="13" xfId="0" applyNumberFormat="1" applyFont="1" applyBorder="1" applyAlignment="1" applyProtection="1">
      <alignment horizontal="center"/>
      <protection hidden="1"/>
    </xf>
    <xf numFmtId="2" fontId="3" fillId="0" borderId="3" xfId="0" applyNumberFormat="1" applyFont="1" applyBorder="1" applyAlignment="1" applyProtection="1">
      <alignment horizontal="center"/>
      <protection hidden="1"/>
    </xf>
    <xf numFmtId="169" fontId="3" fillId="0" borderId="3" xfId="0" applyNumberFormat="1" applyFont="1" applyBorder="1" applyAlignment="1" applyProtection="1">
      <alignment horizontal="center"/>
      <protection hidden="1"/>
    </xf>
    <xf numFmtId="2" fontId="3" fillId="0" borderId="51" xfId="0" applyNumberFormat="1" applyFont="1" applyBorder="1" applyAlignment="1" applyProtection="1">
      <alignment horizontal="center"/>
      <protection hidden="1"/>
    </xf>
    <xf numFmtId="2" fontId="3" fillId="0" borderId="51" xfId="0" applyNumberFormat="1" applyFont="1" applyFill="1" applyBorder="1" applyAlignment="1" applyProtection="1">
      <alignment horizontal="center"/>
      <protection hidden="1"/>
    </xf>
    <xf numFmtId="0" fontId="29" fillId="0" borderId="0" xfId="0" applyFont="1" applyFill="1" applyBorder="1" applyAlignment="1" applyProtection="1">
      <alignment horizontal="centerContinuous" wrapText="1"/>
      <protection hidden="1"/>
    </xf>
    <xf numFmtId="0" fontId="29" fillId="0" borderId="52" xfId="0" applyFont="1" applyFill="1" applyBorder="1" applyAlignment="1" applyProtection="1">
      <alignment horizontal="centerContinuous" wrapText="1"/>
      <protection hidden="1"/>
    </xf>
    <xf numFmtId="2" fontId="3" fillId="0" borderId="13" xfId="0" applyNumberFormat="1" applyFont="1" applyFill="1" applyBorder="1" applyAlignment="1" applyProtection="1">
      <alignment horizontal="center"/>
      <protection hidden="1"/>
    </xf>
    <xf numFmtId="2" fontId="3" fillId="0" borderId="3" xfId="0" applyNumberFormat="1" applyFont="1" applyFill="1" applyBorder="1" applyAlignment="1" applyProtection="1">
      <alignment horizontal="center"/>
      <protection hidden="1"/>
    </xf>
    <xf numFmtId="0" fontId="29" fillId="0" borderId="4" xfId="0" applyFont="1" applyFill="1" applyBorder="1" applyAlignment="1" applyProtection="1">
      <alignment horizontal="centerContinuous" wrapText="1"/>
      <protection hidden="1"/>
    </xf>
    <xf numFmtId="0" fontId="29" fillId="0" borderId="37" xfId="0" applyFont="1" applyFill="1" applyBorder="1" applyAlignment="1" applyProtection="1">
      <alignment horizontal="centerContinuous"/>
      <protection hidden="1"/>
    </xf>
    <xf numFmtId="0" fontId="29" fillId="0" borderId="16" xfId="0" applyFont="1" applyFill="1" applyBorder="1" applyAlignment="1" applyProtection="1">
      <alignment horizontal="centerContinuous"/>
      <protection hidden="1"/>
    </xf>
    <xf numFmtId="0" fontId="29" fillId="0" borderId="2" xfId="0" applyFont="1" applyFill="1" applyBorder="1" applyAlignment="1" applyProtection="1">
      <alignment horizontal="centerContinuous"/>
      <protection hidden="1"/>
    </xf>
    <xf numFmtId="0" fontId="29" fillId="0" borderId="44" xfId="0" applyFont="1" applyFill="1" applyBorder="1" applyAlignment="1" applyProtection="1">
      <alignment horizontal="centerContinuous"/>
      <protection hidden="1"/>
    </xf>
    <xf numFmtId="0" fontId="29" fillId="0" borderId="53" xfId="0" applyFont="1" applyFill="1" applyBorder="1" applyAlignment="1" applyProtection="1">
      <alignment horizontal="centerContinuous"/>
      <protection hidden="1"/>
    </xf>
    <xf numFmtId="0" fontId="29" fillId="0" borderId="4" xfId="0" applyFont="1" applyBorder="1" applyAlignment="1" applyProtection="1">
      <alignment horizontal="centerContinuous" wrapText="1"/>
      <protection hidden="1"/>
    </xf>
    <xf numFmtId="0" fontId="29" fillId="0" borderId="37" xfId="0" applyFont="1" applyBorder="1" applyAlignment="1" applyProtection="1">
      <alignment horizontal="centerContinuous"/>
      <protection hidden="1"/>
    </xf>
    <xf numFmtId="0" fontId="29" fillId="0" borderId="16" xfId="0" applyFont="1" applyBorder="1" applyAlignment="1" applyProtection="1">
      <alignment horizontal="centerContinuous"/>
      <protection hidden="1"/>
    </xf>
    <xf numFmtId="0" fontId="6" fillId="0" borderId="25" xfId="0" applyFont="1" applyBorder="1" applyAlignment="1" applyProtection="1">
      <alignment horizontal="center" vertical="center"/>
      <protection hidden="1"/>
    </xf>
    <xf numFmtId="2" fontId="3" fillId="0" borderId="8" xfId="0" applyNumberFormat="1" applyFont="1" applyBorder="1" applyAlignment="1" applyProtection="1">
      <alignment horizontal="center"/>
      <protection hidden="1"/>
    </xf>
    <xf numFmtId="169" fontId="3" fillId="0" borderId="51" xfId="0" applyNumberFormat="1" applyFont="1" applyFill="1" applyBorder="1" applyAlignment="1" applyProtection="1">
      <alignment horizontal="center"/>
      <protection hidden="1"/>
    </xf>
    <xf numFmtId="9" fontId="48" fillId="0" borderId="0" xfId="9" applyFont="1" applyFill="1" applyBorder="1" applyProtection="1">
      <protection hidden="1"/>
    </xf>
    <xf numFmtId="3" fontId="48" fillId="0" borderId="0" xfId="9" applyNumberFormat="1" applyFont="1" applyFill="1" applyBorder="1" applyProtection="1">
      <protection hidden="1"/>
    </xf>
    <xf numFmtId="3" fontId="48" fillId="0" borderId="0" xfId="0" applyNumberFormat="1" applyFont="1" applyFill="1" applyBorder="1" applyProtection="1">
      <protection hidden="1"/>
    </xf>
    <xf numFmtId="3" fontId="61" fillId="0" borderId="0" xfId="0" applyNumberFormat="1" applyFont="1" applyFill="1" applyBorder="1" applyProtection="1">
      <protection hidden="1"/>
    </xf>
    <xf numFmtId="3" fontId="44" fillId="0" borderId="1" xfId="0" applyNumberFormat="1" applyFont="1" applyFill="1" applyBorder="1" applyAlignment="1" applyProtection="1">
      <alignment horizontal="right" vertical="top"/>
      <protection locked="0"/>
    </xf>
    <xf numFmtId="3" fontId="34" fillId="0" borderId="1" xfId="0" applyNumberFormat="1" applyFont="1" applyFill="1" applyBorder="1" applyAlignment="1" applyProtection="1">
      <alignment horizontal="right" vertical="center"/>
      <protection locked="0"/>
    </xf>
    <xf numFmtId="3" fontId="34" fillId="0" borderId="1" xfId="0" applyNumberFormat="1" applyFont="1" applyBorder="1" applyAlignment="1" applyProtection="1">
      <alignment vertical="center" wrapText="1"/>
      <protection locked="0" hidden="1"/>
    </xf>
    <xf numFmtId="3" fontId="34" fillId="0" borderId="1" xfId="0" applyNumberFormat="1" applyFont="1" applyFill="1" applyBorder="1" applyAlignment="1" applyProtection="1">
      <alignment horizontal="right" vertical="top"/>
      <protection locked="0"/>
    </xf>
    <xf numFmtId="0" fontId="34" fillId="0" borderId="1" xfId="0" applyFont="1" applyFill="1" applyBorder="1" applyAlignment="1" applyProtection="1">
      <alignment vertical="center" wrapText="1"/>
      <protection locked="0" hidden="1"/>
    </xf>
    <xf numFmtId="3" fontId="34" fillId="0" borderId="1" xfId="0" applyNumberFormat="1" applyFont="1" applyFill="1" applyBorder="1" applyAlignment="1" applyProtection="1">
      <alignment horizontal="right" vertical="center"/>
    </xf>
    <xf numFmtId="49" fontId="6" fillId="0" borderId="14" xfId="0" applyNumberFormat="1" applyFont="1" applyFill="1" applyBorder="1" applyAlignment="1" applyProtection="1">
      <alignment horizontal="center"/>
    </xf>
    <xf numFmtId="49" fontId="6" fillId="0" borderId="14" xfId="0" applyNumberFormat="1" applyFont="1" applyBorder="1" applyAlignment="1" applyProtection="1">
      <alignment horizontal="center"/>
    </xf>
    <xf numFmtId="49" fontId="6" fillId="0" borderId="14" xfId="0" quotePrefix="1" applyNumberFormat="1" applyFont="1" applyBorder="1" applyAlignment="1" applyProtection="1">
      <alignment horizontal="center"/>
    </xf>
    <xf numFmtId="49" fontId="6" fillId="0" borderId="30" xfId="0" quotePrefix="1" applyNumberFormat="1" applyFont="1" applyFill="1" applyBorder="1" applyAlignment="1" applyProtection="1">
      <alignment horizontal="center"/>
    </xf>
    <xf numFmtId="49" fontId="6" fillId="0" borderId="6" xfId="0" quotePrefix="1" applyNumberFormat="1" applyFont="1" applyBorder="1" applyAlignment="1" applyProtection="1">
      <alignment horizontal="center"/>
    </xf>
    <xf numFmtId="3" fontId="6" fillId="0" borderId="41" xfId="0" applyNumberFormat="1" applyFont="1" applyBorder="1" applyAlignment="1" applyProtection="1">
      <alignment horizontal="center" vertical="center" wrapText="1"/>
    </xf>
    <xf numFmtId="0" fontId="5" fillId="0" borderId="2" xfId="0" applyFont="1" applyFill="1" applyBorder="1" applyAlignment="1"/>
    <xf numFmtId="3" fontId="35" fillId="0" borderId="1" xfId="0" applyNumberFormat="1" applyFont="1" applyFill="1" applyBorder="1" applyAlignment="1" applyProtection="1">
      <alignment horizontal="right" vertical="top"/>
      <protection locked="0"/>
    </xf>
    <xf numFmtId="3" fontId="35" fillId="0" borderId="1" xfId="0" applyNumberFormat="1" applyFont="1" applyBorder="1" applyAlignment="1" applyProtection="1">
      <alignment horizontal="right" vertical="top"/>
      <protection locked="0"/>
    </xf>
    <xf numFmtId="3" fontId="35" fillId="0" borderId="1" xfId="0" applyNumberFormat="1" applyFont="1" applyBorder="1" applyProtection="1"/>
    <xf numFmtId="170" fontId="51" fillId="0" borderId="1" xfId="10" applyNumberFormat="1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52" fillId="0" borderId="0" xfId="2" applyFont="1" applyProtection="1">
      <protection hidden="1"/>
    </xf>
    <xf numFmtId="0" fontId="53" fillId="0" borderId="0" xfId="2" applyFont="1" applyProtection="1">
      <protection hidden="1"/>
    </xf>
    <xf numFmtId="0" fontId="52" fillId="0" borderId="0" xfId="2" applyFont="1" applyBorder="1" applyProtection="1">
      <protection hidden="1"/>
    </xf>
    <xf numFmtId="0" fontId="35" fillId="0" borderId="0" xfId="2" applyFont="1" applyProtection="1">
      <protection hidden="1"/>
    </xf>
    <xf numFmtId="0" fontId="31" fillId="0" borderId="0" xfId="2" applyFont="1" applyProtection="1">
      <protection hidden="1"/>
    </xf>
    <xf numFmtId="0" fontId="35" fillId="0" borderId="0" xfId="2" applyFont="1" applyBorder="1" applyProtection="1">
      <protection hidden="1"/>
    </xf>
    <xf numFmtId="3" fontId="0" fillId="0" borderId="1" xfId="0" applyNumberFormat="1" applyFont="1" applyFill="1" applyBorder="1" applyProtection="1">
      <protection locked="0"/>
    </xf>
    <xf numFmtId="3" fontId="7" fillId="0" borderId="3" xfId="0" applyNumberFormat="1" applyFont="1" applyBorder="1" applyAlignment="1" applyProtection="1">
      <alignment horizontal="right"/>
      <protection locked="0" hidden="1"/>
    </xf>
    <xf numFmtId="3" fontId="1" fillId="14" borderId="1" xfId="0" applyNumberFormat="1" applyFont="1" applyFill="1" applyBorder="1" applyAlignment="1" applyProtection="1">
      <alignment horizontal="right"/>
      <protection locked="0"/>
    </xf>
    <xf numFmtId="0" fontId="3" fillId="0" borderId="0" xfId="0" applyFont="1" applyProtection="1">
      <protection locked="0"/>
    </xf>
    <xf numFmtId="176" fontId="62" fillId="0" borderId="67" xfId="0" applyNumberFormat="1" applyFont="1" applyBorder="1" applyAlignment="1" applyProtection="1">
      <alignment horizontal="right" vertical="center" wrapText="1"/>
      <protection locked="0"/>
    </xf>
    <xf numFmtId="3" fontId="3" fillId="0" borderId="3" xfId="0" applyNumberFormat="1" applyFont="1" applyFill="1" applyBorder="1" applyProtection="1">
      <protection locked="0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175" fontId="34" fillId="0" borderId="0" xfId="0" applyNumberFormat="1" applyFont="1" applyBorder="1" applyAlignment="1">
      <alignment horizontal="left" wrapText="1"/>
    </xf>
    <xf numFmtId="0" fontId="33" fillId="0" borderId="1" xfId="0" applyFont="1" applyBorder="1" applyAlignment="1">
      <alignment horizontal="center" vertical="center" wrapText="1"/>
    </xf>
    <xf numFmtId="0" fontId="35" fillId="0" borderId="0" xfId="0" applyFont="1" applyAlignment="1" applyProtection="1">
      <alignment horizontal="center" vertical="center" wrapText="1"/>
      <protection hidden="1"/>
    </xf>
    <xf numFmtId="0" fontId="27" fillId="0" borderId="0" xfId="0" applyFont="1" applyBorder="1" applyAlignment="1" applyProtection="1">
      <alignment horizontal="center" vertical="center"/>
      <protection hidden="1"/>
    </xf>
    <xf numFmtId="0" fontId="31" fillId="0" borderId="0" xfId="0" applyFont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 vertical="center" wrapText="1"/>
      <protection hidden="1"/>
    </xf>
    <xf numFmtId="0" fontId="32" fillId="0" borderId="12" xfId="0" applyFont="1" applyBorder="1" applyAlignment="1" applyProtection="1">
      <alignment horizontal="center" vertical="center"/>
      <protection hidden="1"/>
    </xf>
    <xf numFmtId="0" fontId="32" fillId="0" borderId="14" xfId="0" applyFont="1" applyBorder="1" applyAlignment="1" applyProtection="1">
      <alignment horizontal="center" vertical="center"/>
      <protection hidden="1"/>
    </xf>
    <xf numFmtId="0" fontId="32" fillId="0" borderId="40" xfId="0" applyFont="1" applyBorder="1" applyAlignment="1" applyProtection="1">
      <alignment horizontal="center" vertical="center"/>
      <protection hidden="1"/>
    </xf>
    <xf numFmtId="0" fontId="32" fillId="0" borderId="1" xfId="0" applyFont="1" applyBorder="1" applyAlignment="1" applyProtection="1">
      <alignment horizontal="center" vertical="center"/>
      <protection hidden="1"/>
    </xf>
    <xf numFmtId="0" fontId="32" fillId="0" borderId="15" xfId="0" applyFont="1" applyBorder="1" applyAlignment="1" applyProtection="1">
      <alignment horizontal="center" vertical="center"/>
      <protection hidden="1"/>
    </xf>
    <xf numFmtId="0" fontId="32" fillId="0" borderId="12" xfId="0" applyFont="1" applyBorder="1" applyAlignment="1" applyProtection="1">
      <alignment horizontal="center" vertical="center" wrapText="1"/>
      <protection hidden="1"/>
    </xf>
    <xf numFmtId="0" fontId="32" fillId="0" borderId="14" xfId="0" applyFont="1" applyBorder="1" applyAlignment="1" applyProtection="1">
      <alignment horizontal="center" vertical="center" wrapText="1"/>
      <protection hidden="1"/>
    </xf>
    <xf numFmtId="0" fontId="32" fillId="0" borderId="40" xfId="0" applyFont="1" applyBorder="1" applyAlignment="1" applyProtection="1">
      <alignment horizontal="center" vertical="center" wrapText="1"/>
      <protection hidden="1"/>
    </xf>
    <xf numFmtId="0" fontId="32" fillId="0" borderId="1" xfId="0" applyFont="1" applyBorder="1" applyAlignment="1" applyProtection="1">
      <alignment horizontal="center" vertical="center" wrapText="1"/>
      <protection hidden="1"/>
    </xf>
    <xf numFmtId="0" fontId="35" fillId="0" borderId="1" xfId="0" applyFont="1" applyBorder="1" applyAlignment="1" applyProtection="1">
      <alignment horizontal="center" vertical="center" wrapText="1"/>
      <protection hidden="1"/>
    </xf>
    <xf numFmtId="0" fontId="32" fillId="0" borderId="29" xfId="0" applyFont="1" applyBorder="1" applyAlignment="1" applyProtection="1">
      <alignment horizontal="center" vertical="center" wrapText="1"/>
      <protection hidden="1"/>
    </xf>
    <xf numFmtId="0" fontId="32" fillId="0" borderId="15" xfId="0" applyFont="1" applyBorder="1" applyAlignment="1" applyProtection="1">
      <alignment horizontal="center" vertical="center" wrapText="1"/>
      <protection hidden="1"/>
    </xf>
    <xf numFmtId="0" fontId="32" fillId="0" borderId="1" xfId="0" applyFont="1" applyFill="1" applyBorder="1" applyAlignment="1" applyProtection="1">
      <alignment horizontal="center" vertical="center"/>
      <protection hidden="1"/>
    </xf>
    <xf numFmtId="0" fontId="35" fillId="0" borderId="1" xfId="0" applyFont="1" applyFill="1" applyBorder="1" applyAlignment="1" applyProtection="1">
      <alignment horizontal="center"/>
      <protection hidden="1"/>
    </xf>
    <xf numFmtId="0" fontId="35" fillId="0" borderId="1" xfId="0" applyFont="1" applyBorder="1" applyAlignment="1" applyProtection="1">
      <alignment horizontal="center"/>
      <protection hidden="1"/>
    </xf>
    <xf numFmtId="0" fontId="56" fillId="0" borderId="0" xfId="2" applyFont="1" applyAlignment="1" applyProtection="1">
      <alignment horizontal="center"/>
      <protection hidden="1"/>
    </xf>
    <xf numFmtId="3" fontId="3" fillId="0" borderId="40" xfId="0" applyNumberFormat="1" applyFont="1" applyBorder="1" applyAlignment="1">
      <alignment horizontal="center"/>
    </xf>
    <xf numFmtId="3" fontId="3" fillId="0" borderId="29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 vertical="center" textRotation="90" wrapText="1"/>
    </xf>
    <xf numFmtId="3" fontId="3" fillId="0" borderId="41" xfId="0" applyNumberFormat="1" applyFont="1" applyBorder="1" applyAlignment="1">
      <alignment horizontal="center" vertical="center" textRotation="90" wrapText="1"/>
    </xf>
    <xf numFmtId="3" fontId="3" fillId="0" borderId="15" xfId="0" applyNumberFormat="1" applyFont="1" applyBorder="1" applyAlignment="1">
      <alignment horizontal="center" vertical="center" textRotation="90" wrapText="1"/>
    </xf>
    <xf numFmtId="3" fontId="3" fillId="0" borderId="18" xfId="0" applyNumberFormat="1" applyFont="1" applyBorder="1" applyAlignment="1">
      <alignment horizontal="center" vertical="center" textRotation="90" wrapText="1"/>
    </xf>
    <xf numFmtId="3" fontId="3" fillId="0" borderId="12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30" xfId="0" applyNumberFormat="1" applyFont="1" applyBorder="1" applyAlignment="1">
      <alignment horizontal="center"/>
    </xf>
    <xf numFmtId="3" fontId="6" fillId="0" borderId="40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6" fillId="0" borderId="41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wrapText="1"/>
    </xf>
    <xf numFmtId="0" fontId="6" fillId="0" borderId="54" xfId="0" applyFont="1" applyBorder="1" applyAlignment="1">
      <alignment horizontal="center" wrapText="1"/>
    </xf>
    <xf numFmtId="0" fontId="6" fillId="0" borderId="55" xfId="0" applyFont="1" applyBorder="1" applyAlignment="1">
      <alignment horizontal="center" wrapText="1"/>
    </xf>
    <xf numFmtId="3" fontId="6" fillId="0" borderId="11" xfId="0" applyNumberFormat="1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3" fontId="6" fillId="0" borderId="54" xfId="0" applyNumberFormat="1" applyFont="1" applyBorder="1" applyAlignment="1">
      <alignment horizontal="center" vertical="center"/>
    </xf>
    <xf numFmtId="3" fontId="6" fillId="0" borderId="5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/>
    </xf>
    <xf numFmtId="3" fontId="6" fillId="0" borderId="11" xfId="0" quotePrefix="1" applyNumberFormat="1" applyFont="1" applyBorder="1" applyAlignment="1">
      <alignment horizontal="center" vertical="center"/>
    </xf>
    <xf numFmtId="3" fontId="6" fillId="0" borderId="54" xfId="0" quotePrefix="1" applyNumberFormat="1" applyFont="1" applyBorder="1" applyAlignment="1">
      <alignment horizontal="center" vertical="center"/>
    </xf>
    <xf numFmtId="3" fontId="6" fillId="0" borderId="55" xfId="0" quotePrefix="1" applyNumberFormat="1" applyFont="1" applyBorder="1" applyAlignment="1">
      <alignment horizontal="center" vertical="center"/>
    </xf>
    <xf numFmtId="3" fontId="6" fillId="0" borderId="11" xfId="0" quotePrefix="1" applyNumberFormat="1" applyFont="1" applyBorder="1" applyAlignment="1">
      <alignment horizontal="center" vertical="center" wrapText="1"/>
    </xf>
    <xf numFmtId="3" fontId="6" fillId="0" borderId="54" xfId="0" quotePrefix="1" applyNumberFormat="1" applyFont="1" applyBorder="1" applyAlignment="1">
      <alignment horizontal="center" vertical="center" wrapText="1"/>
    </xf>
    <xf numFmtId="3" fontId="6" fillId="0" borderId="55" xfId="0" quotePrefix="1" applyNumberFormat="1" applyFont="1" applyBorder="1" applyAlignment="1">
      <alignment horizontal="center" vertical="center" wrapText="1"/>
    </xf>
    <xf numFmtId="3" fontId="6" fillId="0" borderId="19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4" xfId="0" quotePrefix="1" applyFont="1" applyBorder="1" applyAlignment="1">
      <alignment wrapText="1"/>
    </xf>
    <xf numFmtId="0" fontId="3" fillId="0" borderId="16" xfId="0" applyFont="1" applyBorder="1" applyAlignment="1">
      <alignment wrapText="1"/>
    </xf>
    <xf numFmtId="3" fontId="4" fillId="0" borderId="0" xfId="0" applyNumberFormat="1" applyFont="1" applyAlignment="1">
      <alignment horizontal="center" vertical="center" wrapText="1"/>
    </xf>
    <xf numFmtId="0" fontId="6" fillId="0" borderId="0" xfId="0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3" fontId="6" fillId="0" borderId="57" xfId="0" applyNumberFormat="1" applyFont="1" applyBorder="1" applyAlignment="1">
      <alignment horizontal="center" vertical="center" wrapText="1"/>
    </xf>
    <xf numFmtId="3" fontId="6" fillId="0" borderId="58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11" fillId="0" borderId="0" xfId="0" applyNumberFormat="1" applyFont="1" applyBorder="1" applyAlignment="1">
      <alignment horizontal="center" vertical="center" wrapText="1"/>
    </xf>
    <xf numFmtId="3" fontId="6" fillId="0" borderId="29" xfId="0" applyNumberFormat="1" applyFont="1" applyFill="1" applyBorder="1" applyAlignment="1" applyProtection="1">
      <alignment horizontal="center" vertical="center" wrapText="1"/>
    </xf>
    <xf numFmtId="3" fontId="6" fillId="0" borderId="32" xfId="0" applyNumberFormat="1" applyFont="1" applyFill="1" applyBorder="1" applyAlignment="1" applyProtection="1">
      <alignment horizontal="center" vertical="center" wrapText="1"/>
    </xf>
    <xf numFmtId="3" fontId="6" fillId="0" borderId="40" xfId="0" applyNumberFormat="1" applyFont="1" applyBorder="1" applyAlignment="1" applyProtection="1">
      <alignment horizontal="center" vertical="center" wrapText="1"/>
    </xf>
    <xf numFmtId="3" fontId="6" fillId="0" borderId="13" xfId="0" applyNumberFormat="1" applyFont="1" applyBorder="1" applyAlignment="1" applyProtection="1">
      <alignment horizontal="center" vertical="center" wrapText="1"/>
    </xf>
    <xf numFmtId="49" fontId="6" fillId="0" borderId="12" xfId="0" applyNumberFormat="1" applyFont="1" applyBorder="1" applyAlignment="1" applyProtection="1">
      <alignment horizontal="center" vertical="center"/>
    </xf>
    <xf numFmtId="49" fontId="6" fillId="0" borderId="17" xfId="0" applyNumberFormat="1" applyFont="1" applyBorder="1" applyAlignment="1" applyProtection="1">
      <alignment horizontal="center" vertical="center"/>
    </xf>
    <xf numFmtId="3" fontId="6" fillId="0" borderId="40" xfId="0" applyNumberFormat="1" applyFont="1" applyBorder="1" applyAlignment="1" applyProtection="1">
      <alignment horizontal="center" vertical="center"/>
    </xf>
    <xf numFmtId="3" fontId="6" fillId="0" borderId="13" xfId="0" applyNumberFormat="1" applyFont="1" applyBorder="1" applyAlignment="1" applyProtection="1">
      <alignment horizontal="center" vertical="center"/>
    </xf>
    <xf numFmtId="3" fontId="6" fillId="0" borderId="40" xfId="0" applyNumberFormat="1" applyFont="1" applyFill="1" applyBorder="1" applyAlignment="1" applyProtection="1">
      <alignment horizontal="center" vertical="center" wrapText="1"/>
    </xf>
    <xf numFmtId="3" fontId="6" fillId="0" borderId="13" xfId="0" applyNumberFormat="1" applyFont="1" applyFill="1" applyBorder="1" applyAlignment="1" applyProtection="1">
      <alignment horizontal="center" vertical="center" wrapText="1"/>
    </xf>
    <xf numFmtId="3" fontId="6" fillId="0" borderId="29" xfId="0" applyNumberFormat="1" applyFont="1" applyBorder="1" applyAlignment="1" applyProtection="1">
      <alignment horizontal="center" vertical="center" wrapText="1"/>
    </xf>
    <xf numFmtId="3" fontId="6" fillId="0" borderId="18" xfId="0" applyNumberFormat="1" applyFont="1" applyBorder="1" applyAlignment="1" applyProtection="1">
      <alignment horizontal="center" vertical="center" wrapText="1"/>
    </xf>
    <xf numFmtId="3" fontId="6" fillId="0" borderId="41" xfId="0" applyNumberFormat="1" applyFont="1" applyBorder="1" applyAlignment="1" applyProtection="1">
      <alignment horizontal="center" vertical="center" wrapText="1"/>
    </xf>
    <xf numFmtId="49" fontId="6" fillId="0" borderId="30" xfId="0" applyNumberFormat="1" applyFont="1" applyBorder="1" applyAlignment="1" applyProtection="1">
      <alignment horizontal="center" vertical="center"/>
    </xf>
    <xf numFmtId="3" fontId="6" fillId="0" borderId="41" xfId="0" applyNumberFormat="1" applyFont="1" applyBorder="1" applyAlignment="1" applyProtection="1">
      <alignment horizontal="center" vertical="center"/>
    </xf>
    <xf numFmtId="0" fontId="29" fillId="0" borderId="4" xfId="0" applyFont="1" applyBorder="1" applyAlignment="1" applyProtection="1">
      <alignment horizontal="center" wrapText="1"/>
      <protection hidden="1"/>
    </xf>
    <xf numFmtId="0" fontId="29" fillId="0" borderId="37" xfId="0" applyFont="1" applyBorder="1" applyAlignment="1" applyProtection="1">
      <alignment horizontal="center" wrapText="1"/>
      <protection hidden="1"/>
    </xf>
    <xf numFmtId="0" fontId="29" fillId="0" borderId="16" xfId="0" applyFont="1" applyBorder="1" applyAlignment="1" applyProtection="1">
      <alignment horizontal="center" wrapText="1"/>
      <protection hidden="1"/>
    </xf>
    <xf numFmtId="0" fontId="29" fillId="0" borderId="4" xfId="0" applyFont="1" applyBorder="1" applyAlignment="1" applyProtection="1">
      <alignment horizontal="center"/>
      <protection hidden="1"/>
    </xf>
    <xf numFmtId="0" fontId="29" fillId="0" borderId="37" xfId="0" applyFont="1" applyBorder="1" applyAlignment="1" applyProtection="1">
      <alignment horizontal="center"/>
      <protection hidden="1"/>
    </xf>
    <xf numFmtId="0" fontId="29" fillId="0" borderId="16" xfId="0" applyFont="1" applyBorder="1" applyAlignment="1" applyProtection="1">
      <alignment horizontal="center"/>
      <protection hidden="1"/>
    </xf>
    <xf numFmtId="0" fontId="3" fillId="0" borderId="17" xfId="0" applyFont="1" applyBorder="1" applyAlignment="1" applyProtection="1">
      <alignment horizontal="center" vertical="center"/>
      <protection hidden="1"/>
    </xf>
    <xf numFmtId="0" fontId="3" fillId="0" borderId="25" xfId="0" applyFont="1" applyBorder="1" applyAlignment="1" applyProtection="1">
      <alignment horizontal="center" vertical="center"/>
      <protection hidden="1"/>
    </xf>
    <xf numFmtId="0" fontId="29" fillId="0" borderId="34" xfId="0" applyFont="1" applyBorder="1" applyAlignment="1" applyProtection="1">
      <alignment horizontal="center" vertical="center"/>
      <protection hidden="1"/>
    </xf>
    <xf numFmtId="0" fontId="2" fillId="0" borderId="46" xfId="0" applyFont="1" applyBorder="1" applyAlignment="1" applyProtection="1">
      <alignment horizontal="center" vertical="center"/>
      <protection hidden="1"/>
    </xf>
    <xf numFmtId="0" fontId="2" fillId="0" borderId="59" xfId="0" applyFont="1" applyBorder="1" applyAlignment="1" applyProtection="1">
      <alignment horizontal="center" vertical="center"/>
      <protection hidden="1"/>
    </xf>
    <xf numFmtId="0" fontId="2" fillId="0" borderId="45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2" fillId="0" borderId="52" xfId="0" applyFont="1" applyBorder="1" applyAlignment="1" applyProtection="1">
      <alignment horizontal="center" vertical="center"/>
      <protection hidden="1"/>
    </xf>
    <xf numFmtId="0" fontId="3" fillId="0" borderId="61" xfId="0" applyFont="1" applyBorder="1" applyAlignment="1" applyProtection="1">
      <alignment horizontal="center" vertical="center"/>
      <protection hidden="1"/>
    </xf>
    <xf numFmtId="0" fontId="29" fillId="0" borderId="34" xfId="0" applyFont="1" applyBorder="1" applyAlignment="1" applyProtection="1">
      <alignment horizontal="center" vertical="center" wrapText="1"/>
      <protection hidden="1"/>
    </xf>
    <xf numFmtId="0" fontId="29" fillId="0" borderId="46" xfId="0" quotePrefix="1" applyFont="1" applyBorder="1" applyAlignment="1" applyProtection="1">
      <alignment horizontal="center" vertical="center" wrapText="1"/>
      <protection hidden="1"/>
    </xf>
    <xf numFmtId="0" fontId="29" fillId="0" borderId="59" xfId="0" quotePrefix="1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44" xfId="0" applyFont="1" applyBorder="1" applyAlignment="1" applyProtection="1">
      <alignment horizontal="center" vertical="center"/>
      <protection hidden="1"/>
    </xf>
    <xf numFmtId="0" fontId="2" fillId="0" borderId="53" xfId="0" applyFont="1" applyBorder="1" applyAlignment="1" applyProtection="1">
      <alignment horizontal="center" vertical="center"/>
      <protection hidden="1"/>
    </xf>
    <xf numFmtId="169" fontId="7" fillId="0" borderId="13" xfId="0" applyNumberFormat="1" applyFont="1" applyBorder="1" applyAlignment="1" applyProtection="1">
      <alignment horizontal="center" vertical="center"/>
      <protection hidden="1"/>
    </xf>
    <xf numFmtId="169" fontId="2" fillId="0" borderId="51" xfId="0" applyNumberFormat="1" applyFont="1" applyBorder="1" applyAlignment="1" applyProtection="1">
      <alignment horizontal="center" vertical="center"/>
      <protection hidden="1"/>
    </xf>
    <xf numFmtId="169" fontId="7" fillId="0" borderId="32" xfId="0" applyNumberFormat="1" applyFont="1" applyBorder="1" applyAlignment="1" applyProtection="1">
      <alignment horizontal="center" vertical="center"/>
      <protection hidden="1"/>
    </xf>
    <xf numFmtId="169" fontId="7" fillId="0" borderId="31" xfId="0" applyNumberFormat="1" applyFont="1" applyBorder="1" applyAlignment="1" applyProtection="1">
      <alignment horizontal="center" vertical="center"/>
      <protection hidden="1"/>
    </xf>
    <xf numFmtId="0" fontId="29" fillId="0" borderId="34" xfId="0" applyFont="1" applyBorder="1" applyAlignment="1" applyProtection="1">
      <alignment horizontal="center"/>
      <protection hidden="1"/>
    </xf>
    <xf numFmtId="0" fontId="29" fillId="0" borderId="46" xfId="0" applyFont="1" applyBorder="1" applyAlignment="1" applyProtection="1">
      <alignment horizontal="center"/>
      <protection hidden="1"/>
    </xf>
    <xf numFmtId="0" fontId="29" fillId="0" borderId="59" xfId="0" applyFont="1" applyBorder="1" applyAlignment="1" applyProtection="1">
      <alignment horizontal="center"/>
      <protection hidden="1"/>
    </xf>
    <xf numFmtId="169" fontId="2" fillId="0" borderId="60" xfId="0" applyNumberFormat="1" applyFont="1" applyBorder="1" applyAlignment="1" applyProtection="1">
      <alignment horizontal="center" vertical="center"/>
      <protection hidden="1"/>
    </xf>
    <xf numFmtId="0" fontId="4" fillId="0" borderId="0" xfId="0" applyFont="1" applyAlignment="1">
      <alignment horizontal="center" vertical="center"/>
    </xf>
    <xf numFmtId="0" fontId="27" fillId="0" borderId="0" xfId="0" applyFont="1" applyAlignment="1" applyProtection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6" fillId="0" borderId="37" xfId="0" applyFont="1" applyBorder="1" applyAlignment="1" applyProtection="1">
      <alignment horizontal="center"/>
      <protection hidden="1"/>
    </xf>
    <xf numFmtId="0" fontId="6" fillId="0" borderId="62" xfId="0" applyFont="1" applyBorder="1" applyAlignment="1" applyProtection="1">
      <alignment horizontal="center"/>
      <protection hidden="1"/>
    </xf>
    <xf numFmtId="0" fontId="5" fillId="0" borderId="33" xfId="0" applyFont="1" applyBorder="1" applyAlignment="1" applyProtection="1">
      <alignment horizontal="center" vertical="center"/>
      <protection hidden="1"/>
    </xf>
    <xf numFmtId="0" fontId="5" fillId="0" borderId="63" xfId="0" applyFont="1" applyBorder="1" applyAlignment="1" applyProtection="1">
      <alignment horizontal="center" vertical="center"/>
      <protection hidden="1"/>
    </xf>
    <xf numFmtId="0" fontId="5" fillId="0" borderId="64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3" fillId="0" borderId="37" xfId="0" applyFont="1" applyBorder="1" applyAlignment="1" applyProtection="1">
      <alignment horizontal="center"/>
      <protection hidden="1"/>
    </xf>
    <xf numFmtId="0" fontId="3" fillId="0" borderId="16" xfId="0" applyFont="1" applyBorder="1" applyAlignment="1" applyProtection="1">
      <alignment horizontal="center"/>
      <protection hidden="1"/>
    </xf>
    <xf numFmtId="0" fontId="6" fillId="0" borderId="4" xfId="0" applyFont="1" applyBorder="1" applyAlignment="1" applyProtection="1">
      <alignment horizontal="center"/>
      <protection hidden="1"/>
    </xf>
    <xf numFmtId="0" fontId="29" fillId="0" borderId="34" xfId="0" quotePrefix="1" applyFont="1" applyFill="1" applyBorder="1" applyAlignment="1" applyProtection="1">
      <alignment horizontal="center" vertical="center" wrapText="1"/>
      <protection hidden="1"/>
    </xf>
    <xf numFmtId="0" fontId="29" fillId="0" borderId="46" xfId="0" quotePrefix="1" applyFont="1" applyFill="1" applyBorder="1" applyAlignment="1" applyProtection="1">
      <alignment horizontal="center" vertical="center" wrapText="1"/>
      <protection hidden="1"/>
    </xf>
    <xf numFmtId="0" fontId="29" fillId="0" borderId="59" xfId="0" quotePrefix="1" applyFont="1" applyFill="1" applyBorder="1" applyAlignment="1" applyProtection="1">
      <alignment horizontal="center" vertical="center" wrapText="1"/>
      <protection hidden="1"/>
    </xf>
    <xf numFmtId="0" fontId="2" fillId="0" borderId="45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Fill="1" applyBorder="1" applyAlignment="1" applyProtection="1">
      <alignment horizontal="center" vertical="center" wrapText="1"/>
      <protection hidden="1"/>
    </xf>
    <xf numFmtId="0" fontId="2" fillId="0" borderId="52" xfId="0" applyFont="1" applyFill="1" applyBorder="1" applyAlignment="1" applyProtection="1">
      <alignment horizontal="center" vertical="center" wrapText="1"/>
      <protection hidden="1"/>
    </xf>
    <xf numFmtId="169" fontId="7" fillId="0" borderId="13" xfId="0" applyNumberFormat="1" applyFont="1" applyFill="1" applyBorder="1" applyAlignment="1" applyProtection="1">
      <alignment horizontal="center" vertical="center"/>
      <protection locked="0" hidden="1"/>
    </xf>
    <xf numFmtId="169" fontId="7" fillId="0" borderId="3" xfId="0" applyNumberFormat="1" applyFont="1" applyFill="1" applyBorder="1" applyAlignment="1" applyProtection="1">
      <alignment horizontal="center" vertical="center"/>
      <protection locked="0" hidden="1"/>
    </xf>
    <xf numFmtId="0" fontId="29" fillId="0" borderId="46" xfId="0" applyFont="1" applyBorder="1" applyAlignment="1" applyProtection="1">
      <alignment horizontal="center" vertical="center" wrapText="1"/>
      <protection hidden="1"/>
    </xf>
    <xf numFmtId="0" fontId="2" fillId="0" borderId="46" xfId="0" applyFont="1" applyBorder="1" applyAlignment="1" applyProtection="1">
      <alignment horizontal="center" vertical="center" wrapText="1"/>
      <protection hidden="1"/>
    </xf>
    <xf numFmtId="0" fontId="2" fillId="0" borderId="59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2" fillId="0" borderId="52" xfId="0" applyFont="1" applyBorder="1" applyAlignment="1" applyProtection="1">
      <alignment horizontal="center" vertical="center" wrapText="1"/>
      <protection hidden="1"/>
    </xf>
    <xf numFmtId="169" fontId="2" fillId="0" borderId="51" xfId="0" applyNumberFormat="1" applyFont="1" applyFill="1" applyBorder="1" applyAlignment="1" applyProtection="1">
      <alignment horizontal="center" vertical="center"/>
      <protection locked="0" hidden="1"/>
    </xf>
    <xf numFmtId="0" fontId="6" fillId="0" borderId="4" xfId="0" applyFont="1" applyFill="1" applyBorder="1" applyAlignment="1" applyProtection="1">
      <alignment horizontal="center"/>
      <protection hidden="1"/>
    </xf>
    <xf numFmtId="0" fontId="6" fillId="0" borderId="37" xfId="0" applyFont="1" applyFill="1" applyBorder="1" applyAlignment="1" applyProtection="1">
      <alignment horizontal="center"/>
      <protection hidden="1"/>
    </xf>
    <xf numFmtId="0" fontId="6" fillId="0" borderId="62" xfId="0" applyFont="1" applyFill="1" applyBorder="1" applyAlignment="1" applyProtection="1">
      <alignment horizontal="center"/>
      <protection hidden="1"/>
    </xf>
    <xf numFmtId="0" fontId="2" fillId="0" borderId="2" xfId="0" applyFont="1" applyFill="1" applyBorder="1" applyAlignment="1" applyProtection="1">
      <alignment horizontal="center" vertical="center" wrapText="1"/>
      <protection hidden="1"/>
    </xf>
    <xf numFmtId="0" fontId="2" fillId="0" borderId="44" xfId="0" applyFont="1" applyFill="1" applyBorder="1" applyAlignment="1" applyProtection="1">
      <alignment horizontal="center" vertical="center" wrapText="1"/>
      <protection hidden="1"/>
    </xf>
    <xf numFmtId="0" fontId="2" fillId="0" borderId="53" xfId="0" applyFont="1" applyFill="1" applyBorder="1" applyAlignment="1" applyProtection="1">
      <alignment horizontal="center" vertical="center" wrapText="1"/>
      <protection hidden="1"/>
    </xf>
    <xf numFmtId="0" fontId="29" fillId="0" borderId="32" xfId="0" applyFont="1" applyFill="1" applyBorder="1" applyAlignment="1" applyProtection="1">
      <alignment horizontal="center" vertical="center"/>
      <protection hidden="1"/>
    </xf>
    <xf numFmtId="0" fontId="29" fillId="0" borderId="31" xfId="0" applyFont="1" applyFill="1" applyBorder="1" applyAlignment="1" applyProtection="1">
      <alignment horizontal="center" vertical="center"/>
      <protection hidden="1"/>
    </xf>
    <xf numFmtId="0" fontId="29" fillId="0" borderId="4" xfId="0" applyFont="1" applyFill="1" applyBorder="1" applyAlignment="1" applyProtection="1">
      <alignment horizontal="center"/>
      <protection hidden="1"/>
    </xf>
    <xf numFmtId="0" fontId="29" fillId="0" borderId="37" xfId="0" applyFont="1" applyFill="1" applyBorder="1" applyAlignment="1" applyProtection="1">
      <alignment horizontal="center"/>
      <protection hidden="1"/>
    </xf>
    <xf numFmtId="0" fontId="29" fillId="0" borderId="16" xfId="0" applyFont="1" applyFill="1" applyBorder="1" applyAlignment="1" applyProtection="1">
      <alignment horizontal="center"/>
      <protection hidden="1"/>
    </xf>
    <xf numFmtId="169" fontId="7" fillId="0" borderId="32" xfId="0" applyNumberFormat="1" applyFont="1" applyFill="1" applyBorder="1" applyAlignment="1" applyProtection="1">
      <alignment horizontal="center" vertical="center"/>
      <protection hidden="1"/>
    </xf>
    <xf numFmtId="169" fontId="2" fillId="0" borderId="60" xfId="0" applyNumberFormat="1" applyFont="1" applyFill="1" applyBorder="1" applyAlignment="1" applyProtection="1">
      <alignment horizontal="center" vertical="center"/>
      <protection hidden="1"/>
    </xf>
    <xf numFmtId="0" fontId="3" fillId="0" borderId="1" xfId="0" applyFont="1" applyFill="1" applyBorder="1" applyAlignment="1" applyProtection="1">
      <alignment horizontal="center" wrapText="1"/>
      <protection hidden="1"/>
    </xf>
    <xf numFmtId="0" fontId="0" fillId="0" borderId="1" xfId="0" applyFont="1" applyFill="1" applyBorder="1" applyAlignment="1" applyProtection="1">
      <alignment horizontal="center" vertical="center" wrapText="1"/>
      <protection hidden="1"/>
    </xf>
    <xf numFmtId="0" fontId="29" fillId="0" borderId="34" xfId="0" quotePrefix="1" applyFont="1" applyFill="1" applyBorder="1" applyAlignment="1" applyProtection="1">
      <alignment horizontal="center" vertical="center"/>
      <protection hidden="1"/>
    </xf>
    <xf numFmtId="0" fontId="2" fillId="0" borderId="46" xfId="0" applyFont="1" applyFill="1" applyBorder="1" applyAlignment="1" applyProtection="1">
      <alignment horizontal="center" vertical="center"/>
      <protection hidden="1"/>
    </xf>
    <xf numFmtId="0" fontId="2" fillId="0" borderId="59" xfId="0" applyFont="1" applyFill="1" applyBorder="1" applyAlignment="1" applyProtection="1">
      <alignment horizontal="center" vertical="center"/>
      <protection hidden="1"/>
    </xf>
    <xf numFmtId="0" fontId="2" fillId="0" borderId="45" xfId="0" applyFont="1" applyFill="1" applyBorder="1" applyAlignment="1" applyProtection="1">
      <alignment horizontal="center" vertical="center"/>
      <protection hidden="1"/>
    </xf>
    <xf numFmtId="0" fontId="2" fillId="0" borderId="0" xfId="0" applyFont="1" applyFill="1" applyBorder="1" applyAlignment="1" applyProtection="1">
      <alignment horizontal="center" vertical="center"/>
      <protection hidden="1"/>
    </xf>
    <xf numFmtId="0" fontId="2" fillId="0" borderId="52" xfId="0" applyFont="1" applyFill="1" applyBorder="1" applyAlignment="1" applyProtection="1">
      <alignment horizontal="center" vertical="center"/>
      <protection hidden="1"/>
    </xf>
    <xf numFmtId="0" fontId="29" fillId="0" borderId="2" xfId="0" applyFont="1" applyFill="1" applyBorder="1" applyAlignment="1" applyProtection="1">
      <alignment horizontal="center" wrapText="1"/>
      <protection hidden="1"/>
    </xf>
    <xf numFmtId="0" fontId="29" fillId="0" borderId="44" xfId="0" applyFont="1" applyFill="1" applyBorder="1" applyAlignment="1" applyProtection="1">
      <alignment horizontal="center" wrapText="1"/>
      <protection hidden="1"/>
    </xf>
    <xf numFmtId="0" fontId="29" fillId="0" borderId="53" xfId="0" applyFont="1" applyFill="1" applyBorder="1" applyAlignment="1" applyProtection="1">
      <alignment horizontal="center" wrapText="1"/>
      <protection hidden="1"/>
    </xf>
    <xf numFmtId="169" fontId="7" fillId="0" borderId="13" xfId="0" applyNumberFormat="1" applyFont="1" applyFill="1" applyBorder="1" applyAlignment="1" applyProtection="1">
      <alignment horizontal="center" vertical="center"/>
      <protection hidden="1"/>
    </xf>
    <xf numFmtId="169" fontId="2" fillId="0" borderId="51" xfId="0" applyNumberFormat="1" applyFont="1" applyFill="1" applyBorder="1" applyAlignment="1" applyProtection="1">
      <alignment horizontal="center" vertical="center"/>
      <protection hidden="1"/>
    </xf>
    <xf numFmtId="0" fontId="29" fillId="0" borderId="32" xfId="0" applyFont="1" applyBorder="1" applyAlignment="1" applyProtection="1">
      <alignment horizontal="center" vertical="center"/>
      <protection hidden="1"/>
    </xf>
    <xf numFmtId="0" fontId="29" fillId="0" borderId="31" xfId="0" applyFont="1" applyBorder="1" applyAlignment="1" applyProtection="1">
      <alignment horizontal="center" vertical="center"/>
      <protection hidden="1"/>
    </xf>
    <xf numFmtId="0" fontId="29" fillId="0" borderId="4" xfId="0" applyFont="1" applyBorder="1" applyAlignment="1" applyProtection="1">
      <alignment horizontal="center" vertical="center" wrapText="1"/>
      <protection hidden="1"/>
    </xf>
    <xf numFmtId="0" fontId="2" fillId="0" borderId="37" xfId="0" applyFont="1" applyBorder="1" applyAlignment="1" applyProtection="1">
      <alignment horizontal="center" vertical="center" wrapText="1"/>
      <protection hidden="1"/>
    </xf>
    <xf numFmtId="0" fontId="2" fillId="0" borderId="16" xfId="0" applyFont="1" applyBorder="1" applyAlignment="1" applyProtection="1">
      <alignment horizontal="center" vertical="center" wrapText="1"/>
      <protection hidden="1"/>
    </xf>
    <xf numFmtId="169" fontId="2" fillId="0" borderId="13" xfId="0" applyNumberFormat="1" applyFont="1" applyFill="1" applyBorder="1" applyAlignment="1" applyProtection="1">
      <alignment horizontal="center" vertical="center"/>
      <protection hidden="1"/>
    </xf>
    <xf numFmtId="169" fontId="2" fillId="0" borderId="3" xfId="0" applyNumberFormat="1" applyFont="1" applyFill="1" applyBorder="1" applyAlignment="1" applyProtection="1">
      <alignment horizontal="center" vertical="center"/>
      <protection hidden="1"/>
    </xf>
    <xf numFmtId="169" fontId="7" fillId="0" borderId="31" xfId="0" applyNumberFormat="1" applyFont="1" applyFill="1" applyBorder="1" applyAlignment="1" applyProtection="1">
      <alignment horizontal="center" vertical="center"/>
      <protection hidden="1"/>
    </xf>
    <xf numFmtId="0" fontId="29" fillId="0" borderId="45" xfId="0" applyFont="1" applyFill="1" applyBorder="1" applyAlignment="1" applyProtection="1">
      <alignment horizontal="center" vertical="center" wrapText="1"/>
      <protection hidden="1"/>
    </xf>
    <xf numFmtId="0" fontId="29" fillId="0" borderId="0" xfId="0" quotePrefix="1" applyFont="1" applyFill="1" applyBorder="1" applyAlignment="1" applyProtection="1">
      <alignment horizontal="center" vertical="center" wrapText="1"/>
      <protection hidden="1"/>
    </xf>
    <xf numFmtId="0" fontId="29" fillId="0" borderId="52" xfId="0" quotePrefix="1" applyFont="1" applyFill="1" applyBorder="1" applyAlignment="1" applyProtection="1">
      <alignment horizontal="center" vertical="center" wrapText="1"/>
      <protection hidden="1"/>
    </xf>
    <xf numFmtId="169" fontId="7" fillId="0" borderId="13" xfId="0" applyNumberFormat="1" applyFont="1" applyBorder="1" applyAlignment="1" applyProtection="1">
      <alignment horizontal="center" vertical="center"/>
      <protection locked="0"/>
    </xf>
    <xf numFmtId="169" fontId="2" fillId="0" borderId="3" xfId="0" applyNumberFormat="1" applyFont="1" applyBorder="1" applyAlignment="1" applyProtection="1">
      <alignment horizontal="center" vertical="center"/>
      <protection locked="0"/>
    </xf>
    <xf numFmtId="0" fontId="29" fillId="0" borderId="1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9" fillId="0" borderId="2" xfId="0" quotePrefix="1" applyFont="1" applyBorder="1" applyAlignment="1" applyProtection="1">
      <alignment horizontal="center" wrapText="1"/>
      <protection hidden="1"/>
    </xf>
    <xf numFmtId="0" fontId="29" fillId="0" borderId="44" xfId="0" applyFont="1" applyBorder="1" applyAlignment="1" applyProtection="1">
      <alignment horizontal="center" wrapText="1"/>
      <protection hidden="1"/>
    </xf>
    <xf numFmtId="0" fontId="29" fillId="0" borderId="53" xfId="0" applyFont="1" applyBorder="1" applyAlignment="1" applyProtection="1">
      <alignment horizontal="center" wrapText="1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0" borderId="37" xfId="0" applyFont="1" applyBorder="1" applyAlignment="1" applyProtection="1">
      <alignment horizontal="left"/>
      <protection hidden="1"/>
    </xf>
    <xf numFmtId="0" fontId="6" fillId="0" borderId="62" xfId="0" applyFont="1" applyBorder="1" applyAlignment="1" applyProtection="1">
      <alignment horizontal="left"/>
      <protection hidden="1"/>
    </xf>
    <xf numFmtId="0" fontId="2" fillId="0" borderId="45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6" fillId="0" borderId="44" xfId="0" applyFont="1" applyBorder="1" applyAlignment="1" applyProtection="1">
      <alignment horizontal="center"/>
      <protection hidden="1"/>
    </xf>
    <xf numFmtId="0" fontId="6" fillId="0" borderId="39" xfId="0" applyFont="1" applyBorder="1" applyAlignment="1" applyProtection="1">
      <alignment horizontal="center"/>
      <protection hidden="1"/>
    </xf>
    <xf numFmtId="0" fontId="29" fillId="0" borderId="35" xfId="0" applyFont="1" applyBorder="1" applyAlignment="1" applyProtection="1">
      <alignment horizontal="center"/>
      <protection hidden="1"/>
    </xf>
    <xf numFmtId="0" fontId="29" fillId="0" borderId="65" xfId="0" applyFont="1" applyBorder="1" applyAlignment="1" applyProtection="1">
      <alignment horizontal="center"/>
      <protection hidden="1"/>
    </xf>
    <xf numFmtId="0" fontId="29" fillId="0" borderId="36" xfId="0" applyFont="1" applyBorder="1" applyAlignment="1" applyProtection="1">
      <alignment horizontal="center"/>
      <protection hidden="1"/>
    </xf>
    <xf numFmtId="0" fontId="3" fillId="0" borderId="43" xfId="0" applyFont="1" applyBorder="1" applyAlignment="1" applyProtection="1">
      <alignment horizontal="center" vertical="center"/>
      <protection hidden="1"/>
    </xf>
    <xf numFmtId="0" fontId="2" fillId="0" borderId="50" xfId="0" applyFont="1" applyBorder="1" applyAlignment="1" applyProtection="1">
      <alignment horizontal="center" vertical="center" wrapText="1"/>
      <protection hidden="1"/>
    </xf>
    <xf numFmtId="0" fontId="2" fillId="0" borderId="22" xfId="0" applyFont="1" applyBorder="1" applyAlignment="1" applyProtection="1">
      <alignment horizontal="center" vertical="center" wrapText="1"/>
      <protection hidden="1"/>
    </xf>
    <xf numFmtId="0" fontId="2" fillId="0" borderId="66" xfId="0" applyFont="1" applyBorder="1" applyAlignment="1" applyProtection="1">
      <alignment horizontal="center" vertical="center" wrapText="1"/>
      <protection hidden="1"/>
    </xf>
    <xf numFmtId="169" fontId="2" fillId="0" borderId="8" xfId="0" applyNumberFormat="1" applyFont="1" applyFill="1" applyBorder="1" applyAlignment="1" applyProtection="1">
      <alignment horizontal="center" vertical="center"/>
      <protection locked="0" hidden="1"/>
    </xf>
    <xf numFmtId="0" fontId="29" fillId="0" borderId="42" xfId="0" applyFont="1" applyBorder="1" applyAlignment="1" applyProtection="1">
      <alignment horizontal="center" vertical="center"/>
      <protection hidden="1"/>
    </xf>
  </cellXfs>
  <cellStyles count="11">
    <cellStyle name="Денежный [0]" xfId="1" builtinId="7"/>
    <cellStyle name="Обычный" xfId="0" builtinId="0"/>
    <cellStyle name="Обычный 2" xfId="2"/>
    <cellStyle name="Обычный 2 2" xfId="3"/>
    <cellStyle name="Обычный 2 2 2" xfId="4"/>
    <cellStyle name="Обычный 2 3" xfId="5"/>
    <cellStyle name="Обычный 2 4" xfId="6"/>
    <cellStyle name="Обычный 3 2" xfId="7"/>
    <cellStyle name="Обычный 4" xfId="8"/>
    <cellStyle name="Процентный" xfId="9" builtinId="5"/>
    <cellStyle name="Финансовый" xfId="10" builtinId="3"/>
  </cellStyles>
  <dxfs count="118"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5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indexed="34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 patternType="solid">
          <bgColor indexed="33"/>
        </patternFill>
      </fill>
    </dxf>
    <dxf>
      <fill>
        <patternFill>
          <bgColor indexed="1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h.mahkamov.MIKROKREDITBANK\&#1056;&#1072;&#1073;&#1086;&#1095;&#1080;&#1081;%20&#1089;&#1090;&#1086;&#1083;\21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руйхат"/>
    </sheetNames>
    <sheetDataSet>
      <sheetData sheetId="0">
        <row r="1">
          <cell r="A1" t="str">
            <v>ASBT 3 (05,07,2016 09:05)</v>
          </cell>
        </row>
        <row r="2">
          <cell r="A2" t="str">
            <v>АТБ "MIKROKREDITBANK" Валюта :Барча валютлар</v>
          </cell>
        </row>
        <row r="3">
          <cell r="A3" t="str">
            <v>БАЛАНСОВЫЙ ОТЧЕТ 0101BS за 30,06,2016</v>
          </cell>
        </row>
        <row r="6">
          <cell r="B6" t="str">
            <v>АКТИВЛАР</v>
          </cell>
        </row>
        <row r="7">
          <cell r="B7" t="str">
            <v>Кассадаги накд пул ва бошка тулов хужжатлари</v>
          </cell>
        </row>
        <row r="8">
          <cell r="A8">
            <v>10101</v>
          </cell>
          <cell r="B8" t="str">
            <v>Айланма кассадаги накд пуллар</v>
          </cell>
          <cell r="C8">
            <v>73704780493.309998</v>
          </cell>
        </row>
        <row r="9">
          <cell r="A9">
            <v>10102</v>
          </cell>
          <cell r="B9" t="str">
            <v>Накд пуллар захираси</v>
          </cell>
          <cell r="C9">
            <v>4437850100</v>
          </cell>
        </row>
        <row r="10">
          <cell r="A10">
            <v>10107</v>
          </cell>
          <cell r="B10" t="str">
            <v>Банкоматлардаги накд пуллар</v>
          </cell>
          <cell r="C10">
            <v>4415190</v>
          </cell>
        </row>
        <row r="11">
          <cell r="A11">
            <v>10109</v>
          </cell>
          <cell r="B11" t="str">
            <v>Йулдаги накд пуллар</v>
          </cell>
          <cell r="C11">
            <v>119382560</v>
          </cell>
        </row>
        <row r="12">
          <cell r="A12">
            <v>10198</v>
          </cell>
          <cell r="B12" t="str">
            <v>Марказий банкка топширилиши лозим булган накд пул захираси</v>
          </cell>
          <cell r="C12">
            <v>177495407</v>
          </cell>
        </row>
        <row r="13">
          <cell r="A13">
            <v>10100</v>
          </cell>
          <cell r="B13" t="str">
            <v>ЖАМИ</v>
          </cell>
          <cell r="C13">
            <v>78443923750.309998</v>
          </cell>
        </row>
        <row r="14">
          <cell r="B14" t="str">
            <v>Банкнинг Узбекистон Республикаси Марказий банкидаги (УзРМБ) хисобвараклари</v>
          </cell>
        </row>
        <row r="15">
          <cell r="A15">
            <v>10301</v>
          </cell>
          <cell r="B15" t="str">
            <v>Марказий банкдаги вакиллик хисобвараги - Ностро</v>
          </cell>
          <cell r="C15">
            <v>235920585.18000001</v>
          </cell>
        </row>
        <row r="16">
          <cell r="A16">
            <v>10309</v>
          </cell>
          <cell r="B16" t="str">
            <v>Марказий банкдаги мажбурий захира хисобвараги</v>
          </cell>
          <cell r="C16">
            <v>70657296600.160004</v>
          </cell>
        </row>
        <row r="17">
          <cell r="A17">
            <v>10311</v>
          </cell>
          <cell r="B17" t="str">
            <v>Марказий банкдан олишини лозим булган маблаглар - топширилган накд пуллар</v>
          </cell>
          <cell r="C17">
            <v>173500000</v>
          </cell>
        </row>
        <row r="18">
          <cell r="A18">
            <v>10397</v>
          </cell>
          <cell r="B18" t="str">
            <v>Марказий банкдаги бошка хисобвараклар - Депозитлар</v>
          </cell>
          <cell r="C18">
            <v>42021894445.629997</v>
          </cell>
        </row>
        <row r="19">
          <cell r="A19">
            <v>10300</v>
          </cell>
          <cell r="B19" t="str">
            <v>ЖАМИ</v>
          </cell>
          <cell r="C19">
            <v>113088611630.97</v>
          </cell>
        </row>
        <row r="20">
          <cell r="B20" t="str">
            <v>Банкнинг бошка банклардаги хисобвараклари</v>
          </cell>
        </row>
        <row r="21">
          <cell r="A21">
            <v>10501</v>
          </cell>
          <cell r="B21" t="str">
            <v>Бошка банклардаги вакиллик хисобвараклари - Ностро</v>
          </cell>
          <cell r="C21">
            <v>35720296005.610001</v>
          </cell>
        </row>
        <row r="22">
          <cell r="A22">
            <v>10507</v>
          </cell>
          <cell r="B22" t="str">
            <v>Бошка банклардан олишини лозим булган маблаглар - Накд пуллар</v>
          </cell>
          <cell r="C22">
            <v>7000000</v>
          </cell>
        </row>
        <row r="23">
          <cell r="A23">
            <v>10511</v>
          </cell>
          <cell r="B23" t="str">
            <v>Жисм,шахсларнинг пластик карталаридан берилган накд пул маблаглари учун бошка банклардан олинадиган маблаглар</v>
          </cell>
          <cell r="C23">
            <v>48971100</v>
          </cell>
        </row>
        <row r="24">
          <cell r="A24">
            <v>10513</v>
          </cell>
          <cell r="B24" t="str">
            <v>Пластик карталардан амалга оширилган туловлар буйича бошка банклардан олинадиган маблаглар</v>
          </cell>
          <cell r="C24">
            <v>2429120946.29</v>
          </cell>
        </row>
        <row r="25">
          <cell r="A25">
            <v>10597</v>
          </cell>
          <cell r="B25" t="str">
            <v>Бошка банклардаги хисобвараклар - Депозитлар</v>
          </cell>
          <cell r="C25">
            <v>1131302307.8800001</v>
          </cell>
        </row>
        <row r="26">
          <cell r="A26">
            <v>10500</v>
          </cell>
          <cell r="B26" t="str">
            <v>ЖАМИ</v>
          </cell>
          <cell r="C26">
            <v>39336690359.779999</v>
          </cell>
        </row>
        <row r="27">
          <cell r="B27" t="str">
            <v>Олди-сотди кимматли когозлари</v>
          </cell>
        </row>
        <row r="28">
          <cell r="A28">
            <v>10779</v>
          </cell>
          <cell r="B28" t="str">
            <v>Бошка кимматли когозлар</v>
          </cell>
          <cell r="C28">
            <v>1000000000</v>
          </cell>
        </row>
        <row r="29">
          <cell r="A29">
            <v>10700</v>
          </cell>
          <cell r="B29" t="str">
            <v>ЖАМИ</v>
          </cell>
          <cell r="C29">
            <v>1000000000</v>
          </cell>
        </row>
        <row r="30">
          <cell r="B30" t="str">
            <v>Сотишга мулжалланган кимматли когозларга килинган инвестициялар</v>
          </cell>
        </row>
        <row r="31">
          <cell r="A31">
            <v>10821</v>
          </cell>
          <cell r="B31" t="str">
            <v>Корхоналарнинг улушли кимматли когозлари</v>
          </cell>
          <cell r="C31">
            <v>153737714.19999999</v>
          </cell>
        </row>
        <row r="32">
          <cell r="A32">
            <v>10899</v>
          </cell>
          <cell r="B32" t="str">
            <v>Сотишга мулжалланган кимматли когозларга килинган инвестициялар буйича курилиши мумкин булган зарар(контр-акт)</v>
          </cell>
          <cell r="C32">
            <v>-15000000</v>
          </cell>
        </row>
        <row r="33">
          <cell r="A33">
            <v>10800</v>
          </cell>
          <cell r="B33" t="str">
            <v>ЖАМИ</v>
          </cell>
          <cell r="C33">
            <v>138737714.19999999</v>
          </cell>
        </row>
        <row r="34">
          <cell r="B34" t="str">
            <v>Олди-сотдига мулжалланган киммабахо металлар тошлар ва тангалар</v>
          </cell>
        </row>
        <row r="35">
          <cell r="A35">
            <v>10909</v>
          </cell>
          <cell r="B35" t="str">
            <v>Кимматбахо тангалар</v>
          </cell>
          <cell r="C35">
            <v>174702</v>
          </cell>
        </row>
        <row r="36">
          <cell r="A36">
            <v>10900</v>
          </cell>
          <cell r="B36" t="str">
            <v>ЖАМИ</v>
          </cell>
          <cell r="C36">
            <v>174702</v>
          </cell>
        </row>
        <row r="37">
          <cell r="B37" t="str">
            <v>Сотиб олинган дебиторлик карзлари - Факторинг</v>
          </cell>
        </row>
        <row r="38">
          <cell r="A38">
            <v>11101</v>
          </cell>
          <cell r="B38" t="str">
            <v>Сотиб олинган дебиторлик карзлари - Факторинг</v>
          </cell>
          <cell r="C38">
            <v>11514363567.99</v>
          </cell>
        </row>
        <row r="39">
          <cell r="A39">
            <v>11103</v>
          </cell>
          <cell r="B39" t="str">
            <v>Муддати утган сотиб олинган дебиторлик карзлари - Факторинг</v>
          </cell>
          <cell r="C39">
            <v>337247455.39999998</v>
          </cell>
        </row>
        <row r="40">
          <cell r="A40">
            <v>11195</v>
          </cell>
          <cell r="B40" t="str">
            <v>Сотиб олинган дебиторлик карзлари - Факторинг - буйича дисконт (контр-актив)</v>
          </cell>
          <cell r="C40">
            <v>-238700000</v>
          </cell>
        </row>
        <row r="41">
          <cell r="A41">
            <v>11100</v>
          </cell>
          <cell r="B41" t="str">
            <v>ЖАМИ</v>
          </cell>
          <cell r="C41">
            <v>11612911023.389999</v>
          </cell>
        </row>
        <row r="42">
          <cell r="B42" t="str">
            <v>Жисмоний шахсларга берилган киска муддатли кредитлар</v>
          </cell>
        </row>
        <row r="43">
          <cell r="A43">
            <v>12501</v>
          </cell>
          <cell r="B43" t="str">
            <v>Жисмоний шахсларга берилган киска муддатли кредитлар</v>
          </cell>
          <cell r="C43">
            <v>2274670502.0700002</v>
          </cell>
        </row>
        <row r="44">
          <cell r="A44">
            <v>12505</v>
          </cell>
          <cell r="B44" t="str">
            <v>Жисмоний шахсларга берилган муддати утган кредитлар</v>
          </cell>
          <cell r="C44">
            <v>153411471.09999999</v>
          </cell>
        </row>
        <row r="45">
          <cell r="A45">
            <v>12599</v>
          </cell>
          <cell r="B45" t="str">
            <v>Жисмоний шахсларга берилган киска муддатли кредитлар буйича курилиши мумкин булган зарарл,коплаш зах(контр-акт</v>
          </cell>
          <cell r="C45">
            <v>-75957.210000000006</v>
          </cell>
        </row>
        <row r="46">
          <cell r="A46">
            <v>12500</v>
          </cell>
          <cell r="B46" t="str">
            <v>ЖАМИ</v>
          </cell>
          <cell r="C46">
            <v>2428006015.96</v>
          </cell>
        </row>
        <row r="47">
          <cell r="B47" t="str">
            <v>Якка тартибдаги тадбиркорларга берилган киска муддатли кредитлар</v>
          </cell>
        </row>
        <row r="48">
          <cell r="A48">
            <v>12601</v>
          </cell>
          <cell r="B48" t="str">
            <v>Якка тартибдаги тадбиркорларга берилган киска муддатли кредитлар</v>
          </cell>
          <cell r="C48">
            <v>13768938184.83</v>
          </cell>
        </row>
        <row r="49">
          <cell r="A49">
            <v>12605</v>
          </cell>
          <cell r="B49" t="str">
            <v>Якка тартибдаги тадбиркорларга берилган муддати утган кредитлар</v>
          </cell>
          <cell r="C49">
            <v>278124603.69999999</v>
          </cell>
        </row>
        <row r="50">
          <cell r="A50">
            <v>12600</v>
          </cell>
          <cell r="B50" t="str">
            <v>ЖАМИ</v>
          </cell>
          <cell r="C50">
            <v>14047062788.530001</v>
          </cell>
        </row>
        <row r="51">
          <cell r="B51" t="str">
            <v>Давлат корхона ташкилот ва мауссасаларига берилган киска муддатли кредитлар</v>
          </cell>
        </row>
        <row r="52">
          <cell r="A52">
            <v>12701</v>
          </cell>
          <cell r="B52" t="str">
            <v>Давлат корхона ташкилот ва мауссасаларига берилган киска муддатли кредитлар</v>
          </cell>
          <cell r="C52">
            <v>43619890345.099998</v>
          </cell>
        </row>
        <row r="53">
          <cell r="A53">
            <v>12700</v>
          </cell>
          <cell r="B53" t="str">
            <v>ЖАМИ</v>
          </cell>
          <cell r="C53">
            <v>43619890345.099998</v>
          </cell>
        </row>
        <row r="54">
          <cell r="B54" t="str">
            <v>Нодавлат нотижорат ташкилотларига берилган киска муддатли кредитлар</v>
          </cell>
        </row>
        <row r="55">
          <cell r="A55">
            <v>13001</v>
          </cell>
          <cell r="B55" t="str">
            <v>Нодавлат нотижорат ташкилотларига берилган киска муддатли кредитлар</v>
          </cell>
          <cell r="C55">
            <v>49975796.289999999</v>
          </cell>
        </row>
        <row r="56">
          <cell r="A56">
            <v>13005</v>
          </cell>
          <cell r="B56" t="str">
            <v>Нодавлат нотижорат ташкилотларига берилган муддати утган кредитлар</v>
          </cell>
          <cell r="C56">
            <v>35007343.039999999</v>
          </cell>
        </row>
        <row r="57">
          <cell r="A57">
            <v>13000</v>
          </cell>
          <cell r="B57" t="str">
            <v>ЖАМИ</v>
          </cell>
          <cell r="C57">
            <v>84983139.329999998</v>
          </cell>
        </row>
        <row r="58">
          <cell r="B58" t="str">
            <v>Хусусий корхоналар хужалик ширкатлари ва жамиятларга берилган киска муддатли кредитлар</v>
          </cell>
        </row>
        <row r="59">
          <cell r="A59">
            <v>13101</v>
          </cell>
          <cell r="B59" t="str">
            <v>Хусусий корхоналар хужалик ширкатлари ва жамиятларга берилган киска муддатли кредитлар</v>
          </cell>
          <cell r="C59">
            <v>26042244156.650002</v>
          </cell>
        </row>
        <row r="60">
          <cell r="A60">
            <v>13105</v>
          </cell>
          <cell r="B60" t="str">
            <v>Хусусий корхоналар хужалик ширкатлари ва жамиятларга берилган муддати утган кредитлар</v>
          </cell>
          <cell r="C60">
            <v>6212805625.7200003</v>
          </cell>
        </row>
        <row r="61">
          <cell r="A61">
            <v>13199</v>
          </cell>
          <cell r="B61" t="str">
            <v>Хусусий корхоналар хужалик ширкатлари ва жамиятларга берилган киска муддатли кредитлар буйича курил(контр-акт</v>
          </cell>
          <cell r="C61">
            <v>-6000000</v>
          </cell>
        </row>
        <row r="62">
          <cell r="A62">
            <v>13100</v>
          </cell>
          <cell r="B62" t="str">
            <v>ЖАМИ</v>
          </cell>
          <cell r="C62">
            <v>32249049782.369999</v>
          </cell>
        </row>
        <row r="63">
          <cell r="B63" t="str">
            <v>Давлат эхтиёжлари учун харид килинадиган кишлок хужал,махсул,етиштириш учун берилган киска муддатли кредитлар</v>
          </cell>
        </row>
        <row r="64">
          <cell r="A64">
            <v>13301</v>
          </cell>
          <cell r="B64" t="str">
            <v>Давлат эхтиёжлари учун харид килинадиган галлани етиштириш учун берилган киска муддатли кредитлар</v>
          </cell>
          <cell r="C64">
            <v>36467511067.739998</v>
          </cell>
        </row>
        <row r="65">
          <cell r="A65">
            <v>13399</v>
          </cell>
          <cell r="B65" t="str">
            <v>Дав,эхтиёжлари учун харид килин,киш,хуж,махсул,етиштириш учун ,,,мумкин булган зарарларни коплаш захираси(к-а)</v>
          </cell>
          <cell r="C65">
            <v>-4882073.5199999996</v>
          </cell>
        </row>
        <row r="66">
          <cell r="A66">
            <v>13300</v>
          </cell>
          <cell r="B66" t="str">
            <v>ЖАМИ</v>
          </cell>
          <cell r="C66">
            <v>36462628994.220001</v>
          </cell>
        </row>
        <row r="67">
          <cell r="B67" t="str">
            <v>Давлат эхтиёжлари учун харид килинадиган кишлок хужал,махсул,етиштириш учун берилган узок муддатли кредитлар</v>
          </cell>
        </row>
        <row r="68">
          <cell r="A68">
            <v>14301</v>
          </cell>
          <cell r="B68" t="str">
            <v>Давлат эхтиёжлари учун харид килинадиган пахта хом-ашёсини етиштириш учун берилган узок муддатли кредитлар</v>
          </cell>
          <cell r="C68">
            <v>59666572038.730003</v>
          </cell>
        </row>
        <row r="69">
          <cell r="A69">
            <v>14399</v>
          </cell>
          <cell r="B69" t="str">
            <v>Дав,эхтиёжлари учун харид килин,киш,хуж,махсул,етиштириш учун бер,узок муд,кред,буйича,,,коплаш захираси(к-а)</v>
          </cell>
          <cell r="C69">
            <v>-272155692.08999997</v>
          </cell>
        </row>
        <row r="70">
          <cell r="A70">
            <v>14300</v>
          </cell>
          <cell r="B70" t="str">
            <v>ЖАМИ</v>
          </cell>
          <cell r="C70">
            <v>59394416346.639999</v>
          </cell>
        </row>
        <row r="71">
          <cell r="B71" t="str">
            <v>Жисмоний шахсларга берилган узок муддатли кредитлар</v>
          </cell>
        </row>
        <row r="72">
          <cell r="A72">
            <v>14901</v>
          </cell>
          <cell r="B72" t="str">
            <v>Жисмоний шахсларга берилган узок муддатли кредитлар</v>
          </cell>
          <cell r="C72">
            <v>153559247069.48999</v>
          </cell>
        </row>
        <row r="73">
          <cell r="A73">
            <v>14900</v>
          </cell>
          <cell r="B73" t="str">
            <v>ЖАМИ</v>
          </cell>
          <cell r="C73">
            <v>153559247069.48999</v>
          </cell>
        </row>
        <row r="74">
          <cell r="B74" t="str">
            <v>Якка тартибдаги тадбиркорларга берилган узок муддатли кредитлар</v>
          </cell>
        </row>
        <row r="75">
          <cell r="A75">
            <v>15001</v>
          </cell>
          <cell r="B75" t="str">
            <v>Якка тартибдаги тадбиркорларга берилган узок муддатли кредитлар</v>
          </cell>
          <cell r="C75">
            <v>29515978005.68</v>
          </cell>
        </row>
        <row r="76">
          <cell r="A76">
            <v>15099</v>
          </cell>
          <cell r="B76" t="str">
            <v>Якка тартибдаги тадбиркорларга берилган узок муддатли кредитлар буйича курилиши мумкин булган зарарл(контр-акт</v>
          </cell>
          <cell r="C76">
            <v>-1084623.68</v>
          </cell>
        </row>
        <row r="77">
          <cell r="A77">
            <v>15000</v>
          </cell>
          <cell r="B77" t="str">
            <v>ЖАМИ</v>
          </cell>
          <cell r="C77">
            <v>29514893382</v>
          </cell>
        </row>
        <row r="78">
          <cell r="B78" t="str">
            <v>Давлат корхона ташкилот ва муассасаларига берилган узок муддатли кредитлар</v>
          </cell>
        </row>
        <row r="79">
          <cell r="A79">
            <v>15101</v>
          </cell>
          <cell r="B79" t="str">
            <v>Давлат корхона ташкилот ва муассасаларига берилган узок муддатли кредитлар</v>
          </cell>
          <cell r="C79">
            <v>14610944851.049999</v>
          </cell>
        </row>
        <row r="80">
          <cell r="A80">
            <v>15100</v>
          </cell>
          <cell r="B80" t="str">
            <v>ЖАМИ</v>
          </cell>
          <cell r="C80">
            <v>14610944851.049999</v>
          </cell>
        </row>
        <row r="81">
          <cell r="B81" t="str">
            <v>Нодавлат нотижорат ташкилотларига берилган узок муддатли кредитлар</v>
          </cell>
        </row>
        <row r="82">
          <cell r="A82">
            <v>15201</v>
          </cell>
          <cell r="B82" t="str">
            <v>Нодавлат нотижорат ташкилотларига берилган узок муддатли кредитлар</v>
          </cell>
          <cell r="C82">
            <v>4085249341.5599999</v>
          </cell>
        </row>
        <row r="83">
          <cell r="A83">
            <v>15200</v>
          </cell>
          <cell r="B83" t="str">
            <v>ЖАМИ</v>
          </cell>
          <cell r="C83">
            <v>4085249341.5599999</v>
          </cell>
        </row>
        <row r="84">
          <cell r="B84" t="str">
            <v>Чет эл капитали иштирокидаги корхоналарга берилган узок муддатли кредитлар</v>
          </cell>
        </row>
        <row r="85">
          <cell r="A85">
            <v>15301</v>
          </cell>
          <cell r="B85" t="str">
            <v>Чет эл капитали иштирокидаги корхоналарга берилган узок муддатли кредитлар</v>
          </cell>
          <cell r="C85">
            <v>1227454612.79</v>
          </cell>
        </row>
        <row r="86">
          <cell r="A86">
            <v>15300</v>
          </cell>
          <cell r="B86" t="str">
            <v>ЖАМИ</v>
          </cell>
          <cell r="C86">
            <v>1227454612.79</v>
          </cell>
        </row>
        <row r="87">
          <cell r="B87" t="str">
            <v>Хусусий корхоналар хужалик ширкатлари ва жамиятларга берилган узок муддатли кредитлар</v>
          </cell>
        </row>
        <row r="88">
          <cell r="A88">
            <v>15501</v>
          </cell>
          <cell r="B88" t="str">
            <v>Хусусий корхоналар хужалик ширкатлари ва жамиятларга берилган узок муддатли кредитлар</v>
          </cell>
          <cell r="C88">
            <v>469855052882.40997</v>
          </cell>
        </row>
        <row r="89">
          <cell r="A89">
            <v>15599</v>
          </cell>
          <cell r="B89" t="str">
            <v>Хусусий корхоналар хужалик ширкатлари ва жамиятларга берилган узок муддатли ссудалар буйича курили(контр-акт)</v>
          </cell>
          <cell r="C89">
            <v>-40973408.560000002</v>
          </cell>
        </row>
        <row r="90">
          <cell r="A90">
            <v>15500</v>
          </cell>
          <cell r="B90" t="str">
            <v>ЖАМИ</v>
          </cell>
          <cell r="C90">
            <v>469814079473.84998</v>
          </cell>
        </row>
        <row r="91">
          <cell r="B91" t="str">
            <v>Лизинг (молиявий ижара)</v>
          </cell>
        </row>
        <row r="92">
          <cell r="A92">
            <v>15607</v>
          </cell>
          <cell r="B92" t="str">
            <v>Давлат корхона ташкилот ва муассасаларига берилган лизинг</v>
          </cell>
          <cell r="C92">
            <v>157143461.36000001</v>
          </cell>
        </row>
        <row r="93">
          <cell r="A93">
            <v>15613</v>
          </cell>
          <cell r="B93" t="str">
            <v>Хусусий корхоналар хужалик ширкатлари ва жамиятларга берилган лизинг</v>
          </cell>
          <cell r="C93">
            <v>19692144235.23</v>
          </cell>
        </row>
        <row r="94">
          <cell r="A94">
            <v>15617</v>
          </cell>
          <cell r="B94" t="str">
            <v>Муддати утган лизинг</v>
          </cell>
          <cell r="C94">
            <v>950159977.17999995</v>
          </cell>
        </row>
        <row r="95">
          <cell r="A95">
            <v>15699</v>
          </cell>
          <cell r="B95" t="str">
            <v>Лизинг буйича курилиши мумкин булган зарарларни коплаш захираси (контр-актив)</v>
          </cell>
          <cell r="C95">
            <v>-14916119</v>
          </cell>
        </row>
        <row r="96">
          <cell r="A96">
            <v>15600</v>
          </cell>
          <cell r="B96" t="str">
            <v>ЖАМИ</v>
          </cell>
          <cell r="C96">
            <v>20784531554.77</v>
          </cell>
        </row>
        <row r="97">
          <cell r="B97" t="str">
            <v>Суд жараёнидаги кредитлар ва лизинг</v>
          </cell>
        </row>
        <row r="98">
          <cell r="A98">
            <v>15701</v>
          </cell>
          <cell r="B98" t="str">
            <v>Юридик шахсларга берилган суд жараёнидаги кредитлар</v>
          </cell>
          <cell r="C98">
            <v>11476433746.51</v>
          </cell>
        </row>
        <row r="99">
          <cell r="A99">
            <v>15703</v>
          </cell>
          <cell r="B99" t="str">
            <v>Жисмоний шахсларга берилган суд жараёнидаги кредитлар</v>
          </cell>
          <cell r="C99">
            <v>6015506.2999999998</v>
          </cell>
        </row>
        <row r="100">
          <cell r="A100">
            <v>15705</v>
          </cell>
          <cell r="B100" t="str">
            <v>Суд жараёнидаги лизинг</v>
          </cell>
          <cell r="C100">
            <v>20722910.93</v>
          </cell>
        </row>
        <row r="101">
          <cell r="A101">
            <v>15700</v>
          </cell>
          <cell r="B101" t="str">
            <v>ЖАМИ</v>
          </cell>
          <cell r="C101">
            <v>11503172163.74</v>
          </cell>
        </row>
        <row r="102">
          <cell r="B102" t="str">
            <v>Карам хужалик жамиятларига кушма корхоналарга ва шуъба хужалик жамиятларига килинган инвестициялар</v>
          </cell>
        </row>
        <row r="103">
          <cell r="A103">
            <v>15801</v>
          </cell>
          <cell r="B103" t="str">
            <v>Карам хужалик жамиятларига килинган инвестициялар - Молиявий институтлар</v>
          </cell>
          <cell r="C103">
            <v>7995000000</v>
          </cell>
        </row>
        <row r="104">
          <cell r="A104">
            <v>15805</v>
          </cell>
          <cell r="B104" t="str">
            <v>Карам хужалик жамиятларига килинган инвестициялар - Бошкалар</v>
          </cell>
          <cell r="C104">
            <v>165500000</v>
          </cell>
        </row>
        <row r="105">
          <cell r="A105">
            <v>15800</v>
          </cell>
          <cell r="B105" t="str">
            <v>ЖАМИ</v>
          </cell>
          <cell r="C105">
            <v>8160500000</v>
          </cell>
        </row>
        <row r="106">
          <cell r="B106" t="str">
            <v>Сундириш муддатигача сакланадиган карз кимматли когозларга килинган инвестициялар</v>
          </cell>
        </row>
        <row r="107">
          <cell r="A107">
            <v>15979</v>
          </cell>
          <cell r="B107" t="str">
            <v>Бошка карз кимматли когозлар</v>
          </cell>
          <cell r="C107">
            <v>2750000000</v>
          </cell>
        </row>
        <row r="108">
          <cell r="A108">
            <v>15900</v>
          </cell>
          <cell r="B108" t="str">
            <v>ЖАМИ</v>
          </cell>
          <cell r="C108">
            <v>2750000000</v>
          </cell>
        </row>
        <row r="109">
          <cell r="B109" t="str">
            <v>Бош банк/филиаллардан олинадиган маблаглар</v>
          </cell>
        </row>
        <row r="110">
          <cell r="A110">
            <v>16101</v>
          </cell>
          <cell r="B110" t="str">
            <v>Бош банк/филиаллардан олинадиган маблаглар - Накд пуллар</v>
          </cell>
          <cell r="C110">
            <v>68571479352.82</v>
          </cell>
        </row>
        <row r="111">
          <cell r="A111">
            <v>16102</v>
          </cell>
          <cell r="B111" t="str">
            <v>Бош банк/филиаллардан олинадиган маблаглар - Накдинасиз маблаглар</v>
          </cell>
          <cell r="C111">
            <v>819611290938.71997</v>
          </cell>
        </row>
        <row r="112">
          <cell r="A112">
            <v>16103</v>
          </cell>
          <cell r="B112" t="str">
            <v>Бош банк/филиаллардан филиаллар ва банклараро хисоб-китоблар буйича олинадиган маблаглар</v>
          </cell>
          <cell r="C112">
            <v>102297325394.3</v>
          </cell>
        </row>
        <row r="113">
          <cell r="A113">
            <v>16104</v>
          </cell>
          <cell r="B113" t="str">
            <v>Бош банк/филиаллардан олинадиган маблаглар - Товар-моддий кимматликлар ва хизматлар</v>
          </cell>
          <cell r="C113">
            <v>69353547.079999998</v>
          </cell>
        </row>
        <row r="114">
          <cell r="A114">
            <v>16111</v>
          </cell>
          <cell r="B114" t="str">
            <v>Жисмоний шахсларнинг пластик к-таларидан берилган накд маблаглар б-ча Бош банк/фил-лардан олин-ган маблаглар</v>
          </cell>
          <cell r="C114">
            <v>8773000</v>
          </cell>
        </row>
        <row r="115">
          <cell r="A115">
            <v>16113</v>
          </cell>
          <cell r="B115" t="str">
            <v>Пластик карталардан амалга оширилган туловлар буйича Бош банк/филиаллардан олинадиган маблаглар</v>
          </cell>
          <cell r="C115">
            <v>44330362</v>
          </cell>
        </row>
        <row r="116">
          <cell r="A116">
            <v>16100</v>
          </cell>
          <cell r="B116" t="str">
            <v>ЖАМИ</v>
          </cell>
          <cell r="C116">
            <v>990602552594.92004</v>
          </cell>
        </row>
        <row r="117">
          <cell r="B117" t="str">
            <v>Активлар буйича хисобланган фоизлар</v>
          </cell>
        </row>
        <row r="118">
          <cell r="A118">
            <v>16303</v>
          </cell>
          <cell r="B118" t="str">
            <v>Бошка банклардан олиниши лозим булган хисобланган фоизлар</v>
          </cell>
          <cell r="C118">
            <v>206044896.05000001</v>
          </cell>
        </row>
        <row r="119">
          <cell r="A119">
            <v>16304</v>
          </cell>
          <cell r="B119" t="str">
            <v>Бош офис/филиалдан олиниши лозим булган хисобланган фоизлар</v>
          </cell>
          <cell r="C119">
            <v>660079478.88999999</v>
          </cell>
        </row>
        <row r="120">
          <cell r="A120">
            <v>16309</v>
          </cell>
          <cell r="B120" t="str">
            <v>Кредитлар буйича хисобланган фоизлар</v>
          </cell>
          <cell r="C120">
            <v>5027639209.79</v>
          </cell>
        </row>
        <row r="121">
          <cell r="A121">
            <v>16323</v>
          </cell>
          <cell r="B121" t="str">
            <v>Лизинг буйича хисобланган фоизлар (Молиявий ижара)</v>
          </cell>
          <cell r="C121">
            <v>157032036.47</v>
          </cell>
        </row>
        <row r="122">
          <cell r="A122">
            <v>16377</v>
          </cell>
          <cell r="B122" t="str">
            <v>Олиш учун хисобланган шартнома муддатида туланмаган фоизлар</v>
          </cell>
          <cell r="C122">
            <v>17690478288.889999</v>
          </cell>
        </row>
        <row r="123">
          <cell r="A123">
            <v>16397</v>
          </cell>
          <cell r="B123" t="str">
            <v>Мижозларнинг бошка мажбуриятлари буйича хисобланган фоизлар</v>
          </cell>
          <cell r="C123">
            <v>9106009077.6399994</v>
          </cell>
        </row>
        <row r="124">
          <cell r="A124">
            <v>16300</v>
          </cell>
          <cell r="B124" t="str">
            <v>ЖАМИ</v>
          </cell>
          <cell r="C124">
            <v>32847282987.73</v>
          </cell>
        </row>
        <row r="125">
          <cell r="B125" t="str">
            <v>Хисобланган фоизсиз даромадлар</v>
          </cell>
        </row>
        <row r="126">
          <cell r="A126">
            <v>16401</v>
          </cell>
          <cell r="B126" t="str">
            <v>Хисобланган воситачилик хаки ва курсатилган хизматлар учун туловлар</v>
          </cell>
          <cell r="C126">
            <v>3445950369.1399999</v>
          </cell>
        </row>
        <row r="127">
          <cell r="A127">
            <v>16405</v>
          </cell>
          <cell r="B127" t="str">
            <v>Хисобланган жарима ва пенялар</v>
          </cell>
          <cell r="C127">
            <v>1193340718.78</v>
          </cell>
        </row>
        <row r="128">
          <cell r="A128">
            <v>16409</v>
          </cell>
          <cell r="B128" t="str">
            <v>Операцион ижара буйича хисобланган даромад</v>
          </cell>
          <cell r="C128">
            <v>166257439.18000001</v>
          </cell>
        </row>
        <row r="129">
          <cell r="A129">
            <v>16413</v>
          </cell>
          <cell r="B129" t="str">
            <v>Хисобланган бошка фоизсиз даромадлар</v>
          </cell>
          <cell r="C129">
            <v>286933955.89999998</v>
          </cell>
        </row>
        <row r="130">
          <cell r="A130">
            <v>16400</v>
          </cell>
          <cell r="B130" t="str">
            <v>ЖАМИ</v>
          </cell>
          <cell r="C130">
            <v>5092482483</v>
          </cell>
        </row>
        <row r="131">
          <cell r="B131" t="str">
            <v>Асосий воситалар</v>
          </cell>
        </row>
        <row r="132">
          <cell r="A132">
            <v>16505</v>
          </cell>
          <cell r="B132" t="str">
            <v>Тугалланмаган курилишлар</v>
          </cell>
          <cell r="C132">
            <v>4462261806.1999998</v>
          </cell>
        </row>
        <row r="133">
          <cell r="A133">
            <v>16509</v>
          </cell>
          <cell r="B133" t="str">
            <v>Банкнинг иморатлари - Бинолар ва бошка иморатлар</v>
          </cell>
          <cell r="C133">
            <v>35826291605.660004</v>
          </cell>
        </row>
        <row r="134">
          <cell r="A134">
            <v>16511</v>
          </cell>
          <cell r="B134" t="str">
            <v>Бинолар ва бошка иморатларнинг йигилган эскириш суммаси (контр-актив)</v>
          </cell>
          <cell r="C134">
            <v>-8895424156.5100002</v>
          </cell>
        </row>
        <row r="135">
          <cell r="A135">
            <v>16515</v>
          </cell>
          <cell r="B135" t="str">
            <v>Объектларни ижарага олиш ва уни такомиллаштириш хукуки</v>
          </cell>
          <cell r="C135">
            <v>789390357.99000001</v>
          </cell>
        </row>
        <row r="136">
          <cell r="A136">
            <v>16519</v>
          </cell>
          <cell r="B136" t="str">
            <v>Объектларни ижарага олиш ва уни такомиллаштириш хукуки буйича йигилган эскириш суммаси (контр-актив)</v>
          </cell>
          <cell r="C136">
            <v>-344566686.97000003</v>
          </cell>
        </row>
        <row r="137">
          <cell r="A137">
            <v>16529</v>
          </cell>
          <cell r="B137" t="str">
            <v>Транспорт воситалари</v>
          </cell>
          <cell r="C137">
            <v>2134811383.04</v>
          </cell>
        </row>
        <row r="138">
          <cell r="A138">
            <v>16531</v>
          </cell>
          <cell r="B138" t="str">
            <v>Транспорт воситаларининг йигилган эскириш суммаси (контр-актив)</v>
          </cell>
          <cell r="C138">
            <v>-1364422174.3599999</v>
          </cell>
        </row>
        <row r="139">
          <cell r="A139">
            <v>16535</v>
          </cell>
          <cell r="B139" t="str">
            <v>Мебель мослама ва жихозлар</v>
          </cell>
          <cell r="C139">
            <v>27919774628.869999</v>
          </cell>
        </row>
        <row r="140">
          <cell r="A140">
            <v>16539</v>
          </cell>
          <cell r="B140" t="str">
            <v>Мебель мослама ва жихозларнинг йигилган эскириш суммаси (контр-актив)</v>
          </cell>
          <cell r="C140">
            <v>-15808594376.73</v>
          </cell>
        </row>
        <row r="141">
          <cell r="A141">
            <v>16541</v>
          </cell>
          <cell r="B141" t="str">
            <v>Тулов карточкалари билан хисоб-китобларни амалга ошириш ускуналари</v>
          </cell>
          <cell r="C141">
            <v>2372667452.5700002</v>
          </cell>
        </row>
        <row r="142">
          <cell r="A142">
            <v>16543</v>
          </cell>
          <cell r="B142" t="str">
            <v>Тулов карточкалари билан хисоб-китобларни амалга ошириш ускуналарининг йигилган эскириш суммаси (контр-актив)</v>
          </cell>
          <cell r="C142">
            <v>-1571921921.49</v>
          </cell>
        </row>
        <row r="143">
          <cell r="A143">
            <v>16549</v>
          </cell>
          <cell r="B143" t="str">
            <v>Бошкаларга операцион ижарага берилган асосий воситалар</v>
          </cell>
          <cell r="C143">
            <v>20398486916.27</v>
          </cell>
        </row>
        <row r="144">
          <cell r="A144">
            <v>16551</v>
          </cell>
          <cell r="B144" t="str">
            <v>Бошкаларга операцион ижарага берилган асосий воситаларнинг йигилган эскириш суммаси (контр-актив)</v>
          </cell>
          <cell r="C144">
            <v>-7780651139.3100004</v>
          </cell>
        </row>
        <row r="145">
          <cell r="A145">
            <v>16561</v>
          </cell>
          <cell r="B145" t="str">
            <v>Омбордаги асосий воситалар</v>
          </cell>
          <cell r="C145">
            <v>6189768871.79</v>
          </cell>
        </row>
        <row r="146">
          <cell r="A146">
            <v>16563</v>
          </cell>
          <cell r="B146" t="str">
            <v>Омбордаги асосий воситаларнинг йигилган эскириш суммаси (контр-актив)</v>
          </cell>
          <cell r="C146">
            <v>-411666724.16000003</v>
          </cell>
        </row>
        <row r="147">
          <cell r="A147">
            <v>16500</v>
          </cell>
          <cell r="B147" t="str">
            <v>ЖАМИ</v>
          </cell>
          <cell r="C147">
            <v>63916205842.860001</v>
          </cell>
        </row>
        <row r="148">
          <cell r="B148" t="str">
            <v>Номоддий активлар</v>
          </cell>
        </row>
        <row r="149">
          <cell r="A149">
            <v>16601</v>
          </cell>
          <cell r="B149" t="str">
            <v>Номоддий активлар</v>
          </cell>
          <cell r="C149">
            <v>3401776037.5100002</v>
          </cell>
        </row>
        <row r="150">
          <cell r="A150">
            <v>16605</v>
          </cell>
          <cell r="B150" t="str">
            <v>Номоддий активларнинг йигилган эскириш суммаси (контр-актив)</v>
          </cell>
          <cell r="C150">
            <v>-1243010584.74</v>
          </cell>
        </row>
        <row r="151">
          <cell r="A151">
            <v>16600</v>
          </cell>
          <cell r="B151" t="str">
            <v>ЖАМИ</v>
          </cell>
          <cell r="C151">
            <v>2158765452.77</v>
          </cell>
        </row>
        <row r="152">
          <cell r="B152" t="str">
            <v>Банкнинг бошка хусусий мулклари</v>
          </cell>
        </row>
        <row r="153">
          <cell r="A153">
            <v>16701</v>
          </cell>
          <cell r="B153" t="str">
            <v>Кредит ва лизинг буйича гаров хисобидан ундирилган мулк</v>
          </cell>
          <cell r="C153">
            <v>5236964864.9899998</v>
          </cell>
        </row>
        <row r="154">
          <cell r="A154">
            <v>16700</v>
          </cell>
          <cell r="B154" t="str">
            <v>ЖАМИ</v>
          </cell>
          <cell r="C154">
            <v>5236964864.9899998</v>
          </cell>
        </row>
        <row r="155">
          <cell r="B155" t="str">
            <v>Хосилавий инструментларнинг ревальвацияси натижасида узлаштирилмаган фойда</v>
          </cell>
        </row>
        <row r="156">
          <cell r="A156">
            <v>16913</v>
          </cell>
          <cell r="B156" t="str">
            <v>Ревальвация натижасида узлаштирилмаган фойда - Своплар</v>
          </cell>
          <cell r="C156">
            <v>759690000</v>
          </cell>
        </row>
        <row r="157">
          <cell r="A157">
            <v>16900</v>
          </cell>
          <cell r="B157" t="str">
            <v>ЖАМИ</v>
          </cell>
          <cell r="C157">
            <v>759690000</v>
          </cell>
        </row>
        <row r="158">
          <cell r="B158" t="str">
            <v>Валюта савдоси ва валюта позициялари</v>
          </cell>
        </row>
        <row r="159">
          <cell r="A159">
            <v>17101</v>
          </cell>
          <cell r="B159" t="str">
            <v>Валюта позицияси хисобвараклари</v>
          </cell>
          <cell r="C159">
            <v>0</v>
          </cell>
        </row>
        <row r="160">
          <cell r="A160">
            <v>17100</v>
          </cell>
          <cell r="B160" t="str">
            <v>ЖАМИ</v>
          </cell>
          <cell r="C160">
            <v>0</v>
          </cell>
        </row>
        <row r="161">
          <cell r="B161" t="str">
            <v>Транзит хисобвараклари</v>
          </cell>
        </row>
        <row r="162">
          <cell r="A162">
            <v>17301</v>
          </cell>
          <cell r="B162" t="str">
            <v>Транзит хисобвараклари</v>
          </cell>
          <cell r="C162">
            <v>2514000</v>
          </cell>
        </row>
        <row r="163">
          <cell r="A163">
            <v>17305</v>
          </cell>
          <cell r="B163" t="str">
            <v>Аникланиш жараёнидаги трансакциялар</v>
          </cell>
          <cell r="C163">
            <v>71893963.530000001</v>
          </cell>
        </row>
        <row r="164">
          <cell r="A164">
            <v>17300</v>
          </cell>
          <cell r="B164" t="str">
            <v>ЖАМИ</v>
          </cell>
          <cell r="C164">
            <v>74407963.530000001</v>
          </cell>
        </row>
        <row r="165">
          <cell r="B165" t="str">
            <v>Мижозларнинг пластик карталаридан утказилиши лозим булган маблаглар транзит хисобвараклари</v>
          </cell>
        </row>
        <row r="166">
          <cell r="A166">
            <v>17401</v>
          </cell>
          <cell r="B166" t="str">
            <v>Жисмоний шахсларнинг пластик к-таларидан олинган накд пул буйича ут-ши лозим булган маблаглар транзит х/клари</v>
          </cell>
          <cell r="C166">
            <v>61385253.979999997</v>
          </cell>
        </row>
        <row r="167">
          <cell r="A167">
            <v>17403</v>
          </cell>
          <cell r="B167" t="str">
            <v>Жис ш-ларнинг пл-к к-таларидан бошка пл-к к-талар ёки ом-тлар х/вларига ут-ши л/б-н маблаглар тр-т х/влари</v>
          </cell>
          <cell r="C167">
            <v>758373803.53999996</v>
          </cell>
        </row>
        <row r="168">
          <cell r="A168">
            <v>17409</v>
          </cell>
          <cell r="B168" t="str">
            <v>Пл-к к-талардан конунчиликда кузда тутилган бошка туловлар буйича ут-ши л/б-н маблаглар транзит х/влари</v>
          </cell>
          <cell r="C168">
            <v>135798896.84</v>
          </cell>
        </row>
        <row r="169">
          <cell r="A169">
            <v>17400</v>
          </cell>
          <cell r="B169" t="str">
            <v>ЖАМИ</v>
          </cell>
          <cell r="C169">
            <v>955557954.36000001</v>
          </cell>
        </row>
        <row r="170">
          <cell r="B170" t="str">
            <v>Бошка активлар</v>
          </cell>
        </row>
        <row r="171">
          <cell r="A171">
            <v>19907</v>
          </cell>
          <cell r="B171" t="str">
            <v>Хизматлар учун олдиндан килинган харажатлар</v>
          </cell>
          <cell r="C171">
            <v>5271507215.29</v>
          </cell>
        </row>
        <row r="172">
          <cell r="A172">
            <v>19908</v>
          </cell>
          <cell r="B172" t="str">
            <v>Банк ходимлари билан хисоб-китоблардаги олиниши лозим булган маблаглар</v>
          </cell>
          <cell r="C172">
            <v>1008223760.66</v>
          </cell>
        </row>
        <row r="173">
          <cell r="A173">
            <v>19909</v>
          </cell>
          <cell r="B173" t="str">
            <v>Товар-моддий кимматликлар учун туланган маблаглар</v>
          </cell>
          <cell r="C173">
            <v>2929124695.71</v>
          </cell>
        </row>
        <row r="174">
          <cell r="A174">
            <v>19910</v>
          </cell>
          <cell r="B174" t="str">
            <v>Банкнинг жавобгар ходимларига берилган корпоратив пластик карталар буйича хисоб-китоблар учун маблаглар</v>
          </cell>
          <cell r="C174">
            <v>32554207.010000002</v>
          </cell>
        </row>
        <row r="175">
          <cell r="A175">
            <v>19921</v>
          </cell>
          <cell r="B175" t="str">
            <v>Омбордаги кам бахоли ва тез эскирувчи буюмлар хамда бошка кимматликлар</v>
          </cell>
          <cell r="C175">
            <v>4343697021.9200001</v>
          </cell>
        </row>
        <row r="176">
          <cell r="A176">
            <v>19925</v>
          </cell>
          <cell r="B176" t="str">
            <v>Олдиндан туланган харажатлар</v>
          </cell>
          <cell r="C176">
            <v>814306079.44000006</v>
          </cell>
        </row>
        <row r="177">
          <cell r="A177">
            <v>19929</v>
          </cell>
          <cell r="B177" t="str">
            <v>Бошка муддати узайтирилган харажатлар</v>
          </cell>
          <cell r="C177">
            <v>13563200</v>
          </cell>
        </row>
        <row r="178">
          <cell r="A178">
            <v>19931</v>
          </cell>
          <cell r="B178" t="str">
            <v>Муддати узайтирилган соликлар</v>
          </cell>
          <cell r="C178">
            <v>791911732.82000005</v>
          </cell>
        </row>
        <row r="179">
          <cell r="A179">
            <v>19934</v>
          </cell>
          <cell r="B179" t="str">
            <v>Жмсмоний шахсларнинг пул утказмалари буйича хисоб-китоблар</v>
          </cell>
          <cell r="C179">
            <v>11884277502.15</v>
          </cell>
        </row>
        <row r="180">
          <cell r="A180">
            <v>19935</v>
          </cell>
          <cell r="B180" t="str">
            <v>Кайта санаш вактида аникланган накд пул буйича камомадлар</v>
          </cell>
          <cell r="C180">
            <v>513580833</v>
          </cell>
        </row>
        <row r="181">
          <cell r="A181">
            <v>19941</v>
          </cell>
          <cell r="B181" t="str">
            <v>Тугатилган ва тугатилиш жараёнида банклардаги маблаглар</v>
          </cell>
          <cell r="C181">
            <v>815818417.15999997</v>
          </cell>
        </row>
        <row r="182">
          <cell r="A182">
            <v>19995</v>
          </cell>
          <cell r="B182" t="str">
            <v>Суд жараёнидаги бошка активлар</v>
          </cell>
          <cell r="C182">
            <v>8688903</v>
          </cell>
        </row>
        <row r="183">
          <cell r="A183">
            <v>19997</v>
          </cell>
          <cell r="B183" t="str">
            <v>Бошка активлар</v>
          </cell>
          <cell r="C183">
            <v>14769069274.040001</v>
          </cell>
        </row>
        <row r="184">
          <cell r="A184">
            <v>19900</v>
          </cell>
          <cell r="B184" t="str">
            <v>ЖАМИ</v>
          </cell>
          <cell r="C184">
            <v>43196322842.199997</v>
          </cell>
        </row>
        <row r="185">
          <cell r="A185">
            <v>10000</v>
          </cell>
          <cell r="B185" t="str">
            <v>ЖАМИ</v>
          </cell>
          <cell r="C185">
            <v>2292757392028.4102</v>
          </cell>
        </row>
        <row r="186">
          <cell r="B186" t="str">
            <v>МАЖБУРИЯТЛАР</v>
          </cell>
        </row>
        <row r="187">
          <cell r="B187" t="str">
            <v>Талаб килиб олингунча сакланадиган депозитлар</v>
          </cell>
        </row>
        <row r="188">
          <cell r="A188">
            <v>20203</v>
          </cell>
          <cell r="B188" t="str">
            <v>Республика карамогидаги бюджет ташкилотларининг бюджетдан ташкари маблаглари буйича талаб килиб олингунча сакл</v>
          </cell>
          <cell r="C188">
            <v>2322763618.1100001</v>
          </cell>
        </row>
        <row r="189">
          <cell r="A189">
            <v>20204</v>
          </cell>
          <cell r="B189" t="str">
            <v>Махаллий бюджет карамогидаги бюджет ташкилотларининг бюджетдан ташкари маблаглари буйича талаб килиб олингунча</v>
          </cell>
          <cell r="C189">
            <v>554978055.99000001</v>
          </cell>
        </row>
        <row r="190">
          <cell r="A190">
            <v>20205</v>
          </cell>
          <cell r="B190" t="str">
            <v>Бюджетдан ташкари фондларнинг талаб килиб олингунча сакланадиган депозитлари</v>
          </cell>
          <cell r="C190">
            <v>21398388.190000001</v>
          </cell>
        </row>
        <row r="191">
          <cell r="A191">
            <v>20206</v>
          </cell>
          <cell r="B191" t="str">
            <v>Жисмоний шахсларнинг талаб килиб олингунча сакланадиган депозитлари</v>
          </cell>
          <cell r="C191">
            <v>37395595230.709999</v>
          </cell>
        </row>
        <row r="192">
          <cell r="A192">
            <v>20208</v>
          </cell>
          <cell r="B192" t="str">
            <v>Хусусий корхоналар хужалик ширкатлари ва жамиятларнинг талаб килиб олингунча сакланадиган депозитлари</v>
          </cell>
          <cell r="C192">
            <v>71890802701.020004</v>
          </cell>
        </row>
        <row r="193">
          <cell r="A193">
            <v>20210</v>
          </cell>
          <cell r="B193" t="str">
            <v>Давлат корхона ташкилот ва муассасаларининг талаб килиб олингунча сакланадиган депозитлари</v>
          </cell>
          <cell r="C193">
            <v>4371766806.4099998</v>
          </cell>
        </row>
        <row r="194">
          <cell r="A194">
            <v>20212</v>
          </cell>
          <cell r="B194" t="str">
            <v>Нодавлат нотижорат ташкилотларининг талаб килиб олингунча сакланадиган депозитлари</v>
          </cell>
          <cell r="C194">
            <v>4523654129.6099997</v>
          </cell>
        </row>
        <row r="195">
          <cell r="A195">
            <v>20214</v>
          </cell>
          <cell r="B195" t="str">
            <v>Чет эл капитали иштирокидаги корхоналарнинг талаб килиб олингунча сакланадиган депозитлари</v>
          </cell>
          <cell r="C195">
            <v>1771028240.3399999</v>
          </cell>
        </row>
        <row r="196">
          <cell r="A196">
            <v>20216</v>
          </cell>
          <cell r="B196" t="str">
            <v>Банк булмаган молиявий муассасаларнинг талаб килиб олингунча сакланадиган депозитлари</v>
          </cell>
          <cell r="C196">
            <v>108991853.84999999</v>
          </cell>
        </row>
        <row r="197">
          <cell r="A197">
            <v>20218</v>
          </cell>
          <cell r="B197" t="str">
            <v>Якка тартибдаги тадбиркорларнинг талаб килиб олингунча сакланадиган депозитлари</v>
          </cell>
          <cell r="C197">
            <v>20963145673.439999</v>
          </cell>
        </row>
        <row r="198">
          <cell r="A198">
            <v>20296</v>
          </cell>
          <cell r="B198" t="str">
            <v>Бошка мижозларнинг талаб килиб олингунча сакланадиган депозитлари</v>
          </cell>
          <cell r="C198">
            <v>357792.65</v>
          </cell>
        </row>
        <row r="199">
          <cell r="A199">
            <v>20200</v>
          </cell>
          <cell r="B199" t="str">
            <v>ЖАМИ</v>
          </cell>
          <cell r="C199">
            <v>143924482490.32001</v>
          </cell>
        </row>
        <row r="200">
          <cell r="B200" t="str">
            <v>Жамгарма депозитлар</v>
          </cell>
        </row>
        <row r="201">
          <cell r="A201">
            <v>20406</v>
          </cell>
          <cell r="B201" t="str">
            <v>Жисмоний шахсларнинг жамгарма депозитлари</v>
          </cell>
          <cell r="C201">
            <v>42026396532.43</v>
          </cell>
        </row>
        <row r="202">
          <cell r="A202">
            <v>20408</v>
          </cell>
          <cell r="B202" t="str">
            <v>Хусусий корхоналар хужалик ширкатлари ва жамиятларнинг жамгарма депозитлари</v>
          </cell>
          <cell r="C202">
            <v>2264783373.1199999</v>
          </cell>
        </row>
        <row r="203">
          <cell r="A203">
            <v>20410</v>
          </cell>
          <cell r="B203" t="str">
            <v>Давлат корхона ташкилот ва муассасаларининг жамгарма депозитлари</v>
          </cell>
          <cell r="C203">
            <v>100000000</v>
          </cell>
        </row>
        <row r="204">
          <cell r="A204">
            <v>20412</v>
          </cell>
          <cell r="B204" t="str">
            <v>Нодавлат нотижорат ташкилотларининг жамгарма депозитлари</v>
          </cell>
          <cell r="C204">
            <v>22432058.079999998</v>
          </cell>
        </row>
        <row r="205">
          <cell r="A205">
            <v>20418</v>
          </cell>
          <cell r="B205" t="str">
            <v>Якка тартибдаги тадбиркорларнинг жамгарма депозитлари</v>
          </cell>
          <cell r="C205">
            <v>60698000</v>
          </cell>
        </row>
        <row r="206">
          <cell r="A206">
            <v>20400</v>
          </cell>
          <cell r="B206" t="str">
            <v>ЖАМИ</v>
          </cell>
          <cell r="C206">
            <v>44474309963.629997</v>
          </cell>
        </row>
        <row r="207">
          <cell r="B207" t="str">
            <v>Муддатли депозитлар</v>
          </cell>
        </row>
        <row r="208">
          <cell r="A208">
            <v>20602</v>
          </cell>
          <cell r="B208" t="str">
            <v>Хукуматнинг бюджетдан ташкари маблаглари буйича муддатли депозитлари</v>
          </cell>
          <cell r="C208">
            <v>20000000000</v>
          </cell>
        </row>
        <row r="209">
          <cell r="A209">
            <v>20603</v>
          </cell>
          <cell r="B209" t="str">
            <v>Республика карамогидаги бюджет ташкилотларининг бюджетдан ташкари маблаглари буйича муддатли депозитлари</v>
          </cell>
          <cell r="C209">
            <v>62634600000</v>
          </cell>
        </row>
        <row r="210">
          <cell r="A210">
            <v>20605</v>
          </cell>
          <cell r="B210" t="str">
            <v>Бюджетдан ташкари фондларнинг муддатли депозитлари</v>
          </cell>
          <cell r="C210">
            <v>217307300000</v>
          </cell>
        </row>
        <row r="211">
          <cell r="A211">
            <v>20606</v>
          </cell>
          <cell r="B211" t="str">
            <v>Жисмоний шахсларнинг муддатли депозитлари</v>
          </cell>
          <cell r="C211">
            <v>43327828817.57</v>
          </cell>
        </row>
        <row r="212">
          <cell r="A212">
            <v>20608</v>
          </cell>
          <cell r="B212" t="str">
            <v>Хусусий корхоналар хужалик ширкатлари ва жамиятларнинг муддатли депозитлари</v>
          </cell>
          <cell r="C212">
            <v>7118527550.0600004</v>
          </cell>
        </row>
        <row r="213">
          <cell r="A213">
            <v>20610</v>
          </cell>
          <cell r="B213" t="str">
            <v>Давлат корхона ташкилот ва муассасаларининг муддатли депозитлари</v>
          </cell>
          <cell r="C213">
            <v>31369966895.869999</v>
          </cell>
        </row>
        <row r="214">
          <cell r="A214">
            <v>20612</v>
          </cell>
          <cell r="B214" t="str">
            <v>Нодавлат нотижорат ташкилотларининг муддатли депозитлари</v>
          </cell>
          <cell r="C214">
            <v>11120000000</v>
          </cell>
        </row>
        <row r="215">
          <cell r="A215">
            <v>20614</v>
          </cell>
          <cell r="B215" t="str">
            <v>Чет эл капитали иштирокидаги корхоналарнинг муддатли депозитлари</v>
          </cell>
          <cell r="C215">
            <v>7531995800</v>
          </cell>
        </row>
        <row r="216">
          <cell r="A216">
            <v>20616</v>
          </cell>
          <cell r="B216" t="str">
            <v>Банк булмаган молиявий муассасаларнинг муддатли депозитлари</v>
          </cell>
          <cell r="C216">
            <v>32962448000</v>
          </cell>
        </row>
        <row r="217">
          <cell r="A217">
            <v>20696</v>
          </cell>
          <cell r="B217" t="str">
            <v>Бошка мижозларнинг муддатли депозитлари</v>
          </cell>
          <cell r="C217">
            <v>6000000000</v>
          </cell>
        </row>
        <row r="218">
          <cell r="A218">
            <v>20600</v>
          </cell>
          <cell r="B218" t="str">
            <v>ЖАМИ</v>
          </cell>
          <cell r="C218">
            <v>439372667063.5</v>
          </cell>
        </row>
        <row r="219">
          <cell r="B219" t="str">
            <v>Бошка банкларнинг хисобвараклари</v>
          </cell>
        </row>
        <row r="220">
          <cell r="A220">
            <v>21008</v>
          </cell>
          <cell r="B220" t="str">
            <v>Бошка банкларга туланиши лозим булган маблаглар - Накд пуллар</v>
          </cell>
          <cell r="C220">
            <v>282000000</v>
          </cell>
        </row>
        <row r="221">
          <cell r="A221">
            <v>21010</v>
          </cell>
          <cell r="B221" t="str">
            <v>Бошка банкларнинг хисобвараклари - Депозитлар</v>
          </cell>
          <cell r="C221">
            <v>70718800000</v>
          </cell>
        </row>
        <row r="222">
          <cell r="A222">
            <v>21012</v>
          </cell>
          <cell r="B222" t="str">
            <v>Жисм,шахсларнинг пластик карталаридан берилган накд пул маблаглари учун бошка банкларга туланадиган маблаглар</v>
          </cell>
          <cell r="C222">
            <v>40317000</v>
          </cell>
        </row>
        <row r="223">
          <cell r="A223">
            <v>21014</v>
          </cell>
          <cell r="B223" t="str">
            <v>Пластик карталардан амалга оширилган туловлар буйича бошка банкларга туланадиган маблаглар</v>
          </cell>
          <cell r="C223">
            <v>1997052401.97</v>
          </cell>
        </row>
        <row r="224">
          <cell r="A224">
            <v>21000</v>
          </cell>
          <cell r="B224" t="str">
            <v>ЖАМИ</v>
          </cell>
          <cell r="C224">
            <v>73038169401.970001</v>
          </cell>
        </row>
        <row r="225">
          <cell r="B225" t="str">
            <v>Олинган киска муддатли кредитлар</v>
          </cell>
        </row>
        <row r="226">
          <cell r="A226">
            <v>21604</v>
          </cell>
          <cell r="B226" t="str">
            <v>Молия вазирлиги хузуридаги Жамгармалардан олинган киска муддатли кредитлар</v>
          </cell>
          <cell r="C226">
            <v>35916376555.32</v>
          </cell>
        </row>
        <row r="227">
          <cell r="A227">
            <v>21610</v>
          </cell>
          <cell r="B227" t="str">
            <v>Хукуматдан олинган киска муддатли кредитлар</v>
          </cell>
          <cell r="C227">
            <v>36481.410000000003</v>
          </cell>
        </row>
        <row r="228">
          <cell r="A228">
            <v>21600</v>
          </cell>
          <cell r="B228" t="str">
            <v>ЖАМИ</v>
          </cell>
          <cell r="C228">
            <v>35916413036.730003</v>
          </cell>
        </row>
        <row r="229">
          <cell r="B229" t="str">
            <v>Олинган узок муддатли кредитлар</v>
          </cell>
        </row>
        <row r="230">
          <cell r="A230">
            <v>22005</v>
          </cell>
          <cell r="B230" t="str">
            <v>Бюджетдан ташкари фондлардан олинган узок муддатли кредитлар</v>
          </cell>
          <cell r="C230">
            <v>44638222</v>
          </cell>
        </row>
        <row r="231">
          <cell r="A231">
            <v>22010</v>
          </cell>
          <cell r="B231" t="str">
            <v>Хукуматдан олинган узок муддатли кредитлар</v>
          </cell>
          <cell r="C231">
            <v>1500000000</v>
          </cell>
        </row>
        <row r="232">
          <cell r="A232">
            <v>22096</v>
          </cell>
          <cell r="B232" t="str">
            <v>Бошка кредиторлардан олинган узок муддатли кредитлар</v>
          </cell>
          <cell r="C232">
            <v>25304370040.630001</v>
          </cell>
        </row>
        <row r="233">
          <cell r="A233">
            <v>22000</v>
          </cell>
          <cell r="B233" t="str">
            <v>ЖАМИ</v>
          </cell>
          <cell r="C233">
            <v>26849008262.630001</v>
          </cell>
        </row>
        <row r="234">
          <cell r="B234" t="str">
            <v>Бош банк/филиалларга туланадиган маблаглар</v>
          </cell>
        </row>
        <row r="235">
          <cell r="A235">
            <v>22202</v>
          </cell>
          <cell r="B235" t="str">
            <v>Бош банк/филиалларга туланадиган маблаглар - Накд пуллар</v>
          </cell>
          <cell r="C235">
            <v>68277470320.099998</v>
          </cell>
        </row>
        <row r="236">
          <cell r="A236">
            <v>22203</v>
          </cell>
          <cell r="B236" t="str">
            <v>Бош банк/филиалларга туланадиган маблаглар - Накдинасиз пуллар</v>
          </cell>
          <cell r="C236">
            <v>819611290938.71997</v>
          </cell>
        </row>
        <row r="237">
          <cell r="A237">
            <v>22204</v>
          </cell>
          <cell r="B237" t="str">
            <v>Бош банк/филиалларга филиаллар ва банклараро хисоб-китоблар буйича туланадиган маблаглар</v>
          </cell>
          <cell r="C237">
            <v>102530376778.2</v>
          </cell>
        </row>
        <row r="238">
          <cell r="A238">
            <v>22205</v>
          </cell>
          <cell r="B238" t="str">
            <v>Бош банк/филиалларга туланадиган маблаглар - Товар-моддий кимматликлар ва хизматлар</v>
          </cell>
          <cell r="C238">
            <v>69353547.079999998</v>
          </cell>
        </row>
        <row r="239">
          <cell r="A239">
            <v>22212</v>
          </cell>
          <cell r="B239" t="str">
            <v>Жис ш-ларнинг пл-к к-таларидан берилган накд маблаглар буйича Бош банк/ф-лларга туланадиган маблаглар</v>
          </cell>
          <cell r="C239">
            <v>8232000</v>
          </cell>
        </row>
        <row r="240">
          <cell r="A240">
            <v>22214</v>
          </cell>
          <cell r="B240" t="str">
            <v>Пластик карталардан амалга оширилган туловлар буйича Бош банк/филиалларга туланадиган маблаглар</v>
          </cell>
          <cell r="C240">
            <v>19038657</v>
          </cell>
        </row>
        <row r="241">
          <cell r="A241">
            <v>22200</v>
          </cell>
          <cell r="B241" t="str">
            <v>ЖАМИ</v>
          </cell>
          <cell r="C241">
            <v>990515762241.09998</v>
          </cell>
        </row>
        <row r="242">
          <cell r="B242" t="str">
            <v>Туланиши лозим булган хисобланган фоизлар</v>
          </cell>
        </row>
        <row r="243">
          <cell r="A243">
            <v>22402</v>
          </cell>
          <cell r="B243" t="str">
            <v>Талаб килиб олингунча сакланадиган депозитлар буйича хисобланган фоизлар</v>
          </cell>
          <cell r="C243">
            <v>25543338.190000001</v>
          </cell>
        </row>
        <row r="244">
          <cell r="A244">
            <v>22403</v>
          </cell>
          <cell r="B244" t="str">
            <v>Жамгарма депозитлар буйича хисобланган фоизлар</v>
          </cell>
          <cell r="C244">
            <v>314670692.31</v>
          </cell>
        </row>
        <row r="245">
          <cell r="A245">
            <v>22405</v>
          </cell>
          <cell r="B245" t="str">
            <v>Муддатли депозитлар буйича хисобланган фоизлар</v>
          </cell>
          <cell r="C245">
            <v>561680603.53999996</v>
          </cell>
        </row>
        <row r="246">
          <cell r="A246">
            <v>22407</v>
          </cell>
          <cell r="B246" t="str">
            <v>Бошка банкларнинг хисобвараклари буйича хисобланган фоизлар</v>
          </cell>
          <cell r="C246">
            <v>137479728.56</v>
          </cell>
        </row>
        <row r="247">
          <cell r="A247">
            <v>22409</v>
          </cell>
          <cell r="B247" t="str">
            <v>Бош банк/филиалдан олинган маблаглар буйича хисобланган фоизлар</v>
          </cell>
          <cell r="C247">
            <v>155115632.63999999</v>
          </cell>
        </row>
        <row r="248">
          <cell r="A248">
            <v>22410</v>
          </cell>
          <cell r="B248" t="str">
            <v>Олинган кредитлар буйича хисобланган фоизлар</v>
          </cell>
          <cell r="C248">
            <v>216979276.75</v>
          </cell>
        </row>
        <row r="249">
          <cell r="A249">
            <v>22412</v>
          </cell>
          <cell r="B249" t="str">
            <v>Бошка мажбуриятлар буйича хисобланган фоизлар</v>
          </cell>
          <cell r="C249">
            <v>239849072.36000001</v>
          </cell>
        </row>
        <row r="250">
          <cell r="A250">
            <v>22414</v>
          </cell>
          <cell r="B250" t="str">
            <v>Чикарилган кимматли когозлар буйича хисобланган фоизлар</v>
          </cell>
          <cell r="C250">
            <v>226194184.38999999</v>
          </cell>
        </row>
        <row r="251">
          <cell r="A251">
            <v>22400</v>
          </cell>
          <cell r="B251" t="str">
            <v>ЖАМИ</v>
          </cell>
          <cell r="C251">
            <v>1877512528.74</v>
          </cell>
        </row>
        <row r="252">
          <cell r="B252" t="str">
            <v>Хисобланган соликлар</v>
          </cell>
        </row>
        <row r="253">
          <cell r="A253">
            <v>22502</v>
          </cell>
          <cell r="B253" t="str">
            <v>Хисобланган даромад(фойда) соликлари</v>
          </cell>
          <cell r="C253">
            <v>13024030</v>
          </cell>
        </row>
        <row r="254">
          <cell r="A254">
            <v>22504</v>
          </cell>
          <cell r="B254" t="str">
            <v>Хисобланган бошка соликлар</v>
          </cell>
          <cell r="C254">
            <v>43800890.060000002</v>
          </cell>
        </row>
        <row r="255">
          <cell r="A255">
            <v>22506</v>
          </cell>
          <cell r="B255" t="str">
            <v>Тулаш учун ушлаб колинган соликлар</v>
          </cell>
          <cell r="C255">
            <v>136946071.22999999</v>
          </cell>
        </row>
        <row r="256">
          <cell r="A256">
            <v>22510</v>
          </cell>
          <cell r="B256" t="str">
            <v>Нафака (пенсия) фонди билан хисоб-китоблар</v>
          </cell>
          <cell r="C256">
            <v>23891861.02</v>
          </cell>
        </row>
        <row r="257">
          <cell r="A257">
            <v>22512</v>
          </cell>
          <cell r="B257" t="str">
            <v>Бандлик фонди ва бошка фондлар билан хисоб-китоблар</v>
          </cell>
          <cell r="C257">
            <v>30219017.629999999</v>
          </cell>
        </row>
        <row r="258">
          <cell r="A258">
            <v>22500</v>
          </cell>
          <cell r="B258" t="str">
            <v>ЖАМИ</v>
          </cell>
          <cell r="C258">
            <v>247881869.94</v>
          </cell>
        </row>
        <row r="259">
          <cell r="B259" t="str">
            <v>Мижозларнинг бошка депозитлари</v>
          </cell>
        </row>
        <row r="260">
          <cell r="A260">
            <v>22602</v>
          </cell>
          <cell r="B260" t="str">
            <v>Мижозларнинг аккредитивлар буйича депозитлари</v>
          </cell>
          <cell r="C260">
            <v>1207757334</v>
          </cell>
        </row>
        <row r="261">
          <cell r="A261">
            <v>22604</v>
          </cell>
          <cell r="B261" t="str">
            <v>Мижозларнинг бошка депозитлари - Жамгарма - Максадли</v>
          </cell>
          <cell r="C261">
            <v>1588170902.6300001</v>
          </cell>
        </row>
        <row r="262">
          <cell r="A262">
            <v>22610</v>
          </cell>
          <cell r="B262" t="str">
            <v>"Узбекистон почтаси" ОАЖ таркибий булинмалари томонидан туланадиган пенсия ва нафакалар</v>
          </cell>
          <cell r="C262">
            <v>9860944788.4799995</v>
          </cell>
        </row>
        <row r="263">
          <cell r="A263">
            <v>22612</v>
          </cell>
          <cell r="B263" t="str">
            <v>"Узб,почтаси" ОАЖ таркибий булинмалари томонидан амалга ошириладиган пул утказмалари ва даврий нашрларга обуна</v>
          </cell>
          <cell r="C263">
            <v>1178895335.03</v>
          </cell>
        </row>
        <row r="264">
          <cell r="A264">
            <v>22616</v>
          </cell>
          <cell r="B264" t="str">
            <v>Жисмоний шахсларнинг масофадан хизмат курсатиш тизимлари оркали бошкариладиган банк х/варакларидаги маблаглари</v>
          </cell>
          <cell r="C264">
            <v>842306.08</v>
          </cell>
        </row>
        <row r="265">
          <cell r="A265">
            <v>22617</v>
          </cell>
          <cell r="B265" t="str">
            <v>Пенсионерларнинг пластик карточкалари буйича мажбуриятлар</v>
          </cell>
          <cell r="C265">
            <v>47617594812.459999</v>
          </cell>
        </row>
        <row r="266">
          <cell r="A266">
            <v>22618</v>
          </cell>
          <cell r="B266" t="str">
            <v>Жисмоний шахсларнинг пластик карточкалари буйича мажбуриятлар</v>
          </cell>
          <cell r="C266">
            <v>77355329488.979996</v>
          </cell>
        </row>
        <row r="267">
          <cell r="A267">
            <v>22619</v>
          </cell>
          <cell r="B267" t="str">
            <v>Якка тартибдаги тадбиркорларнинг пластик карточкалари буйича мажбуриятлар</v>
          </cell>
          <cell r="C267">
            <v>4988364446.8400002</v>
          </cell>
        </row>
        <row r="268">
          <cell r="A268">
            <v>22620</v>
          </cell>
          <cell r="B268" t="str">
            <v>Корпоратив пластик карточкалар буйича мажбуриятлар</v>
          </cell>
          <cell r="C268">
            <v>3691672923.2199998</v>
          </cell>
        </row>
        <row r="269">
          <cell r="A269">
            <v>22622</v>
          </cell>
          <cell r="B269" t="str">
            <v>Юридик шахсларнинг уз ваколатхоналари ва филиалларини таъминоти учун ажратган маблаглари</v>
          </cell>
          <cell r="C269">
            <v>229995452.09</v>
          </cell>
        </row>
        <row r="270">
          <cell r="A270">
            <v>22624</v>
          </cell>
          <cell r="B270" t="str">
            <v>Айрим турдаги акцизли товарларни сотадиган юридик шахсларнинг максадли маблаглари</v>
          </cell>
          <cell r="C270">
            <v>3125570055.71</v>
          </cell>
        </row>
        <row r="271">
          <cell r="A271">
            <v>22626</v>
          </cell>
          <cell r="B271" t="str">
            <v>Корхона ва ташкилотларнинг максадли маблаглари</v>
          </cell>
          <cell r="C271">
            <v>3889522617.0599999</v>
          </cell>
        </row>
        <row r="272">
          <cell r="A272">
            <v>22696</v>
          </cell>
          <cell r="B272" t="str">
            <v>Бошка депозит мажбуриятлари</v>
          </cell>
          <cell r="C272">
            <v>20684067.699999999</v>
          </cell>
        </row>
        <row r="273">
          <cell r="A273">
            <v>22600</v>
          </cell>
          <cell r="B273" t="str">
            <v>ЖАМИ</v>
          </cell>
          <cell r="C273">
            <v>154755344530.28</v>
          </cell>
        </row>
        <row r="274">
          <cell r="B274" t="str">
            <v>Хосилавий инструментлар буйича ревальвация натижасида амалга ошмаган зарарлар ва бошка муддати узайтирилган да</v>
          </cell>
        </row>
        <row r="275">
          <cell r="A275">
            <v>22812</v>
          </cell>
          <cell r="B275" t="str">
            <v>Ишлаб топилмаган фоизли даромадлари</v>
          </cell>
          <cell r="C275">
            <v>8189033.1600000001</v>
          </cell>
        </row>
        <row r="276">
          <cell r="A276">
            <v>22896</v>
          </cell>
          <cell r="B276" t="str">
            <v>Бошка муддати узайтирилган даромадлар</v>
          </cell>
          <cell r="C276">
            <v>681959650.51999998</v>
          </cell>
        </row>
        <row r="277">
          <cell r="A277">
            <v>22800</v>
          </cell>
          <cell r="B277" t="str">
            <v>ЖАМИ</v>
          </cell>
          <cell r="C277">
            <v>690148683.67999995</v>
          </cell>
        </row>
        <row r="278">
          <cell r="B278" t="str">
            <v>Банк мижозларнинг пластик карталарига утказилиши лозим булган маблаглар транзит хисобвараклари</v>
          </cell>
        </row>
        <row r="279">
          <cell r="A279">
            <v>23102</v>
          </cell>
          <cell r="B279" t="str">
            <v>Юридик шахсларнинг корпоратив пластик карталарига утказилиши лозим булган маблаглар транзит хисобвараклари</v>
          </cell>
          <cell r="C279">
            <v>10000000</v>
          </cell>
        </row>
        <row r="280">
          <cell r="A280">
            <v>23106</v>
          </cell>
          <cell r="B280" t="str">
            <v>ХЮСлар ходим, П/Кларига и/х ва утт пенс ком ва бошка иж-й т-влар б-ча ут-ши л/б-н маблаглар тр-т х/влари</v>
          </cell>
          <cell r="C280">
            <v>44743690</v>
          </cell>
        </row>
        <row r="281">
          <cell r="A281">
            <v>23108</v>
          </cell>
          <cell r="B281" t="str">
            <v>Бюд,таш, ход, п/кларига и/х ва утт ш-дек пен ком-я ва б, иж т-влар б-ча ут-ши л/б-н маб-глар тр-т х/влари</v>
          </cell>
          <cell r="C281">
            <v>70664097.670000002</v>
          </cell>
        </row>
        <row r="282">
          <cell r="A282">
            <v>23110</v>
          </cell>
          <cell r="B282" t="str">
            <v>МХХ ИИВ МудВ ФВВ ДБК ход,П/Кига и/х ва утт пенс ком-я ва бош иж,т-влар б-ча ут-ши л/б-н маб-р тр-т х/в</v>
          </cell>
          <cell r="C282">
            <v>1787398.86</v>
          </cell>
        </row>
        <row r="283">
          <cell r="A283">
            <v>23116</v>
          </cell>
          <cell r="B283" t="str">
            <v>Жис шахсларнинг пл-к к-таларига накд пуллар буйича утказилиши лозим булган маблаглар транзит хисобвараклари</v>
          </cell>
          <cell r="C283">
            <v>6317046</v>
          </cell>
        </row>
        <row r="284">
          <cell r="A284">
            <v>23118</v>
          </cell>
          <cell r="B284" t="str">
            <v>Жис,шахсларнинг П/Кларига П/Клар ва омонат х/вларидан ут-ши л/б-н маблаглар тр-т х/влари</v>
          </cell>
          <cell r="C284">
            <v>1067161.81</v>
          </cell>
        </row>
        <row r="285">
          <cell r="A285">
            <v>23120</v>
          </cell>
          <cell r="B285" t="str">
            <v>Жис, шахсларнинг П/Кларига накд пулсиз ут-ши лозим булган бошка маблаглар транзит хисобвараклари</v>
          </cell>
          <cell r="C285">
            <v>3208249.01</v>
          </cell>
        </row>
        <row r="286">
          <cell r="A286">
            <v>23122</v>
          </cell>
          <cell r="B286" t="str">
            <v>Чет эл валютасини сотиб олиш учун банк кассасига топш,накд пуллар буйича жисм,шахсларнинг П/Кларига,,,тр-т х/в</v>
          </cell>
          <cell r="C286">
            <v>85081514.599999994</v>
          </cell>
        </row>
        <row r="287">
          <cell r="A287">
            <v>23100</v>
          </cell>
          <cell r="B287" t="str">
            <v>ЖАМИ</v>
          </cell>
          <cell r="C287">
            <v>222869157.94999999</v>
          </cell>
        </row>
        <row r="288">
          <cell r="B288" t="str">
            <v>Клиринг трансакциялари</v>
          </cell>
        </row>
        <row r="289">
          <cell r="A289">
            <v>23202</v>
          </cell>
          <cell r="B289" t="str">
            <v>Клиринг трансакциялари</v>
          </cell>
          <cell r="C289">
            <v>274507908.56999999</v>
          </cell>
        </row>
        <row r="290">
          <cell r="A290">
            <v>23204</v>
          </cell>
          <cell r="B290" t="str">
            <v>Бир марталик узаро хисоб-китоблар учун бюджет маблаглари</v>
          </cell>
          <cell r="C290">
            <v>6000000.0899999999</v>
          </cell>
        </row>
        <row r="291">
          <cell r="A291">
            <v>23206</v>
          </cell>
          <cell r="B291" t="str">
            <v>Аникланиш жараёнидаги трансакциялар</v>
          </cell>
          <cell r="C291">
            <v>137883188.72999999</v>
          </cell>
        </row>
        <row r="292">
          <cell r="A292">
            <v>23208</v>
          </cell>
          <cell r="B292" t="str">
            <v>Молия вазирлиги фондлари билан буладиган килиринг трансакциялари</v>
          </cell>
          <cell r="C292">
            <v>460000</v>
          </cell>
        </row>
        <row r="293">
          <cell r="A293">
            <v>23210</v>
          </cell>
          <cell r="B293" t="str">
            <v>Молия вазирлиги фондларидан кишлок хужалик махсулотлари учун ажратилган максадли маблаглар</v>
          </cell>
          <cell r="C293">
            <v>724244982.38999999</v>
          </cell>
        </row>
        <row r="294">
          <cell r="A294">
            <v>23212</v>
          </cell>
          <cell r="B294" t="str">
            <v>Молия вазирлиги Газначилиги маблаглари</v>
          </cell>
          <cell r="C294">
            <v>576682623.25999999</v>
          </cell>
        </row>
        <row r="295">
          <cell r="A295">
            <v>23214</v>
          </cell>
          <cell r="B295" t="str">
            <v>Газначиликнинг худудий булинмалари маблаглари</v>
          </cell>
          <cell r="C295">
            <v>512905309.39999998</v>
          </cell>
        </row>
        <row r="296">
          <cell r="A296">
            <v>23218</v>
          </cell>
          <cell r="B296" t="str">
            <v>Молия вазирлиги фондидан ажратилган максадли маблаглар</v>
          </cell>
          <cell r="C296">
            <v>39079.78</v>
          </cell>
        </row>
        <row r="297">
          <cell r="A297">
            <v>23220</v>
          </cell>
          <cell r="B297" t="str">
            <v>Молия вазирлиги фондидан олинган максадли маблаглар</v>
          </cell>
          <cell r="C297">
            <v>2540074538.48</v>
          </cell>
        </row>
        <row r="298">
          <cell r="A298">
            <v>23222</v>
          </cell>
          <cell r="B298" t="str">
            <v>Молия вазирлиги фондининг максадли маблаглари</v>
          </cell>
          <cell r="C298">
            <v>352925258.31999999</v>
          </cell>
        </row>
        <row r="299">
          <cell r="A299">
            <v>23226</v>
          </cell>
          <cell r="B299" t="str">
            <v>Республика бюджетининг экспортчи-корхоналар билан буладиган максадли хисоб-китоблар учун маблаглари</v>
          </cell>
          <cell r="C299">
            <v>110383838.16</v>
          </cell>
        </row>
        <row r="300">
          <cell r="A300">
            <v>23228</v>
          </cell>
          <cell r="B300" t="str">
            <v>Республика бюджетининг пудратчи ташкилотлар билан буладиган максадли хисоб-китоблар учун маблаглари</v>
          </cell>
          <cell r="C300">
            <v>61760877.990000002</v>
          </cell>
        </row>
        <row r="301">
          <cell r="A301">
            <v>23200</v>
          </cell>
          <cell r="B301" t="str">
            <v>ЖАМИ</v>
          </cell>
          <cell r="C301">
            <v>5297867605.1700001</v>
          </cell>
        </row>
        <row r="302">
          <cell r="B302" t="str">
            <v>Хукуматга тегишли даромад ва бошка тушумлар хисобвараклари</v>
          </cell>
        </row>
        <row r="303">
          <cell r="A303">
            <v>23411</v>
          </cell>
          <cell r="B303" t="str">
            <v>Давлат божлари йигимлар ва солик булмаган туловлар маъмурий ва молиявий жазолар тулови буйича маблаглар</v>
          </cell>
          <cell r="C303">
            <v>607998</v>
          </cell>
        </row>
        <row r="304">
          <cell r="A304">
            <v>23426</v>
          </cell>
          <cell r="B304" t="str">
            <v>Махаллий бюджет маблаглари - Туман/шахар</v>
          </cell>
          <cell r="C304">
            <v>747000</v>
          </cell>
        </row>
        <row r="305">
          <cell r="A305">
            <v>23442</v>
          </cell>
          <cell r="B305" t="str">
            <v>Инвестиция дастурларини молиялаштириш учун давлат бюджетидан ва марказлашган кредитлар хисобидан ажратилган</v>
          </cell>
          <cell r="C305">
            <v>2800.61</v>
          </cell>
        </row>
        <row r="306">
          <cell r="A306">
            <v>23400</v>
          </cell>
          <cell r="B306" t="str">
            <v>ЖАМИ</v>
          </cell>
          <cell r="C306">
            <v>1357798.61</v>
          </cell>
        </row>
        <row r="307">
          <cell r="B307" t="str">
            <v>Мижозларнинг пластик карталаридан келиб тушган тушум</v>
          </cell>
        </row>
        <row r="308">
          <cell r="A308">
            <v>23504</v>
          </cell>
          <cell r="B308" t="str">
            <v>Жис шахсларнинг П/Кларидан берилган накд пуллар п/к ёки омонат х/вларига ут-ган маблаглар тр-т х/влари</v>
          </cell>
          <cell r="C308">
            <v>16840816.359999999</v>
          </cell>
        </row>
        <row r="309">
          <cell r="A309">
            <v>23506</v>
          </cell>
          <cell r="B309" t="str">
            <v>Хуж юр суб-тларнинг х/вларига коммунал туловлар буйича ут-ши л/б-н пластик карталардан келиб тушган тушум</v>
          </cell>
          <cell r="C309">
            <v>76933681.340000004</v>
          </cell>
        </row>
        <row r="310">
          <cell r="A310">
            <v>23508</v>
          </cell>
          <cell r="B310" t="str">
            <v>Хуж юр суб-тларнинг х/вларига пуллик хизматлар буйича ут-ши л/б-н пластик карталардан келиб тушган тушум</v>
          </cell>
          <cell r="C310">
            <v>17368876.199999999</v>
          </cell>
        </row>
        <row r="311">
          <cell r="A311">
            <v>23510</v>
          </cell>
          <cell r="B311" t="str">
            <v>Савдо ташкилотининг хисобваракларига утказилиши лозим булган пластик карталардан келиб тушган тушум</v>
          </cell>
          <cell r="C311">
            <v>200233219.33000001</v>
          </cell>
        </row>
        <row r="312">
          <cell r="A312">
            <v>23514</v>
          </cell>
          <cell r="B312" t="str">
            <v>Олувчи, х/вларига конунчиликда кузда тутилган бошка т-влар б-ча ут-ши л/б-н п/клардан келиб т-ган маблаглар</v>
          </cell>
          <cell r="C312">
            <v>50416377.460000001</v>
          </cell>
        </row>
        <row r="313">
          <cell r="A313">
            <v>23500</v>
          </cell>
          <cell r="B313" t="str">
            <v>ЖАМИ</v>
          </cell>
          <cell r="C313">
            <v>361792970.69</v>
          </cell>
        </row>
        <row r="314">
          <cell r="B314" t="str">
            <v>Банк томонидан чикарилган кимматли когозлар</v>
          </cell>
        </row>
        <row r="315">
          <cell r="A315">
            <v>23602</v>
          </cell>
          <cell r="B315" t="str">
            <v>Чикарилган облигациялар</v>
          </cell>
          <cell r="C315">
            <v>2000000000</v>
          </cell>
        </row>
        <row r="316">
          <cell r="A316">
            <v>23606</v>
          </cell>
          <cell r="B316" t="str">
            <v>Чикарилган депозит сертификатлари</v>
          </cell>
          <cell r="C316">
            <v>58000000000</v>
          </cell>
        </row>
        <row r="317">
          <cell r="A317">
            <v>23696</v>
          </cell>
          <cell r="B317" t="str">
            <v>Чикарилган кимматли когозлар буйича мукофот (премия)</v>
          </cell>
          <cell r="C317">
            <v>21698640</v>
          </cell>
        </row>
        <row r="318">
          <cell r="A318">
            <v>23600</v>
          </cell>
          <cell r="B318" t="str">
            <v>ЖАМИ</v>
          </cell>
          <cell r="C318">
            <v>60021698640</v>
          </cell>
        </row>
        <row r="319">
          <cell r="B319" t="str">
            <v>Бошка мажбуриятлар</v>
          </cell>
        </row>
        <row r="320">
          <cell r="A320">
            <v>29801</v>
          </cell>
          <cell r="B320" t="str">
            <v>Мижозлар билан хисоб-китоблар</v>
          </cell>
          <cell r="C320">
            <v>15875552706.58</v>
          </cell>
        </row>
        <row r="321">
          <cell r="A321">
            <v>29802</v>
          </cell>
          <cell r="B321" t="str">
            <v>Курсатилган хизматлар ва моддий товар кимматликлари учун туланадиган маблаглар</v>
          </cell>
          <cell r="C321">
            <v>367949062.83999997</v>
          </cell>
        </row>
        <row r="322">
          <cell r="A322">
            <v>29803</v>
          </cell>
          <cell r="B322" t="str">
            <v>Банк ходимлари билан хисоб-китоблардаги туланиши лозим булган маблаглар</v>
          </cell>
          <cell r="C322">
            <v>28431847.059999999</v>
          </cell>
        </row>
        <row r="323">
          <cell r="A323">
            <v>29804</v>
          </cell>
          <cell r="B323" t="str">
            <v>Бошка банк мижозларининг инкассо килинган пул тушумлари ва чеклари</v>
          </cell>
          <cell r="C323">
            <v>214189077.13999999</v>
          </cell>
        </row>
        <row r="324">
          <cell r="A324">
            <v>29806</v>
          </cell>
          <cell r="B324" t="str">
            <v>Тулаш учун хисобланган бошка фоизсиз харажатлар</v>
          </cell>
          <cell r="C324">
            <v>335000</v>
          </cell>
        </row>
        <row r="325">
          <cell r="A325">
            <v>29810</v>
          </cell>
          <cell r="B325" t="str">
            <v>Банкнинг жавобгар ходимларига берилган корпоратив п/клар б-ча ут-ши лозим булган маблаглар</v>
          </cell>
          <cell r="C325">
            <v>6003433.5800000001</v>
          </cell>
        </row>
        <row r="326">
          <cell r="A326">
            <v>29814</v>
          </cell>
          <cell r="B326" t="str">
            <v>Мижозларнинг хисобваракларига кирим килиниши лозим булган терминаллар оркали тушган тушумлар</v>
          </cell>
          <cell r="C326">
            <v>8022182</v>
          </cell>
        </row>
        <row r="327">
          <cell r="A327">
            <v>29822</v>
          </cell>
          <cell r="B327" t="str">
            <v>Туланиши лозим булган дивидендлар</v>
          </cell>
          <cell r="C327">
            <v>67417207.219999999</v>
          </cell>
        </row>
        <row r="328">
          <cell r="A328">
            <v>29824</v>
          </cell>
          <cell r="B328" t="str">
            <v>Жисмоний шахсларнинг накд пул маблаглари хисобидан максадли хисоб-китоблар</v>
          </cell>
          <cell r="C328">
            <v>366387789.08999997</v>
          </cell>
        </row>
        <row r="329">
          <cell r="A329">
            <v>29830</v>
          </cell>
          <cell r="B329" t="str">
            <v>Акцияларга обуна бадалларини тулаш буйича депозитлар</v>
          </cell>
          <cell r="C329">
            <v>3436926445.5100002</v>
          </cell>
        </row>
        <row r="330">
          <cell r="A330">
            <v>29834</v>
          </cell>
          <cell r="B330" t="str">
            <v>Жисмоний шахсларнинг пул утказмалари буйича мажбуриятлар</v>
          </cell>
          <cell r="C330">
            <v>9159769156.9599991</v>
          </cell>
        </row>
        <row r="331">
          <cell r="A331">
            <v>29842</v>
          </cell>
          <cell r="B331" t="str">
            <v>Харакатсиз депозит мажбуриятлари</v>
          </cell>
          <cell r="C331">
            <v>158840689.69999999</v>
          </cell>
        </row>
        <row r="332">
          <cell r="A332">
            <v>29896</v>
          </cell>
          <cell r="B332" t="str">
            <v>Бошка мажбуриятлар</v>
          </cell>
          <cell r="C332">
            <v>3074013824.0500002</v>
          </cell>
        </row>
        <row r="333">
          <cell r="A333">
            <v>29800</v>
          </cell>
          <cell r="B333" t="str">
            <v>ЖАМИ</v>
          </cell>
          <cell r="C333">
            <v>32763838421.73</v>
          </cell>
        </row>
        <row r="334">
          <cell r="A334">
            <v>20000</v>
          </cell>
          <cell r="B334" t="str">
            <v>ЖАМИ</v>
          </cell>
          <cell r="C334">
            <v>2010331124666.6699</v>
          </cell>
        </row>
        <row r="335">
          <cell r="B335" t="str">
            <v>ХУСУСИЙ КАПИТАЛ</v>
          </cell>
        </row>
        <row r="336">
          <cell r="B336" t="str">
            <v>Устав капитали</v>
          </cell>
        </row>
        <row r="337">
          <cell r="A337">
            <v>30315</v>
          </cell>
          <cell r="B337" t="str">
            <v>Чикарилган устав капитали - Имтиёзли</v>
          </cell>
          <cell r="C337">
            <v>144180000</v>
          </cell>
        </row>
        <row r="338">
          <cell r="A338">
            <v>30318</v>
          </cell>
          <cell r="B338" t="str">
            <v>Чикарилган устав капитали - Оддий</v>
          </cell>
          <cell r="C338">
            <v>250021785060</v>
          </cell>
        </row>
        <row r="339">
          <cell r="A339">
            <v>30300</v>
          </cell>
          <cell r="B339" t="str">
            <v>ЖАМИ</v>
          </cell>
          <cell r="C339">
            <v>250165965060</v>
          </cell>
        </row>
        <row r="340">
          <cell r="B340" t="str">
            <v>Захира капитали</v>
          </cell>
        </row>
        <row r="341">
          <cell r="A341">
            <v>30903</v>
          </cell>
          <cell r="B341" t="str">
            <v>Умумий захира фонди</v>
          </cell>
          <cell r="C341">
            <v>19054536256.16</v>
          </cell>
        </row>
        <row r="342">
          <cell r="A342">
            <v>30904</v>
          </cell>
          <cell r="B342" t="str">
            <v>Кичик бизнес корхоналарини имтиёзли кредитлаш захира фонди</v>
          </cell>
          <cell r="C342">
            <v>775975026.76999998</v>
          </cell>
        </row>
        <row r="343">
          <cell r="A343">
            <v>30908</v>
          </cell>
          <cell r="B343" t="str">
            <v>Бошлангич кийматга нисбатан бахолаш кийматининг ошган микдори</v>
          </cell>
          <cell r="C343">
            <v>10206587096.440001</v>
          </cell>
        </row>
        <row r="344">
          <cell r="A344">
            <v>30900</v>
          </cell>
          <cell r="B344" t="str">
            <v>ЖАМИ</v>
          </cell>
          <cell r="C344">
            <v>30037098379.369999</v>
          </cell>
        </row>
        <row r="345">
          <cell r="B345" t="str">
            <v>Таксимланмаган фойда</v>
          </cell>
        </row>
        <row r="346">
          <cell r="A346">
            <v>31203</v>
          </cell>
          <cell r="B346" t="str">
            <v>Таксимланмаган фойда (актив-пассив)</v>
          </cell>
          <cell r="C346">
            <v>1490792649.79</v>
          </cell>
        </row>
        <row r="347">
          <cell r="A347">
            <v>31206</v>
          </cell>
          <cell r="B347" t="str">
            <v>Соф фойда (зарар) (актив-пассив)</v>
          </cell>
          <cell r="C347">
            <v>732411272.58000004</v>
          </cell>
        </row>
        <row r="348">
          <cell r="A348">
            <v>31200</v>
          </cell>
          <cell r="B348" t="str">
            <v>ЖАМИ</v>
          </cell>
          <cell r="C348">
            <v>2223203922.3699999</v>
          </cell>
        </row>
        <row r="349">
          <cell r="A349">
            <v>30000</v>
          </cell>
          <cell r="B349" t="str">
            <v>ЖАМИ</v>
          </cell>
          <cell r="C349">
            <v>282426267361.73999</v>
          </cell>
        </row>
        <row r="350">
          <cell r="B350" t="str">
            <v>ДАРОМАДЛАР</v>
          </cell>
        </row>
        <row r="351">
          <cell r="B351" t="str">
            <v>УзРМБидаги хисобвараклар буйича фоизли даромадлар</v>
          </cell>
        </row>
        <row r="352">
          <cell r="A352">
            <v>40205</v>
          </cell>
          <cell r="B352" t="str">
            <v>Марказий банкдаги депозитлар буйича фоизли даромадлар</v>
          </cell>
          <cell r="C352">
            <v>183068.5</v>
          </cell>
        </row>
        <row r="353">
          <cell r="A353">
            <v>40200</v>
          </cell>
          <cell r="B353" t="str">
            <v>ЖАМИ</v>
          </cell>
          <cell r="C353">
            <v>183068.5</v>
          </cell>
        </row>
        <row r="354">
          <cell r="B354" t="str">
            <v>Бошка банклардаги хисобвараклар буйича фоизли даромадлар</v>
          </cell>
        </row>
        <row r="355">
          <cell r="A355">
            <v>40401</v>
          </cell>
          <cell r="B355" t="str">
            <v>Бошка банклардаги вакиллик хисобвараклари буйича фоизли даромадлар - Ностро</v>
          </cell>
          <cell r="C355">
            <v>3459042.61</v>
          </cell>
        </row>
        <row r="356">
          <cell r="A356">
            <v>40400</v>
          </cell>
          <cell r="B356" t="str">
            <v>ЖАМИ</v>
          </cell>
          <cell r="C356">
            <v>3459042.61</v>
          </cell>
        </row>
        <row r="357">
          <cell r="B357" t="str">
            <v>Олди-сотди кимматли когозлар буйича фоизли даромадлар</v>
          </cell>
        </row>
        <row r="358">
          <cell r="A358">
            <v>40613</v>
          </cell>
          <cell r="B358" t="str">
            <v>Корхоналарининг карз кимматли когозлари буйича фоизли даромадлар</v>
          </cell>
          <cell r="C358">
            <v>113843837.52</v>
          </cell>
        </row>
        <row r="359">
          <cell r="A359">
            <v>40600</v>
          </cell>
          <cell r="B359" t="str">
            <v>ЖАМИ</v>
          </cell>
          <cell r="C359">
            <v>113843837.52</v>
          </cell>
        </row>
        <row r="360">
          <cell r="B360" t="str">
            <v>Бюджет ташкилотларига берилган киска муддатли кредитлар буйича фоизли даромадлар</v>
          </cell>
        </row>
        <row r="361">
          <cell r="A361">
            <v>41901</v>
          </cell>
          <cell r="B361" t="str">
            <v>Бюджет ташкилотларига берилган киска муддатли кредитлар буйича фоизли даромадлар</v>
          </cell>
          <cell r="C361">
            <v>798632.68</v>
          </cell>
        </row>
        <row r="362">
          <cell r="A362">
            <v>41905</v>
          </cell>
          <cell r="B362" t="str">
            <v>Бюджет ташкилотларига берилган муддати утган кредитлар буйича фоизли даромадлар</v>
          </cell>
          <cell r="C362">
            <v>60501.07</v>
          </cell>
        </row>
        <row r="363">
          <cell r="A363">
            <v>41900</v>
          </cell>
          <cell r="B363" t="str">
            <v>ЖАМИ</v>
          </cell>
          <cell r="C363">
            <v>859133.75</v>
          </cell>
        </row>
        <row r="364">
          <cell r="B364" t="str">
            <v>Жисмоний шахсларга берилган киска муддатли кредитлар буйича фоизли даромадлар</v>
          </cell>
        </row>
        <row r="365">
          <cell r="A365">
            <v>42001</v>
          </cell>
          <cell r="B365" t="str">
            <v>Жисмоний шахсларга берилган киска муддатли кредитлар буйича фоизли даромадлар</v>
          </cell>
          <cell r="C365">
            <v>142619477.08000001</v>
          </cell>
        </row>
        <row r="366">
          <cell r="A366">
            <v>42005</v>
          </cell>
          <cell r="B366" t="str">
            <v>Жисмоний шахсларга берилган муддати утган кредитлар буйича фоизли даромадлар</v>
          </cell>
          <cell r="C366">
            <v>15644125.32</v>
          </cell>
        </row>
        <row r="367">
          <cell r="A367">
            <v>42000</v>
          </cell>
          <cell r="B367" t="str">
            <v>ЖАМИ</v>
          </cell>
          <cell r="C367">
            <v>158263602.40000001</v>
          </cell>
        </row>
        <row r="368">
          <cell r="B368" t="str">
            <v>Якка тартибдаги тадбиркорларга берилган киска муддатли кредитлар буйича фоизли даромадлар</v>
          </cell>
        </row>
        <row r="369">
          <cell r="A369">
            <v>42101</v>
          </cell>
          <cell r="B369" t="str">
            <v>Якка тартибдаги тадбиркорларга берилган киска муддатли кредитлар буйича фоизли даромадлар</v>
          </cell>
          <cell r="C369">
            <v>1098994836.1300001</v>
          </cell>
        </row>
        <row r="370">
          <cell r="A370">
            <v>42105</v>
          </cell>
          <cell r="B370" t="str">
            <v>Якка тартибдаги тадбиркорларга берилган муддати утган кредитлар буйича фоизли даромадлар</v>
          </cell>
          <cell r="C370">
            <v>12665713.1</v>
          </cell>
        </row>
        <row r="371">
          <cell r="A371">
            <v>42100</v>
          </cell>
          <cell r="B371" t="str">
            <v>ЖАМИ</v>
          </cell>
          <cell r="C371">
            <v>1111660549.23</v>
          </cell>
        </row>
        <row r="372">
          <cell r="B372" t="str">
            <v>Давлат корхона ташкилот ва муассасаларига берилган киска муддатли кредитлар буйича фоизли даромадлар</v>
          </cell>
        </row>
        <row r="373">
          <cell r="A373">
            <v>42201</v>
          </cell>
          <cell r="B373" t="str">
            <v>Давлат корхона ташкилот ва муассасаларига берилган киска муддатли кредитлар буйича фоизли даромадлар</v>
          </cell>
          <cell r="C373">
            <v>4674301544.3100004</v>
          </cell>
        </row>
        <row r="374">
          <cell r="A374">
            <v>42205</v>
          </cell>
          <cell r="B374" t="str">
            <v>Давлат корхона ташкилот ва муассасаларига берилган муддати утган кредитлар буйича фоизли даромадлар</v>
          </cell>
          <cell r="C374">
            <v>74356395.599999994</v>
          </cell>
        </row>
        <row r="375">
          <cell r="A375">
            <v>42200</v>
          </cell>
          <cell r="B375" t="str">
            <v>ЖАМИ</v>
          </cell>
          <cell r="C375">
            <v>4748657939.9099998</v>
          </cell>
        </row>
        <row r="376">
          <cell r="B376" t="str">
            <v>Нодавлат нотижорат ташкилотларига берилган киска муддатли кредитлар буйича фоизли даромадлар</v>
          </cell>
        </row>
        <row r="377">
          <cell r="A377">
            <v>42301</v>
          </cell>
          <cell r="B377" t="str">
            <v>Нодавлат нотижорат ташкилотларига берилган киска муддатли кредитлар буйича фоизли даромадлар</v>
          </cell>
          <cell r="C377">
            <v>8378512.6200000001</v>
          </cell>
        </row>
        <row r="378">
          <cell r="A378">
            <v>42305</v>
          </cell>
          <cell r="B378" t="str">
            <v>Нодавлат нотижорат ташкилотларига берилган муддати утган кредитлар буйича фоизли даромадлар</v>
          </cell>
          <cell r="C378">
            <v>1672438.55</v>
          </cell>
        </row>
        <row r="379">
          <cell r="A379">
            <v>42300</v>
          </cell>
          <cell r="B379" t="str">
            <v>ЖАМИ</v>
          </cell>
          <cell r="C379">
            <v>10050951.17</v>
          </cell>
        </row>
        <row r="380">
          <cell r="B380" t="str">
            <v>Чет эл капитали иштирокидаги корхоналарга берилган киска муддатли кредитлар буйича фоизли даромадлар</v>
          </cell>
        </row>
        <row r="381">
          <cell r="A381">
            <v>42401</v>
          </cell>
          <cell r="B381" t="str">
            <v>Чет эл капитали иштирокидаги корхоналарга берилган киска муддатли кредитлар буйича фоизли даромадлар</v>
          </cell>
          <cell r="C381">
            <v>9326485.1199999992</v>
          </cell>
        </row>
        <row r="382">
          <cell r="A382">
            <v>42405</v>
          </cell>
          <cell r="B382" t="str">
            <v>Чет эл капитали иштирокидаги корхораларга берилган муддати утган кредитлар буйича фоизли даромадлар</v>
          </cell>
          <cell r="C382">
            <v>766059.81</v>
          </cell>
        </row>
        <row r="383">
          <cell r="A383">
            <v>42400</v>
          </cell>
          <cell r="B383" t="str">
            <v>ЖАМИ</v>
          </cell>
          <cell r="C383">
            <v>10092544.93</v>
          </cell>
        </row>
        <row r="384">
          <cell r="B384" t="str">
            <v>Хусусий корхоналар хужалик ширкатлари ва жамиятларга берилган киска муддатли кредитлар буйича фоизли даромадл</v>
          </cell>
        </row>
        <row r="385">
          <cell r="A385">
            <v>42601</v>
          </cell>
          <cell r="B385" t="str">
            <v>Хусусий корхоналар хужалик ширкатлари ва жамиятларга берилган киска муддатли кредитлар буйича фоизли даромадл</v>
          </cell>
          <cell r="C385">
            <v>4406228870.4300003</v>
          </cell>
        </row>
        <row r="386">
          <cell r="A386">
            <v>42605</v>
          </cell>
          <cell r="B386" t="str">
            <v>Хусусий корхоналар хужалик ширкатлари ва жамиятларга берилган муддати утган кредитлар буйича фоизли даромадла</v>
          </cell>
          <cell r="C386">
            <v>609445730.12</v>
          </cell>
        </row>
        <row r="387">
          <cell r="A387">
            <v>42600</v>
          </cell>
          <cell r="B387" t="str">
            <v>ЖАМИ</v>
          </cell>
          <cell r="C387">
            <v>5015674600.5500002</v>
          </cell>
        </row>
        <row r="388">
          <cell r="B388" t="str">
            <v>Республика корхоналарига берилган узок муддатли инвестиция кредитлари буйича фоизли даромадлар</v>
          </cell>
        </row>
        <row r="389">
          <cell r="A389">
            <v>43109</v>
          </cell>
          <cell r="B389" t="str">
            <v>Республика корхоналарига берилган шартлари кайта куриб чикилган узок муддатли инвестиция кредитлари буйича фои</v>
          </cell>
          <cell r="C389">
            <v>4014892.25</v>
          </cell>
        </row>
        <row r="390">
          <cell r="A390">
            <v>43100</v>
          </cell>
          <cell r="B390" t="str">
            <v>ЖАМИ</v>
          </cell>
          <cell r="C390">
            <v>4014892.25</v>
          </cell>
        </row>
        <row r="391">
          <cell r="B391" t="str">
            <v>Бюджет ташкилотларига берилган узок муддатли кредитлар буйича фоизли даромадлар</v>
          </cell>
        </row>
        <row r="392">
          <cell r="A392">
            <v>43601</v>
          </cell>
          <cell r="B392" t="str">
            <v>Бюджет ташкилотларига берилган узок муддатли кредитлар буйича фоизли даромадлар</v>
          </cell>
          <cell r="C392">
            <v>14182586.210000001</v>
          </cell>
        </row>
        <row r="393">
          <cell r="A393">
            <v>43600</v>
          </cell>
          <cell r="B393" t="str">
            <v>ЖАМИ</v>
          </cell>
          <cell r="C393">
            <v>14182586.210000001</v>
          </cell>
        </row>
        <row r="394">
          <cell r="B394" t="str">
            <v>Нодавлат нотижорат ташкилотларига берилган узок муддатли кредитлар буйича фоизли даромадлар</v>
          </cell>
        </row>
        <row r="395">
          <cell r="A395">
            <v>43901</v>
          </cell>
          <cell r="B395" t="str">
            <v>Нодавлат нотижорат ташкилотларига берилган узок муддатли кредитлар буйича фоизли даромадлар</v>
          </cell>
          <cell r="C395">
            <v>166760315.02000001</v>
          </cell>
        </row>
        <row r="396">
          <cell r="A396">
            <v>43905</v>
          </cell>
          <cell r="B396" t="str">
            <v>Нодавлат нотижорат ташкилотларига берилган шартлари кайта куриб чикилган узок муддатли кредитлар буйича фоизли</v>
          </cell>
          <cell r="C396">
            <v>4776862.6399999997</v>
          </cell>
        </row>
        <row r="397">
          <cell r="A397">
            <v>43900</v>
          </cell>
          <cell r="B397" t="str">
            <v>ЖАМИ</v>
          </cell>
          <cell r="C397">
            <v>171537177.66</v>
          </cell>
        </row>
        <row r="398">
          <cell r="B398" t="str">
            <v>Якка тартибдаги тадбиркорларга берилган узок муддатли кредитлар буйича фоизли даромадлар</v>
          </cell>
        </row>
        <row r="399">
          <cell r="A399">
            <v>44101</v>
          </cell>
          <cell r="B399" t="str">
            <v>Якка тартибдаги тадбиркорларга берилган узок муддатли кредитлар буйича фоизли даромадлар</v>
          </cell>
          <cell r="C399">
            <v>1377424934.6400001</v>
          </cell>
        </row>
        <row r="400">
          <cell r="A400">
            <v>44100</v>
          </cell>
          <cell r="B400" t="str">
            <v>ЖАМИ</v>
          </cell>
          <cell r="C400">
            <v>1377424934.6400001</v>
          </cell>
        </row>
        <row r="401">
          <cell r="B401" t="str">
            <v>Хукуматга берилган узок муддатли кредитлар буйича фоизли даромадлар</v>
          </cell>
        </row>
        <row r="402">
          <cell r="A402">
            <v>44201</v>
          </cell>
          <cell r="B402" t="str">
            <v>Хукуматга берилган узок муддатли кредитлар буйича фоизли даромадлар</v>
          </cell>
          <cell r="C402">
            <v>172119.77</v>
          </cell>
        </row>
        <row r="403">
          <cell r="A403">
            <v>44200</v>
          </cell>
          <cell r="B403" t="str">
            <v>ЖАМИ</v>
          </cell>
          <cell r="C403">
            <v>172119.77</v>
          </cell>
        </row>
        <row r="404">
          <cell r="B404" t="str">
            <v>Жисмоний шахсларга берилган узок муддатли кредитлар буйича фоизли даромадлар</v>
          </cell>
        </row>
        <row r="405">
          <cell r="A405">
            <v>44301</v>
          </cell>
          <cell r="B405" t="str">
            <v>Жисмоний шахсларга берилган узок муддатли кредитлар буйича фоизли даромадлар</v>
          </cell>
          <cell r="C405">
            <v>8372431085.6899996</v>
          </cell>
        </row>
        <row r="406">
          <cell r="A406">
            <v>44300</v>
          </cell>
          <cell r="B406" t="str">
            <v>ЖАМИ</v>
          </cell>
          <cell r="C406">
            <v>8372431085.6899996</v>
          </cell>
        </row>
        <row r="407">
          <cell r="B407" t="str">
            <v>Давлат корхона ташкилот ва муассасаларига берилган узок муддатли кредитлар буйича фоизли даромадлар</v>
          </cell>
        </row>
        <row r="408">
          <cell r="A408">
            <v>44401</v>
          </cell>
          <cell r="B408" t="str">
            <v>Давлат корхона ташкилот ва муассасаларига берилган узок муддатли кредитлар буйича фоизли даромадлар</v>
          </cell>
          <cell r="C408">
            <v>1010243804.1900001</v>
          </cell>
        </row>
        <row r="409">
          <cell r="A409">
            <v>44400</v>
          </cell>
          <cell r="B409" t="str">
            <v>ЖАМИ</v>
          </cell>
          <cell r="C409">
            <v>1010243804.1900001</v>
          </cell>
        </row>
        <row r="410">
          <cell r="B410" t="str">
            <v>Чет эл капитали иштирокидаги корхоналарга берилган узок муддатли кредитлар буйича фоизли даромадлар</v>
          </cell>
        </row>
        <row r="411">
          <cell r="A411">
            <v>44501</v>
          </cell>
          <cell r="B411" t="str">
            <v>Чет эл капитали иштирокидаги корхоналарга берилган узок муддатли кредитлар буйича фоизли даромадлар</v>
          </cell>
          <cell r="C411">
            <v>98072304.5</v>
          </cell>
        </row>
        <row r="412">
          <cell r="A412">
            <v>44500</v>
          </cell>
          <cell r="B412" t="str">
            <v>ЖАМИ</v>
          </cell>
          <cell r="C412">
            <v>98072304.5</v>
          </cell>
        </row>
        <row r="413">
          <cell r="B413" t="str">
            <v>Хусусий корхоналар хужалик ширкатлари ва жамиятларга берилган узок муддатли кредитлар буйича фоизли даромадла</v>
          </cell>
        </row>
        <row r="414">
          <cell r="A414">
            <v>44601</v>
          </cell>
          <cell r="B414" t="str">
            <v>Хусусий корхоналар хужалик ширкатлари ва жамиятларга берилган узок муддатли кредитлар буйича фоизли даромадла</v>
          </cell>
          <cell r="C414">
            <v>32125991062.970001</v>
          </cell>
        </row>
        <row r="415">
          <cell r="A415">
            <v>44605</v>
          </cell>
          <cell r="B415" t="str">
            <v>Хусусий корхоналар хужалик ширкатлари ва жамиятларга берилган узок муддатли шартлари кайта куриб чикилган кр</v>
          </cell>
          <cell r="C415">
            <v>74230782.040000007</v>
          </cell>
        </row>
        <row r="416">
          <cell r="A416">
            <v>44600</v>
          </cell>
          <cell r="B416" t="str">
            <v>ЖАМИ</v>
          </cell>
          <cell r="C416">
            <v>32200221845.009998</v>
          </cell>
        </row>
        <row r="417">
          <cell r="B417" t="str">
            <v>Бошка фоизли даромадлар</v>
          </cell>
        </row>
        <row r="418">
          <cell r="A418">
            <v>44901</v>
          </cell>
          <cell r="B418" t="str">
            <v>Бошка фоизли даромадлар</v>
          </cell>
          <cell r="C418">
            <v>14054414240.25</v>
          </cell>
        </row>
        <row r="419">
          <cell r="A419">
            <v>44905</v>
          </cell>
          <cell r="B419" t="str">
            <v>Бош банк/филиалга берилган маблаглар буйича фоизли даромадлар</v>
          </cell>
          <cell r="C419">
            <v>27395613640.189999</v>
          </cell>
        </row>
        <row r="420">
          <cell r="A420">
            <v>44900</v>
          </cell>
          <cell r="B420" t="str">
            <v>ЖАМИ</v>
          </cell>
          <cell r="C420">
            <v>41450027880.440002</v>
          </cell>
        </row>
        <row r="421">
          <cell r="B421" t="str">
            <v>Лизинг (молиявий ижара) буйича фоизли даромадлар</v>
          </cell>
        </row>
        <row r="422">
          <cell r="A422">
            <v>45107</v>
          </cell>
          <cell r="B422" t="str">
            <v>Давлат корхона ташкилот ва мауссасаларига берилган лизинг буйича фоизли даромадлар</v>
          </cell>
          <cell r="C422">
            <v>13674399.08</v>
          </cell>
        </row>
        <row r="423">
          <cell r="A423">
            <v>45113</v>
          </cell>
          <cell r="B423" t="str">
            <v>Хусусий корхоналар хужалик ширкатлари ва жамиятларга берилган лизинг буйича фоизли даромадлар</v>
          </cell>
          <cell r="C423">
            <v>1719308378.79</v>
          </cell>
        </row>
        <row r="424">
          <cell r="A424">
            <v>45117</v>
          </cell>
          <cell r="B424" t="str">
            <v>Муддати утган лизинг буйича фоизли даромадлар</v>
          </cell>
          <cell r="C424">
            <v>19709217.300000001</v>
          </cell>
        </row>
        <row r="425">
          <cell r="A425">
            <v>45100</v>
          </cell>
          <cell r="B425" t="str">
            <v>ЖАМИ</v>
          </cell>
          <cell r="C425">
            <v>1752691995.1700001</v>
          </cell>
        </row>
        <row r="426">
          <cell r="B426" t="str">
            <v>Фоизсиз даромадлар</v>
          </cell>
        </row>
        <row r="427">
          <cell r="A427">
            <v>45201</v>
          </cell>
          <cell r="B427" t="str">
            <v>УзРМБига курсатилган хизматлар ва воситачилик учун олинган даромадлар</v>
          </cell>
          <cell r="C427">
            <v>1.94</v>
          </cell>
        </row>
        <row r="428">
          <cell r="A428">
            <v>45217</v>
          </cell>
          <cell r="B428" t="str">
            <v>Сотиб олинган дебиторлик карзлари буйича даромадлар - Факторинг</v>
          </cell>
          <cell r="C428">
            <v>1709182021.6900001</v>
          </cell>
        </row>
        <row r="429">
          <cell r="A429">
            <v>45225</v>
          </cell>
          <cell r="B429" t="str">
            <v>Аккредитивлар ва акцептлар буйича воситачилик ва бошка хизматлар учун олинган даромадлар</v>
          </cell>
          <cell r="C429">
            <v>323700</v>
          </cell>
        </row>
        <row r="430">
          <cell r="A430">
            <v>45233</v>
          </cell>
          <cell r="B430" t="str">
            <v>Кредитлар буйича воситачилик даромадлари</v>
          </cell>
          <cell r="C430">
            <v>5862696472.5</v>
          </cell>
        </row>
        <row r="431">
          <cell r="A431">
            <v>45241</v>
          </cell>
          <cell r="B431" t="str">
            <v>Менежмент хизмати буйича даромадлар</v>
          </cell>
          <cell r="C431">
            <v>30079855.289999999</v>
          </cell>
        </row>
        <row r="432">
          <cell r="A432">
            <v>45249</v>
          </cell>
          <cell r="B432" t="str">
            <v>Махаллий туловлар буйича воситачилик хизматлари учун олинган даромадлар</v>
          </cell>
          <cell r="C432">
            <v>15383964585.93</v>
          </cell>
        </row>
        <row r="433">
          <cell r="A433">
            <v>45253</v>
          </cell>
          <cell r="B433" t="str">
            <v>Жорижий туловлар буйича воситачилик хизматлари учун олинган даромадлар</v>
          </cell>
          <cell r="C433">
            <v>2333388244.5900002</v>
          </cell>
        </row>
        <row r="434">
          <cell r="A434">
            <v>45257</v>
          </cell>
          <cell r="B434" t="str">
            <v>Мижозларнинг инкассо операциялари буйича курсатилган хизматлар учун олинган даромадлар</v>
          </cell>
          <cell r="C434">
            <v>449024169.51999998</v>
          </cell>
        </row>
        <row r="435">
          <cell r="A435">
            <v>45261</v>
          </cell>
          <cell r="B435" t="str">
            <v>Кафолатлар ва кафилликлар буйича операцияларни амалга оширишда курсатилган хизматлар учун олинган даромадлар</v>
          </cell>
          <cell r="C435">
            <v>15646725</v>
          </cell>
        </row>
        <row r="436">
          <cell r="A436">
            <v>45294</v>
          </cell>
          <cell r="B436" t="str">
            <v>Бошка курсатилган хизматлар ва воситачилик учун олинган даромадлар</v>
          </cell>
          <cell r="C436">
            <v>9867958098.1800003</v>
          </cell>
        </row>
        <row r="437">
          <cell r="A437">
            <v>45200</v>
          </cell>
          <cell r="B437" t="str">
            <v>ЖАМИ</v>
          </cell>
          <cell r="C437">
            <v>35652263874.639999</v>
          </cell>
        </row>
        <row r="438">
          <cell r="B438" t="str">
            <v>Хорижий валюталардаги фойда</v>
          </cell>
        </row>
        <row r="439">
          <cell r="A439">
            <v>45401</v>
          </cell>
          <cell r="B439" t="str">
            <v>"Спот" битими буйича хорижий валюталардаги фойда</v>
          </cell>
          <cell r="C439">
            <v>1527110295.47</v>
          </cell>
        </row>
        <row r="440">
          <cell r="A440">
            <v>45405</v>
          </cell>
          <cell r="B440" t="str">
            <v>Хосилавий инструментлар билан тузилган битимлар буйича хорижий валюталардаги фойда</v>
          </cell>
          <cell r="C440">
            <v>533920000</v>
          </cell>
        </row>
        <row r="441">
          <cell r="A441">
            <v>45400</v>
          </cell>
          <cell r="B441" t="str">
            <v>ЖАМИ</v>
          </cell>
          <cell r="C441">
            <v>2061030295.47</v>
          </cell>
        </row>
        <row r="442">
          <cell r="B442" t="str">
            <v>Тижорат операцияларидан олинган фойда</v>
          </cell>
        </row>
        <row r="443">
          <cell r="A443">
            <v>45605</v>
          </cell>
          <cell r="B443" t="str">
            <v>Кимматбахо металлар тошлар ва тангалар буйича тижорат операцияларидан олинган фойда</v>
          </cell>
          <cell r="C443">
            <v>708505.59999999998</v>
          </cell>
        </row>
        <row r="444">
          <cell r="A444">
            <v>45600</v>
          </cell>
          <cell r="B444" t="str">
            <v>ЖАМИ</v>
          </cell>
          <cell r="C444">
            <v>708505.59999999998</v>
          </cell>
        </row>
        <row r="445">
          <cell r="B445" t="str">
            <v>Инвестициялардан олинган фойда ва дивидендлар</v>
          </cell>
        </row>
        <row r="446">
          <cell r="A446">
            <v>45809</v>
          </cell>
          <cell r="B446" t="str">
            <v>Хусусий капиталга килинган инвестиция буйича олинган дивидендлар</v>
          </cell>
          <cell r="C446">
            <v>49330815.299999997</v>
          </cell>
        </row>
        <row r="447">
          <cell r="A447">
            <v>45800</v>
          </cell>
          <cell r="B447" t="str">
            <v>ЖАМИ</v>
          </cell>
          <cell r="C447">
            <v>49330815.299999997</v>
          </cell>
        </row>
        <row r="448">
          <cell r="B448" t="str">
            <v>Бошка фоизсиз даромадлар</v>
          </cell>
        </row>
        <row r="449">
          <cell r="A449">
            <v>45901</v>
          </cell>
          <cell r="B449" t="str">
            <v>Банк асосий воситаларининг ижарасидан олинган даромадлар</v>
          </cell>
          <cell r="C449">
            <v>1975191481.71</v>
          </cell>
        </row>
        <row r="450">
          <cell r="A450">
            <v>45909</v>
          </cell>
          <cell r="B450" t="str">
            <v>Банк асосий воситаларини сотиш ёки диспозиция килишдан олинган фойда</v>
          </cell>
          <cell r="C450">
            <v>178463749.66999999</v>
          </cell>
        </row>
        <row r="451">
          <cell r="A451">
            <v>45921</v>
          </cell>
          <cell r="B451" t="str">
            <v>Хисобдан чикарилган маблагларнинг кайтарилиши</v>
          </cell>
          <cell r="C451">
            <v>195263815.06</v>
          </cell>
        </row>
        <row r="452">
          <cell r="A452">
            <v>45994</v>
          </cell>
          <cell r="B452" t="str">
            <v>Бошка фоизсиз даромадлар</v>
          </cell>
          <cell r="C452">
            <v>1795873364.0899999</v>
          </cell>
        </row>
        <row r="453">
          <cell r="A453">
            <v>45900</v>
          </cell>
          <cell r="B453" t="str">
            <v>ЖАМИ</v>
          </cell>
          <cell r="C453">
            <v>4144792410.5300002</v>
          </cell>
        </row>
        <row r="454">
          <cell r="A454">
            <v>40000</v>
          </cell>
          <cell r="B454" t="str">
            <v>ЖАМИ</v>
          </cell>
          <cell r="C454">
            <v>139531891797.64001</v>
          </cell>
        </row>
        <row r="455">
          <cell r="B455" t="str">
            <v>ХАРАЖАТЛАР</v>
          </cell>
        </row>
        <row r="456">
          <cell r="B456" t="str">
            <v>Талаб килиб олингунча сакланадиган депозитлар буйича фоизли харажатлар</v>
          </cell>
        </row>
        <row r="457">
          <cell r="A457">
            <v>50103</v>
          </cell>
          <cell r="B457" t="str">
            <v>Республика карамогидаги бюджет ташкилотларининг бюджетдан ташкари маблаглари асосидаги талаб килиб олингунча,,</v>
          </cell>
          <cell r="C457">
            <v>138800609.22999999</v>
          </cell>
        </row>
        <row r="458">
          <cell r="A458">
            <v>50106</v>
          </cell>
          <cell r="B458" t="str">
            <v>Жисмоний шахсларнинг талаб килиб олингунча сакланадиган депозитлари буйича фоизли харажатлар</v>
          </cell>
          <cell r="C458">
            <v>24846927.920000002</v>
          </cell>
        </row>
        <row r="459">
          <cell r="A459">
            <v>50108</v>
          </cell>
          <cell r="B459" t="str">
            <v>Хусусий корхоналар хужалик ширкатлари ва жамиятларнинг талаб килиб олингунча сакланадиган депозитлар буйича,,</v>
          </cell>
          <cell r="C459">
            <v>395.55</v>
          </cell>
        </row>
        <row r="460">
          <cell r="A460">
            <v>50110</v>
          </cell>
          <cell r="B460" t="str">
            <v>Жисмоний шахсларнинг пластик карточкаларидаги маблаглари буйича фоизли харажатлар</v>
          </cell>
          <cell r="C460">
            <v>2710287823.9099998</v>
          </cell>
        </row>
        <row r="461">
          <cell r="A461">
            <v>50100</v>
          </cell>
          <cell r="B461" t="str">
            <v>ЖАМИ</v>
          </cell>
          <cell r="C461">
            <v>2873935756.6100001</v>
          </cell>
        </row>
        <row r="462">
          <cell r="B462" t="str">
            <v>Жамгарма депозитлар буйича фоизли харажатлар</v>
          </cell>
        </row>
        <row r="463">
          <cell r="A463">
            <v>50604</v>
          </cell>
          <cell r="B463" t="str">
            <v>Махаллий бюджет карамогидаги бюджет ташкилотларининг бюджетдан ташкари маблаглари асосидаги жамгарма депозитла</v>
          </cell>
          <cell r="C463">
            <v>805118.1</v>
          </cell>
        </row>
        <row r="464">
          <cell r="A464">
            <v>50606</v>
          </cell>
          <cell r="B464" t="str">
            <v>Жисмоний шахсларнинг жамгарма депозитлари буйича фоизли харажатлар</v>
          </cell>
          <cell r="C464">
            <v>4153435481.4699998</v>
          </cell>
        </row>
        <row r="465">
          <cell r="A465">
            <v>50608</v>
          </cell>
          <cell r="B465" t="str">
            <v>Хусусий корхоналар хужалик ширкатлари ва жамиятларнинг жамгарма депозитлари буйича фоизли харажатлар</v>
          </cell>
          <cell r="C465">
            <v>164383.72</v>
          </cell>
        </row>
        <row r="466">
          <cell r="A466">
            <v>50600</v>
          </cell>
          <cell r="B466" t="str">
            <v>ЖАМИ</v>
          </cell>
          <cell r="C466">
            <v>4154404983.29</v>
          </cell>
        </row>
        <row r="467">
          <cell r="B467" t="str">
            <v>Муддатли депозитлар буйича фоизли харажатлар</v>
          </cell>
        </row>
        <row r="468">
          <cell r="A468">
            <v>51101</v>
          </cell>
          <cell r="B468" t="str">
            <v>Хукуматнинг бюджетдан ташкари маблаглари асосидаги муддатли депозитлари буйича фоизли харажатлар</v>
          </cell>
          <cell r="C468">
            <v>897534246.70000005</v>
          </cell>
        </row>
        <row r="469">
          <cell r="A469">
            <v>51103</v>
          </cell>
          <cell r="B469" t="str">
            <v>Республика карамогидаги бюджет ташкилотларининг бюджетдан ташкари маблаглари асосидаги муддатли депозитлари бу</v>
          </cell>
          <cell r="C469">
            <v>2172084428.9400001</v>
          </cell>
        </row>
        <row r="470">
          <cell r="A470">
            <v>51105</v>
          </cell>
          <cell r="B470" t="str">
            <v>Бюджетдан ташкари фондларнинг муддатли депозитлари буйича фоизли харажатлар</v>
          </cell>
          <cell r="C470">
            <v>8052638731.5</v>
          </cell>
        </row>
        <row r="471">
          <cell r="A471">
            <v>51106</v>
          </cell>
          <cell r="B471" t="str">
            <v>Жисмоний шахсларнинг муддатли депозитлари буйича фоизли харажатлар</v>
          </cell>
          <cell r="C471">
            <v>4002774164.9499998</v>
          </cell>
        </row>
        <row r="472">
          <cell r="A472">
            <v>51108</v>
          </cell>
          <cell r="B472" t="str">
            <v>Хусусий корхоналар хужалик ширкатлари ва жамиятларнинг муддатли депозитлари буйича фоизли харажатлар</v>
          </cell>
          <cell r="C472">
            <v>468112406.04000002</v>
          </cell>
        </row>
        <row r="473">
          <cell r="A473">
            <v>51111</v>
          </cell>
          <cell r="B473" t="str">
            <v>Давлат корхона ташкилот ва муассасаларининг муддатли депозитлари буйича фоизли харажатлар</v>
          </cell>
          <cell r="C473">
            <v>1066477836.97</v>
          </cell>
        </row>
        <row r="474">
          <cell r="A474">
            <v>51114</v>
          </cell>
          <cell r="B474" t="str">
            <v>Чет эл капитали иштирокидаги корхоналарнинг муддатли депозитлари буйича фоизли харажатлар</v>
          </cell>
          <cell r="C474">
            <v>1234417302.25</v>
          </cell>
        </row>
        <row r="475">
          <cell r="A475">
            <v>51116</v>
          </cell>
          <cell r="B475" t="str">
            <v>Нодавлат нотижорат ташкилотларининг муддатли депозитлари буйича фоизли харажатлар</v>
          </cell>
          <cell r="C475">
            <v>466937283.44999999</v>
          </cell>
        </row>
        <row r="476">
          <cell r="A476">
            <v>51121</v>
          </cell>
          <cell r="B476" t="str">
            <v>Банк булмаган молиявий муассасаларнинг муддатли депозитлари буйича фоизли харажатлар</v>
          </cell>
          <cell r="C476">
            <v>843705110.32000005</v>
          </cell>
        </row>
        <row r="477">
          <cell r="A477">
            <v>51100</v>
          </cell>
          <cell r="B477" t="str">
            <v>ЖАМИ</v>
          </cell>
          <cell r="C477">
            <v>19204681511.119999</v>
          </cell>
        </row>
        <row r="478">
          <cell r="B478" t="str">
            <v>Бошка банкларнинг хисобвараклари буйича фоизли харажатлар</v>
          </cell>
        </row>
        <row r="479">
          <cell r="A479">
            <v>52111</v>
          </cell>
          <cell r="B479" t="str">
            <v>Бошка банкларнинг депозитлари буйича фоизли харажатлар</v>
          </cell>
          <cell r="C479">
            <v>3254175893.4699998</v>
          </cell>
        </row>
        <row r="480">
          <cell r="A480">
            <v>52100</v>
          </cell>
          <cell r="B480" t="str">
            <v>ЖАМИ</v>
          </cell>
          <cell r="C480">
            <v>3254175893.4699998</v>
          </cell>
        </row>
        <row r="481">
          <cell r="B481" t="str">
            <v>Киска муддатли кредиталар буйича фоизли харажатлар</v>
          </cell>
        </row>
        <row r="482">
          <cell r="A482">
            <v>53111</v>
          </cell>
          <cell r="B482" t="str">
            <v>Хукуматдан олинган киска муддатли кредитлар буйича фоизли харажатлар</v>
          </cell>
          <cell r="C482">
            <v>158627686.47999999</v>
          </cell>
        </row>
        <row r="483">
          <cell r="A483">
            <v>53100</v>
          </cell>
          <cell r="B483" t="str">
            <v>ЖАМИ</v>
          </cell>
          <cell r="C483">
            <v>158627686.47999999</v>
          </cell>
        </row>
        <row r="484">
          <cell r="B484" t="str">
            <v>Узок муддатли кредитлар буйича фоизли харажатлар</v>
          </cell>
        </row>
        <row r="485">
          <cell r="A485">
            <v>54106</v>
          </cell>
          <cell r="B485" t="str">
            <v>Бошка банклардан олинган узок муддатли кредитлар буйича фоизли харажатлар</v>
          </cell>
          <cell r="C485">
            <v>124433.66</v>
          </cell>
        </row>
        <row r="486">
          <cell r="A486">
            <v>54111</v>
          </cell>
          <cell r="B486" t="str">
            <v>Хукуматдан олинган узок муддатли кредитлар буйича фоизли харажатлар</v>
          </cell>
          <cell r="C486">
            <v>18794520.57</v>
          </cell>
        </row>
        <row r="487">
          <cell r="A487">
            <v>54128</v>
          </cell>
          <cell r="B487" t="str">
            <v>Банк булмаган молиявий муассасалардан олинган узок муддатли кредитлар буйича фоизли харажатлар</v>
          </cell>
          <cell r="C487">
            <v>86162798.980000004</v>
          </cell>
        </row>
        <row r="488">
          <cell r="A488">
            <v>54195</v>
          </cell>
          <cell r="B488" t="str">
            <v>Бошка кредиторлардан олинган узок муддатли кредитлар буйича фоизли харажатлар</v>
          </cell>
          <cell r="C488">
            <v>335128197.89999998</v>
          </cell>
        </row>
        <row r="489">
          <cell r="A489">
            <v>54100</v>
          </cell>
          <cell r="B489" t="str">
            <v>ЖАМИ</v>
          </cell>
          <cell r="C489">
            <v>440209951.11000001</v>
          </cell>
        </row>
        <row r="490">
          <cell r="B490" t="str">
            <v>Чикарилган кимматли когозлар буйича фоизли харажатлар</v>
          </cell>
        </row>
        <row r="491">
          <cell r="A491">
            <v>54202</v>
          </cell>
          <cell r="B491" t="str">
            <v>Чикарилган облигациялар буйича фоизли харажатлар</v>
          </cell>
          <cell r="C491">
            <v>27890455.32</v>
          </cell>
        </row>
        <row r="492">
          <cell r="A492">
            <v>54206</v>
          </cell>
          <cell r="B492" t="str">
            <v>Чикарилган депозит сертификатлар буйича фоизли харажатлар</v>
          </cell>
          <cell r="C492">
            <v>3166456595.8200002</v>
          </cell>
        </row>
        <row r="493">
          <cell r="A493">
            <v>54200</v>
          </cell>
          <cell r="B493" t="str">
            <v>ЖАМИ</v>
          </cell>
          <cell r="C493">
            <v>3194347051.1399999</v>
          </cell>
        </row>
        <row r="494">
          <cell r="B494" t="str">
            <v>Бошка фоизли харажатлар</v>
          </cell>
        </row>
        <row r="495">
          <cell r="A495">
            <v>54904</v>
          </cell>
          <cell r="B495" t="str">
            <v>Бош банк/филиалдан олинган маблаглар буйича фоизли харажатлар</v>
          </cell>
          <cell r="C495">
            <v>27485410967.360001</v>
          </cell>
        </row>
        <row r="496">
          <cell r="A496">
            <v>54900</v>
          </cell>
          <cell r="B496" t="str">
            <v>ЖАМИ</v>
          </cell>
          <cell r="C496">
            <v>27485410967.360001</v>
          </cell>
        </row>
        <row r="497">
          <cell r="B497" t="str">
            <v>Фоизсиз харажатлар</v>
          </cell>
        </row>
        <row r="498">
          <cell r="A498">
            <v>55102</v>
          </cell>
          <cell r="B498" t="str">
            <v>УзРМБига туланадиган хизмат ва воситачилик харажатлари</v>
          </cell>
          <cell r="C498">
            <v>6587718</v>
          </cell>
        </row>
        <row r="499">
          <cell r="A499">
            <v>55106</v>
          </cell>
          <cell r="B499" t="str">
            <v>Бошка банкларга туланадиган хизмат ва воситачилик харажатлари</v>
          </cell>
          <cell r="C499">
            <v>481378253.56</v>
          </cell>
        </row>
        <row r="500">
          <cell r="A500">
            <v>55110</v>
          </cell>
          <cell r="B500" t="str">
            <v>Кимматли когозларнинг олди-сотди операциялари буйича туланадиган хизмат ва воситачилик харажатлари</v>
          </cell>
          <cell r="C500">
            <v>26821545.079999998</v>
          </cell>
        </row>
        <row r="501">
          <cell r="A501">
            <v>55142</v>
          </cell>
          <cell r="B501" t="str">
            <v>Менежмент буйича харажатлар</v>
          </cell>
          <cell r="C501">
            <v>232357326.33000001</v>
          </cell>
        </row>
        <row r="502">
          <cell r="A502">
            <v>55154</v>
          </cell>
          <cell r="B502" t="str">
            <v>Хорижий туловлар буйича воситачилик харажатлари</v>
          </cell>
          <cell r="C502">
            <v>363998767.63</v>
          </cell>
        </row>
        <row r="503">
          <cell r="A503">
            <v>55195</v>
          </cell>
          <cell r="B503" t="str">
            <v>Бошка воситачилик ва хизмат харажатлари</v>
          </cell>
          <cell r="C503">
            <v>6960603237.5600004</v>
          </cell>
        </row>
        <row r="504">
          <cell r="A504">
            <v>55100</v>
          </cell>
          <cell r="B504" t="str">
            <v>ЖАМИ</v>
          </cell>
          <cell r="C504">
            <v>8071746848.1599998</v>
          </cell>
        </row>
        <row r="505">
          <cell r="B505" t="str">
            <v>Хорижий валюталарда курилган зарарлар</v>
          </cell>
        </row>
        <row r="506">
          <cell r="A506">
            <v>55302</v>
          </cell>
          <cell r="B506" t="str">
            <v>"Спот" битимлари буйича хорижий валюталарда курилган зарарлар</v>
          </cell>
          <cell r="C506">
            <v>431781753.39999998</v>
          </cell>
        </row>
        <row r="507">
          <cell r="A507">
            <v>55300</v>
          </cell>
          <cell r="B507" t="str">
            <v>ЖАМИ</v>
          </cell>
          <cell r="C507">
            <v>431781753.39999998</v>
          </cell>
        </row>
        <row r="508">
          <cell r="B508" t="str">
            <v>Бошка фоизсиз харажатлар</v>
          </cell>
        </row>
        <row r="509">
          <cell r="A509">
            <v>55902</v>
          </cell>
          <cell r="B509" t="str">
            <v>Банк асосий воситаларини сотиш ёки диспозиция килишдан курилган зарарлар</v>
          </cell>
          <cell r="C509">
            <v>43364685.140000001</v>
          </cell>
        </row>
        <row r="510">
          <cell r="A510">
            <v>55995</v>
          </cell>
          <cell r="B510" t="str">
            <v>Бошка фоизсиз харажатлар</v>
          </cell>
          <cell r="C510">
            <v>2246.64</v>
          </cell>
        </row>
        <row r="511">
          <cell r="A511">
            <v>55900</v>
          </cell>
          <cell r="B511" t="str">
            <v>ЖАМИ</v>
          </cell>
          <cell r="C511">
            <v>43366931.780000001</v>
          </cell>
        </row>
        <row r="512">
          <cell r="B512" t="str">
            <v>Банк хизматчиларининг иш хаки ва улар учун килинган бошка харажатлар</v>
          </cell>
        </row>
        <row r="513">
          <cell r="A513">
            <v>56102</v>
          </cell>
          <cell r="B513" t="str">
            <v>Иш хаки</v>
          </cell>
          <cell r="C513">
            <v>26267816975.84</v>
          </cell>
        </row>
        <row r="514">
          <cell r="A514">
            <v>56106</v>
          </cell>
          <cell r="B514" t="str">
            <v>Банк хизматчилари учун имтиёзлар</v>
          </cell>
          <cell r="C514">
            <v>2882943015.5700002</v>
          </cell>
        </row>
        <row r="515">
          <cell r="A515">
            <v>56110</v>
          </cell>
          <cell r="B515" t="str">
            <v>Тиббий стоматологик хизматлар учун ва шифохонада даволаш харажатлари</v>
          </cell>
          <cell r="C515">
            <v>2043600</v>
          </cell>
        </row>
        <row r="516">
          <cell r="A516">
            <v>56114</v>
          </cell>
          <cell r="B516" t="str">
            <v>Ижтимоий сугурта буйича бадаллар</v>
          </cell>
          <cell r="C516">
            <v>6890440431.6700001</v>
          </cell>
        </row>
        <row r="517">
          <cell r="A517">
            <v>56118</v>
          </cell>
          <cell r="B517" t="str">
            <v>Ижтимой химоя буйича харажатлар</v>
          </cell>
          <cell r="C517">
            <v>1981027287.26</v>
          </cell>
        </row>
        <row r="518">
          <cell r="A518">
            <v>56122</v>
          </cell>
          <cell r="B518" t="str">
            <v>Бандлик фонди ва бошка фондлар учун бадаллар</v>
          </cell>
          <cell r="C518">
            <v>9261592</v>
          </cell>
        </row>
        <row r="519">
          <cell r="A519">
            <v>56195</v>
          </cell>
          <cell r="B519" t="str">
            <v>Банк хизматчилари учун килинган бошка харажатлар</v>
          </cell>
          <cell r="C519">
            <v>51987800</v>
          </cell>
        </row>
        <row r="520">
          <cell r="A520">
            <v>56100</v>
          </cell>
          <cell r="B520" t="str">
            <v>ЖАМИ</v>
          </cell>
          <cell r="C520">
            <v>38085520702.339996</v>
          </cell>
        </row>
        <row r="521">
          <cell r="B521" t="str">
            <v>Ижара ва таъминот харажатлари</v>
          </cell>
        </row>
        <row r="522">
          <cell r="A522">
            <v>56202</v>
          </cell>
          <cell r="B522" t="str">
            <v>Ижара тулови</v>
          </cell>
          <cell r="C522">
            <v>502684750.81</v>
          </cell>
        </row>
        <row r="523">
          <cell r="A523">
            <v>56206</v>
          </cell>
          <cell r="B523" t="str">
            <v>Сув тулови</v>
          </cell>
          <cell r="C523">
            <v>51993874.369999997</v>
          </cell>
        </row>
        <row r="524">
          <cell r="A524">
            <v>56210</v>
          </cell>
          <cell r="B524" t="str">
            <v>Электр энергияси ва иситиш тармоклари харажатлари</v>
          </cell>
          <cell r="C524">
            <v>404441730.29000002</v>
          </cell>
        </row>
        <row r="525">
          <cell r="A525">
            <v>56214</v>
          </cell>
          <cell r="B525" t="str">
            <v>Таъмирлаш ва таъминот харажатлари</v>
          </cell>
          <cell r="C525">
            <v>414987264.5</v>
          </cell>
        </row>
        <row r="526">
          <cell r="A526">
            <v>56218</v>
          </cell>
          <cell r="B526" t="str">
            <v>Куриклаш хизмати харажатлари</v>
          </cell>
          <cell r="C526">
            <v>7552461670.9700003</v>
          </cell>
        </row>
        <row r="527">
          <cell r="A527">
            <v>56200</v>
          </cell>
          <cell r="B527" t="str">
            <v>ЖАМИ</v>
          </cell>
          <cell r="C527">
            <v>8926569290.9400005</v>
          </cell>
        </row>
        <row r="528">
          <cell r="B528" t="str">
            <v>Хизмат сафари ва транспорт харажатлари</v>
          </cell>
        </row>
        <row r="529">
          <cell r="A529">
            <v>56302</v>
          </cell>
          <cell r="B529" t="str">
            <v>Хизмат сафари харажатлари</v>
          </cell>
          <cell r="C529">
            <v>347476294.10000002</v>
          </cell>
        </row>
        <row r="530">
          <cell r="A530">
            <v>56306</v>
          </cell>
          <cell r="B530" t="str">
            <v>Хизмат сафаридаги кунлик харажатлари</v>
          </cell>
          <cell r="C530">
            <v>716980759.88</v>
          </cell>
        </row>
        <row r="531">
          <cell r="A531">
            <v>56314</v>
          </cell>
          <cell r="B531" t="str">
            <v>Ёкилги харажатлари</v>
          </cell>
          <cell r="C531">
            <v>114771551</v>
          </cell>
        </row>
        <row r="532">
          <cell r="A532">
            <v>56300</v>
          </cell>
          <cell r="B532" t="str">
            <v>ЖАМИ</v>
          </cell>
          <cell r="C532">
            <v>1179228604.98</v>
          </cell>
        </row>
        <row r="533">
          <cell r="B533" t="str">
            <v>Маъмурий харажатлар</v>
          </cell>
        </row>
        <row r="534">
          <cell r="A534">
            <v>56402</v>
          </cell>
          <cell r="B534" t="str">
            <v>Реклама ва эълон харажатлари</v>
          </cell>
          <cell r="C534">
            <v>503069709.63999999</v>
          </cell>
        </row>
        <row r="535">
          <cell r="A535">
            <v>56406</v>
          </cell>
          <cell r="B535" t="str">
            <v>Девонхона офис ва бошка буюмлар харажатлари</v>
          </cell>
          <cell r="C535">
            <v>1216344770.5699999</v>
          </cell>
        </row>
        <row r="536">
          <cell r="A536">
            <v>56410</v>
          </cell>
          <cell r="B536" t="str">
            <v>Почта телефон факс буйича харажатлар</v>
          </cell>
          <cell r="C536">
            <v>623344756.36000001</v>
          </cell>
        </row>
        <row r="537">
          <cell r="A537">
            <v>56414</v>
          </cell>
          <cell r="B537" t="str">
            <v>Хужжат маркалари учун харажатлар</v>
          </cell>
          <cell r="C537">
            <v>1855500</v>
          </cell>
        </row>
        <row r="538">
          <cell r="A538">
            <v>56418</v>
          </cell>
          <cell r="B538" t="str">
            <v>Китоб газета ва бошка даврий нашриётлар буйича харажатлар</v>
          </cell>
          <cell r="C538">
            <v>250688916.69999999</v>
          </cell>
        </row>
        <row r="539">
          <cell r="A539">
            <v>56400</v>
          </cell>
          <cell r="B539" t="str">
            <v>ЖАМИ</v>
          </cell>
          <cell r="C539">
            <v>2595303653.27</v>
          </cell>
        </row>
        <row r="540">
          <cell r="B540" t="str">
            <v>Репрезентация ва хайрия</v>
          </cell>
        </row>
        <row r="541">
          <cell r="A541">
            <v>56502</v>
          </cell>
          <cell r="B541" t="str">
            <v>Репрезентация ва кунгил очар тадбирлар харажатлари</v>
          </cell>
          <cell r="C541">
            <v>43441541.039999999</v>
          </cell>
        </row>
        <row r="542">
          <cell r="A542">
            <v>56506</v>
          </cell>
          <cell r="B542" t="str">
            <v>Аъзолик бадаллари</v>
          </cell>
          <cell r="C542">
            <v>1503888458</v>
          </cell>
        </row>
        <row r="543">
          <cell r="A543">
            <v>56510</v>
          </cell>
          <cell r="B543" t="str">
            <v>Хайр-эхсон ва хайрия харажатлари</v>
          </cell>
          <cell r="C543">
            <v>829005715</v>
          </cell>
        </row>
        <row r="544">
          <cell r="A544">
            <v>56500</v>
          </cell>
          <cell r="B544" t="str">
            <v>ЖАМИ</v>
          </cell>
          <cell r="C544">
            <v>2376335714.04</v>
          </cell>
        </row>
        <row r="545">
          <cell r="B545" t="str">
            <v>Эскириш харажатлари</v>
          </cell>
        </row>
        <row r="546">
          <cell r="A546">
            <v>56602</v>
          </cell>
          <cell r="B546" t="str">
            <v>Банк биноси ва бошка иморатларнинг эскириш суммаси</v>
          </cell>
          <cell r="C546">
            <v>416058910.60000002</v>
          </cell>
        </row>
        <row r="547">
          <cell r="A547">
            <v>56610</v>
          </cell>
          <cell r="B547" t="str">
            <v>Транспорт воситаларининг эскириш суммаси</v>
          </cell>
          <cell r="C547">
            <v>66993874.969999999</v>
          </cell>
        </row>
        <row r="548">
          <cell r="A548">
            <v>56614</v>
          </cell>
          <cell r="B548" t="str">
            <v>Мебел ва жихозларнинг эскириш суммаси</v>
          </cell>
          <cell r="C548">
            <v>830155251.64999998</v>
          </cell>
        </row>
        <row r="549">
          <cell r="A549">
            <v>56616</v>
          </cell>
          <cell r="B549" t="str">
            <v>Тулов карточкалари билан хисоб-китоблари амалга ошириш ускуналарининг эскириш суммаси</v>
          </cell>
          <cell r="C549">
            <v>75914433.019999996</v>
          </cell>
        </row>
        <row r="550">
          <cell r="A550">
            <v>56618</v>
          </cell>
          <cell r="B550" t="str">
            <v>Номоддий активларнинг эскириш суммаси</v>
          </cell>
          <cell r="C550">
            <v>166726999.5</v>
          </cell>
        </row>
        <row r="551">
          <cell r="A551">
            <v>56622</v>
          </cell>
          <cell r="B551" t="str">
            <v>Операцион ижарага берилган асосий воситаларнинг эскириш суммаси</v>
          </cell>
          <cell r="C551">
            <v>609749403.23000002</v>
          </cell>
        </row>
        <row r="552">
          <cell r="A552">
            <v>56626</v>
          </cell>
          <cell r="B552" t="str">
            <v>Объектларни ижарага олиш ва уни такомиллаштириш хукуки буйича эскириш суммаси</v>
          </cell>
          <cell r="C552">
            <v>11632663.58</v>
          </cell>
        </row>
        <row r="553">
          <cell r="A553">
            <v>56630</v>
          </cell>
          <cell r="B553" t="str">
            <v>Омбордаги асосий воситаларнинг эскириш суммаси</v>
          </cell>
          <cell r="C553">
            <v>19886178.789999999</v>
          </cell>
        </row>
        <row r="554">
          <cell r="A554">
            <v>56600</v>
          </cell>
          <cell r="B554" t="str">
            <v>ЖАМИ</v>
          </cell>
          <cell r="C554">
            <v>2197117715.3400002</v>
          </cell>
        </row>
        <row r="555">
          <cell r="B555" t="str">
            <v>Сугурта солик ва бошка харажатлар</v>
          </cell>
        </row>
        <row r="556">
          <cell r="A556">
            <v>56702</v>
          </cell>
          <cell r="B556" t="str">
            <v>Юридик ва аудиторлик хизмати харажатлари</v>
          </cell>
          <cell r="C556">
            <v>69954760</v>
          </cell>
        </row>
        <row r="557">
          <cell r="A557">
            <v>56706</v>
          </cell>
          <cell r="B557" t="str">
            <v>Маслахатчи(консалтинг)лар хизмати учун тулов харажатлари</v>
          </cell>
          <cell r="C557">
            <v>42965220.640000001</v>
          </cell>
        </row>
        <row r="558">
          <cell r="A558">
            <v>56710</v>
          </cell>
          <cell r="B558" t="str">
            <v>Сугута харажатлари</v>
          </cell>
          <cell r="C558">
            <v>98182200.049999997</v>
          </cell>
        </row>
        <row r="559">
          <cell r="A559">
            <v>56714</v>
          </cell>
          <cell r="B559" t="str">
            <v>Солик (фойда солигидан ташкари) ва лицензиялар</v>
          </cell>
          <cell r="C559">
            <v>4239210303.6399999</v>
          </cell>
        </row>
        <row r="560">
          <cell r="A560">
            <v>56722</v>
          </cell>
          <cell r="B560" t="str">
            <v>Суд жараёни/активни сотиб олиш билан боглик булган харажатлар</v>
          </cell>
          <cell r="C560">
            <v>32176196.539999999</v>
          </cell>
        </row>
        <row r="561">
          <cell r="A561">
            <v>56795</v>
          </cell>
          <cell r="B561" t="str">
            <v>Бошка операцион харажатлар</v>
          </cell>
          <cell r="C561">
            <v>1585399015.25</v>
          </cell>
        </row>
        <row r="562">
          <cell r="A562">
            <v>56700</v>
          </cell>
          <cell r="B562" t="str">
            <v>ЖАМИ</v>
          </cell>
          <cell r="C562">
            <v>6067887696.1199999</v>
          </cell>
        </row>
        <row r="563">
          <cell r="B563" t="str">
            <v>Курилиши мумкин булган зарарларни бахолаш</v>
          </cell>
        </row>
        <row r="564">
          <cell r="A564">
            <v>56802</v>
          </cell>
          <cell r="B564" t="str">
            <v>Кредитлар буйича курилиши мумкин булган зарарларни бахолаш</v>
          </cell>
          <cell r="C564">
            <v>3630430523.2600002</v>
          </cell>
        </row>
        <row r="565">
          <cell r="A565">
            <v>56800</v>
          </cell>
          <cell r="B565" t="str">
            <v>ЖАМИ</v>
          </cell>
          <cell r="C565">
            <v>3630430523.2600002</v>
          </cell>
        </row>
        <row r="566">
          <cell r="B566" t="str">
            <v>Фойда солигини бахолаш</v>
          </cell>
        </row>
        <row r="567">
          <cell r="A567">
            <v>56902</v>
          </cell>
          <cell r="B567" t="str">
            <v>Фойда солигини бахолаш</v>
          </cell>
          <cell r="C567">
            <v>4428397290.8500004</v>
          </cell>
        </row>
        <row r="568">
          <cell r="A568">
            <v>56900</v>
          </cell>
          <cell r="B568" t="str">
            <v>ЖАМИ</v>
          </cell>
          <cell r="C568">
            <v>4428397290.8500004</v>
          </cell>
        </row>
        <row r="569">
          <cell r="A569">
            <v>50000</v>
          </cell>
          <cell r="B569" t="str">
            <v>ЖАМИ</v>
          </cell>
          <cell r="C569">
            <v>138799480525.06</v>
          </cell>
        </row>
        <row r="570">
          <cell r="B570" t="str">
            <v>КУЗДА ТУТИЛМАГАН ХОЛАТЛАР</v>
          </cell>
        </row>
        <row r="571">
          <cell r="B571" t="str">
            <v>Туловга яроксиз ва экспертизага кабул килинган банкнот ва тангалар</v>
          </cell>
        </row>
        <row r="572">
          <cell r="A572">
            <v>90145</v>
          </cell>
          <cell r="B572" t="str">
            <v>Туловга яроксиз банкнот ва тангалар</v>
          </cell>
          <cell r="C572">
            <v>-1450</v>
          </cell>
        </row>
        <row r="573">
          <cell r="A573">
            <v>90100</v>
          </cell>
          <cell r="B573" t="str">
            <v>ЖАМИ</v>
          </cell>
          <cell r="C573">
            <v>-1450</v>
          </cell>
        </row>
        <row r="574">
          <cell r="B574" t="str">
            <v>Хужжатли кимматли когозлар бланкалари ва хужжатсиз кимматли когозлар</v>
          </cell>
        </row>
        <row r="575">
          <cell r="A575">
            <v>90317</v>
          </cell>
          <cell r="B575" t="str">
            <v>Бошка ташкилот ва муассасаларнинг кимматли когозлари бланкалари</v>
          </cell>
          <cell r="C575">
            <v>-1</v>
          </cell>
        </row>
        <row r="576">
          <cell r="A576">
            <v>90327</v>
          </cell>
          <cell r="B576" t="str">
            <v>Банкнинг кимматли когозлари бланкалари</v>
          </cell>
          <cell r="C576">
            <v>-5817</v>
          </cell>
        </row>
        <row r="577">
          <cell r="A577">
            <v>90300</v>
          </cell>
          <cell r="B577" t="str">
            <v>ЖАМИ</v>
          </cell>
          <cell r="C577">
            <v>-5818</v>
          </cell>
        </row>
        <row r="578">
          <cell r="B578" t="str">
            <v>Банкнинг пластик карталари терминаллари банкоматлари ва инфокиоскалари</v>
          </cell>
        </row>
        <row r="579">
          <cell r="A579">
            <v>90402</v>
          </cell>
          <cell r="B579" t="str">
            <v>Банк томонидан муомалага чикарилган жисмоний шахсларнинг пластик карталари</v>
          </cell>
          <cell r="C579">
            <v>-1162440</v>
          </cell>
        </row>
        <row r="580">
          <cell r="A580">
            <v>90404</v>
          </cell>
          <cell r="B580" t="str">
            <v>Банк томонидан муомалага чикарилган юридик шахсларнинг корпоратив пластик карталари</v>
          </cell>
          <cell r="C580">
            <v>-5689</v>
          </cell>
        </row>
        <row r="581">
          <cell r="A581">
            <v>90406</v>
          </cell>
          <cell r="B581" t="str">
            <v>Банк томонидан муомалага чикарилган якка тартибдаги тадбиркорларнинг корпоратив пластик карталари</v>
          </cell>
          <cell r="C581">
            <v>-5193</v>
          </cell>
        </row>
        <row r="582">
          <cell r="A582">
            <v>90410</v>
          </cell>
          <cell r="B582" t="str">
            <v>Банк томонидан урнатилган терминаллар</v>
          </cell>
          <cell r="C582">
            <v>-14331</v>
          </cell>
        </row>
        <row r="583">
          <cell r="A583">
            <v>90412</v>
          </cell>
          <cell r="B583" t="str">
            <v>Банк томонидан урнатилган банкоматлар</v>
          </cell>
          <cell r="C583">
            <v>-10</v>
          </cell>
        </row>
        <row r="584">
          <cell r="A584">
            <v>90414</v>
          </cell>
          <cell r="B584" t="str">
            <v>Банк томонидан урнатилган инфокиоскалар</v>
          </cell>
          <cell r="C584">
            <v>-23</v>
          </cell>
        </row>
        <row r="585">
          <cell r="A585">
            <v>90400</v>
          </cell>
          <cell r="B585" t="str">
            <v>ЖАМИ</v>
          </cell>
          <cell r="C585">
            <v>-1187686</v>
          </cell>
        </row>
        <row r="586">
          <cell r="B586" t="str">
            <v>Савдога оид молиялашлар</v>
          </cell>
        </row>
        <row r="587">
          <cell r="A587">
            <v>90908</v>
          </cell>
          <cell r="B587" t="str">
            <v>Туловчи томонидан банкларда очилган копланган аккредитив</v>
          </cell>
          <cell r="C587">
            <v>-146289962</v>
          </cell>
        </row>
        <row r="588">
          <cell r="A588">
            <v>90960</v>
          </cell>
          <cell r="B588" t="str">
            <v>Хабар килинган импорт билан боглик аккредитивлар</v>
          </cell>
          <cell r="C588">
            <v>-469555456.5</v>
          </cell>
        </row>
        <row r="589">
          <cell r="A589">
            <v>90962</v>
          </cell>
          <cell r="B589" t="str">
            <v>Тулов муддатини кутаётган хисоб-китоб хужжатлари</v>
          </cell>
          <cell r="C589">
            <v>-116082457.79000001</v>
          </cell>
        </row>
        <row r="590">
          <cell r="A590">
            <v>90963</v>
          </cell>
          <cell r="B590" t="str">
            <v>Муддатида туланмаган хисоб-китоб хужжатлари</v>
          </cell>
          <cell r="C590">
            <v>-2460863381451.4702</v>
          </cell>
        </row>
        <row r="591">
          <cell r="A591">
            <v>90966</v>
          </cell>
          <cell r="B591" t="str">
            <v>Сотиб олинган дебиторлик карзлари - Факторинг</v>
          </cell>
          <cell r="C591">
            <v>-11851611023.389999</v>
          </cell>
        </row>
        <row r="592">
          <cell r="A592">
            <v>90969</v>
          </cell>
          <cell r="B592" t="str">
            <v>Бартер шартномалари</v>
          </cell>
          <cell r="C592">
            <v>-1352235.38</v>
          </cell>
        </row>
        <row r="593">
          <cell r="A593">
            <v>90993</v>
          </cell>
          <cell r="B593" t="str">
            <v>Кафолат ва кафилликлар</v>
          </cell>
          <cell r="C593">
            <v>-21342713500.630001</v>
          </cell>
        </row>
        <row r="594">
          <cell r="A594">
            <v>90900</v>
          </cell>
          <cell r="B594" t="str">
            <v>ЖАМИ</v>
          </cell>
          <cell r="C594">
            <v>-2494790986087.1602</v>
          </cell>
        </row>
        <row r="595">
          <cell r="B595" t="str">
            <v>Активлар буйича фоизлар ва воситачилик хаклари</v>
          </cell>
        </row>
        <row r="596">
          <cell r="A596">
            <v>91501</v>
          </cell>
          <cell r="B596" t="str">
            <v>Берилган кредитлар ва лизинглар буйича хисобланган фоизлар</v>
          </cell>
          <cell r="C596">
            <v>-9008773764.4799995</v>
          </cell>
        </row>
        <row r="597">
          <cell r="A597">
            <v>91505</v>
          </cell>
          <cell r="B597" t="str">
            <v>Бошка активлар буйча фоизлар ва воситачилик хаклари</v>
          </cell>
          <cell r="C597">
            <v>-195863920.16</v>
          </cell>
        </row>
        <row r="598">
          <cell r="A598">
            <v>91500</v>
          </cell>
          <cell r="B598" t="str">
            <v>ЖАМИ</v>
          </cell>
          <cell r="C598">
            <v>-9204637684.6399994</v>
          </cell>
        </row>
        <row r="599">
          <cell r="B599" t="str">
            <v>Карздорларнинг кредит ва лизинг мажбуриятлари</v>
          </cell>
        </row>
        <row r="600">
          <cell r="A600">
            <v>91901</v>
          </cell>
          <cell r="B600" t="str">
            <v>Карздорларнинг киска муддатли кредитлар буйича мажбуриятлари</v>
          </cell>
          <cell r="C600">
            <v>-73231405210.960007</v>
          </cell>
        </row>
        <row r="601">
          <cell r="A601">
            <v>91905</v>
          </cell>
          <cell r="B601" t="str">
            <v>Карздорларнинг узок муддатли кредитлар ва лизинглар буйича мажбуриятлари</v>
          </cell>
          <cell r="C601">
            <v>-562939635954.34998</v>
          </cell>
        </row>
        <row r="602">
          <cell r="A602">
            <v>91907</v>
          </cell>
          <cell r="B602" t="str">
            <v>Карздорларнинг Хукуматдан олинган узок муддатли кредитлари ва лизинглар буйича мажбуриятлари</v>
          </cell>
          <cell r="C602">
            <v>-1312952764.52</v>
          </cell>
        </row>
        <row r="603">
          <cell r="A603">
            <v>91900</v>
          </cell>
          <cell r="B603" t="str">
            <v>ЖАМИ</v>
          </cell>
          <cell r="C603">
            <v>-637483993929.82996</v>
          </cell>
        </row>
        <row r="604">
          <cell r="B604" t="str">
            <v>Хосилавий инструментлар буйича трансакциялари</v>
          </cell>
        </row>
        <row r="605">
          <cell r="A605">
            <v>92732</v>
          </cell>
          <cell r="B605" t="str">
            <v>Своп шартларида сотиш</v>
          </cell>
          <cell r="C605">
            <v>-11773840000</v>
          </cell>
        </row>
        <row r="606">
          <cell r="A606">
            <v>92736</v>
          </cell>
          <cell r="B606" t="str">
            <v>Своп шартларида сотиб олиш</v>
          </cell>
          <cell r="C606">
            <v>-58869200</v>
          </cell>
        </row>
        <row r="607">
          <cell r="A607">
            <v>92700</v>
          </cell>
          <cell r="B607" t="str">
            <v>ЖАМИ</v>
          </cell>
          <cell r="C607">
            <v>-11832709200</v>
          </cell>
        </row>
        <row r="608">
          <cell r="B608" t="str">
            <v>Сакланаётган кимматли когозлар ва бошка кимматбохо буюмлар</v>
          </cell>
        </row>
        <row r="609">
          <cell r="A609">
            <v>93609</v>
          </cell>
          <cell r="B609" t="str">
            <v>Сакланаётган кимматбахо буюмлар</v>
          </cell>
          <cell r="C609">
            <v>-2318257</v>
          </cell>
        </row>
        <row r="610">
          <cell r="A610">
            <v>93600</v>
          </cell>
          <cell r="B610" t="str">
            <v>ЖАМИ</v>
          </cell>
          <cell r="C610">
            <v>-2318257</v>
          </cell>
        </row>
        <row r="611">
          <cell r="B611" t="str">
            <v>Гаров сифатидаги кимматли когозлар мулклар ва мулкий хукук(талаб)лар</v>
          </cell>
        </row>
        <row r="612">
          <cell r="A612">
            <v>94501</v>
          </cell>
          <cell r="B612" t="str">
            <v>Гаров сифатида олинган кимматли когозлар</v>
          </cell>
          <cell r="C612">
            <v>-39995000</v>
          </cell>
        </row>
        <row r="613">
          <cell r="A613">
            <v>94502</v>
          </cell>
          <cell r="B613" t="str">
            <v>Гаров сифатида олинган мулклар ва мулкий хукук(талаб)лар</v>
          </cell>
          <cell r="C613">
            <v>-674460234740.43005</v>
          </cell>
        </row>
        <row r="614">
          <cell r="A614">
            <v>94503</v>
          </cell>
          <cell r="B614" t="str">
            <v>Гаров сифатида олинган кафолат ва кафилликлар</v>
          </cell>
          <cell r="C614">
            <v>-240775838742.03</v>
          </cell>
        </row>
        <row r="615">
          <cell r="A615">
            <v>94500</v>
          </cell>
          <cell r="B615" t="str">
            <v>ЖАМИ</v>
          </cell>
          <cell r="C615">
            <v>-915276068482.45996</v>
          </cell>
        </row>
        <row r="616">
          <cell r="B616" t="str">
            <v>Бошка кузда тутилмаган холатлар хисобвараклари</v>
          </cell>
        </row>
        <row r="617">
          <cell r="A617">
            <v>95409</v>
          </cell>
          <cell r="B617" t="str">
            <v>Карздорга билдирилган даъволар буйича олинадиган маблаглар</v>
          </cell>
          <cell r="C617">
            <v>-21791691.620000001</v>
          </cell>
        </row>
        <row r="618">
          <cell r="A618">
            <v>95413</v>
          </cell>
          <cell r="B618" t="str">
            <v>Хисобдан чикарилган кредитлар</v>
          </cell>
          <cell r="C618">
            <v>-8657732359.4500008</v>
          </cell>
        </row>
        <row r="619">
          <cell r="A619">
            <v>95497</v>
          </cell>
          <cell r="B619" t="str">
            <v>Бошка кузда тутилмаган холатлар хисобвараклари</v>
          </cell>
          <cell r="C619">
            <v>-14364914814.49</v>
          </cell>
        </row>
        <row r="620">
          <cell r="A620">
            <v>95400</v>
          </cell>
          <cell r="B620" t="str">
            <v>ЖАМИ</v>
          </cell>
          <cell r="C620">
            <v>-23044438865.560001</v>
          </cell>
        </row>
        <row r="621">
          <cell r="B621" t="str">
            <v>Кузда тутилмаган холатлар контр-хисобвараклари</v>
          </cell>
        </row>
        <row r="622">
          <cell r="A622">
            <v>96303</v>
          </cell>
          <cell r="B622" t="str">
            <v>Банкнотлар тангалар ва бошка кимматликлар харакати буйича контр-хисобварак</v>
          </cell>
          <cell r="C622">
            <v>1450</v>
          </cell>
        </row>
        <row r="623">
          <cell r="A623">
            <v>96308</v>
          </cell>
          <cell r="B623" t="str">
            <v>Копланган аккредитив буйича контр-хисобварак</v>
          </cell>
          <cell r="C623">
            <v>146289962</v>
          </cell>
        </row>
        <row r="624">
          <cell r="A624">
            <v>96309</v>
          </cell>
          <cell r="B624" t="str">
            <v>Импорт билан боглик аккредитив буйича контр-хисобварак</v>
          </cell>
          <cell r="C624">
            <v>469555456.5</v>
          </cell>
        </row>
        <row r="625">
          <cell r="A625">
            <v>96311</v>
          </cell>
          <cell r="B625" t="str">
            <v>Банк томонидан муомалага чикарилган пластик карталар буйича контр-хисобварак</v>
          </cell>
          <cell r="C625">
            <v>1173322</v>
          </cell>
        </row>
        <row r="626">
          <cell r="A626">
            <v>96313</v>
          </cell>
          <cell r="B626" t="str">
            <v>Банк томонидан урнатилган терминаллар банкоматлар ва инфокиоскалар буйича контр-хисобварак</v>
          </cell>
          <cell r="C626">
            <v>14364</v>
          </cell>
        </row>
        <row r="627">
          <cell r="A627">
            <v>96314</v>
          </cell>
          <cell r="B627" t="str">
            <v>Банкнинг кимматли когозлари буйича контр-хисобварак</v>
          </cell>
          <cell r="C627">
            <v>5817</v>
          </cell>
        </row>
        <row r="628">
          <cell r="A628">
            <v>96315</v>
          </cell>
          <cell r="B628" t="str">
            <v>Бошка ташкилот ва муассасаларнинг кимматли когозлари бланкалари буйича контр-хисобварак</v>
          </cell>
          <cell r="C628">
            <v>1</v>
          </cell>
        </row>
        <row r="629">
          <cell r="A629">
            <v>96317</v>
          </cell>
          <cell r="B629" t="str">
            <v>Бартер шартномалари буйича контр-хисобварак</v>
          </cell>
          <cell r="C629">
            <v>1352235.38</v>
          </cell>
        </row>
        <row r="630">
          <cell r="A630">
            <v>96319</v>
          </cell>
          <cell r="B630" t="str">
            <v>Тулов муддатини кутаётган хисоб-китоб хужжатлари буйича контр-хисобварак</v>
          </cell>
          <cell r="C630">
            <v>116082457.79000001</v>
          </cell>
        </row>
        <row r="631">
          <cell r="A631">
            <v>96321</v>
          </cell>
          <cell r="B631" t="str">
            <v>Муддатида туланмаган хисоб-китоб хужжатлари буйича контр-хисобварак</v>
          </cell>
          <cell r="C631">
            <v>2460863381501.3501</v>
          </cell>
        </row>
        <row r="632">
          <cell r="A632">
            <v>96331</v>
          </cell>
          <cell r="B632" t="str">
            <v>Сотиб олинган дебиторлик карзлари - Факторинг буйича контр-хисобварак</v>
          </cell>
          <cell r="C632">
            <v>11851611023.389999</v>
          </cell>
        </row>
        <row r="633">
          <cell r="A633">
            <v>96335</v>
          </cell>
          <cell r="B633" t="str">
            <v>Активлар буйича фоизлар ва воситачилик хаклари контр-хисобвараги</v>
          </cell>
          <cell r="C633">
            <v>9204637634.7600002</v>
          </cell>
        </row>
        <row r="634">
          <cell r="A634">
            <v>96337</v>
          </cell>
          <cell r="B634" t="str">
            <v>Кафолат ва кафилликлар буйича контр-хисобварак</v>
          </cell>
          <cell r="C634">
            <v>21342713500.630001</v>
          </cell>
        </row>
        <row r="635">
          <cell r="A635">
            <v>96345</v>
          </cell>
          <cell r="B635" t="str">
            <v>Карздорларнинг киска муддатли кредитлар буйича мажбуриятлари контр-хисобвараги</v>
          </cell>
          <cell r="C635">
            <v>73231405210.960007</v>
          </cell>
        </row>
        <row r="636">
          <cell r="A636">
            <v>96349</v>
          </cell>
          <cell r="B636" t="str">
            <v>Карздорларнинг узок муддатли кредитлар ва лизинглар буйича мажбуриятлари контр-хисобвараги</v>
          </cell>
          <cell r="C636">
            <v>564252588718.87</v>
          </cell>
        </row>
        <row r="637">
          <cell r="A637">
            <v>96371</v>
          </cell>
          <cell r="B637" t="str">
            <v>Своп шартлари билан сотиш контр-хисобвараги</v>
          </cell>
          <cell r="C637">
            <v>11773840000</v>
          </cell>
        </row>
        <row r="638">
          <cell r="A638">
            <v>96373</v>
          </cell>
          <cell r="B638" t="str">
            <v>Своп шартлари билан сотиб олиш контр-хисобвараги</v>
          </cell>
          <cell r="C638">
            <v>58869200</v>
          </cell>
        </row>
        <row r="639">
          <cell r="A639">
            <v>96379</v>
          </cell>
          <cell r="B639" t="str">
            <v>Сакланаётган кимматли когозлар ва бошка кимматбахо буюмлар буйича контр-хисобварак</v>
          </cell>
          <cell r="C639">
            <v>2318257</v>
          </cell>
        </row>
        <row r="640">
          <cell r="A640">
            <v>96381</v>
          </cell>
          <cell r="B640" t="str">
            <v>Гаров сифатидаги кимматли когозлар мулклар ва мулкий хукук(талаб)лар буйича контр-хисобварак</v>
          </cell>
          <cell r="C640">
            <v>915276068482.45996</v>
          </cell>
        </row>
        <row r="641">
          <cell r="A641">
            <v>96397</v>
          </cell>
          <cell r="B641" t="str">
            <v>Бошка кузда тутилмаган холатлар хисобвараклари буйича контр-хисобварак</v>
          </cell>
          <cell r="C641">
            <v>23044438865.560001</v>
          </cell>
        </row>
        <row r="642">
          <cell r="A642">
            <v>96300</v>
          </cell>
          <cell r="B642" t="str">
            <v>ЖАМИ</v>
          </cell>
          <cell r="C642">
            <v>4091636347460.6499</v>
          </cell>
        </row>
        <row r="643">
          <cell r="A643">
            <v>90000</v>
          </cell>
          <cell r="B643" t="str">
            <v>ЖАМИ</v>
          </cell>
          <cell r="C643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>
    <pageSetUpPr fitToPage="1"/>
  </sheetPr>
  <dimension ref="A1:AE75"/>
  <sheetViews>
    <sheetView tabSelected="1" view="pageBreakPreview" zoomScale="85" zoomScaleNormal="70" zoomScaleSheetLayoutView="85" workbookViewId="0">
      <selection activeCell="C36" sqref="C36"/>
    </sheetView>
  </sheetViews>
  <sheetFormatPr defaultRowHeight="15" customHeight="1"/>
  <cols>
    <col min="1" max="1" width="79.140625" style="1" customWidth="1"/>
    <col min="2" max="2" width="27.140625" style="1" customWidth="1"/>
    <col min="3" max="3" width="29.5703125" style="1" customWidth="1"/>
    <col min="4" max="4" width="6" style="1" customWidth="1"/>
    <col min="5" max="5" width="6.140625" style="1" customWidth="1"/>
    <col min="6" max="6" width="6.42578125" style="1" customWidth="1"/>
    <col min="7" max="21" width="6.140625" style="1" customWidth="1"/>
    <col min="22" max="16384" width="9.140625" style="1"/>
  </cols>
  <sheetData>
    <row r="1" spans="1:22" ht="57.75" customHeight="1">
      <c r="B1" s="704" t="s">
        <v>527</v>
      </c>
      <c r="C1" s="705"/>
    </row>
    <row r="2" spans="1:22" ht="15" customHeight="1">
      <c r="A2" s="2" t="s">
        <v>528</v>
      </c>
      <c r="B2" s="706" t="s">
        <v>529</v>
      </c>
      <c r="C2" s="706"/>
    </row>
    <row r="3" spans="1:22" ht="15" customHeight="1">
      <c r="A3" s="464" t="str">
        <f>IF(B4&gt;0," "&amp;TEXT(B4,"д ММММ, гггг"),"Число,Месяц,Год")</f>
        <v xml:space="preserve"> 31 Декабрь, 2017</v>
      </c>
      <c r="B3" s="3" t="s">
        <v>876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22" ht="15" customHeight="1">
      <c r="A4" s="474">
        <f>IF(B4&gt;0,B4,"Число,Месяц,Год")</f>
        <v>43100</v>
      </c>
      <c r="B4" s="6">
        <v>43100</v>
      </c>
      <c r="C4" s="4"/>
      <c r="D4" s="5"/>
      <c r="E4" s="35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22" ht="15" customHeight="1">
      <c r="A5" s="7" t="s">
        <v>530</v>
      </c>
      <c r="B5" s="707" t="s">
        <v>531</v>
      </c>
      <c r="C5" s="70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4"/>
      <c r="T5" s="4"/>
      <c r="U5" s="4"/>
      <c r="V5" s="4"/>
    </row>
    <row r="6" spans="1:22" ht="15" customHeight="1">
      <c r="A6" s="10"/>
      <c r="B6" s="11"/>
      <c r="C6" s="12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4"/>
      <c r="T6" s="4"/>
      <c r="U6" s="4"/>
      <c r="V6" s="4"/>
    </row>
    <row r="7" spans="1:22" ht="15" customHeight="1">
      <c r="A7" s="13" t="s">
        <v>532</v>
      </c>
      <c r="B7" s="313"/>
      <c r="C7" s="294">
        <f>'Bank Assets Analysis'!H9</f>
        <v>76954182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4"/>
      <c r="T7" s="4"/>
      <c r="U7" s="4"/>
      <c r="V7" s="4"/>
    </row>
    <row r="8" spans="1:22" ht="15" customHeight="1">
      <c r="A8" s="13" t="s">
        <v>533</v>
      </c>
      <c r="B8" s="313"/>
      <c r="C8" s="471">
        <f>'Bank Assets Analysis'!H10+'Bank Assets Analysis'!H11</f>
        <v>213192148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4"/>
      <c r="T8" s="4"/>
      <c r="U8" s="4"/>
      <c r="V8" s="4"/>
    </row>
    <row r="9" spans="1:22" ht="15" customHeight="1">
      <c r="A9" s="13" t="s">
        <v>534</v>
      </c>
      <c r="B9" s="313"/>
      <c r="C9" s="294">
        <f>'Bank Assets Analysis'!H12</f>
        <v>78542844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4"/>
      <c r="T9" s="4"/>
      <c r="U9" s="4"/>
      <c r="V9" s="4"/>
    </row>
    <row r="10" spans="1:22" ht="15" customHeight="1">
      <c r="A10" s="13" t="s">
        <v>535</v>
      </c>
      <c r="B10" s="313"/>
      <c r="C10" s="314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4"/>
      <c r="T10" s="4"/>
      <c r="U10" s="4"/>
      <c r="V10" s="4"/>
    </row>
    <row r="11" spans="1:22" ht="15" customHeight="1">
      <c r="A11" s="13" t="s">
        <v>536</v>
      </c>
      <c r="B11" s="294">
        <f>'Investment Securities'!B26</f>
        <v>349524</v>
      </c>
      <c r="C11" s="314"/>
      <c r="D11" s="9"/>
      <c r="E11" s="9"/>
      <c r="F11" s="14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4"/>
      <c r="T11" s="4"/>
      <c r="U11" s="4"/>
      <c r="V11" s="4"/>
    </row>
    <row r="12" spans="1:22" ht="15" customHeight="1">
      <c r="A12" s="13" t="s">
        <v>537</v>
      </c>
      <c r="B12" s="294">
        <f>'Investment Securities'!B37</f>
        <v>175</v>
      </c>
      <c r="C12" s="314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4"/>
      <c r="T12" s="4"/>
      <c r="U12" s="4"/>
      <c r="V12" s="4"/>
    </row>
    <row r="13" spans="1:22" ht="15" customHeight="1">
      <c r="A13" s="13" t="s">
        <v>538</v>
      </c>
      <c r="B13" s="294">
        <f>'Investment Securities'!B27+'Investment Securities'!B38</f>
        <v>0</v>
      </c>
      <c r="C13" s="314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4"/>
      <c r="T13" s="4"/>
      <c r="U13" s="4"/>
      <c r="V13" s="4"/>
    </row>
    <row r="14" spans="1:22" ht="15" customHeight="1">
      <c r="A14" s="13" t="s">
        <v>539</v>
      </c>
      <c r="B14" s="313"/>
      <c r="C14" s="294">
        <f>'Bank Assets Analysis'!H16</f>
        <v>349699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4"/>
      <c r="T14" s="4"/>
      <c r="U14" s="4"/>
      <c r="V14" s="4"/>
    </row>
    <row r="15" spans="1:22" ht="15" customHeight="1">
      <c r="A15" s="13" t="s">
        <v>540</v>
      </c>
      <c r="B15" s="315">
        <f>'Investment Securities'!B13</f>
        <v>2750000</v>
      </c>
      <c r="C15" s="314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4"/>
      <c r="T15" s="4"/>
      <c r="U15" s="4"/>
      <c r="V15" s="4"/>
    </row>
    <row r="16" spans="1:22" ht="15" customHeight="1">
      <c r="A16" s="13" t="s">
        <v>541</v>
      </c>
      <c r="B16" s="315">
        <f>'Investment Securities'!B14</f>
        <v>1</v>
      </c>
      <c r="C16" s="314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4"/>
      <c r="T16" s="4"/>
      <c r="U16" s="4"/>
      <c r="V16" s="4"/>
    </row>
    <row r="17" spans="1:22" ht="15" customHeight="1">
      <c r="A17" s="13" t="s">
        <v>542</v>
      </c>
      <c r="B17" s="313"/>
      <c r="C17" s="294">
        <f>'Bank Assets Analysis'!H28</f>
        <v>2749999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4"/>
      <c r="T17" s="4"/>
      <c r="U17" s="4"/>
      <c r="V17" s="4"/>
    </row>
    <row r="18" spans="1:22" ht="15" customHeight="1">
      <c r="A18" s="15" t="s">
        <v>543</v>
      </c>
      <c r="B18" s="313"/>
      <c r="C18" s="294">
        <f>'Bank Assets Analysis'!H29</f>
        <v>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4"/>
      <c r="T18" s="4"/>
      <c r="U18" s="4"/>
      <c r="V18" s="4"/>
    </row>
    <row r="19" spans="1:22" ht="15" customHeight="1">
      <c r="A19" s="13" t="s">
        <v>544</v>
      </c>
      <c r="B19" s="313"/>
      <c r="C19" s="314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4"/>
      <c r="T19" s="4"/>
      <c r="U19" s="4"/>
      <c r="V19" s="4"/>
    </row>
    <row r="20" spans="1:22" ht="15" customHeight="1">
      <c r="A20" s="13" t="s">
        <v>545</v>
      </c>
      <c r="B20" s="316">
        <v>1280369363</v>
      </c>
      <c r="C20" s="314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4"/>
      <c r="T20" s="4"/>
      <c r="U20" s="4"/>
      <c r="V20" s="4"/>
    </row>
    <row r="21" spans="1:22" ht="15" customHeight="1">
      <c r="A21" s="13" t="s">
        <v>546</v>
      </c>
      <c r="B21" s="316">
        <v>5753150</v>
      </c>
      <c r="C21" s="314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4"/>
      <c r="T21" s="4"/>
      <c r="U21" s="4"/>
      <c r="V21" s="4"/>
    </row>
    <row r="22" spans="1:22" ht="12.75">
      <c r="A22" s="15" t="s">
        <v>547</v>
      </c>
      <c r="B22" s="345">
        <f>'Charge-offs and Recoveries'!C26</f>
        <v>33716097</v>
      </c>
      <c r="C22" s="314"/>
      <c r="D22" s="9"/>
      <c r="E22" s="347">
        <f>+'Loan Classification'!N14</f>
        <v>33716097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4"/>
      <c r="T22" s="4"/>
      <c r="U22" s="4"/>
      <c r="V22" s="4"/>
    </row>
    <row r="23" spans="1:22" ht="15" customHeight="1">
      <c r="A23" s="13" t="s">
        <v>548</v>
      </c>
      <c r="B23" s="313"/>
      <c r="C23" s="472">
        <f>('Bank Assets Analysis'!H25+'Bank Assets Analysis'!H26+'Bank Assets Analysis'!H27)</f>
        <v>1252406416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4"/>
      <c r="T23" s="4"/>
      <c r="U23" s="4"/>
      <c r="V23" s="4"/>
    </row>
    <row r="24" spans="1:22" ht="15" customHeight="1">
      <c r="A24" s="13" t="s">
        <v>549</v>
      </c>
      <c r="B24" s="317"/>
      <c r="C24" s="314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4"/>
      <c r="T24" s="4"/>
      <c r="U24" s="4"/>
      <c r="V24" s="4"/>
    </row>
    <row r="25" spans="1:22" ht="15" customHeight="1">
      <c r="A25" s="13" t="s">
        <v>550</v>
      </c>
      <c r="B25" s="317"/>
      <c r="C25" s="314"/>
      <c r="D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4"/>
      <c r="T25" s="4"/>
      <c r="U25" s="4"/>
      <c r="V25" s="4"/>
    </row>
    <row r="26" spans="1:22" ht="15" customHeight="1">
      <c r="A26" s="13" t="s">
        <v>551</v>
      </c>
      <c r="B26" s="313"/>
      <c r="C26" s="472">
        <f>'Bank Assets Analysis'!H21</f>
        <v>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4"/>
      <c r="T26" s="4"/>
      <c r="U26" s="4"/>
      <c r="V26" s="4"/>
    </row>
    <row r="27" spans="1:22" ht="15" customHeight="1">
      <c r="A27" s="13" t="s">
        <v>552</v>
      </c>
      <c r="B27" s="313"/>
      <c r="C27" s="294">
        <f>'Bank Assets Analysis'!H22</f>
        <v>0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4"/>
      <c r="T27" s="4"/>
      <c r="U27" s="4"/>
      <c r="V27" s="4"/>
    </row>
    <row r="28" spans="1:22" ht="15" customHeight="1">
      <c r="A28" s="13" t="s">
        <v>553</v>
      </c>
      <c r="B28" s="313"/>
      <c r="C28" s="294">
        <f>'Bank Assets Analysis'!H32</f>
        <v>100870267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4"/>
      <c r="T28" s="4"/>
      <c r="U28" s="4"/>
      <c r="V28" s="4"/>
    </row>
    <row r="29" spans="1:22" ht="15" customHeight="1">
      <c r="A29" s="13" t="s">
        <v>554</v>
      </c>
      <c r="B29" s="313"/>
      <c r="C29" s="320">
        <f>'Bank Assets Analysis'!H37</f>
        <v>7348132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4"/>
      <c r="T29" s="4"/>
      <c r="U29" s="4"/>
      <c r="V29" s="4"/>
    </row>
    <row r="30" spans="1:22" ht="15" customHeight="1">
      <c r="A30" s="13" t="s">
        <v>555</v>
      </c>
      <c r="B30" s="313"/>
      <c r="C30" s="31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4"/>
      <c r="T30" s="4"/>
      <c r="U30" s="4"/>
      <c r="V30" s="4"/>
    </row>
    <row r="31" spans="1:22" ht="15" customHeight="1">
      <c r="A31" s="13" t="s">
        <v>556</v>
      </c>
      <c r="B31" s="295"/>
      <c r="C31" s="314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4"/>
      <c r="T31" s="4"/>
      <c r="U31" s="4"/>
      <c r="V31" s="4"/>
    </row>
    <row r="32" spans="1:22" ht="15" customHeight="1">
      <c r="A32" s="13" t="s">
        <v>557</v>
      </c>
      <c r="B32" s="295">
        <v>3341276</v>
      </c>
      <c r="C32" s="314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4"/>
      <c r="T32" s="4"/>
      <c r="U32" s="4"/>
      <c r="V32" s="4"/>
    </row>
    <row r="33" spans="1:22" ht="18" customHeight="1">
      <c r="A33" s="17" t="s">
        <v>558</v>
      </c>
      <c r="B33" s="295">
        <v>1728161</v>
      </c>
      <c r="C33" s="314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4"/>
      <c r="T33" s="4"/>
      <c r="U33" s="4"/>
      <c r="V33" s="4"/>
    </row>
    <row r="34" spans="1:22" ht="15" customHeight="1">
      <c r="A34" s="17" t="s">
        <v>559</v>
      </c>
      <c r="B34" s="313"/>
      <c r="C34" s="294">
        <f>'Bank Assets Analysis'!H33</f>
        <v>1613115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4"/>
      <c r="T34" s="4"/>
      <c r="U34" s="4"/>
      <c r="V34" s="4"/>
    </row>
    <row r="35" spans="1:22" ht="15" customHeight="1">
      <c r="A35" s="13" t="s">
        <v>560</v>
      </c>
      <c r="B35" s="318"/>
      <c r="C35" s="473">
        <v>8966247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4"/>
      <c r="T35" s="4"/>
      <c r="U35" s="4"/>
      <c r="V35" s="4"/>
    </row>
    <row r="36" spans="1:22" ht="15" customHeight="1">
      <c r="A36" s="18" t="s">
        <v>561</v>
      </c>
      <c r="B36" s="318"/>
      <c r="C36" s="326">
        <f>C7+C8+C9+C14+C17+C18+C23+C26+C27+C28+C29+C34+C35</f>
        <v>1742993049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4"/>
      <c r="T36" s="4"/>
      <c r="U36" s="4"/>
      <c r="V36" s="4"/>
    </row>
    <row r="37" spans="1:22" ht="15" customHeight="1">
      <c r="A37" s="13"/>
      <c r="B37" s="319"/>
      <c r="C37" s="320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4"/>
      <c r="T37" s="4"/>
      <c r="U37" s="4"/>
      <c r="V37" s="4"/>
    </row>
    <row r="38" spans="1:22" ht="15" customHeight="1">
      <c r="A38" s="10" t="s">
        <v>562</v>
      </c>
      <c r="B38" s="321"/>
      <c r="C38" s="320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4"/>
      <c r="T38" s="4"/>
      <c r="U38" s="4"/>
      <c r="V38" s="4"/>
    </row>
    <row r="39" spans="1:22" ht="15" customHeight="1">
      <c r="A39" s="10"/>
      <c r="B39" s="321"/>
      <c r="C39" s="320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4"/>
      <c r="T39" s="4"/>
      <c r="U39" s="4"/>
      <c r="V39" s="4"/>
    </row>
    <row r="40" spans="1:22" ht="15" customHeight="1">
      <c r="A40" s="18" t="s">
        <v>563</v>
      </c>
      <c r="B40" s="319"/>
      <c r="C40" s="320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4"/>
      <c r="T40" s="4"/>
      <c r="U40" s="4"/>
      <c r="V40" s="4"/>
    </row>
    <row r="41" spans="1:22" ht="15" customHeight="1">
      <c r="A41" s="13" t="s">
        <v>564</v>
      </c>
      <c r="B41" s="313"/>
      <c r="C41" s="315">
        <f>'Deposits by Client'!B12</f>
        <v>357875870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4"/>
      <c r="T41" s="4"/>
      <c r="U41" s="4"/>
      <c r="V41" s="4"/>
    </row>
    <row r="42" spans="1:22" ht="15" customHeight="1">
      <c r="A42" s="13" t="s">
        <v>565</v>
      </c>
      <c r="B42" s="313"/>
      <c r="C42" s="315">
        <f>'Deposits by Client'!B21</f>
        <v>21367374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4"/>
      <c r="T42" s="4"/>
      <c r="U42" s="4"/>
      <c r="V42" s="4"/>
    </row>
    <row r="43" spans="1:22" ht="15" customHeight="1">
      <c r="A43" s="13" t="s">
        <v>566</v>
      </c>
      <c r="B43" s="313"/>
      <c r="C43" s="315">
        <f>'Deposits by Client'!B30</f>
        <v>642761240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4"/>
      <c r="T43" s="4"/>
      <c r="U43" s="4"/>
      <c r="V43" s="4"/>
    </row>
    <row r="44" spans="1:22" ht="15" customHeight="1">
      <c r="A44" s="13" t="s">
        <v>567</v>
      </c>
      <c r="B44" s="313"/>
      <c r="C44" s="294">
        <f>'Bank Liabilities Analysis'!H19</f>
        <v>0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4"/>
      <c r="T44" s="4"/>
      <c r="U44" s="4"/>
      <c r="V44" s="4"/>
    </row>
    <row r="45" spans="1:22" ht="15" customHeight="1">
      <c r="A45" s="13" t="s">
        <v>568</v>
      </c>
      <c r="B45" s="313"/>
      <c r="C45" s="294">
        <f>'Bank Liabilities Analysis'!H20</f>
        <v>12150000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4"/>
      <c r="T45" s="4"/>
      <c r="U45" s="4"/>
      <c r="V45" s="4"/>
    </row>
    <row r="46" spans="1:22" ht="15" customHeight="1">
      <c r="A46" s="15" t="s">
        <v>569</v>
      </c>
      <c r="B46" s="313"/>
      <c r="C46" s="294">
        <f>'Bank Liabilities Analysis'!H24</f>
        <v>0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4"/>
      <c r="T46" s="4"/>
      <c r="U46" s="4"/>
      <c r="V46" s="4"/>
    </row>
    <row r="47" spans="1:22" ht="12.75">
      <c r="A47" s="13" t="s">
        <v>570</v>
      </c>
      <c r="B47" s="313"/>
      <c r="C47" s="699">
        <v>141068948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4"/>
      <c r="T47" s="4"/>
      <c r="U47" s="4"/>
      <c r="V47" s="4"/>
    </row>
    <row r="48" spans="1:22" ht="12.75">
      <c r="A48" s="19" t="s">
        <v>571</v>
      </c>
      <c r="B48" s="313"/>
      <c r="C48" s="295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4"/>
      <c r="T48" s="4"/>
      <c r="U48" s="4"/>
      <c r="V48" s="4"/>
    </row>
    <row r="49" spans="1:22" ht="12.75">
      <c r="A49" s="13" t="s">
        <v>572</v>
      </c>
      <c r="B49" s="313"/>
      <c r="C49" s="320">
        <f>'Bank Liabilities Analysis'!H30</f>
        <v>2367927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4"/>
      <c r="T49" s="4"/>
      <c r="U49" s="4"/>
      <c r="V49" s="4"/>
    </row>
    <row r="50" spans="1:22" ht="12.75">
      <c r="A50" s="13" t="s">
        <v>573</v>
      </c>
      <c r="B50" s="313"/>
      <c r="C50" s="320">
        <f>+'Bank Liabilities Analysis'!H21+'Bank Liabilities Analysis'!H22+'Bank Liabilities Analysis'!H28+'Bank Liabilities Analysis'!H29+'Bank Liabilities Analysis'!H31+'Bank Liabilities Analysis'!H32</f>
        <v>19626824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4"/>
      <c r="T50" s="4"/>
      <c r="U50" s="4"/>
      <c r="V50" s="4"/>
    </row>
    <row r="51" spans="1:22" ht="12.75">
      <c r="A51" s="18" t="s">
        <v>574</v>
      </c>
      <c r="B51" s="313"/>
      <c r="C51" s="315">
        <f>SUM(C41:C50)</f>
        <v>1197218183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4"/>
      <c r="T51" s="4"/>
      <c r="U51" s="4"/>
      <c r="V51" s="4"/>
    </row>
    <row r="52" spans="1:22" ht="15" customHeight="1">
      <c r="A52" s="13"/>
      <c r="B52" s="322"/>
      <c r="C52" s="323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4"/>
      <c r="T52" s="4"/>
      <c r="U52" s="4"/>
      <c r="V52" s="4"/>
    </row>
    <row r="53" spans="1:22" ht="15" customHeight="1">
      <c r="A53" s="18" t="s">
        <v>575</v>
      </c>
      <c r="B53" s="319"/>
      <c r="C53" s="320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4"/>
      <c r="T53" s="4"/>
      <c r="U53" s="4"/>
      <c r="V53" s="4"/>
    </row>
    <row r="54" spans="1:22" ht="15" customHeight="1">
      <c r="A54" s="13" t="s">
        <v>576</v>
      </c>
      <c r="B54" s="319"/>
      <c r="C54" s="320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4"/>
      <c r="T54" s="4"/>
      <c r="U54" s="4"/>
      <c r="V54" s="4"/>
    </row>
    <row r="55" spans="1:22" ht="15" customHeight="1">
      <c r="A55" s="13" t="s">
        <v>577</v>
      </c>
      <c r="B55" s="313"/>
      <c r="C55" s="472">
        <f>+'Bank Capital Calc.'!E12</f>
        <v>592608108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4"/>
      <c r="T55" s="4"/>
      <c r="U55" s="4"/>
      <c r="V55" s="4"/>
    </row>
    <row r="56" spans="1:22" ht="15" customHeight="1">
      <c r="A56" s="13" t="s">
        <v>578</v>
      </c>
      <c r="B56" s="313"/>
      <c r="C56" s="472">
        <f>+'Bank Capital Calc.'!E16</f>
        <v>144180</v>
      </c>
      <c r="D56" s="9"/>
      <c r="E56" s="293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4"/>
      <c r="T56" s="4"/>
      <c r="U56" s="4"/>
      <c r="V56" s="4"/>
    </row>
    <row r="57" spans="1:22" ht="15" customHeight="1">
      <c r="A57" s="20" t="s">
        <v>579</v>
      </c>
      <c r="B57" s="313"/>
      <c r="C57" s="472">
        <f>+'Bank Capital Calc.'!E17</f>
        <v>0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4"/>
      <c r="T57" s="4"/>
      <c r="U57" s="4"/>
      <c r="V57" s="4"/>
    </row>
    <row r="58" spans="1:22" ht="15" customHeight="1">
      <c r="A58" s="20" t="s">
        <v>580</v>
      </c>
      <c r="B58" s="313"/>
      <c r="C58" s="313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4"/>
      <c r="T58" s="4"/>
      <c r="U58" s="4"/>
      <c r="V58" s="4"/>
    </row>
    <row r="59" spans="1:22" ht="15" customHeight="1">
      <c r="A59" s="20" t="s">
        <v>581</v>
      </c>
      <c r="B59" s="313"/>
      <c r="C59" s="295">
        <v>27245577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4"/>
      <c r="T59" s="4"/>
      <c r="U59" s="4"/>
      <c r="V59" s="4"/>
    </row>
    <row r="60" spans="1:22" ht="15" customHeight="1">
      <c r="A60" s="56" t="s">
        <v>870</v>
      </c>
      <c r="B60" s="313"/>
      <c r="C60" s="472">
        <f>+'Loan Classification'!E16</f>
        <v>0</v>
      </c>
      <c r="D60" s="9"/>
      <c r="E60" s="347">
        <f>+'Loan Classification'!E14</f>
        <v>0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4"/>
      <c r="T60" s="4"/>
      <c r="U60" s="4"/>
      <c r="V60" s="4"/>
    </row>
    <row r="61" spans="1:22" ht="15" customHeight="1">
      <c r="A61" s="20" t="s">
        <v>582</v>
      </c>
      <c r="B61" s="313"/>
      <c r="C61" s="295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4"/>
      <c r="T61" s="4"/>
      <c r="U61" s="4"/>
      <c r="V61" s="4"/>
    </row>
    <row r="62" spans="1:22" ht="15" customHeight="1">
      <c r="A62" s="20" t="s">
        <v>583</v>
      </c>
      <c r="B62" s="313"/>
      <c r="C62" s="295">
        <v>1152899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4"/>
      <c r="T62" s="4"/>
      <c r="U62" s="4"/>
      <c r="V62" s="4"/>
    </row>
    <row r="63" spans="1:22" ht="15" customHeight="1">
      <c r="A63" s="20" t="s">
        <v>584</v>
      </c>
      <c r="B63" s="313"/>
      <c r="C63" s="324">
        <v>-75375898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4"/>
      <c r="T63" s="4"/>
      <c r="U63" s="4"/>
      <c r="V63" s="4"/>
    </row>
    <row r="64" spans="1:22" ht="15" customHeight="1">
      <c r="A64" s="18" t="s">
        <v>585</v>
      </c>
      <c r="B64" s="313"/>
      <c r="C64" s="294">
        <f>SUM(C55:C63)-C60</f>
        <v>545774866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4"/>
      <c r="T64" s="4"/>
      <c r="U64" s="4"/>
      <c r="V64" s="4"/>
    </row>
    <row r="65" spans="1:31" ht="15" customHeight="1">
      <c r="A65" s="21" t="s">
        <v>586</v>
      </c>
      <c r="B65" s="325"/>
      <c r="C65" s="326">
        <f>+C51+C64</f>
        <v>1742993049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4"/>
      <c r="T65" s="4"/>
      <c r="U65" s="4"/>
      <c r="V65" s="4"/>
    </row>
    <row r="66" spans="1:31" ht="15" customHeight="1">
      <c r="A66" s="4"/>
      <c r="B66" s="4"/>
      <c r="C66" s="4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5" customHeight="1">
      <c r="A67" s="22" t="s">
        <v>587</v>
      </c>
      <c r="B67" s="4"/>
      <c r="C67" s="4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5" customHeight="1">
      <c r="A68" s="22"/>
      <c r="B68" s="4"/>
      <c r="C68" s="4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5" customHeight="1">
      <c r="A69" s="22" t="s">
        <v>588</v>
      </c>
      <c r="B69" s="4"/>
      <c r="C69" s="4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5" customHeight="1">
      <c r="A70" s="4"/>
      <c r="B70" s="4"/>
      <c r="C70" s="4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5" customHeight="1">
      <c r="A71" s="4"/>
      <c r="B71" s="4"/>
      <c r="C71" s="4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5" customHeight="1">
      <c r="A72" s="4"/>
      <c r="B72" s="4"/>
      <c r="C72" s="4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5" customHeight="1">
      <c r="A73" s="4"/>
      <c r="B73" s="4"/>
      <c r="C73" s="4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5" customHeight="1">
      <c r="A74" s="4"/>
      <c r="B74" s="4"/>
      <c r="C74" s="4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5" customHeight="1">
      <c r="A75" s="4"/>
      <c r="B75" s="4"/>
      <c r="C75" s="4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</sheetData>
  <sheetProtection password="CA0C" sheet="1" objects="1" scenarios="1"/>
  <mergeCells count="3">
    <mergeCell ref="B1:C1"/>
    <mergeCell ref="B2:C2"/>
    <mergeCell ref="B5:C5"/>
  </mergeCells>
  <phoneticPr fontId="30" type="noConversion"/>
  <conditionalFormatting sqref="C23 C26:C27 C34">
    <cfRule type="cellIs" dxfId="117" priority="10" stopIfTrue="1" operator="notEqual">
      <formula>B20+B21-B22</formula>
    </cfRule>
  </conditionalFormatting>
  <conditionalFormatting sqref="C65">
    <cfRule type="cellIs" dxfId="116" priority="12" stopIfTrue="1" operator="notEqual">
      <formula>$C$36</formula>
    </cfRule>
  </conditionalFormatting>
  <conditionalFormatting sqref="C64">
    <cfRule type="cellIs" dxfId="115" priority="11" stopIfTrue="1" operator="notEqual">
      <formula>TOTEQT</formula>
    </cfRule>
  </conditionalFormatting>
  <conditionalFormatting sqref="C51">
    <cfRule type="cellIs" dxfId="114" priority="13" stopIfTrue="1" operator="notEqual">
      <formula>TOTLIAB</formula>
    </cfRule>
  </conditionalFormatting>
  <conditionalFormatting sqref="C26 C17">
    <cfRule type="cellIs" dxfId="113" priority="9" stopIfTrue="1" operator="notEqual">
      <formula>(B15-B16)</formula>
    </cfRule>
  </conditionalFormatting>
  <conditionalFormatting sqref="C23">
    <cfRule type="cellIs" dxfId="112" priority="8" stopIfTrue="1" operator="notEqual">
      <formula>B20+B21-B22</formula>
    </cfRule>
  </conditionalFormatting>
  <conditionalFormatting sqref="C34">
    <cfRule type="cellIs" dxfId="111" priority="7" stopIfTrue="1" operator="notEqual">
      <formula>B31+B32-B33</formula>
    </cfRule>
  </conditionalFormatting>
  <conditionalFormatting sqref="C14">
    <cfRule type="cellIs" dxfId="110" priority="6" stopIfTrue="1" operator="notEqual">
      <formula>(B11+B12-B13)</formula>
    </cfRule>
  </conditionalFormatting>
  <conditionalFormatting sqref="C60">
    <cfRule type="cellIs" dxfId="109" priority="2" operator="notEqual">
      <formula>$E$60</formula>
    </cfRule>
  </conditionalFormatting>
  <conditionalFormatting sqref="B22">
    <cfRule type="cellIs" dxfId="108" priority="1" operator="notEqual">
      <formula>$E$22</formula>
    </cfRule>
  </conditionalFormatting>
  <dataValidations count="9">
    <dataValidation allowBlank="1" showInputMessage="1" showErrorMessage="1" prompt="Ячейка окрасится в случае, если значение не равно:_x000a__x000a_а) Итого активов (таблица &quot;Анализ активов банка&quot;)_x000a__x000a_б) Общей сумме балансовых активов (таблица &quot;Расчёт активов с учётом риска&quot; )" sqref="B36"/>
    <dataValidation type="whole" operator="notEqual" allowBlank="1" showErrorMessage="1" error="Что, не получается?_x000a__x000a_Выше нос друзья!_x000a__x000a_Введите целое число." sqref="C59:C62 C47:C50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C51"/>
    <dataValidation allowBlank="1" showInputMessage="1" showErrorMessage="1" prompt="Если значение ячейки не равно &quot;В24 - В25&quot;, ячейка окрасится" sqref="C26"/>
    <dataValidation allowBlank="1" showInputMessage="1" showErrorMessage="1" prompt="Если значение ячейки не равно &quot;В20+В21 - В22&quot;, ячейка окрасится" sqref="C23"/>
    <dataValidation allowBlank="1" showInputMessage="1" showErrorMessage="1" prompt="Если значение ячейки не равно &quot;В15 - В16&quot;, ячейка окрасится" sqref="C17"/>
    <dataValidation type="date" operator="greaterThan" allowBlank="1" showInputMessage="1" showErrorMessage="1" prompt="Введите дату в формате ЧЧ.ММ.ГГГГ" sqref="B4">
      <formula1>DATE(96,1,1)</formula1>
    </dataValidation>
    <dataValidation allowBlank="1" showInputMessage="1" showErrorMessage="1" prompt="Значение должно равняться Итого активов (Ячейка С36)" sqref="C65"/>
    <dataValidation allowBlank="1" showInputMessage="1" showErrorMessage="1" prompt="Значение должно равняться Итого капитала из таблицы &quot;Изменения в акционерном капитале&quot;" sqref="C64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74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A1:R82"/>
  <sheetViews>
    <sheetView view="pageBreakPreview" zoomScaleNormal="70" zoomScaleSheetLayoutView="100" workbookViewId="0">
      <selection activeCell="B41" sqref="B41"/>
    </sheetView>
  </sheetViews>
  <sheetFormatPr defaultRowHeight="15" customHeight="1"/>
  <cols>
    <col min="1" max="1" width="102" style="4" customWidth="1"/>
    <col min="2" max="2" width="41.140625" style="4" customWidth="1"/>
    <col min="3" max="7" width="7.42578125" style="4" customWidth="1"/>
    <col min="8" max="16384" width="9.140625" style="4"/>
  </cols>
  <sheetData>
    <row r="1" spans="1:18" ht="72" customHeight="1">
      <c r="B1" s="23" t="s">
        <v>527</v>
      </c>
    </row>
    <row r="2" spans="1:18" ht="15" customHeight="1">
      <c r="A2" s="2" t="s">
        <v>589</v>
      </c>
      <c r="B2" s="24" t="s">
        <v>590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5" customHeight="1">
      <c r="A3" s="475">
        <f>+Balance!A4</f>
        <v>43100</v>
      </c>
      <c r="B3" s="25" t="str">
        <f>Balance!B3</f>
        <v>АКБ "Микрокредитбанк"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5" customHeight="1">
      <c r="A4" s="26" t="s">
        <v>591</v>
      </c>
      <c r="B4" s="8" t="s">
        <v>592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15" customHeight="1">
      <c r="A5" s="18" t="s">
        <v>593</v>
      </c>
      <c r="B5" s="27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5" customHeight="1">
      <c r="A6" s="13" t="s">
        <v>594</v>
      </c>
      <c r="B6" s="703">
        <v>62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15" customHeight="1">
      <c r="A7" s="13" t="s">
        <v>595</v>
      </c>
      <c r="B7" s="703">
        <v>58525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15" customHeight="1">
      <c r="A8" s="13" t="s">
        <v>596</v>
      </c>
      <c r="B8" s="703">
        <v>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15" customHeight="1">
      <c r="A9" s="15" t="s">
        <v>597</v>
      </c>
      <c r="B9" s="703">
        <v>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ht="15" customHeight="1">
      <c r="A10" s="13" t="s">
        <v>598</v>
      </c>
      <c r="B10" s="703">
        <v>222750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ht="15" customHeight="1">
      <c r="A11" s="28" t="s">
        <v>599</v>
      </c>
      <c r="B11" s="703">
        <v>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15" customHeight="1">
      <c r="A12" s="28" t="s">
        <v>600</v>
      </c>
      <c r="B12" s="703">
        <v>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ht="15" customHeight="1">
      <c r="A13" s="20" t="s">
        <v>601</v>
      </c>
      <c r="B13" s="703">
        <v>142882099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ht="15" customHeight="1">
      <c r="A14" s="29" t="s">
        <v>602</v>
      </c>
      <c r="B14" s="703">
        <v>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ht="15" customHeight="1">
      <c r="A15" s="30" t="s">
        <v>603</v>
      </c>
      <c r="B15" s="703">
        <v>79738030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ht="15" customHeight="1">
      <c r="A16" s="31" t="s">
        <v>604</v>
      </c>
      <c r="B16" s="32">
        <f>SUM(B6:B15)</f>
        <v>222901466</v>
      </c>
      <c r="C16" s="9"/>
      <c r="D16" s="347">
        <f>+'Analysis of Interest'!B42</f>
        <v>222901466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15" customHeight="1">
      <c r="A17" s="18"/>
      <c r="B17" s="33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15" customHeight="1">
      <c r="A18" s="18" t="s">
        <v>605</v>
      </c>
      <c r="B18" s="3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ht="15" customHeight="1">
      <c r="A19" s="13" t="s">
        <v>606</v>
      </c>
      <c r="B19" s="703">
        <v>374026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ht="15" customHeight="1">
      <c r="A20" s="13" t="s">
        <v>607</v>
      </c>
      <c r="B20" s="703">
        <v>9509331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ht="15" customHeight="1">
      <c r="A21" s="13" t="s">
        <v>608</v>
      </c>
      <c r="B21" s="703">
        <v>58283006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ht="15" customHeight="1">
      <c r="A22" s="13" t="s">
        <v>609</v>
      </c>
      <c r="B22" s="703">
        <v>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ht="15" customHeight="1">
      <c r="A23" s="13" t="s">
        <v>610</v>
      </c>
      <c r="B23" s="703">
        <v>9974483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s="22" customFormat="1" ht="15" customHeight="1">
      <c r="A24" s="18" t="s">
        <v>611</v>
      </c>
      <c r="B24" s="35">
        <f>SUM(B19:B23)</f>
        <v>78140846</v>
      </c>
      <c r="C24" s="296"/>
      <c r="D24" s="296"/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</row>
    <row r="25" spans="1:18" ht="15" customHeight="1">
      <c r="A25" s="13" t="s">
        <v>612</v>
      </c>
      <c r="B25" s="703">
        <v>2088909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12.75" customHeight="1">
      <c r="A26" s="36" t="s">
        <v>613</v>
      </c>
      <c r="B26" s="703">
        <v>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ht="15" customHeight="1">
      <c r="A27" s="30" t="s">
        <v>614</v>
      </c>
      <c r="B27" s="703">
        <v>65909560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ht="15" customHeight="1">
      <c r="A28" s="31" t="s">
        <v>615</v>
      </c>
      <c r="B28" s="35">
        <f>SUM(B25:B27)</f>
        <v>67998469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ht="15" customHeight="1">
      <c r="A29" s="31" t="s">
        <v>616</v>
      </c>
      <c r="B29" s="33">
        <f>B28+B24</f>
        <v>146139315</v>
      </c>
      <c r="C29" s="347">
        <f>+'Analysis of Interest'!B81</f>
        <v>146139315</v>
      </c>
      <c r="D29" s="293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ht="15" customHeight="1">
      <c r="A30" s="13"/>
      <c r="B30" s="33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s="299" customFormat="1" ht="12.75">
      <c r="A31" s="297" t="s">
        <v>617</v>
      </c>
      <c r="B31" s="33">
        <f>B16-B29</f>
        <v>76762151</v>
      </c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8"/>
      <c r="P31" s="298"/>
      <c r="Q31" s="298"/>
      <c r="R31" s="298"/>
    </row>
    <row r="32" spans="1:18" ht="25.5" customHeight="1">
      <c r="A32" s="37" t="s">
        <v>618</v>
      </c>
      <c r="B32" s="327">
        <v>86761235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ht="27.75" customHeight="1">
      <c r="A33" s="38" t="s">
        <v>619</v>
      </c>
      <c r="B33" s="33">
        <f>B31-B32</f>
        <v>-9999084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ht="15" customHeight="1">
      <c r="A34" s="13"/>
      <c r="B34" s="33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15" customHeight="1">
      <c r="A35" s="18" t="s">
        <v>620</v>
      </c>
      <c r="B35" s="3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ht="15" customHeight="1">
      <c r="A36" s="13" t="s">
        <v>621</v>
      </c>
      <c r="B36" s="703">
        <v>75291341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ht="15" customHeight="1">
      <c r="A37" s="13" t="s">
        <v>622</v>
      </c>
      <c r="B37" s="703">
        <v>53897168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15" customHeight="1">
      <c r="A38" s="13" t="s">
        <v>623</v>
      </c>
      <c r="B38" s="703">
        <v>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ht="15" customHeight="1">
      <c r="A39" s="13" t="s">
        <v>624</v>
      </c>
      <c r="B39" s="703">
        <v>69286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15" customHeight="1">
      <c r="A40" s="13" t="s">
        <v>625</v>
      </c>
      <c r="B40" s="703">
        <v>34923148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ht="15" customHeight="1">
      <c r="A41" s="18" t="s">
        <v>626</v>
      </c>
      <c r="B41" s="32">
        <f>SUM(B36:B40)</f>
        <v>164180943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ht="15" customHeight="1">
      <c r="A42" s="13"/>
      <c r="B42" s="33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ht="15" customHeight="1">
      <c r="A43" s="18" t="s">
        <v>627</v>
      </c>
      <c r="B43" s="34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ht="15" customHeight="1">
      <c r="A44" s="13" t="s">
        <v>628</v>
      </c>
      <c r="B44" s="703">
        <v>20979604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15" customHeight="1">
      <c r="A45" s="13" t="s">
        <v>629</v>
      </c>
      <c r="B45" s="703">
        <v>4286591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ht="15" customHeight="1">
      <c r="A46" s="13" t="s">
        <v>630</v>
      </c>
      <c r="B46" s="703">
        <v>0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ht="15" customHeight="1">
      <c r="A47" s="13" t="s">
        <v>631</v>
      </c>
      <c r="B47" s="703">
        <v>0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ht="15" customHeight="1">
      <c r="A48" s="13" t="s">
        <v>632</v>
      </c>
      <c r="B48" s="703">
        <v>308675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ht="15" customHeight="1">
      <c r="A49" s="18" t="s">
        <v>633</v>
      </c>
      <c r="B49" s="346">
        <f>SUM(B44:B48)</f>
        <v>25574870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ht="15" customHeight="1">
      <c r="A50" s="18"/>
      <c r="B50" s="3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ht="15" customHeight="1">
      <c r="A51" s="18" t="s">
        <v>634</v>
      </c>
      <c r="B51" s="35">
        <f>B33+B41-B49</f>
        <v>128606989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ht="15" customHeight="1">
      <c r="A52" s="18"/>
      <c r="B52" s="35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ht="15" customHeight="1">
      <c r="A53" s="18" t="s">
        <v>635</v>
      </c>
      <c r="B53" s="35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1:18" ht="15" customHeight="1">
      <c r="A54" s="13" t="s">
        <v>636</v>
      </c>
      <c r="B54" s="703">
        <v>118025538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1:18" ht="15" customHeight="1">
      <c r="A55" s="13" t="s">
        <v>637</v>
      </c>
      <c r="B55" s="703">
        <v>21282435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1:18" ht="15" customHeight="1">
      <c r="A56" s="13" t="s">
        <v>638</v>
      </c>
      <c r="B56" s="703">
        <v>3152602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 ht="15" customHeight="1">
      <c r="A57" s="13" t="s">
        <v>639</v>
      </c>
      <c r="B57" s="703">
        <v>8171359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1:18" ht="15" customHeight="1">
      <c r="A58" s="13" t="s">
        <v>640</v>
      </c>
      <c r="B58" s="703">
        <v>4838603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18" ht="15" customHeight="1">
      <c r="A59" s="13" t="s">
        <v>641</v>
      </c>
      <c r="B59" s="703">
        <v>10322100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1:18" ht="15" customHeight="1">
      <c r="A60" s="39" t="s">
        <v>642</v>
      </c>
      <c r="B60" s="703">
        <v>25742096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1:18" ht="15" customHeight="1">
      <c r="A61" s="18" t="s">
        <v>643</v>
      </c>
      <c r="B61" s="33">
        <f>SUM(B54:B60)</f>
        <v>191534733</v>
      </c>
      <c r="C61" s="40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1:18" ht="15" customHeight="1">
      <c r="A62" s="13" t="s">
        <v>644</v>
      </c>
      <c r="B62" s="33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1:18" ht="40.5" customHeight="1">
      <c r="A63" s="18" t="s">
        <v>645</v>
      </c>
      <c r="B63" s="327">
        <v>17346697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1:18" ht="15" customHeight="1">
      <c r="A64" s="18"/>
      <c r="B64" s="41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 ht="17.25" customHeight="1">
      <c r="A65" s="18" t="s">
        <v>646</v>
      </c>
      <c r="B65" s="328">
        <f>B51-B61-B63</f>
        <v>-80274441</v>
      </c>
      <c r="C65" s="40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 ht="15" customHeight="1">
      <c r="A66" s="13" t="s">
        <v>647</v>
      </c>
      <c r="B66" s="327">
        <v>7948902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1:18" ht="15" customHeight="1">
      <c r="A67" s="13"/>
      <c r="B67" s="3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1:18" ht="15" customHeight="1">
      <c r="A68" s="18" t="s">
        <v>648</v>
      </c>
      <c r="B68" s="33">
        <f>B65-B66</f>
        <v>-88223343</v>
      </c>
      <c r="C68" s="40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1:18" ht="15" customHeight="1">
      <c r="A69" s="13" t="s">
        <v>649</v>
      </c>
      <c r="B69" s="16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1:18" ht="15" customHeight="1">
      <c r="A70" s="13" t="s">
        <v>650</v>
      </c>
      <c r="B70" s="16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 ht="15" customHeight="1">
      <c r="A71" s="18"/>
      <c r="B71" s="33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18" ht="24.75" customHeight="1">
      <c r="A72" s="18" t="s">
        <v>651</v>
      </c>
      <c r="B72" s="33">
        <f>B68+B69+B70</f>
        <v>-88223343</v>
      </c>
      <c r="C72" s="40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18" ht="15" customHeight="1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1:18" ht="15" customHeight="1">
      <c r="A74" s="22" t="s">
        <v>587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1:18" ht="15" customHeight="1">
      <c r="A75" s="2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 ht="15" customHeight="1">
      <c r="A76" s="22" t="s">
        <v>588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 ht="15" customHeight="1"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1:18" ht="15" customHeight="1"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1:18" ht="15" customHeight="1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1:18" ht="15" customHeight="1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3:18" ht="15" customHeight="1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3:18" ht="15" customHeight="1"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</sheetData>
  <sheetProtection password="CA0C" sheet="1" objects="1" scenarios="1"/>
  <phoneticPr fontId="30" type="noConversion"/>
  <conditionalFormatting sqref="B16">
    <cfRule type="cellIs" dxfId="107" priority="3" stopIfTrue="1" operator="notEqual">
      <formula>$D$16</formula>
    </cfRule>
  </conditionalFormatting>
  <conditionalFormatting sqref="B29">
    <cfRule type="cellIs" dxfId="106" priority="1" stopIfTrue="1" operator="notEqual">
      <formula>$C$29</formula>
    </cfRule>
    <cfRule type="cellIs" dxfId="105" priority="2" stopIfTrue="1" operator="notEqual">
      <formula>INTEXP</formula>
    </cfRule>
  </conditionalFormatting>
  <dataValidations count="3">
    <dataValidation type="whole" operator="notEqual" allowBlank="1" showErrorMessage="1" error="Если увас есть желание не видеть больше_x000a_это сообщение, вводите целые числа!" sqref="B6:B15 B19:B23 B25:B27 B32 B36:B40 B44:B48 B54:B60 B66 B69:B70">
      <formula1>-1E+21</formula1>
    </dataValidation>
    <dataValidation allowBlank="1" showInputMessage="1" showErrorMessage="1" prompt="Значение должно равняться итого процентных доходов (см.следующий лист)" sqref="B16"/>
    <dataValidation allowBlank="1" showInputMessage="1" showErrorMessage="1" prompt="Значение должно равняться итого процентных расходов (см. следующую страницу)" sqref="B29"/>
  </dataValidations>
  <printOptions horizontalCentered="1" verticalCentered="1"/>
  <pageMargins left="0.23622047244094491" right="0.22" top="0.43307086614173229" bottom="0.35433070866141736" header="0.51181102362204722" footer="0.51181102362204722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G98"/>
  <sheetViews>
    <sheetView view="pageBreakPreview" topLeftCell="A53" zoomScaleSheetLayoutView="100" workbookViewId="0">
      <selection activeCell="B81" sqref="B81"/>
    </sheetView>
  </sheetViews>
  <sheetFormatPr defaultRowHeight="12.75"/>
  <cols>
    <col min="1" max="1" width="91.28515625" style="1" customWidth="1"/>
    <col min="2" max="2" width="44.85546875" style="1" customWidth="1"/>
    <col min="3" max="9" width="6.42578125" style="1" customWidth="1"/>
    <col min="10" max="16384" width="9.140625" style="1"/>
  </cols>
  <sheetData>
    <row r="1" spans="1:7" ht="69.75" customHeight="1">
      <c r="B1" s="23" t="s">
        <v>527</v>
      </c>
    </row>
    <row r="2" spans="1:7" ht="15.75">
      <c r="A2" s="42" t="s">
        <v>652</v>
      </c>
      <c r="B2" s="24" t="s">
        <v>653</v>
      </c>
      <c r="C2" s="5"/>
      <c r="D2" s="5"/>
      <c r="E2" s="5"/>
      <c r="F2" s="5"/>
      <c r="G2" s="5"/>
    </row>
    <row r="3" spans="1:7">
      <c r="A3" s="476">
        <f>+Balance!A4</f>
        <v>43100</v>
      </c>
      <c r="B3" s="44" t="str">
        <f>Balance!B3</f>
        <v>АКБ "Микрокредитбанк"</v>
      </c>
      <c r="C3" s="5"/>
      <c r="D3" s="5"/>
      <c r="E3" s="5"/>
      <c r="F3" s="5"/>
      <c r="G3" s="5"/>
    </row>
    <row r="4" spans="1:7">
      <c r="A4" s="8" t="s">
        <v>654</v>
      </c>
      <c r="B4" s="45" t="s">
        <v>592</v>
      </c>
      <c r="C4" s="5"/>
      <c r="D4" s="5"/>
      <c r="E4" s="5"/>
      <c r="F4" s="5"/>
      <c r="G4" s="5"/>
    </row>
    <row r="5" spans="1:7">
      <c r="A5" s="46" t="s">
        <v>655</v>
      </c>
      <c r="B5" s="47"/>
      <c r="C5" s="5"/>
      <c r="D5" s="5"/>
      <c r="E5" s="5"/>
      <c r="F5" s="5"/>
      <c r="G5" s="5"/>
    </row>
    <row r="6" spans="1:7">
      <c r="A6" s="48" t="s">
        <v>656</v>
      </c>
      <c r="B6" s="82">
        <v>0</v>
      </c>
      <c r="C6" s="5"/>
      <c r="D6" s="5"/>
      <c r="E6" s="5"/>
      <c r="F6" s="5"/>
      <c r="G6" s="5"/>
    </row>
    <row r="7" spans="1:7">
      <c r="A7" s="48" t="s">
        <v>657</v>
      </c>
      <c r="B7" s="82">
        <v>27</v>
      </c>
      <c r="C7" s="5"/>
      <c r="D7" s="5"/>
      <c r="E7" s="5"/>
      <c r="F7" s="5"/>
      <c r="G7" s="5"/>
    </row>
    <row r="8" spans="1:7">
      <c r="A8" s="48" t="s">
        <v>658</v>
      </c>
      <c r="B8" s="82">
        <v>1355</v>
      </c>
      <c r="C8" s="49"/>
      <c r="D8" s="5"/>
      <c r="E8" s="5"/>
      <c r="F8" s="5"/>
      <c r="G8" s="5"/>
    </row>
    <row r="9" spans="1:7">
      <c r="A9" s="48" t="s">
        <v>659</v>
      </c>
      <c r="B9" s="82">
        <v>54031630</v>
      </c>
      <c r="C9" s="9"/>
      <c r="D9" s="5"/>
      <c r="E9" s="5"/>
      <c r="F9" s="5"/>
      <c r="G9" s="5"/>
    </row>
    <row r="10" spans="1:7">
      <c r="A10" s="48" t="s">
        <v>660</v>
      </c>
      <c r="B10" s="82">
        <v>9124556</v>
      </c>
      <c r="C10" s="9"/>
      <c r="D10" s="5"/>
      <c r="E10" s="5"/>
      <c r="F10" s="5"/>
      <c r="G10" s="5"/>
    </row>
    <row r="11" spans="1:7">
      <c r="A11" s="48" t="s">
        <v>661</v>
      </c>
      <c r="B11" s="82">
        <v>294487</v>
      </c>
      <c r="C11" s="5"/>
      <c r="D11" s="5"/>
      <c r="E11" s="5"/>
      <c r="F11" s="5"/>
      <c r="G11" s="5"/>
    </row>
    <row r="12" spans="1:7">
      <c r="A12" s="48" t="s">
        <v>662</v>
      </c>
      <c r="B12" s="82">
        <v>78087747</v>
      </c>
      <c r="C12" s="5"/>
      <c r="D12" s="5"/>
      <c r="E12" s="5"/>
      <c r="F12" s="5"/>
      <c r="G12" s="5"/>
    </row>
    <row r="13" spans="1:7">
      <c r="A13" s="48" t="s">
        <v>663</v>
      </c>
      <c r="B13" s="82">
        <v>1342297</v>
      </c>
      <c r="C13" s="5"/>
      <c r="D13" s="5"/>
      <c r="E13" s="5"/>
      <c r="F13" s="5"/>
      <c r="G13" s="5"/>
    </row>
    <row r="14" spans="1:7">
      <c r="A14" s="46" t="s">
        <v>664</v>
      </c>
      <c r="B14" s="50">
        <f>SUM(B6:B13)</f>
        <v>142882099</v>
      </c>
      <c r="C14" s="5"/>
      <c r="D14" s="5"/>
      <c r="E14" s="5"/>
      <c r="F14" s="5"/>
      <c r="G14" s="5"/>
    </row>
    <row r="15" spans="1:7">
      <c r="A15" s="20"/>
      <c r="B15" s="50"/>
      <c r="C15" s="5"/>
      <c r="D15" s="5"/>
      <c r="E15" s="5"/>
      <c r="F15" s="5"/>
      <c r="G15" s="5"/>
    </row>
    <row r="16" spans="1:7">
      <c r="A16" s="46" t="s">
        <v>665</v>
      </c>
      <c r="B16" s="51"/>
      <c r="C16" s="5"/>
      <c r="D16" s="5"/>
      <c r="E16" s="5"/>
      <c r="F16" s="5"/>
      <c r="G16" s="5"/>
    </row>
    <row r="17" spans="1:7">
      <c r="A17" s="20" t="s">
        <v>666</v>
      </c>
      <c r="B17" s="82">
        <v>62</v>
      </c>
      <c r="C17" s="5"/>
      <c r="D17" s="5"/>
      <c r="E17" s="5"/>
      <c r="F17" s="5"/>
      <c r="G17" s="5"/>
    </row>
    <row r="18" spans="1:7">
      <c r="A18" s="20" t="s">
        <v>667</v>
      </c>
      <c r="B18" s="82">
        <v>58525</v>
      </c>
      <c r="C18" s="5"/>
      <c r="D18" s="5"/>
      <c r="E18" s="5"/>
      <c r="F18" s="5"/>
      <c r="G18" s="5"/>
    </row>
    <row r="19" spans="1:7">
      <c r="A19" s="46" t="s">
        <v>668</v>
      </c>
      <c r="B19" s="50">
        <f>SUM(B17:B18)</f>
        <v>58587</v>
      </c>
      <c r="C19" s="5"/>
      <c r="D19" s="5"/>
      <c r="E19" s="5"/>
      <c r="F19" s="5"/>
      <c r="G19" s="5"/>
    </row>
    <row r="20" spans="1:7">
      <c r="A20" s="20"/>
      <c r="B20" s="50"/>
      <c r="C20" s="5"/>
      <c r="D20" s="5"/>
      <c r="E20" s="5"/>
      <c r="F20" s="5"/>
      <c r="G20" s="5"/>
    </row>
    <row r="21" spans="1:7">
      <c r="A21" s="46" t="s">
        <v>669</v>
      </c>
      <c r="B21" s="51"/>
      <c r="C21" s="5"/>
      <c r="D21" s="5"/>
      <c r="E21" s="5"/>
      <c r="F21" s="5"/>
      <c r="G21" s="5"/>
    </row>
    <row r="22" spans="1:7">
      <c r="A22" s="20" t="s">
        <v>670</v>
      </c>
      <c r="B22" s="82">
        <v>0</v>
      </c>
      <c r="C22" s="5"/>
      <c r="D22" s="5"/>
      <c r="E22" s="5"/>
      <c r="F22" s="5"/>
      <c r="G22" s="5"/>
    </row>
    <row r="23" spans="1:7">
      <c r="A23" s="20" t="s">
        <v>671</v>
      </c>
      <c r="B23" s="82">
        <v>0</v>
      </c>
      <c r="C23" s="5"/>
      <c r="D23" s="5"/>
      <c r="E23" s="5"/>
      <c r="F23" s="5"/>
      <c r="G23" s="5"/>
    </row>
    <row r="24" spans="1:7">
      <c r="A24" s="20" t="s">
        <v>672</v>
      </c>
      <c r="B24" s="82">
        <v>0</v>
      </c>
      <c r="C24" s="5"/>
      <c r="D24" s="5"/>
      <c r="E24" s="5"/>
      <c r="F24" s="5"/>
      <c r="G24" s="5"/>
    </row>
    <row r="25" spans="1:7">
      <c r="A25" s="20" t="s">
        <v>673</v>
      </c>
      <c r="B25" s="82">
        <v>0</v>
      </c>
      <c r="C25" s="5"/>
      <c r="D25" s="5"/>
      <c r="E25" s="5"/>
      <c r="F25" s="5"/>
      <c r="G25" s="5"/>
    </row>
    <row r="26" spans="1:7">
      <c r="A26" s="20" t="s">
        <v>674</v>
      </c>
      <c r="B26" s="82">
        <v>222750</v>
      </c>
      <c r="C26" s="5"/>
      <c r="D26" s="5"/>
      <c r="E26" s="5"/>
      <c r="F26" s="5"/>
      <c r="G26" s="5"/>
    </row>
    <row r="27" spans="1:7">
      <c r="A27" s="20" t="s">
        <v>675</v>
      </c>
      <c r="B27" s="82">
        <v>0</v>
      </c>
      <c r="C27" s="5"/>
      <c r="D27" s="5"/>
      <c r="E27" s="5"/>
      <c r="F27" s="5"/>
      <c r="G27" s="5"/>
    </row>
    <row r="28" spans="1:7">
      <c r="A28" s="46" t="s">
        <v>676</v>
      </c>
      <c r="B28" s="50">
        <f>SUM(B22:B27)</f>
        <v>222750</v>
      </c>
      <c r="C28" s="5"/>
      <c r="D28" s="5"/>
      <c r="E28" s="5"/>
      <c r="F28" s="5"/>
      <c r="G28" s="5"/>
    </row>
    <row r="29" spans="1:7">
      <c r="A29" s="20"/>
      <c r="B29" s="50"/>
      <c r="C29" s="5"/>
      <c r="D29" s="5"/>
      <c r="E29" s="5"/>
      <c r="F29" s="5"/>
      <c r="G29" s="5"/>
    </row>
    <row r="30" spans="1:7">
      <c r="A30" s="46" t="s">
        <v>677</v>
      </c>
      <c r="B30" s="51"/>
      <c r="C30" s="5"/>
      <c r="D30" s="5"/>
      <c r="E30" s="5"/>
      <c r="F30" s="5"/>
      <c r="G30" s="5"/>
    </row>
    <row r="31" spans="1:7">
      <c r="A31" s="52" t="s">
        <v>678</v>
      </c>
      <c r="B31" s="82">
        <v>0</v>
      </c>
      <c r="C31" s="5"/>
      <c r="D31" s="5"/>
      <c r="E31" s="5"/>
      <c r="F31" s="5"/>
      <c r="G31" s="5"/>
    </row>
    <row r="32" spans="1:7">
      <c r="A32" s="48" t="s">
        <v>671</v>
      </c>
      <c r="B32" s="82">
        <v>0</v>
      </c>
      <c r="C32" s="5"/>
      <c r="D32" s="5"/>
      <c r="E32" s="5"/>
      <c r="F32" s="5"/>
      <c r="G32" s="5"/>
    </row>
    <row r="33" spans="1:7">
      <c r="A33" s="48" t="s">
        <v>679</v>
      </c>
      <c r="B33" s="82">
        <v>0</v>
      </c>
      <c r="C33" s="5"/>
      <c r="D33" s="5"/>
      <c r="E33" s="5"/>
      <c r="F33" s="5"/>
      <c r="G33" s="5"/>
    </row>
    <row r="34" spans="1:7">
      <c r="A34" s="48" t="s">
        <v>680</v>
      </c>
      <c r="B34" s="82">
        <v>0</v>
      </c>
      <c r="C34" s="5"/>
      <c r="D34" s="5"/>
      <c r="E34" s="5"/>
      <c r="F34" s="5"/>
      <c r="G34" s="5"/>
    </row>
    <row r="35" spans="1:7">
      <c r="A35" s="48" t="s">
        <v>681</v>
      </c>
      <c r="B35" s="82">
        <v>0</v>
      </c>
      <c r="C35" s="5"/>
      <c r="D35" s="5"/>
      <c r="E35" s="5"/>
      <c r="F35" s="5"/>
      <c r="G35" s="5"/>
    </row>
    <row r="36" spans="1:7">
      <c r="A36" s="46" t="s">
        <v>682</v>
      </c>
      <c r="B36" s="50">
        <f>SUM(B31:B35)</f>
        <v>0</v>
      </c>
      <c r="C36" s="5"/>
      <c r="D36" s="5"/>
      <c r="E36" s="5"/>
      <c r="F36" s="5"/>
      <c r="G36" s="5"/>
    </row>
    <row r="37" spans="1:7">
      <c r="A37" s="20"/>
      <c r="B37" s="50"/>
      <c r="C37" s="5"/>
      <c r="D37" s="5"/>
      <c r="E37" s="5"/>
      <c r="F37" s="5"/>
      <c r="G37" s="5"/>
    </row>
    <row r="38" spans="1:7">
      <c r="A38" s="46" t="s">
        <v>683</v>
      </c>
      <c r="B38" s="51"/>
      <c r="C38" s="5"/>
      <c r="D38" s="5"/>
      <c r="E38" s="5"/>
      <c r="F38" s="5"/>
      <c r="G38" s="5"/>
    </row>
    <row r="39" spans="1:7">
      <c r="A39" s="53" t="s">
        <v>684</v>
      </c>
      <c r="B39" s="82">
        <v>0</v>
      </c>
      <c r="C39" s="5"/>
      <c r="D39" s="5"/>
      <c r="E39" s="5"/>
      <c r="F39" s="5"/>
      <c r="G39" s="5"/>
    </row>
    <row r="40" spans="1:7">
      <c r="A40" s="54" t="s">
        <v>685</v>
      </c>
      <c r="B40" s="82">
        <v>79738030</v>
      </c>
      <c r="C40" s="5"/>
      <c r="D40" s="5"/>
      <c r="E40" s="5"/>
      <c r="F40" s="5"/>
      <c r="G40" s="5"/>
    </row>
    <row r="41" spans="1:7">
      <c r="A41" s="20"/>
      <c r="B41" s="82"/>
      <c r="C41" s="5"/>
      <c r="D41" s="5"/>
      <c r="E41" s="5"/>
      <c r="F41" s="5"/>
      <c r="G41" s="5"/>
    </row>
    <row r="42" spans="1:7">
      <c r="A42" s="46" t="s">
        <v>686</v>
      </c>
      <c r="B42" s="50">
        <f>B14+B19+B28+B36+B39+B40</f>
        <v>222901466</v>
      </c>
      <c r="C42" s="5"/>
      <c r="D42" s="5"/>
      <c r="E42" s="5"/>
      <c r="F42" s="5"/>
      <c r="G42" s="5"/>
    </row>
    <row r="43" spans="1:7">
      <c r="A43" s="20"/>
      <c r="B43" s="50"/>
      <c r="C43" s="5"/>
      <c r="D43" s="5"/>
      <c r="E43" s="5"/>
      <c r="F43" s="5"/>
      <c r="G43" s="5"/>
    </row>
    <row r="44" spans="1:7">
      <c r="A44" s="46" t="s">
        <v>687</v>
      </c>
      <c r="B44" s="55"/>
      <c r="C44" s="5"/>
      <c r="D44" s="5"/>
      <c r="E44" s="5"/>
      <c r="F44" s="5"/>
      <c r="G44" s="5"/>
    </row>
    <row r="45" spans="1:7">
      <c r="A45" s="46" t="s">
        <v>688</v>
      </c>
      <c r="B45" s="82"/>
      <c r="C45" s="5"/>
      <c r="D45" s="5"/>
      <c r="E45" s="5"/>
      <c r="F45" s="5"/>
      <c r="G45" s="5"/>
    </row>
    <row r="46" spans="1:7">
      <c r="A46" s="20" t="s">
        <v>689</v>
      </c>
      <c r="B46" s="82">
        <v>269131</v>
      </c>
      <c r="C46" s="5"/>
      <c r="D46" s="5"/>
      <c r="E46" s="5"/>
      <c r="F46" s="5"/>
      <c r="G46" s="5"/>
    </row>
    <row r="47" spans="1:7">
      <c r="A47" s="20" t="s">
        <v>690</v>
      </c>
      <c r="B47" s="82">
        <v>104789</v>
      </c>
      <c r="C47" s="5"/>
      <c r="D47" s="5"/>
      <c r="E47" s="5"/>
      <c r="F47" s="5"/>
      <c r="G47" s="5"/>
    </row>
    <row r="48" spans="1:7">
      <c r="A48" s="20" t="s">
        <v>691</v>
      </c>
      <c r="B48" s="82">
        <v>0</v>
      </c>
      <c r="C48" s="5"/>
      <c r="D48" s="5"/>
      <c r="E48" s="5"/>
      <c r="F48" s="5"/>
      <c r="G48" s="5"/>
    </row>
    <row r="49" spans="1:7">
      <c r="A49" s="56" t="s">
        <v>692</v>
      </c>
      <c r="B49" s="82">
        <v>0</v>
      </c>
      <c r="C49" s="5"/>
      <c r="D49" s="5"/>
      <c r="E49" s="5"/>
      <c r="F49" s="5"/>
      <c r="G49" s="5"/>
    </row>
    <row r="50" spans="1:7">
      <c r="A50" s="56" t="s">
        <v>693</v>
      </c>
      <c r="B50" s="82">
        <v>106</v>
      </c>
      <c r="C50" s="5"/>
      <c r="D50" s="5"/>
      <c r="E50" s="5"/>
      <c r="F50" s="5"/>
      <c r="G50" s="5"/>
    </row>
    <row r="51" spans="1:7">
      <c r="A51" s="56" t="s">
        <v>694</v>
      </c>
      <c r="B51" s="82">
        <v>0</v>
      </c>
      <c r="C51" s="5"/>
      <c r="D51" s="5"/>
      <c r="E51" s="5"/>
      <c r="F51" s="5"/>
      <c r="G51" s="5"/>
    </row>
    <row r="52" spans="1:7">
      <c r="A52" s="56" t="s">
        <v>695</v>
      </c>
      <c r="B52" s="50">
        <f>SUM(B46:B51)</f>
        <v>374026</v>
      </c>
      <c r="C52" s="5"/>
      <c r="D52" s="5"/>
      <c r="E52" s="5"/>
      <c r="F52" s="5"/>
      <c r="G52" s="5"/>
    </row>
    <row r="53" spans="1:7">
      <c r="A53" s="56"/>
      <c r="B53" s="50"/>
      <c r="C53" s="5"/>
      <c r="D53" s="5"/>
      <c r="E53" s="5"/>
      <c r="F53" s="5"/>
      <c r="G53" s="5"/>
    </row>
    <row r="54" spans="1:7">
      <c r="A54" s="57" t="s">
        <v>696</v>
      </c>
      <c r="B54" s="55"/>
      <c r="C54" s="5"/>
      <c r="D54" s="5"/>
      <c r="E54" s="5"/>
      <c r="F54" s="5"/>
      <c r="G54" s="5"/>
    </row>
    <row r="55" spans="1:7">
      <c r="A55" s="56" t="s">
        <v>689</v>
      </c>
      <c r="B55" s="82">
        <v>294</v>
      </c>
      <c r="C55" s="5"/>
      <c r="D55" s="5"/>
      <c r="E55" s="5"/>
      <c r="F55" s="5"/>
      <c r="G55" s="5"/>
    </row>
    <row r="56" spans="1:7">
      <c r="A56" s="56" t="s">
        <v>690</v>
      </c>
      <c r="B56" s="82">
        <v>9502597</v>
      </c>
      <c r="C56" s="5"/>
      <c r="D56" s="5"/>
      <c r="E56" s="5"/>
      <c r="F56" s="5"/>
      <c r="G56" s="5"/>
    </row>
    <row r="57" spans="1:7">
      <c r="A57" s="56" t="s">
        <v>691</v>
      </c>
      <c r="B57" s="82">
        <v>985</v>
      </c>
      <c r="C57" s="5"/>
      <c r="D57" s="5"/>
      <c r="E57" s="5"/>
      <c r="F57" s="5"/>
      <c r="G57" s="5"/>
    </row>
    <row r="58" spans="1:7">
      <c r="A58" s="56" t="s">
        <v>692</v>
      </c>
      <c r="B58" s="82">
        <v>0</v>
      </c>
      <c r="C58" s="5"/>
      <c r="D58" s="5"/>
      <c r="E58" s="5"/>
      <c r="F58" s="5"/>
      <c r="G58" s="5"/>
    </row>
    <row r="59" spans="1:7">
      <c r="A59" s="20" t="s">
        <v>693</v>
      </c>
      <c r="B59" s="82">
        <v>2441</v>
      </c>
      <c r="C59" s="5"/>
      <c r="D59" s="5"/>
      <c r="E59" s="5"/>
      <c r="F59" s="5"/>
      <c r="G59" s="5"/>
    </row>
    <row r="60" spans="1:7">
      <c r="A60" s="20" t="s">
        <v>694</v>
      </c>
      <c r="B60" s="82">
        <v>3014</v>
      </c>
      <c r="C60" s="5"/>
      <c r="D60" s="5"/>
      <c r="E60" s="5"/>
      <c r="F60" s="5"/>
      <c r="G60" s="5"/>
    </row>
    <row r="61" spans="1:7" ht="13.5" customHeight="1">
      <c r="A61" s="20" t="s">
        <v>697</v>
      </c>
      <c r="B61" s="50">
        <f>SUM(B55:B60)</f>
        <v>9509331</v>
      </c>
      <c r="C61" s="5"/>
      <c r="D61" s="5"/>
      <c r="E61" s="5"/>
      <c r="F61" s="5"/>
      <c r="G61" s="5"/>
    </row>
    <row r="62" spans="1:7">
      <c r="A62" s="20"/>
      <c r="B62" s="50"/>
      <c r="C62" s="5"/>
      <c r="D62" s="5"/>
      <c r="E62" s="5"/>
      <c r="F62" s="5"/>
      <c r="G62" s="5"/>
    </row>
    <row r="63" spans="1:7">
      <c r="A63" s="46" t="s">
        <v>698</v>
      </c>
      <c r="B63" s="55"/>
      <c r="C63" s="5"/>
      <c r="D63" s="5"/>
      <c r="E63" s="5"/>
      <c r="F63" s="5"/>
      <c r="G63" s="5"/>
    </row>
    <row r="64" spans="1:7">
      <c r="A64" s="20" t="s">
        <v>689</v>
      </c>
      <c r="B64" s="82">
        <v>33155971</v>
      </c>
      <c r="C64" s="5"/>
      <c r="D64" s="5"/>
      <c r="E64" s="5"/>
      <c r="F64" s="5"/>
      <c r="G64" s="5"/>
    </row>
    <row r="65" spans="1:7">
      <c r="A65" s="20" t="s">
        <v>690</v>
      </c>
      <c r="B65" s="82">
        <v>12396061</v>
      </c>
      <c r="C65" s="5"/>
      <c r="D65" s="5"/>
      <c r="E65" s="5"/>
      <c r="F65" s="5"/>
      <c r="G65" s="5"/>
    </row>
    <row r="66" spans="1:7">
      <c r="A66" s="20" t="s">
        <v>691</v>
      </c>
      <c r="B66" s="82">
        <v>1981714</v>
      </c>
      <c r="C66" s="5"/>
      <c r="D66" s="5"/>
      <c r="E66" s="5"/>
      <c r="F66" s="5"/>
      <c r="G66" s="5"/>
    </row>
    <row r="67" spans="1:7">
      <c r="A67" s="56" t="s">
        <v>692</v>
      </c>
      <c r="B67" s="82">
        <v>3106589</v>
      </c>
      <c r="C67" s="5"/>
      <c r="D67" s="5"/>
      <c r="E67" s="5"/>
      <c r="F67" s="5"/>
      <c r="G67" s="5"/>
    </row>
    <row r="68" spans="1:7">
      <c r="A68" s="20" t="s">
        <v>693</v>
      </c>
      <c r="B68" s="82">
        <v>922357</v>
      </c>
      <c r="C68" s="5"/>
      <c r="D68" s="5"/>
      <c r="E68" s="5"/>
      <c r="F68" s="5"/>
      <c r="G68" s="5"/>
    </row>
    <row r="69" spans="1:7">
      <c r="A69" s="20" t="s">
        <v>694</v>
      </c>
      <c r="B69" s="82">
        <v>6720314</v>
      </c>
      <c r="C69" s="5"/>
      <c r="D69" s="5"/>
      <c r="E69" s="5"/>
      <c r="F69" s="5"/>
      <c r="G69" s="5"/>
    </row>
    <row r="70" spans="1:7">
      <c r="A70" s="20" t="s">
        <v>699</v>
      </c>
      <c r="B70" s="50">
        <f>SUM(B64:B69)</f>
        <v>58283006</v>
      </c>
      <c r="C70" s="5"/>
      <c r="D70" s="5"/>
      <c r="E70" s="5"/>
      <c r="F70" s="5"/>
      <c r="G70" s="5"/>
    </row>
    <row r="71" spans="1:7">
      <c r="A71" s="20"/>
      <c r="B71" s="50"/>
      <c r="C71" s="5"/>
      <c r="D71" s="5"/>
      <c r="E71" s="5"/>
      <c r="F71" s="5"/>
      <c r="G71" s="5"/>
    </row>
    <row r="72" spans="1:7">
      <c r="A72" s="46" t="s">
        <v>700</v>
      </c>
      <c r="B72" s="50">
        <f>B52+B61+B70</f>
        <v>68166363</v>
      </c>
      <c r="C72" s="5"/>
      <c r="D72" s="5"/>
      <c r="E72" s="5"/>
      <c r="F72" s="5"/>
      <c r="G72" s="5"/>
    </row>
    <row r="73" spans="1:7">
      <c r="A73" s="20"/>
      <c r="B73" s="50"/>
      <c r="C73" s="5"/>
      <c r="D73" s="5"/>
      <c r="E73" s="5"/>
      <c r="F73" s="5"/>
      <c r="G73" s="5"/>
    </row>
    <row r="74" spans="1:7">
      <c r="A74" s="46" t="s">
        <v>701</v>
      </c>
      <c r="B74" s="55"/>
      <c r="C74" s="5"/>
      <c r="D74" s="5"/>
      <c r="E74" s="5"/>
      <c r="F74" s="5"/>
      <c r="G74" s="5"/>
    </row>
    <row r="75" spans="1:7">
      <c r="A75" s="20" t="s">
        <v>702</v>
      </c>
      <c r="B75" s="82">
        <v>0</v>
      </c>
      <c r="C75" s="5"/>
      <c r="D75" s="5"/>
      <c r="E75" s="5"/>
      <c r="F75" s="5"/>
      <c r="G75" s="5"/>
    </row>
    <row r="76" spans="1:7">
      <c r="A76" s="54" t="s">
        <v>703</v>
      </c>
      <c r="B76" s="82">
        <v>1904416</v>
      </c>
      <c r="C76" s="5"/>
      <c r="D76" s="5"/>
      <c r="E76" s="5"/>
      <c r="F76" s="5"/>
      <c r="G76" s="5"/>
    </row>
    <row r="77" spans="1:7">
      <c r="A77" s="53" t="s">
        <v>0</v>
      </c>
      <c r="B77" s="82">
        <v>0</v>
      </c>
      <c r="C77" s="5"/>
      <c r="D77" s="5"/>
      <c r="E77" s="5"/>
      <c r="F77" s="5"/>
      <c r="G77" s="5"/>
    </row>
    <row r="78" spans="1:7">
      <c r="A78" s="54" t="s">
        <v>1</v>
      </c>
      <c r="B78" s="82">
        <v>76068536</v>
      </c>
      <c r="C78" s="5"/>
      <c r="D78" s="5"/>
      <c r="E78" s="5"/>
      <c r="F78" s="5"/>
      <c r="G78" s="5"/>
    </row>
    <row r="79" spans="1:7">
      <c r="A79" s="58" t="s">
        <v>2</v>
      </c>
      <c r="B79" s="50">
        <f>SUM(B75:B78)</f>
        <v>77972952</v>
      </c>
      <c r="C79" s="5"/>
      <c r="D79" s="5"/>
      <c r="E79" s="5"/>
      <c r="F79" s="5"/>
      <c r="G79" s="5"/>
    </row>
    <row r="80" spans="1:7">
      <c r="A80" s="20"/>
      <c r="B80" s="50"/>
      <c r="C80" s="5"/>
      <c r="D80" s="5"/>
      <c r="E80" s="5"/>
      <c r="F80" s="5"/>
      <c r="G80" s="5"/>
    </row>
    <row r="81" spans="1:7">
      <c r="A81" s="46" t="s">
        <v>3</v>
      </c>
      <c r="B81" s="50">
        <f>B72+B79</f>
        <v>146139315</v>
      </c>
      <c r="C81" s="5"/>
      <c r="D81" s="5"/>
      <c r="E81" s="5"/>
      <c r="F81" s="5"/>
      <c r="G81" s="5"/>
    </row>
    <row r="82" spans="1:7">
      <c r="C82" s="5"/>
      <c r="D82" s="5"/>
      <c r="E82" s="5"/>
      <c r="F82" s="5"/>
      <c r="G82" s="5"/>
    </row>
    <row r="83" spans="1:7">
      <c r="A83" s="22" t="s">
        <v>587</v>
      </c>
      <c r="C83" s="5"/>
      <c r="D83" s="5"/>
      <c r="E83" s="5"/>
      <c r="F83" s="5"/>
      <c r="G83" s="5"/>
    </row>
    <row r="84" spans="1:7">
      <c r="A84" s="22"/>
      <c r="C84" s="5"/>
      <c r="D84" s="5"/>
      <c r="E84" s="5"/>
      <c r="F84" s="5"/>
      <c r="G84" s="5"/>
    </row>
    <row r="85" spans="1:7">
      <c r="A85" s="22" t="s">
        <v>588</v>
      </c>
      <c r="C85" s="5"/>
      <c r="D85" s="5"/>
      <c r="E85" s="5"/>
      <c r="F85" s="5"/>
      <c r="G85" s="5"/>
    </row>
    <row r="86" spans="1:7">
      <c r="C86" s="5"/>
      <c r="D86" s="5"/>
      <c r="E86" s="5"/>
      <c r="F86" s="5"/>
      <c r="G86" s="5"/>
    </row>
    <row r="87" spans="1:7">
      <c r="C87" s="5"/>
      <c r="D87" s="5"/>
      <c r="E87" s="5"/>
      <c r="F87" s="5"/>
      <c r="G87" s="5"/>
    </row>
    <row r="88" spans="1:7">
      <c r="C88" s="5"/>
      <c r="D88" s="5"/>
      <c r="E88" s="5"/>
      <c r="F88" s="5"/>
      <c r="G88" s="5"/>
    </row>
    <row r="89" spans="1:7">
      <c r="C89" s="5"/>
      <c r="D89" s="5"/>
      <c r="E89" s="5"/>
      <c r="F89" s="5"/>
      <c r="G89" s="5"/>
    </row>
    <row r="90" spans="1:7">
      <c r="C90" s="5"/>
      <c r="D90" s="5"/>
      <c r="E90" s="5"/>
      <c r="F90" s="5"/>
      <c r="G90" s="5"/>
    </row>
    <row r="91" spans="1:7">
      <c r="C91" s="5"/>
      <c r="D91" s="5"/>
      <c r="E91" s="5"/>
      <c r="F91" s="5"/>
      <c r="G91" s="5"/>
    </row>
    <row r="92" spans="1:7">
      <c r="C92" s="5"/>
      <c r="D92" s="5"/>
      <c r="E92" s="5"/>
      <c r="F92" s="5"/>
      <c r="G92" s="5"/>
    </row>
    <row r="93" spans="1:7">
      <c r="C93" s="5"/>
      <c r="D93" s="5"/>
      <c r="E93" s="5"/>
      <c r="F93" s="5"/>
      <c r="G93" s="5"/>
    </row>
    <row r="94" spans="1:7">
      <c r="C94" s="5"/>
      <c r="D94" s="5"/>
      <c r="E94" s="5"/>
      <c r="F94" s="5"/>
      <c r="G94" s="5"/>
    </row>
    <row r="95" spans="1:7">
      <c r="C95" s="5"/>
      <c r="D95" s="5"/>
      <c r="E95" s="5"/>
      <c r="F95" s="5"/>
      <c r="G95" s="5"/>
    </row>
    <row r="96" spans="1:7">
      <c r="C96" s="5"/>
      <c r="D96" s="5"/>
      <c r="E96" s="5"/>
      <c r="F96" s="5"/>
      <c r="G96" s="5"/>
    </row>
    <row r="97" spans="3:7">
      <c r="C97" s="5"/>
      <c r="D97" s="5"/>
      <c r="E97" s="5"/>
      <c r="F97" s="5"/>
      <c r="G97" s="5"/>
    </row>
    <row r="98" spans="3:7">
      <c r="C98" s="5"/>
      <c r="D98" s="5"/>
      <c r="E98" s="5"/>
      <c r="F98" s="5"/>
      <c r="G98" s="5"/>
    </row>
  </sheetData>
  <sheetProtection password="CA0C" sheet="1" objects="1" scenarios="1"/>
  <phoneticPr fontId="30" type="noConversion"/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B6:B13 B17:B18 B22:B27 B31:B35 B39:B40 B46:B51 B55:B60 B64:B69 B75:B78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7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J63"/>
  <sheetViews>
    <sheetView topLeftCell="A10" zoomScale="85" zoomScaleNormal="85" zoomScaleSheetLayoutView="118" workbookViewId="0">
      <selection activeCell="E56" sqref="E56"/>
    </sheetView>
  </sheetViews>
  <sheetFormatPr defaultRowHeight="12.75"/>
  <cols>
    <col min="1" max="1" width="4.42578125" style="358" customWidth="1"/>
    <col min="2" max="2" width="65.7109375" style="358" customWidth="1"/>
    <col min="3" max="3" width="13.85546875" style="358" customWidth="1"/>
    <col min="4" max="4" width="17" style="358" customWidth="1"/>
    <col min="5" max="5" width="23.28515625" style="358" customWidth="1"/>
    <col min="6" max="6" width="10.28515625" style="358" bestFit="1" customWidth="1"/>
    <col min="7" max="7" width="13.140625" style="359" bestFit="1" customWidth="1"/>
    <col min="8" max="8" width="9.28515625" style="358" bestFit="1" customWidth="1"/>
    <col min="9" max="9" width="9.140625" style="358"/>
    <col min="10" max="10" width="17.42578125" style="358" bestFit="1" customWidth="1"/>
    <col min="11" max="16384" width="9.140625" style="358"/>
  </cols>
  <sheetData>
    <row r="1" spans="1:7" ht="62.25" customHeight="1">
      <c r="D1" s="709" t="s">
        <v>527</v>
      </c>
      <c r="E1" s="710"/>
    </row>
    <row r="2" spans="1:7" ht="37.5" customHeight="1">
      <c r="A2" s="711" t="s">
        <v>4</v>
      </c>
      <c r="B2" s="712"/>
      <c r="C2" s="712"/>
      <c r="D2" s="712"/>
      <c r="E2" s="360" t="s">
        <v>5</v>
      </c>
    </row>
    <row r="3" spans="1:7">
      <c r="A3" s="713">
        <f>+Balance!A4</f>
        <v>43100</v>
      </c>
      <c r="B3" s="713"/>
      <c r="C3" s="713"/>
      <c r="D3" s="713"/>
      <c r="E3" s="713"/>
    </row>
    <row r="4" spans="1:7">
      <c r="A4" s="361"/>
      <c r="B4" s="361"/>
      <c r="C4" s="361"/>
      <c r="D4" s="362" t="str">
        <f>Balance!B3</f>
        <v>АКБ "Микрокредитбанк"</v>
      </c>
      <c r="E4" s="361"/>
    </row>
    <row r="5" spans="1:7" s="364" customFormat="1" ht="17.25" customHeight="1">
      <c r="A5" s="714" t="s">
        <v>6</v>
      </c>
      <c r="B5" s="714" t="s">
        <v>7</v>
      </c>
      <c r="C5" s="714" t="s">
        <v>8</v>
      </c>
      <c r="D5" s="714"/>
      <c r="E5" s="714"/>
      <c r="G5" s="365"/>
    </row>
    <row r="6" spans="1:7" ht="33" customHeight="1">
      <c r="A6" s="714"/>
      <c r="B6" s="714"/>
      <c r="C6" s="363" t="s">
        <v>704</v>
      </c>
      <c r="D6" s="363" t="s">
        <v>705</v>
      </c>
      <c r="E6" s="363" t="s">
        <v>706</v>
      </c>
    </row>
    <row r="7" spans="1:7">
      <c r="A7" s="366"/>
      <c r="B7" s="366" t="s">
        <v>9</v>
      </c>
      <c r="C7" s="366" t="s">
        <v>10</v>
      </c>
      <c r="D7" s="366" t="s">
        <v>11</v>
      </c>
      <c r="E7" s="366" t="s">
        <v>12</v>
      </c>
    </row>
    <row r="8" spans="1:7" ht="12.75" customHeight="1">
      <c r="A8" s="366" t="s">
        <v>13</v>
      </c>
      <c r="B8" s="367" t="s">
        <v>718</v>
      </c>
      <c r="C8" s="367"/>
      <c r="D8" s="367"/>
      <c r="E8" s="367"/>
    </row>
    <row r="9" spans="1:7" s="460" customFormat="1" ht="12.75" customHeight="1">
      <c r="A9" s="428">
        <v>1</v>
      </c>
      <c r="B9" s="429" t="s">
        <v>14</v>
      </c>
      <c r="C9" s="368"/>
      <c r="D9" s="368"/>
      <c r="E9" s="368"/>
      <c r="G9" s="461"/>
    </row>
    <row r="10" spans="1:7" ht="12.75" customHeight="1">
      <c r="A10" s="366" t="s">
        <v>15</v>
      </c>
      <c r="B10" s="369" t="s">
        <v>16</v>
      </c>
      <c r="C10" s="370">
        <v>592608108</v>
      </c>
      <c r="D10" s="368"/>
      <c r="E10" s="371"/>
    </row>
    <row r="11" spans="1:7" ht="12.75" customHeight="1">
      <c r="A11" s="366" t="s">
        <v>17</v>
      </c>
      <c r="B11" s="369" t="s">
        <v>18</v>
      </c>
      <c r="C11" s="370">
        <v>0</v>
      </c>
      <c r="D11" s="371"/>
      <c r="E11" s="371"/>
    </row>
    <row r="12" spans="1:7" s="375" customFormat="1" ht="12.75" customHeight="1">
      <c r="A12" s="372" t="s">
        <v>19</v>
      </c>
      <c r="B12" s="373" t="s">
        <v>20</v>
      </c>
      <c r="C12" s="368"/>
      <c r="D12" s="368"/>
      <c r="E12" s="374">
        <f>+C10-C11</f>
        <v>592608108</v>
      </c>
      <c r="G12" s="376"/>
    </row>
    <row r="13" spans="1:7" s="460" customFormat="1">
      <c r="A13" s="428">
        <v>2</v>
      </c>
      <c r="B13" s="429" t="s">
        <v>21</v>
      </c>
      <c r="C13" s="368"/>
      <c r="D13" s="368"/>
      <c r="E13" s="368"/>
      <c r="G13" s="461"/>
    </row>
    <row r="14" spans="1:7">
      <c r="A14" s="366" t="s">
        <v>22</v>
      </c>
      <c r="B14" s="369" t="s">
        <v>23</v>
      </c>
      <c r="C14" s="377"/>
      <c r="D14" s="370">
        <v>144180</v>
      </c>
      <c r="E14" s="377"/>
    </row>
    <row r="15" spans="1:7">
      <c r="A15" s="366" t="s">
        <v>17</v>
      </c>
      <c r="B15" s="369" t="s">
        <v>24</v>
      </c>
      <c r="C15" s="377"/>
      <c r="D15" s="674"/>
      <c r="E15" s="377"/>
    </row>
    <row r="16" spans="1:7">
      <c r="A16" s="366" t="s">
        <v>19</v>
      </c>
      <c r="B16" s="369" t="s">
        <v>25</v>
      </c>
      <c r="C16" s="377"/>
      <c r="D16" s="377"/>
      <c r="E16" s="378">
        <f>+D14-D15</f>
        <v>144180</v>
      </c>
    </row>
    <row r="17" spans="1:7" s="460" customFormat="1">
      <c r="A17" s="428">
        <v>3</v>
      </c>
      <c r="B17" s="429" t="s">
        <v>26</v>
      </c>
      <c r="C17" s="462"/>
      <c r="D17" s="462"/>
      <c r="E17" s="463">
        <f>+C17+D17</f>
        <v>0</v>
      </c>
      <c r="G17" s="461"/>
    </row>
    <row r="18" spans="1:7" s="460" customFormat="1">
      <c r="A18" s="428">
        <v>4</v>
      </c>
      <c r="B18" s="429" t="s">
        <v>27</v>
      </c>
      <c r="C18" s="371"/>
      <c r="D18" s="371"/>
      <c r="E18" s="371"/>
      <c r="G18" s="461"/>
    </row>
    <row r="19" spans="1:7">
      <c r="A19" s="372" t="s">
        <v>22</v>
      </c>
      <c r="B19" s="373" t="s">
        <v>28</v>
      </c>
      <c r="C19" s="370">
        <v>28021551</v>
      </c>
      <c r="D19" s="371"/>
      <c r="E19" s="371"/>
    </row>
    <row r="20" spans="1:7">
      <c r="A20" s="372" t="s">
        <v>17</v>
      </c>
      <c r="B20" s="373" t="s">
        <v>29</v>
      </c>
      <c r="C20" s="370">
        <v>12847445</v>
      </c>
      <c r="D20" s="371"/>
      <c r="E20" s="371"/>
    </row>
    <row r="21" spans="1:7">
      <c r="A21" s="372" t="s">
        <v>19</v>
      </c>
      <c r="B21" s="373" t="s">
        <v>30</v>
      </c>
      <c r="C21" s="370">
        <v>-88223343.105000004</v>
      </c>
      <c r="D21" s="371"/>
      <c r="E21" s="371"/>
    </row>
    <row r="22" spans="1:7">
      <c r="A22" s="372" t="s">
        <v>31</v>
      </c>
      <c r="B22" s="373" t="s">
        <v>32</v>
      </c>
      <c r="C22" s="377"/>
      <c r="D22" s="377"/>
      <c r="E22" s="378">
        <f>+C19+C20+C21</f>
        <v>-47354347.105000004</v>
      </c>
    </row>
    <row r="23" spans="1:7" s="439" customFormat="1" ht="25.5">
      <c r="A23" s="430">
        <v>5</v>
      </c>
      <c r="B23" s="425" t="s">
        <v>33</v>
      </c>
      <c r="C23" s="437"/>
      <c r="D23" s="379"/>
      <c r="E23" s="438">
        <f>+C23</f>
        <v>0</v>
      </c>
      <c r="G23" s="440"/>
    </row>
    <row r="24" spans="1:7" s="439" customFormat="1" ht="38.25">
      <c r="A24" s="430">
        <v>6</v>
      </c>
      <c r="B24" s="425" t="s">
        <v>719</v>
      </c>
      <c r="C24" s="379"/>
      <c r="D24" s="437"/>
      <c r="E24" s="438">
        <f>+D24</f>
        <v>0</v>
      </c>
      <c r="G24" s="440"/>
    </row>
    <row r="25" spans="1:7" s="434" customFormat="1" ht="24.75" customHeight="1">
      <c r="A25" s="430">
        <v>7</v>
      </c>
      <c r="B25" s="425" t="s">
        <v>707</v>
      </c>
      <c r="C25" s="432"/>
      <c r="D25" s="379"/>
      <c r="E25" s="433">
        <f>+C25</f>
        <v>0</v>
      </c>
      <c r="G25" s="436"/>
    </row>
    <row r="26" spans="1:7" s="434" customFormat="1" ht="24.75" customHeight="1">
      <c r="A26" s="430">
        <v>8</v>
      </c>
      <c r="B26" s="425" t="s">
        <v>805</v>
      </c>
      <c r="C26" s="432">
        <f>SUM(C10:C25)</f>
        <v>545253760.89499998</v>
      </c>
      <c r="D26" s="432">
        <f>SUM(D10:D25)</f>
        <v>144180</v>
      </c>
      <c r="E26" s="433">
        <f>SUM(C26+D26)</f>
        <v>545397940.89499998</v>
      </c>
      <c r="G26" s="435"/>
    </row>
    <row r="27" spans="1:7" ht="16.5" customHeight="1">
      <c r="A27" s="372" t="s">
        <v>34</v>
      </c>
      <c r="B27" s="431" t="s">
        <v>35</v>
      </c>
      <c r="C27" s="379"/>
      <c r="D27" s="379"/>
      <c r="E27" s="379"/>
    </row>
    <row r="28" spans="1:7">
      <c r="A28" s="372">
        <v>1</v>
      </c>
      <c r="B28" s="373" t="s">
        <v>36</v>
      </c>
      <c r="C28" s="380">
        <v>1980257.9750000001</v>
      </c>
      <c r="D28" s="377"/>
      <c r="E28" s="378">
        <f>-C28</f>
        <v>-1980257.9750000001</v>
      </c>
    </row>
    <row r="29" spans="1:7" s="364" customFormat="1" ht="45" customHeight="1">
      <c r="A29" s="426">
        <v>2</v>
      </c>
      <c r="B29" s="427" t="s">
        <v>720</v>
      </c>
      <c r="C29" s="382">
        <v>3099523</v>
      </c>
      <c r="D29" s="379"/>
      <c r="E29" s="383">
        <f>-C29</f>
        <v>-3099523</v>
      </c>
      <c r="G29" s="365"/>
    </row>
    <row r="30" spans="1:7" s="364" customFormat="1" ht="15.75" customHeight="1">
      <c r="A30" s="426">
        <v>3</v>
      </c>
      <c r="B30" s="427" t="s">
        <v>708</v>
      </c>
      <c r="C30" s="675"/>
      <c r="D30" s="379"/>
      <c r="E30" s="384">
        <f>-C30</f>
        <v>0</v>
      </c>
      <c r="G30" s="365"/>
    </row>
    <row r="31" spans="1:7" s="364" customFormat="1" ht="15.75" customHeight="1">
      <c r="A31" s="426">
        <v>4</v>
      </c>
      <c r="B31" s="427" t="s">
        <v>806</v>
      </c>
      <c r="C31" s="679">
        <f>SUM(C28:C30)</f>
        <v>5079780.9749999996</v>
      </c>
      <c r="D31" s="379"/>
      <c r="E31" s="383">
        <f>-C31</f>
        <v>-5079780.9749999996</v>
      </c>
      <c r="G31" s="365"/>
    </row>
    <row r="32" spans="1:7">
      <c r="A32" s="426" t="s">
        <v>37</v>
      </c>
      <c r="B32" s="431" t="s">
        <v>38</v>
      </c>
      <c r="C32" s="377"/>
      <c r="D32" s="377"/>
      <c r="E32" s="352">
        <f>SUM(E12+E16+E17+E22+E23+E25+E31)</f>
        <v>540318159.91999996</v>
      </c>
      <c r="G32" s="385"/>
    </row>
    <row r="33" spans="1:10" ht="6.75" customHeight="1">
      <c r="A33" s="372"/>
      <c r="B33" s="373"/>
      <c r="C33" s="377"/>
      <c r="D33" s="377"/>
      <c r="E33" s="377"/>
    </row>
    <row r="34" spans="1:10">
      <c r="A34" s="372" t="s">
        <v>39</v>
      </c>
      <c r="B34" s="431" t="s">
        <v>40</v>
      </c>
      <c r="C34" s="377"/>
      <c r="D34" s="377"/>
      <c r="E34" s="377"/>
      <c r="F34" s="386"/>
    </row>
    <row r="35" spans="1:10">
      <c r="A35" s="372"/>
      <c r="B35" s="373"/>
      <c r="C35" s="377"/>
      <c r="D35" s="377"/>
      <c r="E35" s="377"/>
    </row>
    <row r="36" spans="1:10" s="364" customFormat="1" ht="42" customHeight="1">
      <c r="A36" s="426">
        <v>1</v>
      </c>
      <c r="B36" s="427" t="s">
        <v>848</v>
      </c>
      <c r="C36" s="676">
        <v>0</v>
      </c>
      <c r="D36" s="377"/>
      <c r="E36" s="387">
        <f>+C36</f>
        <v>0</v>
      </c>
      <c r="G36" s="365"/>
      <c r="J36" s="388"/>
    </row>
    <row r="37" spans="1:10" ht="25.5">
      <c r="A37" s="372">
        <v>2</v>
      </c>
      <c r="B37" s="427" t="s">
        <v>726</v>
      </c>
      <c r="C37" s="677">
        <v>0</v>
      </c>
      <c r="D37" s="377"/>
      <c r="E37" s="390">
        <f>+C37</f>
        <v>0</v>
      </c>
    </row>
    <row r="38" spans="1:10" s="391" customFormat="1" ht="18" customHeight="1">
      <c r="A38" s="426">
        <v>3</v>
      </c>
      <c r="B38" s="427" t="s">
        <v>710</v>
      </c>
      <c r="C38" s="678">
        <v>0</v>
      </c>
      <c r="D38" s="377"/>
      <c r="E38" s="387">
        <f>+C38</f>
        <v>0</v>
      </c>
      <c r="G38" s="392"/>
    </row>
    <row r="39" spans="1:10" s="393" customFormat="1">
      <c r="A39" s="372">
        <v>4</v>
      </c>
      <c r="B39" s="427" t="s">
        <v>709</v>
      </c>
      <c r="C39" s="677">
        <v>169615.96244999999</v>
      </c>
      <c r="D39" s="377"/>
      <c r="E39" s="387">
        <f>+C39</f>
        <v>169615.96244999999</v>
      </c>
      <c r="G39" s="394"/>
    </row>
    <row r="40" spans="1:10" s="364" customFormat="1" ht="31.5" customHeight="1">
      <c r="A40" s="426">
        <v>5</v>
      </c>
      <c r="B40" s="427" t="s">
        <v>713</v>
      </c>
      <c r="C40" s="677">
        <v>0</v>
      </c>
      <c r="D40" s="377"/>
      <c r="E40" s="387">
        <f>+C40</f>
        <v>0</v>
      </c>
      <c r="G40" s="365"/>
    </row>
    <row r="41" spans="1:10">
      <c r="A41" s="366">
        <v>6</v>
      </c>
      <c r="B41" s="369" t="s">
        <v>41</v>
      </c>
      <c r="C41" s="377"/>
      <c r="D41" s="377"/>
      <c r="E41" s="378">
        <f>IF(C42&lt;(E32/3),0,(C42-E32/3)*-1)</f>
        <v>0</v>
      </c>
    </row>
    <row r="42" spans="1:10">
      <c r="A42" s="366">
        <v>7</v>
      </c>
      <c r="B42" s="369" t="s">
        <v>807</v>
      </c>
      <c r="C42" s="389">
        <f>SUM(C36:C40)</f>
        <v>169615.96244999999</v>
      </c>
      <c r="D42" s="377"/>
      <c r="E42" s="378">
        <f>+C42</f>
        <v>169615.96244999999</v>
      </c>
    </row>
    <row r="43" spans="1:10">
      <c r="A43" s="381" t="s">
        <v>42</v>
      </c>
      <c r="B43" s="367" t="s">
        <v>809</v>
      </c>
      <c r="C43" s="377"/>
      <c r="D43" s="377"/>
      <c r="E43" s="352">
        <f>+C42+E41</f>
        <v>169615.96244999999</v>
      </c>
    </row>
    <row r="44" spans="1:10" s="364" customFormat="1" ht="22.5" customHeight="1">
      <c r="A44" s="381" t="s">
        <v>716</v>
      </c>
      <c r="B44" s="300" t="s">
        <v>144</v>
      </c>
      <c r="C44" s="377"/>
      <c r="D44" s="379"/>
      <c r="E44" s="384">
        <f>E32+C42+E41</f>
        <v>540487775.88244998</v>
      </c>
      <c r="G44" s="365"/>
    </row>
    <row r="45" spans="1:10" s="364" customFormat="1" ht="15.75" customHeight="1">
      <c r="A45" s="426" t="s">
        <v>717</v>
      </c>
      <c r="B45" s="395" t="s">
        <v>44</v>
      </c>
      <c r="C45" s="379"/>
      <c r="D45" s="379"/>
      <c r="E45" s="387">
        <f>E46+E47-(IF(E48&lt;0,E48,0))</f>
        <v>1883178451.3000002</v>
      </c>
      <c r="G45" s="365"/>
    </row>
    <row r="46" spans="1:10" s="364" customFormat="1" ht="21.75" customHeight="1">
      <c r="A46" s="426">
        <v>1</v>
      </c>
      <c r="B46" s="425" t="s">
        <v>727</v>
      </c>
      <c r="C46" s="379"/>
      <c r="D46" s="379"/>
      <c r="E46" s="387">
        <f>'Calculation of Risk Weighted As'!H74</f>
        <v>1707140416.9000001</v>
      </c>
      <c r="G46" s="365"/>
    </row>
    <row r="47" spans="1:10" s="364" customFormat="1" ht="15.75" customHeight="1">
      <c r="A47" s="381">
        <v>2</v>
      </c>
      <c r="B47" s="395" t="s">
        <v>714</v>
      </c>
      <c r="C47" s="379"/>
      <c r="D47" s="379"/>
      <c r="E47" s="387">
        <f>'Calculation of Risk'!C19</f>
        <v>176038034.40000001</v>
      </c>
      <c r="G47" s="365"/>
    </row>
    <row r="48" spans="1:10" s="364" customFormat="1" ht="15.75" customHeight="1">
      <c r="A48" s="381">
        <v>3</v>
      </c>
      <c r="B48" s="395" t="s">
        <v>715</v>
      </c>
      <c r="C48" s="379"/>
      <c r="D48" s="379"/>
      <c r="E48" s="387">
        <f>'Calculation of Risk'!C25</f>
        <v>99201970.400000006</v>
      </c>
      <c r="G48" s="365"/>
    </row>
    <row r="49" spans="1:8" s="364" customFormat="1" ht="28.5" customHeight="1">
      <c r="A49" s="381" t="s">
        <v>43</v>
      </c>
      <c r="B49" s="395" t="s">
        <v>813</v>
      </c>
      <c r="C49" s="379"/>
      <c r="D49" s="379"/>
      <c r="E49" s="396">
        <f>IF(E45=0,"",E32/E45)</f>
        <v>0.28691819383713013</v>
      </c>
      <c r="G49" s="397">
        <f>+'Calculation of Risk'!G10</f>
        <v>9.5</v>
      </c>
    </row>
    <row r="50" spans="1:8" s="364" customFormat="1" ht="28.5" customHeight="1">
      <c r="A50" s="381" t="s">
        <v>810</v>
      </c>
      <c r="B50" s="395" t="s">
        <v>814</v>
      </c>
      <c r="C50" s="379"/>
      <c r="D50" s="379"/>
      <c r="E50" s="396">
        <f>E44/E45</f>
        <v>0.28700826281722752</v>
      </c>
      <c r="G50" s="365"/>
    </row>
    <row r="51" spans="1:8" s="364" customFormat="1" ht="21.75" customHeight="1">
      <c r="A51" s="381" t="s">
        <v>811</v>
      </c>
      <c r="B51" s="395" t="s">
        <v>762</v>
      </c>
      <c r="C51" s="379"/>
      <c r="D51" s="379"/>
      <c r="E51" s="423">
        <f>SUM(E52:E55)</f>
        <v>2246592914.0250001</v>
      </c>
      <c r="G51" s="398"/>
      <c r="H51" s="399"/>
    </row>
    <row r="52" spans="1:8" s="466" customFormat="1" ht="21.75" customHeight="1">
      <c r="A52" s="426">
        <v>1</v>
      </c>
      <c r="B52" s="465" t="s">
        <v>832</v>
      </c>
      <c r="C52" s="379"/>
      <c r="D52" s="379"/>
      <c r="E52" s="423">
        <f>+Balance!C36</f>
        <v>1742993049</v>
      </c>
      <c r="G52" s="467"/>
      <c r="H52" s="468"/>
    </row>
    <row r="53" spans="1:8" s="466" customFormat="1" ht="21.75" customHeight="1">
      <c r="A53" s="426">
        <v>2</v>
      </c>
      <c r="B53" s="465" t="s">
        <v>833</v>
      </c>
      <c r="C53" s="379"/>
      <c r="D53" s="379"/>
      <c r="E53" s="533">
        <f>+'Calculation of Risk Weighted As'!G72</f>
        <v>505580123</v>
      </c>
      <c r="G53" s="467"/>
      <c r="H53" s="468"/>
    </row>
    <row r="54" spans="1:8" s="466" customFormat="1" ht="21.75" customHeight="1">
      <c r="A54" s="426">
        <v>3</v>
      </c>
      <c r="B54" s="465" t="s">
        <v>834</v>
      </c>
      <c r="C54" s="379"/>
      <c r="D54" s="379"/>
      <c r="E54" s="533"/>
      <c r="G54" s="467"/>
      <c r="H54" s="468"/>
    </row>
    <row r="55" spans="1:8" s="466" customFormat="1" ht="21.75" customHeight="1">
      <c r="A55" s="426">
        <v>4</v>
      </c>
      <c r="B55" s="465" t="s">
        <v>835</v>
      </c>
      <c r="C55" s="379"/>
      <c r="D55" s="379"/>
      <c r="E55" s="423">
        <f>+E28</f>
        <v>-1980257.9750000001</v>
      </c>
      <c r="G55" s="467"/>
      <c r="H55" s="468"/>
    </row>
    <row r="56" spans="1:8" s="364" customFormat="1" ht="21.75" customHeight="1">
      <c r="A56" s="381" t="s">
        <v>812</v>
      </c>
      <c r="B56" s="395" t="s">
        <v>836</v>
      </c>
      <c r="C56" s="379"/>
      <c r="D56" s="379"/>
      <c r="E56" s="424">
        <f>E32/E51</f>
        <v>0.24050559251162459</v>
      </c>
      <c r="G56" s="365"/>
    </row>
    <row r="58" spans="1:8">
      <c r="B58" s="400" t="s">
        <v>587</v>
      </c>
    </row>
    <row r="59" spans="1:8">
      <c r="B59" s="400"/>
      <c r="E59" s="386"/>
    </row>
    <row r="60" spans="1:8">
      <c r="B60" s="400" t="s">
        <v>588</v>
      </c>
    </row>
    <row r="62" spans="1:8">
      <c r="B62" s="401"/>
    </row>
    <row r="63" spans="1:8">
      <c r="B63" s="402"/>
    </row>
  </sheetData>
  <sheetProtection password="CA0C" sheet="1" objects="1" scenarios="1"/>
  <mergeCells count="6">
    <mergeCell ref="D1:E1"/>
    <mergeCell ref="A2:D2"/>
    <mergeCell ref="A3:E3"/>
    <mergeCell ref="A5:A6"/>
    <mergeCell ref="B5:B6"/>
    <mergeCell ref="C5:E5"/>
  </mergeCells>
  <phoneticPr fontId="30" type="noConversion"/>
  <conditionalFormatting sqref="E56">
    <cfRule type="cellIs" dxfId="104" priority="2" operator="lessThan">
      <formula>6%</formula>
    </cfRule>
  </conditionalFormatting>
  <conditionalFormatting sqref="E49">
    <cfRule type="cellIs" dxfId="103" priority="1" operator="lessThan">
      <formula>$G$49%</formula>
    </cfRule>
  </conditionalFormatting>
  <dataValidations count="3">
    <dataValidation type="whole" operator="notEqual" allowBlank="1" showErrorMessage="1" error="Если увас есть желание не видеть больше_x000a_это сообщение, вводите целые числа!" sqref="C23:C26 C10:C11 C14:C15 C17 C19:C21 D39:D40 D26">
      <formula1>-1E+21</formula1>
    </dataValidation>
    <dataValidation allowBlank="1" showInputMessage="1" showErrorMessage="1" prompt="Не может превышать 1.25% от Активов взвешенных с учетом риска" sqref="D37"/>
    <dataValidation type="whole" operator="greaterThanOrEqual" allowBlank="1" showInputMessage="1" showErrorMessage="1" prompt="Введите как положительное число_x000a_" sqref="C28">
      <formula1>0</formula1>
    </dataValidation>
  </dataValidations>
  <printOptions horizontalCentered="1"/>
  <pageMargins left="0.19" right="0.35433070866141736" top="0.41" bottom="0.39370078740157483" header="0.15748031496062992" footer="0.51181102362204722"/>
  <pageSetup paperSize="9" scale="7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5">
    <pageSetUpPr fitToPage="1"/>
  </sheetPr>
  <dimension ref="A1:I78"/>
  <sheetViews>
    <sheetView view="pageBreakPreview" zoomScale="85" zoomScaleSheetLayoutView="85" workbookViewId="0">
      <pane xSplit="2" ySplit="6" topLeftCell="C33" activePane="bottomRight" state="frozen"/>
      <selection activeCell="G39" sqref="G39"/>
      <selection pane="topRight" activeCell="G39" sqref="G39"/>
      <selection pane="bottomLeft" activeCell="G39" sqref="G39"/>
      <selection pane="bottomRight" activeCell="F43" sqref="F43"/>
    </sheetView>
  </sheetViews>
  <sheetFormatPr defaultRowHeight="12.75"/>
  <cols>
    <col min="1" max="1" width="5.42578125" style="488" customWidth="1"/>
    <col min="2" max="2" width="53.28515625" style="489" customWidth="1"/>
    <col min="3" max="7" width="17.42578125" style="489" customWidth="1"/>
    <col min="8" max="8" width="15.7109375" style="489" customWidth="1"/>
    <col min="9" max="9" width="10.28515625" style="489" bestFit="1" customWidth="1"/>
    <col min="10" max="16384" width="9.140625" style="489"/>
  </cols>
  <sheetData>
    <row r="1" spans="1:8" ht="51.75" customHeight="1">
      <c r="F1" s="715" t="s">
        <v>527</v>
      </c>
      <c r="G1" s="715"/>
      <c r="H1" s="715"/>
    </row>
    <row r="2" spans="1:8" ht="22.5" customHeight="1">
      <c r="A2" s="716" t="s">
        <v>46</v>
      </c>
      <c r="B2" s="717"/>
      <c r="C2" s="717"/>
      <c r="D2" s="717"/>
      <c r="E2" s="717"/>
      <c r="F2" s="490"/>
      <c r="G2" s="718" t="s">
        <v>47</v>
      </c>
      <c r="H2" s="718"/>
    </row>
    <row r="3" spans="1:8">
      <c r="A3" s="491"/>
      <c r="B3" s="492">
        <f>+Balance!A4</f>
        <v>43100</v>
      </c>
      <c r="C3" s="493"/>
      <c r="D3" s="493" t="str">
        <f>Balance!B3</f>
        <v>АКБ "Микрокредитбанк"</v>
      </c>
      <c r="E3" s="494"/>
      <c r="F3" s="494"/>
      <c r="G3" s="494"/>
      <c r="H3" s="493"/>
    </row>
    <row r="4" spans="1:8" ht="13.5" thickBot="1">
      <c r="B4" s="493"/>
      <c r="C4" s="493"/>
      <c r="D4" s="493"/>
      <c r="E4" s="493"/>
      <c r="F4" s="493"/>
      <c r="G4" s="493"/>
      <c r="H4" s="493"/>
    </row>
    <row r="5" spans="1:8">
      <c r="A5" s="719" t="s">
        <v>48</v>
      </c>
      <c r="B5" s="721" t="s">
        <v>7</v>
      </c>
      <c r="C5" s="495">
        <v>0</v>
      </c>
      <c r="D5" s="495">
        <v>0.2</v>
      </c>
      <c r="E5" s="495">
        <v>0.5</v>
      </c>
      <c r="F5" s="495">
        <v>1</v>
      </c>
      <c r="G5" s="496">
        <v>1.5</v>
      </c>
      <c r="H5" s="490"/>
    </row>
    <row r="6" spans="1:8" ht="20.25" customHeight="1">
      <c r="A6" s="720"/>
      <c r="B6" s="722"/>
      <c r="C6" s="497" t="s">
        <v>49</v>
      </c>
      <c r="D6" s="497" t="s">
        <v>49</v>
      </c>
      <c r="E6" s="497" t="s">
        <v>49</v>
      </c>
      <c r="F6" s="497" t="s">
        <v>49</v>
      </c>
      <c r="G6" s="498" t="s">
        <v>49</v>
      </c>
    </row>
    <row r="7" spans="1:8">
      <c r="A7" s="499"/>
      <c r="B7" s="497" t="s">
        <v>9</v>
      </c>
      <c r="C7" s="497" t="s">
        <v>10</v>
      </c>
      <c r="D7" s="497" t="s">
        <v>11</v>
      </c>
      <c r="E7" s="497" t="s">
        <v>12</v>
      </c>
      <c r="F7" s="497" t="s">
        <v>50</v>
      </c>
      <c r="G7" s="498" t="s">
        <v>51</v>
      </c>
    </row>
    <row r="8" spans="1:8">
      <c r="A8" s="499"/>
      <c r="B8" s="500" t="s">
        <v>52</v>
      </c>
      <c r="C8" s="501"/>
      <c r="D8" s="501"/>
      <c r="E8" s="501"/>
      <c r="F8" s="501"/>
      <c r="G8" s="502"/>
    </row>
    <row r="9" spans="1:8">
      <c r="A9" s="499" t="s">
        <v>53</v>
      </c>
      <c r="B9" s="503" t="s">
        <v>54</v>
      </c>
      <c r="C9" s="687">
        <v>75966635</v>
      </c>
      <c r="D9" s="504"/>
      <c r="E9" s="504"/>
      <c r="F9" s="504"/>
      <c r="G9" s="505"/>
      <c r="H9" s="506"/>
    </row>
    <row r="10" spans="1:8">
      <c r="A10" s="499" t="s">
        <v>377</v>
      </c>
      <c r="B10" s="503" t="s">
        <v>55</v>
      </c>
      <c r="C10" s="504"/>
      <c r="D10" s="687">
        <v>987722</v>
      </c>
      <c r="E10" s="504"/>
      <c r="F10" s="504"/>
      <c r="G10" s="505"/>
      <c r="H10" s="506"/>
    </row>
    <row r="11" spans="1:8">
      <c r="A11" s="499" t="s">
        <v>378</v>
      </c>
      <c r="B11" s="503" t="s">
        <v>56</v>
      </c>
      <c r="C11" s="687">
        <v>213192148</v>
      </c>
      <c r="D11" s="504"/>
      <c r="E11" s="504"/>
      <c r="F11" s="504"/>
      <c r="G11" s="505"/>
      <c r="H11" s="506"/>
    </row>
    <row r="12" spans="1:8" ht="25.5">
      <c r="A12" s="499" t="s">
        <v>380</v>
      </c>
      <c r="B12" s="503" t="s">
        <v>728</v>
      </c>
      <c r="C12" s="504"/>
      <c r="D12" s="504"/>
      <c r="E12" s="504"/>
      <c r="F12" s="504"/>
      <c r="G12" s="505"/>
      <c r="H12" s="506"/>
    </row>
    <row r="13" spans="1:8">
      <c r="A13" s="499" t="s">
        <v>22</v>
      </c>
      <c r="B13" s="503" t="s">
        <v>721</v>
      </c>
      <c r="C13" s="504"/>
      <c r="D13" s="687"/>
      <c r="E13" s="504"/>
      <c r="F13" s="504"/>
      <c r="G13" s="505"/>
      <c r="H13" s="506"/>
    </row>
    <row r="14" spans="1:8">
      <c r="A14" s="499" t="s">
        <v>17</v>
      </c>
      <c r="B14" s="503" t="s">
        <v>722</v>
      </c>
      <c r="C14" s="504"/>
      <c r="D14" s="504"/>
      <c r="E14" s="504"/>
      <c r="F14" s="687">
        <v>78542844</v>
      </c>
      <c r="G14" s="505"/>
      <c r="H14" s="506"/>
    </row>
    <row r="15" spans="1:8">
      <c r="A15" s="499" t="s">
        <v>382</v>
      </c>
      <c r="B15" s="503" t="s">
        <v>58</v>
      </c>
      <c r="C15" s="504"/>
      <c r="D15" s="504"/>
      <c r="E15" s="504"/>
      <c r="F15" s="504"/>
      <c r="G15" s="505"/>
      <c r="H15" s="506"/>
    </row>
    <row r="16" spans="1:8" ht="25.5">
      <c r="A16" s="499" t="s">
        <v>733</v>
      </c>
      <c r="B16" s="503" t="s">
        <v>59</v>
      </c>
      <c r="C16" s="687">
        <v>0</v>
      </c>
      <c r="D16" s="504"/>
      <c r="E16" s="504"/>
      <c r="F16" s="504"/>
      <c r="G16" s="505"/>
      <c r="H16" s="506"/>
    </row>
    <row r="17" spans="1:8" ht="42" customHeight="1">
      <c r="A17" s="499" t="s">
        <v>734</v>
      </c>
      <c r="B17" s="507" t="s">
        <v>865</v>
      </c>
      <c r="C17" s="687">
        <v>0</v>
      </c>
      <c r="D17" s="504"/>
      <c r="E17" s="504"/>
      <c r="F17" s="504"/>
      <c r="G17" s="505"/>
      <c r="H17" s="506"/>
    </row>
    <row r="18" spans="1:8">
      <c r="A18" s="499" t="s">
        <v>787</v>
      </c>
      <c r="B18" s="507" t="s">
        <v>60</v>
      </c>
      <c r="C18" s="504"/>
      <c r="D18" s="504"/>
      <c r="E18" s="504"/>
      <c r="F18" s="688">
        <v>349524</v>
      </c>
      <c r="G18" s="505"/>
      <c r="H18" s="506"/>
    </row>
    <row r="19" spans="1:8" ht="38.25" customHeight="1">
      <c r="A19" s="499" t="s">
        <v>384</v>
      </c>
      <c r="B19" s="508" t="s">
        <v>821</v>
      </c>
      <c r="C19" s="688">
        <v>0</v>
      </c>
      <c r="D19" s="504"/>
      <c r="E19" s="504"/>
      <c r="F19" s="504"/>
      <c r="G19" s="505"/>
      <c r="H19" s="506"/>
    </row>
    <row r="20" spans="1:8" ht="42" customHeight="1">
      <c r="A20" s="499" t="s">
        <v>386</v>
      </c>
      <c r="B20" s="503" t="s">
        <v>849</v>
      </c>
      <c r="C20" s="504"/>
      <c r="D20" s="687">
        <v>0</v>
      </c>
      <c r="E20" s="504"/>
      <c r="F20" s="504"/>
      <c r="G20" s="505"/>
      <c r="H20" s="506"/>
    </row>
    <row r="21" spans="1:8" ht="37.5" customHeight="1">
      <c r="A21" s="499" t="s">
        <v>388</v>
      </c>
      <c r="B21" s="507" t="s">
        <v>837</v>
      </c>
      <c r="C21" s="504"/>
      <c r="D21" s="687">
        <v>0</v>
      </c>
      <c r="E21" s="504"/>
      <c r="F21" s="504"/>
      <c r="G21" s="505"/>
      <c r="H21" s="506"/>
    </row>
    <row r="22" spans="1:8" ht="38.25">
      <c r="A22" s="499" t="s">
        <v>390</v>
      </c>
      <c r="B22" s="507" t="s">
        <v>730</v>
      </c>
      <c r="C22" s="504"/>
      <c r="D22" s="687">
        <v>0</v>
      </c>
      <c r="E22" s="504"/>
      <c r="F22" s="504"/>
      <c r="G22" s="505"/>
      <c r="H22" s="506"/>
    </row>
    <row r="23" spans="1:8" ht="38.25">
      <c r="A23" s="499" t="s">
        <v>437</v>
      </c>
      <c r="B23" s="507" t="s">
        <v>838</v>
      </c>
      <c r="C23" s="504"/>
      <c r="D23" s="687">
        <v>0</v>
      </c>
      <c r="E23" s="504"/>
      <c r="F23" s="504"/>
      <c r="G23" s="505"/>
      <c r="H23" s="506"/>
    </row>
    <row r="24" spans="1:8">
      <c r="A24" s="499" t="s">
        <v>439</v>
      </c>
      <c r="B24" s="503" t="s">
        <v>61</v>
      </c>
      <c r="C24" s="504"/>
      <c r="D24" s="504"/>
      <c r="E24" s="504"/>
      <c r="F24" s="504"/>
      <c r="G24" s="505"/>
      <c r="H24" s="506"/>
    </row>
    <row r="25" spans="1:8" ht="25.5">
      <c r="A25" s="499" t="s">
        <v>733</v>
      </c>
      <c r="B25" s="503" t="s">
        <v>729</v>
      </c>
      <c r="C25" s="687">
        <v>0</v>
      </c>
      <c r="D25" s="504"/>
      <c r="E25" s="504"/>
      <c r="F25" s="504"/>
      <c r="G25" s="505"/>
      <c r="H25" s="506"/>
    </row>
    <row r="26" spans="1:8" ht="76.5">
      <c r="A26" s="499" t="s">
        <v>734</v>
      </c>
      <c r="B26" s="507" t="s">
        <v>850</v>
      </c>
      <c r="C26" s="504"/>
      <c r="D26" s="687">
        <v>0</v>
      </c>
      <c r="E26" s="504"/>
      <c r="F26" s="504"/>
      <c r="G26" s="505"/>
      <c r="H26" s="506"/>
    </row>
    <row r="27" spans="1:8" ht="25.5">
      <c r="A27" s="499" t="s">
        <v>787</v>
      </c>
      <c r="B27" s="503" t="s">
        <v>851</v>
      </c>
      <c r="C27" s="504"/>
      <c r="D27" s="504"/>
      <c r="E27" s="687">
        <v>0</v>
      </c>
      <c r="F27" s="504"/>
      <c r="G27" s="505"/>
      <c r="H27" s="506"/>
    </row>
    <row r="28" spans="1:8" ht="25.5">
      <c r="A28" s="499" t="s">
        <v>788</v>
      </c>
      <c r="B28" s="503" t="s">
        <v>724</v>
      </c>
      <c r="C28" s="504"/>
      <c r="D28" s="504"/>
      <c r="E28" s="504"/>
      <c r="F28" s="687">
        <v>0</v>
      </c>
      <c r="G28" s="504"/>
      <c r="H28" s="506"/>
    </row>
    <row r="29" spans="1:8" ht="25.5">
      <c r="A29" s="499" t="s">
        <v>789</v>
      </c>
      <c r="B29" s="503" t="s">
        <v>725</v>
      </c>
      <c r="C29" s="504"/>
      <c r="D29" s="504"/>
      <c r="E29" s="504"/>
      <c r="F29" s="687">
        <v>0</v>
      </c>
      <c r="G29" s="504"/>
      <c r="H29" s="506"/>
    </row>
    <row r="30" spans="1:8" ht="25.5">
      <c r="A30" s="499" t="s">
        <v>794</v>
      </c>
      <c r="B30" s="507" t="s">
        <v>808</v>
      </c>
      <c r="C30" s="509"/>
      <c r="D30" s="509"/>
      <c r="E30" s="509"/>
      <c r="F30" s="509"/>
      <c r="G30" s="510">
        <v>0</v>
      </c>
      <c r="H30" s="506"/>
    </row>
    <row r="31" spans="1:8">
      <c r="A31" s="499" t="s">
        <v>795</v>
      </c>
      <c r="B31" s="503" t="s">
        <v>852</v>
      </c>
      <c r="C31" s="504"/>
      <c r="D31" s="504"/>
      <c r="E31" s="504"/>
      <c r="F31" s="687">
        <v>1236844076</v>
      </c>
      <c r="G31" s="505"/>
      <c r="H31" s="506"/>
    </row>
    <row r="32" spans="1:8">
      <c r="A32" s="499" t="s">
        <v>394</v>
      </c>
      <c r="B32" s="503" t="s">
        <v>62</v>
      </c>
      <c r="C32" s="504"/>
      <c r="D32" s="504"/>
      <c r="E32" s="504"/>
      <c r="F32" s="504"/>
      <c r="G32" s="510"/>
      <c r="H32" s="506"/>
    </row>
    <row r="33" spans="1:8">
      <c r="A33" s="499" t="s">
        <v>396</v>
      </c>
      <c r="B33" s="507" t="s">
        <v>732</v>
      </c>
      <c r="C33" s="504"/>
      <c r="D33" s="504"/>
      <c r="E33" s="504"/>
      <c r="F33" s="504"/>
      <c r="G33" s="510">
        <v>10299194</v>
      </c>
      <c r="H33" s="506"/>
    </row>
    <row r="34" spans="1:8">
      <c r="A34" s="499" t="s">
        <v>398</v>
      </c>
      <c r="B34" s="503" t="s">
        <v>63</v>
      </c>
      <c r="C34" s="504"/>
      <c r="D34" s="504"/>
      <c r="E34" s="504"/>
      <c r="F34" s="688">
        <v>5263146</v>
      </c>
      <c r="G34" s="505"/>
      <c r="H34" s="506"/>
    </row>
    <row r="35" spans="1:8">
      <c r="A35" s="499" t="s">
        <v>400</v>
      </c>
      <c r="B35" s="511" t="s">
        <v>731</v>
      </c>
      <c r="C35" s="504"/>
      <c r="D35" s="504"/>
      <c r="E35" s="504"/>
      <c r="F35" s="504"/>
      <c r="G35" s="505"/>
      <c r="H35" s="506"/>
    </row>
    <row r="36" spans="1:8" ht="25.5">
      <c r="A36" s="499" t="s">
        <v>22</v>
      </c>
      <c r="B36" s="507" t="s">
        <v>64</v>
      </c>
      <c r="C36" s="504"/>
      <c r="D36" s="504"/>
      <c r="E36" s="504"/>
      <c r="F36" s="688">
        <v>98890009</v>
      </c>
      <c r="G36" s="505"/>
      <c r="H36" s="506"/>
    </row>
    <row r="37" spans="1:8" ht="25.5">
      <c r="A37" s="499" t="s">
        <v>17</v>
      </c>
      <c r="B37" s="507" t="s">
        <v>839</v>
      </c>
      <c r="C37" s="509"/>
      <c r="D37" s="509"/>
      <c r="E37" s="509"/>
      <c r="F37" s="509"/>
      <c r="G37" s="510">
        <v>1613115</v>
      </c>
      <c r="H37" s="506"/>
    </row>
    <row r="38" spans="1:8" ht="25.5">
      <c r="A38" s="499" t="s">
        <v>19</v>
      </c>
      <c r="B38" s="507" t="s">
        <v>723</v>
      </c>
      <c r="C38" s="509"/>
      <c r="D38" s="509"/>
      <c r="E38" s="509"/>
      <c r="F38" s="509"/>
      <c r="G38" s="510">
        <v>0</v>
      </c>
      <c r="H38" s="506"/>
    </row>
    <row r="39" spans="1:8" ht="38.25">
      <c r="A39" s="499" t="s">
        <v>402</v>
      </c>
      <c r="B39" s="503" t="s">
        <v>65</v>
      </c>
      <c r="C39" s="687"/>
      <c r="D39" s="504"/>
      <c r="E39" s="504"/>
      <c r="F39" s="504"/>
      <c r="G39" s="505"/>
      <c r="H39" s="506"/>
    </row>
    <row r="40" spans="1:8" ht="16.5" customHeight="1">
      <c r="A40" s="499" t="s">
        <v>404</v>
      </c>
      <c r="B40" s="507" t="s">
        <v>66</v>
      </c>
      <c r="C40" s="504"/>
      <c r="D40" s="504"/>
      <c r="E40" s="504"/>
      <c r="F40" s="687">
        <v>2749999</v>
      </c>
      <c r="G40" s="505"/>
      <c r="H40" s="506"/>
    </row>
    <row r="41" spans="1:8" ht="15.75" customHeight="1">
      <c r="A41" s="499" t="s">
        <v>406</v>
      </c>
      <c r="B41" s="507" t="s">
        <v>67</v>
      </c>
      <c r="C41" s="687">
        <v>1980258</v>
      </c>
      <c r="D41" s="504"/>
      <c r="E41" s="504"/>
      <c r="F41" s="504"/>
      <c r="G41" s="505"/>
      <c r="H41" s="506"/>
    </row>
    <row r="42" spans="1:8" ht="25.5">
      <c r="A42" s="499" t="s">
        <v>408</v>
      </c>
      <c r="B42" s="507" t="s">
        <v>68</v>
      </c>
      <c r="C42" s="504"/>
      <c r="D42" s="504"/>
      <c r="E42" s="504"/>
      <c r="F42" s="504"/>
      <c r="G42" s="510">
        <v>0</v>
      </c>
      <c r="H42" s="506"/>
    </row>
    <row r="43" spans="1:8" ht="14.25" customHeight="1">
      <c r="A43" s="499" t="s">
        <v>410</v>
      </c>
      <c r="B43" s="507" t="s">
        <v>69</v>
      </c>
      <c r="C43" s="687">
        <v>13259251</v>
      </c>
      <c r="D43" s="504"/>
      <c r="E43" s="504"/>
      <c r="F43" s="688">
        <v>3055128</v>
      </c>
      <c r="G43" s="505"/>
      <c r="H43" s="512">
        <f>Balance!C36</f>
        <v>1742993049</v>
      </c>
    </row>
    <row r="44" spans="1:8">
      <c r="A44" s="499" t="s">
        <v>412</v>
      </c>
      <c r="B44" s="503" t="s">
        <v>70</v>
      </c>
      <c r="C44" s="513">
        <f>SUM(C9:C43)</f>
        <v>304398292</v>
      </c>
      <c r="D44" s="513">
        <f>SUM(D9:D43)</f>
        <v>987722</v>
      </c>
      <c r="E44" s="513">
        <f>SUM(E9:E43)</f>
        <v>0</v>
      </c>
      <c r="F44" s="513">
        <f>SUM(F9:F43)</f>
        <v>1425694726</v>
      </c>
      <c r="G44" s="348">
        <f>SUM(G9:G43)</f>
        <v>11912309</v>
      </c>
      <c r="H44" s="506">
        <f>SUM(C44:G44)</f>
        <v>1742993049</v>
      </c>
    </row>
    <row r="45" spans="1:8" ht="13.5" thickBot="1">
      <c r="A45" s="499" t="s">
        <v>819</v>
      </c>
      <c r="B45" s="503" t="s">
        <v>71</v>
      </c>
      <c r="C45" s="504"/>
      <c r="D45" s="349">
        <f>D44*D5</f>
        <v>197544.40000000002</v>
      </c>
      <c r="E45" s="349">
        <f>E44*E5</f>
        <v>0</v>
      </c>
      <c r="F45" s="349">
        <f>F44*F5</f>
        <v>1425694726</v>
      </c>
      <c r="G45" s="348">
        <f>G44*G5</f>
        <v>17868463.5</v>
      </c>
      <c r="H45" s="506"/>
    </row>
    <row r="46" spans="1:8" ht="13.5" thickBot="1">
      <c r="A46" s="499" t="s">
        <v>820</v>
      </c>
      <c r="B46" s="514" t="s">
        <v>72</v>
      </c>
      <c r="C46" s="515"/>
      <c r="D46" s="515"/>
      <c r="E46" s="515"/>
      <c r="F46" s="515"/>
      <c r="G46" s="516">
        <f>SUM(D45:G45)</f>
        <v>1443760733.9000001</v>
      </c>
      <c r="H46" s="506"/>
    </row>
    <row r="47" spans="1:8">
      <c r="A47" s="517"/>
      <c r="B47" s="518"/>
      <c r="C47" s="519"/>
      <c r="D47" s="519"/>
      <c r="E47" s="519"/>
      <c r="F47" s="519"/>
    </row>
    <row r="48" spans="1:8" ht="13.5" thickBot="1">
      <c r="A48" s="517"/>
      <c r="B48" s="520"/>
      <c r="C48" s="520"/>
      <c r="D48" s="520"/>
      <c r="E48" s="520"/>
      <c r="F48" s="520"/>
      <c r="G48" s="519"/>
    </row>
    <row r="49" spans="1:8" ht="12.75" customHeight="1">
      <c r="A49" s="724" t="s">
        <v>48</v>
      </c>
      <c r="B49" s="721" t="s">
        <v>7</v>
      </c>
      <c r="C49" s="726" t="s">
        <v>73</v>
      </c>
      <c r="D49" s="521">
        <v>0</v>
      </c>
      <c r="E49" s="522">
        <v>0.2</v>
      </c>
      <c r="F49" s="522">
        <v>0.5</v>
      </c>
      <c r="G49" s="522">
        <v>1</v>
      </c>
      <c r="H49" s="729" t="s">
        <v>74</v>
      </c>
    </row>
    <row r="50" spans="1:8" ht="9.75" customHeight="1">
      <c r="A50" s="725"/>
      <c r="B50" s="722"/>
      <c r="C50" s="727"/>
      <c r="D50" s="731" t="s">
        <v>49</v>
      </c>
      <c r="E50" s="722" t="s">
        <v>49</v>
      </c>
      <c r="F50" s="722" t="s">
        <v>49</v>
      </c>
      <c r="G50" s="722" t="s">
        <v>49</v>
      </c>
      <c r="H50" s="730"/>
    </row>
    <row r="51" spans="1:8" ht="10.5" customHeight="1">
      <c r="A51" s="725"/>
      <c r="B51" s="722"/>
      <c r="C51" s="728"/>
      <c r="D51" s="732"/>
      <c r="E51" s="733"/>
      <c r="F51" s="733"/>
      <c r="G51" s="733"/>
      <c r="H51" s="730"/>
    </row>
    <row r="52" spans="1:8">
      <c r="A52" s="725"/>
      <c r="B52" s="497" t="s">
        <v>9</v>
      </c>
      <c r="C52" s="497" t="s">
        <v>10</v>
      </c>
      <c r="D52" s="523" t="s">
        <v>11</v>
      </c>
      <c r="E52" s="497" t="s">
        <v>12</v>
      </c>
      <c r="F52" s="497" t="s">
        <v>50</v>
      </c>
      <c r="G52" s="497" t="s">
        <v>51</v>
      </c>
      <c r="H52" s="498" t="s">
        <v>75</v>
      </c>
    </row>
    <row r="53" spans="1:8">
      <c r="A53" s="720" t="s">
        <v>76</v>
      </c>
      <c r="B53" s="722"/>
      <c r="C53" s="722"/>
      <c r="D53" s="722"/>
      <c r="E53" s="722"/>
      <c r="F53" s="722"/>
      <c r="G53" s="722"/>
      <c r="H53" s="723"/>
    </row>
    <row r="54" spans="1:8">
      <c r="A54" s="524">
        <v>1</v>
      </c>
      <c r="B54" s="525" t="s">
        <v>77</v>
      </c>
      <c r="C54" s="504"/>
      <c r="D54" s="504"/>
      <c r="E54" s="504"/>
      <c r="F54" s="504"/>
      <c r="G54" s="504"/>
      <c r="H54" s="505"/>
    </row>
    <row r="55" spans="1:8">
      <c r="A55" s="524" t="s">
        <v>15</v>
      </c>
      <c r="B55" s="525" t="s">
        <v>78</v>
      </c>
      <c r="C55" s="526">
        <v>0.5</v>
      </c>
      <c r="D55" s="688"/>
      <c r="E55" s="688"/>
      <c r="F55" s="688"/>
      <c r="G55" s="688">
        <v>484400880</v>
      </c>
      <c r="H55" s="348">
        <f>(E55*0.1)+(F55*0.25)+(G55*0.5)</f>
        <v>242200440</v>
      </c>
    </row>
    <row r="56" spans="1:8">
      <c r="A56" s="524" t="s">
        <v>17</v>
      </c>
      <c r="B56" s="525" t="s">
        <v>79</v>
      </c>
      <c r="C56" s="526">
        <v>0.2</v>
      </c>
      <c r="D56" s="688"/>
      <c r="E56" s="688"/>
      <c r="F56" s="688"/>
      <c r="G56" s="688"/>
      <c r="H56" s="348">
        <f>(E56*0.04)+(F56*0.1)+(G56*0.2)</f>
        <v>0</v>
      </c>
    </row>
    <row r="57" spans="1:8" ht="38.25">
      <c r="A57" s="524">
        <v>2</v>
      </c>
      <c r="B57" s="525" t="s">
        <v>80</v>
      </c>
      <c r="C57" s="526">
        <v>1</v>
      </c>
      <c r="D57" s="688"/>
      <c r="E57" s="688"/>
      <c r="F57" s="688"/>
      <c r="G57" s="688"/>
      <c r="H57" s="348">
        <f>(E57*0.2)+(F57*0.5)+(G57*1)</f>
        <v>0</v>
      </c>
    </row>
    <row r="58" spans="1:8">
      <c r="A58" s="524">
        <v>3</v>
      </c>
      <c r="B58" s="525" t="s">
        <v>81</v>
      </c>
      <c r="C58" s="526">
        <v>1</v>
      </c>
      <c r="D58" s="688"/>
      <c r="E58" s="504"/>
      <c r="F58" s="504"/>
      <c r="G58" s="688">
        <v>21179243</v>
      </c>
      <c r="H58" s="348">
        <f>(E58*0.2)+(F58*0.5)+(G58*1)</f>
        <v>21179243</v>
      </c>
    </row>
    <row r="59" spans="1:8">
      <c r="A59" s="524">
        <v>4</v>
      </c>
      <c r="B59" s="525" t="s">
        <v>82</v>
      </c>
      <c r="C59" s="527"/>
      <c r="D59" s="504"/>
      <c r="E59" s="504"/>
      <c r="F59" s="504"/>
      <c r="G59" s="504"/>
      <c r="H59" s="505"/>
    </row>
    <row r="60" spans="1:8">
      <c r="A60" s="524" t="s">
        <v>15</v>
      </c>
      <c r="B60" s="525" t="s">
        <v>83</v>
      </c>
      <c r="C60" s="526">
        <v>1</v>
      </c>
      <c r="D60" s="688"/>
      <c r="E60" s="688"/>
      <c r="F60" s="688"/>
      <c r="G60" s="688"/>
      <c r="H60" s="348">
        <f>(E60*0.2)+(F60*0.5)+(G60*1)</f>
        <v>0</v>
      </c>
    </row>
    <row r="61" spans="1:8">
      <c r="A61" s="524" t="s">
        <v>17</v>
      </c>
      <c r="B61" s="525" t="s">
        <v>84</v>
      </c>
      <c r="C61" s="526">
        <v>0.5</v>
      </c>
      <c r="D61" s="688"/>
      <c r="E61" s="688"/>
      <c r="F61" s="688"/>
      <c r="G61" s="688"/>
      <c r="H61" s="348">
        <f>(E61*0.1)+(F61*0.25)+(G61*0.5)</f>
        <v>0</v>
      </c>
    </row>
    <row r="62" spans="1:8" ht="25.5">
      <c r="A62" s="524" t="s">
        <v>19</v>
      </c>
      <c r="B62" s="525" t="s">
        <v>85</v>
      </c>
      <c r="C62" s="526">
        <v>0.2</v>
      </c>
      <c r="D62" s="689"/>
      <c r="E62" s="688"/>
      <c r="F62" s="688"/>
      <c r="G62" s="688"/>
      <c r="H62" s="348">
        <f>(E62*0.04)+(F62*0.1)+(G62*0.2)</f>
        <v>0</v>
      </c>
    </row>
    <row r="63" spans="1:8" ht="25.5">
      <c r="A63" s="524">
        <v>5</v>
      </c>
      <c r="B63" s="525" t="s">
        <v>86</v>
      </c>
      <c r="C63" s="527"/>
      <c r="D63" s="504"/>
      <c r="E63" s="504"/>
      <c r="F63" s="504"/>
      <c r="G63" s="504"/>
      <c r="H63" s="505"/>
    </row>
    <row r="64" spans="1:8">
      <c r="A64" s="524" t="s">
        <v>15</v>
      </c>
      <c r="B64" s="525" t="s">
        <v>87</v>
      </c>
      <c r="C64" s="527"/>
      <c r="D64" s="504"/>
      <c r="E64" s="504"/>
      <c r="F64" s="504"/>
      <c r="G64" s="504"/>
      <c r="H64" s="505"/>
    </row>
    <row r="65" spans="1:9">
      <c r="A65" s="524" t="s">
        <v>88</v>
      </c>
      <c r="B65" s="525" t="s">
        <v>89</v>
      </c>
      <c r="C65" s="528">
        <v>5.0000000000000001E-3</v>
      </c>
      <c r="D65" s="688"/>
      <c r="E65" s="688"/>
      <c r="F65" s="688"/>
      <c r="G65" s="688"/>
      <c r="H65" s="348">
        <f>(E65*0.001)+(F65*0.0025)+(G65*0.005)</f>
        <v>0</v>
      </c>
    </row>
    <row r="66" spans="1:9" ht="13.5" customHeight="1">
      <c r="A66" s="524" t="s">
        <v>90</v>
      </c>
      <c r="B66" s="525" t="s">
        <v>91</v>
      </c>
      <c r="C66" s="526">
        <v>0.01</v>
      </c>
      <c r="D66" s="688"/>
      <c r="E66" s="688"/>
      <c r="F66" s="688"/>
      <c r="G66" s="688"/>
      <c r="H66" s="348">
        <f>(E66*0.002)+(F66*0.005)+(G66*0.01)</f>
        <v>0</v>
      </c>
    </row>
    <row r="67" spans="1:9">
      <c r="A67" s="524" t="s">
        <v>92</v>
      </c>
      <c r="B67" s="525" t="s">
        <v>93</v>
      </c>
      <c r="C67" s="526">
        <v>0.02</v>
      </c>
      <c r="D67" s="688"/>
      <c r="E67" s="688"/>
      <c r="F67" s="688"/>
      <c r="G67" s="688"/>
      <c r="H67" s="349">
        <f>(E67*0.004)+(F67*0.01)+(G67*0.02)</f>
        <v>0</v>
      </c>
    </row>
    <row r="68" spans="1:9">
      <c r="A68" s="524" t="s">
        <v>17</v>
      </c>
      <c r="B68" s="525" t="s">
        <v>94</v>
      </c>
      <c r="C68" s="527"/>
      <c r="D68" s="504"/>
      <c r="E68" s="504"/>
      <c r="F68" s="504"/>
      <c r="G68" s="504"/>
      <c r="H68" s="505"/>
    </row>
    <row r="69" spans="1:9">
      <c r="A69" s="524" t="s">
        <v>95</v>
      </c>
      <c r="B69" s="525" t="s">
        <v>96</v>
      </c>
      <c r="C69" s="526">
        <v>0.02</v>
      </c>
      <c r="D69" s="688"/>
      <c r="E69" s="688"/>
      <c r="F69" s="688"/>
      <c r="G69" s="688">
        <v>0</v>
      </c>
      <c r="H69" s="348">
        <f>(E69*0.004)+(F69*0.01)+(G69*0.02)</f>
        <v>0</v>
      </c>
    </row>
    <row r="70" spans="1:9" ht="25.5" customHeight="1">
      <c r="A70" s="524" t="s">
        <v>97</v>
      </c>
      <c r="B70" s="525" t="s">
        <v>98</v>
      </c>
      <c r="C70" s="526">
        <v>0.05</v>
      </c>
      <c r="D70" s="688"/>
      <c r="E70" s="688"/>
      <c r="F70" s="688"/>
      <c r="G70" s="688"/>
      <c r="H70" s="348">
        <f>(E70*0.01)+(F70*0.025)+(G70*0.05)</f>
        <v>0</v>
      </c>
    </row>
    <row r="71" spans="1:9">
      <c r="A71" s="524" t="s">
        <v>99</v>
      </c>
      <c r="B71" s="525" t="s">
        <v>100</v>
      </c>
      <c r="C71" s="526">
        <v>0.08</v>
      </c>
      <c r="D71" s="688"/>
      <c r="E71" s="688"/>
      <c r="F71" s="688"/>
      <c r="G71" s="688"/>
      <c r="H71" s="348">
        <f>(E71*0.016)+(F71*0.04)+(G71*0.08)</f>
        <v>0</v>
      </c>
    </row>
    <row r="72" spans="1:9">
      <c r="A72" s="524">
        <v>6</v>
      </c>
      <c r="B72" s="525" t="s">
        <v>101</v>
      </c>
      <c r="C72" s="527"/>
      <c r="D72" s="349">
        <f>SUM(D55:D71)</f>
        <v>0</v>
      </c>
      <c r="E72" s="349">
        <f>SUM(E55:E71)</f>
        <v>0</v>
      </c>
      <c r="F72" s="349">
        <f>SUM(F55:F71)</f>
        <v>0</v>
      </c>
      <c r="G72" s="349">
        <f>SUM(G55:G71)</f>
        <v>505580123</v>
      </c>
      <c r="H72" s="505"/>
    </row>
    <row r="73" spans="1:9" ht="17.25" customHeight="1">
      <c r="A73" s="524">
        <v>7</v>
      </c>
      <c r="B73" s="525" t="s">
        <v>102</v>
      </c>
      <c r="C73" s="527"/>
      <c r="D73" s="504"/>
      <c r="E73" s="504"/>
      <c r="F73" s="504"/>
      <c r="G73" s="504"/>
      <c r="H73" s="348">
        <f>SUM(H55:H71)</f>
        <v>263379683</v>
      </c>
    </row>
    <row r="74" spans="1:9" ht="13.5" thickBot="1">
      <c r="A74" s="529">
        <v>8</v>
      </c>
      <c r="B74" s="530" t="s">
        <v>103</v>
      </c>
      <c r="C74" s="531"/>
      <c r="D74" s="515"/>
      <c r="E74" s="515"/>
      <c r="F74" s="515"/>
      <c r="G74" s="515"/>
      <c r="H74" s="350">
        <f>SUM(H73+G46)</f>
        <v>1707140416.9000001</v>
      </c>
      <c r="I74" s="489">
        <f>+H74*0.15</f>
        <v>256071062.535</v>
      </c>
    </row>
    <row r="76" spans="1:9">
      <c r="B76" s="532" t="s">
        <v>587</v>
      </c>
    </row>
    <row r="77" spans="1:9">
      <c r="B77" s="532"/>
    </row>
    <row r="78" spans="1:9">
      <c r="B78" s="532" t="s">
        <v>588</v>
      </c>
    </row>
  </sheetData>
  <sheetProtection password="CA0C" sheet="1" objects="1" scenarios="1"/>
  <mergeCells count="14">
    <mergeCell ref="A53:H53"/>
    <mergeCell ref="A49:A52"/>
    <mergeCell ref="B49:B51"/>
    <mergeCell ref="C49:C51"/>
    <mergeCell ref="H49:H51"/>
    <mergeCell ref="D50:D51"/>
    <mergeCell ref="E50:E51"/>
    <mergeCell ref="F50:F51"/>
    <mergeCell ref="G50:G51"/>
    <mergeCell ref="F1:H1"/>
    <mergeCell ref="A2:E2"/>
    <mergeCell ref="G2:H2"/>
    <mergeCell ref="A5:A6"/>
    <mergeCell ref="B5:B6"/>
  </mergeCells>
  <phoneticPr fontId="30" type="noConversion"/>
  <conditionalFormatting sqref="H44">
    <cfRule type="cellIs" dxfId="102" priority="1" stopIfTrue="1" operator="notEqual">
      <formula>$H$43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55:G57 F18:F19 D10 F14 C16:C17 D13 C11 C9 D26 D21:D23 C20 F31 E27 F30:G30 G32:G33 G28:G29 C41 F38:G38 C39 F40 G42 F34:F37 D60:D61 D69:G71 G58 D65:G67 E60:G62 D55:D58 F43:G43">
      <formula1>-1E+22</formula1>
      <formula2>1E+22</formula2>
    </dataValidation>
    <dataValidation type="whole" operator="greaterThanOrEqual" allowBlank="1" showInputMessage="1" showErrorMessage="1" sqref="D59:G59 E63:G64 D62:D64 D68:G68 E58:F58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4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Y30"/>
  <sheetViews>
    <sheetView view="pageBreakPreview" topLeftCell="A4" zoomScaleNormal="70" zoomScaleSheetLayoutView="100" workbookViewId="0">
      <selection activeCell="C15" sqref="C15:C17"/>
    </sheetView>
  </sheetViews>
  <sheetFormatPr defaultRowHeight="12.75"/>
  <cols>
    <col min="1" max="1" width="9.140625" style="534"/>
    <col min="2" max="2" width="50.85546875" style="534" customWidth="1"/>
    <col min="3" max="3" width="30.7109375" style="574" customWidth="1"/>
    <col min="4" max="4" width="9.5703125" style="536" customWidth="1"/>
    <col min="5" max="5" width="7.7109375" style="536" customWidth="1"/>
    <col min="6" max="6" width="9.140625" style="536"/>
    <col min="7" max="7" width="12.85546875" style="537" bestFit="1" customWidth="1"/>
    <col min="8" max="8" width="13.140625" style="536" bestFit="1" customWidth="1"/>
    <col min="9" max="10" width="14.7109375" style="536" customWidth="1"/>
    <col min="11" max="11" width="18.7109375" style="536" customWidth="1"/>
    <col min="12" max="12" width="14.7109375" style="536" customWidth="1"/>
    <col min="13" max="13" width="18.85546875" style="536" customWidth="1"/>
    <col min="14" max="14" width="9.140625" style="536"/>
    <col min="15" max="15" width="9.140625" style="695"/>
    <col min="16" max="25" width="9.140625" style="692"/>
    <col min="26" max="16384" width="9.140625" style="534"/>
  </cols>
  <sheetData>
    <row r="1" spans="1:13" ht="84" customHeight="1">
      <c r="C1" s="535" t="s">
        <v>527</v>
      </c>
      <c r="I1" s="538" t="s">
        <v>822</v>
      </c>
      <c r="J1" s="539" t="s">
        <v>824</v>
      </c>
      <c r="K1" s="539" t="s">
        <v>823</v>
      </c>
      <c r="L1" s="539" t="s">
        <v>825</v>
      </c>
      <c r="M1" s="539" t="s">
        <v>826</v>
      </c>
    </row>
    <row r="2" spans="1:13" ht="14.25">
      <c r="A2" s="734" t="s">
        <v>751</v>
      </c>
      <c r="B2" s="734"/>
      <c r="C2" s="734"/>
      <c r="H2" s="540" t="s">
        <v>800</v>
      </c>
      <c r="I2" s="536">
        <v>10</v>
      </c>
      <c r="J2" s="536">
        <v>7.5</v>
      </c>
      <c r="K2" s="536">
        <v>6</v>
      </c>
      <c r="L2" s="536">
        <v>80</v>
      </c>
    </row>
    <row r="3" spans="1:13" ht="14.25">
      <c r="C3" s="541" t="s">
        <v>750</v>
      </c>
      <c r="D3" s="542"/>
      <c r="H3" s="540" t="s">
        <v>802</v>
      </c>
      <c r="I3" s="536">
        <v>11.5</v>
      </c>
      <c r="J3" s="536">
        <v>8.5</v>
      </c>
      <c r="K3" s="536">
        <v>7</v>
      </c>
      <c r="L3" s="536">
        <v>80</v>
      </c>
    </row>
    <row r="4" spans="1:13" ht="15.75" customHeight="1">
      <c r="B4" s="543">
        <f>+Balance!A4</f>
        <v>43100</v>
      </c>
      <c r="C4" s="544" t="str">
        <f>+Balance!B3</f>
        <v>АКБ "Микрокредитбанк"</v>
      </c>
      <c r="H4" s="540" t="s">
        <v>803</v>
      </c>
      <c r="I4" s="536">
        <v>12.5</v>
      </c>
      <c r="J4" s="536">
        <v>9.5</v>
      </c>
      <c r="K4" s="536">
        <v>7.5</v>
      </c>
      <c r="L4" s="536">
        <v>90</v>
      </c>
    </row>
    <row r="5" spans="1:13" ht="18" customHeight="1">
      <c r="A5" s="545" t="s">
        <v>48</v>
      </c>
      <c r="B5" s="546" t="s">
        <v>744</v>
      </c>
      <c r="C5" s="547" t="s">
        <v>592</v>
      </c>
      <c r="H5" s="540" t="s">
        <v>801</v>
      </c>
      <c r="I5" s="536">
        <v>13.5</v>
      </c>
      <c r="J5" s="536">
        <v>10.5</v>
      </c>
      <c r="K5" s="536">
        <v>8.5</v>
      </c>
      <c r="L5" s="536">
        <v>100</v>
      </c>
      <c r="M5" s="536">
        <v>100</v>
      </c>
    </row>
    <row r="6" spans="1:13" ht="18" customHeight="1">
      <c r="A6" s="548" t="s">
        <v>53</v>
      </c>
      <c r="B6" s="549" t="str">
        <f>+"Валовый доход банка за "&amp;(E$9-3)&amp;" год"</f>
        <v>Валовый доход банка за 2014 год</v>
      </c>
      <c r="C6" s="550">
        <f>+C7-C8+C9</f>
        <v>117166860</v>
      </c>
      <c r="H6" s="540" t="s">
        <v>804</v>
      </c>
      <c r="I6" s="536">
        <v>14.5</v>
      </c>
      <c r="J6" s="536">
        <v>11</v>
      </c>
      <c r="K6" s="536">
        <v>9.5</v>
      </c>
      <c r="L6" s="536">
        <v>100</v>
      </c>
      <c r="M6" s="536">
        <v>100</v>
      </c>
    </row>
    <row r="7" spans="1:13" ht="18" customHeight="1">
      <c r="A7" s="548" t="s">
        <v>57</v>
      </c>
      <c r="B7" s="551" t="s">
        <v>745</v>
      </c>
      <c r="C7" s="690">
        <v>112378436</v>
      </c>
      <c r="E7" s="552"/>
      <c r="H7" s="540"/>
    </row>
    <row r="8" spans="1:13" ht="18" customHeight="1">
      <c r="A8" s="548" t="s">
        <v>746</v>
      </c>
      <c r="B8" s="551" t="s">
        <v>747</v>
      </c>
      <c r="C8" s="690">
        <v>61062136</v>
      </c>
      <c r="E8" s="536" t="str">
        <f>RIGHT(Balance!A3,4)</f>
        <v>2017</v>
      </c>
      <c r="F8" s="553"/>
      <c r="G8" s="537">
        <f>VLOOKUP(E9,H2:M6,2,0)</f>
        <v>12.5</v>
      </c>
      <c r="H8" s="540"/>
    </row>
    <row r="9" spans="1:13" ht="18" customHeight="1">
      <c r="A9" s="548" t="s">
        <v>748</v>
      </c>
      <c r="B9" s="551" t="s">
        <v>749</v>
      </c>
      <c r="C9" s="690">
        <v>65850560</v>
      </c>
      <c r="E9" s="554" t="str">
        <f>IF(E8&gt;H6,H6,E8)</f>
        <v>2017</v>
      </c>
      <c r="G9" s="555"/>
      <c r="H9" s="540"/>
    </row>
    <row r="10" spans="1:13" ht="18" customHeight="1">
      <c r="A10" s="548" t="s">
        <v>377</v>
      </c>
      <c r="B10" s="549" t="str">
        <f>+"Валовый доход банка за "&amp;(E$9-2)&amp;" год"</f>
        <v>Валовый доход банка за 2015 год</v>
      </c>
      <c r="C10" s="550">
        <f>+C11-C12+C13</f>
        <v>150836429</v>
      </c>
      <c r="D10" s="556"/>
      <c r="G10" s="555">
        <f>VLOOKUP($E$9,$H$2:$J$6,3,0)</f>
        <v>9.5</v>
      </c>
      <c r="H10" s="540"/>
    </row>
    <row r="11" spans="1:13" ht="18" customHeight="1">
      <c r="A11" s="548" t="s">
        <v>57</v>
      </c>
      <c r="B11" s="551" t="s">
        <v>745</v>
      </c>
      <c r="C11" s="690">
        <v>154719438</v>
      </c>
      <c r="D11" s="556"/>
      <c r="G11" s="537">
        <f>VLOOKUP($E$9,H2:M6,5,0)</f>
        <v>90</v>
      </c>
      <c r="H11" s="540"/>
    </row>
    <row r="12" spans="1:13" ht="18" customHeight="1">
      <c r="A12" s="548" t="s">
        <v>746</v>
      </c>
      <c r="B12" s="551" t="s">
        <v>747</v>
      </c>
      <c r="C12" s="690">
        <v>96585301</v>
      </c>
      <c r="G12" s="537">
        <f>VLOOKUP(E9,H2:M6,6,0)</f>
        <v>0</v>
      </c>
      <c r="H12" s="540"/>
    </row>
    <row r="13" spans="1:13" ht="18" customHeight="1">
      <c r="A13" s="548" t="s">
        <v>748</v>
      </c>
      <c r="B13" s="551" t="s">
        <v>749</v>
      </c>
      <c r="C13" s="690">
        <v>92702292</v>
      </c>
      <c r="H13" s="540"/>
    </row>
    <row r="14" spans="1:13" ht="18" customHeight="1">
      <c r="A14" s="548" t="s">
        <v>378</v>
      </c>
      <c r="B14" s="549" t="str">
        <f>+"Валовый доход банка за "&amp;(E$9-1)&amp;" год"</f>
        <v>Валовый доход банка за 2016 год</v>
      </c>
      <c r="C14" s="550">
        <f>+C15-C16+C17</f>
        <v>172091797</v>
      </c>
      <c r="H14" s="540"/>
    </row>
    <row r="15" spans="1:13" ht="18" customHeight="1">
      <c r="A15" s="548" t="s">
        <v>57</v>
      </c>
      <c r="B15" s="551" t="s">
        <v>745</v>
      </c>
      <c r="C15" s="690">
        <v>204104096</v>
      </c>
      <c r="H15" s="540"/>
    </row>
    <row r="16" spans="1:13" ht="18" customHeight="1">
      <c r="A16" s="548" t="s">
        <v>746</v>
      </c>
      <c r="B16" s="551" t="s">
        <v>747</v>
      </c>
      <c r="C16" s="690">
        <v>126300057</v>
      </c>
      <c r="H16" s="540"/>
    </row>
    <row r="17" spans="1:25" ht="18" customHeight="1">
      <c r="A17" s="548" t="s">
        <v>748</v>
      </c>
      <c r="B17" s="551" t="s">
        <v>749</v>
      </c>
      <c r="C17" s="690">
        <v>94287758</v>
      </c>
      <c r="H17" s="540"/>
    </row>
    <row r="18" spans="1:25" ht="31.5" customHeight="1">
      <c r="A18" s="548" t="s">
        <v>380</v>
      </c>
      <c r="B18" s="557" t="s">
        <v>796</v>
      </c>
      <c r="C18" s="550">
        <f>(C6+C10+C14)/3</f>
        <v>146698362</v>
      </c>
      <c r="H18" s="540"/>
    </row>
    <row r="19" spans="1:25" ht="18" customHeight="1">
      <c r="A19" s="548" t="s">
        <v>382</v>
      </c>
      <c r="B19" s="558" t="s">
        <v>797</v>
      </c>
      <c r="C19" s="559">
        <f>+(100/C26)*C18*15%</f>
        <v>176038034.40000001</v>
      </c>
      <c r="H19" s="540"/>
    </row>
    <row r="20" spans="1:25" ht="13.5" customHeight="1">
      <c r="A20" s="560"/>
      <c r="B20" s="561"/>
      <c r="C20" s="562"/>
      <c r="H20" s="540"/>
    </row>
    <row r="21" spans="1:25" ht="18" customHeight="1">
      <c r="A21" s="563" t="s">
        <v>384</v>
      </c>
      <c r="B21" s="551" t="s">
        <v>766</v>
      </c>
      <c r="C21" s="690">
        <v>124002463</v>
      </c>
      <c r="H21" s="540"/>
    </row>
    <row r="22" spans="1:25" s="567" customFormat="1" ht="15.75">
      <c r="A22" s="548" t="s">
        <v>386</v>
      </c>
      <c r="B22" s="564" t="s">
        <v>863</v>
      </c>
      <c r="C22" s="690">
        <v>0</v>
      </c>
      <c r="D22" s="565"/>
      <c r="E22" s="565"/>
      <c r="F22" s="565"/>
      <c r="G22" s="566"/>
      <c r="H22" s="565"/>
      <c r="I22" s="565"/>
      <c r="J22" s="565"/>
      <c r="K22" s="565"/>
      <c r="L22" s="565"/>
      <c r="M22" s="565"/>
      <c r="N22" s="565"/>
      <c r="O22" s="696"/>
      <c r="P22" s="693"/>
      <c r="Q22" s="693"/>
      <c r="R22" s="693"/>
      <c r="S22" s="693"/>
      <c r="T22" s="693"/>
      <c r="U22" s="693"/>
      <c r="V22" s="693"/>
      <c r="W22" s="693"/>
      <c r="X22" s="693"/>
      <c r="Y22" s="693"/>
    </row>
    <row r="23" spans="1:25" s="567" customFormat="1" ht="15.75">
      <c r="A23" s="548" t="s">
        <v>388</v>
      </c>
      <c r="B23" s="564" t="s">
        <v>864</v>
      </c>
      <c r="C23" s="690">
        <v>0</v>
      </c>
      <c r="D23" s="565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696"/>
      <c r="P23" s="693"/>
      <c r="Q23" s="693"/>
      <c r="R23" s="693"/>
      <c r="S23" s="693"/>
      <c r="T23" s="693"/>
      <c r="U23" s="693"/>
      <c r="V23" s="693"/>
      <c r="W23" s="693"/>
      <c r="X23" s="693"/>
      <c r="Y23" s="693"/>
    </row>
    <row r="24" spans="1:25" ht="18" customHeight="1">
      <c r="A24" s="548" t="s">
        <v>390</v>
      </c>
      <c r="B24" s="568" t="s">
        <v>761</v>
      </c>
      <c r="C24" s="550">
        <f>C21+(C23-C22)</f>
        <v>124002463</v>
      </c>
      <c r="D24" s="536">
        <f>+C24*0.1</f>
        <v>12400246.300000001</v>
      </c>
      <c r="H24" s="540"/>
    </row>
    <row r="25" spans="1:25" ht="18" customHeight="1">
      <c r="A25" s="548" t="s">
        <v>437</v>
      </c>
      <c r="B25" s="569" t="s">
        <v>798</v>
      </c>
      <c r="C25" s="550">
        <f>+(100/C26)*(C24*10%)</f>
        <v>99201970.400000006</v>
      </c>
      <c r="H25" s="540"/>
    </row>
    <row r="26" spans="1:25" s="573" customFormat="1" ht="25.5">
      <c r="A26" s="548" t="s">
        <v>439</v>
      </c>
      <c r="B26" s="570" t="s">
        <v>799</v>
      </c>
      <c r="C26" s="571">
        <f>VLOOKUP($E$9,$H$2:$I$6,2,0)</f>
        <v>12.5</v>
      </c>
      <c r="D26" s="537"/>
      <c r="E26" s="537"/>
      <c r="F26" s="537"/>
      <c r="G26" s="537"/>
      <c r="H26" s="572"/>
      <c r="I26" s="536"/>
      <c r="J26" s="536"/>
      <c r="K26" s="537"/>
      <c r="L26" s="537"/>
      <c r="M26" s="537"/>
      <c r="N26" s="537"/>
      <c r="O26" s="697"/>
      <c r="P26" s="694"/>
      <c r="Q26" s="694"/>
      <c r="R26" s="694"/>
      <c r="S26" s="694"/>
      <c r="T26" s="694"/>
      <c r="U26" s="694"/>
      <c r="V26" s="694"/>
      <c r="W26" s="694"/>
      <c r="X26" s="694"/>
      <c r="Y26" s="694"/>
    </row>
    <row r="27" spans="1:25" ht="14.25">
      <c r="H27" s="540"/>
    </row>
    <row r="28" spans="1:25">
      <c r="A28" s="296" t="s">
        <v>587</v>
      </c>
    </row>
    <row r="29" spans="1:25">
      <c r="A29" s="296"/>
    </row>
    <row r="30" spans="1:25">
      <c r="A30" s="296" t="s">
        <v>588</v>
      </c>
    </row>
  </sheetData>
  <sheetProtection password="CA0C" sheet="1" objects="1" scenarios="1"/>
  <mergeCells count="1">
    <mergeCell ref="A2:C2"/>
  </mergeCells>
  <printOptions horizontalCentered="1"/>
  <pageMargins left="0.19685039370078741" right="0.19685039370078741" top="0.74" bottom="0.19685039370078741" header="0.8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G28"/>
  <sheetViews>
    <sheetView view="pageBreakPreview" zoomScaleSheetLayoutView="100" workbookViewId="0">
      <selection activeCell="B11" sqref="B11"/>
    </sheetView>
  </sheetViews>
  <sheetFormatPr defaultRowHeight="12.75"/>
  <cols>
    <col min="1" max="1" width="89.42578125" style="1" customWidth="1"/>
    <col min="2" max="2" width="30.7109375" style="1" customWidth="1"/>
    <col min="3" max="16384" width="9.140625" style="1"/>
  </cols>
  <sheetData>
    <row r="1" spans="1:7" ht="108" customHeight="1">
      <c r="B1" s="23" t="s">
        <v>527</v>
      </c>
    </row>
    <row r="2" spans="1:7" ht="31.5">
      <c r="A2" s="59" t="s">
        <v>104</v>
      </c>
      <c r="B2" s="60" t="s">
        <v>105</v>
      </c>
      <c r="C2" s="5"/>
      <c r="D2" s="5"/>
      <c r="E2" s="5"/>
      <c r="F2" s="5"/>
      <c r="G2" s="5"/>
    </row>
    <row r="3" spans="1:7">
      <c r="A3" s="477">
        <f>+Balance!A4</f>
        <v>43100</v>
      </c>
      <c r="B3" s="4" t="str">
        <f>Balance!B3</f>
        <v>АКБ "Микрокредитбанк"</v>
      </c>
      <c r="C3" s="5"/>
      <c r="D3" s="5"/>
      <c r="E3" s="5"/>
      <c r="F3" s="5"/>
      <c r="G3" s="5"/>
    </row>
    <row r="4" spans="1:7">
      <c r="A4" s="8" t="s">
        <v>654</v>
      </c>
      <c r="B4" s="45" t="s">
        <v>592</v>
      </c>
      <c r="C4" s="5"/>
      <c r="D4" s="5"/>
      <c r="E4" s="5"/>
      <c r="F4" s="5"/>
      <c r="G4" s="5"/>
    </row>
    <row r="5" spans="1:7" ht="18.75" customHeight="1">
      <c r="A5" s="64" t="s">
        <v>106</v>
      </c>
      <c r="B5" s="63">
        <v>282646747</v>
      </c>
      <c r="C5" s="5"/>
      <c r="D5" s="5"/>
      <c r="E5" s="5"/>
      <c r="F5" s="5"/>
      <c r="G5" s="5"/>
    </row>
    <row r="6" spans="1:7" ht="18.75" customHeight="1">
      <c r="A6" s="30" t="s">
        <v>107</v>
      </c>
      <c r="B6" s="63">
        <v>0</v>
      </c>
      <c r="C6" s="5"/>
      <c r="D6" s="5"/>
      <c r="E6" s="5"/>
      <c r="F6" s="5"/>
      <c r="G6" s="5"/>
    </row>
    <row r="7" spans="1:7" ht="18.75" customHeight="1">
      <c r="A7" s="13" t="s">
        <v>108</v>
      </c>
      <c r="B7" s="32">
        <f>SUM(B5:B6)</f>
        <v>282646747</v>
      </c>
      <c r="C7" s="5"/>
      <c r="D7" s="5"/>
      <c r="E7" s="5"/>
      <c r="F7" s="5"/>
      <c r="G7" s="5"/>
    </row>
    <row r="8" spans="1:7" ht="18.75" customHeight="1">
      <c r="A8" s="13" t="s">
        <v>109</v>
      </c>
      <c r="B8" s="65">
        <v>-88223343</v>
      </c>
      <c r="C8" s="5"/>
      <c r="D8" s="5"/>
      <c r="E8" s="5"/>
      <c r="F8" s="5"/>
      <c r="G8" s="5"/>
    </row>
    <row r="9" spans="1:7" ht="18.75" customHeight="1">
      <c r="A9" s="30" t="s">
        <v>110</v>
      </c>
      <c r="B9" s="65">
        <v>342586323</v>
      </c>
      <c r="C9" s="5"/>
      <c r="D9" s="5"/>
      <c r="E9" s="5"/>
      <c r="F9" s="5"/>
      <c r="G9" s="5"/>
    </row>
    <row r="10" spans="1:7" ht="18.75" customHeight="1">
      <c r="A10" s="39" t="s">
        <v>111</v>
      </c>
      <c r="B10" s="65">
        <v>-9709947</v>
      </c>
      <c r="C10" s="5"/>
      <c r="D10" s="5"/>
      <c r="E10" s="5"/>
      <c r="F10" s="5"/>
      <c r="G10" s="5"/>
    </row>
    <row r="11" spans="1:7" ht="18.75" customHeight="1">
      <c r="A11" s="13" t="s">
        <v>112</v>
      </c>
      <c r="B11" s="66"/>
      <c r="C11" s="5"/>
      <c r="D11" s="5"/>
      <c r="E11" s="5"/>
      <c r="F11" s="5"/>
      <c r="G11" s="5"/>
    </row>
    <row r="12" spans="1:7" ht="18.75" customHeight="1">
      <c r="A12" s="13" t="s">
        <v>113</v>
      </c>
      <c r="B12" s="67"/>
      <c r="C12" s="5"/>
      <c r="D12" s="5"/>
      <c r="E12" s="5"/>
      <c r="F12" s="5"/>
      <c r="G12" s="5"/>
    </row>
    <row r="13" spans="1:7" ht="18.75" customHeight="1">
      <c r="A13" s="39" t="s">
        <v>114</v>
      </c>
      <c r="B13" s="65">
        <v>18475086</v>
      </c>
      <c r="C13" s="5"/>
      <c r="D13" s="5"/>
      <c r="E13" s="5"/>
      <c r="F13" s="5"/>
      <c r="G13" s="5"/>
    </row>
    <row r="14" spans="1:7" ht="18.75" customHeight="1">
      <c r="A14" s="39" t="s">
        <v>115</v>
      </c>
      <c r="B14" s="32">
        <f>B7+SUM(B8:B10)-SUM(B11:B12)+B13</f>
        <v>545774866</v>
      </c>
      <c r="C14" s="5"/>
      <c r="D14" s="5"/>
      <c r="E14" s="5"/>
      <c r="F14" s="5"/>
      <c r="G14" s="5"/>
    </row>
    <row r="15" spans="1:7">
      <c r="A15" s="4"/>
      <c r="B15" s="4"/>
      <c r="C15" s="5"/>
      <c r="D15" s="5"/>
      <c r="E15" s="5"/>
      <c r="F15" s="5"/>
      <c r="G15" s="5"/>
    </row>
    <row r="16" spans="1:7" ht="12.75" customHeight="1">
      <c r="A16" s="22" t="s">
        <v>587</v>
      </c>
      <c r="C16" s="5"/>
      <c r="D16" s="5"/>
      <c r="E16" s="5"/>
      <c r="F16" s="5"/>
      <c r="G16" s="5"/>
    </row>
    <row r="17" spans="1:7" ht="12.75" customHeight="1">
      <c r="A17" s="22"/>
      <c r="C17" s="5"/>
      <c r="D17" s="5"/>
      <c r="E17" s="5"/>
      <c r="F17" s="5"/>
      <c r="G17" s="5"/>
    </row>
    <row r="18" spans="1:7">
      <c r="A18" s="22" t="s">
        <v>588</v>
      </c>
      <c r="C18" s="5"/>
      <c r="D18" s="5"/>
      <c r="E18" s="5"/>
      <c r="F18" s="5"/>
      <c r="G18" s="5"/>
    </row>
    <row r="20" spans="1:7" ht="12.75" customHeight="1"/>
    <row r="27" spans="1:7" ht="12.75" customHeight="1"/>
    <row r="28" spans="1:7" ht="12.75" customHeight="1"/>
  </sheetData>
  <sheetProtection password="CA0C" sheet="1" objects="1" scenarios="1"/>
  <phoneticPr fontId="30" type="noConversion"/>
  <conditionalFormatting sqref="B8">
    <cfRule type="cellIs" dxfId="101" priority="1" stopIfTrue="1" operator="notEqual">
      <formula>NETINC</formula>
    </cfRule>
  </conditionalFormatting>
  <conditionalFormatting sqref="B12">
    <cfRule type="cellIs" dxfId="100" priority="2" stopIfTrue="1" operator="notEqual">
      <formula>CASHDIVCOM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B5:B6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B8"/>
    <dataValidation operator="greaterThan" allowBlank="1" showInputMessage="1" showErrorMessage="1" sqref="B10"/>
    <dataValidation type="whole" operator="greaterThanOrEqual" allowBlank="1" showInputMessage="1" showErrorMessage="1" prompt="Ввести как положительное число или 0." sqref="B11:B12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scale="11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F21"/>
  <sheetViews>
    <sheetView view="pageBreakPreview" zoomScale="115" zoomScaleSheetLayoutView="115" workbookViewId="0">
      <selection activeCell="B5" sqref="B5"/>
    </sheetView>
  </sheetViews>
  <sheetFormatPr defaultColWidth="9" defaultRowHeight="12.75"/>
  <cols>
    <col min="1" max="1" width="76.7109375" style="1" customWidth="1"/>
    <col min="2" max="2" width="30.85546875" style="1" customWidth="1"/>
    <col min="3" max="16384" width="9" style="1"/>
  </cols>
  <sheetData>
    <row r="1" spans="1:6" ht="76.5">
      <c r="B1" s="23" t="s">
        <v>527</v>
      </c>
    </row>
    <row r="2" spans="1:6" ht="40.5" customHeight="1">
      <c r="A2" s="59" t="s">
        <v>116</v>
      </c>
      <c r="B2" s="60" t="s">
        <v>875</v>
      </c>
      <c r="C2" s="5"/>
      <c r="D2" s="5"/>
      <c r="E2" s="5"/>
      <c r="F2" s="5"/>
    </row>
    <row r="3" spans="1:6" ht="22.5" customHeight="1">
      <c r="A3" s="478">
        <f>+Balance!A4</f>
        <v>43100</v>
      </c>
      <c r="B3" s="60"/>
      <c r="C3" s="5"/>
      <c r="D3" s="5"/>
      <c r="E3" s="5"/>
      <c r="F3" s="5"/>
    </row>
    <row r="4" spans="1:6" ht="18.75" customHeight="1">
      <c r="A4" s="68" t="str">
        <f>Balance!B3</f>
        <v>АКБ "Микрокредитбанк"</v>
      </c>
      <c r="B4" s="45" t="s">
        <v>592</v>
      </c>
      <c r="C4" s="9"/>
      <c r="D4" s="9"/>
      <c r="E4" s="9"/>
      <c r="F4" s="69"/>
    </row>
    <row r="5" spans="1:6" ht="18.75" customHeight="1">
      <c r="A5" s="20" t="s">
        <v>117</v>
      </c>
      <c r="B5" s="65">
        <v>40126023</v>
      </c>
      <c r="C5" s="9"/>
      <c r="D5" s="9"/>
      <c r="E5" s="9"/>
      <c r="F5" s="9"/>
    </row>
    <row r="6" spans="1:6" ht="18.75" customHeight="1">
      <c r="A6" s="20" t="s">
        <v>118</v>
      </c>
      <c r="B6" s="65"/>
      <c r="C6" s="9"/>
      <c r="D6" s="9"/>
      <c r="E6" s="9"/>
      <c r="F6" s="9"/>
    </row>
    <row r="7" spans="1:6" ht="18.75" customHeight="1">
      <c r="A7" s="20" t="s">
        <v>119</v>
      </c>
      <c r="B7" s="41">
        <f>B5+B6</f>
        <v>40126023</v>
      </c>
      <c r="C7" s="9"/>
      <c r="D7" s="9"/>
      <c r="E7" s="9"/>
      <c r="F7" s="9"/>
    </row>
    <row r="8" spans="1:6" ht="18.75" customHeight="1">
      <c r="A8" s="20" t="s">
        <v>120</v>
      </c>
      <c r="B8" s="65">
        <v>-88223343</v>
      </c>
      <c r="C8" s="9"/>
      <c r="D8" s="9"/>
      <c r="E8" s="9"/>
      <c r="F8" s="9"/>
    </row>
    <row r="9" spans="1:6" ht="18.75" customHeight="1">
      <c r="A9" s="20" t="s">
        <v>121</v>
      </c>
      <c r="B9" s="67"/>
      <c r="C9" s="9"/>
      <c r="D9" s="9"/>
      <c r="E9" s="9"/>
      <c r="F9" s="9"/>
    </row>
    <row r="10" spans="1:6" ht="18.75" customHeight="1">
      <c r="A10" s="20" t="s">
        <v>122</v>
      </c>
      <c r="B10" s="67"/>
      <c r="C10" s="9"/>
      <c r="D10" s="9"/>
      <c r="E10" s="9"/>
      <c r="F10" s="9"/>
    </row>
    <row r="11" spans="1:6" ht="18.75" customHeight="1">
      <c r="A11" s="20" t="s">
        <v>123</v>
      </c>
      <c r="B11" s="67"/>
      <c r="C11" s="9"/>
      <c r="D11" s="9"/>
      <c r="E11" s="9"/>
      <c r="F11" s="9"/>
    </row>
    <row r="12" spans="1:6" ht="18.75" customHeight="1">
      <c r="A12" s="20" t="s">
        <v>124</v>
      </c>
      <c r="B12" s="67"/>
      <c r="C12" s="9"/>
      <c r="D12" s="9"/>
      <c r="E12" s="9"/>
      <c r="F12" s="9"/>
    </row>
    <row r="13" spans="1:6" ht="18.75" customHeight="1">
      <c r="A13" s="20" t="s">
        <v>125</v>
      </c>
      <c r="B13" s="65">
        <v>18475086</v>
      </c>
      <c r="C13" s="9"/>
      <c r="D13" s="9"/>
      <c r="E13" s="9"/>
      <c r="F13" s="9"/>
    </row>
    <row r="14" spans="1:6" ht="18.75" customHeight="1">
      <c r="A14" s="20" t="s">
        <v>126</v>
      </c>
      <c r="B14" s="41">
        <f>B7+B8-SUM(B9:B12)+B13</f>
        <v>-29622234</v>
      </c>
      <c r="C14" s="9"/>
      <c r="D14" s="9"/>
      <c r="E14" s="9"/>
      <c r="F14" s="9"/>
    </row>
    <row r="15" spans="1:6" ht="12.75" customHeight="1">
      <c r="C15" s="5"/>
      <c r="D15" s="5"/>
      <c r="E15" s="5"/>
      <c r="F15" s="5"/>
    </row>
    <row r="16" spans="1:6" ht="12.75" customHeight="1">
      <c r="A16" s="22" t="s">
        <v>587</v>
      </c>
      <c r="C16" s="5"/>
      <c r="D16" s="5"/>
      <c r="E16" s="5"/>
      <c r="F16" s="5"/>
    </row>
    <row r="17" spans="1:6" ht="12.75" customHeight="1">
      <c r="A17" s="22"/>
      <c r="C17" s="5"/>
      <c r="D17" s="5"/>
      <c r="E17" s="5"/>
      <c r="F17" s="5"/>
    </row>
    <row r="18" spans="1:6" ht="12.75" customHeight="1">
      <c r="A18" s="22" t="s">
        <v>588</v>
      </c>
      <c r="C18" s="5"/>
      <c r="D18" s="5"/>
      <c r="E18" s="5"/>
      <c r="F18" s="5"/>
    </row>
    <row r="19" spans="1:6" ht="12.75" customHeight="1">
      <c r="C19" s="5"/>
      <c r="D19" s="5"/>
      <c r="E19" s="5"/>
      <c r="F19" s="5"/>
    </row>
    <row r="20" spans="1:6" ht="12.75" customHeight="1">
      <c r="C20" s="5"/>
      <c r="D20" s="5"/>
      <c r="E20" s="5"/>
      <c r="F20" s="5"/>
    </row>
    <row r="21" spans="1:6" ht="12.75" customHeight="1">
      <c r="C21" s="5"/>
      <c r="D21" s="5"/>
      <c r="E21" s="5"/>
      <c r="F21" s="5"/>
    </row>
  </sheetData>
  <sheetProtection password="CA0C" sheet="1" objects="1" scenarios="1"/>
  <phoneticPr fontId="30" type="noConversion"/>
  <conditionalFormatting sqref="B9">
    <cfRule type="cellIs" dxfId="99" priority="1" stopIfTrue="1" operator="notEqual">
      <formula>CASHDIVCOM</formula>
    </cfRule>
  </conditionalFormatting>
  <conditionalFormatting sqref="B10">
    <cfRule type="cellIs" dxfId="98" priority="2" stopIfTrue="1" operator="notEqual">
      <formula>CASHDIVPREF</formula>
    </cfRule>
  </conditionalFormatting>
  <conditionalFormatting sqref="B8">
    <cfRule type="cellIs" dxfId="97" priority="3" stopIfTrue="1" operator="notEqual">
      <formula>NETINC</formula>
    </cfRule>
  </conditionalFormatting>
  <dataValidations count="2">
    <dataValidation allowBlank="1" showInputMessage="1" showErrorMessage="1" prompt="Значение должно равняться чистой прибыли из отчёта о прибылях и убытках" sqref="B8"/>
    <dataValidation type="whole" operator="greaterThanOrEqual" allowBlank="1" showInputMessage="1" showErrorMessage="1" prompt="Ввести как положительное число или 0." sqref="B9:B12">
      <formula1>0</formula1>
    </dataValidation>
  </dataValidations>
  <printOptions horizontalCentered="1"/>
  <pageMargins left="0.27559055118110237" right="0.23622047244094491" top="0.51181102362204722" bottom="0.98425196850393704" header="0.51181102362204722" footer="0.51181102362204722"/>
  <pageSetup paperSize="9" scale="125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pageSetUpPr fitToPage="1"/>
  </sheetPr>
  <dimension ref="A1:AC98"/>
  <sheetViews>
    <sheetView view="pageBreakPreview" topLeftCell="F61" zoomScale="70" zoomScaleNormal="70" zoomScaleSheetLayoutView="70" workbookViewId="0">
      <selection activeCell="G91" sqref="G91:T91"/>
    </sheetView>
  </sheetViews>
  <sheetFormatPr defaultRowHeight="12.75"/>
  <cols>
    <col min="1" max="1" width="7" style="1" customWidth="1"/>
    <col min="2" max="2" width="59.7109375" style="1" customWidth="1"/>
    <col min="3" max="3" width="17" style="1" customWidth="1"/>
    <col min="4" max="4" width="14.42578125" style="1" customWidth="1"/>
    <col min="5" max="5" width="14.7109375" style="1" customWidth="1"/>
    <col min="6" max="6" width="14.42578125" style="5" customWidth="1"/>
    <col min="7" max="20" width="14.42578125" style="1" customWidth="1"/>
    <col min="21" max="16384" width="9.140625" style="1"/>
  </cols>
  <sheetData>
    <row r="1" spans="1:29" ht="43.5" customHeight="1">
      <c r="Q1" s="704" t="s">
        <v>527</v>
      </c>
      <c r="R1" s="704"/>
      <c r="S1" s="704"/>
      <c r="T1" s="704"/>
    </row>
    <row r="2" spans="1:29" ht="18">
      <c r="A2" s="71" t="s">
        <v>127</v>
      </c>
      <c r="B2" s="70"/>
      <c r="C2" s="70"/>
      <c r="D2" s="70"/>
      <c r="E2" s="70"/>
      <c r="F2" s="411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1" t="s">
        <v>128</v>
      </c>
      <c r="S2" s="70"/>
      <c r="T2" s="70"/>
    </row>
    <row r="3" spans="1:29" s="4" customFormat="1" ht="13.5" thickBot="1">
      <c r="A3" s="412"/>
      <c r="B3" s="475">
        <f>+Balance!A4</f>
        <v>43100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" t="str">
        <f>Balance!B3</f>
        <v>АКБ "Микрокредитбанк"</v>
      </c>
      <c r="Q3" s="138"/>
      <c r="R3" s="138"/>
      <c r="S3" s="138"/>
      <c r="T3" s="138"/>
    </row>
    <row r="4" spans="1:29">
      <c r="A4" s="741"/>
      <c r="B4" s="744" t="s">
        <v>130</v>
      </c>
      <c r="C4" s="744" t="s">
        <v>131</v>
      </c>
      <c r="D4" s="413" t="s">
        <v>129</v>
      </c>
      <c r="E4" s="413"/>
      <c r="F4" s="335"/>
      <c r="G4" s="735" t="s">
        <v>129</v>
      </c>
      <c r="H4" s="735"/>
      <c r="I4" s="735"/>
      <c r="J4" s="735"/>
      <c r="K4" s="735"/>
      <c r="L4" s="735"/>
      <c r="M4" s="735"/>
      <c r="N4" s="735"/>
      <c r="O4" s="735"/>
      <c r="P4" s="735"/>
      <c r="Q4" s="735"/>
      <c r="R4" s="735"/>
      <c r="S4" s="735"/>
      <c r="T4" s="736"/>
    </row>
    <row r="5" spans="1:29">
      <c r="A5" s="742"/>
      <c r="B5" s="745"/>
      <c r="C5" s="745"/>
      <c r="D5" s="737" t="s">
        <v>132</v>
      </c>
      <c r="E5" s="737" t="s">
        <v>133</v>
      </c>
      <c r="F5" s="745" t="s">
        <v>134</v>
      </c>
      <c r="G5" s="737" t="s">
        <v>135</v>
      </c>
      <c r="H5" s="737" t="s">
        <v>136</v>
      </c>
      <c r="I5" s="81" t="s">
        <v>129</v>
      </c>
      <c r="J5" s="737" t="s">
        <v>137</v>
      </c>
      <c r="K5" s="737" t="s">
        <v>138</v>
      </c>
      <c r="L5" s="737" t="s">
        <v>139</v>
      </c>
      <c r="M5" s="737" t="s">
        <v>140</v>
      </c>
      <c r="N5" s="737" t="s">
        <v>141</v>
      </c>
      <c r="O5" s="737" t="s">
        <v>142</v>
      </c>
      <c r="P5" s="737" t="s">
        <v>143</v>
      </c>
      <c r="Q5" s="737" t="s">
        <v>145</v>
      </c>
      <c r="R5" s="737" t="s">
        <v>146</v>
      </c>
      <c r="S5" s="737" t="s">
        <v>147</v>
      </c>
      <c r="T5" s="739" t="s">
        <v>148</v>
      </c>
    </row>
    <row r="6" spans="1:29" ht="96.75" customHeight="1" thickBot="1">
      <c r="A6" s="743"/>
      <c r="B6" s="746"/>
      <c r="C6" s="746"/>
      <c r="D6" s="738"/>
      <c r="E6" s="738"/>
      <c r="F6" s="746"/>
      <c r="G6" s="738"/>
      <c r="H6" s="738"/>
      <c r="I6" s="404" t="s">
        <v>853</v>
      </c>
      <c r="J6" s="738"/>
      <c r="K6" s="738"/>
      <c r="L6" s="738"/>
      <c r="M6" s="738"/>
      <c r="N6" s="738"/>
      <c r="O6" s="738"/>
      <c r="P6" s="738"/>
      <c r="Q6" s="738"/>
      <c r="R6" s="738"/>
      <c r="S6" s="738"/>
      <c r="T6" s="740"/>
      <c r="V6" s="72"/>
      <c r="W6" s="4"/>
    </row>
    <row r="7" spans="1:29" s="403" customFormat="1">
      <c r="A7" s="73" t="s">
        <v>149</v>
      </c>
      <c r="B7" s="74" t="s">
        <v>150</v>
      </c>
      <c r="C7" s="74" t="s">
        <v>10</v>
      </c>
      <c r="D7" s="75" t="s">
        <v>11</v>
      </c>
      <c r="E7" s="75" t="s">
        <v>12</v>
      </c>
      <c r="F7" s="75" t="s">
        <v>50</v>
      </c>
      <c r="G7" s="75" t="s">
        <v>51</v>
      </c>
      <c r="H7" s="75" t="s">
        <v>75</v>
      </c>
      <c r="I7" s="74" t="s">
        <v>854</v>
      </c>
      <c r="J7" s="75" t="s">
        <v>151</v>
      </c>
      <c r="K7" s="75" t="s">
        <v>152</v>
      </c>
      <c r="L7" s="75" t="s">
        <v>153</v>
      </c>
      <c r="M7" s="75" t="s">
        <v>154</v>
      </c>
      <c r="N7" s="75" t="s">
        <v>155</v>
      </c>
      <c r="O7" s="75" t="s">
        <v>156</v>
      </c>
      <c r="P7" s="75" t="s">
        <v>157</v>
      </c>
      <c r="Q7" s="75" t="s">
        <v>158</v>
      </c>
      <c r="R7" s="75" t="s">
        <v>159</v>
      </c>
      <c r="S7" s="75" t="s">
        <v>160</v>
      </c>
      <c r="T7" s="76" t="s">
        <v>161</v>
      </c>
    </row>
    <row r="8" spans="1:29">
      <c r="A8" s="77"/>
      <c r="B8" s="78" t="s">
        <v>162</v>
      </c>
      <c r="C8" s="79"/>
      <c r="D8" s="80"/>
      <c r="E8" s="80"/>
      <c r="F8" s="405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V8" s="4"/>
    </row>
    <row r="9" spans="1:29">
      <c r="A9" s="81">
        <v>10</v>
      </c>
      <c r="B9" s="41" t="s">
        <v>163</v>
      </c>
      <c r="C9" s="50">
        <f>SUM(G9:T9)-I9</f>
        <v>14276766</v>
      </c>
      <c r="D9" s="82">
        <f>+SUM(G9:T9)</f>
        <v>14276766</v>
      </c>
      <c r="E9" s="82"/>
      <c r="F9" s="406">
        <v>0.16</v>
      </c>
      <c r="G9" s="82"/>
      <c r="H9" s="82"/>
      <c r="I9" s="82"/>
      <c r="J9" s="82">
        <v>4960453</v>
      </c>
      <c r="K9" s="82"/>
      <c r="L9" s="82">
        <v>3609587</v>
      </c>
      <c r="M9" s="82"/>
      <c r="N9" s="82"/>
      <c r="O9" s="82"/>
      <c r="P9" s="82">
        <v>5706726</v>
      </c>
      <c r="Q9" s="82"/>
      <c r="R9" s="82"/>
      <c r="S9" s="82"/>
      <c r="T9" s="82"/>
      <c r="W9" s="83"/>
      <c r="AC9" s="84"/>
    </row>
    <row r="10" spans="1:29" ht="12.75" customHeight="1">
      <c r="A10" s="81">
        <f t="shared" ref="A10:A73" si="0">A9+10</f>
        <v>20</v>
      </c>
      <c r="B10" s="41" t="s">
        <v>164</v>
      </c>
      <c r="C10" s="50">
        <f t="shared" ref="C10:C15" si="1">SUM(G10:T10)-I10</f>
        <v>55895043</v>
      </c>
      <c r="D10" s="82">
        <f>+SUM(G10:T10)</f>
        <v>55895043</v>
      </c>
      <c r="E10" s="82"/>
      <c r="F10" s="406">
        <v>0.16</v>
      </c>
      <c r="G10" s="82"/>
      <c r="H10" s="82"/>
      <c r="I10" s="82"/>
      <c r="J10" s="82">
        <v>1728447</v>
      </c>
      <c r="K10" s="82"/>
      <c r="L10" s="82">
        <v>3647876</v>
      </c>
      <c r="M10" s="82"/>
      <c r="N10" s="82"/>
      <c r="O10" s="82"/>
      <c r="P10" s="82">
        <v>50518720</v>
      </c>
      <c r="Q10" s="82"/>
      <c r="R10" s="82"/>
      <c r="S10" s="82"/>
      <c r="T10" s="82"/>
      <c r="W10" s="83"/>
    </row>
    <row r="11" spans="1:29" s="87" customFormat="1">
      <c r="A11" s="85">
        <f t="shared" si="0"/>
        <v>30</v>
      </c>
      <c r="B11" s="86" t="s">
        <v>165</v>
      </c>
      <c r="C11" s="50">
        <f t="shared" si="1"/>
        <v>6560620</v>
      </c>
      <c r="D11" s="82">
        <f>+SUM(G11:T11)</f>
        <v>6560620</v>
      </c>
      <c r="E11" s="113"/>
      <c r="F11" s="406">
        <v>0.16</v>
      </c>
      <c r="G11" s="82"/>
      <c r="H11" s="113"/>
      <c r="I11" s="113"/>
      <c r="J11" s="82">
        <v>2045376</v>
      </c>
      <c r="K11" s="82"/>
      <c r="L11" s="82">
        <v>4515244</v>
      </c>
      <c r="M11" s="82"/>
      <c r="N11" s="82"/>
      <c r="O11" s="82"/>
      <c r="P11" s="82"/>
      <c r="Q11" s="82"/>
      <c r="R11" s="82"/>
      <c r="S11" s="82"/>
      <c r="T11" s="82"/>
      <c r="W11" s="83"/>
    </row>
    <row r="12" spans="1:29" s="87" customFormat="1">
      <c r="A12" s="85">
        <f t="shared" si="0"/>
        <v>40</v>
      </c>
      <c r="B12" s="86" t="s">
        <v>166</v>
      </c>
      <c r="C12" s="50">
        <f t="shared" si="1"/>
        <v>139693563</v>
      </c>
      <c r="D12" s="82">
        <f>+SUM(G12:T12)</f>
        <v>139693563</v>
      </c>
      <c r="E12" s="82"/>
      <c r="F12" s="406">
        <v>0.14000000000000001</v>
      </c>
      <c r="G12" s="82"/>
      <c r="H12" s="82"/>
      <c r="I12" s="82"/>
      <c r="J12" s="82">
        <v>52584227</v>
      </c>
      <c r="K12" s="82"/>
      <c r="L12" s="82">
        <v>74035305</v>
      </c>
      <c r="M12" s="82">
        <v>1796900</v>
      </c>
      <c r="N12" s="82"/>
      <c r="O12" s="82"/>
      <c r="P12" s="82">
        <v>6033776</v>
      </c>
      <c r="Q12" s="82"/>
      <c r="R12" s="82"/>
      <c r="S12" s="82"/>
      <c r="T12" s="82">
        <v>5243355</v>
      </c>
      <c r="W12" s="83"/>
    </row>
    <row r="13" spans="1:29" s="87" customFormat="1">
      <c r="A13" s="85">
        <f t="shared" si="0"/>
        <v>50</v>
      </c>
      <c r="B13" s="88" t="s">
        <v>167</v>
      </c>
      <c r="C13" s="50">
        <f t="shared" si="1"/>
        <v>0</v>
      </c>
      <c r="D13" s="82">
        <v>0</v>
      </c>
      <c r="E13" s="82"/>
      <c r="F13" s="406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W13" s="83"/>
    </row>
    <row r="14" spans="1:29" s="87" customFormat="1">
      <c r="A14" s="85">
        <f t="shared" si="0"/>
        <v>60</v>
      </c>
      <c r="B14" s="86" t="s">
        <v>168</v>
      </c>
      <c r="C14" s="50">
        <f t="shared" si="1"/>
        <v>0</v>
      </c>
      <c r="D14" s="82">
        <v>0</v>
      </c>
      <c r="E14" s="82"/>
      <c r="F14" s="407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W14" s="83"/>
    </row>
    <row r="15" spans="1:29" s="87" customFormat="1">
      <c r="A15" s="77">
        <f>A14+10</f>
        <v>70</v>
      </c>
      <c r="B15" s="78" t="s">
        <v>169</v>
      </c>
      <c r="C15" s="79">
        <f t="shared" si="1"/>
        <v>216425992</v>
      </c>
      <c r="D15" s="80">
        <f>SUM(D9:D14)</f>
        <v>216425992</v>
      </c>
      <c r="E15" s="80">
        <f>SUM(E9:E14)</f>
        <v>0</v>
      </c>
      <c r="F15" s="89">
        <f>IF(C15=0,"",(F9*(C9/C15))+(F10*(C10/C15))+(F11*(C11/C15))+(F12*(C12/C15))+(F13*(C13/C15))+(F14*(C14/C15)))</f>
        <v>0.1470908700282173</v>
      </c>
      <c r="G15" s="80">
        <f>SUM(G9:G14)</f>
        <v>0</v>
      </c>
      <c r="H15" s="80">
        <f t="shared" ref="H15:T15" si="2">SUM(H9:H14)</f>
        <v>0</v>
      </c>
      <c r="I15" s="80">
        <f t="shared" si="2"/>
        <v>0</v>
      </c>
      <c r="J15" s="80">
        <f t="shared" si="2"/>
        <v>61318503</v>
      </c>
      <c r="K15" s="80">
        <f t="shared" si="2"/>
        <v>0</v>
      </c>
      <c r="L15" s="80">
        <f t="shared" si="2"/>
        <v>85808012</v>
      </c>
      <c r="M15" s="80">
        <f t="shared" si="2"/>
        <v>1796900</v>
      </c>
      <c r="N15" s="80">
        <f t="shared" si="2"/>
        <v>0</v>
      </c>
      <c r="O15" s="80">
        <f t="shared" si="2"/>
        <v>0</v>
      </c>
      <c r="P15" s="80">
        <f t="shared" si="2"/>
        <v>62259222</v>
      </c>
      <c r="Q15" s="80">
        <f t="shared" si="2"/>
        <v>0</v>
      </c>
      <c r="R15" s="80">
        <f t="shared" si="2"/>
        <v>0</v>
      </c>
      <c r="S15" s="80">
        <f t="shared" si="2"/>
        <v>0</v>
      </c>
      <c r="T15" s="80">
        <f t="shared" si="2"/>
        <v>5243355</v>
      </c>
      <c r="V15" s="90"/>
      <c r="W15" s="83"/>
    </row>
    <row r="16" spans="1:29" s="87" customFormat="1">
      <c r="A16" s="77"/>
      <c r="B16" s="78" t="s">
        <v>170</v>
      </c>
      <c r="C16" s="79"/>
      <c r="D16" s="80"/>
      <c r="E16" s="80"/>
      <c r="F16" s="405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V16" s="90"/>
      <c r="W16" s="83"/>
    </row>
    <row r="17" spans="1:23" s="87" customFormat="1">
      <c r="A17" s="81">
        <f>A15+10</f>
        <v>80</v>
      </c>
      <c r="B17" s="41" t="s">
        <v>163</v>
      </c>
      <c r="C17" s="50">
        <f t="shared" ref="C17:C24" si="3">SUM(G17:T17)-I17</f>
        <v>137890348</v>
      </c>
      <c r="D17" s="82">
        <f>+SUM(G17:T17)</f>
        <v>137890348</v>
      </c>
      <c r="E17" s="82"/>
      <c r="F17" s="406">
        <v>0.13</v>
      </c>
      <c r="G17" s="82"/>
      <c r="H17" s="82"/>
      <c r="I17" s="82"/>
      <c r="J17" s="82">
        <v>9473254</v>
      </c>
      <c r="K17" s="82"/>
      <c r="L17" s="82">
        <v>12901203</v>
      </c>
      <c r="M17" s="82"/>
      <c r="N17" s="82"/>
      <c r="O17" s="82"/>
      <c r="P17" s="82">
        <v>110089436</v>
      </c>
      <c r="Q17" s="82"/>
      <c r="R17" s="82"/>
      <c r="S17" s="82"/>
      <c r="T17" s="82">
        <v>5426455</v>
      </c>
      <c r="W17" s="83"/>
    </row>
    <row r="18" spans="1:23" s="87" customFormat="1">
      <c r="A18" s="81">
        <f t="shared" si="0"/>
        <v>90</v>
      </c>
      <c r="B18" s="41" t="s">
        <v>164</v>
      </c>
      <c r="C18" s="50">
        <f t="shared" si="3"/>
        <v>56823460</v>
      </c>
      <c r="D18" s="82">
        <f t="shared" ref="D18:D23" si="4">+SUM(G18:T18)</f>
        <v>56823460</v>
      </c>
      <c r="E18" s="82"/>
      <c r="F18" s="406">
        <v>0.14000000000000001</v>
      </c>
      <c r="G18" s="82"/>
      <c r="H18" s="82"/>
      <c r="I18" s="82"/>
      <c r="J18" s="82">
        <v>22095034</v>
      </c>
      <c r="K18" s="82"/>
      <c r="L18" s="82">
        <v>22460581</v>
      </c>
      <c r="M18" s="82"/>
      <c r="N18" s="82"/>
      <c r="O18" s="82"/>
      <c r="P18" s="82">
        <v>12267845</v>
      </c>
      <c r="Q18" s="82"/>
      <c r="R18" s="82"/>
      <c r="S18" s="82"/>
      <c r="T18" s="82"/>
      <c r="W18" s="83"/>
    </row>
    <row r="19" spans="1:23">
      <c r="A19" s="85">
        <f t="shared" si="0"/>
        <v>100</v>
      </c>
      <c r="B19" s="86" t="s">
        <v>165</v>
      </c>
      <c r="C19" s="50">
        <f t="shared" si="3"/>
        <v>0</v>
      </c>
      <c r="D19" s="82">
        <f t="shared" si="4"/>
        <v>0</v>
      </c>
      <c r="E19" s="113"/>
      <c r="F19" s="406"/>
      <c r="G19" s="82"/>
      <c r="H19" s="113"/>
      <c r="I19" s="113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W19" s="83"/>
    </row>
    <row r="20" spans="1:23">
      <c r="A20" s="85">
        <f t="shared" si="0"/>
        <v>110</v>
      </c>
      <c r="B20" s="86" t="s">
        <v>166</v>
      </c>
      <c r="C20" s="50">
        <f t="shared" si="3"/>
        <v>105931280</v>
      </c>
      <c r="D20" s="82">
        <f t="shared" si="4"/>
        <v>105931280</v>
      </c>
      <c r="E20" s="82"/>
      <c r="F20" s="406">
        <v>0.14000000000000001</v>
      </c>
      <c r="G20" s="82"/>
      <c r="H20" s="82"/>
      <c r="I20" s="82"/>
      <c r="J20" s="82">
        <v>37468720</v>
      </c>
      <c r="K20" s="82"/>
      <c r="L20" s="82">
        <v>58021690</v>
      </c>
      <c r="M20" s="82"/>
      <c r="N20" s="82"/>
      <c r="O20" s="82"/>
      <c r="P20" s="82">
        <v>10440870</v>
      </c>
      <c r="Q20" s="82"/>
      <c r="R20" s="82"/>
      <c r="S20" s="82"/>
      <c r="T20" s="82">
        <v>0</v>
      </c>
      <c r="W20" s="83"/>
    </row>
    <row r="21" spans="1:23">
      <c r="A21" s="85">
        <f>A20+10</f>
        <v>120</v>
      </c>
      <c r="B21" s="86" t="s">
        <v>171</v>
      </c>
      <c r="C21" s="50">
        <f t="shared" si="3"/>
        <v>0</v>
      </c>
      <c r="D21" s="82">
        <f t="shared" si="4"/>
        <v>0</v>
      </c>
      <c r="E21" s="82"/>
      <c r="F21" s="406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W21" s="83"/>
    </row>
    <row r="22" spans="1:23">
      <c r="A22" s="85">
        <f t="shared" si="0"/>
        <v>130</v>
      </c>
      <c r="B22" s="88" t="s">
        <v>167</v>
      </c>
      <c r="C22" s="50">
        <f t="shared" si="3"/>
        <v>0</v>
      </c>
      <c r="D22" s="82">
        <f t="shared" si="4"/>
        <v>0</v>
      </c>
      <c r="E22" s="82"/>
      <c r="F22" s="407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W22" s="83"/>
    </row>
    <row r="23" spans="1:23">
      <c r="A23" s="85">
        <f>A22+10</f>
        <v>140</v>
      </c>
      <c r="B23" s="86" t="s">
        <v>168</v>
      </c>
      <c r="C23" s="50">
        <f t="shared" si="3"/>
        <v>0</v>
      </c>
      <c r="D23" s="82">
        <f t="shared" si="4"/>
        <v>0</v>
      </c>
      <c r="E23" s="82"/>
      <c r="F23" s="407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W23" s="83"/>
    </row>
    <row r="24" spans="1:23">
      <c r="A24" s="77">
        <f>A23+10</f>
        <v>150</v>
      </c>
      <c r="B24" s="78" t="s">
        <v>172</v>
      </c>
      <c r="C24" s="79">
        <f t="shared" si="3"/>
        <v>300645088</v>
      </c>
      <c r="D24" s="80">
        <f>SUM(D17:D23)</f>
        <v>300645088</v>
      </c>
      <c r="E24" s="80">
        <f>SUM(E17:E23)</f>
        <v>0</v>
      </c>
      <c r="F24" s="89">
        <f>IF(C24=0,"",(F17*(C17/C24))+(F18*(C18/C24))+(F19*(C19/C24))+(F20*(C20/C24))+(F21*(C21/C24))+(F22*(C22/C24))+(F23*(C23/C24)))</f>
        <v>0.135413517349733</v>
      </c>
      <c r="G24" s="80">
        <f>SUM(G17:G23)</f>
        <v>0</v>
      </c>
      <c r="H24" s="80">
        <f t="shared" ref="H24:T24" si="5">SUM(H17:H23)</f>
        <v>0</v>
      </c>
      <c r="I24" s="80">
        <f t="shared" si="5"/>
        <v>0</v>
      </c>
      <c r="J24" s="80">
        <f t="shared" si="5"/>
        <v>69037008</v>
      </c>
      <c r="K24" s="80">
        <f t="shared" si="5"/>
        <v>0</v>
      </c>
      <c r="L24" s="80">
        <f t="shared" si="5"/>
        <v>93383474</v>
      </c>
      <c r="M24" s="80">
        <f t="shared" si="5"/>
        <v>0</v>
      </c>
      <c r="N24" s="80">
        <f t="shared" si="5"/>
        <v>0</v>
      </c>
      <c r="O24" s="80">
        <f t="shared" si="5"/>
        <v>0</v>
      </c>
      <c r="P24" s="80">
        <f t="shared" si="5"/>
        <v>132798151</v>
      </c>
      <c r="Q24" s="80">
        <f t="shared" si="5"/>
        <v>0</v>
      </c>
      <c r="R24" s="80">
        <f t="shared" si="5"/>
        <v>0</v>
      </c>
      <c r="S24" s="80">
        <f t="shared" si="5"/>
        <v>0</v>
      </c>
      <c r="T24" s="80">
        <f t="shared" si="5"/>
        <v>5426455</v>
      </c>
      <c r="W24" s="83"/>
    </row>
    <row r="25" spans="1:23">
      <c r="A25" s="77"/>
      <c r="B25" s="78" t="s">
        <v>173</v>
      </c>
      <c r="C25" s="79"/>
      <c r="D25" s="80"/>
      <c r="E25" s="80"/>
      <c r="F25" s="89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V25" s="4"/>
      <c r="W25" s="83"/>
    </row>
    <row r="26" spans="1:23">
      <c r="A26" s="81">
        <f>A24+10</f>
        <v>160</v>
      </c>
      <c r="B26" s="41" t="s">
        <v>163</v>
      </c>
      <c r="C26" s="50">
        <f t="shared" ref="C26:C32" si="6">SUM(G26:T26)-I26</f>
        <v>25275397</v>
      </c>
      <c r="D26" s="82">
        <f t="shared" ref="D26:D31" si="7">+SUM(G26:T26)</f>
        <v>25275397</v>
      </c>
      <c r="E26" s="82"/>
      <c r="F26" s="406">
        <v>0.14000000000000001</v>
      </c>
      <c r="G26" s="82">
        <v>502345</v>
      </c>
      <c r="H26" s="82"/>
      <c r="I26" s="82"/>
      <c r="J26" s="82">
        <v>19303796</v>
      </c>
      <c r="K26" s="82"/>
      <c r="L26" s="82">
        <v>4373750</v>
      </c>
      <c r="M26" s="82"/>
      <c r="N26" s="82"/>
      <c r="O26" s="82"/>
      <c r="P26" s="82">
        <v>743361</v>
      </c>
      <c r="Q26" s="82"/>
      <c r="R26" s="82"/>
      <c r="S26" s="82"/>
      <c r="T26" s="82">
        <v>352145</v>
      </c>
      <c r="W26" s="83"/>
    </row>
    <row r="27" spans="1:23">
      <c r="A27" s="81">
        <f t="shared" si="0"/>
        <v>170</v>
      </c>
      <c r="B27" s="41" t="s">
        <v>164</v>
      </c>
      <c r="C27" s="50">
        <f t="shared" si="6"/>
        <v>6469866</v>
      </c>
      <c r="D27" s="82">
        <f t="shared" si="7"/>
        <v>6469866</v>
      </c>
      <c r="E27" s="82"/>
      <c r="F27" s="406">
        <v>0.16</v>
      </c>
      <c r="G27" s="82"/>
      <c r="H27" s="82"/>
      <c r="I27" s="82"/>
      <c r="J27" s="82">
        <v>5959815</v>
      </c>
      <c r="K27" s="82"/>
      <c r="L27" s="82">
        <v>510051</v>
      </c>
      <c r="M27" s="82"/>
      <c r="N27" s="82"/>
      <c r="O27" s="82"/>
      <c r="P27" s="82"/>
      <c r="Q27" s="82"/>
      <c r="R27" s="82"/>
      <c r="S27" s="82"/>
      <c r="T27" s="82"/>
      <c r="W27" s="83"/>
    </row>
    <row r="28" spans="1:23">
      <c r="A28" s="85">
        <f t="shared" si="0"/>
        <v>180</v>
      </c>
      <c r="B28" s="86" t="s">
        <v>165</v>
      </c>
      <c r="C28" s="50">
        <f t="shared" si="6"/>
        <v>0</v>
      </c>
      <c r="D28" s="82">
        <f t="shared" si="7"/>
        <v>0</v>
      </c>
      <c r="E28" s="113"/>
      <c r="F28" s="406"/>
      <c r="G28" s="82"/>
      <c r="H28" s="113"/>
      <c r="I28" s="113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W28" s="83"/>
    </row>
    <row r="29" spans="1:23">
      <c r="A29" s="85">
        <f t="shared" si="0"/>
        <v>190</v>
      </c>
      <c r="B29" s="86" t="s">
        <v>166</v>
      </c>
      <c r="C29" s="50">
        <f t="shared" si="6"/>
        <v>138791421</v>
      </c>
      <c r="D29" s="82">
        <f t="shared" si="7"/>
        <v>138791421</v>
      </c>
      <c r="E29" s="82"/>
      <c r="F29" s="406">
        <v>0.14000000000000001</v>
      </c>
      <c r="G29" s="82">
        <v>2297231</v>
      </c>
      <c r="H29" s="82"/>
      <c r="I29" s="82"/>
      <c r="J29" s="82">
        <v>120331781</v>
      </c>
      <c r="K29" s="82"/>
      <c r="L29" s="82">
        <v>16162409</v>
      </c>
      <c r="M29" s="82"/>
      <c r="N29" s="82"/>
      <c r="O29" s="82"/>
      <c r="P29" s="82"/>
      <c r="Q29" s="82"/>
      <c r="R29" s="82"/>
      <c r="S29" s="82"/>
      <c r="T29" s="82"/>
      <c r="W29" s="83"/>
    </row>
    <row r="30" spans="1:23">
      <c r="A30" s="85">
        <f t="shared" si="0"/>
        <v>200</v>
      </c>
      <c r="B30" s="88" t="s">
        <v>167</v>
      </c>
      <c r="C30" s="50">
        <f t="shared" si="6"/>
        <v>0</v>
      </c>
      <c r="D30" s="82">
        <f t="shared" si="7"/>
        <v>0</v>
      </c>
      <c r="E30" s="82"/>
      <c r="F30" s="406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W30" s="83"/>
    </row>
    <row r="31" spans="1:23">
      <c r="A31" s="85">
        <f t="shared" si="0"/>
        <v>210</v>
      </c>
      <c r="B31" s="86" t="s">
        <v>168</v>
      </c>
      <c r="C31" s="50">
        <f t="shared" si="6"/>
        <v>0</v>
      </c>
      <c r="D31" s="82">
        <f t="shared" si="7"/>
        <v>0</v>
      </c>
      <c r="E31" s="82"/>
      <c r="F31" s="407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W31" s="83"/>
    </row>
    <row r="32" spans="1:23">
      <c r="A32" s="77">
        <f>A31+10</f>
        <v>220</v>
      </c>
      <c r="B32" s="78" t="s">
        <v>174</v>
      </c>
      <c r="C32" s="79">
        <f t="shared" si="6"/>
        <v>170536684</v>
      </c>
      <c r="D32" s="80">
        <f>SUM(D26:D31)</f>
        <v>170536684</v>
      </c>
      <c r="E32" s="80">
        <f>SUM(E26:E31)</f>
        <v>0</v>
      </c>
      <c r="F32" s="89">
        <f>IF(C32=0,"",(F26*(C26/C32))+(F27*(C27/C32))+(F28*(C28/C32))+(F29*(C29/C32))+(F30*(C30/C32))+(F31*(C31/C32)))</f>
        <v>0.14075876531057682</v>
      </c>
      <c r="G32" s="80">
        <f>SUM(G26:G31)</f>
        <v>2799576</v>
      </c>
      <c r="H32" s="80">
        <f t="shared" ref="H32:T32" si="8">SUM(H26:H31)</f>
        <v>0</v>
      </c>
      <c r="I32" s="80">
        <f t="shared" si="8"/>
        <v>0</v>
      </c>
      <c r="J32" s="80">
        <f t="shared" si="8"/>
        <v>145595392</v>
      </c>
      <c r="K32" s="80">
        <f t="shared" si="8"/>
        <v>0</v>
      </c>
      <c r="L32" s="80">
        <f t="shared" si="8"/>
        <v>21046210</v>
      </c>
      <c r="M32" s="80">
        <f t="shared" si="8"/>
        <v>0</v>
      </c>
      <c r="N32" s="80">
        <f t="shared" si="8"/>
        <v>0</v>
      </c>
      <c r="O32" s="80">
        <f t="shared" si="8"/>
        <v>0</v>
      </c>
      <c r="P32" s="80">
        <f t="shared" si="8"/>
        <v>743361</v>
      </c>
      <c r="Q32" s="80">
        <f t="shared" si="8"/>
        <v>0</v>
      </c>
      <c r="R32" s="80">
        <f t="shared" si="8"/>
        <v>0</v>
      </c>
      <c r="S32" s="80">
        <f t="shared" si="8"/>
        <v>0</v>
      </c>
      <c r="T32" s="80">
        <f t="shared" si="8"/>
        <v>352145</v>
      </c>
      <c r="W32" s="83"/>
    </row>
    <row r="33" spans="1:23">
      <c r="A33" s="77"/>
      <c r="B33" s="78" t="s">
        <v>175</v>
      </c>
      <c r="C33" s="79"/>
      <c r="D33" s="80"/>
      <c r="E33" s="80"/>
      <c r="F33" s="89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W33" s="83"/>
    </row>
    <row r="34" spans="1:23">
      <c r="A34" s="81">
        <f>A32+10</f>
        <v>230</v>
      </c>
      <c r="B34" s="41" t="s">
        <v>163</v>
      </c>
      <c r="C34" s="50">
        <f t="shared" ref="C34:C40" si="9">SUM(G34:T34)-I34</f>
        <v>51518565</v>
      </c>
      <c r="D34" s="82">
        <f t="shared" ref="D34:D39" si="10">+SUM(G34:T34)</f>
        <v>51518565</v>
      </c>
      <c r="E34" s="82"/>
      <c r="F34" s="406">
        <v>0.15</v>
      </c>
      <c r="G34" s="82"/>
      <c r="H34" s="82"/>
      <c r="I34" s="82"/>
      <c r="J34" s="82">
        <v>8046631</v>
      </c>
      <c r="K34" s="82"/>
      <c r="L34" s="82">
        <v>16814400</v>
      </c>
      <c r="M34" s="82"/>
      <c r="N34" s="82"/>
      <c r="O34" s="82"/>
      <c r="P34" s="82">
        <v>26514988</v>
      </c>
      <c r="Q34" s="82"/>
      <c r="R34" s="82"/>
      <c r="S34" s="82"/>
      <c r="T34" s="82">
        <v>142546</v>
      </c>
      <c r="W34" s="83"/>
    </row>
    <row r="35" spans="1:23">
      <c r="A35" s="81">
        <f t="shared" si="0"/>
        <v>240</v>
      </c>
      <c r="B35" s="41" t="s">
        <v>164</v>
      </c>
      <c r="C35" s="50">
        <f t="shared" si="9"/>
        <v>6926416</v>
      </c>
      <c r="D35" s="82">
        <f t="shared" si="10"/>
        <v>6926416</v>
      </c>
      <c r="E35" s="82"/>
      <c r="F35" s="406">
        <v>0.14000000000000001</v>
      </c>
      <c r="G35" s="82"/>
      <c r="H35" s="82"/>
      <c r="I35" s="82"/>
      <c r="J35" s="82">
        <v>2957132</v>
      </c>
      <c r="K35" s="82"/>
      <c r="L35" s="82">
        <v>3648123</v>
      </c>
      <c r="M35" s="82"/>
      <c r="N35" s="82"/>
      <c r="O35" s="82"/>
      <c r="P35" s="82">
        <v>321161</v>
      </c>
      <c r="Q35" s="82"/>
      <c r="R35" s="82"/>
      <c r="S35" s="82"/>
      <c r="T35" s="82"/>
      <c r="W35" s="83"/>
    </row>
    <row r="36" spans="1:23">
      <c r="A36" s="85">
        <f t="shared" si="0"/>
        <v>250</v>
      </c>
      <c r="B36" s="86" t="s">
        <v>165</v>
      </c>
      <c r="C36" s="50">
        <f t="shared" si="9"/>
        <v>0</v>
      </c>
      <c r="D36" s="82">
        <f t="shared" si="10"/>
        <v>0</v>
      </c>
      <c r="E36" s="113"/>
      <c r="F36" s="406"/>
      <c r="G36" s="82"/>
      <c r="H36" s="113"/>
      <c r="I36" s="113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W36" s="83"/>
    </row>
    <row r="37" spans="1:23">
      <c r="A37" s="85">
        <f t="shared" si="0"/>
        <v>260</v>
      </c>
      <c r="B37" s="86" t="s">
        <v>166</v>
      </c>
      <c r="C37" s="50">
        <f t="shared" si="9"/>
        <v>120243894</v>
      </c>
      <c r="D37" s="82">
        <f t="shared" si="10"/>
        <v>120243894</v>
      </c>
      <c r="E37" s="82"/>
      <c r="F37" s="406">
        <v>0.14000000000000001</v>
      </c>
      <c r="G37" s="82"/>
      <c r="H37" s="82"/>
      <c r="I37" s="82"/>
      <c r="J37" s="82">
        <v>41263190</v>
      </c>
      <c r="K37" s="82"/>
      <c r="L37" s="82">
        <v>70055647</v>
      </c>
      <c r="M37" s="82">
        <v>1264299</v>
      </c>
      <c r="N37" s="82"/>
      <c r="O37" s="82"/>
      <c r="P37" s="82">
        <v>5715489</v>
      </c>
      <c r="Q37" s="82"/>
      <c r="R37" s="82"/>
      <c r="S37" s="82"/>
      <c r="T37" s="82">
        <v>1945269</v>
      </c>
      <c r="W37" s="83"/>
    </row>
    <row r="38" spans="1:23">
      <c r="A38" s="85">
        <f t="shared" si="0"/>
        <v>270</v>
      </c>
      <c r="B38" s="88" t="s">
        <v>167</v>
      </c>
      <c r="C38" s="50">
        <f t="shared" si="9"/>
        <v>0</v>
      </c>
      <c r="D38" s="82">
        <f t="shared" si="10"/>
        <v>0</v>
      </c>
      <c r="E38" s="82"/>
      <c r="F38" s="406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W38" s="83"/>
    </row>
    <row r="39" spans="1:23">
      <c r="A39" s="85">
        <f>A38+10</f>
        <v>280</v>
      </c>
      <c r="B39" s="86" t="s">
        <v>168</v>
      </c>
      <c r="C39" s="50">
        <f t="shared" si="9"/>
        <v>0</v>
      </c>
      <c r="D39" s="82">
        <f t="shared" si="10"/>
        <v>0</v>
      </c>
      <c r="E39" s="82"/>
      <c r="F39" s="407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W39" s="83"/>
    </row>
    <row r="40" spans="1:23">
      <c r="A40" s="77">
        <f>A39+10</f>
        <v>290</v>
      </c>
      <c r="B40" s="78" t="s">
        <v>176</v>
      </c>
      <c r="C40" s="79">
        <f t="shared" si="9"/>
        <v>178688875</v>
      </c>
      <c r="D40" s="80">
        <f>SUM(D34:D39)</f>
        <v>178688875</v>
      </c>
      <c r="E40" s="80">
        <f>SUM(E34:E39)</f>
        <v>0</v>
      </c>
      <c r="F40" s="89">
        <f>IF(C40=0,"",(F34*(C34/C40))+(F35*(C35/C40))+(F36*(C36/C40))+(F37*(C37/C40))+(F38*(C38/C40))+(F39*(C39/C40)))</f>
        <v>0.14288314339658809</v>
      </c>
      <c r="G40" s="80">
        <f>SUM(G34:G39)</f>
        <v>0</v>
      </c>
      <c r="H40" s="80">
        <f t="shared" ref="H40:T40" si="11">SUM(H34:H39)</f>
        <v>0</v>
      </c>
      <c r="I40" s="80">
        <f t="shared" si="11"/>
        <v>0</v>
      </c>
      <c r="J40" s="80">
        <f t="shared" si="11"/>
        <v>52266953</v>
      </c>
      <c r="K40" s="80">
        <f t="shared" si="11"/>
        <v>0</v>
      </c>
      <c r="L40" s="80">
        <f t="shared" si="11"/>
        <v>90518170</v>
      </c>
      <c r="M40" s="80">
        <f t="shared" si="11"/>
        <v>1264299</v>
      </c>
      <c r="N40" s="80">
        <f t="shared" si="11"/>
        <v>0</v>
      </c>
      <c r="O40" s="80">
        <f t="shared" si="11"/>
        <v>0</v>
      </c>
      <c r="P40" s="80">
        <f t="shared" si="11"/>
        <v>32551638</v>
      </c>
      <c r="Q40" s="80">
        <f t="shared" si="11"/>
        <v>0</v>
      </c>
      <c r="R40" s="80">
        <f t="shared" si="11"/>
        <v>0</v>
      </c>
      <c r="S40" s="80">
        <f t="shared" si="11"/>
        <v>0</v>
      </c>
      <c r="T40" s="80">
        <f t="shared" si="11"/>
        <v>2087815</v>
      </c>
      <c r="W40" s="83"/>
    </row>
    <row r="41" spans="1:23">
      <c r="A41" s="77"/>
      <c r="B41" s="78" t="s">
        <v>177</v>
      </c>
      <c r="C41" s="79"/>
      <c r="D41" s="80"/>
      <c r="E41" s="80"/>
      <c r="F41" s="89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W41" s="83"/>
    </row>
    <row r="42" spans="1:23">
      <c r="A42" s="81">
        <f>A40+10</f>
        <v>300</v>
      </c>
      <c r="B42" s="41" t="s">
        <v>163</v>
      </c>
      <c r="C42" s="50">
        <f t="shared" ref="C42:C48" si="12">SUM(G42:T42)-I42</f>
        <v>85164109</v>
      </c>
      <c r="D42" s="82">
        <f t="shared" ref="D42:D47" si="13">+SUM(G42:T42)</f>
        <v>85164109</v>
      </c>
      <c r="E42" s="82"/>
      <c r="F42" s="406">
        <v>0.16</v>
      </c>
      <c r="G42" s="82"/>
      <c r="H42" s="82"/>
      <c r="I42" s="82"/>
      <c r="J42" s="82">
        <v>24642013</v>
      </c>
      <c r="K42" s="82"/>
      <c r="L42" s="82">
        <v>35660511</v>
      </c>
      <c r="M42" s="82"/>
      <c r="N42" s="82"/>
      <c r="O42" s="82"/>
      <c r="P42" s="82">
        <v>24007477</v>
      </c>
      <c r="Q42" s="82"/>
      <c r="R42" s="82"/>
      <c r="S42" s="82"/>
      <c r="T42" s="82">
        <v>854108</v>
      </c>
      <c r="W42" s="83"/>
    </row>
    <row r="43" spans="1:23">
      <c r="A43" s="81">
        <f t="shared" si="0"/>
        <v>310</v>
      </c>
      <c r="B43" s="41" t="s">
        <v>164</v>
      </c>
      <c r="C43" s="50">
        <f t="shared" si="12"/>
        <v>11994969</v>
      </c>
      <c r="D43" s="82">
        <f t="shared" si="13"/>
        <v>11994969</v>
      </c>
      <c r="E43" s="82"/>
      <c r="F43" s="406">
        <v>0.15</v>
      </c>
      <c r="G43" s="82"/>
      <c r="H43" s="82"/>
      <c r="I43" s="82"/>
      <c r="J43" s="82">
        <v>3967574</v>
      </c>
      <c r="K43" s="82"/>
      <c r="L43" s="82">
        <v>6906074</v>
      </c>
      <c r="M43" s="82"/>
      <c r="N43" s="82"/>
      <c r="O43" s="82"/>
      <c r="P43" s="82">
        <v>395199</v>
      </c>
      <c r="Q43" s="82"/>
      <c r="R43" s="82"/>
      <c r="S43" s="82"/>
      <c r="T43" s="82">
        <v>726122</v>
      </c>
      <c r="W43" s="83"/>
    </row>
    <row r="44" spans="1:23">
      <c r="A44" s="85">
        <f t="shared" si="0"/>
        <v>320</v>
      </c>
      <c r="B44" s="86" t="s">
        <v>165</v>
      </c>
      <c r="C44" s="50">
        <f t="shared" si="12"/>
        <v>0</v>
      </c>
      <c r="D44" s="82">
        <f t="shared" si="13"/>
        <v>0</v>
      </c>
      <c r="E44" s="113"/>
      <c r="F44" s="406"/>
      <c r="G44" s="82"/>
      <c r="H44" s="113"/>
      <c r="I44" s="113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W44" s="83"/>
    </row>
    <row r="45" spans="1:23">
      <c r="A45" s="85">
        <f t="shared" si="0"/>
        <v>330</v>
      </c>
      <c r="B45" s="86" t="s">
        <v>166</v>
      </c>
      <c r="C45" s="50">
        <f t="shared" si="12"/>
        <v>43054871</v>
      </c>
      <c r="D45" s="82">
        <f t="shared" si="13"/>
        <v>43054871</v>
      </c>
      <c r="E45" s="82"/>
      <c r="F45" s="406">
        <v>0.16</v>
      </c>
      <c r="G45" s="82"/>
      <c r="H45" s="82"/>
      <c r="I45" s="82"/>
      <c r="J45" s="82">
        <v>14946585</v>
      </c>
      <c r="K45" s="82"/>
      <c r="L45" s="82">
        <v>26474322</v>
      </c>
      <c r="M45" s="82"/>
      <c r="N45" s="82"/>
      <c r="O45" s="82"/>
      <c r="P45" s="82">
        <v>1203581</v>
      </c>
      <c r="Q45" s="82"/>
      <c r="R45" s="82"/>
      <c r="S45" s="82"/>
      <c r="T45" s="82">
        <v>430383</v>
      </c>
      <c r="W45" s="83"/>
    </row>
    <row r="46" spans="1:23">
      <c r="A46" s="85">
        <f t="shared" si="0"/>
        <v>340</v>
      </c>
      <c r="B46" s="88" t="s">
        <v>167</v>
      </c>
      <c r="C46" s="50">
        <f t="shared" si="12"/>
        <v>0</v>
      </c>
      <c r="D46" s="82">
        <f t="shared" si="13"/>
        <v>0</v>
      </c>
      <c r="E46" s="82"/>
      <c r="F46" s="406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W46" s="83"/>
    </row>
    <row r="47" spans="1:23">
      <c r="A47" s="85">
        <f t="shared" si="0"/>
        <v>350</v>
      </c>
      <c r="B47" s="86" t="s">
        <v>168</v>
      </c>
      <c r="C47" s="50">
        <f t="shared" si="12"/>
        <v>0</v>
      </c>
      <c r="D47" s="82">
        <f t="shared" si="13"/>
        <v>0</v>
      </c>
      <c r="E47" s="82"/>
      <c r="F47" s="407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W47" s="83"/>
    </row>
    <row r="48" spans="1:23">
      <c r="A48" s="77">
        <f>A47+10</f>
        <v>360</v>
      </c>
      <c r="B48" s="78" t="s">
        <v>178</v>
      </c>
      <c r="C48" s="79">
        <f t="shared" si="12"/>
        <v>140213949</v>
      </c>
      <c r="D48" s="80">
        <f>SUM(D42:D47)</f>
        <v>140213949</v>
      </c>
      <c r="E48" s="80">
        <f>SUM(E42:E47)</f>
        <v>0</v>
      </c>
      <c r="F48" s="89">
        <f>IF(C48=0,"",(F42*(C42/C48))+(F43*(C43/C48))+(F44*(C44/C48))+(F45*(C45/C48))+(F46*(C46/C48))+(F47*(C47/C48)))</f>
        <v>0.15914452384477096</v>
      </c>
      <c r="G48" s="80">
        <f>SUM(G42:G47)</f>
        <v>0</v>
      </c>
      <c r="H48" s="80">
        <f t="shared" ref="H48:T48" si="14">SUM(H42:H47)</f>
        <v>0</v>
      </c>
      <c r="I48" s="80">
        <f t="shared" si="14"/>
        <v>0</v>
      </c>
      <c r="J48" s="80">
        <f t="shared" si="14"/>
        <v>43556172</v>
      </c>
      <c r="K48" s="80">
        <f t="shared" si="14"/>
        <v>0</v>
      </c>
      <c r="L48" s="80">
        <f t="shared" si="14"/>
        <v>69040907</v>
      </c>
      <c r="M48" s="80">
        <f t="shared" si="14"/>
        <v>0</v>
      </c>
      <c r="N48" s="80">
        <f t="shared" si="14"/>
        <v>0</v>
      </c>
      <c r="O48" s="80">
        <f t="shared" si="14"/>
        <v>0</v>
      </c>
      <c r="P48" s="80">
        <f t="shared" si="14"/>
        <v>25606257</v>
      </c>
      <c r="Q48" s="80">
        <f t="shared" si="14"/>
        <v>0</v>
      </c>
      <c r="R48" s="80">
        <f t="shared" si="14"/>
        <v>0</v>
      </c>
      <c r="S48" s="80">
        <f t="shared" si="14"/>
        <v>0</v>
      </c>
      <c r="T48" s="80">
        <f t="shared" si="14"/>
        <v>2010613</v>
      </c>
      <c r="W48" s="83"/>
    </row>
    <row r="49" spans="1:23">
      <c r="A49" s="77"/>
      <c r="B49" s="78" t="s">
        <v>179</v>
      </c>
      <c r="C49" s="79"/>
      <c r="D49" s="80"/>
      <c r="E49" s="80"/>
      <c r="F49" s="89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W49" s="83"/>
    </row>
    <row r="50" spans="1:23">
      <c r="A50" s="81">
        <f>A48+10</f>
        <v>370</v>
      </c>
      <c r="B50" s="41" t="s">
        <v>163</v>
      </c>
      <c r="C50" s="50">
        <f t="shared" ref="C50:C56" si="15">SUM(G50:T50)-I50</f>
        <v>65829139</v>
      </c>
      <c r="D50" s="82">
        <f t="shared" ref="D50:D55" si="16">+SUM(G50:T50)</f>
        <v>65829139</v>
      </c>
      <c r="E50" s="82"/>
      <c r="F50" s="406">
        <v>0.16</v>
      </c>
      <c r="G50" s="82"/>
      <c r="H50" s="82"/>
      <c r="I50" s="82"/>
      <c r="J50" s="82">
        <v>7068729</v>
      </c>
      <c r="K50" s="82"/>
      <c r="L50" s="82">
        <v>15270285</v>
      </c>
      <c r="M50" s="82"/>
      <c r="N50" s="82"/>
      <c r="O50" s="82"/>
      <c r="P50" s="82">
        <v>42219188</v>
      </c>
      <c r="Q50" s="82"/>
      <c r="R50" s="82"/>
      <c r="S50" s="82"/>
      <c r="T50" s="82">
        <v>1270937</v>
      </c>
      <c r="W50" s="83"/>
    </row>
    <row r="51" spans="1:23">
      <c r="A51" s="81">
        <f t="shared" si="0"/>
        <v>380</v>
      </c>
      <c r="B51" s="41" t="s">
        <v>164</v>
      </c>
      <c r="C51" s="50">
        <f t="shared" si="15"/>
        <v>2035329</v>
      </c>
      <c r="D51" s="82">
        <f t="shared" si="16"/>
        <v>2035329</v>
      </c>
      <c r="E51" s="82"/>
      <c r="F51" s="406">
        <v>0.14000000000000001</v>
      </c>
      <c r="G51" s="82"/>
      <c r="H51" s="82"/>
      <c r="I51" s="82"/>
      <c r="J51" s="82">
        <v>946750</v>
      </c>
      <c r="K51" s="82"/>
      <c r="L51" s="82">
        <v>1088579</v>
      </c>
      <c r="M51" s="82"/>
      <c r="N51" s="82"/>
      <c r="O51" s="82"/>
      <c r="P51" s="82"/>
      <c r="Q51" s="82"/>
      <c r="R51" s="82"/>
      <c r="S51" s="82"/>
      <c r="T51" s="82"/>
      <c r="W51" s="83"/>
    </row>
    <row r="52" spans="1:23">
      <c r="A52" s="85">
        <f t="shared" si="0"/>
        <v>390</v>
      </c>
      <c r="B52" s="86" t="s">
        <v>165</v>
      </c>
      <c r="C52" s="50">
        <f t="shared" si="15"/>
        <v>1483421</v>
      </c>
      <c r="D52" s="82">
        <f t="shared" si="16"/>
        <v>1483421</v>
      </c>
      <c r="E52" s="113"/>
      <c r="F52" s="406">
        <v>0.16</v>
      </c>
      <c r="G52" s="82"/>
      <c r="H52" s="113"/>
      <c r="I52" s="113"/>
      <c r="J52" s="82">
        <v>374457</v>
      </c>
      <c r="K52" s="82"/>
      <c r="L52" s="82">
        <v>1108964</v>
      </c>
      <c r="M52" s="82"/>
      <c r="N52" s="82"/>
      <c r="O52" s="82"/>
      <c r="P52" s="82"/>
      <c r="Q52" s="82"/>
      <c r="R52" s="82"/>
      <c r="S52" s="82"/>
      <c r="T52" s="82"/>
      <c r="W52" s="83"/>
    </row>
    <row r="53" spans="1:23">
      <c r="A53" s="85">
        <f t="shared" si="0"/>
        <v>400</v>
      </c>
      <c r="B53" s="86" t="s">
        <v>166</v>
      </c>
      <c r="C53" s="50">
        <f t="shared" si="15"/>
        <v>58287022</v>
      </c>
      <c r="D53" s="82">
        <f t="shared" si="16"/>
        <v>58287022</v>
      </c>
      <c r="E53" s="82"/>
      <c r="F53" s="406">
        <v>0.14000000000000001</v>
      </c>
      <c r="G53" s="82"/>
      <c r="H53" s="82"/>
      <c r="I53" s="82"/>
      <c r="J53" s="82">
        <v>21356226</v>
      </c>
      <c r="K53" s="82"/>
      <c r="L53" s="82">
        <v>32048155</v>
      </c>
      <c r="M53" s="82">
        <v>3101200</v>
      </c>
      <c r="N53" s="82"/>
      <c r="O53" s="82"/>
      <c r="P53" s="82">
        <v>1131404</v>
      </c>
      <c r="Q53" s="82"/>
      <c r="R53" s="82"/>
      <c r="S53" s="82"/>
      <c r="T53" s="82">
        <v>650037</v>
      </c>
      <c r="W53" s="83"/>
    </row>
    <row r="54" spans="1:23">
      <c r="A54" s="85">
        <f t="shared" si="0"/>
        <v>410</v>
      </c>
      <c r="B54" s="88" t="s">
        <v>167</v>
      </c>
      <c r="C54" s="50">
        <f t="shared" si="15"/>
        <v>0</v>
      </c>
      <c r="D54" s="82">
        <f t="shared" si="16"/>
        <v>0</v>
      </c>
      <c r="E54" s="82"/>
      <c r="F54" s="406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W54" s="83"/>
    </row>
    <row r="55" spans="1:23">
      <c r="A55" s="85">
        <f>A54+10</f>
        <v>420</v>
      </c>
      <c r="B55" s="86" t="s">
        <v>168</v>
      </c>
      <c r="C55" s="50">
        <f t="shared" si="15"/>
        <v>0</v>
      </c>
      <c r="D55" s="82">
        <f t="shared" si="16"/>
        <v>0</v>
      </c>
      <c r="E55" s="82"/>
      <c r="F55" s="407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W55" s="83"/>
    </row>
    <row r="56" spans="1:23">
      <c r="A56" s="77">
        <f>A55+10</f>
        <v>430</v>
      </c>
      <c r="B56" s="78" t="s">
        <v>180</v>
      </c>
      <c r="C56" s="79">
        <f t="shared" si="15"/>
        <v>127634911</v>
      </c>
      <c r="D56" s="80">
        <f>SUM(D50:D55)</f>
        <v>127634911</v>
      </c>
      <c r="E56" s="80">
        <f>SUM(E50:E55)</f>
        <v>0</v>
      </c>
      <c r="F56" s="89">
        <f>IF(C56=0,"",(F50*(C50/C56))+(F51*(C51/C56))+(F52*(C52/C56))+(F53*(C53/C56))+(F54*(C54/C56))+(F55*(C55/C56)))</f>
        <v>0.15054767218038018</v>
      </c>
      <c r="G56" s="80">
        <f>SUM(G50:G55)</f>
        <v>0</v>
      </c>
      <c r="H56" s="80">
        <f t="shared" ref="H56:T56" si="17">SUM(H50:H55)</f>
        <v>0</v>
      </c>
      <c r="I56" s="80">
        <f t="shared" si="17"/>
        <v>0</v>
      </c>
      <c r="J56" s="80">
        <f t="shared" si="17"/>
        <v>29746162</v>
      </c>
      <c r="K56" s="80">
        <f t="shared" si="17"/>
        <v>0</v>
      </c>
      <c r="L56" s="80">
        <f t="shared" si="17"/>
        <v>49515983</v>
      </c>
      <c r="M56" s="80">
        <f t="shared" si="17"/>
        <v>3101200</v>
      </c>
      <c r="N56" s="80">
        <f t="shared" si="17"/>
        <v>0</v>
      </c>
      <c r="O56" s="80">
        <f t="shared" si="17"/>
        <v>0</v>
      </c>
      <c r="P56" s="80">
        <f t="shared" si="17"/>
        <v>43350592</v>
      </c>
      <c r="Q56" s="80">
        <f t="shared" si="17"/>
        <v>0</v>
      </c>
      <c r="R56" s="80">
        <f t="shared" si="17"/>
        <v>0</v>
      </c>
      <c r="S56" s="80">
        <f t="shared" si="17"/>
        <v>0</v>
      </c>
      <c r="T56" s="80">
        <f t="shared" si="17"/>
        <v>1920974</v>
      </c>
      <c r="W56" s="83"/>
    </row>
    <row r="57" spans="1:23">
      <c r="A57" s="77"/>
      <c r="B57" s="78" t="s">
        <v>181</v>
      </c>
      <c r="C57" s="79"/>
      <c r="D57" s="80"/>
      <c r="E57" s="80"/>
      <c r="F57" s="89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W57" s="83"/>
    </row>
    <row r="58" spans="1:23">
      <c r="A58" s="81">
        <f>A56+10</f>
        <v>440</v>
      </c>
      <c r="B58" s="41" t="s">
        <v>163</v>
      </c>
      <c r="C58" s="50">
        <f t="shared" ref="C58:C64" si="18">SUM(G58:T58)-I58</f>
        <v>0</v>
      </c>
      <c r="D58" s="82">
        <f t="shared" ref="D58:D63" si="19">+SUM(G58:T58)</f>
        <v>0</v>
      </c>
      <c r="E58" s="82"/>
      <c r="F58" s="406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W58" s="83"/>
    </row>
    <row r="59" spans="1:23">
      <c r="A59" s="81">
        <f t="shared" si="0"/>
        <v>450</v>
      </c>
      <c r="B59" s="41" t="s">
        <v>164</v>
      </c>
      <c r="C59" s="50">
        <f t="shared" si="18"/>
        <v>0</v>
      </c>
      <c r="D59" s="82">
        <f t="shared" si="19"/>
        <v>0</v>
      </c>
      <c r="E59" s="82"/>
      <c r="F59" s="406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W59" s="83"/>
    </row>
    <row r="60" spans="1:23">
      <c r="A60" s="85">
        <f t="shared" si="0"/>
        <v>460</v>
      </c>
      <c r="B60" s="86" t="s">
        <v>165</v>
      </c>
      <c r="C60" s="50">
        <f t="shared" si="18"/>
        <v>0</v>
      </c>
      <c r="D60" s="82">
        <f t="shared" si="19"/>
        <v>0</v>
      </c>
      <c r="E60" s="113"/>
      <c r="F60" s="406"/>
      <c r="G60" s="82"/>
      <c r="H60" s="113"/>
      <c r="I60" s="113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W60" s="83"/>
    </row>
    <row r="61" spans="1:23">
      <c r="A61" s="85">
        <f t="shared" si="0"/>
        <v>470</v>
      </c>
      <c r="B61" s="86" t="s">
        <v>166</v>
      </c>
      <c r="C61" s="50">
        <f t="shared" si="18"/>
        <v>0</v>
      </c>
      <c r="D61" s="82">
        <f t="shared" si="19"/>
        <v>0</v>
      </c>
      <c r="E61" s="82"/>
      <c r="F61" s="406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W61" s="83"/>
    </row>
    <row r="62" spans="1:23">
      <c r="A62" s="85">
        <f t="shared" si="0"/>
        <v>480</v>
      </c>
      <c r="B62" s="88" t="s">
        <v>167</v>
      </c>
      <c r="C62" s="50">
        <f t="shared" si="18"/>
        <v>0</v>
      </c>
      <c r="D62" s="82">
        <f t="shared" si="19"/>
        <v>0</v>
      </c>
      <c r="E62" s="82"/>
      <c r="F62" s="406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W62" s="83"/>
    </row>
    <row r="63" spans="1:23">
      <c r="A63" s="85">
        <f t="shared" si="0"/>
        <v>490</v>
      </c>
      <c r="B63" s="86" t="s">
        <v>168</v>
      </c>
      <c r="C63" s="50">
        <f t="shared" si="18"/>
        <v>0</v>
      </c>
      <c r="D63" s="82">
        <f t="shared" si="19"/>
        <v>0</v>
      </c>
      <c r="E63" s="82"/>
      <c r="F63" s="407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W63" s="83"/>
    </row>
    <row r="64" spans="1:23">
      <c r="A64" s="77">
        <f>A63+10</f>
        <v>500</v>
      </c>
      <c r="B64" s="78" t="s">
        <v>182</v>
      </c>
      <c r="C64" s="79">
        <f t="shared" si="18"/>
        <v>0</v>
      </c>
      <c r="D64" s="80">
        <f>SUM(D58:D63)</f>
        <v>0</v>
      </c>
      <c r="E64" s="80">
        <f>SUM(E58:E63)</f>
        <v>0</v>
      </c>
      <c r="F64" s="89" t="str">
        <f>IF(C64=0,"",(F58*(C58/C64))+(F59*(C59/C64))+(F60*(C60/C64))+(F61*(C61/C64))+(F62*(C62/C64))+(F63*(C63/C64)))</f>
        <v/>
      </c>
      <c r="G64" s="80">
        <f t="shared" ref="G64:S64" si="20">SUM(G58:G63)</f>
        <v>0</v>
      </c>
      <c r="H64" s="80">
        <f t="shared" si="20"/>
        <v>0</v>
      </c>
      <c r="I64" s="80">
        <f t="shared" si="20"/>
        <v>0</v>
      </c>
      <c r="J64" s="80">
        <f t="shared" si="20"/>
        <v>0</v>
      </c>
      <c r="K64" s="80">
        <f t="shared" si="20"/>
        <v>0</v>
      </c>
      <c r="L64" s="80">
        <f t="shared" si="20"/>
        <v>0</v>
      </c>
      <c r="M64" s="80">
        <f t="shared" si="20"/>
        <v>0</v>
      </c>
      <c r="N64" s="80">
        <f t="shared" si="20"/>
        <v>0</v>
      </c>
      <c r="O64" s="80">
        <f t="shared" si="20"/>
        <v>0</v>
      </c>
      <c r="P64" s="80">
        <f t="shared" si="20"/>
        <v>0</v>
      </c>
      <c r="Q64" s="80">
        <f t="shared" si="20"/>
        <v>0</v>
      </c>
      <c r="R64" s="80">
        <f t="shared" si="20"/>
        <v>0</v>
      </c>
      <c r="S64" s="80">
        <f t="shared" si="20"/>
        <v>0</v>
      </c>
      <c r="T64" s="80">
        <f>SUM(T58:T63)</f>
        <v>0</v>
      </c>
      <c r="W64" s="83"/>
    </row>
    <row r="65" spans="1:23">
      <c r="A65" s="77"/>
      <c r="B65" s="78" t="s">
        <v>183</v>
      </c>
      <c r="C65" s="79"/>
      <c r="D65" s="91"/>
      <c r="E65" s="91"/>
      <c r="F65" s="408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W65" s="83"/>
    </row>
    <row r="66" spans="1:23">
      <c r="A66" s="81">
        <f>A64+10</f>
        <v>510</v>
      </c>
      <c r="B66" s="41" t="s">
        <v>163</v>
      </c>
      <c r="C66" s="50">
        <f t="shared" ref="C66:C77" si="21">SUM(G66:T66)-I66</f>
        <v>88308872</v>
      </c>
      <c r="D66" s="82">
        <f t="shared" ref="D66:D76" si="22">+SUM(G66:T66)</f>
        <v>88308872</v>
      </c>
      <c r="E66" s="82"/>
      <c r="F66" s="406">
        <v>0.16</v>
      </c>
      <c r="G66" s="82"/>
      <c r="H66" s="82"/>
      <c r="I66" s="82"/>
      <c r="J66" s="82">
        <v>21946257</v>
      </c>
      <c r="K66" s="82"/>
      <c r="L66" s="82">
        <v>31485013</v>
      </c>
      <c r="M66" s="82"/>
      <c r="N66" s="82"/>
      <c r="O66" s="82"/>
      <c r="P66" s="82">
        <v>32453920</v>
      </c>
      <c r="Q66" s="82"/>
      <c r="R66" s="82"/>
      <c r="S66" s="82"/>
      <c r="T66" s="82">
        <v>2423682</v>
      </c>
      <c r="W66" s="83"/>
    </row>
    <row r="67" spans="1:23">
      <c r="A67" s="81">
        <f t="shared" si="0"/>
        <v>520</v>
      </c>
      <c r="B67" s="41" t="s">
        <v>164</v>
      </c>
      <c r="C67" s="50">
        <f t="shared" si="21"/>
        <v>1788535</v>
      </c>
      <c r="D67" s="82">
        <f t="shared" si="22"/>
        <v>1788535</v>
      </c>
      <c r="E67" s="82"/>
      <c r="F67" s="406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>
        <v>1788535</v>
      </c>
      <c r="W67" s="83"/>
    </row>
    <row r="68" spans="1:23">
      <c r="A68" s="85">
        <f t="shared" si="0"/>
        <v>530</v>
      </c>
      <c r="B68" s="86" t="s">
        <v>165</v>
      </c>
      <c r="C68" s="50">
        <f t="shared" si="21"/>
        <v>0</v>
      </c>
      <c r="D68" s="82">
        <f t="shared" si="22"/>
        <v>0</v>
      </c>
      <c r="E68" s="82"/>
      <c r="F68" s="406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W68" s="83"/>
    </row>
    <row r="69" spans="1:23">
      <c r="A69" s="85">
        <f t="shared" si="0"/>
        <v>540</v>
      </c>
      <c r="B69" s="86" t="s">
        <v>166</v>
      </c>
      <c r="C69" s="50">
        <f t="shared" si="21"/>
        <v>61879609</v>
      </c>
      <c r="D69" s="82">
        <f t="shared" si="22"/>
        <v>61879609</v>
      </c>
      <c r="E69" s="82"/>
      <c r="F69" s="406">
        <v>0.15</v>
      </c>
      <c r="G69" s="82"/>
      <c r="H69" s="82"/>
      <c r="I69" s="82"/>
      <c r="J69" s="82">
        <v>20869688</v>
      </c>
      <c r="K69" s="82"/>
      <c r="L69" s="82">
        <v>33566210</v>
      </c>
      <c r="M69" s="82">
        <v>947432</v>
      </c>
      <c r="N69" s="82"/>
      <c r="O69" s="82"/>
      <c r="P69" s="82">
        <v>4231163</v>
      </c>
      <c r="Q69" s="82"/>
      <c r="R69" s="82"/>
      <c r="S69" s="82"/>
      <c r="T69" s="82">
        <v>2265116</v>
      </c>
      <c r="W69" s="83"/>
    </row>
    <row r="70" spans="1:23">
      <c r="A70" s="85">
        <f t="shared" si="0"/>
        <v>550</v>
      </c>
      <c r="B70" s="86" t="s">
        <v>184</v>
      </c>
      <c r="C70" s="50">
        <f t="shared" si="21"/>
        <v>0</v>
      </c>
      <c r="D70" s="82">
        <f t="shared" si="22"/>
        <v>0</v>
      </c>
      <c r="E70" s="82"/>
      <c r="F70" s="406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W70" s="83"/>
    </row>
    <row r="71" spans="1:23">
      <c r="A71" s="85">
        <f t="shared" si="0"/>
        <v>560</v>
      </c>
      <c r="B71" s="86" t="s">
        <v>185</v>
      </c>
      <c r="C71" s="50">
        <f t="shared" si="21"/>
        <v>0</v>
      </c>
      <c r="D71" s="82">
        <f t="shared" si="22"/>
        <v>0</v>
      </c>
      <c r="E71" s="82"/>
      <c r="F71" s="406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W71" s="83"/>
    </row>
    <row r="72" spans="1:23">
      <c r="A72" s="85">
        <f t="shared" si="0"/>
        <v>570</v>
      </c>
      <c r="B72" s="86" t="s">
        <v>167</v>
      </c>
      <c r="C72" s="50">
        <f t="shared" si="21"/>
        <v>0</v>
      </c>
      <c r="D72" s="82">
        <f t="shared" si="22"/>
        <v>0</v>
      </c>
      <c r="E72" s="82"/>
      <c r="F72" s="406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W72" s="83"/>
    </row>
    <row r="73" spans="1:23">
      <c r="A73" s="85">
        <f t="shared" si="0"/>
        <v>580</v>
      </c>
      <c r="B73" s="86" t="s">
        <v>186</v>
      </c>
      <c r="C73" s="50">
        <f t="shared" si="21"/>
        <v>0</v>
      </c>
      <c r="D73" s="82">
        <f t="shared" si="22"/>
        <v>0</v>
      </c>
      <c r="E73" s="113"/>
      <c r="F73" s="406"/>
      <c r="G73" s="82"/>
      <c r="H73" s="113"/>
      <c r="I73" s="113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W73" s="83"/>
    </row>
    <row r="74" spans="1:23">
      <c r="A74" s="85">
        <f t="shared" ref="A74:A91" si="23">A73+10</f>
        <v>590</v>
      </c>
      <c r="B74" s="86" t="s">
        <v>187</v>
      </c>
      <c r="C74" s="50">
        <f t="shared" si="21"/>
        <v>0</v>
      </c>
      <c r="D74" s="82">
        <f t="shared" si="22"/>
        <v>0</v>
      </c>
      <c r="E74" s="82"/>
      <c r="F74" s="406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W74" s="83"/>
    </row>
    <row r="75" spans="1:23">
      <c r="A75" s="85">
        <f t="shared" si="23"/>
        <v>600</v>
      </c>
      <c r="B75" s="86" t="s">
        <v>188</v>
      </c>
      <c r="C75" s="50">
        <f t="shared" si="21"/>
        <v>0</v>
      </c>
      <c r="D75" s="82">
        <f t="shared" si="22"/>
        <v>0</v>
      </c>
      <c r="E75" s="82"/>
      <c r="F75" s="406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W75" s="83"/>
    </row>
    <row r="76" spans="1:23">
      <c r="A76" s="85">
        <f t="shared" si="23"/>
        <v>610</v>
      </c>
      <c r="B76" s="86" t="s">
        <v>168</v>
      </c>
      <c r="C76" s="50">
        <f t="shared" si="21"/>
        <v>0</v>
      </c>
      <c r="D76" s="82">
        <f t="shared" si="22"/>
        <v>0</v>
      </c>
      <c r="E76" s="82"/>
      <c r="F76" s="407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W76" s="83"/>
    </row>
    <row r="77" spans="1:23">
      <c r="A77" s="77">
        <f>A76+10</f>
        <v>620</v>
      </c>
      <c r="B77" s="78" t="s">
        <v>189</v>
      </c>
      <c r="C77" s="79">
        <f t="shared" si="21"/>
        <v>151977016</v>
      </c>
      <c r="D77" s="80">
        <f>SUM(D66:D76)</f>
        <v>151977016</v>
      </c>
      <c r="E77" s="80">
        <f>SUM(E66:E76)</f>
        <v>0</v>
      </c>
      <c r="F77" s="89">
        <f>IF(C77=0,"",(F66*(C66/C77))+(F67*(C67/C77))+(F68*(C68/C77))+(F69*(C69/C77))+(F70*(C70/C77))+(F71*(C71/C77))+(F72*(C72/C77))+(F73*(C73/C77))+(F74*(C74/C77))+(F75*(C75/C77))+(F76*(C76/C77)))</f>
        <v>0.15404540427349883</v>
      </c>
      <c r="G77" s="80">
        <f t="shared" ref="G77:T77" si="24">SUM(G66:G76)</f>
        <v>0</v>
      </c>
      <c r="H77" s="80">
        <f t="shared" si="24"/>
        <v>0</v>
      </c>
      <c r="I77" s="80">
        <f t="shared" si="24"/>
        <v>0</v>
      </c>
      <c r="J77" s="80">
        <f t="shared" si="24"/>
        <v>42815945</v>
      </c>
      <c r="K77" s="80">
        <f t="shared" si="24"/>
        <v>0</v>
      </c>
      <c r="L77" s="80">
        <f t="shared" si="24"/>
        <v>65051223</v>
      </c>
      <c r="M77" s="80">
        <f t="shared" si="24"/>
        <v>947432</v>
      </c>
      <c r="N77" s="80">
        <f t="shared" si="24"/>
        <v>0</v>
      </c>
      <c r="O77" s="80">
        <f t="shared" si="24"/>
        <v>0</v>
      </c>
      <c r="P77" s="80">
        <f t="shared" si="24"/>
        <v>36685083</v>
      </c>
      <c r="Q77" s="80">
        <f t="shared" si="24"/>
        <v>0</v>
      </c>
      <c r="R77" s="80">
        <f t="shared" si="24"/>
        <v>0</v>
      </c>
      <c r="S77" s="80">
        <f t="shared" si="24"/>
        <v>0</v>
      </c>
      <c r="T77" s="80">
        <f t="shared" si="24"/>
        <v>6477333</v>
      </c>
      <c r="W77" s="83"/>
    </row>
    <row r="78" spans="1:23">
      <c r="A78" s="77"/>
      <c r="B78" s="78" t="s">
        <v>190</v>
      </c>
      <c r="C78" s="79"/>
      <c r="D78" s="80"/>
      <c r="E78" s="80"/>
      <c r="F78" s="89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W78" s="83"/>
    </row>
    <row r="79" spans="1:23">
      <c r="A79" s="81">
        <f>A77+10</f>
        <v>630</v>
      </c>
      <c r="B79" s="41" t="s">
        <v>163</v>
      </c>
      <c r="C79" s="50">
        <f t="shared" ref="C79:C91" si="25">SUM(G79:T79)-I79</f>
        <v>468263196</v>
      </c>
      <c r="D79" s="50">
        <f t="shared" ref="D79:E82" si="26">D9+D17+D26+D34+D42+D50+D58+D66</f>
        <v>468263196</v>
      </c>
      <c r="E79" s="50">
        <f t="shared" si="26"/>
        <v>0</v>
      </c>
      <c r="F79" s="409">
        <f>IF(C79=0,0,(F9*(C9/C79))+(F17*(C17/C79))+(F26*(C26/C79))+(F34*(C34/C79))+(F42*(C42/C79))+(F50*(C50/C79))+(F58*(C58/C79))+(F66*(C66/C79)))</f>
        <v>0.14898609996673753</v>
      </c>
      <c r="G79" s="50">
        <f>G9+G17+G26+G34+G42+G50+G58+G66</f>
        <v>502345</v>
      </c>
      <c r="H79" s="50">
        <f t="shared" ref="H79:T82" si="27">H9+H17+H26+H34+H42+H50+H58+H66</f>
        <v>0</v>
      </c>
      <c r="I79" s="50">
        <f>I9+I17+I26+I34+I42+I50+I58+I66</f>
        <v>0</v>
      </c>
      <c r="J79" s="50">
        <f t="shared" si="27"/>
        <v>95441133</v>
      </c>
      <c r="K79" s="50">
        <f t="shared" si="27"/>
        <v>0</v>
      </c>
      <c r="L79" s="50">
        <f t="shared" si="27"/>
        <v>120114749</v>
      </c>
      <c r="M79" s="50">
        <f t="shared" si="27"/>
        <v>0</v>
      </c>
      <c r="N79" s="50">
        <f t="shared" si="27"/>
        <v>0</v>
      </c>
      <c r="O79" s="50">
        <f t="shared" si="27"/>
        <v>0</v>
      </c>
      <c r="P79" s="50">
        <f t="shared" si="27"/>
        <v>241735096</v>
      </c>
      <c r="Q79" s="50">
        <f t="shared" si="27"/>
        <v>0</v>
      </c>
      <c r="R79" s="50">
        <f t="shared" si="27"/>
        <v>0</v>
      </c>
      <c r="S79" s="50">
        <f t="shared" si="27"/>
        <v>0</v>
      </c>
      <c r="T79" s="50">
        <f t="shared" si="27"/>
        <v>10469873</v>
      </c>
      <c r="W79" s="83"/>
    </row>
    <row r="80" spans="1:23">
      <c r="A80" s="81">
        <f t="shared" si="23"/>
        <v>640</v>
      </c>
      <c r="B80" s="41" t="s">
        <v>164</v>
      </c>
      <c r="C80" s="50">
        <f t="shared" si="25"/>
        <v>141933618</v>
      </c>
      <c r="D80" s="50">
        <f t="shared" si="26"/>
        <v>141933618</v>
      </c>
      <c r="E80" s="50">
        <f t="shared" si="26"/>
        <v>0</v>
      </c>
      <c r="F80" s="409">
        <f>IF(C80=0,0,(F10*(C10/C80))+(F18*(C18/C80))+(F27*(C27/C80))+(F35*(C35/C80))+(F43*(C43/C80))+(F51*(C51/C80))+(F59*(C59/C80))+(F67*(C67/C80)))</f>
        <v>0.14786884027714986</v>
      </c>
      <c r="G80" s="50">
        <f>G10+G18+G27+G35+G43+G51+G59+G67</f>
        <v>0</v>
      </c>
      <c r="H80" s="50">
        <f t="shared" si="27"/>
        <v>0</v>
      </c>
      <c r="I80" s="50">
        <f>I10+I18+I27+I35+I43+I51+I59+I67</f>
        <v>0</v>
      </c>
      <c r="J80" s="50">
        <f t="shared" si="27"/>
        <v>37654752</v>
      </c>
      <c r="K80" s="50">
        <f t="shared" si="27"/>
        <v>0</v>
      </c>
      <c r="L80" s="50">
        <f t="shared" si="27"/>
        <v>38261284</v>
      </c>
      <c r="M80" s="50">
        <f t="shared" si="27"/>
        <v>0</v>
      </c>
      <c r="N80" s="50">
        <f t="shared" si="27"/>
        <v>0</v>
      </c>
      <c r="O80" s="50">
        <f t="shared" si="27"/>
        <v>0</v>
      </c>
      <c r="P80" s="50">
        <f t="shared" si="27"/>
        <v>63502925</v>
      </c>
      <c r="Q80" s="50">
        <f t="shared" si="27"/>
        <v>0</v>
      </c>
      <c r="R80" s="50">
        <f t="shared" si="27"/>
        <v>0</v>
      </c>
      <c r="S80" s="50">
        <f t="shared" si="27"/>
        <v>0</v>
      </c>
      <c r="T80" s="50">
        <f t="shared" si="27"/>
        <v>2514657</v>
      </c>
      <c r="W80" s="83"/>
    </row>
    <row r="81" spans="1:23">
      <c r="A81" s="85">
        <f t="shared" si="23"/>
        <v>650</v>
      </c>
      <c r="B81" s="86" t="s">
        <v>165</v>
      </c>
      <c r="C81" s="50">
        <f t="shared" si="25"/>
        <v>8044041</v>
      </c>
      <c r="D81" s="50">
        <f t="shared" si="26"/>
        <v>8044041</v>
      </c>
      <c r="E81" s="50">
        <f t="shared" si="26"/>
        <v>0</v>
      </c>
      <c r="F81" s="409">
        <f>IF(C81=0,0,(F11*(C11/C81))+(F19*(C19/C81))+(F28*(C28/C81))+(F36*(C36/C81))+(F44*(C44/C81))+(F52*(C52/C81))+(F60*(C60/C81))+(F68*(C68/C81)))</f>
        <v>0.15999999999999998</v>
      </c>
      <c r="G81" s="50">
        <f>G11+G19+G28+G36+G44+G52+G60+G68</f>
        <v>0</v>
      </c>
      <c r="H81" s="50">
        <f t="shared" si="27"/>
        <v>0</v>
      </c>
      <c r="I81" s="50">
        <f>I11+I19+I28+I36+I44+I52+I60+I68</f>
        <v>0</v>
      </c>
      <c r="J81" s="50">
        <f t="shared" si="27"/>
        <v>2419833</v>
      </c>
      <c r="K81" s="50">
        <f t="shared" si="27"/>
        <v>0</v>
      </c>
      <c r="L81" s="50">
        <f t="shared" si="27"/>
        <v>5624208</v>
      </c>
      <c r="M81" s="50">
        <f t="shared" si="27"/>
        <v>0</v>
      </c>
      <c r="N81" s="50">
        <f t="shared" si="27"/>
        <v>0</v>
      </c>
      <c r="O81" s="50">
        <f t="shared" si="27"/>
        <v>0</v>
      </c>
      <c r="P81" s="50">
        <f t="shared" si="27"/>
        <v>0</v>
      </c>
      <c r="Q81" s="50">
        <f t="shared" si="27"/>
        <v>0</v>
      </c>
      <c r="R81" s="50">
        <f t="shared" si="27"/>
        <v>0</v>
      </c>
      <c r="S81" s="50">
        <f t="shared" si="27"/>
        <v>0</v>
      </c>
      <c r="T81" s="50">
        <f t="shared" si="27"/>
        <v>0</v>
      </c>
      <c r="W81" s="83"/>
    </row>
    <row r="82" spans="1:23">
      <c r="A82" s="85">
        <f t="shared" si="23"/>
        <v>660</v>
      </c>
      <c r="B82" s="86" t="s">
        <v>166</v>
      </c>
      <c r="C82" s="50">
        <f t="shared" si="25"/>
        <v>667881660</v>
      </c>
      <c r="D82" s="50">
        <f t="shared" si="26"/>
        <v>667881660</v>
      </c>
      <c r="E82" s="50">
        <f t="shared" si="26"/>
        <v>0</v>
      </c>
      <c r="F82" s="409">
        <f>IF(C82=0,0,(F12*(C12/C82))+(F20*(C20/C82))+(F29*(C29/C82))+(F37*(C37/C82))+(F45*(C45/C82))+(F53*(C53/C82))+(F61*(C61/C82))+(F69*(C69/C82)))</f>
        <v>0.14221580198803482</v>
      </c>
      <c r="G82" s="50">
        <f>G12+G20+G29+G37+G45+G53+G61+G69</f>
        <v>2297231</v>
      </c>
      <c r="H82" s="50">
        <f t="shared" si="27"/>
        <v>0</v>
      </c>
      <c r="I82" s="50">
        <f>I12+I20+I29+I37+I45+I53+I61+I69</f>
        <v>0</v>
      </c>
      <c r="J82" s="50">
        <f t="shared" si="27"/>
        <v>308820417</v>
      </c>
      <c r="K82" s="50">
        <f t="shared" si="27"/>
        <v>0</v>
      </c>
      <c r="L82" s="50">
        <f t="shared" si="27"/>
        <v>310363738</v>
      </c>
      <c r="M82" s="50">
        <f t="shared" si="27"/>
        <v>7109831</v>
      </c>
      <c r="N82" s="50">
        <f t="shared" si="27"/>
        <v>0</v>
      </c>
      <c r="O82" s="50">
        <f t="shared" si="27"/>
        <v>0</v>
      </c>
      <c r="P82" s="50">
        <f t="shared" si="27"/>
        <v>28756283</v>
      </c>
      <c r="Q82" s="50">
        <f t="shared" si="27"/>
        <v>0</v>
      </c>
      <c r="R82" s="50">
        <f t="shared" si="27"/>
        <v>0</v>
      </c>
      <c r="S82" s="50">
        <f t="shared" si="27"/>
        <v>0</v>
      </c>
      <c r="T82" s="50">
        <f t="shared" si="27"/>
        <v>10534160</v>
      </c>
      <c r="W82" s="83"/>
    </row>
    <row r="83" spans="1:23">
      <c r="A83" s="85">
        <f t="shared" si="23"/>
        <v>670</v>
      </c>
      <c r="B83" s="86" t="s">
        <v>171</v>
      </c>
      <c r="C83" s="50">
        <f t="shared" si="25"/>
        <v>0</v>
      </c>
      <c r="D83" s="50">
        <f>D21</f>
        <v>0</v>
      </c>
      <c r="E83" s="50">
        <f>E21</f>
        <v>0</v>
      </c>
      <c r="F83" s="409">
        <f>IF(C83=0,0,(F21*(C21/C83)))</f>
        <v>0</v>
      </c>
      <c r="G83" s="50">
        <f>G21</f>
        <v>0</v>
      </c>
      <c r="H83" s="50">
        <f t="shared" ref="H83:S83" si="28">H21</f>
        <v>0</v>
      </c>
      <c r="I83" s="50">
        <f>I21</f>
        <v>0</v>
      </c>
      <c r="J83" s="50">
        <f t="shared" si="28"/>
        <v>0</v>
      </c>
      <c r="K83" s="50">
        <f t="shared" si="28"/>
        <v>0</v>
      </c>
      <c r="L83" s="50">
        <f t="shared" si="28"/>
        <v>0</v>
      </c>
      <c r="M83" s="50">
        <f t="shared" si="28"/>
        <v>0</v>
      </c>
      <c r="N83" s="50">
        <f t="shared" si="28"/>
        <v>0</v>
      </c>
      <c r="O83" s="50">
        <f t="shared" si="28"/>
        <v>0</v>
      </c>
      <c r="P83" s="50">
        <f t="shared" si="28"/>
        <v>0</v>
      </c>
      <c r="Q83" s="50">
        <f t="shared" si="28"/>
        <v>0</v>
      </c>
      <c r="R83" s="50">
        <f t="shared" si="28"/>
        <v>0</v>
      </c>
      <c r="S83" s="50">
        <f t="shared" si="28"/>
        <v>0</v>
      </c>
      <c r="T83" s="50">
        <f>T21</f>
        <v>0</v>
      </c>
      <c r="W83" s="83"/>
    </row>
    <row r="84" spans="1:23">
      <c r="A84" s="85">
        <f t="shared" si="23"/>
        <v>680</v>
      </c>
      <c r="B84" s="86" t="s">
        <v>185</v>
      </c>
      <c r="C84" s="50">
        <f t="shared" si="25"/>
        <v>0</v>
      </c>
      <c r="D84" s="50">
        <f>D71</f>
        <v>0</v>
      </c>
      <c r="E84" s="50">
        <f>E71</f>
        <v>0</v>
      </c>
      <c r="F84" s="409">
        <f>IF(F71=0,0,F71)</f>
        <v>0</v>
      </c>
      <c r="G84" s="50">
        <f>G71</f>
        <v>0</v>
      </c>
      <c r="H84" s="50">
        <f t="shared" ref="H84:S84" si="29">H71</f>
        <v>0</v>
      </c>
      <c r="I84" s="50">
        <f>I71</f>
        <v>0</v>
      </c>
      <c r="J84" s="50">
        <f t="shared" si="29"/>
        <v>0</v>
      </c>
      <c r="K84" s="50">
        <f t="shared" si="29"/>
        <v>0</v>
      </c>
      <c r="L84" s="50">
        <f t="shared" si="29"/>
        <v>0</v>
      </c>
      <c r="M84" s="50">
        <f t="shared" si="29"/>
        <v>0</v>
      </c>
      <c r="N84" s="50">
        <f t="shared" si="29"/>
        <v>0</v>
      </c>
      <c r="O84" s="50">
        <f t="shared" si="29"/>
        <v>0</v>
      </c>
      <c r="P84" s="50">
        <f t="shared" si="29"/>
        <v>0</v>
      </c>
      <c r="Q84" s="50">
        <f t="shared" si="29"/>
        <v>0</v>
      </c>
      <c r="R84" s="50">
        <f t="shared" si="29"/>
        <v>0</v>
      </c>
      <c r="S84" s="50">
        <f t="shared" si="29"/>
        <v>0</v>
      </c>
      <c r="T84" s="50">
        <f>T71</f>
        <v>0</v>
      </c>
      <c r="W84" s="83"/>
    </row>
    <row r="85" spans="1:23">
      <c r="A85" s="85">
        <f t="shared" si="23"/>
        <v>690</v>
      </c>
      <c r="B85" s="86" t="s">
        <v>184</v>
      </c>
      <c r="C85" s="50">
        <f t="shared" si="25"/>
        <v>0</v>
      </c>
      <c r="D85" s="50">
        <f>D70</f>
        <v>0</v>
      </c>
      <c r="E85" s="50">
        <f>E70</f>
        <v>0</v>
      </c>
      <c r="F85" s="409">
        <f>IF(F70=0,0,F70)</f>
        <v>0</v>
      </c>
      <c r="G85" s="50">
        <f>G70</f>
        <v>0</v>
      </c>
      <c r="H85" s="50">
        <f t="shared" ref="H85:T85" si="30">H70</f>
        <v>0</v>
      </c>
      <c r="I85" s="50">
        <f>I70</f>
        <v>0</v>
      </c>
      <c r="J85" s="50">
        <f t="shared" si="30"/>
        <v>0</v>
      </c>
      <c r="K85" s="50">
        <f t="shared" si="30"/>
        <v>0</v>
      </c>
      <c r="L85" s="50">
        <f t="shared" si="30"/>
        <v>0</v>
      </c>
      <c r="M85" s="50">
        <f t="shared" si="30"/>
        <v>0</v>
      </c>
      <c r="N85" s="50">
        <f t="shared" si="30"/>
        <v>0</v>
      </c>
      <c r="O85" s="50">
        <f t="shared" si="30"/>
        <v>0</v>
      </c>
      <c r="P85" s="50">
        <f t="shared" si="30"/>
        <v>0</v>
      </c>
      <c r="Q85" s="50">
        <f t="shared" si="30"/>
        <v>0</v>
      </c>
      <c r="R85" s="50">
        <f t="shared" si="30"/>
        <v>0</v>
      </c>
      <c r="S85" s="50">
        <f t="shared" si="30"/>
        <v>0</v>
      </c>
      <c r="T85" s="50">
        <f t="shared" si="30"/>
        <v>0</v>
      </c>
      <c r="W85" s="83"/>
    </row>
    <row r="86" spans="1:23">
      <c r="A86" s="85">
        <f t="shared" si="23"/>
        <v>700</v>
      </c>
      <c r="B86" s="86" t="s">
        <v>167</v>
      </c>
      <c r="C86" s="50">
        <f t="shared" si="25"/>
        <v>0</v>
      </c>
      <c r="D86" s="50">
        <f>D13+D22+D30+D38+D46+D54+D62+D72</f>
        <v>0</v>
      </c>
      <c r="E86" s="50">
        <f>E13+E22+E30+E38+E46+E54+E62+E72</f>
        <v>0</v>
      </c>
      <c r="F86" s="409">
        <f>IF(F72=0,0,F72)</f>
        <v>0</v>
      </c>
      <c r="G86" s="50">
        <f>G13+G22+G30+G38+G46+G54+G62+G72</f>
        <v>0</v>
      </c>
      <c r="H86" s="50">
        <f t="shared" ref="H86:T86" si="31">H13+H22+H30+H38+H46+H54+H62+H72</f>
        <v>0</v>
      </c>
      <c r="I86" s="50">
        <f>I13+I22+I30+I38+I46+I54+I62+I72</f>
        <v>0</v>
      </c>
      <c r="J86" s="50">
        <f t="shared" si="31"/>
        <v>0</v>
      </c>
      <c r="K86" s="50">
        <f t="shared" si="31"/>
        <v>0</v>
      </c>
      <c r="L86" s="50">
        <f t="shared" si="31"/>
        <v>0</v>
      </c>
      <c r="M86" s="50">
        <f t="shared" si="31"/>
        <v>0</v>
      </c>
      <c r="N86" s="50">
        <f t="shared" si="31"/>
        <v>0</v>
      </c>
      <c r="O86" s="50">
        <f t="shared" si="31"/>
        <v>0</v>
      </c>
      <c r="P86" s="50">
        <f t="shared" si="31"/>
        <v>0</v>
      </c>
      <c r="Q86" s="50">
        <f t="shared" si="31"/>
        <v>0</v>
      </c>
      <c r="R86" s="50">
        <f t="shared" si="31"/>
        <v>0</v>
      </c>
      <c r="S86" s="50">
        <f t="shared" si="31"/>
        <v>0</v>
      </c>
      <c r="T86" s="50">
        <f t="shared" si="31"/>
        <v>0</v>
      </c>
      <c r="W86" s="83"/>
    </row>
    <row r="87" spans="1:23">
      <c r="A87" s="85">
        <f t="shared" si="23"/>
        <v>710</v>
      </c>
      <c r="B87" s="86" t="s">
        <v>186</v>
      </c>
      <c r="C87" s="50">
        <f t="shared" si="25"/>
        <v>0</v>
      </c>
      <c r="D87" s="50">
        <f t="shared" ref="D87:E89" si="32">D73</f>
        <v>0</v>
      </c>
      <c r="E87" s="50">
        <f t="shared" si="32"/>
        <v>0</v>
      </c>
      <c r="F87" s="409">
        <f>IF(F73=0,0,F73)</f>
        <v>0</v>
      </c>
      <c r="G87" s="50">
        <f>G73</f>
        <v>0</v>
      </c>
      <c r="H87" s="50">
        <f t="shared" ref="H87:T89" si="33">H73</f>
        <v>0</v>
      </c>
      <c r="I87" s="50">
        <f>I73</f>
        <v>0</v>
      </c>
      <c r="J87" s="50">
        <f t="shared" si="33"/>
        <v>0</v>
      </c>
      <c r="K87" s="50">
        <f t="shared" si="33"/>
        <v>0</v>
      </c>
      <c r="L87" s="50">
        <f t="shared" si="33"/>
        <v>0</v>
      </c>
      <c r="M87" s="50">
        <f t="shared" si="33"/>
        <v>0</v>
      </c>
      <c r="N87" s="50">
        <f t="shared" si="33"/>
        <v>0</v>
      </c>
      <c r="O87" s="50">
        <f t="shared" si="33"/>
        <v>0</v>
      </c>
      <c r="P87" s="50">
        <f t="shared" si="33"/>
        <v>0</v>
      </c>
      <c r="Q87" s="50">
        <f t="shared" si="33"/>
        <v>0</v>
      </c>
      <c r="R87" s="50">
        <f t="shared" si="33"/>
        <v>0</v>
      </c>
      <c r="S87" s="50">
        <f t="shared" si="33"/>
        <v>0</v>
      </c>
      <c r="T87" s="50">
        <f t="shared" si="33"/>
        <v>0</v>
      </c>
      <c r="W87" s="83"/>
    </row>
    <row r="88" spans="1:23">
      <c r="A88" s="85">
        <f t="shared" si="23"/>
        <v>720</v>
      </c>
      <c r="B88" s="86" t="s">
        <v>187</v>
      </c>
      <c r="C88" s="50">
        <f t="shared" si="25"/>
        <v>0</v>
      </c>
      <c r="D88" s="50">
        <f t="shared" si="32"/>
        <v>0</v>
      </c>
      <c r="E88" s="50">
        <f t="shared" si="32"/>
        <v>0</v>
      </c>
      <c r="F88" s="409">
        <f>IF(F74=0,0,F74)</f>
        <v>0</v>
      </c>
      <c r="G88" s="50">
        <f>G74</f>
        <v>0</v>
      </c>
      <c r="H88" s="50">
        <f t="shared" si="33"/>
        <v>0</v>
      </c>
      <c r="I88" s="50">
        <f>I74</f>
        <v>0</v>
      </c>
      <c r="J88" s="50">
        <f t="shared" si="33"/>
        <v>0</v>
      </c>
      <c r="K88" s="50">
        <f t="shared" si="33"/>
        <v>0</v>
      </c>
      <c r="L88" s="50">
        <f t="shared" si="33"/>
        <v>0</v>
      </c>
      <c r="M88" s="50">
        <f t="shared" si="33"/>
        <v>0</v>
      </c>
      <c r="N88" s="50">
        <f t="shared" si="33"/>
        <v>0</v>
      </c>
      <c r="O88" s="50">
        <f t="shared" si="33"/>
        <v>0</v>
      </c>
      <c r="P88" s="50">
        <f t="shared" si="33"/>
        <v>0</v>
      </c>
      <c r="Q88" s="50">
        <f t="shared" si="33"/>
        <v>0</v>
      </c>
      <c r="R88" s="50">
        <f t="shared" si="33"/>
        <v>0</v>
      </c>
      <c r="S88" s="50">
        <f t="shared" si="33"/>
        <v>0</v>
      </c>
      <c r="T88" s="50">
        <f t="shared" si="33"/>
        <v>0</v>
      </c>
      <c r="W88" s="83"/>
    </row>
    <row r="89" spans="1:23">
      <c r="A89" s="85">
        <f t="shared" si="23"/>
        <v>730</v>
      </c>
      <c r="B89" s="86" t="s">
        <v>188</v>
      </c>
      <c r="C89" s="50">
        <f t="shared" si="25"/>
        <v>0</v>
      </c>
      <c r="D89" s="50">
        <f t="shared" si="32"/>
        <v>0</v>
      </c>
      <c r="E89" s="50">
        <f t="shared" si="32"/>
        <v>0</v>
      </c>
      <c r="F89" s="409">
        <f>IF(F75=0,0,F75)</f>
        <v>0</v>
      </c>
      <c r="G89" s="50">
        <f>G75</f>
        <v>0</v>
      </c>
      <c r="H89" s="50">
        <f t="shared" si="33"/>
        <v>0</v>
      </c>
      <c r="I89" s="50">
        <f>I75</f>
        <v>0</v>
      </c>
      <c r="J89" s="50">
        <f t="shared" si="33"/>
        <v>0</v>
      </c>
      <c r="K89" s="50">
        <f t="shared" si="33"/>
        <v>0</v>
      </c>
      <c r="L89" s="50">
        <f t="shared" si="33"/>
        <v>0</v>
      </c>
      <c r="M89" s="50">
        <f t="shared" si="33"/>
        <v>0</v>
      </c>
      <c r="N89" s="50">
        <f t="shared" si="33"/>
        <v>0</v>
      </c>
      <c r="O89" s="50">
        <f t="shared" si="33"/>
        <v>0</v>
      </c>
      <c r="P89" s="50">
        <f t="shared" si="33"/>
        <v>0</v>
      </c>
      <c r="Q89" s="50">
        <f t="shared" si="33"/>
        <v>0</v>
      </c>
      <c r="R89" s="50">
        <f t="shared" si="33"/>
        <v>0</v>
      </c>
      <c r="S89" s="50">
        <f t="shared" si="33"/>
        <v>0</v>
      </c>
      <c r="T89" s="50">
        <f t="shared" si="33"/>
        <v>0</v>
      </c>
      <c r="W89" s="83"/>
    </row>
    <row r="90" spans="1:23">
      <c r="A90" s="85">
        <f t="shared" si="23"/>
        <v>740</v>
      </c>
      <c r="B90" s="86" t="s">
        <v>168</v>
      </c>
      <c r="C90" s="50">
        <f t="shared" si="25"/>
        <v>0</v>
      </c>
      <c r="D90" s="50">
        <f>D14+D23+D31+D39+D47+D55+D63+D76</f>
        <v>0</v>
      </c>
      <c r="E90" s="50">
        <f>E14+E23+E31+E39+E47+E55+E63+E76</f>
        <v>0</v>
      </c>
      <c r="F90" s="409">
        <f>IF(C90=0,0,(F14*(C14/C90))+(F23*(C23/C90))+(F31*(C31/C90))+(F39*(C39/C90))+(F47*(C47/C90))+(F55*(C55/C90))+(F63*(C63/C90))+(F76*(C76/C90)))</f>
        <v>0</v>
      </c>
      <c r="G90" s="50">
        <f>G14+G23+G31+G39+G47+G55+G63+G76</f>
        <v>0</v>
      </c>
      <c r="H90" s="50">
        <f t="shared" ref="H90:T90" si="34">H14+H23+H31+H39+H47+H55+H63+H76</f>
        <v>0</v>
      </c>
      <c r="I90" s="50">
        <f>I14+I23+I31+I39+I47+I55+I63+I76</f>
        <v>0</v>
      </c>
      <c r="J90" s="50">
        <f t="shared" si="34"/>
        <v>0</v>
      </c>
      <c r="K90" s="50">
        <f t="shared" si="34"/>
        <v>0</v>
      </c>
      <c r="L90" s="50">
        <f t="shared" si="34"/>
        <v>0</v>
      </c>
      <c r="M90" s="50">
        <f t="shared" si="34"/>
        <v>0</v>
      </c>
      <c r="N90" s="50">
        <f t="shared" si="34"/>
        <v>0</v>
      </c>
      <c r="O90" s="50">
        <f t="shared" si="34"/>
        <v>0</v>
      </c>
      <c r="P90" s="50">
        <f t="shared" si="34"/>
        <v>0</v>
      </c>
      <c r="Q90" s="50">
        <f t="shared" si="34"/>
        <v>0</v>
      </c>
      <c r="R90" s="50">
        <f t="shared" si="34"/>
        <v>0</v>
      </c>
      <c r="S90" s="50">
        <f t="shared" si="34"/>
        <v>0</v>
      </c>
      <c r="T90" s="50">
        <f t="shared" si="34"/>
        <v>0</v>
      </c>
      <c r="W90" s="83"/>
    </row>
    <row r="91" spans="1:23">
      <c r="A91" s="77">
        <f t="shared" si="23"/>
        <v>750</v>
      </c>
      <c r="B91" s="78" t="s">
        <v>191</v>
      </c>
      <c r="C91" s="79">
        <f t="shared" si="25"/>
        <v>1286122515</v>
      </c>
      <c r="D91" s="80">
        <f>SUM(D79:D90)</f>
        <v>1286122515</v>
      </c>
      <c r="E91" s="80">
        <f>SUM(E79:E90)</f>
        <v>0</v>
      </c>
      <c r="F91" s="89">
        <f>IF(C91=0,0,(F79*(C79/C91))+(F80*(C80/C91))+(F81*(C81/C91))+(F82*(C82/C91))+(F83*(C83/C91))+(F84*(C84/C91))+(F85*(C85/C91))+(F86*(C86/C91))+(F87*(C87/C91))+(F88*(C88/C91))+(F89*(C89/C91)+(F90*(C90/C91))))</f>
        <v>0.14541588154220286</v>
      </c>
      <c r="G91" s="80">
        <f>SUM(G79:G90)</f>
        <v>2799576</v>
      </c>
      <c r="H91" s="80">
        <f t="shared" ref="H91:T91" si="35">SUM(H79:H90)</f>
        <v>0</v>
      </c>
      <c r="I91" s="80">
        <f>SUM(I79:I90)</f>
        <v>0</v>
      </c>
      <c r="J91" s="80">
        <f t="shared" si="35"/>
        <v>444336135</v>
      </c>
      <c r="K91" s="80">
        <f>SUM(K79:K90)</f>
        <v>0</v>
      </c>
      <c r="L91" s="80">
        <f t="shared" si="35"/>
        <v>474363979</v>
      </c>
      <c r="M91" s="80">
        <f t="shared" si="35"/>
        <v>7109831</v>
      </c>
      <c r="N91" s="80">
        <f t="shared" si="35"/>
        <v>0</v>
      </c>
      <c r="O91" s="80">
        <f t="shared" si="35"/>
        <v>0</v>
      </c>
      <c r="P91" s="80">
        <f t="shared" si="35"/>
        <v>333994304</v>
      </c>
      <c r="Q91" s="80">
        <f t="shared" si="35"/>
        <v>0</v>
      </c>
      <c r="R91" s="80">
        <f t="shared" si="35"/>
        <v>0</v>
      </c>
      <c r="S91" s="80">
        <f t="shared" si="35"/>
        <v>0</v>
      </c>
      <c r="T91" s="80">
        <f t="shared" si="35"/>
        <v>23518690</v>
      </c>
      <c r="W91" s="83"/>
    </row>
    <row r="92" spans="1:23">
      <c r="A92" s="83"/>
      <c r="B92" s="83"/>
      <c r="C92" s="83"/>
      <c r="D92" s="83"/>
      <c r="E92" s="83"/>
      <c r="F92" s="410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</row>
    <row r="93" spans="1:23">
      <c r="B93" s="22" t="s">
        <v>587</v>
      </c>
      <c r="C93" s="92">
        <f>Balance!B20+Balance!B21</f>
        <v>1286122513</v>
      </c>
      <c r="D93" s="93"/>
      <c r="E93" s="93"/>
      <c r="F93" s="410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</row>
    <row r="94" spans="1:23">
      <c r="B94" s="22"/>
      <c r="C94" s="92"/>
      <c r="D94" s="93"/>
      <c r="E94" s="93"/>
      <c r="F94" s="410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</row>
    <row r="95" spans="1:23">
      <c r="B95" s="22" t="s">
        <v>588</v>
      </c>
      <c r="C95" s="94"/>
      <c r="D95" s="94"/>
      <c r="E95" s="94"/>
    </row>
    <row r="96" spans="1:23">
      <c r="C96" s="94"/>
      <c r="D96" s="94"/>
      <c r="E96" s="94"/>
    </row>
    <row r="97" spans="3:5">
      <c r="C97" s="94"/>
      <c r="D97" s="94"/>
      <c r="E97" s="94"/>
    </row>
    <row r="98" spans="3:5">
      <c r="C98" s="94"/>
      <c r="D98" s="94"/>
      <c r="E98" s="94"/>
    </row>
  </sheetData>
  <sheetProtection password="CA0C" sheet="1" objects="1" scenarios="1"/>
  <mergeCells count="21">
    <mergeCell ref="E5:E6"/>
    <mergeCell ref="G5:G6"/>
    <mergeCell ref="O5:O6"/>
    <mergeCell ref="A4:A6"/>
    <mergeCell ref="B4:B6"/>
    <mergeCell ref="C4:C6"/>
    <mergeCell ref="D5:D6"/>
    <mergeCell ref="K5:K6"/>
    <mergeCell ref="L5:L6"/>
    <mergeCell ref="F5:F6"/>
    <mergeCell ref="M5:M6"/>
    <mergeCell ref="H5:H6"/>
    <mergeCell ref="N5:N6"/>
    <mergeCell ref="J5:J6"/>
    <mergeCell ref="Q1:T1"/>
    <mergeCell ref="G4:T4"/>
    <mergeCell ref="Q5:Q6"/>
    <mergeCell ref="R5:R6"/>
    <mergeCell ref="S5:S6"/>
    <mergeCell ref="P5:P6"/>
    <mergeCell ref="T5:T6"/>
  </mergeCells>
  <conditionalFormatting sqref="C91">
    <cfRule type="cellIs" dxfId="96" priority="47" stopIfTrue="1" operator="notEqual">
      <formula>D91+E91</formula>
    </cfRule>
    <cfRule type="cellIs" dxfId="95" priority="48" stopIfTrue="1" operator="notEqual">
      <formula>C93</formula>
    </cfRule>
  </conditionalFormatting>
  <conditionalFormatting sqref="C9">
    <cfRule type="cellIs" dxfId="94" priority="46" stopIfTrue="1" operator="notEqual">
      <formula>$D$9+$E$9</formula>
    </cfRule>
  </conditionalFormatting>
  <conditionalFormatting sqref="C10">
    <cfRule type="cellIs" dxfId="93" priority="45" stopIfTrue="1" operator="notEqual">
      <formula>$D$10+$E$10</formula>
    </cfRule>
  </conditionalFormatting>
  <conditionalFormatting sqref="C11">
    <cfRule type="cellIs" dxfId="92" priority="44" stopIfTrue="1" operator="notEqual">
      <formula>$D$11+$E$11</formula>
    </cfRule>
  </conditionalFormatting>
  <conditionalFormatting sqref="C12">
    <cfRule type="cellIs" dxfId="91" priority="43" stopIfTrue="1" operator="notEqual">
      <formula>$D$12+$E$12</formula>
    </cfRule>
  </conditionalFormatting>
  <conditionalFormatting sqref="C13">
    <cfRule type="cellIs" dxfId="90" priority="42" stopIfTrue="1" operator="notEqual">
      <formula>$D$13+$E$13</formula>
    </cfRule>
  </conditionalFormatting>
  <conditionalFormatting sqref="C14">
    <cfRule type="cellIs" dxfId="89" priority="41" stopIfTrue="1" operator="notEqual">
      <formula>$D$14+$E$14</formula>
    </cfRule>
  </conditionalFormatting>
  <conditionalFormatting sqref="C17">
    <cfRule type="cellIs" dxfId="88" priority="40" stopIfTrue="1" operator="notEqual">
      <formula>$D$17+$E$17</formula>
    </cfRule>
  </conditionalFormatting>
  <conditionalFormatting sqref="C18">
    <cfRule type="cellIs" dxfId="87" priority="39" stopIfTrue="1" operator="notEqual">
      <formula>$D$18+$E$18</formula>
    </cfRule>
  </conditionalFormatting>
  <conditionalFormatting sqref="C19">
    <cfRule type="cellIs" dxfId="86" priority="38" stopIfTrue="1" operator="notEqual">
      <formula>$D$19+$E$19</formula>
    </cfRule>
  </conditionalFormatting>
  <conditionalFormatting sqref="C20">
    <cfRule type="cellIs" dxfId="85" priority="37" stopIfTrue="1" operator="notEqual">
      <formula>$D$20+$E$20</formula>
    </cfRule>
  </conditionalFormatting>
  <conditionalFormatting sqref="C21">
    <cfRule type="cellIs" dxfId="84" priority="36" stopIfTrue="1" operator="notEqual">
      <formula>$D$21+$E$21</formula>
    </cfRule>
  </conditionalFormatting>
  <conditionalFormatting sqref="C22">
    <cfRule type="cellIs" dxfId="83" priority="35" stopIfTrue="1" operator="notEqual">
      <formula>$D$22+$E$22</formula>
    </cfRule>
  </conditionalFormatting>
  <conditionalFormatting sqref="C23">
    <cfRule type="cellIs" dxfId="82" priority="34" stopIfTrue="1" operator="notEqual">
      <formula>$D$23+$E$23</formula>
    </cfRule>
  </conditionalFormatting>
  <conditionalFormatting sqref="C26">
    <cfRule type="cellIs" dxfId="81" priority="33" stopIfTrue="1" operator="notEqual">
      <formula>$D$26+$E$26</formula>
    </cfRule>
  </conditionalFormatting>
  <conditionalFormatting sqref="C27">
    <cfRule type="cellIs" dxfId="80" priority="32" stopIfTrue="1" operator="notEqual">
      <formula>$D$27+$E$27</formula>
    </cfRule>
  </conditionalFormatting>
  <conditionalFormatting sqref="C28">
    <cfRule type="cellIs" dxfId="79" priority="31" stopIfTrue="1" operator="notEqual">
      <formula>$D$28+$E$28</formula>
    </cfRule>
  </conditionalFormatting>
  <conditionalFormatting sqref="C29">
    <cfRule type="cellIs" dxfId="78" priority="30" stopIfTrue="1" operator="notEqual">
      <formula>$D$29+$E$29</formula>
    </cfRule>
  </conditionalFormatting>
  <conditionalFormatting sqref="C30">
    <cfRule type="cellIs" dxfId="77" priority="29" stopIfTrue="1" operator="notEqual">
      <formula>$D$30+$E$30</formula>
    </cfRule>
  </conditionalFormatting>
  <conditionalFormatting sqref="C31">
    <cfRule type="cellIs" dxfId="76" priority="28" stopIfTrue="1" operator="notEqual">
      <formula>$D$31+$E$31</formula>
    </cfRule>
  </conditionalFormatting>
  <conditionalFormatting sqref="C34">
    <cfRule type="cellIs" dxfId="75" priority="27" stopIfTrue="1" operator="notEqual">
      <formula>$D$34+$E$34</formula>
    </cfRule>
  </conditionalFormatting>
  <conditionalFormatting sqref="C35">
    <cfRule type="cellIs" dxfId="74" priority="26" stopIfTrue="1" operator="notEqual">
      <formula>$D$35+$E$35</formula>
    </cfRule>
  </conditionalFormatting>
  <conditionalFormatting sqref="C36">
    <cfRule type="cellIs" dxfId="73" priority="25" stopIfTrue="1" operator="notEqual">
      <formula>$D$36+$E$36</formula>
    </cfRule>
  </conditionalFormatting>
  <conditionalFormatting sqref="C37">
    <cfRule type="cellIs" dxfId="72" priority="24" stopIfTrue="1" operator="notEqual">
      <formula>$D$37+$E$37</formula>
    </cfRule>
  </conditionalFormatting>
  <conditionalFormatting sqref="C38">
    <cfRule type="cellIs" dxfId="71" priority="23" stopIfTrue="1" operator="notEqual">
      <formula>$D$38+$E$38</formula>
    </cfRule>
  </conditionalFormatting>
  <conditionalFormatting sqref="C39">
    <cfRule type="cellIs" dxfId="70" priority="22" stopIfTrue="1" operator="notEqual">
      <formula>$D$39+$E$39</formula>
    </cfRule>
  </conditionalFormatting>
  <conditionalFormatting sqref="C42">
    <cfRule type="cellIs" dxfId="69" priority="21" stopIfTrue="1" operator="notEqual">
      <formula>$D$42+$E$42</formula>
    </cfRule>
  </conditionalFormatting>
  <conditionalFormatting sqref="C43">
    <cfRule type="cellIs" dxfId="68" priority="20" stopIfTrue="1" operator="notEqual">
      <formula>$D$43+$E$43</formula>
    </cfRule>
  </conditionalFormatting>
  <conditionalFormatting sqref="C44">
    <cfRule type="cellIs" dxfId="67" priority="19" stopIfTrue="1" operator="notEqual">
      <formula>$D$44+$E$44</formula>
    </cfRule>
  </conditionalFormatting>
  <conditionalFormatting sqref="C45">
    <cfRule type="cellIs" dxfId="66" priority="18" stopIfTrue="1" operator="notEqual">
      <formula>$D$45+$E$45</formula>
    </cfRule>
  </conditionalFormatting>
  <conditionalFormatting sqref="C46">
    <cfRule type="cellIs" dxfId="65" priority="17" stopIfTrue="1" operator="notEqual">
      <formula>$D$46+$E$46</formula>
    </cfRule>
  </conditionalFormatting>
  <conditionalFormatting sqref="C47">
    <cfRule type="cellIs" dxfId="64" priority="16" stopIfTrue="1" operator="notEqual">
      <formula>$D$47+$E$47</formula>
    </cfRule>
  </conditionalFormatting>
  <conditionalFormatting sqref="C50">
    <cfRule type="cellIs" dxfId="63" priority="15" stopIfTrue="1" operator="notEqual">
      <formula>$D$50+$E$50</formula>
    </cfRule>
  </conditionalFormatting>
  <conditionalFormatting sqref="C51">
    <cfRule type="cellIs" dxfId="62" priority="14" stopIfTrue="1" operator="notEqual">
      <formula>$D$51+$E$51</formula>
    </cfRule>
  </conditionalFormatting>
  <conditionalFormatting sqref="C52">
    <cfRule type="cellIs" dxfId="61" priority="13" stopIfTrue="1" operator="notEqual">
      <formula>$D$52+$E$52</formula>
    </cfRule>
  </conditionalFormatting>
  <conditionalFormatting sqref="C53">
    <cfRule type="cellIs" dxfId="60" priority="12" stopIfTrue="1" operator="notEqual">
      <formula>$D$53+$E$53</formula>
    </cfRule>
  </conditionalFormatting>
  <conditionalFormatting sqref="C54">
    <cfRule type="cellIs" dxfId="59" priority="11" stopIfTrue="1" operator="notEqual">
      <formula>$D$54+$E$54</formula>
    </cfRule>
  </conditionalFormatting>
  <conditionalFormatting sqref="C55">
    <cfRule type="cellIs" dxfId="58" priority="10" stopIfTrue="1" operator="notEqual">
      <formula>$D$55+$E$55</formula>
    </cfRule>
  </conditionalFormatting>
  <conditionalFormatting sqref="C58">
    <cfRule type="cellIs" dxfId="57" priority="9" stopIfTrue="1" operator="notEqual">
      <formula>$D$58+$E$58</formula>
    </cfRule>
  </conditionalFormatting>
  <conditionalFormatting sqref="C59">
    <cfRule type="cellIs" dxfId="56" priority="8" stopIfTrue="1" operator="notEqual">
      <formula>$D$59+$E$59</formula>
    </cfRule>
  </conditionalFormatting>
  <conditionalFormatting sqref="C60">
    <cfRule type="cellIs" dxfId="55" priority="7" stopIfTrue="1" operator="notEqual">
      <formula>$D$60+$E$60</formula>
    </cfRule>
  </conditionalFormatting>
  <conditionalFormatting sqref="C61">
    <cfRule type="cellIs" dxfId="54" priority="6" stopIfTrue="1" operator="notEqual">
      <formula>$D$61+$E$61</formula>
    </cfRule>
  </conditionalFormatting>
  <conditionalFormatting sqref="C62">
    <cfRule type="cellIs" dxfId="53" priority="5" stopIfTrue="1" operator="notEqual">
      <formula>$D$62+$E$62</formula>
    </cfRule>
  </conditionalFormatting>
  <conditionalFormatting sqref="C63">
    <cfRule type="cellIs" dxfId="52" priority="4" stopIfTrue="1" operator="notEqual">
      <formula>$D$63+$E$63</formula>
    </cfRule>
  </conditionalFormatting>
  <conditionalFormatting sqref="C66">
    <cfRule type="cellIs" dxfId="51" priority="3" stopIfTrue="1" operator="notEqual">
      <formula>$D$66+$E$66</formula>
    </cfRule>
  </conditionalFormatting>
  <conditionalFormatting sqref="C67">
    <cfRule type="cellIs" dxfId="50" priority="2" stopIfTrue="1" operator="notEqual">
      <formula>$D$67+$E$67</formula>
    </cfRule>
  </conditionalFormatting>
  <conditionalFormatting sqref="C68:C76 C79:C90">
    <cfRule type="cellIs" dxfId="49" priority="1" stopIfTrue="1" operator="notEqual">
      <formula>D68+E68</formula>
    </cfRule>
  </conditionalFormatting>
  <dataValidations count="3">
    <dataValidation type="decimal" operator="greaterThanOrEqual" allowBlank="1" showInputMessage="1" showErrorMessage="1" prompt="Ввести целым числом. Например: _x000a_15% =15_x000a__x000a_" sqref="F66:F76">
      <formula1>0</formula1>
    </dataValidation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91"/>
    <dataValidation type="whole" operator="greaterThanOrEqual" allowBlank="1" showErrorMessage="1" error="Введите как целое число." sqref="G58:T63">
      <formula1>0</formula1>
    </dataValidation>
  </dataValidations>
  <printOptions horizontalCentered="1" verticalCentered="1"/>
  <pageMargins left="0.15748031496062992" right="0.15748031496062992" top="0.23622047244094491" bottom="0.15748031496062992" header="0.51181102362204722" footer="0.51181102362204722"/>
  <pageSetup paperSize="9" scale="43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pageSetUpPr fitToPage="1"/>
  </sheetPr>
  <dimension ref="A1:Q40"/>
  <sheetViews>
    <sheetView view="pageBreakPreview" zoomScale="80" zoomScaleSheetLayoutView="80" workbookViewId="0">
      <selection activeCell="K14" sqref="K14"/>
    </sheetView>
  </sheetViews>
  <sheetFormatPr defaultRowHeight="12.75"/>
  <cols>
    <col min="1" max="1" width="3.7109375" style="1" customWidth="1"/>
    <col min="2" max="2" width="38.140625" style="1" customWidth="1"/>
    <col min="3" max="3" width="19.28515625" style="1" customWidth="1"/>
    <col min="4" max="4" width="7.140625" style="1" customWidth="1"/>
    <col min="5" max="5" width="20.28515625" style="1" customWidth="1"/>
    <col min="6" max="6" width="7.140625" style="1" customWidth="1"/>
    <col min="7" max="7" width="15.42578125" style="1" customWidth="1"/>
    <col min="8" max="8" width="6.42578125" style="1" customWidth="1"/>
    <col min="9" max="9" width="15.5703125" style="1" customWidth="1"/>
    <col min="10" max="10" width="17.7109375" style="1" customWidth="1"/>
    <col min="11" max="17" width="13.85546875" style="1" customWidth="1"/>
    <col min="18" max="16384" width="9.140625" style="1"/>
  </cols>
  <sheetData>
    <row r="1" spans="1:17" ht="63" customHeight="1">
      <c r="O1" s="704" t="s">
        <v>527</v>
      </c>
      <c r="P1" s="704"/>
      <c r="Q1" s="704"/>
    </row>
    <row r="2" spans="1:17" ht="15.75">
      <c r="A2" s="95" t="s">
        <v>192</v>
      </c>
      <c r="B2" s="96"/>
      <c r="C2" s="96"/>
      <c r="D2" s="96"/>
      <c r="E2" s="96"/>
      <c r="F2" s="96"/>
      <c r="G2" s="97"/>
      <c r="H2" s="97"/>
      <c r="I2" s="97"/>
      <c r="J2" s="97"/>
      <c r="K2" s="97"/>
      <c r="L2" s="97"/>
      <c r="M2" s="97"/>
      <c r="N2" s="96"/>
      <c r="O2" s="96"/>
      <c r="P2" s="98" t="s">
        <v>193</v>
      </c>
      <c r="Q2" s="99"/>
    </row>
    <row r="3" spans="1:17">
      <c r="A3" s="479">
        <f>Balance!A4</f>
        <v>43100</v>
      </c>
      <c r="B3" s="96"/>
      <c r="C3" s="96"/>
      <c r="D3" s="96"/>
      <c r="E3" s="96"/>
      <c r="F3" s="96"/>
      <c r="G3" s="97"/>
      <c r="H3" s="97"/>
      <c r="I3" s="97"/>
      <c r="J3" s="97"/>
      <c r="K3" s="96"/>
      <c r="L3" s="96"/>
      <c r="M3" s="96"/>
      <c r="N3" s="96"/>
      <c r="O3" s="96" t="str">
        <f>Balance!B3</f>
        <v>АКБ "Микрокредитбанк"</v>
      </c>
      <c r="P3" s="96"/>
      <c r="Q3" s="96"/>
    </row>
    <row r="4" spans="1:17" ht="13.5" thickBot="1">
      <c r="A4" s="83"/>
      <c r="B4" s="83"/>
      <c r="C4" s="83"/>
      <c r="D4" s="83"/>
      <c r="E4" s="83"/>
      <c r="F4" s="83"/>
      <c r="G4" s="100"/>
      <c r="H4" s="100"/>
      <c r="I4" s="100"/>
      <c r="J4" s="100"/>
      <c r="K4" s="83"/>
      <c r="L4" s="83"/>
      <c r="M4" s="83"/>
      <c r="N4" s="83"/>
      <c r="O4" s="83"/>
      <c r="P4" s="83"/>
      <c r="Q4" s="83"/>
    </row>
    <row r="5" spans="1:17" ht="13.5" customHeight="1" thickBot="1">
      <c r="A5" s="747" t="s">
        <v>48</v>
      </c>
      <c r="B5" s="747" t="s">
        <v>7</v>
      </c>
      <c r="C5" s="750" t="s">
        <v>194</v>
      </c>
      <c r="D5" s="753" t="s">
        <v>195</v>
      </c>
      <c r="E5" s="750" t="s">
        <v>196</v>
      </c>
      <c r="F5" s="753" t="s">
        <v>195</v>
      </c>
      <c r="G5" s="757" t="s">
        <v>197</v>
      </c>
      <c r="H5" s="757"/>
      <c r="I5" s="757"/>
      <c r="J5" s="757"/>
      <c r="K5" s="765" t="s">
        <v>198</v>
      </c>
      <c r="L5" s="766"/>
      <c r="M5" s="766"/>
      <c r="N5" s="766"/>
      <c r="O5" s="766"/>
      <c r="P5" s="766"/>
      <c r="Q5" s="767"/>
    </row>
    <row r="6" spans="1:17" ht="13.5" thickBot="1">
      <c r="A6" s="748"/>
      <c r="B6" s="748"/>
      <c r="C6" s="751"/>
      <c r="D6" s="754"/>
      <c r="E6" s="751"/>
      <c r="F6" s="754"/>
      <c r="G6" s="756" t="s">
        <v>199</v>
      </c>
      <c r="H6" s="758" t="s">
        <v>195</v>
      </c>
      <c r="I6" s="757" t="s">
        <v>129</v>
      </c>
      <c r="J6" s="757"/>
      <c r="K6" s="759" t="s">
        <v>200</v>
      </c>
      <c r="L6" s="753" t="s">
        <v>201</v>
      </c>
      <c r="M6" s="753" t="s">
        <v>202</v>
      </c>
      <c r="N6" s="753" t="s">
        <v>203</v>
      </c>
      <c r="O6" s="753" t="s">
        <v>204</v>
      </c>
      <c r="P6" s="759" t="s">
        <v>205</v>
      </c>
      <c r="Q6" s="762" t="s">
        <v>206</v>
      </c>
    </row>
    <row r="7" spans="1:17" ht="13.5" customHeight="1" thickBot="1">
      <c r="A7" s="748"/>
      <c r="B7" s="748"/>
      <c r="C7" s="751"/>
      <c r="D7" s="754"/>
      <c r="E7" s="751"/>
      <c r="F7" s="754"/>
      <c r="G7" s="756"/>
      <c r="H7" s="758"/>
      <c r="I7" s="757" t="s">
        <v>197</v>
      </c>
      <c r="J7" s="757" t="s">
        <v>207</v>
      </c>
      <c r="K7" s="760"/>
      <c r="L7" s="754"/>
      <c r="M7" s="754"/>
      <c r="N7" s="754"/>
      <c r="O7" s="754"/>
      <c r="P7" s="760"/>
      <c r="Q7" s="763"/>
    </row>
    <row r="8" spans="1:17" ht="13.5" thickBot="1">
      <c r="A8" s="749"/>
      <c r="B8" s="749"/>
      <c r="C8" s="752"/>
      <c r="D8" s="755"/>
      <c r="E8" s="752"/>
      <c r="F8" s="755"/>
      <c r="G8" s="756"/>
      <c r="H8" s="758"/>
      <c r="I8" s="757"/>
      <c r="J8" s="757"/>
      <c r="K8" s="761"/>
      <c r="L8" s="755"/>
      <c r="M8" s="755"/>
      <c r="N8" s="755"/>
      <c r="O8" s="755"/>
      <c r="P8" s="761"/>
      <c r="Q8" s="764"/>
    </row>
    <row r="9" spans="1:17" s="106" customFormat="1" ht="12" thickBot="1">
      <c r="A9" s="102"/>
      <c r="B9" s="103" t="s">
        <v>150</v>
      </c>
      <c r="C9" s="103" t="s">
        <v>10</v>
      </c>
      <c r="D9" s="103" t="s">
        <v>11</v>
      </c>
      <c r="E9" s="103" t="s">
        <v>12</v>
      </c>
      <c r="F9" s="103" t="s">
        <v>50</v>
      </c>
      <c r="G9" s="104" t="s">
        <v>51</v>
      </c>
      <c r="H9" s="104" t="s">
        <v>75</v>
      </c>
      <c r="I9" s="104" t="s">
        <v>151</v>
      </c>
      <c r="J9" s="104" t="s">
        <v>152</v>
      </c>
      <c r="K9" s="103" t="s">
        <v>153</v>
      </c>
      <c r="L9" s="103" t="s">
        <v>154</v>
      </c>
      <c r="M9" s="103" t="s">
        <v>155</v>
      </c>
      <c r="N9" s="103" t="s">
        <v>156</v>
      </c>
      <c r="O9" s="105" t="s">
        <v>157</v>
      </c>
      <c r="P9" s="105" t="s">
        <v>158</v>
      </c>
      <c r="Q9" s="105" t="s">
        <v>159</v>
      </c>
    </row>
    <row r="10" spans="1:17" ht="21" customHeight="1">
      <c r="A10" s="107"/>
      <c r="B10" s="108" t="s">
        <v>208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</row>
    <row r="11" spans="1:17" ht="21" customHeight="1">
      <c r="A11" s="110">
        <v>1</v>
      </c>
      <c r="B11" s="41" t="s">
        <v>209</v>
      </c>
      <c r="C11" s="111">
        <f>'Loans Receivable'!C85</f>
        <v>0</v>
      </c>
      <c r="D11" s="112">
        <f t="shared" ref="D11:D22" si="0">IF(C$24=0,"",C11/C$24)</f>
        <v>0</v>
      </c>
      <c r="E11" s="113"/>
      <c r="F11" s="112" t="str">
        <f t="shared" ref="F11:F22" si="1">IF(E$24=0,"",E11/E$24)</f>
        <v/>
      </c>
      <c r="G11" s="41">
        <f t="shared" ref="G11:G22" si="2">SUM(K11:Q11)</f>
        <v>0</v>
      </c>
      <c r="H11" s="112">
        <f>IF($G$24=0,"",G11/$G$24)</f>
        <v>0</v>
      </c>
      <c r="I11" s="113"/>
      <c r="J11" s="113"/>
      <c r="K11" s="113"/>
      <c r="L11" s="113"/>
      <c r="M11" s="113"/>
      <c r="N11" s="113"/>
      <c r="O11" s="113"/>
      <c r="P11" s="113"/>
      <c r="Q11" s="113"/>
    </row>
    <row r="12" spans="1:17" ht="21" customHeight="1">
      <c r="A12" s="110">
        <v>2</v>
      </c>
      <c r="B12" s="41" t="s">
        <v>210</v>
      </c>
      <c r="C12" s="111">
        <f>'Loans Receivable'!C84</f>
        <v>0</v>
      </c>
      <c r="D12" s="112">
        <f t="shared" si="0"/>
        <v>0</v>
      </c>
      <c r="E12" s="113"/>
      <c r="F12" s="112" t="str">
        <f t="shared" si="1"/>
        <v/>
      </c>
      <c r="G12" s="41">
        <f t="shared" si="2"/>
        <v>0</v>
      </c>
      <c r="H12" s="112">
        <f t="shared" ref="H12:H24" si="3">IF($G$24=0,"",G12/$G$24)</f>
        <v>0</v>
      </c>
      <c r="I12" s="113"/>
      <c r="J12" s="113"/>
      <c r="K12" s="113"/>
      <c r="L12" s="113"/>
      <c r="M12" s="113"/>
      <c r="N12" s="113"/>
      <c r="O12" s="113"/>
      <c r="P12" s="113"/>
      <c r="Q12" s="113"/>
    </row>
    <row r="13" spans="1:17" ht="21" customHeight="1">
      <c r="A13" s="110">
        <v>3</v>
      </c>
      <c r="B13" s="41" t="s">
        <v>211</v>
      </c>
      <c r="C13" s="111">
        <f>'Loans Receivable'!C86</f>
        <v>0</v>
      </c>
      <c r="D13" s="112">
        <f t="shared" si="0"/>
        <v>0</v>
      </c>
      <c r="E13" s="113"/>
      <c r="F13" s="112" t="str">
        <f t="shared" si="1"/>
        <v/>
      </c>
      <c r="G13" s="41">
        <f t="shared" si="2"/>
        <v>0</v>
      </c>
      <c r="H13" s="112">
        <f t="shared" si="3"/>
        <v>0</v>
      </c>
      <c r="I13" s="113"/>
      <c r="J13" s="113"/>
      <c r="K13" s="113"/>
      <c r="L13" s="113"/>
      <c r="M13" s="113"/>
      <c r="N13" s="113"/>
      <c r="O13" s="113"/>
      <c r="P13" s="113"/>
      <c r="Q13" s="113"/>
    </row>
    <row r="14" spans="1:17" ht="21" customHeight="1">
      <c r="A14" s="110">
        <v>4</v>
      </c>
      <c r="B14" s="41" t="s">
        <v>212</v>
      </c>
      <c r="C14" s="111">
        <f>'Loans Receivable'!C79</f>
        <v>468263196</v>
      </c>
      <c r="D14" s="112">
        <f t="shared" si="0"/>
        <v>0.36408910546130979</v>
      </c>
      <c r="E14" s="113"/>
      <c r="F14" s="112" t="str">
        <f t="shared" si="1"/>
        <v/>
      </c>
      <c r="G14" s="41">
        <f t="shared" si="2"/>
        <v>2323519</v>
      </c>
      <c r="H14" s="112">
        <f t="shared" si="3"/>
        <v>0.22564213770069094</v>
      </c>
      <c r="I14" s="113">
        <v>2323519</v>
      </c>
      <c r="J14" s="113"/>
      <c r="K14" s="113">
        <v>2323519</v>
      </c>
      <c r="L14" s="113"/>
      <c r="M14" s="113"/>
      <c r="N14" s="113"/>
      <c r="O14" s="113"/>
      <c r="P14" s="113"/>
      <c r="Q14" s="113"/>
    </row>
    <row r="15" spans="1:17" ht="21" customHeight="1">
      <c r="A15" s="110">
        <v>5</v>
      </c>
      <c r="B15" s="41" t="s">
        <v>213</v>
      </c>
      <c r="C15" s="111">
        <f>'Loans Receivable'!C80</f>
        <v>141933618</v>
      </c>
      <c r="D15" s="112">
        <f t="shared" si="0"/>
        <v>0.11035777411920979</v>
      </c>
      <c r="E15" s="113"/>
      <c r="F15" s="112" t="str">
        <f t="shared" si="1"/>
        <v/>
      </c>
      <c r="G15" s="41">
        <f t="shared" si="2"/>
        <v>13511</v>
      </c>
      <c r="H15" s="112">
        <f t="shared" si="3"/>
        <v>1.31208349166675E-3</v>
      </c>
      <c r="I15" s="113">
        <v>13511</v>
      </c>
      <c r="J15" s="113"/>
      <c r="K15" s="113">
        <v>13511</v>
      </c>
      <c r="L15" s="113"/>
      <c r="M15" s="113"/>
      <c r="N15" s="113"/>
      <c r="O15" s="113"/>
      <c r="P15" s="113"/>
      <c r="Q15" s="113"/>
    </row>
    <row r="16" spans="1:17" ht="21" customHeight="1">
      <c r="A16" s="110">
        <v>6</v>
      </c>
      <c r="B16" s="86" t="s">
        <v>214</v>
      </c>
      <c r="C16" s="111">
        <f>'Loans Receivable'!C81</f>
        <v>8044041</v>
      </c>
      <c r="D16" s="112">
        <f t="shared" si="0"/>
        <v>6.2544904596433413E-3</v>
      </c>
      <c r="E16" s="113"/>
      <c r="F16" s="112" t="str">
        <f t="shared" si="1"/>
        <v/>
      </c>
      <c r="G16" s="41">
        <f t="shared" si="2"/>
        <v>3884</v>
      </c>
      <c r="H16" s="112">
        <f t="shared" si="3"/>
        <v>3.7718394505467082E-4</v>
      </c>
      <c r="I16" s="113">
        <v>3884</v>
      </c>
      <c r="J16" s="113"/>
      <c r="K16" s="113">
        <v>3884</v>
      </c>
      <c r="L16" s="113"/>
      <c r="M16" s="113"/>
      <c r="N16" s="113"/>
      <c r="O16" s="113"/>
      <c r="P16" s="113"/>
      <c r="Q16" s="113"/>
    </row>
    <row r="17" spans="1:17" ht="21" customHeight="1">
      <c r="A17" s="110">
        <v>7</v>
      </c>
      <c r="B17" s="86" t="s">
        <v>215</v>
      </c>
      <c r="C17" s="111">
        <f>'Loans Receivable'!C82</f>
        <v>667881660</v>
      </c>
      <c r="D17" s="112">
        <f t="shared" si="0"/>
        <v>0.51929862995983711</v>
      </c>
      <c r="E17" s="113"/>
      <c r="F17" s="112" t="str">
        <f t="shared" si="1"/>
        <v/>
      </c>
      <c r="G17" s="41">
        <f t="shared" si="2"/>
        <v>7695228</v>
      </c>
      <c r="H17" s="112">
        <f t="shared" si="3"/>
        <v>0.74730083808835335</v>
      </c>
      <c r="I17" s="113">
        <v>7695228</v>
      </c>
      <c r="J17" s="113"/>
      <c r="K17" s="113">
        <v>7695228</v>
      </c>
      <c r="L17" s="113"/>
      <c r="M17" s="113"/>
      <c r="N17" s="701"/>
      <c r="O17" s="113"/>
      <c r="P17" s="113"/>
      <c r="Q17" s="113"/>
    </row>
    <row r="18" spans="1:17" ht="21" customHeight="1">
      <c r="A18" s="110">
        <v>8</v>
      </c>
      <c r="B18" s="86" t="s">
        <v>216</v>
      </c>
      <c r="C18" s="111">
        <f>'Loans Receivable'!C83</f>
        <v>0</v>
      </c>
      <c r="D18" s="112">
        <f t="shared" si="0"/>
        <v>0</v>
      </c>
      <c r="E18" s="113"/>
      <c r="F18" s="112" t="str">
        <f t="shared" si="1"/>
        <v/>
      </c>
      <c r="G18" s="41">
        <f t="shared" si="2"/>
        <v>0</v>
      </c>
      <c r="H18" s="112">
        <f t="shared" si="3"/>
        <v>0</v>
      </c>
      <c r="I18" s="113"/>
      <c r="J18" s="113"/>
      <c r="K18" s="113"/>
      <c r="L18" s="113"/>
      <c r="M18" s="113"/>
      <c r="N18" s="113"/>
      <c r="O18" s="113"/>
      <c r="P18" s="113"/>
      <c r="Q18" s="113"/>
    </row>
    <row r="19" spans="1:17" ht="18.75" customHeight="1">
      <c r="A19" s="110">
        <v>9</v>
      </c>
      <c r="B19" s="114" t="s">
        <v>217</v>
      </c>
      <c r="C19" s="111">
        <f>'Loans Receivable'!C87</f>
        <v>0</v>
      </c>
      <c r="D19" s="112">
        <f t="shared" si="0"/>
        <v>0</v>
      </c>
      <c r="E19" s="113"/>
      <c r="F19" s="112" t="str">
        <f t="shared" si="1"/>
        <v/>
      </c>
      <c r="G19" s="41">
        <f t="shared" si="2"/>
        <v>0</v>
      </c>
      <c r="H19" s="112">
        <f t="shared" si="3"/>
        <v>0</v>
      </c>
      <c r="I19" s="113"/>
      <c r="J19" s="113"/>
      <c r="K19" s="113"/>
      <c r="L19" s="113"/>
      <c r="M19" s="113"/>
      <c r="N19" s="113"/>
      <c r="O19" s="113"/>
      <c r="P19" s="113"/>
      <c r="Q19" s="113"/>
    </row>
    <row r="20" spans="1:17" ht="28.5" customHeight="1">
      <c r="A20" s="110">
        <v>10</v>
      </c>
      <c r="B20" s="114" t="s">
        <v>218</v>
      </c>
      <c r="C20" s="111">
        <f>'Loans Receivable'!C88</f>
        <v>0</v>
      </c>
      <c r="D20" s="112">
        <f t="shared" si="0"/>
        <v>0</v>
      </c>
      <c r="E20" s="113"/>
      <c r="F20" s="112" t="str">
        <f t="shared" si="1"/>
        <v/>
      </c>
      <c r="G20" s="41">
        <f t="shared" si="2"/>
        <v>261221</v>
      </c>
      <c r="H20" s="112">
        <f t="shared" si="3"/>
        <v>2.5367756774234335E-2</v>
      </c>
      <c r="I20" s="113">
        <v>261221</v>
      </c>
      <c r="J20" s="113"/>
      <c r="K20" s="113">
        <v>261221</v>
      </c>
      <c r="L20" s="113"/>
      <c r="M20" s="113"/>
      <c r="N20" s="113"/>
      <c r="O20" s="113"/>
      <c r="P20" s="113"/>
      <c r="Q20" s="113"/>
    </row>
    <row r="21" spans="1:17" ht="21" customHeight="1">
      <c r="A21" s="110">
        <v>11</v>
      </c>
      <c r="B21" s="114" t="s">
        <v>219</v>
      </c>
      <c r="C21" s="111">
        <f>'Loans Receivable'!C89</f>
        <v>0</v>
      </c>
      <c r="D21" s="112">
        <f t="shared" si="0"/>
        <v>0</v>
      </c>
      <c r="E21" s="113"/>
      <c r="F21" s="112" t="str">
        <f t="shared" si="1"/>
        <v/>
      </c>
      <c r="G21" s="41">
        <f t="shared" si="2"/>
        <v>0</v>
      </c>
      <c r="H21" s="112">
        <f t="shared" si="3"/>
        <v>0</v>
      </c>
      <c r="I21" s="113"/>
      <c r="J21" s="113"/>
      <c r="K21" s="113"/>
      <c r="L21" s="113"/>
      <c r="M21" s="113"/>
      <c r="N21" s="113"/>
      <c r="O21" s="113"/>
      <c r="P21" s="113"/>
      <c r="Q21" s="113"/>
    </row>
    <row r="22" spans="1:17" ht="21" customHeight="1">
      <c r="A22" s="110">
        <v>12</v>
      </c>
      <c r="B22" s="114" t="s">
        <v>220</v>
      </c>
      <c r="C22" s="111">
        <f>'Loans Receivable'!C90</f>
        <v>0</v>
      </c>
      <c r="D22" s="112">
        <f t="shared" si="0"/>
        <v>0</v>
      </c>
      <c r="E22" s="113"/>
      <c r="F22" s="112" t="str">
        <f t="shared" si="1"/>
        <v/>
      </c>
      <c r="G22" s="41">
        <f t="shared" si="2"/>
        <v>0</v>
      </c>
      <c r="H22" s="112">
        <f t="shared" si="3"/>
        <v>0</v>
      </c>
      <c r="I22" s="113"/>
      <c r="J22" s="113"/>
      <c r="K22" s="113"/>
      <c r="L22" s="113"/>
      <c r="M22" s="113"/>
      <c r="N22" s="113"/>
      <c r="O22" s="113"/>
      <c r="P22" s="113"/>
      <c r="Q22" s="113"/>
    </row>
    <row r="23" spans="1:17" ht="16.5" customHeight="1">
      <c r="A23" s="110"/>
      <c r="B23" s="41"/>
      <c r="C23" s="50"/>
      <c r="D23" s="112"/>
      <c r="E23" s="115"/>
      <c r="F23" s="112"/>
      <c r="G23" s="41"/>
      <c r="H23" s="112"/>
      <c r="I23" s="112"/>
      <c r="J23" s="112"/>
      <c r="K23" s="113"/>
      <c r="L23" s="113"/>
      <c r="M23" s="113"/>
      <c r="N23" s="113"/>
      <c r="O23" s="113"/>
      <c r="P23" s="113"/>
      <c r="Q23" s="113"/>
    </row>
    <row r="24" spans="1:17" ht="21" customHeight="1">
      <c r="A24" s="107">
        <v>13</v>
      </c>
      <c r="B24" s="116" t="s">
        <v>221</v>
      </c>
      <c r="C24" s="120">
        <f>SUM(C11:C22)</f>
        <v>1286122515</v>
      </c>
      <c r="D24" s="118">
        <f>IF(C$24=0,"",C24/C$24)</f>
        <v>1</v>
      </c>
      <c r="E24" s="120">
        <f>SUM(E11:E22)</f>
        <v>0</v>
      </c>
      <c r="F24" s="118" t="str">
        <f t="shared" ref="F24:F36" si="4">IF(E$24=0,"",E24/E$24)</f>
        <v/>
      </c>
      <c r="G24" s="120">
        <f>SUM(G11:G22)</f>
        <v>10297363</v>
      </c>
      <c r="H24" s="118">
        <f t="shared" si="3"/>
        <v>1</v>
      </c>
      <c r="I24" s="117">
        <f t="shared" ref="I24:Q24" si="5">SUM(I11:I22)</f>
        <v>10297363</v>
      </c>
      <c r="J24" s="120">
        <f t="shared" si="5"/>
        <v>0</v>
      </c>
      <c r="K24" s="120">
        <f t="shared" si="5"/>
        <v>10297363</v>
      </c>
      <c r="L24" s="120">
        <f t="shared" si="5"/>
        <v>0</v>
      </c>
      <c r="M24" s="120">
        <f t="shared" si="5"/>
        <v>0</v>
      </c>
      <c r="N24" s="120">
        <f t="shared" si="5"/>
        <v>0</v>
      </c>
      <c r="O24" s="120">
        <f t="shared" si="5"/>
        <v>0</v>
      </c>
      <c r="P24" s="120">
        <f t="shared" si="5"/>
        <v>0</v>
      </c>
      <c r="Q24" s="120">
        <f t="shared" si="5"/>
        <v>0</v>
      </c>
    </row>
    <row r="25" spans="1:17" ht="16.5" customHeight="1">
      <c r="A25" s="110"/>
      <c r="B25" s="41"/>
      <c r="C25" s="50"/>
      <c r="D25" s="112"/>
      <c r="E25" s="112"/>
      <c r="F25" s="112" t="str">
        <f t="shared" si="4"/>
        <v/>
      </c>
      <c r="G25" s="41"/>
      <c r="H25" s="112"/>
      <c r="I25" s="112"/>
      <c r="J25" s="112"/>
      <c r="K25" s="41"/>
      <c r="L25" s="41"/>
      <c r="M25" s="41"/>
      <c r="N25" s="41"/>
      <c r="O25" s="41"/>
      <c r="P25" s="41"/>
      <c r="Q25" s="41"/>
    </row>
    <row r="26" spans="1:17" ht="21" customHeight="1">
      <c r="A26" s="107"/>
      <c r="B26" s="108" t="s">
        <v>222</v>
      </c>
      <c r="C26" s="119"/>
      <c r="D26" s="118"/>
      <c r="E26" s="118"/>
      <c r="F26" s="118" t="str">
        <f t="shared" si="4"/>
        <v/>
      </c>
      <c r="G26" s="120"/>
      <c r="H26" s="118"/>
      <c r="I26" s="118"/>
      <c r="J26" s="118"/>
      <c r="K26" s="120"/>
      <c r="L26" s="120"/>
      <c r="M26" s="120"/>
      <c r="N26" s="120"/>
      <c r="O26" s="120"/>
      <c r="P26" s="120"/>
      <c r="Q26" s="120"/>
    </row>
    <row r="27" spans="1:17" ht="21" customHeight="1">
      <c r="A27" s="110">
        <v>14</v>
      </c>
      <c r="B27" s="20" t="s">
        <v>162</v>
      </c>
      <c r="C27" s="111">
        <f>'Loans Receivable'!C15</f>
        <v>216425992</v>
      </c>
      <c r="D27" s="112">
        <f t="shared" ref="D27:D36" si="6">IF(C$36=0,"",C27/C$36)</f>
        <v>0.16827789691559827</v>
      </c>
      <c r="E27" s="113"/>
      <c r="F27" s="112" t="str">
        <f t="shared" si="4"/>
        <v/>
      </c>
      <c r="G27" s="41">
        <f t="shared" ref="G27:G34" si="7">SUM(K27:Q27)</f>
        <v>0</v>
      </c>
      <c r="H27" s="112">
        <f>IF($G$36=0,"",G27/$G$36)</f>
        <v>0</v>
      </c>
      <c r="I27" s="113"/>
      <c r="J27" s="113"/>
      <c r="K27" s="113"/>
      <c r="L27" s="113"/>
      <c r="M27" s="113"/>
      <c r="N27" s="113"/>
      <c r="O27" s="113"/>
      <c r="P27" s="113"/>
      <c r="Q27" s="113"/>
    </row>
    <row r="28" spans="1:17" ht="21" customHeight="1">
      <c r="A28" s="110">
        <v>15</v>
      </c>
      <c r="B28" s="20" t="s">
        <v>170</v>
      </c>
      <c r="C28" s="111">
        <f>'Loans Receivable'!C24</f>
        <v>300645088</v>
      </c>
      <c r="D28" s="112">
        <f t="shared" si="6"/>
        <v>0.2337608466484237</v>
      </c>
      <c r="E28" s="113"/>
      <c r="F28" s="112" t="str">
        <f t="shared" si="4"/>
        <v/>
      </c>
      <c r="G28" s="41">
        <f t="shared" si="7"/>
        <v>0</v>
      </c>
      <c r="H28" s="112">
        <f t="shared" ref="H28:H34" si="8">IF($G$36=0,"",G28/$G$36)</f>
        <v>0</v>
      </c>
      <c r="I28" s="113"/>
      <c r="J28" s="113"/>
      <c r="K28" s="113"/>
      <c r="L28" s="113"/>
      <c r="M28" s="113"/>
      <c r="N28" s="113"/>
      <c r="O28" s="113"/>
      <c r="P28" s="113"/>
      <c r="Q28" s="113"/>
    </row>
    <row r="29" spans="1:17" ht="21" customHeight="1">
      <c r="A29" s="110">
        <v>16</v>
      </c>
      <c r="B29" s="20" t="s">
        <v>173</v>
      </c>
      <c r="C29" s="111">
        <f>'Loans Receivable'!C32</f>
        <v>170536684</v>
      </c>
      <c r="D29" s="112">
        <f t="shared" si="6"/>
        <v>0.13259754184460412</v>
      </c>
      <c r="E29" s="113"/>
      <c r="F29" s="112" t="str">
        <f t="shared" si="4"/>
        <v/>
      </c>
      <c r="G29" s="41">
        <f t="shared" si="7"/>
        <v>0</v>
      </c>
      <c r="H29" s="112">
        <f t="shared" si="8"/>
        <v>0</v>
      </c>
      <c r="I29" s="113"/>
      <c r="J29" s="113"/>
      <c r="K29" s="113"/>
      <c r="L29" s="113"/>
      <c r="M29" s="113"/>
      <c r="N29" s="113"/>
      <c r="O29" s="113"/>
      <c r="P29" s="113"/>
      <c r="Q29" s="113"/>
    </row>
    <row r="30" spans="1:17" ht="21" customHeight="1">
      <c r="A30" s="110">
        <v>17</v>
      </c>
      <c r="B30" s="20" t="s">
        <v>175</v>
      </c>
      <c r="C30" s="111">
        <f>'Loans Receivable'!C40</f>
        <v>178688875</v>
      </c>
      <c r="D30" s="112">
        <f t="shared" si="6"/>
        <v>0.13893612227136853</v>
      </c>
      <c r="E30" s="113"/>
      <c r="F30" s="112" t="str">
        <f t="shared" si="4"/>
        <v/>
      </c>
      <c r="G30" s="41">
        <f t="shared" si="7"/>
        <v>0</v>
      </c>
      <c r="H30" s="112">
        <f t="shared" si="8"/>
        <v>0</v>
      </c>
      <c r="I30" s="113"/>
      <c r="J30" s="113"/>
      <c r="K30" s="113"/>
      <c r="L30" s="113"/>
      <c r="M30" s="113"/>
      <c r="N30" s="113"/>
      <c r="O30" s="113"/>
      <c r="P30" s="113"/>
      <c r="Q30" s="113"/>
    </row>
    <row r="31" spans="1:17" ht="21" customHeight="1">
      <c r="A31" s="110">
        <v>18</v>
      </c>
      <c r="B31" s="28" t="s">
        <v>177</v>
      </c>
      <c r="C31" s="111">
        <f>'Loans Receivable'!C48</f>
        <v>140213949</v>
      </c>
      <c r="D31" s="112">
        <f t="shared" si="6"/>
        <v>0.10902067832938918</v>
      </c>
      <c r="E31" s="113"/>
      <c r="F31" s="112" t="str">
        <f t="shared" si="4"/>
        <v/>
      </c>
      <c r="G31" s="41">
        <f t="shared" si="7"/>
        <v>0</v>
      </c>
      <c r="H31" s="112">
        <f t="shared" si="8"/>
        <v>0</v>
      </c>
      <c r="I31" s="113"/>
      <c r="J31" s="113"/>
      <c r="K31" s="113"/>
      <c r="L31" s="113"/>
      <c r="M31" s="113"/>
      <c r="N31" s="113"/>
      <c r="O31" s="113"/>
      <c r="P31" s="113"/>
      <c r="Q31" s="113"/>
    </row>
    <row r="32" spans="1:17" ht="27.75" customHeight="1">
      <c r="A32" s="110">
        <v>19</v>
      </c>
      <c r="B32" s="28" t="s">
        <v>179</v>
      </c>
      <c r="C32" s="111">
        <f>'Loans Receivable'!C56</f>
        <v>127634911</v>
      </c>
      <c r="D32" s="112">
        <f t="shared" si="6"/>
        <v>9.924008755884349E-2</v>
      </c>
      <c r="E32" s="113"/>
      <c r="F32" s="112" t="str">
        <f t="shared" si="4"/>
        <v/>
      </c>
      <c r="G32" s="41">
        <f t="shared" si="7"/>
        <v>0</v>
      </c>
      <c r="H32" s="112">
        <f t="shared" si="8"/>
        <v>0</v>
      </c>
      <c r="I32" s="113"/>
      <c r="J32" s="113"/>
      <c r="K32" s="113"/>
      <c r="L32" s="113"/>
      <c r="M32" s="113"/>
      <c r="N32" s="113"/>
      <c r="O32" s="113"/>
      <c r="P32" s="113"/>
      <c r="Q32" s="113"/>
    </row>
    <row r="33" spans="1:17" ht="21" customHeight="1">
      <c r="A33" s="110">
        <v>20</v>
      </c>
      <c r="B33" s="20" t="s">
        <v>181</v>
      </c>
      <c r="C33" s="111">
        <f>'Loans Receivable'!C64</f>
        <v>0</v>
      </c>
      <c r="D33" s="112">
        <f t="shared" si="6"/>
        <v>0</v>
      </c>
      <c r="E33" s="113"/>
      <c r="F33" s="112" t="str">
        <f t="shared" si="4"/>
        <v/>
      </c>
      <c r="G33" s="41">
        <f t="shared" si="7"/>
        <v>0</v>
      </c>
      <c r="H33" s="112">
        <f t="shared" si="8"/>
        <v>0</v>
      </c>
      <c r="I33" s="113"/>
      <c r="J33" s="113"/>
      <c r="K33" s="113"/>
      <c r="L33" s="113"/>
      <c r="M33" s="113"/>
      <c r="N33" s="113"/>
      <c r="O33" s="113"/>
      <c r="P33" s="113"/>
      <c r="Q33" s="113"/>
    </row>
    <row r="34" spans="1:17" ht="21" customHeight="1">
      <c r="A34" s="110">
        <v>21</v>
      </c>
      <c r="B34" s="20" t="s">
        <v>223</v>
      </c>
      <c r="C34" s="111">
        <f>'Loans Receivable'!C77</f>
        <v>151977016</v>
      </c>
      <c r="D34" s="112">
        <f t="shared" si="6"/>
        <v>0.11816682643177272</v>
      </c>
      <c r="E34" s="113"/>
      <c r="F34" s="112" t="str">
        <f t="shared" si="4"/>
        <v/>
      </c>
      <c r="G34" s="41">
        <f t="shared" si="7"/>
        <v>10297363</v>
      </c>
      <c r="H34" s="112">
        <f t="shared" si="8"/>
        <v>1</v>
      </c>
      <c r="I34" s="113">
        <v>10297363</v>
      </c>
      <c r="J34" s="113"/>
      <c r="K34" s="113">
        <v>10297363</v>
      </c>
      <c r="L34" s="113"/>
      <c r="M34" s="113"/>
      <c r="N34" s="701"/>
      <c r="O34" s="113"/>
      <c r="P34" s="113"/>
      <c r="Q34" s="113"/>
    </row>
    <row r="35" spans="1:17" ht="16.5" customHeight="1">
      <c r="A35" s="110"/>
      <c r="B35" s="41"/>
      <c r="C35" s="50"/>
      <c r="D35" s="112"/>
      <c r="E35" s="115"/>
      <c r="F35" s="112" t="str">
        <f t="shared" si="4"/>
        <v/>
      </c>
      <c r="G35" s="41"/>
      <c r="H35" s="112"/>
      <c r="I35" s="112"/>
      <c r="J35" s="112"/>
      <c r="K35" s="113"/>
      <c r="L35" s="113"/>
      <c r="M35" s="113"/>
      <c r="N35" s="113"/>
      <c r="O35" s="113"/>
      <c r="P35" s="113"/>
      <c r="Q35" s="113"/>
    </row>
    <row r="36" spans="1:17" s="87" customFormat="1" ht="21" customHeight="1">
      <c r="A36" s="107">
        <v>22</v>
      </c>
      <c r="B36" s="116" t="s">
        <v>221</v>
      </c>
      <c r="C36" s="120">
        <f>SUM(C27:C34)</f>
        <v>1286122515</v>
      </c>
      <c r="D36" s="118">
        <f t="shared" si="6"/>
        <v>1</v>
      </c>
      <c r="E36" s="120">
        <f>SUM(E27:E34)</f>
        <v>0</v>
      </c>
      <c r="F36" s="118" t="str">
        <f t="shared" si="4"/>
        <v/>
      </c>
      <c r="G36" s="120">
        <f t="shared" ref="G36:Q36" si="9">SUM(G27:G34)</f>
        <v>10297363</v>
      </c>
      <c r="H36" s="118">
        <f>IF($G$36=0,"",G36/$G$36)</f>
        <v>1</v>
      </c>
      <c r="I36" s="120">
        <f t="shared" si="9"/>
        <v>10297363</v>
      </c>
      <c r="J36" s="120">
        <f t="shared" si="9"/>
        <v>0</v>
      </c>
      <c r="K36" s="120">
        <f t="shared" si="9"/>
        <v>10297363</v>
      </c>
      <c r="L36" s="120">
        <f t="shared" si="9"/>
        <v>0</v>
      </c>
      <c r="M36" s="120">
        <f t="shared" si="9"/>
        <v>0</v>
      </c>
      <c r="N36" s="120">
        <f t="shared" si="9"/>
        <v>0</v>
      </c>
      <c r="O36" s="120">
        <f>SUM(O27:O34)</f>
        <v>0</v>
      </c>
      <c r="P36" s="120">
        <f t="shared" si="9"/>
        <v>0</v>
      </c>
      <c r="Q36" s="120">
        <f t="shared" si="9"/>
        <v>0</v>
      </c>
    </row>
    <row r="37" spans="1:17">
      <c r="A37" s="62"/>
    </row>
    <row r="38" spans="1:17">
      <c r="A38" s="62"/>
      <c r="B38" s="22" t="s">
        <v>587</v>
      </c>
    </row>
    <row r="39" spans="1:17">
      <c r="A39" s="62"/>
      <c r="B39" s="22"/>
    </row>
    <row r="40" spans="1:17">
      <c r="A40" s="62"/>
      <c r="B40" s="22" t="s">
        <v>588</v>
      </c>
    </row>
  </sheetData>
  <sheetProtection password="CA0C" sheet="1" objects="1" scenarios="1"/>
  <mergeCells count="21">
    <mergeCell ref="O1:Q1"/>
    <mergeCell ref="M6:M8"/>
    <mergeCell ref="I7:I8"/>
    <mergeCell ref="K6:K8"/>
    <mergeCell ref="L6:L8"/>
    <mergeCell ref="Q6:Q8"/>
    <mergeCell ref="K5:Q5"/>
    <mergeCell ref="I6:J6"/>
    <mergeCell ref="P6:P8"/>
    <mergeCell ref="F5:F8"/>
    <mergeCell ref="G6:G8"/>
    <mergeCell ref="O6:O8"/>
    <mergeCell ref="N6:N8"/>
    <mergeCell ref="G5:J5"/>
    <mergeCell ref="H6:H8"/>
    <mergeCell ref="J7:J8"/>
    <mergeCell ref="A5:A8"/>
    <mergeCell ref="B5:B8"/>
    <mergeCell ref="C5:C8"/>
    <mergeCell ref="D5:D8"/>
    <mergeCell ref="E5:E8"/>
  </mergeCells>
  <phoneticPr fontId="30" type="noConversion"/>
  <conditionalFormatting sqref="E24 G24 C24 I24:Q24">
    <cfRule type="cellIs" dxfId="48" priority="26" stopIfTrue="1" operator="notEqual">
      <formula>C36</formula>
    </cfRule>
  </conditionalFormatting>
  <conditionalFormatting sqref="G11">
    <cfRule type="cellIs" dxfId="47" priority="27" stopIfTrue="1" operator="notEqual">
      <formula>$I$11+$J$11</formula>
    </cfRule>
  </conditionalFormatting>
  <conditionalFormatting sqref="G12">
    <cfRule type="cellIs" dxfId="46" priority="28" stopIfTrue="1" operator="notEqual">
      <formula>$I$12+$J$12</formula>
    </cfRule>
  </conditionalFormatting>
  <conditionalFormatting sqref="G13">
    <cfRule type="cellIs" dxfId="45" priority="29" stopIfTrue="1" operator="notEqual">
      <formula>$I$13+$J$13</formula>
    </cfRule>
  </conditionalFormatting>
  <conditionalFormatting sqref="G14">
    <cfRule type="cellIs" dxfId="44" priority="30" stopIfTrue="1" operator="notEqual">
      <formula>$I$14+$J$14</formula>
    </cfRule>
  </conditionalFormatting>
  <conditionalFormatting sqref="G15">
    <cfRule type="cellIs" dxfId="43" priority="31" stopIfTrue="1" operator="notEqual">
      <formula>$I$15+$J$15</formula>
    </cfRule>
  </conditionalFormatting>
  <conditionalFormatting sqref="G16">
    <cfRule type="cellIs" dxfId="42" priority="32" stopIfTrue="1" operator="notEqual">
      <formula>$I$16+$J$16</formula>
    </cfRule>
  </conditionalFormatting>
  <conditionalFormatting sqref="G17">
    <cfRule type="cellIs" dxfId="41" priority="33" stopIfTrue="1" operator="notEqual">
      <formula>$I$17+$J$17</formula>
    </cfRule>
  </conditionalFormatting>
  <conditionalFormatting sqref="G18">
    <cfRule type="cellIs" dxfId="40" priority="34" stopIfTrue="1" operator="notEqual">
      <formula>$I$18+$J$18</formula>
    </cfRule>
  </conditionalFormatting>
  <conditionalFormatting sqref="G19">
    <cfRule type="cellIs" dxfId="39" priority="35" stopIfTrue="1" operator="notEqual">
      <formula>$I$19+$J$19</formula>
    </cfRule>
  </conditionalFormatting>
  <conditionalFormatting sqref="G20">
    <cfRule type="cellIs" dxfId="38" priority="36" stopIfTrue="1" operator="notEqual">
      <formula>$I$20+$J$20</formula>
    </cfRule>
  </conditionalFormatting>
  <conditionalFormatting sqref="G21">
    <cfRule type="cellIs" dxfId="37" priority="37" stopIfTrue="1" operator="notEqual">
      <formula>$I$21+$J$21</formula>
    </cfRule>
  </conditionalFormatting>
  <conditionalFormatting sqref="G22">
    <cfRule type="cellIs" dxfId="36" priority="38" stopIfTrue="1" operator="notEqual">
      <formula>$I$22+$J$22</formula>
    </cfRule>
  </conditionalFormatting>
  <conditionalFormatting sqref="G27">
    <cfRule type="cellIs" dxfId="35" priority="39" stopIfTrue="1" operator="notEqual">
      <formula>$I$27+$J$27</formula>
    </cfRule>
  </conditionalFormatting>
  <conditionalFormatting sqref="G28">
    <cfRule type="cellIs" dxfId="34" priority="40" stopIfTrue="1" operator="notEqual">
      <formula>$I$28+$J$28</formula>
    </cfRule>
  </conditionalFormatting>
  <conditionalFormatting sqref="G29">
    <cfRule type="cellIs" dxfId="33" priority="41" stopIfTrue="1" operator="notEqual">
      <formula>$I$29+$J$29</formula>
    </cfRule>
  </conditionalFormatting>
  <conditionalFormatting sqref="G30">
    <cfRule type="cellIs" dxfId="32" priority="42" stopIfTrue="1" operator="notEqual">
      <formula>$I$30+$J$30</formula>
    </cfRule>
  </conditionalFormatting>
  <conditionalFormatting sqref="G31">
    <cfRule type="cellIs" dxfId="31" priority="43" stopIfTrue="1" operator="notEqual">
      <formula>$I$31+$J$31</formula>
    </cfRule>
  </conditionalFormatting>
  <conditionalFormatting sqref="G32">
    <cfRule type="cellIs" dxfId="30" priority="44" stopIfTrue="1" operator="notEqual">
      <formula>$I$32+$J$32</formula>
    </cfRule>
  </conditionalFormatting>
  <conditionalFormatting sqref="G33">
    <cfRule type="cellIs" dxfId="29" priority="45" stopIfTrue="1" operator="notEqual">
      <formula>$I$33+$J$33</formula>
    </cfRule>
  </conditionalFormatting>
  <conditionalFormatting sqref="G34">
    <cfRule type="cellIs" dxfId="28" priority="46" stopIfTrue="1" operator="notEqual">
      <formula>$I$34+$J$34</formula>
    </cfRule>
  </conditionalFormatting>
  <conditionalFormatting sqref="G36">
    <cfRule type="cellIs" dxfId="27" priority="47" stopIfTrue="1" operator="notEqual">
      <formula>$I$36+$J$36</formula>
    </cfRule>
  </conditionalFormatting>
  <conditionalFormatting sqref="E24 I24:Q24 C24">
    <cfRule type="cellIs" dxfId="26" priority="25" stopIfTrue="1" operator="notEqual">
      <formula>C36</formula>
    </cfRule>
  </conditionalFormatting>
  <conditionalFormatting sqref="G24">
    <cfRule type="cellIs" dxfId="25" priority="3" stopIfTrue="1" operator="notEqual">
      <formula>G36</formula>
    </cfRule>
    <cfRule type="cellIs" dxfId="24" priority="4" stopIfTrue="1" operator="notEqual">
      <formula>$I$24+$J$24</formula>
    </cfRule>
  </conditionalFormatting>
  <conditionalFormatting sqref="G36">
    <cfRule type="cellIs" dxfId="23" priority="1" stopIfTrue="1" operator="notEqual">
      <formula>$I$36+$J$36</formula>
    </cfRule>
    <cfRule type="cellIs" dxfId="22" priority="2" stopIfTrue="1" operator="notEqual">
      <formula>$G$24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11:E22 P27:Q35 O34 K27:M35 N27:O33 N35:O35 E27:E34 N18:O23 N11:O16 K11:M23 O17 P11:Q23">
      <formula1>-1E+22</formula1>
      <formula2>1E+22</formula2>
    </dataValidation>
  </dataValidations>
  <printOptions horizontalCentered="1"/>
  <pageMargins left="0.27" right="0.17" top="0.33" bottom="0.98425196850393704" header="0.51181102362204722" footer="0.51181102362204722"/>
  <pageSetup paperSize="9" scale="58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pageSetUpPr fitToPage="1"/>
  </sheetPr>
  <dimension ref="A1:BX20"/>
  <sheetViews>
    <sheetView view="pageBreakPreview" topLeftCell="C1" zoomScale="70" zoomScaleNormal="55" zoomScaleSheetLayoutView="70" workbookViewId="0">
      <selection activeCell="N6" sqref="N6"/>
    </sheetView>
  </sheetViews>
  <sheetFormatPr defaultColWidth="9.42578125" defaultRowHeight="12.75"/>
  <cols>
    <col min="1" max="1" width="3.42578125" style="1" customWidth="1"/>
    <col min="2" max="2" width="39.85546875" style="1" customWidth="1"/>
    <col min="3" max="3" width="20" style="1" customWidth="1"/>
    <col min="4" max="4" width="19" style="1" customWidth="1"/>
    <col min="5" max="11" width="16.85546875" style="1" customWidth="1"/>
    <col min="12" max="12" width="16.42578125" style="1" customWidth="1"/>
    <col min="13" max="13" width="14" style="1" customWidth="1"/>
    <col min="14" max="14" width="19.28515625" style="1" customWidth="1"/>
    <col min="15" max="15" width="9.42578125" style="1"/>
    <col min="16" max="16" width="9.140625" style="1" customWidth="1"/>
    <col min="17" max="74" width="9.42578125" style="1"/>
    <col min="75" max="76" width="9.42578125" style="1" customWidth="1"/>
    <col min="77" max="16384" width="9.42578125" style="1"/>
  </cols>
  <sheetData>
    <row r="1" spans="1:76" ht="69" customHeight="1">
      <c r="L1" s="704" t="s">
        <v>527</v>
      </c>
      <c r="M1" s="704"/>
      <c r="N1" s="704"/>
    </row>
    <row r="2" spans="1:76" ht="21" customHeight="1">
      <c r="A2" s="122" t="s">
        <v>224</v>
      </c>
      <c r="B2" s="97"/>
      <c r="C2" s="96"/>
      <c r="D2" s="96"/>
      <c r="E2" s="123"/>
      <c r="F2" s="96"/>
      <c r="G2" s="96"/>
      <c r="H2" s="96"/>
      <c r="I2" s="96"/>
      <c r="J2" s="96"/>
      <c r="K2" s="96"/>
      <c r="L2" s="96"/>
      <c r="M2" s="137" t="s">
        <v>225</v>
      </c>
      <c r="N2" s="96"/>
    </row>
    <row r="3" spans="1:76" ht="26.25" customHeight="1">
      <c r="A3" s="83"/>
      <c r="B3" s="480">
        <f>Balance!A4</f>
        <v>43100</v>
      </c>
      <c r="C3" s="83"/>
      <c r="D3" s="83"/>
      <c r="E3" s="83"/>
      <c r="F3" s="83"/>
      <c r="G3" s="83"/>
      <c r="H3" s="83"/>
      <c r="I3" s="83"/>
      <c r="J3" s="83"/>
      <c r="K3" s="83"/>
      <c r="L3" s="83" t="str">
        <f>Balance!B3</f>
        <v>АКБ "Микрокредитбанк"</v>
      </c>
      <c r="M3" s="83"/>
      <c r="N3" s="83"/>
    </row>
    <row r="4" spans="1:76" ht="137.25" customHeight="1">
      <c r="A4" s="125" t="s">
        <v>48</v>
      </c>
      <c r="B4" s="126" t="s">
        <v>226</v>
      </c>
      <c r="C4" s="421" t="s">
        <v>227</v>
      </c>
      <c r="D4" s="421" t="s">
        <v>228</v>
      </c>
      <c r="E4" s="421" t="s">
        <v>866</v>
      </c>
      <c r="F4" s="421" t="s">
        <v>229</v>
      </c>
      <c r="G4" s="421" t="s">
        <v>763</v>
      </c>
      <c r="H4" s="421" t="s">
        <v>711</v>
      </c>
      <c r="I4" s="421" t="s">
        <v>764</v>
      </c>
      <c r="J4" s="421" t="s">
        <v>230</v>
      </c>
      <c r="K4" s="421" t="s">
        <v>765</v>
      </c>
      <c r="L4" s="421" t="s">
        <v>231</v>
      </c>
      <c r="M4" s="421" t="s">
        <v>712</v>
      </c>
      <c r="N4" s="421" t="s">
        <v>831</v>
      </c>
    </row>
    <row r="5" spans="1:76" s="128" customFormat="1" ht="20.25" customHeight="1">
      <c r="A5" s="127" t="s">
        <v>232</v>
      </c>
      <c r="B5" s="127" t="s">
        <v>233</v>
      </c>
      <c r="C5" s="127" t="s">
        <v>259</v>
      </c>
      <c r="D5" s="127" t="s">
        <v>234</v>
      </c>
      <c r="E5" s="127" t="s">
        <v>235</v>
      </c>
      <c r="F5" s="127" t="s">
        <v>260</v>
      </c>
      <c r="G5" s="127" t="s">
        <v>236</v>
      </c>
      <c r="H5" s="127" t="s">
        <v>237</v>
      </c>
      <c r="I5" s="127" t="s">
        <v>238</v>
      </c>
      <c r="J5" s="127" t="s">
        <v>239</v>
      </c>
      <c r="K5" s="127" t="s">
        <v>240</v>
      </c>
      <c r="L5" s="127" t="s">
        <v>241</v>
      </c>
      <c r="M5" s="127" t="s">
        <v>242</v>
      </c>
      <c r="N5" s="127" t="s">
        <v>830</v>
      </c>
    </row>
    <row r="6" spans="1:76" ht="28.5" customHeight="1">
      <c r="A6" s="110">
        <v>1</v>
      </c>
      <c r="B6" s="41" t="s">
        <v>162</v>
      </c>
      <c r="C6" s="50">
        <f t="shared" ref="C6:C13" si="0">D6+F6+H6+J6+L6</f>
        <v>216425992</v>
      </c>
      <c r="D6" s="113">
        <v>182709895</v>
      </c>
      <c r="E6" s="113"/>
      <c r="F6" s="113">
        <v>33716097</v>
      </c>
      <c r="G6" s="113">
        <v>3371610</v>
      </c>
      <c r="H6" s="113"/>
      <c r="I6" s="113"/>
      <c r="J6" s="113"/>
      <c r="K6" s="113"/>
      <c r="L6" s="113"/>
      <c r="M6" s="113"/>
      <c r="N6" s="253">
        <f>+M6+K6+I6+G6</f>
        <v>3371610</v>
      </c>
      <c r="P6" s="422"/>
      <c r="BX6" s="83">
        <f>'Aging Analysis'!C27</f>
        <v>216425992</v>
      </c>
    </row>
    <row r="7" spans="1:76" ht="28.5" customHeight="1">
      <c r="A7" s="110">
        <v>2</v>
      </c>
      <c r="B7" s="41" t="s">
        <v>170</v>
      </c>
      <c r="C7" s="50">
        <f t="shared" si="0"/>
        <v>300645088</v>
      </c>
      <c r="D7" s="113">
        <v>233212894</v>
      </c>
      <c r="E7" s="113"/>
      <c r="F7" s="113">
        <v>67432194</v>
      </c>
      <c r="G7" s="113">
        <v>6743219</v>
      </c>
      <c r="H7" s="113"/>
      <c r="I7" s="113"/>
      <c r="J7" s="113"/>
      <c r="K7" s="113"/>
      <c r="L7" s="113"/>
      <c r="M7" s="113"/>
      <c r="N7" s="253">
        <f t="shared" ref="N7:N16" si="1">+M7+K7+I7+G7</f>
        <v>6743219</v>
      </c>
      <c r="P7" s="422"/>
      <c r="BX7" s="83">
        <f>'Aging Analysis'!C28</f>
        <v>300645088</v>
      </c>
    </row>
    <row r="8" spans="1:76" ht="28.5" customHeight="1">
      <c r="A8" s="110">
        <v>3</v>
      </c>
      <c r="B8" s="41" t="s">
        <v>173</v>
      </c>
      <c r="C8" s="50">
        <f t="shared" si="0"/>
        <v>170536684</v>
      </c>
      <c r="D8" s="113">
        <v>119962539</v>
      </c>
      <c r="E8" s="113"/>
      <c r="F8" s="113">
        <v>50574145</v>
      </c>
      <c r="G8" s="113">
        <v>5057415</v>
      </c>
      <c r="H8" s="113"/>
      <c r="I8" s="113"/>
      <c r="J8" s="113"/>
      <c r="K8" s="113"/>
      <c r="L8" s="113"/>
      <c r="M8" s="113"/>
      <c r="N8" s="253">
        <f t="shared" si="1"/>
        <v>5057415</v>
      </c>
      <c r="P8" s="422"/>
      <c r="BX8" s="83">
        <f>'Aging Analysis'!C29</f>
        <v>170536684</v>
      </c>
    </row>
    <row r="9" spans="1:76" ht="28.5" customHeight="1">
      <c r="A9" s="110">
        <v>4</v>
      </c>
      <c r="B9" s="41" t="s">
        <v>175</v>
      </c>
      <c r="C9" s="50">
        <f t="shared" si="0"/>
        <v>178688875</v>
      </c>
      <c r="D9" s="113">
        <v>134857949</v>
      </c>
      <c r="E9" s="113"/>
      <c r="F9" s="113">
        <v>43830926</v>
      </c>
      <c r="G9" s="113">
        <v>4383093</v>
      </c>
      <c r="H9" s="113"/>
      <c r="I9" s="113"/>
      <c r="J9" s="113"/>
      <c r="K9" s="113"/>
      <c r="L9" s="113"/>
      <c r="M9" s="113"/>
      <c r="N9" s="253">
        <f t="shared" si="1"/>
        <v>4383093</v>
      </c>
      <c r="P9" s="422"/>
      <c r="BX9" s="83">
        <f>'Aging Analysis'!C30</f>
        <v>178688875</v>
      </c>
    </row>
    <row r="10" spans="1:76" ht="32.25" customHeight="1">
      <c r="A10" s="110">
        <v>5</v>
      </c>
      <c r="B10" s="41" t="s">
        <v>243</v>
      </c>
      <c r="C10" s="50">
        <f t="shared" si="0"/>
        <v>140213949</v>
      </c>
      <c r="D10" s="113">
        <v>79524975</v>
      </c>
      <c r="E10" s="113"/>
      <c r="F10" s="113">
        <v>60688974</v>
      </c>
      <c r="G10" s="113">
        <v>6068897</v>
      </c>
      <c r="H10" s="113"/>
      <c r="I10" s="113"/>
      <c r="J10" s="113"/>
      <c r="K10" s="113"/>
      <c r="L10" s="113"/>
      <c r="M10" s="113"/>
      <c r="N10" s="253">
        <f t="shared" si="1"/>
        <v>6068897</v>
      </c>
      <c r="P10" s="422"/>
      <c r="BX10" s="83">
        <f>'Aging Analysis'!C31</f>
        <v>140213949</v>
      </c>
    </row>
    <row r="11" spans="1:76" ht="32.25" customHeight="1">
      <c r="A11" s="110">
        <v>6</v>
      </c>
      <c r="B11" s="41" t="s">
        <v>179</v>
      </c>
      <c r="C11" s="50">
        <f t="shared" si="0"/>
        <v>127634911</v>
      </c>
      <c r="D11" s="113">
        <v>90547204</v>
      </c>
      <c r="E11" s="113"/>
      <c r="F11" s="113">
        <v>37087707</v>
      </c>
      <c r="G11" s="113">
        <v>3708771</v>
      </c>
      <c r="H11" s="113"/>
      <c r="I11" s="113"/>
      <c r="J11" s="113"/>
      <c r="K11" s="113"/>
      <c r="L11" s="113"/>
      <c r="M11" s="113"/>
      <c r="N11" s="253">
        <f t="shared" si="1"/>
        <v>3708771</v>
      </c>
      <c r="P11" s="422"/>
      <c r="BX11" s="83">
        <f>'Aging Analysis'!C32</f>
        <v>127634911</v>
      </c>
    </row>
    <row r="12" spans="1:76" ht="28.5" customHeight="1">
      <c r="A12" s="110">
        <v>7</v>
      </c>
      <c r="B12" s="41" t="s">
        <v>181</v>
      </c>
      <c r="C12" s="50">
        <f t="shared" si="0"/>
        <v>0</v>
      </c>
      <c r="D12" s="113">
        <v>0</v>
      </c>
      <c r="E12" s="113"/>
      <c r="F12" s="113">
        <v>0</v>
      </c>
      <c r="G12" s="113"/>
      <c r="H12" s="113"/>
      <c r="I12" s="113"/>
      <c r="J12" s="113"/>
      <c r="K12" s="113"/>
      <c r="L12" s="113"/>
      <c r="M12" s="113"/>
      <c r="N12" s="253">
        <f t="shared" si="1"/>
        <v>0</v>
      </c>
      <c r="P12" s="422"/>
      <c r="BX12" s="83">
        <f>'Aging Analysis'!C33</f>
        <v>0</v>
      </c>
    </row>
    <row r="13" spans="1:76" ht="28.5" customHeight="1">
      <c r="A13" s="110">
        <v>8</v>
      </c>
      <c r="B13" s="41" t="s">
        <v>223</v>
      </c>
      <c r="C13" s="50">
        <f t="shared" si="0"/>
        <v>151977016</v>
      </c>
      <c r="D13" s="113">
        <v>108146090</v>
      </c>
      <c r="E13" s="113"/>
      <c r="F13" s="113">
        <v>43830926</v>
      </c>
      <c r="G13" s="113">
        <v>4383092</v>
      </c>
      <c r="H13" s="113"/>
      <c r="I13" s="113"/>
      <c r="J13" s="113"/>
      <c r="K13" s="113"/>
      <c r="L13" s="113"/>
      <c r="M13" s="113"/>
      <c r="N13" s="253">
        <f t="shared" si="1"/>
        <v>4383092</v>
      </c>
      <c r="P13" s="422"/>
      <c r="BX13" s="83">
        <f>'Aging Analysis'!C34</f>
        <v>151977016</v>
      </c>
    </row>
    <row r="14" spans="1:76" ht="28.5" customHeight="1">
      <c r="A14" s="110">
        <v>9</v>
      </c>
      <c r="B14" s="129" t="s">
        <v>221</v>
      </c>
      <c r="C14" s="50">
        <f>SUM(C6:C13)</f>
        <v>1286122515</v>
      </c>
      <c r="D14" s="50">
        <f t="shared" ref="D14:M14" si="2">SUM(D6:D13)</f>
        <v>948961546</v>
      </c>
      <c r="E14" s="50">
        <f t="shared" si="2"/>
        <v>0</v>
      </c>
      <c r="F14" s="50">
        <f t="shared" si="2"/>
        <v>337160969</v>
      </c>
      <c r="G14" s="50">
        <f t="shared" si="2"/>
        <v>33716097</v>
      </c>
      <c r="H14" s="50">
        <f t="shared" si="2"/>
        <v>0</v>
      </c>
      <c r="I14" s="50">
        <f>SUM(I6:I13)</f>
        <v>0</v>
      </c>
      <c r="J14" s="50">
        <f t="shared" si="2"/>
        <v>0</v>
      </c>
      <c r="K14" s="50">
        <f>SUM(K6:K13)</f>
        <v>0</v>
      </c>
      <c r="L14" s="50">
        <f t="shared" si="2"/>
        <v>0</v>
      </c>
      <c r="M14" s="50">
        <f t="shared" si="2"/>
        <v>0</v>
      </c>
      <c r="N14" s="253">
        <f t="shared" si="1"/>
        <v>33716097</v>
      </c>
      <c r="O14" s="130"/>
      <c r="P14" s="422"/>
      <c r="Q14" s="130"/>
      <c r="R14" s="130"/>
      <c r="S14" s="130"/>
      <c r="BX14" s="83">
        <f>'Aging Analysis'!C36</f>
        <v>1286122515</v>
      </c>
    </row>
    <row r="15" spans="1:76" ht="32.25" customHeight="1">
      <c r="A15" s="110">
        <v>10</v>
      </c>
      <c r="B15" s="131" t="s">
        <v>244</v>
      </c>
      <c r="C15" s="50">
        <f>D15+F15+H15+J15+L15</f>
        <v>0</v>
      </c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253">
        <f t="shared" si="1"/>
        <v>0</v>
      </c>
      <c r="P15" s="422"/>
    </row>
    <row r="16" spans="1:76" ht="32.25" customHeight="1">
      <c r="A16" s="132">
        <v>11</v>
      </c>
      <c r="B16" s="133" t="s">
        <v>245</v>
      </c>
      <c r="C16" s="50">
        <f>SUM(C14:C15)</f>
        <v>1286122515</v>
      </c>
      <c r="D16" s="50">
        <f t="shared" ref="D16:M16" si="3">SUM(D14:D15)</f>
        <v>948961546</v>
      </c>
      <c r="E16" s="50">
        <f t="shared" si="3"/>
        <v>0</v>
      </c>
      <c r="F16" s="50">
        <f t="shared" si="3"/>
        <v>337160969</v>
      </c>
      <c r="G16" s="50">
        <f t="shared" si="3"/>
        <v>33716097</v>
      </c>
      <c r="H16" s="50">
        <f t="shared" si="3"/>
        <v>0</v>
      </c>
      <c r="I16" s="50">
        <f>SUM(I14:I15)</f>
        <v>0</v>
      </c>
      <c r="J16" s="50">
        <f t="shared" si="3"/>
        <v>0</v>
      </c>
      <c r="K16" s="50">
        <f>SUM(K14:K15)</f>
        <v>0</v>
      </c>
      <c r="L16" s="50">
        <f t="shared" si="3"/>
        <v>0</v>
      </c>
      <c r="M16" s="50">
        <f t="shared" si="3"/>
        <v>0</v>
      </c>
      <c r="N16" s="253">
        <f t="shared" si="1"/>
        <v>33716097</v>
      </c>
      <c r="P16" s="422"/>
    </row>
    <row r="17" spans="2:14">
      <c r="N17" s="87"/>
    </row>
    <row r="18" spans="2:14">
      <c r="B18" s="22" t="s">
        <v>587</v>
      </c>
      <c r="C18" s="414"/>
      <c r="D18" s="414"/>
      <c r="E18" s="414"/>
      <c r="F18" s="414"/>
      <c r="G18" s="414"/>
      <c r="H18" s="414"/>
      <c r="I18" s="414"/>
      <c r="J18" s="414"/>
      <c r="K18" s="414"/>
      <c r="L18" s="414"/>
      <c r="M18" s="414"/>
      <c r="N18" s="414"/>
    </row>
    <row r="19" spans="2:14" ht="15.75">
      <c r="B19" s="22"/>
      <c r="G19" s="134"/>
    </row>
    <row r="20" spans="2:14" ht="15.75">
      <c r="B20" s="22" t="s">
        <v>588</v>
      </c>
      <c r="G20" s="134"/>
    </row>
  </sheetData>
  <sheetProtection password="CA0C" sheet="1" objects="1" scenarios="1"/>
  <mergeCells count="1">
    <mergeCell ref="L1:N1"/>
  </mergeCells>
  <phoneticPr fontId="30" type="noConversion"/>
  <conditionalFormatting sqref="C6">
    <cfRule type="cellIs" dxfId="21" priority="12" stopIfTrue="1" operator="notEqual">
      <formula>$BX$6</formula>
    </cfRule>
  </conditionalFormatting>
  <conditionalFormatting sqref="C7">
    <cfRule type="cellIs" dxfId="20" priority="13" stopIfTrue="1" operator="notEqual">
      <formula>$BX$7</formula>
    </cfRule>
  </conditionalFormatting>
  <conditionalFormatting sqref="C8">
    <cfRule type="cellIs" dxfId="19" priority="14" stopIfTrue="1" operator="notEqual">
      <formula>$BX$8</formula>
    </cfRule>
  </conditionalFormatting>
  <conditionalFormatting sqref="C9">
    <cfRule type="cellIs" dxfId="18" priority="15" stopIfTrue="1" operator="notEqual">
      <formula>$BX$9</formula>
    </cfRule>
  </conditionalFormatting>
  <conditionalFormatting sqref="C10">
    <cfRule type="cellIs" dxfId="17" priority="16" stopIfTrue="1" operator="notEqual">
      <formula>$BX$10</formula>
    </cfRule>
  </conditionalFormatting>
  <conditionalFormatting sqref="C11">
    <cfRule type="cellIs" dxfId="16" priority="17" stopIfTrue="1" operator="notEqual">
      <formula>$BX$11</formula>
    </cfRule>
  </conditionalFormatting>
  <conditionalFormatting sqref="C12">
    <cfRule type="cellIs" dxfId="15" priority="18" stopIfTrue="1" operator="notEqual">
      <formula>$BX$12</formula>
    </cfRule>
  </conditionalFormatting>
  <conditionalFormatting sqref="C13">
    <cfRule type="cellIs" dxfId="14" priority="19" stopIfTrue="1" operator="notEqual">
      <formula>$BX$13</formula>
    </cfRule>
  </conditionalFormatting>
  <conditionalFormatting sqref="C14">
    <cfRule type="cellIs" dxfId="13" priority="20" stopIfTrue="1" operator="notEqual">
      <formula>$BX$14</formula>
    </cfRule>
  </conditionalFormatting>
  <conditionalFormatting sqref="C6">
    <cfRule type="cellIs" dxfId="12" priority="9" stopIfTrue="1" operator="notEqual">
      <formula>$BX$6</formula>
    </cfRule>
  </conditionalFormatting>
  <conditionalFormatting sqref="C7">
    <cfRule type="cellIs" dxfId="11" priority="8" stopIfTrue="1" operator="notEqual">
      <formula>$BX$7</formula>
    </cfRule>
  </conditionalFormatting>
  <conditionalFormatting sqref="C8">
    <cfRule type="cellIs" dxfId="10" priority="7" stopIfTrue="1" operator="notEqual">
      <formula>$BX$8</formula>
    </cfRule>
  </conditionalFormatting>
  <conditionalFormatting sqref="C9">
    <cfRule type="cellIs" dxfId="9" priority="6" stopIfTrue="1" operator="notEqual">
      <formula>$BX$9</formula>
    </cfRule>
  </conditionalFormatting>
  <conditionalFormatting sqref="C10">
    <cfRule type="cellIs" dxfId="8" priority="5" stopIfTrue="1" operator="notEqual">
      <formula>$BX$10</formula>
    </cfRule>
  </conditionalFormatting>
  <conditionalFormatting sqref="C11">
    <cfRule type="cellIs" dxfId="7" priority="4" stopIfTrue="1" operator="notEqual">
      <formula>$BX$11</formula>
    </cfRule>
  </conditionalFormatting>
  <conditionalFormatting sqref="C12">
    <cfRule type="cellIs" dxfId="6" priority="3" stopIfTrue="1" operator="notEqual">
      <formula>$BX$12</formula>
    </cfRule>
  </conditionalFormatting>
  <conditionalFormatting sqref="C13">
    <cfRule type="cellIs" dxfId="5" priority="2" stopIfTrue="1" operator="notEqual">
      <formula>$BX$13</formula>
    </cfRule>
  </conditionalFormatting>
  <conditionalFormatting sqref="C14">
    <cfRule type="cellIs" dxfId="4" priority="1" stopIfTrue="1" operator="notEqual">
      <formula>$BX$14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6:M13">
      <formula1>-1E+22</formula1>
      <formula2>1E+22</formula2>
    </dataValidation>
    <dataValidation type="whole" operator="greaterThanOrEqual" allowBlank="1" showErrorMessage="1" error="Введите целое положительное число." sqref="D15:M15">
      <formula1>0</formula1>
    </dataValidation>
  </dataValidations>
  <printOptions horizontalCentered="1"/>
  <pageMargins left="0.3" right="0.27" top="0.32" bottom="0.98425196850393704" header="0.51181102362204722" footer="0.51181102362204722"/>
  <pageSetup paperSize="9" scale="57" orientation="landscape" r:id="rId1"/>
  <headerFooter alignWithMargins="0"/>
  <colBreaks count="1" manualBreakCount="1">
    <brk id="14" max="19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pageSetUpPr fitToPage="1"/>
  </sheetPr>
  <dimension ref="A1:Z76"/>
  <sheetViews>
    <sheetView view="pageBreakPreview" zoomScale="90" zoomScaleSheetLayoutView="90" workbookViewId="0">
      <selection activeCell="G39" sqref="G39"/>
    </sheetView>
  </sheetViews>
  <sheetFormatPr defaultRowHeight="12.75"/>
  <cols>
    <col min="1" max="1" width="5.140625" style="1" customWidth="1"/>
    <col min="2" max="2" width="36.42578125" style="1" customWidth="1"/>
    <col min="3" max="3" width="10.140625" style="1" customWidth="1"/>
    <col min="4" max="5" width="13.7109375" style="1" customWidth="1"/>
    <col min="6" max="7" width="15.28515625" style="1" customWidth="1"/>
    <col min="8" max="8" width="12.140625" style="1" customWidth="1"/>
    <col min="9" max="9" width="10.28515625" style="1" customWidth="1"/>
    <col min="10" max="11" width="10.140625" style="1" customWidth="1"/>
    <col min="12" max="12" width="17.7109375" style="1" customWidth="1"/>
    <col min="13" max="13" width="0.140625" style="1" customWidth="1"/>
    <col min="14" max="15" width="9.140625" style="1"/>
    <col min="16" max="16" width="9.140625" style="121"/>
    <col min="17" max="17" width="8.28515625" style="1" customWidth="1"/>
    <col min="18" max="18" width="7.42578125" style="1" customWidth="1"/>
    <col min="19" max="19" width="6.85546875" style="1" customWidth="1"/>
    <col min="20" max="16384" width="9.140625" style="1"/>
  </cols>
  <sheetData>
    <row r="1" spans="1:16" ht="54" customHeight="1">
      <c r="I1" s="704" t="s">
        <v>527</v>
      </c>
      <c r="J1" s="704"/>
      <c r="K1" s="704"/>
      <c r="L1" s="704"/>
    </row>
    <row r="2" spans="1:16" ht="16.5">
      <c r="A2" s="135" t="s">
        <v>246</v>
      </c>
      <c r="B2" s="96"/>
      <c r="C2" s="96"/>
      <c r="D2" s="96"/>
      <c r="E2" s="96"/>
      <c r="F2" s="96"/>
      <c r="G2" s="96"/>
      <c r="H2" s="96"/>
      <c r="I2" s="96"/>
      <c r="J2" s="136" t="s">
        <v>247</v>
      </c>
      <c r="K2" s="137"/>
      <c r="L2" s="96"/>
    </row>
    <row r="3" spans="1:16">
      <c r="A3" s="479">
        <f>Balance!A4</f>
        <v>43100</v>
      </c>
      <c r="B3" s="96"/>
      <c r="C3" s="96"/>
      <c r="D3" s="96"/>
      <c r="E3" s="96"/>
      <c r="F3" s="96"/>
      <c r="G3" s="96"/>
      <c r="H3" s="96"/>
      <c r="I3" s="96" t="str">
        <f>Balance!B3</f>
        <v>АКБ "Микрокредитбанк"</v>
      </c>
      <c r="J3" s="96"/>
      <c r="K3" s="96"/>
      <c r="L3" s="96"/>
    </row>
    <row r="4" spans="1:16" ht="13.5" thickBot="1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</row>
    <row r="5" spans="1:16" ht="97.5" customHeight="1" thickBot="1">
      <c r="A5" s="101" t="s">
        <v>48</v>
      </c>
      <c r="B5" s="101" t="s">
        <v>248</v>
      </c>
      <c r="C5" s="139" t="s">
        <v>249</v>
      </c>
      <c r="D5" s="140" t="s">
        <v>250</v>
      </c>
      <c r="E5" s="140" t="s">
        <v>251</v>
      </c>
      <c r="F5" s="141" t="s">
        <v>252</v>
      </c>
      <c r="G5" s="141" t="s">
        <v>253</v>
      </c>
      <c r="H5" s="141" t="s">
        <v>254</v>
      </c>
      <c r="I5" s="140" t="s">
        <v>255</v>
      </c>
      <c r="J5" s="140" t="s">
        <v>256</v>
      </c>
      <c r="K5" s="140" t="s">
        <v>257</v>
      </c>
      <c r="L5" s="140" t="s">
        <v>258</v>
      </c>
    </row>
    <row r="6" spans="1:16" ht="13.5" thickBot="1">
      <c r="A6" s="142"/>
      <c r="B6" s="143" t="s">
        <v>232</v>
      </c>
      <c r="C6" s="144" t="s">
        <v>233</v>
      </c>
      <c r="D6" s="144" t="s">
        <v>259</v>
      </c>
      <c r="E6" s="144" t="s">
        <v>234</v>
      </c>
      <c r="F6" s="144" t="s">
        <v>235</v>
      </c>
      <c r="G6" s="144" t="s">
        <v>260</v>
      </c>
      <c r="H6" s="144" t="s">
        <v>236</v>
      </c>
      <c r="I6" s="144" t="s">
        <v>237</v>
      </c>
      <c r="J6" s="144" t="s">
        <v>238</v>
      </c>
      <c r="K6" s="144" t="s">
        <v>239</v>
      </c>
      <c r="L6" s="144" t="s">
        <v>240</v>
      </c>
    </row>
    <row r="7" spans="1:16" s="149" customFormat="1">
      <c r="A7" s="145">
        <v>1</v>
      </c>
      <c r="B7" s="146" t="s">
        <v>881</v>
      </c>
      <c r="C7" s="146">
        <v>1</v>
      </c>
      <c r="D7" s="147">
        <v>39961</v>
      </c>
      <c r="E7" s="147">
        <v>45448</v>
      </c>
      <c r="F7" s="146">
        <v>55500</v>
      </c>
      <c r="G7" s="146">
        <v>28003</v>
      </c>
      <c r="H7" s="146"/>
      <c r="I7" s="82" t="s">
        <v>877</v>
      </c>
      <c r="J7" s="82" t="s">
        <v>878</v>
      </c>
      <c r="K7" s="82" t="s">
        <v>879</v>
      </c>
      <c r="L7" s="152" t="s">
        <v>880</v>
      </c>
      <c r="M7" s="148"/>
      <c r="P7" s="150"/>
    </row>
    <row r="8" spans="1:16" s="149" customFormat="1">
      <c r="A8" s="151">
        <f>A7+1</f>
        <v>2</v>
      </c>
      <c r="B8" s="146" t="s">
        <v>882</v>
      </c>
      <c r="C8" s="146">
        <v>1</v>
      </c>
      <c r="D8" s="147">
        <v>40157</v>
      </c>
      <c r="E8" s="147">
        <v>43809</v>
      </c>
      <c r="F8" s="146">
        <v>50000</v>
      </c>
      <c r="G8" s="146">
        <v>17361</v>
      </c>
      <c r="H8" s="146"/>
      <c r="I8" s="82" t="s">
        <v>877</v>
      </c>
      <c r="J8" s="82" t="s">
        <v>878</v>
      </c>
      <c r="K8" s="82" t="s">
        <v>879</v>
      </c>
      <c r="L8" s="152" t="s">
        <v>880</v>
      </c>
      <c r="M8" s="148"/>
      <c r="P8" s="150"/>
    </row>
    <row r="9" spans="1:16" s="149" customFormat="1">
      <c r="A9" s="151">
        <f t="shared" ref="A9:A38" si="0">A8+1</f>
        <v>3</v>
      </c>
      <c r="B9" s="146" t="s">
        <v>883</v>
      </c>
      <c r="C9" s="146">
        <v>1</v>
      </c>
      <c r="D9" s="147">
        <v>41533</v>
      </c>
      <c r="E9" s="147">
        <v>45160</v>
      </c>
      <c r="F9" s="146">
        <v>100000</v>
      </c>
      <c r="G9" s="146">
        <v>84337</v>
      </c>
      <c r="H9" s="146"/>
      <c r="I9" s="82" t="s">
        <v>877</v>
      </c>
      <c r="J9" s="82" t="s">
        <v>878</v>
      </c>
      <c r="K9" s="82" t="s">
        <v>879</v>
      </c>
      <c r="L9" s="152" t="s">
        <v>880</v>
      </c>
      <c r="M9" s="153"/>
      <c r="P9" s="150"/>
    </row>
    <row r="10" spans="1:16" s="149" customFormat="1">
      <c r="A10" s="151">
        <f t="shared" si="0"/>
        <v>4</v>
      </c>
      <c r="B10" s="146" t="s">
        <v>884</v>
      </c>
      <c r="C10" s="146">
        <v>1</v>
      </c>
      <c r="D10" s="147">
        <v>40017</v>
      </c>
      <c r="E10" s="147">
        <v>45498</v>
      </c>
      <c r="F10" s="146">
        <v>37500</v>
      </c>
      <c r="G10" s="146">
        <v>20833</v>
      </c>
      <c r="H10" s="146"/>
      <c r="I10" s="82" t="s">
        <v>877</v>
      </c>
      <c r="J10" s="82" t="s">
        <v>878</v>
      </c>
      <c r="K10" s="82" t="s">
        <v>879</v>
      </c>
      <c r="L10" s="152" t="s">
        <v>880</v>
      </c>
      <c r="M10" s="153"/>
      <c r="P10" s="154"/>
    </row>
    <row r="11" spans="1:16" s="149" customFormat="1">
      <c r="A11" s="151">
        <f t="shared" si="0"/>
        <v>5</v>
      </c>
      <c r="B11" s="146" t="s">
        <v>885</v>
      </c>
      <c r="C11" s="146">
        <v>1</v>
      </c>
      <c r="D11" s="147">
        <v>40540</v>
      </c>
      <c r="E11" s="147">
        <v>46019</v>
      </c>
      <c r="F11" s="146">
        <v>52500</v>
      </c>
      <c r="G11" s="146">
        <v>14900</v>
      </c>
      <c r="H11" s="146"/>
      <c r="I11" s="82" t="s">
        <v>877</v>
      </c>
      <c r="J11" s="82" t="s">
        <v>878</v>
      </c>
      <c r="K11" s="82" t="s">
        <v>879</v>
      </c>
      <c r="L11" s="152" t="s">
        <v>880</v>
      </c>
      <c r="M11" s="153"/>
      <c r="P11" s="154"/>
    </row>
    <row r="12" spans="1:16" s="149" customFormat="1">
      <c r="A12" s="151">
        <f t="shared" si="0"/>
        <v>6</v>
      </c>
      <c r="B12" s="146" t="s">
        <v>886</v>
      </c>
      <c r="C12" s="146">
        <v>1</v>
      </c>
      <c r="D12" s="147">
        <v>42611</v>
      </c>
      <c r="E12" s="147">
        <v>48088</v>
      </c>
      <c r="F12" s="146">
        <v>260000</v>
      </c>
      <c r="G12" s="146">
        <v>260000</v>
      </c>
      <c r="H12" s="146"/>
      <c r="I12" s="82" t="s">
        <v>877</v>
      </c>
      <c r="J12" s="82" t="s">
        <v>878</v>
      </c>
      <c r="K12" s="82" t="s">
        <v>879</v>
      </c>
      <c r="L12" s="152" t="s">
        <v>880</v>
      </c>
      <c r="M12" s="153"/>
      <c r="P12" s="154"/>
    </row>
    <row r="13" spans="1:16" s="149" customFormat="1" ht="14.25" customHeight="1">
      <c r="A13" s="151">
        <f t="shared" si="0"/>
        <v>7</v>
      </c>
      <c r="B13" s="146"/>
      <c r="C13" s="146"/>
      <c r="D13" s="147"/>
      <c r="E13" s="147"/>
      <c r="F13" s="146"/>
      <c r="G13" s="146"/>
      <c r="H13" s="146"/>
      <c r="I13" s="82"/>
      <c r="J13" s="82"/>
      <c r="K13" s="82"/>
      <c r="L13" s="152"/>
      <c r="M13" s="153"/>
      <c r="P13" s="154"/>
    </row>
    <row r="14" spans="1:16" s="149" customFormat="1" ht="14.25" customHeight="1">
      <c r="A14" s="151">
        <f t="shared" si="0"/>
        <v>8</v>
      </c>
      <c r="B14" s="146"/>
      <c r="C14" s="146"/>
      <c r="D14" s="147"/>
      <c r="E14" s="147"/>
      <c r="F14" s="146"/>
      <c r="G14" s="146"/>
      <c r="H14" s="146"/>
      <c r="I14" s="82"/>
      <c r="J14" s="82"/>
      <c r="K14" s="82"/>
      <c r="L14" s="152"/>
      <c r="M14" s="153"/>
      <c r="P14" s="154"/>
    </row>
    <row r="15" spans="1:16" s="149" customFormat="1">
      <c r="A15" s="151">
        <f t="shared" si="0"/>
        <v>9</v>
      </c>
      <c r="B15" s="146"/>
      <c r="C15" s="146"/>
      <c r="D15" s="147"/>
      <c r="E15" s="147"/>
      <c r="F15" s="146"/>
      <c r="G15" s="146"/>
      <c r="H15" s="146"/>
      <c r="I15" s="82"/>
      <c r="J15" s="82"/>
      <c r="K15" s="82"/>
      <c r="L15" s="152"/>
      <c r="M15" s="153"/>
      <c r="P15" s="154"/>
    </row>
    <row r="16" spans="1:16" s="149" customFormat="1">
      <c r="A16" s="151">
        <f t="shared" si="0"/>
        <v>10</v>
      </c>
      <c r="B16" s="146"/>
      <c r="C16" s="146"/>
      <c r="D16" s="147"/>
      <c r="E16" s="147"/>
      <c r="F16" s="146"/>
      <c r="G16" s="146"/>
      <c r="H16" s="146"/>
      <c r="I16" s="146"/>
      <c r="J16" s="146"/>
      <c r="K16" s="146"/>
      <c r="L16" s="152"/>
      <c r="M16" s="153"/>
      <c r="P16" s="154"/>
    </row>
    <row r="17" spans="1:16" s="149" customFormat="1">
      <c r="A17" s="151">
        <f t="shared" si="0"/>
        <v>11</v>
      </c>
      <c r="B17" s="146"/>
      <c r="C17" s="146"/>
      <c r="D17" s="147"/>
      <c r="E17" s="147"/>
      <c r="F17" s="146"/>
      <c r="G17" s="146"/>
      <c r="H17" s="146"/>
      <c r="I17" s="146"/>
      <c r="J17" s="146"/>
      <c r="K17" s="146"/>
      <c r="L17" s="152"/>
      <c r="M17" s="153"/>
      <c r="P17" s="154"/>
    </row>
    <row r="18" spans="1:16" s="149" customFormat="1">
      <c r="A18" s="151">
        <f t="shared" si="0"/>
        <v>12</v>
      </c>
      <c r="B18" s="146"/>
      <c r="C18" s="146"/>
      <c r="D18" s="147"/>
      <c r="E18" s="147"/>
      <c r="F18" s="146"/>
      <c r="G18" s="146"/>
      <c r="H18" s="146"/>
      <c r="I18" s="146"/>
      <c r="J18" s="146"/>
      <c r="K18" s="146"/>
      <c r="L18" s="152"/>
      <c r="M18" s="153"/>
      <c r="P18" s="154"/>
    </row>
    <row r="19" spans="1:16" s="149" customFormat="1">
      <c r="A19" s="151">
        <f t="shared" si="0"/>
        <v>13</v>
      </c>
      <c r="B19" s="146"/>
      <c r="C19" s="146"/>
      <c r="D19" s="147"/>
      <c r="E19" s="147"/>
      <c r="F19" s="146"/>
      <c r="G19" s="146"/>
      <c r="H19" s="146"/>
      <c r="I19" s="146"/>
      <c r="J19" s="146"/>
      <c r="K19" s="146"/>
      <c r="L19" s="152"/>
      <c r="M19" s="153"/>
      <c r="P19" s="154"/>
    </row>
    <row r="20" spans="1:16" s="149" customFormat="1">
      <c r="A20" s="151">
        <f t="shared" si="0"/>
        <v>14</v>
      </c>
      <c r="B20" s="146"/>
      <c r="C20" s="146"/>
      <c r="D20" s="147"/>
      <c r="E20" s="147"/>
      <c r="F20" s="146"/>
      <c r="G20" s="146"/>
      <c r="H20" s="146"/>
      <c r="I20" s="146"/>
      <c r="J20" s="146"/>
      <c r="K20" s="146"/>
      <c r="L20" s="152"/>
      <c r="M20" s="153"/>
      <c r="P20" s="154"/>
    </row>
    <row r="21" spans="1:16" s="149" customFormat="1">
      <c r="A21" s="151">
        <f t="shared" si="0"/>
        <v>15</v>
      </c>
      <c r="B21" s="146"/>
      <c r="C21" s="146"/>
      <c r="D21" s="147"/>
      <c r="E21" s="147"/>
      <c r="F21" s="146"/>
      <c r="G21" s="146"/>
      <c r="H21" s="146"/>
      <c r="I21" s="146"/>
      <c r="J21" s="146"/>
      <c r="K21" s="146"/>
      <c r="L21" s="152"/>
      <c r="M21" s="153"/>
      <c r="P21" s="154"/>
    </row>
    <row r="22" spans="1:16" s="149" customFormat="1">
      <c r="A22" s="151">
        <f t="shared" si="0"/>
        <v>16</v>
      </c>
      <c r="B22" s="146"/>
      <c r="C22" s="146"/>
      <c r="D22" s="147"/>
      <c r="E22" s="147"/>
      <c r="F22" s="146"/>
      <c r="G22" s="146"/>
      <c r="H22" s="146"/>
      <c r="I22" s="146"/>
      <c r="J22" s="146"/>
      <c r="K22" s="146"/>
      <c r="L22" s="152"/>
      <c r="M22" s="153"/>
      <c r="P22" s="154"/>
    </row>
    <row r="23" spans="1:16" s="149" customFormat="1">
      <c r="A23" s="151">
        <f t="shared" si="0"/>
        <v>17</v>
      </c>
      <c r="B23" s="146"/>
      <c r="C23" s="146"/>
      <c r="D23" s="147"/>
      <c r="E23" s="147"/>
      <c r="F23" s="146"/>
      <c r="G23" s="146"/>
      <c r="H23" s="146"/>
      <c r="I23" s="146"/>
      <c r="J23" s="146"/>
      <c r="K23" s="146"/>
      <c r="L23" s="152"/>
      <c r="M23" s="153"/>
      <c r="P23" s="154"/>
    </row>
    <row r="24" spans="1:16" s="149" customFormat="1">
      <c r="A24" s="151">
        <f t="shared" si="0"/>
        <v>18</v>
      </c>
      <c r="B24" s="146"/>
      <c r="C24" s="146"/>
      <c r="D24" s="147"/>
      <c r="E24" s="147"/>
      <c r="F24" s="146"/>
      <c r="G24" s="146"/>
      <c r="H24" s="146"/>
      <c r="I24" s="146"/>
      <c r="J24" s="146"/>
      <c r="K24" s="146"/>
      <c r="L24" s="152"/>
      <c r="M24" s="153"/>
      <c r="P24" s="154"/>
    </row>
    <row r="25" spans="1:16" s="149" customFormat="1">
      <c r="A25" s="151">
        <f t="shared" si="0"/>
        <v>19</v>
      </c>
      <c r="B25" s="146"/>
      <c r="C25" s="146"/>
      <c r="D25" s="147"/>
      <c r="E25" s="147"/>
      <c r="F25" s="146"/>
      <c r="G25" s="146"/>
      <c r="H25" s="146"/>
      <c r="I25" s="146"/>
      <c r="J25" s="146"/>
      <c r="K25" s="146"/>
      <c r="L25" s="152"/>
      <c r="M25" s="153"/>
      <c r="P25" s="154"/>
    </row>
    <row r="26" spans="1:16" s="149" customFormat="1">
      <c r="A26" s="151">
        <f t="shared" si="0"/>
        <v>20</v>
      </c>
      <c r="B26" s="146"/>
      <c r="C26" s="146"/>
      <c r="D26" s="147"/>
      <c r="E26" s="147"/>
      <c r="F26" s="146"/>
      <c r="G26" s="146"/>
      <c r="H26" s="146"/>
      <c r="I26" s="146"/>
      <c r="J26" s="146"/>
      <c r="K26" s="146"/>
      <c r="L26" s="152"/>
      <c r="M26" s="153"/>
      <c r="P26" s="154"/>
    </row>
    <row r="27" spans="1:16" s="149" customFormat="1">
      <c r="A27" s="151">
        <f t="shared" si="0"/>
        <v>21</v>
      </c>
      <c r="B27" s="146"/>
      <c r="C27" s="146"/>
      <c r="D27" s="147"/>
      <c r="E27" s="147"/>
      <c r="F27" s="146"/>
      <c r="G27" s="146"/>
      <c r="H27" s="146"/>
      <c r="I27" s="146"/>
      <c r="J27" s="146"/>
      <c r="K27" s="146"/>
      <c r="L27" s="152"/>
      <c r="M27" s="153"/>
      <c r="P27" s="154"/>
    </row>
    <row r="28" spans="1:16" s="149" customFormat="1">
      <c r="A28" s="151">
        <f t="shared" si="0"/>
        <v>22</v>
      </c>
      <c r="B28" s="146"/>
      <c r="C28" s="146"/>
      <c r="D28" s="147"/>
      <c r="E28" s="147"/>
      <c r="F28" s="146"/>
      <c r="G28" s="146"/>
      <c r="H28" s="146"/>
      <c r="I28" s="146"/>
      <c r="J28" s="146"/>
      <c r="K28" s="146"/>
      <c r="L28" s="152"/>
      <c r="M28" s="153"/>
      <c r="P28" s="154"/>
    </row>
    <row r="29" spans="1:16" s="149" customFormat="1">
      <c r="A29" s="151">
        <f t="shared" si="0"/>
        <v>23</v>
      </c>
      <c r="B29" s="146"/>
      <c r="C29" s="146"/>
      <c r="D29" s="147"/>
      <c r="E29" s="147"/>
      <c r="F29" s="146"/>
      <c r="G29" s="146"/>
      <c r="H29" s="146"/>
      <c r="I29" s="146"/>
      <c r="J29" s="146"/>
      <c r="K29" s="146"/>
      <c r="L29" s="152"/>
      <c r="M29" s="153"/>
      <c r="P29" s="154"/>
    </row>
    <row r="30" spans="1:16" s="149" customFormat="1">
      <c r="A30" s="151">
        <f t="shared" si="0"/>
        <v>24</v>
      </c>
      <c r="B30" s="146"/>
      <c r="C30" s="146"/>
      <c r="D30" s="147"/>
      <c r="E30" s="147"/>
      <c r="F30" s="146"/>
      <c r="G30" s="146"/>
      <c r="H30" s="146"/>
      <c r="I30" s="146"/>
      <c r="J30" s="146"/>
      <c r="K30" s="146"/>
      <c r="L30" s="152"/>
      <c r="M30" s="153"/>
      <c r="P30" s="154"/>
    </row>
    <row r="31" spans="1:16" s="149" customFormat="1">
      <c r="A31" s="151">
        <f t="shared" si="0"/>
        <v>25</v>
      </c>
      <c r="B31" s="146"/>
      <c r="C31" s="146"/>
      <c r="D31" s="147"/>
      <c r="E31" s="147"/>
      <c r="F31" s="146"/>
      <c r="G31" s="146"/>
      <c r="H31" s="146"/>
      <c r="I31" s="146"/>
      <c r="J31" s="146"/>
      <c r="K31" s="146"/>
      <c r="L31" s="152"/>
      <c r="M31" s="153"/>
      <c r="P31" s="154"/>
    </row>
    <row r="32" spans="1:16" s="149" customFormat="1">
      <c r="A32" s="151">
        <f t="shared" si="0"/>
        <v>26</v>
      </c>
      <c r="B32" s="146"/>
      <c r="C32" s="146"/>
      <c r="D32" s="147"/>
      <c r="E32" s="147"/>
      <c r="F32" s="146"/>
      <c r="G32" s="146"/>
      <c r="H32" s="146"/>
      <c r="I32" s="146"/>
      <c r="J32" s="146"/>
      <c r="K32" s="146"/>
      <c r="L32" s="152"/>
      <c r="M32" s="153"/>
      <c r="P32" s="154"/>
    </row>
    <row r="33" spans="1:26" s="149" customFormat="1">
      <c r="A33" s="151">
        <f t="shared" si="0"/>
        <v>27</v>
      </c>
      <c r="B33" s="146"/>
      <c r="C33" s="146"/>
      <c r="D33" s="147"/>
      <c r="E33" s="147"/>
      <c r="F33" s="146"/>
      <c r="G33" s="146"/>
      <c r="H33" s="146"/>
      <c r="I33" s="146"/>
      <c r="J33" s="146"/>
      <c r="K33" s="146"/>
      <c r="L33" s="152"/>
      <c r="M33" s="153"/>
      <c r="P33" s="154"/>
    </row>
    <row r="34" spans="1:26" s="149" customFormat="1">
      <c r="A34" s="151">
        <f t="shared" si="0"/>
        <v>28</v>
      </c>
      <c r="B34" s="146"/>
      <c r="C34" s="146"/>
      <c r="D34" s="147"/>
      <c r="E34" s="147"/>
      <c r="F34" s="146"/>
      <c r="G34" s="146"/>
      <c r="H34" s="146"/>
      <c r="I34" s="146"/>
      <c r="J34" s="146"/>
      <c r="K34" s="146"/>
      <c r="L34" s="152"/>
      <c r="M34" s="153"/>
      <c r="P34" s="154"/>
    </row>
    <row r="35" spans="1:26" s="149" customFormat="1">
      <c r="A35" s="151">
        <f t="shared" si="0"/>
        <v>29</v>
      </c>
      <c r="B35" s="146"/>
      <c r="C35" s="146"/>
      <c r="D35" s="147"/>
      <c r="E35" s="147"/>
      <c r="F35" s="146"/>
      <c r="G35" s="146"/>
      <c r="H35" s="146"/>
      <c r="I35" s="146"/>
      <c r="J35" s="146"/>
      <c r="K35" s="146"/>
      <c r="L35" s="152"/>
      <c r="M35" s="153"/>
      <c r="P35" s="154"/>
    </row>
    <row r="36" spans="1:26" s="149" customFormat="1" ht="13.5" thickBot="1">
      <c r="A36" s="417">
        <f t="shared" si="0"/>
        <v>30</v>
      </c>
      <c r="B36" s="418"/>
      <c r="C36" s="418"/>
      <c r="D36" s="419"/>
      <c r="E36" s="419"/>
      <c r="F36" s="418"/>
      <c r="G36" s="418"/>
      <c r="H36" s="418"/>
      <c r="I36" s="418"/>
      <c r="J36" s="418"/>
      <c r="K36" s="418"/>
      <c r="L36" s="156"/>
      <c r="M36" s="148"/>
      <c r="P36" s="154"/>
    </row>
    <row r="37" spans="1:26" ht="13.5" thickBot="1">
      <c r="A37" s="416">
        <f t="shared" si="0"/>
        <v>31</v>
      </c>
      <c r="B37" s="208" t="s">
        <v>261</v>
      </c>
      <c r="C37" s="208"/>
      <c r="D37" s="208"/>
      <c r="E37" s="208"/>
      <c r="F37" s="415">
        <f>SUM(G7:G36)</f>
        <v>425434</v>
      </c>
      <c r="G37" s="160"/>
      <c r="H37" s="161"/>
      <c r="I37" s="161"/>
      <c r="J37" s="161"/>
      <c r="K37" s="161"/>
      <c r="L37" s="162"/>
      <c r="M37" s="163"/>
    </row>
    <row r="38" spans="1:26" ht="13.5" thickBot="1">
      <c r="A38" s="157">
        <f t="shared" si="0"/>
        <v>32</v>
      </c>
      <c r="B38" s="164" t="s">
        <v>262</v>
      </c>
      <c r="C38" s="164"/>
      <c r="D38" s="164"/>
      <c r="E38" s="164"/>
      <c r="F38" s="165">
        <f>MAX(G7:G36)</f>
        <v>260000</v>
      </c>
      <c r="G38" s="166"/>
      <c r="H38" s="167"/>
      <c r="I38" s="167"/>
      <c r="J38" s="167"/>
      <c r="K38" s="167"/>
      <c r="L38" s="168"/>
      <c r="M38" s="169"/>
    </row>
    <row r="40" spans="1:26">
      <c r="B40" s="22" t="s">
        <v>587</v>
      </c>
    </row>
    <row r="41" spans="1:26">
      <c r="B41" s="22"/>
    </row>
    <row r="42" spans="1:26">
      <c r="B42" s="22" t="s">
        <v>588</v>
      </c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P45" s="170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P46" s="170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P47" s="170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P48" s="170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P49" s="170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P50" s="170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P51" s="170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P52" s="170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P53" s="170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P54" s="170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P55" s="170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P56" s="170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P57" s="170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P58" s="170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P59" s="170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P60" s="170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P61" s="170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P62" s="170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P63" s="170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P64" s="170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P65" s="170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P66" s="170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P67" s="170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P68" s="170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P69" s="170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P70" s="170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P71" s="170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P72" s="170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P73" s="170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P74" s="170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P75" s="170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P76" s="170"/>
      <c r="Q76" s="9"/>
      <c r="R76" s="9"/>
      <c r="S76" s="9"/>
      <c r="T76" s="9"/>
      <c r="U76" s="9"/>
      <c r="V76" s="9"/>
      <c r="W76" s="9"/>
      <c r="X76" s="9"/>
      <c r="Y76" s="9"/>
      <c r="Z76" s="9"/>
    </row>
  </sheetData>
  <sheetProtection password="CA0C" sheet="1" objects="1" scenarios="1"/>
  <mergeCells count="1">
    <mergeCell ref="I1:L1"/>
  </mergeCells>
  <phoneticPr fontId="30" type="noConversion"/>
  <dataValidations count="1">
    <dataValidation type="date" operator="greaterThan" allowBlank="1" showInputMessage="1" showErrorMessage="1" prompt="Введите дату в формате ЧЧ.ММ.ГГГГ" sqref="D7:E36 S47:T76 D47:E76">
      <formula1>DATE(50,1,1)</formula1>
    </dataValidation>
  </dataValidations>
  <printOptions horizontalCentered="1" verticalCentered="1"/>
  <pageMargins left="0.22" right="0.2" top="0.25" bottom="0.22" header="0.51181102362204722" footer="0.51181102362204722"/>
  <pageSetup paperSize="9" scale="85" orientation="landscape" r:id="rId1"/>
  <headerFooter alignWithMargins="0"/>
  <colBreaks count="1" manualBreakCount="1">
    <brk id="1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pageSetUpPr fitToPage="1"/>
  </sheetPr>
  <dimension ref="A1:P76"/>
  <sheetViews>
    <sheetView view="pageBreakPreview" zoomScale="70" workbookViewId="0">
      <selection activeCell="A34" sqref="A34"/>
    </sheetView>
  </sheetViews>
  <sheetFormatPr defaultRowHeight="12.75"/>
  <cols>
    <col min="1" max="1" width="4.140625" style="1" customWidth="1"/>
    <col min="2" max="2" width="34.28515625" style="1" customWidth="1"/>
    <col min="3" max="3" width="10.42578125" style="1" customWidth="1"/>
    <col min="4" max="5" width="13.7109375" style="1" customWidth="1"/>
    <col min="6" max="6" width="16.28515625" style="1" customWidth="1"/>
    <col min="7" max="7" width="15.28515625" style="1" customWidth="1"/>
    <col min="8" max="8" width="11.140625" style="1" customWidth="1"/>
    <col min="9" max="9" width="10.140625" style="1" customWidth="1"/>
    <col min="10" max="11" width="11" style="1" customWidth="1"/>
    <col min="12" max="12" width="15.85546875" style="1" customWidth="1"/>
    <col min="13" max="13" width="0.140625" style="1" hidden="1" customWidth="1"/>
    <col min="14" max="14" width="11.42578125" style="1" hidden="1" customWidth="1"/>
    <col min="15" max="15" width="9.140625" style="1"/>
    <col min="16" max="16" width="12.140625" style="1" customWidth="1"/>
    <col min="17" max="19" width="9.140625" style="1"/>
    <col min="20" max="20" width="25" style="1" customWidth="1"/>
    <col min="21" max="16384" width="9.140625" style="1"/>
  </cols>
  <sheetData>
    <row r="1" spans="1:16" ht="58.5" customHeight="1">
      <c r="I1" s="704" t="s">
        <v>527</v>
      </c>
      <c r="J1" s="704"/>
      <c r="K1" s="704"/>
      <c r="L1" s="704"/>
    </row>
    <row r="2" spans="1:16" ht="16.5">
      <c r="A2" s="171" t="s">
        <v>263</v>
      </c>
      <c r="B2" s="96"/>
      <c r="C2" s="96"/>
      <c r="D2" s="96"/>
      <c r="E2" s="96"/>
      <c r="F2" s="96"/>
      <c r="G2" s="96"/>
      <c r="H2" s="96"/>
      <c r="I2" s="96"/>
      <c r="J2" s="124" t="s">
        <v>264</v>
      </c>
      <c r="K2" s="137"/>
      <c r="L2" s="96"/>
    </row>
    <row r="3" spans="1:16">
      <c r="A3" s="479">
        <f>Balance!A4</f>
        <v>43100</v>
      </c>
      <c r="B3" s="96"/>
      <c r="C3" s="96"/>
      <c r="D3" s="96"/>
      <c r="E3" s="96"/>
      <c r="F3" s="96"/>
      <c r="G3" s="96"/>
      <c r="H3" s="96"/>
      <c r="I3" s="96" t="str">
        <f>Balance!B3</f>
        <v>АКБ "Микрокредитбанк"</v>
      </c>
      <c r="J3" s="96"/>
      <c r="K3" s="96"/>
      <c r="L3" s="96"/>
    </row>
    <row r="4" spans="1:16" ht="13.5" thickBot="1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</row>
    <row r="5" spans="1:16" ht="96" customHeight="1" thickBot="1">
      <c r="A5" s="101" t="s">
        <v>48</v>
      </c>
      <c r="B5" s="101" t="s">
        <v>248</v>
      </c>
      <c r="C5" s="139" t="s">
        <v>249</v>
      </c>
      <c r="D5" s="140" t="s">
        <v>250</v>
      </c>
      <c r="E5" s="140" t="s">
        <v>251</v>
      </c>
      <c r="F5" s="141" t="s">
        <v>265</v>
      </c>
      <c r="G5" s="141" t="s">
        <v>253</v>
      </c>
      <c r="H5" s="141" t="s">
        <v>254</v>
      </c>
      <c r="I5" s="140" t="s">
        <v>255</v>
      </c>
      <c r="J5" s="140" t="s">
        <v>256</v>
      </c>
      <c r="K5" s="140" t="s">
        <v>257</v>
      </c>
      <c r="L5" s="140" t="s">
        <v>258</v>
      </c>
    </row>
    <row r="6" spans="1:16" ht="13.5" thickBot="1">
      <c r="A6" s="172"/>
      <c r="B6" s="173" t="s">
        <v>232</v>
      </c>
      <c r="C6" s="174" t="s">
        <v>233</v>
      </c>
      <c r="D6" s="174" t="s">
        <v>259</v>
      </c>
      <c r="E6" s="174" t="s">
        <v>234</v>
      </c>
      <c r="F6" s="174" t="s">
        <v>235</v>
      </c>
      <c r="G6" s="174" t="s">
        <v>260</v>
      </c>
      <c r="H6" s="174" t="s">
        <v>236</v>
      </c>
      <c r="I6" s="174" t="s">
        <v>237</v>
      </c>
      <c r="J6" s="174" t="s">
        <v>238</v>
      </c>
      <c r="K6" s="174" t="s">
        <v>239</v>
      </c>
      <c r="L6" s="174" t="s">
        <v>240</v>
      </c>
    </row>
    <row r="7" spans="1:16" s="149" customFormat="1">
      <c r="A7" s="175">
        <v>1</v>
      </c>
      <c r="B7" s="146"/>
      <c r="C7" s="146"/>
      <c r="D7" s="147"/>
      <c r="E7" s="147"/>
      <c r="F7" s="146"/>
      <c r="G7" s="146"/>
      <c r="H7" s="146"/>
      <c r="I7" s="146"/>
      <c r="J7" s="146"/>
      <c r="K7" s="146"/>
      <c r="L7" s="152"/>
      <c r="M7" s="176"/>
      <c r="N7" s="148"/>
      <c r="O7" s="148"/>
      <c r="P7" s="441">
        <v>0</v>
      </c>
    </row>
    <row r="8" spans="1:16" s="149" customFormat="1">
      <c r="A8" s="151">
        <v>2</v>
      </c>
      <c r="B8" s="146"/>
      <c r="C8" s="146"/>
      <c r="D8" s="147"/>
      <c r="E8" s="147"/>
      <c r="F8" s="146"/>
      <c r="G8" s="146"/>
      <c r="H8" s="146"/>
      <c r="I8" s="146"/>
      <c r="J8" s="146"/>
      <c r="K8" s="146"/>
      <c r="L8" s="152"/>
      <c r="M8" s="176"/>
      <c r="N8" s="148"/>
      <c r="O8" s="148"/>
    </row>
    <row r="9" spans="1:16" s="149" customFormat="1">
      <c r="A9" s="151">
        <v>3</v>
      </c>
      <c r="B9" s="146"/>
      <c r="C9" s="146"/>
      <c r="D9" s="147"/>
      <c r="E9" s="147"/>
      <c r="F9" s="146"/>
      <c r="G9" s="146"/>
      <c r="H9" s="146"/>
      <c r="I9" s="146"/>
      <c r="J9" s="146"/>
      <c r="K9" s="146"/>
      <c r="L9" s="152"/>
      <c r="M9" s="176"/>
      <c r="N9" s="148"/>
      <c r="O9" s="148"/>
    </row>
    <row r="10" spans="1:16" s="149" customFormat="1">
      <c r="A10" s="151">
        <v>4</v>
      </c>
      <c r="B10" s="146"/>
      <c r="C10" s="146"/>
      <c r="D10" s="147"/>
      <c r="E10" s="147"/>
      <c r="F10" s="146"/>
      <c r="G10" s="146"/>
      <c r="H10" s="146"/>
      <c r="I10" s="146"/>
      <c r="J10" s="146"/>
      <c r="K10" s="146"/>
      <c r="L10" s="152"/>
      <c r="M10" s="176"/>
      <c r="N10" s="148"/>
      <c r="O10" s="148"/>
      <c r="P10" s="177"/>
    </row>
    <row r="11" spans="1:16" s="149" customFormat="1">
      <c r="A11" s="151">
        <v>5</v>
      </c>
      <c r="B11" s="146"/>
      <c r="C11" s="146"/>
      <c r="D11" s="147"/>
      <c r="E11" s="147"/>
      <c r="F11" s="146"/>
      <c r="G11" s="146"/>
      <c r="H11" s="146"/>
      <c r="I11" s="146"/>
      <c r="J11" s="146"/>
      <c r="K11" s="146"/>
      <c r="L11" s="152"/>
      <c r="M11" s="176"/>
      <c r="N11" s="148"/>
      <c r="O11" s="148"/>
    </row>
    <row r="12" spans="1:16" s="149" customFormat="1">
      <c r="A12" s="151">
        <v>6</v>
      </c>
      <c r="B12" s="146"/>
      <c r="C12" s="146"/>
      <c r="D12" s="147"/>
      <c r="E12" s="147"/>
      <c r="F12" s="146"/>
      <c r="G12" s="146"/>
      <c r="H12" s="146"/>
      <c r="I12" s="146"/>
      <c r="J12" s="146"/>
      <c r="K12" s="146"/>
      <c r="L12" s="152"/>
      <c r="M12" s="176"/>
      <c r="N12" s="148"/>
      <c r="O12" s="148"/>
    </row>
    <row r="13" spans="1:16" s="149" customFormat="1" ht="14.25" customHeight="1">
      <c r="A13" s="151">
        <v>7</v>
      </c>
      <c r="B13" s="146"/>
      <c r="C13" s="146"/>
      <c r="D13" s="147"/>
      <c r="E13" s="147"/>
      <c r="F13" s="146"/>
      <c r="G13" s="146"/>
      <c r="H13" s="146"/>
      <c r="I13" s="146"/>
      <c r="J13" s="146"/>
      <c r="K13" s="146"/>
      <c r="L13" s="152"/>
      <c r="M13" s="176"/>
      <c r="N13" s="148"/>
      <c r="O13" s="148"/>
    </row>
    <row r="14" spans="1:16" s="149" customFormat="1" ht="14.25" customHeight="1">
      <c r="A14" s="151">
        <v>8</v>
      </c>
      <c r="B14" s="146"/>
      <c r="C14" s="146"/>
      <c r="D14" s="147"/>
      <c r="E14" s="147"/>
      <c r="F14" s="146"/>
      <c r="G14" s="146"/>
      <c r="H14" s="146"/>
      <c r="I14" s="146"/>
      <c r="J14" s="146"/>
      <c r="K14" s="146"/>
      <c r="L14" s="152"/>
      <c r="M14" s="176"/>
      <c r="N14" s="148"/>
      <c r="O14" s="148"/>
    </row>
    <row r="15" spans="1:16" s="149" customFormat="1">
      <c r="A15" s="151">
        <v>9</v>
      </c>
      <c r="B15" s="146"/>
      <c r="C15" s="146"/>
      <c r="D15" s="147"/>
      <c r="E15" s="147"/>
      <c r="F15" s="146"/>
      <c r="G15" s="146"/>
      <c r="H15" s="146"/>
      <c r="I15" s="146"/>
      <c r="J15" s="146"/>
      <c r="K15" s="146"/>
      <c r="L15" s="152"/>
      <c r="M15" s="176"/>
      <c r="N15" s="148"/>
      <c r="O15" s="148"/>
    </row>
    <row r="16" spans="1:16" s="149" customFormat="1">
      <c r="A16" s="151">
        <v>10</v>
      </c>
      <c r="B16" s="146"/>
      <c r="C16" s="146"/>
      <c r="D16" s="147"/>
      <c r="E16" s="147"/>
      <c r="F16" s="146"/>
      <c r="G16" s="146"/>
      <c r="H16" s="146"/>
      <c r="I16" s="146"/>
      <c r="J16" s="146"/>
      <c r="K16" s="146"/>
      <c r="L16" s="152"/>
      <c r="M16" s="176"/>
      <c r="N16" s="148"/>
      <c r="O16" s="148"/>
    </row>
    <row r="17" spans="1:15" s="149" customFormat="1">
      <c r="A17" s="151">
        <v>11</v>
      </c>
      <c r="B17" s="146"/>
      <c r="C17" s="146"/>
      <c r="D17" s="147"/>
      <c r="E17" s="147"/>
      <c r="F17" s="146"/>
      <c r="G17" s="146"/>
      <c r="H17" s="146"/>
      <c r="I17" s="146"/>
      <c r="J17" s="146"/>
      <c r="K17" s="146"/>
      <c r="L17" s="152"/>
      <c r="M17" s="176"/>
      <c r="N17" s="148"/>
      <c r="O17" s="148"/>
    </row>
    <row r="18" spans="1:15" s="149" customFormat="1">
      <c r="A18" s="151">
        <v>12</v>
      </c>
      <c r="B18" s="146"/>
      <c r="C18" s="146"/>
      <c r="D18" s="147"/>
      <c r="E18" s="147"/>
      <c r="F18" s="146"/>
      <c r="G18" s="146"/>
      <c r="H18" s="146"/>
      <c r="I18" s="146"/>
      <c r="J18" s="146"/>
      <c r="K18" s="146"/>
      <c r="L18" s="152"/>
      <c r="M18" s="176"/>
      <c r="N18" s="148"/>
      <c r="O18" s="148"/>
    </row>
    <row r="19" spans="1:15" s="149" customFormat="1">
      <c r="A19" s="151">
        <v>13</v>
      </c>
      <c r="B19" s="146"/>
      <c r="C19" s="146"/>
      <c r="D19" s="147"/>
      <c r="E19" s="147"/>
      <c r="F19" s="146"/>
      <c r="G19" s="146"/>
      <c r="H19" s="146"/>
      <c r="I19" s="146"/>
      <c r="J19" s="146"/>
      <c r="K19" s="146"/>
      <c r="L19" s="152"/>
      <c r="M19" s="176"/>
      <c r="N19" s="148"/>
      <c r="O19" s="148"/>
    </row>
    <row r="20" spans="1:15" s="149" customFormat="1">
      <c r="A20" s="151">
        <v>14</v>
      </c>
      <c r="B20" s="146"/>
      <c r="C20" s="146"/>
      <c r="D20" s="147"/>
      <c r="E20" s="147"/>
      <c r="F20" s="146"/>
      <c r="G20" s="146"/>
      <c r="H20" s="146"/>
      <c r="I20" s="146"/>
      <c r="J20" s="146"/>
      <c r="K20" s="146"/>
      <c r="L20" s="152"/>
      <c r="M20" s="176"/>
      <c r="N20" s="148"/>
      <c r="O20" s="148"/>
    </row>
    <row r="21" spans="1:15" s="149" customFormat="1">
      <c r="A21" s="151">
        <v>15</v>
      </c>
      <c r="B21" s="146"/>
      <c r="C21" s="146"/>
      <c r="D21" s="147"/>
      <c r="E21" s="147"/>
      <c r="F21" s="146"/>
      <c r="G21" s="146"/>
      <c r="H21" s="146"/>
      <c r="I21" s="146"/>
      <c r="J21" s="146"/>
      <c r="K21" s="146"/>
      <c r="L21" s="152"/>
      <c r="M21" s="176"/>
      <c r="N21" s="148"/>
      <c r="O21" s="148"/>
    </row>
    <row r="22" spans="1:15" s="149" customFormat="1">
      <c r="A22" s="151">
        <v>16</v>
      </c>
      <c r="B22" s="146"/>
      <c r="C22" s="146"/>
      <c r="D22" s="147"/>
      <c r="E22" s="147"/>
      <c r="F22" s="146"/>
      <c r="G22" s="146"/>
      <c r="H22" s="146"/>
      <c r="I22" s="146"/>
      <c r="J22" s="146"/>
      <c r="K22" s="146"/>
      <c r="L22" s="152"/>
      <c r="M22" s="176"/>
      <c r="N22" s="148"/>
      <c r="O22" s="148"/>
    </row>
    <row r="23" spans="1:15" s="149" customFormat="1">
      <c r="A23" s="151">
        <v>17</v>
      </c>
      <c r="B23" s="146"/>
      <c r="C23" s="146"/>
      <c r="D23" s="147"/>
      <c r="E23" s="147"/>
      <c r="F23" s="146"/>
      <c r="G23" s="146"/>
      <c r="H23" s="146"/>
      <c r="I23" s="146"/>
      <c r="J23" s="146"/>
      <c r="K23" s="146"/>
      <c r="L23" s="152"/>
      <c r="M23" s="176"/>
      <c r="N23" s="148"/>
      <c r="O23" s="148"/>
    </row>
    <row r="24" spans="1:15" s="149" customFormat="1">
      <c r="A24" s="151">
        <v>18</v>
      </c>
      <c r="B24" s="146"/>
      <c r="C24" s="146"/>
      <c r="D24" s="147"/>
      <c r="E24" s="147"/>
      <c r="F24" s="146"/>
      <c r="G24" s="146"/>
      <c r="H24" s="146"/>
      <c r="I24" s="146"/>
      <c r="J24" s="146"/>
      <c r="K24" s="146"/>
      <c r="L24" s="152"/>
      <c r="M24" s="176"/>
      <c r="N24" s="148"/>
      <c r="O24" s="148"/>
    </row>
    <row r="25" spans="1:15" s="149" customFormat="1">
      <c r="A25" s="151">
        <v>19</v>
      </c>
      <c r="B25" s="146"/>
      <c r="C25" s="146"/>
      <c r="D25" s="147"/>
      <c r="E25" s="147"/>
      <c r="F25" s="146"/>
      <c r="G25" s="146"/>
      <c r="H25" s="146"/>
      <c r="I25" s="146"/>
      <c r="J25" s="146"/>
      <c r="K25" s="146"/>
      <c r="L25" s="152"/>
      <c r="M25" s="176"/>
      <c r="N25" s="148"/>
      <c r="O25" s="148"/>
    </row>
    <row r="26" spans="1:15" s="149" customFormat="1">
      <c r="A26" s="151">
        <v>20</v>
      </c>
      <c r="B26" s="146"/>
      <c r="C26" s="146"/>
      <c r="D26" s="147"/>
      <c r="E26" s="147"/>
      <c r="F26" s="146"/>
      <c r="G26" s="146"/>
      <c r="H26" s="146"/>
      <c r="I26" s="146"/>
      <c r="J26" s="146"/>
      <c r="K26" s="146"/>
      <c r="L26" s="152"/>
      <c r="M26" s="176"/>
      <c r="N26" s="148"/>
      <c r="O26" s="148"/>
    </row>
    <row r="27" spans="1:15" s="149" customFormat="1">
      <c r="A27" s="151">
        <v>21</v>
      </c>
      <c r="B27" s="146"/>
      <c r="C27" s="146"/>
      <c r="D27" s="147"/>
      <c r="E27" s="147"/>
      <c r="F27" s="146"/>
      <c r="G27" s="146"/>
      <c r="H27" s="146"/>
      <c r="I27" s="146"/>
      <c r="J27" s="146"/>
      <c r="K27" s="146"/>
      <c r="L27" s="152"/>
      <c r="M27" s="176"/>
      <c r="N27" s="148"/>
      <c r="O27" s="148"/>
    </row>
    <row r="28" spans="1:15" s="149" customFormat="1">
      <c r="A28" s="151">
        <v>22</v>
      </c>
      <c r="B28" s="146"/>
      <c r="C28" s="146"/>
      <c r="D28" s="147"/>
      <c r="E28" s="147"/>
      <c r="F28" s="146"/>
      <c r="G28" s="146"/>
      <c r="H28" s="146"/>
      <c r="I28" s="146"/>
      <c r="J28" s="146"/>
      <c r="K28" s="146"/>
      <c r="L28" s="152"/>
      <c r="M28" s="176"/>
      <c r="N28" s="148"/>
      <c r="O28" s="148"/>
    </row>
    <row r="29" spans="1:15" s="149" customFormat="1">
      <c r="A29" s="151">
        <v>23</v>
      </c>
      <c r="B29" s="146"/>
      <c r="C29" s="146"/>
      <c r="D29" s="147"/>
      <c r="E29" s="147"/>
      <c r="F29" s="146"/>
      <c r="G29" s="146"/>
      <c r="H29" s="146"/>
      <c r="I29" s="146"/>
      <c r="J29" s="146"/>
      <c r="K29" s="146"/>
      <c r="L29" s="152"/>
      <c r="M29" s="176"/>
      <c r="N29" s="148"/>
      <c r="O29" s="148"/>
    </row>
    <row r="30" spans="1:15" s="149" customFormat="1">
      <c r="A30" s="151">
        <v>24</v>
      </c>
      <c r="B30" s="146"/>
      <c r="C30" s="146"/>
      <c r="D30" s="147"/>
      <c r="E30" s="147"/>
      <c r="F30" s="146"/>
      <c r="G30" s="146"/>
      <c r="H30" s="146"/>
      <c r="I30" s="146"/>
      <c r="J30" s="146"/>
      <c r="K30" s="146"/>
      <c r="L30" s="152"/>
      <c r="M30" s="176"/>
      <c r="N30" s="148"/>
      <c r="O30" s="148"/>
    </row>
    <row r="31" spans="1:15" s="149" customFormat="1">
      <c r="A31" s="151">
        <v>25</v>
      </c>
      <c r="B31" s="146"/>
      <c r="C31" s="146"/>
      <c r="D31" s="147"/>
      <c r="E31" s="147"/>
      <c r="F31" s="146"/>
      <c r="G31" s="146"/>
      <c r="H31" s="146"/>
      <c r="I31" s="146"/>
      <c r="J31" s="146"/>
      <c r="K31" s="146"/>
      <c r="L31" s="152"/>
      <c r="M31" s="176"/>
      <c r="N31" s="148"/>
      <c r="O31" s="148"/>
    </row>
    <row r="32" spans="1:15" s="149" customFormat="1">
      <c r="A32" s="151">
        <v>26</v>
      </c>
      <c r="B32" s="146"/>
      <c r="C32" s="146"/>
      <c r="D32" s="147"/>
      <c r="E32" s="147"/>
      <c r="F32" s="146"/>
      <c r="G32" s="146"/>
      <c r="H32" s="146"/>
      <c r="I32" s="146"/>
      <c r="J32" s="146"/>
      <c r="K32" s="146"/>
      <c r="L32" s="152"/>
      <c r="M32" s="176"/>
      <c r="N32" s="148"/>
      <c r="O32" s="148"/>
    </row>
    <row r="33" spans="1:15" s="149" customFormat="1">
      <c r="A33" s="151">
        <v>27</v>
      </c>
      <c r="B33" s="146"/>
      <c r="C33" s="146"/>
      <c r="D33" s="147"/>
      <c r="E33" s="147"/>
      <c r="F33" s="146"/>
      <c r="G33" s="146"/>
      <c r="H33" s="146"/>
      <c r="I33" s="146"/>
      <c r="J33" s="146"/>
      <c r="K33" s="146"/>
      <c r="L33" s="152"/>
      <c r="M33" s="176"/>
      <c r="N33" s="148"/>
      <c r="O33" s="148"/>
    </row>
    <row r="34" spans="1:15" s="149" customFormat="1">
      <c r="A34" s="151">
        <v>28</v>
      </c>
      <c r="B34" s="146"/>
      <c r="C34" s="146"/>
      <c r="D34" s="147"/>
      <c r="E34" s="147"/>
      <c r="F34" s="146"/>
      <c r="G34" s="146"/>
      <c r="H34" s="146"/>
      <c r="I34" s="146"/>
      <c r="J34" s="146"/>
      <c r="K34" s="146"/>
      <c r="L34" s="152"/>
      <c r="M34" s="176"/>
      <c r="N34" s="148"/>
      <c r="O34" s="148"/>
    </row>
    <row r="35" spans="1:15" s="149" customFormat="1">
      <c r="A35" s="151">
        <v>29</v>
      </c>
      <c r="B35" s="146"/>
      <c r="C35" s="146"/>
      <c r="D35" s="147"/>
      <c r="E35" s="147"/>
      <c r="F35" s="146"/>
      <c r="G35" s="146"/>
      <c r="H35" s="146"/>
      <c r="I35" s="146"/>
      <c r="J35" s="146"/>
      <c r="K35" s="146"/>
      <c r="L35" s="152"/>
      <c r="M35" s="176"/>
      <c r="N35" s="148"/>
      <c r="O35" s="148"/>
    </row>
    <row r="36" spans="1:15" s="149" customFormat="1" ht="13.5" thickBot="1">
      <c r="A36" s="155">
        <v>30</v>
      </c>
      <c r="B36" s="146"/>
      <c r="C36" s="146"/>
      <c r="D36" s="147"/>
      <c r="E36" s="147"/>
      <c r="F36" s="146"/>
      <c r="G36" s="146"/>
      <c r="H36" s="146"/>
      <c r="I36" s="146"/>
      <c r="J36" s="146"/>
      <c r="K36" s="146"/>
      <c r="L36" s="152"/>
      <c r="M36" s="176"/>
      <c r="N36" s="148"/>
      <c r="O36" s="148"/>
    </row>
    <row r="37" spans="1:15" ht="13.5" thickBot="1">
      <c r="A37" s="157">
        <v>31</v>
      </c>
      <c r="B37" s="158" t="s">
        <v>266</v>
      </c>
      <c r="C37" s="158"/>
      <c r="D37" s="158"/>
      <c r="E37" s="158"/>
      <c r="F37" s="159">
        <f>SUM(G7:G36)</f>
        <v>0</v>
      </c>
      <c r="G37" s="178"/>
      <c r="H37" s="179"/>
      <c r="I37" s="179"/>
      <c r="J37" s="179"/>
      <c r="K37" s="179"/>
      <c r="L37" s="180"/>
      <c r="M37" s="163"/>
      <c r="N37" s="4"/>
      <c r="O37" s="4"/>
    </row>
    <row r="38" spans="1:15" ht="13.5" thickBot="1">
      <c r="A38" s="157">
        <v>32</v>
      </c>
      <c r="B38" s="164" t="s">
        <v>267</v>
      </c>
      <c r="C38" s="164"/>
      <c r="D38" s="164"/>
      <c r="E38" s="164"/>
      <c r="F38" s="165">
        <f>MAX(G7:G36)</f>
        <v>0</v>
      </c>
      <c r="G38" s="166"/>
      <c r="H38" s="167"/>
      <c r="I38" s="167"/>
      <c r="J38" s="167"/>
      <c r="K38" s="167"/>
      <c r="L38" s="168"/>
      <c r="M38" s="169"/>
      <c r="N38" s="181"/>
      <c r="O38" s="4"/>
    </row>
    <row r="40" spans="1:15">
      <c r="B40" s="22" t="s">
        <v>587</v>
      </c>
    </row>
    <row r="41" spans="1:15">
      <c r="B41" s="22"/>
    </row>
    <row r="42" spans="1:15">
      <c r="B42" s="22" t="s">
        <v>588</v>
      </c>
    </row>
    <row r="44" spans="1:15" ht="13.5" thickBot="1"/>
    <row r="45" spans="1:15" ht="50.25" thickBo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140" t="s">
        <v>257</v>
      </c>
    </row>
    <row r="46" spans="1:15" ht="13.5" thickBo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174" t="s">
        <v>239</v>
      </c>
    </row>
    <row r="47" spans="1:1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82"/>
    </row>
    <row r="48" spans="1:1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82"/>
    </row>
    <row r="49" spans="1:1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82"/>
    </row>
    <row r="50" spans="1:1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82"/>
    </row>
    <row r="51" spans="1:1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82"/>
    </row>
    <row r="52" spans="1:1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82"/>
    </row>
    <row r="53" spans="1:1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82"/>
    </row>
    <row r="54" spans="1:1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82"/>
    </row>
    <row r="55" spans="1:1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82"/>
    </row>
    <row r="56" spans="1:1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82"/>
    </row>
    <row r="57" spans="1:1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82"/>
    </row>
    <row r="58" spans="1:1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82"/>
    </row>
    <row r="59" spans="1:1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82"/>
    </row>
    <row r="60" spans="1:1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82"/>
    </row>
    <row r="61" spans="1:1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82"/>
    </row>
    <row r="62" spans="1:1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82"/>
    </row>
    <row r="63" spans="1:1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82"/>
    </row>
    <row r="64" spans="1:1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82"/>
    </row>
    <row r="65" spans="1:1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82"/>
    </row>
    <row r="66" spans="1:1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82"/>
    </row>
    <row r="67" spans="1:1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82"/>
    </row>
    <row r="68" spans="1:1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82"/>
    </row>
    <row r="69" spans="1:1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82"/>
    </row>
    <row r="70" spans="1:1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82"/>
    </row>
    <row r="71" spans="1:1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82"/>
    </row>
    <row r="72" spans="1:1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82"/>
    </row>
    <row r="73" spans="1:1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82"/>
    </row>
    <row r="74" spans="1:1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82"/>
    </row>
    <row r="75" spans="1:1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82"/>
    </row>
    <row r="76" spans="1:1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82"/>
    </row>
  </sheetData>
  <sheetProtection password="CA0C" sheet="1" objects="1" scenarios="1"/>
  <mergeCells count="1">
    <mergeCell ref="I1:L1"/>
  </mergeCells>
  <phoneticPr fontId="30" type="noConversion"/>
  <dataValidations count="1">
    <dataValidation type="date" operator="greaterThan" allowBlank="1" showInputMessage="1" showErrorMessage="1" prompt="Введите дату в формате ЧЧ.ММ.ГГГГ" sqref="D7:E36 D47:E76">
      <formula1>DATE(50,1,1)</formula1>
    </dataValidation>
  </dataValidations>
  <printOptions horizontalCentered="1" verticalCentered="1"/>
  <pageMargins left="0.16" right="0.19" top="0.22" bottom="0.19" header="0.51181102362204722" footer="0.51181102362204722"/>
  <pageSetup paperSize="9" scale="85" orientation="landscape" r:id="rId1"/>
  <headerFooter alignWithMargins="0"/>
  <colBreaks count="1" manualBreakCount="1">
    <brk id="1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G31"/>
  <sheetViews>
    <sheetView view="pageBreakPreview" zoomScale="70" workbookViewId="0">
      <selection activeCell="C26" sqref="C26"/>
    </sheetView>
  </sheetViews>
  <sheetFormatPr defaultColWidth="9.42578125" defaultRowHeight="15"/>
  <cols>
    <col min="1" max="1" width="50.7109375" style="182" customWidth="1"/>
    <col min="2" max="5" width="23.7109375" style="182" customWidth="1"/>
    <col min="6" max="16384" width="9.42578125" style="182"/>
  </cols>
  <sheetData>
    <row r="1" spans="1:7" ht="64.5" customHeight="1">
      <c r="D1" s="704" t="s">
        <v>527</v>
      </c>
      <c r="E1" s="705"/>
    </row>
    <row r="2" spans="1:7" s="128" customFormat="1" ht="52.5" customHeight="1">
      <c r="A2" s="770" t="s">
        <v>268</v>
      </c>
      <c r="B2" s="770"/>
      <c r="C2" s="770"/>
      <c r="D2" s="770"/>
      <c r="E2" s="183" t="s">
        <v>269</v>
      </c>
      <c r="F2" s="184"/>
      <c r="G2" s="184"/>
    </row>
    <row r="3" spans="1:7" s="1" customFormat="1" ht="15.75" customHeight="1">
      <c r="A3" s="480"/>
      <c r="B3" s="480">
        <f>Balance!A4</f>
        <v>43100</v>
      </c>
      <c r="C3" s="97"/>
      <c r="D3" s="771" t="str">
        <f>Balance!B3</f>
        <v>АКБ "Микрокредитбанк"</v>
      </c>
      <c r="E3" s="772"/>
    </row>
    <row r="4" spans="1:7" s="1" customFormat="1" ht="16.5" customHeight="1" thickBot="1">
      <c r="A4" s="185" t="s">
        <v>270</v>
      </c>
      <c r="B4" s="83"/>
      <c r="C4" s="83"/>
      <c r="D4" s="186"/>
      <c r="E4" s="187"/>
    </row>
    <row r="5" spans="1:7" s="191" customFormat="1" ht="24.75" customHeight="1">
      <c r="A5" s="773"/>
      <c r="B5" s="188" t="s">
        <v>271</v>
      </c>
      <c r="C5" s="189"/>
      <c r="D5" s="188" t="s">
        <v>272</v>
      </c>
      <c r="E5" s="190"/>
    </row>
    <row r="6" spans="1:7" s="191" customFormat="1" ht="31.5" customHeight="1" thickBot="1">
      <c r="A6" s="774"/>
      <c r="B6" s="192" t="s">
        <v>199</v>
      </c>
      <c r="C6" s="193" t="s">
        <v>273</v>
      </c>
      <c r="D6" s="192" t="s">
        <v>199</v>
      </c>
      <c r="E6" s="193" t="s">
        <v>273</v>
      </c>
    </row>
    <row r="7" spans="1:7" s="197" customFormat="1" ht="12.75">
      <c r="A7" s="194" t="s">
        <v>232</v>
      </c>
      <c r="B7" s="195" t="s">
        <v>233</v>
      </c>
      <c r="C7" s="195" t="s">
        <v>259</v>
      </c>
      <c r="D7" s="195" t="s">
        <v>234</v>
      </c>
      <c r="E7" s="196" t="s">
        <v>235</v>
      </c>
    </row>
    <row r="8" spans="1:7" ht="19.5" customHeight="1">
      <c r="A8" s="198" t="s">
        <v>274</v>
      </c>
      <c r="B8" s="702">
        <v>3916716</v>
      </c>
      <c r="C8" s="113"/>
      <c r="D8" s="702">
        <v>695049</v>
      </c>
      <c r="E8" s="199"/>
    </row>
    <row r="9" spans="1:7" ht="19.5" customHeight="1">
      <c r="A9" s="198" t="s">
        <v>275</v>
      </c>
      <c r="B9" s="702">
        <v>77336760</v>
      </c>
      <c r="C9" s="113"/>
      <c r="D9" s="702">
        <v>5530423</v>
      </c>
      <c r="E9" s="199"/>
    </row>
    <row r="10" spans="1:7" ht="19.5" customHeight="1">
      <c r="A10" s="198" t="s">
        <v>276</v>
      </c>
      <c r="B10" s="702">
        <v>6390713</v>
      </c>
      <c r="C10" s="113"/>
      <c r="D10" s="702">
        <v>720777</v>
      </c>
      <c r="E10" s="199"/>
    </row>
    <row r="11" spans="1:7" ht="19.5" customHeight="1">
      <c r="A11" s="198" t="s">
        <v>277</v>
      </c>
      <c r="B11" s="702">
        <v>5882656</v>
      </c>
      <c r="C11" s="113"/>
      <c r="D11" s="702">
        <v>1555242</v>
      </c>
      <c r="E11" s="199"/>
    </row>
    <row r="12" spans="1:7" ht="19.5" customHeight="1">
      <c r="A12" s="198" t="s">
        <v>278</v>
      </c>
      <c r="B12" s="702">
        <v>7868824</v>
      </c>
      <c r="C12" s="113"/>
      <c r="D12" s="702">
        <v>1284975</v>
      </c>
      <c r="E12" s="199"/>
    </row>
    <row r="13" spans="1:7" ht="19.5" customHeight="1">
      <c r="A13" s="198" t="s">
        <v>279</v>
      </c>
      <c r="B13" s="702">
        <v>897061</v>
      </c>
      <c r="C13" s="113"/>
      <c r="D13" s="113">
        <v>0</v>
      </c>
      <c r="E13" s="199"/>
    </row>
    <row r="14" spans="1:7" ht="19.5" customHeight="1">
      <c r="A14" s="198" t="s">
        <v>280</v>
      </c>
      <c r="B14" s="113">
        <v>0</v>
      </c>
      <c r="C14" s="113"/>
      <c r="D14" s="113">
        <v>0</v>
      </c>
      <c r="E14" s="199"/>
    </row>
    <row r="15" spans="1:7" ht="19.5" customHeight="1" thickBot="1">
      <c r="A15" s="200" t="s">
        <v>281</v>
      </c>
      <c r="B15" s="702">
        <v>11566269</v>
      </c>
      <c r="C15" s="201"/>
      <c r="D15" s="702">
        <v>644772</v>
      </c>
      <c r="E15" s="202"/>
    </row>
    <row r="16" spans="1:7" ht="19.5" customHeight="1" thickBot="1">
      <c r="A16" s="203" t="s">
        <v>282</v>
      </c>
      <c r="B16" s="204">
        <f>SUM(B8:B15)</f>
        <v>113858999</v>
      </c>
      <c r="C16" s="204">
        <f>SUM(C8:C15)</f>
        <v>0</v>
      </c>
      <c r="D16" s="204">
        <f>SUM(D8:D15)</f>
        <v>10431238</v>
      </c>
      <c r="E16" s="205">
        <f>SUM(E8:E15)</f>
        <v>0</v>
      </c>
    </row>
    <row r="17" spans="1:6">
      <c r="A17" s="83"/>
      <c r="B17" s="138"/>
      <c r="C17" s="138"/>
      <c r="D17" s="138"/>
      <c r="E17" s="138"/>
    </row>
    <row r="18" spans="1:6">
      <c r="A18" s="83"/>
      <c r="B18" s="83"/>
      <c r="C18" s="83"/>
      <c r="D18" s="83"/>
      <c r="E18" s="83"/>
    </row>
    <row r="19" spans="1:6">
      <c r="A19" s="206" t="s">
        <v>283</v>
      </c>
      <c r="B19" s="138"/>
      <c r="C19" s="138"/>
      <c r="D19" s="138"/>
      <c r="E19" s="138"/>
    </row>
    <row r="20" spans="1:6" ht="15.75" thickBot="1">
      <c r="A20" s="207" t="s">
        <v>284</v>
      </c>
      <c r="B20" s="208"/>
      <c r="C20" s="138"/>
      <c r="D20" s="138"/>
      <c r="E20" s="83"/>
      <c r="F20" s="209"/>
    </row>
    <row r="21" spans="1:6" ht="19.5" customHeight="1">
      <c r="A21" s="64" t="s">
        <v>285</v>
      </c>
      <c r="B21" s="210"/>
      <c r="C21" s="211">
        <v>1173488</v>
      </c>
      <c r="D21" s="212"/>
      <c r="E21" s="138"/>
    </row>
    <row r="22" spans="1:6" ht="19.5" customHeight="1">
      <c r="A22" s="64" t="s">
        <v>286</v>
      </c>
      <c r="B22" s="210"/>
      <c r="C22" s="213">
        <f>D16</f>
        <v>10431238</v>
      </c>
      <c r="D22" s="212"/>
      <c r="E22" s="138"/>
    </row>
    <row r="23" spans="1:6" ht="19.5" customHeight="1">
      <c r="A23" s="64" t="s">
        <v>287</v>
      </c>
      <c r="B23" s="210"/>
      <c r="C23" s="214">
        <f>B16</f>
        <v>113858999</v>
      </c>
      <c r="D23" s="212"/>
      <c r="E23" s="138"/>
    </row>
    <row r="24" spans="1:6" ht="19.5" customHeight="1">
      <c r="A24" s="768" t="s">
        <v>288</v>
      </c>
      <c r="B24" s="769"/>
      <c r="C24" s="215">
        <v>86761235</v>
      </c>
      <c r="D24" s="212"/>
      <c r="E24" s="138"/>
    </row>
    <row r="25" spans="1:6" ht="19.5" customHeight="1">
      <c r="A25" s="64" t="s">
        <v>289</v>
      </c>
      <c r="B25" s="210"/>
      <c r="C25" s="215">
        <v>49209135</v>
      </c>
      <c r="D25" s="212"/>
      <c r="E25" s="138"/>
    </row>
    <row r="26" spans="1:6" ht="19.5" customHeight="1" thickBot="1">
      <c r="A26" s="216" t="s">
        <v>290</v>
      </c>
      <c r="B26" s="217"/>
      <c r="C26" s="218">
        <f>SUM(C21:C22)-C23+SUM(C24:C25)</f>
        <v>33716097</v>
      </c>
      <c r="D26" s="219">
        <f>Balance!B22</f>
        <v>33716097</v>
      </c>
      <c r="E26" s="220">
        <f>'Loan Classification'!N14</f>
        <v>33716097</v>
      </c>
    </row>
    <row r="27" spans="1:6">
      <c r="A27" s="1"/>
      <c r="B27" s="1"/>
      <c r="C27" s="1"/>
      <c r="D27" s="4"/>
      <c r="E27" s="1"/>
    </row>
    <row r="28" spans="1:6">
      <c r="A28" s="22" t="s">
        <v>587</v>
      </c>
      <c r="B28" s="1"/>
      <c r="C28" s="1"/>
      <c r="D28" s="1"/>
      <c r="E28" s="1"/>
    </row>
    <row r="29" spans="1:6">
      <c r="A29" s="22"/>
      <c r="B29" s="1"/>
      <c r="C29" s="1"/>
      <c r="D29" s="1"/>
      <c r="E29" s="1"/>
    </row>
    <row r="30" spans="1:6">
      <c r="A30" s="22" t="s">
        <v>588</v>
      </c>
      <c r="B30" s="1"/>
      <c r="C30" s="1"/>
      <c r="D30" s="1"/>
      <c r="E30" s="1"/>
    </row>
    <row r="31" spans="1:6">
      <c r="A31" s="1"/>
      <c r="B31" s="1"/>
      <c r="C31" s="1"/>
      <c r="D31" s="1"/>
      <c r="E31" s="1"/>
    </row>
  </sheetData>
  <sheetProtection password="CA0C" sheet="1" objects="1" scenarios="1"/>
  <mergeCells count="5">
    <mergeCell ref="A24:B24"/>
    <mergeCell ref="D1:E1"/>
    <mergeCell ref="A2:D2"/>
    <mergeCell ref="D3:E3"/>
    <mergeCell ref="A5:A6"/>
  </mergeCells>
  <phoneticPr fontId="30" type="noConversion"/>
  <conditionalFormatting sqref="C26">
    <cfRule type="cellIs" dxfId="3" priority="2" stopIfTrue="1" operator="notEqual">
      <formula>$D$26</formula>
    </cfRule>
    <cfRule type="cellIs" dxfId="2" priority="3" stopIfTrue="1" operator="notEqual">
      <formula>$E$26</formula>
    </cfRule>
  </conditionalFormatting>
  <conditionalFormatting sqref="C26">
    <cfRule type="cellIs" dxfId="1" priority="1" stopIfTrue="1" operator="notEqual">
      <formula>$D$26</formula>
    </cfRule>
  </conditionalFormatting>
  <dataValidations count="3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B8:E15">
      <formula1>-1E+22</formula1>
      <formula2>1E+22</formula2>
    </dataValidation>
    <dataValidation allowBlank="1" showInputMessage="1" showErrorMessage="1" prompt="Если значение в ячейке не равно значению оценки резерва по ссудам (отчет о прибылях и убытках), то ячейка окрасится" sqref="C24"/>
    <dataValidation type="whole" operator="greaterThanOrEqual" allowBlank="1" showInputMessage="1" showErrorMessage="1" prompt="Ввести как положительное число." sqref="C23">
      <formula1>0</formula1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68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H48"/>
  <sheetViews>
    <sheetView view="pageBreakPreview" topLeftCell="A8" zoomScale="85" zoomScaleSheetLayoutView="85" workbookViewId="0">
      <selection activeCell="B12" sqref="B12"/>
    </sheetView>
  </sheetViews>
  <sheetFormatPr defaultRowHeight="12.75"/>
  <cols>
    <col min="1" max="1" width="53.42578125" style="1" customWidth="1"/>
    <col min="2" max="2" width="23.28515625" style="1" customWidth="1"/>
    <col min="3" max="3" width="20.7109375" style="1" customWidth="1"/>
    <col min="4" max="16384" width="9.140625" style="1"/>
  </cols>
  <sheetData>
    <row r="1" spans="1:8" ht="90" customHeight="1">
      <c r="B1" s="704" t="s">
        <v>527</v>
      </c>
      <c r="C1" s="705"/>
    </row>
    <row r="2" spans="1:8" ht="22.5" customHeight="1">
      <c r="A2" s="775" t="s">
        <v>291</v>
      </c>
      <c r="B2" s="775"/>
      <c r="C2" s="775"/>
      <c r="D2" s="5"/>
      <c r="E2" s="5"/>
      <c r="F2" s="5"/>
      <c r="G2" s="5"/>
      <c r="H2" s="5"/>
    </row>
    <row r="3" spans="1:8" ht="25.5" customHeight="1">
      <c r="A3" s="478">
        <f>Balance!A4</f>
        <v>43100</v>
      </c>
      <c r="B3" s="221" t="str">
        <f>Balance!B3</f>
        <v>АКБ "Микрокредитбанк"</v>
      </c>
      <c r="C3" s="222" t="s">
        <v>592</v>
      </c>
      <c r="D3" s="5"/>
      <c r="E3" s="5"/>
      <c r="F3" s="5"/>
      <c r="G3" s="5"/>
      <c r="H3" s="5"/>
    </row>
    <row r="4" spans="1:8" ht="38.25">
      <c r="A4" s="223" t="s">
        <v>591</v>
      </c>
      <c r="B4" s="224" t="s">
        <v>199</v>
      </c>
      <c r="C4" s="225" t="s">
        <v>292</v>
      </c>
      <c r="D4" s="5"/>
      <c r="E4" s="5"/>
      <c r="F4" s="5"/>
      <c r="G4" s="5"/>
      <c r="H4" s="5"/>
    </row>
    <row r="5" spans="1:8" ht="18" customHeight="1">
      <c r="A5" s="46" t="s">
        <v>293</v>
      </c>
      <c r="B5" s="226"/>
      <c r="C5" s="227"/>
      <c r="D5" s="5"/>
      <c r="E5" s="5"/>
      <c r="F5" s="5"/>
      <c r="G5" s="5"/>
      <c r="H5" s="5"/>
    </row>
    <row r="6" spans="1:8" ht="18" customHeight="1">
      <c r="A6" s="228" t="s">
        <v>294</v>
      </c>
      <c r="B6" s="702">
        <v>4533100</v>
      </c>
      <c r="C6" s="702">
        <v>0</v>
      </c>
      <c r="D6" s="5"/>
      <c r="E6" s="5"/>
      <c r="F6" s="5"/>
      <c r="G6" s="5"/>
      <c r="H6" s="5"/>
    </row>
    <row r="7" spans="1:8" ht="18" customHeight="1">
      <c r="A7" s="228" t="s">
        <v>295</v>
      </c>
      <c r="B7" s="702">
        <v>89954541</v>
      </c>
      <c r="C7" s="702">
        <v>11187202</v>
      </c>
      <c r="D7" s="5"/>
      <c r="E7" s="5"/>
      <c r="F7" s="5"/>
      <c r="G7" s="5"/>
      <c r="H7" s="5"/>
    </row>
    <row r="8" spans="1:8" ht="18" customHeight="1">
      <c r="A8" s="228" t="s">
        <v>296</v>
      </c>
      <c r="B8" s="702">
        <v>108650817</v>
      </c>
      <c r="C8" s="702">
        <v>222607</v>
      </c>
      <c r="D8" s="5"/>
      <c r="E8" s="5"/>
      <c r="F8" s="5"/>
      <c r="G8" s="5"/>
      <c r="H8" s="5"/>
    </row>
    <row r="9" spans="1:8" ht="18" customHeight="1">
      <c r="A9" s="228" t="s">
        <v>297</v>
      </c>
      <c r="B9" s="702">
        <v>5121972</v>
      </c>
      <c r="C9" s="702">
        <v>4340017</v>
      </c>
      <c r="D9" s="5"/>
      <c r="E9" s="5"/>
      <c r="F9" s="5"/>
      <c r="G9" s="5"/>
      <c r="H9" s="5"/>
    </row>
    <row r="10" spans="1:8" ht="18" customHeight="1">
      <c r="A10" s="228" t="s">
        <v>298</v>
      </c>
      <c r="B10" s="702">
        <v>81567352</v>
      </c>
      <c r="C10" s="702">
        <v>1858764</v>
      </c>
      <c r="D10" s="5"/>
      <c r="E10" s="5"/>
      <c r="F10" s="5"/>
      <c r="G10" s="5"/>
      <c r="H10" s="5"/>
    </row>
    <row r="11" spans="1:8" ht="29.25" customHeight="1">
      <c r="A11" s="228" t="s">
        <v>299</v>
      </c>
      <c r="B11" s="702">
        <v>68048088</v>
      </c>
      <c r="C11" s="702">
        <v>18443567</v>
      </c>
      <c r="D11" s="5"/>
      <c r="E11" s="5"/>
      <c r="F11" s="5"/>
      <c r="G11" s="5"/>
      <c r="H11" s="5"/>
    </row>
    <row r="12" spans="1:8" ht="18" customHeight="1">
      <c r="A12" s="229" t="s">
        <v>300</v>
      </c>
      <c r="B12" s="41">
        <f>SUM(B6:B11)</f>
        <v>357875870</v>
      </c>
      <c r="C12" s="41">
        <f>SUM(C6:C11)</f>
        <v>36052157</v>
      </c>
      <c r="D12" s="5"/>
      <c r="E12" s="5"/>
      <c r="F12" s="5"/>
      <c r="G12" s="5"/>
      <c r="H12" s="5"/>
    </row>
    <row r="13" spans="1:8">
      <c r="A13" s="228"/>
      <c r="B13" s="230"/>
      <c r="C13" s="231"/>
      <c r="D13" s="5"/>
      <c r="E13" s="5"/>
      <c r="F13" s="5"/>
      <c r="G13" s="5"/>
      <c r="H13" s="5"/>
    </row>
    <row r="14" spans="1:8" ht="18" customHeight="1">
      <c r="A14" s="229" t="s">
        <v>301</v>
      </c>
      <c r="B14" s="232" t="s">
        <v>45</v>
      </c>
      <c r="C14" s="227"/>
      <c r="D14" s="5"/>
      <c r="E14" s="5"/>
      <c r="F14" s="5"/>
      <c r="G14" s="5"/>
      <c r="H14" s="5"/>
    </row>
    <row r="15" spans="1:8" ht="18" customHeight="1">
      <c r="A15" s="228" t="s">
        <v>294</v>
      </c>
      <c r="B15" s="702">
        <v>0</v>
      </c>
      <c r="C15" s="702">
        <v>0</v>
      </c>
      <c r="D15" s="5"/>
      <c r="E15" s="5"/>
      <c r="F15" s="5"/>
      <c r="G15" s="5"/>
      <c r="H15" s="5"/>
    </row>
    <row r="16" spans="1:8" ht="18" customHeight="1">
      <c r="A16" s="228" t="s">
        <v>295</v>
      </c>
      <c r="B16" s="702">
        <v>17605402</v>
      </c>
      <c r="C16" s="702">
        <v>374396</v>
      </c>
      <c r="D16" s="5"/>
      <c r="E16" s="5"/>
      <c r="F16" s="5"/>
      <c r="G16" s="5"/>
      <c r="H16" s="5"/>
    </row>
    <row r="17" spans="1:8" ht="18" customHeight="1">
      <c r="A17" s="228" t="s">
        <v>296</v>
      </c>
      <c r="B17" s="702">
        <v>0</v>
      </c>
      <c r="C17" s="702">
        <v>0</v>
      </c>
      <c r="D17" s="5"/>
      <c r="E17" s="5"/>
      <c r="F17" s="5"/>
      <c r="G17" s="5"/>
      <c r="H17" s="5"/>
    </row>
    <row r="18" spans="1:8" ht="18" customHeight="1">
      <c r="A18" s="228" t="s">
        <v>297</v>
      </c>
      <c r="B18" s="702">
        <v>0</v>
      </c>
      <c r="C18" s="702">
        <v>0</v>
      </c>
      <c r="D18" s="5"/>
      <c r="E18" s="5"/>
      <c r="F18" s="5"/>
      <c r="G18" s="5"/>
      <c r="H18" s="5"/>
    </row>
    <row r="19" spans="1:8" ht="18" customHeight="1">
      <c r="A19" s="228" t="s">
        <v>298</v>
      </c>
      <c r="B19" s="702">
        <v>3711173</v>
      </c>
      <c r="C19" s="702">
        <v>0</v>
      </c>
      <c r="D19" s="5"/>
      <c r="E19" s="5"/>
      <c r="F19" s="5"/>
      <c r="G19" s="5"/>
      <c r="H19" s="5"/>
    </row>
    <row r="20" spans="1:8" ht="27.75" customHeight="1">
      <c r="A20" s="228" t="s">
        <v>302</v>
      </c>
      <c r="B20" s="702">
        <v>50799</v>
      </c>
      <c r="C20" s="702">
        <v>0</v>
      </c>
      <c r="D20" s="5"/>
      <c r="E20" s="5"/>
      <c r="F20" s="5"/>
      <c r="G20" s="5"/>
      <c r="H20" s="5"/>
    </row>
    <row r="21" spans="1:8" ht="18" customHeight="1">
      <c r="A21" s="229" t="s">
        <v>303</v>
      </c>
      <c r="B21" s="230">
        <f>SUM(B15:B20)</f>
        <v>21367374</v>
      </c>
      <c r="C21" s="41">
        <f>SUM(C15:C20)</f>
        <v>374396</v>
      </c>
      <c r="D21" s="5"/>
      <c r="E21" s="5"/>
      <c r="F21" s="5"/>
      <c r="G21" s="5"/>
      <c r="H21" s="5"/>
    </row>
    <row r="22" spans="1:8">
      <c r="A22" s="228"/>
      <c r="B22" s="230"/>
      <c r="C22" s="231"/>
      <c r="D22" s="5"/>
      <c r="E22" s="5"/>
      <c r="F22" s="5"/>
      <c r="G22" s="5"/>
      <c r="H22" s="5"/>
    </row>
    <row r="23" spans="1:8" ht="18" customHeight="1">
      <c r="A23" s="229" t="s">
        <v>304</v>
      </c>
      <c r="B23" s="232"/>
      <c r="C23" s="227"/>
      <c r="D23" s="5"/>
      <c r="E23" s="5"/>
      <c r="F23" s="5"/>
      <c r="G23" s="5"/>
      <c r="H23" s="5"/>
    </row>
    <row r="24" spans="1:8" ht="18" customHeight="1">
      <c r="A24" s="228" t="s">
        <v>294</v>
      </c>
      <c r="B24" s="702">
        <v>319400000</v>
      </c>
      <c r="C24" s="702">
        <v>0</v>
      </c>
      <c r="D24" s="5"/>
      <c r="E24" s="5"/>
      <c r="F24" s="5"/>
      <c r="G24" s="5"/>
      <c r="H24" s="5"/>
    </row>
    <row r="25" spans="1:8" ht="18" customHeight="1">
      <c r="A25" s="228" t="s">
        <v>295</v>
      </c>
      <c r="B25" s="702">
        <v>112319624</v>
      </c>
      <c r="C25" s="702">
        <v>0</v>
      </c>
      <c r="D25" s="5"/>
      <c r="E25" s="5"/>
      <c r="F25" s="5"/>
      <c r="G25" s="5"/>
      <c r="H25" s="5"/>
    </row>
    <row r="26" spans="1:8" ht="18" customHeight="1">
      <c r="A26" s="228" t="s">
        <v>296</v>
      </c>
      <c r="B26" s="702">
        <v>94295850</v>
      </c>
      <c r="C26" s="702">
        <v>81255850</v>
      </c>
      <c r="D26" s="5"/>
      <c r="E26" s="5"/>
      <c r="F26" s="5"/>
      <c r="G26" s="5"/>
      <c r="H26" s="5"/>
    </row>
    <row r="27" spans="1:8" ht="18" customHeight="1">
      <c r="A27" s="228" t="s">
        <v>297</v>
      </c>
      <c r="B27" s="702">
        <v>34975000</v>
      </c>
      <c r="C27" s="702">
        <v>0</v>
      </c>
      <c r="D27" s="5"/>
      <c r="E27" s="5"/>
      <c r="F27" s="5"/>
      <c r="G27" s="5"/>
      <c r="H27" s="5"/>
    </row>
    <row r="28" spans="1:8" ht="18" customHeight="1">
      <c r="A28" s="228" t="s">
        <v>298</v>
      </c>
      <c r="B28" s="702">
        <v>8275372</v>
      </c>
      <c r="C28" s="702">
        <v>0</v>
      </c>
      <c r="D28" s="5"/>
      <c r="E28" s="5"/>
      <c r="F28" s="5"/>
      <c r="G28" s="5"/>
      <c r="H28" s="5"/>
    </row>
    <row r="29" spans="1:8" ht="30.75" customHeight="1">
      <c r="A29" s="228" t="s">
        <v>305</v>
      </c>
      <c r="B29" s="702">
        <v>73495394</v>
      </c>
      <c r="C29" s="702">
        <v>0</v>
      </c>
      <c r="D29" s="5"/>
      <c r="E29" s="5"/>
      <c r="F29" s="5"/>
      <c r="G29" s="5"/>
      <c r="H29" s="5"/>
    </row>
    <row r="30" spans="1:8" ht="18" customHeight="1">
      <c r="A30" s="229" t="s">
        <v>306</v>
      </c>
      <c r="B30" s="230">
        <f>SUM(B24:B29)</f>
        <v>642761240</v>
      </c>
      <c r="C30" s="41">
        <f>SUM(C24:C29)</f>
        <v>81255850</v>
      </c>
      <c r="D30" s="5"/>
      <c r="E30" s="5"/>
      <c r="F30" s="5"/>
      <c r="G30" s="5"/>
      <c r="H30" s="5"/>
    </row>
    <row r="31" spans="1:8">
      <c r="A31" s="228"/>
      <c r="B31" s="230"/>
      <c r="C31" s="41"/>
      <c r="D31" s="5"/>
      <c r="E31" s="5"/>
      <c r="F31" s="5"/>
      <c r="G31" s="5"/>
      <c r="H31" s="5"/>
    </row>
    <row r="32" spans="1:8" ht="18" customHeight="1">
      <c r="A32" s="229" t="s">
        <v>307</v>
      </c>
      <c r="B32" s="230">
        <f>B12+B21+B30</f>
        <v>1022004484</v>
      </c>
      <c r="C32" s="41">
        <f>C12+C21+C30</f>
        <v>117682403</v>
      </c>
      <c r="D32" s="5"/>
      <c r="E32" s="5"/>
      <c r="F32" s="5"/>
      <c r="G32" s="5"/>
      <c r="H32" s="5"/>
    </row>
    <row r="33" spans="1:8">
      <c r="A33" s="20"/>
      <c r="B33" s="83"/>
      <c r="C33" s="231"/>
      <c r="D33" s="5"/>
      <c r="E33" s="5"/>
      <c r="F33" s="5"/>
      <c r="G33" s="5"/>
      <c r="H33" s="5"/>
    </row>
    <row r="34" spans="1:8">
      <c r="A34" s="233" t="s">
        <v>308</v>
      </c>
      <c r="B34" s="234"/>
      <c r="C34" s="227"/>
      <c r="D34" s="5"/>
      <c r="E34" s="5"/>
      <c r="F34" s="5"/>
      <c r="G34" s="5"/>
      <c r="H34" s="5"/>
    </row>
    <row r="35" spans="1:8" ht="38.25">
      <c r="A35" s="235" t="s">
        <v>309</v>
      </c>
      <c r="B35" s="236"/>
      <c r="C35" s="231"/>
      <c r="D35" s="5"/>
      <c r="E35" s="5"/>
      <c r="F35" s="5"/>
      <c r="G35" s="5"/>
      <c r="H35" s="5"/>
    </row>
    <row r="36" spans="1:8">
      <c r="C36" s="5"/>
      <c r="D36" s="5"/>
      <c r="E36" s="5"/>
      <c r="F36" s="5"/>
      <c r="G36" s="5"/>
      <c r="H36" s="5"/>
    </row>
    <row r="37" spans="1:8">
      <c r="A37" s="22" t="s">
        <v>587</v>
      </c>
      <c r="C37" s="5"/>
      <c r="D37" s="5"/>
      <c r="E37" s="5"/>
      <c r="F37" s="5"/>
      <c r="G37" s="5"/>
      <c r="H37" s="5"/>
    </row>
    <row r="38" spans="1:8">
      <c r="A38" s="22"/>
      <c r="C38" s="5"/>
      <c r="D38" s="5"/>
      <c r="E38" s="5"/>
      <c r="F38" s="5"/>
      <c r="G38" s="5"/>
      <c r="H38" s="5"/>
    </row>
    <row r="39" spans="1:8">
      <c r="A39" s="22" t="s">
        <v>588</v>
      </c>
      <c r="C39" s="5"/>
      <c r="D39" s="5"/>
      <c r="E39" s="5"/>
      <c r="F39" s="5"/>
      <c r="G39" s="5"/>
      <c r="H39" s="5"/>
    </row>
    <row r="40" spans="1:8">
      <c r="C40" s="5"/>
      <c r="D40" s="5"/>
      <c r="E40" s="5"/>
      <c r="F40" s="5"/>
      <c r="G40" s="5"/>
      <c r="H40" s="5"/>
    </row>
    <row r="41" spans="1:8">
      <c r="C41" s="5"/>
      <c r="D41" s="5"/>
      <c r="E41" s="5"/>
      <c r="F41" s="5"/>
      <c r="G41" s="5"/>
      <c r="H41" s="5"/>
    </row>
    <row r="42" spans="1:8">
      <c r="C42" s="5"/>
      <c r="D42" s="5"/>
      <c r="E42" s="5"/>
      <c r="F42" s="5"/>
      <c r="G42" s="5"/>
      <c r="H42" s="5"/>
    </row>
    <row r="43" spans="1:8">
      <c r="C43" s="5"/>
      <c r="D43" s="5"/>
      <c r="E43" s="5"/>
      <c r="F43" s="5"/>
      <c r="G43" s="5"/>
      <c r="H43" s="5"/>
    </row>
    <row r="44" spans="1:8">
      <c r="C44" s="5"/>
      <c r="D44" s="5"/>
      <c r="E44" s="5"/>
      <c r="F44" s="5"/>
      <c r="G44" s="5"/>
      <c r="H44" s="5"/>
    </row>
    <row r="45" spans="1:8">
      <c r="C45" s="5"/>
      <c r="D45" s="5"/>
      <c r="E45" s="5"/>
      <c r="F45" s="5"/>
      <c r="G45" s="5"/>
      <c r="H45" s="5"/>
    </row>
    <row r="46" spans="1:8">
      <c r="C46" s="5"/>
      <c r="D46" s="5"/>
      <c r="E46" s="5"/>
      <c r="F46" s="5"/>
      <c r="G46" s="5"/>
      <c r="H46" s="5"/>
    </row>
    <row r="47" spans="1:8">
      <c r="C47" s="5"/>
      <c r="D47" s="5"/>
      <c r="E47" s="5"/>
      <c r="F47" s="5"/>
      <c r="G47" s="5"/>
      <c r="H47" s="5"/>
    </row>
    <row r="48" spans="1:8">
      <c r="C48" s="5"/>
      <c r="D48" s="5"/>
      <c r="E48" s="5"/>
      <c r="F48" s="5"/>
      <c r="G48" s="5"/>
      <c r="H48" s="5"/>
    </row>
  </sheetData>
  <sheetProtection password="CA0C" sheet="1" objects="1" scenarios="1"/>
  <mergeCells count="2">
    <mergeCell ref="B1:C1"/>
    <mergeCell ref="A2:C2"/>
  </mergeCells>
  <phoneticPr fontId="30" type="noConversion"/>
  <dataValidations xWindow="471" yWindow="473" count="3">
    <dataValidation type="whole" operator="greaterThanOrEqual" allowBlank="1" showErrorMessage="1" error="Введите как целое число." sqref="B6:C11 B15:C20 B24:C29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B12:C12"/>
    <dataValidation type="textLength" operator="equal" allowBlank="1" showInputMessage="1" showErrorMessage="1" prompt="Если &quot;Да&quot;,  введите Д._x000a_Если &quot;Нет&quot;, введите Н." sqref="B35">
      <formula1>1</formula1>
    </dataValidation>
  </dataValidations>
  <printOptions horizontalCentered="1"/>
  <pageMargins left="0.31496062992125984" right="0.23622047244094491" top="0.41" bottom="0.19685039370078741" header="0.15748031496062992" footer="0.51181102362204722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H82"/>
  <sheetViews>
    <sheetView view="pageBreakPreview" topLeftCell="A25" zoomScale="110" zoomScaleSheetLayoutView="110" workbookViewId="0">
      <selection activeCell="B52" sqref="B52"/>
    </sheetView>
  </sheetViews>
  <sheetFormatPr defaultRowHeight="12.75"/>
  <cols>
    <col min="1" max="1" width="48.42578125" style="1" customWidth="1"/>
    <col min="2" max="2" width="20" style="1" customWidth="1"/>
    <col min="3" max="3" width="20.85546875" style="1" customWidth="1"/>
    <col min="4" max="5" width="5.42578125" style="1" customWidth="1"/>
    <col min="6" max="6" width="4.7109375" style="1" customWidth="1"/>
    <col min="7" max="9" width="5.42578125" style="1" customWidth="1"/>
    <col min="10" max="16384" width="9.140625" style="1"/>
  </cols>
  <sheetData>
    <row r="1" spans="1:8" ht="72.75" customHeight="1">
      <c r="B1" s="704" t="s">
        <v>527</v>
      </c>
      <c r="C1" s="705"/>
    </row>
    <row r="2" spans="1:8" ht="44.25" customHeight="1">
      <c r="A2" s="776" t="s">
        <v>311</v>
      </c>
      <c r="B2" s="777"/>
      <c r="C2" s="60" t="s">
        <v>312</v>
      </c>
      <c r="D2" s="5"/>
      <c r="E2" s="5"/>
      <c r="F2" s="5"/>
      <c r="G2" s="5"/>
      <c r="H2" s="5"/>
    </row>
    <row r="3" spans="1:8" s="128" customFormat="1" ht="18" customHeight="1">
      <c r="A3" s="481">
        <f>+Balance!A4</f>
        <v>43100</v>
      </c>
      <c r="B3" s="469"/>
      <c r="C3" s="238" t="str">
        <f>Balance!B3</f>
        <v>АКБ "Микрокредитбанк"</v>
      </c>
      <c r="D3" s="239"/>
      <c r="E3" s="239"/>
      <c r="F3" s="239"/>
      <c r="G3" s="239"/>
      <c r="H3" s="239"/>
    </row>
    <row r="4" spans="1:8" ht="26.25" customHeight="1">
      <c r="A4" s="332" t="s">
        <v>313</v>
      </c>
      <c r="B4" s="330" t="s">
        <v>314</v>
      </c>
      <c r="C4" s="330" t="s">
        <v>315</v>
      </c>
      <c r="D4" s="5"/>
      <c r="E4" s="5"/>
      <c r="F4" s="5"/>
      <c r="G4" s="5"/>
      <c r="H4" s="5"/>
    </row>
    <row r="5" spans="1:8" ht="12.75" customHeight="1">
      <c r="A5" s="333"/>
      <c r="B5" s="333"/>
      <c r="C5" s="333"/>
      <c r="D5" s="5"/>
      <c r="E5" s="5"/>
      <c r="F5" s="5"/>
      <c r="G5" s="5"/>
      <c r="H5" s="5"/>
    </row>
    <row r="6" spans="1:8" ht="12.75" customHeight="1">
      <c r="A6" s="52" t="s">
        <v>316</v>
      </c>
      <c r="B6" s="82">
        <v>0</v>
      </c>
      <c r="C6" s="82"/>
      <c r="D6" s="9"/>
      <c r="E6" s="9"/>
      <c r="F6" s="9"/>
      <c r="G6" s="9"/>
      <c r="H6" s="5"/>
    </row>
    <row r="7" spans="1:8" ht="12.75" customHeight="1">
      <c r="A7" s="48" t="s">
        <v>317</v>
      </c>
      <c r="B7" s="82">
        <v>0</v>
      </c>
      <c r="C7" s="82"/>
      <c r="D7" s="9"/>
      <c r="E7" s="9"/>
      <c r="F7" s="9"/>
      <c r="G7" s="9"/>
      <c r="H7" s="5"/>
    </row>
    <row r="8" spans="1:8" ht="12.75" customHeight="1">
      <c r="A8" s="48" t="s">
        <v>318</v>
      </c>
      <c r="B8" s="82">
        <v>0</v>
      </c>
      <c r="C8" s="82"/>
      <c r="D8" s="9"/>
      <c r="E8" s="9"/>
      <c r="F8" s="9"/>
      <c r="G8" s="9"/>
      <c r="H8" s="5"/>
    </row>
    <row r="9" spans="1:8" ht="12.75" customHeight="1">
      <c r="A9" s="48" t="s">
        <v>319</v>
      </c>
      <c r="B9" s="82">
        <v>0</v>
      </c>
      <c r="C9" s="82"/>
      <c r="D9" s="9"/>
      <c r="E9" s="9"/>
      <c r="F9" s="9"/>
      <c r="G9" s="9"/>
      <c r="H9" s="5"/>
    </row>
    <row r="10" spans="1:8" ht="12.75" customHeight="1">
      <c r="A10" s="48" t="s">
        <v>320</v>
      </c>
      <c r="B10" s="82">
        <v>0</v>
      </c>
      <c r="C10" s="82"/>
      <c r="D10" s="9"/>
      <c r="E10" s="9"/>
      <c r="F10" s="9"/>
      <c r="G10" s="9"/>
      <c r="H10" s="5"/>
    </row>
    <row r="11" spans="1:8" ht="12.75" customHeight="1">
      <c r="A11" s="48" t="s">
        <v>321</v>
      </c>
      <c r="B11" s="82">
        <v>0</v>
      </c>
      <c r="C11" s="82"/>
      <c r="D11" s="9"/>
      <c r="E11" s="9"/>
      <c r="F11" s="9"/>
      <c r="G11" s="9"/>
      <c r="H11" s="5"/>
    </row>
    <row r="12" spans="1:8">
      <c r="A12" s="48" t="s">
        <v>322</v>
      </c>
      <c r="B12" s="82">
        <v>2750000</v>
      </c>
      <c r="C12" s="82"/>
      <c r="D12" s="9"/>
      <c r="E12" s="9"/>
      <c r="F12" s="9"/>
      <c r="G12" s="9"/>
      <c r="H12" s="5"/>
    </row>
    <row r="13" spans="1:8" ht="12.75" customHeight="1">
      <c r="A13" s="240" t="s">
        <v>323</v>
      </c>
      <c r="B13" s="241">
        <f>SUM(B6:B12)</f>
        <v>2750000</v>
      </c>
      <c r="C13" s="241">
        <f>SUM(C6:C12)</f>
        <v>0</v>
      </c>
      <c r="D13" s="9"/>
      <c r="E13" s="9"/>
      <c r="F13" s="9"/>
      <c r="G13" s="9"/>
      <c r="H13" s="5"/>
    </row>
    <row r="14" spans="1:8" ht="12.75" customHeight="1">
      <c r="A14" s="242" t="s">
        <v>324</v>
      </c>
      <c r="B14" s="243">
        <v>1</v>
      </c>
      <c r="C14" s="244"/>
      <c r="D14" s="9"/>
      <c r="E14" s="9"/>
      <c r="F14" s="9"/>
      <c r="G14" s="9"/>
      <c r="H14" s="5"/>
    </row>
    <row r="15" spans="1:8" ht="12.75" customHeight="1">
      <c r="A15" s="240" t="s">
        <v>325</v>
      </c>
      <c r="B15" s="241">
        <f>B13-B14</f>
        <v>2749999</v>
      </c>
      <c r="C15" s="245"/>
      <c r="D15" s="9"/>
      <c r="E15" s="9"/>
      <c r="F15" s="9"/>
      <c r="G15" s="9"/>
      <c r="H15" s="5"/>
    </row>
    <row r="16" spans="1:8" ht="12.75" customHeight="1">
      <c r="A16" s="246"/>
      <c r="B16" s="43"/>
      <c r="C16" s="43"/>
      <c r="D16" s="9"/>
      <c r="E16" s="9"/>
      <c r="F16" s="9"/>
      <c r="G16" s="9"/>
      <c r="H16" s="5"/>
    </row>
    <row r="17" spans="1:8" ht="25.5" customHeight="1">
      <c r="A17" s="329" t="s">
        <v>326</v>
      </c>
      <c r="B17" s="330" t="s">
        <v>314</v>
      </c>
      <c r="C17" s="330" t="s">
        <v>315</v>
      </c>
      <c r="D17" s="5"/>
      <c r="E17" s="5"/>
      <c r="F17" s="5"/>
      <c r="G17" s="5"/>
      <c r="H17" s="5"/>
    </row>
    <row r="18" spans="1:8" ht="12.75" customHeight="1">
      <c r="A18" s="331"/>
      <c r="B18" s="48"/>
      <c r="C18" s="48"/>
      <c r="D18" s="9"/>
      <c r="E18" s="9"/>
      <c r="F18" s="9"/>
      <c r="G18" s="9"/>
      <c r="H18" s="5"/>
    </row>
    <row r="19" spans="1:8">
      <c r="A19" s="52" t="s">
        <v>327</v>
      </c>
      <c r="B19" s="82">
        <v>0</v>
      </c>
      <c r="C19" s="82"/>
      <c r="D19" s="9"/>
      <c r="E19" s="9"/>
      <c r="F19" s="9"/>
      <c r="G19" s="9"/>
      <c r="H19" s="5"/>
    </row>
    <row r="20" spans="1:8">
      <c r="A20" s="48" t="s">
        <v>328</v>
      </c>
      <c r="B20" s="82">
        <v>0</v>
      </c>
      <c r="C20" s="82"/>
      <c r="D20" s="9"/>
      <c r="E20" s="9"/>
      <c r="F20" s="9"/>
      <c r="G20" s="9"/>
      <c r="H20" s="5"/>
    </row>
    <row r="21" spans="1:8">
      <c r="A21" s="48" t="s">
        <v>329</v>
      </c>
      <c r="B21" s="82">
        <v>0</v>
      </c>
      <c r="C21" s="82"/>
      <c r="D21" s="9"/>
      <c r="E21" s="9"/>
      <c r="F21" s="9"/>
      <c r="G21" s="9"/>
      <c r="H21" s="5"/>
    </row>
    <row r="22" spans="1:8">
      <c r="A22" s="48" t="s">
        <v>330</v>
      </c>
      <c r="B22" s="82">
        <v>0</v>
      </c>
      <c r="C22" s="82"/>
      <c r="D22" s="9"/>
      <c r="E22" s="9"/>
      <c r="F22" s="9"/>
      <c r="G22" s="9"/>
      <c r="H22" s="5"/>
    </row>
    <row r="23" spans="1:8">
      <c r="A23" s="48" t="s">
        <v>331</v>
      </c>
      <c r="B23" s="82">
        <v>0</v>
      </c>
      <c r="C23" s="82"/>
      <c r="D23" s="9"/>
      <c r="E23" s="9"/>
      <c r="F23" s="9"/>
      <c r="G23" s="9"/>
      <c r="H23" s="5"/>
    </row>
    <row r="24" spans="1:8">
      <c r="A24" s="48" t="s">
        <v>332</v>
      </c>
      <c r="B24" s="82">
        <v>349524</v>
      </c>
      <c r="C24" s="82"/>
      <c r="D24" s="9"/>
      <c r="E24" s="9"/>
      <c r="F24" s="9"/>
      <c r="G24" s="9"/>
      <c r="H24" s="5"/>
    </row>
    <row r="25" spans="1:8">
      <c r="A25" s="48" t="s">
        <v>333</v>
      </c>
      <c r="B25" s="82">
        <v>0</v>
      </c>
      <c r="C25" s="82"/>
      <c r="D25" s="9"/>
      <c r="E25" s="9"/>
      <c r="F25" s="9"/>
      <c r="G25" s="9"/>
      <c r="H25" s="5"/>
    </row>
    <row r="26" spans="1:8">
      <c r="A26" s="247" t="s">
        <v>334</v>
      </c>
      <c r="B26" s="241">
        <f>SUM(B19:B25)</f>
        <v>349524</v>
      </c>
      <c r="C26" s="241">
        <f>SUM(C19:C25)</f>
        <v>0</v>
      </c>
      <c r="D26" s="9"/>
      <c r="E26" s="9"/>
      <c r="F26" s="9"/>
      <c r="G26" s="9"/>
      <c r="H26" s="5"/>
    </row>
    <row r="27" spans="1:8">
      <c r="A27" s="242" t="s">
        <v>324</v>
      </c>
      <c r="B27" s="243"/>
      <c r="C27" s="244"/>
      <c r="D27" s="9"/>
      <c r="E27" s="9"/>
      <c r="F27" s="9"/>
      <c r="G27" s="9"/>
      <c r="H27" s="5"/>
    </row>
    <row r="28" spans="1:8" ht="32.25" customHeight="1">
      <c r="A28" s="114" t="s">
        <v>335</v>
      </c>
      <c r="B28" s="241">
        <f>B26-B27</f>
        <v>349524</v>
      </c>
      <c r="C28" s="245"/>
      <c r="D28" s="9"/>
      <c r="E28" s="9"/>
      <c r="F28" s="9"/>
      <c r="G28" s="9"/>
      <c r="H28" s="5"/>
    </row>
    <row r="29" spans="1:8" ht="12.75" customHeight="1">
      <c r="A29" s="246"/>
      <c r="B29" s="43"/>
      <c r="C29" s="43"/>
      <c r="D29" s="9"/>
      <c r="E29" s="9"/>
      <c r="F29" s="9"/>
      <c r="G29" s="9"/>
      <c r="H29" s="5"/>
    </row>
    <row r="30" spans="1:8" ht="12.75" customHeight="1">
      <c r="A30" s="420"/>
      <c r="B30" s="420"/>
      <c r="C30" s="420"/>
      <c r="D30" s="5"/>
      <c r="E30" s="5"/>
      <c r="F30" s="5"/>
      <c r="G30" s="5"/>
      <c r="H30" s="5"/>
    </row>
    <row r="31" spans="1:8" ht="12.75" customHeight="1">
      <c r="A31" s="248"/>
      <c r="B31" s="43"/>
      <c r="C31" s="43"/>
      <c r="D31" s="9"/>
      <c r="E31" s="9"/>
      <c r="F31" s="9"/>
      <c r="G31" s="9"/>
      <c r="H31" s="5"/>
    </row>
    <row r="32" spans="1:8" ht="26.25" customHeight="1">
      <c r="A32" s="332" t="s">
        <v>336</v>
      </c>
      <c r="B32" s="330" t="s">
        <v>337</v>
      </c>
      <c r="C32" s="330" t="s">
        <v>315</v>
      </c>
      <c r="D32" s="9"/>
      <c r="E32" s="9"/>
      <c r="F32" s="9"/>
      <c r="G32" s="9"/>
      <c r="H32" s="5"/>
    </row>
    <row r="33" spans="1:8" ht="12.75" customHeight="1">
      <c r="A33" s="20"/>
      <c r="B33" s="20"/>
      <c r="C33" s="20"/>
      <c r="D33" s="9"/>
      <c r="E33" s="9"/>
      <c r="F33" s="9"/>
      <c r="G33" s="9"/>
      <c r="H33" s="5"/>
    </row>
    <row r="34" spans="1:8" ht="12.75" customHeight="1">
      <c r="A34" s="20" t="s">
        <v>338</v>
      </c>
      <c r="B34" s="82">
        <v>0</v>
      </c>
      <c r="C34" s="82"/>
      <c r="D34" s="9"/>
      <c r="E34" s="9"/>
      <c r="F34" s="9"/>
      <c r="G34" s="9"/>
      <c r="H34" s="5"/>
    </row>
    <row r="35" spans="1:8" ht="12.75" customHeight="1">
      <c r="A35" s="20" t="s">
        <v>339</v>
      </c>
      <c r="B35" s="82">
        <v>0</v>
      </c>
      <c r="C35" s="82"/>
      <c r="D35" s="9"/>
      <c r="E35" s="9"/>
      <c r="F35" s="9"/>
      <c r="G35" s="9"/>
      <c r="H35" s="5"/>
    </row>
    <row r="36" spans="1:8" ht="12.75" customHeight="1">
      <c r="A36" s="20" t="s">
        <v>340</v>
      </c>
      <c r="B36" s="700">
        <v>175</v>
      </c>
      <c r="C36" s="82"/>
      <c r="D36" s="9"/>
      <c r="E36" s="9"/>
      <c r="F36" s="9"/>
      <c r="G36" s="9"/>
      <c r="H36" s="5"/>
    </row>
    <row r="37" spans="1:8" ht="12.75" customHeight="1">
      <c r="A37" s="46" t="s">
        <v>341</v>
      </c>
      <c r="B37" s="41">
        <f>SUM(B34:B36)</f>
        <v>175</v>
      </c>
      <c r="C37" s="41">
        <f>SUM(C34:C36)</f>
        <v>0</v>
      </c>
      <c r="D37" s="9"/>
      <c r="E37" s="9"/>
      <c r="F37" s="9"/>
      <c r="G37" s="9"/>
      <c r="H37" s="5"/>
    </row>
    <row r="38" spans="1:8" ht="12.75" customHeight="1">
      <c r="A38" s="54" t="s">
        <v>342</v>
      </c>
      <c r="B38" s="243">
        <v>0</v>
      </c>
      <c r="C38" s="244"/>
      <c r="D38" s="9"/>
      <c r="E38" s="9"/>
      <c r="F38" s="9"/>
      <c r="G38" s="9"/>
      <c r="H38" s="5"/>
    </row>
    <row r="39" spans="1:8" ht="25.5">
      <c r="A39" s="114" t="s">
        <v>343</v>
      </c>
      <c r="B39" s="241">
        <f>B37-B38</f>
        <v>175</v>
      </c>
      <c r="C39" s="245"/>
      <c r="D39" s="9"/>
      <c r="E39" s="9"/>
      <c r="F39" s="9"/>
      <c r="G39" s="9"/>
      <c r="H39" s="5"/>
    </row>
    <row r="40" spans="1:8" ht="12.75" customHeight="1">
      <c r="A40" s="197"/>
      <c r="B40" s="83"/>
      <c r="C40" s="83"/>
      <c r="D40" s="5"/>
      <c r="E40" s="5"/>
      <c r="F40" s="5"/>
      <c r="G40" s="5"/>
      <c r="H40" s="5"/>
    </row>
    <row r="41" spans="1:8" ht="12.75" customHeight="1">
      <c r="A41" s="46" t="s">
        <v>308</v>
      </c>
      <c r="B41" s="249"/>
      <c r="C41" s="83"/>
      <c r="D41" s="250"/>
      <c r="E41" s="5"/>
      <c r="F41" s="5"/>
      <c r="G41" s="5"/>
      <c r="H41" s="5"/>
    </row>
    <row r="42" spans="1:8" ht="12.75" customHeight="1">
      <c r="A42" s="251" t="s">
        <v>344</v>
      </c>
      <c r="B42" s="252"/>
      <c r="C42" s="83"/>
      <c r="D42" s="9"/>
      <c r="E42" s="5"/>
      <c r="F42" s="5"/>
      <c r="G42" s="5"/>
      <c r="H42" s="5"/>
    </row>
    <row r="43" spans="1:8" ht="12.75" customHeight="1">
      <c r="A43" s="46" t="s">
        <v>345</v>
      </c>
      <c r="B43" s="249"/>
      <c r="C43" s="83"/>
      <c r="D43" s="250"/>
      <c r="E43" s="5"/>
      <c r="F43" s="5"/>
      <c r="G43" s="5"/>
      <c r="H43" s="5"/>
    </row>
    <row r="44" spans="1:8" ht="12.75" customHeight="1">
      <c r="A44" s="20" t="s">
        <v>346</v>
      </c>
      <c r="B44" s="253">
        <f>C13-B13</f>
        <v>-2750000</v>
      </c>
      <c r="C44" s="83"/>
      <c r="D44" s="9"/>
      <c r="E44" s="5"/>
      <c r="F44" s="5"/>
      <c r="G44" s="5"/>
      <c r="H44" s="5"/>
    </row>
    <row r="45" spans="1:8" ht="12.75" customHeight="1">
      <c r="A45" s="46" t="s">
        <v>347</v>
      </c>
      <c r="B45" s="249"/>
      <c r="C45" s="83"/>
      <c r="D45" s="250"/>
      <c r="E45" s="5"/>
      <c r="F45" s="5"/>
      <c r="G45" s="5"/>
      <c r="H45" s="5"/>
    </row>
    <row r="46" spans="1:8" ht="12.75" customHeight="1">
      <c r="A46" s="20" t="s">
        <v>346</v>
      </c>
      <c r="B46" s="253">
        <f>C26-B26</f>
        <v>-349524</v>
      </c>
      <c r="C46" s="83"/>
      <c r="D46" s="9"/>
      <c r="E46" s="5"/>
      <c r="F46" s="5"/>
      <c r="G46" s="5"/>
      <c r="H46" s="5"/>
    </row>
    <row r="47" spans="1:8" ht="12.75" customHeight="1">
      <c r="A47" s="46" t="s">
        <v>348</v>
      </c>
      <c r="B47" s="249"/>
      <c r="C47" s="83"/>
      <c r="D47" s="250"/>
      <c r="E47" s="5"/>
      <c r="F47" s="5"/>
      <c r="G47" s="5"/>
      <c r="H47" s="5"/>
    </row>
    <row r="48" spans="1:8" ht="12.75" customHeight="1">
      <c r="A48" s="20" t="s">
        <v>346</v>
      </c>
      <c r="B48" s="253">
        <f>C37-B37</f>
        <v>-175</v>
      </c>
      <c r="C48" s="83"/>
      <c r="D48" s="9"/>
      <c r="E48" s="5"/>
      <c r="F48" s="5"/>
      <c r="G48" s="5"/>
      <c r="H48" s="5"/>
    </row>
    <row r="49" spans="1:8" ht="12.75" customHeight="1">
      <c r="D49" s="5"/>
      <c r="E49" s="5"/>
      <c r="F49" s="5"/>
      <c r="G49" s="5"/>
      <c r="H49" s="5"/>
    </row>
    <row r="50" spans="1:8" ht="12.75" customHeight="1">
      <c r="A50" s="22" t="s">
        <v>587</v>
      </c>
      <c r="B50" s="5"/>
      <c r="C50" s="5"/>
      <c r="D50" s="5"/>
      <c r="E50" s="5"/>
      <c r="F50" s="5"/>
      <c r="G50" s="5"/>
      <c r="H50" s="5"/>
    </row>
    <row r="51" spans="1:8" ht="12.75" customHeight="1">
      <c r="A51" s="22"/>
      <c r="B51" s="5"/>
      <c r="C51" s="5"/>
      <c r="D51" s="5"/>
      <c r="E51" s="5"/>
      <c r="F51" s="5"/>
      <c r="G51" s="5"/>
      <c r="H51" s="5"/>
    </row>
    <row r="52" spans="1:8" ht="12.75" customHeight="1">
      <c r="A52" s="22" t="s">
        <v>588</v>
      </c>
      <c r="B52" s="5"/>
      <c r="C52" s="5"/>
      <c r="D52" s="5"/>
      <c r="E52" s="5"/>
      <c r="F52" s="5"/>
      <c r="G52" s="5"/>
      <c r="H52" s="5"/>
    </row>
    <row r="53" spans="1:8" ht="12.75" customHeight="1">
      <c r="A53" s="254" t="s">
        <v>349</v>
      </c>
      <c r="B53" s="5"/>
      <c r="C53" s="5"/>
      <c r="D53" s="5"/>
      <c r="E53" s="5"/>
      <c r="F53" s="5"/>
      <c r="G53" s="5"/>
      <c r="H53" s="5"/>
    </row>
    <row r="54" spans="1:8" ht="12.75" customHeight="1">
      <c r="A54" s="5"/>
      <c r="B54" s="5"/>
      <c r="C54" s="5"/>
      <c r="D54" s="5"/>
      <c r="E54" s="5"/>
      <c r="F54" s="5"/>
      <c r="G54" s="5"/>
      <c r="H54" s="5"/>
    </row>
    <row r="55" spans="1:8" ht="12.75" customHeight="1">
      <c r="A55" s="5"/>
      <c r="B55" s="5"/>
      <c r="C55" s="5"/>
      <c r="D55" s="5"/>
      <c r="E55" s="5"/>
      <c r="F55" s="5"/>
      <c r="G55" s="5"/>
      <c r="H55" s="5"/>
    </row>
    <row r="56" spans="1:8" ht="12.75" customHeight="1">
      <c r="D56" s="5"/>
      <c r="E56" s="5"/>
      <c r="F56" s="5"/>
      <c r="G56" s="5"/>
      <c r="H56" s="5"/>
    </row>
    <row r="57" spans="1:8" ht="12.75" customHeight="1">
      <c r="D57" s="5"/>
      <c r="E57" s="5"/>
      <c r="F57" s="5"/>
      <c r="G57" s="5"/>
      <c r="H57" s="5"/>
    </row>
    <row r="58" spans="1:8" ht="12.75" customHeight="1">
      <c r="D58" s="5"/>
      <c r="E58" s="5"/>
      <c r="F58" s="5"/>
      <c r="G58" s="5"/>
      <c r="H58" s="5"/>
    </row>
    <row r="59" spans="1:8" ht="12.75" customHeight="1">
      <c r="D59" s="5"/>
      <c r="E59" s="5"/>
      <c r="F59" s="5"/>
      <c r="G59" s="5"/>
      <c r="H59" s="5"/>
    </row>
    <row r="60" spans="1:8" ht="12.75" customHeight="1">
      <c r="D60" s="5"/>
      <c r="E60" s="5"/>
      <c r="F60" s="5"/>
      <c r="G60" s="5"/>
      <c r="H60" s="5"/>
    </row>
    <row r="61" spans="1:8" ht="12.75" customHeight="1">
      <c r="D61" s="5"/>
      <c r="E61" s="5"/>
      <c r="F61" s="5"/>
      <c r="G61" s="5"/>
      <c r="H61" s="5"/>
    </row>
    <row r="62" spans="1:8" ht="12.75" customHeight="1">
      <c r="D62" s="5"/>
      <c r="E62" s="5"/>
      <c r="F62" s="5"/>
      <c r="G62" s="5"/>
      <c r="H62" s="5"/>
    </row>
    <row r="63" spans="1:8" ht="12.75" customHeight="1">
      <c r="D63" s="5"/>
      <c r="E63" s="5"/>
      <c r="F63" s="5"/>
      <c r="G63" s="5"/>
      <c r="H63" s="5"/>
    </row>
    <row r="64" spans="1:8" ht="12.75" customHeight="1">
      <c r="D64" s="5"/>
      <c r="E64" s="5"/>
      <c r="F64" s="5"/>
      <c r="G64" s="5"/>
      <c r="H64" s="5"/>
    </row>
    <row r="65" spans="4:8" ht="12.75" customHeight="1">
      <c r="D65" s="5"/>
      <c r="E65" s="5"/>
      <c r="F65" s="5"/>
      <c r="G65" s="5"/>
      <c r="H65" s="5"/>
    </row>
    <row r="66" spans="4:8" ht="12.75" customHeight="1">
      <c r="D66" s="5"/>
      <c r="E66" s="5"/>
      <c r="F66" s="5"/>
      <c r="G66" s="5"/>
      <c r="H66" s="5"/>
    </row>
    <row r="67" spans="4:8" ht="12.75" customHeight="1">
      <c r="D67" s="5"/>
      <c r="E67" s="5"/>
      <c r="F67" s="5"/>
      <c r="G67" s="5"/>
      <c r="H67" s="5"/>
    </row>
    <row r="68" spans="4:8" ht="12.75" customHeight="1">
      <c r="D68" s="5"/>
      <c r="E68" s="5"/>
      <c r="F68" s="5"/>
      <c r="G68" s="5"/>
      <c r="H68" s="5"/>
    </row>
    <row r="69" spans="4:8" ht="12.75" customHeight="1">
      <c r="D69" s="5"/>
      <c r="E69" s="5"/>
      <c r="F69" s="5"/>
      <c r="G69" s="5"/>
      <c r="H69" s="5"/>
    </row>
    <row r="70" spans="4:8" ht="12.75" customHeight="1">
      <c r="D70" s="5"/>
      <c r="E70" s="5"/>
      <c r="F70" s="5"/>
      <c r="G70" s="5"/>
      <c r="H70" s="5"/>
    </row>
    <row r="71" spans="4:8" ht="12.75" customHeight="1">
      <c r="D71" s="5"/>
      <c r="E71" s="5"/>
      <c r="F71" s="5"/>
      <c r="G71" s="5"/>
      <c r="H71" s="5"/>
    </row>
    <row r="72" spans="4:8" ht="12.75" customHeight="1">
      <c r="D72" s="5"/>
      <c r="E72" s="5"/>
      <c r="F72" s="5"/>
      <c r="G72" s="5"/>
      <c r="H72" s="5"/>
    </row>
    <row r="73" spans="4:8" ht="12.75" customHeight="1">
      <c r="D73" s="5"/>
      <c r="E73" s="5"/>
      <c r="F73" s="5"/>
      <c r="G73" s="5"/>
      <c r="H73" s="5"/>
    </row>
    <row r="74" spans="4:8" ht="12.75" customHeight="1">
      <c r="D74" s="5"/>
      <c r="E74" s="5"/>
      <c r="F74" s="5"/>
      <c r="G74" s="5"/>
      <c r="H74" s="5"/>
    </row>
    <row r="75" spans="4:8" ht="12.75" customHeight="1">
      <c r="D75" s="5"/>
      <c r="E75" s="5"/>
      <c r="F75" s="5"/>
      <c r="G75" s="5"/>
      <c r="H75" s="5"/>
    </row>
    <row r="76" spans="4:8" ht="12.75" customHeight="1">
      <c r="D76" s="5"/>
      <c r="E76" s="5"/>
      <c r="F76" s="5"/>
      <c r="G76" s="5"/>
      <c r="H76" s="5"/>
    </row>
    <row r="77" spans="4:8" ht="12.75" customHeight="1">
      <c r="D77" s="5"/>
      <c r="E77" s="5"/>
      <c r="F77" s="5"/>
      <c r="G77" s="5"/>
      <c r="H77" s="5"/>
    </row>
    <row r="78" spans="4:8" ht="12.75" customHeight="1">
      <c r="D78" s="5"/>
      <c r="E78" s="5"/>
      <c r="F78" s="5"/>
      <c r="G78" s="5"/>
      <c r="H78" s="5"/>
    </row>
    <row r="79" spans="4:8" ht="12.75" customHeight="1">
      <c r="D79" s="5"/>
      <c r="E79" s="5"/>
      <c r="F79" s="5"/>
      <c r="G79" s="5"/>
      <c r="H79" s="5"/>
    </row>
    <row r="80" spans="4:8" ht="12.75" customHeight="1">
      <c r="D80" s="5"/>
      <c r="E80" s="5"/>
      <c r="F80" s="5"/>
      <c r="G80" s="5"/>
      <c r="H80" s="5"/>
    </row>
    <row r="81" spans="4:8" ht="12.75" customHeight="1">
      <c r="D81" s="5"/>
      <c r="E81" s="5"/>
      <c r="F81" s="5"/>
      <c r="G81" s="5"/>
      <c r="H81" s="5"/>
    </row>
    <row r="82" spans="4:8" ht="12.75" customHeight="1">
      <c r="D82" s="5"/>
      <c r="E82" s="5"/>
      <c r="F82" s="5"/>
      <c r="G82" s="5"/>
      <c r="H82" s="5"/>
    </row>
  </sheetData>
  <sheetProtection password="CA0C" sheet="1" objects="1" scenarios="1"/>
  <mergeCells count="2">
    <mergeCell ref="A2:B2"/>
    <mergeCell ref="B1:C1"/>
  </mergeCells>
  <phoneticPr fontId="30" type="noConversion"/>
  <dataValidations count="2">
    <dataValidation type="whole" operator="greaterThanOrEqual" allowBlank="1" showErrorMessage="1" error="Введите как целое число." sqref="B6:C12 B19:C25 B34:C36">
      <formula1>0</formula1>
    </dataValidation>
    <dataValidation type="whole" operator="greaterThanOrEqual" allowBlank="1" showInputMessage="1" showErrorMessage="1" prompt="Ввести как положительное число." sqref="B14 B27 B38">
      <formula1>0</formula1>
    </dataValidation>
  </dataValidations>
  <printOptions horizontalCentered="1" verticalCentered="1"/>
  <pageMargins left="0.27559055118110237" right="0.23622047244094491" top="0.43307086614173229" bottom="0.98425196850393704" header="0.51181102362204722" footer="0.51181102362204722"/>
  <pageSetup paperSize="9" scale="9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pageSetUpPr fitToPage="1"/>
  </sheetPr>
  <dimension ref="A1:H84"/>
  <sheetViews>
    <sheetView view="pageBreakPreview" zoomScaleSheetLayoutView="100" workbookViewId="0">
      <selection activeCell="B10" sqref="B10"/>
    </sheetView>
  </sheetViews>
  <sheetFormatPr defaultRowHeight="12.75"/>
  <cols>
    <col min="1" max="1" width="70.28515625" style="1" customWidth="1"/>
    <col min="2" max="2" width="38.85546875" style="1" customWidth="1"/>
    <col min="3" max="6" width="6.42578125" style="1" customWidth="1"/>
    <col min="7" max="8" width="6.42578125" style="255" customWidth="1"/>
    <col min="9" max="16384" width="9.140625" style="1"/>
  </cols>
  <sheetData>
    <row r="1" spans="1:8" ht="70.5" customHeight="1">
      <c r="B1" s="23" t="s">
        <v>527</v>
      </c>
    </row>
    <row r="2" spans="1:8" s="128" customFormat="1" ht="34.5" customHeight="1">
      <c r="A2" s="256" t="s">
        <v>350</v>
      </c>
      <c r="B2" s="257" t="s">
        <v>351</v>
      </c>
      <c r="C2" s="239"/>
      <c r="D2" s="239"/>
      <c r="E2" s="239"/>
      <c r="F2" s="239"/>
      <c r="G2" s="258"/>
      <c r="H2" s="258"/>
    </row>
    <row r="3" spans="1:8" ht="20.25" customHeight="1">
      <c r="A3" s="475">
        <f>Balance!A4</f>
        <v>43100</v>
      </c>
      <c r="B3" s="61" t="str">
        <f>Balance!B3</f>
        <v>АКБ "Микрокредитбанк"</v>
      </c>
      <c r="C3" s="5"/>
      <c r="D3" s="5"/>
      <c r="E3" s="5"/>
      <c r="F3" s="5"/>
      <c r="G3" s="259"/>
      <c r="H3" s="259"/>
    </row>
    <row r="4" spans="1:8" s="264" customFormat="1" ht="15">
      <c r="A4" s="260" t="s">
        <v>352</v>
      </c>
      <c r="B4" s="261" t="s">
        <v>592</v>
      </c>
      <c r="C4" s="262"/>
      <c r="D4" s="262"/>
      <c r="E4" s="262"/>
      <c r="F4" s="262"/>
      <c r="G4" s="263"/>
      <c r="H4" s="263"/>
    </row>
    <row r="5" spans="1:8" ht="10.5" customHeight="1">
      <c r="A5" s="265"/>
      <c r="B5" s="691"/>
      <c r="C5" s="5"/>
      <c r="D5" s="5"/>
      <c r="E5" s="5"/>
      <c r="F5" s="5"/>
      <c r="G5" s="259"/>
      <c r="H5" s="259"/>
    </row>
    <row r="6" spans="1:8" ht="13.5" customHeight="1">
      <c r="A6" s="482" t="s">
        <v>353</v>
      </c>
      <c r="B6" s="578">
        <v>76954356</v>
      </c>
      <c r="C6" s="5"/>
      <c r="D6" s="5"/>
      <c r="E6" s="5"/>
      <c r="F6" s="5"/>
      <c r="G6" s="259"/>
      <c r="H6" s="259"/>
    </row>
    <row r="7" spans="1:8" ht="13.5" customHeight="1">
      <c r="A7" s="340" t="s">
        <v>533</v>
      </c>
      <c r="B7" s="578">
        <v>213192148</v>
      </c>
      <c r="C7" s="5"/>
      <c r="D7" s="5"/>
      <c r="E7" s="5"/>
      <c r="F7" s="5"/>
      <c r="G7" s="259"/>
      <c r="H7" s="259"/>
    </row>
    <row r="8" spans="1:8" ht="13.5" customHeight="1">
      <c r="A8" s="340" t="s">
        <v>534</v>
      </c>
      <c r="B8" s="578">
        <v>78170286</v>
      </c>
      <c r="C8" s="5"/>
      <c r="D8" s="5"/>
      <c r="E8" s="5"/>
      <c r="F8" s="5"/>
      <c r="G8" s="259"/>
      <c r="H8" s="259"/>
    </row>
    <row r="9" spans="1:8" ht="27.75" customHeight="1">
      <c r="A9" s="442" t="s">
        <v>752</v>
      </c>
      <c r="B9" s="580">
        <v>0</v>
      </c>
      <c r="C9" s="5"/>
      <c r="D9" s="5"/>
      <c r="E9" s="5"/>
      <c r="F9" s="5"/>
      <c r="G9" s="259"/>
      <c r="H9" s="259"/>
    </row>
    <row r="10" spans="1:8" s="307" customFormat="1" ht="13.5" customHeight="1">
      <c r="A10" s="442" t="s">
        <v>753</v>
      </c>
      <c r="B10" s="580">
        <v>0</v>
      </c>
      <c r="C10" s="305"/>
      <c r="D10" s="305"/>
      <c r="E10" s="305"/>
      <c r="F10" s="305"/>
      <c r="G10" s="306"/>
      <c r="H10" s="306"/>
    </row>
    <row r="11" spans="1:8" ht="13.5" customHeight="1">
      <c r="A11" s="482" t="s">
        <v>754</v>
      </c>
      <c r="B11" s="578">
        <v>0</v>
      </c>
      <c r="C11" s="5"/>
      <c r="D11" s="5"/>
      <c r="E11" s="5"/>
      <c r="F11" s="5"/>
      <c r="G11" s="259"/>
      <c r="H11" s="259"/>
    </row>
    <row r="12" spans="1:8" ht="13.5" customHeight="1">
      <c r="A12" s="686" t="s">
        <v>755</v>
      </c>
      <c r="B12" s="579">
        <f>SUM(B6:B11)</f>
        <v>368316790</v>
      </c>
      <c r="C12" s="5"/>
      <c r="D12" s="5"/>
      <c r="E12" s="5"/>
      <c r="F12" s="5"/>
      <c r="G12" s="259"/>
      <c r="H12" s="259"/>
    </row>
    <row r="13" spans="1:8" ht="13.5" customHeight="1">
      <c r="A13" s="482" t="s">
        <v>767</v>
      </c>
      <c r="B13" s="65">
        <v>63112110</v>
      </c>
      <c r="C13" s="5"/>
      <c r="D13" s="5"/>
      <c r="E13" s="5"/>
      <c r="F13" s="5"/>
      <c r="G13" s="259"/>
      <c r="H13" s="259"/>
    </row>
    <row r="14" spans="1:8" ht="38.25">
      <c r="A14" s="235" t="s">
        <v>773</v>
      </c>
      <c r="B14" s="65">
        <v>10196060</v>
      </c>
      <c r="C14" s="5"/>
      <c r="D14" s="5"/>
      <c r="E14" s="5"/>
      <c r="F14" s="5"/>
      <c r="G14" s="259"/>
      <c r="H14" s="259"/>
    </row>
    <row r="15" spans="1:8" ht="15" customHeight="1">
      <c r="A15" s="18" t="s">
        <v>768</v>
      </c>
      <c r="B15" s="581">
        <f>SUM(B12:B13)-B14</f>
        <v>421232840</v>
      </c>
      <c r="C15" s="5"/>
      <c r="D15" s="5"/>
      <c r="E15" s="5"/>
      <c r="F15" s="5"/>
      <c r="G15" s="259"/>
      <c r="H15" s="259"/>
    </row>
    <row r="16" spans="1:8" ht="9" customHeight="1">
      <c r="A16" s="13"/>
      <c r="B16" s="228"/>
      <c r="C16" s="5"/>
      <c r="D16" s="5"/>
      <c r="E16" s="5"/>
      <c r="F16" s="5"/>
      <c r="G16" s="259"/>
      <c r="H16" s="259"/>
    </row>
    <row r="17" spans="1:8" s="264" customFormat="1" ht="14.25" customHeight="1">
      <c r="A17" s="266" t="s">
        <v>354</v>
      </c>
      <c r="B17" s="267" t="s">
        <v>355</v>
      </c>
      <c r="C17" s="262"/>
      <c r="D17" s="262"/>
      <c r="E17" s="262"/>
      <c r="F17" s="262"/>
      <c r="G17" s="263"/>
      <c r="H17" s="263"/>
    </row>
    <row r="18" spans="1:8" ht="9" customHeight="1">
      <c r="A18" s="13"/>
      <c r="B18" s="228"/>
      <c r="C18" s="5"/>
      <c r="D18" s="5"/>
      <c r="E18" s="5"/>
      <c r="F18" s="5"/>
      <c r="G18" s="259"/>
      <c r="H18" s="259"/>
    </row>
    <row r="19" spans="1:8" ht="15" customHeight="1">
      <c r="A19" s="18" t="s">
        <v>356</v>
      </c>
      <c r="B19" s="268"/>
      <c r="C19" s="5"/>
      <c r="D19" s="5"/>
      <c r="E19" s="5"/>
      <c r="F19" s="5"/>
      <c r="G19" s="259"/>
      <c r="H19" s="259"/>
    </row>
    <row r="20" spans="1:8" ht="15" customHeight="1">
      <c r="A20" s="13" t="s">
        <v>357</v>
      </c>
      <c r="B20" s="269"/>
      <c r="C20" s="5"/>
      <c r="D20" s="5"/>
      <c r="E20" s="5"/>
      <c r="F20" s="5"/>
      <c r="G20" s="259"/>
      <c r="H20" s="259"/>
    </row>
    <row r="21" spans="1:8" ht="15" customHeight="1">
      <c r="A21" s="13" t="s">
        <v>358</v>
      </c>
      <c r="B21" s="575">
        <f>IF(B36=0,0,(B6/B36))</f>
        <v>0</v>
      </c>
      <c r="C21" s="5"/>
      <c r="D21" s="5"/>
      <c r="E21" s="5"/>
      <c r="F21" s="5"/>
      <c r="G21" s="259"/>
      <c r="H21" s="259"/>
    </row>
    <row r="22" spans="1:8" ht="15" customHeight="1">
      <c r="A22" s="18" t="s">
        <v>359</v>
      </c>
      <c r="B22" s="268"/>
      <c r="C22" s="5"/>
      <c r="D22" s="5"/>
      <c r="E22" s="5"/>
      <c r="F22" s="5"/>
      <c r="G22" s="259"/>
      <c r="H22" s="259"/>
    </row>
    <row r="23" spans="1:8" ht="15" customHeight="1">
      <c r="A23" s="13" t="s">
        <v>360</v>
      </c>
      <c r="B23" s="269"/>
      <c r="C23" s="5"/>
      <c r="D23" s="5"/>
      <c r="E23" s="5"/>
      <c r="F23" s="5"/>
      <c r="G23" s="259"/>
      <c r="H23" s="259"/>
    </row>
    <row r="24" spans="1:8" ht="15" customHeight="1">
      <c r="A24" s="13" t="s">
        <v>358</v>
      </c>
      <c r="B24" s="575">
        <f>IF(B36=0,0,(B7/B36))</f>
        <v>0</v>
      </c>
      <c r="C24" s="5"/>
      <c r="D24" s="5"/>
      <c r="E24" s="5"/>
      <c r="F24" s="5"/>
      <c r="G24" s="259"/>
      <c r="H24" s="259"/>
    </row>
    <row r="25" spans="1:8" ht="15" customHeight="1">
      <c r="A25" s="270" t="s">
        <v>361</v>
      </c>
      <c r="B25" s="357">
        <v>0</v>
      </c>
      <c r="C25" s="5"/>
      <c r="D25" s="5"/>
      <c r="E25" s="5"/>
      <c r="F25" s="5"/>
      <c r="G25" s="259"/>
      <c r="H25" s="259"/>
    </row>
    <row r="26" spans="1:8" ht="15" customHeight="1">
      <c r="A26" s="270" t="s">
        <v>362</v>
      </c>
      <c r="B26" s="357">
        <v>0</v>
      </c>
      <c r="C26" s="5"/>
      <c r="D26" s="5"/>
      <c r="E26" s="5"/>
      <c r="F26" s="5"/>
      <c r="G26" s="259"/>
      <c r="H26" s="259"/>
    </row>
    <row r="27" spans="1:8" ht="15" customHeight="1">
      <c r="A27" s="270" t="s">
        <v>363</v>
      </c>
      <c r="B27" s="575">
        <f>IF('Deposits by Client'!B32=0,"",Balance!C23/'Deposits by Client'!B32)</f>
        <v>1.2254412144046913</v>
      </c>
      <c r="C27" s="5"/>
      <c r="D27" s="5"/>
      <c r="E27" s="5"/>
      <c r="F27" s="5"/>
      <c r="G27" s="259"/>
      <c r="H27" s="259"/>
    </row>
    <row r="28" spans="1:8" ht="15" customHeight="1">
      <c r="A28" s="270" t="s">
        <v>364</v>
      </c>
      <c r="B28" s="271"/>
      <c r="C28" s="5"/>
      <c r="D28" s="5"/>
      <c r="E28" s="5"/>
      <c r="F28" s="5"/>
      <c r="G28" s="259"/>
      <c r="H28" s="259"/>
    </row>
    <row r="29" spans="1:8" ht="7.5" customHeight="1">
      <c r="A29" s="582"/>
      <c r="B29" s="582"/>
      <c r="C29" s="5"/>
      <c r="D29" s="5"/>
      <c r="E29" s="5"/>
      <c r="F29" s="5"/>
      <c r="G29" s="259"/>
      <c r="H29" s="259"/>
    </row>
    <row r="30" spans="1:8" s="264" customFormat="1" ht="13.5" customHeight="1">
      <c r="A30" s="583" t="s">
        <v>365</v>
      </c>
      <c r="B30" s="584"/>
      <c r="C30" s="262"/>
      <c r="D30" s="262"/>
      <c r="E30" s="262"/>
      <c r="F30" s="262"/>
      <c r="G30" s="263"/>
      <c r="H30" s="263"/>
    </row>
    <row r="31" spans="1:8" ht="3.75" customHeight="1">
      <c r="A31" s="585"/>
      <c r="B31" s="470"/>
      <c r="C31" s="5"/>
      <c r="D31" s="5"/>
      <c r="E31" s="5"/>
      <c r="F31" s="5"/>
      <c r="G31" s="259"/>
      <c r="H31" s="259"/>
    </row>
    <row r="32" spans="1:8" ht="16.5" customHeight="1">
      <c r="A32" s="18" t="s">
        <v>774</v>
      </c>
      <c r="B32" s="485">
        <f>B15/('Bank Liabilities Analysis'!C33+'Bank Liabilities Analysis'!D33)</f>
        <v>0.9335073862368094</v>
      </c>
      <c r="C32" s="5"/>
      <c r="D32" s="5"/>
      <c r="E32" s="5"/>
      <c r="F32" s="5"/>
      <c r="G32" s="259"/>
      <c r="H32" s="259"/>
    </row>
    <row r="33" spans="1:8" ht="8.25" customHeight="1">
      <c r="A33" s="13"/>
      <c r="B33" s="228"/>
      <c r="C33" s="5"/>
      <c r="D33" s="5"/>
      <c r="E33" s="5"/>
      <c r="F33" s="5"/>
      <c r="G33" s="259"/>
      <c r="H33" s="259"/>
    </row>
    <row r="34" spans="1:8" ht="9.75" customHeight="1">
      <c r="A34" s="13"/>
      <c r="B34" s="268"/>
      <c r="C34" s="5"/>
      <c r="D34" s="5"/>
      <c r="E34" s="5"/>
      <c r="F34" s="5"/>
      <c r="G34" s="259"/>
      <c r="H34" s="259"/>
    </row>
    <row r="35" spans="1:8" ht="12" customHeight="1">
      <c r="A35" s="18" t="s">
        <v>308</v>
      </c>
      <c r="B35" s="269"/>
      <c r="C35" s="5"/>
      <c r="D35" s="5"/>
      <c r="E35" s="5"/>
      <c r="F35" s="5"/>
      <c r="G35" s="259"/>
      <c r="H35" s="259"/>
    </row>
    <row r="36" spans="1:8" ht="26.25" customHeight="1">
      <c r="A36" s="15" t="s">
        <v>366</v>
      </c>
      <c r="B36" s="272"/>
      <c r="C36" s="5"/>
      <c r="D36" s="5"/>
      <c r="E36" s="5"/>
      <c r="F36" s="5"/>
      <c r="G36" s="259"/>
      <c r="H36" s="259"/>
    </row>
    <row r="37" spans="1:8" ht="13.5" customHeight="1">
      <c r="A37" s="336" t="s">
        <v>769</v>
      </c>
      <c r="B37" s="309"/>
      <c r="C37" s="5"/>
      <c r="D37" s="5"/>
      <c r="E37" s="5"/>
      <c r="F37" s="5"/>
      <c r="G37" s="259"/>
      <c r="H37" s="259"/>
    </row>
    <row r="38" spans="1:8" ht="15" customHeight="1">
      <c r="A38" s="443" t="s">
        <v>770</v>
      </c>
      <c r="B38" s="484">
        <f>'Bank Assets Analysis'!K41/'Bank Assets Analysis'!K42</f>
        <v>2.3779888532927518</v>
      </c>
      <c r="C38" s="5"/>
      <c r="D38" s="5"/>
      <c r="E38" s="5"/>
      <c r="F38" s="5"/>
      <c r="G38" s="259"/>
      <c r="H38" s="259"/>
    </row>
    <row r="39" spans="1:8" ht="15" customHeight="1">
      <c r="A39" s="28" t="s">
        <v>861</v>
      </c>
      <c r="B39" s="111">
        <f>+'Bank Assets Analysis'!K41</f>
        <v>368659820</v>
      </c>
      <c r="C39" s="5"/>
      <c r="D39" s="5"/>
      <c r="E39" s="5"/>
      <c r="F39" s="5"/>
      <c r="G39" s="259"/>
      <c r="H39" s="259"/>
    </row>
    <row r="40" spans="1:8" ht="15" customHeight="1">
      <c r="A40" s="28" t="s">
        <v>862</v>
      </c>
      <c r="B40" s="111">
        <f>+'Bank Assets Analysis'!K42</f>
        <v>155030087.5</v>
      </c>
      <c r="C40" s="5"/>
      <c r="D40" s="5"/>
      <c r="E40" s="5"/>
      <c r="F40" s="5"/>
      <c r="G40" s="259"/>
      <c r="H40" s="259"/>
    </row>
    <row r="41" spans="1:8" ht="15" customHeight="1">
      <c r="A41" s="443" t="s">
        <v>771</v>
      </c>
      <c r="B41" s="484">
        <f>+B42/B47</f>
        <v>1.0145831413785993</v>
      </c>
      <c r="C41" s="5"/>
      <c r="D41" s="5"/>
      <c r="E41" s="5"/>
      <c r="F41" s="5"/>
      <c r="G41" s="259"/>
      <c r="H41" s="259"/>
    </row>
    <row r="42" spans="1:8" ht="15" customHeight="1">
      <c r="A42" s="443" t="s">
        <v>772</v>
      </c>
      <c r="B42" s="576">
        <f>SUM(B43:B46)</f>
        <v>1102941310.1824501</v>
      </c>
      <c r="C42" s="5"/>
      <c r="D42" s="5"/>
      <c r="E42" s="5"/>
      <c r="F42" s="5"/>
      <c r="G42" s="259"/>
      <c r="H42" s="259"/>
    </row>
    <row r="43" spans="1:8" ht="15" customHeight="1">
      <c r="A43" s="444" t="s">
        <v>779</v>
      </c>
      <c r="B43" s="483">
        <f>+'Bank Capital Calc.'!E44</f>
        <v>540487775.88244998</v>
      </c>
      <c r="C43" s="5"/>
      <c r="D43" s="5"/>
      <c r="E43" s="5"/>
      <c r="F43" s="5"/>
      <c r="G43" s="259"/>
      <c r="H43" s="259"/>
    </row>
    <row r="44" spans="1:8" ht="15" customHeight="1">
      <c r="A44" s="445" t="s">
        <v>778</v>
      </c>
      <c r="B44" s="483">
        <f>+'Bank Liabilities Analysis'!G33</f>
        <v>290411542</v>
      </c>
      <c r="C44" s="5"/>
      <c r="D44" s="5"/>
      <c r="E44" s="5"/>
      <c r="F44" s="5"/>
      <c r="G44" s="259"/>
      <c r="H44" s="259"/>
    </row>
    <row r="45" spans="1:8" ht="15" customHeight="1">
      <c r="A45" s="446" t="s">
        <v>780</v>
      </c>
      <c r="B45" s="483">
        <f>+('Bank Liabilities Analysis'!C33)*0.3</f>
        <v>114634247.7</v>
      </c>
      <c r="C45" s="5"/>
      <c r="D45" s="5"/>
      <c r="E45" s="5"/>
      <c r="F45" s="5"/>
      <c r="G45" s="259"/>
      <c r="H45" s="259"/>
    </row>
    <row r="46" spans="1:8" ht="15" customHeight="1">
      <c r="A46" s="446" t="s">
        <v>781</v>
      </c>
      <c r="B46" s="483">
        <f>+('Bank Liabilities Analysis'!D33+'Bank Liabilities Analysis'!E33+'Bank Liabilities Analysis'!F33)*0.3</f>
        <v>157407744.59999999</v>
      </c>
      <c r="C46" s="5"/>
      <c r="D46" s="5"/>
      <c r="E46" s="5"/>
      <c r="F46" s="5"/>
      <c r="G46" s="259"/>
      <c r="H46" s="259"/>
    </row>
    <row r="47" spans="1:8" ht="15" customHeight="1">
      <c r="A47" s="443" t="s">
        <v>782</v>
      </c>
      <c r="B47" s="577">
        <f>SUM(B48:B53)</f>
        <v>1087088150</v>
      </c>
      <c r="C47" s="5"/>
      <c r="D47" s="5"/>
      <c r="E47" s="5"/>
      <c r="F47" s="5"/>
      <c r="G47" s="259"/>
      <c r="H47" s="259"/>
    </row>
    <row r="48" spans="1:8" ht="15" customHeight="1">
      <c r="A48" s="446" t="s">
        <v>874</v>
      </c>
      <c r="B48" s="577">
        <f>+'Bank Assets Analysis'!G39-'Bank Assets Analysis'!G32</f>
        <v>824127683</v>
      </c>
      <c r="C48" s="5"/>
      <c r="D48" s="5"/>
      <c r="E48" s="5"/>
      <c r="F48" s="5"/>
      <c r="G48" s="259"/>
      <c r="H48" s="259"/>
    </row>
    <row r="49" spans="1:8" s="312" customFormat="1" ht="15" customHeight="1">
      <c r="A49" s="447" t="s">
        <v>868</v>
      </c>
      <c r="B49" s="483">
        <f>+'Bank Assets Analysis'!H32</f>
        <v>100870267</v>
      </c>
      <c r="C49" s="310"/>
      <c r="D49" s="310"/>
      <c r="E49" s="310"/>
      <c r="F49" s="310"/>
      <c r="G49" s="311"/>
      <c r="H49" s="311"/>
    </row>
    <row r="50" spans="1:8" ht="26.25" customHeight="1">
      <c r="A50" s="444" t="s">
        <v>869</v>
      </c>
      <c r="B50" s="483">
        <f>+'Bank Assets Analysis'!C27+'Bank Assets Analysis'!C26</f>
        <v>10196060</v>
      </c>
      <c r="C50" s="5"/>
      <c r="D50" s="5"/>
      <c r="E50" s="5"/>
      <c r="F50" s="5"/>
      <c r="G50" s="259"/>
      <c r="H50" s="259"/>
    </row>
    <row r="51" spans="1:8" ht="26.25" customHeight="1">
      <c r="A51" s="444" t="s">
        <v>873</v>
      </c>
      <c r="B51" s="698">
        <v>0</v>
      </c>
      <c r="C51" s="5"/>
      <c r="D51" s="5"/>
      <c r="E51" s="5"/>
      <c r="F51" s="5"/>
      <c r="G51" s="259"/>
      <c r="H51" s="259"/>
    </row>
    <row r="52" spans="1:8" ht="25.5">
      <c r="A52" s="444" t="s">
        <v>871</v>
      </c>
      <c r="B52" s="483">
        <f>+('Bank Assets Analysis'!D39+'Bank Assets Analysis'!E39+'Bank Assets Analysis'!F39-'Liquidity Analysis'!C12)*0.3</f>
        <v>151894140</v>
      </c>
      <c r="C52" s="5"/>
      <c r="D52" s="5"/>
      <c r="E52" s="5"/>
      <c r="F52" s="5"/>
      <c r="G52" s="259"/>
      <c r="H52" s="259"/>
    </row>
    <row r="53" spans="1:8" s="87" customFormat="1" ht="15" customHeight="1">
      <c r="A53" s="341" t="s">
        <v>872</v>
      </c>
      <c r="B53" s="342"/>
      <c r="C53" s="343"/>
      <c r="D53" s="343"/>
      <c r="E53" s="343"/>
      <c r="F53" s="343"/>
      <c r="G53" s="344"/>
      <c r="H53" s="344"/>
    </row>
    <row r="54" spans="1:8">
      <c r="C54" s="5"/>
      <c r="D54" s="5"/>
      <c r="E54" s="5"/>
      <c r="F54" s="5"/>
      <c r="G54" s="259"/>
      <c r="H54" s="259"/>
    </row>
    <row r="55" spans="1:8">
      <c r="A55" s="22" t="s">
        <v>587</v>
      </c>
      <c r="C55" s="5"/>
      <c r="D55" s="5"/>
      <c r="E55" s="5"/>
      <c r="F55" s="5"/>
      <c r="G55" s="259"/>
      <c r="H55" s="259"/>
    </row>
    <row r="56" spans="1:8">
      <c r="A56" s="22"/>
      <c r="C56" s="5"/>
      <c r="D56" s="5"/>
      <c r="E56" s="5"/>
      <c r="F56" s="5"/>
      <c r="G56" s="259"/>
      <c r="H56" s="259"/>
    </row>
    <row r="57" spans="1:8">
      <c r="A57" s="22" t="s">
        <v>588</v>
      </c>
      <c r="C57" s="5"/>
      <c r="D57" s="5"/>
      <c r="E57" s="5"/>
      <c r="F57" s="5"/>
      <c r="G57" s="259"/>
      <c r="H57" s="259"/>
    </row>
    <row r="58" spans="1:8">
      <c r="A58" s="5"/>
      <c r="C58" s="5"/>
      <c r="D58" s="5"/>
      <c r="E58" s="5"/>
      <c r="F58" s="5"/>
      <c r="G58" s="259"/>
      <c r="H58" s="259"/>
    </row>
    <row r="59" spans="1:8">
      <c r="A59" s="5"/>
      <c r="C59" s="5"/>
      <c r="D59" s="5"/>
      <c r="E59" s="5"/>
      <c r="F59" s="5"/>
      <c r="G59" s="259"/>
      <c r="H59" s="259"/>
    </row>
    <row r="60" spans="1:8">
      <c r="A60" s="5"/>
      <c r="C60" s="5"/>
      <c r="D60" s="5"/>
      <c r="E60" s="5"/>
      <c r="F60" s="5"/>
      <c r="G60" s="259"/>
      <c r="H60" s="259"/>
    </row>
    <row r="61" spans="1:8">
      <c r="A61" s="5"/>
      <c r="B61" s="308"/>
      <c r="C61" s="5"/>
      <c r="D61" s="5"/>
      <c r="E61" s="5"/>
      <c r="F61" s="5"/>
      <c r="G61" s="259"/>
      <c r="H61" s="259"/>
    </row>
    <row r="62" spans="1:8">
      <c r="A62" s="5"/>
      <c r="C62" s="5"/>
      <c r="D62" s="5"/>
      <c r="E62" s="5"/>
      <c r="F62" s="5"/>
      <c r="G62" s="259"/>
      <c r="H62" s="259"/>
    </row>
    <row r="63" spans="1:8">
      <c r="A63" s="5"/>
      <c r="C63" s="5"/>
      <c r="D63" s="5"/>
      <c r="E63" s="5"/>
      <c r="F63" s="5"/>
      <c r="G63" s="259"/>
      <c r="H63" s="259"/>
    </row>
    <row r="64" spans="1:8">
      <c r="A64" s="5"/>
      <c r="C64" s="5"/>
      <c r="D64" s="5"/>
      <c r="E64" s="5"/>
      <c r="F64" s="5"/>
      <c r="G64" s="259"/>
      <c r="H64" s="259"/>
    </row>
    <row r="65" spans="1:8">
      <c r="A65" s="5"/>
      <c r="C65" s="5"/>
      <c r="D65" s="5"/>
      <c r="E65" s="5"/>
      <c r="F65" s="5"/>
      <c r="G65" s="259"/>
      <c r="H65" s="259"/>
    </row>
    <row r="66" spans="1:8">
      <c r="A66" s="5"/>
      <c r="C66" s="5"/>
      <c r="D66" s="5"/>
      <c r="E66" s="5"/>
      <c r="F66" s="5"/>
      <c r="G66" s="259"/>
      <c r="H66" s="259"/>
    </row>
    <row r="67" spans="1:8">
      <c r="C67" s="5"/>
      <c r="D67" s="5"/>
      <c r="E67" s="5"/>
      <c r="F67" s="5"/>
      <c r="G67" s="259"/>
      <c r="H67" s="259"/>
    </row>
    <row r="68" spans="1:8">
      <c r="C68" s="5"/>
      <c r="D68" s="5"/>
      <c r="E68" s="5"/>
      <c r="F68" s="5"/>
      <c r="G68" s="259"/>
      <c r="H68" s="259"/>
    </row>
    <row r="69" spans="1:8">
      <c r="D69" s="5"/>
      <c r="E69" s="5"/>
      <c r="F69" s="5"/>
      <c r="G69" s="259"/>
      <c r="H69" s="259"/>
    </row>
    <row r="70" spans="1:8">
      <c r="D70" s="5"/>
      <c r="E70" s="5"/>
      <c r="F70" s="5"/>
      <c r="G70" s="259"/>
      <c r="H70" s="259"/>
    </row>
    <row r="71" spans="1:8">
      <c r="D71" s="5"/>
      <c r="E71" s="5"/>
      <c r="F71" s="5"/>
      <c r="G71" s="259"/>
      <c r="H71" s="259"/>
    </row>
    <row r="72" spans="1:8">
      <c r="D72" s="5"/>
      <c r="E72" s="5"/>
      <c r="F72" s="5"/>
      <c r="G72" s="259"/>
      <c r="H72" s="259"/>
    </row>
    <row r="73" spans="1:8">
      <c r="D73" s="5"/>
      <c r="E73" s="5"/>
      <c r="F73" s="5"/>
      <c r="G73" s="259"/>
      <c r="H73" s="259"/>
    </row>
    <row r="74" spans="1:8">
      <c r="D74" s="5"/>
      <c r="E74" s="5"/>
      <c r="F74" s="5"/>
      <c r="G74" s="259"/>
      <c r="H74" s="259"/>
    </row>
    <row r="75" spans="1:8">
      <c r="D75" s="5"/>
      <c r="E75" s="5"/>
      <c r="F75" s="5"/>
      <c r="G75" s="259"/>
      <c r="H75" s="259"/>
    </row>
    <row r="76" spans="1:8">
      <c r="D76" s="5"/>
      <c r="E76" s="5"/>
      <c r="F76" s="5"/>
      <c r="G76" s="259"/>
      <c r="H76" s="259"/>
    </row>
    <row r="77" spans="1:8">
      <c r="D77" s="5"/>
      <c r="E77" s="5"/>
      <c r="F77" s="5"/>
      <c r="G77" s="259"/>
      <c r="H77" s="259"/>
    </row>
    <row r="78" spans="1:8">
      <c r="D78" s="5"/>
      <c r="E78" s="5"/>
      <c r="F78" s="5"/>
      <c r="G78" s="259"/>
      <c r="H78" s="259"/>
    </row>
    <row r="79" spans="1:8">
      <c r="D79" s="5"/>
      <c r="E79" s="5"/>
      <c r="F79" s="5"/>
      <c r="G79" s="259"/>
      <c r="H79" s="259"/>
    </row>
    <row r="80" spans="1:8">
      <c r="D80" s="5"/>
      <c r="E80" s="5"/>
      <c r="F80" s="5"/>
      <c r="G80" s="259"/>
      <c r="H80" s="259"/>
    </row>
    <row r="81" spans="4:8">
      <c r="D81" s="5"/>
      <c r="E81" s="5"/>
      <c r="F81" s="5"/>
      <c r="G81" s="259"/>
      <c r="H81" s="259"/>
    </row>
    <row r="82" spans="4:8">
      <c r="D82" s="5"/>
      <c r="E82" s="5"/>
      <c r="F82" s="5"/>
      <c r="G82" s="259"/>
      <c r="H82" s="259"/>
    </row>
    <row r="83" spans="4:8">
      <c r="D83" s="5"/>
      <c r="E83" s="5"/>
      <c r="F83" s="5"/>
      <c r="G83" s="259"/>
      <c r="H83" s="259"/>
    </row>
    <row r="84" spans="4:8">
      <c r="D84" s="5"/>
      <c r="E84" s="5"/>
      <c r="F84" s="5"/>
      <c r="G84" s="259"/>
      <c r="H84" s="259"/>
    </row>
  </sheetData>
  <sheetProtection password="CA0C" sheet="1" objects="1" scenarios="1"/>
  <phoneticPr fontId="30" type="noConversion"/>
  <conditionalFormatting sqref="B49:B53 B43:B46 B36:B41">
    <cfRule type="cellIs" dxfId="0" priority="7" stopIfTrue="1" operator="notBetween">
      <formula>TOTASS/4</formula>
      <formula>TOTASS*4</formula>
    </cfRule>
  </conditionalFormatting>
  <dataValidations xWindow="793" yWindow="476" count="9">
    <dataValidation allowBlank="1" showErrorMessage="1" sqref="B38:B53"/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B36:B37"/>
    <dataValidation type="whole" operator="greaterThanOrEqual" allowBlank="1" showErrorMessage="1" error="Введите как целое положительное число." sqref="B14">
      <formula1>0</formula1>
    </dataValidation>
    <dataValidation type="whole" operator="greaterThanOrEqual" allowBlank="1" showErrorMessage="1" error="Введите как целое число." sqref="B9:B11">
      <formula1>0</formula1>
    </dataValidation>
    <dataValidation operator="greaterThanOrEqual" allowBlank="1" showErrorMessage="1" prompt="Введите самостоятельно рассчитанный коэффициент" sqref="B27"/>
    <dataValidation allowBlank="1" showInputMessage="1" showErrorMessage="1" promptTitle="сообщение" sqref="B30"/>
    <dataValidation allowBlank="1" showInputMessage="1" showErrorMessage="1" prompt="Введите значение в процентах. Например, 120% вводится как 120. " sqref="B32"/>
    <dataValidation type="decimal" operator="greaterThanOrEqual" allowBlank="1" showInputMessage="1" showErrorMessage="1" prompt="Введите самостоятельно рассчитанный коэффициент" sqref="B25:B26 B28">
      <formula1>0</formula1>
    </dataValidation>
    <dataValidation allowBlank="1" showErrorMessage="1" prompt="Введите самостоятельно рассчитанный коэффициент" sqref="B4"/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8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pageSetUpPr fitToPage="1"/>
  </sheetPr>
  <dimension ref="A1:L50"/>
  <sheetViews>
    <sheetView view="pageBreakPreview" zoomScale="80" zoomScaleSheetLayoutView="80" workbookViewId="0">
      <pane xSplit="2" ySplit="7" topLeftCell="C34" activePane="bottomRight" state="frozen"/>
      <selection activeCell="A40" sqref="A40"/>
      <selection pane="topRight" activeCell="A40" sqref="A40"/>
      <selection pane="bottomLeft" activeCell="A40" sqref="A40"/>
      <selection pane="bottomRight" activeCell="C39" sqref="C39:G39"/>
    </sheetView>
  </sheetViews>
  <sheetFormatPr defaultRowHeight="12.75"/>
  <cols>
    <col min="1" max="1" width="4.42578125" style="301" customWidth="1"/>
    <col min="2" max="2" width="78.5703125" style="83" customWidth="1"/>
    <col min="3" max="7" width="18.85546875" style="83" customWidth="1"/>
    <col min="8" max="8" width="19.42578125" style="83" customWidth="1"/>
    <col min="9" max="9" width="14.140625" style="308" customWidth="1"/>
    <col min="10" max="10" width="13.140625" style="337" customWidth="1"/>
    <col min="11" max="11" width="15.85546875" style="338" customWidth="1"/>
    <col min="12" max="12" width="12.7109375" style="83" customWidth="1"/>
    <col min="13" max="16384" width="9.140625" style="83"/>
  </cols>
  <sheetData>
    <row r="1" spans="1:11" ht="63.75" customHeight="1">
      <c r="I1" s="704" t="s">
        <v>527</v>
      </c>
      <c r="J1" s="704"/>
      <c r="K1" s="704"/>
    </row>
    <row r="2" spans="1:11" s="138" customFormat="1" ht="23.25" customHeight="1">
      <c r="A2" s="303" t="s">
        <v>367</v>
      </c>
      <c r="B2" s="99"/>
      <c r="C2" s="99"/>
      <c r="D2" s="273"/>
      <c r="E2" s="273"/>
      <c r="F2" s="273"/>
      <c r="I2" s="778" t="s">
        <v>368</v>
      </c>
      <c r="J2" s="778"/>
      <c r="K2" s="778"/>
    </row>
    <row r="3" spans="1:11">
      <c r="A3" s="479">
        <f>Balance!A4</f>
        <v>43100</v>
      </c>
      <c r="B3" s="96"/>
      <c r="C3" s="96"/>
      <c r="D3" s="96"/>
      <c r="E3" s="96"/>
      <c r="F3" s="96"/>
      <c r="I3" s="61" t="str">
        <f>Balance!B3</f>
        <v>АКБ "Микрокредитбанк"</v>
      </c>
      <c r="J3" s="96"/>
    </row>
    <row r="4" spans="1:11" ht="13.5" thickBot="1"/>
    <row r="5" spans="1:11" s="274" customFormat="1" ht="20.25" customHeight="1">
      <c r="A5" s="783" t="s">
        <v>48</v>
      </c>
      <c r="B5" s="785" t="s">
        <v>7</v>
      </c>
      <c r="C5" s="587" t="s">
        <v>369</v>
      </c>
      <c r="D5" s="588"/>
      <c r="E5" s="587"/>
      <c r="F5" s="587"/>
      <c r="G5" s="587"/>
      <c r="H5" s="785" t="s">
        <v>370</v>
      </c>
      <c r="I5" s="781" t="s">
        <v>785</v>
      </c>
      <c r="J5" s="787" t="s">
        <v>815</v>
      </c>
      <c r="K5" s="779" t="s">
        <v>760</v>
      </c>
    </row>
    <row r="6" spans="1:11" s="274" customFormat="1" ht="24.75" customHeight="1" thickBot="1">
      <c r="A6" s="784"/>
      <c r="B6" s="786"/>
      <c r="C6" s="589" t="s">
        <v>371</v>
      </c>
      <c r="D6" s="589" t="s">
        <v>372</v>
      </c>
      <c r="E6" s="589" t="s">
        <v>373</v>
      </c>
      <c r="F6" s="589" t="s">
        <v>374</v>
      </c>
      <c r="G6" s="589" t="s">
        <v>375</v>
      </c>
      <c r="H6" s="786"/>
      <c r="I6" s="782"/>
      <c r="J6" s="788"/>
      <c r="K6" s="780"/>
    </row>
    <row r="7" spans="1:11" ht="13.5" thickBot="1">
      <c r="A7" s="590"/>
      <c r="B7" s="591" t="s">
        <v>150</v>
      </c>
      <c r="C7" s="591" t="s">
        <v>10</v>
      </c>
      <c r="D7" s="591" t="s">
        <v>11</v>
      </c>
      <c r="E7" s="591" t="s">
        <v>12</v>
      </c>
      <c r="F7" s="591" t="s">
        <v>50</v>
      </c>
      <c r="G7" s="591" t="s">
        <v>51</v>
      </c>
      <c r="H7" s="591" t="s">
        <v>75</v>
      </c>
      <c r="I7" s="591" t="s">
        <v>151</v>
      </c>
      <c r="J7" s="592" t="s">
        <v>152</v>
      </c>
      <c r="K7" s="593" t="s">
        <v>792</v>
      </c>
    </row>
    <row r="8" spans="1:11" s="138" customFormat="1">
      <c r="A8" s="594"/>
      <c r="B8" s="595" t="s">
        <v>530</v>
      </c>
      <c r="C8" s="452"/>
      <c r="D8" s="452"/>
      <c r="E8" s="452"/>
      <c r="F8" s="452"/>
      <c r="G8" s="452"/>
      <c r="H8" s="452"/>
      <c r="I8" s="596"/>
      <c r="J8" s="597"/>
      <c r="K8" s="598"/>
    </row>
    <row r="9" spans="1:11" s="138" customFormat="1" ht="17.25" customHeight="1">
      <c r="A9" s="680" t="s">
        <v>53</v>
      </c>
      <c r="B9" s="340" t="s">
        <v>376</v>
      </c>
      <c r="C9" s="252">
        <v>76954182</v>
      </c>
      <c r="D9" s="252"/>
      <c r="E9" s="252"/>
      <c r="F9" s="252"/>
      <c r="G9" s="252"/>
      <c r="H9" s="253">
        <f>SUM(C9:G9)</f>
        <v>76954182</v>
      </c>
      <c r="I9" s="599">
        <v>1</v>
      </c>
      <c r="J9" s="600">
        <f>+C9</f>
        <v>76954182</v>
      </c>
      <c r="K9" s="601">
        <f>+J9*I9</f>
        <v>76954182</v>
      </c>
    </row>
    <row r="10" spans="1:11" s="138" customFormat="1" ht="34.5" customHeight="1">
      <c r="A10" s="680" t="s">
        <v>377</v>
      </c>
      <c r="B10" s="340" t="s">
        <v>817</v>
      </c>
      <c r="C10" s="252">
        <v>129692339</v>
      </c>
      <c r="D10" s="252">
        <v>83499809</v>
      </c>
      <c r="E10" s="252"/>
      <c r="F10" s="252"/>
      <c r="G10" s="252"/>
      <c r="H10" s="253">
        <f>SUM(C10:G10)</f>
        <v>213192148</v>
      </c>
      <c r="I10" s="599">
        <v>1</v>
      </c>
      <c r="J10" s="600">
        <f>+C10+D10</f>
        <v>213192148</v>
      </c>
      <c r="K10" s="601">
        <f>+J10*I10</f>
        <v>213192148</v>
      </c>
    </row>
    <row r="11" spans="1:11" s="138" customFormat="1" ht="27.75" customHeight="1">
      <c r="A11" s="680" t="s">
        <v>475</v>
      </c>
      <c r="B11" s="340" t="s">
        <v>816</v>
      </c>
      <c r="C11" s="252"/>
      <c r="D11" s="252"/>
      <c r="E11" s="252"/>
      <c r="F11" s="252"/>
      <c r="G11" s="252"/>
      <c r="H11" s="253">
        <f>SUM(C11:G11)</f>
        <v>0</v>
      </c>
      <c r="I11" s="599">
        <v>0</v>
      </c>
      <c r="J11" s="600">
        <f>+C11</f>
        <v>0</v>
      </c>
      <c r="K11" s="602">
        <f t="shared" ref="K11:K38" si="0">+J11*I11</f>
        <v>0</v>
      </c>
    </row>
    <row r="12" spans="1:11" s="138" customFormat="1" ht="17.25" customHeight="1">
      <c r="A12" s="680" t="s">
        <v>378</v>
      </c>
      <c r="B12" s="340" t="s">
        <v>379</v>
      </c>
      <c r="C12" s="253">
        <f>+C13+C14+C15</f>
        <v>78174640</v>
      </c>
      <c r="D12" s="253">
        <f>+D13+D14+D15</f>
        <v>368204</v>
      </c>
      <c r="E12" s="253">
        <f>+E13+E14+E15</f>
        <v>0</v>
      </c>
      <c r="F12" s="253">
        <f>+F13+F14+F15</f>
        <v>0</v>
      </c>
      <c r="G12" s="253">
        <f>+G13+G14+G15</f>
        <v>0</v>
      </c>
      <c r="H12" s="253">
        <f>SUM(C12:G12)</f>
        <v>78542844</v>
      </c>
      <c r="I12" s="599"/>
      <c r="J12" s="600"/>
      <c r="K12" s="602">
        <f t="shared" si="0"/>
        <v>0</v>
      </c>
    </row>
    <row r="13" spans="1:11" s="138" customFormat="1" ht="25.5">
      <c r="A13" s="680" t="s">
        <v>480</v>
      </c>
      <c r="B13" s="340" t="s">
        <v>847</v>
      </c>
      <c r="C13" s="252">
        <v>78145286</v>
      </c>
      <c r="D13" s="252">
        <v>368204</v>
      </c>
      <c r="E13" s="252"/>
      <c r="F13" s="252"/>
      <c r="G13" s="252"/>
      <c r="H13" s="253">
        <f t="shared" ref="H13:H36" si="1">SUM(C13:G13)</f>
        <v>78513490</v>
      </c>
      <c r="I13" s="599">
        <v>1</v>
      </c>
      <c r="J13" s="600">
        <f>+H13</f>
        <v>78513490</v>
      </c>
      <c r="K13" s="601">
        <f t="shared" si="0"/>
        <v>78513490</v>
      </c>
    </row>
    <row r="14" spans="1:11" s="138" customFormat="1" ht="17.25" customHeight="1">
      <c r="A14" s="680" t="s">
        <v>484</v>
      </c>
      <c r="B14" s="340" t="s">
        <v>739</v>
      </c>
      <c r="C14" s="252">
        <v>4354</v>
      </c>
      <c r="D14" s="252"/>
      <c r="E14" s="252"/>
      <c r="F14" s="252"/>
      <c r="G14" s="252"/>
      <c r="H14" s="253">
        <f t="shared" si="1"/>
        <v>4354</v>
      </c>
      <c r="I14" s="599">
        <v>0.5</v>
      </c>
      <c r="J14" s="600">
        <f>+H14</f>
        <v>4354</v>
      </c>
      <c r="K14" s="602">
        <f t="shared" si="0"/>
        <v>2177</v>
      </c>
    </row>
    <row r="15" spans="1:11" s="138" customFormat="1" ht="17.25" customHeight="1">
      <c r="A15" s="680" t="s">
        <v>738</v>
      </c>
      <c r="B15" s="340" t="s">
        <v>777</v>
      </c>
      <c r="C15" s="252">
        <v>25000</v>
      </c>
      <c r="D15" s="252"/>
      <c r="E15" s="252"/>
      <c r="F15" s="252"/>
      <c r="G15" s="252"/>
      <c r="H15" s="253">
        <f t="shared" si="1"/>
        <v>25000</v>
      </c>
      <c r="I15" s="599">
        <v>0</v>
      </c>
      <c r="J15" s="600">
        <f>+H15</f>
        <v>25000</v>
      </c>
      <c r="K15" s="602">
        <f t="shared" si="0"/>
        <v>0</v>
      </c>
    </row>
    <row r="16" spans="1:11" s="138" customFormat="1" ht="17.25" customHeight="1">
      <c r="A16" s="680" t="s">
        <v>380</v>
      </c>
      <c r="B16" s="340" t="s">
        <v>381</v>
      </c>
      <c r="C16" s="253">
        <f>+C17+C18+C19+C20</f>
        <v>349699</v>
      </c>
      <c r="D16" s="253">
        <f>+D17+D18+D19+D20</f>
        <v>0</v>
      </c>
      <c r="E16" s="253">
        <f>+E17+E18+E19+E20</f>
        <v>0</v>
      </c>
      <c r="F16" s="253">
        <f>+F17+F18+F19+F20</f>
        <v>0</v>
      </c>
      <c r="G16" s="253">
        <f>+G17+G18+G19+G20</f>
        <v>0</v>
      </c>
      <c r="H16" s="253">
        <f t="shared" si="1"/>
        <v>349699</v>
      </c>
      <c r="I16" s="599"/>
      <c r="J16" s="600"/>
      <c r="K16" s="602">
        <f t="shared" si="0"/>
        <v>0</v>
      </c>
    </row>
    <row r="17" spans="1:12" s="138" customFormat="1" ht="28.5" customHeight="1">
      <c r="A17" s="680" t="s">
        <v>490</v>
      </c>
      <c r="B17" s="340" t="s">
        <v>740</v>
      </c>
      <c r="C17" s="252"/>
      <c r="D17" s="252"/>
      <c r="E17" s="252"/>
      <c r="F17" s="252"/>
      <c r="G17" s="252"/>
      <c r="H17" s="253">
        <f t="shared" si="1"/>
        <v>0</v>
      </c>
      <c r="I17" s="599">
        <v>1</v>
      </c>
      <c r="J17" s="600">
        <f t="shared" ref="J17:J24" si="2">+C17+D17</f>
        <v>0</v>
      </c>
      <c r="K17" s="601">
        <f t="shared" si="0"/>
        <v>0</v>
      </c>
    </row>
    <row r="18" spans="1:12" s="138" customFormat="1" ht="19.5" customHeight="1">
      <c r="A18" s="680" t="s">
        <v>775</v>
      </c>
      <c r="B18" s="340" t="s">
        <v>829</v>
      </c>
      <c r="C18" s="252"/>
      <c r="D18" s="252"/>
      <c r="E18" s="252"/>
      <c r="F18" s="252"/>
      <c r="G18" s="252"/>
      <c r="H18" s="253">
        <f t="shared" si="1"/>
        <v>0</v>
      </c>
      <c r="I18" s="599">
        <v>1</v>
      </c>
      <c r="J18" s="600">
        <f t="shared" si="2"/>
        <v>0</v>
      </c>
      <c r="K18" s="601">
        <f t="shared" si="0"/>
        <v>0</v>
      </c>
    </row>
    <row r="19" spans="1:12" s="138" customFormat="1" ht="29.25" customHeight="1">
      <c r="A19" s="680" t="s">
        <v>776</v>
      </c>
      <c r="B19" s="340" t="s">
        <v>828</v>
      </c>
      <c r="C19" s="252"/>
      <c r="D19" s="252"/>
      <c r="E19" s="252"/>
      <c r="F19" s="252"/>
      <c r="G19" s="252"/>
      <c r="H19" s="253">
        <f t="shared" si="1"/>
        <v>0</v>
      </c>
      <c r="I19" s="599">
        <v>1</v>
      </c>
      <c r="J19" s="600">
        <f t="shared" si="2"/>
        <v>0</v>
      </c>
      <c r="K19" s="602">
        <f t="shared" si="0"/>
        <v>0</v>
      </c>
    </row>
    <row r="20" spans="1:12" s="138" customFormat="1" ht="19.5" customHeight="1">
      <c r="A20" s="680" t="s">
        <v>827</v>
      </c>
      <c r="B20" s="340" t="s">
        <v>735</v>
      </c>
      <c r="C20" s="252">
        <v>349699</v>
      </c>
      <c r="D20" s="252"/>
      <c r="E20" s="252"/>
      <c r="F20" s="252"/>
      <c r="G20" s="252"/>
      <c r="H20" s="253">
        <f t="shared" si="1"/>
        <v>349699</v>
      </c>
      <c r="I20" s="599">
        <v>0</v>
      </c>
      <c r="J20" s="600">
        <f t="shared" si="2"/>
        <v>349699</v>
      </c>
      <c r="K20" s="602">
        <f t="shared" si="0"/>
        <v>0</v>
      </c>
    </row>
    <row r="21" spans="1:12" s="138" customFormat="1" ht="17.25" customHeight="1">
      <c r="A21" s="680" t="s">
        <v>382</v>
      </c>
      <c r="B21" s="448" t="s">
        <v>383</v>
      </c>
      <c r="C21" s="252"/>
      <c r="D21" s="252"/>
      <c r="E21" s="252"/>
      <c r="F21" s="252"/>
      <c r="G21" s="252"/>
      <c r="H21" s="253">
        <f t="shared" si="1"/>
        <v>0</v>
      </c>
      <c r="I21" s="599">
        <v>0.3</v>
      </c>
      <c r="J21" s="600">
        <f t="shared" si="2"/>
        <v>0</v>
      </c>
      <c r="K21" s="602">
        <f t="shared" si="0"/>
        <v>0</v>
      </c>
    </row>
    <row r="22" spans="1:12" s="138" customFormat="1">
      <c r="A22" s="680" t="s">
        <v>384</v>
      </c>
      <c r="B22" s="448" t="s">
        <v>385</v>
      </c>
      <c r="C22" s="252"/>
      <c r="D22" s="252"/>
      <c r="E22" s="252"/>
      <c r="F22" s="252"/>
      <c r="G22" s="252"/>
      <c r="H22" s="253">
        <f t="shared" si="1"/>
        <v>0</v>
      </c>
      <c r="I22" s="599">
        <v>0.3</v>
      </c>
      <c r="J22" s="600">
        <f t="shared" si="2"/>
        <v>0</v>
      </c>
      <c r="K22" s="602">
        <f t="shared" si="0"/>
        <v>0</v>
      </c>
    </row>
    <row r="23" spans="1:12" s="138" customFormat="1" ht="19.5" customHeight="1">
      <c r="A23" s="680" t="s">
        <v>386</v>
      </c>
      <c r="B23" s="448" t="s">
        <v>387</v>
      </c>
      <c r="C23" s="252"/>
      <c r="D23" s="252"/>
      <c r="E23" s="252"/>
      <c r="F23" s="252"/>
      <c r="G23" s="252"/>
      <c r="H23" s="253">
        <f t="shared" si="1"/>
        <v>0</v>
      </c>
      <c r="I23" s="599">
        <v>0.3</v>
      </c>
      <c r="J23" s="600">
        <f t="shared" si="2"/>
        <v>0</v>
      </c>
      <c r="K23" s="602">
        <f t="shared" si="0"/>
        <v>0</v>
      </c>
    </row>
    <row r="24" spans="1:12" s="138" customFormat="1" ht="19.5" customHeight="1">
      <c r="A24" s="680" t="s">
        <v>388</v>
      </c>
      <c r="B24" s="340" t="s">
        <v>389</v>
      </c>
      <c r="C24" s="252"/>
      <c r="D24" s="252"/>
      <c r="E24" s="252"/>
      <c r="F24" s="252"/>
      <c r="G24" s="252"/>
      <c r="H24" s="253">
        <f t="shared" si="1"/>
        <v>0</v>
      </c>
      <c r="I24" s="599">
        <v>1</v>
      </c>
      <c r="J24" s="600">
        <f t="shared" si="2"/>
        <v>0</v>
      </c>
      <c r="K24" s="602">
        <f t="shared" si="0"/>
        <v>0</v>
      </c>
    </row>
    <row r="25" spans="1:12" s="138" customFormat="1" ht="19.5" customHeight="1">
      <c r="A25" s="680" t="s">
        <v>390</v>
      </c>
      <c r="B25" s="340" t="s">
        <v>391</v>
      </c>
      <c r="C25" s="252"/>
      <c r="D25" s="252"/>
      <c r="E25" s="252"/>
      <c r="F25" s="252"/>
      <c r="G25" s="252"/>
      <c r="H25" s="253">
        <f t="shared" si="1"/>
        <v>0</v>
      </c>
      <c r="I25" s="599">
        <v>0.5</v>
      </c>
      <c r="J25" s="600">
        <f>+D25</f>
        <v>0</v>
      </c>
      <c r="K25" s="602">
        <f t="shared" si="0"/>
        <v>0</v>
      </c>
    </row>
    <row r="26" spans="1:12" s="138" customFormat="1" ht="19.5" customHeight="1">
      <c r="A26" s="680">
        <v>10</v>
      </c>
      <c r="B26" s="340" t="s">
        <v>392</v>
      </c>
      <c r="C26" s="252">
        <v>10299194</v>
      </c>
      <c r="D26" s="252">
        <v>52916050</v>
      </c>
      <c r="E26" s="252">
        <v>90771118</v>
      </c>
      <c r="F26" s="252">
        <v>277145504</v>
      </c>
      <c r="G26" s="252">
        <v>821377684</v>
      </c>
      <c r="H26" s="253">
        <f>SUM(C26:G26)</f>
        <v>1252509550</v>
      </c>
      <c r="I26" s="599">
        <v>0.3</v>
      </c>
      <c r="J26" s="600">
        <f>+D26</f>
        <v>52916050</v>
      </c>
      <c r="K26" s="602">
        <f t="shared" si="0"/>
        <v>15874815</v>
      </c>
    </row>
    <row r="27" spans="1:12" s="138" customFormat="1" ht="19.5" customHeight="1">
      <c r="A27" s="680">
        <v>11</v>
      </c>
      <c r="B27" s="340" t="s">
        <v>393</v>
      </c>
      <c r="C27" s="252">
        <v>-103134</v>
      </c>
      <c r="D27" s="252"/>
      <c r="E27" s="252"/>
      <c r="F27" s="252"/>
      <c r="G27" s="252"/>
      <c r="H27" s="253">
        <f>SUM(C27:G27)</f>
        <v>-103134</v>
      </c>
      <c r="I27" s="599">
        <v>0</v>
      </c>
      <c r="J27" s="600">
        <f>+C27+D27</f>
        <v>-103134</v>
      </c>
      <c r="K27" s="602">
        <f t="shared" si="0"/>
        <v>0</v>
      </c>
    </row>
    <row r="28" spans="1:12" s="138" customFormat="1" ht="19.5" customHeight="1">
      <c r="A28" s="680" t="s">
        <v>394</v>
      </c>
      <c r="B28" s="340" t="s">
        <v>395</v>
      </c>
      <c r="C28" s="252"/>
      <c r="D28" s="252"/>
      <c r="E28" s="252"/>
      <c r="F28" s="252"/>
      <c r="G28" s="252">
        <v>2749999</v>
      </c>
      <c r="H28" s="253">
        <f t="shared" si="1"/>
        <v>2749999</v>
      </c>
      <c r="I28" s="599">
        <v>0</v>
      </c>
      <c r="J28" s="600">
        <f>+C28+D28</f>
        <v>0</v>
      </c>
      <c r="K28" s="602">
        <f t="shared" si="0"/>
        <v>0</v>
      </c>
    </row>
    <row r="29" spans="1:12" s="138" customFormat="1" ht="19.5" customHeight="1">
      <c r="A29" s="680" t="s">
        <v>396</v>
      </c>
      <c r="B29" s="340" t="s">
        <v>397</v>
      </c>
      <c r="C29" s="253">
        <f>+C30+C31</f>
        <v>0</v>
      </c>
      <c r="D29" s="253">
        <f>+D30+D31</f>
        <v>0</v>
      </c>
      <c r="E29" s="253">
        <f>+E30+E31</f>
        <v>0</v>
      </c>
      <c r="F29" s="253">
        <f>+F30+F31</f>
        <v>0</v>
      </c>
      <c r="G29" s="253">
        <f>+G30+G31</f>
        <v>0</v>
      </c>
      <c r="H29" s="253">
        <f t="shared" si="1"/>
        <v>0</v>
      </c>
      <c r="I29" s="599"/>
      <c r="J29" s="600"/>
      <c r="K29" s="602">
        <f t="shared" si="0"/>
        <v>0</v>
      </c>
    </row>
    <row r="30" spans="1:12" s="304" customFormat="1" ht="25.5">
      <c r="A30" s="680" t="s">
        <v>741</v>
      </c>
      <c r="B30" s="340" t="s">
        <v>759</v>
      </c>
      <c r="C30" s="252"/>
      <c r="D30" s="252"/>
      <c r="E30" s="252"/>
      <c r="F30" s="252"/>
      <c r="G30" s="252"/>
      <c r="H30" s="253">
        <f t="shared" si="1"/>
        <v>0</v>
      </c>
      <c r="I30" s="599">
        <v>0.3</v>
      </c>
      <c r="J30" s="600">
        <f t="shared" ref="J30:J38" si="3">+C30+D30</f>
        <v>0</v>
      </c>
      <c r="K30" s="602">
        <f t="shared" si="0"/>
        <v>0</v>
      </c>
      <c r="L30" s="138"/>
    </row>
    <row r="31" spans="1:12" s="304" customFormat="1">
      <c r="A31" s="680" t="s">
        <v>743</v>
      </c>
      <c r="B31" s="340" t="s">
        <v>756</v>
      </c>
      <c r="C31" s="252"/>
      <c r="D31" s="252"/>
      <c r="E31" s="252"/>
      <c r="F31" s="252"/>
      <c r="G31" s="252"/>
      <c r="H31" s="253">
        <f t="shared" si="1"/>
        <v>0</v>
      </c>
      <c r="I31" s="599">
        <v>0</v>
      </c>
      <c r="J31" s="600">
        <f t="shared" si="3"/>
        <v>0</v>
      </c>
      <c r="K31" s="602">
        <f t="shared" si="0"/>
        <v>0</v>
      </c>
      <c r="L31" s="138"/>
    </row>
    <row r="32" spans="1:12" s="138" customFormat="1" ht="17.25" customHeight="1">
      <c r="A32" s="681" t="s">
        <v>398</v>
      </c>
      <c r="B32" s="340" t="s">
        <v>399</v>
      </c>
      <c r="C32" s="252"/>
      <c r="D32" s="252"/>
      <c r="E32" s="252"/>
      <c r="F32" s="252"/>
      <c r="G32" s="252">
        <v>100870267</v>
      </c>
      <c r="H32" s="253">
        <f>SUM(C32:G32)</f>
        <v>100870267</v>
      </c>
      <c r="I32" s="599">
        <v>0</v>
      </c>
      <c r="J32" s="600">
        <f t="shared" si="3"/>
        <v>0</v>
      </c>
      <c r="K32" s="602">
        <f t="shared" si="0"/>
        <v>0</v>
      </c>
    </row>
    <row r="33" spans="1:11" s="138" customFormat="1" ht="17.25" customHeight="1">
      <c r="A33" s="681" t="s">
        <v>400</v>
      </c>
      <c r="B33" s="340" t="s">
        <v>401</v>
      </c>
      <c r="C33" s="252"/>
      <c r="D33" s="252">
        <v>1613115</v>
      </c>
      <c r="E33" s="252"/>
      <c r="F33" s="252"/>
      <c r="G33" s="252"/>
      <c r="H33" s="253">
        <f>SUM(C33:G33)</f>
        <v>1613115</v>
      </c>
      <c r="I33" s="599">
        <v>0</v>
      </c>
      <c r="J33" s="600">
        <f t="shared" si="3"/>
        <v>1613115</v>
      </c>
      <c r="K33" s="602">
        <f t="shared" si="0"/>
        <v>0</v>
      </c>
    </row>
    <row r="34" spans="1:11" s="138" customFormat="1" ht="17.25" customHeight="1">
      <c r="A34" s="681" t="s">
        <v>402</v>
      </c>
      <c r="B34" s="448" t="s">
        <v>403</v>
      </c>
      <c r="C34" s="252"/>
      <c r="D34" s="252"/>
      <c r="E34" s="252"/>
      <c r="F34" s="252"/>
      <c r="G34" s="252"/>
      <c r="H34" s="253">
        <f>SUM(C34:G34)</f>
        <v>0</v>
      </c>
      <c r="I34" s="599">
        <v>0</v>
      </c>
      <c r="J34" s="600">
        <f t="shared" si="3"/>
        <v>0</v>
      </c>
      <c r="K34" s="602">
        <f t="shared" si="0"/>
        <v>0</v>
      </c>
    </row>
    <row r="35" spans="1:11" s="138" customFormat="1" ht="17.25" customHeight="1">
      <c r="A35" s="681" t="s">
        <v>404</v>
      </c>
      <c r="B35" s="340" t="s">
        <v>405</v>
      </c>
      <c r="C35" s="252"/>
      <c r="D35" s="252"/>
      <c r="E35" s="252"/>
      <c r="F35" s="252"/>
      <c r="G35" s="252"/>
      <c r="H35" s="253">
        <f>SUM(C35:G35)</f>
        <v>0</v>
      </c>
      <c r="I35" s="599">
        <v>0</v>
      </c>
      <c r="J35" s="600">
        <f t="shared" si="3"/>
        <v>0</v>
      </c>
      <c r="K35" s="602">
        <f t="shared" si="0"/>
        <v>0</v>
      </c>
    </row>
    <row r="36" spans="1:11" s="138" customFormat="1" ht="17.25" customHeight="1">
      <c r="A36" s="681" t="s">
        <v>406</v>
      </c>
      <c r="B36" s="340" t="s">
        <v>407</v>
      </c>
      <c r="C36" s="252"/>
      <c r="D36" s="252"/>
      <c r="E36" s="252"/>
      <c r="F36" s="252"/>
      <c r="G36" s="252"/>
      <c r="H36" s="253">
        <f t="shared" si="1"/>
        <v>0</v>
      </c>
      <c r="I36" s="599">
        <v>0</v>
      </c>
      <c r="J36" s="600">
        <f t="shared" si="3"/>
        <v>0</v>
      </c>
      <c r="K36" s="602">
        <f t="shared" si="0"/>
        <v>0</v>
      </c>
    </row>
    <row r="37" spans="1:11" s="138" customFormat="1" ht="17.25" customHeight="1">
      <c r="A37" s="682" t="s">
        <v>408</v>
      </c>
      <c r="B37" s="449" t="s">
        <v>409</v>
      </c>
      <c r="C37" s="252">
        <v>7348132</v>
      </c>
      <c r="D37" s="252"/>
      <c r="E37" s="252"/>
      <c r="F37" s="252"/>
      <c r="G37" s="252"/>
      <c r="H37" s="253">
        <f>SUM(C37:G37)</f>
        <v>7348132</v>
      </c>
      <c r="I37" s="599">
        <v>0.3</v>
      </c>
      <c r="J37" s="600">
        <f>+D37</f>
        <v>0</v>
      </c>
      <c r="K37" s="602">
        <f t="shared" si="0"/>
        <v>0</v>
      </c>
    </row>
    <row r="38" spans="1:11" s="334" customFormat="1" ht="17.25" customHeight="1" thickBot="1">
      <c r="A38" s="683" t="s">
        <v>410</v>
      </c>
      <c r="B38" s="450" t="s">
        <v>411</v>
      </c>
      <c r="C38" s="339">
        <v>8966247</v>
      </c>
      <c r="D38" s="339"/>
      <c r="E38" s="339"/>
      <c r="F38" s="339"/>
      <c r="G38" s="339"/>
      <c r="H38" s="451">
        <f>SUM(C38:G38)</f>
        <v>8966247</v>
      </c>
      <c r="I38" s="603">
        <v>0</v>
      </c>
      <c r="J38" s="604">
        <f t="shared" si="3"/>
        <v>8966247</v>
      </c>
      <c r="K38" s="605">
        <f t="shared" si="0"/>
        <v>0</v>
      </c>
    </row>
    <row r="39" spans="1:11" s="138" customFormat="1" ht="17.25" customHeight="1" thickBot="1">
      <c r="A39" s="684" t="s">
        <v>412</v>
      </c>
      <c r="B39" s="586" t="s">
        <v>413</v>
      </c>
      <c r="C39" s="453">
        <f t="shared" ref="C39:H39" si="4">SUM(C9:C38)-C12-C16-C29</f>
        <v>311681299</v>
      </c>
      <c r="D39" s="453">
        <f t="shared" si="4"/>
        <v>138397178</v>
      </c>
      <c r="E39" s="453">
        <f t="shared" si="4"/>
        <v>90771118</v>
      </c>
      <c r="F39" s="453">
        <f t="shared" si="4"/>
        <v>277145504</v>
      </c>
      <c r="G39" s="453">
        <f t="shared" si="4"/>
        <v>924997950</v>
      </c>
      <c r="H39" s="606">
        <f t="shared" si="4"/>
        <v>1742993049</v>
      </c>
      <c r="I39" s="453"/>
      <c r="J39" s="453"/>
      <c r="K39" s="606">
        <f>SUM(K9:K38)-K12-K29</f>
        <v>384536812</v>
      </c>
    </row>
    <row r="40" spans="1:11" s="138" customFormat="1" ht="10.5" customHeight="1">
      <c r="A40" s="607"/>
      <c r="B40" s="608"/>
      <c r="C40" s="609">
        <f>+C39-C27-C9-C10-C12-C16-C25</f>
        <v>26613573</v>
      </c>
      <c r="D40" s="609">
        <f>+D39-D27-D9-D10-D12-D16-D25</f>
        <v>54529165</v>
      </c>
      <c r="E40" s="609">
        <f>+E39-E27-E9-E10-E12-E16-E25</f>
        <v>90771118</v>
      </c>
      <c r="F40" s="609">
        <f>+F39-F27-F9-F10-F12-F16-F25</f>
        <v>277145504</v>
      </c>
      <c r="G40" s="608"/>
      <c r="H40" s="608"/>
      <c r="I40" s="670" t="s">
        <v>783</v>
      </c>
      <c r="J40" s="671"/>
      <c r="K40" s="672">
        <f>+K39-K41</f>
        <v>15876992</v>
      </c>
    </row>
    <row r="41" spans="1:11" s="138" customFormat="1" ht="9.75" customHeight="1">
      <c r="A41" s="607"/>
      <c r="B41" s="61" t="s">
        <v>414</v>
      </c>
      <c r="C41" s="609">
        <f>+C40+D40+E40+F40</f>
        <v>449059360</v>
      </c>
      <c r="D41" s="609">
        <f>+C41*0.3</f>
        <v>134717808</v>
      </c>
      <c r="E41" s="609"/>
      <c r="F41" s="609"/>
      <c r="G41" s="608"/>
      <c r="H41" s="608"/>
      <c r="I41" s="670" t="s">
        <v>758</v>
      </c>
      <c r="J41" s="671"/>
      <c r="K41" s="672">
        <f>+K9+K10+K13+K17+K18</f>
        <v>368659820</v>
      </c>
    </row>
    <row r="42" spans="1:11" s="138" customFormat="1" ht="8.25" customHeight="1">
      <c r="A42" s="607"/>
      <c r="B42" s="61"/>
      <c r="C42" s="608"/>
      <c r="D42" s="608"/>
      <c r="E42" s="608"/>
      <c r="F42" s="608"/>
      <c r="G42" s="608"/>
      <c r="H42" s="608"/>
      <c r="I42" s="670" t="s">
        <v>860</v>
      </c>
      <c r="J42" s="671"/>
      <c r="K42" s="672">
        <f>+'Bank Liabilities Analysis'!K33-'Bank Assets Analysis'!K40</f>
        <v>155030087.5</v>
      </c>
    </row>
    <row r="43" spans="1:11" s="138" customFormat="1" ht="8.25" customHeight="1">
      <c r="A43" s="301"/>
      <c r="B43" s="22"/>
      <c r="C43" s="83"/>
      <c r="D43" s="83"/>
      <c r="E43" s="83"/>
      <c r="F43" s="83"/>
      <c r="G43" s="83"/>
      <c r="H43" s="83"/>
      <c r="I43" s="670"/>
      <c r="J43" s="671"/>
      <c r="K43" s="673"/>
    </row>
    <row r="44" spans="1:11" s="138" customFormat="1" ht="17.25" customHeight="1">
      <c r="A44" s="301"/>
      <c r="B44" s="46" t="s">
        <v>415</v>
      </c>
      <c r="C44" s="82">
        <v>129692339</v>
      </c>
      <c r="D44" s="82"/>
      <c r="E44" s="82"/>
      <c r="F44" s="82"/>
      <c r="G44" s="82"/>
      <c r="H44" s="111">
        <f>+C44</f>
        <v>129692339</v>
      </c>
      <c r="I44" s="459"/>
      <c r="J44" s="459"/>
      <c r="K44" s="459"/>
    </row>
    <row r="45" spans="1:11" s="138" customFormat="1" ht="17.25" customHeight="1">
      <c r="A45" s="301"/>
      <c r="B45" s="46" t="s">
        <v>416</v>
      </c>
      <c r="C45" s="82">
        <v>83499809</v>
      </c>
      <c r="D45" s="82"/>
      <c r="E45" s="82"/>
      <c r="F45" s="82"/>
      <c r="G45" s="82"/>
      <c r="H45" s="111">
        <f>+C45</f>
        <v>83499809</v>
      </c>
      <c r="K45" s="334"/>
    </row>
    <row r="46" spans="1:11" s="138" customFormat="1">
      <c r="A46" s="301"/>
      <c r="C46" s="83"/>
      <c r="D46" s="83"/>
      <c r="E46" s="83"/>
      <c r="F46" s="83"/>
      <c r="G46" s="83"/>
      <c r="H46" s="83"/>
      <c r="I46" s="308"/>
      <c r="J46" s="337"/>
      <c r="K46" s="338"/>
    </row>
    <row r="47" spans="1:11" s="138" customFormat="1">
      <c r="A47" s="301"/>
      <c r="C47" s="83"/>
      <c r="D47" s="83"/>
      <c r="E47" s="83"/>
      <c r="F47" s="83"/>
      <c r="G47" s="83"/>
      <c r="H47" s="83"/>
      <c r="I47" s="308"/>
      <c r="J47" s="337"/>
      <c r="K47" s="338"/>
    </row>
    <row r="48" spans="1:11" s="138" customFormat="1">
      <c r="A48" s="301"/>
      <c r="B48" s="22" t="s">
        <v>587</v>
      </c>
      <c r="C48" s="83"/>
      <c r="D48" s="83"/>
      <c r="E48" s="83"/>
      <c r="F48" s="83"/>
      <c r="G48" s="83"/>
      <c r="H48" s="83"/>
      <c r="I48" s="308"/>
      <c r="J48" s="337"/>
      <c r="K48" s="338"/>
    </row>
    <row r="49" spans="1:11" s="138" customFormat="1">
      <c r="A49" s="301"/>
      <c r="B49" s="22"/>
      <c r="C49" s="83"/>
      <c r="D49" s="83"/>
      <c r="E49" s="83"/>
      <c r="F49" s="83"/>
      <c r="G49" s="83"/>
      <c r="H49" s="83"/>
      <c r="I49" s="308"/>
      <c r="J49" s="337"/>
      <c r="K49" s="338"/>
    </row>
    <row r="50" spans="1:11">
      <c r="B50" s="22" t="s">
        <v>588</v>
      </c>
    </row>
  </sheetData>
  <sheetProtection password="CA0C" sheet="1"/>
  <mergeCells count="8">
    <mergeCell ref="I1:K1"/>
    <mergeCell ref="I2:K2"/>
    <mergeCell ref="K5:K6"/>
    <mergeCell ref="I5:I6"/>
    <mergeCell ref="A5:A6"/>
    <mergeCell ref="B5:B6"/>
    <mergeCell ref="H5:H6"/>
    <mergeCell ref="J5:J6"/>
  </mergeCells>
  <phoneticPr fontId="30" type="noConversion"/>
  <dataValidations count="2">
    <dataValidation type="whole" operator="notEqual" allowBlank="1" showErrorMessage="1" error="Введите как целое число." sqref="C35:G38 C32:F34 G32:G33 C8:G31">
      <formula1>-1E+28</formula1>
    </dataValidation>
    <dataValidation type="whole" operator="greaterThanOrEqual" allowBlank="1" showErrorMessage="1" error="Введите как целое положительное число." sqref="C44:G45">
      <formula1>0</formula1>
    </dataValidation>
  </dataValidations>
  <printOptions horizontalCentered="1" verticalCentered="1"/>
  <pageMargins left="0.26" right="0.16" top="0.22" bottom="0.35" header="0.22" footer="0.51181102362204722"/>
  <pageSetup paperSize="9" scale="6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K38"/>
  <sheetViews>
    <sheetView topLeftCell="A10" zoomScale="85" zoomScaleNormal="85" zoomScaleSheetLayoutView="85" workbookViewId="0">
      <selection activeCell="C33" sqref="C33"/>
    </sheetView>
  </sheetViews>
  <sheetFormatPr defaultRowHeight="12.75"/>
  <cols>
    <col min="1" max="1" width="7.140625" style="301" customWidth="1"/>
    <col min="2" max="2" width="52.5703125" style="149" customWidth="1"/>
    <col min="3" max="8" width="13.42578125" style="1" customWidth="1"/>
    <col min="9" max="9" width="9.140625" style="308"/>
    <col min="10" max="10" width="11.85546875" style="337" bestFit="1" customWidth="1"/>
    <col min="11" max="11" width="15.28515625" style="1" customWidth="1"/>
    <col min="12" max="16384" width="9.140625" style="1"/>
  </cols>
  <sheetData>
    <row r="1" spans="1:11" ht="78.75" customHeight="1">
      <c r="I1" s="704" t="s">
        <v>527</v>
      </c>
      <c r="J1" s="704"/>
      <c r="K1" s="704"/>
    </row>
    <row r="2" spans="1:11" ht="15.75" customHeight="1">
      <c r="A2" s="302" t="s">
        <v>417</v>
      </c>
      <c r="B2" s="275"/>
      <c r="C2" s="97"/>
      <c r="D2" s="96"/>
      <c r="E2" s="96"/>
      <c r="F2" s="96"/>
      <c r="I2" s="770" t="s">
        <v>858</v>
      </c>
      <c r="J2" s="770"/>
      <c r="K2" s="770"/>
    </row>
    <row r="3" spans="1:11">
      <c r="A3" s="479">
        <f>Balance!A4:A4</f>
        <v>43100</v>
      </c>
      <c r="B3" s="276"/>
      <c r="C3" s="96"/>
      <c r="D3" s="96"/>
      <c r="E3" s="96"/>
      <c r="F3" s="96"/>
      <c r="I3" s="61" t="str">
        <f>Balance!B3</f>
        <v>АКБ "Микрокредитбанк"</v>
      </c>
      <c r="J3" s="277"/>
    </row>
    <row r="4" spans="1:11" ht="13.5" thickBot="1">
      <c r="B4" s="177"/>
      <c r="C4" s="83"/>
      <c r="D4" s="83"/>
      <c r="E4" s="83"/>
      <c r="F4" s="83"/>
      <c r="G4" s="83"/>
      <c r="K4" s="83"/>
    </row>
    <row r="5" spans="1:11" s="128" customFormat="1" ht="21.75" customHeight="1">
      <c r="A5" s="783" t="s">
        <v>48</v>
      </c>
      <c r="B5" s="785" t="s">
        <v>7</v>
      </c>
      <c r="C5" s="587"/>
      <c r="D5" s="587" t="s">
        <v>418</v>
      </c>
      <c r="E5" s="587"/>
      <c r="F5" s="587"/>
      <c r="G5" s="587"/>
      <c r="H5" s="785" t="s">
        <v>370</v>
      </c>
      <c r="I5" s="781" t="s">
        <v>785</v>
      </c>
      <c r="J5" s="781" t="s">
        <v>793</v>
      </c>
      <c r="K5" s="789" t="s">
        <v>784</v>
      </c>
    </row>
    <row r="6" spans="1:11" s="128" customFormat="1" ht="26.25" thickBot="1">
      <c r="A6" s="792"/>
      <c r="B6" s="793"/>
      <c r="C6" s="685" t="s">
        <v>371</v>
      </c>
      <c r="D6" s="685" t="s">
        <v>372</v>
      </c>
      <c r="E6" s="685" t="s">
        <v>373</v>
      </c>
      <c r="F6" s="685" t="s">
        <v>374</v>
      </c>
      <c r="G6" s="685" t="s">
        <v>419</v>
      </c>
      <c r="H6" s="793"/>
      <c r="I6" s="791"/>
      <c r="J6" s="791"/>
      <c r="K6" s="790"/>
    </row>
    <row r="7" spans="1:11" ht="13.5" thickBot="1">
      <c r="A7" s="610"/>
      <c r="B7" s="611" t="s">
        <v>150</v>
      </c>
      <c r="C7" s="612" t="s">
        <v>10</v>
      </c>
      <c r="D7" s="612" t="s">
        <v>11</v>
      </c>
      <c r="E7" s="612" t="s">
        <v>12</v>
      </c>
      <c r="F7" s="612" t="s">
        <v>50</v>
      </c>
      <c r="G7" s="612" t="s">
        <v>51</v>
      </c>
      <c r="H7" s="613" t="s">
        <v>75</v>
      </c>
      <c r="I7" s="612" t="s">
        <v>151</v>
      </c>
      <c r="J7" s="613" t="s">
        <v>152</v>
      </c>
      <c r="K7" s="614" t="s">
        <v>792</v>
      </c>
    </row>
    <row r="8" spans="1:11">
      <c r="A8" s="615"/>
      <c r="B8" s="616" t="s">
        <v>563</v>
      </c>
      <c r="C8" s="617"/>
      <c r="D8" s="617"/>
      <c r="E8" s="617"/>
      <c r="F8" s="617"/>
      <c r="G8" s="617"/>
      <c r="H8" s="617"/>
      <c r="I8" s="618"/>
      <c r="J8" s="619"/>
      <c r="K8" s="620"/>
    </row>
    <row r="9" spans="1:11" ht="15.75" customHeight="1">
      <c r="A9" s="621" t="s">
        <v>53</v>
      </c>
      <c r="B9" s="622" t="s">
        <v>420</v>
      </c>
      <c r="C9" s="50"/>
      <c r="D9" s="50"/>
      <c r="E9" s="50"/>
      <c r="F9" s="50"/>
      <c r="G9" s="50"/>
      <c r="H9" s="50"/>
      <c r="I9" s="623"/>
      <c r="J9" s="600"/>
      <c r="K9" s="624"/>
    </row>
    <row r="10" spans="1:11" ht="15.75" customHeight="1">
      <c r="A10" s="621" t="s">
        <v>421</v>
      </c>
      <c r="B10" s="625" t="s">
        <v>422</v>
      </c>
      <c r="C10" s="50">
        <f>SUM(C11:C15)</f>
        <v>235562823</v>
      </c>
      <c r="D10" s="50">
        <f>SUM(D11:D15)</f>
        <v>0</v>
      </c>
      <c r="E10" s="50">
        <f>SUM(E11:E15)</f>
        <v>0</v>
      </c>
      <c r="F10" s="50">
        <f>SUM(F11:F15)</f>
        <v>0</v>
      </c>
      <c r="G10" s="50">
        <f>SUM(G11:G15)</f>
        <v>582695</v>
      </c>
      <c r="H10" s="50">
        <f>SUM(C10:G10)</f>
        <v>236145518</v>
      </c>
      <c r="I10" s="623"/>
      <c r="J10" s="600"/>
      <c r="K10" s="624"/>
    </row>
    <row r="11" spans="1:11" s="87" customFormat="1" ht="27.75" customHeight="1">
      <c r="A11" s="626" t="s">
        <v>733</v>
      </c>
      <c r="B11" s="627" t="s">
        <v>857</v>
      </c>
      <c r="C11" s="252">
        <v>14481346</v>
      </c>
      <c r="D11" s="252"/>
      <c r="E11" s="252"/>
      <c r="F11" s="252"/>
      <c r="G11" s="252"/>
      <c r="H11" s="253">
        <f t="shared" ref="H11:H32" si="0">SUM(C11:G11)</f>
        <v>14481346</v>
      </c>
      <c r="I11" s="599">
        <v>0.1</v>
      </c>
      <c r="J11" s="628">
        <f>+C11+D11</f>
        <v>14481346</v>
      </c>
      <c r="K11" s="602">
        <f>+J11*I11</f>
        <v>1448134.6</v>
      </c>
    </row>
    <row r="12" spans="1:11" s="87" customFormat="1" ht="23.25" customHeight="1">
      <c r="A12" s="626" t="s">
        <v>734</v>
      </c>
      <c r="B12" s="629" t="s">
        <v>786</v>
      </c>
      <c r="C12" s="252"/>
      <c r="D12" s="252"/>
      <c r="E12" s="252"/>
      <c r="F12" s="252"/>
      <c r="G12" s="252"/>
      <c r="H12" s="253">
        <f t="shared" si="0"/>
        <v>0</v>
      </c>
      <c r="I12" s="599">
        <v>0.15</v>
      </c>
      <c r="J12" s="628">
        <f>+C12+D12</f>
        <v>0</v>
      </c>
      <c r="K12" s="602">
        <f t="shared" ref="K12:K32" si="1">+J12*I12</f>
        <v>0</v>
      </c>
    </row>
    <row r="13" spans="1:11" s="87" customFormat="1" ht="26.25" customHeight="1">
      <c r="A13" s="626" t="s">
        <v>787</v>
      </c>
      <c r="B13" s="627" t="s">
        <v>859</v>
      </c>
      <c r="C13" s="252"/>
      <c r="D13" s="252"/>
      <c r="E13" s="252"/>
      <c r="F13" s="252"/>
      <c r="G13" s="252">
        <v>582695</v>
      </c>
      <c r="H13" s="253">
        <f t="shared" si="0"/>
        <v>582695</v>
      </c>
      <c r="I13" s="599">
        <v>0</v>
      </c>
      <c r="J13" s="628">
        <f t="shared" ref="J13:J32" si="2">+C13+D13</f>
        <v>0</v>
      </c>
      <c r="K13" s="602">
        <f t="shared" si="1"/>
        <v>0</v>
      </c>
    </row>
    <row r="14" spans="1:11" s="87" customFormat="1" ht="24.75" customHeight="1">
      <c r="A14" s="626" t="s">
        <v>788</v>
      </c>
      <c r="B14" s="627" t="s">
        <v>791</v>
      </c>
      <c r="C14" s="252"/>
      <c r="D14" s="252"/>
      <c r="E14" s="252"/>
      <c r="F14" s="252"/>
      <c r="G14" s="252"/>
      <c r="H14" s="253">
        <f t="shared" si="0"/>
        <v>0</v>
      </c>
      <c r="I14" s="599">
        <v>0</v>
      </c>
      <c r="J14" s="628">
        <f t="shared" si="2"/>
        <v>0</v>
      </c>
      <c r="K14" s="602">
        <f t="shared" si="1"/>
        <v>0</v>
      </c>
    </row>
    <row r="15" spans="1:11" s="87" customFormat="1" ht="20.25" customHeight="1">
      <c r="A15" s="626" t="s">
        <v>789</v>
      </c>
      <c r="B15" s="627" t="s">
        <v>790</v>
      </c>
      <c r="C15" s="252">
        <v>221081477</v>
      </c>
      <c r="D15" s="252"/>
      <c r="E15" s="252"/>
      <c r="F15" s="252"/>
      <c r="G15" s="252"/>
      <c r="H15" s="253">
        <f t="shared" si="0"/>
        <v>221081477</v>
      </c>
      <c r="I15" s="599">
        <v>0.3</v>
      </c>
      <c r="J15" s="628">
        <f t="shared" si="2"/>
        <v>221081477</v>
      </c>
      <c r="K15" s="602">
        <f t="shared" si="1"/>
        <v>66324443.099999994</v>
      </c>
    </row>
    <row r="16" spans="1:11" s="87" customFormat="1" ht="15.75" customHeight="1">
      <c r="A16" s="626" t="s">
        <v>423</v>
      </c>
      <c r="B16" s="627" t="s">
        <v>424</v>
      </c>
      <c r="C16" s="252">
        <v>3987905</v>
      </c>
      <c r="D16" s="252">
        <v>1350620</v>
      </c>
      <c r="E16" s="252">
        <v>6458717</v>
      </c>
      <c r="F16" s="252">
        <v>6213678</v>
      </c>
      <c r="G16" s="252">
        <v>3356454</v>
      </c>
      <c r="H16" s="253">
        <f t="shared" si="0"/>
        <v>21367374</v>
      </c>
      <c r="I16" s="599">
        <v>1</v>
      </c>
      <c r="J16" s="628">
        <f t="shared" si="2"/>
        <v>5338525</v>
      </c>
      <c r="K16" s="602">
        <f t="shared" si="1"/>
        <v>5338525</v>
      </c>
    </row>
    <row r="17" spans="1:11" s="87" customFormat="1" ht="15.75" customHeight="1">
      <c r="A17" s="626" t="s">
        <v>425</v>
      </c>
      <c r="B17" s="627" t="s">
        <v>426</v>
      </c>
      <c r="C17" s="252">
        <v>1126255</v>
      </c>
      <c r="D17" s="252">
        <v>65404045</v>
      </c>
      <c r="E17" s="252">
        <v>238905216</v>
      </c>
      <c r="F17" s="252">
        <v>174092279</v>
      </c>
      <c r="G17" s="252">
        <v>163233446</v>
      </c>
      <c r="H17" s="253">
        <f t="shared" si="0"/>
        <v>642761241</v>
      </c>
      <c r="I17" s="599">
        <v>1</v>
      </c>
      <c r="J17" s="628">
        <f t="shared" si="2"/>
        <v>66530300</v>
      </c>
      <c r="K17" s="602">
        <f t="shared" si="1"/>
        <v>66530300</v>
      </c>
    </row>
    <row r="18" spans="1:11" s="87" customFormat="1" ht="15.75" customHeight="1">
      <c r="A18" s="626" t="s">
        <v>427</v>
      </c>
      <c r="B18" s="630" t="s">
        <v>428</v>
      </c>
      <c r="C18" s="253">
        <f>SUM(C11:C17)</f>
        <v>240676983</v>
      </c>
      <c r="D18" s="253">
        <f>SUM(D11:D17)</f>
        <v>66754665</v>
      </c>
      <c r="E18" s="253">
        <f>SUM(E11:E17)</f>
        <v>245363933</v>
      </c>
      <c r="F18" s="253">
        <f>SUM(F11:F17)</f>
        <v>180305957</v>
      </c>
      <c r="G18" s="253">
        <f>SUM(G11:G17)</f>
        <v>167172595</v>
      </c>
      <c r="H18" s="253">
        <f t="shared" si="0"/>
        <v>900274133</v>
      </c>
      <c r="I18" s="599"/>
      <c r="J18" s="628"/>
      <c r="K18" s="602">
        <f t="shared" si="1"/>
        <v>0</v>
      </c>
    </row>
    <row r="19" spans="1:11" s="87" customFormat="1" ht="15.75" customHeight="1">
      <c r="A19" s="626" t="s">
        <v>377</v>
      </c>
      <c r="B19" s="627" t="s">
        <v>429</v>
      </c>
      <c r="C19" s="252"/>
      <c r="D19" s="252"/>
      <c r="E19" s="252"/>
      <c r="F19" s="252"/>
      <c r="G19" s="252"/>
      <c r="H19" s="253">
        <f t="shared" si="0"/>
        <v>0</v>
      </c>
      <c r="I19" s="599">
        <v>1</v>
      </c>
      <c r="J19" s="628">
        <f t="shared" si="2"/>
        <v>0</v>
      </c>
      <c r="K19" s="602">
        <f t="shared" si="1"/>
        <v>0</v>
      </c>
    </row>
    <row r="20" spans="1:11" s="87" customFormat="1" ht="15.75" customHeight="1">
      <c r="A20" s="626" t="s">
        <v>378</v>
      </c>
      <c r="B20" s="627" t="s">
        <v>430</v>
      </c>
      <c r="C20" s="252">
        <v>80000</v>
      </c>
      <c r="D20" s="252"/>
      <c r="E20" s="252">
        <v>9900000</v>
      </c>
      <c r="F20" s="252">
        <v>0</v>
      </c>
      <c r="G20" s="252">
        <v>2170000</v>
      </c>
      <c r="H20" s="253">
        <f t="shared" si="0"/>
        <v>12150000</v>
      </c>
      <c r="I20" s="599">
        <v>1</v>
      </c>
      <c r="J20" s="628">
        <f t="shared" si="2"/>
        <v>80000</v>
      </c>
      <c r="K20" s="602">
        <f t="shared" si="1"/>
        <v>80000</v>
      </c>
    </row>
    <row r="21" spans="1:11" s="87" customFormat="1" ht="15.75" customHeight="1">
      <c r="A21" s="626" t="s">
        <v>380</v>
      </c>
      <c r="B21" s="627" t="s">
        <v>431</v>
      </c>
      <c r="C21" s="252"/>
      <c r="D21" s="252"/>
      <c r="E21" s="252"/>
      <c r="F21" s="252"/>
      <c r="G21" s="252"/>
      <c r="H21" s="253">
        <f t="shared" si="0"/>
        <v>0</v>
      </c>
      <c r="I21" s="599">
        <v>1</v>
      </c>
      <c r="J21" s="628">
        <f t="shared" si="2"/>
        <v>0</v>
      </c>
      <c r="K21" s="602">
        <f t="shared" si="1"/>
        <v>0</v>
      </c>
    </row>
    <row r="22" spans="1:11" s="87" customFormat="1" ht="25.5">
      <c r="A22" s="631" t="s">
        <v>382</v>
      </c>
      <c r="B22" s="627" t="s">
        <v>432</v>
      </c>
      <c r="C22" s="252"/>
      <c r="D22" s="252"/>
      <c r="E22" s="252"/>
      <c r="F22" s="252"/>
      <c r="G22" s="252"/>
      <c r="H22" s="253">
        <f t="shared" si="0"/>
        <v>0</v>
      </c>
      <c r="I22" s="599">
        <v>1</v>
      </c>
      <c r="J22" s="628">
        <f t="shared" si="2"/>
        <v>0</v>
      </c>
      <c r="K22" s="602">
        <f t="shared" si="1"/>
        <v>0</v>
      </c>
    </row>
    <row r="23" spans="1:11" s="87" customFormat="1">
      <c r="A23" s="626" t="s">
        <v>384</v>
      </c>
      <c r="B23" s="627" t="s">
        <v>433</v>
      </c>
      <c r="C23" s="252"/>
      <c r="D23" s="252"/>
      <c r="E23" s="252"/>
      <c r="F23" s="252">
        <v>20000000</v>
      </c>
      <c r="G23" s="252">
        <v>121068947</v>
      </c>
      <c r="H23" s="253">
        <f t="shared" si="0"/>
        <v>141068947</v>
      </c>
      <c r="I23" s="599">
        <v>1</v>
      </c>
      <c r="J23" s="628">
        <f t="shared" si="2"/>
        <v>0</v>
      </c>
      <c r="K23" s="602">
        <f t="shared" si="1"/>
        <v>0</v>
      </c>
    </row>
    <row r="24" spans="1:11" s="87" customFormat="1" ht="25.5">
      <c r="A24" s="626" t="s">
        <v>386</v>
      </c>
      <c r="B24" s="632" t="s">
        <v>434</v>
      </c>
      <c r="C24" s="252"/>
      <c r="D24" s="252"/>
      <c r="E24" s="252"/>
      <c r="F24" s="252"/>
      <c r="G24" s="252"/>
      <c r="H24" s="253">
        <f t="shared" si="0"/>
        <v>0</v>
      </c>
      <c r="I24" s="599">
        <v>1</v>
      </c>
      <c r="J24" s="628">
        <f t="shared" si="2"/>
        <v>0</v>
      </c>
      <c r="K24" s="602">
        <f t="shared" si="1"/>
        <v>0</v>
      </c>
    </row>
    <row r="25" spans="1:11" s="87" customFormat="1" ht="15.75" customHeight="1">
      <c r="A25" s="631" t="s">
        <v>388</v>
      </c>
      <c r="B25" s="627" t="s">
        <v>435</v>
      </c>
      <c r="C25" s="252">
        <v>121730352</v>
      </c>
      <c r="D25" s="252"/>
      <c r="E25" s="252"/>
      <c r="F25" s="252"/>
      <c r="G25" s="252"/>
      <c r="H25" s="253">
        <f t="shared" si="0"/>
        <v>121730352</v>
      </c>
      <c r="I25" s="599"/>
      <c r="J25" s="628">
        <f t="shared" si="2"/>
        <v>121730352</v>
      </c>
      <c r="K25" s="602">
        <f t="shared" si="1"/>
        <v>0</v>
      </c>
    </row>
    <row r="26" spans="1:11" s="87" customFormat="1" ht="15.75" customHeight="1">
      <c r="A26" s="631" t="s">
        <v>736</v>
      </c>
      <c r="B26" s="627" t="s">
        <v>818</v>
      </c>
      <c r="C26" s="252">
        <v>85414829</v>
      </c>
      <c r="D26" s="252"/>
      <c r="E26" s="252"/>
      <c r="F26" s="252"/>
      <c r="G26" s="252"/>
      <c r="H26" s="253">
        <f t="shared" si="0"/>
        <v>85414829</v>
      </c>
      <c r="I26" s="599">
        <v>0.1</v>
      </c>
      <c r="J26" s="628">
        <f t="shared" si="2"/>
        <v>85414829</v>
      </c>
      <c r="K26" s="602">
        <f t="shared" si="1"/>
        <v>8541482.9000000004</v>
      </c>
    </row>
    <row r="27" spans="1:11" s="87" customFormat="1" ht="15.75" customHeight="1">
      <c r="A27" s="631" t="s">
        <v>737</v>
      </c>
      <c r="B27" s="627" t="s">
        <v>735</v>
      </c>
      <c r="C27" s="253">
        <f>+C25-C26</f>
        <v>36315523</v>
      </c>
      <c r="D27" s="253">
        <f>+D25-D26</f>
        <v>0</v>
      </c>
      <c r="E27" s="253">
        <f>+E25-E26</f>
        <v>0</v>
      </c>
      <c r="F27" s="253">
        <f>+F25-F26</f>
        <v>0</v>
      </c>
      <c r="G27" s="253">
        <f>+G25-G26</f>
        <v>0</v>
      </c>
      <c r="H27" s="253">
        <f t="shared" si="0"/>
        <v>36315523</v>
      </c>
      <c r="I27" s="599">
        <v>0.3</v>
      </c>
      <c r="J27" s="628">
        <f t="shared" si="2"/>
        <v>36315523</v>
      </c>
      <c r="K27" s="602">
        <f t="shared" si="1"/>
        <v>10894656.9</v>
      </c>
    </row>
    <row r="28" spans="1:11" s="87" customFormat="1" ht="29.25" customHeight="1">
      <c r="A28" s="631" t="s">
        <v>390</v>
      </c>
      <c r="B28" s="627" t="s">
        <v>436</v>
      </c>
      <c r="C28" s="252">
        <v>17518</v>
      </c>
      <c r="D28" s="252"/>
      <c r="E28" s="252"/>
      <c r="F28" s="252"/>
      <c r="G28" s="252"/>
      <c r="H28" s="253">
        <f t="shared" si="0"/>
        <v>17518</v>
      </c>
      <c r="I28" s="599">
        <v>1</v>
      </c>
      <c r="J28" s="628">
        <f t="shared" si="2"/>
        <v>17518</v>
      </c>
      <c r="K28" s="602">
        <f t="shared" si="1"/>
        <v>17518</v>
      </c>
    </row>
    <row r="29" spans="1:11" s="87" customFormat="1" ht="15.75" customHeight="1">
      <c r="A29" s="626" t="s">
        <v>437</v>
      </c>
      <c r="B29" s="627" t="s">
        <v>438</v>
      </c>
      <c r="C29" s="252">
        <v>4973286</v>
      </c>
      <c r="D29" s="252"/>
      <c r="E29" s="252"/>
      <c r="F29" s="252"/>
      <c r="G29" s="252"/>
      <c r="H29" s="253">
        <f t="shared" si="0"/>
        <v>4973286</v>
      </c>
      <c r="I29" s="599">
        <v>1</v>
      </c>
      <c r="J29" s="628">
        <f t="shared" si="2"/>
        <v>4973286</v>
      </c>
      <c r="K29" s="602">
        <f t="shared" si="1"/>
        <v>4973286</v>
      </c>
    </row>
    <row r="30" spans="1:11" s="87" customFormat="1" ht="15.75" customHeight="1">
      <c r="A30" s="633" t="s">
        <v>439</v>
      </c>
      <c r="B30" s="627" t="s">
        <v>409</v>
      </c>
      <c r="C30" s="252"/>
      <c r="D30" s="252">
        <v>2367927</v>
      </c>
      <c r="E30" s="252"/>
      <c r="F30" s="252"/>
      <c r="G30" s="252"/>
      <c r="H30" s="253">
        <f t="shared" si="0"/>
        <v>2367927</v>
      </c>
      <c r="I30" s="599">
        <v>1</v>
      </c>
      <c r="J30" s="628">
        <f t="shared" si="2"/>
        <v>2367927</v>
      </c>
      <c r="K30" s="602">
        <f t="shared" si="1"/>
        <v>2367927</v>
      </c>
    </row>
    <row r="31" spans="1:11" s="87" customFormat="1" ht="29.25" customHeight="1">
      <c r="A31" s="626" t="s">
        <v>394</v>
      </c>
      <c r="B31" s="627" t="s">
        <v>742</v>
      </c>
      <c r="C31" s="252"/>
      <c r="D31" s="252"/>
      <c r="E31" s="252"/>
      <c r="F31" s="252"/>
      <c r="G31" s="252"/>
      <c r="H31" s="253">
        <f t="shared" si="0"/>
        <v>0</v>
      </c>
      <c r="I31" s="599">
        <v>0.1</v>
      </c>
      <c r="J31" s="628">
        <f t="shared" si="2"/>
        <v>0</v>
      </c>
      <c r="K31" s="602">
        <f t="shared" si="1"/>
        <v>0</v>
      </c>
    </row>
    <row r="32" spans="1:11" s="87" customFormat="1" ht="13.5" thickBot="1">
      <c r="A32" s="634" t="s">
        <v>396</v>
      </c>
      <c r="B32" s="635" t="s">
        <v>440</v>
      </c>
      <c r="C32" s="339">
        <v>14636020</v>
      </c>
      <c r="D32" s="339"/>
      <c r="E32" s="339"/>
      <c r="F32" s="339"/>
      <c r="G32" s="339"/>
      <c r="H32" s="451">
        <f t="shared" si="0"/>
        <v>14636020</v>
      </c>
      <c r="I32" s="603">
        <v>0.3</v>
      </c>
      <c r="J32" s="636">
        <f t="shared" si="2"/>
        <v>14636020</v>
      </c>
      <c r="K32" s="605">
        <f t="shared" si="1"/>
        <v>4390806</v>
      </c>
    </row>
    <row r="33" spans="1:11" s="87" customFormat="1" ht="15" customHeight="1" thickBot="1">
      <c r="A33" s="637" t="s">
        <v>398</v>
      </c>
      <c r="B33" s="638" t="s">
        <v>441</v>
      </c>
      <c r="C33" s="486">
        <f t="shared" ref="C33:H33" si="3">SUM(C18:C32)-C25</f>
        <v>382114159</v>
      </c>
      <c r="D33" s="486">
        <f t="shared" si="3"/>
        <v>69122592</v>
      </c>
      <c r="E33" s="486">
        <f t="shared" si="3"/>
        <v>255263933</v>
      </c>
      <c r="F33" s="486">
        <f t="shared" si="3"/>
        <v>200305957</v>
      </c>
      <c r="G33" s="486">
        <f t="shared" si="3"/>
        <v>290411542</v>
      </c>
      <c r="H33" s="486">
        <f t="shared" si="3"/>
        <v>1197218183</v>
      </c>
      <c r="I33" s="639" t="s">
        <v>757</v>
      </c>
      <c r="J33" s="640"/>
      <c r="K33" s="641">
        <f>SUM(K11:K32)</f>
        <v>170907079.5</v>
      </c>
    </row>
    <row r="34" spans="1:11" s="87" customFormat="1">
      <c r="A34" s="454"/>
      <c r="B34" s="455"/>
      <c r="I34" s="456"/>
      <c r="J34" s="457"/>
    </row>
    <row r="35" spans="1:11" s="87" customFormat="1">
      <c r="A35" s="454"/>
      <c r="B35" s="458" t="s">
        <v>587</v>
      </c>
      <c r="I35" s="456"/>
      <c r="J35" s="457"/>
    </row>
    <row r="36" spans="1:11" s="87" customFormat="1">
      <c r="A36" s="454"/>
      <c r="B36" s="458"/>
      <c r="I36" s="456"/>
      <c r="J36" s="457"/>
    </row>
    <row r="37" spans="1:11" s="87" customFormat="1">
      <c r="A37" s="454"/>
      <c r="B37" s="458" t="s">
        <v>588</v>
      </c>
      <c r="I37" s="456"/>
      <c r="J37" s="457"/>
    </row>
    <row r="38" spans="1:11" s="87" customFormat="1">
      <c r="A38" s="454"/>
      <c r="B38" s="455"/>
      <c r="I38" s="456"/>
      <c r="J38" s="457"/>
    </row>
  </sheetData>
  <sheetProtection password="CA0C" sheet="1" objects="1" scenarios="1"/>
  <mergeCells count="8">
    <mergeCell ref="I1:K1"/>
    <mergeCell ref="I2:K2"/>
    <mergeCell ref="K5:K6"/>
    <mergeCell ref="I5:I6"/>
    <mergeCell ref="A5:A6"/>
    <mergeCell ref="B5:B6"/>
    <mergeCell ref="H5:H6"/>
    <mergeCell ref="J5:J6"/>
  </mergeCells>
  <phoneticPr fontId="30" type="noConversion"/>
  <dataValidations count="2">
    <dataValidation type="whole" operator="notEqual" allowBlank="1" showErrorMessage="1" error="Введите как целое число." sqref="C19:G32">
      <formula1>-1E+28</formula1>
    </dataValidation>
    <dataValidation type="whole" operator="greaterThanOrEqual" allowBlank="1" showErrorMessage="1" error="Введите как целое положительное число." sqref="C10:G17">
      <formula1>0</formula1>
    </dataValidation>
  </dataValidations>
  <printOptions horizontalCentered="1"/>
  <pageMargins left="0.15748031496062992" right="0.15748031496062992" top="0.23622047244094491" bottom="0.39370078740157483" header="0.23622047244094491" footer="0.51181102362204722"/>
  <pageSetup paperSize="9" scale="78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H42"/>
  <sheetViews>
    <sheetView view="pageBreakPreview" zoomScale="85" zoomScaleSheetLayoutView="85" workbookViewId="0">
      <selection activeCell="B21" sqref="B21"/>
    </sheetView>
  </sheetViews>
  <sheetFormatPr defaultRowHeight="12.75"/>
  <cols>
    <col min="1" max="1" width="92.85546875" style="1" customWidth="1"/>
    <col min="2" max="2" width="44.28515625" style="1" customWidth="1"/>
    <col min="3" max="8" width="6.42578125" style="1" customWidth="1"/>
    <col min="9" max="15" width="5.42578125" style="1" customWidth="1"/>
    <col min="16" max="16384" width="9.140625" style="1"/>
  </cols>
  <sheetData>
    <row r="1" spans="1:8" ht="112.5" customHeight="1">
      <c r="B1" s="23" t="s">
        <v>527</v>
      </c>
    </row>
    <row r="2" spans="1:8" s="128" customFormat="1" ht="32.25" customHeight="1">
      <c r="A2" s="237" t="s">
        <v>442</v>
      </c>
      <c r="B2" s="237" t="s">
        <v>867</v>
      </c>
      <c r="C2" s="239"/>
      <c r="D2" s="239"/>
      <c r="E2" s="239"/>
      <c r="F2" s="239"/>
      <c r="G2" s="239"/>
      <c r="H2" s="239"/>
    </row>
    <row r="3" spans="1:8">
      <c r="A3" s="475">
        <f>Balance!A4</f>
        <v>43100</v>
      </c>
      <c r="B3" s="61" t="str">
        <f>Balance!B3</f>
        <v>АКБ "Микрокредитбанк"</v>
      </c>
      <c r="C3" s="5"/>
      <c r="D3" s="5"/>
      <c r="E3" s="5"/>
      <c r="F3" s="5"/>
      <c r="G3" s="5"/>
      <c r="H3" s="5"/>
    </row>
    <row r="4" spans="1:8">
      <c r="A4" s="26" t="s">
        <v>591</v>
      </c>
      <c r="B4" s="45" t="s">
        <v>592</v>
      </c>
      <c r="C4" s="5"/>
      <c r="D4" s="5"/>
      <c r="E4" s="5"/>
      <c r="F4" s="5"/>
      <c r="G4" s="5"/>
      <c r="H4" s="5"/>
    </row>
    <row r="5" spans="1:8">
      <c r="A5" s="64" t="s">
        <v>443</v>
      </c>
      <c r="B5" s="27"/>
      <c r="C5" s="5"/>
      <c r="D5" s="5"/>
      <c r="E5" s="5"/>
      <c r="F5" s="5"/>
      <c r="G5" s="5"/>
      <c r="H5" s="5"/>
    </row>
    <row r="6" spans="1:8">
      <c r="A6" s="13" t="s">
        <v>444</v>
      </c>
      <c r="B6" s="82">
        <v>484400880</v>
      </c>
      <c r="C6" s="5"/>
      <c r="D6" s="5"/>
      <c r="E6" s="5"/>
      <c r="F6" s="5"/>
      <c r="G6" s="5"/>
      <c r="H6" s="5"/>
    </row>
    <row r="7" spans="1:8">
      <c r="A7" s="13"/>
      <c r="B7" s="32"/>
      <c r="C7" s="5"/>
      <c r="D7" s="5"/>
      <c r="E7" s="5"/>
      <c r="F7" s="5"/>
      <c r="G7" s="5"/>
      <c r="H7" s="5"/>
    </row>
    <row r="8" spans="1:8">
      <c r="A8" s="13" t="s">
        <v>445</v>
      </c>
      <c r="B8" s="34"/>
      <c r="C8" s="5"/>
      <c r="D8" s="5"/>
      <c r="E8" s="5"/>
      <c r="F8" s="5"/>
      <c r="G8" s="5"/>
      <c r="H8" s="5"/>
    </row>
    <row r="9" spans="1:8">
      <c r="A9" s="13" t="s">
        <v>446</v>
      </c>
      <c r="B9" s="82">
        <v>21179243</v>
      </c>
      <c r="C9" s="5"/>
      <c r="D9" s="5"/>
      <c r="E9" s="5"/>
      <c r="F9" s="5"/>
      <c r="G9" s="5"/>
      <c r="H9" s="5"/>
    </row>
    <row r="10" spans="1:8">
      <c r="A10" s="13" t="s">
        <v>447</v>
      </c>
      <c r="B10" s="82">
        <v>0</v>
      </c>
      <c r="C10" s="5"/>
      <c r="D10" s="5"/>
      <c r="E10" s="5"/>
      <c r="F10" s="5"/>
      <c r="G10" s="5"/>
      <c r="H10" s="5"/>
    </row>
    <row r="11" spans="1:8">
      <c r="A11" s="13" t="s">
        <v>448</v>
      </c>
      <c r="B11" s="82">
        <v>0</v>
      </c>
      <c r="C11" s="5"/>
      <c r="D11" s="5"/>
      <c r="E11" s="5"/>
      <c r="F11" s="5"/>
      <c r="G11" s="5"/>
      <c r="H11" s="5"/>
    </row>
    <row r="12" spans="1:8">
      <c r="A12" s="13" t="s">
        <v>449</v>
      </c>
      <c r="B12" s="32">
        <f>SUM(B9:B11)</f>
        <v>21179243</v>
      </c>
      <c r="C12" s="5"/>
      <c r="D12" s="5"/>
      <c r="E12" s="5"/>
      <c r="F12" s="5"/>
      <c r="G12" s="5"/>
      <c r="H12" s="5"/>
    </row>
    <row r="13" spans="1:8">
      <c r="A13" s="13"/>
      <c r="B13" s="32"/>
      <c r="C13" s="5"/>
      <c r="D13" s="5"/>
      <c r="E13" s="5"/>
      <c r="F13" s="5"/>
      <c r="G13" s="5"/>
      <c r="H13" s="5"/>
    </row>
    <row r="14" spans="1:8">
      <c r="A14" s="13" t="s">
        <v>450</v>
      </c>
      <c r="B14" s="34"/>
      <c r="C14" s="5"/>
      <c r="D14" s="5"/>
      <c r="E14" s="5"/>
      <c r="F14" s="5"/>
      <c r="G14" s="5"/>
      <c r="H14" s="5"/>
    </row>
    <row r="15" spans="1:8">
      <c r="A15" s="13" t="s">
        <v>451</v>
      </c>
      <c r="B15" s="82">
        <v>0</v>
      </c>
      <c r="C15" s="5"/>
      <c r="D15" s="5"/>
      <c r="E15" s="5"/>
      <c r="F15" s="5"/>
      <c r="G15" s="5"/>
      <c r="H15" s="5"/>
    </row>
    <row r="16" spans="1:8">
      <c r="A16" s="13" t="s">
        <v>452</v>
      </c>
      <c r="B16" s="82">
        <v>0</v>
      </c>
      <c r="C16" s="5"/>
      <c r="D16" s="5"/>
      <c r="E16" s="5"/>
      <c r="F16" s="5"/>
      <c r="G16" s="5"/>
      <c r="H16" s="5"/>
    </row>
    <row r="17" spans="1:8">
      <c r="A17" s="13" t="s">
        <v>453</v>
      </c>
      <c r="B17" s="82">
        <v>0</v>
      </c>
      <c r="C17" s="5"/>
      <c r="D17" s="5"/>
      <c r="E17" s="5"/>
      <c r="F17" s="5"/>
      <c r="G17" s="5"/>
      <c r="H17" s="5"/>
    </row>
    <row r="18" spans="1:8">
      <c r="A18" s="13" t="s">
        <v>454</v>
      </c>
      <c r="B18" s="82">
        <v>0</v>
      </c>
      <c r="C18" s="5"/>
      <c r="D18" s="5"/>
      <c r="E18" s="5"/>
      <c r="F18" s="5"/>
      <c r="G18" s="5"/>
      <c r="H18" s="5"/>
    </row>
    <row r="19" spans="1:8">
      <c r="A19" s="13" t="s">
        <v>455</v>
      </c>
      <c r="B19" s="82">
        <v>43380833</v>
      </c>
      <c r="C19" s="5"/>
      <c r="D19" s="5"/>
      <c r="E19" s="5"/>
      <c r="F19" s="5"/>
      <c r="G19" s="5"/>
      <c r="H19" s="5"/>
    </row>
    <row r="20" spans="1:8">
      <c r="A20" s="13" t="s">
        <v>456</v>
      </c>
      <c r="B20" s="32">
        <f>SUM(B15:B19)</f>
        <v>43380833</v>
      </c>
      <c r="C20" s="5"/>
      <c r="D20" s="5"/>
      <c r="E20" s="5"/>
      <c r="F20" s="5"/>
      <c r="G20" s="5"/>
      <c r="H20" s="5"/>
    </row>
    <row r="21" spans="1:8">
      <c r="A21" s="13"/>
      <c r="B21" s="32"/>
      <c r="C21" s="5"/>
      <c r="D21" s="5"/>
      <c r="E21" s="5"/>
      <c r="F21" s="5"/>
      <c r="G21" s="5"/>
      <c r="H21" s="5"/>
    </row>
    <row r="22" spans="1:8">
      <c r="A22" s="13" t="s">
        <v>457</v>
      </c>
      <c r="B22" s="32">
        <f>B6+B12+B20</f>
        <v>548960956</v>
      </c>
      <c r="C22" s="5"/>
      <c r="D22" s="5"/>
      <c r="E22" s="5"/>
      <c r="F22" s="5"/>
      <c r="G22" s="5"/>
      <c r="H22" s="5"/>
    </row>
    <row r="23" spans="1:8">
      <c r="B23" s="4"/>
      <c r="C23" s="5"/>
      <c r="D23" s="5"/>
      <c r="E23" s="5"/>
      <c r="F23" s="5"/>
      <c r="G23" s="5"/>
      <c r="H23" s="5"/>
    </row>
    <row r="24" spans="1:8">
      <c r="A24" s="22" t="s">
        <v>587</v>
      </c>
      <c r="B24" s="4"/>
      <c r="C24" s="5"/>
      <c r="D24" s="5"/>
      <c r="E24" s="5"/>
      <c r="F24" s="5"/>
      <c r="G24" s="5"/>
      <c r="H24" s="5"/>
    </row>
    <row r="25" spans="1:8">
      <c r="A25" s="22"/>
      <c r="B25" s="4"/>
      <c r="C25" s="5"/>
      <c r="D25" s="5"/>
      <c r="E25" s="5"/>
      <c r="F25" s="5"/>
      <c r="G25" s="5"/>
      <c r="H25" s="5"/>
    </row>
    <row r="26" spans="1:8">
      <c r="A26" s="22" t="s">
        <v>588</v>
      </c>
      <c r="B26" s="4"/>
      <c r="C26" s="5"/>
      <c r="D26" s="5"/>
      <c r="E26" s="5"/>
      <c r="F26" s="5"/>
      <c r="G26" s="5"/>
      <c r="H26" s="5"/>
    </row>
    <row r="27" spans="1:8">
      <c r="A27" s="5"/>
      <c r="C27" s="5"/>
      <c r="D27" s="5"/>
      <c r="E27" s="5"/>
      <c r="F27" s="5"/>
      <c r="G27" s="5"/>
      <c r="H27" s="5"/>
    </row>
    <row r="28" spans="1:8">
      <c r="A28" s="5"/>
      <c r="C28" s="5"/>
      <c r="D28" s="5"/>
      <c r="E28" s="5"/>
      <c r="F28" s="5"/>
      <c r="G28" s="5"/>
      <c r="H28" s="5"/>
    </row>
    <row r="29" spans="1:8">
      <c r="A29" s="5"/>
      <c r="C29" s="5"/>
      <c r="D29" s="5"/>
      <c r="E29" s="5"/>
      <c r="F29" s="5"/>
      <c r="G29" s="5"/>
      <c r="H29" s="5"/>
    </row>
    <row r="30" spans="1:8">
      <c r="A30" s="5"/>
      <c r="C30" s="5"/>
      <c r="D30" s="5"/>
      <c r="E30" s="5"/>
      <c r="F30" s="5"/>
      <c r="G30" s="5"/>
      <c r="H30" s="5"/>
    </row>
    <row r="31" spans="1:8">
      <c r="A31" s="278"/>
      <c r="C31" s="5"/>
      <c r="D31" s="5"/>
      <c r="E31" s="5"/>
      <c r="F31" s="5"/>
      <c r="G31" s="5"/>
      <c r="H31" s="5"/>
    </row>
    <row r="32" spans="1:8">
      <c r="A32" s="5"/>
      <c r="C32" s="5"/>
      <c r="D32" s="5"/>
      <c r="E32" s="5"/>
      <c r="F32" s="5"/>
      <c r="G32" s="5"/>
      <c r="H32" s="5"/>
    </row>
    <row r="33" spans="1:8">
      <c r="A33" s="5"/>
      <c r="C33" s="5"/>
      <c r="D33" s="5"/>
      <c r="E33" s="5"/>
      <c r="F33" s="5"/>
      <c r="G33" s="5"/>
      <c r="H33" s="5"/>
    </row>
    <row r="34" spans="1:8">
      <c r="C34" s="5"/>
      <c r="D34" s="5"/>
      <c r="E34" s="5"/>
      <c r="F34" s="5"/>
      <c r="G34" s="5"/>
      <c r="H34" s="5"/>
    </row>
    <row r="35" spans="1:8">
      <c r="C35" s="5"/>
      <c r="D35" s="5"/>
      <c r="E35" s="5"/>
      <c r="F35" s="5"/>
      <c r="G35" s="5"/>
      <c r="H35" s="5"/>
    </row>
    <row r="36" spans="1:8">
      <c r="C36" s="5"/>
      <c r="D36" s="5"/>
      <c r="E36" s="5"/>
      <c r="F36" s="5"/>
      <c r="G36" s="5"/>
      <c r="H36" s="5"/>
    </row>
    <row r="37" spans="1:8">
      <c r="C37" s="5"/>
      <c r="D37" s="5"/>
      <c r="E37" s="5"/>
      <c r="F37" s="5"/>
      <c r="G37" s="5"/>
      <c r="H37" s="5"/>
    </row>
    <row r="38" spans="1:8">
      <c r="C38" s="5"/>
      <c r="D38" s="5"/>
      <c r="E38" s="5"/>
      <c r="F38" s="5"/>
      <c r="G38" s="5"/>
      <c r="H38" s="5"/>
    </row>
    <row r="39" spans="1:8">
      <c r="C39" s="5"/>
      <c r="D39" s="5"/>
      <c r="E39" s="5"/>
      <c r="F39" s="5"/>
      <c r="G39" s="5"/>
      <c r="H39" s="5"/>
    </row>
    <row r="40" spans="1:8">
      <c r="C40" s="5"/>
      <c r="D40" s="5"/>
      <c r="E40" s="5"/>
      <c r="F40" s="5"/>
      <c r="G40" s="5"/>
      <c r="H40" s="5"/>
    </row>
    <row r="41" spans="1:8">
      <c r="C41" s="5"/>
      <c r="D41" s="5"/>
      <c r="E41" s="5"/>
      <c r="F41" s="5"/>
      <c r="G41" s="5"/>
      <c r="H41" s="5"/>
    </row>
    <row r="42" spans="1:8">
      <c r="C42" s="5"/>
      <c r="D42" s="5"/>
      <c r="E42" s="5"/>
      <c r="F42" s="5"/>
      <c r="G42" s="5"/>
      <c r="H42" s="5"/>
    </row>
  </sheetData>
  <sheetProtection password="CA0C" sheet="1" objects="1" scenarios="1"/>
  <phoneticPr fontId="30" type="noConversion"/>
  <dataValidations count="2">
    <dataValidation type="whole" operator="greaterThanOrEqual" allowBlank="1" showErrorMessage="1" error="Введите как целое положительное число." sqref="B9:B11 B15:B19 B6">
      <formula1>0</formula1>
    </dataValidation>
    <dataValidation type="whole" operator="greaterThanOrEqual" allowBlank="1" showInputMessage="1" showErrorMessage="1" sqref="B7:B8 B12:B14 B20:B22">
      <formula1>0</formula1>
    </dataValidation>
  </dataValidations>
  <printOptions horizontalCentered="1"/>
  <pageMargins left="0.15748031496062992" right="0.27559055118110237" top="0.55118110236220474" bottom="0.98425196850393704" header="0.51181102362204722" footer="0.51181102362204722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pageSetUpPr fitToPage="1"/>
  </sheetPr>
  <dimension ref="A1:Q49"/>
  <sheetViews>
    <sheetView view="pageBreakPreview" topLeftCell="B22" zoomScale="90" zoomScaleNormal="85" zoomScaleSheetLayoutView="90" workbookViewId="0">
      <selection activeCell="I38" sqref="I38:I39"/>
    </sheetView>
  </sheetViews>
  <sheetFormatPr defaultColWidth="9" defaultRowHeight="12.75"/>
  <cols>
    <col min="1" max="1" width="5" style="128" customWidth="1"/>
    <col min="2" max="3" width="9" style="1" customWidth="1"/>
    <col min="4" max="4" width="25.42578125" style="1" customWidth="1"/>
    <col min="5" max="5" width="42.140625" style="1" customWidth="1"/>
    <col min="6" max="6" width="15.42578125" style="1" bestFit="1" customWidth="1"/>
    <col min="7" max="7" width="9" style="1" customWidth="1"/>
    <col min="8" max="8" width="36.28515625" style="1" customWidth="1"/>
    <col min="9" max="11" width="15" style="1" customWidth="1"/>
    <col min="12" max="12" width="0.140625" style="1" customWidth="1"/>
    <col min="13" max="16384" width="9" style="1"/>
  </cols>
  <sheetData>
    <row r="1" spans="1:17" ht="55.5" customHeight="1">
      <c r="I1" s="704" t="s">
        <v>527</v>
      </c>
      <c r="J1" s="704"/>
      <c r="K1" s="704"/>
      <c r="L1" s="704"/>
    </row>
    <row r="2" spans="1:17" ht="15.75">
      <c r="A2" s="823" t="s">
        <v>458</v>
      </c>
      <c r="B2" s="823"/>
      <c r="C2" s="823"/>
      <c r="D2" s="823"/>
      <c r="E2" s="823"/>
      <c r="F2" s="823"/>
      <c r="G2" s="823"/>
      <c r="H2" s="823"/>
      <c r="I2" s="824" t="s">
        <v>459</v>
      </c>
      <c r="J2" s="824"/>
      <c r="K2" s="824"/>
    </row>
    <row r="3" spans="1:17" ht="13.5" thickBot="1">
      <c r="A3" s="487">
        <f>Balance!A4</f>
        <v>43100</v>
      </c>
      <c r="B3" s="277"/>
      <c r="C3" s="277"/>
      <c r="D3" s="277"/>
      <c r="E3" s="277"/>
      <c r="F3" s="277"/>
      <c r="G3" s="277"/>
      <c r="H3" s="279"/>
      <c r="I3" s="280"/>
      <c r="J3" s="61" t="str">
        <f>Balance!B3</f>
        <v>АКБ "Микрокредитбанк"</v>
      </c>
      <c r="K3" s="281"/>
    </row>
    <row r="4" spans="1:17" ht="13.5" thickBot="1">
      <c r="A4" s="825"/>
      <c r="B4" s="826"/>
      <c r="C4" s="826"/>
      <c r="D4" s="826"/>
      <c r="E4" s="826"/>
      <c r="F4" s="826"/>
      <c r="G4" s="826"/>
      <c r="H4" s="826"/>
      <c r="I4" s="826"/>
      <c r="J4" s="826"/>
      <c r="K4" s="827"/>
    </row>
    <row r="5" spans="1:17" s="283" customFormat="1" ht="30.75" customHeight="1">
      <c r="A5" s="642" t="s">
        <v>48</v>
      </c>
      <c r="B5" s="830" t="s">
        <v>460</v>
      </c>
      <c r="C5" s="831"/>
      <c r="D5" s="831"/>
      <c r="E5" s="832"/>
      <c r="F5" s="830" t="s">
        <v>461</v>
      </c>
      <c r="G5" s="831"/>
      <c r="H5" s="832"/>
      <c r="I5" s="643" t="s">
        <v>462</v>
      </c>
      <c r="J5" s="643" t="s">
        <v>463</v>
      </c>
      <c r="K5" s="644" t="s">
        <v>464</v>
      </c>
      <c r="L5" s="282"/>
      <c r="N5" s="353"/>
      <c r="O5" s="353"/>
      <c r="P5" s="354"/>
      <c r="Q5" s="353"/>
    </row>
    <row r="6" spans="1:17" ht="13.5" customHeight="1">
      <c r="A6" s="645"/>
      <c r="B6" s="833" t="s">
        <v>465</v>
      </c>
      <c r="C6" s="834"/>
      <c r="D6" s="834"/>
      <c r="E6" s="835"/>
      <c r="F6" s="833" t="s">
        <v>233</v>
      </c>
      <c r="G6" s="834"/>
      <c r="H6" s="835"/>
      <c r="I6" s="646" t="s">
        <v>259</v>
      </c>
      <c r="J6" s="646" t="s">
        <v>234</v>
      </c>
      <c r="K6" s="647" t="s">
        <v>235</v>
      </c>
      <c r="L6" s="284"/>
      <c r="M6" s="14"/>
      <c r="N6" s="353"/>
      <c r="O6" s="353"/>
      <c r="P6" s="354"/>
      <c r="Q6" s="353"/>
    </row>
    <row r="7" spans="1:17" s="197" customFormat="1" ht="14.25">
      <c r="A7" s="648">
        <v>1</v>
      </c>
      <c r="B7" s="836" t="s">
        <v>466</v>
      </c>
      <c r="C7" s="828"/>
      <c r="D7" s="828"/>
      <c r="E7" s="828"/>
      <c r="F7" s="828"/>
      <c r="G7" s="828"/>
      <c r="H7" s="828"/>
      <c r="I7" s="828"/>
      <c r="J7" s="828"/>
      <c r="K7" s="829"/>
      <c r="L7" s="285"/>
      <c r="N7" s="353"/>
      <c r="O7" s="353"/>
      <c r="P7" s="354"/>
      <c r="Q7" s="353"/>
    </row>
    <row r="8" spans="1:17" ht="24" customHeight="1">
      <c r="A8" s="800" t="s">
        <v>421</v>
      </c>
      <c r="B8" s="802" t="s">
        <v>467</v>
      </c>
      <c r="C8" s="803"/>
      <c r="D8" s="803"/>
      <c r="E8" s="804"/>
      <c r="F8" s="794" t="s">
        <v>468</v>
      </c>
      <c r="G8" s="795"/>
      <c r="H8" s="796"/>
      <c r="I8" s="815">
        <f>'Bank Capital Calc.'!E50</f>
        <v>0.28700826281722752</v>
      </c>
      <c r="J8" s="649" t="s">
        <v>469</v>
      </c>
      <c r="K8" s="817" t="str">
        <f>IF(I8="",0-J9,(IF((I8-J9)&gt;0,"",I8-J9)))</f>
        <v/>
      </c>
      <c r="L8" s="286"/>
      <c r="N8" s="353"/>
      <c r="O8" s="353"/>
      <c r="P8" s="354"/>
      <c r="Q8" s="353"/>
    </row>
    <row r="9" spans="1:17" ht="14.25">
      <c r="A9" s="801"/>
      <c r="B9" s="812"/>
      <c r="C9" s="813"/>
      <c r="D9" s="813"/>
      <c r="E9" s="814"/>
      <c r="F9" s="819" t="s">
        <v>470</v>
      </c>
      <c r="G9" s="820"/>
      <c r="H9" s="821"/>
      <c r="I9" s="816"/>
      <c r="J9" s="651">
        <f>+'Calculation of Risk'!C26/100</f>
        <v>0.125</v>
      </c>
      <c r="K9" s="822"/>
      <c r="L9" s="286"/>
      <c r="N9" s="353"/>
      <c r="O9" s="353"/>
      <c r="P9" s="354"/>
      <c r="Q9" s="353"/>
    </row>
    <row r="10" spans="1:17" ht="14.25">
      <c r="A10" s="800" t="s">
        <v>423</v>
      </c>
      <c r="B10" s="802" t="s">
        <v>471</v>
      </c>
      <c r="C10" s="803"/>
      <c r="D10" s="803"/>
      <c r="E10" s="804"/>
      <c r="F10" s="797" t="s">
        <v>472</v>
      </c>
      <c r="G10" s="798"/>
      <c r="H10" s="799"/>
      <c r="I10" s="815">
        <f>'Bank Capital Calc.'!E49</f>
        <v>0.28691819383713013</v>
      </c>
      <c r="J10" s="649" t="s">
        <v>469</v>
      </c>
      <c r="K10" s="817" t="str">
        <f>IF(I10="",0-J11,(IF((I10-J11)&gt;0,"",I10-J11)))</f>
        <v/>
      </c>
      <c r="L10" s="286"/>
      <c r="N10" s="353"/>
      <c r="O10" s="353"/>
      <c r="P10" s="354"/>
      <c r="Q10" s="353"/>
    </row>
    <row r="11" spans="1:17" ht="14.25">
      <c r="A11" s="801"/>
      <c r="B11" s="805"/>
      <c r="C11" s="806"/>
      <c r="D11" s="806"/>
      <c r="E11" s="807"/>
      <c r="F11" s="819" t="s">
        <v>470</v>
      </c>
      <c r="G11" s="820"/>
      <c r="H11" s="821"/>
      <c r="I11" s="816"/>
      <c r="J11" s="651">
        <f>+'Calculation of Risk'!G10/100</f>
        <v>9.5000000000000001E-2</v>
      </c>
      <c r="K11" s="818"/>
      <c r="L11" s="286"/>
      <c r="N11" s="353"/>
      <c r="O11" s="353"/>
      <c r="P11" s="354"/>
      <c r="Q11" s="353"/>
    </row>
    <row r="12" spans="1:17" ht="14.25">
      <c r="A12" s="808">
        <v>1.3</v>
      </c>
      <c r="B12" s="809" t="s">
        <v>473</v>
      </c>
      <c r="C12" s="810"/>
      <c r="D12" s="810"/>
      <c r="E12" s="811"/>
      <c r="F12" s="797" t="s">
        <v>472</v>
      </c>
      <c r="G12" s="798"/>
      <c r="H12" s="799"/>
      <c r="I12" s="815">
        <f>+'Bank Capital Calc.'!E56</f>
        <v>0.24050559251162459</v>
      </c>
      <c r="J12" s="652" t="s">
        <v>469</v>
      </c>
      <c r="K12" s="817" t="str">
        <f>IF(I12="",0-J13,(IF((I12-J13)&gt;0,"",I12-J13)))</f>
        <v/>
      </c>
      <c r="L12" s="286"/>
      <c r="N12" s="355"/>
      <c r="O12" s="353"/>
      <c r="P12" s="354"/>
      <c r="Q12" s="353"/>
    </row>
    <row r="13" spans="1:17" ht="24.75" customHeight="1">
      <c r="A13" s="801"/>
      <c r="B13" s="812"/>
      <c r="C13" s="813"/>
      <c r="D13" s="813"/>
      <c r="E13" s="814"/>
      <c r="F13" s="794" t="s">
        <v>840</v>
      </c>
      <c r="G13" s="795"/>
      <c r="H13" s="796"/>
      <c r="I13" s="816"/>
      <c r="J13" s="652">
        <v>0.06</v>
      </c>
      <c r="K13" s="822"/>
      <c r="L13" s="286"/>
      <c r="N13" s="353"/>
      <c r="O13" s="353"/>
      <c r="P13" s="354"/>
      <c r="Q13" s="353"/>
    </row>
    <row r="14" spans="1:17" s="197" customFormat="1" ht="14.25">
      <c r="A14" s="648">
        <v>2</v>
      </c>
      <c r="B14" s="836" t="s">
        <v>474</v>
      </c>
      <c r="C14" s="828"/>
      <c r="D14" s="828"/>
      <c r="E14" s="828"/>
      <c r="F14" s="828"/>
      <c r="G14" s="828"/>
      <c r="H14" s="828"/>
      <c r="I14" s="828"/>
      <c r="J14" s="828"/>
      <c r="K14" s="829"/>
      <c r="L14" s="285"/>
      <c r="N14" s="353"/>
      <c r="O14" s="353"/>
      <c r="P14" s="354"/>
      <c r="Q14" s="353"/>
    </row>
    <row r="15" spans="1:17" ht="24" customHeight="1">
      <c r="A15" s="800" t="s">
        <v>475</v>
      </c>
      <c r="B15" s="866" t="s">
        <v>476</v>
      </c>
      <c r="C15" s="867"/>
      <c r="D15" s="867"/>
      <c r="E15" s="868"/>
      <c r="F15" s="872" t="s">
        <v>477</v>
      </c>
      <c r="G15" s="873"/>
      <c r="H15" s="874"/>
      <c r="I15" s="875">
        <f>'Liquidity Analysis'!B32</f>
        <v>0.9335073862368094</v>
      </c>
      <c r="J15" s="653" t="s">
        <v>469</v>
      </c>
      <c r="K15" s="862" t="str">
        <f>IF(I15="",0-J16,(IF((I15-J16)&gt;0,"",I15-J16)))</f>
        <v/>
      </c>
      <c r="L15" s="286"/>
      <c r="N15" s="353"/>
      <c r="O15" s="353"/>
      <c r="P15" s="354"/>
      <c r="Q15" s="353"/>
    </row>
    <row r="16" spans="1:17" ht="14.25">
      <c r="A16" s="801"/>
      <c r="B16" s="869"/>
      <c r="C16" s="870"/>
      <c r="D16" s="870"/>
      <c r="E16" s="871"/>
      <c r="F16" s="654" t="s">
        <v>478</v>
      </c>
      <c r="G16" s="654"/>
      <c r="H16" s="655"/>
      <c r="I16" s="876"/>
      <c r="J16" s="669">
        <v>0.3</v>
      </c>
      <c r="K16" s="863"/>
      <c r="L16" s="286"/>
      <c r="N16" s="353"/>
      <c r="O16" s="353"/>
      <c r="P16" s="354"/>
      <c r="Q16" s="353"/>
    </row>
    <row r="17" spans="1:17" ht="15.75" customHeight="1">
      <c r="A17" s="800" t="s">
        <v>855</v>
      </c>
      <c r="B17" s="866" t="s">
        <v>841</v>
      </c>
      <c r="C17" s="867"/>
      <c r="D17" s="867"/>
      <c r="E17" s="868"/>
      <c r="F17" s="864" t="s">
        <v>842</v>
      </c>
      <c r="G17" s="864"/>
      <c r="H17" s="864"/>
      <c r="I17" s="882">
        <f>+'Liquidity Analysis'!B38</f>
        <v>2.3779888532927518</v>
      </c>
      <c r="J17" s="656" t="s">
        <v>469</v>
      </c>
      <c r="K17" s="862" t="str">
        <f>IF(I17="",0-J18,(IF((I17-J18)&gt;0,"",I17-J18)))</f>
        <v/>
      </c>
      <c r="L17" s="286"/>
      <c r="N17" s="353"/>
      <c r="O17" s="353"/>
      <c r="P17" s="354"/>
      <c r="Q17" s="353"/>
    </row>
    <row r="18" spans="1:17" ht="15.75" customHeight="1">
      <c r="A18" s="801"/>
      <c r="B18" s="869"/>
      <c r="C18" s="870"/>
      <c r="D18" s="870"/>
      <c r="E18" s="871"/>
      <c r="F18" s="864" t="s">
        <v>843</v>
      </c>
      <c r="G18" s="864"/>
      <c r="H18" s="864"/>
      <c r="I18" s="883"/>
      <c r="J18" s="657">
        <f>+'Calculation of Risk'!G11/100</f>
        <v>0.9</v>
      </c>
      <c r="K18" s="863"/>
      <c r="L18" s="286"/>
      <c r="N18" s="353"/>
      <c r="O18" s="353"/>
      <c r="P18" s="354"/>
      <c r="Q18" s="353"/>
    </row>
    <row r="19" spans="1:17" ht="15" customHeight="1">
      <c r="A19" s="800" t="s">
        <v>856</v>
      </c>
      <c r="B19" s="866" t="s">
        <v>846</v>
      </c>
      <c r="C19" s="867"/>
      <c r="D19" s="867"/>
      <c r="E19" s="868"/>
      <c r="F19" s="865" t="s">
        <v>845</v>
      </c>
      <c r="G19" s="865"/>
      <c r="H19" s="865"/>
      <c r="I19" s="882">
        <f>+'Liquidity Analysis'!B41</f>
        <v>1.0145831413785993</v>
      </c>
      <c r="J19" s="653" t="s">
        <v>469</v>
      </c>
      <c r="K19" s="862" t="str">
        <f>IF(I19="",0-J20,(IF((I19-J20)&gt;0,"",I19-J20)))</f>
        <v/>
      </c>
      <c r="L19" s="286"/>
      <c r="N19" s="353"/>
      <c r="O19" s="353"/>
      <c r="P19" s="354"/>
      <c r="Q19" s="353"/>
    </row>
    <row r="20" spans="1:17" ht="15" customHeight="1">
      <c r="A20" s="801"/>
      <c r="B20" s="869"/>
      <c r="C20" s="870"/>
      <c r="D20" s="870"/>
      <c r="E20" s="871"/>
      <c r="F20" s="865" t="s">
        <v>844</v>
      </c>
      <c r="G20" s="865"/>
      <c r="H20" s="865"/>
      <c r="I20" s="883"/>
      <c r="J20" s="653">
        <f>+'Calculation of Risk'!G12/100</f>
        <v>0</v>
      </c>
      <c r="K20" s="884"/>
      <c r="L20" s="286"/>
      <c r="N20" s="353"/>
      <c r="O20" s="353"/>
      <c r="P20" s="354"/>
      <c r="Q20" s="353"/>
    </row>
    <row r="21" spans="1:17" s="197" customFormat="1" ht="14.25">
      <c r="A21" s="648">
        <v>3</v>
      </c>
      <c r="B21" s="851" t="s">
        <v>479</v>
      </c>
      <c r="C21" s="852"/>
      <c r="D21" s="852"/>
      <c r="E21" s="852"/>
      <c r="F21" s="852"/>
      <c r="G21" s="852"/>
      <c r="H21" s="852"/>
      <c r="I21" s="852"/>
      <c r="J21" s="852"/>
      <c r="K21" s="853"/>
      <c r="L21" s="285"/>
      <c r="N21" s="353"/>
      <c r="O21" s="353"/>
      <c r="P21" s="354"/>
      <c r="Q21" s="353"/>
    </row>
    <row r="22" spans="1:17" ht="24">
      <c r="A22" s="800" t="s">
        <v>480</v>
      </c>
      <c r="B22" s="837" t="s">
        <v>481</v>
      </c>
      <c r="C22" s="838"/>
      <c r="D22" s="838"/>
      <c r="E22" s="839"/>
      <c r="F22" s="658" t="s">
        <v>482</v>
      </c>
      <c r="G22" s="659"/>
      <c r="H22" s="660"/>
      <c r="I22" s="843">
        <v>0</v>
      </c>
      <c r="J22" s="656" t="s">
        <v>483</v>
      </c>
      <c r="K22" s="857" t="str">
        <f>IF(I22="","",IF(I22&lt;0,"ОТР",IF((I22-J23)&lt;0,"",I22-J23)))</f>
        <v/>
      </c>
      <c r="L22" s="286"/>
      <c r="N22" s="353"/>
      <c r="O22" s="353"/>
      <c r="P22" s="354"/>
      <c r="Q22" s="353"/>
    </row>
    <row r="23" spans="1:17" ht="14.25">
      <c r="A23" s="801"/>
      <c r="B23" s="840"/>
      <c r="C23" s="841"/>
      <c r="D23" s="841"/>
      <c r="E23" s="842"/>
      <c r="F23" s="859" t="s">
        <v>472</v>
      </c>
      <c r="G23" s="860"/>
      <c r="H23" s="861"/>
      <c r="I23" s="844"/>
      <c r="J23" s="657">
        <v>0.25</v>
      </c>
      <c r="K23" s="858"/>
      <c r="L23" s="286"/>
      <c r="N23" s="353"/>
      <c r="O23" s="353"/>
      <c r="P23" s="354"/>
      <c r="Q23" s="353"/>
    </row>
    <row r="24" spans="1:17" ht="24">
      <c r="A24" s="800" t="s">
        <v>484</v>
      </c>
      <c r="B24" s="837" t="s">
        <v>485</v>
      </c>
      <c r="C24" s="838"/>
      <c r="D24" s="838"/>
      <c r="E24" s="839"/>
      <c r="F24" s="658" t="s">
        <v>486</v>
      </c>
      <c r="G24" s="659"/>
      <c r="H24" s="660"/>
      <c r="I24" s="843">
        <v>0</v>
      </c>
      <c r="J24" s="656" t="s">
        <v>483</v>
      </c>
      <c r="K24" s="857" t="str">
        <f>IF(I24&lt;0,"ОТР",IF((I24-J25)&lt;0,"",I24-J25))</f>
        <v/>
      </c>
      <c r="L24" s="286"/>
      <c r="N24" s="353"/>
      <c r="O24" s="353"/>
      <c r="P24" s="354"/>
      <c r="Q24" s="353"/>
    </row>
    <row r="25" spans="1:17" ht="14.25">
      <c r="A25" s="801"/>
      <c r="B25" s="854"/>
      <c r="C25" s="855"/>
      <c r="D25" s="855"/>
      <c r="E25" s="856"/>
      <c r="F25" s="859" t="s">
        <v>472</v>
      </c>
      <c r="G25" s="860"/>
      <c r="H25" s="861"/>
      <c r="I25" s="850"/>
      <c r="J25" s="657">
        <v>0.05</v>
      </c>
      <c r="K25" s="858"/>
      <c r="L25" s="286"/>
      <c r="N25" s="353"/>
      <c r="O25" s="353"/>
      <c r="P25" s="354"/>
      <c r="Q25" s="353"/>
    </row>
    <row r="26" spans="1:17" ht="14.25" customHeight="1">
      <c r="A26" s="808">
        <v>3.3</v>
      </c>
      <c r="B26" s="885" t="s">
        <v>487</v>
      </c>
      <c r="C26" s="886"/>
      <c r="D26" s="886"/>
      <c r="E26" s="887"/>
      <c r="F26" s="661" t="s">
        <v>488</v>
      </c>
      <c r="G26" s="662"/>
      <c r="H26" s="663"/>
      <c r="I26" s="843">
        <v>0</v>
      </c>
      <c r="J26" s="653" t="s">
        <v>483</v>
      </c>
      <c r="K26" s="857" t="str">
        <f>IF(I26="","",IF(I26&lt;0,"ОТР",IF((I26-J27)&lt;0,"",I26-J27)))</f>
        <v/>
      </c>
      <c r="L26" s="286"/>
      <c r="N26" s="353"/>
      <c r="O26" s="353"/>
      <c r="P26" s="354"/>
      <c r="Q26" s="353"/>
    </row>
    <row r="27" spans="1:17" ht="14.25">
      <c r="A27" s="801"/>
      <c r="B27" s="854"/>
      <c r="C27" s="855"/>
      <c r="D27" s="855"/>
      <c r="E27" s="856"/>
      <c r="F27" s="859" t="s">
        <v>472</v>
      </c>
      <c r="G27" s="860"/>
      <c r="H27" s="861"/>
      <c r="I27" s="850"/>
      <c r="J27" s="653">
        <v>8</v>
      </c>
      <c r="K27" s="858"/>
      <c r="L27" s="286"/>
      <c r="N27" s="353"/>
      <c r="O27" s="353"/>
      <c r="P27" s="354"/>
      <c r="Q27" s="353"/>
    </row>
    <row r="28" spans="1:17" s="197" customFormat="1" ht="14.25">
      <c r="A28" s="648">
        <v>4</v>
      </c>
      <c r="B28" s="836" t="s">
        <v>489</v>
      </c>
      <c r="C28" s="828"/>
      <c r="D28" s="828"/>
      <c r="E28" s="828"/>
      <c r="F28" s="828"/>
      <c r="G28" s="828"/>
      <c r="H28" s="828"/>
      <c r="I28" s="828"/>
      <c r="J28" s="828"/>
      <c r="K28" s="829"/>
      <c r="L28" s="285"/>
      <c r="N28" s="353"/>
      <c r="O28" s="353"/>
      <c r="P28" s="354"/>
      <c r="Q28" s="353"/>
    </row>
    <row r="29" spans="1:17" ht="14.25">
      <c r="A29" s="800" t="s">
        <v>490</v>
      </c>
      <c r="B29" s="845" t="s">
        <v>491</v>
      </c>
      <c r="C29" s="846"/>
      <c r="D29" s="846"/>
      <c r="E29" s="847"/>
      <c r="F29" s="664" t="s">
        <v>492</v>
      </c>
      <c r="G29" s="665"/>
      <c r="H29" s="666"/>
      <c r="I29" s="843">
        <f>+Balance!B15/'Bank Capital Calc.'!E32</f>
        <v>5.0895938800338816E-3</v>
      </c>
      <c r="J29" s="649" t="s">
        <v>483</v>
      </c>
      <c r="K29" s="877" t="str">
        <f>IF(I29&lt;0,"ОТР",IF((I29-J30)&lt;0,"",I29-J30))</f>
        <v/>
      </c>
      <c r="L29" s="286"/>
      <c r="N29" s="353"/>
      <c r="O29" s="353"/>
      <c r="P29" s="354"/>
      <c r="Q29" s="353"/>
    </row>
    <row r="30" spans="1:17" ht="14.25">
      <c r="A30" s="801"/>
      <c r="B30" s="848"/>
      <c r="C30" s="848"/>
      <c r="D30" s="848"/>
      <c r="E30" s="849"/>
      <c r="F30" s="797" t="s">
        <v>472</v>
      </c>
      <c r="G30" s="798"/>
      <c r="H30" s="799"/>
      <c r="I30" s="850"/>
      <c r="J30" s="650">
        <v>0.15</v>
      </c>
      <c r="K30" s="878"/>
      <c r="L30" s="286"/>
      <c r="N30" s="353"/>
      <c r="O30" s="353"/>
      <c r="P30" s="354"/>
      <c r="Q30" s="353"/>
    </row>
    <row r="31" spans="1:17" ht="24.75" customHeight="1">
      <c r="A31" s="800">
        <v>4.2</v>
      </c>
      <c r="B31" s="845" t="s">
        <v>493</v>
      </c>
      <c r="C31" s="846"/>
      <c r="D31" s="846"/>
      <c r="E31" s="847"/>
      <c r="F31" s="879" t="s">
        <v>494</v>
      </c>
      <c r="G31" s="880"/>
      <c r="H31" s="881"/>
      <c r="I31" s="875">
        <f>IF('Bank Capital Calc.'!E32=0,"",'Investment Securities'!B26/'Bank Capital Calc.'!E32)</f>
        <v>6.4688553139089541E-4</v>
      </c>
      <c r="J31" s="649" t="s">
        <v>483</v>
      </c>
      <c r="K31" s="877" t="str">
        <f>IF(I31="","",IF(I31&lt;0,"ОТР",IF((I31-J32)&lt;0,"",I31-J32)))</f>
        <v/>
      </c>
      <c r="L31" s="286"/>
      <c r="N31" s="353"/>
      <c r="O31" s="353"/>
      <c r="P31" s="354"/>
      <c r="Q31" s="353"/>
    </row>
    <row r="32" spans="1:17" ht="14.25">
      <c r="A32" s="801"/>
      <c r="B32" s="848"/>
      <c r="C32" s="848"/>
      <c r="D32" s="848"/>
      <c r="E32" s="849"/>
      <c r="F32" s="797" t="s">
        <v>472</v>
      </c>
      <c r="G32" s="798"/>
      <c r="H32" s="799"/>
      <c r="I32" s="876"/>
      <c r="J32" s="650">
        <v>0.25</v>
      </c>
      <c r="K32" s="878"/>
      <c r="L32" s="286"/>
      <c r="N32" s="353"/>
      <c r="O32" s="353"/>
      <c r="P32" s="354"/>
      <c r="Q32" s="353"/>
    </row>
    <row r="33" spans="1:17" ht="36" customHeight="1">
      <c r="A33" s="808">
        <v>4.3</v>
      </c>
      <c r="B33" s="845" t="s">
        <v>495</v>
      </c>
      <c r="C33" s="846"/>
      <c r="D33" s="846"/>
      <c r="E33" s="847"/>
      <c r="F33" s="879" t="s">
        <v>496</v>
      </c>
      <c r="G33" s="880"/>
      <c r="H33" s="881"/>
      <c r="I33" s="843">
        <v>6.0000000000000001E-3</v>
      </c>
      <c r="J33" s="652" t="s">
        <v>483</v>
      </c>
      <c r="K33" s="877" t="str">
        <f>IF(I33="","",IF(I33&lt;0,"ОТР",IF((I33-J34)&lt;0,"",I33-J34)))</f>
        <v/>
      </c>
      <c r="L33" s="286"/>
      <c r="N33" s="353"/>
      <c r="O33" s="353"/>
      <c r="P33" s="354"/>
      <c r="Q33" s="353"/>
    </row>
    <row r="34" spans="1:17" ht="14.25">
      <c r="A34" s="801"/>
      <c r="B34" s="848"/>
      <c r="C34" s="848"/>
      <c r="D34" s="848"/>
      <c r="E34" s="849"/>
      <c r="F34" s="797" t="s">
        <v>472</v>
      </c>
      <c r="G34" s="798"/>
      <c r="H34" s="799"/>
      <c r="I34" s="844"/>
      <c r="J34" s="652">
        <v>0.5</v>
      </c>
      <c r="K34" s="878"/>
      <c r="L34" s="286"/>
      <c r="N34" s="356"/>
      <c r="O34" s="356"/>
      <c r="P34" s="354"/>
      <c r="Q34" s="353"/>
    </row>
    <row r="35" spans="1:17" s="197" customFormat="1">
      <c r="A35" s="648">
        <v>5</v>
      </c>
      <c r="B35" s="895" t="s">
        <v>497</v>
      </c>
      <c r="C35" s="896"/>
      <c r="D35" s="896"/>
      <c r="E35" s="896"/>
      <c r="F35" s="896"/>
      <c r="G35" s="896"/>
      <c r="H35" s="896"/>
      <c r="I35" s="896"/>
      <c r="J35" s="896"/>
      <c r="K35" s="897"/>
      <c r="L35" s="285"/>
    </row>
    <row r="36" spans="1:17" ht="23.25" customHeight="1">
      <c r="A36" s="800" t="s">
        <v>498</v>
      </c>
      <c r="B36" s="809" t="s">
        <v>499</v>
      </c>
      <c r="C36" s="846"/>
      <c r="D36" s="846"/>
      <c r="E36" s="847"/>
      <c r="F36" s="879" t="s">
        <v>500</v>
      </c>
      <c r="G36" s="880"/>
      <c r="H36" s="881"/>
      <c r="I36" s="888">
        <f>IF('Bank Capital Calc.'!E32=0,"",'Loans to Affiliated P.'!F38/'Bank Capital Calc.'!E32)</f>
        <v>4.8119796683956701E-4</v>
      </c>
      <c r="J36" s="649" t="s">
        <v>483</v>
      </c>
      <c r="K36" s="877" t="str">
        <f>IF(I36="","",IF(I36&lt;0,"ОТР",IF((I36-J37)&lt;0,"",I36-J37)))</f>
        <v/>
      </c>
      <c r="L36" s="286"/>
    </row>
    <row r="37" spans="1:17">
      <c r="A37" s="801"/>
      <c r="B37" s="898"/>
      <c r="C37" s="848"/>
      <c r="D37" s="848"/>
      <c r="E37" s="849"/>
      <c r="F37" s="797" t="s">
        <v>472</v>
      </c>
      <c r="G37" s="798"/>
      <c r="H37" s="799"/>
      <c r="I37" s="889"/>
      <c r="J37" s="650">
        <v>0.25</v>
      </c>
      <c r="K37" s="878"/>
      <c r="L37" s="286"/>
    </row>
    <row r="38" spans="1:17" ht="23.25" customHeight="1">
      <c r="A38" s="808">
        <v>5.2</v>
      </c>
      <c r="B38" s="890" t="s">
        <v>501</v>
      </c>
      <c r="C38" s="891"/>
      <c r="D38" s="891"/>
      <c r="E38" s="891"/>
      <c r="F38" s="892" t="s">
        <v>502</v>
      </c>
      <c r="G38" s="893"/>
      <c r="H38" s="894"/>
      <c r="I38" s="888">
        <f>IF('Bank Capital Calc.'!E32=0,"",'Loans to Affiliated P.'!F37/'Bank Capital Calc.'!E32)</f>
        <v>7.8737683009393977E-4</v>
      </c>
      <c r="J38" s="652" t="s">
        <v>483</v>
      </c>
      <c r="K38" s="877" t="str">
        <f>IF(I38="","",IF(I38&lt;0,"ОТР",IF((I38-J39)&lt;0,"",I38-J39)))</f>
        <v/>
      </c>
      <c r="L38" s="286"/>
    </row>
    <row r="39" spans="1:17" ht="13.5" thickBot="1">
      <c r="A39" s="801"/>
      <c r="B39" s="891"/>
      <c r="C39" s="891"/>
      <c r="D39" s="891"/>
      <c r="E39" s="891"/>
      <c r="F39" s="797" t="s">
        <v>472</v>
      </c>
      <c r="G39" s="798"/>
      <c r="H39" s="799"/>
      <c r="I39" s="889"/>
      <c r="J39" s="650">
        <v>1</v>
      </c>
      <c r="K39" s="878"/>
      <c r="L39" s="287"/>
    </row>
    <row r="40" spans="1:17" s="197" customFormat="1">
      <c r="A40" s="667">
        <v>6</v>
      </c>
      <c r="B40" s="899" t="s">
        <v>503</v>
      </c>
      <c r="C40" s="900"/>
      <c r="D40" s="900"/>
      <c r="E40" s="900"/>
      <c r="F40" s="900"/>
      <c r="G40" s="900"/>
      <c r="H40" s="900"/>
      <c r="I40" s="900"/>
      <c r="J40" s="900"/>
      <c r="K40" s="901"/>
      <c r="L40" s="285"/>
    </row>
    <row r="41" spans="1:17" ht="23.25" customHeight="1">
      <c r="A41" s="800" t="s">
        <v>504</v>
      </c>
      <c r="B41" s="809" t="s">
        <v>505</v>
      </c>
      <c r="C41" s="846"/>
      <c r="D41" s="846"/>
      <c r="E41" s="847"/>
      <c r="F41" s="879" t="s">
        <v>506</v>
      </c>
      <c r="G41" s="880"/>
      <c r="H41" s="881"/>
      <c r="I41" s="843">
        <v>1.064770801124252E-2</v>
      </c>
      <c r="J41" s="649" t="s">
        <v>483</v>
      </c>
      <c r="K41" s="877" t="str">
        <f>IF(I41="","",IF(I41&lt;0,"ОТР",IF((I41-J42)&lt;0,"",I41-J42)))</f>
        <v/>
      </c>
      <c r="L41" s="286"/>
    </row>
    <row r="42" spans="1:17">
      <c r="A42" s="808"/>
      <c r="B42" s="898"/>
      <c r="C42" s="848"/>
      <c r="D42" s="848"/>
      <c r="E42" s="849"/>
      <c r="F42" s="797" t="s">
        <v>472</v>
      </c>
      <c r="G42" s="798"/>
      <c r="H42" s="799"/>
      <c r="I42" s="850"/>
      <c r="J42" s="650">
        <v>0.25</v>
      </c>
      <c r="K42" s="878"/>
      <c r="L42" s="286"/>
    </row>
    <row r="43" spans="1:17" s="197" customFormat="1">
      <c r="A43" s="648">
        <v>7</v>
      </c>
      <c r="B43" s="836" t="s">
        <v>507</v>
      </c>
      <c r="C43" s="828"/>
      <c r="D43" s="828"/>
      <c r="E43" s="828"/>
      <c r="F43" s="828"/>
      <c r="G43" s="828"/>
      <c r="H43" s="828"/>
      <c r="I43" s="828"/>
      <c r="J43" s="828"/>
      <c r="K43" s="829"/>
      <c r="L43" s="285"/>
    </row>
    <row r="44" spans="1:17" ht="23.25" customHeight="1">
      <c r="A44" s="800" t="s">
        <v>508</v>
      </c>
      <c r="B44" s="809" t="s">
        <v>509</v>
      </c>
      <c r="C44" s="846"/>
      <c r="D44" s="846"/>
      <c r="E44" s="847"/>
      <c r="F44" s="879" t="s">
        <v>510</v>
      </c>
      <c r="G44" s="880"/>
      <c r="H44" s="881"/>
      <c r="I44" s="843">
        <v>3.9197725656927432E-2</v>
      </c>
      <c r="J44" s="649" t="s">
        <v>483</v>
      </c>
      <c r="K44" s="877" t="str">
        <f>IF(I44="","",IF(I44&lt;0,"ОТР",IF((I44-J45)&lt;0,"",I44-J45)))</f>
        <v/>
      </c>
      <c r="L44" s="286"/>
    </row>
    <row r="45" spans="1:17" ht="13.5" thickBot="1">
      <c r="A45" s="905"/>
      <c r="B45" s="906"/>
      <c r="C45" s="907"/>
      <c r="D45" s="907"/>
      <c r="E45" s="908"/>
      <c r="F45" s="902" t="s">
        <v>472</v>
      </c>
      <c r="G45" s="903"/>
      <c r="H45" s="904"/>
      <c r="I45" s="909"/>
      <c r="J45" s="668">
        <v>0.25</v>
      </c>
      <c r="K45" s="910"/>
      <c r="L45" s="286"/>
    </row>
    <row r="47" spans="1:17">
      <c r="D47" s="22" t="s">
        <v>587</v>
      </c>
    </row>
    <row r="48" spans="1:17">
      <c r="D48" s="22"/>
    </row>
    <row r="49" spans="4:4">
      <c r="D49" s="22" t="s">
        <v>588</v>
      </c>
    </row>
  </sheetData>
  <sheetProtection password="CA0C" sheet="1" objects="1" scenarios="1"/>
  <mergeCells count="112">
    <mergeCell ref="B40:E40"/>
    <mergeCell ref="F40:K40"/>
    <mergeCell ref="A41:A42"/>
    <mergeCell ref="B41:E42"/>
    <mergeCell ref="F41:H41"/>
    <mergeCell ref="I41:I42"/>
    <mergeCell ref="K41:K42"/>
    <mergeCell ref="F45:H45"/>
    <mergeCell ref="F42:H42"/>
    <mergeCell ref="A44:A45"/>
    <mergeCell ref="B44:E45"/>
    <mergeCell ref="F44:H44"/>
    <mergeCell ref="I44:I45"/>
    <mergeCell ref="B43:E43"/>
    <mergeCell ref="F43:K43"/>
    <mergeCell ref="K44:K45"/>
    <mergeCell ref="I38:I39"/>
    <mergeCell ref="K38:K39"/>
    <mergeCell ref="F39:H39"/>
    <mergeCell ref="F23:H23"/>
    <mergeCell ref="A31:A32"/>
    <mergeCell ref="B31:E32"/>
    <mergeCell ref="F31:H31"/>
    <mergeCell ref="F25:H25"/>
    <mergeCell ref="K31:K32"/>
    <mergeCell ref="F32:H32"/>
    <mergeCell ref="A38:A39"/>
    <mergeCell ref="B38:E39"/>
    <mergeCell ref="F38:H38"/>
    <mergeCell ref="B35:K35"/>
    <mergeCell ref="K36:K37"/>
    <mergeCell ref="A33:A34"/>
    <mergeCell ref="B33:E34"/>
    <mergeCell ref="A36:A37"/>
    <mergeCell ref="B36:E37"/>
    <mergeCell ref="F36:H36"/>
    <mergeCell ref="I36:I37"/>
    <mergeCell ref="F37:H37"/>
    <mergeCell ref="I15:I16"/>
    <mergeCell ref="K15:K16"/>
    <mergeCell ref="A17:A18"/>
    <mergeCell ref="K33:K34"/>
    <mergeCell ref="F34:H34"/>
    <mergeCell ref="F33:H33"/>
    <mergeCell ref="I31:I32"/>
    <mergeCell ref="I33:I34"/>
    <mergeCell ref="I19:I20"/>
    <mergeCell ref="K29:K30"/>
    <mergeCell ref="F30:H30"/>
    <mergeCell ref="B28:E28"/>
    <mergeCell ref="F28:K28"/>
    <mergeCell ref="K19:K20"/>
    <mergeCell ref="B17:E18"/>
    <mergeCell ref="F17:H17"/>
    <mergeCell ref="I17:I18"/>
    <mergeCell ref="K24:K25"/>
    <mergeCell ref="B26:E27"/>
    <mergeCell ref="A19:A20"/>
    <mergeCell ref="B19:E20"/>
    <mergeCell ref="F19:H19"/>
    <mergeCell ref="B14:E14"/>
    <mergeCell ref="F14:K14"/>
    <mergeCell ref="A22:A23"/>
    <mergeCell ref="B22:E23"/>
    <mergeCell ref="I22:I23"/>
    <mergeCell ref="A29:A30"/>
    <mergeCell ref="B29:E30"/>
    <mergeCell ref="I29:I30"/>
    <mergeCell ref="B21:E21"/>
    <mergeCell ref="F21:K21"/>
    <mergeCell ref="A24:A25"/>
    <mergeCell ref="A26:A27"/>
    <mergeCell ref="I24:I25"/>
    <mergeCell ref="B24:E25"/>
    <mergeCell ref="I26:I27"/>
    <mergeCell ref="K26:K27"/>
    <mergeCell ref="F27:H27"/>
    <mergeCell ref="K17:K18"/>
    <mergeCell ref="F18:H18"/>
    <mergeCell ref="K22:K23"/>
    <mergeCell ref="F20:H20"/>
    <mergeCell ref="A15:A16"/>
    <mergeCell ref="B15:E16"/>
    <mergeCell ref="F15:H15"/>
    <mergeCell ref="I1:L1"/>
    <mergeCell ref="A2:H2"/>
    <mergeCell ref="I2:K2"/>
    <mergeCell ref="A4:K4"/>
    <mergeCell ref="I8:I9"/>
    <mergeCell ref="F9:H9"/>
    <mergeCell ref="F7:K7"/>
    <mergeCell ref="K8:K9"/>
    <mergeCell ref="B5:E5"/>
    <mergeCell ref="F5:H5"/>
    <mergeCell ref="A8:A9"/>
    <mergeCell ref="B8:E9"/>
    <mergeCell ref="F8:H8"/>
    <mergeCell ref="B6:E6"/>
    <mergeCell ref="F6:H6"/>
    <mergeCell ref="B7:E7"/>
    <mergeCell ref="F13:H13"/>
    <mergeCell ref="F12:H12"/>
    <mergeCell ref="A10:A11"/>
    <mergeCell ref="B10:E11"/>
    <mergeCell ref="A12:A13"/>
    <mergeCell ref="B12:E13"/>
    <mergeCell ref="I10:I11"/>
    <mergeCell ref="K10:K11"/>
    <mergeCell ref="F11:H11"/>
    <mergeCell ref="K12:K13"/>
    <mergeCell ref="I12:I13"/>
    <mergeCell ref="F10:H10"/>
  </mergeCells>
  <phoneticPr fontId="30" type="noConversion"/>
  <dataValidations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44:I45 I41:I42 I8:I13 I31:I33 I15:I20 I26:I27 I36:I39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29:I30 I22 I24:I25"/>
  </dataValidations>
  <printOptions horizontalCentered="1" verticalCentered="1"/>
  <pageMargins left="0.16" right="0.18" top="0.22" bottom="0.15" header="0.51181102362204722" footer="0.51181102362204722"/>
  <pageSetup paperSize="9" scale="67" orientation="landscape" r:id="rId1"/>
  <headerFooter alignWithMargins="0"/>
  <colBreaks count="1" manualBreakCount="1">
    <brk id="11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pageSetUpPr fitToPage="1"/>
  </sheetPr>
  <dimension ref="A1:B23"/>
  <sheetViews>
    <sheetView view="pageBreakPreview" zoomScale="70" workbookViewId="0">
      <selection activeCell="B19" sqref="B19"/>
    </sheetView>
  </sheetViews>
  <sheetFormatPr defaultRowHeight="12.75"/>
  <cols>
    <col min="1" max="1" width="82.7109375" style="1" customWidth="1"/>
    <col min="2" max="2" width="27.7109375" style="1" customWidth="1"/>
    <col min="3" max="16384" width="9.140625" style="1"/>
  </cols>
  <sheetData>
    <row r="1" spans="1:2" ht="102" customHeight="1">
      <c r="B1" s="23" t="s">
        <v>527</v>
      </c>
    </row>
    <row r="2" spans="1:2" s="128" customFormat="1" ht="39.75" customHeight="1">
      <c r="A2" s="59" t="s">
        <v>511</v>
      </c>
      <c r="B2" s="288" t="s">
        <v>512</v>
      </c>
    </row>
    <row r="3" spans="1:2" ht="21.75" customHeight="1">
      <c r="A3" s="475">
        <f>Balance!A4</f>
        <v>43100</v>
      </c>
      <c r="B3" s="61" t="str">
        <f>Balance!B3</f>
        <v>АКБ "Микрокредитбанк"</v>
      </c>
    </row>
    <row r="4" spans="1:2" ht="12.75" customHeight="1">
      <c r="A4" s="20"/>
      <c r="B4" s="110"/>
    </row>
    <row r="5" spans="1:2" ht="22.5" customHeight="1">
      <c r="A5" s="20" t="s">
        <v>513</v>
      </c>
      <c r="B5" s="289"/>
    </row>
    <row r="6" spans="1:2" ht="22.5" customHeight="1">
      <c r="A6" s="20" t="s">
        <v>514</v>
      </c>
      <c r="B6" s="290" t="s">
        <v>310</v>
      </c>
    </row>
    <row r="7" spans="1:2" ht="22.5" customHeight="1">
      <c r="A7" s="20" t="s">
        <v>515</v>
      </c>
      <c r="B7" s="291"/>
    </row>
    <row r="8" spans="1:2" ht="22.5" customHeight="1">
      <c r="A8" s="20" t="s">
        <v>516</v>
      </c>
      <c r="B8" s="34"/>
    </row>
    <row r="9" spans="1:2" ht="22.5" customHeight="1">
      <c r="A9" s="20" t="s">
        <v>517</v>
      </c>
      <c r="B9" s="292" t="s">
        <v>310</v>
      </c>
    </row>
    <row r="10" spans="1:2" ht="22.5" customHeight="1">
      <c r="A10" s="20" t="s">
        <v>518</v>
      </c>
      <c r="B10" s="289"/>
    </row>
    <row r="11" spans="1:2" ht="22.5" customHeight="1">
      <c r="A11" s="20" t="s">
        <v>519</v>
      </c>
      <c r="B11" s="292" t="s">
        <v>310</v>
      </c>
    </row>
    <row r="12" spans="1:2" ht="22.5" customHeight="1">
      <c r="A12" s="20" t="s">
        <v>520</v>
      </c>
      <c r="B12" s="292" t="s">
        <v>310</v>
      </c>
    </row>
    <row r="13" spans="1:2" ht="22.5" customHeight="1">
      <c r="A13" s="20" t="s">
        <v>521</v>
      </c>
      <c r="B13" s="289"/>
    </row>
    <row r="14" spans="1:2" ht="22.5" customHeight="1">
      <c r="A14" s="20" t="s">
        <v>522</v>
      </c>
      <c r="B14" s="292" t="s">
        <v>310</v>
      </c>
    </row>
    <row r="15" spans="1:2" ht="22.5" customHeight="1">
      <c r="A15" s="20"/>
      <c r="B15" s="110" t="s">
        <v>523</v>
      </c>
    </row>
    <row r="16" spans="1:2" ht="22.5" customHeight="1">
      <c r="A16" s="20" t="s">
        <v>524</v>
      </c>
      <c r="B16" s="289"/>
    </row>
    <row r="17" spans="1:2" ht="22.5" customHeight="1">
      <c r="A17" s="20" t="s">
        <v>525</v>
      </c>
      <c r="B17" s="82">
        <v>3699</v>
      </c>
    </row>
    <row r="18" spans="1:2" ht="22.5" customHeight="1">
      <c r="A18" s="20" t="s">
        <v>526</v>
      </c>
      <c r="B18" s="289"/>
    </row>
    <row r="19" spans="1:2" ht="22.5" customHeight="1">
      <c r="A19" s="20" t="s">
        <v>525</v>
      </c>
      <c r="B19" s="82">
        <v>86</v>
      </c>
    </row>
    <row r="20" spans="1:2" ht="12.75" customHeight="1"/>
    <row r="21" spans="1:2" ht="12.75" customHeight="1">
      <c r="A21" s="22" t="s">
        <v>587</v>
      </c>
    </row>
    <row r="22" spans="1:2" ht="12.75" customHeight="1">
      <c r="A22" s="22"/>
    </row>
    <row r="23" spans="1:2" ht="12.75" customHeight="1">
      <c r="A23" s="22" t="s">
        <v>588</v>
      </c>
    </row>
  </sheetData>
  <sheetProtection password="CA0C" sheet="1" objects="1" scenarios="1"/>
  <phoneticPr fontId="30" type="noConversion"/>
  <dataValidations xWindow="493" yWindow="566" count="2">
    <dataValidation type="whole" operator="greaterThanOrEqual" allowBlank="1" showErrorMessage="1" error="Введите как целое положительное число." sqref="B17 B19">
      <formula1>0</formula1>
    </dataValidation>
    <dataValidation type="textLength" operator="equal" allowBlank="1" showInputMessage="1" showErrorMessage="1" prompt="Если &quot;Да&quot;,  введите Д._x000a_Если &quot;Нет&quot;, введите Н." sqref="B6 B14 B11:B12 B9">
      <formula1>1</formula1>
    </dataValidation>
  </dataValidations>
  <printOptions horizontalCentered="1"/>
  <pageMargins left="0.15748031496062992" right="0.23622047244094491" top="0.36" bottom="0.98425196850393704" header="0.28000000000000003" footer="0.51181102362204722"/>
  <pageSetup paperSize="9" scale="9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22</vt:i4>
      </vt:variant>
      <vt:variant>
        <vt:lpstr>Именованные диапазоны</vt:lpstr>
      </vt:variant>
      <vt:variant>
        <vt:i4>15</vt:i4>
      </vt:variant>
    </vt:vector>
  </HeadingPairs>
  <TitlesOfParts>
    <vt:vector size="37" baseType="lpstr">
      <vt:lpstr>Balance</vt:lpstr>
      <vt:lpstr>Income </vt:lpstr>
      <vt:lpstr>Analysis of Interest</vt:lpstr>
      <vt:lpstr>Bank Capital Calc.</vt:lpstr>
      <vt:lpstr>Calculation of Risk Weighted As</vt:lpstr>
      <vt:lpstr>Calculation of Risk</vt:lpstr>
      <vt:lpstr>Changes in Equity</vt:lpstr>
      <vt:lpstr>Recociliation </vt:lpstr>
      <vt:lpstr>Loans Receivable</vt:lpstr>
      <vt:lpstr>Aging Analysis</vt:lpstr>
      <vt:lpstr>Loan Classification</vt:lpstr>
      <vt:lpstr>Loans to Affiliated P.</vt:lpstr>
      <vt:lpstr>Twenty Largest</vt:lpstr>
      <vt:lpstr>Charge-offs and Recoveries</vt:lpstr>
      <vt:lpstr>Deposits by Client</vt:lpstr>
      <vt:lpstr>Investment Securities</vt:lpstr>
      <vt:lpstr>Liquidity Analysis</vt:lpstr>
      <vt:lpstr>Bank Assets Analysis</vt:lpstr>
      <vt:lpstr>Bank Liabilities Analysis</vt:lpstr>
      <vt:lpstr>Commitments</vt:lpstr>
      <vt:lpstr>Economic Normatives</vt:lpstr>
      <vt:lpstr>Miscellaneous</vt:lpstr>
      <vt:lpstr>Balance!OLE_LINK19</vt:lpstr>
      <vt:lpstr>Balance!Область_печати</vt:lpstr>
      <vt:lpstr>'Bank Assets Analysis'!Область_печати</vt:lpstr>
      <vt:lpstr>'Bank Capital Calc.'!Область_печати</vt:lpstr>
      <vt:lpstr>'Bank Liabilities Analysis'!Область_печати</vt:lpstr>
      <vt:lpstr>'Calculation of Risk'!Область_печати</vt:lpstr>
      <vt:lpstr>'Calculation of Risk Weighted As'!Область_печати</vt:lpstr>
      <vt:lpstr>Commitments!Область_печати</vt:lpstr>
      <vt:lpstr>'Economic Normatives'!Область_печати</vt:lpstr>
      <vt:lpstr>'Income '!Область_печати</vt:lpstr>
      <vt:lpstr>'Investment Securities'!Область_печати</vt:lpstr>
      <vt:lpstr>'Liquidity Analysis'!Область_печати</vt:lpstr>
      <vt:lpstr>'Loan Classification'!Область_печати</vt:lpstr>
      <vt:lpstr>'Loans to Affiliated P.'!Область_печати</vt:lpstr>
      <vt:lpstr>'Twenty Largest'!Область_печати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Suxrob Axmedov</cp:lastModifiedBy>
  <cp:lastPrinted>2017-12-18T07:00:23Z</cp:lastPrinted>
  <dcterms:created xsi:type="dcterms:W3CDTF">2014-01-27T05:06:32Z</dcterms:created>
  <dcterms:modified xsi:type="dcterms:W3CDTF">2022-10-20T12:53:32Z</dcterms:modified>
</cp:coreProperties>
</file>