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Руслан\ҳРуслан-Академия-05.04.2023\Руслан-2023\Докторлик диссертация\Докторлик дис-14.06.2023\Банклар маълумоти\Микрокредитбанк-31.12.2016-31.12.2023\2019\"/>
    </mc:Choice>
  </mc:AlternateContent>
  <xr:revisionPtr revIDLastSave="0" documentId="13_ncr:1_{EB7952CD-3147-4404-BB43-5CA3AFEA976C}" xr6:coauthVersionLast="47" xr6:coauthVersionMax="47" xr10:uidLastSave="{00000000-0000-0000-0000-000000000000}"/>
  <workbookProtection workbookPassword="CA76" lockStructure="1"/>
  <bookViews>
    <workbookView xWindow="600" yWindow="0" windowWidth="12135" windowHeight="10455" tabRatio="942" xr2:uid="{00000000-000D-0000-FFFF-FFFF00000000}"/>
  </bookViews>
  <sheets>
    <sheet name="Balance" sheetId="1" r:id="rId1"/>
    <sheet name="Asset quality" sheetId="26" r:id="rId2"/>
    <sheet name="Income " sheetId="2" r:id="rId3"/>
    <sheet name="Analysis of Interest" sheetId="3" r:id="rId4"/>
    <sheet name="Bank Capital Calc" sheetId="27" r:id="rId5"/>
    <sheet name="Bank Capital Calc (2)" sheetId="41" state="hidden" r:id="rId6"/>
    <sheet name="Calculation of Risk Weighted As" sheetId="5" r:id="rId7"/>
    <sheet name="Calculation of Risk Weighte нац" sheetId="38" r:id="rId8"/>
    <sheet name="Calculation of Risk Weighte ин" sheetId="39" r:id="rId9"/>
    <sheet name="Calculation of Risk" sheetId="23" r:id="rId10"/>
    <sheet name="Changes in Equity" sheetId="6" r:id="rId11"/>
    <sheet name="Loans Receivable" sheetId="24" r:id="rId12"/>
    <sheet name="Aging Analysis" sheetId="9" r:id="rId13"/>
    <sheet name="Asset Classification" sheetId="10" r:id="rId14"/>
    <sheet name="Loans to Affiliated P." sheetId="11" r:id="rId15"/>
    <sheet name=" Largest risk" sheetId="12" r:id="rId16"/>
    <sheet name="Charge-offs and Recoveries" sheetId="13" r:id="rId17"/>
    <sheet name="Deposits by Client" sheetId="14" r:id="rId18"/>
    <sheet name="Investment Securities" sheetId="15" r:id="rId19"/>
    <sheet name="Liquidity Analysis" sheetId="16" r:id="rId20"/>
    <sheet name="Bank Assets Analysis" sheetId="17" r:id="rId21"/>
    <sheet name="Bank Assets Analysis (нац)" sheetId="36" r:id="rId22"/>
    <sheet name="Bank Liabilities Analysis" sheetId="18" r:id="rId23"/>
    <sheet name="Bank Liabilities Analysis (нац)" sheetId="37" r:id="rId24"/>
    <sheet name="Commitments" sheetId="19" r:id="rId25"/>
    <sheet name="loans_av rate" sheetId="35" r:id="rId26"/>
    <sheet name="loans type" sheetId="40" r:id="rId27"/>
    <sheet name="Deposits_av rate" sheetId="30" r:id="rId28"/>
    <sheet name="Economic Normatives" sheetId="20" r:id="rId29"/>
    <sheet name="Miscellaneous" sheetId="21" r:id="rId30"/>
  </sheets>
  <externalReferences>
    <externalReference r:id="rId31"/>
    <externalReference r:id="rId32"/>
    <externalReference r:id="rId33"/>
  </externalReferences>
  <definedNames>
    <definedName name="jop" localSheetId="5">#REF!</definedName>
    <definedName name="kol" localSheetId="5">#REF!</definedName>
    <definedName name="OLE_LINK19" localSheetId="0">Balance!$D$33</definedName>
    <definedName name="RISKTOTASS" localSheetId="26">SUM('[1]Calculation of Risk Weighted As'!$C$38:$F$38)</definedName>
    <definedName name="TwentyLargestData" localSheetId="5">#REF!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5">#REF!</definedName>
    <definedName name="_xlnm.Print_Area" localSheetId="15">' Largest risk'!$A$1:$R$74</definedName>
    <definedName name="_xlnm.Print_Area" localSheetId="12">'Aging Analysis'!$A$1:$Y$39</definedName>
    <definedName name="_xlnm.Print_Area" localSheetId="3">'Analysis of Interest'!$A$1:$C$76</definedName>
    <definedName name="_xlnm.Print_Area" localSheetId="13">'Asset Classification'!$A$1:$Z$76</definedName>
    <definedName name="_xlnm.Print_Area" localSheetId="1">'Asset quality'!$A$1:$S$69</definedName>
    <definedName name="_xlnm.Print_Area" localSheetId="0">Balance!$A$1:$E$81</definedName>
    <definedName name="_xlnm.Print_Area" localSheetId="20">'Bank Assets Analysis'!$A$1:$Z$44</definedName>
    <definedName name="_xlnm.Print_Area" localSheetId="21">'Bank Assets Analysis (нац)'!$A$1:$N$42</definedName>
    <definedName name="_xlnm.Print_Area" localSheetId="4">'Bank Capital Calc'!$A$1:$C$59</definedName>
    <definedName name="_xlnm.Print_Area" localSheetId="5">'Bank Capital Calc (2)'!$A$1:$C$55</definedName>
    <definedName name="_xlnm.Print_Area" localSheetId="22">'Bank Liabilities Analysis'!$A$1:$Z$59</definedName>
    <definedName name="_xlnm.Print_Area" localSheetId="23">'Bank Liabilities Analysis (нац)'!$A$1:$N$58</definedName>
    <definedName name="_xlnm.Print_Area" localSheetId="9">'Calculation of Risk'!$A$1:$C$33</definedName>
    <definedName name="_xlnm.Print_Area" localSheetId="8">'Calculation of Risk Weighte ин'!$A$1:$J$83</definedName>
    <definedName name="_xlnm.Print_Area" localSheetId="7">'Calculation of Risk Weighte нац'!$A$1:$J$83</definedName>
    <definedName name="_xlnm.Print_Area" localSheetId="6">'Calculation of Risk Weighted As'!$A$1:$J$83</definedName>
    <definedName name="_xlnm.Print_Area" localSheetId="10">'Changes in Equity'!$A$1:$C$18</definedName>
    <definedName name="_xlnm.Print_Area" localSheetId="16">'Charge-offs and Recoveries'!$A$1:$E$30</definedName>
    <definedName name="_xlnm.Print_Area" localSheetId="24">Commitments!$A$1:$E$31</definedName>
    <definedName name="_xlnm.Print_Area" localSheetId="17">'Deposits by Client'!$A$1:$D$27</definedName>
    <definedName name="_xlnm.Print_Area" localSheetId="27">'Deposits_av rate'!$A$1:$N$22</definedName>
    <definedName name="_xlnm.Print_Area" localSheetId="28">'Economic Normatives'!$A$1:$K$47</definedName>
    <definedName name="_xlnm.Print_Area" localSheetId="2">'Income '!$A$1:$E$80</definedName>
    <definedName name="_xlnm.Print_Area" localSheetId="18">'Investment Securities'!$A$1:$E$53</definedName>
    <definedName name="_xlnm.Print_Area" localSheetId="19">'Liquidity Analysis'!$A$1:$E$59</definedName>
    <definedName name="_xlnm.Print_Area" localSheetId="11">'Loans Receivable'!$A$1:$Y$97</definedName>
    <definedName name="_xlnm.Print_Area" localSheetId="14">'Loans to Affiliated P.'!$A$1:$R$45</definedName>
    <definedName name="_xlnm.Print_Area" localSheetId="26">'loans type'!$A$1:$Z$44</definedName>
    <definedName name="_xlnm.Print_Area" localSheetId="25">'loans_av rate'!$A$1:$H$45</definedName>
    <definedName name="_xlnm.Print_Area" localSheetId="29">Miscellaneous!$A$1:$C$31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1" l="1"/>
  <c r="E14" i="16" l="1"/>
  <c r="C14" i="16" l="1"/>
  <c r="D14" i="16" s="1"/>
  <c r="C20" i="35" l="1"/>
  <c r="C11" i="35"/>
  <c r="AC32" i="40"/>
  <c r="AB32" i="40"/>
  <c r="AC31" i="40"/>
  <c r="AB31" i="40"/>
  <c r="AC30" i="40"/>
  <c r="AB30" i="40"/>
  <c r="AC29" i="40"/>
  <c r="AB29" i="40"/>
  <c r="AC28" i="40"/>
  <c r="AB28" i="40"/>
  <c r="AC27" i="40"/>
  <c r="AB27" i="40"/>
  <c r="AC23" i="40"/>
  <c r="AB23" i="40"/>
  <c r="AC21" i="40"/>
  <c r="AB21" i="40"/>
  <c r="AC16" i="40"/>
  <c r="AB16" i="40"/>
  <c r="AC11" i="40"/>
  <c r="AB11" i="40"/>
  <c r="C12" i="15" l="1"/>
  <c r="D23" i="19" l="1"/>
  <c r="B2" i="21" l="1"/>
  <c r="B2" i="20"/>
  <c r="K27" i="20"/>
  <c r="K32" i="20"/>
  <c r="B2" i="30"/>
  <c r="N2" i="30"/>
  <c r="C8" i="30"/>
  <c r="I8" i="30"/>
  <c r="C9" i="30"/>
  <c r="I9" i="30"/>
  <c r="C10" i="30"/>
  <c r="I10" i="30"/>
  <c r="C11" i="30"/>
  <c r="I11" i="30"/>
  <c r="C12" i="30"/>
  <c r="I12" i="30"/>
  <c r="C13" i="30"/>
  <c r="I13" i="30"/>
  <c r="C14" i="30"/>
  <c r="I14" i="30"/>
  <c r="C15" i="30"/>
  <c r="I15" i="30"/>
  <c r="E16" i="30"/>
  <c r="F16" i="30" s="1"/>
  <c r="G16" i="30"/>
  <c r="G25" i="30" s="1"/>
  <c r="K16" i="30"/>
  <c r="L16" i="30" s="1"/>
  <c r="M16" i="30"/>
  <c r="N16" i="30" s="1"/>
  <c r="C24" i="30"/>
  <c r="G24" i="30"/>
  <c r="B3" i="40"/>
  <c r="V3" i="40"/>
  <c r="E11" i="40"/>
  <c r="G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C12" i="40"/>
  <c r="C13" i="40"/>
  <c r="C14" i="40"/>
  <c r="C15" i="40"/>
  <c r="E16" i="40"/>
  <c r="F16" i="40" s="1"/>
  <c r="G16" i="40"/>
  <c r="H16" i="40" s="1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C17" i="40"/>
  <c r="C18" i="40"/>
  <c r="C19" i="40"/>
  <c r="C20" i="40"/>
  <c r="C21" i="40"/>
  <c r="C22" i="40"/>
  <c r="C23" i="40"/>
  <c r="C24" i="40"/>
  <c r="E26" i="40"/>
  <c r="J26" i="40"/>
  <c r="K26" i="40"/>
  <c r="K25" i="40" s="1"/>
  <c r="L26" i="40"/>
  <c r="L25" i="40" s="1"/>
  <c r="M26" i="40"/>
  <c r="M25" i="40" s="1"/>
  <c r="N26" i="40"/>
  <c r="N25" i="40" s="1"/>
  <c r="O26" i="40"/>
  <c r="O25" i="40" s="1"/>
  <c r="P26" i="40"/>
  <c r="P25" i="40" s="1"/>
  <c r="Q26" i="40"/>
  <c r="Q25" i="40" s="1"/>
  <c r="R26" i="40"/>
  <c r="R25" i="40" s="1"/>
  <c r="S26" i="40"/>
  <c r="S25" i="40" s="1"/>
  <c r="T26" i="40"/>
  <c r="T25" i="40" s="1"/>
  <c r="U26" i="40"/>
  <c r="U25" i="40" s="1"/>
  <c r="V26" i="40"/>
  <c r="V25" i="40" s="1"/>
  <c r="W26" i="40"/>
  <c r="W25" i="40" s="1"/>
  <c r="X26" i="40"/>
  <c r="X25" i="40" s="1"/>
  <c r="Y26" i="40"/>
  <c r="Y25" i="40" s="1"/>
  <c r="Z26" i="40"/>
  <c r="Z25" i="40" s="1"/>
  <c r="C27" i="40"/>
  <c r="C28" i="40"/>
  <c r="C29" i="40"/>
  <c r="C30" i="40"/>
  <c r="C32" i="40"/>
  <c r="E33" i="40"/>
  <c r="G33" i="40"/>
  <c r="H33" i="40" s="1"/>
  <c r="I33" i="40"/>
  <c r="J33" i="40"/>
  <c r="K33" i="40"/>
  <c r="L33" i="40"/>
  <c r="M33" i="40"/>
  <c r="N33" i="40"/>
  <c r="O33" i="40"/>
  <c r="P33" i="40"/>
  <c r="Q33" i="40"/>
  <c r="R33" i="40"/>
  <c r="S33" i="40"/>
  <c r="T33" i="40"/>
  <c r="U33" i="40"/>
  <c r="V33" i="40"/>
  <c r="W33" i="40"/>
  <c r="X33" i="40"/>
  <c r="Y33" i="40"/>
  <c r="Z33" i="40"/>
  <c r="C34" i="40"/>
  <c r="C35" i="40"/>
  <c r="C36" i="40"/>
  <c r="C37" i="40"/>
  <c r="C38" i="40"/>
  <c r="C39" i="40"/>
  <c r="B3" i="35"/>
  <c r="F3" i="35"/>
  <c r="K2" i="30" s="1"/>
  <c r="H3" i="35"/>
  <c r="E8" i="35"/>
  <c r="F8" i="35" s="1"/>
  <c r="G8" i="35"/>
  <c r="H8" i="35" s="1"/>
  <c r="C10" i="35"/>
  <c r="AA11" i="40" s="1"/>
  <c r="C12" i="35"/>
  <c r="C13" i="35"/>
  <c r="C14" i="35"/>
  <c r="E16" i="35"/>
  <c r="G16" i="35"/>
  <c r="C18" i="35"/>
  <c r="AA16" i="40" s="1"/>
  <c r="C19" i="35"/>
  <c r="C21" i="35"/>
  <c r="C22" i="35"/>
  <c r="E24" i="35"/>
  <c r="F24" i="35" s="1"/>
  <c r="G24" i="35"/>
  <c r="H24" i="35" s="1"/>
  <c r="C26" i="35"/>
  <c r="C27" i="35"/>
  <c r="C28" i="35"/>
  <c r="C29" i="35"/>
  <c r="C30" i="35"/>
  <c r="C31" i="35"/>
  <c r="E33" i="35"/>
  <c r="F33" i="35" s="1"/>
  <c r="G33" i="35"/>
  <c r="G55" i="35" s="1"/>
  <c r="C35" i="35"/>
  <c r="C36" i="35"/>
  <c r="C37" i="35"/>
  <c r="C38" i="35"/>
  <c r="C39" i="35"/>
  <c r="C40" i="35"/>
  <c r="E48" i="35"/>
  <c r="B2" i="19"/>
  <c r="E2" i="19"/>
  <c r="C4" i="19"/>
  <c r="C5" i="19"/>
  <c r="C7" i="19"/>
  <c r="C8" i="19"/>
  <c r="C10" i="19"/>
  <c r="D10" i="19"/>
  <c r="E10" i="19"/>
  <c r="C11" i="19"/>
  <c r="C12" i="19"/>
  <c r="C13" i="19"/>
  <c r="C14" i="19"/>
  <c r="C16" i="19"/>
  <c r="D18" i="19"/>
  <c r="E18" i="19"/>
  <c r="C19" i="19"/>
  <c r="C20" i="19"/>
  <c r="C21" i="19"/>
  <c r="C22" i="19"/>
  <c r="C23" i="19"/>
  <c r="B2" i="37"/>
  <c r="N2" i="37"/>
  <c r="C8" i="37"/>
  <c r="D8" i="37"/>
  <c r="E8" i="37"/>
  <c r="F8" i="37"/>
  <c r="G8" i="37"/>
  <c r="H8" i="37"/>
  <c r="I8" i="37"/>
  <c r="J8" i="37"/>
  <c r="C9" i="37"/>
  <c r="D9" i="37"/>
  <c r="E9" i="37"/>
  <c r="F9" i="37"/>
  <c r="G9" i="37"/>
  <c r="H9" i="37"/>
  <c r="I9" i="37"/>
  <c r="J9" i="37"/>
  <c r="C10" i="37"/>
  <c r="D10" i="37"/>
  <c r="E10" i="37"/>
  <c r="F10" i="37"/>
  <c r="G10" i="37"/>
  <c r="H10" i="37"/>
  <c r="I10" i="37"/>
  <c r="J10" i="37"/>
  <c r="C11" i="37"/>
  <c r="D11" i="37"/>
  <c r="E11" i="37"/>
  <c r="F11" i="37"/>
  <c r="G11" i="37"/>
  <c r="H11" i="37"/>
  <c r="I11" i="37"/>
  <c r="J11" i="37"/>
  <c r="C12" i="37"/>
  <c r="D12" i="37"/>
  <c r="E12" i="37"/>
  <c r="F12" i="37"/>
  <c r="G12" i="37"/>
  <c r="H12" i="37"/>
  <c r="I12" i="37"/>
  <c r="J12" i="37"/>
  <c r="C13" i="37"/>
  <c r="D13" i="37"/>
  <c r="E13" i="37"/>
  <c r="F13" i="37"/>
  <c r="G13" i="37"/>
  <c r="H13" i="37"/>
  <c r="I13" i="37"/>
  <c r="J13" i="37"/>
  <c r="C14" i="37"/>
  <c r="D14" i="37"/>
  <c r="E14" i="37"/>
  <c r="F14" i="37"/>
  <c r="G14" i="37"/>
  <c r="H14" i="37"/>
  <c r="I14" i="37"/>
  <c r="J14" i="37"/>
  <c r="C16" i="37"/>
  <c r="D16" i="37"/>
  <c r="E16" i="37"/>
  <c r="F16" i="37"/>
  <c r="G16" i="37"/>
  <c r="H16" i="37"/>
  <c r="I16" i="37"/>
  <c r="J16" i="37"/>
  <c r="C17" i="37"/>
  <c r="D17" i="37"/>
  <c r="E17" i="37"/>
  <c r="F17" i="37"/>
  <c r="G17" i="37"/>
  <c r="H17" i="37"/>
  <c r="I17" i="37"/>
  <c r="J17" i="37"/>
  <c r="C18" i="37"/>
  <c r="D18" i="37"/>
  <c r="E18" i="37"/>
  <c r="F18" i="37"/>
  <c r="G18" i="37"/>
  <c r="H18" i="37"/>
  <c r="I18" i="37"/>
  <c r="J18" i="37"/>
  <c r="C19" i="37"/>
  <c r="D19" i="37"/>
  <c r="E19" i="37"/>
  <c r="F19" i="37"/>
  <c r="G19" i="37"/>
  <c r="H19" i="37"/>
  <c r="I19" i="37"/>
  <c r="J19" i="37"/>
  <c r="C20" i="37"/>
  <c r="D20" i="37"/>
  <c r="E20" i="37"/>
  <c r="F20" i="37"/>
  <c r="G20" i="37"/>
  <c r="H20" i="37"/>
  <c r="I20" i="37"/>
  <c r="J20" i="37"/>
  <c r="C22" i="37"/>
  <c r="D22" i="37"/>
  <c r="E22" i="37"/>
  <c r="F22" i="37"/>
  <c r="G22" i="37"/>
  <c r="H22" i="37"/>
  <c r="I22" i="37"/>
  <c r="J22" i="37"/>
  <c r="C24" i="37"/>
  <c r="D24" i="37"/>
  <c r="E24" i="37"/>
  <c r="F24" i="37"/>
  <c r="G24" i="37"/>
  <c r="H24" i="37"/>
  <c r="I24" i="37"/>
  <c r="J24" i="37"/>
  <c r="C25" i="37"/>
  <c r="D25" i="37"/>
  <c r="E25" i="37"/>
  <c r="F25" i="37"/>
  <c r="G25" i="37"/>
  <c r="H25" i="37"/>
  <c r="I25" i="37"/>
  <c r="J25" i="37"/>
  <c r="C26" i="37"/>
  <c r="D26" i="37"/>
  <c r="E26" i="37"/>
  <c r="F26" i="37"/>
  <c r="G26" i="37"/>
  <c r="H26" i="37"/>
  <c r="I26" i="37"/>
  <c r="J26" i="37"/>
  <c r="C27" i="37"/>
  <c r="D27" i="37"/>
  <c r="E27" i="37"/>
  <c r="F27" i="37"/>
  <c r="G27" i="37"/>
  <c r="H27" i="37"/>
  <c r="I27" i="37"/>
  <c r="J27" i="37"/>
  <c r="C28" i="37"/>
  <c r="D28" i="37"/>
  <c r="E28" i="37"/>
  <c r="F28" i="37"/>
  <c r="G28" i="37"/>
  <c r="H28" i="37"/>
  <c r="I28" i="37"/>
  <c r="J28" i="37"/>
  <c r="C29" i="37"/>
  <c r="D29" i="37"/>
  <c r="E29" i="37"/>
  <c r="F29" i="37"/>
  <c r="G29" i="37"/>
  <c r="H29" i="37"/>
  <c r="I29" i="37"/>
  <c r="J29" i="37"/>
  <c r="C30" i="37"/>
  <c r="D30" i="37"/>
  <c r="E30" i="37"/>
  <c r="F30" i="37"/>
  <c r="G30" i="37"/>
  <c r="H30" i="37"/>
  <c r="I30" i="37"/>
  <c r="J30" i="37"/>
  <c r="C31" i="37"/>
  <c r="D31" i="37"/>
  <c r="E31" i="37"/>
  <c r="F31" i="37"/>
  <c r="G31" i="37"/>
  <c r="H31" i="37"/>
  <c r="I31" i="37"/>
  <c r="J31" i="37"/>
  <c r="C32" i="37"/>
  <c r="D32" i="37"/>
  <c r="E32" i="37"/>
  <c r="F32" i="37"/>
  <c r="G32" i="37"/>
  <c r="H32" i="37"/>
  <c r="I32" i="37"/>
  <c r="J32" i="37"/>
  <c r="C33" i="37"/>
  <c r="D33" i="37"/>
  <c r="E33" i="37"/>
  <c r="F33" i="37"/>
  <c r="G33" i="37"/>
  <c r="H33" i="37"/>
  <c r="I33" i="37"/>
  <c r="J33" i="37"/>
  <c r="C34" i="37"/>
  <c r="D34" i="37"/>
  <c r="E34" i="37"/>
  <c r="F34" i="37"/>
  <c r="G34" i="37"/>
  <c r="H34" i="37"/>
  <c r="I34" i="37"/>
  <c r="J34" i="37"/>
  <c r="C35" i="37"/>
  <c r="D35" i="37"/>
  <c r="E35" i="37"/>
  <c r="F35" i="37"/>
  <c r="G35" i="37"/>
  <c r="H35" i="37"/>
  <c r="I35" i="37"/>
  <c r="J35" i="37"/>
  <c r="C36" i="37"/>
  <c r="D36" i="37"/>
  <c r="E36" i="37"/>
  <c r="F36" i="37"/>
  <c r="G36" i="37"/>
  <c r="H36" i="37"/>
  <c r="I36" i="37"/>
  <c r="J36" i="37"/>
  <c r="K38" i="37"/>
  <c r="O38" i="37"/>
  <c r="P38" i="37"/>
  <c r="Q38" i="37"/>
  <c r="C40" i="37"/>
  <c r="D40" i="37"/>
  <c r="E40" i="37"/>
  <c r="F40" i="37"/>
  <c r="G40" i="37"/>
  <c r="H40" i="37"/>
  <c r="I40" i="37"/>
  <c r="J40" i="37"/>
  <c r="C41" i="37"/>
  <c r="D41" i="37"/>
  <c r="E41" i="37"/>
  <c r="F41" i="37"/>
  <c r="G41" i="37"/>
  <c r="H41" i="37"/>
  <c r="I41" i="37"/>
  <c r="J41" i="37"/>
  <c r="C43" i="37"/>
  <c r="D43" i="37"/>
  <c r="E43" i="37"/>
  <c r="F43" i="37"/>
  <c r="G43" i="37"/>
  <c r="H43" i="37"/>
  <c r="I43" i="37"/>
  <c r="J43" i="37"/>
  <c r="C44" i="37"/>
  <c r="D44" i="37"/>
  <c r="E44" i="37"/>
  <c r="E42" i="37" s="1"/>
  <c r="F44" i="37"/>
  <c r="G44" i="37"/>
  <c r="H44" i="37"/>
  <c r="I44" i="37"/>
  <c r="J44" i="37"/>
  <c r="C46" i="37"/>
  <c r="D46" i="37"/>
  <c r="E46" i="37"/>
  <c r="F46" i="37"/>
  <c r="G46" i="37"/>
  <c r="H46" i="37"/>
  <c r="I46" i="37"/>
  <c r="J46" i="37"/>
  <c r="C47" i="37"/>
  <c r="D47" i="37"/>
  <c r="E47" i="37"/>
  <c r="F47" i="37"/>
  <c r="G47" i="37"/>
  <c r="H47" i="37"/>
  <c r="H45" i="37" s="1"/>
  <c r="I47" i="37"/>
  <c r="J47" i="37"/>
  <c r="C49" i="37"/>
  <c r="D49" i="37"/>
  <c r="E49" i="37"/>
  <c r="F49" i="37"/>
  <c r="G49" i="37"/>
  <c r="H49" i="37"/>
  <c r="I49" i="37"/>
  <c r="J49" i="37"/>
  <c r="C50" i="37"/>
  <c r="D50" i="37"/>
  <c r="E50" i="37"/>
  <c r="F50" i="37"/>
  <c r="G50" i="37"/>
  <c r="G48" i="37" s="1"/>
  <c r="H50" i="37"/>
  <c r="I50" i="37"/>
  <c r="J50" i="37"/>
  <c r="C52" i="37"/>
  <c r="D52" i="37"/>
  <c r="E52" i="37"/>
  <c r="F52" i="37"/>
  <c r="G52" i="37"/>
  <c r="H52" i="37"/>
  <c r="I52" i="37"/>
  <c r="J52" i="37"/>
  <c r="C53" i="37"/>
  <c r="D53" i="37"/>
  <c r="E53" i="37"/>
  <c r="F53" i="37"/>
  <c r="G53" i="37"/>
  <c r="H53" i="37"/>
  <c r="I53" i="37"/>
  <c r="J53" i="37"/>
  <c r="B2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9" i="18"/>
  <c r="U9" i="18"/>
  <c r="W9" i="18"/>
  <c r="X9" i="18" s="1"/>
  <c r="Y9" i="18"/>
  <c r="Z9" i="18" s="1"/>
  <c r="S10" i="18"/>
  <c r="U10" i="18"/>
  <c r="W10" i="18"/>
  <c r="X10" i="18" s="1"/>
  <c r="Y10" i="18"/>
  <c r="Z10" i="18" s="1"/>
  <c r="S11" i="18"/>
  <c r="U11" i="18"/>
  <c r="W11" i="18"/>
  <c r="X11" i="18" s="1"/>
  <c r="Y11" i="18"/>
  <c r="Z11" i="18" s="1"/>
  <c r="S12" i="18"/>
  <c r="U12" i="18"/>
  <c r="W12" i="18"/>
  <c r="X12" i="18" s="1"/>
  <c r="Y12" i="18"/>
  <c r="Z12" i="18" s="1"/>
  <c r="S13" i="18"/>
  <c r="E20" i="14" s="1"/>
  <c r="U13" i="18"/>
  <c r="G20" i="14" s="1"/>
  <c r="W13" i="18"/>
  <c r="X13" i="18" s="1"/>
  <c r="Y13" i="18"/>
  <c r="Z13" i="18" s="1"/>
  <c r="S14" i="18"/>
  <c r="U14" i="18"/>
  <c r="S15" i="18"/>
  <c r="T15" i="18" s="1"/>
  <c r="U15" i="18"/>
  <c r="C16" i="18"/>
  <c r="D16" i="18"/>
  <c r="E16" i="18"/>
  <c r="F16" i="18"/>
  <c r="G16" i="18"/>
  <c r="H16" i="18"/>
  <c r="I16" i="18"/>
  <c r="J16" i="18"/>
  <c r="K16" i="18"/>
  <c r="L16" i="18"/>
  <c r="M16" i="18"/>
  <c r="M22" i="18" s="1"/>
  <c r="N16" i="18"/>
  <c r="O16" i="18"/>
  <c r="P16" i="18"/>
  <c r="Q16" i="18"/>
  <c r="R16" i="18"/>
  <c r="S17" i="18"/>
  <c r="T17" i="18" s="1"/>
  <c r="U17" i="18"/>
  <c r="W17" i="18"/>
  <c r="X17" i="18" s="1"/>
  <c r="Y17" i="18"/>
  <c r="Z17" i="18" s="1"/>
  <c r="S18" i="18"/>
  <c r="U18" i="18"/>
  <c r="W18" i="18"/>
  <c r="X18" i="18" s="1"/>
  <c r="Y18" i="18"/>
  <c r="Z18" i="18" s="1"/>
  <c r="S19" i="18"/>
  <c r="U19" i="18"/>
  <c r="W19" i="18"/>
  <c r="X19" i="18" s="1"/>
  <c r="Y19" i="18"/>
  <c r="Z19" i="18" s="1"/>
  <c r="S20" i="18"/>
  <c r="U20" i="18"/>
  <c r="W20" i="18"/>
  <c r="X20" i="18" s="1"/>
  <c r="Y20" i="18"/>
  <c r="Z20" i="18" s="1"/>
  <c r="S21" i="18"/>
  <c r="U21" i="18"/>
  <c r="W21" i="18"/>
  <c r="X21" i="18" s="1"/>
  <c r="Y21" i="18"/>
  <c r="Z21" i="18" s="1"/>
  <c r="S23" i="18"/>
  <c r="U23" i="18"/>
  <c r="E51" i="1" s="1"/>
  <c r="W23" i="18"/>
  <c r="X23" i="18" s="1"/>
  <c r="Y23" i="18"/>
  <c r="Z23" i="18" s="1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5" i="18"/>
  <c r="U25" i="18"/>
  <c r="W25" i="18"/>
  <c r="X25" i="18" s="1"/>
  <c r="Y25" i="18"/>
  <c r="Z25" i="18" s="1"/>
  <c r="S26" i="18"/>
  <c r="U26" i="18"/>
  <c r="W26" i="18"/>
  <c r="X26" i="18" s="1"/>
  <c r="Y26" i="18"/>
  <c r="Z26" i="18" s="1"/>
  <c r="S27" i="18"/>
  <c r="U27" i="18"/>
  <c r="W27" i="18"/>
  <c r="X27" i="18" s="1"/>
  <c r="Y27" i="18"/>
  <c r="Z27" i="18" s="1"/>
  <c r="S28" i="18"/>
  <c r="U28" i="18"/>
  <c r="W28" i="18"/>
  <c r="X28" i="18" s="1"/>
  <c r="Y28" i="18"/>
  <c r="Z28" i="18" s="1"/>
  <c r="S29" i="18"/>
  <c r="U29" i="18"/>
  <c r="W29" i="18"/>
  <c r="X29" i="18" s="1"/>
  <c r="Y29" i="18"/>
  <c r="Z29" i="18" s="1"/>
  <c r="S30" i="18"/>
  <c r="U30" i="18"/>
  <c r="W30" i="18"/>
  <c r="X30" i="18" s="1"/>
  <c r="Y30" i="18"/>
  <c r="Z30" i="18" s="1"/>
  <c r="S31" i="18"/>
  <c r="T31" i="18" s="1"/>
  <c r="U31" i="18"/>
  <c r="W31" i="18"/>
  <c r="X31" i="18" s="1"/>
  <c r="Y31" i="18"/>
  <c r="Z31" i="18" s="1"/>
  <c r="S32" i="18"/>
  <c r="U32" i="18"/>
  <c r="W32" i="18"/>
  <c r="X32" i="18" s="1"/>
  <c r="Y32" i="18"/>
  <c r="Z32" i="18" s="1"/>
  <c r="S33" i="18"/>
  <c r="C53" i="1" s="1"/>
  <c r="U33" i="18"/>
  <c r="W33" i="18"/>
  <c r="X33" i="18" s="1"/>
  <c r="Y33" i="18"/>
  <c r="Z33" i="18" s="1"/>
  <c r="S34" i="18"/>
  <c r="U34" i="18"/>
  <c r="W34" i="18"/>
  <c r="X34" i="18" s="1"/>
  <c r="Y34" i="18"/>
  <c r="Z34" i="18" s="1"/>
  <c r="S35" i="18"/>
  <c r="U35" i="18"/>
  <c r="E59" i="1" s="1"/>
  <c r="W35" i="18"/>
  <c r="X35" i="18" s="1"/>
  <c r="Y35" i="18"/>
  <c r="Z35" i="18" s="1"/>
  <c r="S36" i="18"/>
  <c r="U36" i="18"/>
  <c r="W36" i="18"/>
  <c r="X36" i="18" s="1"/>
  <c r="Y36" i="18"/>
  <c r="Z36" i="18" s="1"/>
  <c r="S37" i="18"/>
  <c r="T37" i="18" s="1"/>
  <c r="U37" i="18"/>
  <c r="W37" i="18"/>
  <c r="X37" i="18" s="1"/>
  <c r="Y37" i="18"/>
  <c r="Z37" i="18" s="1"/>
  <c r="S39" i="18"/>
  <c r="U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1" i="18"/>
  <c r="U41" i="18"/>
  <c r="S42" i="18"/>
  <c r="U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4" i="18"/>
  <c r="U44" i="18"/>
  <c r="S45" i="18"/>
  <c r="U45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7" i="18"/>
  <c r="T47" i="18" s="1"/>
  <c r="U47" i="18"/>
  <c r="S48" i="18"/>
  <c r="U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50" i="18"/>
  <c r="U50" i="18"/>
  <c r="S51" i="18"/>
  <c r="U51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3" i="18"/>
  <c r="U53" i="18"/>
  <c r="S54" i="18"/>
  <c r="U54" i="18"/>
  <c r="B2" i="36"/>
  <c r="N2" i="36"/>
  <c r="C6" i="36"/>
  <c r="D6" i="36"/>
  <c r="E6" i="36"/>
  <c r="F6" i="36"/>
  <c r="G6" i="36"/>
  <c r="H6" i="36"/>
  <c r="I6" i="36"/>
  <c r="J6" i="36"/>
  <c r="M6" i="36"/>
  <c r="N6" i="36" s="1"/>
  <c r="C7" i="36"/>
  <c r="D7" i="36"/>
  <c r="E7" i="36"/>
  <c r="F7" i="36"/>
  <c r="G7" i="36"/>
  <c r="H7" i="36"/>
  <c r="I7" i="36"/>
  <c r="J7" i="36"/>
  <c r="C8" i="36"/>
  <c r="M8" i="36" s="1"/>
  <c r="N8" i="36" s="1"/>
  <c r="D8" i="36"/>
  <c r="E8" i="36"/>
  <c r="F8" i="36"/>
  <c r="G8" i="36"/>
  <c r="H8" i="36"/>
  <c r="I8" i="36"/>
  <c r="J8" i="36"/>
  <c r="N9" i="36"/>
  <c r="C10" i="36"/>
  <c r="D10" i="36"/>
  <c r="E10" i="36"/>
  <c r="F10" i="36"/>
  <c r="G10" i="36"/>
  <c r="H10" i="36"/>
  <c r="I10" i="36"/>
  <c r="J10" i="36"/>
  <c r="C11" i="36"/>
  <c r="D11" i="36"/>
  <c r="E11" i="36"/>
  <c r="F11" i="36"/>
  <c r="G11" i="36"/>
  <c r="H11" i="36"/>
  <c r="I11" i="36"/>
  <c r="J11" i="36"/>
  <c r="C12" i="36"/>
  <c r="D12" i="36"/>
  <c r="E12" i="36"/>
  <c r="F12" i="36"/>
  <c r="G12" i="36"/>
  <c r="H12" i="36"/>
  <c r="I12" i="36"/>
  <c r="J12" i="36"/>
  <c r="C13" i="36"/>
  <c r="D13" i="36"/>
  <c r="E13" i="36"/>
  <c r="F13" i="36"/>
  <c r="G13" i="36"/>
  <c r="H13" i="36"/>
  <c r="I13" i="36"/>
  <c r="J13" i="36"/>
  <c r="N14" i="36"/>
  <c r="C15" i="36"/>
  <c r="D15" i="36"/>
  <c r="E15" i="36"/>
  <c r="F15" i="36"/>
  <c r="G15" i="36"/>
  <c r="H15" i="36"/>
  <c r="I15" i="36"/>
  <c r="J15" i="36"/>
  <c r="C16" i="36"/>
  <c r="D16" i="36"/>
  <c r="E16" i="36"/>
  <c r="F16" i="36"/>
  <c r="G16" i="36"/>
  <c r="H16" i="36"/>
  <c r="I16" i="36"/>
  <c r="J16" i="36"/>
  <c r="C17" i="36"/>
  <c r="D17" i="36"/>
  <c r="E17" i="36"/>
  <c r="F17" i="36"/>
  <c r="G17" i="36"/>
  <c r="H17" i="36"/>
  <c r="I17" i="36"/>
  <c r="J17" i="36"/>
  <c r="C18" i="36"/>
  <c r="D18" i="36"/>
  <c r="E18" i="36"/>
  <c r="F18" i="36"/>
  <c r="G18" i="36"/>
  <c r="H18" i="36"/>
  <c r="I18" i="36"/>
  <c r="J18" i="36"/>
  <c r="C19" i="36"/>
  <c r="D19" i="36"/>
  <c r="E19" i="36"/>
  <c r="F19" i="36"/>
  <c r="G19" i="36"/>
  <c r="H19" i="36"/>
  <c r="I19" i="36"/>
  <c r="J19" i="36"/>
  <c r="C20" i="36"/>
  <c r="D20" i="36"/>
  <c r="E20" i="36"/>
  <c r="F20" i="36"/>
  <c r="G20" i="36"/>
  <c r="H20" i="36"/>
  <c r="I20" i="36"/>
  <c r="J20" i="36"/>
  <c r="C21" i="36"/>
  <c r="D21" i="36"/>
  <c r="E21" i="36"/>
  <c r="F21" i="36"/>
  <c r="G21" i="36"/>
  <c r="H21" i="36"/>
  <c r="I21" i="36"/>
  <c r="J21" i="36"/>
  <c r="C22" i="36"/>
  <c r="D22" i="36"/>
  <c r="E22" i="36"/>
  <c r="F22" i="36"/>
  <c r="G22" i="36"/>
  <c r="H22" i="36"/>
  <c r="I22" i="36"/>
  <c r="J22" i="36"/>
  <c r="C23" i="36"/>
  <c r="D23" i="36"/>
  <c r="E23" i="36"/>
  <c r="F23" i="36"/>
  <c r="G23" i="36"/>
  <c r="H23" i="36"/>
  <c r="I23" i="36"/>
  <c r="J23" i="36"/>
  <c r="C24" i="36"/>
  <c r="D24" i="36"/>
  <c r="E24" i="36"/>
  <c r="F24" i="36"/>
  <c r="G24" i="36"/>
  <c r="H24" i="36"/>
  <c r="I24" i="36"/>
  <c r="J24" i="36"/>
  <c r="C25" i="36"/>
  <c r="D50" i="16" s="1"/>
  <c r="D25" i="36"/>
  <c r="E25" i="36"/>
  <c r="F25" i="36"/>
  <c r="G25" i="36"/>
  <c r="H25" i="36"/>
  <c r="I25" i="36"/>
  <c r="J25" i="36"/>
  <c r="C26" i="36"/>
  <c r="D26" i="36"/>
  <c r="E26" i="36"/>
  <c r="F26" i="36"/>
  <c r="G26" i="36"/>
  <c r="H26" i="36"/>
  <c r="I26" i="36"/>
  <c r="J26" i="36"/>
  <c r="N27" i="36"/>
  <c r="C28" i="36"/>
  <c r="D28" i="36"/>
  <c r="E28" i="36"/>
  <c r="F28" i="36"/>
  <c r="G28" i="36"/>
  <c r="H28" i="36"/>
  <c r="I28" i="36"/>
  <c r="J28" i="36"/>
  <c r="C29" i="36"/>
  <c r="D29" i="36"/>
  <c r="E29" i="36"/>
  <c r="F29" i="36"/>
  <c r="G29" i="36"/>
  <c r="H29" i="36"/>
  <c r="I29" i="36"/>
  <c r="J29" i="36"/>
  <c r="C30" i="36"/>
  <c r="D30" i="36"/>
  <c r="E30" i="36"/>
  <c r="F30" i="36"/>
  <c r="G30" i="36"/>
  <c r="H30" i="36"/>
  <c r="I30" i="36"/>
  <c r="J30" i="36"/>
  <c r="C31" i="36"/>
  <c r="D31" i="36"/>
  <c r="E31" i="36"/>
  <c r="F31" i="36"/>
  <c r="G31" i="36"/>
  <c r="H31" i="36"/>
  <c r="I31" i="36"/>
  <c r="J31" i="36"/>
  <c r="C32" i="36"/>
  <c r="D32" i="36"/>
  <c r="E32" i="36"/>
  <c r="F32" i="36"/>
  <c r="G32" i="36"/>
  <c r="H32" i="36"/>
  <c r="I32" i="36"/>
  <c r="J32" i="36"/>
  <c r="C33" i="36"/>
  <c r="D33" i="36"/>
  <c r="E33" i="36"/>
  <c r="F33" i="36"/>
  <c r="G33" i="36"/>
  <c r="H33" i="36"/>
  <c r="I33" i="36"/>
  <c r="J33" i="36"/>
  <c r="C34" i="36"/>
  <c r="D34" i="36"/>
  <c r="E34" i="36"/>
  <c r="F34" i="36"/>
  <c r="G34" i="36"/>
  <c r="H34" i="36"/>
  <c r="I34" i="36"/>
  <c r="J34" i="36"/>
  <c r="C35" i="36"/>
  <c r="D35" i="36"/>
  <c r="E35" i="36"/>
  <c r="F35" i="36"/>
  <c r="G35" i="36"/>
  <c r="H35" i="36"/>
  <c r="I35" i="36"/>
  <c r="J35" i="36"/>
  <c r="C36" i="36"/>
  <c r="D36" i="36"/>
  <c r="E36" i="36"/>
  <c r="F36" i="36"/>
  <c r="G36" i="36"/>
  <c r="H36" i="36"/>
  <c r="I36" i="36"/>
  <c r="J36" i="36"/>
  <c r="B2" i="17"/>
  <c r="S7" i="17"/>
  <c r="U7" i="17"/>
  <c r="W7" i="17"/>
  <c r="X7" i="17" s="1"/>
  <c r="Y7" i="17"/>
  <c r="Z7" i="17" s="1"/>
  <c r="S8" i="17"/>
  <c r="U8" i="17"/>
  <c r="W8" i="17"/>
  <c r="X8" i="17" s="1"/>
  <c r="Y8" i="17"/>
  <c r="Z8" i="17" s="1"/>
  <c r="S9" i="17"/>
  <c r="U9" i="17"/>
  <c r="W9" i="17"/>
  <c r="X9" i="17" s="1"/>
  <c r="Y9" i="17"/>
  <c r="Z9" i="17" s="1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X10" i="17"/>
  <c r="S11" i="17"/>
  <c r="U11" i="17"/>
  <c r="W11" i="17"/>
  <c r="X11" i="17" s="1"/>
  <c r="Y11" i="17"/>
  <c r="Z11" i="17" s="1"/>
  <c r="S12" i="17"/>
  <c r="U12" i="17"/>
  <c r="W12" i="17"/>
  <c r="X12" i="17" s="1"/>
  <c r="Y12" i="17"/>
  <c r="Z12" i="17" s="1"/>
  <c r="S13" i="17"/>
  <c r="U13" i="17"/>
  <c r="W13" i="17"/>
  <c r="X13" i="17" s="1"/>
  <c r="Y13" i="17"/>
  <c r="Z13" i="17" s="1"/>
  <c r="S14" i="17"/>
  <c r="U14" i="17"/>
  <c r="W14" i="17"/>
  <c r="X14" i="17" s="1"/>
  <c r="Y14" i="17"/>
  <c r="Z14" i="17" s="1"/>
  <c r="C15" i="17"/>
  <c r="D15" i="17"/>
  <c r="E15" i="17"/>
  <c r="F15" i="17"/>
  <c r="G15" i="17"/>
  <c r="G38" i="17" s="1"/>
  <c r="G39" i="17" s="1"/>
  <c r="H15" i="17"/>
  <c r="I15" i="17"/>
  <c r="J15" i="17"/>
  <c r="K15" i="17"/>
  <c r="L15" i="17"/>
  <c r="M15" i="17"/>
  <c r="M38" i="17" s="1"/>
  <c r="M39" i="17" s="1"/>
  <c r="N15" i="17"/>
  <c r="O15" i="17"/>
  <c r="O38" i="17" s="1"/>
  <c r="P15" i="17"/>
  <c r="Q15" i="17"/>
  <c r="R15" i="17"/>
  <c r="X15" i="17"/>
  <c r="Z15" i="17"/>
  <c r="S16" i="17"/>
  <c r="U16" i="17"/>
  <c r="W16" i="17"/>
  <c r="X16" i="17" s="1"/>
  <c r="Y16" i="17"/>
  <c r="Z16" i="17" s="1"/>
  <c r="S17" i="17"/>
  <c r="U17" i="17"/>
  <c r="W17" i="17"/>
  <c r="X17" i="17" s="1"/>
  <c r="Y17" i="17"/>
  <c r="Z17" i="17" s="1"/>
  <c r="S18" i="17"/>
  <c r="U18" i="17"/>
  <c r="W18" i="17"/>
  <c r="X18" i="17" s="1"/>
  <c r="Y18" i="17"/>
  <c r="Z18" i="17" s="1"/>
  <c r="S19" i="17"/>
  <c r="T19" i="17" s="1"/>
  <c r="U19" i="17"/>
  <c r="W19" i="17"/>
  <c r="X19" i="17" s="1"/>
  <c r="Y19" i="17"/>
  <c r="Z19" i="17" s="1"/>
  <c r="S20" i="17"/>
  <c r="C25" i="1" s="1"/>
  <c r="U20" i="17"/>
  <c r="W20" i="17"/>
  <c r="X20" i="17" s="1"/>
  <c r="Y20" i="17"/>
  <c r="Z20" i="17" s="1"/>
  <c r="S21" i="17"/>
  <c r="U21" i="17"/>
  <c r="W21" i="17"/>
  <c r="X21" i="17" s="1"/>
  <c r="Y21" i="17"/>
  <c r="Z21" i="17" s="1"/>
  <c r="S22" i="17"/>
  <c r="U22" i="17"/>
  <c r="W22" i="17"/>
  <c r="X22" i="17" s="1"/>
  <c r="Y22" i="17"/>
  <c r="Z22" i="17" s="1"/>
  <c r="S23" i="17"/>
  <c r="U23" i="17"/>
  <c r="W23" i="17"/>
  <c r="X23" i="17" s="1"/>
  <c r="Y23" i="17"/>
  <c r="Z23" i="17" s="1"/>
  <c r="S24" i="17"/>
  <c r="U24" i="17"/>
  <c r="W24" i="17"/>
  <c r="X24" i="17" s="1"/>
  <c r="Y24" i="17"/>
  <c r="Z24" i="17" s="1"/>
  <c r="S25" i="17"/>
  <c r="U25" i="17"/>
  <c r="W25" i="17"/>
  <c r="X25" i="17" s="1"/>
  <c r="Y25" i="17"/>
  <c r="Z25" i="17" s="1"/>
  <c r="S26" i="17"/>
  <c r="K34" i="5" s="1"/>
  <c r="U26" i="17"/>
  <c r="W26" i="17"/>
  <c r="X26" i="17" s="1"/>
  <c r="Y26" i="17"/>
  <c r="Z26" i="17" s="1"/>
  <c r="S27" i="17"/>
  <c r="U27" i="17"/>
  <c r="H15" i="15" s="1"/>
  <c r="W27" i="17"/>
  <c r="X27" i="17" s="1"/>
  <c r="Y27" i="17"/>
  <c r="Z27" i="17" s="1"/>
  <c r="S28" i="17"/>
  <c r="C19" i="1" s="1"/>
  <c r="U28" i="17"/>
  <c r="E19" i="1" s="1"/>
  <c r="X28" i="17"/>
  <c r="Z28" i="17"/>
  <c r="S29" i="17"/>
  <c r="U29" i="17"/>
  <c r="W29" i="17"/>
  <c r="X29" i="17" s="1"/>
  <c r="Y29" i="17"/>
  <c r="Z29" i="17" s="1"/>
  <c r="S30" i="17"/>
  <c r="U30" i="17"/>
  <c r="W30" i="17"/>
  <c r="X30" i="17" s="1"/>
  <c r="Y30" i="17"/>
  <c r="Z30" i="17" s="1"/>
  <c r="S31" i="17"/>
  <c r="C31" i="1" s="1"/>
  <c r="U31" i="17"/>
  <c r="E49" i="16" s="1"/>
  <c r="W31" i="17"/>
  <c r="X31" i="17" s="1"/>
  <c r="Y31" i="17"/>
  <c r="Z31" i="17" s="1"/>
  <c r="S32" i="17"/>
  <c r="C36" i="1" s="1"/>
  <c r="U32" i="17"/>
  <c r="E36" i="1" s="1"/>
  <c r="W32" i="17"/>
  <c r="X32" i="17" s="1"/>
  <c r="Y32" i="17"/>
  <c r="Z32" i="17" s="1"/>
  <c r="S33" i="17"/>
  <c r="U33" i="17"/>
  <c r="W33" i="17"/>
  <c r="X33" i="17" s="1"/>
  <c r="Y33" i="17"/>
  <c r="Z33" i="17" s="1"/>
  <c r="S34" i="17"/>
  <c r="U34" i="17"/>
  <c r="W34" i="17"/>
  <c r="X34" i="17" s="1"/>
  <c r="Y34" i="17"/>
  <c r="Z34" i="17" s="1"/>
  <c r="S35" i="17"/>
  <c r="U35" i="17"/>
  <c r="W35" i="17"/>
  <c r="X35" i="17" s="1"/>
  <c r="Y35" i="17"/>
  <c r="Z35" i="17" s="1"/>
  <c r="S36" i="17"/>
  <c r="U36" i="17"/>
  <c r="E33" i="1" s="1"/>
  <c r="E32" i="1" s="1"/>
  <c r="W36" i="17"/>
  <c r="X36" i="17" s="1"/>
  <c r="Y36" i="17"/>
  <c r="Z36" i="17" s="1"/>
  <c r="S37" i="17"/>
  <c r="U37" i="17"/>
  <c r="W37" i="17"/>
  <c r="X37" i="17" s="1"/>
  <c r="Y37" i="17"/>
  <c r="Z37" i="17" s="1"/>
  <c r="R38" i="17"/>
  <c r="B2" i="16"/>
  <c r="C6" i="16"/>
  <c r="C7" i="16"/>
  <c r="E7" i="16"/>
  <c r="F8" i="16"/>
  <c r="C8" i="16" s="1"/>
  <c r="G8" i="16"/>
  <c r="D8" i="16" s="1"/>
  <c r="H8" i="16"/>
  <c r="E8" i="16" s="1"/>
  <c r="C13" i="16"/>
  <c r="E13" i="16"/>
  <c r="C50" i="16"/>
  <c r="E50" i="16"/>
  <c r="C51" i="16"/>
  <c r="A2" i="15"/>
  <c r="E2" i="15"/>
  <c r="B6" i="15"/>
  <c r="B7" i="15"/>
  <c r="B8" i="15"/>
  <c r="B9" i="15"/>
  <c r="B10" i="15"/>
  <c r="B11" i="15"/>
  <c r="B12" i="15"/>
  <c r="C13" i="15"/>
  <c r="D13" i="15"/>
  <c r="D15" i="15" s="1"/>
  <c r="E16" i="1" s="1"/>
  <c r="H17" i="15" s="1"/>
  <c r="E13" i="15"/>
  <c r="B14" i="15"/>
  <c r="B19" i="15"/>
  <c r="B20" i="15"/>
  <c r="B21" i="15"/>
  <c r="B22" i="15"/>
  <c r="B23" i="15"/>
  <c r="B24" i="15"/>
  <c r="B25" i="15"/>
  <c r="C26" i="15"/>
  <c r="D26" i="15"/>
  <c r="D28" i="15" s="1"/>
  <c r="E10" i="1" s="1"/>
  <c r="E26" i="15"/>
  <c r="B27" i="15"/>
  <c r="B34" i="15"/>
  <c r="B35" i="15"/>
  <c r="B36" i="15"/>
  <c r="C37" i="15"/>
  <c r="C39" i="15" s="1"/>
  <c r="D13" i="1" s="1"/>
  <c r="D37" i="15"/>
  <c r="E37" i="15"/>
  <c r="B38" i="15"/>
  <c r="B2" i="14"/>
  <c r="C11" i="14"/>
  <c r="D11" i="14"/>
  <c r="C20" i="14"/>
  <c r="D20" i="14"/>
  <c r="B3" i="13"/>
  <c r="B15" i="13"/>
  <c r="C22" i="13" s="1"/>
  <c r="C15" i="13"/>
  <c r="D15" i="13"/>
  <c r="C21" i="13" s="1"/>
  <c r="E15" i="13"/>
  <c r="B3" i="12"/>
  <c r="M3" i="12"/>
  <c r="N3" i="12"/>
  <c r="R3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H67" i="12"/>
  <c r="I67" i="12"/>
  <c r="J67" i="12"/>
  <c r="K67" i="12"/>
  <c r="L67" i="12"/>
  <c r="O67" i="12"/>
  <c r="H68" i="12"/>
  <c r="I68" i="12"/>
  <c r="J68" i="12"/>
  <c r="K68" i="12"/>
  <c r="L68" i="12"/>
  <c r="O68" i="12"/>
  <c r="B3" i="11"/>
  <c r="M3" i="11"/>
  <c r="R3" i="1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G39" i="11"/>
  <c r="H39" i="11"/>
  <c r="I39" i="11"/>
  <c r="J39" i="11"/>
  <c r="K39" i="11"/>
  <c r="L39" i="11"/>
  <c r="O39" i="11"/>
  <c r="G40" i="11"/>
  <c r="H40" i="11"/>
  <c r="I40" i="11"/>
  <c r="J40" i="11"/>
  <c r="K40" i="11"/>
  <c r="L40" i="11"/>
  <c r="O40" i="11"/>
  <c r="B2" i="10"/>
  <c r="Z2" i="10"/>
  <c r="C6" i="10"/>
  <c r="D6" i="10"/>
  <c r="Y6" i="10"/>
  <c r="Y30" i="10" s="1"/>
  <c r="Z6" i="10"/>
  <c r="C7" i="10"/>
  <c r="D7" i="10"/>
  <c r="Y7" i="10"/>
  <c r="Z7" i="10"/>
  <c r="C8" i="10"/>
  <c r="D8" i="10"/>
  <c r="Y8" i="10"/>
  <c r="Z8" i="10"/>
  <c r="C9" i="10"/>
  <c r="D9" i="10"/>
  <c r="Y9" i="10"/>
  <c r="Z9" i="10"/>
  <c r="C10" i="10"/>
  <c r="D10" i="10"/>
  <c r="Y10" i="10"/>
  <c r="Z10" i="10"/>
  <c r="C11" i="10"/>
  <c r="D11" i="10"/>
  <c r="Y11" i="10"/>
  <c r="Z11" i="10"/>
  <c r="C12" i="10"/>
  <c r="C50" i="35" s="1"/>
  <c r="D12" i="10"/>
  <c r="G50" i="35" s="1"/>
  <c r="Y12" i="10"/>
  <c r="Z12" i="10"/>
  <c r="C13" i="10"/>
  <c r="D13" i="10"/>
  <c r="Y13" i="10"/>
  <c r="Z13" i="10"/>
  <c r="C14" i="10"/>
  <c r="D14" i="10"/>
  <c r="Y14" i="10"/>
  <c r="Z14" i="10"/>
  <c r="C15" i="10"/>
  <c r="D15" i="10"/>
  <c r="Y15" i="10"/>
  <c r="Z15" i="10"/>
  <c r="C16" i="10"/>
  <c r="D16" i="10"/>
  <c r="Y16" i="10"/>
  <c r="Z16" i="10"/>
  <c r="C17" i="10"/>
  <c r="D17" i="10"/>
  <c r="Y17" i="10"/>
  <c r="Z17" i="10"/>
  <c r="C18" i="10"/>
  <c r="D18" i="10"/>
  <c r="Y18" i="10"/>
  <c r="Z18" i="10"/>
  <c r="C19" i="10"/>
  <c r="D19" i="10"/>
  <c r="Y19" i="10"/>
  <c r="Z19" i="10"/>
  <c r="C20" i="10"/>
  <c r="D20" i="10"/>
  <c r="Y20" i="10"/>
  <c r="Z20" i="10"/>
  <c r="C21" i="10"/>
  <c r="D21" i="10"/>
  <c r="Y21" i="10"/>
  <c r="Z21" i="10"/>
  <c r="C22" i="10"/>
  <c r="D22" i="10"/>
  <c r="Y22" i="10"/>
  <c r="Z22" i="10"/>
  <c r="C23" i="10"/>
  <c r="D23" i="10"/>
  <c r="Y23" i="10"/>
  <c r="Z23" i="10"/>
  <c r="C24" i="10"/>
  <c r="D24" i="10"/>
  <c r="Y24" i="10"/>
  <c r="Z24" i="10"/>
  <c r="C25" i="10"/>
  <c r="D25" i="10"/>
  <c r="Y25" i="10"/>
  <c r="Z25" i="10"/>
  <c r="C26" i="10"/>
  <c r="D26" i="10"/>
  <c r="Y26" i="10"/>
  <c r="Z26" i="10"/>
  <c r="C27" i="10"/>
  <c r="D27" i="10"/>
  <c r="Y27" i="10"/>
  <c r="Z27" i="10"/>
  <c r="C28" i="10"/>
  <c r="D28" i="10"/>
  <c r="Y28" i="10"/>
  <c r="Z28" i="10"/>
  <c r="C29" i="10"/>
  <c r="D29" i="10"/>
  <c r="Y29" i="10"/>
  <c r="Z29" i="10"/>
  <c r="AA29" i="10"/>
  <c r="E30" i="10"/>
  <c r="AB9" i="40" s="1"/>
  <c r="F30" i="10"/>
  <c r="G30" i="10"/>
  <c r="AB8" i="40" s="1"/>
  <c r="H30" i="10"/>
  <c r="I30" i="10"/>
  <c r="AC9" i="40" s="1"/>
  <c r="J30" i="10"/>
  <c r="K30" i="10"/>
  <c r="AC8" i="40" s="1"/>
  <c r="L30" i="10"/>
  <c r="M30" i="10"/>
  <c r="AD9" i="40" s="1"/>
  <c r="N30" i="10"/>
  <c r="O30" i="10"/>
  <c r="P30" i="10"/>
  <c r="Q30" i="10"/>
  <c r="AE9" i="40" s="1"/>
  <c r="R30" i="10"/>
  <c r="S30" i="10"/>
  <c r="T30" i="10"/>
  <c r="U30" i="10"/>
  <c r="AF9" i="40" s="1"/>
  <c r="V30" i="10"/>
  <c r="W30" i="10"/>
  <c r="X30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AA31" i="10"/>
  <c r="AA32" i="10"/>
  <c r="C34" i="10"/>
  <c r="D34" i="10"/>
  <c r="Y34" i="10"/>
  <c r="Z34" i="10"/>
  <c r="C35" i="10"/>
  <c r="D35" i="10"/>
  <c r="Y35" i="10"/>
  <c r="Z35" i="10"/>
  <c r="C36" i="10"/>
  <c r="D36" i="10"/>
  <c r="Y36" i="10"/>
  <c r="Z36" i="10"/>
  <c r="C37" i="10"/>
  <c r="D37" i="10"/>
  <c r="Y37" i="10"/>
  <c r="Z37" i="10"/>
  <c r="C38" i="10"/>
  <c r="D38" i="10"/>
  <c r="Y38" i="10"/>
  <c r="Z38" i="10"/>
  <c r="C39" i="10"/>
  <c r="D39" i="10"/>
  <c r="Y39" i="10"/>
  <c r="Z39" i="10"/>
  <c r="C40" i="10"/>
  <c r="D40" i="10"/>
  <c r="Y40" i="10"/>
  <c r="Z40" i="10"/>
  <c r="C41" i="10"/>
  <c r="D41" i="10"/>
  <c r="Y41" i="10"/>
  <c r="Z41" i="10"/>
  <c r="C42" i="10"/>
  <c r="D42" i="10"/>
  <c r="Y42" i="10"/>
  <c r="Z42" i="10"/>
  <c r="C43" i="10"/>
  <c r="D43" i="10"/>
  <c r="Y43" i="10"/>
  <c r="Z43" i="10"/>
  <c r="C44" i="10"/>
  <c r="D44" i="10"/>
  <c r="Y44" i="10"/>
  <c r="Z44" i="10"/>
  <c r="C45" i="10"/>
  <c r="D45" i="10"/>
  <c r="Y45" i="10"/>
  <c r="Z45" i="10"/>
  <c r="C46" i="10"/>
  <c r="D46" i="10"/>
  <c r="Y46" i="10"/>
  <c r="Z46" i="10"/>
  <c r="C47" i="10"/>
  <c r="D47" i="10"/>
  <c r="Y47" i="10"/>
  <c r="Z47" i="10"/>
  <c r="C48" i="10"/>
  <c r="D48" i="10"/>
  <c r="Y48" i="10"/>
  <c r="Z48" i="10"/>
  <c r="C49" i="10"/>
  <c r="D49" i="10"/>
  <c r="Y49" i="10"/>
  <c r="Z49" i="10"/>
  <c r="AA49" i="10"/>
  <c r="E50" i="10"/>
  <c r="E71" i="10" s="1"/>
  <c r="F50" i="10"/>
  <c r="F71" i="10" s="1"/>
  <c r="G50" i="10"/>
  <c r="G71" i="10" s="1"/>
  <c r="C71" i="1" s="1"/>
  <c r="H50" i="10"/>
  <c r="H71" i="10" s="1"/>
  <c r="I50" i="10"/>
  <c r="I71" i="10" s="1"/>
  <c r="J50" i="10"/>
  <c r="J71" i="10" s="1"/>
  <c r="K50" i="10"/>
  <c r="K71" i="10" s="1"/>
  <c r="L50" i="10"/>
  <c r="L71" i="10" s="1"/>
  <c r="M50" i="10"/>
  <c r="M71" i="10" s="1"/>
  <c r="N50" i="10"/>
  <c r="N71" i="10" s="1"/>
  <c r="O50" i="10"/>
  <c r="AD8" i="40" s="1"/>
  <c r="P50" i="10"/>
  <c r="P71" i="10" s="1"/>
  <c r="Q50" i="10"/>
  <c r="Q71" i="10" s="1"/>
  <c r="R50" i="10"/>
  <c r="R71" i="10" s="1"/>
  <c r="S50" i="10"/>
  <c r="T50" i="10"/>
  <c r="T71" i="10" s="1"/>
  <c r="U50" i="10"/>
  <c r="U71" i="10" s="1"/>
  <c r="V50" i="10"/>
  <c r="V71" i="10" s="1"/>
  <c r="W50" i="10"/>
  <c r="AF8" i="40" s="1"/>
  <c r="X50" i="10"/>
  <c r="X71" i="10" s="1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AA52" i="10"/>
  <c r="C54" i="10"/>
  <c r="D54" i="10"/>
  <c r="Y54" i="10"/>
  <c r="Z54" i="10"/>
  <c r="AA54" i="10"/>
  <c r="CH54" i="10"/>
  <c r="C55" i="10"/>
  <c r="D55" i="10"/>
  <c r="Y55" i="10"/>
  <c r="Z55" i="10"/>
  <c r="C56" i="10"/>
  <c r="D56" i="10"/>
  <c r="Y56" i="10"/>
  <c r="Z56" i="10"/>
  <c r="AA56" i="10"/>
  <c r="CH56" i="10"/>
  <c r="C57" i="10"/>
  <c r="D57" i="10"/>
  <c r="Y57" i="10"/>
  <c r="Z57" i="10"/>
  <c r="C58" i="10"/>
  <c r="D58" i="10"/>
  <c r="Y58" i="10"/>
  <c r="Z58" i="10"/>
  <c r="AA58" i="10"/>
  <c r="CH58" i="10"/>
  <c r="C59" i="10"/>
  <c r="D59" i="10"/>
  <c r="Y59" i="10"/>
  <c r="Z59" i="10"/>
  <c r="C60" i="10"/>
  <c r="D60" i="10"/>
  <c r="Y60" i="10"/>
  <c r="Z60" i="10"/>
  <c r="AA60" i="10"/>
  <c r="CH60" i="10"/>
  <c r="C61" i="10"/>
  <c r="D61" i="10"/>
  <c r="Y61" i="10"/>
  <c r="Z61" i="10"/>
  <c r="C62" i="10"/>
  <c r="D62" i="10"/>
  <c r="Y62" i="10"/>
  <c r="Z62" i="10"/>
  <c r="AA62" i="10"/>
  <c r="CH62" i="10"/>
  <c r="C63" i="10"/>
  <c r="D63" i="10"/>
  <c r="Y63" i="10"/>
  <c r="Z63" i="10"/>
  <c r="C64" i="10"/>
  <c r="D64" i="10"/>
  <c r="Y64" i="10"/>
  <c r="Z64" i="10"/>
  <c r="AA64" i="10"/>
  <c r="CH64" i="10"/>
  <c r="C65" i="10"/>
  <c r="D65" i="10"/>
  <c r="Y65" i="10"/>
  <c r="Z65" i="10"/>
  <c r="C66" i="10"/>
  <c r="D66" i="10"/>
  <c r="Y66" i="10"/>
  <c r="Z66" i="10"/>
  <c r="AA66" i="10"/>
  <c r="CH66" i="10"/>
  <c r="C67" i="10"/>
  <c r="D67" i="10"/>
  <c r="Y67" i="10"/>
  <c r="Z67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AA68" i="10"/>
  <c r="CH68" i="10"/>
  <c r="C69" i="10"/>
  <c r="D69" i="10"/>
  <c r="Y69" i="10"/>
  <c r="Z69" i="10"/>
  <c r="C70" i="10"/>
  <c r="D70" i="10"/>
  <c r="Y70" i="10"/>
  <c r="Z70" i="10"/>
  <c r="W71" i="10"/>
  <c r="E77" i="10"/>
  <c r="G77" i="10"/>
  <c r="I77" i="10"/>
  <c r="K77" i="10"/>
  <c r="K79" i="10" s="1"/>
  <c r="M77" i="10"/>
  <c r="O77" i="10"/>
  <c r="Q77" i="10"/>
  <c r="S77" i="10"/>
  <c r="S79" i="10" s="1"/>
  <c r="U77" i="10"/>
  <c r="W77" i="10"/>
  <c r="B3" i="9"/>
  <c r="T3" i="9"/>
  <c r="X3" i="9"/>
  <c r="I9" i="9"/>
  <c r="J9" i="9"/>
  <c r="I10" i="9"/>
  <c r="J10" i="9"/>
  <c r="I11" i="9"/>
  <c r="J11" i="9"/>
  <c r="I12" i="9"/>
  <c r="J12" i="9"/>
  <c r="I13" i="9"/>
  <c r="J13" i="9"/>
  <c r="I14" i="9"/>
  <c r="J14" i="9"/>
  <c r="I15" i="9"/>
  <c r="J15" i="9"/>
  <c r="I16" i="9"/>
  <c r="J16" i="9"/>
  <c r="I17" i="9"/>
  <c r="J17" i="9"/>
  <c r="I18" i="9"/>
  <c r="J18" i="9"/>
  <c r="I19" i="9"/>
  <c r="J19" i="9"/>
  <c r="I20" i="9"/>
  <c r="J20" i="9"/>
  <c r="Z21" i="9"/>
  <c r="E22" i="9"/>
  <c r="F17" i="9" s="1"/>
  <c r="G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3" i="9"/>
  <c r="Z24" i="9"/>
  <c r="I25" i="9"/>
  <c r="J25" i="9"/>
  <c r="I26" i="9"/>
  <c r="J26" i="9"/>
  <c r="I27" i="9"/>
  <c r="J27" i="9"/>
  <c r="I28" i="9"/>
  <c r="J28" i="9"/>
  <c r="I29" i="9"/>
  <c r="J29" i="9"/>
  <c r="I30" i="9"/>
  <c r="J30" i="9"/>
  <c r="I31" i="9"/>
  <c r="J31" i="9"/>
  <c r="I32" i="9"/>
  <c r="J32" i="9"/>
  <c r="Z33" i="9"/>
  <c r="E34" i="9"/>
  <c r="F27" i="9" s="1"/>
  <c r="G34" i="9"/>
  <c r="H26" i="9" s="1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B3" i="24"/>
  <c r="T3" i="24"/>
  <c r="X3" i="24"/>
  <c r="O9" i="24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A64" i="24" s="1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O10" i="24"/>
  <c r="C10" i="24" s="1"/>
  <c r="O11" i="24"/>
  <c r="C11" i="24" s="1"/>
  <c r="O12" i="24"/>
  <c r="C12" i="24" s="1"/>
  <c r="O13" i="24"/>
  <c r="C13" i="24" s="1"/>
  <c r="O14" i="24"/>
  <c r="C14" i="24" s="1"/>
  <c r="D15" i="24"/>
  <c r="E15" i="24" s="1"/>
  <c r="F15" i="24"/>
  <c r="G15" i="24" s="1"/>
  <c r="H15" i="24"/>
  <c r="I15" i="24"/>
  <c r="J15" i="24"/>
  <c r="K15" i="24"/>
  <c r="L15" i="24"/>
  <c r="M15" i="24"/>
  <c r="N15" i="24"/>
  <c r="P15" i="24"/>
  <c r="Q15" i="24"/>
  <c r="R15" i="24"/>
  <c r="S15" i="24"/>
  <c r="T15" i="24"/>
  <c r="U15" i="24"/>
  <c r="V15" i="24"/>
  <c r="W15" i="24"/>
  <c r="X15" i="24"/>
  <c r="Y15" i="24"/>
  <c r="O17" i="24"/>
  <c r="C17" i="24" s="1"/>
  <c r="O18" i="24"/>
  <c r="C18" i="24" s="1"/>
  <c r="O19" i="24"/>
  <c r="C19" i="24" s="1"/>
  <c r="O20" i="24"/>
  <c r="C20" i="24" s="1"/>
  <c r="O21" i="24"/>
  <c r="C21" i="24" s="1"/>
  <c r="O22" i="24"/>
  <c r="C22" i="24" s="1"/>
  <c r="O23" i="24"/>
  <c r="C23" i="24" s="1"/>
  <c r="D24" i="24"/>
  <c r="E24" i="24" s="1"/>
  <c r="F24" i="24"/>
  <c r="G24" i="24" s="1"/>
  <c r="H24" i="24"/>
  <c r="I24" i="24"/>
  <c r="J24" i="24"/>
  <c r="K24" i="24"/>
  <c r="L24" i="24"/>
  <c r="M24" i="24"/>
  <c r="N24" i="24"/>
  <c r="P24" i="24"/>
  <c r="Q24" i="24"/>
  <c r="R24" i="24"/>
  <c r="S24" i="24"/>
  <c r="T24" i="24"/>
  <c r="U24" i="24"/>
  <c r="V24" i="24"/>
  <c r="W24" i="24"/>
  <c r="X24" i="24"/>
  <c r="Y24" i="24"/>
  <c r="O26" i="24"/>
  <c r="C26" i="24" s="1"/>
  <c r="O27" i="24"/>
  <c r="C27" i="24" s="1"/>
  <c r="O28" i="24"/>
  <c r="C28" i="24" s="1"/>
  <c r="O29" i="24"/>
  <c r="C29" i="24" s="1"/>
  <c r="O30" i="24"/>
  <c r="C30" i="24" s="1"/>
  <c r="O31" i="24"/>
  <c r="C31" i="24" s="1"/>
  <c r="D32" i="24"/>
  <c r="E32" i="24" s="1"/>
  <c r="F32" i="24"/>
  <c r="G32" i="24" s="1"/>
  <c r="H32" i="24"/>
  <c r="I32" i="24"/>
  <c r="J32" i="24"/>
  <c r="K32" i="24"/>
  <c r="L32" i="24"/>
  <c r="M32" i="24"/>
  <c r="N32" i="24"/>
  <c r="P32" i="24"/>
  <c r="Q32" i="24"/>
  <c r="R32" i="24"/>
  <c r="S32" i="24"/>
  <c r="T32" i="24"/>
  <c r="U32" i="24"/>
  <c r="V32" i="24"/>
  <c r="W32" i="24"/>
  <c r="X32" i="24"/>
  <c r="Y32" i="24"/>
  <c r="O34" i="24"/>
  <c r="O35" i="24"/>
  <c r="C35" i="24" s="1"/>
  <c r="O36" i="24"/>
  <c r="C36" i="24" s="1"/>
  <c r="O37" i="24"/>
  <c r="C37" i="24" s="1"/>
  <c r="O38" i="24"/>
  <c r="C38" i="24" s="1"/>
  <c r="O39" i="24"/>
  <c r="C39" i="24" s="1"/>
  <c r="D40" i="24"/>
  <c r="E40" i="24" s="1"/>
  <c r="F40" i="24"/>
  <c r="G40" i="24" s="1"/>
  <c r="H40" i="24"/>
  <c r="I40" i="24"/>
  <c r="J40" i="24"/>
  <c r="K40" i="24"/>
  <c r="L40" i="24"/>
  <c r="M40" i="24"/>
  <c r="N40" i="24"/>
  <c r="P40" i="24"/>
  <c r="Q40" i="24"/>
  <c r="R40" i="24"/>
  <c r="S40" i="24"/>
  <c r="T40" i="24"/>
  <c r="U40" i="24"/>
  <c r="V40" i="24"/>
  <c r="W40" i="24"/>
  <c r="X40" i="24"/>
  <c r="Y40" i="24"/>
  <c r="O42" i="24"/>
  <c r="C42" i="24" s="1"/>
  <c r="O43" i="24"/>
  <c r="C43" i="24" s="1"/>
  <c r="O44" i="24"/>
  <c r="C44" i="24" s="1"/>
  <c r="O45" i="24"/>
  <c r="C45" i="24" s="1"/>
  <c r="O46" i="24"/>
  <c r="C46" i="24" s="1"/>
  <c r="O47" i="24"/>
  <c r="C47" i="24" s="1"/>
  <c r="D48" i="24"/>
  <c r="E48" i="24" s="1"/>
  <c r="F48" i="24"/>
  <c r="G48" i="24" s="1"/>
  <c r="H48" i="24"/>
  <c r="I48" i="24"/>
  <c r="J48" i="24"/>
  <c r="K48" i="24"/>
  <c r="L48" i="24"/>
  <c r="M48" i="24"/>
  <c r="N48" i="24"/>
  <c r="P48" i="24"/>
  <c r="Q48" i="24"/>
  <c r="R48" i="24"/>
  <c r="S48" i="24"/>
  <c r="T48" i="24"/>
  <c r="U48" i="24"/>
  <c r="V48" i="24"/>
  <c r="W48" i="24"/>
  <c r="X48" i="24"/>
  <c r="Y48" i="24"/>
  <c r="O50" i="24"/>
  <c r="O51" i="24"/>
  <c r="C51" i="24" s="1"/>
  <c r="O52" i="24"/>
  <c r="O53" i="24"/>
  <c r="C53" i="24" s="1"/>
  <c r="O54" i="24"/>
  <c r="O55" i="24"/>
  <c r="C55" i="24" s="1"/>
  <c r="D56" i="24"/>
  <c r="E56" i="24" s="1"/>
  <c r="F56" i="24"/>
  <c r="G56" i="24" s="1"/>
  <c r="H56" i="24"/>
  <c r="I56" i="24"/>
  <c r="J56" i="24"/>
  <c r="K56" i="24"/>
  <c r="L56" i="24"/>
  <c r="M56" i="24"/>
  <c r="N56" i="24"/>
  <c r="P56" i="24"/>
  <c r="Q56" i="24"/>
  <c r="R56" i="24"/>
  <c r="S56" i="24"/>
  <c r="T56" i="24"/>
  <c r="U56" i="24"/>
  <c r="V56" i="24"/>
  <c r="W56" i="24"/>
  <c r="X56" i="24"/>
  <c r="Y56" i="24"/>
  <c r="O58" i="24"/>
  <c r="C58" i="24" s="1"/>
  <c r="O59" i="24"/>
  <c r="C59" i="24" s="1"/>
  <c r="O60" i="24"/>
  <c r="C60" i="24" s="1"/>
  <c r="O61" i="24"/>
  <c r="C61" i="24" s="1"/>
  <c r="O62" i="24"/>
  <c r="C62" i="24" s="1"/>
  <c r="O63" i="24"/>
  <c r="C63" i="24" s="1"/>
  <c r="O64" i="24"/>
  <c r="C64" i="24" s="1"/>
  <c r="D65" i="24"/>
  <c r="E65" i="24" s="1"/>
  <c r="F65" i="24"/>
  <c r="G65" i="24" s="1"/>
  <c r="H65" i="24"/>
  <c r="I65" i="24"/>
  <c r="J65" i="24"/>
  <c r="K65" i="24"/>
  <c r="L65" i="24"/>
  <c r="M65" i="24"/>
  <c r="N65" i="24"/>
  <c r="P65" i="24"/>
  <c r="Q65" i="24"/>
  <c r="R65" i="24"/>
  <c r="S65" i="24"/>
  <c r="T65" i="24"/>
  <c r="U65" i="24"/>
  <c r="V65" i="24"/>
  <c r="W65" i="24"/>
  <c r="X65" i="24"/>
  <c r="Y65" i="24"/>
  <c r="O67" i="24"/>
  <c r="O68" i="24"/>
  <c r="C68" i="24" s="1"/>
  <c r="O69" i="24"/>
  <c r="C69" i="24" s="1"/>
  <c r="O70" i="24"/>
  <c r="C70" i="24" s="1"/>
  <c r="O71" i="24"/>
  <c r="C71" i="24" s="1"/>
  <c r="O72" i="24"/>
  <c r="C72" i="24" s="1"/>
  <c r="O73" i="24"/>
  <c r="C73" i="24" s="1"/>
  <c r="O74" i="24"/>
  <c r="C74" i="24" s="1"/>
  <c r="O75" i="24"/>
  <c r="C75" i="24" s="1"/>
  <c r="O76" i="24"/>
  <c r="C76" i="24" s="1"/>
  <c r="O77" i="24"/>
  <c r="C77" i="24" s="1"/>
  <c r="D78" i="24"/>
  <c r="F78" i="24"/>
  <c r="G78" i="24" s="1"/>
  <c r="H78" i="24"/>
  <c r="I78" i="24"/>
  <c r="J78" i="24"/>
  <c r="K78" i="24"/>
  <c r="L78" i="24"/>
  <c r="M78" i="24"/>
  <c r="N78" i="24"/>
  <c r="P78" i="24"/>
  <c r="Q78" i="24"/>
  <c r="R78" i="24"/>
  <c r="S78" i="24"/>
  <c r="T78" i="24"/>
  <c r="U78" i="24"/>
  <c r="V78" i="24"/>
  <c r="W78" i="24"/>
  <c r="X78" i="24"/>
  <c r="Y78" i="24"/>
  <c r="D80" i="24"/>
  <c r="F80" i="24"/>
  <c r="G80" i="24" s="1"/>
  <c r="H80" i="24"/>
  <c r="I80" i="24"/>
  <c r="J80" i="24"/>
  <c r="K80" i="24"/>
  <c r="L80" i="24"/>
  <c r="M80" i="24"/>
  <c r="N80" i="24"/>
  <c r="P80" i="24"/>
  <c r="Q80" i="24"/>
  <c r="R80" i="24"/>
  <c r="S80" i="24"/>
  <c r="T80" i="24"/>
  <c r="U80" i="24"/>
  <c r="V80" i="24"/>
  <c r="W80" i="24"/>
  <c r="X80" i="24"/>
  <c r="Y80" i="24"/>
  <c r="D81" i="24"/>
  <c r="E81" i="24" s="1"/>
  <c r="F81" i="24"/>
  <c r="G81" i="24" s="1"/>
  <c r="H81" i="24"/>
  <c r="I81" i="24"/>
  <c r="J81" i="24"/>
  <c r="K81" i="24"/>
  <c r="L81" i="24"/>
  <c r="M81" i="24"/>
  <c r="N81" i="24"/>
  <c r="P81" i="24"/>
  <c r="Q81" i="24"/>
  <c r="R81" i="24"/>
  <c r="S81" i="24"/>
  <c r="T81" i="24"/>
  <c r="U81" i="24"/>
  <c r="V81" i="24"/>
  <c r="W81" i="24"/>
  <c r="X81" i="24"/>
  <c r="Y81" i="24"/>
  <c r="D82" i="24"/>
  <c r="E82" i="24" s="1"/>
  <c r="F82" i="24"/>
  <c r="G82" i="24" s="1"/>
  <c r="H82" i="24"/>
  <c r="I82" i="24"/>
  <c r="J82" i="24"/>
  <c r="K82" i="24"/>
  <c r="L82" i="24"/>
  <c r="M82" i="24"/>
  <c r="N82" i="24"/>
  <c r="P82" i="24"/>
  <c r="Q82" i="24"/>
  <c r="R82" i="24"/>
  <c r="S82" i="24"/>
  <c r="T82" i="24"/>
  <c r="U82" i="24"/>
  <c r="V82" i="24"/>
  <c r="W82" i="24"/>
  <c r="X82" i="24"/>
  <c r="Y82" i="24"/>
  <c r="D83" i="24"/>
  <c r="E83" i="24" s="1"/>
  <c r="F83" i="24"/>
  <c r="G83" i="24" s="1"/>
  <c r="H83" i="24"/>
  <c r="I83" i="24"/>
  <c r="J83" i="24"/>
  <c r="K83" i="24"/>
  <c r="L83" i="24"/>
  <c r="M83" i="24"/>
  <c r="N83" i="24"/>
  <c r="P83" i="24"/>
  <c r="Q83" i="24"/>
  <c r="R83" i="24"/>
  <c r="S83" i="24"/>
  <c r="T83" i="24"/>
  <c r="U83" i="24"/>
  <c r="V83" i="24"/>
  <c r="W83" i="24"/>
  <c r="X83" i="24"/>
  <c r="Y83" i="24"/>
  <c r="D84" i="24"/>
  <c r="E84" i="24"/>
  <c r="F84" i="24"/>
  <c r="G84" i="24"/>
  <c r="H84" i="24"/>
  <c r="I84" i="24"/>
  <c r="J84" i="24"/>
  <c r="K84" i="24"/>
  <c r="L84" i="24"/>
  <c r="M84" i="24"/>
  <c r="N84" i="24"/>
  <c r="P84" i="24"/>
  <c r="Q84" i="24"/>
  <c r="R84" i="24"/>
  <c r="S84" i="24"/>
  <c r="T84" i="24"/>
  <c r="U84" i="24"/>
  <c r="V84" i="24"/>
  <c r="W84" i="24"/>
  <c r="X84" i="24"/>
  <c r="Y84" i="24"/>
  <c r="D85" i="24"/>
  <c r="E85" i="24"/>
  <c r="F85" i="24"/>
  <c r="G85" i="24"/>
  <c r="H85" i="24"/>
  <c r="I85" i="24"/>
  <c r="J85" i="24"/>
  <c r="K85" i="24"/>
  <c r="L85" i="24"/>
  <c r="M85" i="24"/>
  <c r="N85" i="24"/>
  <c r="P85" i="24"/>
  <c r="Q85" i="24"/>
  <c r="R85" i="24"/>
  <c r="S85" i="24"/>
  <c r="T85" i="24"/>
  <c r="U85" i="24"/>
  <c r="V85" i="24"/>
  <c r="W85" i="24"/>
  <c r="X85" i="24"/>
  <c r="Y85" i="24"/>
  <c r="D86" i="24"/>
  <c r="E86" i="24"/>
  <c r="F86" i="24"/>
  <c r="G86" i="24"/>
  <c r="H86" i="24"/>
  <c r="I86" i="24"/>
  <c r="J86" i="24"/>
  <c r="K86" i="24"/>
  <c r="L86" i="24"/>
  <c r="M86" i="24"/>
  <c r="N86" i="24"/>
  <c r="O86" i="24"/>
  <c r="P86" i="24"/>
  <c r="Q86" i="24"/>
  <c r="R86" i="24"/>
  <c r="S86" i="24"/>
  <c r="T86" i="24"/>
  <c r="U86" i="24"/>
  <c r="V86" i="24"/>
  <c r="W86" i="24"/>
  <c r="X86" i="24"/>
  <c r="Y86" i="24"/>
  <c r="D87" i="24"/>
  <c r="E87" i="24" s="1"/>
  <c r="F87" i="24"/>
  <c r="G87" i="24" s="1"/>
  <c r="H87" i="24"/>
  <c r="I87" i="24"/>
  <c r="J87" i="24"/>
  <c r="K87" i="24"/>
  <c r="L87" i="24"/>
  <c r="M87" i="24"/>
  <c r="N87" i="24"/>
  <c r="P87" i="24"/>
  <c r="Q87" i="24"/>
  <c r="R87" i="24"/>
  <c r="S87" i="24"/>
  <c r="T87" i="24"/>
  <c r="U87" i="24"/>
  <c r="V87" i="24"/>
  <c r="W87" i="24"/>
  <c r="X87" i="24"/>
  <c r="Y87" i="24"/>
  <c r="D88" i="24"/>
  <c r="E88" i="24"/>
  <c r="F88" i="24"/>
  <c r="G88" i="24"/>
  <c r="H88" i="24"/>
  <c r="I88" i="24"/>
  <c r="J88" i="24"/>
  <c r="K88" i="24"/>
  <c r="L88" i="24"/>
  <c r="M88" i="24"/>
  <c r="N88" i="24"/>
  <c r="P88" i="24"/>
  <c r="Q88" i="24"/>
  <c r="R88" i="24"/>
  <c r="S88" i="24"/>
  <c r="T88" i="24"/>
  <c r="U88" i="24"/>
  <c r="V88" i="24"/>
  <c r="W88" i="24"/>
  <c r="X88" i="24"/>
  <c r="Y88" i="24"/>
  <c r="D89" i="24"/>
  <c r="F89" i="24"/>
  <c r="H89" i="24"/>
  <c r="I89" i="24"/>
  <c r="J89" i="24"/>
  <c r="K89" i="24"/>
  <c r="L89" i="24"/>
  <c r="M89" i="24"/>
  <c r="N89" i="24"/>
  <c r="P89" i="24"/>
  <c r="Q89" i="24"/>
  <c r="R89" i="24"/>
  <c r="S89" i="24"/>
  <c r="T89" i="24"/>
  <c r="U89" i="24"/>
  <c r="V89" i="24"/>
  <c r="W89" i="24"/>
  <c r="X89" i="24"/>
  <c r="Y89" i="24"/>
  <c r="D90" i="24"/>
  <c r="E90" i="24"/>
  <c r="F90" i="24"/>
  <c r="G90" i="24"/>
  <c r="H90" i="24"/>
  <c r="I90" i="24"/>
  <c r="J90" i="24"/>
  <c r="K90" i="24"/>
  <c r="L90" i="24"/>
  <c r="M90" i="24"/>
  <c r="N90" i="24"/>
  <c r="P90" i="24"/>
  <c r="Q90" i="24"/>
  <c r="R90" i="24"/>
  <c r="S90" i="24"/>
  <c r="T90" i="24"/>
  <c r="U90" i="24"/>
  <c r="V90" i="24"/>
  <c r="W90" i="24"/>
  <c r="X90" i="24"/>
  <c r="Y90" i="24"/>
  <c r="D91" i="24"/>
  <c r="E91" i="24" s="1"/>
  <c r="F91" i="24"/>
  <c r="G91" i="24" s="1"/>
  <c r="H91" i="24"/>
  <c r="I91" i="24"/>
  <c r="J91" i="24"/>
  <c r="K91" i="24"/>
  <c r="L91" i="24"/>
  <c r="M91" i="24"/>
  <c r="N91" i="24"/>
  <c r="P91" i="24"/>
  <c r="Q91" i="24"/>
  <c r="R91" i="24"/>
  <c r="S91" i="24"/>
  <c r="T91" i="24"/>
  <c r="U91" i="24"/>
  <c r="V91" i="24"/>
  <c r="W91" i="24"/>
  <c r="X91" i="24"/>
  <c r="Y91" i="24"/>
  <c r="B3" i="6"/>
  <c r="C3" i="6"/>
  <c r="C7" i="6"/>
  <c r="B3" i="23"/>
  <c r="C3" i="23"/>
  <c r="C5" i="23"/>
  <c r="C10" i="23"/>
  <c r="C15" i="23"/>
  <c r="C26" i="23"/>
  <c r="D26" i="23" s="1"/>
  <c r="B3" i="39"/>
  <c r="G3" i="39"/>
  <c r="J3" i="39"/>
  <c r="C8" i="39"/>
  <c r="D9" i="39"/>
  <c r="D11" i="39"/>
  <c r="E11" i="39"/>
  <c r="E47" i="39" s="1"/>
  <c r="E48" i="39" s="1"/>
  <c r="F11" i="39"/>
  <c r="G11" i="39"/>
  <c r="H11" i="39"/>
  <c r="C13" i="39"/>
  <c r="C14" i="39"/>
  <c r="D15" i="39"/>
  <c r="F15" i="39"/>
  <c r="C16" i="39"/>
  <c r="G16" i="39"/>
  <c r="C17" i="39"/>
  <c r="D18" i="39"/>
  <c r="D19" i="39"/>
  <c r="F19" i="39"/>
  <c r="C20" i="39"/>
  <c r="D21" i="39"/>
  <c r="C23" i="39"/>
  <c r="D23" i="39"/>
  <c r="C24" i="39"/>
  <c r="D25" i="39"/>
  <c r="F26" i="39"/>
  <c r="G27" i="39"/>
  <c r="G28" i="39"/>
  <c r="H29" i="39"/>
  <c r="G30" i="39"/>
  <c r="H30" i="39"/>
  <c r="I30" i="39"/>
  <c r="J30" i="39"/>
  <c r="J31" i="39"/>
  <c r="G32" i="39"/>
  <c r="H32" i="39"/>
  <c r="I32" i="39"/>
  <c r="J32" i="39"/>
  <c r="G33" i="39"/>
  <c r="H34" i="39"/>
  <c r="K34" i="39"/>
  <c r="H35" i="39"/>
  <c r="K35" i="39"/>
  <c r="G36" i="39"/>
  <c r="G38" i="39"/>
  <c r="G39" i="39"/>
  <c r="H40" i="39"/>
  <c r="H41" i="39"/>
  <c r="C42" i="39"/>
  <c r="G43" i="39"/>
  <c r="H45" i="39"/>
  <c r="C46" i="39"/>
  <c r="G46" i="39"/>
  <c r="F58" i="39"/>
  <c r="G58" i="39"/>
  <c r="H58" i="39"/>
  <c r="I58" i="39"/>
  <c r="F59" i="39"/>
  <c r="G59" i="39"/>
  <c r="H59" i="39"/>
  <c r="I59" i="39"/>
  <c r="F60" i="39"/>
  <c r="G60" i="39"/>
  <c r="H60" i="39"/>
  <c r="I60" i="39"/>
  <c r="F61" i="39"/>
  <c r="I61" i="39"/>
  <c r="J61" i="39" s="1"/>
  <c r="F63" i="39"/>
  <c r="G63" i="39"/>
  <c r="H63" i="39"/>
  <c r="I63" i="39"/>
  <c r="F64" i="39"/>
  <c r="G64" i="39"/>
  <c r="H64" i="39"/>
  <c r="I64" i="39"/>
  <c r="F65" i="39"/>
  <c r="G65" i="39"/>
  <c r="H65" i="39"/>
  <c r="I65" i="39"/>
  <c r="F66" i="39"/>
  <c r="I66" i="39"/>
  <c r="J66" i="39" s="1"/>
  <c r="F69" i="39"/>
  <c r="G69" i="39"/>
  <c r="H69" i="39"/>
  <c r="I69" i="39"/>
  <c r="F70" i="39"/>
  <c r="G70" i="39"/>
  <c r="H70" i="39"/>
  <c r="I70" i="39"/>
  <c r="F71" i="39"/>
  <c r="G71" i="39"/>
  <c r="H71" i="39"/>
  <c r="I71" i="39"/>
  <c r="F73" i="39"/>
  <c r="G73" i="39"/>
  <c r="H73" i="39"/>
  <c r="I73" i="39"/>
  <c r="F74" i="39"/>
  <c r="G74" i="39"/>
  <c r="H74" i="39"/>
  <c r="I74" i="39"/>
  <c r="F75" i="39"/>
  <c r="G75" i="39"/>
  <c r="H75" i="39"/>
  <c r="I75" i="39"/>
  <c r="B3" i="38"/>
  <c r="G3" i="38"/>
  <c r="J3" i="38"/>
  <c r="K35" i="38"/>
  <c r="D47" i="38"/>
  <c r="D48" i="38" s="1"/>
  <c r="E47" i="38"/>
  <c r="E48" i="38" s="1"/>
  <c r="F47" i="38"/>
  <c r="F48" i="38" s="1"/>
  <c r="G47" i="38"/>
  <c r="G48" i="38" s="1"/>
  <c r="H47" i="38"/>
  <c r="H48" i="38" s="1"/>
  <c r="I47" i="38"/>
  <c r="I48" i="38" s="1"/>
  <c r="J47" i="38"/>
  <c r="J48" i="38" s="1"/>
  <c r="J58" i="38"/>
  <c r="J59" i="38"/>
  <c r="J60" i="38"/>
  <c r="J61" i="38"/>
  <c r="J63" i="38"/>
  <c r="J64" i="38"/>
  <c r="J65" i="38"/>
  <c r="J66" i="38"/>
  <c r="J69" i="38"/>
  <c r="J70" i="38"/>
  <c r="J71" i="38"/>
  <c r="J73" i="38"/>
  <c r="J74" i="38"/>
  <c r="J75" i="38"/>
  <c r="F76" i="38"/>
  <c r="G76" i="38"/>
  <c r="H76" i="38"/>
  <c r="I76" i="38"/>
  <c r="B3" i="5"/>
  <c r="G3" i="5"/>
  <c r="J3" i="5"/>
  <c r="K35" i="5"/>
  <c r="C44" i="5"/>
  <c r="C44" i="39" s="1"/>
  <c r="E47" i="5"/>
  <c r="E48" i="5" s="1"/>
  <c r="F47" i="5"/>
  <c r="F48" i="5" s="1"/>
  <c r="G47" i="5"/>
  <c r="G48" i="5" s="1"/>
  <c r="H47" i="5"/>
  <c r="H48" i="5" s="1"/>
  <c r="I47" i="5"/>
  <c r="I48" i="5" s="1"/>
  <c r="J47" i="5"/>
  <c r="J48" i="5" s="1"/>
  <c r="J58" i="5"/>
  <c r="J59" i="5"/>
  <c r="J60" i="5"/>
  <c r="J61" i="5"/>
  <c r="J63" i="5"/>
  <c r="J64" i="5"/>
  <c r="J65" i="5"/>
  <c r="J66" i="5"/>
  <c r="J69" i="5"/>
  <c r="J70" i="5"/>
  <c r="J71" i="5"/>
  <c r="J73" i="5"/>
  <c r="J74" i="5"/>
  <c r="J75" i="5"/>
  <c r="F76" i="5"/>
  <c r="G76" i="5"/>
  <c r="H76" i="5"/>
  <c r="I76" i="5"/>
  <c r="B3" i="41"/>
  <c r="C3" i="41"/>
  <c r="C25" i="41"/>
  <c r="C31" i="41" s="1"/>
  <c r="C52" i="41"/>
  <c r="C54" i="41"/>
  <c r="B3" i="27"/>
  <c r="C3" i="27"/>
  <c r="C7" i="27"/>
  <c r="C11" i="27"/>
  <c r="C19" i="27"/>
  <c r="C54" i="27" s="1"/>
  <c r="C25" i="27"/>
  <c r="C31" i="27" s="1"/>
  <c r="C52" i="27"/>
  <c r="B3" i="3"/>
  <c r="C3" i="3"/>
  <c r="C14" i="3"/>
  <c r="C19" i="3"/>
  <c r="C28" i="3"/>
  <c r="C36" i="3"/>
  <c r="C52" i="3"/>
  <c r="C61" i="3"/>
  <c r="C70" i="3"/>
  <c r="B3" i="2"/>
  <c r="C6" i="2"/>
  <c r="C7" i="2"/>
  <c r="C8" i="2"/>
  <c r="C9" i="2"/>
  <c r="C10" i="2"/>
  <c r="C11" i="2"/>
  <c r="C12" i="2"/>
  <c r="C13" i="2"/>
  <c r="C14" i="2"/>
  <c r="C15" i="2"/>
  <c r="D16" i="2"/>
  <c r="E16" i="2"/>
  <c r="C19" i="2"/>
  <c r="C20" i="2"/>
  <c r="C21" i="2"/>
  <c r="C22" i="2"/>
  <c r="D23" i="2"/>
  <c r="E23" i="2"/>
  <c r="C24" i="2"/>
  <c r="C25" i="2"/>
  <c r="C26" i="2"/>
  <c r="D27" i="2"/>
  <c r="E27" i="2"/>
  <c r="C31" i="2"/>
  <c r="H24" i="13" s="1"/>
  <c r="C32" i="2"/>
  <c r="C33" i="2"/>
  <c r="C34" i="2"/>
  <c r="C38" i="2"/>
  <c r="C39" i="2"/>
  <c r="C40" i="2"/>
  <c r="C41" i="2"/>
  <c r="C42" i="2"/>
  <c r="D43" i="2"/>
  <c r="E43" i="2"/>
  <c r="C46" i="2"/>
  <c r="C47" i="2"/>
  <c r="C48" i="2"/>
  <c r="C49" i="2"/>
  <c r="C50" i="2"/>
  <c r="D51" i="2"/>
  <c r="E51" i="2"/>
  <c r="C56" i="2"/>
  <c r="C57" i="2"/>
  <c r="C58" i="2"/>
  <c r="C59" i="2"/>
  <c r="C60" i="2"/>
  <c r="C61" i="2"/>
  <c r="C62" i="2"/>
  <c r="C63" i="2"/>
  <c r="C64" i="2"/>
  <c r="C65" i="2"/>
  <c r="C66" i="2"/>
  <c r="D67" i="2"/>
  <c r="C70" i="2"/>
  <c r="C73" i="2"/>
  <c r="C74" i="2"/>
  <c r="B3" i="26"/>
  <c r="P3" i="26"/>
  <c r="C3" i="2" s="1"/>
  <c r="S3" i="26"/>
  <c r="D9" i="26"/>
  <c r="E9" i="26"/>
  <c r="F9" i="26"/>
  <c r="G9" i="26"/>
  <c r="H9" i="26"/>
  <c r="J9" i="26"/>
  <c r="K9" i="26"/>
  <c r="L9" i="26"/>
  <c r="M9" i="26"/>
  <c r="O9" i="26"/>
  <c r="P9" i="26"/>
  <c r="Q9" i="26"/>
  <c r="R9" i="26"/>
  <c r="S9" i="26"/>
  <c r="I10" i="26"/>
  <c r="N10" i="26"/>
  <c r="I11" i="26"/>
  <c r="N11" i="26"/>
  <c r="C11" i="26" s="1"/>
  <c r="I12" i="26"/>
  <c r="N12" i="26"/>
  <c r="C12" i="26" s="1"/>
  <c r="I13" i="26"/>
  <c r="N13" i="26"/>
  <c r="C13" i="26" s="1"/>
  <c r="I14" i="26"/>
  <c r="N14" i="26"/>
  <c r="C14" i="26" s="1"/>
  <c r="I15" i="26"/>
  <c r="N15" i="26"/>
  <c r="C15" i="26" s="1"/>
  <c r="I16" i="26"/>
  <c r="N16" i="26"/>
  <c r="C16" i="26" s="1"/>
  <c r="I17" i="26"/>
  <c r="N17" i="26"/>
  <c r="C17" i="26" s="1"/>
  <c r="I18" i="26"/>
  <c r="N18" i="26"/>
  <c r="C18" i="26" s="1"/>
  <c r="I19" i="26"/>
  <c r="N19" i="26"/>
  <c r="C19" i="26" s="1"/>
  <c r="I20" i="26"/>
  <c r="N20" i="26"/>
  <c r="C20" i="26" s="1"/>
  <c r="I21" i="26"/>
  <c r="N21" i="26"/>
  <c r="C21" i="26" s="1"/>
  <c r="I22" i="26"/>
  <c r="N22" i="26"/>
  <c r="C22" i="26" s="1"/>
  <c r="I23" i="26"/>
  <c r="N23" i="26"/>
  <c r="C23" i="26" s="1"/>
  <c r="I24" i="26"/>
  <c r="N24" i="26"/>
  <c r="C24" i="26" s="1"/>
  <c r="I25" i="26"/>
  <c r="N25" i="26"/>
  <c r="C25" i="26" s="1"/>
  <c r="I26" i="26"/>
  <c r="N26" i="26"/>
  <c r="C26" i="26" s="1"/>
  <c r="I27" i="26"/>
  <c r="N27" i="26"/>
  <c r="C27" i="26" s="1"/>
  <c r="I28" i="26"/>
  <c r="N28" i="26"/>
  <c r="C28" i="26" s="1"/>
  <c r="I29" i="26"/>
  <c r="N29" i="26"/>
  <c r="C29" i="26" s="1"/>
  <c r="I30" i="26"/>
  <c r="N30" i="26"/>
  <c r="C30" i="26" s="1"/>
  <c r="I31" i="26"/>
  <c r="N31" i="26"/>
  <c r="C31" i="26" s="1"/>
  <c r="I32" i="26"/>
  <c r="N32" i="26"/>
  <c r="C32" i="26" s="1"/>
  <c r="I33" i="26"/>
  <c r="N33" i="26"/>
  <c r="C33" i="26" s="1"/>
  <c r="I34" i="26"/>
  <c r="N34" i="26"/>
  <c r="C34" i="26" s="1"/>
  <c r="I35" i="26"/>
  <c r="N35" i="26"/>
  <c r="C35" i="26" s="1"/>
  <c r="I36" i="26"/>
  <c r="N36" i="26"/>
  <c r="C36" i="26" s="1"/>
  <c r="I37" i="26"/>
  <c r="N37" i="26"/>
  <c r="C37" i="26" s="1"/>
  <c r="I38" i="26"/>
  <c r="N38" i="26"/>
  <c r="C38" i="26" s="1"/>
  <c r="I39" i="26"/>
  <c r="N39" i="26"/>
  <c r="C39" i="26" s="1"/>
  <c r="I40" i="26"/>
  <c r="N40" i="26"/>
  <c r="C40" i="26" s="1"/>
  <c r="I41" i="26"/>
  <c r="N41" i="26"/>
  <c r="C41" i="26" s="1"/>
  <c r="I42" i="26"/>
  <c r="N42" i="26"/>
  <c r="C42" i="26" s="1"/>
  <c r="I43" i="26"/>
  <c r="N43" i="26"/>
  <c r="C43" i="26" s="1"/>
  <c r="I44" i="26"/>
  <c r="N44" i="26"/>
  <c r="C44" i="26" s="1"/>
  <c r="I45" i="26"/>
  <c r="N45" i="26"/>
  <c r="C45" i="26" s="1"/>
  <c r="I46" i="26"/>
  <c r="N46" i="26"/>
  <c r="C46" i="26" s="1"/>
  <c r="I47" i="26"/>
  <c r="N47" i="26"/>
  <c r="C47" i="26" s="1"/>
  <c r="I48" i="26"/>
  <c r="N48" i="26"/>
  <c r="C48" i="26" s="1"/>
  <c r="I49" i="26"/>
  <c r="N49" i="26"/>
  <c r="C49" i="26" s="1"/>
  <c r="I50" i="26"/>
  <c r="N50" i="26"/>
  <c r="C50" i="26" s="1"/>
  <c r="I51" i="26"/>
  <c r="N51" i="26"/>
  <c r="C51" i="26" s="1"/>
  <c r="I52" i="26"/>
  <c r="N52" i="26"/>
  <c r="C52" i="26" s="1"/>
  <c r="I53" i="26"/>
  <c r="N53" i="26"/>
  <c r="C53" i="26" s="1"/>
  <c r="I54" i="26"/>
  <c r="N54" i="26"/>
  <c r="C54" i="26" s="1"/>
  <c r="I55" i="26"/>
  <c r="N55" i="26"/>
  <c r="C55" i="26" s="1"/>
  <c r="I56" i="26"/>
  <c r="N56" i="26"/>
  <c r="C56" i="26" s="1"/>
  <c r="I57" i="26"/>
  <c r="N57" i="26"/>
  <c r="C57" i="26" s="1"/>
  <c r="I58" i="26"/>
  <c r="N58" i="26"/>
  <c r="C58" i="26" s="1"/>
  <c r="I59" i="26"/>
  <c r="N59" i="26"/>
  <c r="C59" i="26" s="1"/>
  <c r="I60" i="26"/>
  <c r="N60" i="26"/>
  <c r="C60" i="26" s="1"/>
  <c r="D62" i="26"/>
  <c r="E62" i="26"/>
  <c r="F62" i="26"/>
  <c r="G62" i="26"/>
  <c r="H62" i="26"/>
  <c r="J62" i="26"/>
  <c r="K62" i="26"/>
  <c r="L62" i="26"/>
  <c r="M62" i="26"/>
  <c r="O62" i="26"/>
  <c r="P62" i="26"/>
  <c r="Q62" i="26"/>
  <c r="R62" i="26"/>
  <c r="S62" i="26"/>
  <c r="I63" i="26"/>
  <c r="N63" i="26"/>
  <c r="C63" i="26" s="1"/>
  <c r="I64" i="26"/>
  <c r="N64" i="26"/>
  <c r="C64" i="26" s="1"/>
  <c r="B2" i="1"/>
  <c r="E7" i="23" s="1"/>
  <c r="E9" i="23" s="1"/>
  <c r="E5" i="1"/>
  <c r="C8" i="1"/>
  <c r="L8" i="1" s="1"/>
  <c r="C9" i="1"/>
  <c r="L9" i="1" s="1"/>
  <c r="D11" i="1"/>
  <c r="E11" i="1"/>
  <c r="D12" i="1"/>
  <c r="E12" i="1"/>
  <c r="D15" i="1"/>
  <c r="E15" i="1"/>
  <c r="D17" i="1"/>
  <c r="D18" i="1"/>
  <c r="E18" i="1"/>
  <c r="C20" i="1"/>
  <c r="L20" i="1" s="1"/>
  <c r="C21" i="1"/>
  <c r="L21" i="1" s="1"/>
  <c r="C23" i="1"/>
  <c r="E25" i="1"/>
  <c r="C26" i="1"/>
  <c r="L26" i="1" s="1"/>
  <c r="C27" i="1"/>
  <c r="L27" i="1" s="1"/>
  <c r="C29" i="1"/>
  <c r="L29" i="1" s="1"/>
  <c r="C30" i="1"/>
  <c r="L30" i="1" s="1"/>
  <c r="C33" i="1"/>
  <c r="C34" i="1"/>
  <c r="L34" i="1" s="1"/>
  <c r="C35" i="1"/>
  <c r="L35" i="1" s="1"/>
  <c r="C37" i="1"/>
  <c r="L37" i="1" s="1"/>
  <c r="C38" i="1"/>
  <c r="L38" i="1" s="1"/>
  <c r="C39" i="1"/>
  <c r="L39" i="1" s="1"/>
  <c r="D40" i="1"/>
  <c r="E40" i="1"/>
  <c r="C41" i="1"/>
  <c r="L41" i="1" s="1"/>
  <c r="C42" i="1"/>
  <c r="L42" i="1" s="1"/>
  <c r="C43" i="1"/>
  <c r="L43" i="1" s="1"/>
  <c r="C49" i="1"/>
  <c r="E50" i="1"/>
  <c r="E53" i="1"/>
  <c r="C54" i="1"/>
  <c r="L54" i="1" s="1"/>
  <c r="C55" i="1"/>
  <c r="L55" i="1" s="1"/>
  <c r="C56" i="1"/>
  <c r="L56" i="1" s="1"/>
  <c r="E57" i="1"/>
  <c r="C58" i="1"/>
  <c r="L58" i="1" s="1"/>
  <c r="C59" i="1"/>
  <c r="C60" i="1"/>
  <c r="L60" i="1" s="1"/>
  <c r="L62" i="1"/>
  <c r="L63" i="1"/>
  <c r="L64" i="1"/>
  <c r="L65" i="1"/>
  <c r="C67" i="1"/>
  <c r="L67" i="1" s="1"/>
  <c r="C68" i="1"/>
  <c r="L68" i="1" s="1"/>
  <c r="L69" i="1"/>
  <c r="C70" i="1"/>
  <c r="L70" i="1" s="1"/>
  <c r="C72" i="1"/>
  <c r="L72" i="1" s="1"/>
  <c r="C73" i="1"/>
  <c r="L73" i="1" s="1"/>
  <c r="C74" i="1"/>
  <c r="L74" i="1" s="1"/>
  <c r="C75" i="1"/>
  <c r="I8" i="6" s="1"/>
  <c r="D76" i="1"/>
  <c r="D43" i="16" s="1"/>
  <c r="D68" i="10" l="1"/>
  <c r="C31" i="10"/>
  <c r="D22" i="14"/>
  <c r="M27" i="30" s="1"/>
  <c r="D14" i="1"/>
  <c r="D28" i="2"/>
  <c r="D30" i="2" s="1"/>
  <c r="D35" i="2" s="1"/>
  <c r="O88" i="24"/>
  <c r="Z26" i="9"/>
  <c r="M29" i="36"/>
  <c r="N29" i="36" s="1"/>
  <c r="O84" i="24"/>
  <c r="Z50" i="10"/>
  <c r="Z51" i="10"/>
  <c r="K22" i="18"/>
  <c r="P12" i="30" s="1"/>
  <c r="S8" i="18"/>
  <c r="U16" i="18"/>
  <c r="O79" i="10"/>
  <c r="O71" i="10"/>
  <c r="D50" i="10"/>
  <c r="I22" i="18"/>
  <c r="P11" i="30" s="1"/>
  <c r="Q11" i="30" s="1"/>
  <c r="O90" i="24"/>
  <c r="Z10" i="9"/>
  <c r="W79" i="10"/>
  <c r="Q38" i="17"/>
  <c r="I38" i="17"/>
  <c r="E38" i="17"/>
  <c r="E39" i="17" s="1"/>
  <c r="M26" i="36"/>
  <c r="N26" i="36" s="1"/>
  <c r="M22" i="36"/>
  <c r="N22" i="36" s="1"/>
  <c r="O85" i="24"/>
  <c r="AB25" i="40"/>
  <c r="T53" i="18"/>
  <c r="T51" i="18"/>
  <c r="F45" i="37"/>
  <c r="M28" i="30"/>
  <c r="M29" i="30" s="1"/>
  <c r="Z32" i="9"/>
  <c r="Z11" i="9"/>
  <c r="T23" i="17"/>
  <c r="U8" i="18"/>
  <c r="T33" i="17"/>
  <c r="E22" i="1"/>
  <c r="T20" i="17"/>
  <c r="D25" i="1" s="1"/>
  <c r="T17" i="17"/>
  <c r="T41" i="18"/>
  <c r="T35" i="18"/>
  <c r="D59" i="1" s="1"/>
  <c r="T23" i="18"/>
  <c r="D51" i="1" s="1"/>
  <c r="T21" i="18"/>
  <c r="Q22" i="18"/>
  <c r="P15" i="30" s="1"/>
  <c r="Q15" i="30" s="1"/>
  <c r="C27" i="2"/>
  <c r="C18" i="27"/>
  <c r="C23" i="27" s="1"/>
  <c r="C32" i="27" s="1"/>
  <c r="T21" i="17"/>
  <c r="T45" i="18"/>
  <c r="T36" i="18"/>
  <c r="D57" i="1" s="1"/>
  <c r="T33" i="18"/>
  <c r="D53" i="1" s="1"/>
  <c r="T19" i="18"/>
  <c r="F47" i="39"/>
  <c r="F48" i="39" s="1"/>
  <c r="E71" i="1"/>
  <c r="H71" i="1"/>
  <c r="D51" i="10"/>
  <c r="C66" i="1"/>
  <c r="L66" i="1" s="1"/>
  <c r="T92" i="24"/>
  <c r="Z12" i="9"/>
  <c r="T30" i="17"/>
  <c r="T29" i="17"/>
  <c r="T24" i="17"/>
  <c r="T13" i="17"/>
  <c r="T11" i="17"/>
  <c r="Q12" i="30"/>
  <c r="T9" i="18"/>
  <c r="U46" i="18"/>
  <c r="K38" i="17"/>
  <c r="K39" i="17" s="1"/>
  <c r="C38" i="17"/>
  <c r="T18" i="18"/>
  <c r="P22" i="18"/>
  <c r="L22" i="18"/>
  <c r="H22" i="18"/>
  <c r="H38" i="18" s="1"/>
  <c r="D22" i="18"/>
  <c r="C43" i="2"/>
  <c r="C51" i="1"/>
  <c r="E31" i="1"/>
  <c r="F92" i="24"/>
  <c r="F31" i="9"/>
  <c r="Z29" i="9"/>
  <c r="Z27" i="9"/>
  <c r="Z9" i="9"/>
  <c r="C30" i="10"/>
  <c r="C54" i="35" s="1"/>
  <c r="B26" i="15"/>
  <c r="C48" i="16"/>
  <c r="T37" i="17"/>
  <c r="U52" i="18"/>
  <c r="T27" i="18"/>
  <c r="O22" i="18"/>
  <c r="P14" i="30" s="1"/>
  <c r="Q14" i="30" s="1"/>
  <c r="C22" i="18"/>
  <c r="P8" i="30" s="1"/>
  <c r="Q8" i="30" s="1"/>
  <c r="M22" i="37"/>
  <c r="N22" i="37" s="1"/>
  <c r="M18" i="37"/>
  <c r="N18" i="37" s="1"/>
  <c r="M12" i="37"/>
  <c r="N12" i="37" s="1"/>
  <c r="H16" i="30"/>
  <c r="AA32" i="40"/>
  <c r="AA30" i="40"/>
  <c r="AA28" i="40"/>
  <c r="H33" i="35"/>
  <c r="AA31" i="40"/>
  <c r="AA29" i="40"/>
  <c r="AA27" i="40"/>
  <c r="AA21" i="40"/>
  <c r="AA23" i="40"/>
  <c r="I26" i="40"/>
  <c r="I25" i="40" s="1"/>
  <c r="X9" i="40"/>
  <c r="X8" i="40" s="1"/>
  <c r="R9" i="40"/>
  <c r="F26" i="40"/>
  <c r="J25" i="40"/>
  <c r="F33" i="40"/>
  <c r="N9" i="40"/>
  <c r="J9" i="40"/>
  <c r="D53" i="16"/>
  <c r="E25" i="19"/>
  <c r="G11" i="14"/>
  <c r="E49" i="1"/>
  <c r="C63" i="3"/>
  <c r="C72" i="3" s="1"/>
  <c r="G28" i="2" s="1"/>
  <c r="K92" i="24"/>
  <c r="H92" i="24"/>
  <c r="F25" i="9"/>
  <c r="Z20" i="9"/>
  <c r="Z18" i="9"/>
  <c r="Z15" i="9"/>
  <c r="Z13" i="9"/>
  <c r="G79" i="10"/>
  <c r="K21" i="36"/>
  <c r="T39" i="18"/>
  <c r="T29" i="18"/>
  <c r="T11" i="18"/>
  <c r="T10" i="18"/>
  <c r="R22" i="18"/>
  <c r="N22" i="18"/>
  <c r="N38" i="18" s="1"/>
  <c r="J22" i="18"/>
  <c r="J38" i="18" s="1"/>
  <c r="F22" i="18"/>
  <c r="F38" i="18" s="1"/>
  <c r="M8" i="37"/>
  <c r="N8" i="37" s="1"/>
  <c r="P9" i="40"/>
  <c r="L9" i="40"/>
  <c r="L8" i="40" s="1"/>
  <c r="D53" i="2"/>
  <c r="D69" i="2" s="1"/>
  <c r="D72" i="2" s="1"/>
  <c r="D76" i="2" s="1"/>
  <c r="C85" i="24"/>
  <c r="C10" i="9" s="1"/>
  <c r="AA8" i="10" s="1"/>
  <c r="X92" i="24"/>
  <c r="S15" i="17"/>
  <c r="S10" i="17"/>
  <c r="C7" i="1" s="1"/>
  <c r="S49" i="18"/>
  <c r="I62" i="26"/>
  <c r="C53" i="41"/>
  <c r="M92" i="24"/>
  <c r="I92" i="24"/>
  <c r="N92" i="24"/>
  <c r="D92" i="24"/>
  <c r="U24" i="18"/>
  <c r="E52" i="1" s="1"/>
  <c r="P38" i="18"/>
  <c r="Z9" i="40"/>
  <c r="Z8" i="40" s="1"/>
  <c r="V9" i="40"/>
  <c r="P92" i="24"/>
  <c r="V92" i="24"/>
  <c r="R92" i="24"/>
  <c r="O82" i="24"/>
  <c r="Z71" i="10"/>
  <c r="E28" i="1"/>
  <c r="M33" i="36"/>
  <c r="N33" i="36" s="1"/>
  <c r="G22" i="18"/>
  <c r="L76" i="39"/>
  <c r="C16" i="40"/>
  <c r="C11" i="40"/>
  <c r="D11" i="40" s="1"/>
  <c r="D39" i="15"/>
  <c r="E13" i="1" s="1"/>
  <c r="B37" i="15"/>
  <c r="B48" i="15" s="1"/>
  <c r="E14" i="1"/>
  <c r="C14" i="1" s="1"/>
  <c r="L14" i="1" s="1"/>
  <c r="T31" i="17"/>
  <c r="C49" i="16"/>
  <c r="S16" i="18"/>
  <c r="E11" i="14" s="1"/>
  <c r="C67" i="2"/>
  <c r="C51" i="2"/>
  <c r="C90" i="24"/>
  <c r="C19" i="9" s="1"/>
  <c r="AA26" i="10" s="1"/>
  <c r="O89" i="24"/>
  <c r="AE8" i="40"/>
  <c r="AC25" i="40" s="1"/>
  <c r="S71" i="10"/>
  <c r="U92" i="24"/>
  <c r="C57" i="1"/>
  <c r="K78" i="10"/>
  <c r="K80" i="10" s="1"/>
  <c r="C42" i="3"/>
  <c r="G16" i="2" s="1"/>
  <c r="E78" i="24"/>
  <c r="E89" i="24"/>
  <c r="I38" i="18"/>
  <c r="C38" i="18"/>
  <c r="C45" i="16" s="1"/>
  <c r="S24" i="18"/>
  <c r="C52" i="1" s="1"/>
  <c r="C86" i="24"/>
  <c r="C9" i="9" s="1"/>
  <c r="AA6" i="10" s="1"/>
  <c r="S92" i="24"/>
  <c r="E80" i="24"/>
  <c r="N38" i="17"/>
  <c r="H38" i="17"/>
  <c r="E22" i="18"/>
  <c r="P9" i="30" s="1"/>
  <c r="Q9" i="30" s="1"/>
  <c r="C84" i="24"/>
  <c r="C16" i="9" s="1"/>
  <c r="AA20" i="10" s="1"/>
  <c r="W92" i="24"/>
  <c r="Q92" i="24"/>
  <c r="J92" i="24"/>
  <c r="C67" i="24"/>
  <c r="O78" i="24"/>
  <c r="O40" i="24"/>
  <c r="C40" i="24" s="1"/>
  <c r="C28" i="9" s="1"/>
  <c r="AA40" i="10" s="1"/>
  <c r="C34" i="24"/>
  <c r="E6" i="16"/>
  <c r="E6" i="1"/>
  <c r="P13" i="30"/>
  <c r="Q13" i="30" s="1"/>
  <c r="M38" i="18"/>
  <c r="C53" i="27"/>
  <c r="O81" i="24"/>
  <c r="Y92" i="24"/>
  <c r="L92" i="24"/>
  <c r="E17" i="1"/>
  <c r="C17" i="1" s="1"/>
  <c r="L17" i="1" s="1"/>
  <c r="I9" i="26"/>
  <c r="C89" i="24"/>
  <c r="C18" i="9" s="1"/>
  <c r="AA24" i="10" s="1"/>
  <c r="O24" i="24"/>
  <c r="C24" i="24" s="1"/>
  <c r="C26" i="9" s="1"/>
  <c r="F12" i="9"/>
  <c r="F11" i="9"/>
  <c r="F13" i="9"/>
  <c r="F19" i="9"/>
  <c r="Y77" i="10"/>
  <c r="C22" i="14"/>
  <c r="I27" i="30" s="1"/>
  <c r="C50" i="1"/>
  <c r="T35" i="17"/>
  <c r="F15" i="15"/>
  <c r="T27" i="17"/>
  <c r="G15" i="15" s="1"/>
  <c r="T8" i="17"/>
  <c r="S52" i="18"/>
  <c r="T52" i="18" s="1"/>
  <c r="U40" i="18"/>
  <c r="T25" i="18"/>
  <c r="D38" i="18"/>
  <c r="K35" i="37"/>
  <c r="O9" i="40"/>
  <c r="I9" i="40"/>
  <c r="I8" i="40" s="1"/>
  <c r="C15" i="1"/>
  <c r="L15" i="1" s="1"/>
  <c r="C12" i="1"/>
  <c r="L12" i="1" s="1"/>
  <c r="C62" i="26"/>
  <c r="N9" i="26"/>
  <c r="G78" i="10"/>
  <c r="G80" i="10" s="1"/>
  <c r="E28" i="2"/>
  <c r="E30" i="2" s="1"/>
  <c r="E35" i="2" s="1"/>
  <c r="E53" i="2" s="1"/>
  <c r="E69" i="2" s="1"/>
  <c r="E72" i="2" s="1"/>
  <c r="E76" i="2" s="1"/>
  <c r="C16" i="2"/>
  <c r="L76" i="38"/>
  <c r="C20" i="23"/>
  <c r="O87" i="24"/>
  <c r="C87" i="24" s="1"/>
  <c r="C11" i="9" s="1"/>
  <c r="AA10" i="10" s="1"/>
  <c r="O80" i="24"/>
  <c r="C80" i="24" s="1"/>
  <c r="AA9" i="40" s="1"/>
  <c r="Z30" i="9"/>
  <c r="Q79" i="10"/>
  <c r="E79" i="10"/>
  <c r="Z68" i="10"/>
  <c r="E53" i="16"/>
  <c r="T14" i="17"/>
  <c r="AD41" i="17"/>
  <c r="E39" i="16" s="1"/>
  <c r="T50" i="18"/>
  <c r="S43" i="18"/>
  <c r="T34" i="18"/>
  <c r="T20" i="18"/>
  <c r="T12" i="18"/>
  <c r="T8" i="18"/>
  <c r="M36" i="37"/>
  <c r="N36" i="37" s="1"/>
  <c r="C22" i="1"/>
  <c r="C11" i="1"/>
  <c r="L11" i="1" s="1"/>
  <c r="C88" i="24"/>
  <c r="C17" i="9" s="1"/>
  <c r="AA22" i="10" s="1"/>
  <c r="Z25" i="9"/>
  <c r="Z19" i="9"/>
  <c r="Z17" i="9"/>
  <c r="Z14" i="9"/>
  <c r="J22" i="9"/>
  <c r="M79" i="10"/>
  <c r="D71" i="10"/>
  <c r="B13" i="15"/>
  <c r="B44" i="15" s="1"/>
  <c r="T44" i="18"/>
  <c r="T42" i="18"/>
  <c r="S40" i="18"/>
  <c r="T26" i="18"/>
  <c r="J45" i="37"/>
  <c r="C18" i="19"/>
  <c r="C25" i="19" s="1"/>
  <c r="B46" i="15"/>
  <c r="L38" i="17"/>
  <c r="P38" i="17"/>
  <c r="E48" i="16" s="1"/>
  <c r="W9" i="40"/>
  <c r="W8" i="40" s="1"/>
  <c r="K9" i="40"/>
  <c r="K8" i="40" s="1"/>
  <c r="F38" i="17"/>
  <c r="J38" i="17"/>
  <c r="E48" i="37"/>
  <c r="Q9" i="40"/>
  <c r="Q8" i="40" s="1"/>
  <c r="AE10" i="40" s="1"/>
  <c r="G26" i="30"/>
  <c r="C23" i="2"/>
  <c r="C28" i="2" s="1"/>
  <c r="C78" i="24"/>
  <c r="C32" i="9" s="1"/>
  <c r="AA48" i="10" s="1"/>
  <c r="Z31" i="9"/>
  <c r="Z28" i="9"/>
  <c r="J34" i="9"/>
  <c r="Z16" i="9"/>
  <c r="U79" i="10"/>
  <c r="I79" i="10"/>
  <c r="T26" i="17"/>
  <c r="T30" i="18"/>
  <c r="R38" i="18"/>
  <c r="L38" i="18"/>
  <c r="I16" i="30"/>
  <c r="J16" i="30" s="1"/>
  <c r="T13" i="18"/>
  <c r="D50" i="1" s="1"/>
  <c r="E47" i="35"/>
  <c r="D25" i="19"/>
  <c r="L76" i="5"/>
  <c r="J77" i="38"/>
  <c r="K76" i="5"/>
  <c r="J77" i="5"/>
  <c r="K76" i="38"/>
  <c r="M35" i="36"/>
  <c r="N35" i="36" s="1"/>
  <c r="M31" i="36"/>
  <c r="N31" i="36" s="1"/>
  <c r="J27" i="36"/>
  <c r="D27" i="36"/>
  <c r="K25" i="36"/>
  <c r="K34" i="38" s="1"/>
  <c r="M18" i="36"/>
  <c r="N18" i="36" s="1"/>
  <c r="K15" i="36"/>
  <c r="M11" i="36"/>
  <c r="N11" i="36" s="1"/>
  <c r="I45" i="37"/>
  <c r="G45" i="37"/>
  <c r="E45" i="37"/>
  <c r="C45" i="37"/>
  <c r="M32" i="37"/>
  <c r="N32" i="37" s="1"/>
  <c r="M28" i="37"/>
  <c r="N28" i="37" s="1"/>
  <c r="M24" i="37"/>
  <c r="N24" i="37" s="1"/>
  <c r="J65" i="39"/>
  <c r="J63" i="39"/>
  <c r="L25" i="1"/>
  <c r="H76" i="39"/>
  <c r="J60" i="39"/>
  <c r="F76" i="39"/>
  <c r="K27" i="37"/>
  <c r="K25" i="37"/>
  <c r="D13" i="16"/>
  <c r="C39" i="17"/>
  <c r="I47" i="39"/>
  <c r="I48" i="39" s="1"/>
  <c r="J47" i="39"/>
  <c r="J48" i="39" s="1"/>
  <c r="C82" i="24"/>
  <c r="C14" i="9" s="1"/>
  <c r="AA16" i="10" s="1"/>
  <c r="C40" i="1"/>
  <c r="L40" i="1" s="1"/>
  <c r="O78" i="10"/>
  <c r="O80" i="10" s="1"/>
  <c r="J74" i="39"/>
  <c r="J71" i="39"/>
  <c r="G89" i="24"/>
  <c r="G92" i="24" s="1"/>
  <c r="H25" i="9"/>
  <c r="H31" i="9"/>
  <c r="H27" i="9"/>
  <c r="H28" i="9"/>
  <c r="H29" i="9"/>
  <c r="H34" i="9"/>
  <c r="H32" i="9"/>
  <c r="L75" i="1"/>
  <c r="T2" i="18"/>
  <c r="T2" i="17"/>
  <c r="C2" i="21"/>
  <c r="J2" i="37"/>
  <c r="J2" i="36"/>
  <c r="I2" i="20"/>
  <c r="C2" i="16"/>
  <c r="U2" i="10"/>
  <c r="C2" i="19"/>
  <c r="C2" i="15"/>
  <c r="E3" i="13"/>
  <c r="N62" i="26"/>
  <c r="O65" i="24"/>
  <c r="C65" i="24" s="1"/>
  <c r="C31" i="9" s="1"/>
  <c r="O32" i="24"/>
  <c r="C32" i="24" s="1"/>
  <c r="C27" i="9" s="1"/>
  <c r="F26" i="9"/>
  <c r="F32" i="9"/>
  <c r="F28" i="9"/>
  <c r="F34" i="9"/>
  <c r="F29" i="9"/>
  <c r="F30" i="9"/>
  <c r="H30" i="9"/>
  <c r="I22" i="9"/>
  <c r="D31" i="10"/>
  <c r="Z31" i="10"/>
  <c r="D30" i="10"/>
  <c r="G54" i="35" s="1"/>
  <c r="G56" i="35" s="1"/>
  <c r="Z30" i="10"/>
  <c r="H11" i="9"/>
  <c r="H17" i="9"/>
  <c r="H22" i="9"/>
  <c r="H13" i="9"/>
  <c r="H19" i="9"/>
  <c r="H14" i="9"/>
  <c r="H20" i="9"/>
  <c r="H9" i="9"/>
  <c r="H15" i="9"/>
  <c r="I41" i="20"/>
  <c r="K41" i="20" s="1"/>
  <c r="G68" i="12"/>
  <c r="I25" i="20" s="1"/>
  <c r="K25" i="20" s="1"/>
  <c r="C2" i="14"/>
  <c r="F71" i="1"/>
  <c r="C10" i="26"/>
  <c r="C9" i="26" s="1"/>
  <c r="O56" i="24"/>
  <c r="C56" i="24" s="1"/>
  <c r="C30" i="9" s="1"/>
  <c r="C54" i="24"/>
  <c r="C52" i="24"/>
  <c r="C50" i="24"/>
  <c r="O48" i="24"/>
  <c r="C48" i="24" s="1"/>
  <c r="C29" i="9" s="1"/>
  <c r="Y68" i="10"/>
  <c r="C68" i="10"/>
  <c r="Y50" i="10"/>
  <c r="H47" i="39"/>
  <c r="H48" i="39" s="1"/>
  <c r="O91" i="24"/>
  <c r="C91" i="24" s="1"/>
  <c r="C20" i="9" s="1"/>
  <c r="AA28" i="10" s="1"/>
  <c r="O83" i="24"/>
  <c r="C83" i="24" s="1"/>
  <c r="C15" i="9" s="1"/>
  <c r="AA18" i="10" s="1"/>
  <c r="C9" i="24"/>
  <c r="O15" i="24"/>
  <c r="C15" i="24" s="1"/>
  <c r="C25" i="9" s="1"/>
  <c r="H18" i="9"/>
  <c r="H10" i="9"/>
  <c r="G67" i="12"/>
  <c r="I29" i="20" s="1"/>
  <c r="K29" i="20" s="1"/>
  <c r="C23" i="13"/>
  <c r="C25" i="13" s="1"/>
  <c r="C24" i="1" s="1"/>
  <c r="H12" i="9"/>
  <c r="L71" i="1"/>
  <c r="W78" i="10"/>
  <c r="E76" i="1"/>
  <c r="E43" i="16" s="1"/>
  <c r="S78" i="10"/>
  <c r="J69" i="39"/>
  <c r="J58" i="39"/>
  <c r="I34" i="9"/>
  <c r="H16" i="9"/>
  <c r="C51" i="10"/>
  <c r="Y51" i="10"/>
  <c r="C50" i="10"/>
  <c r="C71" i="10" s="1"/>
  <c r="F22" i="9"/>
  <c r="F16" i="9"/>
  <c r="F10" i="9"/>
  <c r="I39" i="20"/>
  <c r="K39" i="20" s="1"/>
  <c r="T32" i="17"/>
  <c r="D36" i="1" s="1"/>
  <c r="L36" i="1" s="1"/>
  <c r="T54" i="18"/>
  <c r="S46" i="18"/>
  <c r="K38" i="18"/>
  <c r="T28" i="18"/>
  <c r="K11" i="37"/>
  <c r="C33" i="35"/>
  <c r="D33" i="35" s="1"/>
  <c r="F15" i="9"/>
  <c r="F9" i="9"/>
  <c r="C48" i="35"/>
  <c r="T34" i="17"/>
  <c r="T16" i="17"/>
  <c r="D38" i="17"/>
  <c r="U10" i="17"/>
  <c r="T7" i="17"/>
  <c r="K34" i="36"/>
  <c r="U49" i="18"/>
  <c r="T49" i="18" s="1"/>
  <c r="T14" i="18"/>
  <c r="X38" i="18"/>
  <c r="AB44" i="17" s="1"/>
  <c r="K40" i="37"/>
  <c r="K31" i="37"/>
  <c r="K13" i="37"/>
  <c r="C16" i="35"/>
  <c r="D16" i="35" s="1"/>
  <c r="G9" i="40"/>
  <c r="C16" i="30"/>
  <c r="F24" i="9"/>
  <c r="F20" i="9"/>
  <c r="F14" i="9"/>
  <c r="T36" i="17"/>
  <c r="D33" i="1" s="1"/>
  <c r="T28" i="17"/>
  <c r="D19" i="1" s="1"/>
  <c r="Z38" i="17"/>
  <c r="T18" i="17"/>
  <c r="U15" i="17"/>
  <c r="T12" i="17"/>
  <c r="T9" i="17"/>
  <c r="K23" i="36"/>
  <c r="U43" i="18"/>
  <c r="Q38" i="18"/>
  <c r="T32" i="18"/>
  <c r="K52" i="37"/>
  <c r="K33" i="37"/>
  <c r="K17" i="37"/>
  <c r="H16" i="35"/>
  <c r="G51" i="35"/>
  <c r="G52" i="35" s="1"/>
  <c r="G47" i="35"/>
  <c r="C8" i="35"/>
  <c r="Y9" i="40"/>
  <c r="Y8" i="40" s="1"/>
  <c r="S9" i="40"/>
  <c r="S8" i="40" s="1"/>
  <c r="M9" i="40"/>
  <c r="M8" i="40" s="1"/>
  <c r="E9" i="40"/>
  <c r="F11" i="40"/>
  <c r="K17" i="36"/>
  <c r="K9" i="37"/>
  <c r="F18" i="9"/>
  <c r="C28" i="15"/>
  <c r="C15" i="15"/>
  <c r="T22" i="17"/>
  <c r="D28" i="1" s="1"/>
  <c r="C28" i="1" s="1"/>
  <c r="L28" i="1" s="1"/>
  <c r="AB41" i="17"/>
  <c r="C39" i="16" s="1"/>
  <c r="K19" i="36"/>
  <c r="M13" i="36"/>
  <c r="N13" i="36" s="1"/>
  <c r="K7" i="36"/>
  <c r="T48" i="18"/>
  <c r="K50" i="37"/>
  <c r="K46" i="37"/>
  <c r="G42" i="37"/>
  <c r="K29" i="37"/>
  <c r="K19" i="37"/>
  <c r="C24" i="35"/>
  <c r="E25" i="40"/>
  <c r="F25" i="40" s="1"/>
  <c r="J8" i="40"/>
  <c r="D7" i="16"/>
  <c r="T25" i="17"/>
  <c r="K36" i="36"/>
  <c r="F27" i="36"/>
  <c r="M16" i="36"/>
  <c r="N16" i="36" s="1"/>
  <c r="J51" i="37"/>
  <c r="G51" i="37"/>
  <c r="I48" i="37"/>
  <c r="C48" i="37"/>
  <c r="J39" i="37"/>
  <c r="G39" i="37"/>
  <c r="M30" i="37"/>
  <c r="N30" i="37" s="1"/>
  <c r="E23" i="37"/>
  <c r="M16" i="37"/>
  <c r="N16" i="37" s="1"/>
  <c r="M10" i="37"/>
  <c r="N10" i="37" s="1"/>
  <c r="F16" i="35"/>
  <c r="M20" i="36"/>
  <c r="N20" i="36" s="1"/>
  <c r="K10" i="36"/>
  <c r="H51" i="37"/>
  <c r="E51" i="37"/>
  <c r="K44" i="37"/>
  <c r="H39" i="37"/>
  <c r="E39" i="37"/>
  <c r="M34" i="37"/>
  <c r="N34" i="37" s="1"/>
  <c r="I23" i="37"/>
  <c r="M20" i="37"/>
  <c r="N20" i="37" s="1"/>
  <c r="H11" i="40"/>
  <c r="K30" i="36"/>
  <c r="K12" i="36"/>
  <c r="I42" i="37"/>
  <c r="C42" i="37"/>
  <c r="U9" i="40"/>
  <c r="U8" i="40" s="1"/>
  <c r="X38" i="17"/>
  <c r="K32" i="36"/>
  <c r="H27" i="36"/>
  <c r="M24" i="36"/>
  <c r="N24" i="36" s="1"/>
  <c r="F51" i="37"/>
  <c r="I51" i="37"/>
  <c r="C51" i="37"/>
  <c r="F39" i="37"/>
  <c r="I39" i="37"/>
  <c r="C39" i="37"/>
  <c r="M26" i="37"/>
  <c r="N26" i="37" s="1"/>
  <c r="G23" i="37"/>
  <c r="G8" i="23"/>
  <c r="G13" i="23"/>
  <c r="J23" i="20" s="1"/>
  <c r="G11" i="23"/>
  <c r="C28" i="23"/>
  <c r="J8" i="20" s="1"/>
  <c r="L59" i="1"/>
  <c r="L57" i="1"/>
  <c r="L19" i="1"/>
  <c r="J75" i="39"/>
  <c r="J70" i="39"/>
  <c r="J64" i="39"/>
  <c r="I76" i="39"/>
  <c r="J59" i="39"/>
  <c r="M36" i="36"/>
  <c r="N36" i="36" s="1"/>
  <c r="K35" i="36"/>
  <c r="M34" i="36"/>
  <c r="N34" i="36" s="1"/>
  <c r="K33" i="36"/>
  <c r="M32" i="36"/>
  <c r="N32" i="36" s="1"/>
  <c r="K31" i="36"/>
  <c r="M30" i="36"/>
  <c r="N30" i="36" s="1"/>
  <c r="K29" i="36"/>
  <c r="K28" i="36"/>
  <c r="I27" i="36"/>
  <c r="G27" i="36"/>
  <c r="E27" i="36"/>
  <c r="M28" i="36"/>
  <c r="N28" i="36" s="1"/>
  <c r="J14" i="36"/>
  <c r="H14" i="36"/>
  <c r="F14" i="36"/>
  <c r="D14" i="36"/>
  <c r="K13" i="36"/>
  <c r="M12" i="36"/>
  <c r="N12" i="36" s="1"/>
  <c r="K11" i="36"/>
  <c r="I9" i="36"/>
  <c r="G9" i="36"/>
  <c r="E9" i="36"/>
  <c r="M10" i="36"/>
  <c r="N10" i="36" s="1"/>
  <c r="K22" i="37"/>
  <c r="L53" i="1"/>
  <c r="L51" i="1"/>
  <c r="C32" i="1"/>
  <c r="C18" i="1"/>
  <c r="L18" i="1" s="1"/>
  <c r="J73" i="39"/>
  <c r="K26" i="36"/>
  <c r="M25" i="36"/>
  <c r="N25" i="36" s="1"/>
  <c r="K24" i="36"/>
  <c r="M23" i="36"/>
  <c r="N23" i="36" s="1"/>
  <c r="K22" i="36"/>
  <c r="M21" i="36"/>
  <c r="N21" i="36" s="1"/>
  <c r="K20" i="36"/>
  <c r="M19" i="36"/>
  <c r="N19" i="36" s="1"/>
  <c r="K18" i="36"/>
  <c r="M17" i="36"/>
  <c r="N17" i="36" s="1"/>
  <c r="K16" i="36"/>
  <c r="I14" i="36"/>
  <c r="G14" i="36"/>
  <c r="E14" i="36"/>
  <c r="M15" i="36"/>
  <c r="N15" i="36" s="1"/>
  <c r="J9" i="36"/>
  <c r="H9" i="36"/>
  <c r="F9" i="36"/>
  <c r="D9" i="36"/>
  <c r="K8" i="36"/>
  <c r="M7" i="36"/>
  <c r="N7" i="36" s="1"/>
  <c r="K6" i="36"/>
  <c r="K53" i="37"/>
  <c r="J48" i="37"/>
  <c r="H48" i="37"/>
  <c r="F48" i="37"/>
  <c r="D48" i="37"/>
  <c r="K47" i="37"/>
  <c r="J42" i="37"/>
  <c r="H42" i="37"/>
  <c r="F42" i="37"/>
  <c r="D42" i="37"/>
  <c r="K41" i="37"/>
  <c r="K36" i="37"/>
  <c r="M35" i="37"/>
  <c r="N35" i="37" s="1"/>
  <c r="K34" i="37"/>
  <c r="M33" i="37"/>
  <c r="N33" i="37" s="1"/>
  <c r="K32" i="37"/>
  <c r="M31" i="37"/>
  <c r="N31" i="37" s="1"/>
  <c r="K30" i="37"/>
  <c r="M29" i="37"/>
  <c r="N29" i="37" s="1"/>
  <c r="K28" i="37"/>
  <c r="M27" i="37"/>
  <c r="N27" i="37" s="1"/>
  <c r="K26" i="37"/>
  <c r="M25" i="37"/>
  <c r="N25" i="37" s="1"/>
  <c r="J23" i="37"/>
  <c r="H23" i="37"/>
  <c r="F23" i="37"/>
  <c r="D23" i="37"/>
  <c r="K20" i="37"/>
  <c r="M19" i="37"/>
  <c r="N19" i="37" s="1"/>
  <c r="K18" i="37"/>
  <c r="I15" i="37"/>
  <c r="G15" i="37"/>
  <c r="E15" i="37"/>
  <c r="M17" i="37"/>
  <c r="N17" i="37" s="1"/>
  <c r="J15" i="37"/>
  <c r="H15" i="37"/>
  <c r="F15" i="37"/>
  <c r="D15" i="37"/>
  <c r="K14" i="37"/>
  <c r="K12" i="37"/>
  <c r="M11" i="37"/>
  <c r="N11" i="37" s="1"/>
  <c r="K10" i="37"/>
  <c r="I7" i="37"/>
  <c r="I21" i="37" s="1"/>
  <c r="I37" i="37" s="1"/>
  <c r="G7" i="37"/>
  <c r="G21" i="37" s="1"/>
  <c r="E7" i="37"/>
  <c r="E21" i="37" s="1"/>
  <c r="M9" i="37"/>
  <c r="N9" i="37" s="1"/>
  <c r="J7" i="37"/>
  <c r="J21" i="37" s="1"/>
  <c r="H7" i="37"/>
  <c r="H21" i="37" s="1"/>
  <c r="F7" i="37"/>
  <c r="F21" i="37" s="1"/>
  <c r="D7" i="37"/>
  <c r="D21" i="37" s="1"/>
  <c r="G47" i="39"/>
  <c r="G48" i="39" s="1"/>
  <c r="J49" i="38"/>
  <c r="J78" i="38" s="1"/>
  <c r="K78" i="38" s="1"/>
  <c r="C13" i="1"/>
  <c r="C10" i="1"/>
  <c r="C102" i="24"/>
  <c r="C99" i="24"/>
  <c r="D10" i="5"/>
  <c r="D47" i="5" s="1"/>
  <c r="D48" i="5" s="1"/>
  <c r="J49" i="5" s="1"/>
  <c r="D10" i="39"/>
  <c r="D47" i="39" s="1"/>
  <c r="D48" i="39" s="1"/>
  <c r="L23" i="1"/>
  <c r="C47" i="39"/>
  <c r="B5" i="23"/>
  <c r="CH48" i="10"/>
  <c r="C27" i="36"/>
  <c r="C14" i="36"/>
  <c r="C9" i="36"/>
  <c r="D51" i="37"/>
  <c r="D45" i="37"/>
  <c r="D39" i="37"/>
  <c r="C23" i="37"/>
  <c r="C15" i="37"/>
  <c r="C7" i="37"/>
  <c r="G76" i="39"/>
  <c r="B15" i="23"/>
  <c r="G12" i="23"/>
  <c r="J20" i="20" s="1"/>
  <c r="G10" i="23"/>
  <c r="J12" i="20" s="1"/>
  <c r="B10" i="23"/>
  <c r="K49" i="37"/>
  <c r="K43" i="37"/>
  <c r="K24" i="37"/>
  <c r="K16" i="37"/>
  <c r="K8" i="37"/>
  <c r="T9" i="40"/>
  <c r="T8" i="40" s="1"/>
  <c r="C33" i="40"/>
  <c r="D33" i="40" s="1"/>
  <c r="V8" i="40"/>
  <c r="R8" i="40"/>
  <c r="AF10" i="40" s="1"/>
  <c r="O8" i="40"/>
  <c r="AC10" i="40" s="1"/>
  <c r="N8" i="40"/>
  <c r="AB10" i="40" s="1"/>
  <c r="S38" i="17" l="1"/>
  <c r="M76" i="38"/>
  <c r="F37" i="37"/>
  <c r="I28" i="30"/>
  <c r="J37" i="37"/>
  <c r="D44" i="16" s="1"/>
  <c r="E46" i="16"/>
  <c r="T46" i="18"/>
  <c r="Z22" i="9"/>
  <c r="K10" i="9" s="1"/>
  <c r="T40" i="18"/>
  <c r="Y22" i="18"/>
  <c r="Z22" i="18" s="1"/>
  <c r="Z38" i="18" s="1"/>
  <c r="AD44" i="17" s="1"/>
  <c r="H37" i="36"/>
  <c r="H38" i="36" s="1"/>
  <c r="H37" i="37"/>
  <c r="D48" i="16"/>
  <c r="F44" i="1"/>
  <c r="I36" i="16"/>
  <c r="I40" i="16" s="1"/>
  <c r="H36" i="16"/>
  <c r="H40" i="16" s="1"/>
  <c r="C76" i="1"/>
  <c r="D14" i="6" s="1"/>
  <c r="C30" i="2"/>
  <c r="C35" i="2" s="1"/>
  <c r="C53" i="2" s="1"/>
  <c r="C69" i="2" s="1"/>
  <c r="C72" i="2" s="1"/>
  <c r="C76" i="2" s="1"/>
  <c r="C8" i="6" s="1"/>
  <c r="C14" i="6" s="1"/>
  <c r="F76" i="1" s="1"/>
  <c r="U22" i="18"/>
  <c r="G22" i="14" s="1"/>
  <c r="E27" i="16" s="1"/>
  <c r="S22" i="18"/>
  <c r="S38" i="18" s="1"/>
  <c r="F61" i="1" s="1"/>
  <c r="O38" i="18"/>
  <c r="C44" i="16" s="1"/>
  <c r="E92" i="24"/>
  <c r="F37" i="36"/>
  <c r="K48" i="37"/>
  <c r="E61" i="1"/>
  <c r="Q37" i="37" s="1"/>
  <c r="C31" i="40"/>
  <c r="C26" i="40" s="1"/>
  <c r="C25" i="40" s="1"/>
  <c r="D25" i="40" s="1"/>
  <c r="G26" i="40"/>
  <c r="C9" i="40"/>
  <c r="P8" i="40"/>
  <c r="AD10" i="40" s="1"/>
  <c r="D16" i="40"/>
  <c r="AA46" i="10"/>
  <c r="CH46" i="10"/>
  <c r="P10" i="30"/>
  <c r="Q10" i="30" s="1"/>
  <c r="G38" i="18"/>
  <c r="S80" i="10"/>
  <c r="J37" i="36"/>
  <c r="E37" i="36"/>
  <c r="E38" i="36" s="1"/>
  <c r="T16" i="18"/>
  <c r="D49" i="1" s="1"/>
  <c r="F20" i="14"/>
  <c r="B39" i="15"/>
  <c r="C5" i="16" s="1"/>
  <c r="C21" i="16" s="1"/>
  <c r="O92" i="24"/>
  <c r="C92" i="24" s="1"/>
  <c r="AA8" i="40" s="1"/>
  <c r="AA25" i="40" s="1"/>
  <c r="L13" i="1"/>
  <c r="E37" i="37"/>
  <c r="G48" i="35"/>
  <c r="D22" i="1"/>
  <c r="L22" i="1" s="1"/>
  <c r="E38" i="18"/>
  <c r="C46" i="16" s="1"/>
  <c r="T15" i="17"/>
  <c r="E5" i="16"/>
  <c r="E21" i="16" s="1"/>
  <c r="L50" i="1"/>
  <c r="E44" i="16"/>
  <c r="C12" i="9"/>
  <c r="AA12" i="10" s="1"/>
  <c r="AA36" i="10"/>
  <c r="CH36" i="10"/>
  <c r="K23" i="37"/>
  <c r="K27" i="36"/>
  <c r="P40" i="36"/>
  <c r="D39" i="16" s="1"/>
  <c r="AB40" i="17"/>
  <c r="AB45" i="17" s="1"/>
  <c r="AB42" i="17" s="1"/>
  <c r="C40" i="16" s="1"/>
  <c r="C38" i="16" s="1"/>
  <c r="I18" i="20" s="1"/>
  <c r="K18" i="20" s="1"/>
  <c r="T43" i="18"/>
  <c r="AD40" i="17"/>
  <c r="AD45" i="17" s="1"/>
  <c r="AD42" i="17" s="1"/>
  <c r="E40" i="16" s="1"/>
  <c r="E38" i="16" s="1"/>
  <c r="I20" i="20" s="1"/>
  <c r="K20" i="20" s="1"/>
  <c r="T24" i="18"/>
  <c r="D52" i="1" s="1"/>
  <c r="L52" i="1" s="1"/>
  <c r="H32" i="16"/>
  <c r="E45" i="16"/>
  <c r="C81" i="24"/>
  <c r="C13" i="9" s="1"/>
  <c r="AA14" i="10" s="1"/>
  <c r="K42" i="37"/>
  <c r="D37" i="36"/>
  <c r="D38" i="36" s="1"/>
  <c r="K76" i="39"/>
  <c r="M76" i="39" s="1"/>
  <c r="CH40" i="10"/>
  <c r="I29" i="30"/>
  <c r="D31" i="1"/>
  <c r="L31" i="1" s="1"/>
  <c r="D49" i="16"/>
  <c r="K45" i="37"/>
  <c r="G37" i="36"/>
  <c r="G38" i="36" s="1"/>
  <c r="U38" i="17"/>
  <c r="T38" i="17" s="1"/>
  <c r="I37" i="16" s="1"/>
  <c r="M76" i="5"/>
  <c r="G37" i="37"/>
  <c r="J78" i="5"/>
  <c r="C44" i="41" s="1"/>
  <c r="F9" i="40"/>
  <c r="Z34" i="9"/>
  <c r="K30" i="9" s="1"/>
  <c r="C53" i="16"/>
  <c r="I37" i="36"/>
  <c r="N37" i="36"/>
  <c r="N38" i="36" s="1"/>
  <c r="N37" i="37"/>
  <c r="P43" i="36" s="1"/>
  <c r="J77" i="39"/>
  <c r="H37" i="16"/>
  <c r="AA42" i="10"/>
  <c r="CH42" i="10"/>
  <c r="AA44" i="10"/>
  <c r="CH44" i="10"/>
  <c r="AA34" i="10"/>
  <c r="CH34" i="10"/>
  <c r="C34" i="9"/>
  <c r="AA50" i="10" s="1"/>
  <c r="AA38" i="10"/>
  <c r="CH38" i="10"/>
  <c r="D37" i="37"/>
  <c r="B15" i="15"/>
  <c r="D16" i="1"/>
  <c r="G17" i="15" s="1"/>
  <c r="C25" i="30"/>
  <c r="C26" i="30" s="1"/>
  <c r="D16" i="30"/>
  <c r="D5" i="16"/>
  <c r="D5" i="1"/>
  <c r="K25" i="9"/>
  <c r="AA85" i="10"/>
  <c r="L24" i="1"/>
  <c r="C27" i="23"/>
  <c r="C46" i="41" s="1"/>
  <c r="C21" i="23"/>
  <c r="C45" i="27" s="1"/>
  <c r="B28" i="15"/>
  <c r="I34" i="20" s="1"/>
  <c r="K34" i="20" s="1"/>
  <c r="D10" i="1"/>
  <c r="L10" i="1" s="1"/>
  <c r="D6" i="16"/>
  <c r="D6" i="1"/>
  <c r="D32" i="1"/>
  <c r="L32" i="1" s="1"/>
  <c r="L33" i="1"/>
  <c r="T10" i="17"/>
  <c r="D7" i="1" s="1"/>
  <c r="E7" i="1"/>
  <c r="E44" i="1" s="1"/>
  <c r="W80" i="10"/>
  <c r="Y78" i="10"/>
  <c r="F25" i="13"/>
  <c r="H25" i="13"/>
  <c r="Y71" i="10"/>
  <c r="F24" i="1"/>
  <c r="K39" i="37"/>
  <c r="K51" i="37"/>
  <c r="C47" i="35"/>
  <c r="C51" i="35"/>
  <c r="C52" i="35" s="1"/>
  <c r="D8" i="35"/>
  <c r="F11" i="14"/>
  <c r="P16" i="30"/>
  <c r="Q16" i="30" s="1"/>
  <c r="K47" i="39"/>
  <c r="K15" i="37"/>
  <c r="K14" i="36"/>
  <c r="H9" i="40"/>
  <c r="C55" i="35"/>
  <c r="C56" i="35" s="1"/>
  <c r="D24" i="35"/>
  <c r="E8" i="40"/>
  <c r="Y79" i="10"/>
  <c r="K20" i="9"/>
  <c r="K9" i="9"/>
  <c r="K17" i="9"/>
  <c r="K22" i="9"/>
  <c r="K13" i="9"/>
  <c r="K15" i="9"/>
  <c r="J10" i="20"/>
  <c r="E46" i="41"/>
  <c r="E46" i="27"/>
  <c r="J49" i="39"/>
  <c r="C46" i="27"/>
  <c r="K7" i="37"/>
  <c r="C21" i="37"/>
  <c r="C37" i="36"/>
  <c r="K9" i="36"/>
  <c r="D52" i="41"/>
  <c r="D46" i="16" l="1"/>
  <c r="L76" i="1"/>
  <c r="K19" i="9"/>
  <c r="K11" i="9"/>
  <c r="K14" i="9"/>
  <c r="I38" i="16"/>
  <c r="G44" i="1"/>
  <c r="I14" i="6"/>
  <c r="K12" i="9"/>
  <c r="K16" i="9"/>
  <c r="E22" i="14"/>
  <c r="C27" i="16" s="1"/>
  <c r="H38" i="16"/>
  <c r="T22" i="18"/>
  <c r="T38" i="18" s="1"/>
  <c r="G61" i="1" s="1"/>
  <c r="K18" i="9"/>
  <c r="F32" i="16"/>
  <c r="D26" i="40"/>
  <c r="D52" i="27"/>
  <c r="P39" i="36"/>
  <c r="P44" i="36" s="1"/>
  <c r="P41" i="36" s="1"/>
  <c r="D40" i="16" s="1"/>
  <c r="D38" i="16" s="1"/>
  <c r="I19" i="20" s="1"/>
  <c r="K19" i="20" s="1"/>
  <c r="C43" i="16"/>
  <c r="K34" i="9"/>
  <c r="E77" i="1"/>
  <c r="U38" i="18"/>
  <c r="H61" i="1" s="1"/>
  <c r="AC38" i="18"/>
  <c r="C8" i="40"/>
  <c r="C44" i="27"/>
  <c r="C43" i="27" s="1"/>
  <c r="C48" i="27" s="1"/>
  <c r="I9" i="20" s="1"/>
  <c r="K9" i="20" s="1"/>
  <c r="D29" i="9"/>
  <c r="K78" i="5"/>
  <c r="D34" i="9"/>
  <c r="E42" i="16"/>
  <c r="G25" i="40"/>
  <c r="H26" i="40"/>
  <c r="D9" i="40"/>
  <c r="C45" i="41"/>
  <c r="C43" i="41" s="1"/>
  <c r="C35" i="41" s="1"/>
  <c r="C40" i="41" s="1"/>
  <c r="K27" i="9"/>
  <c r="K31" i="9"/>
  <c r="J78" i="39"/>
  <c r="K78" i="39" s="1"/>
  <c r="C22" i="9"/>
  <c r="D12" i="9" s="1"/>
  <c r="C12" i="16"/>
  <c r="C24" i="16" s="1"/>
  <c r="K29" i="9"/>
  <c r="K26" i="9"/>
  <c r="K28" i="9"/>
  <c r="H44" i="1"/>
  <c r="K32" i="9"/>
  <c r="E12" i="16"/>
  <c r="D18" i="9"/>
  <c r="F8" i="40"/>
  <c r="D22" i="9"/>
  <c r="D13" i="9"/>
  <c r="C42" i="16"/>
  <c r="D15" i="9"/>
  <c r="D28" i="9"/>
  <c r="CH50" i="10"/>
  <c r="L7" i="1"/>
  <c r="D44" i="1"/>
  <c r="C5" i="1"/>
  <c r="L5" i="1" s="1"/>
  <c r="Q37" i="36"/>
  <c r="AC38" i="17"/>
  <c r="L47" i="39"/>
  <c r="M47" i="39" s="1"/>
  <c r="D27" i="9"/>
  <c r="D61" i="1"/>
  <c r="L49" i="1"/>
  <c r="D21" i="16"/>
  <c r="D12" i="16"/>
  <c r="C10" i="38"/>
  <c r="C47" i="38" s="1"/>
  <c r="K47" i="38" s="1"/>
  <c r="C10" i="5"/>
  <c r="C47" i="5" s="1"/>
  <c r="K47" i="5" s="1"/>
  <c r="C6" i="1"/>
  <c r="L6" i="1" s="1"/>
  <c r="F22" i="14"/>
  <c r="D27" i="16" s="1"/>
  <c r="I36" i="20"/>
  <c r="K36" i="20" s="1"/>
  <c r="C16" i="1"/>
  <c r="D32" i="9"/>
  <c r="D26" i="9"/>
  <c r="D31" i="9"/>
  <c r="D25" i="9"/>
  <c r="Y80" i="10"/>
  <c r="D30" i="9"/>
  <c r="K21" i="37"/>
  <c r="K37" i="37" s="1"/>
  <c r="C37" i="37"/>
  <c r="K37" i="36"/>
  <c r="C38" i="36"/>
  <c r="C15" i="16" l="1"/>
  <c r="C32" i="16" s="1"/>
  <c r="I16" i="20" s="1"/>
  <c r="K16" i="20" s="1"/>
  <c r="D10" i="9"/>
  <c r="D19" i="9"/>
  <c r="D11" i="9"/>
  <c r="D16" i="9"/>
  <c r="D17" i="9"/>
  <c r="D8" i="40"/>
  <c r="H25" i="40"/>
  <c r="G8" i="40"/>
  <c r="E15" i="16"/>
  <c r="E32" i="16" s="1"/>
  <c r="E24" i="16"/>
  <c r="E52" i="16"/>
  <c r="E47" i="16" s="1"/>
  <c r="E41" i="16" s="1"/>
  <c r="I23" i="20" s="1"/>
  <c r="K23" i="20" s="1"/>
  <c r="D9" i="9"/>
  <c r="D20" i="9"/>
  <c r="D14" i="9"/>
  <c r="AA30" i="10"/>
  <c r="C47" i="27"/>
  <c r="I11" i="20" s="1"/>
  <c r="K11" i="20" s="1"/>
  <c r="C52" i="16"/>
  <c r="C47" i="16" s="1"/>
  <c r="C41" i="16" s="1"/>
  <c r="I21" i="20" s="1"/>
  <c r="K21" i="20" s="1"/>
  <c r="C35" i="27"/>
  <c r="C40" i="27" s="1"/>
  <c r="C39" i="27" s="1"/>
  <c r="C42" i="27" s="1"/>
  <c r="C49" i="27" s="1"/>
  <c r="I7" i="20" s="1"/>
  <c r="K7" i="20" s="1"/>
  <c r="D52" i="16"/>
  <c r="D47" i="16" s="1"/>
  <c r="O37" i="36"/>
  <c r="C44" i="1"/>
  <c r="AB38" i="17"/>
  <c r="L47" i="38"/>
  <c r="M47" i="38" s="1"/>
  <c r="F17" i="15"/>
  <c r="L16" i="1"/>
  <c r="D24" i="16"/>
  <c r="D15" i="16"/>
  <c r="D77" i="1"/>
  <c r="C77" i="1" s="1"/>
  <c r="L77" i="1" s="1"/>
  <c r="AB38" i="18"/>
  <c r="C61" i="1"/>
  <c r="O37" i="37"/>
  <c r="P37" i="37" s="1"/>
  <c r="P37" i="36"/>
  <c r="G32" i="16"/>
  <c r="D45" i="16"/>
  <c r="D42" i="16" s="1"/>
  <c r="H8" i="40" l="1"/>
  <c r="C41" i="27"/>
  <c r="D41" i="16"/>
  <c r="I22" i="20" s="1"/>
  <c r="K22" i="20" s="1"/>
  <c r="D32" i="16"/>
  <c r="AA38" i="18"/>
  <c r="L61" i="1"/>
  <c r="K46" i="38"/>
  <c r="C51" i="41"/>
  <c r="K46" i="5"/>
  <c r="C83" i="1"/>
  <c r="C51" i="27"/>
  <c r="C50" i="27" s="1"/>
  <c r="C55" i="27" s="1"/>
  <c r="I13" i="20" s="1"/>
  <c r="K13" i="20" s="1"/>
  <c r="K46" i="39"/>
  <c r="C72" i="26"/>
  <c r="L47" i="5"/>
  <c r="M47" i="5" s="1"/>
  <c r="AA38" i="17"/>
  <c r="L44" i="1"/>
</calcChain>
</file>

<file path=xl/sharedStrings.xml><?xml version="1.0" encoding="utf-8"?>
<sst xmlns="http://schemas.openxmlformats.org/spreadsheetml/2006/main" count="3018" uniqueCount="1379">
  <si>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</si>
  <si>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</si>
  <si>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</si>
  <si>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</si>
  <si>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</si>
  <si>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</si>
  <si>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</si>
  <si>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</si>
  <si>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</si>
  <si>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</si>
  <si>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</si>
  <si>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</si>
  <si>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</si>
  <si>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</si>
  <si>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</si>
  <si>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</si>
  <si>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</si>
  <si>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>д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</si>
  <si>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</si>
  <si>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</si>
  <si>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</si>
  <si>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</si>
  <si>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</si>
  <si>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</si>
  <si>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</si>
  <si>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</si>
  <si>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</si>
  <si>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</si>
  <si>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</si>
  <si>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</si>
  <si>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</si>
  <si>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</si>
  <si>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</si>
  <si>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</si>
  <si>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</si>
  <si>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Реструктуризированные кредиты и кредиты в статусе "ненаращивания"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</si>
  <si>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</si>
  <si>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</si>
  <si>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</si>
  <si>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прямые требования к Правительству и Центральному банку Республики Узбекистан</t>
  </si>
  <si>
    <t>Основные средств и другое собственное имущество банка</t>
  </si>
  <si>
    <t>Просроченные кредиты и лизинги, чистые</t>
  </si>
  <si>
    <t>а)</t>
  </si>
  <si>
    <t>б)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</si>
  <si>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</si>
  <si>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</si>
  <si>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</si>
  <si>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</si>
  <si>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</si>
  <si>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13,2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</si>
  <si>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</si>
  <si>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</si>
  <si>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</si>
  <si>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</si>
  <si>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</si>
  <si>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</si>
  <si>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Другие ценные бумаги купленные по соглашению с обратным выкупом (РЕПО)</t>
  </si>
  <si>
    <t>отток</t>
  </si>
  <si>
    <t>Правительственные ценные бумаги купленные по соглашению с обратным выкупом (РЕПО)</t>
  </si>
  <si>
    <t xml:space="preserve">Высоко-ликвидные активы </t>
  </si>
  <si>
    <t>Открытая валютная позиция, всего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</si>
  <si>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</si>
  <si>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</si>
  <si>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</si>
  <si>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</si>
  <si>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Счета валютной позиции (счет 17101 (сумавая часть))</t>
  </si>
  <si>
    <t>Часть 4.</t>
  </si>
  <si>
    <t>4.2</t>
  </si>
  <si>
    <t>4.3</t>
  </si>
  <si>
    <t>Другие статьи</t>
  </si>
  <si>
    <t xml:space="preserve">Ликвидные активы </t>
  </si>
  <si>
    <t>Сумма чистого расхода за 30 дней</t>
  </si>
  <si>
    <t>Коэффициент</t>
  </si>
  <si>
    <t>в)</t>
  </si>
  <si>
    <t>г)</t>
  </si>
  <si>
    <t>д)</t>
  </si>
  <si>
    <t xml:space="preserve">Другие депозиты до востребования </t>
  </si>
  <si>
    <t>Сумма расхода за 30 дней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</si>
  <si>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</si>
  <si>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</si>
  <si>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</si>
  <si>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</si>
  <si>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</si>
  <si>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</si>
  <si>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2015</t>
  </si>
  <si>
    <t>2018</t>
  </si>
  <si>
    <t>2016</t>
  </si>
  <si>
    <t>2017</t>
  </si>
  <si>
    <t>2019</t>
  </si>
  <si>
    <t>Итого капитала Уровня II</t>
  </si>
  <si>
    <t xml:space="preserve">Пересмотренные или пролонгированные кредиты и лизинги более одного раза 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</si>
  <si>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</si>
  <si>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</si>
  <si>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</si>
  <si>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</si>
  <si>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</si>
  <si>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</si>
  <si>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</si>
  <si>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 xml:space="preserve">Кредиты и другие активы или их части, обеспеченные наличными деньгами, хранящимися на отдельном блокированном депозитном счете. </t>
  </si>
  <si>
    <t>Достаточность капитала - К1</t>
  </si>
  <si>
    <t>Доля основного капитала I уровня к регулятивному капиталу</t>
  </si>
  <si>
    <t>Коэффициент достаточности капитала I уровня K2</t>
  </si>
  <si>
    <t>Коэффициент нормы покрытия ликвидности</t>
  </si>
  <si>
    <t xml:space="preserve">Норма чистого стабильного финансирования  (НЧСФ) 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</si>
  <si>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</si>
  <si>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</si>
  <si>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</si>
  <si>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</si>
  <si>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</si>
  <si>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</si>
  <si>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</si>
  <si>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Активы, обеспеченные ценными бумагами выпущенными банками зарегистрированными в странах с низким уровнем риска</t>
  </si>
  <si>
    <t xml:space="preserve">Активы или их части, обеспеченные залогом в виде ценных бумаг, оцененных по текущей рыночной стоимости и эмитированных международными финансовыми институтами </t>
  </si>
  <si>
    <t>Недвижимое имущество принятое на баланс банка в целях полного или частичного погащения задолженности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</si>
  <si>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</si>
  <si>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</si>
  <si>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</si>
  <si>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</si>
  <si>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</si>
  <si>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</si>
  <si>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</si>
  <si>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Все требования банка, деноминированные в местную валюту стран не входящих в группу стран с низким уровнем риска, к Центральным банкам и центральным правительствам этих стран</t>
  </si>
  <si>
    <t>Активы или их части, обеспеченные ценными бумагами, которые оцененные по текущей рыночной стоимости и выпущенными или гарантированными Правительством Республики Узбекистан, Центральным банком Республики Узбекистан или Правительствами стран с низким уровнем риска.</t>
  </si>
  <si>
    <t>Кредиты на недвижимость обеспеченные приобретаемым или строящимся домом (квартирой)</t>
  </si>
  <si>
    <t>Гарантированные Правительством Республики Узбекистан в иностранной валюте (экв.сум)</t>
  </si>
  <si>
    <t>2.2</t>
  </si>
  <si>
    <t>2.3</t>
  </si>
  <si>
    <t>Продажа на условиях Своп и Форвард (счет 92709, 92732)</t>
  </si>
  <si>
    <t>Покупка на условиях Своп и Форвард (счет 92716, 92736)</t>
  </si>
  <si>
    <t>Ценные бумаги, выпущенные правительствами и центральными банками стран, с низким уровня риска, а также другие требования к центральным банкам и правительствам этих стран</t>
  </si>
  <si>
    <t>Общие резервы (1%)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</si>
  <si>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</si>
  <si>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</si>
  <si>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</si>
  <si>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</si>
  <si>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</si>
  <si>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</si>
  <si>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</si>
  <si>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</si>
  <si>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</si>
  <si>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</si>
  <si>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</si>
  <si>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</si>
  <si>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</si>
  <si>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</si>
  <si>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</si>
  <si>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</si>
  <si>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</si>
  <si>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</si>
  <si>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</si>
  <si>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</si>
  <si>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</si>
  <si>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</si>
  <si>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</si>
  <si>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</si>
  <si>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</si>
  <si>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</si>
  <si>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</si>
  <si>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</si>
  <si>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</si>
  <si>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</si>
  <si>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</si>
  <si>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</si>
  <si>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</si>
  <si>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</si>
  <si>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</si>
  <si>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</si>
  <si>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</si>
  <si>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</si>
  <si>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</si>
  <si>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</si>
  <si>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>Рыночные ценные бумаги, чистые</t>
  </si>
  <si>
    <t xml:space="preserve">Ценные бумаги, выпущенные Правительством Республики Узбекистан и ЦБРУ  </t>
  </si>
  <si>
    <t>Другие ценные бумаги</t>
  </si>
  <si>
    <t xml:space="preserve">Кредиты и лизинги, чистые </t>
  </si>
  <si>
    <t xml:space="preserve">Кредиты и лизинги в судебном разбирательстве, чистые </t>
  </si>
  <si>
    <t>Основные средства, используемые в банковской деятельности (минус амортизация)</t>
  </si>
  <si>
    <t>Инвестиции в капитал неконсолидированных банковских и небанковских финансовых дочерних компаний и всех нефинансовых предприятий</t>
  </si>
  <si>
    <t>Все другие инвестиции, чистые</t>
  </si>
  <si>
    <t xml:space="preserve">Нематериальные активы, включая гудвилл </t>
  </si>
  <si>
    <t>Другие активы  в судебном разбирательстве и не взысканные в установленном порядке</t>
  </si>
  <si>
    <t>Другие активы, чистые</t>
  </si>
  <si>
    <t>Общая сумма балансовых активов согласно Инструкции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</si>
  <si>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</si>
  <si>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</si>
  <si>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</si>
  <si>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</si>
  <si>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</si>
  <si>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</si>
  <si>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</si>
  <si>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</si>
  <si>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</si>
  <si>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Обязательства по приобретению ценных бумаг и других активов (включая активы, проданные в соответствии с соглашениями о выкупе) 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</si>
  <si>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</si>
  <si>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</si>
  <si>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</si>
  <si>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</si>
  <si>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>Связанные с торговлей (краткосрочные, самоликвидирующиеся, обеспеченные)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</si>
  <si>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</si>
  <si>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</si>
  <si>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</si>
  <si>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 xml:space="preserve">Со оставшимся сроком погашения до одного года </t>
  </si>
  <si>
    <t>а2</t>
  </si>
  <si>
    <t xml:space="preserve">Со оставшимся сроком погашения от одного года до двух лет </t>
  </si>
  <si>
    <t>а3</t>
  </si>
  <si>
    <t>Со оставшимся сроком погашения от двух до трех  лет</t>
  </si>
  <si>
    <t>Валютные котракты и золото</t>
  </si>
  <si>
    <t>б1</t>
  </si>
  <si>
    <t>С первоначальным сроком погашения до одного года</t>
  </si>
  <si>
    <t>б2</t>
  </si>
  <si>
    <t>С первоначальным сроком погашения от одного года до двух лет</t>
  </si>
  <si>
    <t>б3</t>
  </si>
  <si>
    <t>С первоначальным сроком погашения  от двух до трех  лет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</si>
  <si>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</si>
  <si>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</si>
  <si>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</si>
  <si>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</si>
  <si>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</si>
  <si>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</si>
  <si>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</si>
  <si>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</si>
  <si>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</si>
  <si>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</si>
  <si>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</si>
  <si>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</si>
  <si>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</si>
  <si>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</si>
  <si>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</si>
  <si>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</si>
  <si>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</si>
  <si>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</si>
  <si>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</si>
  <si>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</si>
  <si>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</si>
  <si>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</si>
  <si>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</si>
  <si>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</si>
  <si>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</si>
  <si>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</si>
  <si>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</si>
  <si>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</si>
  <si>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</si>
  <si>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</si>
  <si>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</si>
  <si>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</si>
  <si>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</si>
  <si>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</si>
  <si>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</si>
  <si>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</si>
  <si>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</si>
  <si>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</si>
  <si>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</si>
  <si>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</si>
  <si>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</si>
  <si>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</si>
  <si>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</si>
  <si>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</si>
  <si>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</si>
  <si>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</si>
  <si>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</si>
  <si>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</si>
  <si>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</si>
  <si>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</si>
  <si>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</si>
  <si>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</si>
  <si>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</si>
  <si>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</si>
  <si>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</si>
  <si>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</si>
  <si>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</si>
  <si>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</si>
  <si>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</si>
  <si>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</si>
  <si>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</si>
  <si>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</si>
  <si>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</si>
  <si>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</si>
  <si>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</si>
  <si>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</si>
  <si>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</si>
  <si>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</si>
  <si>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</si>
  <si>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</si>
  <si>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</si>
  <si>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</si>
  <si>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</si>
  <si>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</si>
  <si>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</si>
  <si>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</si>
  <si>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</si>
  <si>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</si>
  <si>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</si>
  <si>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</si>
  <si>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</si>
  <si>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</si>
  <si>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</si>
  <si>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</si>
  <si>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</si>
  <si>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</si>
  <si>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</si>
  <si>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</si>
  <si>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</si>
  <si>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</si>
  <si>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</si>
  <si>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</si>
  <si>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</si>
  <si>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</si>
  <si>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</si>
  <si>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</si>
  <si>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</si>
  <si>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</si>
  <si>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</si>
  <si>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</si>
  <si>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</si>
  <si>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</si>
  <si>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</si>
  <si>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</si>
  <si>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</si>
  <si>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</si>
  <si>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</si>
  <si>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</si>
  <si>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</si>
  <si>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Наименования клиента</t>
  </si>
  <si>
    <t>Номер группы</t>
  </si>
  <si>
    <t>Пересмотрения</t>
  </si>
  <si>
    <t>Классификация</t>
  </si>
  <si>
    <t>Источник кредита</t>
  </si>
  <si>
    <t>В</t>
  </si>
  <si>
    <t>Е</t>
  </si>
  <si>
    <t>Часть 1 Списания и возврат</t>
  </si>
  <si>
    <t>Списание - А</t>
  </si>
  <si>
    <t>Возврат - Б</t>
  </si>
  <si>
    <t>в иностранной валюте</t>
  </si>
  <si>
    <t>1. Промышленность</t>
  </si>
  <si>
    <t>2. Сельское хозяйство</t>
  </si>
  <si>
    <t>3. Транспорт и коммуникации</t>
  </si>
  <si>
    <t>4. Строительство</t>
  </si>
  <si>
    <t>5. Торговля и общественное питание</t>
  </si>
  <si>
    <t>6. Материально-техническое снабжение и сбыт</t>
  </si>
  <si>
    <t>7. Жилищно-коммунальные услуги</t>
  </si>
  <si>
    <t>8. Другие сектора</t>
  </si>
  <si>
    <t>9. Итого</t>
  </si>
  <si>
    <t>Часть 2</t>
  </si>
  <si>
    <t>Изменения в резерве возможных убытков по кредитам и лизингу</t>
  </si>
  <si>
    <t>1. Остаток на начало текущего года</t>
  </si>
  <si>
    <t>2. Плюс: Возвращенные платежи</t>
  </si>
  <si>
    <t>3. Минус: Списанные кредиты и лизинги</t>
  </si>
  <si>
    <t>4. Отчисления в резерв по состоянию на дату от начала года</t>
  </si>
  <si>
    <t>5. Поправки</t>
  </si>
  <si>
    <t>6. Текущий баланс</t>
  </si>
  <si>
    <t>Примечание:</t>
  </si>
  <si>
    <t>н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</si>
  <si>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</si>
  <si>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</si>
  <si>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</si>
  <si>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</si>
  <si>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</si>
  <si>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</si>
  <si>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</si>
  <si>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</si>
  <si>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</si>
  <si>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</si>
  <si>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</si>
  <si>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</si>
  <si>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</si>
  <si>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</si>
  <si>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</si>
  <si>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</si>
  <si>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</si>
  <si>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</si>
  <si>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</si>
  <si>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</si>
  <si>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</si>
  <si>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</si>
  <si>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</si>
  <si>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10. Чистая балансовая стоимость по счетам купли-продажи ц/б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</si>
  <si>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</si>
  <si>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</si>
  <si>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</si>
  <si>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</si>
  <si>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</si>
  <si>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</si>
  <si>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</si>
  <si>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</si>
  <si>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</si>
  <si>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</si>
  <si>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</si>
  <si>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Часть 1. Ликвидные активы</t>
  </si>
  <si>
    <t>Часть 2. Коэфициенты наличности и ликвидности</t>
  </si>
  <si>
    <t>в процентах</t>
  </si>
  <si>
    <t xml:space="preserve">           среднее активов за текущий квартал</t>
  </si>
  <si>
    <t>Часть 3. Экономические нормативы - Ликвидность</t>
  </si>
  <si>
    <t>Укажите среднедневную сумму активов за текущий период, рассчитанную компьютерной системой действующей в банке.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</si>
  <si>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</si>
  <si>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</si>
  <si>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</si>
  <si>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</si>
  <si>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</si>
  <si>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</si>
  <si>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</si>
  <si>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</si>
  <si>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</si>
  <si>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</si>
  <si>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</si>
  <si>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</si>
  <si>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</si>
  <si>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</si>
  <si>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</si>
  <si>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</si>
  <si>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</si>
  <si>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</si>
  <si>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</si>
  <si>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</si>
  <si>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</si>
  <si>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</si>
  <si>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</si>
  <si>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</si>
  <si>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</si>
  <si>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</si>
  <si>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</si>
  <si>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</si>
  <si>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</si>
  <si>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</si>
  <si>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</si>
  <si>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</si>
  <si>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</si>
  <si>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</si>
  <si>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</si>
  <si>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</si>
  <si>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</si>
  <si>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</si>
  <si>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</si>
  <si>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</si>
  <si>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</si>
  <si>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</si>
  <si>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</si>
  <si>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</si>
  <si>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</si>
  <si>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</si>
  <si>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</si>
  <si>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</si>
  <si>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</si>
  <si>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</si>
  <si>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</si>
  <si>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</si>
  <si>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</si>
  <si>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</si>
  <si>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</si>
  <si>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</si>
  <si>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</si>
  <si>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</si>
  <si>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</si>
  <si>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</si>
  <si>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</si>
  <si>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</si>
  <si>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</si>
  <si>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</si>
  <si>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</si>
  <si>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</si>
  <si>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</si>
  <si>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</si>
  <si>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</si>
  <si>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</si>
  <si>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</si>
  <si>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</si>
  <si>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</si>
  <si>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</si>
  <si>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</si>
  <si>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</si>
  <si>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</si>
  <si>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</si>
  <si>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</si>
  <si>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Коэффициент текущей ликвидности (Н4)</t>
  </si>
  <si>
    <t>Ликвидные активы и активы 
со сроком погашения до 30 дней</t>
  </si>
  <si>
    <t>Обязательства до востребования и со сроком погашения до 30 дней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</si>
  <si>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</si>
  <si>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</si>
  <si>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</si>
  <si>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</si>
  <si>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</si>
  <si>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</si>
  <si>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</si>
  <si>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</si>
  <si>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</si>
  <si>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</si>
  <si>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</si>
  <si>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</si>
  <si>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              Нормативы показателей по операциям со связанными лицами (инсайдерами)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</si>
  <si>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</si>
  <si>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</si>
  <si>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</si>
  <si>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</si>
  <si>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</si>
  <si>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</si>
  <si>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</si>
  <si>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</si>
  <si>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</si>
  <si>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</si>
  <si>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</si>
  <si>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</si>
  <si>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</si>
  <si>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</si>
  <si>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</si>
  <si>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</si>
  <si>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</si>
  <si>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</si>
  <si>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</si>
  <si>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</si>
  <si>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</si>
  <si>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</si>
  <si>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</si>
  <si>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</si>
  <si>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</si>
  <si>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</si>
  <si>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</si>
  <si>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</si>
  <si>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</si>
  <si>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</si>
  <si>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</si>
  <si>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</si>
  <si>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</si>
  <si>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</si>
  <si>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</si>
  <si>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</si>
  <si>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</si>
  <si>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</si>
  <si>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</si>
  <si>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</si>
  <si>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</si>
  <si>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</si>
  <si>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</si>
  <si>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</si>
  <si>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</si>
  <si>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</si>
  <si>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</si>
  <si>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</si>
  <si>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</si>
  <si>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</si>
  <si>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</si>
  <si>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</si>
  <si>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</si>
  <si>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</si>
  <si>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</si>
  <si>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</si>
  <si>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</si>
  <si>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</si>
  <si>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</si>
  <si>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</si>
  <si>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</si>
  <si>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</si>
  <si>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</si>
  <si>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</si>
  <si>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</si>
  <si>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</si>
  <si>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</si>
  <si>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</si>
  <si>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</si>
  <si>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</si>
  <si>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</si>
  <si>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</si>
  <si>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</si>
  <si>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</si>
  <si>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</si>
  <si>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</si>
  <si>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</si>
  <si>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</si>
  <si>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</si>
  <si>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</si>
  <si>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</si>
  <si>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</si>
  <si>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</si>
  <si>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</si>
  <si>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</si>
  <si>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</si>
  <si>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</si>
  <si>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</si>
  <si>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</si>
  <si>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</si>
  <si>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</si>
  <si>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</si>
  <si>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</si>
  <si>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</si>
  <si>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</si>
  <si>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</si>
  <si>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</si>
  <si>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</si>
  <si>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</si>
  <si>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</si>
  <si>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</si>
  <si>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</si>
  <si>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</si>
  <si>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</si>
  <si>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</si>
  <si>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</si>
  <si>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</si>
  <si>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</si>
  <si>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8. 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</si>
  <si>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</si>
  <si>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</si>
  <si>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</si>
  <si>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</si>
  <si>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</si>
  <si>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</si>
  <si>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</si>
  <si>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</si>
  <si>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</si>
  <si>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</si>
  <si>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</si>
  <si>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</si>
  <si>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</si>
  <si>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</si>
  <si>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</si>
  <si>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</si>
  <si>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</si>
  <si>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</si>
  <si>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</si>
  <si>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</si>
  <si>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</si>
  <si>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</si>
  <si>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</si>
  <si>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</si>
  <si>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</si>
  <si>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</si>
  <si>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</si>
  <si>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</si>
  <si>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</si>
  <si>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</si>
  <si>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</si>
  <si>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</si>
  <si>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</si>
  <si>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</si>
  <si>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</si>
  <si>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</si>
  <si>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</si>
  <si>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</si>
  <si>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</si>
  <si>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</si>
  <si>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</si>
  <si>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</si>
  <si>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</si>
  <si>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</si>
  <si>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</si>
  <si>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</si>
  <si>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</si>
  <si>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</si>
  <si>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</si>
  <si>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</si>
  <si>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</si>
  <si>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</si>
  <si>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</si>
  <si>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</si>
  <si>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</si>
  <si>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</si>
  <si>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</si>
  <si>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</si>
  <si>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</si>
  <si>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</si>
  <si>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</si>
  <si>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</si>
  <si>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</si>
  <si>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</si>
  <si>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</si>
  <si>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</si>
  <si>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</si>
  <si>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</si>
  <si>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</si>
  <si>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</si>
  <si>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</si>
  <si>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</si>
  <si>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</si>
  <si>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</si>
  <si>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</si>
  <si>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</si>
  <si>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</si>
  <si>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</si>
  <si>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</si>
  <si>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</si>
  <si>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</si>
  <si>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</si>
  <si>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</si>
  <si>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</si>
  <si>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</si>
  <si>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</si>
  <si>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</si>
  <si>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</si>
  <si>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</si>
  <si>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</si>
  <si>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</si>
  <si>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</si>
  <si>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</si>
  <si>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</si>
  <si>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</si>
  <si>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</si>
  <si>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</si>
  <si>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</si>
  <si>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</si>
  <si>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</si>
  <si>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</si>
  <si>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</si>
  <si>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</si>
  <si>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</si>
  <si>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</si>
  <si>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</si>
  <si>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</si>
  <si>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</si>
  <si>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</si>
  <si>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</si>
  <si>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</si>
  <si>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</si>
  <si>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</si>
  <si>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</si>
  <si>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</si>
  <si>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</si>
  <si>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</si>
  <si>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</si>
  <si>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</si>
  <si>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</si>
  <si>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</si>
  <si>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</si>
  <si>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</si>
  <si>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</si>
  <si>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</si>
  <si>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</si>
  <si>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</si>
  <si>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</si>
  <si>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</si>
  <si>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</si>
  <si>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</si>
  <si>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</si>
  <si>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</si>
  <si>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</si>
  <si>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</si>
  <si>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</si>
  <si>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</si>
  <si>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</si>
  <si>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</si>
  <si>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</si>
  <si>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</si>
  <si>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</si>
  <si>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</si>
  <si>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</si>
  <si>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</si>
  <si>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</si>
  <si>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</si>
  <si>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</si>
  <si>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</si>
  <si>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</si>
  <si>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</si>
  <si>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</si>
  <si>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</si>
  <si>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</si>
  <si>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</si>
  <si>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</si>
  <si>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</si>
  <si>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</si>
  <si>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</si>
  <si>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</si>
  <si>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</si>
  <si>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</si>
  <si>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</si>
  <si>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</si>
  <si>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</si>
  <si>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</si>
  <si>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</si>
  <si>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</si>
  <si>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</si>
  <si>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</si>
  <si>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</si>
  <si>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</si>
  <si>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</si>
  <si>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</si>
  <si>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</si>
  <si>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</si>
  <si>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</si>
  <si>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</si>
  <si>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</si>
  <si>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</si>
  <si>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</si>
  <si>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</si>
  <si>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</si>
  <si>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</si>
  <si>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</si>
  <si>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</si>
  <si>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Ценные бумаги, выпущенные банками стран, с низким уровнем риска 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</si>
  <si>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</si>
  <si>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</si>
  <si>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</si>
  <si>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</si>
  <si>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</si>
  <si>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</si>
  <si>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</si>
  <si>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</si>
  <si>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</si>
  <si>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</si>
  <si>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</si>
  <si>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</si>
  <si>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</si>
  <si>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</si>
  <si>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</si>
  <si>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</si>
  <si>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</si>
  <si>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</si>
  <si>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</si>
  <si>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</si>
  <si>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</si>
  <si>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</si>
  <si>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</si>
  <si>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</si>
  <si>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</si>
  <si>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</si>
  <si>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</si>
  <si>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</si>
  <si>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</si>
  <si>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</si>
  <si>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</si>
  <si>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</si>
  <si>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</si>
  <si>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</si>
  <si>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</si>
  <si>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</si>
  <si>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</si>
  <si>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</si>
  <si>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</si>
  <si>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</si>
  <si>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</si>
  <si>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</si>
  <si>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</si>
  <si>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</si>
  <si>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</si>
  <si>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</si>
  <si>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</si>
  <si>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</si>
  <si>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</si>
  <si>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</si>
  <si>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</si>
  <si>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</si>
  <si>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</si>
  <si>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</si>
  <si>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</si>
  <si>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</si>
  <si>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</si>
  <si>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</si>
  <si>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</si>
  <si>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</si>
  <si>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</si>
  <si>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</si>
  <si>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</si>
  <si>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</si>
  <si>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</si>
  <si>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</si>
  <si>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</si>
  <si>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</si>
  <si>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</si>
  <si>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</si>
  <si>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</si>
  <si>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</si>
  <si>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Таблица-11</t>
  </si>
  <si>
    <t>ИНН</t>
  </si>
  <si>
    <t>Вид деятельности</t>
  </si>
  <si>
    <t xml:space="preserve">Код валюты </t>
  </si>
  <si>
    <t>Кредиты и лизинги</t>
  </si>
  <si>
    <t>Инвестиции</t>
  </si>
  <si>
    <t>Гарантии</t>
  </si>
  <si>
    <t>Сумма залога</t>
  </si>
  <si>
    <t>Резерв</t>
  </si>
  <si>
    <t>САМЫЙ КРУПНЫЙ АКТИВ, ВЫДАННЫЙ БАНКОМ ОДНОМУ ИНСАЙДЕРУ</t>
  </si>
  <si>
    <t xml:space="preserve">1.  </t>
  </si>
  <si>
    <t xml:space="preserve">7.  </t>
  </si>
  <si>
    <t>Занимался ли банк новой финансовой деятельностью в течение месяца?</t>
  </si>
  <si>
    <t>Численность работников банка по штатному расписанию</t>
  </si>
  <si>
    <t>Фактическая численность работников банка</t>
  </si>
  <si>
    <t>е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</si>
  <si>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</si>
  <si>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</si>
  <si>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</si>
  <si>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</si>
  <si>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</si>
  <si>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</si>
  <si>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</si>
  <si>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</si>
  <si>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</si>
  <si>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Назначал ли банк новых администраторов (начальников, директоров, 
членов аудиторского комитета) в течение месяца?</t>
  </si>
  <si>
    <t>Покупали ли физические или юридические лица или группы физических или юридических лиц новые или дополнительные акции, тем самым повлияв на долю владения собственностью учреждения на 5% и более?</t>
  </si>
  <si>
    <t xml:space="preserve">Приобретал ли  банк долевое участие в каких-либо финансовых учреждениях или компаниях в течение месяца?  </t>
  </si>
  <si>
    <t>Коэффициент достаточности основного Капитала Уровня 1</t>
  </si>
  <si>
    <t>Основной капитал Уровня I</t>
  </si>
  <si>
    <t>Максимальный размер риска на одного заемщика или группу взаимосвязанных заемщиков,Обеспеченные активами</t>
  </si>
  <si>
    <t>Максимальный размер риска на одного заемщика или группу взаимосвязанных заемщиков, Необеспеченные активы</t>
  </si>
  <si>
    <t>Максимальный размер риска для всех крупных активов</t>
  </si>
  <si>
    <t>Совокупная сумма крупных активов</t>
  </si>
  <si>
    <t>Совокупная сумма  активов предоставленых банком всем инсайдерам</t>
  </si>
  <si>
    <t xml:space="preserve">Сумма выданным активам одному инсайдеру или группе связанных лиц, Обеспеченный активом </t>
  </si>
  <si>
    <t>Совокупная сумма  активов выданных инсайдерам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</si>
  <si>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</si>
  <si>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</si>
  <si>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</si>
  <si>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</si>
  <si>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</si>
  <si>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</si>
  <si>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</si>
  <si>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</si>
  <si>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</si>
  <si>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</si>
  <si>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</si>
  <si>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</si>
  <si>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</si>
  <si>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</si>
  <si>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</si>
  <si>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</si>
  <si>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</si>
  <si>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</si>
  <si>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</si>
  <si>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</si>
  <si>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</si>
  <si>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</si>
  <si>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</si>
  <si>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</si>
  <si>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</si>
  <si>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</si>
  <si>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</si>
  <si>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</si>
  <si>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</si>
  <si>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</si>
  <si>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</si>
  <si>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</si>
  <si>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</si>
  <si>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</si>
  <si>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</si>
  <si>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</si>
  <si>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</si>
  <si>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</si>
  <si>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</si>
  <si>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</si>
  <si>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</si>
  <si>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</si>
  <si>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</si>
  <si>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</si>
  <si>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</si>
  <si>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</si>
  <si>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</si>
  <si>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</si>
  <si>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</si>
  <si>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</si>
  <si>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</si>
  <si>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</si>
  <si>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</si>
  <si>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</si>
  <si>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</si>
  <si>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</si>
  <si>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</si>
  <si>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</si>
  <si>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Плюс: Кредиты и лизинги со сроком погашения 30 дней или менее</t>
  </si>
  <si>
    <t>Минус: Просроченные, неблагоприятно классифицированные, неначисляемые, пролонгированные, или реструктуризированные кредиты и лизинги, включенные в строку 8.</t>
  </si>
  <si>
    <t>Текущие Активы</t>
  </si>
  <si>
    <t xml:space="preserve">2.1. </t>
  </si>
  <si>
    <t xml:space="preserve">2.1.1. </t>
  </si>
  <si>
    <t xml:space="preserve">2.2. </t>
  </si>
  <si>
    <t xml:space="preserve">2.2.1. </t>
  </si>
  <si>
    <t xml:space="preserve">4.1. </t>
  </si>
  <si>
    <t xml:space="preserve">4.1.1. </t>
  </si>
  <si>
    <t xml:space="preserve">4.1.2. </t>
  </si>
  <si>
    <t xml:space="preserve">4.2. </t>
  </si>
  <si>
    <t xml:space="preserve">4.3. </t>
  </si>
  <si>
    <t xml:space="preserve">4.3.1. </t>
  </si>
  <si>
    <t xml:space="preserve">4.3.2. </t>
  </si>
  <si>
    <t xml:space="preserve">4.3.3. </t>
  </si>
  <si>
    <t xml:space="preserve">4.3.4. </t>
  </si>
  <si>
    <t xml:space="preserve">4.4. </t>
  </si>
  <si>
    <t xml:space="preserve">4.4.1. </t>
  </si>
  <si>
    <t xml:space="preserve">4.4.2. </t>
  </si>
  <si>
    <t xml:space="preserve">4.4.3. </t>
  </si>
  <si>
    <t xml:space="preserve">4.4.4. </t>
  </si>
  <si>
    <t xml:space="preserve">4.4.5. </t>
  </si>
  <si>
    <t xml:space="preserve">4.4.6. </t>
  </si>
  <si>
    <t>Коэффициент наличности</t>
  </si>
  <si>
    <t>Итого кассы разделить на</t>
  </si>
  <si>
    <t>Коэффициент ликвидности</t>
  </si>
  <si>
    <t>Итого ликвидных активов разделить на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</si>
  <si>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</si>
  <si>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</si>
  <si>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</si>
  <si>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</si>
  <si>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Кредиты и лизинги и авансы в процессе судебного разбирательства, чистые или не взысканные в установленном порядке</t>
  </si>
  <si>
    <t>30% других активов менее 1 го года (за исключением бессрочных и со сроком менее 1 го года ликвидных активов)</t>
  </si>
  <si>
    <t>Расчет коэффициента текущей ликвидности (Н4)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</si>
  <si>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</si>
  <si>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</si>
  <si>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</si>
  <si>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</si>
  <si>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>Обеспечения</t>
  </si>
  <si>
    <t>Вид залога</t>
  </si>
  <si>
    <t>Е1</t>
  </si>
  <si>
    <t>Е2</t>
  </si>
  <si>
    <t>Е3</t>
  </si>
  <si>
    <t>Е4</t>
  </si>
  <si>
    <t>Е5</t>
  </si>
  <si>
    <t>Таблица-12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</si>
  <si>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</si>
  <si>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</si>
  <si>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</si>
  <si>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</si>
  <si>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</si>
  <si>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</si>
  <si>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</si>
  <si>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</si>
  <si>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</si>
  <si>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</si>
  <si>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</si>
  <si>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</si>
  <si>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</si>
  <si>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</si>
  <si>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</si>
  <si>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</si>
  <si>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</si>
  <si>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</si>
  <si>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</si>
  <si>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</si>
  <si>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</si>
  <si>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</si>
  <si>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</si>
  <si>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</si>
  <si>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</si>
  <si>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</si>
  <si>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</si>
  <si>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</si>
  <si>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</si>
  <si>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</si>
  <si>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</si>
  <si>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</si>
  <si>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</si>
  <si>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</si>
  <si>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</si>
  <si>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</si>
  <si>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</si>
  <si>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</si>
  <si>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</si>
  <si>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в иностранной валюте
 (в экв. в сумах)</t>
  </si>
  <si>
    <t>из них, в иностранной валюте
 (в экв. в сумах)</t>
  </si>
  <si>
    <t>Таблица-13</t>
  </si>
  <si>
    <t xml:space="preserve">Таблица-16 </t>
  </si>
  <si>
    <t>Таблица-20</t>
  </si>
  <si>
    <t>Таблица-18</t>
  </si>
  <si>
    <t>Таблица-17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</si>
  <si>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</si>
  <si>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</si>
  <si>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</si>
  <si>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</si>
  <si>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</si>
  <si>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</si>
  <si>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</si>
  <si>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</si>
  <si>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</si>
  <si>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</si>
  <si>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</si>
  <si>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Таблица-1</t>
  </si>
  <si>
    <t>Таблица-5</t>
  </si>
  <si>
    <t>Собственный  капитал</t>
  </si>
  <si>
    <t>15% из забалансовых инструментов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</si>
  <si>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</si>
  <si>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</si>
  <si>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</si>
  <si>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</si>
  <si>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</si>
  <si>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</si>
  <si>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</si>
  <si>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</si>
  <si>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 xml:space="preserve">Таблица-6 </t>
  </si>
  <si>
    <t>Итого активов</t>
  </si>
  <si>
    <t xml:space="preserve">Другое банковское собственное имущество </t>
  </si>
  <si>
    <t>другие активы*</t>
  </si>
  <si>
    <t>*Примечание: -например беспроцентные доходы, ценные бумаги, овердрафт, средства в других банках, имущество проданное в рассрочку и т.д.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</si>
  <si>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</si>
  <si>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</si>
  <si>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</si>
  <si>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</si>
  <si>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</si>
  <si>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</si>
  <si>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</si>
  <si>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</si>
  <si>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</si>
  <si>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</si>
  <si>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</si>
  <si>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</si>
  <si>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</si>
  <si>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</si>
  <si>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</si>
  <si>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</si>
  <si>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</si>
  <si>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</si>
  <si>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</si>
  <si>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</si>
  <si>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</si>
  <si>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</si>
  <si>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</si>
  <si>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</si>
  <si>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</si>
  <si>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</si>
  <si>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</si>
  <si>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Таблица-6А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</si>
  <si>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</si>
  <si>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 xml:space="preserve">ИТОГО КРУПНЫХ АКТИВОВ </t>
  </si>
  <si>
    <t xml:space="preserve">САМЫЙ КРУПНЫЙ АКТИВ, ВЫДАННЫЙ БАНКОМ </t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</si>
  <si>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</si>
  <si>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</si>
  <si>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</si>
  <si>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</si>
  <si>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</si>
  <si>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Текущая задолженность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</si>
  <si>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</si>
  <si>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</si>
  <si>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</si>
  <si>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</si>
  <si>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ОТЧЕТ О СДЕЛКАХ, ЗАКЛЮЧЕННЫХ СО СВЯЗАННЫМИ ЛИЦАМИ</t>
  </si>
  <si>
    <t>ОТЧЕТ О CПИСАННЫХ И ВОЗВРАЩЕННЫХ ПЛАТЕЖАХ ИЗ РЕЗЕРВА ВОЗМОЖНЫХ ПОТЕРЬ ПО КРЕДИТАМ И ЛИЗИНГУ</t>
  </si>
  <si>
    <t>Показатели ликвидности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</si>
  <si>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</si>
  <si>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</si>
  <si>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Т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</si>
  <si>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</si>
  <si>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</si>
  <si>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</si>
  <si>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</si>
  <si>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</si>
  <si>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</si>
  <si>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</si>
  <si>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</si>
  <si>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из них, чистая прибыль (убыток) текущего года</t>
  </si>
  <si>
    <t>ИТОГО АКТИВОВ ПО СВЯЗАННЫМ ЛИЦАМ</t>
  </si>
  <si>
    <t xml:space="preserve">     ж. </t>
  </si>
  <si>
    <t>Сумма выданным активам одному инсайдеру или группе связанных лиц, Обеспеченные активы</t>
  </si>
  <si>
    <t>СТРУКТУРА БАЛАНСА БАНКА</t>
  </si>
  <si>
    <t>Требования банка к международным финансовым организациям, а также активы, гарантированные  этими организациями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</si>
  <si>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</si>
  <si>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</si>
  <si>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</si>
  <si>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</si>
  <si>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</si>
  <si>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</si>
  <si>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</si>
  <si>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</si>
  <si>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</si>
  <si>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</si>
  <si>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</si>
  <si>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</si>
  <si>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</si>
  <si>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 xml:space="preserve">Гарантированные кредиты международными кредитными организациями 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</si>
  <si>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</si>
  <si>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</si>
  <si>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</si>
  <si>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</si>
  <si>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</si>
  <si>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</si>
  <si>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</si>
  <si>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</si>
  <si>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</si>
  <si>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</si>
  <si>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</si>
  <si>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</si>
  <si>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</si>
  <si>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</si>
  <si>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</si>
  <si>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Активы в процессе судебного разбирательства или не взысканные в установленном порядке(не указанные в строке "4.4.3.)")</t>
  </si>
  <si>
    <t xml:space="preserve">Финансовый лизинг, чистые </t>
  </si>
  <si>
    <t>Начисляемые 
кредиты</t>
  </si>
  <si>
    <t>Долгосрочные кредиты, предоставленные негосударственным некоммерческим организациям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</si>
  <si>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</si>
  <si>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</si>
  <si>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</si>
  <si>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</si>
  <si>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</si>
  <si>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</si>
  <si>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</si>
  <si>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</si>
  <si>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</si>
  <si>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</si>
  <si>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</si>
  <si>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</si>
  <si>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</si>
  <si>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</si>
  <si>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</si>
  <si>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</si>
  <si>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</si>
  <si>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</si>
  <si>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</si>
  <si>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</si>
  <si>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Физлица</t>
  </si>
  <si>
    <t>Юрзлица</t>
  </si>
  <si>
    <t>и)</t>
  </si>
  <si>
    <t>Сроки, погашения средств</t>
  </si>
  <si>
    <t>От 1 до 7 дней</t>
  </si>
  <si>
    <t>От 8 до 30 дней</t>
  </si>
  <si>
    <t>7a.</t>
  </si>
  <si>
    <t>Кредиты, выданные юридическим лицам на покупку автомобиля</t>
  </si>
  <si>
    <t>к)</t>
  </si>
  <si>
    <t>Кредиты, выданные населению для приобретения автомобилей</t>
  </si>
  <si>
    <t>Итого (сумма строк 1, 2, 3, 4, 5, 6, 7, 8 )</t>
  </si>
  <si>
    <t>л)</t>
  </si>
  <si>
    <t>Кредиты переведённые в статус ненаращивания процентов</t>
  </si>
  <si>
    <t>Все другие кредиты (кроме лизинга)</t>
  </si>
  <si>
    <t>Нацвалюта</t>
  </si>
  <si>
    <t>Инвалюта</t>
  </si>
  <si>
    <t>51</t>
  </si>
  <si>
    <t>Отсроченная дебиторская задолженность</t>
  </si>
  <si>
    <t>Купля-продажа валюты и валютные позиции</t>
  </si>
  <si>
    <t>Таблица-17А</t>
  </si>
  <si>
    <t>Таблица-18А</t>
  </si>
  <si>
    <t>14.3.</t>
  </si>
  <si>
    <t xml:space="preserve">2.3. </t>
  </si>
  <si>
    <t>Непостоянные обязательства/ среднее активов за текущий квартал</t>
  </si>
  <si>
    <t xml:space="preserve">2.4. </t>
  </si>
  <si>
    <t>Ликвидные активы/ Непостоянные обязательства</t>
  </si>
  <si>
    <t xml:space="preserve">2.5. </t>
  </si>
  <si>
    <t>Кредиты (чистые)/ Депозиты</t>
  </si>
  <si>
    <t xml:space="preserve">2.6. </t>
  </si>
  <si>
    <t>Заложенные ценные бумаги/ Общая сумма ценных бумаг</t>
  </si>
  <si>
    <t>Сумма расхода за 30 дней
(в иностранной валюте)</t>
  </si>
  <si>
    <t>Сумма чистого расхода за 30 дней (в иностранной валюте)</t>
  </si>
  <si>
    <t xml:space="preserve">АНАЛИЗ АКТИВОВ БАНКА В НАЦИОНАЛЬНОЙ ВАЛЮТЕ </t>
  </si>
  <si>
    <t>АНАЛИЗ ОБЯЗАТЕЛЬСТВ БАНКА В НАЦИОНАЛЬНОЙ ВАЛЮТЕ</t>
  </si>
  <si>
    <t>ОТЧЕТ О КРУПНЫХ РИСКАХ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</si>
  <si>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</si>
  <si>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</si>
  <si>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</si>
  <si>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>Сумма активов 
 (в иностранной валюте)</t>
  </si>
  <si>
    <t>Высоко-ликвидные активы 
(в иностранной валюте)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</si>
  <si>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</si>
  <si>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</si>
  <si>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</si>
  <si>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</si>
  <si>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</si>
  <si>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</si>
  <si>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</si>
  <si>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</si>
  <si>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</si>
  <si>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</si>
  <si>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</si>
  <si>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</si>
  <si>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</si>
  <si>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</si>
  <si>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</si>
  <si>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</si>
  <si>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</si>
  <si>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</si>
  <si>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</si>
  <si>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</si>
  <si>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</si>
  <si>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</si>
  <si>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</si>
  <si>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</si>
  <si>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</si>
  <si>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</si>
  <si>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</si>
  <si>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</si>
  <si>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</si>
  <si>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</si>
  <si>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</si>
  <si>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</si>
  <si>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 xml:space="preserve">1.1.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</si>
  <si>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</si>
  <si>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</si>
  <si>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</si>
  <si>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</si>
  <si>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</si>
  <si>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</si>
  <si>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</si>
  <si>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</si>
  <si>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</si>
  <si>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</si>
  <si>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</si>
  <si>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</si>
  <si>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</si>
  <si>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</si>
  <si>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</si>
  <si>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</si>
  <si>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</si>
  <si>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</si>
  <si>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</si>
  <si>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</si>
  <si>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indexed="8"/>
        <rFont val="Times New Roman"/>
        <family val="1"/>
        <charset val="204"/>
      </rPr>
      <t xml:space="preserve">(льготные)
</t>
    </r>
    <r>
      <rPr>
        <sz val="14"/>
        <color indexed="8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</si>
  <si>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</si>
  <si>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</si>
  <si>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</si>
  <si>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indexed="8"/>
        <rFont val="Times New Roman"/>
        <family val="1"/>
        <charset val="204"/>
      </rPr>
      <t xml:space="preserve">(коммерческие)
</t>
    </r>
    <r>
      <rPr>
        <sz val="14"/>
        <color indexed="8"/>
        <rFont val="Times New Roman"/>
        <family val="1"/>
        <charset val="204"/>
      </rPr>
      <t>в том числе:</t>
    </r>
  </si>
  <si>
    <t>Юридические лица</t>
  </si>
  <si>
    <t>Таблица-6.1</t>
  </si>
  <si>
    <t>Таблица-6.2</t>
  </si>
  <si>
    <t>Обязательства по выдачи кредитов</t>
  </si>
  <si>
    <t>на реконструкцию недвижимого имущества</t>
  </si>
  <si>
    <t>из них на приобретения автомобиля</t>
  </si>
  <si>
    <t>Корр. счета, кредиты и другие требования к банкам</t>
  </si>
  <si>
    <t>в том числе, обеспеченные депозитами</t>
  </si>
  <si>
    <t>РАСЧЕТ ПРУДЕНЦИАЛЬНЫХ НОРМАТИВОВ</t>
  </si>
  <si>
    <t>в том числе, за счет кредитных линий (с особыми условиями)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</si>
  <si>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</si>
  <si>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</si>
  <si>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</si>
  <si>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</si>
  <si>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</si>
  <si>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</si>
  <si>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</si>
  <si>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</si>
  <si>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</si>
  <si>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</si>
  <si>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Микрозаймы (все нецелевые кредиты)</t>
  </si>
  <si>
    <t>Информация о структуре кредитного портфеля</t>
  </si>
  <si>
    <t xml:space="preserve">  д.</t>
  </si>
  <si>
    <t>90908-90958</t>
  </si>
  <si>
    <t>181</t>
  </si>
  <si>
    <t>Фитч рейтинг</t>
  </si>
  <si>
    <t>ВВ-</t>
  </si>
  <si>
    <t>11-Собственные</t>
  </si>
  <si>
    <t>Исматуллоев Акрам Акмалович</t>
  </si>
  <si>
    <t>AA5013105</t>
  </si>
  <si>
    <t>000</t>
  </si>
  <si>
    <t>Гуччиев Илхом Турсункулович</t>
  </si>
  <si>
    <t>CT1907643</t>
  </si>
  <si>
    <t>Пулатова Муниса Тоировна</t>
  </si>
  <si>
    <t>AA1343647</t>
  </si>
  <si>
    <t>Умаров Сарвар Салахиддинович</t>
  </si>
  <si>
    <t>AB5528260</t>
  </si>
  <si>
    <t>Ахмаджонов Абдулазиз Абдусатторович</t>
  </si>
  <si>
    <t>AA1266275</t>
  </si>
  <si>
    <t>Тогаев Даврон Дусмамат уғли</t>
  </si>
  <si>
    <t>CT1881274</t>
  </si>
  <si>
    <t>Саматов Юнус Уралович</t>
  </si>
  <si>
    <t>CS0384112</t>
  </si>
  <si>
    <t>Каримкулов Хикматулло</t>
  </si>
  <si>
    <t>BG0108618</t>
  </si>
  <si>
    <t>Саксонов Азизбек Нурбобоевич</t>
  </si>
  <si>
    <t>CE2612031</t>
  </si>
  <si>
    <t>Бабаджанов Шухрат Адилбекович</t>
  </si>
  <si>
    <t>AA1901433</t>
  </si>
  <si>
    <t>Бегматов Бобур Яхшиевич</t>
  </si>
  <si>
    <t>CN2398457</t>
  </si>
  <si>
    <t>Муминов Юсуп Машарипович</t>
  </si>
  <si>
    <t>CE2162465</t>
  </si>
  <si>
    <t>Жалолов Бегзод Кодиркулович</t>
  </si>
  <si>
    <t>CT2349128</t>
  </si>
  <si>
    <t>Мирзанов Толиб Исломович</t>
  </si>
  <si>
    <t>CT0670437</t>
  </si>
  <si>
    <t>Артиков Рустам Таджимович</t>
  </si>
  <si>
    <t>AA5731093</t>
  </si>
  <si>
    <t>Саидова Ноила Абдусаттаровна</t>
  </si>
  <si>
    <t>CT2253236</t>
  </si>
  <si>
    <t>Абдурахмонов Ахрор Акбаралиевич</t>
  </si>
  <si>
    <t>CB1588836</t>
  </si>
  <si>
    <t>Норбаев Жавохир Баходир угли</t>
  </si>
  <si>
    <t>AB3331433</t>
  </si>
  <si>
    <t>Раманов Темур Худайназарович</t>
  </si>
  <si>
    <t>AB0414336</t>
  </si>
  <si>
    <t>Джумабаев Рахмонали Умаралиевич</t>
  </si>
  <si>
    <t>AA0807312</t>
  </si>
  <si>
    <t>Мардиева Дилдор Усаровна</t>
  </si>
  <si>
    <t>AA1607631</t>
  </si>
  <si>
    <t>Хасанов Жамшид Рустамжанович</t>
  </si>
  <si>
    <t>CH1484515</t>
  </si>
  <si>
    <t>Холмуминов Фаррух Абдирахмонович</t>
  </si>
  <si>
    <t>AA2429180</t>
  </si>
  <si>
    <t>Ашуров Равшан Эркинбоевич</t>
  </si>
  <si>
    <t>AA2207863</t>
  </si>
  <si>
    <t>Авазов Дилшод Уразбаевич</t>
  </si>
  <si>
    <t>AA2615008</t>
  </si>
  <si>
    <t>Кодиров Акмал Уккибоевич</t>
  </si>
  <si>
    <t>AA1515434</t>
  </si>
  <si>
    <t>Паннаев Бобур Бекпулатович</t>
  </si>
  <si>
    <t>AA6432623</t>
  </si>
  <si>
    <t>Худойберганова Сайёра Уткировна</t>
  </si>
  <si>
    <t>AA1356913</t>
  </si>
  <si>
    <t>Эрдонаев Олим Тожиевич</t>
  </si>
  <si>
    <t>CS1661937</t>
  </si>
  <si>
    <t>Хайриев Улмас Фармонович</t>
  </si>
  <si>
    <t>CR6549874</t>
  </si>
  <si>
    <t>Кушназаров Акбар Нарханович</t>
  </si>
  <si>
    <t>AA1814951</t>
  </si>
  <si>
    <t xml:space="preserve">Все остальные физические лица (197 человек) </t>
  </si>
  <si>
    <t>АКБ "Микрокредитбанк"</t>
  </si>
  <si>
    <t>ИП ООО "EPSILON DEVELOPMENT COMPANY"</t>
  </si>
  <si>
    <t>ООО "SESAME"</t>
  </si>
  <si>
    <t>нефт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</si>
</sst>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\-##########"/>
    <numFmt numFmtId="170" formatCode="0.000"/>
    <numFmt numFmtId="171" formatCode="_-* #,##0_р_._-;\-* #,##0_р_._-;_-* &quot;-&quot;??_р_._-;_-@_-"/>
    <numFmt numFmtId="172" formatCode="dd/mm/yy;@"/>
    <numFmt numFmtId="173" formatCode="[$-F800]dddd\,\ mmmm\ dd\,\ yyyy"/>
    <numFmt numFmtId="174" formatCode="0.0%"/>
    <numFmt numFmtId="175" formatCode="#,##0_ ;\-#,##0\ "/>
    <numFmt numFmtId="176" formatCode="#,##0.0"/>
    <numFmt numFmtId="177" formatCode="\$#.00"/>
    <numFmt numFmtId="178" formatCode="#"/>
    <numFmt numFmtId="179" formatCode="%#.00"/>
    <numFmt numFmtId="180" formatCode="#.00"/>
    <numFmt numFmtId="181" formatCode="_(* #,##0.00_);_(* \(#,##0.00\);_(* &quot;-&quot;??_);_(@_)"/>
    <numFmt numFmtId="182" formatCode="#,##0&quot; &quot;;\-#,##0&quot; &quot;"/>
    <numFmt numFmtId="183" formatCode="_-* #,##0.00_ _-;\-* #,##0.00_ _-;_-* &quot;-&quot;??_ _-;_-@_-"/>
    <numFmt numFmtId="184" formatCode="#&quot; &quot;##0&quot; &quot;;\-#&quot; &quot;##0&quot; &quot;"/>
    <numFmt numFmtId="185" formatCode="_-* #,##0.00\ _с_ў_м_-;\-* #,##0.00\ _с_ў_м_-;_-* &quot;-&quot;??\ _с_ў_м_-;_-@_-"/>
    <numFmt numFmtId="186" formatCode="###\ ###\ ###\ ###\ ###\ ###\ ##0.00"/>
  </numFmts>
  <fonts count="171"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0"/>
      <color indexed="22"/>
      <name val="Arial Cyr"/>
      <family val="2"/>
      <charset val="204"/>
    </font>
    <font>
      <b/>
      <sz val="13"/>
      <name val="Arial Cyr"/>
      <family val="2"/>
      <charset val="204"/>
    </font>
    <font>
      <b/>
      <sz val="11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b/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b/>
      <sz val="7"/>
      <name val="Arial Cyr"/>
      <family val="2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4"/>
      <color indexed="8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12"/>
      <name val="Journal Uzbek"/>
      <family val="2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0"/>
      <color indexed="22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00FF"/>
      <name val="Arial Cyr"/>
      <family val="2"/>
      <charset val="204"/>
    </font>
    <font>
      <b/>
      <sz val="10"/>
      <color rgb="FFFF00FF"/>
      <name val="Arial Cyr"/>
      <family val="2"/>
      <charset val="204"/>
    </font>
    <font>
      <sz val="10"/>
      <color rgb="FFFF00FF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0"/>
      <color rgb="FF7030A0"/>
      <name val="Times New Roman"/>
      <family val="1"/>
    </font>
    <font>
      <sz val="10"/>
      <color theme="0" tint="-0.14999847407452621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sz val="11"/>
      <color theme="0" tint="-0.34998626667073579"/>
      <name val="Virtec Times New Roman Uz"/>
      <family val="1"/>
      <charset val="204"/>
    </font>
    <font>
      <b/>
      <sz val="11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CC00CC"/>
      <name val="Arial Cyr"/>
      <family val="2"/>
      <charset val="204"/>
    </font>
    <font>
      <sz val="8"/>
      <color rgb="FFCC00CC"/>
      <name val="Arial Cyr"/>
      <family val="2"/>
      <charset val="204"/>
    </font>
    <font>
      <sz val="10"/>
      <color rgb="FF7030A0"/>
      <name val="Times New Roman Cyr"/>
      <charset val="204"/>
    </font>
    <font>
      <sz val="10"/>
      <color rgb="FF000000"/>
      <name val="Times New Roman"/>
      <family val="1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i/>
      <sz val="12"/>
      <color rgb="FF000000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9"/>
      <color theme="0" tint="-0.34998626667073579"/>
      <name val="Arial Cyr"/>
      <family val="2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2"/>
      <color theme="1"/>
      <name val="Times New Roman"/>
      <family val="1"/>
      <charset val="204"/>
    </font>
    <font>
      <sz val="10"/>
      <color rgb="FFFF0000"/>
      <name val="Times New Roman Cyr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0"/>
      <color theme="0" tint="-0.499984740745262"/>
      <name val="Arial Cyr"/>
      <charset val="204"/>
    </font>
    <font>
      <sz val="9"/>
      <color rgb="FF7030A0"/>
      <name val="Arial Cyr"/>
      <family val="2"/>
      <charset val="204"/>
    </font>
    <font>
      <sz val="10"/>
      <color rgb="FF7030A0"/>
      <name val="Arial Cyr"/>
      <family val="2"/>
      <charset val="204"/>
    </font>
    <font>
      <sz val="12"/>
      <color rgb="FF0070C0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sz val="10"/>
      <color rgb="FFC00000"/>
      <name val="Arial Cyr"/>
      <family val="2"/>
      <charset val="204"/>
    </font>
    <font>
      <sz val="11"/>
      <color theme="0" tint="-0.34998626667073579"/>
      <name val="Arial Cyr"/>
      <family val="2"/>
      <charset val="204"/>
    </font>
    <font>
      <sz val="10"/>
      <color rgb="FFFF0000"/>
      <name val="Times New Roman"/>
      <family val="1"/>
      <charset val="204"/>
    </font>
    <font>
      <b/>
      <sz val="10"/>
      <color theme="0" tint="-0.34998626667073579"/>
      <name val="Arial Cyr"/>
      <family val="2"/>
      <charset val="204"/>
    </font>
    <font>
      <b/>
      <sz val="10"/>
      <color theme="0" tint="-0.34998626667073579"/>
      <name val="Times New Roman"/>
      <family val="1"/>
      <charset val="204"/>
    </font>
    <font>
      <b/>
      <sz val="12"/>
      <color theme="0" tint="-0.499984740745262"/>
      <name val="Arial Cyr"/>
      <family val="2"/>
      <charset val="204"/>
    </font>
    <font>
      <b/>
      <sz val="20"/>
      <color rgb="FFFF0000"/>
      <name val="Arial Cyr"/>
      <charset val="204"/>
    </font>
    <font>
      <sz val="11"/>
      <color rgb="FF7030A0"/>
      <name val="Arial Cyr"/>
      <family val="2"/>
      <charset val="204"/>
    </font>
    <font>
      <b/>
      <sz val="10"/>
      <color rgb="FF7030A0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4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2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b/>
      <sz val="11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1"/>
      <color theme="1"/>
      <name val="Arial Cyr"/>
      <charset val="204"/>
    </font>
    <font>
      <sz val="10"/>
      <color theme="0"/>
      <name val="Arial Cyr"/>
      <family val="2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8"/>
      <color rgb="FFFF0000"/>
      <name val="Arial Cyr"/>
      <family val="2"/>
      <charset val="204"/>
    </font>
    <font>
      <sz val="14"/>
      <color theme="0" tint="-0.34998626667073579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10"/>
      <color theme="0" tint="-0.499984740745262"/>
      <name val="Times New Roman"/>
      <family val="1"/>
      <charset val="204"/>
    </font>
    <font>
      <sz val="9"/>
      <color rgb="FFFF0000"/>
      <name val="Arial Cyr"/>
      <family val="2"/>
      <charset val="204"/>
    </font>
    <font>
      <sz val="10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14"/>
      <color rgb="FF7030A0"/>
      <name val="Times New Roman"/>
      <family val="1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gray125">
        <b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27">
    <xf numFmtId="0" fontId="0" fillId="0" borderId="0"/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5" fillId="0" borderId="1">
      <protection locked="0"/>
    </xf>
    <xf numFmtId="177" fontId="67" fillId="0" borderId="0">
      <protection locked="0"/>
    </xf>
    <xf numFmtId="178" fontId="67" fillId="0" borderId="1">
      <protection locked="0"/>
    </xf>
    <xf numFmtId="179" fontId="67" fillId="0" borderId="0">
      <protection locked="0"/>
    </xf>
    <xf numFmtId="4" fontId="67" fillId="0" borderId="0">
      <protection locked="0"/>
    </xf>
    <xf numFmtId="180" fontId="67" fillId="0" borderId="0">
      <protection locked="0"/>
    </xf>
    <xf numFmtId="178" fontId="68" fillId="0" borderId="0">
      <protection locked="0"/>
    </xf>
    <xf numFmtId="178" fontId="69" fillId="0" borderId="0">
      <protection locked="0"/>
    </xf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8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9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0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1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2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70" fillId="0" borderId="2">
      <alignment horizontal="center"/>
    </xf>
    <xf numFmtId="166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0" fontId="71" fillId="0" borderId="0"/>
    <xf numFmtId="0" fontId="41" fillId="0" borderId="0"/>
    <xf numFmtId="9" fontId="4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3" fillId="0" borderId="0"/>
    <xf numFmtId="0" fontId="81" fillId="0" borderId="0"/>
    <xf numFmtId="0" fontId="8" fillId="0" borderId="0"/>
    <xf numFmtId="0" fontId="81" fillId="0" borderId="0"/>
    <xf numFmtId="0" fontId="81" fillId="0" borderId="0"/>
    <xf numFmtId="0" fontId="44" fillId="0" borderId="0"/>
    <xf numFmtId="0" fontId="81" fillId="0" borderId="0"/>
    <xf numFmtId="0" fontId="81" fillId="0" borderId="0"/>
    <xf numFmtId="0" fontId="8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44" fillId="0" borderId="0"/>
    <xf numFmtId="0" fontId="81" fillId="0" borderId="0"/>
    <xf numFmtId="0" fontId="81" fillId="0" borderId="0"/>
    <xf numFmtId="0" fontId="81" fillId="0" borderId="0"/>
    <xf numFmtId="0" fontId="44" fillId="0" borderId="0"/>
    <xf numFmtId="0" fontId="8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1" fillId="0" borderId="0"/>
    <xf numFmtId="0" fontId="83" fillId="0" borderId="0"/>
    <xf numFmtId="0" fontId="81" fillId="0" borderId="0"/>
    <xf numFmtId="0" fontId="83" fillId="0" borderId="0"/>
    <xf numFmtId="0" fontId="8" fillId="0" borderId="0"/>
    <xf numFmtId="0" fontId="8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1" fillId="0" borderId="0"/>
    <xf numFmtId="0" fontId="84" fillId="0" borderId="0"/>
    <xf numFmtId="0" fontId="81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3" fillId="0" borderId="0"/>
    <xf numFmtId="0" fontId="72" fillId="0" borderId="0"/>
    <xf numFmtId="0" fontId="81" fillId="0" borderId="0"/>
    <xf numFmtId="0" fontId="81" fillId="0" borderId="0"/>
    <xf numFmtId="0" fontId="84" fillId="0" borderId="0"/>
    <xf numFmtId="0" fontId="81" fillId="0" borderId="0"/>
    <xf numFmtId="0" fontId="83" fillId="0" borderId="0"/>
    <xf numFmtId="0" fontId="73" fillId="0" borderId="0"/>
    <xf numFmtId="0" fontId="7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1" fillId="0" borderId="0"/>
    <xf numFmtId="0" fontId="84" fillId="0" borderId="0"/>
    <xf numFmtId="0" fontId="83" fillId="0" borderId="0"/>
    <xf numFmtId="0" fontId="81" fillId="0" borderId="0"/>
    <xf numFmtId="0" fontId="8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4" fillId="0" borderId="0"/>
    <xf numFmtId="0" fontId="41" fillId="0" borderId="0"/>
    <xf numFmtId="0" fontId="83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1" fillId="0" borderId="0"/>
    <xf numFmtId="0" fontId="72" fillId="0" borderId="0"/>
    <xf numFmtId="0" fontId="81" fillId="0" borderId="0"/>
    <xf numFmtId="0" fontId="83" fillId="0" borderId="0"/>
    <xf numFmtId="0" fontId="7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2" fillId="0" borderId="0"/>
    <xf numFmtId="0" fontId="83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74" fillId="0" borderId="0"/>
    <xf numFmtId="0" fontId="81" fillId="0" borderId="0"/>
    <xf numFmtId="0" fontId="8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1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7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4" fillId="0" borderId="0"/>
    <xf numFmtId="0" fontId="44" fillId="0" borderId="0"/>
    <xf numFmtId="0" fontId="44" fillId="0" borderId="0"/>
    <xf numFmtId="0" fontId="72" fillId="0" borderId="0"/>
    <xf numFmtId="0" fontId="81" fillId="0" borderId="0"/>
    <xf numFmtId="0" fontId="81" fillId="0" borderId="0"/>
    <xf numFmtId="0" fontId="81" fillId="0" borderId="0"/>
    <xf numFmtId="0" fontId="44" fillId="0" borderId="0"/>
    <xf numFmtId="0" fontId="41" fillId="0" borderId="0"/>
    <xf numFmtId="0" fontId="1" fillId="0" borderId="0"/>
    <xf numFmtId="0" fontId="44" fillId="0" borderId="0"/>
    <xf numFmtId="0" fontId="81" fillId="0" borderId="0"/>
    <xf numFmtId="0" fontId="44" fillId="0" borderId="0"/>
    <xf numFmtId="0" fontId="4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1" fillId="0" borderId="0"/>
    <xf numFmtId="0" fontId="81" fillId="0" borderId="0"/>
    <xf numFmtId="0" fontId="81" fillId="0" borderId="0"/>
    <xf numFmtId="0" fontId="74" fillId="0" borderId="0"/>
    <xf numFmtId="0" fontId="8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8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81" fillId="0" borderId="0"/>
    <xf numFmtId="0" fontId="72" fillId="0" borderId="0"/>
    <xf numFmtId="0" fontId="83" fillId="0" borderId="0"/>
    <xf numFmtId="0" fontId="85" fillId="0" borderId="0"/>
    <xf numFmtId="0" fontId="81" fillId="0" borderId="0"/>
    <xf numFmtId="0" fontId="83" fillId="0" borderId="0"/>
    <xf numFmtId="0" fontId="81" fillId="0" borderId="0"/>
    <xf numFmtId="0" fontId="8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1" fillId="0" borderId="0"/>
    <xf numFmtId="0" fontId="83" fillId="0" borderId="0"/>
    <xf numFmtId="0" fontId="83" fillId="0" borderId="0"/>
    <xf numFmtId="0" fontId="83" fillId="0" borderId="0"/>
    <xf numFmtId="0" fontId="41" fillId="0" borderId="0" applyNumberFormat="0" applyFont="0" applyFill="0" applyBorder="0" applyAlignment="0" applyProtection="0">
      <alignment vertical="top"/>
    </xf>
    <xf numFmtId="0" fontId="44" fillId="0" borderId="0"/>
    <xf numFmtId="0" fontId="81" fillId="0" borderId="0"/>
    <xf numFmtId="0" fontId="81" fillId="0" borderId="0"/>
    <xf numFmtId="0" fontId="75" fillId="0" borderId="0"/>
    <xf numFmtId="0" fontId="41" fillId="0" borderId="0"/>
    <xf numFmtId="0" fontId="81" fillId="0" borderId="0"/>
    <xf numFmtId="0" fontId="81" fillId="0" borderId="0"/>
    <xf numFmtId="0" fontId="41" fillId="0" borderId="0"/>
    <xf numFmtId="0" fontId="81" fillId="0" borderId="0"/>
    <xf numFmtId="0" fontId="86" fillId="0" borderId="0"/>
    <xf numFmtId="0" fontId="44" fillId="0" borderId="0"/>
    <xf numFmtId="0" fontId="72" fillId="0" borderId="0"/>
    <xf numFmtId="0" fontId="83" fillId="0" borderId="0"/>
    <xf numFmtId="0" fontId="81" fillId="0" borderId="0"/>
    <xf numFmtId="0" fontId="41" fillId="0" borderId="0" applyNumberFormat="0" applyFont="0" applyFill="0" applyBorder="0" applyAlignment="0" applyProtection="0">
      <alignment vertical="top"/>
    </xf>
    <xf numFmtId="0" fontId="81" fillId="0" borderId="0"/>
    <xf numFmtId="0" fontId="83" fillId="0" borderId="0"/>
    <xf numFmtId="0" fontId="81" fillId="0" borderId="0"/>
    <xf numFmtId="0" fontId="83" fillId="0" borderId="0"/>
    <xf numFmtId="0" fontId="81" fillId="0" borderId="0"/>
    <xf numFmtId="0" fontId="83" fillId="0" borderId="0"/>
    <xf numFmtId="0" fontId="81" fillId="0" borderId="0"/>
    <xf numFmtId="0" fontId="83" fillId="0" borderId="0"/>
    <xf numFmtId="0" fontId="81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1" fillId="0" borderId="0"/>
    <xf numFmtId="0" fontId="83" fillId="0" borderId="0"/>
    <xf numFmtId="0" fontId="81" fillId="0" borderId="0"/>
    <xf numFmtId="0" fontId="83" fillId="0" borderId="0"/>
    <xf numFmtId="0" fontId="81" fillId="0" borderId="0"/>
    <xf numFmtId="0" fontId="83" fillId="0" borderId="0"/>
    <xf numFmtId="0" fontId="81" fillId="0" borderId="0"/>
    <xf numFmtId="0" fontId="83" fillId="0" borderId="0"/>
    <xf numFmtId="0" fontId="41" fillId="0" borderId="0" applyNumberFormat="0" applyFont="0" applyFill="0" applyBorder="0" applyAlignment="0" applyProtection="0">
      <alignment vertical="top"/>
    </xf>
    <xf numFmtId="0" fontId="41" fillId="0" borderId="0" applyNumberFormat="0" applyFont="0" applyFill="0" applyBorder="0" applyAlignment="0" applyProtection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3" fillId="0" borderId="0"/>
    <xf numFmtId="0" fontId="4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/>
    <xf numFmtId="0" fontId="83" fillId="0" borderId="0"/>
    <xf numFmtId="0" fontId="44" fillId="0" borderId="0"/>
    <xf numFmtId="0" fontId="83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4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" fillId="0" borderId="0"/>
    <xf numFmtId="0" fontId="81" fillId="0" borderId="0"/>
    <xf numFmtId="0" fontId="8" fillId="0" borderId="0"/>
    <xf numFmtId="0" fontId="81" fillId="0" borderId="0"/>
    <xf numFmtId="0" fontId="8" fillId="0" borderId="0"/>
    <xf numFmtId="0" fontId="81" fillId="0" borderId="0"/>
    <xf numFmtId="0" fontId="8" fillId="0" borderId="0"/>
    <xf numFmtId="0" fontId="81" fillId="0" borderId="0"/>
    <xf numFmtId="0" fontId="8" fillId="0" borderId="0"/>
    <xf numFmtId="0" fontId="81" fillId="0" borderId="0"/>
    <xf numFmtId="0" fontId="8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3" fillId="0" borderId="0"/>
    <xf numFmtId="0" fontId="72" fillId="0" borderId="0"/>
    <xf numFmtId="0" fontId="81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1" fillId="0" borderId="0"/>
    <xf numFmtId="0" fontId="83" fillId="0" borderId="0"/>
    <xf numFmtId="0" fontId="81" fillId="0" borderId="0"/>
    <xf numFmtId="0" fontId="83" fillId="0" borderId="0"/>
    <xf numFmtId="0" fontId="1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4" fillId="0" borderId="0"/>
    <xf numFmtId="0" fontId="41" fillId="0" borderId="0"/>
    <xf numFmtId="0" fontId="83" fillId="0" borderId="0"/>
    <xf numFmtId="0" fontId="83" fillId="0" borderId="0"/>
    <xf numFmtId="0" fontId="41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4" fillId="0" borderId="0"/>
    <xf numFmtId="0" fontId="83" fillId="0" borderId="0"/>
    <xf numFmtId="0" fontId="8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0" fontId="7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4" fillId="0" borderId="0"/>
    <xf numFmtId="0" fontId="83" fillId="0" borderId="0"/>
    <xf numFmtId="0" fontId="83" fillId="0" borderId="0"/>
    <xf numFmtId="0" fontId="44" fillId="0" borderId="0"/>
    <xf numFmtId="0" fontId="83" fillId="0" borderId="0"/>
    <xf numFmtId="0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74" fillId="0" borderId="0"/>
    <xf numFmtId="0" fontId="81" fillId="0" borderId="0"/>
    <xf numFmtId="0" fontId="44" fillId="0" borderId="0"/>
    <xf numFmtId="0" fontId="4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44" fillId="0" borderId="0"/>
    <xf numFmtId="0" fontId="84" fillId="0" borderId="0"/>
    <xf numFmtId="0" fontId="84" fillId="0" borderId="0"/>
    <xf numFmtId="0" fontId="44" fillId="0" borderId="0"/>
    <xf numFmtId="0" fontId="84" fillId="0" borderId="0"/>
    <xf numFmtId="0" fontId="84" fillId="0" borderId="0"/>
    <xf numFmtId="0" fontId="44" fillId="0" borderId="0"/>
    <xf numFmtId="0" fontId="44" fillId="0" borderId="0"/>
    <xf numFmtId="0" fontId="42" fillId="0" borderId="0"/>
    <xf numFmtId="0" fontId="81" fillId="0" borderId="0"/>
    <xf numFmtId="0" fontId="44" fillId="0" borderId="0"/>
    <xf numFmtId="0" fontId="81" fillId="0" borderId="0"/>
    <xf numFmtId="0" fontId="81" fillId="0" borderId="0"/>
    <xf numFmtId="0" fontId="1" fillId="0" borderId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0" fontId="74" fillId="20" borderId="31" applyNumberFormat="0" applyFont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76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1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82" fontId="41" fillId="0" borderId="0" applyFont="0" applyFill="0" applyBorder="0" applyAlignment="0" applyProtection="0"/>
    <xf numFmtId="167" fontId="77" fillId="0" borderId="0" applyFont="0" applyFill="0" applyBorder="0" applyAlignment="0" applyProtection="0"/>
    <xf numFmtId="173" fontId="4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7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76" fontId="74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8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77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77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77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4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83" fontId="4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7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77" fillId="0" borderId="0" applyFont="0" applyFill="0" applyBorder="0" applyAlignment="0" applyProtection="0"/>
    <xf numFmtId="185" fontId="72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7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81" fontId="41" fillId="0" borderId="0" applyFont="0" applyFill="0" applyBorder="0" applyAlignment="0" applyProtection="0"/>
    <xf numFmtId="167" fontId="79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167" fontId="81" fillId="0" borderId="0" applyFont="0" applyFill="0" applyBorder="0" applyAlignment="0" applyProtection="0"/>
    <xf numFmtId="0" fontId="65" fillId="0" borderId="0">
      <protection locked="0"/>
    </xf>
  </cellStyleXfs>
  <cellXfs count="1467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Protection="1">
      <protection hidden="1"/>
    </xf>
    <xf numFmtId="0" fontId="2" fillId="0" borderId="0" xfId="0" applyFont="1" applyBorder="1" applyProtection="1">
      <protection hidden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5" fillId="0" borderId="3" xfId="0" applyFont="1" applyBorder="1"/>
    <xf numFmtId="0" fontId="5" fillId="0" borderId="0" xfId="0" applyFont="1" applyBorder="1"/>
    <xf numFmtId="3" fontId="2" fillId="2" borderId="4" xfId="0" applyNumberFormat="1" applyFont="1" applyFill="1" applyBorder="1"/>
    <xf numFmtId="0" fontId="2" fillId="0" borderId="0" xfId="0" quotePrefix="1" applyFont="1" applyBorder="1" applyAlignment="1" applyProtection="1">
      <alignment horizontal="left"/>
      <protection hidden="1"/>
    </xf>
    <xf numFmtId="0" fontId="3" fillId="0" borderId="0" xfId="0" applyFont="1" applyBorder="1" applyAlignment="1">
      <alignment horizontal="centerContinuous"/>
    </xf>
    <xf numFmtId="0" fontId="2" fillId="0" borderId="0" xfId="0" applyFont="1" applyBorder="1" applyAlignment="1" applyProtection="1">
      <protection hidden="1"/>
    </xf>
    <xf numFmtId="3" fontId="2" fillId="0" borderId="5" xfId="0" applyNumberFormat="1" applyFont="1" applyBorder="1" applyProtection="1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Protection="1"/>
    <xf numFmtId="3" fontId="2" fillId="0" borderId="4" xfId="0" applyNumberFormat="1" applyFont="1" applyBorder="1" applyProtection="1">
      <protection locked="0"/>
    </xf>
    <xf numFmtId="3" fontId="3" fillId="0" borderId="0" xfId="0" applyNumberFormat="1" applyFont="1" applyBorder="1" applyAlignment="1">
      <alignment horizontal="centerContinuous"/>
    </xf>
    <xf numFmtId="3" fontId="11" fillId="0" borderId="0" xfId="0" applyNumberFormat="1" applyFont="1" applyBorder="1" applyAlignment="1">
      <alignment horizontal="centerContinuous"/>
    </xf>
    <xf numFmtId="3" fontId="2" fillId="0" borderId="5" xfId="0" applyNumberFormat="1" applyFont="1" applyBorder="1" applyProtection="1">
      <protection locked="0"/>
    </xf>
    <xf numFmtId="3" fontId="2" fillId="0" borderId="0" xfId="0" applyNumberFormat="1" applyFont="1"/>
    <xf numFmtId="0" fontId="2" fillId="0" borderId="0" xfId="0" applyFont="1" applyFill="1"/>
    <xf numFmtId="3" fontId="9" fillId="0" borderId="0" xfId="0" applyNumberFormat="1" applyFont="1" applyProtection="1">
      <protection hidden="1"/>
    </xf>
    <xf numFmtId="3" fontId="9" fillId="0" borderId="0" xfId="0" applyNumberFormat="1" applyFont="1"/>
    <xf numFmtId="0" fontId="9" fillId="0" borderId="0" xfId="0" applyFont="1"/>
    <xf numFmtId="3" fontId="2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3" fontId="2" fillId="0" borderId="5" xfId="0" applyNumberFormat="1" applyFont="1" applyBorder="1" applyAlignment="1" applyProtection="1">
      <alignment horizontal="right"/>
      <protection locked="0"/>
    </xf>
    <xf numFmtId="0" fontId="11" fillId="0" borderId="0" xfId="0" applyFont="1" applyAlignment="1">
      <alignment horizontal="centerContinuous"/>
    </xf>
    <xf numFmtId="3" fontId="5" fillId="0" borderId="5" xfId="0" quotePrefix="1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 applyBorder="1"/>
    <xf numFmtId="0" fontId="2" fillId="0" borderId="0" xfId="0" applyFont="1" applyAlignment="1">
      <alignment wrapText="1"/>
    </xf>
    <xf numFmtId="0" fontId="7" fillId="0" borderId="0" xfId="0" applyFont="1"/>
    <xf numFmtId="3" fontId="5" fillId="0" borderId="0" xfId="0" applyNumberFormat="1" applyFont="1" applyAlignment="1">
      <alignment horizontal="center" vertical="center"/>
    </xf>
    <xf numFmtId="3" fontId="5" fillId="0" borderId="0" xfId="0" quotePrefix="1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/>
    <xf numFmtId="3" fontId="5" fillId="0" borderId="0" xfId="0" applyNumberFormat="1" applyFont="1" applyBorder="1"/>
    <xf numFmtId="0" fontId="7" fillId="0" borderId="0" xfId="0" applyFont="1" applyBorder="1"/>
    <xf numFmtId="0" fontId="5" fillId="0" borderId="0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  <protection hidden="1"/>
    </xf>
    <xf numFmtId="3" fontId="2" fillId="0" borderId="5" xfId="0" applyNumberFormat="1" applyFont="1" applyFill="1" applyBorder="1" applyProtection="1"/>
    <xf numFmtId="0" fontId="3" fillId="0" borderId="0" xfId="0" applyFont="1" applyBorder="1" applyAlignment="1">
      <alignment horizontal="center" vertical="center" shrinkToFit="1"/>
    </xf>
    <xf numFmtId="0" fontId="15" fillId="0" borderId="0" xfId="0" applyFont="1"/>
    <xf numFmtId="0" fontId="3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Continuous"/>
    </xf>
    <xf numFmtId="0" fontId="6" fillId="0" borderId="0" xfId="0" applyFont="1" applyAlignment="1" applyProtection="1">
      <alignment horizontal="centerContinuous"/>
    </xf>
    <xf numFmtId="0" fontId="4" fillId="0" borderId="0" xfId="0" applyFont="1" applyAlignment="1">
      <alignment vertical="center"/>
    </xf>
    <xf numFmtId="3" fontId="6" fillId="0" borderId="4" xfId="0" applyNumberFormat="1" applyFont="1" applyBorder="1" applyAlignment="1" applyProtection="1">
      <alignment horizontal="right"/>
      <protection locked="0"/>
    </xf>
    <xf numFmtId="0" fontId="5" fillId="0" borderId="0" xfId="0" applyFont="1" applyBorder="1" applyProtection="1">
      <protection hidden="1"/>
    </xf>
    <xf numFmtId="0" fontId="4" fillId="0" borderId="0" xfId="0" applyFont="1" applyBorder="1" applyProtection="1">
      <protection hidden="1"/>
    </xf>
    <xf numFmtId="0" fontId="4" fillId="0" borderId="0" xfId="0" applyFont="1" applyBorder="1"/>
    <xf numFmtId="49" fontId="2" fillId="0" borderId="0" xfId="0" applyNumberFormat="1" applyFont="1"/>
    <xf numFmtId="0" fontId="2" fillId="2" borderId="0" xfId="0" applyFont="1" applyFill="1"/>
    <xf numFmtId="9" fontId="2" fillId="0" borderId="0" xfId="1047" applyFont="1"/>
    <xf numFmtId="4" fontId="2" fillId="0" borderId="0" xfId="0" applyNumberFormat="1" applyFont="1" applyBorder="1" applyProtection="1">
      <protection locked="0"/>
    </xf>
    <xf numFmtId="0" fontId="2" fillId="3" borderId="0" xfId="0" applyFont="1" applyFill="1"/>
    <xf numFmtId="3" fontId="6" fillId="0" borderId="4" xfId="0" applyNumberFormat="1" applyFont="1" applyBorder="1" applyAlignment="1" applyProtection="1">
      <alignment horizontal="right"/>
    </xf>
    <xf numFmtId="3" fontId="6" fillId="2" borderId="4" xfId="0" applyNumberFormat="1" applyFont="1" applyFill="1" applyBorder="1" applyAlignment="1" applyProtection="1">
      <alignment horizontal="right"/>
    </xf>
    <xf numFmtId="0" fontId="4" fillId="0" borderId="0" xfId="0" applyFont="1" applyBorder="1" applyAlignment="1">
      <alignment horizontal="center" wrapText="1"/>
    </xf>
    <xf numFmtId="3" fontId="2" fillId="0" borderId="0" xfId="1047" applyNumberFormat="1" applyFont="1"/>
    <xf numFmtId="3" fontId="2" fillId="0" borderId="0" xfId="0" applyNumberFormat="1" applyFont="1" applyFill="1"/>
    <xf numFmtId="3" fontId="28" fillId="0" borderId="0" xfId="0" applyNumberFormat="1" applyFont="1" applyBorder="1" applyProtection="1">
      <protection hidden="1"/>
    </xf>
    <xf numFmtId="3" fontId="2" fillId="0" borderId="0" xfId="0" applyNumberFormat="1" applyFont="1" applyBorder="1" applyAlignment="1">
      <alignment horizontal="center"/>
    </xf>
    <xf numFmtId="3" fontId="5" fillId="0" borderId="0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textRotation="90" wrapText="1"/>
    </xf>
    <xf numFmtId="3" fontId="2" fillId="0" borderId="4" xfId="0" applyNumberFormat="1" applyFont="1" applyFill="1" applyBorder="1" applyProtection="1"/>
    <xf numFmtId="49" fontId="2" fillId="0" borderId="0" xfId="0" applyNumberFormat="1" applyFont="1" applyFill="1"/>
    <xf numFmtId="9" fontId="2" fillId="0" borderId="0" xfId="1047" applyFont="1" applyFill="1"/>
    <xf numFmtId="3" fontId="2" fillId="0" borderId="0" xfId="1047" applyNumberFormat="1" applyFont="1" applyFill="1"/>
    <xf numFmtId="173" fontId="5" fillId="0" borderId="0" xfId="0" applyNumberFormat="1" applyFont="1" applyAlignment="1">
      <alignment horizontal="centerContinuous"/>
    </xf>
    <xf numFmtId="173" fontId="2" fillId="0" borderId="0" xfId="0" applyNumberFormat="1" applyFont="1"/>
    <xf numFmtId="173" fontId="5" fillId="0" borderId="0" xfId="0" quotePrefix="1" applyNumberFormat="1" applyFont="1" applyAlignment="1">
      <alignment horizontal="centerContinuous" vertical="center"/>
    </xf>
    <xf numFmtId="0" fontId="2" fillId="0" borderId="6" xfId="0" applyFont="1" applyBorder="1"/>
    <xf numFmtId="0" fontId="14" fillId="0" borderId="0" xfId="0" applyFont="1" applyBorder="1" applyAlignment="1">
      <alignment horizontal="center"/>
    </xf>
    <xf numFmtId="0" fontId="2" fillId="0" borderId="7" xfId="0" applyFont="1" applyBorder="1"/>
    <xf numFmtId="49" fontId="2" fillId="0" borderId="0" xfId="0" applyNumberFormat="1" applyFont="1" applyProtection="1"/>
    <xf numFmtId="3" fontId="2" fillId="0" borderId="0" xfId="0" applyNumberFormat="1" applyFont="1" applyProtection="1"/>
    <xf numFmtId="3" fontId="30" fillId="0" borderId="0" xfId="0" applyNumberFormat="1" applyFont="1" applyProtection="1"/>
    <xf numFmtId="9" fontId="30" fillId="0" borderId="0" xfId="1047" applyFont="1" applyFill="1" applyBorder="1" applyProtection="1">
      <protection hidden="1"/>
    </xf>
    <xf numFmtId="3" fontId="30" fillId="0" borderId="0" xfId="1047" applyNumberFormat="1" applyFont="1" applyFill="1" applyBorder="1" applyProtection="1">
      <protection hidden="1"/>
    </xf>
    <xf numFmtId="3" fontId="30" fillId="0" borderId="0" xfId="0" applyNumberFormat="1" applyFont="1" applyFill="1" applyBorder="1" applyProtection="1">
      <protection hidden="1"/>
    </xf>
    <xf numFmtId="3" fontId="2" fillId="0" borderId="5" xfId="0" applyNumberFormat="1" applyFont="1" applyFill="1" applyBorder="1" applyAlignment="1" applyProtection="1">
      <alignment vertical="center"/>
      <protection locked="0"/>
    </xf>
    <xf numFmtId="3" fontId="2" fillId="0" borderId="5" xfId="0" applyNumberFormat="1" applyFont="1" applyBorder="1" applyAlignment="1" applyProtection="1">
      <alignment vertical="center"/>
      <protection locked="0"/>
    </xf>
    <xf numFmtId="4" fontId="2" fillId="0" borderId="4" xfId="0" applyNumberFormat="1" applyFont="1" applyBorder="1" applyAlignment="1" applyProtection="1">
      <alignment vertical="center"/>
      <protection locked="0"/>
    </xf>
    <xf numFmtId="171" fontId="27" fillId="0" borderId="5" xfId="106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173" fontId="1" fillId="0" borderId="0" xfId="0" applyNumberFormat="1" applyFont="1" applyBorder="1" applyAlignment="1">
      <alignment horizontal="center" wrapText="1"/>
    </xf>
    <xf numFmtId="0" fontId="1" fillId="0" borderId="3" xfId="0" quotePrefix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40" fillId="0" borderId="0" xfId="0" applyFont="1" applyBorder="1" applyAlignment="1">
      <alignment horizontal="center" wrapText="1"/>
    </xf>
    <xf numFmtId="0" fontId="40" fillId="0" borderId="0" xfId="0" applyFont="1" applyFill="1" applyBorder="1" applyAlignment="1">
      <alignment horizontal="center" wrapText="1"/>
    </xf>
    <xf numFmtId="0" fontId="19" fillId="0" borderId="0" xfId="785" applyNumberFormat="1" applyFont="1" applyFill="1" applyBorder="1" applyAlignment="1" applyProtection="1">
      <alignment vertical="center"/>
    </xf>
    <xf numFmtId="0" fontId="19" fillId="0" borderId="0" xfId="785" applyNumberFormat="1" applyFont="1" applyFill="1" applyBorder="1" applyAlignment="1" applyProtection="1">
      <alignment vertical="top"/>
    </xf>
    <xf numFmtId="0" fontId="19" fillId="0" borderId="0" xfId="785" applyNumberFormat="1" applyFont="1" applyFill="1" applyBorder="1" applyAlignment="1" applyProtection="1">
      <alignment vertical="top" wrapText="1"/>
    </xf>
    <xf numFmtId="0" fontId="16" fillId="0" borderId="0" xfId="785" applyNumberFormat="1" applyFont="1" applyFill="1" applyBorder="1" applyAlignment="1" applyProtection="1">
      <alignment horizontal="center" vertical="center"/>
    </xf>
    <xf numFmtId="49" fontId="88" fillId="21" borderId="5" xfId="785" applyNumberFormat="1" applyFont="1" applyFill="1" applyBorder="1" applyAlignment="1" applyProtection="1">
      <alignment horizontal="center" vertical="center" wrapText="1"/>
    </xf>
    <xf numFmtId="49" fontId="89" fillId="0" borderId="5" xfId="785" applyNumberFormat="1" applyFont="1" applyFill="1" applyBorder="1" applyAlignment="1" applyProtection="1">
      <alignment horizontal="center" vertical="center" wrapText="1"/>
    </xf>
    <xf numFmtId="0" fontId="90" fillId="0" borderId="0" xfId="785" applyNumberFormat="1" applyFont="1" applyFill="1" applyBorder="1" applyAlignment="1" applyProtection="1">
      <alignment horizontal="center" vertical="center"/>
    </xf>
    <xf numFmtId="0" fontId="90" fillId="0" borderId="0" xfId="785" applyNumberFormat="1" applyFont="1" applyFill="1" applyBorder="1" applyAlignment="1" applyProtection="1">
      <alignment vertical="top" wrapText="1"/>
    </xf>
    <xf numFmtId="0" fontId="90" fillId="21" borderId="0" xfId="785" applyNumberFormat="1" applyFont="1" applyFill="1" applyBorder="1" applyAlignment="1" applyProtection="1">
      <alignment vertical="center" wrapText="1"/>
    </xf>
    <xf numFmtId="0" fontId="90" fillId="21" borderId="0" xfId="785" applyNumberFormat="1" applyFont="1" applyFill="1" applyBorder="1" applyAlignment="1" applyProtection="1">
      <alignment horizontal="center" vertical="center" wrapText="1"/>
    </xf>
    <xf numFmtId="173" fontId="1" fillId="0" borderId="0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0" fillId="0" borderId="0" xfId="0" applyFont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173" fontId="1" fillId="0" borderId="0" xfId="0" quotePrefix="1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indent="2"/>
    </xf>
    <xf numFmtId="0" fontId="2" fillId="0" borderId="3" xfId="0" quotePrefix="1" applyFont="1" applyBorder="1" applyAlignment="1">
      <alignment horizontal="left" vertical="center" indent="2"/>
    </xf>
    <xf numFmtId="0" fontId="2" fillId="0" borderId="3" xfId="0" applyFont="1" applyBorder="1" applyAlignment="1">
      <alignment horizontal="left" vertical="center" indent="2"/>
    </xf>
    <xf numFmtId="3" fontId="2" fillId="0" borderId="5" xfId="0" applyNumberFormat="1" applyFont="1" applyBorder="1" applyAlignment="1" applyProtection="1">
      <alignment horizontal="right" vertical="center"/>
      <protection locked="0"/>
    </xf>
    <xf numFmtId="3" fontId="2" fillId="0" borderId="4" xfId="0" applyNumberFormat="1" applyFont="1" applyBorder="1" applyAlignment="1" applyProtection="1">
      <alignment vertical="center"/>
      <protection locked="0"/>
    </xf>
    <xf numFmtId="168" fontId="2" fillId="0" borderId="4" xfId="0" applyNumberFormat="1" applyFont="1" applyBorder="1" applyAlignment="1" applyProtection="1">
      <alignment vertical="center"/>
      <protection locked="0"/>
    </xf>
    <xf numFmtId="3" fontId="2" fillId="0" borderId="5" xfId="0" applyNumberFormat="1" applyFont="1" applyBorder="1" applyAlignment="1" applyProtection="1">
      <alignment vertical="center"/>
    </xf>
    <xf numFmtId="3" fontId="2" fillId="0" borderId="5" xfId="0" applyNumberFormat="1" applyFont="1" applyFill="1" applyBorder="1" applyAlignment="1" applyProtection="1">
      <alignment vertical="center"/>
    </xf>
    <xf numFmtId="3" fontId="4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3" fontId="3" fillId="0" borderId="0" xfId="0" applyNumberFormat="1" applyFont="1" applyAlignment="1" applyProtection="1">
      <alignment horizontal="center"/>
    </xf>
    <xf numFmtId="3" fontId="2" fillId="0" borderId="0" xfId="0" applyNumberFormat="1" applyFont="1" applyBorder="1" applyProtection="1"/>
    <xf numFmtId="3" fontId="5" fillId="0" borderId="5" xfId="0" applyNumberFormat="1" applyFont="1" applyBorder="1" applyProtection="1"/>
    <xf numFmtId="0" fontId="1" fillId="0" borderId="5" xfId="0" applyFont="1" applyFill="1" applyBorder="1" applyAlignment="1" applyProtection="1">
      <alignment vertical="center"/>
      <protection locked="0"/>
    </xf>
    <xf numFmtId="3" fontId="1" fillId="0" borderId="5" xfId="0" applyNumberFormat="1" applyFont="1" applyFill="1" applyBorder="1" applyAlignment="1" applyProtection="1">
      <alignment vertical="center"/>
      <protection locked="0"/>
    </xf>
    <xf numFmtId="3" fontId="1" fillId="0" borderId="5" xfId="0" applyNumberFormat="1" applyFont="1" applyFill="1" applyBorder="1" applyAlignment="1" applyProtection="1">
      <alignment horizontal="right" vertical="center"/>
      <protection locked="0"/>
    </xf>
    <xf numFmtId="0" fontId="0" fillId="0" borderId="5" xfId="0" applyFill="1" applyBorder="1" applyAlignment="1" applyProtection="1">
      <alignment vertical="center"/>
      <protection locked="0"/>
    </xf>
    <xf numFmtId="3" fontId="1" fillId="0" borderId="5" xfId="0" applyNumberFormat="1" applyFont="1" applyBorder="1" applyAlignment="1" applyProtection="1">
      <alignment vertical="center"/>
      <protection locked="0"/>
    </xf>
    <xf numFmtId="3" fontId="2" fillId="0" borderId="5" xfId="0" applyNumberFormat="1" applyFont="1" applyBorder="1" applyAlignment="1" applyProtection="1">
      <alignment vertical="center" wrapText="1"/>
      <protection locked="0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3" fontId="2" fillId="0" borderId="5" xfId="0" applyNumberFormat="1" applyFont="1" applyBorder="1" applyAlignment="1" applyProtection="1">
      <alignment horizontal="center" vertical="center"/>
      <protection locked="0"/>
    </xf>
    <xf numFmtId="0" fontId="40" fillId="0" borderId="8" xfId="0" applyFont="1" applyBorder="1" applyAlignment="1">
      <alignment horizontal="center" vertical="center"/>
    </xf>
    <xf numFmtId="3" fontId="40" fillId="0" borderId="5" xfId="0" applyNumberFormat="1" applyFont="1" applyBorder="1" applyAlignment="1" applyProtection="1">
      <alignment horizontal="center" vertical="center"/>
      <protection locked="0"/>
    </xf>
    <xf numFmtId="0" fontId="40" fillId="0" borderId="0" xfId="0" applyFont="1" applyAlignment="1">
      <alignment vertical="center"/>
    </xf>
    <xf numFmtId="0" fontId="2" fillId="0" borderId="5" xfId="0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4"/>
    </xf>
    <xf numFmtId="0" fontId="40" fillId="0" borderId="5" xfId="0" applyFont="1" applyBorder="1" applyAlignment="1">
      <alignment horizontal="left" vertical="center" wrapText="1" indent="4"/>
    </xf>
    <xf numFmtId="0" fontId="88" fillId="21" borderId="5" xfId="785" applyNumberFormat="1" applyFont="1" applyFill="1" applyBorder="1" applyAlignment="1" applyProtection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left" vertical="center" indent="1"/>
    </xf>
    <xf numFmtId="3" fontId="5" fillId="0" borderId="0" xfId="0" applyNumberFormat="1" applyFont="1" applyBorder="1" applyAlignment="1">
      <alignment horizontal="centerContinuous" vertical="center" wrapText="1"/>
    </xf>
    <xf numFmtId="0" fontId="2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vertical="center"/>
    </xf>
    <xf numFmtId="3" fontId="2" fillId="0" borderId="5" xfId="0" quotePrefix="1" applyNumberFormat="1" applyFont="1" applyFill="1" applyBorder="1" applyAlignment="1" applyProtection="1">
      <alignment horizontal="left" vertical="center" wrapText="1" indent="2"/>
    </xf>
    <xf numFmtId="3" fontId="2" fillId="0" borderId="5" xfId="0" quotePrefix="1" applyNumberFormat="1" applyFont="1" applyFill="1" applyBorder="1" applyAlignment="1" applyProtection="1">
      <alignment horizontal="left" vertical="center" wrapText="1" indent="4"/>
    </xf>
    <xf numFmtId="0" fontId="1" fillId="0" borderId="5" xfId="0" applyFont="1" applyFill="1" applyBorder="1" applyAlignment="1">
      <alignment vertic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39" fillId="0" borderId="5" xfId="0" applyFont="1" applyFill="1" applyBorder="1" applyAlignment="1">
      <alignment horizontal="center" vertical="center"/>
    </xf>
    <xf numFmtId="0" fontId="39" fillId="0" borderId="5" xfId="0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4" fillId="0" borderId="5" xfId="0" applyFont="1" applyBorder="1"/>
    <xf numFmtId="0" fontId="1" fillId="0" borderId="5" xfId="0" applyFont="1" applyBorder="1"/>
    <xf numFmtId="0" fontId="39" fillId="0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3" fontId="1" fillId="0" borderId="5" xfId="0" applyNumberFormat="1" applyFont="1" applyFill="1" applyBorder="1" applyAlignment="1">
      <alignment vertical="center" wrapText="1"/>
    </xf>
    <xf numFmtId="3" fontId="0" fillId="0" borderId="5" xfId="0" applyNumberFormat="1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3" fontId="1" fillId="0" borderId="5" xfId="0" applyNumberFormat="1" applyFont="1" applyFill="1" applyBorder="1" applyAlignment="1">
      <alignment horizontal="center" vertical="center" wrapText="1"/>
    </xf>
    <xf numFmtId="3" fontId="0" fillId="0" borderId="5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9" fontId="1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3" fontId="1" fillId="0" borderId="4" xfId="1002" applyNumberFormat="1" applyFont="1" applyFill="1" applyBorder="1" applyProtection="1">
      <protection locked="0"/>
    </xf>
    <xf numFmtId="0" fontId="2" fillId="0" borderId="3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3" fontId="23" fillId="0" borderId="5" xfId="0" applyNumberFormat="1" applyFont="1" applyFill="1" applyBorder="1" applyAlignment="1" applyProtection="1">
      <alignment horizontal="right" vertical="center"/>
      <protection locked="0"/>
    </xf>
    <xf numFmtId="3" fontId="23" fillId="4" borderId="5" xfId="0" applyNumberFormat="1" applyFont="1" applyFill="1" applyBorder="1" applyAlignment="1" applyProtection="1">
      <alignment horizontal="right" vertical="center"/>
      <protection hidden="1"/>
    </xf>
    <xf numFmtId="3" fontId="23" fillId="0" borderId="5" xfId="0" applyNumberFormat="1" applyFont="1" applyBorder="1" applyAlignment="1" applyProtection="1">
      <alignment horizontal="right" vertical="center"/>
      <protection locked="0"/>
    </xf>
    <xf numFmtId="3" fontId="2" fillId="0" borderId="5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3" fontId="4" fillId="0" borderId="5" xfId="0" applyNumberFormat="1" applyFont="1" applyFill="1" applyBorder="1" applyAlignment="1">
      <alignment horizontal="center" vertical="center" wrapText="1"/>
    </xf>
    <xf numFmtId="3" fontId="1" fillId="0" borderId="5" xfId="0" applyNumberFormat="1" applyFont="1" applyFill="1" applyBorder="1" applyAlignment="1">
      <alignment horizontal="left" vertical="center"/>
    </xf>
    <xf numFmtId="3" fontId="5" fillId="0" borderId="5" xfId="0" applyNumberFormat="1" applyFont="1" applyFill="1" applyBorder="1" applyAlignment="1">
      <alignment horizontal="center" vertical="center"/>
    </xf>
    <xf numFmtId="3" fontId="39" fillId="0" borderId="5" xfId="0" applyNumberFormat="1" applyFont="1" applyFill="1" applyBorder="1" applyAlignment="1">
      <alignment horizontal="right" vertical="center" wrapText="1"/>
    </xf>
    <xf numFmtId="3" fontId="4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91" fillId="0" borderId="0" xfId="0" applyFont="1"/>
    <xf numFmtId="3" fontId="92" fillId="0" borderId="0" xfId="0" applyNumberFormat="1" applyFont="1" applyAlignment="1">
      <alignment horizontal="center" vertical="center"/>
    </xf>
    <xf numFmtId="0" fontId="93" fillId="0" borderId="0" xfId="0" applyFont="1" applyAlignment="1">
      <alignment vertical="center"/>
    </xf>
    <xf numFmtId="0" fontId="93" fillId="0" borderId="0" xfId="0" applyFont="1"/>
    <xf numFmtId="0" fontId="92" fillId="0" borderId="0" xfId="0" applyFont="1" applyAlignment="1">
      <alignment vertical="center"/>
    </xf>
    <xf numFmtId="0" fontId="92" fillId="0" borderId="0" xfId="0" applyFont="1"/>
    <xf numFmtId="171" fontId="91" fillId="0" borderId="0" xfId="1060" applyNumberFormat="1" applyFont="1"/>
    <xf numFmtId="0" fontId="5" fillId="0" borderId="0" xfId="0" applyFont="1" applyBorder="1" applyAlignment="1" applyProtection="1">
      <alignment horizontal="center"/>
    </xf>
    <xf numFmtId="167" fontId="2" fillId="0" borderId="0" xfId="1060" applyFont="1"/>
    <xf numFmtId="167" fontId="2" fillId="0" borderId="0" xfId="1060" applyFont="1" applyAlignment="1">
      <alignment vertical="center"/>
    </xf>
    <xf numFmtId="167" fontId="2" fillId="0" borderId="0" xfId="1060" applyFont="1" applyFill="1"/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vertical="center"/>
    </xf>
    <xf numFmtId="0" fontId="2" fillId="0" borderId="0" xfId="0" applyFont="1" applyProtection="1"/>
    <xf numFmtId="0" fontId="1" fillId="0" borderId="8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left" vertical="center" wrapText="1" indent="2"/>
    </xf>
    <xf numFmtId="0" fontId="1" fillId="0" borderId="3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left" vertical="center" wrapText="1" indent="4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left" wrapText="1" indent="2"/>
    </xf>
    <xf numFmtId="0" fontId="2" fillId="0" borderId="0" xfId="0" applyFont="1" applyBorder="1" applyProtection="1"/>
    <xf numFmtId="0" fontId="4" fillId="0" borderId="0" xfId="0" applyFont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40" fillId="0" borderId="0" xfId="0" applyFont="1" applyBorder="1" applyAlignment="1" applyProtection="1">
      <alignment horizontal="center"/>
    </xf>
    <xf numFmtId="0" fontId="40" fillId="0" borderId="0" xfId="0" applyFont="1" applyFill="1" applyBorder="1" applyAlignment="1" applyProtection="1">
      <alignment horizontal="center"/>
    </xf>
    <xf numFmtId="0" fontId="5" fillId="0" borderId="0" xfId="0" applyFont="1" applyProtection="1"/>
    <xf numFmtId="0" fontId="4" fillId="0" borderId="0" xfId="0" applyFont="1" applyAlignment="1" applyProtection="1">
      <alignment horizontal="center"/>
    </xf>
    <xf numFmtId="3" fontId="4" fillId="0" borderId="8" xfId="0" applyNumberFormat="1" applyFont="1" applyFill="1" applyBorder="1" applyAlignment="1" applyProtection="1">
      <alignment horizontal="left" vertical="center" indent="2"/>
    </xf>
    <xf numFmtId="3" fontId="4" fillId="0" borderId="9" xfId="0" applyNumberFormat="1" applyFont="1" applyFill="1" applyBorder="1" applyAlignment="1" applyProtection="1">
      <alignment horizontal="left" vertical="center" indent="2"/>
    </xf>
    <xf numFmtId="3" fontId="4" fillId="0" borderId="10" xfId="0" applyNumberFormat="1" applyFont="1" applyFill="1" applyBorder="1" applyAlignment="1" applyProtection="1">
      <alignment horizontal="left" vertical="center" indent="2"/>
    </xf>
    <xf numFmtId="3" fontId="2" fillId="0" borderId="5" xfId="0" applyNumberFormat="1" applyFont="1" applyFill="1" applyBorder="1" applyAlignment="1" applyProtection="1">
      <alignment horizontal="right" vertical="center"/>
    </xf>
    <xf numFmtId="0" fontId="39" fillId="0" borderId="8" xfId="0" applyFont="1" applyBorder="1" applyAlignment="1" applyProtection="1">
      <alignment horizontal="center" vertical="center"/>
    </xf>
    <xf numFmtId="0" fontId="39" fillId="0" borderId="3" xfId="0" applyFont="1" applyBorder="1" applyAlignment="1" applyProtection="1">
      <alignment horizontal="left" vertical="center" wrapText="1" indent="2"/>
    </xf>
    <xf numFmtId="3" fontId="39" fillId="0" borderId="5" xfId="0" applyNumberFormat="1" applyFont="1" applyBorder="1" applyAlignment="1" applyProtection="1">
      <alignment vertical="center"/>
    </xf>
    <xf numFmtId="3" fontId="39" fillId="0" borderId="5" xfId="0" applyNumberFormat="1" applyFont="1" applyBorder="1" applyAlignment="1" applyProtection="1">
      <alignment vertical="center"/>
      <protection locked="0"/>
    </xf>
    <xf numFmtId="9" fontId="2" fillId="0" borderId="5" xfId="1047" applyFont="1" applyBorder="1" applyAlignment="1" applyProtection="1">
      <alignment vertical="center"/>
    </xf>
    <xf numFmtId="3" fontId="2" fillId="0" borderId="5" xfId="1047" applyNumberFormat="1" applyFont="1" applyBorder="1" applyAlignment="1" applyProtection="1">
      <alignment vertical="center"/>
    </xf>
    <xf numFmtId="9" fontId="2" fillId="0" borderId="5" xfId="1047" applyFont="1" applyFill="1" applyBorder="1" applyAlignment="1" applyProtection="1">
      <alignment vertical="center"/>
    </xf>
    <xf numFmtId="3" fontId="2" fillId="0" borderId="5" xfId="1047" applyNumberFormat="1" applyFont="1" applyFill="1" applyBorder="1" applyAlignment="1" applyProtection="1">
      <alignment vertical="center"/>
    </xf>
    <xf numFmtId="167" fontId="2" fillId="0" borderId="0" xfId="1060" applyFont="1" applyFill="1" applyAlignment="1">
      <alignment vertical="center"/>
    </xf>
    <xf numFmtId="3" fontId="5" fillId="0" borderId="5" xfId="0" applyNumberFormat="1" applyFont="1" applyBorder="1" applyAlignment="1" applyProtection="1">
      <alignment horizontal="left" vertical="center" wrapText="1" indent="2"/>
    </xf>
    <xf numFmtId="3" fontId="2" fillId="0" borderId="5" xfId="0" applyNumberFormat="1" applyFont="1" applyBorder="1" applyAlignment="1" applyProtection="1">
      <alignment horizontal="left" vertical="center" wrapText="1" indent="1"/>
    </xf>
    <xf numFmtId="3" fontId="2" fillId="0" borderId="5" xfId="0" applyNumberFormat="1" applyFont="1" applyFill="1" applyBorder="1" applyAlignment="1" applyProtection="1">
      <alignment horizontal="left" vertical="center" wrapText="1" indent="1"/>
    </xf>
    <xf numFmtId="3" fontId="5" fillId="0" borderId="5" xfId="0" applyNumberFormat="1" applyFont="1" applyFill="1" applyBorder="1" applyAlignment="1" applyProtection="1">
      <alignment horizontal="left" vertical="center" wrapText="1" indent="1"/>
    </xf>
    <xf numFmtId="3" fontId="2" fillId="0" borderId="5" xfId="0" quotePrefix="1" applyNumberFormat="1" applyFont="1" applyFill="1" applyBorder="1" applyAlignment="1" applyProtection="1">
      <alignment horizontal="left" vertical="center" wrapText="1" indent="1"/>
    </xf>
    <xf numFmtId="3" fontId="40" fillId="0" borderId="5" xfId="0" quotePrefix="1" applyNumberFormat="1" applyFont="1" applyFill="1" applyBorder="1" applyAlignment="1" applyProtection="1">
      <alignment horizontal="center" vertical="center" wrapText="1"/>
    </xf>
    <xf numFmtId="3" fontId="39" fillId="0" borderId="5" xfId="0" applyNumberFormat="1" applyFont="1" applyFill="1" applyBorder="1" applyAlignment="1" applyProtection="1">
      <alignment horizontal="left" vertical="center" wrapText="1" indent="1"/>
    </xf>
    <xf numFmtId="3" fontId="39" fillId="0" borderId="5" xfId="1047" applyNumberFormat="1" applyFont="1" applyFill="1" applyBorder="1" applyAlignment="1" applyProtection="1">
      <alignment vertical="center"/>
    </xf>
    <xf numFmtId="0" fontId="45" fillId="0" borderId="0" xfId="0" applyFont="1"/>
    <xf numFmtId="3" fontId="45" fillId="0" borderId="0" xfId="0" applyNumberFormat="1" applyFont="1" applyBorder="1" applyAlignment="1">
      <alignment horizontal="centerContinuous"/>
    </xf>
    <xf numFmtId="0" fontId="7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vertical="center"/>
    </xf>
    <xf numFmtId="3" fontId="7" fillId="0" borderId="5" xfId="0" applyNumberFormat="1" applyFont="1" applyBorder="1" applyAlignment="1" applyProtection="1">
      <alignment horizontal="right" vertical="center"/>
      <protection locked="0"/>
    </xf>
    <xf numFmtId="3" fontId="7" fillId="0" borderId="5" xfId="0" applyNumberFormat="1" applyFont="1" applyFill="1" applyBorder="1" applyAlignment="1">
      <alignment vertical="center"/>
    </xf>
    <xf numFmtId="0" fontId="7" fillId="0" borderId="5" xfId="0" applyFont="1" applyFill="1" applyBorder="1" applyAlignment="1">
      <alignment vertical="center" wrapText="1"/>
    </xf>
    <xf numFmtId="3" fontId="7" fillId="0" borderId="5" xfId="0" applyNumberFormat="1" applyFont="1" applyBorder="1" applyAlignment="1" applyProtection="1">
      <alignment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5" xfId="0" applyFont="1" applyBorder="1" applyAlignment="1">
      <alignment horizontal="left" vertical="center" wrapText="1" indent="1"/>
    </xf>
    <xf numFmtId="0" fontId="2" fillId="0" borderId="3" xfId="0" quotePrefix="1" applyFont="1" applyBorder="1" applyAlignment="1">
      <alignment horizontal="left" vertical="center" wrapText="1" indent="1"/>
    </xf>
    <xf numFmtId="0" fontId="2" fillId="0" borderId="3" xfId="0" quotePrefix="1" applyFont="1" applyBorder="1" applyAlignment="1">
      <alignment horizontal="left" vertical="center" indent="1"/>
    </xf>
    <xf numFmtId="0" fontId="5" fillId="0" borderId="3" xfId="0" quotePrefix="1" applyFont="1" applyBorder="1" applyAlignment="1">
      <alignment horizontal="left" vertical="center" indent="1"/>
    </xf>
    <xf numFmtId="0" fontId="94" fillId="0" borderId="0" xfId="0" applyFont="1" applyProtection="1">
      <protection hidden="1"/>
    </xf>
    <xf numFmtId="0" fontId="10" fillId="0" borderId="0" xfId="0" applyFont="1" applyAlignment="1" applyProtection="1">
      <alignment horizontal="center" vertical="center" wrapText="1"/>
    </xf>
    <xf numFmtId="0" fontId="1" fillId="0" borderId="0" xfId="0" applyFont="1" applyFill="1" applyProtection="1"/>
    <xf numFmtId="0" fontId="31" fillId="0" borderId="0" xfId="0" quotePrefix="1" applyNumberFormat="1" applyFont="1" applyFill="1" applyBorder="1" applyAlignment="1" applyProtection="1">
      <alignment horizontal="left"/>
    </xf>
    <xf numFmtId="0" fontId="1" fillId="0" borderId="3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left" vertical="center" indent="1"/>
    </xf>
    <xf numFmtId="3" fontId="6" fillId="0" borderId="4" xfId="0" applyNumberFormat="1" applyFont="1" applyBorder="1" applyProtection="1"/>
    <xf numFmtId="0" fontId="2" fillId="0" borderId="3" xfId="0" applyFont="1" applyBorder="1" applyAlignment="1" applyProtection="1">
      <alignment horizontal="left" vertical="center" indent="2"/>
    </xf>
    <xf numFmtId="0" fontId="1" fillId="0" borderId="0" xfId="0" applyFont="1" applyBorder="1" applyProtection="1"/>
    <xf numFmtId="0" fontId="1" fillId="0" borderId="0" xfId="0" applyFont="1" applyProtection="1"/>
    <xf numFmtId="0" fontId="1" fillId="0" borderId="3" xfId="0" applyFont="1" applyFill="1" applyBorder="1" applyAlignment="1" applyProtection="1">
      <alignment horizontal="center" vertical="center" wrapText="1"/>
    </xf>
    <xf numFmtId="3" fontId="95" fillId="0" borderId="4" xfId="0" applyNumberFormat="1" applyFont="1" applyBorder="1" applyAlignment="1" applyProtection="1">
      <alignment horizontal="right"/>
    </xf>
    <xf numFmtId="0" fontId="2" fillId="0" borderId="3" xfId="0" applyFont="1" applyBorder="1" applyAlignment="1" applyProtection="1">
      <alignment horizontal="left" vertical="center" indent="3"/>
    </xf>
    <xf numFmtId="3" fontId="6" fillId="0" borderId="5" xfId="0" applyNumberFormat="1" applyFont="1" applyBorder="1" applyAlignment="1" applyProtection="1">
      <alignment horizontal="right" wrapText="1"/>
    </xf>
    <xf numFmtId="0" fontId="4" fillId="0" borderId="3" xfId="0" applyFont="1" applyBorder="1" applyAlignment="1" applyProtection="1">
      <alignment horizontal="center"/>
    </xf>
    <xf numFmtId="3" fontId="20" fillId="0" borderId="5" xfId="0" applyNumberFormat="1" applyFont="1" applyBorder="1" applyAlignment="1" applyProtection="1">
      <alignment horizontal="right"/>
    </xf>
    <xf numFmtId="0" fontId="2" fillId="0" borderId="3" xfId="0" applyFont="1" applyBorder="1" applyProtection="1"/>
    <xf numFmtId="0" fontId="5" fillId="0" borderId="3" xfId="0" applyFont="1" applyBorder="1" applyAlignment="1" applyProtection="1">
      <alignment horizontal="left"/>
    </xf>
    <xf numFmtId="0" fontId="5" fillId="0" borderId="3" xfId="0" applyFont="1" applyBorder="1" applyProtection="1"/>
    <xf numFmtId="0" fontId="2" fillId="0" borderId="3" xfId="0" applyFont="1" applyBorder="1" applyAlignment="1" applyProtection="1">
      <alignment horizontal="left" vertical="center" wrapText="1" indent="1"/>
    </xf>
    <xf numFmtId="0" fontId="5" fillId="0" borderId="3" xfId="0" applyFont="1" applyBorder="1" applyAlignment="1" applyProtection="1">
      <alignment horizontal="left" vertical="center" indent="1"/>
    </xf>
    <xf numFmtId="3" fontId="20" fillId="2" borderId="4" xfId="0" applyNumberFormat="1" applyFont="1" applyFill="1" applyBorder="1" applyAlignment="1" applyProtection="1">
      <alignment horizontal="right"/>
    </xf>
    <xf numFmtId="0" fontId="1" fillId="0" borderId="3" xfId="320" applyNumberFormat="1" applyFont="1" applyFill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left" vertical="center" indent="1"/>
    </xf>
    <xf numFmtId="0" fontId="2" fillId="0" borderId="5" xfId="0" applyFont="1" applyBorder="1" applyAlignment="1" applyProtection="1">
      <alignment horizontal="left" vertical="center" indent="2"/>
    </xf>
    <xf numFmtId="0" fontId="4" fillId="0" borderId="3" xfId="0" applyFont="1" applyFill="1" applyBorder="1" applyAlignment="1" applyProtection="1">
      <alignment horizontal="center" vertical="center"/>
    </xf>
    <xf numFmtId="3" fontId="20" fillId="0" borderId="4" xfId="0" applyNumberFormat="1" applyFont="1" applyBorder="1" applyAlignment="1" applyProtection="1">
      <alignment horizontal="right"/>
    </xf>
    <xf numFmtId="0" fontId="5" fillId="0" borderId="8" xfId="0" applyFont="1" applyBorder="1" applyAlignment="1" applyProtection="1">
      <alignment horizontal="left" vertical="center" indent="1"/>
    </xf>
    <xf numFmtId="0" fontId="96" fillId="22" borderId="0" xfId="0" applyFont="1" applyFill="1" applyBorder="1" applyProtection="1"/>
    <xf numFmtId="167" fontId="96" fillId="22" borderId="0" xfId="1060" applyFont="1" applyFill="1" applyBorder="1" applyProtection="1"/>
    <xf numFmtId="0" fontId="96" fillId="22" borderId="0" xfId="0" applyFont="1" applyFill="1" applyProtection="1"/>
    <xf numFmtId="3" fontId="6" fillId="0" borderId="4" xfId="0" applyNumberFormat="1" applyFont="1" applyFill="1" applyBorder="1" applyAlignment="1" applyProtection="1">
      <alignment horizontal="right"/>
      <protection locked="0"/>
    </xf>
    <xf numFmtId="3" fontId="6" fillId="2" borderId="4" xfId="0" applyNumberFormat="1" applyFont="1" applyFill="1" applyBorder="1" applyAlignment="1" applyProtection="1">
      <alignment horizontal="right"/>
      <protection locked="0"/>
    </xf>
    <xf numFmtId="171" fontId="25" fillId="0" borderId="0" xfId="1060" applyNumberFormat="1" applyFont="1" applyBorder="1" applyAlignment="1" applyProtection="1">
      <alignment horizontal="center" vertical="center" wrapText="1"/>
    </xf>
    <xf numFmtId="0" fontId="22" fillId="0" borderId="0" xfId="0" applyFont="1" applyProtection="1"/>
    <xf numFmtId="0" fontId="22" fillId="0" borderId="0" xfId="0" applyFont="1" applyBorder="1" applyAlignment="1" applyProtection="1">
      <alignment wrapText="1"/>
    </xf>
    <xf numFmtId="0" fontId="22" fillId="0" borderId="0" xfId="0" applyFont="1" applyAlignment="1" applyProtection="1">
      <alignment vertical="center"/>
    </xf>
    <xf numFmtId="0" fontId="22" fillId="0" borderId="5" xfId="0" applyFont="1" applyBorder="1" applyAlignment="1" applyProtection="1">
      <alignment horizontal="center" wrapText="1"/>
    </xf>
    <xf numFmtId="0" fontId="21" fillId="0" borderId="5" xfId="0" applyFont="1" applyBorder="1" applyAlignment="1" applyProtection="1">
      <alignment horizontal="center" vertical="center"/>
    </xf>
    <xf numFmtId="171" fontId="21" fillId="0" borderId="5" xfId="1060" applyNumberFormat="1" applyFont="1" applyBorder="1" applyAlignment="1" applyProtection="1">
      <alignment horizontal="left" vertical="center"/>
    </xf>
    <xf numFmtId="3" fontId="21" fillId="0" borderId="5" xfId="1060" applyNumberFormat="1" applyFont="1" applyBorder="1" applyAlignment="1" applyProtection="1">
      <alignment horizontal="center" vertical="center"/>
    </xf>
    <xf numFmtId="0" fontId="22" fillId="0" borderId="5" xfId="0" applyFont="1" applyFill="1" applyBorder="1" applyAlignment="1" applyProtection="1">
      <alignment horizontal="center" wrapText="1"/>
    </xf>
    <xf numFmtId="3" fontId="22" fillId="0" borderId="5" xfId="1060" applyNumberFormat="1" applyFont="1" applyFill="1" applyBorder="1" applyAlignment="1" applyProtection="1">
      <alignment horizontal="center" wrapText="1"/>
    </xf>
    <xf numFmtId="3" fontId="38" fillId="0" borderId="5" xfId="1060" applyNumberFormat="1" applyFont="1" applyFill="1" applyBorder="1" applyAlignment="1" applyProtection="1">
      <alignment horizontal="center" wrapText="1"/>
    </xf>
    <xf numFmtId="0" fontId="21" fillId="0" borderId="5" xfId="0" applyFont="1" applyFill="1" applyBorder="1" applyAlignment="1" applyProtection="1">
      <alignment horizontal="center" vertical="center" wrapText="1"/>
    </xf>
    <xf numFmtId="0" fontId="21" fillId="0" borderId="5" xfId="0" applyFont="1" applyFill="1" applyBorder="1" applyAlignment="1" applyProtection="1">
      <alignment horizontal="left" vertical="center" wrapText="1" indent="2"/>
    </xf>
    <xf numFmtId="0" fontId="29" fillId="0" borderId="0" xfId="0" applyFont="1" applyFill="1" applyAlignment="1" applyProtection="1">
      <alignment vertical="center"/>
    </xf>
    <xf numFmtId="0" fontId="21" fillId="0" borderId="0" xfId="0" applyFont="1" applyFill="1" applyAlignment="1" applyProtection="1">
      <alignment vertical="center"/>
    </xf>
    <xf numFmtId="0" fontId="21" fillId="0" borderId="5" xfId="0" applyFont="1" applyFill="1" applyBorder="1" applyAlignment="1" applyProtection="1">
      <alignment horizontal="left" vertical="center" indent="2"/>
    </xf>
    <xf numFmtId="0" fontId="22" fillId="0" borderId="5" xfId="0" applyFont="1" applyFill="1" applyBorder="1" applyAlignment="1" applyProtection="1">
      <alignment horizontal="center" vertical="center" wrapText="1"/>
    </xf>
    <xf numFmtId="0" fontId="38" fillId="0" borderId="5" xfId="0" applyFont="1" applyFill="1" applyBorder="1" applyAlignment="1" applyProtection="1">
      <alignment horizontal="center" wrapText="1"/>
    </xf>
    <xf numFmtId="0" fontId="38" fillId="0" borderId="0" xfId="0" applyFont="1" applyProtection="1"/>
    <xf numFmtId="0" fontId="38" fillId="0" borderId="5" xfId="0" applyFont="1" applyFill="1" applyBorder="1" applyAlignment="1" applyProtection="1">
      <alignment horizontal="center" vertical="center" wrapText="1"/>
    </xf>
    <xf numFmtId="0" fontId="38" fillId="0" borderId="0" xfId="0" applyFont="1" applyAlignment="1" applyProtection="1">
      <alignment vertical="center"/>
    </xf>
    <xf numFmtId="0" fontId="22" fillId="0" borderId="5" xfId="0" applyFont="1" applyBorder="1" applyAlignment="1" applyProtection="1">
      <alignment horizontal="center" vertical="center" wrapText="1"/>
    </xf>
    <xf numFmtId="0" fontId="21" fillId="0" borderId="5" xfId="0" applyFont="1" applyBorder="1" applyAlignment="1" applyProtection="1">
      <alignment horizontal="left" vertical="center" indent="2"/>
    </xf>
    <xf numFmtId="0" fontId="21" fillId="0" borderId="5" xfId="0" applyFont="1" applyBorder="1" applyAlignment="1" applyProtection="1">
      <alignment horizontal="left" vertical="center" wrapText="1" indent="2"/>
    </xf>
    <xf numFmtId="3" fontId="38" fillId="0" borderId="5" xfId="1060" applyNumberFormat="1" applyFont="1" applyFill="1" applyBorder="1" applyAlignment="1" applyProtection="1">
      <alignment horizontal="center" vertical="center"/>
    </xf>
    <xf numFmtId="3" fontId="38" fillId="0" borderId="5" xfId="1060" applyNumberFormat="1" applyFont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vertical="center"/>
    </xf>
    <xf numFmtId="3" fontId="38" fillId="0" borderId="5" xfId="1060" applyNumberFormat="1" applyFont="1" applyFill="1" applyBorder="1" applyAlignment="1" applyProtection="1">
      <alignment horizontal="center"/>
    </xf>
    <xf numFmtId="0" fontId="42" fillId="0" borderId="5" xfId="0" applyFont="1" applyFill="1" applyBorder="1" applyAlignment="1" applyProtection="1">
      <alignment horizontal="center" vertical="center" wrapText="1"/>
    </xf>
    <xf numFmtId="0" fontId="42" fillId="0" borderId="5" xfId="0" applyFont="1" applyFill="1" applyBorder="1" applyAlignment="1" applyProtection="1">
      <alignment horizontal="left" vertical="center" wrapText="1" indent="2"/>
    </xf>
    <xf numFmtId="3" fontId="42" fillId="0" borderId="5" xfId="1060" applyNumberFormat="1" applyFont="1" applyFill="1" applyBorder="1" applyAlignment="1" applyProtection="1">
      <alignment horizontal="center"/>
    </xf>
    <xf numFmtId="0" fontId="42" fillId="0" borderId="0" xfId="0" applyFont="1" applyFill="1" applyAlignment="1" applyProtection="1">
      <alignment vertical="center"/>
    </xf>
    <xf numFmtId="0" fontId="42" fillId="0" borderId="5" xfId="0" applyFont="1" applyBorder="1" applyAlignment="1" applyProtection="1">
      <alignment horizontal="center" vertical="center" wrapText="1"/>
    </xf>
    <xf numFmtId="0" fontId="42" fillId="0" borderId="5" xfId="0" applyFont="1" applyBorder="1" applyAlignment="1" applyProtection="1">
      <alignment horizontal="left" vertical="center" wrapText="1" indent="2"/>
    </xf>
    <xf numFmtId="0" fontId="42" fillId="0" borderId="0" xfId="0" applyFont="1" applyAlignment="1" applyProtection="1">
      <alignment vertical="center"/>
    </xf>
    <xf numFmtId="0" fontId="21" fillId="0" borderId="0" xfId="0" applyFont="1" applyBorder="1" applyProtection="1"/>
    <xf numFmtId="171" fontId="22" fillId="0" borderId="0" xfId="1060" applyNumberFormat="1" applyFont="1" applyProtection="1"/>
    <xf numFmtId="0" fontId="21" fillId="0" borderId="0" xfId="0" applyFont="1" applyFill="1" applyBorder="1" applyAlignment="1" applyProtection="1">
      <alignment horizontal="right"/>
    </xf>
    <xf numFmtId="173" fontId="22" fillId="0" borderId="0" xfId="0" applyNumberFormat="1" applyFont="1" applyBorder="1" applyAlignment="1" applyProtection="1">
      <alignment wrapText="1"/>
    </xf>
    <xf numFmtId="3" fontId="42" fillId="0" borderId="5" xfId="1060" applyNumberFormat="1" applyFont="1" applyBorder="1" applyAlignment="1" applyProtection="1">
      <alignment horizontal="center" vertical="center"/>
      <protection locked="0"/>
    </xf>
    <xf numFmtId="3" fontId="21" fillId="0" borderId="5" xfId="1060" applyNumberFormat="1" applyFont="1" applyBorder="1" applyAlignment="1" applyProtection="1">
      <alignment horizontal="center" vertical="center"/>
      <protection locked="0"/>
    </xf>
    <xf numFmtId="3" fontId="22" fillId="0" borderId="5" xfId="1060" applyNumberFormat="1" applyFont="1" applyFill="1" applyBorder="1" applyAlignment="1" applyProtection="1">
      <alignment horizontal="center" wrapText="1"/>
      <protection locked="0"/>
    </xf>
    <xf numFmtId="0" fontId="38" fillId="0" borderId="5" xfId="0" applyFont="1" applyBorder="1" applyAlignment="1" applyProtection="1">
      <alignment horizontal="center" vertical="center" wrapText="1"/>
    </xf>
    <xf numFmtId="0" fontId="38" fillId="0" borderId="5" xfId="0" applyFont="1" applyBorder="1" applyAlignment="1" applyProtection="1">
      <alignment horizontal="left" vertical="center" wrapText="1" indent="2"/>
    </xf>
    <xf numFmtId="10" fontId="38" fillId="0" borderId="5" xfId="1047" applyNumberFormat="1" applyFont="1" applyFill="1" applyBorder="1" applyAlignment="1" applyProtection="1">
      <alignment horizontal="center" vertical="center"/>
    </xf>
    <xf numFmtId="0" fontId="32" fillId="0" borderId="0" xfId="434" applyFont="1" applyProtection="1"/>
    <xf numFmtId="0" fontId="33" fillId="0" borderId="0" xfId="434" applyFont="1" applyProtection="1"/>
    <xf numFmtId="15" fontId="34" fillId="0" borderId="0" xfId="434" applyNumberFormat="1" applyFont="1" applyBorder="1" applyAlignment="1" applyProtection="1">
      <alignment horizontal="center" vertical="center" wrapText="1"/>
    </xf>
    <xf numFmtId="0" fontId="32" fillId="0" borderId="5" xfId="434" applyFont="1" applyBorder="1" applyAlignment="1" applyProtection="1">
      <alignment horizontal="center" vertical="center"/>
    </xf>
    <xf numFmtId="171" fontId="34" fillId="0" borderId="5" xfId="1060" applyNumberFormat="1" applyFont="1" applyBorder="1" applyAlignment="1" applyProtection="1">
      <alignment horizontal="center" vertical="center" wrapText="1"/>
    </xf>
    <xf numFmtId="0" fontId="32" fillId="0" borderId="5" xfId="434" applyFont="1" applyBorder="1" applyAlignment="1" applyProtection="1">
      <alignment horizontal="left" vertical="center" wrapText="1" indent="1"/>
    </xf>
    <xf numFmtId="0" fontId="36" fillId="0" borderId="5" xfId="434" applyFont="1" applyBorder="1" applyAlignment="1" applyProtection="1">
      <alignment horizontal="left" vertical="center" wrapText="1" indent="1"/>
    </xf>
    <xf numFmtId="0" fontId="24" fillId="0" borderId="5" xfId="434" applyFont="1" applyBorder="1" applyAlignment="1" applyProtection="1">
      <alignment horizontal="left" vertical="center" wrapText="1" indent="1"/>
    </xf>
    <xf numFmtId="171" fontId="34" fillId="0" borderId="5" xfId="1060" applyNumberFormat="1" applyFont="1" applyFill="1" applyBorder="1" applyAlignment="1" applyProtection="1">
      <alignment horizontal="center" vertical="center" wrapText="1"/>
    </xf>
    <xf numFmtId="0" fontId="34" fillId="0" borderId="5" xfId="434" applyFont="1" applyBorder="1" applyAlignment="1" applyProtection="1">
      <alignment horizontal="left" vertical="center" wrapText="1" indent="1"/>
    </xf>
    <xf numFmtId="0" fontId="33" fillId="0" borderId="0" xfId="434" applyFont="1" applyBorder="1" applyProtection="1"/>
    <xf numFmtId="0" fontId="32" fillId="0" borderId="0" xfId="434" applyFont="1" applyBorder="1" applyProtection="1"/>
    <xf numFmtId="0" fontId="32" fillId="0" borderId="0" xfId="434" applyFont="1" applyAlignment="1" applyProtection="1">
      <alignment horizontal="center"/>
    </xf>
    <xf numFmtId="0" fontId="97" fillId="5" borderId="0" xfId="434" applyFont="1" applyFill="1" applyProtection="1"/>
    <xf numFmtId="0" fontId="1" fillId="23" borderId="5" xfId="0" applyFont="1" applyFill="1" applyBorder="1" applyAlignment="1">
      <alignment vertical="center" wrapText="1"/>
    </xf>
    <xf numFmtId="9" fontId="1" fillId="23" borderId="5" xfId="0" applyNumberFormat="1" applyFont="1" applyFill="1" applyBorder="1" applyAlignment="1">
      <alignment vertical="center" wrapText="1"/>
    </xf>
    <xf numFmtId="3" fontId="0" fillId="0" borderId="5" xfId="0" applyNumberFormat="1" applyFont="1" applyFill="1" applyBorder="1" applyAlignment="1">
      <alignment horizontal="center" vertical="center" wrapText="1"/>
    </xf>
    <xf numFmtId="3" fontId="0" fillId="0" borderId="5" xfId="0" applyNumberFormat="1" applyFont="1" applyFill="1" applyBorder="1" applyAlignment="1">
      <alignment vertical="center" wrapText="1"/>
    </xf>
    <xf numFmtId="3" fontId="39" fillId="0" borderId="0" xfId="0" applyNumberFormat="1" applyFont="1" applyAlignment="1">
      <alignment horizontal="center"/>
    </xf>
    <xf numFmtId="3" fontId="94" fillId="0" borderId="0" xfId="0" applyNumberFormat="1" applyFont="1" applyProtection="1">
      <protection hidden="1"/>
    </xf>
    <xf numFmtId="3" fontId="94" fillId="0" borderId="0" xfId="0" applyNumberFormat="1" applyFont="1" applyAlignment="1" applyProtection="1">
      <alignment vertical="center"/>
      <protection hidden="1"/>
    </xf>
    <xf numFmtId="0" fontId="19" fillId="0" borderId="0" xfId="718" applyNumberFormat="1" applyFont="1" applyFill="1" applyBorder="1" applyAlignment="1" applyProtection="1">
      <alignment vertical="top"/>
    </xf>
    <xf numFmtId="0" fontId="19" fillId="0" borderId="0" xfId="718" applyNumberFormat="1" applyFont="1" applyFill="1" applyBorder="1" applyAlignment="1" applyProtection="1">
      <alignment horizontal="center" vertical="center"/>
    </xf>
    <xf numFmtId="0" fontId="89" fillId="0" borderId="5" xfId="718" applyNumberFormat="1" applyFont="1" applyFill="1" applyBorder="1" applyAlignment="1" applyProtection="1">
      <alignment horizontal="left" vertical="center" wrapText="1" indent="2"/>
    </xf>
    <xf numFmtId="0" fontId="90" fillId="0" borderId="5" xfId="718" applyNumberFormat="1" applyFont="1" applyFill="1" applyBorder="1" applyAlignment="1" applyProtection="1">
      <alignment horizontal="left" vertical="center" wrapText="1" indent="2"/>
    </xf>
    <xf numFmtId="16" fontId="89" fillId="0" borderId="5" xfId="718" applyNumberFormat="1" applyFont="1" applyFill="1" applyBorder="1" applyAlignment="1" applyProtection="1">
      <alignment horizontal="left" vertical="center" wrapText="1" indent="2"/>
    </xf>
    <xf numFmtId="0" fontId="47" fillId="0" borderId="0" xfId="718" applyNumberFormat="1" applyFont="1" applyFill="1" applyBorder="1" applyAlignment="1" applyProtection="1">
      <alignment vertical="center"/>
    </xf>
    <xf numFmtId="0" fontId="0" fillId="0" borderId="0" xfId="0" applyAlignment="1" applyProtection="1">
      <alignment horizontal="center" vertical="center" wrapText="1"/>
    </xf>
    <xf numFmtId="0" fontId="7" fillId="0" borderId="5" xfId="0" applyFont="1" applyBorder="1" applyProtection="1"/>
    <xf numFmtId="3" fontId="2" fillId="0" borderId="5" xfId="0" applyNumberFormat="1" applyFont="1" applyFill="1" applyBorder="1" applyAlignment="1" applyProtection="1"/>
    <xf numFmtId="169" fontId="2" fillId="0" borderId="5" xfId="0" applyNumberFormat="1" applyFont="1" applyFill="1" applyBorder="1" applyAlignment="1" applyProtection="1"/>
    <xf numFmtId="3" fontId="2" fillId="4" borderId="2" xfId="0" applyNumberFormat="1" applyFont="1" applyFill="1" applyBorder="1" applyAlignment="1" applyProtection="1"/>
    <xf numFmtId="3" fontId="2" fillId="4" borderId="4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49" fontId="5" fillId="0" borderId="0" xfId="0" quotePrefix="1" applyNumberFormat="1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horizontal="left"/>
    </xf>
    <xf numFmtId="0" fontId="2" fillId="0" borderId="5" xfId="0" applyFont="1" applyBorder="1" applyProtection="1"/>
    <xf numFmtId="0" fontId="5" fillId="0" borderId="5" xfId="0" applyFont="1" applyBorder="1" applyProtection="1"/>
    <xf numFmtId="3" fontId="2" fillId="4" borderId="5" xfId="0" applyNumberFormat="1" applyFont="1" applyFill="1" applyBorder="1" applyAlignment="1" applyProtection="1"/>
    <xf numFmtId="0" fontId="2" fillId="0" borderId="5" xfId="0" quotePrefix="1" applyFont="1" applyBorder="1" applyAlignment="1" applyProtection="1">
      <alignment horizontal="left"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left" vertical="center" wrapText="1"/>
    </xf>
    <xf numFmtId="0" fontId="2" fillId="0" borderId="0" xfId="0" applyFont="1" applyAlignment="1" applyProtection="1">
      <alignment vertical="center" wrapText="1"/>
    </xf>
    <xf numFmtId="0" fontId="5" fillId="0" borderId="5" xfId="0" quotePrefix="1" applyFont="1" applyBorder="1" applyAlignment="1" applyProtection="1">
      <alignment horizontal="left" vertical="center" wrapText="1"/>
    </xf>
    <xf numFmtId="0" fontId="98" fillId="0" borderId="0" xfId="0" applyFont="1"/>
    <xf numFmtId="171" fontId="98" fillId="0" borderId="0" xfId="1060" applyNumberFormat="1" applyFont="1"/>
    <xf numFmtId="0" fontId="97" fillId="5" borderId="0" xfId="434" applyFont="1" applyFill="1" applyBorder="1" applyProtection="1"/>
    <xf numFmtId="0" fontId="97" fillId="0" borderId="0" xfId="434" applyFont="1" applyProtection="1"/>
    <xf numFmtId="0" fontId="99" fillId="5" borderId="0" xfId="0" applyFont="1" applyFill="1" applyAlignment="1" applyProtection="1">
      <alignment horizontal="justify"/>
    </xf>
    <xf numFmtId="49" fontId="97" fillId="5" borderId="0" xfId="434" applyNumberFormat="1" applyFont="1" applyFill="1" applyProtection="1"/>
    <xf numFmtId="0" fontId="100" fillId="5" borderId="0" xfId="434" applyFont="1" applyFill="1" applyBorder="1" applyAlignment="1" applyProtection="1">
      <alignment horizontal="right"/>
    </xf>
    <xf numFmtId="0" fontId="101" fillId="5" borderId="0" xfId="434" applyFont="1" applyFill="1" applyProtection="1"/>
    <xf numFmtId="0" fontId="101" fillId="0" borderId="0" xfId="434" applyFont="1" applyProtection="1"/>
    <xf numFmtId="10" fontId="99" fillId="5" borderId="0" xfId="0" applyNumberFormat="1" applyFont="1" applyFill="1" applyAlignment="1" applyProtection="1">
      <alignment horizontal="justify"/>
    </xf>
    <xf numFmtId="0" fontId="97" fillId="0" borderId="0" xfId="434" applyFont="1" applyBorder="1" applyProtection="1"/>
    <xf numFmtId="0" fontId="97" fillId="5" borderId="0" xfId="434" applyFont="1" applyFill="1" applyAlignment="1" applyProtection="1">
      <alignment vertical="center"/>
    </xf>
    <xf numFmtId="0" fontId="97" fillId="5" borderId="0" xfId="434" applyFont="1" applyFill="1" applyBorder="1" applyAlignment="1" applyProtection="1">
      <alignment vertical="center"/>
    </xf>
    <xf numFmtId="0" fontId="97" fillId="5" borderId="0" xfId="434" applyFont="1" applyFill="1" applyAlignment="1" applyProtection="1">
      <alignment horizontal="center" vertical="center" wrapText="1"/>
    </xf>
    <xf numFmtId="0" fontId="101" fillId="5" borderId="0" xfId="0" applyFont="1" applyFill="1" applyAlignment="1" applyProtection="1">
      <alignment horizontal="center" vertical="center" wrapText="1"/>
    </xf>
    <xf numFmtId="0" fontId="97" fillId="0" borderId="0" xfId="434" applyFont="1" applyAlignment="1" applyProtection="1">
      <alignment vertical="center"/>
    </xf>
    <xf numFmtId="0" fontId="33" fillId="0" borderId="0" xfId="434" applyFont="1" applyAlignment="1" applyProtection="1">
      <alignment vertical="center"/>
    </xf>
    <xf numFmtId="0" fontId="32" fillId="0" borderId="0" xfId="434" applyFont="1" applyAlignment="1" applyProtection="1">
      <alignment vertical="center"/>
    </xf>
    <xf numFmtId="0" fontId="4" fillId="0" borderId="0" xfId="0" applyFont="1" applyAlignment="1" applyProtection="1">
      <alignment horizontal="center" vertical="center" wrapText="1"/>
    </xf>
    <xf numFmtId="0" fontId="12" fillId="0" borderId="0" xfId="0" applyFont="1" applyProtection="1"/>
    <xf numFmtId="0" fontId="9" fillId="0" borderId="0" xfId="0" applyFont="1" applyAlignment="1" applyProtection="1">
      <alignment vertical="center" wrapText="1"/>
    </xf>
    <xf numFmtId="0" fontId="12" fillId="0" borderId="0" xfId="0" applyFont="1" applyAlignment="1" applyProtection="1">
      <alignment vertical="center" wrapText="1"/>
    </xf>
    <xf numFmtId="3" fontId="2" fillId="4" borderId="11" xfId="0" applyNumberFormat="1" applyFont="1" applyFill="1" applyBorder="1" applyAlignment="1" applyProtection="1">
      <alignment horizontal="right" vertical="top"/>
    </xf>
    <xf numFmtId="3" fontId="2" fillId="4" borderId="6" xfId="0" applyNumberFormat="1" applyFont="1" applyFill="1" applyBorder="1" applyAlignment="1" applyProtection="1">
      <alignment horizontal="right" vertical="top"/>
    </xf>
    <xf numFmtId="3" fontId="2" fillId="4" borderId="12" xfId="0" applyNumberFormat="1" applyFont="1" applyFill="1" applyBorder="1" applyAlignment="1" applyProtection="1">
      <alignment horizontal="right" vertical="top"/>
    </xf>
    <xf numFmtId="0" fontId="12" fillId="0" borderId="0" xfId="0" applyFont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horizontal="right" vertical="top"/>
    </xf>
    <xf numFmtId="3" fontId="2" fillId="4" borderId="7" xfId="0" applyNumberFormat="1" applyFont="1" applyFill="1" applyBorder="1" applyAlignment="1" applyProtection="1">
      <alignment horizontal="right" vertical="top"/>
    </xf>
    <xf numFmtId="3" fontId="2" fillId="4" borderId="13" xfId="0" applyNumberFormat="1" applyFont="1" applyFill="1" applyBorder="1" applyAlignment="1" applyProtection="1">
      <alignment horizontal="right" vertical="top"/>
    </xf>
    <xf numFmtId="0" fontId="12" fillId="0" borderId="0" xfId="0" applyFont="1" applyBorder="1" applyProtection="1"/>
    <xf numFmtId="173" fontId="5" fillId="0" borderId="0" xfId="0" applyNumberFormat="1" applyFont="1" applyAlignment="1" applyProtection="1">
      <alignment horizontal="center"/>
    </xf>
    <xf numFmtId="3" fontId="39" fillId="0" borderId="0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22" fillId="0" borderId="5" xfId="1060" applyNumberFormat="1" applyFont="1" applyFill="1" applyBorder="1" applyAlignment="1" applyProtection="1">
      <alignment horizontal="center" vertical="center" wrapText="1"/>
      <protection locked="0"/>
    </xf>
    <xf numFmtId="3" fontId="38" fillId="0" borderId="5" xfId="1060" applyNumberFormat="1" applyFont="1" applyFill="1" applyBorder="1" applyAlignment="1" applyProtection="1">
      <alignment horizontal="center" vertical="center" wrapText="1"/>
      <protection locked="0"/>
    </xf>
    <xf numFmtId="3" fontId="38" fillId="0" borderId="5" xfId="1060" applyNumberFormat="1" applyFont="1" applyFill="1" applyBorder="1" applyAlignment="1" applyProtection="1">
      <alignment horizontal="center" vertical="center" wrapText="1"/>
    </xf>
    <xf numFmtId="3" fontId="42" fillId="0" borderId="5" xfId="1060" applyNumberFormat="1" applyFont="1" applyFill="1" applyBorder="1" applyAlignment="1" applyProtection="1">
      <alignment horizontal="center" vertical="center" wrapText="1"/>
      <protection locked="0"/>
    </xf>
    <xf numFmtId="167" fontId="102" fillId="0" borderId="0" xfId="1060" applyFont="1" applyFill="1" applyBorder="1" applyAlignment="1" applyProtection="1">
      <alignment vertical="center"/>
    </xf>
    <xf numFmtId="0" fontId="103" fillId="0" borderId="0" xfId="0" applyFont="1" applyProtection="1"/>
    <xf numFmtId="0" fontId="104" fillId="0" borderId="0" xfId="0" applyFont="1" applyBorder="1" applyProtection="1"/>
    <xf numFmtId="0" fontId="103" fillId="0" borderId="0" xfId="0" applyFont="1" applyBorder="1" applyProtection="1"/>
    <xf numFmtId="0" fontId="103" fillId="22" borderId="0" xfId="0" applyFont="1" applyFill="1" applyBorder="1" applyProtection="1"/>
    <xf numFmtId="0" fontId="1" fillId="0" borderId="5" xfId="0" applyFont="1" applyBorder="1" applyAlignment="1" applyProtection="1">
      <alignment horizontal="left" vertical="center" indent="2"/>
    </xf>
    <xf numFmtId="0" fontId="4" fillId="0" borderId="3" xfId="0" applyFont="1" applyBorder="1" applyAlignment="1" applyProtection="1">
      <alignment horizontal="left" vertical="center" indent="2"/>
    </xf>
    <xf numFmtId="0" fontId="1" fillId="0" borderId="3" xfId="320" applyNumberFormat="1" applyFont="1" applyBorder="1" applyAlignment="1" applyProtection="1">
      <alignment horizontal="left" vertical="center" indent="1"/>
    </xf>
    <xf numFmtId="0" fontId="90" fillId="0" borderId="0" xfId="785" applyNumberFormat="1" applyFont="1" applyFill="1" applyBorder="1" applyAlignment="1" applyProtection="1">
      <alignment horizontal="center" vertical="center" wrapText="1"/>
    </xf>
    <xf numFmtId="0" fontId="47" fillId="0" borderId="0" xfId="785" applyNumberFormat="1" applyFont="1" applyFill="1" applyBorder="1" applyAlignment="1" applyProtection="1">
      <alignment horizontal="center" vertical="center"/>
    </xf>
    <xf numFmtId="0" fontId="38" fillId="0" borderId="5" xfId="0" applyFont="1" applyFill="1" applyBorder="1" applyAlignment="1" applyProtection="1">
      <alignment horizontal="left" vertical="center" indent="2"/>
    </xf>
    <xf numFmtId="0" fontId="19" fillId="0" borderId="5" xfId="718" applyNumberFormat="1" applyFont="1" applyFill="1" applyBorder="1" applyAlignment="1" applyProtection="1">
      <alignment horizontal="left" vertical="center" wrapText="1" indent="2"/>
    </xf>
    <xf numFmtId="3" fontId="19" fillId="0" borderId="0" xfId="785" applyNumberFormat="1" applyFont="1" applyFill="1" applyBorder="1" applyAlignment="1" applyProtection="1">
      <alignment vertical="top"/>
    </xf>
    <xf numFmtId="3" fontId="88" fillId="21" borderId="5" xfId="785" applyNumberFormat="1" applyFont="1" applyFill="1" applyBorder="1" applyAlignment="1" applyProtection="1">
      <alignment horizontal="center" vertical="center" wrapText="1"/>
    </xf>
    <xf numFmtId="3" fontId="90" fillId="21" borderId="0" xfId="785" applyNumberFormat="1" applyFont="1" applyFill="1" applyBorder="1" applyAlignment="1" applyProtection="1">
      <alignment vertical="center" wrapText="1"/>
    </xf>
    <xf numFmtId="0" fontId="89" fillId="21" borderId="5" xfId="718" applyNumberFormat="1" applyFont="1" applyFill="1" applyBorder="1" applyAlignment="1" applyProtection="1">
      <alignment horizontal="left" vertical="center" wrapText="1" indent="2"/>
    </xf>
    <xf numFmtId="0" fontId="3" fillId="0" borderId="0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left" vertical="center" indent="1"/>
    </xf>
    <xf numFmtId="3" fontId="105" fillId="0" borderId="5" xfId="1060" applyNumberFormat="1" applyFont="1" applyFill="1" applyBorder="1" applyAlignment="1" applyProtection="1">
      <alignment horizontal="center"/>
    </xf>
    <xf numFmtId="0" fontId="19" fillId="0" borderId="0" xfId="718" applyNumberFormat="1" applyFont="1" applyFill="1" applyBorder="1" applyAlignment="1" applyProtection="1">
      <alignment horizontal="center" vertical="top"/>
    </xf>
    <xf numFmtId="15" fontId="19" fillId="0" borderId="0" xfId="718" applyNumberFormat="1" applyFont="1" applyFill="1" applyBorder="1" applyAlignment="1" applyProtection="1">
      <alignment vertical="top"/>
    </xf>
    <xf numFmtId="0" fontId="3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0" fontId="51" fillId="0" borderId="0" xfId="0" applyFont="1" applyBorder="1" applyAlignment="1">
      <alignment horizontal="center" vertical="center"/>
    </xf>
    <xf numFmtId="173" fontId="0" fillId="0" borderId="0" xfId="0" applyNumberFormat="1" applyFont="1" applyBorder="1" applyAlignment="1">
      <alignment horizontal="left" indent="2"/>
    </xf>
    <xf numFmtId="15" fontId="42" fillId="0" borderId="0" xfId="0" applyNumberFormat="1" applyFont="1" applyBorder="1" applyAlignment="1" applyProtection="1">
      <alignment horizontal="left" wrapText="1" indent="3"/>
    </xf>
    <xf numFmtId="171" fontId="25" fillId="0" borderId="0" xfId="1060" applyNumberFormat="1" applyFont="1" applyBorder="1" applyAlignment="1" applyProtection="1">
      <alignment horizontal="left" indent="2"/>
    </xf>
    <xf numFmtId="173" fontId="0" fillId="0" borderId="0" xfId="0" quotePrefix="1" applyNumberFormat="1" applyFont="1" applyBorder="1" applyAlignment="1">
      <alignment horizontal="left"/>
    </xf>
    <xf numFmtId="0" fontId="52" fillId="0" borderId="0" xfId="0" applyFont="1" applyBorder="1" applyAlignment="1">
      <alignment horizontal="left" indent="1"/>
    </xf>
    <xf numFmtId="0" fontId="52" fillId="0" borderId="0" xfId="0" applyFont="1" applyBorder="1" applyAlignment="1">
      <alignment horizontal="center"/>
    </xf>
    <xf numFmtId="3" fontId="39" fillId="0" borderId="0" xfId="0" applyNumberFormat="1" applyFont="1"/>
    <xf numFmtId="3" fontId="52" fillId="0" borderId="0" xfId="0" applyNumberFormat="1" applyFont="1" applyAlignment="1">
      <alignment horizontal="center"/>
    </xf>
    <xf numFmtId="0" fontId="47" fillId="0" borderId="0" xfId="0" applyFont="1" applyAlignment="1" applyProtection="1"/>
    <xf numFmtId="0" fontId="47" fillId="0" borderId="0" xfId="0" applyFont="1" applyProtection="1"/>
    <xf numFmtId="173" fontId="50" fillId="0" borderId="0" xfId="0" applyNumberFormat="1" applyFont="1" applyBorder="1" applyAlignment="1" applyProtection="1">
      <alignment horizontal="center"/>
    </xf>
    <xf numFmtId="0" fontId="47" fillId="0" borderId="0" xfId="0" quotePrefix="1" applyFont="1" applyAlignment="1" applyProtection="1">
      <alignment horizontal="left" indent="6"/>
    </xf>
    <xf numFmtId="0" fontId="50" fillId="0" borderId="5" xfId="0" applyFont="1" applyBorder="1" applyAlignment="1" applyProtection="1">
      <alignment horizontal="center" vertical="center"/>
    </xf>
    <xf numFmtId="0" fontId="50" fillId="0" borderId="5" xfId="0" applyFont="1" applyBorder="1" applyAlignment="1" applyProtection="1">
      <alignment horizontal="left" vertical="center" indent="2"/>
    </xf>
    <xf numFmtId="0" fontId="47" fillId="0" borderId="0" xfId="0" applyFont="1" applyAlignment="1" applyProtection="1">
      <alignment vertical="center"/>
    </xf>
    <xf numFmtId="3" fontId="50" fillId="0" borderId="5" xfId="0" applyNumberFormat="1" applyFont="1" applyBorder="1" applyAlignment="1" applyProtection="1">
      <alignment vertical="center"/>
    </xf>
    <xf numFmtId="0" fontId="50" fillId="0" borderId="0" xfId="0" applyFont="1" applyAlignment="1" applyProtection="1">
      <alignment vertical="center"/>
    </xf>
    <xf numFmtId="0" fontId="47" fillId="0" borderId="5" xfId="0" applyFont="1" applyBorder="1" applyAlignment="1" applyProtection="1">
      <alignment vertical="center"/>
    </xf>
    <xf numFmtId="3" fontId="47" fillId="0" borderId="5" xfId="0" applyNumberFormat="1" applyFont="1" applyBorder="1" applyAlignment="1" applyProtection="1">
      <alignment vertical="center"/>
    </xf>
    <xf numFmtId="0" fontId="50" fillId="0" borderId="0" xfId="0" applyFont="1" applyBorder="1" applyProtection="1"/>
    <xf numFmtId="15" fontId="0" fillId="0" borderId="0" xfId="0" applyNumberFormat="1" applyAlignment="1" applyProtection="1">
      <alignment horizontal="center" vertical="center" wrapText="1"/>
    </xf>
    <xf numFmtId="173" fontId="0" fillId="0" borderId="0" xfId="0" applyNumberFormat="1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/>
    </xf>
    <xf numFmtId="0" fontId="52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5" fillId="0" borderId="0" xfId="0" applyNumberFormat="1" applyFont="1" applyBorder="1" applyProtection="1"/>
    <xf numFmtId="0" fontId="50" fillId="0" borderId="0" xfId="718" applyNumberFormat="1" applyFont="1" applyFill="1" applyBorder="1" applyAlignment="1" applyProtection="1">
      <alignment horizontal="center" vertical="top"/>
    </xf>
    <xf numFmtId="15" fontId="106" fillId="0" borderId="0" xfId="718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Alignment="1"/>
    <xf numFmtId="173" fontId="0" fillId="0" borderId="0" xfId="0" applyNumberFormat="1" applyFont="1" applyBorder="1" applyAlignment="1">
      <alignment horizontal="center"/>
    </xf>
    <xf numFmtId="173" fontId="47" fillId="0" borderId="0" xfId="0" applyNumberFormat="1" applyFont="1" applyBorder="1" applyAlignment="1" applyProtection="1">
      <alignment horizontal="center"/>
    </xf>
    <xf numFmtId="173" fontId="27" fillId="0" borderId="0" xfId="434" applyNumberFormat="1" applyFont="1" applyBorder="1" applyAlignment="1" applyProtection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 indent="1"/>
    </xf>
    <xf numFmtId="3" fontId="19" fillId="0" borderId="5" xfId="785" applyNumberFormat="1" applyFont="1" applyFill="1" applyBorder="1" applyAlignment="1" applyProtection="1">
      <alignment horizontal="center" vertical="center" wrapText="1"/>
      <protection locked="0"/>
    </xf>
    <xf numFmtId="0" fontId="19" fillId="0" borderId="5" xfId="785" applyNumberFormat="1" applyFont="1" applyFill="1" applyBorder="1" applyAlignment="1" applyProtection="1">
      <alignment horizontal="center" vertical="center" wrapText="1"/>
      <protection locked="0"/>
    </xf>
    <xf numFmtId="3" fontId="19" fillId="0" borderId="5" xfId="785" applyNumberFormat="1" applyFont="1" applyFill="1" applyBorder="1" applyAlignment="1" applyProtection="1">
      <alignment vertical="top" wrapText="1"/>
      <protection locked="0"/>
    </xf>
    <xf numFmtId="3" fontId="19" fillId="0" borderId="5" xfId="785" applyNumberFormat="1" applyFont="1" applyFill="1" applyBorder="1" applyAlignment="1" applyProtection="1">
      <alignment horizontal="center" vertical="top" wrapText="1"/>
      <protection locked="0"/>
    </xf>
    <xf numFmtId="49" fontId="5" fillId="0" borderId="5" xfId="0" applyNumberFormat="1" applyFont="1" applyBorder="1" applyAlignment="1" applyProtection="1">
      <alignment horizontal="center" vertical="center"/>
    </xf>
    <xf numFmtId="49" fontId="5" fillId="0" borderId="5" xfId="0" applyNumberFormat="1" applyFont="1" applyFill="1" applyBorder="1" applyAlignment="1" applyProtection="1">
      <alignment horizontal="center" vertical="center"/>
    </xf>
    <xf numFmtId="49" fontId="39" fillId="0" borderId="5" xfId="0" applyNumberFormat="1" applyFont="1" applyFill="1" applyBorder="1" applyAlignment="1" applyProtection="1">
      <alignment horizontal="center" vertical="center"/>
    </xf>
    <xf numFmtId="3" fontId="39" fillId="0" borderId="5" xfId="0" applyNumberFormat="1" applyFont="1" applyFill="1" applyBorder="1" applyAlignment="1" applyProtection="1">
      <alignment vertical="center"/>
    </xf>
    <xf numFmtId="49" fontId="5" fillId="0" borderId="5" xfId="0" applyNumberFormat="1" applyFont="1" applyFill="1" applyBorder="1" applyAlignment="1" applyProtection="1">
      <alignment horizontal="left" vertical="center"/>
    </xf>
    <xf numFmtId="0" fontId="47" fillId="0" borderId="5" xfId="0" applyFont="1" applyBorder="1" applyAlignment="1" applyProtection="1">
      <alignment horizontal="center" vertical="center"/>
    </xf>
    <xf numFmtId="0" fontId="47" fillId="0" borderId="5" xfId="0" applyFont="1" applyBorder="1" applyAlignment="1" applyProtection="1">
      <alignment horizontal="left" vertical="center" indent="2"/>
    </xf>
    <xf numFmtId="3" fontId="47" fillId="0" borderId="5" xfId="0" applyNumberFormat="1" applyFont="1" applyBorder="1" applyAlignment="1" applyProtection="1">
      <alignment vertical="center"/>
      <protection locked="0"/>
    </xf>
    <xf numFmtId="3" fontId="0" fillId="0" borderId="0" xfId="0" applyNumberFormat="1" applyFont="1" applyBorder="1"/>
    <xf numFmtId="3" fontId="1" fillId="0" borderId="5" xfId="0" applyNumberFormat="1" applyFont="1" applyFill="1" applyBorder="1" applyAlignment="1">
      <alignment vertical="center"/>
    </xf>
    <xf numFmtId="0" fontId="1" fillId="0" borderId="3" xfId="0" applyFont="1" applyBorder="1" applyAlignment="1" applyProtection="1">
      <alignment horizontal="left" vertical="center" indent="2"/>
    </xf>
    <xf numFmtId="0" fontId="107" fillId="0" borderId="5" xfId="0" applyFont="1" applyFill="1" applyBorder="1" applyAlignment="1" applyProtection="1">
      <alignment horizontal="center" vertical="center" wrapText="1"/>
    </xf>
    <xf numFmtId="0" fontId="38" fillId="0" borderId="5" xfId="0" applyFont="1" applyBorder="1" applyAlignment="1" applyProtection="1">
      <alignment horizontal="center" wrapText="1"/>
    </xf>
    <xf numFmtId="2" fontId="2" fillId="0" borderId="2" xfId="0" applyNumberFormat="1" applyFont="1" applyBorder="1" applyAlignment="1" applyProtection="1">
      <alignment horizontal="center" vertical="center"/>
      <protection hidden="1"/>
    </xf>
    <xf numFmtId="170" fontId="2" fillId="0" borderId="4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alignment horizontal="centerContinuous" vertical="center"/>
    </xf>
    <xf numFmtId="2" fontId="2" fillId="0" borderId="14" xfId="0" applyNumberFormat="1" applyFont="1" applyFill="1" applyBorder="1" applyAlignment="1" applyProtection="1">
      <alignment horizontal="center" vertical="center"/>
      <protection hidden="1"/>
    </xf>
    <xf numFmtId="170" fontId="2" fillId="0" borderId="14" xfId="0" applyNumberFormat="1" applyFont="1" applyFill="1" applyBorder="1" applyAlignment="1" applyProtection="1">
      <alignment horizontal="center" vertical="center"/>
      <protection hidden="1"/>
    </xf>
    <xf numFmtId="2" fontId="2" fillId="0" borderId="2" xfId="0" applyNumberFormat="1" applyFont="1" applyFill="1" applyBorder="1" applyAlignment="1" applyProtection="1">
      <alignment horizontal="center" vertical="center"/>
      <protection hidden="1"/>
    </xf>
    <xf numFmtId="2" fontId="2" fillId="0" borderId="4" xfId="0" applyNumberFormat="1" applyFont="1" applyFill="1" applyBorder="1" applyAlignment="1" applyProtection="1">
      <alignment horizontal="center" vertical="center"/>
      <protection hidden="1"/>
    </xf>
    <xf numFmtId="2" fontId="2" fillId="0" borderId="4" xfId="0" applyNumberFormat="1" applyFont="1" applyBorder="1" applyAlignment="1" applyProtection="1">
      <alignment horizontal="center" vertical="center"/>
      <protection hidden="1"/>
    </xf>
    <xf numFmtId="2" fontId="2" fillId="0" borderId="14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Border="1" applyAlignment="1">
      <alignment horizontal="center"/>
    </xf>
    <xf numFmtId="3" fontId="6" fillId="0" borderId="0" xfId="0" applyNumberFormat="1" applyFont="1" applyBorder="1" applyProtection="1">
      <protection locked="0"/>
    </xf>
    <xf numFmtId="3" fontId="2" fillId="2" borderId="0" xfId="0" applyNumberFormat="1" applyFont="1" applyFill="1" applyBorder="1"/>
    <xf numFmtId="3" fontId="2" fillId="0" borderId="0" xfId="0" applyNumberFormat="1" applyFont="1" applyFill="1" applyBorder="1" applyProtection="1"/>
    <xf numFmtId="3" fontId="2" fillId="0" borderId="0" xfId="0" applyNumberFormat="1" applyFont="1" applyFill="1" applyBorder="1"/>
    <xf numFmtId="3" fontId="2" fillId="0" borderId="4" xfId="0" applyNumberFormat="1" applyFont="1" applyBorder="1" applyProtection="1"/>
    <xf numFmtId="3" fontId="2" fillId="0" borderId="4" xfId="0" applyNumberFormat="1" applyFont="1" applyBorder="1" applyAlignment="1" applyProtection="1">
      <alignment vertical="center"/>
    </xf>
    <xf numFmtId="3" fontId="1" fillId="0" borderId="5" xfId="0" applyNumberFormat="1" applyFont="1" applyBorder="1" applyAlignment="1" applyProtection="1">
      <alignment horizontal="right"/>
      <protection locked="0"/>
    </xf>
    <xf numFmtId="0" fontId="88" fillId="0" borderId="0" xfId="718" applyNumberFormat="1" applyFont="1" applyFill="1" applyBorder="1" applyAlignment="1" applyProtection="1">
      <alignment horizontal="center" vertical="center"/>
    </xf>
    <xf numFmtId="0" fontId="19" fillId="0" borderId="5" xfId="718" applyNumberFormat="1" applyFont="1" applyFill="1" applyBorder="1" applyAlignment="1" applyProtection="1">
      <alignment horizontal="center" vertical="center" wrapText="1"/>
    </xf>
    <xf numFmtId="3" fontId="1" fillId="0" borderId="5" xfId="0" applyNumberFormat="1" applyFont="1" applyBorder="1" applyAlignment="1" applyProtection="1">
      <alignment horizontal="right" vertical="center"/>
      <protection locked="0"/>
    </xf>
    <xf numFmtId="9" fontId="1" fillId="0" borderId="5" xfId="0" applyNumberFormat="1" applyFont="1" applyBorder="1" applyAlignment="1" applyProtection="1">
      <alignment vertical="center"/>
    </xf>
    <xf numFmtId="1" fontId="7" fillId="0" borderId="5" xfId="0" applyNumberFormat="1" applyFont="1" applyBorder="1" applyAlignment="1" applyProtection="1">
      <alignment vertical="center"/>
    </xf>
    <xf numFmtId="9" fontId="7" fillId="0" borderId="5" xfId="0" applyNumberFormat="1" applyFont="1" applyBorder="1" applyAlignment="1" applyProtection="1">
      <alignment vertical="center"/>
    </xf>
    <xf numFmtId="9" fontId="1" fillId="0" borderId="5" xfId="0" applyNumberFormat="1" applyFont="1" applyBorder="1" applyProtection="1"/>
    <xf numFmtId="0" fontId="3" fillId="0" borderId="0" xfId="0" applyFont="1" applyBorder="1" applyAlignment="1" applyProtection="1">
      <alignment horizontal="center" vertical="center" wrapText="1" shrinkToFit="1"/>
    </xf>
    <xf numFmtId="3" fontId="39" fillId="0" borderId="4" xfId="0" applyNumberFormat="1" applyFont="1" applyBorder="1" applyProtection="1"/>
    <xf numFmtId="0" fontId="2" fillId="0" borderId="4" xfId="0" applyFont="1" applyBorder="1" applyProtection="1"/>
    <xf numFmtId="0" fontId="2" fillId="0" borderId="6" xfId="0" applyFont="1" applyBorder="1" applyProtection="1"/>
    <xf numFmtId="0" fontId="15" fillId="0" borderId="0" xfId="0" applyFont="1" applyBorder="1" applyProtection="1"/>
    <xf numFmtId="0" fontId="5" fillId="0" borderId="7" xfId="0" applyFont="1" applyBorder="1" applyAlignment="1" applyProtection="1">
      <alignment horizontal="center"/>
    </xf>
    <xf numFmtId="3" fontId="1" fillId="0" borderId="5" xfId="0" applyNumberFormat="1" applyFont="1" applyBorder="1" applyProtection="1"/>
    <xf numFmtId="3" fontId="4" fillId="0" borderId="5" xfId="0" applyNumberFormat="1" applyFont="1" applyFill="1" applyBorder="1" applyProtection="1"/>
    <xf numFmtId="3" fontId="0" fillId="0" borderId="5" xfId="0" applyNumberFormat="1" applyFont="1" applyFill="1" applyBorder="1" applyProtection="1"/>
    <xf numFmtId="3" fontId="4" fillId="0" borderId="5" xfId="1047" applyNumberFormat="1" applyFont="1" applyFill="1" applyBorder="1" applyProtection="1"/>
    <xf numFmtId="9" fontId="2" fillId="0" borderId="0" xfId="1047" applyFont="1" applyProtection="1"/>
    <xf numFmtId="0" fontId="39" fillId="0" borderId="0" xfId="0" applyFont="1" applyFill="1" applyAlignment="1" applyProtection="1">
      <alignment vertical="center"/>
    </xf>
    <xf numFmtId="167" fontId="39" fillId="0" borderId="0" xfId="1060" applyFont="1" applyFill="1" applyAlignment="1" applyProtection="1">
      <alignment vertical="center"/>
    </xf>
    <xf numFmtId="3" fontId="5" fillId="0" borderId="5" xfId="0" applyNumberFormat="1" applyFont="1" applyBorder="1" applyAlignment="1" applyProtection="1">
      <alignment horizontal="center" vertical="center" wrapText="1"/>
    </xf>
    <xf numFmtId="3" fontId="22" fillId="0" borderId="5" xfId="1060" applyNumberFormat="1" applyFont="1" applyFill="1" applyBorder="1" applyAlignment="1" applyProtection="1">
      <alignment horizontal="center" vertical="center" wrapText="1"/>
    </xf>
    <xf numFmtId="174" fontId="4" fillId="0" borderId="4" xfId="1047" applyNumberFormat="1" applyFont="1" applyBorder="1" applyProtection="1"/>
    <xf numFmtId="174" fontId="4" fillId="0" borderId="5" xfId="1047" applyNumberFormat="1" applyFont="1" applyBorder="1" applyProtection="1"/>
    <xf numFmtId="174" fontId="2" fillId="0" borderId="4" xfId="0" applyNumberFormat="1" applyFont="1" applyBorder="1" applyProtection="1"/>
    <xf numFmtId="3" fontId="23" fillId="0" borderId="5" xfId="0" applyNumberFormat="1" applyFont="1" applyFill="1" applyBorder="1" applyAlignment="1" applyProtection="1">
      <alignment horizontal="right" vertical="center"/>
    </xf>
    <xf numFmtId="0" fontId="42" fillId="0" borderId="5" xfId="0" applyFont="1" applyFill="1" applyBorder="1" applyAlignment="1" applyProtection="1">
      <alignment horizontal="left" vertical="center" wrapText="1" indent="1"/>
    </xf>
    <xf numFmtId="0" fontId="42" fillId="0" borderId="5" xfId="0" applyFont="1" applyFill="1" applyBorder="1" applyAlignment="1" applyProtection="1">
      <alignment horizontal="left" vertical="center" indent="1"/>
    </xf>
    <xf numFmtId="0" fontId="22" fillId="0" borderId="5" xfId="0" applyFont="1" applyBorder="1" applyAlignment="1" applyProtection="1">
      <alignment horizontal="left" vertical="center" wrapText="1" indent="1"/>
    </xf>
    <xf numFmtId="0" fontId="22" fillId="0" borderId="5" xfId="0" applyFont="1" applyFill="1" applyBorder="1" applyAlignment="1" applyProtection="1">
      <alignment horizontal="left" vertical="center" wrapText="1" indent="1"/>
    </xf>
    <xf numFmtId="9" fontId="88" fillId="0" borderId="0" xfId="1047" applyFont="1" applyFill="1" applyBorder="1" applyAlignment="1" applyProtection="1">
      <alignment horizontal="center" vertical="center"/>
    </xf>
    <xf numFmtId="9" fontId="89" fillId="0" borderId="5" xfId="1047" applyFont="1" applyFill="1" applyBorder="1" applyAlignment="1" applyProtection="1">
      <alignment horizontal="center" vertical="center" wrapText="1"/>
    </xf>
    <xf numFmtId="9" fontId="19" fillId="0" borderId="0" xfId="1047" applyFont="1" applyFill="1" applyBorder="1" applyAlignment="1" applyProtection="1">
      <alignment vertical="top"/>
    </xf>
    <xf numFmtId="9" fontId="19" fillId="0" borderId="5" xfId="1047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vertical="center"/>
    </xf>
    <xf numFmtId="0" fontId="2" fillId="0" borderId="5" xfId="0" applyFont="1" applyFill="1" applyBorder="1" applyAlignment="1" applyProtection="1">
      <alignment horizontal="left" vertical="center"/>
    </xf>
    <xf numFmtId="0" fontId="5" fillId="0" borderId="5" xfId="0" applyFont="1" applyFill="1" applyBorder="1" applyAlignment="1" applyProtection="1">
      <alignment vertical="center"/>
    </xf>
    <xf numFmtId="0" fontId="2" fillId="0" borderId="5" xfId="0" quotePrefix="1" applyFont="1" applyFill="1" applyBorder="1" applyAlignment="1" applyProtection="1">
      <alignment horizontal="left" vertical="center"/>
    </xf>
    <xf numFmtId="169" fontId="2" fillId="0" borderId="5" xfId="0" applyNumberFormat="1" applyFont="1" applyFill="1" applyBorder="1" applyAlignment="1" applyProtection="1">
      <alignment vertical="center"/>
      <protection locked="0"/>
    </xf>
    <xf numFmtId="3" fontId="2" fillId="4" borderId="2" xfId="0" applyNumberFormat="1" applyFont="1" applyFill="1" applyBorder="1" applyAlignment="1" applyProtection="1">
      <alignment vertical="center"/>
    </xf>
    <xf numFmtId="0" fontId="2" fillId="0" borderId="5" xfId="0" applyFont="1" applyFill="1" applyBorder="1" applyAlignment="1" applyProtection="1">
      <alignment vertical="center" wrapText="1"/>
    </xf>
    <xf numFmtId="3" fontId="2" fillId="4" borderId="4" xfId="0" applyNumberFormat="1" applyFont="1" applyFill="1" applyBorder="1" applyAlignment="1" applyProtection="1">
      <alignment vertical="center"/>
    </xf>
    <xf numFmtId="0" fontId="5" fillId="0" borderId="5" xfId="0" quotePrefix="1" applyFont="1" applyFill="1" applyBorder="1" applyAlignment="1" applyProtection="1">
      <alignment horizontal="left" vertical="center"/>
    </xf>
    <xf numFmtId="174" fontId="89" fillId="0" borderId="5" xfId="1047" applyNumberFormat="1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left" vertical="center" indent="2"/>
    </xf>
    <xf numFmtId="0" fontId="2" fillId="0" borderId="5" xfId="0" applyFont="1" applyFill="1" applyBorder="1" applyAlignment="1">
      <alignment horizontal="left" vertical="center" indent="2"/>
    </xf>
    <xf numFmtId="0" fontId="2" fillId="0" borderId="5" xfId="0" applyFont="1" applyBorder="1" applyAlignment="1">
      <alignment horizontal="left" vertical="center" indent="2"/>
    </xf>
    <xf numFmtId="0" fontId="2" fillId="0" borderId="5" xfId="0" quotePrefix="1" applyFont="1" applyBorder="1" applyAlignment="1">
      <alignment horizontal="left" vertical="center" indent="2"/>
    </xf>
    <xf numFmtId="0" fontId="5" fillId="0" borderId="5" xfId="0" quotePrefix="1" applyFont="1" applyBorder="1" applyAlignment="1">
      <alignment horizontal="left" vertical="center" indent="2"/>
    </xf>
    <xf numFmtId="0" fontId="35" fillId="0" borderId="0" xfId="434" applyFont="1" applyAlignment="1" applyProtection="1">
      <alignment horizontal="left" vertical="center" indent="1"/>
    </xf>
    <xf numFmtId="0" fontId="16" fillId="0" borderId="0" xfId="0" applyFont="1" applyAlignment="1" applyProtection="1">
      <alignment horizontal="left" vertical="center" indent="1"/>
    </xf>
    <xf numFmtId="0" fontId="36" fillId="0" borderId="5" xfId="434" applyFont="1" applyBorder="1" applyAlignment="1" applyProtection="1">
      <alignment horizontal="right" vertical="center"/>
    </xf>
    <xf numFmtId="3" fontId="52" fillId="6" borderId="5" xfId="0" applyNumberFormat="1" applyFont="1" applyFill="1" applyBorder="1" applyAlignment="1" applyProtection="1">
      <alignment horizontal="center" vertical="center" wrapText="1"/>
    </xf>
    <xf numFmtId="3" fontId="54" fillId="6" borderId="5" xfId="0" applyNumberFormat="1" applyFont="1" applyFill="1" applyBorder="1" applyAlignment="1" applyProtection="1">
      <alignment horizontal="center" vertical="center" wrapText="1"/>
    </xf>
    <xf numFmtId="9" fontId="54" fillId="6" borderId="5" xfId="1047" applyFont="1" applyFill="1" applyBorder="1" applyAlignment="1" applyProtection="1">
      <alignment horizontal="center" vertical="center" wrapText="1"/>
    </xf>
    <xf numFmtId="3" fontId="51" fillId="6" borderId="5" xfId="0" applyNumberFormat="1" applyFont="1" applyFill="1" applyBorder="1" applyAlignment="1" applyProtection="1">
      <alignment horizontal="center" vertical="center" wrapText="1"/>
    </xf>
    <xf numFmtId="3" fontId="39" fillId="6" borderId="5" xfId="0" applyNumberFormat="1" applyFont="1" applyFill="1" applyBorder="1" applyAlignment="1" applyProtection="1">
      <alignment horizontal="center" vertical="center" wrapText="1"/>
    </xf>
    <xf numFmtId="3" fontId="108" fillId="0" borderId="5" xfId="0" applyNumberFormat="1" applyFont="1" applyFill="1" applyBorder="1" applyAlignment="1" applyProtection="1">
      <alignment vertical="center"/>
      <protection locked="0"/>
    </xf>
    <xf numFmtId="3" fontId="5" fillId="0" borderId="0" xfId="0" quotePrefix="1" applyNumberFormat="1" applyFont="1" applyBorder="1" applyAlignment="1">
      <alignment horizontal="left"/>
    </xf>
    <xf numFmtId="0" fontId="3" fillId="0" borderId="0" xfId="0" applyFont="1" applyBorder="1" applyAlignment="1">
      <alignment horizontal="centerContinuous" vertical="center"/>
    </xf>
    <xf numFmtId="3" fontId="19" fillId="0" borderId="5" xfId="785" applyNumberFormat="1" applyFont="1" applyFill="1" applyBorder="1" applyAlignment="1" applyProtection="1">
      <alignment horizontal="center" vertical="center" wrapText="1"/>
    </xf>
    <xf numFmtId="0" fontId="19" fillId="0" borderId="5" xfId="785" applyNumberFormat="1" applyFont="1" applyFill="1" applyBorder="1" applyAlignment="1" applyProtection="1">
      <alignment horizontal="center" vertical="center" wrapText="1"/>
    </xf>
    <xf numFmtId="0" fontId="19" fillId="0" borderId="5" xfId="785" applyNumberFormat="1" applyFont="1" applyFill="1" applyBorder="1" applyAlignment="1" applyProtection="1">
      <alignment vertical="center" wrapText="1"/>
    </xf>
    <xf numFmtId="0" fontId="19" fillId="0" borderId="0" xfId="785" applyNumberFormat="1" applyFont="1" applyFill="1" applyBorder="1" applyAlignment="1" applyProtection="1">
      <alignment vertical="center" wrapText="1"/>
    </xf>
    <xf numFmtId="0" fontId="38" fillId="0" borderId="5" xfId="0" applyFont="1" applyFill="1" applyBorder="1" applyAlignment="1" applyProtection="1">
      <alignment horizontal="left" vertical="center" wrapText="1" indent="2"/>
    </xf>
    <xf numFmtId="3" fontId="1" fillId="0" borderId="5" xfId="0" applyNumberFormat="1" applyFont="1" applyFill="1" applyBorder="1" applyAlignment="1" applyProtection="1">
      <alignment horizontal="left" vertical="center" wrapText="1" indent="1"/>
    </xf>
    <xf numFmtId="3" fontId="1" fillId="0" borderId="5" xfId="0" applyNumberFormat="1" applyFont="1" applyFill="1" applyBorder="1" applyAlignment="1" applyProtection="1">
      <alignment horizontal="left" vertical="center" wrapText="1" indent="3"/>
    </xf>
    <xf numFmtId="49" fontId="11" fillId="0" borderId="0" xfId="0" applyNumberFormat="1" applyFont="1" applyAlignment="1">
      <alignment horizontal="centerContinuous" vertical="center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49" fontId="15" fillId="0" borderId="5" xfId="0" applyNumberFormat="1" applyFont="1" applyBorder="1" applyAlignment="1" applyProtection="1">
      <alignment horizontal="center"/>
    </xf>
    <xf numFmtId="3" fontId="10" fillId="0" borderId="5" xfId="0" applyNumberFormat="1" applyFont="1" applyBorder="1" applyAlignment="1" applyProtection="1">
      <alignment horizontal="center" vertical="center" wrapText="1"/>
    </xf>
    <xf numFmtId="3" fontId="15" fillId="0" borderId="5" xfId="0" applyNumberFormat="1" applyFont="1" applyBorder="1" applyProtection="1"/>
    <xf numFmtId="9" fontId="15" fillId="0" borderId="5" xfId="1047" applyFont="1" applyBorder="1" applyProtection="1"/>
    <xf numFmtId="3" fontId="15" fillId="0" borderId="5" xfId="1047" applyNumberFormat="1" applyFont="1" applyBorder="1" applyProtection="1"/>
    <xf numFmtId="167" fontId="15" fillId="0" borderId="0" xfId="1060" applyFont="1"/>
    <xf numFmtId="3" fontId="0" fillId="0" borderId="5" xfId="0" applyNumberFormat="1" applyFont="1" applyFill="1" applyBorder="1" applyAlignment="1" applyProtection="1">
      <alignment horizontal="left" vertical="center" wrapText="1" indent="1"/>
    </xf>
    <xf numFmtId="3" fontId="2" fillId="0" borderId="5" xfId="0" applyNumberFormat="1" applyFont="1" applyFill="1" applyBorder="1" applyAlignment="1" applyProtection="1">
      <alignment horizontal="left" vertical="center" wrapText="1" indent="3"/>
    </xf>
    <xf numFmtId="3" fontId="2" fillId="0" borderId="5" xfId="0" applyNumberFormat="1" applyFont="1" applyBorder="1" applyAlignment="1">
      <alignment horizontal="left" vertical="center" wrapText="1" indent="1"/>
    </xf>
    <xf numFmtId="3" fontId="4" fillId="0" borderId="5" xfId="0" applyNumberFormat="1" applyFont="1" applyBorder="1" applyAlignment="1">
      <alignment horizontal="left" vertical="center" indent="1"/>
    </xf>
    <xf numFmtId="3" fontId="4" fillId="0" borderId="5" xfId="0" applyNumberFormat="1" applyFont="1" applyBorder="1" applyAlignment="1" applyProtection="1">
      <alignment vertical="center"/>
      <protection hidden="1"/>
    </xf>
    <xf numFmtId="3" fontId="2" fillId="0" borderId="5" xfId="0" applyNumberFormat="1" applyFont="1" applyBorder="1" applyAlignment="1" applyProtection="1">
      <alignment vertical="center"/>
      <protection hidden="1"/>
    </xf>
    <xf numFmtId="169" fontId="2" fillId="0" borderId="5" xfId="0" applyNumberFormat="1" applyFont="1" applyBorder="1" applyAlignment="1" applyProtection="1">
      <alignment vertical="center"/>
      <protection hidden="1"/>
    </xf>
    <xf numFmtId="3" fontId="49" fillId="6" borderId="5" xfId="0" applyNumberFormat="1" applyFont="1" applyFill="1" applyBorder="1" applyAlignment="1" applyProtection="1">
      <alignment horizontal="center" vertical="center" wrapText="1"/>
    </xf>
    <xf numFmtId="3" fontId="19" fillId="6" borderId="2" xfId="0" applyNumberFormat="1" applyFont="1" applyFill="1" applyBorder="1" applyAlignment="1" applyProtection="1">
      <alignment horizontal="center" vertical="center" wrapText="1"/>
    </xf>
    <xf numFmtId="0" fontId="39" fillId="0" borderId="3" xfId="0" applyFont="1" applyBorder="1" applyAlignment="1" applyProtection="1">
      <alignment horizontal="center" vertical="center"/>
    </xf>
    <xf numFmtId="3" fontId="39" fillId="0" borderId="4" xfId="0" applyNumberFormat="1" applyFont="1" applyBorder="1" applyAlignment="1" applyProtection="1">
      <alignment vertical="center"/>
    </xf>
    <xf numFmtId="3" fontId="39" fillId="0" borderId="4" xfId="0" applyNumberFormat="1" applyFont="1" applyBorder="1" applyAlignment="1" applyProtection="1">
      <alignment vertical="center"/>
      <protection locked="0"/>
    </xf>
    <xf numFmtId="3" fontId="16" fillId="6" borderId="5" xfId="0" applyNumberFormat="1" applyFont="1" applyFill="1" applyBorder="1" applyAlignment="1" applyProtection="1">
      <alignment horizontal="center" vertical="center" wrapText="1"/>
    </xf>
    <xf numFmtId="3" fontId="24" fillId="6" borderId="5" xfId="0" applyNumberFormat="1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  <protection hidden="1"/>
    </xf>
    <xf numFmtId="3" fontId="19" fillId="6" borderId="2" xfId="0" applyNumberFormat="1" applyFont="1" applyFill="1" applyBorder="1" applyAlignment="1" applyProtection="1">
      <alignment horizontal="center" vertical="center" textRotation="90" wrapText="1"/>
    </xf>
    <xf numFmtId="49" fontId="2" fillId="0" borderId="5" xfId="0" applyNumberFormat="1" applyFont="1" applyBorder="1" applyAlignment="1" applyProtection="1">
      <alignment vertical="center"/>
    </xf>
    <xf numFmtId="49" fontId="11" fillId="0" borderId="0" xfId="0" applyNumberFormat="1" applyFont="1" applyBorder="1" applyAlignment="1">
      <alignment horizontal="centerContinuous" vertical="center"/>
    </xf>
    <xf numFmtId="3" fontId="45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45" fillId="0" borderId="0" xfId="0" applyNumberFormat="1" applyFont="1" applyBorder="1" applyAlignment="1">
      <alignment vertical="center"/>
    </xf>
    <xf numFmtId="0" fontId="88" fillId="21" borderId="5" xfId="718" applyNumberFormat="1" applyFont="1" applyFill="1" applyBorder="1" applyAlignment="1" applyProtection="1">
      <alignment horizontal="left" vertical="center" wrapText="1" indent="2"/>
    </xf>
    <xf numFmtId="0" fontId="109" fillId="21" borderId="5" xfId="718" applyNumberFormat="1" applyFont="1" applyFill="1" applyBorder="1" applyAlignment="1" applyProtection="1">
      <alignment horizontal="left" vertical="center" wrapText="1" indent="4"/>
    </xf>
    <xf numFmtId="0" fontId="89" fillId="21" borderId="5" xfId="718" applyNumberFormat="1" applyFont="1" applyFill="1" applyBorder="1" applyAlignment="1" applyProtection="1">
      <alignment horizontal="left" vertical="center" wrapText="1" indent="1"/>
    </xf>
    <xf numFmtId="0" fontId="89" fillId="0" borderId="5" xfId="718" applyNumberFormat="1" applyFont="1" applyFill="1" applyBorder="1" applyAlignment="1" applyProtection="1">
      <alignment horizontal="left" vertical="center" wrapText="1" indent="1"/>
    </xf>
    <xf numFmtId="3" fontId="39" fillId="0" borderId="5" xfId="0" applyNumberFormat="1" applyFont="1" applyFill="1" applyBorder="1" applyAlignment="1">
      <alignment horizontal="center" vertical="center" wrapText="1"/>
    </xf>
    <xf numFmtId="3" fontId="94" fillId="0" borderId="0" xfId="0" applyNumberFormat="1" applyFont="1"/>
    <xf numFmtId="3" fontId="110" fillId="0" borderId="0" xfId="0" applyNumberFormat="1" applyFont="1"/>
    <xf numFmtId="0" fontId="111" fillId="0" borderId="0" xfId="0" applyFont="1" applyProtection="1"/>
    <xf numFmtId="167" fontId="111" fillId="0" borderId="0" xfId="1060" applyFont="1" applyBorder="1" applyProtection="1"/>
    <xf numFmtId="0" fontId="111" fillId="0" borderId="0" xfId="0" applyFont="1" applyAlignment="1" applyProtection="1">
      <alignment vertical="center"/>
    </xf>
    <xf numFmtId="167" fontId="111" fillId="0" borderId="0" xfId="1060" applyFont="1" applyBorder="1" applyAlignment="1" applyProtection="1">
      <alignment vertical="center"/>
    </xf>
    <xf numFmtId="0" fontId="102" fillId="0" borderId="0" xfId="0" applyFont="1" applyFill="1" applyAlignment="1" applyProtection="1">
      <alignment vertical="center"/>
    </xf>
    <xf numFmtId="3" fontId="112" fillId="0" borderId="0" xfId="0" applyNumberFormat="1" applyFont="1" applyProtection="1"/>
    <xf numFmtId="167" fontId="112" fillId="0" borderId="0" xfId="1060" applyFont="1" applyBorder="1" applyProtection="1"/>
    <xf numFmtId="0" fontId="112" fillId="0" borderId="0" xfId="0" applyFont="1" applyProtection="1"/>
    <xf numFmtId="0" fontId="112" fillId="0" borderId="0" xfId="0" applyFont="1" applyAlignment="1" applyProtection="1">
      <alignment vertical="center"/>
    </xf>
    <xf numFmtId="167" fontId="112" fillId="0" borderId="0" xfId="1060" applyFont="1" applyBorder="1" applyAlignment="1" applyProtection="1">
      <alignment vertical="center"/>
    </xf>
    <xf numFmtId="171" fontId="112" fillId="0" borderId="0" xfId="1060" applyNumberFormat="1" applyFont="1" applyAlignment="1" applyProtection="1">
      <alignment vertical="center"/>
    </xf>
    <xf numFmtId="3" fontId="111" fillId="0" borderId="0" xfId="0" applyNumberFormat="1" applyFont="1" applyAlignment="1" applyProtection="1">
      <alignment vertical="center"/>
    </xf>
    <xf numFmtId="0" fontId="111" fillId="0" borderId="0" xfId="0" applyFont="1" applyFill="1" applyAlignment="1" applyProtection="1">
      <alignment vertical="center"/>
    </xf>
    <xf numFmtId="167" fontId="111" fillId="0" borderId="0" xfId="1060" applyFont="1" applyFill="1" applyBorder="1" applyAlignment="1" applyProtection="1">
      <alignment vertical="center"/>
    </xf>
    <xf numFmtId="3" fontId="111" fillId="0" borderId="0" xfId="0" applyNumberFormat="1" applyFont="1" applyFill="1" applyAlignment="1" applyProtection="1">
      <alignment vertical="center"/>
    </xf>
    <xf numFmtId="0" fontId="113" fillId="0" borderId="0" xfId="0" applyFont="1" applyFill="1" applyAlignment="1" applyProtection="1">
      <alignment vertical="center"/>
    </xf>
    <xf numFmtId="167" fontId="113" fillId="0" borderId="0" xfId="1060" applyFont="1" applyFill="1" applyBorder="1" applyAlignment="1" applyProtection="1">
      <alignment vertical="center"/>
    </xf>
    <xf numFmtId="3" fontId="113" fillId="0" borderId="0" xfId="0" applyNumberFormat="1" applyFont="1" applyFill="1" applyAlignment="1" applyProtection="1">
      <alignment vertical="center"/>
    </xf>
    <xf numFmtId="0" fontId="113" fillId="0" borderId="0" xfId="0" applyFont="1" applyAlignment="1" applyProtection="1">
      <alignment vertical="center"/>
    </xf>
    <xf numFmtId="167" fontId="113" fillId="0" borderId="0" xfId="1060" applyFont="1" applyBorder="1" applyAlignment="1" applyProtection="1">
      <alignment vertical="center"/>
    </xf>
    <xf numFmtId="0" fontId="114" fillId="0" borderId="0" xfId="0" applyFont="1" applyProtection="1"/>
    <xf numFmtId="0" fontId="114" fillId="0" borderId="0" xfId="0" applyFont="1" applyBorder="1" applyProtection="1"/>
    <xf numFmtId="3" fontId="114" fillId="0" borderId="0" xfId="0" applyNumberFormat="1" applyFont="1" applyBorder="1" applyProtection="1"/>
    <xf numFmtId="3" fontId="114" fillId="0" borderId="0" xfId="0" applyNumberFormat="1" applyFont="1" applyProtection="1"/>
    <xf numFmtId="0" fontId="114" fillId="22" borderId="0" xfId="0" applyFont="1" applyFill="1" applyBorder="1" applyProtection="1"/>
    <xf numFmtId="0" fontId="115" fillId="0" borderId="0" xfId="0" applyFont="1" applyProtection="1"/>
    <xf numFmtId="0" fontId="115" fillId="0" borderId="0" xfId="0" applyFont="1" applyBorder="1" applyProtection="1"/>
    <xf numFmtId="3" fontId="115" fillId="0" borderId="0" xfId="0" applyNumberFormat="1" applyFont="1" applyBorder="1" applyProtection="1"/>
    <xf numFmtId="0" fontId="114" fillId="0" borderId="0" xfId="0" applyFont="1"/>
    <xf numFmtId="0" fontId="114" fillId="0" borderId="0" xfId="0" applyFont="1" applyAlignment="1">
      <alignment vertical="center"/>
    </xf>
    <xf numFmtId="3" fontId="114" fillId="0" borderId="0" xfId="0" applyNumberFormat="1" applyFont="1" applyAlignment="1">
      <alignment vertical="center"/>
    </xf>
    <xf numFmtId="0" fontId="116" fillId="0" borderId="0" xfId="0" applyFont="1" applyProtection="1"/>
    <xf numFmtId="0" fontId="116" fillId="0" borderId="0" xfId="0" applyFont="1" applyAlignment="1" applyProtection="1">
      <alignment vertical="center"/>
    </xf>
    <xf numFmtId="3" fontId="117" fillId="0" borderId="0" xfId="0" applyNumberFormat="1" applyFont="1" applyAlignment="1" applyProtection="1">
      <alignment vertical="center"/>
    </xf>
    <xf numFmtId="0" fontId="117" fillId="0" borderId="0" xfId="0" applyFont="1" applyAlignment="1" applyProtection="1">
      <alignment vertical="center"/>
    </xf>
    <xf numFmtId="0" fontId="115" fillId="0" borderId="0" xfId="0" applyFont="1" applyAlignment="1" applyProtection="1">
      <alignment vertical="center"/>
    </xf>
    <xf numFmtId="0" fontId="115" fillId="0" borderId="0" xfId="0" applyFont="1" applyBorder="1" applyAlignment="1" applyProtection="1">
      <alignment vertical="center"/>
    </xf>
    <xf numFmtId="3" fontId="115" fillId="0" borderId="0" xfId="0" applyNumberFormat="1" applyFont="1" applyBorder="1" applyAlignment="1" applyProtection="1">
      <alignment vertical="center"/>
    </xf>
    <xf numFmtId="3" fontId="115" fillId="0" borderId="0" xfId="0" applyNumberFormat="1" applyFont="1" applyAlignment="1" applyProtection="1">
      <alignment vertical="center"/>
    </xf>
    <xf numFmtId="0" fontId="115" fillId="0" borderId="0" xfId="0" applyFont="1" applyBorder="1" applyAlignment="1" applyProtection="1">
      <alignment vertical="center" wrapText="1"/>
    </xf>
    <xf numFmtId="0" fontId="115" fillId="0" borderId="0" xfId="0" applyFont="1" applyFill="1" applyBorder="1" applyProtection="1"/>
    <xf numFmtId="3" fontId="118" fillId="0" borderId="0" xfId="0" applyNumberFormat="1" applyFont="1" applyBorder="1" applyAlignment="1">
      <alignment vertical="center"/>
    </xf>
    <xf numFmtId="0" fontId="119" fillId="0" borderId="0" xfId="0" applyFont="1" applyAlignment="1">
      <alignment vertical="center"/>
    </xf>
    <xf numFmtId="3" fontId="120" fillId="0" borderId="0" xfId="0" applyNumberFormat="1" applyFont="1" applyBorder="1" applyAlignment="1">
      <alignment vertical="center"/>
    </xf>
    <xf numFmtId="0" fontId="110" fillId="0" borderId="0" xfId="0" applyFont="1" applyFill="1"/>
    <xf numFmtId="3" fontId="110" fillId="0" borderId="0" xfId="1048" applyNumberFormat="1" applyFont="1" applyFill="1" applyBorder="1" applyProtection="1">
      <protection hidden="1"/>
    </xf>
    <xf numFmtId="0" fontId="19" fillId="0" borderId="0" xfId="0" applyFont="1"/>
    <xf numFmtId="0" fontId="121" fillId="0" borderId="0" xfId="0" applyFont="1"/>
    <xf numFmtId="0" fontId="82" fillId="0" borderId="0" xfId="0" applyFont="1"/>
    <xf numFmtId="49" fontId="88" fillId="24" borderId="5" xfId="785" applyNumberFormat="1" applyFont="1" applyFill="1" applyBorder="1" applyAlignment="1" applyProtection="1">
      <alignment horizontal="center" vertical="center" wrapText="1"/>
    </xf>
    <xf numFmtId="0" fontId="88" fillId="24" borderId="5" xfId="785" applyNumberFormat="1" applyFont="1" applyFill="1" applyBorder="1" applyAlignment="1" applyProtection="1">
      <alignment horizontal="center" vertical="center" wrapText="1"/>
    </xf>
    <xf numFmtId="3" fontId="88" fillId="24" borderId="5" xfId="785" applyNumberFormat="1" applyFont="1" applyFill="1" applyBorder="1" applyAlignment="1" applyProtection="1">
      <alignment horizontal="center" vertical="center" wrapText="1"/>
    </xf>
    <xf numFmtId="49" fontId="19" fillId="24" borderId="5" xfId="785" applyNumberFormat="1" applyFont="1" applyFill="1" applyBorder="1" applyAlignment="1" applyProtection="1">
      <alignment horizontal="center" vertical="center" wrapText="1"/>
    </xf>
    <xf numFmtId="0" fontId="16" fillId="24" borderId="5" xfId="785" applyNumberFormat="1" applyFont="1" applyFill="1" applyBorder="1" applyAlignment="1" applyProtection="1">
      <alignment horizontal="center" vertical="center" wrapText="1"/>
    </xf>
    <xf numFmtId="3" fontId="19" fillId="24" borderId="5" xfId="785" applyNumberFormat="1" applyFont="1" applyFill="1" applyBorder="1" applyAlignment="1" applyProtection="1">
      <alignment horizontal="center" vertical="center" wrapText="1"/>
    </xf>
    <xf numFmtId="49" fontId="10" fillId="0" borderId="5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left" vertical="center" wrapText="1" indent="1"/>
    </xf>
    <xf numFmtId="3" fontId="15" fillId="0" borderId="5" xfId="0" applyNumberFormat="1" applyFont="1" applyFill="1" applyBorder="1" applyAlignment="1" applyProtection="1">
      <alignment vertical="center"/>
    </xf>
    <xf numFmtId="9" fontId="15" fillId="0" borderId="5" xfId="1047" applyFont="1" applyFill="1" applyBorder="1" applyAlignment="1" applyProtection="1">
      <alignment vertical="center"/>
    </xf>
    <xf numFmtId="3" fontId="15" fillId="0" borderId="5" xfId="1047" applyNumberFormat="1" applyFont="1" applyBorder="1" applyAlignment="1" applyProtection="1">
      <alignment vertical="center"/>
    </xf>
    <xf numFmtId="3" fontId="15" fillId="7" borderId="5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49" fontId="10" fillId="0" borderId="5" xfId="0" quotePrefix="1" applyNumberFormat="1" applyFont="1" applyBorder="1" applyAlignment="1" applyProtection="1">
      <alignment horizontal="center" vertical="center"/>
    </xf>
    <xf numFmtId="3" fontId="10" fillId="0" borderId="5" xfId="0" applyNumberFormat="1" applyFont="1" applyBorder="1" applyAlignment="1" applyProtection="1">
      <alignment horizontal="left" vertical="center" indent="1"/>
    </xf>
    <xf numFmtId="3" fontId="3" fillId="0" borderId="5" xfId="0" applyNumberFormat="1" applyFont="1" applyFill="1" applyBorder="1" applyAlignment="1" applyProtection="1">
      <alignment horizontal="center" vertical="center"/>
    </xf>
    <xf numFmtId="3" fontId="15" fillId="6" borderId="5" xfId="0" applyNumberFormat="1" applyFont="1" applyFill="1" applyBorder="1" applyAlignment="1">
      <alignment horizontal="center"/>
    </xf>
    <xf numFmtId="3" fontId="10" fillId="6" borderId="5" xfId="0" applyNumberFormat="1" applyFont="1" applyFill="1" applyBorder="1"/>
    <xf numFmtId="3" fontId="15" fillId="6" borderId="5" xfId="0" applyNumberFormat="1" applyFont="1" applyFill="1" applyBorder="1" applyProtection="1"/>
    <xf numFmtId="3" fontId="15" fillId="6" borderId="5" xfId="0" applyNumberFormat="1" applyFont="1" applyFill="1" applyBorder="1"/>
    <xf numFmtId="0" fontId="15" fillId="0" borderId="0" xfId="0" applyFont="1" applyBorder="1"/>
    <xf numFmtId="3" fontId="15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vertical="center"/>
    </xf>
    <xf numFmtId="3" fontId="15" fillId="0" borderId="5" xfId="0" applyNumberFormat="1" applyFont="1" applyBorder="1" applyAlignment="1" applyProtection="1">
      <alignment vertical="center"/>
    </xf>
    <xf numFmtId="3" fontId="15" fillId="0" borderId="5" xfId="0" applyNumberFormat="1" applyFont="1" applyBorder="1" applyAlignment="1" applyProtection="1">
      <alignment vertical="center"/>
      <protection locked="0"/>
    </xf>
    <xf numFmtId="3" fontId="15" fillId="0" borderId="0" xfId="0" applyNumberFormat="1" applyFont="1"/>
    <xf numFmtId="9" fontId="15" fillId="0" borderId="0" xfId="0" applyNumberFormat="1" applyFont="1"/>
    <xf numFmtId="3" fontId="15" fillId="0" borderId="5" xfId="0" applyNumberFormat="1" applyFont="1" applyFill="1" applyBorder="1" applyAlignment="1">
      <alignment horizontal="center" vertical="center"/>
    </xf>
    <xf numFmtId="3" fontId="15" fillId="0" borderId="5" xfId="0" applyNumberFormat="1" applyFont="1" applyFill="1" applyBorder="1" applyAlignment="1">
      <alignment vertical="center"/>
    </xf>
    <xf numFmtId="3" fontId="15" fillId="0" borderId="5" xfId="0" applyNumberFormat="1" applyFont="1" applyBorder="1" applyAlignment="1" applyProtection="1">
      <alignment horizontal="right" vertical="center"/>
      <protection locked="0"/>
    </xf>
    <xf numFmtId="0" fontId="15" fillId="0" borderId="0" xfId="0" applyFont="1" applyFill="1"/>
    <xf numFmtId="3" fontId="15" fillId="0" borderId="5" xfId="0" quotePrefix="1" applyNumberFormat="1" applyFont="1" applyFill="1" applyBorder="1" applyAlignment="1">
      <alignment horizontal="left" vertical="center"/>
    </xf>
    <xf numFmtId="3" fontId="10" fillId="6" borderId="5" xfId="0" applyNumberFormat="1" applyFont="1" applyFill="1" applyBorder="1" applyAlignment="1">
      <alignment vertical="center"/>
    </xf>
    <xf numFmtId="3" fontId="15" fillId="6" borderId="5" xfId="0" applyNumberFormat="1" applyFont="1" applyFill="1" applyBorder="1" applyAlignment="1" applyProtection="1">
      <alignment vertical="center"/>
    </xf>
    <xf numFmtId="3" fontId="15" fillId="6" borderId="5" xfId="0" applyNumberFormat="1" applyFont="1" applyFill="1" applyBorder="1" applyAlignment="1">
      <alignment vertical="center"/>
    </xf>
    <xf numFmtId="0" fontId="15" fillId="0" borderId="0" xfId="0" applyFont="1" applyFill="1" applyBorder="1"/>
    <xf numFmtId="3" fontId="15" fillId="6" borderId="5" xfId="0" applyNumberFormat="1" applyFont="1" applyFill="1" applyBorder="1" applyAlignment="1" applyProtection="1">
      <alignment vertical="center"/>
      <protection locked="0"/>
    </xf>
    <xf numFmtId="3" fontId="15" fillId="6" borderId="5" xfId="0" applyNumberFormat="1" applyFont="1" applyFill="1" applyBorder="1" applyAlignment="1" applyProtection="1">
      <alignment horizontal="center" vertical="center" textRotation="90" wrapText="1"/>
    </xf>
    <xf numFmtId="0" fontId="15" fillId="0" borderId="0" xfId="0" applyFont="1" applyBorder="1" applyAlignment="1">
      <alignment horizontal="center" vertical="center" textRotation="90" wrapText="1"/>
    </xf>
    <xf numFmtId="3" fontId="56" fillId="0" borderId="4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4" xfId="0" applyNumberFormat="1" applyFont="1" applyFill="1" applyBorder="1" applyAlignment="1">
      <alignment horizontal="center" vertical="center"/>
    </xf>
    <xf numFmtId="3" fontId="7" fillId="0" borderId="4" xfId="0" quotePrefix="1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57" fillId="0" borderId="0" xfId="0" applyNumberFormat="1" applyFont="1" applyBorder="1"/>
    <xf numFmtId="0" fontId="122" fillId="0" borderId="0" xfId="0" applyFont="1" applyAlignment="1" applyProtection="1">
      <alignment vertical="center"/>
    </xf>
    <xf numFmtId="3" fontId="42" fillId="0" borderId="5" xfId="1060" applyNumberFormat="1" applyFont="1" applyFill="1" applyBorder="1" applyAlignment="1" applyProtection="1">
      <alignment horizontal="center"/>
      <protection locked="0"/>
    </xf>
    <xf numFmtId="167" fontId="122" fillId="0" borderId="0" xfId="1060" applyFont="1" applyBorder="1" applyAlignment="1" applyProtection="1">
      <alignment vertical="center"/>
    </xf>
    <xf numFmtId="3" fontId="122" fillId="0" borderId="5" xfId="1060" applyNumberFormat="1" applyFont="1" applyFill="1" applyBorder="1" applyAlignment="1" applyProtection="1">
      <alignment horizontal="center"/>
    </xf>
    <xf numFmtId="0" fontId="17" fillId="0" borderId="8" xfId="0" applyFont="1" applyBorder="1" applyAlignment="1" applyProtection="1">
      <alignment horizontal="centerContinuous" vertical="center" wrapText="1"/>
      <protection hidden="1"/>
    </xf>
    <xf numFmtId="0" fontId="17" fillId="0" borderId="9" xfId="0" applyFont="1" applyBorder="1" applyAlignment="1" applyProtection="1">
      <alignment horizontal="centerContinuous" vertical="center"/>
      <protection hidden="1"/>
    </xf>
    <xf numFmtId="0" fontId="17" fillId="0" borderId="10" xfId="0" applyFont="1" applyBorder="1" applyAlignment="1" applyProtection="1">
      <alignment horizontal="centerContinuous" vertical="center"/>
      <protection hidden="1"/>
    </xf>
    <xf numFmtId="0" fontId="17" fillId="0" borderId="8" xfId="0" applyFont="1" applyFill="1" applyBorder="1" applyAlignment="1" applyProtection="1">
      <alignment horizontal="centerContinuous" vertical="center" wrapText="1"/>
      <protection hidden="1"/>
    </xf>
    <xf numFmtId="0" fontId="17" fillId="0" borderId="9" xfId="0" applyFont="1" applyFill="1" applyBorder="1" applyAlignment="1" applyProtection="1">
      <alignment horizontal="centerContinuous" vertical="center"/>
      <protection hidden="1"/>
    </xf>
    <xf numFmtId="0" fontId="17" fillId="0" borderId="10" xfId="0" applyFont="1" applyFill="1" applyBorder="1" applyAlignment="1" applyProtection="1">
      <alignment horizontal="centerContinuous" vertical="center"/>
      <protection hidden="1"/>
    </xf>
    <xf numFmtId="0" fontId="17" fillId="0" borderId="3" xfId="0" applyFont="1" applyFill="1" applyBorder="1" applyAlignment="1" applyProtection="1">
      <alignment horizontal="centerContinuous" vertical="center"/>
      <protection hidden="1"/>
    </xf>
    <xf numFmtId="0" fontId="17" fillId="0" borderId="7" xfId="0" applyFont="1" applyFill="1" applyBorder="1" applyAlignment="1" applyProtection="1">
      <alignment horizontal="centerContinuous" vertical="center"/>
      <protection hidden="1"/>
    </xf>
    <xf numFmtId="0" fontId="17" fillId="0" borderId="13" xfId="0" applyFont="1" applyFill="1" applyBorder="1" applyAlignment="1" applyProtection="1">
      <alignment horizontal="centerContinuous" vertical="center"/>
      <protection hidden="1"/>
    </xf>
    <xf numFmtId="0" fontId="17" fillId="0" borderId="0" xfId="0" applyFont="1" applyFill="1" applyBorder="1" applyAlignment="1" applyProtection="1">
      <alignment horizontal="centerContinuous" vertical="center" wrapText="1"/>
      <protection hidden="1"/>
    </xf>
    <xf numFmtId="0" fontId="17" fillId="0" borderId="15" xfId="0" applyFont="1" applyFill="1" applyBorder="1" applyAlignment="1" applyProtection="1">
      <alignment horizontal="centerContinuous" vertical="center" wrapText="1"/>
      <protection hidden="1"/>
    </xf>
    <xf numFmtId="9" fontId="39" fillId="0" borderId="5" xfId="1047" applyFont="1" applyFill="1" applyBorder="1" applyAlignment="1" applyProtection="1">
      <alignment horizontal="center" vertical="center"/>
    </xf>
    <xf numFmtId="3" fontId="48" fillId="0" borderId="0" xfId="0" applyNumberFormat="1" applyFont="1" applyBorder="1" applyAlignment="1">
      <alignment horizontal="centerContinuous"/>
    </xf>
    <xf numFmtId="0" fontId="58" fillId="0" borderId="0" xfId="0" applyFont="1"/>
    <xf numFmtId="3" fontId="48" fillId="0" borderId="0" xfId="0" applyNumberFormat="1" applyFont="1" applyBorder="1" applyAlignment="1">
      <alignment horizontal="center"/>
    </xf>
    <xf numFmtId="3" fontId="48" fillId="0" borderId="0" xfId="0" applyNumberFormat="1" applyFont="1" applyBorder="1" applyAlignment="1">
      <alignment horizontal="centerContinuous" vertical="center"/>
    </xf>
    <xf numFmtId="0" fontId="50" fillId="0" borderId="0" xfId="785" applyNumberFormat="1" applyFont="1" applyFill="1" applyBorder="1" applyAlignment="1" applyProtection="1">
      <alignment horizontal="center" vertical="center"/>
    </xf>
    <xf numFmtId="3" fontId="49" fillId="6" borderId="2" xfId="0" applyNumberFormat="1" applyFont="1" applyFill="1" applyBorder="1" applyAlignment="1" applyProtection="1">
      <alignment horizontal="center" vertical="center" wrapText="1"/>
    </xf>
    <xf numFmtId="3" fontId="7" fillId="0" borderId="16" xfId="0" applyNumberFormat="1" applyFont="1" applyBorder="1"/>
    <xf numFmtId="3" fontId="49" fillId="0" borderId="0" xfId="0" applyNumberFormat="1" applyFont="1" applyBorder="1" applyAlignment="1">
      <alignment horizontal="centerContinuous"/>
    </xf>
    <xf numFmtId="3" fontId="7" fillId="0" borderId="0" xfId="0" applyNumberFormat="1" applyFont="1" applyBorder="1"/>
    <xf numFmtId="3" fontId="3" fillId="0" borderId="0" xfId="0" applyNumberFormat="1" applyFont="1" applyBorder="1"/>
    <xf numFmtId="3" fontId="7" fillId="0" borderId="15" xfId="0" applyNumberFormat="1" applyFont="1" applyBorder="1"/>
    <xf numFmtId="173" fontId="11" fillId="0" borderId="16" xfId="0" applyNumberFormat="1" applyFont="1" applyBorder="1" applyAlignment="1">
      <alignment horizontal="centerContinuous"/>
    </xf>
    <xf numFmtId="0" fontId="45" fillId="0" borderId="0" xfId="0" applyFont="1" applyBorder="1"/>
    <xf numFmtId="3" fontId="45" fillId="0" borderId="15" xfId="0" applyNumberFormat="1" applyFont="1" applyBorder="1" applyAlignment="1">
      <alignment horizontal="centerContinuous"/>
    </xf>
    <xf numFmtId="3" fontId="59" fillId="0" borderId="0" xfId="0" applyNumberFormat="1" applyFont="1" applyBorder="1" applyAlignment="1">
      <alignment horizontal="centerContinuous"/>
    </xf>
    <xf numFmtId="3" fontId="60" fillId="0" borderId="0" xfId="0" applyNumberFormat="1" applyFont="1" applyBorder="1" applyAlignment="1">
      <alignment horizontal="centerContinuous"/>
    </xf>
    <xf numFmtId="0" fontId="60" fillId="0" borderId="0" xfId="0" applyFont="1" applyBorder="1"/>
    <xf numFmtId="3" fontId="59" fillId="0" borderId="0" xfId="0" applyNumberFormat="1" applyFont="1" applyBorder="1" applyAlignment="1">
      <alignment horizontal="center"/>
    </xf>
    <xf numFmtId="0" fontId="123" fillId="0" borderId="0" xfId="0" applyFont="1"/>
    <xf numFmtId="0" fontId="60" fillId="0" borderId="0" xfId="0" applyFont="1"/>
    <xf numFmtId="173" fontId="0" fillId="0" borderId="0" xfId="0" applyNumberFormat="1" applyFont="1" applyBorder="1" applyAlignment="1" applyProtection="1">
      <alignment horizontal="center"/>
      <protection locked="0"/>
    </xf>
    <xf numFmtId="0" fontId="124" fillId="0" borderId="0" xfId="785" applyNumberFormat="1" applyFont="1" applyFill="1" applyBorder="1" applyAlignment="1" applyProtection="1">
      <alignment horizontal="right" vertical="top" indent="2"/>
    </xf>
    <xf numFmtId="15" fontId="47" fillId="0" borderId="0" xfId="785" applyNumberFormat="1" applyFont="1" applyFill="1" applyBorder="1" applyAlignment="1" applyProtection="1">
      <alignment vertical="top"/>
    </xf>
    <xf numFmtId="0" fontId="62" fillId="0" borderId="0" xfId="785" applyNumberFormat="1" applyFont="1" applyFill="1" applyBorder="1" applyAlignment="1" applyProtection="1">
      <alignment vertical="top"/>
    </xf>
    <xf numFmtId="3" fontId="62" fillId="0" borderId="0" xfId="785" applyNumberFormat="1" applyFont="1" applyFill="1" applyBorder="1" applyAlignment="1" applyProtection="1">
      <alignment vertical="top"/>
    </xf>
    <xf numFmtId="0" fontId="63" fillId="0" borderId="0" xfId="785" applyNumberFormat="1" applyFont="1" applyFill="1" applyBorder="1" applyAlignment="1" applyProtection="1">
      <alignment horizontal="center" vertical="top"/>
    </xf>
    <xf numFmtId="0" fontId="125" fillId="21" borderId="5" xfId="718" applyNumberFormat="1" applyFont="1" applyFill="1" applyBorder="1" applyAlignment="1" applyProtection="1">
      <alignment horizontal="center" vertical="center" wrapText="1"/>
    </xf>
    <xf numFmtId="0" fontId="125" fillId="21" borderId="5" xfId="718" applyNumberFormat="1" applyFont="1" applyFill="1" applyBorder="1" applyAlignment="1" applyProtection="1">
      <alignment horizontal="left" vertical="center" wrapText="1" indent="2"/>
    </xf>
    <xf numFmtId="9" fontId="55" fillId="21" borderId="5" xfId="1047" applyFont="1" applyFill="1" applyBorder="1" applyAlignment="1" applyProtection="1">
      <alignment horizontal="center" vertical="center" wrapText="1"/>
      <protection locked="0"/>
    </xf>
    <xf numFmtId="0" fontId="55" fillId="0" borderId="0" xfId="718" applyNumberFormat="1" applyFont="1" applyFill="1" applyBorder="1" applyAlignment="1" applyProtection="1">
      <alignment horizontal="center" vertical="center"/>
    </xf>
    <xf numFmtId="0" fontId="55" fillId="0" borderId="0" xfId="718" applyNumberFormat="1" applyFont="1" applyFill="1" applyBorder="1" applyAlignment="1" applyProtection="1">
      <alignment vertical="center"/>
    </xf>
    <xf numFmtId="0" fontId="126" fillId="21" borderId="5" xfId="718" applyNumberFormat="1" applyFont="1" applyFill="1" applyBorder="1" applyAlignment="1" applyProtection="1">
      <alignment horizontal="left" vertical="center" wrapText="1" indent="1"/>
    </xf>
    <xf numFmtId="176" fontId="19" fillId="0" borderId="5" xfId="718" applyNumberFormat="1" applyFont="1" applyFill="1" applyBorder="1" applyAlignment="1" applyProtection="1">
      <alignment horizontal="center" vertical="center" wrapText="1"/>
    </xf>
    <xf numFmtId="176" fontId="19" fillId="0" borderId="5" xfId="718" applyNumberFormat="1" applyFont="1" applyFill="1" applyBorder="1" applyAlignment="1" applyProtection="1">
      <alignment horizontal="center" vertical="center" wrapText="1"/>
      <protection locked="0"/>
    </xf>
    <xf numFmtId="176" fontId="16" fillId="0" borderId="5" xfId="718" applyNumberFormat="1" applyFont="1" applyFill="1" applyBorder="1" applyAlignment="1" applyProtection="1">
      <alignment horizontal="center" vertical="center" wrapText="1"/>
    </xf>
    <xf numFmtId="174" fontId="88" fillId="0" borderId="5" xfId="1047" applyNumberFormat="1" applyFont="1" applyFill="1" applyBorder="1" applyAlignment="1" applyProtection="1">
      <alignment horizontal="center" vertical="center" wrapText="1"/>
    </xf>
    <xf numFmtId="3" fontId="4" fillId="0" borderId="5" xfId="0" applyNumberFormat="1" applyFont="1" applyFill="1" applyBorder="1" applyAlignment="1" applyProtection="1">
      <alignment vertical="center"/>
    </xf>
    <xf numFmtId="3" fontId="1" fillId="0" borderId="5" xfId="0" applyNumberFormat="1" applyFont="1" applyBorder="1" applyProtection="1">
      <protection locked="0"/>
    </xf>
    <xf numFmtId="3" fontId="0" fillId="0" borderId="5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5" xfId="0" applyNumberFormat="1" applyFont="1" applyFill="1" applyBorder="1" applyAlignment="1" applyProtection="1">
      <alignment vertical="center"/>
    </xf>
    <xf numFmtId="3" fontId="0" fillId="0" borderId="5" xfId="0" applyNumberFormat="1" applyFont="1" applyFill="1" applyBorder="1" applyAlignment="1">
      <alignment horizontal="right" vertical="center" wrapText="1"/>
    </xf>
    <xf numFmtId="9" fontId="7" fillId="0" borderId="5" xfId="1047" applyFont="1" applyBorder="1" applyAlignment="1" applyProtection="1">
      <alignment horizontal="right" vertical="center"/>
      <protection locked="0"/>
    </xf>
    <xf numFmtId="9" fontId="15" fillId="0" borderId="5" xfId="1047" applyFont="1" applyBorder="1" applyAlignment="1" applyProtection="1">
      <alignment vertical="center"/>
      <protection locked="0"/>
    </xf>
    <xf numFmtId="9" fontId="15" fillId="6" borderId="5" xfId="1047" applyFont="1" applyFill="1" applyBorder="1" applyAlignment="1">
      <alignment vertical="center"/>
    </xf>
    <xf numFmtId="9" fontId="15" fillId="6" borderId="5" xfId="1047" applyFont="1" applyFill="1" applyBorder="1" applyAlignment="1" applyProtection="1">
      <alignment vertical="center"/>
      <protection locked="0"/>
    </xf>
    <xf numFmtId="9" fontId="15" fillId="6" borderId="5" xfId="1047" applyFont="1" applyFill="1" applyBorder="1" applyAlignment="1" applyProtection="1">
      <alignment vertical="center"/>
    </xf>
    <xf numFmtId="9" fontId="15" fillId="0" borderId="5" xfId="1047" applyFont="1" applyBorder="1" applyAlignment="1" applyProtection="1">
      <alignment vertical="center"/>
    </xf>
    <xf numFmtId="3" fontId="127" fillId="0" borderId="0" xfId="785" applyNumberFormat="1" applyFont="1" applyFill="1" applyBorder="1" applyAlignment="1" applyProtection="1">
      <alignment vertical="top"/>
    </xf>
    <xf numFmtId="3" fontId="0" fillId="0" borderId="0" xfId="0" applyNumberFormat="1" applyFont="1" applyFill="1" applyBorder="1"/>
    <xf numFmtId="0" fontId="0" fillId="0" borderId="0" xfId="0" applyFont="1" applyFill="1"/>
    <xf numFmtId="9" fontId="128" fillId="0" borderId="0" xfId="1048" applyFont="1" applyFill="1" applyBorder="1" applyProtection="1">
      <protection hidden="1"/>
    </xf>
    <xf numFmtId="3" fontId="0" fillId="0" borderId="0" xfId="0" applyNumberFormat="1" applyFont="1" applyFill="1"/>
    <xf numFmtId="3" fontId="128" fillId="0" borderId="0" xfId="0" applyNumberFormat="1" applyFont="1" applyFill="1"/>
    <xf numFmtId="3" fontId="128" fillId="0" borderId="0" xfId="0" applyNumberFormat="1" applyFont="1" applyBorder="1"/>
    <xf numFmtId="3" fontId="0" fillId="0" borderId="0" xfId="0" applyNumberFormat="1" applyFont="1"/>
    <xf numFmtId="3" fontId="128" fillId="0" borderId="0" xfId="0" applyNumberFormat="1" applyFont="1"/>
    <xf numFmtId="0" fontId="94" fillId="0" borderId="0" xfId="0" applyFont="1" applyFill="1"/>
    <xf numFmtId="3" fontId="19" fillId="6" borderId="5" xfId="0" applyNumberFormat="1" applyFont="1" applyFill="1" applyBorder="1" applyAlignment="1" applyProtection="1">
      <alignment horizontal="center" vertical="center" wrapText="1"/>
    </xf>
    <xf numFmtId="0" fontId="129" fillId="0" borderId="0" xfId="0" applyFont="1" applyProtection="1"/>
    <xf numFmtId="0" fontId="130" fillId="0" borderId="0" xfId="0" applyFont="1" applyProtection="1"/>
    <xf numFmtId="0" fontId="129" fillId="0" borderId="0" xfId="0" applyFont="1" applyAlignment="1" applyProtection="1">
      <alignment vertical="center"/>
    </xf>
    <xf numFmtId="0" fontId="130" fillId="0" borderId="0" xfId="0" applyFont="1" applyAlignment="1" applyProtection="1">
      <alignment vertical="center"/>
    </xf>
    <xf numFmtId="0" fontId="129" fillId="0" borderId="0" xfId="0" applyFont="1" applyAlignment="1" applyProtection="1">
      <alignment vertical="center" wrapText="1"/>
    </xf>
    <xf numFmtId="0" fontId="130" fillId="0" borderId="0" xfId="0" applyFont="1" applyAlignment="1" applyProtection="1">
      <alignment vertical="center" wrapText="1"/>
    </xf>
    <xf numFmtId="3" fontId="23" fillId="21" borderId="5" xfId="1075" applyNumberFormat="1" applyFont="1" applyFill="1" applyBorder="1" applyAlignment="1" applyProtection="1">
      <alignment horizontal="center" vertical="center" wrapText="1"/>
      <protection locked="0"/>
    </xf>
    <xf numFmtId="176" fontId="20" fillId="21" borderId="5" xfId="1075" applyNumberFormat="1" applyFont="1" applyFill="1" applyBorder="1" applyAlignment="1" applyProtection="1">
      <alignment horizontal="center" vertical="center" wrapText="1"/>
    </xf>
    <xf numFmtId="174" fontId="20" fillId="21" borderId="5" xfId="1047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</xf>
    <xf numFmtId="173" fontId="39" fillId="0" borderId="5" xfId="0" applyNumberFormat="1" applyFont="1" applyBorder="1" applyAlignment="1">
      <alignment horizontal="left" vertical="center" wrapText="1"/>
    </xf>
    <xf numFmtId="0" fontId="4" fillId="0" borderId="5" xfId="0" applyFont="1" applyBorder="1" applyProtection="1"/>
    <xf numFmtId="0" fontId="1" fillId="0" borderId="5" xfId="0" applyFont="1" applyBorder="1" applyAlignment="1" applyProtection="1">
      <alignment horizontal="left"/>
    </xf>
    <xf numFmtId="0" fontId="1" fillId="0" borderId="5" xfId="0" applyFont="1" applyFill="1" applyBorder="1" applyAlignment="1" applyProtection="1">
      <alignment wrapText="1"/>
    </xf>
    <xf numFmtId="0" fontId="131" fillId="0" borderId="0" xfId="0" applyFont="1"/>
    <xf numFmtId="3" fontId="0" fillId="0" borderId="0" xfId="0" applyNumberFormat="1" applyFont="1" applyProtection="1">
      <protection hidden="1"/>
    </xf>
    <xf numFmtId="3" fontId="128" fillId="0" borderId="0" xfId="0" applyNumberFormat="1" applyFont="1" applyFill="1" applyBorder="1" applyProtection="1"/>
    <xf numFmtId="0" fontId="128" fillId="0" borderId="0" xfId="0" applyFont="1" applyFill="1" applyProtection="1"/>
    <xf numFmtId="3" fontId="128" fillId="0" borderId="0" xfId="0" applyNumberFormat="1" applyFont="1" applyBorder="1" applyProtection="1"/>
    <xf numFmtId="3" fontId="128" fillId="0" borderId="0" xfId="0" applyNumberFormat="1" applyFont="1" applyProtection="1"/>
    <xf numFmtId="0" fontId="132" fillId="0" borderId="0" xfId="718" applyNumberFormat="1" applyFont="1" applyFill="1" applyBorder="1" applyAlignment="1" applyProtection="1">
      <alignment horizontal="center" vertical="top"/>
    </xf>
    <xf numFmtId="0" fontId="132" fillId="0" borderId="0" xfId="718" applyNumberFormat="1" applyFont="1" applyFill="1" applyBorder="1" applyAlignment="1" applyProtection="1">
      <alignment vertical="top"/>
    </xf>
    <xf numFmtId="176" fontId="132" fillId="0" borderId="0" xfId="718" applyNumberFormat="1" applyFont="1" applyFill="1" applyBorder="1" applyAlignment="1" applyProtection="1">
      <alignment horizontal="center" vertical="top"/>
    </xf>
    <xf numFmtId="3" fontId="132" fillId="0" borderId="0" xfId="718" applyNumberFormat="1" applyFont="1" applyFill="1" applyBorder="1" applyAlignment="1" applyProtection="1">
      <alignment horizontal="center" vertical="top"/>
    </xf>
    <xf numFmtId="171" fontId="19" fillId="0" borderId="0" xfId="1060" applyNumberFormat="1" applyFont="1" applyFill="1" applyBorder="1" applyAlignment="1" applyProtection="1">
      <alignment vertical="top"/>
    </xf>
    <xf numFmtId="171" fontId="132" fillId="0" borderId="0" xfId="1060" applyNumberFormat="1" applyFont="1" applyFill="1" applyBorder="1" applyAlignment="1" applyProtection="1">
      <alignment horizontal="center" vertical="top"/>
    </xf>
    <xf numFmtId="0" fontId="7" fillId="0" borderId="0" xfId="0" applyFont="1" applyProtection="1"/>
    <xf numFmtId="171" fontId="132" fillId="0" borderId="0" xfId="1060" applyNumberFormat="1" applyFont="1" applyFill="1" applyBorder="1" applyAlignment="1" applyProtection="1">
      <alignment vertical="top"/>
    </xf>
    <xf numFmtId="3" fontId="23" fillId="21" borderId="5" xfId="1075" applyNumberFormat="1" applyFont="1" applyFill="1" applyBorder="1" applyAlignment="1" applyProtection="1">
      <alignment horizontal="center" vertical="center" wrapText="1"/>
    </xf>
    <xf numFmtId="3" fontId="133" fillId="0" borderId="0" xfId="718" applyNumberFormat="1" applyFont="1" applyFill="1" applyBorder="1" applyAlignment="1" applyProtection="1">
      <alignment horizontal="center" vertical="center"/>
    </xf>
    <xf numFmtId="3" fontId="134" fillId="0" borderId="0" xfId="718" applyNumberFormat="1" applyFont="1" applyFill="1" applyBorder="1" applyAlignment="1" applyProtection="1">
      <alignment horizontal="center" vertical="center"/>
    </xf>
    <xf numFmtId="3" fontId="8" fillId="0" borderId="5" xfId="1060" applyNumberFormat="1" applyFont="1" applyFill="1" applyBorder="1" applyAlignment="1" applyProtection="1">
      <alignment horizontal="center" vertical="center" wrapText="1"/>
    </xf>
    <xf numFmtId="0" fontId="135" fillId="0" borderId="0" xfId="0" applyFont="1" applyFill="1" applyAlignment="1">
      <alignment vertical="center"/>
    </xf>
    <xf numFmtId="167" fontId="135" fillId="0" borderId="0" xfId="1060" applyFont="1" applyFill="1" applyAlignment="1">
      <alignment vertical="center"/>
    </xf>
    <xf numFmtId="0" fontId="94" fillId="0" borderId="0" xfId="0" applyFont="1" applyAlignment="1">
      <alignment vertical="center"/>
    </xf>
    <xf numFmtId="0" fontId="94" fillId="0" borderId="0" xfId="0" applyFont="1"/>
    <xf numFmtId="0" fontId="136" fillId="0" borderId="0" xfId="0" applyFont="1"/>
    <xf numFmtId="0" fontId="94" fillId="2" borderId="0" xfId="0" applyFont="1" applyFill="1"/>
    <xf numFmtId="0" fontId="94" fillId="3" borderId="0" xfId="0" applyFont="1" applyFill="1"/>
    <xf numFmtId="0" fontId="137" fillId="0" borderId="0" xfId="434" applyFont="1" applyAlignment="1" applyProtection="1">
      <alignment vertical="center"/>
    </xf>
    <xf numFmtId="0" fontId="137" fillId="0" borderId="0" xfId="434" applyFont="1" applyProtection="1"/>
    <xf numFmtId="0" fontId="90" fillId="0" borderId="0" xfId="434" applyFont="1" applyProtection="1"/>
    <xf numFmtId="0" fontId="137" fillId="0" borderId="0" xfId="434" applyFont="1" applyBorder="1" applyProtection="1"/>
    <xf numFmtId="0" fontId="138" fillId="5" borderId="0" xfId="0" applyFont="1" applyFill="1" applyAlignment="1" applyProtection="1">
      <alignment horizontal="center" vertical="center" wrapText="1"/>
    </xf>
    <xf numFmtId="172" fontId="97" fillId="5" borderId="0" xfId="434" applyNumberFormat="1" applyFont="1" applyFill="1" applyProtection="1"/>
    <xf numFmtId="1" fontId="97" fillId="5" borderId="0" xfId="434" applyNumberFormat="1" applyFont="1" applyFill="1" applyProtection="1"/>
    <xf numFmtId="171" fontId="139" fillId="5" borderId="0" xfId="1060" applyNumberFormat="1" applyFont="1" applyFill="1" applyProtection="1"/>
    <xf numFmtId="14" fontId="97" fillId="5" borderId="0" xfId="434" applyNumberFormat="1" applyFont="1" applyFill="1" applyProtection="1"/>
    <xf numFmtId="171" fontId="97" fillId="5" borderId="0" xfId="1060" applyNumberFormat="1" applyFont="1" applyFill="1" applyProtection="1"/>
    <xf numFmtId="3" fontId="23" fillId="0" borderId="5" xfId="0" applyNumberFormat="1" applyFont="1" applyBorder="1" applyAlignment="1" applyProtection="1">
      <alignment vertical="center"/>
    </xf>
    <xf numFmtId="166" fontId="97" fillId="0" borderId="0" xfId="0" applyNumberFormat="1" applyFont="1" applyAlignment="1" applyProtection="1">
      <alignment vertical="center"/>
    </xf>
    <xf numFmtId="171" fontId="97" fillId="0" borderId="0" xfId="1060" applyNumberFormat="1" applyFont="1" applyAlignment="1" applyProtection="1">
      <alignment vertical="center"/>
    </xf>
    <xf numFmtId="3" fontId="23" fillId="4" borderId="5" xfId="0" applyNumberFormat="1" applyFont="1" applyFill="1" applyBorder="1" applyAlignment="1" applyProtection="1">
      <alignment horizontal="right" vertical="center"/>
    </xf>
    <xf numFmtId="3" fontId="23" fillId="4" borderId="17" xfId="0" applyNumberFormat="1" applyFont="1" applyFill="1" applyBorder="1" applyAlignment="1" applyProtection="1">
      <alignment horizontal="right" vertical="center"/>
    </xf>
    <xf numFmtId="0" fontId="23" fillId="0" borderId="0" xfId="0" applyFont="1" applyBorder="1" applyAlignment="1" applyProtection="1">
      <alignment vertical="center"/>
    </xf>
    <xf numFmtId="0" fontId="23" fillId="0" borderId="0" xfId="0" applyFont="1" applyAlignment="1" applyProtection="1">
      <alignment vertical="center"/>
    </xf>
    <xf numFmtId="0" fontId="97" fillId="0" borderId="0" xfId="0" applyFont="1" applyAlignment="1" applyProtection="1">
      <alignment vertical="center"/>
    </xf>
    <xf numFmtId="3" fontId="23" fillId="0" borderId="18" xfId="0" applyNumberFormat="1" applyFont="1" applyBorder="1" applyAlignment="1" applyProtection="1">
      <alignment vertical="center"/>
    </xf>
    <xf numFmtId="3" fontId="23" fillId="4" borderId="18" xfId="0" applyNumberFormat="1" applyFont="1" applyFill="1" applyBorder="1" applyAlignment="1" applyProtection="1">
      <alignment horizontal="right" vertical="center"/>
    </xf>
    <xf numFmtId="3" fontId="23" fillId="0" borderId="19" xfId="0" applyNumberFormat="1" applyFont="1" applyBorder="1" applyAlignment="1" applyProtection="1">
      <alignment vertical="center"/>
    </xf>
    <xf numFmtId="0" fontId="23" fillId="0" borderId="0" xfId="0" applyFont="1" applyProtection="1"/>
    <xf numFmtId="3" fontId="15" fillId="6" borderId="5" xfId="0" applyNumberFormat="1" applyFont="1" applyFill="1" applyBorder="1" applyAlignment="1">
      <alignment horizontal="center" vertical="center"/>
    </xf>
    <xf numFmtId="3" fontId="19" fillId="6" borderId="8" xfId="0" applyNumberFormat="1" applyFont="1" applyFill="1" applyBorder="1" applyAlignment="1" applyProtection="1">
      <alignment horizontal="center" vertical="center" wrapText="1"/>
    </xf>
    <xf numFmtId="49" fontId="3" fillId="0" borderId="5" xfId="0" applyNumberFormat="1" applyFont="1" applyFill="1" applyBorder="1" applyAlignment="1" applyProtection="1">
      <alignment horizontal="center" vertical="center"/>
    </xf>
    <xf numFmtId="0" fontId="7" fillId="0" borderId="5" xfId="0" applyFont="1" applyFill="1" applyBorder="1" applyAlignment="1" applyProtection="1">
      <alignment horizontal="left" vertical="center" wrapText="1" indent="1"/>
    </xf>
    <xf numFmtId="3" fontId="7" fillId="0" borderId="5" xfId="0" applyNumberFormat="1" applyFont="1" applyFill="1" applyBorder="1" applyAlignment="1" applyProtection="1">
      <alignment vertical="center"/>
    </xf>
    <xf numFmtId="9" fontId="7" fillId="0" borderId="5" xfId="1047" applyFont="1" applyFill="1" applyBorder="1" applyAlignment="1" applyProtection="1">
      <alignment vertical="center"/>
    </xf>
    <xf numFmtId="3" fontId="7" fillId="0" borderId="5" xfId="1047" applyNumberFormat="1" applyFont="1" applyBorder="1" applyAlignment="1" applyProtection="1">
      <alignment vertical="center"/>
    </xf>
    <xf numFmtId="3" fontId="7" fillId="7" borderId="5" xfId="0" applyNumberFormat="1" applyFont="1" applyFill="1" applyBorder="1" applyAlignment="1" applyProtection="1">
      <alignment vertical="center"/>
    </xf>
    <xf numFmtId="3" fontId="140" fillId="0" borderId="0" xfId="0" applyNumberFormat="1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3" fontId="7" fillId="0" borderId="0" xfId="0" applyNumberFormat="1" applyFont="1" applyBorder="1" applyAlignment="1">
      <alignment vertical="center"/>
    </xf>
    <xf numFmtId="49" fontId="3" fillId="0" borderId="5" xfId="0" quotePrefix="1" applyNumberFormat="1" applyFont="1" applyBorder="1" applyAlignment="1" applyProtection="1">
      <alignment horizontal="center" vertical="center"/>
    </xf>
    <xf numFmtId="3" fontId="3" fillId="0" borderId="5" xfId="0" applyNumberFormat="1" applyFont="1" applyBorder="1" applyAlignment="1" applyProtection="1">
      <alignment horizontal="left" vertical="center" indent="1"/>
    </xf>
    <xf numFmtId="3" fontId="3" fillId="0" borderId="5" xfId="0" applyNumberFormat="1" applyFont="1" applyFill="1" applyBorder="1" applyAlignment="1" applyProtection="1">
      <alignment vertical="center"/>
    </xf>
    <xf numFmtId="3" fontId="98" fillId="0" borderId="0" xfId="0" applyNumberFormat="1" applyFont="1" applyFill="1" applyBorder="1" applyAlignment="1">
      <alignment vertical="center"/>
    </xf>
    <xf numFmtId="3" fontId="13" fillId="0" borderId="5" xfId="0" applyNumberFormat="1" applyFont="1" applyFill="1" applyBorder="1" applyAlignment="1" applyProtection="1">
      <alignment horizontal="center" vertical="center"/>
    </xf>
    <xf numFmtId="3" fontId="119" fillId="0" borderId="0" xfId="0" applyNumberFormat="1" applyFont="1" applyFill="1" applyBorder="1" applyAlignment="1">
      <alignment vertical="center"/>
    </xf>
    <xf numFmtId="3" fontId="141" fillId="0" borderId="0" xfId="0" applyNumberFormat="1" applyFont="1" applyBorder="1" applyAlignment="1">
      <alignment horizontal="center" vertical="center"/>
    </xf>
    <xf numFmtId="0" fontId="121" fillId="0" borderId="0" xfId="0" applyFont="1" applyFill="1"/>
    <xf numFmtId="0" fontId="0" fillId="0" borderId="0" xfId="0" applyFill="1"/>
    <xf numFmtId="3" fontId="8" fillId="0" borderId="5" xfId="0" applyNumberFormat="1" applyFont="1" applyBorder="1" applyAlignment="1" applyProtection="1">
      <alignment vertical="center"/>
      <protection locked="0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174" fontId="1" fillId="0" borderId="4" xfId="0" applyNumberFormat="1" applyFont="1" applyFill="1" applyBorder="1" applyProtection="1">
      <protection locked="0"/>
    </xf>
    <xf numFmtId="0" fontId="1" fillId="0" borderId="0" xfId="0" applyFont="1"/>
    <xf numFmtId="174" fontId="1" fillId="0" borderId="4" xfId="0" applyNumberFormat="1" applyFont="1" applyFill="1" applyBorder="1" applyProtection="1"/>
    <xf numFmtId="10" fontId="1" fillId="0" borderId="4" xfId="0" applyNumberFormat="1" applyFont="1" applyBorder="1" applyProtection="1">
      <protection locked="0"/>
    </xf>
    <xf numFmtId="3" fontId="1" fillId="0" borderId="0" xfId="0" applyNumberFormat="1" applyFont="1" applyAlignment="1">
      <alignment horizontal="centerContinuous"/>
    </xf>
    <xf numFmtId="3" fontId="1" fillId="0" borderId="0" xfId="0" applyNumberFormat="1" applyFont="1" applyFill="1"/>
    <xf numFmtId="3" fontId="130" fillId="0" borderId="5" xfId="1047" applyNumberFormat="1" applyFont="1" applyBorder="1" applyAlignment="1" applyProtection="1">
      <alignment vertical="center"/>
    </xf>
    <xf numFmtId="3" fontId="1" fillId="0" borderId="5" xfId="0" applyNumberFormat="1" applyFont="1" applyFill="1" applyBorder="1" applyAlignment="1" applyProtection="1">
      <alignment vertical="center"/>
    </xf>
    <xf numFmtId="3" fontId="142" fillId="0" borderId="5" xfId="1047" applyNumberFormat="1" applyFont="1" applyBorder="1" applyAlignment="1" applyProtection="1">
      <alignment vertical="center"/>
    </xf>
    <xf numFmtId="3" fontId="143" fillId="0" borderId="5" xfId="0" applyNumberFormat="1" applyFont="1" applyFill="1" applyBorder="1" applyAlignment="1" applyProtection="1">
      <alignment vertical="center"/>
    </xf>
    <xf numFmtId="3" fontId="9" fillId="0" borderId="0" xfId="1047" applyNumberFormat="1" applyFont="1" applyFill="1" applyBorder="1" applyProtection="1">
      <protection hidden="1"/>
    </xf>
    <xf numFmtId="3" fontId="1" fillId="0" borderId="0" xfId="1047" applyNumberFormat="1" applyFont="1"/>
    <xf numFmtId="3" fontId="1" fillId="0" borderId="0" xfId="0" applyNumberFormat="1" applyFont="1"/>
    <xf numFmtId="3" fontId="4" fillId="0" borderId="0" xfId="0" applyNumberFormat="1" applyFont="1" applyBorder="1" applyAlignment="1">
      <alignment vertical="center"/>
    </xf>
    <xf numFmtId="0" fontId="1" fillId="0" borderId="0" xfId="0" applyFont="1" applyFill="1"/>
    <xf numFmtId="3" fontId="1" fillId="0" borderId="0" xfId="0" applyNumberFormat="1" applyFont="1" applyBorder="1"/>
    <xf numFmtId="9" fontId="1" fillId="0" borderId="0" xfId="1047" applyFont="1"/>
    <xf numFmtId="3" fontId="1" fillId="0" borderId="5" xfId="1047" applyNumberFormat="1" applyFont="1" applyBorder="1" applyAlignment="1" applyProtection="1">
      <alignment vertical="center"/>
    </xf>
    <xf numFmtId="3" fontId="1" fillId="0" borderId="5" xfId="0" applyNumberFormat="1" applyFont="1" applyBorder="1" applyAlignment="1" applyProtection="1">
      <alignment vertical="center"/>
    </xf>
    <xf numFmtId="3" fontId="1" fillId="0" borderId="5" xfId="1047" applyNumberFormat="1" applyFont="1" applyFill="1" applyBorder="1" applyAlignment="1" applyProtection="1">
      <alignment vertical="center"/>
    </xf>
    <xf numFmtId="3" fontId="1" fillId="0" borderId="0" xfId="1047" applyNumberFormat="1" applyFont="1" applyFill="1"/>
    <xf numFmtId="0" fontId="18" fillId="0" borderId="0" xfId="0" applyFont="1" applyFill="1" applyAlignment="1" applyProtection="1">
      <alignment vertical="center"/>
      <protection hidden="1"/>
    </xf>
    <xf numFmtId="0" fontId="18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8" fillId="0" borderId="0" xfId="0" applyFont="1" applyFill="1" applyProtection="1"/>
    <xf numFmtId="0" fontId="18" fillId="0" borderId="0" xfId="0" applyFont="1" applyFill="1" applyProtection="1">
      <protection hidden="1"/>
    </xf>
    <xf numFmtId="0" fontId="18" fillId="0" borderId="0" xfId="0" applyFont="1" applyFill="1"/>
    <xf numFmtId="0" fontId="1" fillId="2" borderId="0" xfId="0" applyFont="1" applyFill="1"/>
    <xf numFmtId="0" fontId="1" fillId="3" borderId="0" xfId="0" applyFont="1" applyFill="1"/>
    <xf numFmtId="3" fontId="144" fillId="0" borderId="0" xfId="0" applyNumberFormat="1" applyFont="1" applyFill="1" applyProtection="1"/>
    <xf numFmtId="3" fontId="144" fillId="0" borderId="0" xfId="0" applyNumberFormat="1" applyFont="1" applyFill="1" applyProtection="1">
      <protection hidden="1"/>
    </xf>
    <xf numFmtId="3" fontId="39" fillId="0" borderId="5" xfId="0" applyNumberFormat="1" applyFont="1" applyFill="1" applyBorder="1" applyProtection="1"/>
    <xf numFmtId="3" fontId="51" fillId="6" borderId="2" xfId="0" applyNumberFormat="1" applyFont="1" applyFill="1" applyBorder="1" applyAlignment="1" applyProtection="1">
      <alignment horizontal="center" vertical="center" textRotation="90" wrapText="1"/>
    </xf>
    <xf numFmtId="3" fontId="51" fillId="6" borderId="2" xfId="0" applyNumberFormat="1" applyFont="1" applyFill="1" applyBorder="1" applyAlignment="1" applyProtection="1">
      <alignment horizontal="center" vertical="center" wrapText="1"/>
    </xf>
    <xf numFmtId="3" fontId="51" fillId="6" borderId="5" xfId="0" applyNumberFormat="1" applyFont="1" applyFill="1" applyBorder="1" applyAlignment="1" applyProtection="1">
      <alignment horizontal="center" vertical="center" textRotation="90" wrapText="1"/>
    </xf>
    <xf numFmtId="0" fontId="18" fillId="0" borderId="0" xfId="0" applyFont="1" applyBorder="1" applyProtection="1"/>
    <xf numFmtId="3" fontId="18" fillId="0" borderId="0" xfId="0" applyNumberFormat="1" applyFont="1" applyBorder="1" applyProtection="1"/>
    <xf numFmtId="49" fontId="19" fillId="0" borderId="5" xfId="785" applyNumberFormat="1" applyFont="1" applyFill="1" applyBorder="1" applyAlignment="1" applyProtection="1">
      <alignment horizontal="center" vertical="center" wrapText="1"/>
    </xf>
    <xf numFmtId="0" fontId="19" fillId="0" borderId="0" xfId="0" applyFont="1" applyFill="1"/>
    <xf numFmtId="0" fontId="44" fillId="0" borderId="0" xfId="0" applyFont="1" applyFill="1"/>
    <xf numFmtId="3" fontId="2" fillId="0" borderId="0" xfId="0" applyNumberFormat="1" applyFont="1" applyAlignment="1" applyProtection="1">
      <alignment horizontal="center"/>
    </xf>
    <xf numFmtId="3" fontId="52" fillId="0" borderId="0" xfId="0" applyNumberFormat="1" applyFont="1" applyAlignment="1" applyProtection="1">
      <alignment horizontal="center"/>
    </xf>
    <xf numFmtId="0" fontId="145" fillId="0" borderId="0" xfId="0" applyFont="1" applyFill="1" applyAlignment="1" applyProtection="1">
      <alignment vertical="center"/>
    </xf>
    <xf numFmtId="0" fontId="145" fillId="0" borderId="0" xfId="0" applyFont="1" applyFill="1" applyAlignment="1" applyProtection="1">
      <alignment horizontal="center" vertical="center"/>
    </xf>
    <xf numFmtId="0" fontId="145" fillId="0" borderId="0" xfId="0" applyFont="1" applyFill="1" applyAlignment="1" applyProtection="1">
      <alignment horizontal="center" vertical="center"/>
      <protection hidden="1"/>
    </xf>
    <xf numFmtId="0" fontId="145" fillId="0" borderId="0" xfId="0" applyFont="1" applyFill="1" applyProtection="1"/>
    <xf numFmtId="0" fontId="145" fillId="0" borderId="0" xfId="0" applyFont="1" applyFill="1" applyAlignment="1" applyProtection="1">
      <alignment horizontal="center"/>
    </xf>
    <xf numFmtId="0" fontId="145" fillId="0" borderId="0" xfId="0" applyFont="1" applyFill="1" applyAlignment="1" applyProtection="1">
      <alignment horizontal="center"/>
      <protection hidden="1"/>
    </xf>
    <xf numFmtId="3" fontId="145" fillId="0" borderId="0" xfId="0" applyNumberFormat="1" applyFont="1" applyFill="1" applyAlignment="1" applyProtection="1">
      <alignment horizontal="center"/>
    </xf>
    <xf numFmtId="3" fontId="145" fillId="0" borderId="0" xfId="0" applyNumberFormat="1" applyFont="1" applyFill="1" applyAlignment="1" applyProtection="1">
      <alignment horizontal="center"/>
      <protection hidden="1"/>
    </xf>
    <xf numFmtId="0" fontId="145" fillId="0" borderId="0" xfId="0" applyFont="1" applyFill="1" applyProtection="1">
      <protection hidden="1"/>
    </xf>
    <xf numFmtId="0" fontId="145" fillId="0" borderId="0" xfId="0" applyFont="1" applyFill="1" applyAlignment="1">
      <alignment horizontal="center"/>
    </xf>
    <xf numFmtId="3" fontId="146" fillId="0" borderId="0" xfId="0" applyNumberFormat="1" applyFont="1" applyBorder="1" applyAlignment="1">
      <alignment vertical="center"/>
    </xf>
    <xf numFmtId="3" fontId="146" fillId="0" borderId="0" xfId="0" applyNumberFormat="1" applyFont="1" applyBorder="1" applyAlignment="1">
      <alignment horizontal="center" vertical="center"/>
    </xf>
    <xf numFmtId="3" fontId="147" fillId="0" borderId="0" xfId="0" applyNumberFormat="1" applyFont="1"/>
    <xf numFmtId="3" fontId="147" fillId="0" borderId="0" xfId="0" applyNumberFormat="1" applyFont="1" applyAlignment="1">
      <alignment horizontal="center"/>
    </xf>
    <xf numFmtId="0" fontId="148" fillId="0" borderId="0" xfId="0" applyFont="1" applyAlignment="1">
      <alignment vertical="center"/>
    </xf>
    <xf numFmtId="0" fontId="148" fillId="0" borderId="0" xfId="0" applyFont="1" applyAlignment="1">
      <alignment horizontal="center" vertical="center"/>
    </xf>
    <xf numFmtId="3" fontId="149" fillId="0" borderId="0" xfId="0" applyNumberFormat="1" applyFont="1" applyBorder="1" applyAlignment="1">
      <alignment vertical="center"/>
    </xf>
    <xf numFmtId="3" fontId="149" fillId="0" borderId="0" xfId="0" applyNumberFormat="1" applyFont="1" applyBorder="1" applyAlignment="1">
      <alignment horizontal="center" vertical="center"/>
    </xf>
    <xf numFmtId="3" fontId="150" fillId="0" borderId="0" xfId="0" applyNumberFormat="1" applyFont="1" applyBorder="1" applyAlignment="1">
      <alignment vertical="center"/>
    </xf>
    <xf numFmtId="3" fontId="150" fillId="0" borderId="0" xfId="0" applyNumberFormat="1" applyFont="1" applyBorder="1" applyAlignment="1">
      <alignment horizontal="center" vertical="center"/>
    </xf>
    <xf numFmtId="3" fontId="151" fillId="0" borderId="0" xfId="0" applyNumberFormat="1" applyFont="1" applyFill="1" applyBorder="1" applyAlignment="1">
      <alignment horizontal="center" vertical="center"/>
    </xf>
    <xf numFmtId="3" fontId="147" fillId="0" borderId="0" xfId="0" applyNumberFormat="1" applyFont="1" applyFill="1" applyBorder="1"/>
    <xf numFmtId="3" fontId="147" fillId="0" borderId="0" xfId="0" applyNumberFormat="1" applyFont="1" applyFill="1" applyBorder="1" applyAlignment="1">
      <alignment horizontal="center"/>
    </xf>
    <xf numFmtId="0" fontId="147" fillId="0" borderId="0" xfId="0" applyFont="1" applyFill="1"/>
    <xf numFmtId="0" fontId="147" fillId="0" borderId="0" xfId="0" applyFont="1" applyFill="1" applyAlignment="1">
      <alignment horizontal="center"/>
    </xf>
    <xf numFmtId="9" fontId="147" fillId="0" borderId="0" xfId="1048" applyFont="1" applyFill="1" applyBorder="1" applyProtection="1">
      <protection hidden="1"/>
    </xf>
    <xf numFmtId="3" fontId="147" fillId="0" borderId="0" xfId="0" applyNumberFormat="1" applyFont="1" applyFill="1" applyBorder="1" applyAlignment="1" applyProtection="1">
      <alignment horizontal="center"/>
    </xf>
    <xf numFmtId="3" fontId="147" fillId="0" borderId="0" xfId="1048" applyNumberFormat="1" applyFont="1" applyFill="1" applyBorder="1" applyProtection="1">
      <protection hidden="1"/>
    </xf>
    <xf numFmtId="3" fontId="147" fillId="0" borderId="0" xfId="0" applyNumberFormat="1" applyFont="1" applyFill="1"/>
    <xf numFmtId="0" fontId="147" fillId="0" borderId="0" xfId="0" applyFont="1" applyFill="1" applyAlignment="1" applyProtection="1">
      <alignment horizontal="center"/>
    </xf>
    <xf numFmtId="3" fontId="147" fillId="0" borderId="0" xfId="0" applyNumberFormat="1" applyFont="1" applyBorder="1"/>
    <xf numFmtId="3" fontId="147" fillId="0" borderId="0" xfId="0" applyNumberFormat="1" applyFont="1" applyBorder="1" applyAlignment="1" applyProtection="1">
      <alignment horizontal="center"/>
    </xf>
    <xf numFmtId="3" fontId="147" fillId="0" borderId="0" xfId="0" applyNumberFormat="1" applyFont="1" applyAlignment="1" applyProtection="1">
      <alignment horizontal="center"/>
    </xf>
    <xf numFmtId="3" fontId="147" fillId="0" borderId="0" xfId="0" applyNumberFormat="1" applyFont="1" applyAlignment="1" applyProtection="1">
      <alignment horizontal="center"/>
      <protection hidden="1"/>
    </xf>
    <xf numFmtId="0" fontId="147" fillId="0" borderId="0" xfId="0" applyFont="1" applyAlignment="1">
      <alignment vertical="center"/>
    </xf>
    <xf numFmtId="167" fontId="147" fillId="0" borderId="0" xfId="1060" applyFont="1" applyAlignment="1">
      <alignment vertical="center"/>
    </xf>
    <xf numFmtId="0" fontId="147" fillId="0" borderId="0" xfId="0" applyFont="1"/>
    <xf numFmtId="167" fontId="147" fillId="0" borderId="0" xfId="1060" applyFont="1"/>
    <xf numFmtId="0" fontId="151" fillId="0" borderId="0" xfId="0" applyFont="1"/>
    <xf numFmtId="167" fontId="151" fillId="0" borderId="0" xfId="1060" applyFont="1"/>
    <xf numFmtId="0" fontId="147" fillId="0" borderId="0" xfId="0" applyFont="1" applyFill="1" applyAlignment="1">
      <alignment vertical="center"/>
    </xf>
    <xf numFmtId="167" fontId="147" fillId="0" borderId="0" xfId="1060" applyFont="1" applyFill="1" applyAlignment="1">
      <alignment vertical="center"/>
    </xf>
    <xf numFmtId="3" fontId="149" fillId="0" borderId="0" xfId="0" applyNumberFormat="1" applyFont="1" applyFill="1" applyAlignment="1" applyProtection="1">
      <alignment vertical="center"/>
    </xf>
    <xf numFmtId="167" fontId="149" fillId="0" borderId="0" xfId="1060" applyFont="1" applyFill="1" applyAlignment="1" applyProtection="1">
      <alignment vertical="center"/>
    </xf>
    <xf numFmtId="167" fontId="147" fillId="0" borderId="0" xfId="1060" applyFont="1" applyFill="1"/>
    <xf numFmtId="3" fontId="145" fillId="0" borderId="0" xfId="0" applyNumberFormat="1" applyFont="1" applyBorder="1" applyProtection="1"/>
    <xf numFmtId="3" fontId="152" fillId="0" borderId="0" xfId="0" applyNumberFormat="1" applyFont="1" applyBorder="1" applyAlignment="1">
      <alignment horizontal="center" vertical="center"/>
    </xf>
    <xf numFmtId="173" fontId="153" fillId="0" borderId="0" xfId="0" applyNumberFormat="1" applyFont="1" applyBorder="1" applyAlignment="1" applyProtection="1">
      <alignment horizontal="center"/>
    </xf>
    <xf numFmtId="3" fontId="154" fillId="6" borderId="5" xfId="0" applyNumberFormat="1" applyFont="1" applyFill="1" applyBorder="1" applyAlignment="1" applyProtection="1">
      <alignment horizontal="center" vertical="center" wrapText="1"/>
    </xf>
    <xf numFmtId="0" fontId="154" fillId="0" borderId="3" xfId="0" applyFont="1" applyBorder="1" applyAlignment="1">
      <alignment horizontal="center"/>
    </xf>
    <xf numFmtId="3" fontId="153" fillId="0" borderId="4" xfId="0" applyNumberFormat="1" applyFont="1" applyBorder="1" applyProtection="1"/>
    <xf numFmtId="3" fontId="153" fillId="0" borderId="4" xfId="0" applyNumberFormat="1" applyFont="1" applyBorder="1" applyProtection="1">
      <protection locked="0"/>
    </xf>
    <xf numFmtId="3" fontId="153" fillId="0" borderId="4" xfId="0" applyNumberFormat="1" applyFont="1" applyFill="1" applyBorder="1" applyProtection="1"/>
    <xf numFmtId="3" fontId="155" fillId="0" borderId="5" xfId="0" applyNumberFormat="1" applyFont="1" applyBorder="1" applyProtection="1"/>
    <xf numFmtId="3" fontId="155" fillId="0" borderId="4" xfId="0" applyNumberFormat="1" applyFont="1" applyBorder="1" applyProtection="1"/>
    <xf numFmtId="0" fontId="153" fillId="0" borderId="4" xfId="0" applyFont="1" applyBorder="1" applyProtection="1"/>
    <xf numFmtId="174" fontId="153" fillId="0" borderId="4" xfId="0" applyNumberFormat="1" applyFont="1" applyBorder="1" applyProtection="1"/>
    <xf numFmtId="174" fontId="153" fillId="0" borderId="4" xfId="0" applyNumberFormat="1" applyFont="1" applyFill="1" applyBorder="1" applyProtection="1">
      <protection locked="0"/>
    </xf>
    <xf numFmtId="174" fontId="153" fillId="0" borderId="4" xfId="0" applyNumberFormat="1" applyFont="1" applyFill="1" applyBorder="1" applyProtection="1"/>
    <xf numFmtId="10" fontId="153" fillId="0" borderId="4" xfId="0" applyNumberFormat="1" applyFont="1" applyBorder="1" applyProtection="1">
      <protection locked="0"/>
    </xf>
    <xf numFmtId="0" fontId="153" fillId="0" borderId="6" xfId="0" applyFont="1" applyBorder="1" applyProtection="1"/>
    <xf numFmtId="0" fontId="156" fillId="0" borderId="0" xfId="0" applyFont="1" applyBorder="1" applyProtection="1"/>
    <xf numFmtId="0" fontId="155" fillId="0" borderId="7" xfId="0" applyFont="1" applyBorder="1" applyAlignment="1" applyProtection="1">
      <alignment horizontal="center"/>
    </xf>
    <xf numFmtId="174" fontId="155" fillId="0" borderId="4" xfId="1047" applyNumberFormat="1" applyFont="1" applyBorder="1" applyProtection="1"/>
    <xf numFmtId="4" fontId="153" fillId="0" borderId="4" xfId="0" applyNumberFormat="1" applyFont="1" applyBorder="1" applyAlignment="1" applyProtection="1">
      <alignment vertical="center"/>
      <protection locked="0"/>
    </xf>
    <xf numFmtId="4" fontId="153" fillId="0" borderId="0" xfId="0" applyNumberFormat="1" applyFont="1" applyBorder="1" applyProtection="1">
      <protection locked="0"/>
    </xf>
    <xf numFmtId="174" fontId="155" fillId="0" borderId="5" xfId="1047" applyNumberFormat="1" applyFont="1" applyBorder="1" applyProtection="1"/>
    <xf numFmtId="3" fontId="153" fillId="0" borderId="5" xfId="0" applyNumberFormat="1" applyFont="1" applyBorder="1" applyProtection="1"/>
    <xf numFmtId="3" fontId="155" fillId="0" borderId="5" xfId="0" applyNumberFormat="1" applyFont="1" applyFill="1" applyBorder="1" applyProtection="1"/>
    <xf numFmtId="3" fontId="153" fillId="0" borderId="5" xfId="0" applyNumberFormat="1" applyFont="1" applyFill="1" applyBorder="1" applyProtection="1"/>
    <xf numFmtId="3" fontId="155" fillId="0" borderId="5" xfId="1047" applyNumberFormat="1" applyFont="1" applyFill="1" applyBorder="1" applyProtection="1"/>
    <xf numFmtId="0" fontId="153" fillId="0" borderId="0" xfId="0" applyFont="1" applyProtection="1"/>
    <xf numFmtId="9" fontId="153" fillId="0" borderId="0" xfId="1047" applyFont="1" applyProtection="1"/>
    <xf numFmtId="0" fontId="145" fillId="0" borderId="0" xfId="0" applyFont="1" applyProtection="1"/>
    <xf numFmtId="3" fontId="157" fillId="0" borderId="0" xfId="0" applyNumberFormat="1" applyFont="1" applyFill="1" applyBorder="1" applyProtection="1">
      <protection hidden="1"/>
    </xf>
    <xf numFmtId="3" fontId="2" fillId="0" borderId="5" xfId="0" applyNumberFormat="1" applyFont="1" applyBorder="1" applyAlignment="1" applyProtection="1">
      <alignment horizontal="center" vertical="center" wrapText="1"/>
      <protection locked="0"/>
    </xf>
    <xf numFmtId="3" fontId="40" fillId="0" borderId="5" xfId="0" applyNumberFormat="1" applyFont="1" applyBorder="1" applyAlignment="1" applyProtection="1">
      <alignment horizontal="center" vertical="center" wrapText="1"/>
      <protection locked="0"/>
    </xf>
    <xf numFmtId="3" fontId="23" fillId="0" borderId="18" xfId="0" applyNumberFormat="1" applyFont="1" applyFill="1" applyBorder="1" applyAlignment="1" applyProtection="1">
      <alignment horizontal="right" vertical="center"/>
      <protection locked="0"/>
    </xf>
    <xf numFmtId="0" fontId="122" fillId="25" borderId="5" xfId="0" applyFont="1" applyFill="1" applyBorder="1" applyAlignment="1" applyProtection="1">
      <alignment horizontal="left" vertical="center" wrapText="1" indent="1"/>
    </xf>
    <xf numFmtId="0" fontId="47" fillId="0" borderId="0" xfId="733" applyNumberFormat="1" applyFont="1" applyFill="1" applyBorder="1" applyAlignment="1" applyProtection="1">
      <alignment vertical="top"/>
    </xf>
    <xf numFmtId="9" fontId="47" fillId="0" borderId="0" xfId="1050" applyFont="1" applyFill="1" applyBorder="1" applyAlignment="1" applyProtection="1">
      <alignment vertical="top"/>
    </xf>
    <xf numFmtId="0" fontId="47" fillId="0" borderId="0" xfId="733" applyNumberFormat="1" applyFont="1" applyFill="1" applyBorder="1" applyAlignment="1" applyProtection="1">
      <alignment vertical="center"/>
    </xf>
    <xf numFmtId="0" fontId="158" fillId="0" borderId="7" xfId="733" applyNumberFormat="1" applyFont="1" applyFill="1" applyBorder="1" applyAlignment="1" applyProtection="1">
      <alignment vertical="center"/>
    </xf>
    <xf numFmtId="0" fontId="47" fillId="0" borderId="0" xfId="733" applyNumberFormat="1" applyFont="1" applyFill="1" applyBorder="1" applyAlignment="1" applyProtection="1">
      <alignment horizontal="center" vertical="center"/>
    </xf>
    <xf numFmtId="0" fontId="124" fillId="21" borderId="5" xfId="733" applyNumberFormat="1" applyFont="1" applyFill="1" applyBorder="1" applyAlignment="1" applyProtection="1">
      <alignment horizontal="left" vertical="center" wrapText="1" indent="2"/>
    </xf>
    <xf numFmtId="0" fontId="158" fillId="21" borderId="5" xfId="733" applyNumberFormat="1" applyFont="1" applyFill="1" applyBorder="1" applyAlignment="1" applyProtection="1">
      <alignment horizontal="left" vertical="center" wrapText="1" indent="2"/>
    </xf>
    <xf numFmtId="3" fontId="50" fillId="0" borderId="5" xfId="733" applyNumberFormat="1" applyFont="1" applyFill="1" applyBorder="1" applyAlignment="1" applyProtection="1">
      <alignment horizontal="center" vertical="center" wrapText="1"/>
    </xf>
    <xf numFmtId="174" fontId="158" fillId="0" borderId="5" xfId="1050" applyNumberFormat="1" applyFont="1" applyFill="1" applyBorder="1" applyAlignment="1" applyProtection="1">
      <alignment horizontal="center" vertical="center" wrapText="1"/>
    </xf>
    <xf numFmtId="0" fontId="124" fillId="26" borderId="5" xfId="733" applyNumberFormat="1" applyFont="1" applyFill="1" applyBorder="1" applyAlignment="1" applyProtection="1">
      <alignment horizontal="center" vertical="center" wrapText="1"/>
    </xf>
    <xf numFmtId="0" fontId="124" fillId="26" borderId="5" xfId="733" applyNumberFormat="1" applyFont="1" applyFill="1" applyBorder="1" applyAlignment="1" applyProtection="1">
      <alignment horizontal="left" vertical="center" wrapText="1" indent="1"/>
    </xf>
    <xf numFmtId="174" fontId="124" fillId="0" borderId="5" xfId="1050" applyNumberFormat="1" applyFont="1" applyFill="1" applyBorder="1" applyAlignment="1" applyProtection="1">
      <alignment horizontal="center" vertical="center" wrapText="1"/>
      <protection locked="0"/>
    </xf>
    <xf numFmtId="0" fontId="159" fillId="0" borderId="5" xfId="733" applyNumberFormat="1" applyFont="1" applyFill="1" applyBorder="1" applyAlignment="1" applyProtection="1">
      <alignment horizontal="center" vertical="center" wrapText="1"/>
    </xf>
    <xf numFmtId="0" fontId="159" fillId="21" borderId="5" xfId="733" applyNumberFormat="1" applyFont="1" applyFill="1" applyBorder="1" applyAlignment="1" applyProtection="1">
      <alignment horizontal="left" vertical="center" wrapText="1" indent="1"/>
    </xf>
    <xf numFmtId="0" fontId="64" fillId="0" borderId="0" xfId="733" applyNumberFormat="1" applyFont="1" applyFill="1" applyBorder="1" applyAlignment="1" applyProtection="1">
      <alignment horizontal="center" vertical="center"/>
    </xf>
    <xf numFmtId="0" fontId="124" fillId="0" borderId="5" xfId="733" applyNumberFormat="1" applyFont="1" applyFill="1" applyBorder="1" applyAlignment="1" applyProtection="1">
      <alignment horizontal="center" vertical="center" wrapText="1"/>
    </xf>
    <xf numFmtId="0" fontId="124" fillId="0" borderId="5" xfId="733" applyNumberFormat="1" applyFont="1" applyFill="1" applyBorder="1" applyAlignment="1" applyProtection="1">
      <alignment horizontal="left" vertical="center" wrapText="1" indent="1"/>
    </xf>
    <xf numFmtId="0" fontId="1" fillId="0" borderId="0" xfId="0" applyFont="1" applyAlignment="1" applyProtection="1">
      <alignment vertical="center" wrapText="1"/>
    </xf>
    <xf numFmtId="0" fontId="160" fillId="0" borderId="0" xfId="0" applyFont="1" applyFill="1" applyProtection="1"/>
    <xf numFmtId="3" fontId="1" fillId="0" borderId="5" xfId="0" applyNumberFormat="1" applyFont="1" applyFill="1" applyBorder="1" applyAlignment="1">
      <alignment horizontal="left" vertical="center" wrapText="1"/>
    </xf>
    <xf numFmtId="0" fontId="42" fillId="25" borderId="5" xfId="0" applyFont="1" applyFill="1" applyBorder="1" applyAlignment="1" applyProtection="1">
      <alignment horizontal="left" vertical="center" wrapText="1" indent="1"/>
    </xf>
    <xf numFmtId="3" fontId="6" fillId="0" borderId="4" xfId="0" applyNumberFormat="1" applyFont="1" applyBorder="1" applyAlignment="1" applyProtection="1">
      <alignment vertical="center"/>
      <protection locked="0"/>
    </xf>
    <xf numFmtId="3" fontId="6" fillId="0" borderId="4" xfId="0" applyNumberFormat="1" applyFont="1" applyBorder="1" applyAlignment="1" applyProtection="1">
      <alignment vertical="center"/>
    </xf>
    <xf numFmtId="3" fontId="2" fillId="2" borderId="4" xfId="0" applyNumberFormat="1" applyFont="1" applyFill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3" fontId="2" fillId="0" borderId="4" xfId="0" applyNumberFormat="1" applyFont="1" applyFill="1" applyBorder="1" applyAlignment="1">
      <alignment vertical="center"/>
    </xf>
    <xf numFmtId="0" fontId="50" fillId="0" borderId="0" xfId="733" applyNumberFormat="1" applyFont="1" applyFill="1" applyBorder="1" applyAlignment="1" applyProtection="1">
      <alignment horizontal="center" vertical="center"/>
    </xf>
    <xf numFmtId="0" fontId="124" fillId="0" borderId="0" xfId="733" applyNumberFormat="1" applyFont="1" applyFill="1" applyBorder="1" applyAlignment="1" applyProtection="1">
      <alignment horizontal="center" vertical="center" wrapText="1"/>
    </xf>
    <xf numFmtId="0" fontId="124" fillId="0" borderId="0" xfId="733" applyNumberFormat="1" applyFont="1" applyFill="1" applyBorder="1" applyAlignment="1" applyProtection="1">
      <alignment horizontal="left" vertical="center" wrapText="1" indent="1"/>
    </xf>
    <xf numFmtId="176" fontId="47" fillId="0" borderId="0" xfId="733" applyNumberFormat="1" applyFont="1" applyFill="1" applyBorder="1" applyAlignment="1" applyProtection="1">
      <alignment horizontal="center" vertical="center" wrapText="1"/>
    </xf>
    <xf numFmtId="0" fontId="19" fillId="0" borderId="0" xfId="733" applyNumberFormat="1" applyFont="1" applyFill="1" applyBorder="1" applyAlignment="1" applyProtection="1">
      <alignment horizontal="center" vertical="top"/>
    </xf>
    <xf numFmtId="0" fontId="19" fillId="0" borderId="0" xfId="733" applyNumberFormat="1" applyFont="1" applyFill="1" applyBorder="1" applyAlignment="1" applyProtection="1">
      <alignment vertical="top"/>
    </xf>
    <xf numFmtId="170" fontId="6" fillId="0" borderId="2" xfId="0" applyNumberFormat="1" applyFont="1" applyFill="1" applyBorder="1" applyAlignment="1" applyProtection="1">
      <alignment horizontal="center" vertical="center"/>
    </xf>
    <xf numFmtId="170" fontId="6" fillId="0" borderId="2" xfId="0" applyNumberFormat="1" applyFont="1" applyFill="1" applyBorder="1" applyAlignment="1" applyProtection="1">
      <alignment horizontal="center" vertical="center"/>
      <protection hidden="1"/>
    </xf>
    <xf numFmtId="3" fontId="55" fillId="6" borderId="2" xfId="0" applyNumberFormat="1" applyFont="1" applyFill="1" applyBorder="1" applyAlignment="1" applyProtection="1">
      <alignment horizontal="center" vertical="center" wrapText="1"/>
    </xf>
    <xf numFmtId="3" fontId="47" fillId="6" borderId="2" xfId="0" applyNumberFormat="1" applyFont="1" applyFill="1" applyBorder="1" applyAlignment="1" applyProtection="1">
      <alignment horizontal="center" vertical="center" wrapText="1"/>
    </xf>
    <xf numFmtId="3" fontId="47" fillId="6" borderId="5" xfId="0" applyNumberFormat="1" applyFont="1" applyFill="1" applyBorder="1" applyAlignment="1" applyProtection="1">
      <alignment horizontal="center" vertical="center" wrapText="1"/>
    </xf>
    <xf numFmtId="0" fontId="4" fillId="0" borderId="3" xfId="0" quotePrefix="1" applyFont="1" applyFill="1" applyBorder="1" applyAlignment="1">
      <alignment horizontal="center" vertical="center" wrapText="1"/>
    </xf>
    <xf numFmtId="0" fontId="5" fillId="0" borderId="3" xfId="0" quotePrefix="1" applyFont="1" applyFill="1" applyBorder="1" applyAlignment="1">
      <alignment horizontal="left" vertical="center" indent="1"/>
    </xf>
    <xf numFmtId="3" fontId="39" fillId="0" borderId="4" xfId="0" applyNumberFormat="1" applyFont="1" applyFill="1" applyBorder="1" applyAlignment="1" applyProtection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indent="1"/>
    </xf>
    <xf numFmtId="0" fontId="39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indent="1"/>
    </xf>
    <xf numFmtId="0" fontId="1" fillId="0" borderId="3" xfId="0" quotePrefix="1" applyFont="1" applyFill="1" applyBorder="1" applyAlignment="1">
      <alignment horizontal="left" vertical="center" indent="1"/>
    </xf>
    <xf numFmtId="0" fontId="2" fillId="0" borderId="3" xfId="0" quotePrefix="1" applyFont="1" applyFill="1" applyBorder="1" applyAlignment="1">
      <alignment horizontal="left" vertical="center" inden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indent="1"/>
    </xf>
    <xf numFmtId="0" fontId="1" fillId="0" borderId="3" xfId="0" applyFont="1" applyFill="1" applyBorder="1" applyAlignment="1">
      <alignment horizontal="left" vertical="center" indent="1"/>
    </xf>
    <xf numFmtId="3" fontId="3" fillId="0" borderId="5" xfId="0" applyNumberFormat="1" applyFont="1" applyFill="1" applyBorder="1" applyAlignment="1">
      <alignment horizontal="center" vertical="center"/>
    </xf>
    <xf numFmtId="3" fontId="114" fillId="0" borderId="0" xfId="0" applyNumberFormat="1" applyFont="1" applyFill="1" applyAlignment="1">
      <alignment vertical="center"/>
    </xf>
    <xf numFmtId="0" fontId="114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39" fillId="0" borderId="3" xfId="0" applyFont="1" applyFill="1" applyBorder="1" applyAlignment="1" applyProtection="1">
      <alignment horizontal="left" vertical="center" wrapText="1" indent="2"/>
    </xf>
    <xf numFmtId="3" fontId="39" fillId="0" borderId="4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</xf>
    <xf numFmtId="0" fontId="1" fillId="0" borderId="3" xfId="0" applyFont="1" applyFill="1" applyBorder="1" applyAlignment="1" applyProtection="1">
      <alignment horizontal="left" vertical="center" wrapText="1" indent="2"/>
    </xf>
    <xf numFmtId="0" fontId="39" fillId="0" borderId="8" xfId="0" applyFont="1" applyFill="1" applyBorder="1" applyAlignment="1" applyProtection="1">
      <alignment horizontal="center" vertical="center"/>
    </xf>
    <xf numFmtId="3" fontId="39" fillId="0" borderId="5" xfId="0" applyNumberFormat="1" applyFont="1" applyFill="1" applyBorder="1" applyAlignment="1" applyProtection="1">
      <alignment vertical="center"/>
      <protection locked="0"/>
    </xf>
    <xf numFmtId="3" fontId="160" fillId="0" borderId="0" xfId="0" applyNumberFormat="1" applyFont="1" applyFill="1" applyProtection="1"/>
    <xf numFmtId="3" fontId="44" fillId="0" borderId="5" xfId="1047" applyNumberFormat="1" applyFont="1" applyFill="1" applyBorder="1" applyProtection="1"/>
    <xf numFmtId="0" fontId="39" fillId="0" borderId="5" xfId="0" applyFont="1" applyFill="1" applyBorder="1" applyAlignment="1" applyProtection="1">
      <alignment horizontal="left" vertical="center" indent="4"/>
      <protection hidden="1"/>
    </xf>
    <xf numFmtId="0" fontId="40" fillId="0" borderId="5" xfId="0" applyFont="1" applyFill="1" applyBorder="1" applyAlignment="1" applyProtection="1">
      <alignment horizontal="left" vertical="center" indent="4"/>
      <protection hidden="1"/>
    </xf>
    <xf numFmtId="0" fontId="124" fillId="21" borderId="5" xfId="733" applyNumberFormat="1" applyFont="1" applyFill="1" applyBorder="1" applyAlignment="1" applyProtection="1">
      <alignment horizontal="left" vertical="center" wrapText="1" indent="1"/>
    </xf>
    <xf numFmtId="3" fontId="47" fillId="0" borderId="5" xfId="733" applyNumberFormat="1" applyFont="1" applyFill="1" applyBorder="1" applyAlignment="1" applyProtection="1">
      <alignment horizontal="center" vertical="center" wrapText="1"/>
    </xf>
    <xf numFmtId="3" fontId="47" fillId="0" borderId="5" xfId="733" applyNumberFormat="1" applyFont="1" applyFill="1" applyBorder="1" applyAlignment="1" applyProtection="1">
      <alignment horizontal="center" vertical="center" wrapText="1"/>
      <protection locked="0"/>
    </xf>
    <xf numFmtId="3" fontId="50" fillId="26" borderId="5" xfId="733" applyNumberFormat="1" applyFont="1" applyFill="1" applyBorder="1" applyAlignment="1" applyProtection="1">
      <alignment horizontal="center" vertical="center" wrapText="1"/>
    </xf>
    <xf numFmtId="3" fontId="161" fillId="0" borderId="0" xfId="733" applyNumberFormat="1" applyFont="1" applyFill="1" applyBorder="1" applyAlignment="1" applyProtection="1">
      <alignment horizontal="center" vertical="center"/>
    </xf>
    <xf numFmtId="174" fontId="158" fillId="26" borderId="5" xfId="1050" applyNumberFormat="1" applyFont="1" applyFill="1" applyBorder="1" applyAlignment="1" applyProtection="1">
      <alignment horizontal="center" vertical="center" wrapText="1"/>
    </xf>
    <xf numFmtId="174" fontId="124" fillId="0" borderId="0" xfId="1050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 applyProtection="1">
      <alignment vertical="center"/>
    </xf>
    <xf numFmtId="0" fontId="3" fillId="0" borderId="0" xfId="0" applyFont="1" applyBorder="1" applyProtection="1"/>
    <xf numFmtId="0" fontId="7" fillId="0" borderId="0" xfId="0" applyFont="1" applyAlignment="1" applyProtection="1">
      <alignment vertical="center"/>
      <protection locked="0"/>
    </xf>
    <xf numFmtId="0" fontId="3" fillId="0" borderId="0" xfId="0" applyFont="1" applyBorder="1" applyProtection="1">
      <protection locked="0"/>
    </xf>
    <xf numFmtId="0" fontId="7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</xf>
    <xf numFmtId="173" fontId="0" fillId="0" borderId="0" xfId="0" applyNumberFormat="1" applyFont="1" applyBorder="1" applyAlignment="1" applyProtection="1">
      <alignment horizontal="left" indent="2"/>
    </xf>
    <xf numFmtId="3" fontId="2" fillId="2" borderId="4" xfId="0" applyNumberFormat="1" applyFont="1" applyFill="1" applyBorder="1" applyAlignment="1" applyProtection="1">
      <alignment vertical="center"/>
    </xf>
    <xf numFmtId="3" fontId="2" fillId="0" borderId="4" xfId="0" applyNumberFormat="1" applyFont="1" applyFill="1" applyBorder="1" applyAlignment="1" applyProtection="1">
      <alignment vertical="center"/>
    </xf>
    <xf numFmtId="0" fontId="162" fillId="0" borderId="0" xfId="733" applyNumberFormat="1" applyFont="1" applyFill="1" applyBorder="1" applyAlignment="1" applyProtection="1">
      <alignment vertical="top"/>
    </xf>
    <xf numFmtId="0" fontId="162" fillId="0" borderId="0" xfId="733" applyNumberFormat="1" applyFont="1" applyFill="1" applyBorder="1" applyAlignment="1" applyProtection="1">
      <alignment vertical="center"/>
    </xf>
    <xf numFmtId="0" fontId="162" fillId="0" borderId="0" xfId="733" applyNumberFormat="1" applyFont="1" applyFill="1" applyBorder="1" applyAlignment="1" applyProtection="1">
      <alignment horizontal="center" vertical="center"/>
    </xf>
    <xf numFmtId="3" fontId="162" fillId="6" borderId="5" xfId="0" applyNumberFormat="1" applyFont="1" applyFill="1" applyBorder="1" applyAlignment="1" applyProtection="1">
      <alignment horizontal="center" vertical="center" wrapText="1"/>
    </xf>
    <xf numFmtId="3" fontId="162" fillId="0" borderId="0" xfId="733" applyNumberFormat="1" applyFont="1" applyFill="1" applyBorder="1" applyAlignment="1" applyProtection="1">
      <alignment horizontal="center" vertical="center"/>
    </xf>
    <xf numFmtId="0" fontId="163" fillId="0" borderId="0" xfId="733" applyNumberFormat="1" applyFont="1" applyFill="1" applyBorder="1" applyAlignment="1" applyProtection="1">
      <alignment horizontal="center" vertical="center"/>
    </xf>
    <xf numFmtId="0" fontId="164" fillId="0" borderId="0" xfId="733" applyNumberFormat="1" applyFont="1" applyFill="1" applyBorder="1" applyAlignment="1" applyProtection="1">
      <alignment horizontal="center" vertical="center"/>
    </xf>
    <xf numFmtId="0" fontId="148" fillId="0" borderId="0" xfId="0" applyFont="1" applyProtection="1">
      <protection locked="0"/>
    </xf>
    <xf numFmtId="0" fontId="127" fillId="0" borderId="0" xfId="718" applyNumberFormat="1" applyFont="1" applyFill="1" applyBorder="1" applyAlignment="1" applyProtection="1">
      <alignment vertical="top"/>
    </xf>
    <xf numFmtId="0" fontId="148" fillId="0" borderId="0" xfId="0" applyFont="1" applyProtection="1"/>
    <xf numFmtId="0" fontId="127" fillId="0" borderId="0" xfId="733" applyNumberFormat="1" applyFont="1" applyFill="1" applyBorder="1" applyAlignment="1" applyProtection="1">
      <alignment vertical="top"/>
    </xf>
    <xf numFmtId="0" fontId="97" fillId="0" borderId="0" xfId="0" applyFont="1" applyProtection="1"/>
    <xf numFmtId="0" fontId="137" fillId="0" borderId="0" xfId="0" applyFont="1" applyProtection="1"/>
    <xf numFmtId="0" fontId="20" fillId="0" borderId="16" xfId="0" applyFont="1" applyBorder="1" applyAlignment="1" applyProtection="1">
      <alignment horizontal="left" vertical="center"/>
    </xf>
    <xf numFmtId="173" fontId="23" fillId="0" borderId="0" xfId="0" applyNumberFormat="1" applyFont="1" applyBorder="1" applyAlignment="1" applyProtection="1">
      <alignment horizontal="left"/>
    </xf>
    <xf numFmtId="3" fontId="23" fillId="0" borderId="0" xfId="0" applyNumberFormat="1" applyFont="1" applyBorder="1" applyAlignment="1" applyProtection="1">
      <alignment horizontal="centerContinuous"/>
    </xf>
    <xf numFmtId="0" fontId="23" fillId="0" borderId="0" xfId="0" applyFont="1" applyAlignment="1" applyProtection="1">
      <alignment horizontal="centerContinuous"/>
    </xf>
    <xf numFmtId="171" fontId="97" fillId="0" borderId="0" xfId="1060" applyNumberFormat="1" applyFont="1" applyProtection="1"/>
    <xf numFmtId="0" fontId="20" fillId="0" borderId="0" xfId="0" applyFont="1" applyAlignment="1" applyProtection="1">
      <alignment horizontal="center" vertical="center"/>
    </xf>
    <xf numFmtId="3" fontId="16" fillId="0" borderId="0" xfId="0" applyNumberFormat="1" applyFont="1" applyBorder="1" applyAlignment="1" applyProtection="1">
      <alignment horizontal="centerContinuous"/>
    </xf>
    <xf numFmtId="3" fontId="20" fillId="0" borderId="0" xfId="0" applyNumberFormat="1" applyFont="1" applyBorder="1" applyAlignment="1" applyProtection="1">
      <alignment horizontal="center"/>
    </xf>
    <xf numFmtId="9" fontId="23" fillId="0" borderId="20" xfId="1047" applyFont="1" applyBorder="1" applyAlignment="1" applyProtection="1">
      <alignment horizontal="center" vertical="center"/>
    </xf>
    <xf numFmtId="9" fontId="23" fillId="0" borderId="21" xfId="1047" applyFont="1" applyBorder="1" applyAlignment="1" applyProtection="1">
      <alignment horizontal="center" vertical="center"/>
    </xf>
    <xf numFmtId="0" fontId="97" fillId="0" borderId="0" xfId="0" applyFont="1" applyAlignment="1" applyProtection="1">
      <alignment horizontal="center" vertical="center"/>
    </xf>
    <xf numFmtId="0" fontId="20" fillId="0" borderId="5" xfId="0" applyFont="1" applyBorder="1" applyAlignment="1" applyProtection="1">
      <alignment horizontal="center" vertical="center"/>
    </xf>
    <xf numFmtId="0" fontId="20" fillId="0" borderId="18" xfId="0" applyFont="1" applyBorder="1" applyAlignment="1" applyProtection="1">
      <alignment horizontal="center" vertical="center"/>
    </xf>
    <xf numFmtId="0" fontId="20" fillId="0" borderId="22" xfId="0" applyFont="1" applyBorder="1" applyAlignment="1" applyProtection="1">
      <alignment horizontal="center" vertical="center"/>
    </xf>
    <xf numFmtId="0" fontId="23" fillId="0" borderId="5" xfId="0" applyFont="1" applyBorder="1" applyAlignment="1" applyProtection="1">
      <alignment horizontal="center" vertical="center"/>
    </xf>
    <xf numFmtId="0" fontId="20" fillId="0" borderId="5" xfId="0" applyFont="1" applyBorder="1" applyAlignment="1" applyProtection="1">
      <alignment horizontal="right" vertical="center"/>
    </xf>
    <xf numFmtId="3" fontId="20" fillId="0" borderId="5" xfId="0" applyNumberFormat="1" applyFont="1" applyBorder="1" applyAlignment="1" applyProtection="1">
      <alignment horizontal="centerContinuous"/>
    </xf>
    <xf numFmtId="3" fontId="20" fillId="0" borderId="18" xfId="0" applyNumberFormat="1" applyFont="1" applyBorder="1" applyAlignment="1" applyProtection="1">
      <alignment horizontal="centerContinuous"/>
    </xf>
    <xf numFmtId="0" fontId="23" fillId="0" borderId="5" xfId="0" applyFont="1" applyFill="1" applyBorder="1" applyAlignment="1" applyProtection="1">
      <alignment vertical="center" wrapText="1"/>
    </xf>
    <xf numFmtId="0" fontId="137" fillId="0" borderId="0" xfId="0" applyFont="1" applyAlignment="1" applyProtection="1">
      <alignment vertical="center"/>
    </xf>
    <xf numFmtId="166" fontId="23" fillId="0" borderId="0" xfId="0" applyNumberFormat="1" applyFont="1" applyAlignment="1" applyProtection="1">
      <alignment vertical="center"/>
    </xf>
    <xf numFmtId="171" fontId="23" fillId="0" borderId="0" xfId="1060" applyNumberFormat="1" applyFont="1" applyAlignment="1" applyProtection="1">
      <alignment vertical="center"/>
    </xf>
    <xf numFmtId="0" fontId="8" fillId="0" borderId="5" xfId="0" applyFont="1" applyFill="1" applyBorder="1" applyAlignment="1" applyProtection="1">
      <alignment vertical="center" wrapText="1"/>
    </xf>
    <xf numFmtId="0" fontId="23" fillId="27" borderId="0" xfId="0" applyFont="1" applyFill="1" applyAlignment="1" applyProtection="1">
      <alignment vertical="center"/>
    </xf>
    <xf numFmtId="0" fontId="20" fillId="0" borderId="22" xfId="0" applyFont="1" applyFill="1" applyBorder="1" applyAlignment="1" applyProtection="1">
      <alignment horizontal="center" vertical="center"/>
    </xf>
    <xf numFmtId="175" fontId="97" fillId="0" borderId="0" xfId="1060" applyNumberFormat="1" applyFont="1" applyAlignment="1" applyProtection="1">
      <alignment vertical="center"/>
    </xf>
    <xf numFmtId="167" fontId="97" fillId="0" borderId="0" xfId="1060" applyFont="1" applyAlignment="1" applyProtection="1">
      <alignment vertical="center"/>
    </xf>
    <xf numFmtId="0" fontId="20" fillId="0" borderId="23" xfId="0" applyFont="1" applyBorder="1" applyAlignment="1" applyProtection="1">
      <alignment horizontal="center" vertical="center"/>
    </xf>
    <xf numFmtId="0" fontId="23" fillId="0" borderId="17" xfId="0" applyFont="1" applyFill="1" applyBorder="1" applyAlignment="1" applyProtection="1">
      <alignment vertical="center" wrapText="1"/>
    </xf>
    <xf numFmtId="0" fontId="20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vertical="center" wrapText="1"/>
    </xf>
    <xf numFmtId="0" fontId="23" fillId="0" borderId="0" xfId="0" applyFont="1" applyBorder="1" applyAlignment="1" applyProtection="1">
      <alignment horizontal="left" vertical="center" wrapText="1"/>
    </xf>
    <xf numFmtId="9" fontId="20" fillId="0" borderId="20" xfId="0" applyNumberFormat="1" applyFont="1" applyFill="1" applyBorder="1" applyAlignment="1" applyProtection="1">
      <alignment horizontal="center" vertical="center"/>
    </xf>
    <xf numFmtId="9" fontId="20" fillId="0" borderId="20" xfId="0" applyNumberFormat="1" applyFont="1" applyBorder="1" applyAlignment="1" applyProtection="1">
      <alignment horizontal="center" vertical="center"/>
    </xf>
    <xf numFmtId="0" fontId="20" fillId="0" borderId="5" xfId="0" applyFont="1" applyFill="1" applyBorder="1" applyAlignment="1" applyProtection="1">
      <alignment horizontal="center" vertical="center"/>
    </xf>
    <xf numFmtId="0" fontId="20" fillId="0" borderId="22" xfId="0" applyFont="1" applyBorder="1" applyAlignment="1" applyProtection="1">
      <alignment horizontal="center" vertical="center" wrapText="1"/>
    </xf>
    <xf numFmtId="3" fontId="23" fillId="4" borderId="5" xfId="0" applyNumberFormat="1" applyFont="1" applyFill="1" applyBorder="1" applyAlignment="1" applyProtection="1">
      <alignment horizontal="center" vertical="center"/>
    </xf>
    <xf numFmtId="3" fontId="97" fillId="0" borderId="0" xfId="0" applyNumberFormat="1" applyFont="1" applyAlignment="1" applyProtection="1">
      <alignment vertical="center"/>
    </xf>
    <xf numFmtId="171" fontId="97" fillId="0" borderId="0" xfId="0" applyNumberFormat="1" applyFont="1" applyAlignment="1" applyProtection="1">
      <alignment vertical="center"/>
    </xf>
    <xf numFmtId="0" fontId="20" fillId="0" borderId="23" xfId="0" applyFont="1" applyBorder="1" applyAlignment="1" applyProtection="1">
      <alignment horizontal="center" vertical="center" wrapText="1"/>
    </xf>
    <xf numFmtId="3" fontId="23" fillId="4" borderId="17" xfId="0" applyNumberFormat="1" applyFont="1" applyFill="1" applyBorder="1" applyAlignment="1" applyProtection="1">
      <alignment horizontal="center" vertical="center"/>
    </xf>
    <xf numFmtId="0" fontId="20" fillId="0" borderId="0" xfId="0" applyFont="1" applyBorder="1" applyProtection="1"/>
    <xf numFmtId="3" fontId="23" fillId="4" borderId="5" xfId="0" applyNumberFormat="1" applyFont="1" applyFill="1" applyBorder="1" applyAlignment="1" applyProtection="1">
      <alignment horizontal="right" vertical="center"/>
      <protection locked="0"/>
    </xf>
    <xf numFmtId="166" fontId="165" fillId="0" borderId="0" xfId="0" applyNumberFormat="1" applyFont="1" applyAlignment="1" applyProtection="1">
      <alignment vertical="center"/>
    </xf>
    <xf numFmtId="171" fontId="165" fillId="0" borderId="0" xfId="1060" applyNumberFormat="1" applyFont="1" applyAlignment="1" applyProtection="1">
      <alignment vertical="center"/>
    </xf>
    <xf numFmtId="0" fontId="165" fillId="0" borderId="0" xfId="0" applyFont="1" applyAlignment="1" applyProtection="1">
      <alignment vertical="center"/>
    </xf>
    <xf numFmtId="175" fontId="165" fillId="0" borderId="0" xfId="1060" applyNumberFormat="1" applyFont="1" applyAlignment="1" applyProtection="1">
      <alignment vertical="center"/>
    </xf>
    <xf numFmtId="167" fontId="165" fillId="0" borderId="0" xfId="1060" applyFont="1" applyAlignment="1" applyProtection="1">
      <alignment vertical="center"/>
    </xf>
    <xf numFmtId="171" fontId="108" fillId="0" borderId="0" xfId="1060" applyNumberFormat="1" applyFont="1"/>
    <xf numFmtId="0" fontId="108" fillId="0" borderId="0" xfId="0" applyFont="1"/>
    <xf numFmtId="0" fontId="160" fillId="0" borderId="0" xfId="0" applyFont="1" applyAlignment="1">
      <alignment vertical="center"/>
    </xf>
    <xf numFmtId="171" fontId="166" fillId="0" borderId="0" xfId="1060" applyNumberFormat="1" applyFont="1"/>
    <xf numFmtId="0" fontId="2" fillId="0" borderId="0" xfId="0" applyFont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</xf>
    <xf numFmtId="3" fontId="39" fillId="0" borderId="5" xfId="0" applyNumberFormat="1" applyFont="1" applyBorder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 wrapText="1"/>
    </xf>
    <xf numFmtId="0" fontId="80" fillId="0" borderId="0" xfId="0" applyFont="1" applyAlignment="1" applyProtection="1">
      <alignment horizontal="center" vertical="center" wrapText="1"/>
    </xf>
    <xf numFmtId="186" fontId="167" fillId="0" borderId="32" xfId="0" applyNumberFormat="1" applyFont="1" applyBorder="1" applyAlignment="1" applyProtection="1">
      <alignment horizontal="right" vertical="center" wrapText="1"/>
      <protection locked="0"/>
    </xf>
    <xf numFmtId="3" fontId="51" fillId="6" borderId="2" xfId="0" applyNumberFormat="1" applyFont="1" applyFill="1" applyBorder="1" applyAlignment="1" applyProtection="1">
      <alignment horizontal="center" vertical="center" textRotation="90" wrapText="1"/>
    </xf>
    <xf numFmtId="3" fontId="51" fillId="6" borderId="2" xfId="0" applyNumberFormat="1" applyFont="1" applyFill="1" applyBorder="1" applyAlignment="1" applyProtection="1">
      <alignment horizontal="center" vertical="center" wrapText="1"/>
    </xf>
    <xf numFmtId="3" fontId="51" fillId="6" borderId="5" xfId="0" applyNumberFormat="1" applyFont="1" applyFill="1" applyBorder="1" applyAlignment="1" applyProtection="1">
      <alignment horizontal="center" vertical="center" wrapText="1"/>
    </xf>
    <xf numFmtId="3" fontId="3" fillId="0" borderId="0" xfId="0" applyNumberFormat="1" applyFont="1" applyAlignment="1" applyProtection="1">
      <alignment horizontal="center" vertical="center" wrapText="1"/>
    </xf>
    <xf numFmtId="173" fontId="5" fillId="0" borderId="0" xfId="0" applyNumberFormat="1" applyFont="1" applyAlignment="1" applyProtection="1">
      <alignment horizontal="center" vertical="center" wrapText="1"/>
    </xf>
    <xf numFmtId="3" fontId="2" fillId="0" borderId="0" xfId="0" applyNumberFormat="1" applyFont="1" applyAlignment="1" applyProtection="1">
      <alignment horizontal="center" vertical="center" wrapText="1"/>
    </xf>
    <xf numFmtId="3" fontId="2" fillId="0" borderId="0" xfId="0" applyNumberFormat="1" applyFont="1" applyBorder="1" applyAlignment="1" applyProtection="1">
      <alignment horizontal="center" vertical="center" wrapText="1"/>
    </xf>
    <xf numFmtId="3" fontId="52" fillId="0" borderId="0" xfId="0" applyNumberFormat="1" applyFont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  <protection locked="0"/>
    </xf>
    <xf numFmtId="3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4" xfId="1002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Fill="1" applyBorder="1" applyAlignment="1" applyProtection="1">
      <alignment horizontal="center" vertical="center" wrapText="1"/>
      <protection locked="0"/>
    </xf>
    <xf numFmtId="3" fontId="1" fillId="0" borderId="5" xfId="0" applyNumberFormat="1" applyFont="1" applyBorder="1" applyAlignment="1" applyProtection="1">
      <alignment horizontal="center" vertical="center" wrapText="1"/>
      <protection locked="0"/>
    </xf>
    <xf numFmtId="3" fontId="39" fillId="0" borderId="4" xfId="1002" applyNumberFormat="1" applyFont="1" applyFill="1" applyBorder="1" applyAlignment="1" applyProtection="1">
      <alignment horizontal="center" vertical="center" wrapText="1"/>
      <protection locked="0"/>
    </xf>
    <xf numFmtId="3" fontId="4" fillId="0" borderId="9" xfId="0" applyNumberFormat="1" applyFont="1" applyFill="1" applyBorder="1" applyAlignment="1" applyProtection="1">
      <alignment horizontal="center" vertical="center" wrapText="1"/>
    </xf>
    <xf numFmtId="3" fontId="4" fillId="0" borderId="10" xfId="0" applyNumberFormat="1" applyFont="1" applyFill="1" applyBorder="1" applyAlignment="1" applyProtection="1">
      <alignment horizontal="center" vertical="center" wrapText="1"/>
    </xf>
    <xf numFmtId="3" fontId="2" fillId="0" borderId="5" xfId="0" applyNumberFormat="1" applyFont="1" applyFill="1" applyBorder="1" applyAlignment="1" applyProtection="1">
      <alignment horizontal="center" vertical="center" wrapText="1"/>
    </xf>
    <xf numFmtId="3" fontId="2" fillId="4" borderId="11" xfId="0" applyNumberFormat="1" applyFont="1" applyFill="1" applyBorder="1" applyAlignment="1" applyProtection="1">
      <alignment horizontal="center" vertical="center" wrapText="1"/>
    </xf>
    <xf numFmtId="3" fontId="2" fillId="4" borderId="6" xfId="0" applyNumberFormat="1" applyFont="1" applyFill="1" applyBorder="1" applyAlignment="1" applyProtection="1">
      <alignment horizontal="center" vertical="center" wrapText="1"/>
    </xf>
    <xf numFmtId="3" fontId="2" fillId="4" borderId="12" xfId="0" applyNumberFormat="1" applyFont="1" applyFill="1" applyBorder="1" applyAlignment="1" applyProtection="1">
      <alignment horizontal="center" vertical="center" wrapText="1"/>
    </xf>
    <xf numFmtId="3" fontId="2" fillId="4" borderId="3" xfId="0" applyNumberFormat="1" applyFont="1" applyFill="1" applyBorder="1" applyAlignment="1" applyProtection="1">
      <alignment horizontal="center" vertical="center" wrapText="1"/>
    </xf>
    <xf numFmtId="3" fontId="2" fillId="4" borderId="7" xfId="0" applyNumberFormat="1" applyFont="1" applyFill="1" applyBorder="1" applyAlignment="1" applyProtection="1">
      <alignment horizontal="center" vertical="center" wrapText="1"/>
    </xf>
    <xf numFmtId="3" fontId="2" fillId="4" borderId="13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 vertical="center" wrapText="1"/>
    </xf>
    <xf numFmtId="3" fontId="170" fillId="0" borderId="0" xfId="733" applyNumberFormat="1" applyFont="1" applyFill="1" applyBorder="1" applyAlignment="1" applyProtection="1">
      <alignment horizontal="center" vertical="center"/>
    </xf>
    <xf numFmtId="167" fontId="162" fillId="0" borderId="0" xfId="1060" applyFont="1" applyFill="1" applyBorder="1" applyAlignment="1" applyProtection="1">
      <alignment horizontal="center" vertical="center"/>
    </xf>
    <xf numFmtId="0" fontId="168" fillId="0" borderId="7" xfId="733" applyNumberFormat="1" applyFont="1" applyFill="1" applyBorder="1" applyAlignment="1" applyProtection="1">
      <alignment vertical="center"/>
    </xf>
    <xf numFmtId="0" fontId="47" fillId="0" borderId="0" xfId="733" applyNumberFormat="1" applyFont="1" applyFill="1" applyBorder="1" applyAlignment="1" applyProtection="1">
      <alignment horizontal="center" vertical="center"/>
      <protection locked="0"/>
    </xf>
    <xf numFmtId="0" fontId="19" fillId="0" borderId="0" xfId="718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/>
    </xf>
    <xf numFmtId="3" fontId="49" fillId="6" borderId="2" xfId="0" applyNumberFormat="1" applyFont="1" applyFill="1" applyBorder="1" applyAlignment="1" applyProtection="1">
      <alignment horizontal="center" vertical="center" wrapText="1"/>
    </xf>
    <xf numFmtId="3" fontId="49" fillId="6" borderId="4" xfId="0" applyNumberFormat="1" applyFont="1" applyFill="1" applyBorder="1" applyAlignment="1" applyProtection="1">
      <alignment horizontal="center" vertical="center" wrapText="1"/>
    </xf>
    <xf numFmtId="3" fontId="49" fillId="6" borderId="8" xfId="0" applyNumberFormat="1" applyFont="1" applyFill="1" applyBorder="1" applyAlignment="1" applyProtection="1">
      <alignment horizontal="center" vertical="center" wrapText="1"/>
    </xf>
    <xf numFmtId="3" fontId="49" fillId="6" borderId="9" xfId="0" applyNumberFormat="1" applyFont="1" applyFill="1" applyBorder="1" applyAlignment="1" applyProtection="1">
      <alignment horizontal="center" vertical="center" wrapText="1"/>
    </xf>
    <xf numFmtId="0" fontId="168" fillId="0" borderId="0" xfId="785" applyNumberFormat="1" applyFont="1" applyFill="1" applyBorder="1" applyAlignment="1" applyProtection="1">
      <alignment horizontal="center" vertical="center" wrapText="1"/>
    </xf>
    <xf numFmtId="0" fontId="168" fillId="0" borderId="0" xfId="785" applyNumberFormat="1" applyFont="1" applyFill="1" applyBorder="1" applyAlignment="1" applyProtection="1">
      <alignment horizontal="center" vertical="center"/>
    </xf>
    <xf numFmtId="0" fontId="49" fillId="0" borderId="0" xfId="0" applyFont="1" applyBorder="1" applyAlignment="1" applyProtection="1">
      <alignment horizontal="center" vertical="center" wrapText="1"/>
    </xf>
    <xf numFmtId="3" fontId="49" fillId="6" borderId="14" xfId="0" applyNumberFormat="1" applyFont="1" applyFill="1" applyBorder="1" applyAlignment="1" applyProtection="1">
      <alignment horizontal="center" vertical="center" wrapText="1"/>
    </xf>
    <xf numFmtId="3" fontId="49" fillId="6" borderId="11" xfId="0" applyNumberFormat="1" applyFont="1" applyFill="1" applyBorder="1" applyAlignment="1" applyProtection="1">
      <alignment horizontal="center" vertical="center" wrapText="1"/>
    </xf>
    <xf numFmtId="3" fontId="49" fillId="6" borderId="6" xfId="0" applyNumberFormat="1" applyFont="1" applyFill="1" applyBorder="1" applyAlignment="1" applyProtection="1">
      <alignment horizontal="center" vertical="center" wrapText="1"/>
    </xf>
    <xf numFmtId="3" fontId="49" fillId="6" borderId="12" xfId="0" applyNumberFormat="1" applyFont="1" applyFill="1" applyBorder="1" applyAlignment="1" applyProtection="1">
      <alignment horizontal="center" vertical="center" wrapText="1"/>
    </xf>
    <xf numFmtId="3" fontId="49" fillId="6" borderId="16" xfId="0" applyNumberFormat="1" applyFont="1" applyFill="1" applyBorder="1" applyAlignment="1" applyProtection="1">
      <alignment horizontal="center" vertical="center" wrapText="1"/>
    </xf>
    <xf numFmtId="3" fontId="49" fillId="6" borderId="0" xfId="0" applyNumberFormat="1" applyFont="1" applyFill="1" applyBorder="1" applyAlignment="1" applyProtection="1">
      <alignment horizontal="center" vertical="center" wrapText="1"/>
    </xf>
    <xf numFmtId="3" fontId="49" fillId="6" borderId="15" xfId="0" applyNumberFormat="1" applyFont="1" applyFill="1" applyBorder="1" applyAlignment="1" applyProtection="1">
      <alignment horizontal="center" vertical="center" wrapText="1"/>
    </xf>
    <xf numFmtId="3" fontId="49" fillId="6" borderId="3" xfId="0" applyNumberFormat="1" applyFont="1" applyFill="1" applyBorder="1" applyAlignment="1" applyProtection="1">
      <alignment horizontal="center" vertical="center" wrapText="1"/>
    </xf>
    <xf numFmtId="3" fontId="49" fillId="6" borderId="7" xfId="0" applyNumberFormat="1" applyFont="1" applyFill="1" applyBorder="1" applyAlignment="1" applyProtection="1">
      <alignment horizontal="center" vertical="center" wrapText="1"/>
    </xf>
    <xf numFmtId="3" fontId="49" fillId="6" borderId="13" xfId="0" applyNumberFormat="1" applyFont="1" applyFill="1" applyBorder="1" applyAlignment="1" applyProtection="1">
      <alignment horizontal="center" vertical="center" wrapText="1"/>
    </xf>
    <xf numFmtId="3" fontId="49" fillId="6" borderId="10" xfId="0" applyNumberFormat="1" applyFont="1" applyFill="1" applyBorder="1" applyAlignment="1" applyProtection="1">
      <alignment horizontal="center" vertical="center" wrapText="1"/>
    </xf>
    <xf numFmtId="173" fontId="50" fillId="0" borderId="7" xfId="785" applyNumberFormat="1" applyFont="1" applyFill="1" applyBorder="1" applyAlignment="1" applyProtection="1">
      <alignment horizontal="center" vertical="top" wrapText="1"/>
    </xf>
    <xf numFmtId="0" fontId="25" fillId="0" borderId="0" xfId="0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horizontal="center" vertical="center"/>
    </xf>
    <xf numFmtId="9" fontId="23" fillId="0" borderId="8" xfId="0" applyNumberFormat="1" applyFont="1" applyBorder="1" applyAlignment="1" applyProtection="1">
      <alignment horizontal="center" vertical="center"/>
    </xf>
    <xf numFmtId="9" fontId="23" fillId="0" borderId="10" xfId="0" applyNumberFormat="1" applyFont="1" applyBorder="1" applyAlignment="1" applyProtection="1">
      <alignment horizontal="center" vertical="center"/>
    </xf>
    <xf numFmtId="174" fontId="23" fillId="0" borderId="8" xfId="0" applyNumberFormat="1" applyFont="1" applyBorder="1" applyAlignment="1" applyProtection="1">
      <alignment horizontal="center" vertical="center"/>
    </xf>
    <xf numFmtId="174" fontId="23" fillId="0" borderId="10" xfId="0" applyNumberFormat="1" applyFont="1" applyBorder="1" applyAlignment="1" applyProtection="1">
      <alignment horizontal="center" vertical="center"/>
    </xf>
    <xf numFmtId="0" fontId="16" fillId="0" borderId="0" xfId="0" applyFont="1" applyAlignment="1" applyProtection="1">
      <alignment horizontal="center" vertical="center" wrapText="1"/>
    </xf>
    <xf numFmtId="0" fontId="20" fillId="0" borderId="28" xfId="0" applyFont="1" applyBorder="1" applyAlignment="1" applyProtection="1">
      <alignment horizontal="center" vertical="center"/>
    </xf>
    <xf numFmtId="0" fontId="20" fillId="0" borderId="22" xfId="0" applyFont="1" applyBorder="1" applyAlignment="1" applyProtection="1">
      <alignment horizontal="center" vertical="center"/>
    </xf>
    <xf numFmtId="0" fontId="20" fillId="0" borderId="20" xfId="0" applyFont="1" applyBorder="1" applyAlignment="1" applyProtection="1">
      <alignment horizontal="center" vertical="center"/>
    </xf>
    <xf numFmtId="0" fontId="20" fillId="0" borderId="5" xfId="0" applyFont="1" applyBorder="1" applyAlignment="1" applyProtection="1">
      <alignment horizontal="center" vertical="center"/>
    </xf>
    <xf numFmtId="0" fontId="20" fillId="0" borderId="28" xfId="0" applyFont="1" applyBorder="1" applyAlignment="1" applyProtection="1">
      <alignment horizontal="center" vertical="center" wrapText="1"/>
    </xf>
    <xf numFmtId="0" fontId="20" fillId="0" borderId="22" xfId="0" applyFont="1" applyBorder="1" applyAlignment="1" applyProtection="1">
      <alignment horizontal="center" vertical="center" wrapText="1"/>
    </xf>
    <xf numFmtId="0" fontId="20" fillId="0" borderId="21" xfId="0" applyFont="1" applyBorder="1" applyAlignment="1" applyProtection="1">
      <alignment horizontal="center" vertical="center" wrapText="1"/>
    </xf>
    <xf numFmtId="0" fontId="20" fillId="0" borderId="18" xfId="0" applyFont="1" applyBorder="1" applyAlignment="1" applyProtection="1">
      <alignment horizontal="center" vertical="center" wrapText="1"/>
    </xf>
    <xf numFmtId="0" fontId="20" fillId="0" borderId="5" xfId="0" applyFont="1" applyFill="1" applyBorder="1" applyAlignment="1" applyProtection="1">
      <alignment horizontal="center" vertical="center"/>
    </xf>
    <xf numFmtId="0" fontId="23" fillId="0" borderId="5" xfId="0" applyFont="1" applyFill="1" applyBorder="1" applyAlignment="1" applyProtection="1">
      <alignment horizontal="center" vertical="center"/>
    </xf>
    <xf numFmtId="0" fontId="23" fillId="0" borderId="5" xfId="0" applyFont="1" applyBorder="1" applyAlignment="1" applyProtection="1">
      <alignment horizontal="center" vertical="center"/>
    </xf>
    <xf numFmtId="0" fontId="20" fillId="0" borderId="29" xfId="0" applyFont="1" applyBorder="1" applyAlignment="1" applyProtection="1">
      <alignment horizontal="center" vertical="center"/>
    </xf>
    <xf numFmtId="0" fontId="20" fillId="0" borderId="30" xfId="0" applyFont="1" applyBorder="1" applyAlignment="1" applyProtection="1">
      <alignment horizontal="center" vertical="center"/>
    </xf>
    <xf numFmtId="0" fontId="20" fillId="0" borderId="16" xfId="0" applyFont="1" applyBorder="1" applyAlignment="1" applyProtection="1">
      <alignment horizontal="center" vertical="center"/>
    </xf>
    <xf numFmtId="0" fontId="20" fillId="0" borderId="15" xfId="0" applyFont="1" applyBorder="1" applyAlignment="1" applyProtection="1">
      <alignment horizontal="center" vertical="center"/>
    </xf>
    <xf numFmtId="0" fontId="20" fillId="0" borderId="3" xfId="0" applyFont="1" applyBorder="1" applyAlignment="1" applyProtection="1">
      <alignment horizontal="center" vertical="center"/>
    </xf>
    <xf numFmtId="0" fontId="20" fillId="0" borderId="13" xfId="0" applyFont="1" applyBorder="1" applyAlignment="1" applyProtection="1">
      <alignment horizontal="center" vertical="center"/>
    </xf>
    <xf numFmtId="173" fontId="23" fillId="0" borderId="0" xfId="0" applyNumberFormat="1" applyFont="1" applyBorder="1" applyAlignment="1" applyProtection="1">
      <alignment horizontal="center"/>
    </xf>
    <xf numFmtId="0" fontId="16" fillId="0" borderId="0" xfId="0" applyFont="1" applyBorder="1" applyAlignment="1" applyProtection="1">
      <alignment horizontal="center" vertical="center"/>
    </xf>
    <xf numFmtId="0" fontId="20" fillId="0" borderId="29" xfId="0" applyFont="1" applyBorder="1" applyAlignment="1" applyProtection="1">
      <alignment horizontal="center" vertical="center" wrapText="1"/>
    </xf>
    <xf numFmtId="0" fontId="20" fillId="0" borderId="30" xfId="0" applyFont="1" applyBorder="1" applyAlignment="1" applyProtection="1">
      <alignment horizontal="center" vertical="center" wrapText="1"/>
    </xf>
    <xf numFmtId="0" fontId="20" fillId="0" borderId="16" xfId="0" applyFont="1" applyBorder="1" applyAlignment="1" applyProtection="1">
      <alignment horizontal="center" vertical="center" wrapText="1"/>
    </xf>
    <xf numFmtId="0" fontId="20" fillId="0" borderId="15" xfId="0" applyFont="1" applyBorder="1" applyAlignment="1" applyProtection="1">
      <alignment horizontal="center" vertical="center" wrapText="1"/>
    </xf>
    <xf numFmtId="0" fontId="20" fillId="0" borderId="3" xfId="0" applyFont="1" applyBorder="1" applyAlignment="1" applyProtection="1">
      <alignment horizontal="center" vertical="center" wrapText="1"/>
    </xf>
    <xf numFmtId="0" fontId="20" fillId="0" borderId="13" xfId="0" applyFont="1" applyBorder="1" applyAlignment="1" applyProtection="1">
      <alignment horizontal="center" vertical="center" wrapText="1"/>
    </xf>
    <xf numFmtId="0" fontId="23" fillId="0" borderId="8" xfId="0" applyFont="1" applyBorder="1" applyAlignment="1" applyProtection="1">
      <alignment horizontal="left" vertical="center" wrapText="1"/>
    </xf>
    <xf numFmtId="0" fontId="23" fillId="0" borderId="10" xfId="0" applyFont="1" applyBorder="1" applyAlignment="1" applyProtection="1">
      <alignment horizontal="left" vertical="center" wrapText="1"/>
    </xf>
    <xf numFmtId="0" fontId="20" fillId="0" borderId="26" xfId="0" applyFont="1" applyBorder="1" applyAlignment="1" applyProtection="1">
      <alignment horizontal="center" vertical="center"/>
    </xf>
    <xf numFmtId="0" fontId="20" fillId="0" borderId="9" xfId="0" applyFont="1" applyBorder="1" applyAlignment="1" applyProtection="1">
      <alignment horizontal="center" vertical="center"/>
    </xf>
    <xf numFmtId="0" fontId="20" fillId="0" borderId="27" xfId="0" applyFont="1" applyBorder="1" applyAlignment="1" applyProtection="1">
      <alignment horizontal="center" vertical="center"/>
    </xf>
    <xf numFmtId="0" fontId="23" fillId="0" borderId="24" xfId="0" applyFont="1" applyBorder="1" applyAlignment="1" applyProtection="1">
      <alignment horizontal="left" vertical="center" wrapText="1"/>
    </xf>
    <xf numFmtId="0" fontId="23" fillId="0" borderId="25" xfId="0" applyFont="1" applyBorder="1" applyAlignment="1" applyProtection="1">
      <alignment horizontal="left" vertical="center" wrapText="1"/>
    </xf>
    <xf numFmtId="0" fontId="20" fillId="0" borderId="8" xfId="0" applyFont="1" applyBorder="1" applyAlignment="1" applyProtection="1">
      <alignment horizontal="center" vertical="center"/>
    </xf>
    <xf numFmtId="0" fontId="20" fillId="0" borderId="10" xfId="0" applyFont="1" applyBorder="1" applyAlignment="1" applyProtection="1">
      <alignment horizontal="center" vertical="center"/>
    </xf>
    <xf numFmtId="0" fontId="34" fillId="0" borderId="0" xfId="434" applyFont="1" applyAlignment="1" applyProtection="1">
      <alignment horizontal="center" vertical="center"/>
    </xf>
    <xf numFmtId="3" fontId="15" fillId="6" borderId="2" xfId="0" applyNumberFormat="1" applyFont="1" applyFill="1" applyBorder="1" applyAlignment="1" applyProtection="1">
      <alignment horizontal="center" vertical="center"/>
    </xf>
    <xf numFmtId="3" fontId="15" fillId="6" borderId="14" xfId="0" applyNumberFormat="1" applyFont="1" applyFill="1" applyBorder="1" applyAlignment="1" applyProtection="1">
      <alignment horizontal="center" vertical="center"/>
    </xf>
    <xf numFmtId="3" fontId="15" fillId="6" borderId="4" xfId="0" applyNumberFormat="1" applyFont="1" applyFill="1" applyBorder="1" applyAlignment="1" applyProtection="1">
      <alignment horizontal="center" vertical="center"/>
    </xf>
    <xf numFmtId="3" fontId="15" fillId="6" borderId="2" xfId="0" applyNumberFormat="1" applyFont="1" applyFill="1" applyBorder="1" applyAlignment="1" applyProtection="1">
      <alignment horizontal="center" vertical="center" wrapText="1"/>
    </xf>
    <xf numFmtId="3" fontId="15" fillId="6" borderId="14" xfId="0" applyNumberFormat="1" applyFont="1" applyFill="1" applyBorder="1" applyAlignment="1" applyProtection="1">
      <alignment horizontal="center" vertical="center" wrapText="1"/>
    </xf>
    <xf numFmtId="3" fontId="15" fillId="6" borderId="4" xfId="0" applyNumberFormat="1" applyFont="1" applyFill="1" applyBorder="1" applyAlignment="1" applyProtection="1">
      <alignment horizontal="center" vertical="center" wrapText="1"/>
    </xf>
    <xf numFmtId="3" fontId="15" fillId="6" borderId="5" xfId="0" applyNumberFormat="1" applyFont="1" applyFill="1" applyBorder="1" applyAlignment="1">
      <alignment horizontal="center" vertical="center" textRotation="90" wrapText="1"/>
    </xf>
    <xf numFmtId="3" fontId="15" fillId="6" borderId="5" xfId="0" applyNumberFormat="1" applyFont="1" applyFill="1" applyBorder="1" applyAlignment="1">
      <alignment horizontal="center" vertical="center"/>
    </xf>
    <xf numFmtId="3" fontId="15" fillId="6" borderId="5" xfId="0" applyNumberFormat="1" applyFont="1" applyFill="1" applyBorder="1" applyAlignment="1">
      <alignment horizontal="center" vertical="center" wrapText="1"/>
    </xf>
    <xf numFmtId="3" fontId="15" fillId="6" borderId="5" xfId="0" applyNumberFormat="1" applyFont="1" applyFill="1" applyBorder="1" applyAlignment="1" applyProtection="1">
      <alignment horizontal="center" vertical="center" wrapText="1"/>
    </xf>
    <xf numFmtId="173" fontId="57" fillId="0" borderId="0" xfId="0" applyNumberFormat="1" applyFont="1" applyBorder="1" applyAlignment="1">
      <alignment horizontal="center"/>
    </xf>
    <xf numFmtId="3" fontId="52" fillId="6" borderId="8" xfId="0" applyNumberFormat="1" applyFont="1" applyFill="1" applyBorder="1" applyAlignment="1" applyProtection="1">
      <alignment horizontal="center" vertical="center" wrapText="1"/>
    </xf>
    <xf numFmtId="3" fontId="52" fillId="6" borderId="10" xfId="0" applyNumberFormat="1" applyFont="1" applyFill="1" applyBorder="1" applyAlignment="1" applyProtection="1">
      <alignment horizontal="center" vertical="center" wrapText="1"/>
    </xf>
    <xf numFmtId="3" fontId="52" fillId="6" borderId="9" xfId="0" applyNumberFormat="1" applyFont="1" applyFill="1" applyBorder="1" applyAlignment="1" applyProtection="1">
      <alignment horizontal="center" vertical="center" wrapText="1"/>
    </xf>
    <xf numFmtId="173" fontId="0" fillId="0" borderId="7" xfId="0" applyNumberFormat="1" applyFont="1" applyBorder="1" applyAlignment="1">
      <alignment horizontal="center"/>
    </xf>
    <xf numFmtId="3" fontId="52" fillId="6" borderId="11" xfId="0" applyNumberFormat="1" applyFont="1" applyFill="1" applyBorder="1" applyAlignment="1" applyProtection="1">
      <alignment horizontal="center" vertical="center" wrapText="1"/>
    </xf>
    <xf numFmtId="3" fontId="52" fillId="6" borderId="12" xfId="0" applyNumberFormat="1" applyFont="1" applyFill="1" applyBorder="1" applyAlignment="1" applyProtection="1">
      <alignment horizontal="center" vertical="center" wrapText="1"/>
    </xf>
    <xf numFmtId="3" fontId="52" fillId="6" borderId="3" xfId="0" applyNumberFormat="1" applyFont="1" applyFill="1" applyBorder="1" applyAlignment="1" applyProtection="1">
      <alignment horizontal="center" vertical="center" wrapText="1"/>
    </xf>
    <xf numFmtId="3" fontId="52" fillId="6" borderId="13" xfId="0" applyNumberFormat="1" applyFont="1" applyFill="1" applyBorder="1" applyAlignment="1" applyProtection="1">
      <alignment horizontal="center" vertical="center" wrapText="1"/>
    </xf>
    <xf numFmtId="3" fontId="52" fillId="6" borderId="2" xfId="0" applyNumberFormat="1" applyFont="1" applyFill="1" applyBorder="1" applyAlignment="1" applyProtection="1">
      <alignment horizontal="center" vertical="center" wrapText="1"/>
    </xf>
    <xf numFmtId="3" fontId="52" fillId="6" borderId="14" xfId="0" applyNumberFormat="1" applyFont="1" applyFill="1" applyBorder="1" applyAlignment="1" applyProtection="1">
      <alignment horizontal="center" vertical="center" wrapText="1"/>
    </xf>
    <xf numFmtId="3" fontId="52" fillId="6" borderId="4" xfId="0" applyNumberFormat="1" applyFont="1" applyFill="1" applyBorder="1" applyAlignment="1" applyProtection="1">
      <alignment horizontal="center" vertical="center" wrapText="1"/>
    </xf>
    <xf numFmtId="0" fontId="48" fillId="0" borderId="0" xfId="0" applyFont="1" applyAlignment="1" applyProtection="1">
      <alignment horizontal="center" vertical="center" wrapText="1"/>
    </xf>
    <xf numFmtId="173" fontId="0" fillId="0" borderId="7" xfId="0" applyNumberFormat="1" applyFont="1" applyBorder="1" applyAlignment="1" applyProtection="1">
      <alignment horizontal="center" vertical="center" wrapText="1"/>
    </xf>
    <xf numFmtId="3" fontId="51" fillId="6" borderId="2" xfId="0" applyNumberFormat="1" applyFont="1" applyFill="1" applyBorder="1" applyAlignment="1" applyProtection="1">
      <alignment horizontal="center" vertical="center" textRotation="90" wrapText="1"/>
    </xf>
    <xf numFmtId="3" fontId="51" fillId="6" borderId="4" xfId="0" applyNumberFormat="1" applyFont="1" applyFill="1" applyBorder="1" applyAlignment="1" applyProtection="1">
      <alignment horizontal="center" vertical="center" textRotation="90" wrapText="1"/>
    </xf>
    <xf numFmtId="3" fontId="51" fillId="6" borderId="8" xfId="0" applyNumberFormat="1" applyFont="1" applyFill="1" applyBorder="1" applyAlignment="1" applyProtection="1">
      <alignment horizontal="center" vertical="center" wrapText="1"/>
    </xf>
    <xf numFmtId="3" fontId="51" fillId="6" borderId="10" xfId="0" applyNumberFormat="1" applyFont="1" applyFill="1" applyBorder="1" applyAlignment="1" applyProtection="1">
      <alignment horizontal="center" vertical="center" wrapText="1"/>
    </xf>
    <xf numFmtId="3" fontId="4" fillId="0" borderId="8" xfId="0" applyNumberFormat="1" applyFont="1" applyFill="1" applyBorder="1" applyAlignment="1" applyProtection="1">
      <alignment horizontal="center" vertical="center" wrapText="1"/>
    </xf>
    <xf numFmtId="3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51" fillId="6" borderId="9" xfId="0" applyNumberFormat="1" applyFont="1" applyFill="1" applyBorder="1" applyAlignment="1" applyProtection="1">
      <alignment horizontal="center" vertical="center" wrapText="1"/>
    </xf>
    <xf numFmtId="3" fontId="51" fillId="6" borderId="2" xfId="0" applyNumberFormat="1" applyFont="1" applyFill="1" applyBorder="1" applyAlignment="1" applyProtection="1">
      <alignment horizontal="center" vertical="center" wrapText="1"/>
    </xf>
    <xf numFmtId="3" fontId="51" fillId="6" borderId="4" xfId="0" applyNumberFormat="1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left" indent="1"/>
    </xf>
    <xf numFmtId="0" fontId="48" fillId="0" borderId="0" xfId="0" applyFont="1" applyAlignment="1" applyProtection="1">
      <alignment horizontal="center" vertical="center"/>
    </xf>
    <xf numFmtId="173" fontId="0" fillId="0" borderId="7" xfId="0" applyNumberFormat="1" applyFont="1" applyBorder="1" applyAlignment="1" applyProtection="1">
      <alignment horizont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 applyProtection="1">
      <alignment horizontal="left" vertical="center" indent="2"/>
    </xf>
    <xf numFmtId="0" fontId="7" fillId="0" borderId="0" xfId="0" applyFont="1" applyBorder="1" applyAlignment="1" applyProtection="1">
      <alignment horizontal="left" vertical="center" indent="2"/>
    </xf>
    <xf numFmtId="3" fontId="51" fillId="6" borderId="5" xfId="0" applyNumberFormat="1" applyFont="1" applyFill="1" applyBorder="1" applyAlignment="1" applyProtection="1">
      <alignment horizontal="center" vertical="center" wrapText="1"/>
    </xf>
    <xf numFmtId="0" fontId="2" fillId="0" borderId="8" xfId="0" applyFont="1" applyBorder="1" applyAlignment="1">
      <alignment horizontal="left" vertical="center" wrapText="1" indent="1"/>
    </xf>
    <xf numFmtId="0" fontId="2" fillId="0" borderId="10" xfId="0" applyFont="1" applyBorder="1" applyAlignment="1">
      <alignment horizontal="left" vertical="center" wrapText="1" indent="1"/>
    </xf>
    <xf numFmtId="0" fontId="50" fillId="0" borderId="0" xfId="0" applyFont="1" applyBorder="1" applyAlignment="1" applyProtection="1">
      <alignment horizontal="center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horizontal="center"/>
    </xf>
    <xf numFmtId="0" fontId="14" fillId="0" borderId="9" xfId="0" applyFont="1" applyBorder="1" applyAlignment="1" applyProtection="1">
      <alignment horizontal="center"/>
    </xf>
    <xf numFmtId="0" fontId="14" fillId="0" borderId="10" xfId="0" applyFont="1" applyBorder="1" applyAlignment="1" applyProtection="1">
      <alignment horizontal="center"/>
    </xf>
    <xf numFmtId="3" fontId="154" fillId="6" borderId="2" xfId="0" applyNumberFormat="1" applyFont="1" applyFill="1" applyBorder="1" applyAlignment="1" applyProtection="1">
      <alignment horizontal="center" vertical="center" wrapText="1"/>
    </xf>
    <xf numFmtId="3" fontId="154" fillId="6" borderId="4" xfId="0" applyNumberFormat="1" applyFont="1" applyFill="1" applyBorder="1" applyAlignment="1" applyProtection="1">
      <alignment horizontal="center" vertical="center" wrapText="1"/>
    </xf>
    <xf numFmtId="3" fontId="19" fillId="6" borderId="2" xfId="0" applyNumberFormat="1" applyFont="1" applyFill="1" applyBorder="1" applyAlignment="1" applyProtection="1">
      <alignment horizontal="center" vertical="center" wrapText="1"/>
    </xf>
    <xf numFmtId="3" fontId="19" fillId="6" borderId="14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19" fillId="6" borderId="11" xfId="0" applyNumberFormat="1" applyFont="1" applyFill="1" applyBorder="1" applyAlignment="1" applyProtection="1">
      <alignment horizontal="center" vertical="center" wrapText="1"/>
    </xf>
    <xf numFmtId="3" fontId="19" fillId="6" borderId="12" xfId="0" applyNumberFormat="1" applyFont="1" applyFill="1" applyBorder="1" applyAlignment="1" applyProtection="1">
      <alignment horizontal="center" vertical="center" wrapText="1"/>
    </xf>
    <xf numFmtId="3" fontId="19" fillId="6" borderId="3" xfId="0" applyNumberFormat="1" applyFont="1" applyFill="1" applyBorder="1" applyAlignment="1" applyProtection="1">
      <alignment horizontal="center" vertical="center" wrapText="1"/>
    </xf>
    <xf numFmtId="3" fontId="19" fillId="6" borderId="13" xfId="0" applyNumberFormat="1" applyFont="1" applyFill="1" applyBorder="1" applyAlignment="1" applyProtection="1">
      <alignment horizontal="center" vertical="center" wrapText="1"/>
    </xf>
    <xf numFmtId="3" fontId="19" fillId="6" borderId="8" xfId="0" applyNumberFormat="1" applyFont="1" applyFill="1" applyBorder="1" applyAlignment="1" applyProtection="1">
      <alignment horizontal="center" vertical="center" wrapText="1"/>
    </xf>
    <xf numFmtId="3" fontId="19" fillId="6" borderId="10" xfId="0" applyNumberFormat="1" applyFont="1" applyFill="1" applyBorder="1" applyAlignment="1" applyProtection="1">
      <alignment horizontal="center" vertical="center" wrapText="1"/>
    </xf>
    <xf numFmtId="3" fontId="19" fillId="6" borderId="9" xfId="0" applyNumberFormat="1" applyFont="1" applyFill="1" applyBorder="1" applyAlignment="1" applyProtection="1">
      <alignment horizontal="center" vertical="center" wrapText="1"/>
    </xf>
    <xf numFmtId="3" fontId="55" fillId="6" borderId="2" xfId="0" applyNumberFormat="1" applyFont="1" applyFill="1" applyBorder="1" applyAlignment="1" applyProtection="1">
      <alignment horizontal="center" vertical="center" wrapText="1"/>
    </xf>
    <xf numFmtId="3" fontId="55" fillId="6" borderId="14" xfId="0" applyNumberFormat="1" applyFont="1" applyFill="1" applyBorder="1" applyAlignment="1" applyProtection="1">
      <alignment horizontal="center" vertical="center" wrapText="1"/>
    </xf>
    <xf numFmtId="3" fontId="55" fillId="6" borderId="8" xfId="0" applyNumberFormat="1" applyFont="1" applyFill="1" applyBorder="1" applyAlignment="1" applyProtection="1">
      <alignment horizontal="center" vertical="center" wrapText="1"/>
    </xf>
    <xf numFmtId="3" fontId="55" fillId="6" borderId="10" xfId="0" applyNumberFormat="1" applyFont="1" applyFill="1" applyBorder="1" applyAlignment="1" applyProtection="1">
      <alignment horizontal="center" vertical="center" wrapText="1"/>
    </xf>
    <xf numFmtId="3" fontId="55" fillId="6" borderId="9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3" fontId="55" fillId="6" borderId="11" xfId="0" applyNumberFormat="1" applyFont="1" applyFill="1" applyBorder="1" applyAlignment="1" applyProtection="1">
      <alignment horizontal="center" vertical="center" wrapText="1"/>
    </xf>
    <xf numFmtId="3" fontId="55" fillId="6" borderId="12" xfId="0" applyNumberFormat="1" applyFont="1" applyFill="1" applyBorder="1" applyAlignment="1" applyProtection="1">
      <alignment horizontal="center" vertical="center" wrapText="1"/>
    </xf>
    <xf numFmtId="3" fontId="55" fillId="6" borderId="3" xfId="0" applyNumberFormat="1" applyFont="1" applyFill="1" applyBorder="1" applyAlignment="1" applyProtection="1">
      <alignment horizontal="center" vertical="center" wrapText="1"/>
    </xf>
    <xf numFmtId="3" fontId="55" fillId="6" borderId="13" xfId="0" applyNumberFormat="1" applyFont="1" applyFill="1" applyBorder="1" applyAlignment="1" applyProtection="1">
      <alignment horizontal="center" vertical="center" wrapText="1"/>
    </xf>
    <xf numFmtId="173" fontId="39" fillId="0" borderId="7" xfId="0" applyNumberFormat="1" applyFont="1" applyBorder="1" applyAlignment="1" applyProtection="1">
      <alignment horizontal="center"/>
    </xf>
    <xf numFmtId="0" fontId="158" fillId="0" borderId="0" xfId="718" applyNumberFormat="1" applyFont="1" applyFill="1" applyBorder="1" applyAlignment="1" applyProtection="1">
      <alignment horizontal="center" vertical="center" wrapText="1"/>
    </xf>
    <xf numFmtId="3" fontId="19" fillId="6" borderId="4" xfId="0" applyNumberFormat="1" applyFont="1" applyFill="1" applyBorder="1" applyAlignment="1" applyProtection="1">
      <alignment horizontal="center" vertical="center" wrapText="1"/>
    </xf>
    <xf numFmtId="0" fontId="88" fillId="0" borderId="0" xfId="718" applyNumberFormat="1" applyFont="1" applyFill="1" applyBorder="1" applyAlignment="1" applyProtection="1">
      <alignment horizontal="center" vertical="center"/>
    </xf>
    <xf numFmtId="173" fontId="39" fillId="0" borderId="7" xfId="0" applyNumberFormat="1" applyFont="1" applyBorder="1" applyAlignment="1" applyProtection="1">
      <alignment horizontal="center" wrapText="1"/>
    </xf>
    <xf numFmtId="3" fontId="47" fillId="6" borderId="5" xfId="0" applyNumberFormat="1" applyFont="1" applyFill="1" applyBorder="1" applyAlignment="1" applyProtection="1">
      <alignment horizontal="center" vertical="center" wrapText="1"/>
    </xf>
    <xf numFmtId="0" fontId="169" fillId="0" borderId="0" xfId="733" applyNumberFormat="1" applyFont="1" applyFill="1" applyBorder="1" applyAlignment="1" applyProtection="1">
      <alignment horizontal="center" vertical="center" wrapText="1"/>
    </xf>
    <xf numFmtId="3" fontId="47" fillId="6" borderId="2" xfId="0" applyNumberFormat="1" applyFont="1" applyFill="1" applyBorder="1" applyAlignment="1" applyProtection="1">
      <alignment horizontal="center" vertical="center" wrapText="1"/>
    </xf>
    <xf numFmtId="3" fontId="47" fillId="6" borderId="14" xfId="0" applyNumberFormat="1" applyFont="1" applyFill="1" applyBorder="1" applyAlignment="1" applyProtection="1">
      <alignment horizontal="center" vertical="center" wrapText="1"/>
    </xf>
    <xf numFmtId="3" fontId="47" fillId="6" borderId="4" xfId="0" applyNumberFormat="1" applyFont="1" applyFill="1" applyBorder="1" applyAlignment="1" applyProtection="1">
      <alignment horizontal="center" vertical="center" wrapText="1"/>
    </xf>
    <xf numFmtId="3" fontId="47" fillId="6" borderId="11" xfId="0" applyNumberFormat="1" applyFont="1" applyFill="1" applyBorder="1" applyAlignment="1" applyProtection="1">
      <alignment horizontal="center" vertical="center" wrapText="1"/>
    </xf>
    <xf numFmtId="3" fontId="47" fillId="6" borderId="6" xfId="0" applyNumberFormat="1" applyFont="1" applyFill="1" applyBorder="1" applyAlignment="1" applyProtection="1">
      <alignment horizontal="center" vertical="center" wrapText="1"/>
    </xf>
    <xf numFmtId="3" fontId="47" fillId="6" borderId="12" xfId="0" applyNumberFormat="1" applyFont="1" applyFill="1" applyBorder="1" applyAlignment="1" applyProtection="1">
      <alignment horizontal="center" vertical="center" wrapText="1"/>
    </xf>
    <xf numFmtId="3" fontId="47" fillId="6" borderId="3" xfId="0" applyNumberFormat="1" applyFont="1" applyFill="1" applyBorder="1" applyAlignment="1" applyProtection="1">
      <alignment horizontal="center" vertical="center" wrapText="1"/>
    </xf>
    <xf numFmtId="3" fontId="47" fillId="6" borderId="7" xfId="0" applyNumberFormat="1" applyFont="1" applyFill="1" applyBorder="1" applyAlignment="1" applyProtection="1">
      <alignment horizontal="center" vertical="center" wrapText="1"/>
    </xf>
    <xf numFmtId="3" fontId="47" fillId="6" borderId="13" xfId="0" applyNumberFormat="1" applyFont="1" applyFill="1" applyBorder="1" applyAlignment="1" applyProtection="1">
      <alignment horizontal="center" vertical="center" wrapText="1"/>
    </xf>
    <xf numFmtId="173" fontId="57" fillId="0" borderId="7" xfId="0" applyNumberFormat="1" applyFont="1" applyBorder="1" applyAlignment="1" applyProtection="1">
      <alignment horizontal="center" wrapText="1"/>
    </xf>
    <xf numFmtId="3" fontId="19" fillId="6" borderId="5" xfId="0" applyNumberFormat="1" applyFont="1" applyFill="1" applyBorder="1" applyAlignment="1" applyProtection="1">
      <alignment horizontal="center" vertical="center" wrapText="1"/>
    </xf>
    <xf numFmtId="173" fontId="19" fillId="0" borderId="7" xfId="718" applyNumberFormat="1" applyFont="1" applyFill="1" applyBorder="1" applyAlignment="1" applyProtection="1">
      <alignment horizontal="center" vertical="top"/>
    </xf>
    <xf numFmtId="0" fontId="158" fillId="0" borderId="0" xfId="718" applyNumberFormat="1" applyFont="1" applyFill="1" applyBorder="1" applyAlignment="1" applyProtection="1">
      <alignment horizontal="center" vertical="top" wrapText="1"/>
    </xf>
    <xf numFmtId="0" fontId="17" fillId="0" borderId="8" xfId="0" applyFont="1" applyBorder="1" applyAlignment="1" applyProtection="1">
      <alignment horizontal="center"/>
      <protection hidden="1"/>
    </xf>
    <xf numFmtId="0" fontId="17" fillId="0" borderId="9" xfId="0" applyFont="1" applyBorder="1" applyAlignment="1" applyProtection="1">
      <alignment horizontal="center"/>
      <protection hidden="1"/>
    </xf>
    <xf numFmtId="0" fontId="17" fillId="0" borderId="10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7" fillId="0" borderId="8" xfId="0" applyFont="1" applyBorder="1" applyAlignment="1" applyProtection="1">
      <alignment horizontal="center" vertical="center"/>
      <protection hidden="1"/>
    </xf>
    <xf numFmtId="0" fontId="17" fillId="0" borderId="9" xfId="0" applyFont="1" applyBorder="1" applyAlignment="1" applyProtection="1">
      <alignment horizontal="center"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/>
    </xf>
    <xf numFmtId="3" fontId="24" fillId="6" borderId="5" xfId="0" applyNumberFormat="1" applyFont="1" applyFill="1" applyBorder="1" applyAlignment="1" applyProtection="1">
      <alignment horizontal="center" vertical="center" wrapText="1"/>
    </xf>
    <xf numFmtId="170" fontId="6" fillId="0" borderId="2" xfId="0" applyNumberFormat="1" applyFont="1" applyBorder="1" applyAlignment="1" applyProtection="1">
      <alignment horizontal="center" vertical="center"/>
    </xf>
    <xf numFmtId="170" fontId="1" fillId="0" borderId="14" xfId="0" applyNumberFormat="1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7" fillId="0" borderId="8" xfId="0" applyFont="1" applyBorder="1" applyAlignment="1" applyProtection="1">
      <alignment horizontal="center" vertical="center" wrapText="1"/>
      <protection hidden="1"/>
    </xf>
    <xf numFmtId="0" fontId="17" fillId="0" borderId="9" xfId="0" applyFont="1" applyBorder="1" applyAlignment="1" applyProtection="1">
      <alignment horizontal="center" vertical="center" wrapText="1"/>
      <protection hidden="1"/>
    </xf>
    <xf numFmtId="0" fontId="17" fillId="0" borderId="10" xfId="0" applyFont="1" applyBorder="1" applyAlignment="1" applyProtection="1">
      <alignment horizontal="center" vertical="center" wrapText="1"/>
      <protection hidden="1"/>
    </xf>
    <xf numFmtId="0" fontId="3" fillId="0" borderId="0" xfId="0" applyFont="1" applyFill="1" applyAlignment="1">
      <alignment horizontal="center" vertical="center"/>
    </xf>
    <xf numFmtId="0" fontId="16" fillId="0" borderId="0" xfId="0" applyFont="1" applyFill="1" applyAlignment="1" applyProtection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7" fillId="0" borderId="6" xfId="0" applyFont="1" applyBorder="1" applyAlignment="1" applyProtection="1">
      <alignment horizontal="center" vertical="center"/>
      <protection hidden="1"/>
    </xf>
    <xf numFmtId="0" fontId="17" fillId="0" borderId="1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/>
      <protection hidden="1"/>
    </xf>
    <xf numFmtId="170" fontId="6" fillId="0" borderId="5" xfId="0" applyNumberFormat="1" applyFont="1" applyFill="1" applyBorder="1" applyAlignment="1" applyProtection="1">
      <alignment horizontal="center" vertical="center"/>
      <protection hidden="1"/>
    </xf>
    <xf numFmtId="170" fontId="1" fillId="0" borderId="5" xfId="0" applyNumberFormat="1" applyFont="1" applyFill="1" applyBorder="1" applyAlignment="1" applyProtection="1">
      <alignment horizontal="center" vertical="center"/>
      <protection hidden="1"/>
    </xf>
    <xf numFmtId="0" fontId="17" fillId="0" borderId="11" xfId="0" quotePrefix="1" applyFont="1" applyFill="1" applyBorder="1" applyAlignment="1" applyProtection="1">
      <alignment horizontal="center" vertical="center" wrapText="1"/>
      <protection hidden="1"/>
    </xf>
    <xf numFmtId="0" fontId="17" fillId="0" borderId="6" xfId="0" quotePrefix="1" applyFont="1" applyFill="1" applyBorder="1" applyAlignment="1" applyProtection="1">
      <alignment horizontal="center" vertical="center" wrapText="1"/>
      <protection hidden="1"/>
    </xf>
    <xf numFmtId="0" fontId="17" fillId="0" borderId="12" xfId="0" quotePrefix="1" applyFont="1" applyFill="1" applyBorder="1" applyAlignment="1" applyProtection="1">
      <alignment horizontal="center" vertical="center" wrapText="1"/>
      <protection hidden="1"/>
    </xf>
    <xf numFmtId="0" fontId="1" fillId="0" borderId="16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0" fontId="1" fillId="0" borderId="15" xfId="0" applyFont="1" applyFill="1" applyBorder="1" applyAlignment="1" applyProtection="1">
      <alignment horizontal="center" vertical="center" wrapText="1"/>
      <protection hidden="1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170" fontId="1" fillId="0" borderId="4" xfId="0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/>
    <xf numFmtId="0" fontId="17" fillId="0" borderId="8" xfId="0" applyFont="1" applyFill="1" applyBorder="1" applyAlignment="1" applyProtection="1">
      <alignment horizontal="center" vertical="center"/>
      <protection hidden="1"/>
    </xf>
    <xf numFmtId="0" fontId="17" fillId="0" borderId="9" xfId="0" applyFont="1" applyFill="1" applyBorder="1" applyAlignment="1" applyProtection="1">
      <alignment horizontal="center" vertical="center"/>
      <protection hidden="1"/>
    </xf>
    <xf numFmtId="0" fontId="17" fillId="0" borderId="10" xfId="0" applyFont="1" applyFill="1" applyBorder="1" applyAlignment="1" applyProtection="1">
      <alignment horizontal="center" vertical="center"/>
      <protection hidden="1"/>
    </xf>
    <xf numFmtId="0" fontId="17" fillId="0" borderId="11" xfId="0" quotePrefix="1" applyFont="1" applyFill="1" applyBorder="1" applyAlignment="1" applyProtection="1">
      <alignment horizontal="center" vertical="center"/>
      <protection hidden="1"/>
    </xf>
    <xf numFmtId="0" fontId="1" fillId="0" borderId="6" xfId="0" applyFont="1" applyFill="1" applyBorder="1" applyAlignment="1" applyProtection="1">
      <alignment horizontal="center" vertical="center"/>
      <protection hidden="1"/>
    </xf>
    <xf numFmtId="0" fontId="1" fillId="0" borderId="12" xfId="0" applyFont="1" applyFill="1" applyBorder="1" applyAlignment="1" applyProtection="1">
      <alignment horizontal="center" vertical="center"/>
      <protection hidden="1"/>
    </xf>
    <xf numFmtId="0" fontId="1" fillId="0" borderId="16" xfId="0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1" fillId="0" borderId="15" xfId="0" applyFont="1" applyFill="1" applyBorder="1" applyAlignment="1" applyProtection="1">
      <alignment horizontal="center" vertical="center"/>
      <protection hidden="1"/>
    </xf>
    <xf numFmtId="0" fontId="17" fillId="0" borderId="3" xfId="0" applyFont="1" applyFill="1" applyBorder="1" applyAlignment="1" applyProtection="1">
      <alignment horizontal="center" vertical="center" wrapText="1"/>
      <protection hidden="1"/>
    </xf>
    <xf numFmtId="0" fontId="17" fillId="0" borderId="7" xfId="0" applyFont="1" applyFill="1" applyBorder="1" applyAlignment="1" applyProtection="1">
      <alignment horizontal="center" vertical="center" wrapText="1"/>
      <protection hidden="1"/>
    </xf>
    <xf numFmtId="0" fontId="17" fillId="0" borderId="13" xfId="0" applyFont="1" applyFill="1" applyBorder="1" applyAlignment="1" applyProtection="1">
      <alignment horizontal="center" vertical="center" wrapText="1"/>
      <protection hidden="1"/>
    </xf>
    <xf numFmtId="170" fontId="6" fillId="0" borderId="2" xfId="0" applyNumberFormat="1" applyFont="1" applyFill="1" applyBorder="1" applyAlignment="1" applyProtection="1">
      <alignment horizontal="center" vertical="center"/>
    </xf>
    <xf numFmtId="170" fontId="1" fillId="0" borderId="14" xfId="0" applyNumberFormat="1" applyFont="1" applyFill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horizontal="center" vertical="center" wrapText="1"/>
      <protection hidden="1"/>
    </xf>
    <xf numFmtId="0" fontId="17" fillId="0" borderId="6" xfId="0" quotePrefix="1" applyFont="1" applyBorder="1" applyAlignment="1" applyProtection="1">
      <alignment horizontal="center" vertical="center" wrapText="1"/>
      <protection hidden="1"/>
    </xf>
    <xf numFmtId="0" fontId="17" fillId="0" borderId="12" xfId="0" quotePrefix="1" applyFont="1" applyBorder="1" applyAlignment="1" applyProtection="1">
      <alignment horizontal="center" vertical="center" wrapText="1"/>
      <protection hidden="1"/>
    </xf>
    <xf numFmtId="0" fontId="17" fillId="0" borderId="11" xfId="0" applyFont="1" applyBorder="1" applyAlignment="1" applyProtection="1">
      <alignment horizontal="center"/>
      <protection hidden="1"/>
    </xf>
    <xf numFmtId="0" fontId="17" fillId="0" borderId="6" xfId="0" applyFont="1" applyBorder="1" applyAlignment="1" applyProtection="1">
      <alignment horizontal="center"/>
      <protection hidden="1"/>
    </xf>
    <xf numFmtId="0" fontId="17" fillId="0" borderId="12" xfId="0" applyFont="1" applyBorder="1" applyAlignment="1" applyProtection="1">
      <alignment horizontal="center"/>
      <protection hidden="1"/>
    </xf>
    <xf numFmtId="0" fontId="17" fillId="0" borderId="6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 wrapText="1"/>
      <protection hidden="1"/>
    </xf>
    <xf numFmtId="0" fontId="1" fillId="0" borderId="15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 applyProtection="1">
      <alignment horizontal="center" vertical="center"/>
      <protection hidden="1"/>
    </xf>
    <xf numFmtId="0" fontId="2" fillId="0" borderId="14" xfId="0" applyFont="1" applyFill="1" applyBorder="1" applyAlignment="1" applyProtection="1">
      <alignment horizontal="center" vertical="center"/>
      <protection hidden="1"/>
    </xf>
    <xf numFmtId="0" fontId="2" fillId="0" borderId="4" xfId="0" applyFont="1" applyFill="1" applyBorder="1" applyAlignment="1" applyProtection="1">
      <alignment horizontal="center" vertical="center"/>
      <protection hidden="1"/>
    </xf>
    <xf numFmtId="0" fontId="2" fillId="0" borderId="5" xfId="0" applyFont="1" applyFill="1" applyBorder="1" applyAlignment="1" applyProtection="1">
      <alignment horizontal="center" vertical="center" wrapText="1"/>
      <protection hidden="1"/>
    </xf>
    <xf numFmtId="0" fontId="17" fillId="0" borderId="16" xfId="0" applyFont="1" applyFill="1" applyBorder="1" applyAlignment="1" applyProtection="1">
      <alignment horizontal="center" vertical="center" wrapText="1"/>
      <protection hidden="1"/>
    </xf>
    <xf numFmtId="0" fontId="17" fillId="0" borderId="0" xfId="0" quotePrefix="1" applyFont="1" applyFill="1" applyBorder="1" applyAlignment="1" applyProtection="1">
      <alignment horizontal="center" vertical="center" wrapText="1"/>
      <protection hidden="1"/>
    </xf>
    <xf numFmtId="0" fontId="17" fillId="0" borderId="15" xfId="0" quotePrefix="1" applyFont="1" applyFill="1" applyBorder="1" applyAlignment="1" applyProtection="1">
      <alignment horizontal="center" vertical="center" wrapText="1"/>
      <protection hidden="1"/>
    </xf>
    <xf numFmtId="0" fontId="1" fillId="0" borderId="3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Fill="1" applyBorder="1" applyAlignment="1" applyProtection="1">
      <alignment horizontal="center" vertical="center" wrapText="1"/>
      <protection hidden="1"/>
    </xf>
    <xf numFmtId="0" fontId="1" fillId="0" borderId="13" xfId="0" applyFont="1" applyFill="1" applyBorder="1" applyAlignment="1" applyProtection="1">
      <alignment horizontal="center" vertical="center" wrapText="1"/>
      <protection hidden="1"/>
    </xf>
    <xf numFmtId="170" fontId="1" fillId="0" borderId="4" xfId="0" applyNumberFormat="1" applyFont="1" applyBorder="1" applyAlignment="1" applyProtection="1">
      <alignment horizontal="center" vertical="center"/>
    </xf>
    <xf numFmtId="0" fontId="17" fillId="0" borderId="6" xfId="0" quotePrefix="1" applyFont="1" applyFill="1" applyBorder="1" applyAlignment="1" applyProtection="1">
      <alignment horizontal="center" vertical="center"/>
      <protection hidden="1"/>
    </xf>
    <xf numFmtId="0" fontId="17" fillId="0" borderId="16" xfId="0" quotePrefix="1" applyFont="1" applyFill="1" applyBorder="1" applyAlignment="1" applyProtection="1">
      <alignment horizontal="center" vertical="center"/>
      <protection hidden="1"/>
    </xf>
    <xf numFmtId="0" fontId="17" fillId="0" borderId="0" xfId="0" quotePrefix="1" applyFont="1" applyFill="1" applyBorder="1" applyAlignment="1" applyProtection="1">
      <alignment horizontal="center" vertical="center"/>
      <protection hidden="1"/>
    </xf>
    <xf numFmtId="0" fontId="17" fillId="0" borderId="3" xfId="0" quotePrefix="1" applyFont="1" applyFill="1" applyBorder="1" applyAlignment="1" applyProtection="1">
      <alignment horizontal="center" vertical="center"/>
      <protection hidden="1"/>
    </xf>
    <xf numFmtId="0" fontId="17" fillId="0" borderId="7" xfId="0" quotePrefix="1" applyFont="1" applyFill="1" applyBorder="1" applyAlignment="1" applyProtection="1">
      <alignment horizontal="center" vertical="center"/>
      <protection hidden="1"/>
    </xf>
    <xf numFmtId="0" fontId="2" fillId="0" borderId="11" xfId="0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Fill="1" applyBorder="1" applyAlignment="1" applyProtection="1">
      <alignment horizontal="center" vertical="center" wrapText="1"/>
      <protection hidden="1"/>
    </xf>
    <xf numFmtId="0" fontId="2" fillId="0" borderId="12" xfId="0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Fill="1" applyBorder="1" applyAlignment="1" applyProtection="1">
      <alignment horizontal="center" vertical="center" wrapText="1"/>
      <protection hidden="1"/>
    </xf>
    <xf numFmtId="0" fontId="2" fillId="0" borderId="13" xfId="0" applyFont="1" applyFill="1" applyBorder="1" applyAlignment="1" applyProtection="1">
      <alignment horizontal="center" vertical="center" wrapText="1"/>
      <protection hidden="1"/>
    </xf>
    <xf numFmtId="0" fontId="5" fillId="0" borderId="8" xfId="0" applyFont="1" applyFill="1" applyBorder="1" applyAlignment="1" applyProtection="1">
      <alignment horizontal="center"/>
      <protection hidden="1"/>
    </xf>
    <xf numFmtId="0" fontId="5" fillId="0" borderId="9" xfId="0" applyFont="1" applyFill="1" applyBorder="1" applyAlignment="1" applyProtection="1">
      <alignment horizontal="center"/>
      <protection hidden="1"/>
    </xf>
    <xf numFmtId="0" fontId="5" fillId="0" borderId="10" xfId="0" applyFont="1" applyFill="1" applyBorder="1" applyAlignment="1" applyProtection="1">
      <alignment horizontal="center"/>
      <protection hidden="1"/>
    </xf>
    <xf numFmtId="0" fontId="0" fillId="0" borderId="5" xfId="0" applyFont="1" applyFill="1" applyBorder="1" applyAlignment="1" applyProtection="1">
      <alignment horizontal="center" vertical="center" wrapText="1"/>
      <protection hidden="1"/>
    </xf>
    <xf numFmtId="0" fontId="0" fillId="0" borderId="11" xfId="0" applyFont="1" applyFill="1" applyBorder="1" applyAlignment="1" applyProtection="1">
      <alignment horizontal="center" vertical="center" wrapText="1"/>
      <protection hidden="1"/>
    </xf>
    <xf numFmtId="0" fontId="0" fillId="0" borderId="6" xfId="0" applyFont="1" applyFill="1" applyBorder="1" applyAlignment="1" applyProtection="1">
      <alignment horizontal="center" vertical="center" wrapText="1"/>
      <protection hidden="1"/>
    </xf>
    <xf numFmtId="0" fontId="0" fillId="0" borderId="12" xfId="0" applyFont="1" applyFill="1" applyBorder="1" applyAlignment="1" applyProtection="1">
      <alignment horizontal="center" vertical="center" wrapText="1"/>
      <protection hidden="1"/>
    </xf>
    <xf numFmtId="0" fontId="0" fillId="0" borderId="3" xfId="0" applyFont="1" applyFill="1" applyBorder="1" applyAlignment="1" applyProtection="1">
      <alignment horizontal="center" vertical="center" wrapText="1"/>
      <protection hidden="1"/>
    </xf>
    <xf numFmtId="0" fontId="0" fillId="0" borderId="7" xfId="0" applyFont="1" applyFill="1" applyBorder="1" applyAlignment="1" applyProtection="1">
      <alignment horizontal="center" vertical="center" wrapText="1"/>
      <protection hidden="1"/>
    </xf>
    <xf numFmtId="0" fontId="0" fillId="0" borderId="13" xfId="0" applyFont="1" applyFill="1" applyBorder="1" applyAlignment="1" applyProtection="1">
      <alignment horizontal="center" vertical="center" wrapText="1"/>
      <protection hidden="1"/>
    </xf>
    <xf numFmtId="2" fontId="2" fillId="0" borderId="2" xfId="0" applyNumberFormat="1" applyFont="1" applyFill="1" applyBorder="1" applyAlignment="1" applyProtection="1">
      <alignment horizontal="center" vertical="center"/>
      <protection hidden="1"/>
    </xf>
    <xf numFmtId="2" fontId="2" fillId="0" borderId="14" xfId="0" applyNumberFormat="1" applyFont="1" applyFill="1" applyBorder="1" applyAlignment="1" applyProtection="1">
      <alignment horizontal="center" vertical="center"/>
      <protection hidden="1"/>
    </xf>
    <xf numFmtId="0" fontId="17" fillId="0" borderId="5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7" fillId="0" borderId="3" xfId="0" quotePrefix="1" applyFont="1" applyBorder="1" applyAlignment="1" applyProtection="1">
      <alignment horizontal="center" vertical="center" wrapText="1"/>
      <protection hidden="1"/>
    </xf>
    <xf numFmtId="0" fontId="17" fillId="0" borderId="7" xfId="0" applyFont="1" applyBorder="1" applyAlignment="1" applyProtection="1">
      <alignment horizontal="center" vertical="center" wrapText="1"/>
      <protection hidden="1"/>
    </xf>
    <xf numFmtId="0" fontId="17" fillId="0" borderId="13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left"/>
      <protection hidden="1"/>
    </xf>
    <xf numFmtId="0" fontId="5" fillId="0" borderId="9" xfId="0" applyFont="1" applyBorder="1" applyAlignment="1" applyProtection="1">
      <alignment horizontal="left"/>
      <protection hidden="1"/>
    </xf>
    <xf numFmtId="0" fontId="5" fillId="0" borderId="10" xfId="0" applyFont="1" applyBorder="1" applyAlignment="1" applyProtection="1">
      <alignment horizontal="left"/>
      <protection hidden="1"/>
    </xf>
    <xf numFmtId="0" fontId="1" fillId="0" borderId="16" xfId="0" applyFont="1" applyBorder="1" applyAlignment="1" applyProtection="1">
      <alignment horizontal="center" vertical="center" wrapText="1"/>
      <protection hidden="1"/>
    </xf>
  </cellXfs>
  <cellStyles count="1227">
    <cellStyle name="”ќђќ‘ћ‚›‰" xfId="1" xr:uid="{00000000-0005-0000-0000-000000000000}"/>
    <cellStyle name="”љ‘ђћ‚ђќќ›‰" xfId="2" xr:uid="{00000000-0005-0000-0000-000001000000}"/>
    <cellStyle name="„…ќ…†ќ›‰" xfId="3" xr:uid="{00000000-0005-0000-0000-000002000000}"/>
    <cellStyle name="‡ђѓћ‹ћ‚ћљ1" xfId="4" xr:uid="{00000000-0005-0000-0000-000003000000}"/>
    <cellStyle name="‡ђѓћ‹ћ‚ћљ2" xfId="5" xr:uid="{00000000-0005-0000-0000-000004000000}"/>
    <cellStyle name="’ћѓћ‚›‰" xfId="6" xr:uid="{00000000-0005-0000-0000-000005000000}"/>
    <cellStyle name="" xfId="7" xr:uid="{00000000-0005-0000-0000-000006000000}"/>
    <cellStyle name="" xfId="8" xr:uid="{00000000-0005-0000-0000-000007000000}"/>
    <cellStyle name="" xfId="9" xr:uid="{00000000-0005-0000-0000-000008000000}"/>
    <cellStyle name="" xfId="10" xr:uid="{00000000-0005-0000-0000-000009000000}"/>
    <cellStyle name="" xfId="11" xr:uid="{00000000-0005-0000-0000-00000A000000}"/>
    <cellStyle name="1" xfId="12" xr:uid="{00000000-0005-0000-0000-00000B000000}"/>
    <cellStyle name="2" xfId="13" xr:uid="{00000000-0005-0000-0000-00000C000000}"/>
    <cellStyle name="20% - Акцент1 10" xfId="14" xr:uid="{00000000-0005-0000-0000-00000D000000}"/>
    <cellStyle name="20% - Акцент1 11" xfId="15" xr:uid="{00000000-0005-0000-0000-00000E000000}"/>
    <cellStyle name="20% - Акцент1 12" xfId="16" xr:uid="{00000000-0005-0000-0000-00000F000000}"/>
    <cellStyle name="20% - Акцент1 13" xfId="17" xr:uid="{00000000-0005-0000-0000-000010000000}"/>
    <cellStyle name="20% - Акцент1 14" xfId="18" xr:uid="{00000000-0005-0000-0000-000011000000}"/>
    <cellStyle name="20% - Акцент1 15" xfId="19" xr:uid="{00000000-0005-0000-0000-000012000000}"/>
    <cellStyle name="20% - Акцент1 16" xfId="20" xr:uid="{00000000-0005-0000-0000-000013000000}"/>
    <cellStyle name="20% - Акцент1 17" xfId="21" xr:uid="{00000000-0005-0000-0000-000014000000}"/>
    <cellStyle name="20% - Акцент1 18" xfId="22" xr:uid="{00000000-0005-0000-0000-000015000000}"/>
    <cellStyle name="20% - Акцент1 19" xfId="23" xr:uid="{00000000-0005-0000-0000-000016000000}"/>
    <cellStyle name="20% - Акцент1 2" xfId="24" xr:uid="{00000000-0005-0000-0000-000017000000}"/>
    <cellStyle name="20% - Акцент1 20" xfId="25" xr:uid="{00000000-0005-0000-0000-000018000000}"/>
    <cellStyle name="20% - Акцент1 21" xfId="26" xr:uid="{00000000-0005-0000-0000-000019000000}"/>
    <cellStyle name="20% - Акцент1 22" xfId="27" xr:uid="{00000000-0005-0000-0000-00001A000000}"/>
    <cellStyle name="20% - Акцент1 23" xfId="28" xr:uid="{00000000-0005-0000-0000-00001B000000}"/>
    <cellStyle name="20% - Акцент1 24" xfId="29" xr:uid="{00000000-0005-0000-0000-00001C000000}"/>
    <cellStyle name="20% - Акцент1 25" xfId="30" xr:uid="{00000000-0005-0000-0000-00001D000000}"/>
    <cellStyle name="20% - Акцент1 26" xfId="31" xr:uid="{00000000-0005-0000-0000-00001E000000}"/>
    <cellStyle name="20% - Акцент1 3" xfId="32" xr:uid="{00000000-0005-0000-0000-00001F000000}"/>
    <cellStyle name="20% - Акцент1 4" xfId="33" xr:uid="{00000000-0005-0000-0000-000020000000}"/>
    <cellStyle name="20% - Акцент1 5" xfId="34" xr:uid="{00000000-0005-0000-0000-000021000000}"/>
    <cellStyle name="20% - Акцент1 6" xfId="35" xr:uid="{00000000-0005-0000-0000-000022000000}"/>
    <cellStyle name="20% - Акцент1 7" xfId="36" xr:uid="{00000000-0005-0000-0000-000023000000}"/>
    <cellStyle name="20% - Акцент1 8" xfId="37" xr:uid="{00000000-0005-0000-0000-000024000000}"/>
    <cellStyle name="20% - Акцент1 9" xfId="38" xr:uid="{00000000-0005-0000-0000-000025000000}"/>
    <cellStyle name="20% - Акцент2 10" xfId="39" xr:uid="{00000000-0005-0000-0000-000026000000}"/>
    <cellStyle name="20% - Акцент2 11" xfId="40" xr:uid="{00000000-0005-0000-0000-000027000000}"/>
    <cellStyle name="20% - Акцент2 12" xfId="41" xr:uid="{00000000-0005-0000-0000-000028000000}"/>
    <cellStyle name="20% - Акцент2 13" xfId="42" xr:uid="{00000000-0005-0000-0000-000029000000}"/>
    <cellStyle name="20% - Акцент2 14" xfId="43" xr:uid="{00000000-0005-0000-0000-00002A000000}"/>
    <cellStyle name="20% - Акцент2 15" xfId="44" xr:uid="{00000000-0005-0000-0000-00002B000000}"/>
    <cellStyle name="20% - Акцент2 16" xfId="45" xr:uid="{00000000-0005-0000-0000-00002C000000}"/>
    <cellStyle name="20% - Акцент2 17" xfId="46" xr:uid="{00000000-0005-0000-0000-00002D000000}"/>
    <cellStyle name="20% - Акцент2 18" xfId="47" xr:uid="{00000000-0005-0000-0000-00002E000000}"/>
    <cellStyle name="20% - Акцент2 19" xfId="48" xr:uid="{00000000-0005-0000-0000-00002F000000}"/>
    <cellStyle name="20% - Акцент2 2" xfId="49" xr:uid="{00000000-0005-0000-0000-000030000000}"/>
    <cellStyle name="20% - Акцент2 20" xfId="50" xr:uid="{00000000-0005-0000-0000-000031000000}"/>
    <cellStyle name="20% - Акцент2 21" xfId="51" xr:uid="{00000000-0005-0000-0000-000032000000}"/>
    <cellStyle name="20% - Акцент2 22" xfId="52" xr:uid="{00000000-0005-0000-0000-000033000000}"/>
    <cellStyle name="20% - Акцент2 23" xfId="53" xr:uid="{00000000-0005-0000-0000-000034000000}"/>
    <cellStyle name="20% - Акцент2 24" xfId="54" xr:uid="{00000000-0005-0000-0000-000035000000}"/>
    <cellStyle name="20% - Акцент2 25" xfId="55" xr:uid="{00000000-0005-0000-0000-000036000000}"/>
    <cellStyle name="20% - Акцент2 26" xfId="56" xr:uid="{00000000-0005-0000-0000-000037000000}"/>
    <cellStyle name="20% - Акцент2 3" xfId="57" xr:uid="{00000000-0005-0000-0000-000038000000}"/>
    <cellStyle name="20% - Акцент2 4" xfId="58" xr:uid="{00000000-0005-0000-0000-000039000000}"/>
    <cellStyle name="20% - Акцент2 5" xfId="59" xr:uid="{00000000-0005-0000-0000-00003A000000}"/>
    <cellStyle name="20% - Акцент2 6" xfId="60" xr:uid="{00000000-0005-0000-0000-00003B000000}"/>
    <cellStyle name="20% - Акцент2 7" xfId="61" xr:uid="{00000000-0005-0000-0000-00003C000000}"/>
    <cellStyle name="20% - Акцент2 8" xfId="62" xr:uid="{00000000-0005-0000-0000-00003D000000}"/>
    <cellStyle name="20% - Акцент2 9" xfId="63" xr:uid="{00000000-0005-0000-0000-00003E000000}"/>
    <cellStyle name="20% - Акцент3 10" xfId="64" xr:uid="{00000000-0005-0000-0000-00003F000000}"/>
    <cellStyle name="20% - Акцент3 11" xfId="65" xr:uid="{00000000-0005-0000-0000-000040000000}"/>
    <cellStyle name="20% - Акцент3 12" xfId="66" xr:uid="{00000000-0005-0000-0000-000041000000}"/>
    <cellStyle name="20% - Акцент3 13" xfId="67" xr:uid="{00000000-0005-0000-0000-000042000000}"/>
    <cellStyle name="20% - Акцент3 14" xfId="68" xr:uid="{00000000-0005-0000-0000-000043000000}"/>
    <cellStyle name="20% - Акцент3 15" xfId="69" xr:uid="{00000000-0005-0000-0000-000044000000}"/>
    <cellStyle name="20% - Акцент3 16" xfId="70" xr:uid="{00000000-0005-0000-0000-000045000000}"/>
    <cellStyle name="20% - Акцент3 17" xfId="71" xr:uid="{00000000-0005-0000-0000-000046000000}"/>
    <cellStyle name="20% - Акцент3 18" xfId="72" xr:uid="{00000000-0005-0000-0000-000047000000}"/>
    <cellStyle name="20% - Акцент3 19" xfId="73" xr:uid="{00000000-0005-0000-0000-000048000000}"/>
    <cellStyle name="20% - Акцент3 2" xfId="74" xr:uid="{00000000-0005-0000-0000-000049000000}"/>
    <cellStyle name="20% - Акцент3 20" xfId="75" xr:uid="{00000000-0005-0000-0000-00004A000000}"/>
    <cellStyle name="20% - Акцент3 21" xfId="76" xr:uid="{00000000-0005-0000-0000-00004B000000}"/>
    <cellStyle name="20% - Акцент3 22" xfId="77" xr:uid="{00000000-0005-0000-0000-00004C000000}"/>
    <cellStyle name="20% - Акцент3 23" xfId="78" xr:uid="{00000000-0005-0000-0000-00004D000000}"/>
    <cellStyle name="20% - Акцент3 24" xfId="79" xr:uid="{00000000-0005-0000-0000-00004E000000}"/>
    <cellStyle name="20% - Акцент3 25" xfId="80" xr:uid="{00000000-0005-0000-0000-00004F000000}"/>
    <cellStyle name="20% - Акцент3 26" xfId="81" xr:uid="{00000000-0005-0000-0000-000050000000}"/>
    <cellStyle name="20% - Акцент3 3" xfId="82" xr:uid="{00000000-0005-0000-0000-000051000000}"/>
    <cellStyle name="20% - Акцент3 4" xfId="83" xr:uid="{00000000-0005-0000-0000-000052000000}"/>
    <cellStyle name="20% - Акцент3 5" xfId="84" xr:uid="{00000000-0005-0000-0000-000053000000}"/>
    <cellStyle name="20% - Акцент3 6" xfId="85" xr:uid="{00000000-0005-0000-0000-000054000000}"/>
    <cellStyle name="20% - Акцент3 7" xfId="86" xr:uid="{00000000-0005-0000-0000-000055000000}"/>
    <cellStyle name="20% - Акцент3 8" xfId="87" xr:uid="{00000000-0005-0000-0000-000056000000}"/>
    <cellStyle name="20% - Акцент3 9" xfId="88" xr:uid="{00000000-0005-0000-0000-000057000000}"/>
    <cellStyle name="20% - Акцент4 10" xfId="89" xr:uid="{00000000-0005-0000-0000-000058000000}"/>
    <cellStyle name="20% - Акцент4 11" xfId="90" xr:uid="{00000000-0005-0000-0000-000059000000}"/>
    <cellStyle name="20% - Акцент4 12" xfId="91" xr:uid="{00000000-0005-0000-0000-00005A000000}"/>
    <cellStyle name="20% - Акцент4 13" xfId="92" xr:uid="{00000000-0005-0000-0000-00005B000000}"/>
    <cellStyle name="20% - Акцент4 14" xfId="93" xr:uid="{00000000-0005-0000-0000-00005C000000}"/>
    <cellStyle name="20% - Акцент4 15" xfId="94" xr:uid="{00000000-0005-0000-0000-00005D000000}"/>
    <cellStyle name="20% - Акцент4 16" xfId="95" xr:uid="{00000000-0005-0000-0000-00005E000000}"/>
    <cellStyle name="20% - Акцент4 17" xfId="96" xr:uid="{00000000-0005-0000-0000-00005F000000}"/>
    <cellStyle name="20% - Акцент4 18" xfId="97" xr:uid="{00000000-0005-0000-0000-000060000000}"/>
    <cellStyle name="20% - Акцент4 19" xfId="98" xr:uid="{00000000-0005-0000-0000-000061000000}"/>
    <cellStyle name="20% - Акцент4 2" xfId="99" xr:uid="{00000000-0005-0000-0000-000062000000}"/>
    <cellStyle name="20% - Акцент4 20" xfId="100" xr:uid="{00000000-0005-0000-0000-000063000000}"/>
    <cellStyle name="20% - Акцент4 21" xfId="101" xr:uid="{00000000-0005-0000-0000-000064000000}"/>
    <cellStyle name="20% - Акцент4 22" xfId="102" xr:uid="{00000000-0005-0000-0000-000065000000}"/>
    <cellStyle name="20% - Акцент4 23" xfId="103" xr:uid="{00000000-0005-0000-0000-000066000000}"/>
    <cellStyle name="20% - Акцент4 24" xfId="104" xr:uid="{00000000-0005-0000-0000-000067000000}"/>
    <cellStyle name="20% - Акцент4 25" xfId="105" xr:uid="{00000000-0005-0000-0000-000068000000}"/>
    <cellStyle name="20% - Акцент4 26" xfId="106" xr:uid="{00000000-0005-0000-0000-000069000000}"/>
    <cellStyle name="20% - Акцент4 3" xfId="107" xr:uid="{00000000-0005-0000-0000-00006A000000}"/>
    <cellStyle name="20% - Акцент4 4" xfId="108" xr:uid="{00000000-0005-0000-0000-00006B000000}"/>
    <cellStyle name="20% - Акцент4 5" xfId="109" xr:uid="{00000000-0005-0000-0000-00006C000000}"/>
    <cellStyle name="20% - Акцент4 6" xfId="110" xr:uid="{00000000-0005-0000-0000-00006D000000}"/>
    <cellStyle name="20% - Акцент4 7" xfId="111" xr:uid="{00000000-0005-0000-0000-00006E000000}"/>
    <cellStyle name="20% - Акцент4 8" xfId="112" xr:uid="{00000000-0005-0000-0000-00006F000000}"/>
    <cellStyle name="20% - Акцент4 9" xfId="113" xr:uid="{00000000-0005-0000-0000-000070000000}"/>
    <cellStyle name="20% - Акцент5 10" xfId="114" xr:uid="{00000000-0005-0000-0000-000071000000}"/>
    <cellStyle name="20% - Акцент5 11" xfId="115" xr:uid="{00000000-0005-0000-0000-000072000000}"/>
    <cellStyle name="20% - Акцент5 12" xfId="116" xr:uid="{00000000-0005-0000-0000-000073000000}"/>
    <cellStyle name="20% - Акцент5 13" xfId="117" xr:uid="{00000000-0005-0000-0000-000074000000}"/>
    <cellStyle name="20% - Акцент5 14" xfId="118" xr:uid="{00000000-0005-0000-0000-000075000000}"/>
    <cellStyle name="20% - Акцент5 15" xfId="119" xr:uid="{00000000-0005-0000-0000-000076000000}"/>
    <cellStyle name="20% - Акцент5 16" xfId="120" xr:uid="{00000000-0005-0000-0000-000077000000}"/>
    <cellStyle name="20% - Акцент5 17" xfId="121" xr:uid="{00000000-0005-0000-0000-000078000000}"/>
    <cellStyle name="20% - Акцент5 18" xfId="122" xr:uid="{00000000-0005-0000-0000-000079000000}"/>
    <cellStyle name="20% - Акцент5 19" xfId="123" xr:uid="{00000000-0005-0000-0000-00007A000000}"/>
    <cellStyle name="20% - Акцент5 2" xfId="124" xr:uid="{00000000-0005-0000-0000-00007B000000}"/>
    <cellStyle name="20% - Акцент5 20" xfId="125" xr:uid="{00000000-0005-0000-0000-00007C000000}"/>
    <cellStyle name="20% - Акцент5 21" xfId="126" xr:uid="{00000000-0005-0000-0000-00007D000000}"/>
    <cellStyle name="20% - Акцент5 22" xfId="127" xr:uid="{00000000-0005-0000-0000-00007E000000}"/>
    <cellStyle name="20% - Акцент5 23" xfId="128" xr:uid="{00000000-0005-0000-0000-00007F000000}"/>
    <cellStyle name="20% - Акцент5 24" xfId="129" xr:uid="{00000000-0005-0000-0000-000080000000}"/>
    <cellStyle name="20% - Акцент5 25" xfId="130" xr:uid="{00000000-0005-0000-0000-000081000000}"/>
    <cellStyle name="20% - Акцент5 26" xfId="131" xr:uid="{00000000-0005-0000-0000-000082000000}"/>
    <cellStyle name="20% - Акцент5 3" xfId="132" xr:uid="{00000000-0005-0000-0000-000083000000}"/>
    <cellStyle name="20% - Акцент5 4" xfId="133" xr:uid="{00000000-0005-0000-0000-000084000000}"/>
    <cellStyle name="20% - Акцент5 5" xfId="134" xr:uid="{00000000-0005-0000-0000-000085000000}"/>
    <cellStyle name="20% - Акцент5 6" xfId="135" xr:uid="{00000000-0005-0000-0000-000086000000}"/>
    <cellStyle name="20% - Акцент5 7" xfId="136" xr:uid="{00000000-0005-0000-0000-000087000000}"/>
    <cellStyle name="20% - Акцент5 8" xfId="137" xr:uid="{00000000-0005-0000-0000-000088000000}"/>
    <cellStyle name="20% - Акцент5 9" xfId="138" xr:uid="{00000000-0005-0000-0000-000089000000}"/>
    <cellStyle name="20% - Акцент6 10" xfId="139" xr:uid="{00000000-0005-0000-0000-00008A000000}"/>
    <cellStyle name="20% - Акцент6 11" xfId="140" xr:uid="{00000000-0005-0000-0000-00008B000000}"/>
    <cellStyle name="20% - Акцент6 12" xfId="141" xr:uid="{00000000-0005-0000-0000-00008C000000}"/>
    <cellStyle name="20% - Акцент6 13" xfId="142" xr:uid="{00000000-0005-0000-0000-00008D000000}"/>
    <cellStyle name="20% - Акцент6 14" xfId="143" xr:uid="{00000000-0005-0000-0000-00008E000000}"/>
    <cellStyle name="20% - Акцент6 15" xfId="144" xr:uid="{00000000-0005-0000-0000-00008F000000}"/>
    <cellStyle name="20% - Акцент6 16" xfId="145" xr:uid="{00000000-0005-0000-0000-000090000000}"/>
    <cellStyle name="20% - Акцент6 17" xfId="146" xr:uid="{00000000-0005-0000-0000-000091000000}"/>
    <cellStyle name="20% - Акцент6 18" xfId="147" xr:uid="{00000000-0005-0000-0000-000092000000}"/>
    <cellStyle name="20% - Акцент6 19" xfId="148" xr:uid="{00000000-0005-0000-0000-000093000000}"/>
    <cellStyle name="20% - Акцент6 2" xfId="149" xr:uid="{00000000-0005-0000-0000-000094000000}"/>
    <cellStyle name="20% - Акцент6 20" xfId="150" xr:uid="{00000000-0005-0000-0000-000095000000}"/>
    <cellStyle name="20% - Акцент6 21" xfId="151" xr:uid="{00000000-0005-0000-0000-000096000000}"/>
    <cellStyle name="20% - Акцент6 22" xfId="152" xr:uid="{00000000-0005-0000-0000-000097000000}"/>
    <cellStyle name="20% - Акцент6 23" xfId="153" xr:uid="{00000000-0005-0000-0000-000098000000}"/>
    <cellStyle name="20% - Акцент6 24" xfId="154" xr:uid="{00000000-0005-0000-0000-000099000000}"/>
    <cellStyle name="20% - Акцент6 25" xfId="155" xr:uid="{00000000-0005-0000-0000-00009A000000}"/>
    <cellStyle name="20% - Акцент6 26" xfId="156" xr:uid="{00000000-0005-0000-0000-00009B000000}"/>
    <cellStyle name="20% - Акцент6 3" xfId="157" xr:uid="{00000000-0005-0000-0000-00009C000000}"/>
    <cellStyle name="20% - Акцент6 4" xfId="158" xr:uid="{00000000-0005-0000-0000-00009D000000}"/>
    <cellStyle name="20% - Акцент6 5" xfId="159" xr:uid="{00000000-0005-0000-0000-00009E000000}"/>
    <cellStyle name="20% - Акцент6 6" xfId="160" xr:uid="{00000000-0005-0000-0000-00009F000000}"/>
    <cellStyle name="20% - Акцент6 7" xfId="161" xr:uid="{00000000-0005-0000-0000-0000A0000000}"/>
    <cellStyle name="20% - Акцент6 8" xfId="162" xr:uid="{00000000-0005-0000-0000-0000A1000000}"/>
    <cellStyle name="20% - Акцент6 9" xfId="163" xr:uid="{00000000-0005-0000-0000-0000A2000000}"/>
    <cellStyle name="40% - Акцент1 10" xfId="164" xr:uid="{00000000-0005-0000-0000-0000A3000000}"/>
    <cellStyle name="40% - Акцент1 11" xfId="165" xr:uid="{00000000-0005-0000-0000-0000A4000000}"/>
    <cellStyle name="40% - Акцент1 12" xfId="166" xr:uid="{00000000-0005-0000-0000-0000A5000000}"/>
    <cellStyle name="40% - Акцент1 13" xfId="167" xr:uid="{00000000-0005-0000-0000-0000A6000000}"/>
    <cellStyle name="40% - Акцент1 14" xfId="168" xr:uid="{00000000-0005-0000-0000-0000A7000000}"/>
    <cellStyle name="40% - Акцент1 15" xfId="169" xr:uid="{00000000-0005-0000-0000-0000A8000000}"/>
    <cellStyle name="40% - Акцент1 16" xfId="170" xr:uid="{00000000-0005-0000-0000-0000A9000000}"/>
    <cellStyle name="40% - Акцент1 17" xfId="171" xr:uid="{00000000-0005-0000-0000-0000AA000000}"/>
    <cellStyle name="40% - Акцент1 18" xfId="172" xr:uid="{00000000-0005-0000-0000-0000AB000000}"/>
    <cellStyle name="40% - Акцент1 19" xfId="173" xr:uid="{00000000-0005-0000-0000-0000AC000000}"/>
    <cellStyle name="40% - Акцент1 2" xfId="174" xr:uid="{00000000-0005-0000-0000-0000AD000000}"/>
    <cellStyle name="40% - Акцент1 20" xfId="175" xr:uid="{00000000-0005-0000-0000-0000AE000000}"/>
    <cellStyle name="40% - Акцент1 21" xfId="176" xr:uid="{00000000-0005-0000-0000-0000AF000000}"/>
    <cellStyle name="40% - Акцент1 22" xfId="177" xr:uid="{00000000-0005-0000-0000-0000B0000000}"/>
    <cellStyle name="40% - Акцент1 23" xfId="178" xr:uid="{00000000-0005-0000-0000-0000B1000000}"/>
    <cellStyle name="40% - Акцент1 24" xfId="179" xr:uid="{00000000-0005-0000-0000-0000B2000000}"/>
    <cellStyle name="40% - Акцент1 25" xfId="180" xr:uid="{00000000-0005-0000-0000-0000B3000000}"/>
    <cellStyle name="40% - Акцент1 26" xfId="181" xr:uid="{00000000-0005-0000-0000-0000B4000000}"/>
    <cellStyle name="40% - Акцент1 3" xfId="182" xr:uid="{00000000-0005-0000-0000-0000B5000000}"/>
    <cellStyle name="40% - Акцент1 4" xfId="183" xr:uid="{00000000-0005-0000-0000-0000B6000000}"/>
    <cellStyle name="40% - Акцент1 5" xfId="184" xr:uid="{00000000-0005-0000-0000-0000B7000000}"/>
    <cellStyle name="40% - Акцент1 6" xfId="185" xr:uid="{00000000-0005-0000-0000-0000B8000000}"/>
    <cellStyle name="40% - Акцент1 7" xfId="186" xr:uid="{00000000-0005-0000-0000-0000B9000000}"/>
    <cellStyle name="40% - Акцент1 8" xfId="187" xr:uid="{00000000-0005-0000-0000-0000BA000000}"/>
    <cellStyle name="40% - Акцент1 9" xfId="188" xr:uid="{00000000-0005-0000-0000-0000BB000000}"/>
    <cellStyle name="40% - Акцент2 10" xfId="189" xr:uid="{00000000-0005-0000-0000-0000BC000000}"/>
    <cellStyle name="40% - Акцент2 11" xfId="190" xr:uid="{00000000-0005-0000-0000-0000BD000000}"/>
    <cellStyle name="40% - Акцент2 12" xfId="191" xr:uid="{00000000-0005-0000-0000-0000BE000000}"/>
    <cellStyle name="40% - Акцент2 13" xfId="192" xr:uid="{00000000-0005-0000-0000-0000BF000000}"/>
    <cellStyle name="40% - Акцент2 14" xfId="193" xr:uid="{00000000-0005-0000-0000-0000C0000000}"/>
    <cellStyle name="40% - Акцент2 15" xfId="194" xr:uid="{00000000-0005-0000-0000-0000C1000000}"/>
    <cellStyle name="40% - Акцент2 16" xfId="195" xr:uid="{00000000-0005-0000-0000-0000C2000000}"/>
    <cellStyle name="40% - Акцент2 17" xfId="196" xr:uid="{00000000-0005-0000-0000-0000C3000000}"/>
    <cellStyle name="40% - Акцент2 18" xfId="197" xr:uid="{00000000-0005-0000-0000-0000C4000000}"/>
    <cellStyle name="40% - Акцент2 19" xfId="198" xr:uid="{00000000-0005-0000-0000-0000C5000000}"/>
    <cellStyle name="40% - Акцент2 2" xfId="199" xr:uid="{00000000-0005-0000-0000-0000C6000000}"/>
    <cellStyle name="40% - Акцент2 20" xfId="200" xr:uid="{00000000-0005-0000-0000-0000C7000000}"/>
    <cellStyle name="40% - Акцент2 21" xfId="201" xr:uid="{00000000-0005-0000-0000-0000C8000000}"/>
    <cellStyle name="40% - Акцент2 22" xfId="202" xr:uid="{00000000-0005-0000-0000-0000C9000000}"/>
    <cellStyle name="40% - Акцент2 23" xfId="203" xr:uid="{00000000-0005-0000-0000-0000CA000000}"/>
    <cellStyle name="40% - Акцент2 24" xfId="204" xr:uid="{00000000-0005-0000-0000-0000CB000000}"/>
    <cellStyle name="40% - Акцент2 25" xfId="205" xr:uid="{00000000-0005-0000-0000-0000CC000000}"/>
    <cellStyle name="40% - Акцент2 26" xfId="206" xr:uid="{00000000-0005-0000-0000-0000CD000000}"/>
    <cellStyle name="40% - Акцент2 3" xfId="207" xr:uid="{00000000-0005-0000-0000-0000CE000000}"/>
    <cellStyle name="40% - Акцент2 4" xfId="208" xr:uid="{00000000-0005-0000-0000-0000CF000000}"/>
    <cellStyle name="40% - Акцент2 5" xfId="209" xr:uid="{00000000-0005-0000-0000-0000D0000000}"/>
    <cellStyle name="40% - Акцент2 6" xfId="210" xr:uid="{00000000-0005-0000-0000-0000D1000000}"/>
    <cellStyle name="40% - Акцент2 7" xfId="211" xr:uid="{00000000-0005-0000-0000-0000D2000000}"/>
    <cellStyle name="40% - Акцент2 8" xfId="212" xr:uid="{00000000-0005-0000-0000-0000D3000000}"/>
    <cellStyle name="40% - Акцент2 9" xfId="213" xr:uid="{00000000-0005-0000-0000-0000D4000000}"/>
    <cellStyle name="40% - Акцент3 10" xfId="214" xr:uid="{00000000-0005-0000-0000-0000D5000000}"/>
    <cellStyle name="40% - Акцент3 11" xfId="215" xr:uid="{00000000-0005-0000-0000-0000D6000000}"/>
    <cellStyle name="40% - Акцент3 12" xfId="216" xr:uid="{00000000-0005-0000-0000-0000D7000000}"/>
    <cellStyle name="40% - Акцент3 13" xfId="217" xr:uid="{00000000-0005-0000-0000-0000D8000000}"/>
    <cellStyle name="40% - Акцент3 14" xfId="218" xr:uid="{00000000-0005-0000-0000-0000D9000000}"/>
    <cellStyle name="40% - Акцент3 15" xfId="219" xr:uid="{00000000-0005-0000-0000-0000DA000000}"/>
    <cellStyle name="40% - Акцент3 16" xfId="220" xr:uid="{00000000-0005-0000-0000-0000DB000000}"/>
    <cellStyle name="40% - Акцент3 17" xfId="221" xr:uid="{00000000-0005-0000-0000-0000DC000000}"/>
    <cellStyle name="40% - Акцент3 18" xfId="222" xr:uid="{00000000-0005-0000-0000-0000DD000000}"/>
    <cellStyle name="40% - Акцент3 19" xfId="223" xr:uid="{00000000-0005-0000-0000-0000DE000000}"/>
    <cellStyle name="40% - Акцент3 2" xfId="224" xr:uid="{00000000-0005-0000-0000-0000DF000000}"/>
    <cellStyle name="40% - Акцент3 20" xfId="225" xr:uid="{00000000-0005-0000-0000-0000E0000000}"/>
    <cellStyle name="40% - Акцент3 21" xfId="226" xr:uid="{00000000-0005-0000-0000-0000E1000000}"/>
    <cellStyle name="40% - Акцент3 22" xfId="227" xr:uid="{00000000-0005-0000-0000-0000E2000000}"/>
    <cellStyle name="40% - Акцент3 23" xfId="228" xr:uid="{00000000-0005-0000-0000-0000E3000000}"/>
    <cellStyle name="40% - Акцент3 24" xfId="229" xr:uid="{00000000-0005-0000-0000-0000E4000000}"/>
    <cellStyle name="40% - Акцент3 25" xfId="230" xr:uid="{00000000-0005-0000-0000-0000E5000000}"/>
    <cellStyle name="40% - Акцент3 26" xfId="231" xr:uid="{00000000-0005-0000-0000-0000E6000000}"/>
    <cellStyle name="40% - Акцент3 3" xfId="232" xr:uid="{00000000-0005-0000-0000-0000E7000000}"/>
    <cellStyle name="40% - Акцент3 4" xfId="233" xr:uid="{00000000-0005-0000-0000-0000E8000000}"/>
    <cellStyle name="40% - Акцент3 5" xfId="234" xr:uid="{00000000-0005-0000-0000-0000E9000000}"/>
    <cellStyle name="40% - Акцент3 6" xfId="235" xr:uid="{00000000-0005-0000-0000-0000EA000000}"/>
    <cellStyle name="40% - Акцент3 7" xfId="236" xr:uid="{00000000-0005-0000-0000-0000EB000000}"/>
    <cellStyle name="40% - Акцент3 8" xfId="237" xr:uid="{00000000-0005-0000-0000-0000EC000000}"/>
    <cellStyle name="40% - Акцент3 9" xfId="238" xr:uid="{00000000-0005-0000-0000-0000ED000000}"/>
    <cellStyle name="40% - Акцент4 10" xfId="239" xr:uid="{00000000-0005-0000-0000-0000EE000000}"/>
    <cellStyle name="40% - Акцент4 11" xfId="240" xr:uid="{00000000-0005-0000-0000-0000EF000000}"/>
    <cellStyle name="40% - Акцент4 12" xfId="241" xr:uid="{00000000-0005-0000-0000-0000F0000000}"/>
    <cellStyle name="40% - Акцент4 13" xfId="242" xr:uid="{00000000-0005-0000-0000-0000F1000000}"/>
    <cellStyle name="40% - Акцент4 14" xfId="243" xr:uid="{00000000-0005-0000-0000-0000F2000000}"/>
    <cellStyle name="40% - Акцент4 15" xfId="244" xr:uid="{00000000-0005-0000-0000-0000F3000000}"/>
    <cellStyle name="40% - Акцент4 16" xfId="245" xr:uid="{00000000-0005-0000-0000-0000F4000000}"/>
    <cellStyle name="40% - Акцент4 17" xfId="246" xr:uid="{00000000-0005-0000-0000-0000F5000000}"/>
    <cellStyle name="40% - Акцент4 18" xfId="247" xr:uid="{00000000-0005-0000-0000-0000F6000000}"/>
    <cellStyle name="40% - Акцент4 19" xfId="248" xr:uid="{00000000-0005-0000-0000-0000F7000000}"/>
    <cellStyle name="40% - Акцент4 2" xfId="249" xr:uid="{00000000-0005-0000-0000-0000F8000000}"/>
    <cellStyle name="40% - Акцент4 20" xfId="250" xr:uid="{00000000-0005-0000-0000-0000F9000000}"/>
    <cellStyle name="40% - Акцент4 21" xfId="251" xr:uid="{00000000-0005-0000-0000-0000FA000000}"/>
    <cellStyle name="40% - Акцент4 22" xfId="252" xr:uid="{00000000-0005-0000-0000-0000FB000000}"/>
    <cellStyle name="40% - Акцент4 23" xfId="253" xr:uid="{00000000-0005-0000-0000-0000FC000000}"/>
    <cellStyle name="40% - Акцент4 24" xfId="254" xr:uid="{00000000-0005-0000-0000-0000FD000000}"/>
    <cellStyle name="40% - Акцент4 25" xfId="255" xr:uid="{00000000-0005-0000-0000-0000FE000000}"/>
    <cellStyle name="40% - Акцент4 26" xfId="256" xr:uid="{00000000-0005-0000-0000-0000FF000000}"/>
    <cellStyle name="40% - Акцент4 3" xfId="257" xr:uid="{00000000-0005-0000-0000-000000010000}"/>
    <cellStyle name="40% - Акцент4 4" xfId="258" xr:uid="{00000000-0005-0000-0000-000001010000}"/>
    <cellStyle name="40% - Акцент4 5" xfId="259" xr:uid="{00000000-0005-0000-0000-000002010000}"/>
    <cellStyle name="40% - Акцент4 6" xfId="260" xr:uid="{00000000-0005-0000-0000-000003010000}"/>
    <cellStyle name="40% - Акцент4 7" xfId="261" xr:uid="{00000000-0005-0000-0000-000004010000}"/>
    <cellStyle name="40% - Акцент4 8" xfId="262" xr:uid="{00000000-0005-0000-0000-000005010000}"/>
    <cellStyle name="40% - Акцент4 9" xfId="263" xr:uid="{00000000-0005-0000-0000-000006010000}"/>
    <cellStyle name="40% - Акцент5 10" xfId="264" xr:uid="{00000000-0005-0000-0000-000007010000}"/>
    <cellStyle name="40% - Акцент5 11" xfId="265" xr:uid="{00000000-0005-0000-0000-000008010000}"/>
    <cellStyle name="40% - Акцент5 12" xfId="266" xr:uid="{00000000-0005-0000-0000-000009010000}"/>
    <cellStyle name="40% - Акцент5 13" xfId="267" xr:uid="{00000000-0005-0000-0000-00000A010000}"/>
    <cellStyle name="40% - Акцент5 14" xfId="268" xr:uid="{00000000-0005-0000-0000-00000B010000}"/>
    <cellStyle name="40% - Акцент5 15" xfId="269" xr:uid="{00000000-0005-0000-0000-00000C010000}"/>
    <cellStyle name="40% - Акцент5 16" xfId="270" xr:uid="{00000000-0005-0000-0000-00000D010000}"/>
    <cellStyle name="40% - Акцент5 17" xfId="271" xr:uid="{00000000-0005-0000-0000-00000E010000}"/>
    <cellStyle name="40% - Акцент5 18" xfId="272" xr:uid="{00000000-0005-0000-0000-00000F010000}"/>
    <cellStyle name="40% - Акцент5 19" xfId="273" xr:uid="{00000000-0005-0000-0000-000010010000}"/>
    <cellStyle name="40% - Акцент5 2" xfId="274" xr:uid="{00000000-0005-0000-0000-000011010000}"/>
    <cellStyle name="40% - Акцент5 20" xfId="275" xr:uid="{00000000-0005-0000-0000-000012010000}"/>
    <cellStyle name="40% - Акцент5 21" xfId="276" xr:uid="{00000000-0005-0000-0000-000013010000}"/>
    <cellStyle name="40% - Акцент5 22" xfId="277" xr:uid="{00000000-0005-0000-0000-000014010000}"/>
    <cellStyle name="40% - Акцент5 23" xfId="278" xr:uid="{00000000-0005-0000-0000-000015010000}"/>
    <cellStyle name="40% - Акцент5 24" xfId="279" xr:uid="{00000000-0005-0000-0000-000016010000}"/>
    <cellStyle name="40% - Акцент5 25" xfId="280" xr:uid="{00000000-0005-0000-0000-000017010000}"/>
    <cellStyle name="40% - Акцент5 26" xfId="281" xr:uid="{00000000-0005-0000-0000-000018010000}"/>
    <cellStyle name="40% - Акцент5 3" xfId="282" xr:uid="{00000000-0005-0000-0000-000019010000}"/>
    <cellStyle name="40% - Акцент5 4" xfId="283" xr:uid="{00000000-0005-0000-0000-00001A010000}"/>
    <cellStyle name="40% - Акцент5 5" xfId="284" xr:uid="{00000000-0005-0000-0000-00001B010000}"/>
    <cellStyle name="40% - Акцент5 6" xfId="285" xr:uid="{00000000-0005-0000-0000-00001C010000}"/>
    <cellStyle name="40% - Акцент5 7" xfId="286" xr:uid="{00000000-0005-0000-0000-00001D010000}"/>
    <cellStyle name="40% - Акцент5 8" xfId="287" xr:uid="{00000000-0005-0000-0000-00001E010000}"/>
    <cellStyle name="40% - Акцент5 9" xfId="288" xr:uid="{00000000-0005-0000-0000-00001F010000}"/>
    <cellStyle name="40% - Акцент6 10" xfId="289" xr:uid="{00000000-0005-0000-0000-000020010000}"/>
    <cellStyle name="40% - Акцент6 11" xfId="290" xr:uid="{00000000-0005-0000-0000-000021010000}"/>
    <cellStyle name="40% - Акцент6 12" xfId="291" xr:uid="{00000000-0005-0000-0000-000022010000}"/>
    <cellStyle name="40% - Акцент6 13" xfId="292" xr:uid="{00000000-0005-0000-0000-000023010000}"/>
    <cellStyle name="40% - Акцент6 14" xfId="293" xr:uid="{00000000-0005-0000-0000-000024010000}"/>
    <cellStyle name="40% - Акцент6 15" xfId="294" xr:uid="{00000000-0005-0000-0000-000025010000}"/>
    <cellStyle name="40% - Акцент6 16" xfId="295" xr:uid="{00000000-0005-0000-0000-000026010000}"/>
    <cellStyle name="40% - Акцент6 17" xfId="296" xr:uid="{00000000-0005-0000-0000-000027010000}"/>
    <cellStyle name="40% - Акцент6 18" xfId="297" xr:uid="{00000000-0005-0000-0000-000028010000}"/>
    <cellStyle name="40% - Акцент6 19" xfId="298" xr:uid="{00000000-0005-0000-0000-000029010000}"/>
    <cellStyle name="40% - Акцент6 2" xfId="299" xr:uid="{00000000-0005-0000-0000-00002A010000}"/>
    <cellStyle name="40% - Акцент6 20" xfId="300" xr:uid="{00000000-0005-0000-0000-00002B010000}"/>
    <cellStyle name="40% - Акцент6 21" xfId="301" xr:uid="{00000000-0005-0000-0000-00002C010000}"/>
    <cellStyle name="40% - Акцент6 22" xfId="302" xr:uid="{00000000-0005-0000-0000-00002D010000}"/>
    <cellStyle name="40% - Акцент6 23" xfId="303" xr:uid="{00000000-0005-0000-0000-00002E010000}"/>
    <cellStyle name="40% - Акцент6 24" xfId="304" xr:uid="{00000000-0005-0000-0000-00002F010000}"/>
    <cellStyle name="40% - Акцент6 25" xfId="305" xr:uid="{00000000-0005-0000-0000-000030010000}"/>
    <cellStyle name="40% - Акцент6 26" xfId="306" xr:uid="{00000000-0005-0000-0000-000031010000}"/>
    <cellStyle name="40% - Акцент6 3" xfId="307" xr:uid="{00000000-0005-0000-0000-000032010000}"/>
    <cellStyle name="40% - Акцент6 4" xfId="308" xr:uid="{00000000-0005-0000-0000-000033010000}"/>
    <cellStyle name="40% - Акцент6 5" xfId="309" xr:uid="{00000000-0005-0000-0000-000034010000}"/>
    <cellStyle name="40% - Акцент6 6" xfId="310" xr:uid="{00000000-0005-0000-0000-000035010000}"/>
    <cellStyle name="40% - Акцент6 7" xfId="311" xr:uid="{00000000-0005-0000-0000-000036010000}"/>
    <cellStyle name="40% - Акцент6 8" xfId="312" xr:uid="{00000000-0005-0000-0000-000037010000}"/>
    <cellStyle name="40% - Акцент6 9" xfId="313" xr:uid="{00000000-0005-0000-0000-000038010000}"/>
    <cellStyle name="Column_Title" xfId="314" xr:uid="{00000000-0005-0000-0000-000039010000}"/>
    <cellStyle name="Comma [0]_1 MAIN" xfId="315" xr:uid="{00000000-0005-0000-0000-00003A010000}"/>
    <cellStyle name="Comma_1 MAIN" xfId="316" xr:uid="{00000000-0005-0000-0000-00003B010000}"/>
    <cellStyle name="Normal 2" xfId="317" xr:uid="{00000000-0005-0000-0000-00003C010000}"/>
    <cellStyle name="Normal_1 MAIN" xfId="318" xr:uid="{00000000-0005-0000-0000-00003D010000}"/>
    <cellStyle name="Percent 2" xfId="319" xr:uid="{00000000-0005-0000-0000-00003E010000}"/>
    <cellStyle name="Денежный [0]" xfId="320" builtinId="7"/>
    <cellStyle name="Обычный" xfId="0" builtinId="0"/>
    <cellStyle name="Обычный 10" xfId="321" xr:uid="{00000000-0005-0000-0000-000041010000}"/>
    <cellStyle name="Обычный 10 10" xfId="322" xr:uid="{00000000-0005-0000-0000-000042010000}"/>
    <cellStyle name="Обычный 10 11" xfId="323" xr:uid="{00000000-0005-0000-0000-000043010000}"/>
    <cellStyle name="Обычный 10 2" xfId="324" xr:uid="{00000000-0005-0000-0000-000044010000}"/>
    <cellStyle name="Обычный 10 2 2" xfId="325" xr:uid="{00000000-0005-0000-0000-000045010000}"/>
    <cellStyle name="Обычный 10 2 2 2" xfId="326" xr:uid="{00000000-0005-0000-0000-000046010000}"/>
    <cellStyle name="Обычный 10 2 3" xfId="327" xr:uid="{00000000-0005-0000-0000-000047010000}"/>
    <cellStyle name="Обычный 10 3" xfId="328" xr:uid="{00000000-0005-0000-0000-000048010000}"/>
    <cellStyle name="Обычный 10 3 2" xfId="329" xr:uid="{00000000-0005-0000-0000-000049010000}"/>
    <cellStyle name="Обычный 10 3 3" xfId="330" xr:uid="{00000000-0005-0000-0000-00004A010000}"/>
    <cellStyle name="Обычный 10 4" xfId="331" xr:uid="{00000000-0005-0000-0000-00004B010000}"/>
    <cellStyle name="Обычный 10 5" xfId="332" xr:uid="{00000000-0005-0000-0000-00004C010000}"/>
    <cellStyle name="Обычный 10 6" xfId="333" xr:uid="{00000000-0005-0000-0000-00004D010000}"/>
    <cellStyle name="Обычный 10 7" xfId="334" xr:uid="{00000000-0005-0000-0000-00004E010000}"/>
    <cellStyle name="Обычный 10 8" xfId="335" xr:uid="{00000000-0005-0000-0000-00004F010000}"/>
    <cellStyle name="Обычный 10 9" xfId="336" xr:uid="{00000000-0005-0000-0000-000050010000}"/>
    <cellStyle name="Обычный 100" xfId="337" xr:uid="{00000000-0005-0000-0000-000051010000}"/>
    <cellStyle name="Обычный 100 2" xfId="338" xr:uid="{00000000-0005-0000-0000-000052010000}"/>
    <cellStyle name="Обычный 100 2 2" xfId="339" xr:uid="{00000000-0005-0000-0000-000053010000}"/>
    <cellStyle name="Обычный 101" xfId="340" xr:uid="{00000000-0005-0000-0000-000054010000}"/>
    <cellStyle name="Обычный 102" xfId="341" xr:uid="{00000000-0005-0000-0000-000055010000}"/>
    <cellStyle name="Обычный 103" xfId="342" xr:uid="{00000000-0005-0000-0000-000056010000}"/>
    <cellStyle name="Обычный 104" xfId="343" xr:uid="{00000000-0005-0000-0000-000057010000}"/>
    <cellStyle name="Обычный 106" xfId="344" xr:uid="{00000000-0005-0000-0000-000058010000}"/>
    <cellStyle name="Обычный 107" xfId="345" xr:uid="{00000000-0005-0000-0000-000059010000}"/>
    <cellStyle name="Обычный 109" xfId="346" xr:uid="{00000000-0005-0000-0000-00005A010000}"/>
    <cellStyle name="Обычный 11" xfId="347" xr:uid="{00000000-0005-0000-0000-00005B010000}"/>
    <cellStyle name="Обычный 11 2" xfId="348" xr:uid="{00000000-0005-0000-0000-00005C010000}"/>
    <cellStyle name="Обычный 11 2 2" xfId="349" xr:uid="{00000000-0005-0000-0000-00005D010000}"/>
    <cellStyle name="Обычный 11 3" xfId="350" xr:uid="{00000000-0005-0000-0000-00005E010000}"/>
    <cellStyle name="Обычный 11 4" xfId="351" xr:uid="{00000000-0005-0000-0000-00005F010000}"/>
    <cellStyle name="Обычный 11 6" xfId="352" xr:uid="{00000000-0005-0000-0000-000060010000}"/>
    <cellStyle name="Обычный 110" xfId="353" xr:uid="{00000000-0005-0000-0000-000061010000}"/>
    <cellStyle name="Обычный 112" xfId="354" xr:uid="{00000000-0005-0000-0000-000062010000}"/>
    <cellStyle name="Обычный 113" xfId="355" xr:uid="{00000000-0005-0000-0000-000063010000}"/>
    <cellStyle name="Обычный 115" xfId="356" xr:uid="{00000000-0005-0000-0000-000064010000}"/>
    <cellStyle name="Обычный 116" xfId="357" xr:uid="{00000000-0005-0000-0000-000065010000}"/>
    <cellStyle name="Обычный 118" xfId="358" xr:uid="{00000000-0005-0000-0000-000066010000}"/>
    <cellStyle name="Обычный 12" xfId="359" xr:uid="{00000000-0005-0000-0000-000067010000}"/>
    <cellStyle name="Обычный 12 2" xfId="360" xr:uid="{00000000-0005-0000-0000-000068010000}"/>
    <cellStyle name="Обычный 12 2 2" xfId="361" xr:uid="{00000000-0005-0000-0000-000069010000}"/>
    <cellStyle name="Обычный 12 3" xfId="362" xr:uid="{00000000-0005-0000-0000-00006A010000}"/>
    <cellStyle name="Обычный 12 4" xfId="363" xr:uid="{00000000-0005-0000-0000-00006B010000}"/>
    <cellStyle name="Обычный 12 5" xfId="364" xr:uid="{00000000-0005-0000-0000-00006C010000}"/>
    <cellStyle name="Обычный 12 6" xfId="365" xr:uid="{00000000-0005-0000-0000-00006D010000}"/>
    <cellStyle name="Обычный 12 7" xfId="366" xr:uid="{00000000-0005-0000-0000-00006E010000}"/>
    <cellStyle name="Обычный 12 8" xfId="367" xr:uid="{00000000-0005-0000-0000-00006F010000}"/>
    <cellStyle name="Обычный 120" xfId="368" xr:uid="{00000000-0005-0000-0000-000070010000}"/>
    <cellStyle name="Обычный 121" xfId="369" xr:uid="{00000000-0005-0000-0000-000071010000}"/>
    <cellStyle name="Обычный 122" xfId="370" xr:uid="{00000000-0005-0000-0000-000072010000}"/>
    <cellStyle name="Обычный 123" xfId="371" xr:uid="{00000000-0005-0000-0000-000073010000}"/>
    <cellStyle name="Обычный 13" xfId="372" xr:uid="{00000000-0005-0000-0000-000074010000}"/>
    <cellStyle name="Обычный 13 2" xfId="373" xr:uid="{00000000-0005-0000-0000-000075010000}"/>
    <cellStyle name="Обычный 13 2 2" xfId="374" xr:uid="{00000000-0005-0000-0000-000076010000}"/>
    <cellStyle name="Обычный 14" xfId="375" xr:uid="{00000000-0005-0000-0000-000077010000}"/>
    <cellStyle name="Обычный 14 2" xfId="376" xr:uid="{00000000-0005-0000-0000-000078010000}"/>
    <cellStyle name="Обычный 14 2 2" xfId="377" xr:uid="{00000000-0005-0000-0000-000079010000}"/>
    <cellStyle name="Обычный 14 3" xfId="378" xr:uid="{00000000-0005-0000-0000-00007A010000}"/>
    <cellStyle name="Обычный 14 4" xfId="379" xr:uid="{00000000-0005-0000-0000-00007B010000}"/>
    <cellStyle name="Обычный 14 5" xfId="380" xr:uid="{00000000-0005-0000-0000-00007C010000}"/>
    <cellStyle name="Обычный 144" xfId="381" xr:uid="{00000000-0005-0000-0000-00007D010000}"/>
    <cellStyle name="Обычный 147" xfId="382" xr:uid="{00000000-0005-0000-0000-00007E010000}"/>
    <cellStyle name="Обычный 148" xfId="383" xr:uid="{00000000-0005-0000-0000-00007F010000}"/>
    <cellStyle name="Обычный 15" xfId="384" xr:uid="{00000000-0005-0000-0000-000080010000}"/>
    <cellStyle name="Обычный 15 2" xfId="385" xr:uid="{00000000-0005-0000-0000-000081010000}"/>
    <cellStyle name="Обычный 15 2 2" xfId="386" xr:uid="{00000000-0005-0000-0000-000082010000}"/>
    <cellStyle name="Обычный 15 2 3" xfId="387" xr:uid="{00000000-0005-0000-0000-000083010000}"/>
    <cellStyle name="Обычный 15 2 4" xfId="388" xr:uid="{00000000-0005-0000-0000-000084010000}"/>
    <cellStyle name="Обычный 15 2 5" xfId="389" xr:uid="{00000000-0005-0000-0000-000085010000}"/>
    <cellStyle name="Обычный 15 2 6" xfId="390" xr:uid="{00000000-0005-0000-0000-000086010000}"/>
    <cellStyle name="Обычный 15 3" xfId="391" xr:uid="{00000000-0005-0000-0000-000087010000}"/>
    <cellStyle name="Обычный 15 4" xfId="392" xr:uid="{00000000-0005-0000-0000-000088010000}"/>
    <cellStyle name="Обычный 15 5" xfId="393" xr:uid="{00000000-0005-0000-0000-000089010000}"/>
    <cellStyle name="Обычный 16" xfId="394" xr:uid="{00000000-0005-0000-0000-00008A010000}"/>
    <cellStyle name="Обычный 16 10" xfId="395" xr:uid="{00000000-0005-0000-0000-00008B010000}"/>
    <cellStyle name="Обычный 16 11" xfId="396" xr:uid="{00000000-0005-0000-0000-00008C010000}"/>
    <cellStyle name="Обычный 16 12" xfId="397" xr:uid="{00000000-0005-0000-0000-00008D010000}"/>
    <cellStyle name="Обычный 16 13" xfId="398" xr:uid="{00000000-0005-0000-0000-00008E010000}"/>
    <cellStyle name="Обычный 16 14" xfId="399" xr:uid="{00000000-0005-0000-0000-00008F010000}"/>
    <cellStyle name="Обычный 16 2" xfId="400" xr:uid="{00000000-0005-0000-0000-000090010000}"/>
    <cellStyle name="Обычный 16 2 2" xfId="401" xr:uid="{00000000-0005-0000-0000-000091010000}"/>
    <cellStyle name="Обычный 16 3" xfId="402" xr:uid="{00000000-0005-0000-0000-000092010000}"/>
    <cellStyle name="Обычный 16 3 2" xfId="403" xr:uid="{00000000-0005-0000-0000-000093010000}"/>
    <cellStyle name="Обычный 16 4" xfId="404" xr:uid="{00000000-0005-0000-0000-000094010000}"/>
    <cellStyle name="Обычный 16 4 2" xfId="405" xr:uid="{00000000-0005-0000-0000-000095010000}"/>
    <cellStyle name="Обычный 16 5" xfId="406" xr:uid="{00000000-0005-0000-0000-000096010000}"/>
    <cellStyle name="Обычный 16 6" xfId="407" xr:uid="{00000000-0005-0000-0000-000097010000}"/>
    <cellStyle name="Обычный 16 7" xfId="408" xr:uid="{00000000-0005-0000-0000-000098010000}"/>
    <cellStyle name="Обычный 16 8" xfId="409" xr:uid="{00000000-0005-0000-0000-000099010000}"/>
    <cellStyle name="Обычный 16 9" xfId="410" xr:uid="{00000000-0005-0000-0000-00009A010000}"/>
    <cellStyle name="Обычный 17" xfId="411" xr:uid="{00000000-0005-0000-0000-00009B010000}"/>
    <cellStyle name="Обычный 17 2" xfId="412" xr:uid="{00000000-0005-0000-0000-00009C010000}"/>
    <cellStyle name="Обычный 17 2 2" xfId="413" xr:uid="{00000000-0005-0000-0000-00009D010000}"/>
    <cellStyle name="Обычный 17 3" xfId="414" xr:uid="{00000000-0005-0000-0000-00009E010000}"/>
    <cellStyle name="Обычный 17 4" xfId="415" xr:uid="{00000000-0005-0000-0000-00009F010000}"/>
    <cellStyle name="Обычный 18" xfId="416" xr:uid="{00000000-0005-0000-0000-0000A0010000}"/>
    <cellStyle name="Обычный 18 2" xfId="417" xr:uid="{00000000-0005-0000-0000-0000A1010000}"/>
    <cellStyle name="Обычный 18 2 2" xfId="418" xr:uid="{00000000-0005-0000-0000-0000A2010000}"/>
    <cellStyle name="Обычный 18 2 2 2" xfId="419" xr:uid="{00000000-0005-0000-0000-0000A3010000}"/>
    <cellStyle name="Обычный 18 2 3" xfId="420" xr:uid="{00000000-0005-0000-0000-0000A4010000}"/>
    <cellStyle name="Обычный 18 2 4" xfId="421" xr:uid="{00000000-0005-0000-0000-0000A5010000}"/>
    <cellStyle name="Обычный 18 3" xfId="422" xr:uid="{00000000-0005-0000-0000-0000A6010000}"/>
    <cellStyle name="Обычный 18 3 2" xfId="423" xr:uid="{00000000-0005-0000-0000-0000A7010000}"/>
    <cellStyle name="Обычный 18 4" xfId="424" xr:uid="{00000000-0005-0000-0000-0000A8010000}"/>
    <cellStyle name="Обычный 18 5" xfId="425" xr:uid="{00000000-0005-0000-0000-0000A9010000}"/>
    <cellStyle name="Обычный 18 6" xfId="426" xr:uid="{00000000-0005-0000-0000-0000AA010000}"/>
    <cellStyle name="Обычный 188" xfId="427" xr:uid="{00000000-0005-0000-0000-0000AB010000}"/>
    <cellStyle name="Обычный 19" xfId="428" xr:uid="{00000000-0005-0000-0000-0000AC010000}"/>
    <cellStyle name="Обычный 19 2" xfId="429" xr:uid="{00000000-0005-0000-0000-0000AD010000}"/>
    <cellStyle name="Обычный 19 2 2" xfId="430" xr:uid="{00000000-0005-0000-0000-0000AE010000}"/>
    <cellStyle name="Обычный 19 2 3" xfId="431" xr:uid="{00000000-0005-0000-0000-0000AF010000}"/>
    <cellStyle name="Обычный 19 3" xfId="432" xr:uid="{00000000-0005-0000-0000-0000B0010000}"/>
    <cellStyle name="Обычный 190" xfId="433" xr:uid="{00000000-0005-0000-0000-0000B1010000}"/>
    <cellStyle name="Обычный 2" xfId="434" xr:uid="{00000000-0005-0000-0000-0000B2010000}"/>
    <cellStyle name="Обычный 2 10" xfId="435" xr:uid="{00000000-0005-0000-0000-0000B3010000}"/>
    <cellStyle name="Обычный 2 11" xfId="436" xr:uid="{00000000-0005-0000-0000-0000B4010000}"/>
    <cellStyle name="Обычный 2 12" xfId="437" xr:uid="{00000000-0005-0000-0000-0000B5010000}"/>
    <cellStyle name="Обычный 2 13" xfId="438" xr:uid="{00000000-0005-0000-0000-0000B6010000}"/>
    <cellStyle name="Обычный 2 14" xfId="439" xr:uid="{00000000-0005-0000-0000-0000B7010000}"/>
    <cellStyle name="Обычный 2 15" xfId="440" xr:uid="{00000000-0005-0000-0000-0000B8010000}"/>
    <cellStyle name="Обычный 2 16" xfId="441" xr:uid="{00000000-0005-0000-0000-0000B9010000}"/>
    <cellStyle name="Обычный 2 17" xfId="442" xr:uid="{00000000-0005-0000-0000-0000BA010000}"/>
    <cellStyle name="Обычный 2 18" xfId="443" xr:uid="{00000000-0005-0000-0000-0000BB010000}"/>
    <cellStyle name="Обычный 2 19" xfId="444" xr:uid="{00000000-0005-0000-0000-0000BC010000}"/>
    <cellStyle name="Обычный 2 2" xfId="445" xr:uid="{00000000-0005-0000-0000-0000BD010000}"/>
    <cellStyle name="Обычный 2 2 10" xfId="446" xr:uid="{00000000-0005-0000-0000-0000BE010000}"/>
    <cellStyle name="Обычный 2 2 10 2" xfId="447" xr:uid="{00000000-0005-0000-0000-0000BF010000}"/>
    <cellStyle name="Обычный 2 2 11" xfId="448" xr:uid="{00000000-0005-0000-0000-0000C0010000}"/>
    <cellStyle name="Обычный 2 2 11 2" xfId="449" xr:uid="{00000000-0005-0000-0000-0000C1010000}"/>
    <cellStyle name="Обычный 2 2 12" xfId="450" xr:uid="{00000000-0005-0000-0000-0000C2010000}"/>
    <cellStyle name="Обычный 2 2 12 2" xfId="451" xr:uid="{00000000-0005-0000-0000-0000C3010000}"/>
    <cellStyle name="Обычный 2 2 13" xfId="452" xr:uid="{00000000-0005-0000-0000-0000C4010000}"/>
    <cellStyle name="Обычный 2 2 13 2" xfId="453" xr:uid="{00000000-0005-0000-0000-0000C5010000}"/>
    <cellStyle name="Обычный 2 2 14" xfId="454" xr:uid="{00000000-0005-0000-0000-0000C6010000}"/>
    <cellStyle name="Обычный 2 2 14 2" xfId="455" xr:uid="{00000000-0005-0000-0000-0000C7010000}"/>
    <cellStyle name="Обычный 2 2 15" xfId="456" xr:uid="{00000000-0005-0000-0000-0000C8010000}"/>
    <cellStyle name="Обычный 2 2 15 2" xfId="457" xr:uid="{00000000-0005-0000-0000-0000C9010000}"/>
    <cellStyle name="Обычный 2 2 16" xfId="458" xr:uid="{00000000-0005-0000-0000-0000CA010000}"/>
    <cellStyle name="Обычный 2 2 16 2" xfId="459" xr:uid="{00000000-0005-0000-0000-0000CB010000}"/>
    <cellStyle name="Обычный 2 2 17" xfId="460" xr:uid="{00000000-0005-0000-0000-0000CC010000}"/>
    <cellStyle name="Обычный 2 2 17 2" xfId="461" xr:uid="{00000000-0005-0000-0000-0000CD010000}"/>
    <cellStyle name="Обычный 2 2 18" xfId="462" xr:uid="{00000000-0005-0000-0000-0000CE010000}"/>
    <cellStyle name="Обычный 2 2 18 2" xfId="463" xr:uid="{00000000-0005-0000-0000-0000CF010000}"/>
    <cellStyle name="Обычный 2 2 19" xfId="464" xr:uid="{00000000-0005-0000-0000-0000D0010000}"/>
    <cellStyle name="Обычный 2 2 19 2" xfId="465" xr:uid="{00000000-0005-0000-0000-0000D1010000}"/>
    <cellStyle name="Обычный 2 2 2" xfId="466" xr:uid="{00000000-0005-0000-0000-0000D2010000}"/>
    <cellStyle name="Обычный 2 2 2 10" xfId="467" xr:uid="{00000000-0005-0000-0000-0000D3010000}"/>
    <cellStyle name="Обычный 2 2 2 11" xfId="468" xr:uid="{00000000-0005-0000-0000-0000D4010000}"/>
    <cellStyle name="Обычный 2 2 2 12" xfId="469" xr:uid="{00000000-0005-0000-0000-0000D5010000}"/>
    <cellStyle name="Обычный 2 2 2 13" xfId="470" xr:uid="{00000000-0005-0000-0000-0000D6010000}"/>
    <cellStyle name="Обычный 2 2 2 14" xfId="471" xr:uid="{00000000-0005-0000-0000-0000D7010000}"/>
    <cellStyle name="Обычный 2 2 2 15" xfId="472" xr:uid="{00000000-0005-0000-0000-0000D8010000}"/>
    <cellStyle name="Обычный 2 2 2 16" xfId="473" xr:uid="{00000000-0005-0000-0000-0000D9010000}"/>
    <cellStyle name="Обычный 2 2 2 17" xfId="474" xr:uid="{00000000-0005-0000-0000-0000DA010000}"/>
    <cellStyle name="Обычный 2 2 2 18" xfId="475" xr:uid="{00000000-0005-0000-0000-0000DB010000}"/>
    <cellStyle name="Обычный 2 2 2 19" xfId="476" xr:uid="{00000000-0005-0000-0000-0000DC010000}"/>
    <cellStyle name="Обычный 2 2 2 2" xfId="477" xr:uid="{00000000-0005-0000-0000-0000DD010000}"/>
    <cellStyle name="Обычный 2 2 2 2 10" xfId="478" xr:uid="{00000000-0005-0000-0000-0000DE010000}"/>
    <cellStyle name="Обычный 2 2 2 2 11" xfId="479" xr:uid="{00000000-0005-0000-0000-0000DF010000}"/>
    <cellStyle name="Обычный 2 2 2 2 12" xfId="480" xr:uid="{00000000-0005-0000-0000-0000E0010000}"/>
    <cellStyle name="Обычный 2 2 2 2 13" xfId="481" xr:uid="{00000000-0005-0000-0000-0000E1010000}"/>
    <cellStyle name="Обычный 2 2 2 2 14" xfId="482" xr:uid="{00000000-0005-0000-0000-0000E2010000}"/>
    <cellStyle name="Обычный 2 2 2 2 15" xfId="483" xr:uid="{00000000-0005-0000-0000-0000E3010000}"/>
    <cellStyle name="Обычный 2 2 2 2 16" xfId="484" xr:uid="{00000000-0005-0000-0000-0000E4010000}"/>
    <cellStyle name="Обычный 2 2 2 2 17" xfId="485" xr:uid="{00000000-0005-0000-0000-0000E5010000}"/>
    <cellStyle name="Обычный 2 2 2 2 18" xfId="486" xr:uid="{00000000-0005-0000-0000-0000E6010000}"/>
    <cellStyle name="Обычный 2 2 2 2 19" xfId="487" xr:uid="{00000000-0005-0000-0000-0000E7010000}"/>
    <cellStyle name="Обычный 2 2 2 2 2" xfId="488" xr:uid="{00000000-0005-0000-0000-0000E8010000}"/>
    <cellStyle name="Обычный 2 2 2 2 20" xfId="489" xr:uid="{00000000-0005-0000-0000-0000E9010000}"/>
    <cellStyle name="Обычный 2 2 2 2 21" xfId="490" xr:uid="{00000000-0005-0000-0000-0000EA010000}"/>
    <cellStyle name="Обычный 2 2 2 2 22" xfId="491" xr:uid="{00000000-0005-0000-0000-0000EB010000}"/>
    <cellStyle name="Обычный 2 2 2 2 23" xfId="492" xr:uid="{00000000-0005-0000-0000-0000EC010000}"/>
    <cellStyle name="Обычный 2 2 2 2 24" xfId="493" xr:uid="{00000000-0005-0000-0000-0000ED010000}"/>
    <cellStyle name="Обычный 2 2 2 2 25" xfId="494" xr:uid="{00000000-0005-0000-0000-0000EE010000}"/>
    <cellStyle name="Обычный 2 2 2 2 26" xfId="495" xr:uid="{00000000-0005-0000-0000-0000EF010000}"/>
    <cellStyle name="Обычный 2 2 2 2 27" xfId="496" xr:uid="{00000000-0005-0000-0000-0000F0010000}"/>
    <cellStyle name="Обычный 2 2 2 2 28" xfId="497" xr:uid="{00000000-0005-0000-0000-0000F1010000}"/>
    <cellStyle name="Обычный 2 2 2 2 29" xfId="498" xr:uid="{00000000-0005-0000-0000-0000F2010000}"/>
    <cellStyle name="Обычный 2 2 2 2 3" xfId="499" xr:uid="{00000000-0005-0000-0000-0000F3010000}"/>
    <cellStyle name="Обычный 2 2 2 2 30" xfId="500" xr:uid="{00000000-0005-0000-0000-0000F4010000}"/>
    <cellStyle name="Обычный 2 2 2 2 4" xfId="501" xr:uid="{00000000-0005-0000-0000-0000F5010000}"/>
    <cellStyle name="Обычный 2 2 2 2 5" xfId="502" xr:uid="{00000000-0005-0000-0000-0000F6010000}"/>
    <cellStyle name="Обычный 2 2 2 2 6" xfId="503" xr:uid="{00000000-0005-0000-0000-0000F7010000}"/>
    <cellStyle name="Обычный 2 2 2 2 7" xfId="504" xr:uid="{00000000-0005-0000-0000-0000F8010000}"/>
    <cellStyle name="Обычный 2 2 2 2 8" xfId="505" xr:uid="{00000000-0005-0000-0000-0000F9010000}"/>
    <cellStyle name="Обычный 2 2 2 2 9" xfId="506" xr:uid="{00000000-0005-0000-0000-0000FA010000}"/>
    <cellStyle name="Обычный 2 2 2 20" xfId="507" xr:uid="{00000000-0005-0000-0000-0000FB010000}"/>
    <cellStyle name="Обычный 2 2 2 21" xfId="508" xr:uid="{00000000-0005-0000-0000-0000FC010000}"/>
    <cellStyle name="Обычный 2 2 2 22" xfId="509" xr:uid="{00000000-0005-0000-0000-0000FD010000}"/>
    <cellStyle name="Обычный 2 2 2 23" xfId="510" xr:uid="{00000000-0005-0000-0000-0000FE010000}"/>
    <cellStyle name="Обычный 2 2 2 24" xfId="511" xr:uid="{00000000-0005-0000-0000-0000FF010000}"/>
    <cellStyle name="Обычный 2 2 2 25" xfId="512" xr:uid="{00000000-0005-0000-0000-000000020000}"/>
    <cellStyle name="Обычный 2 2 2 26" xfId="513" xr:uid="{00000000-0005-0000-0000-000001020000}"/>
    <cellStyle name="Обычный 2 2 2 27" xfId="514" xr:uid="{00000000-0005-0000-0000-000002020000}"/>
    <cellStyle name="Обычный 2 2 2 28" xfId="515" xr:uid="{00000000-0005-0000-0000-000003020000}"/>
    <cellStyle name="Обычный 2 2 2 29" xfId="516" xr:uid="{00000000-0005-0000-0000-000004020000}"/>
    <cellStyle name="Обычный 2 2 2 3" xfId="517" xr:uid="{00000000-0005-0000-0000-000005020000}"/>
    <cellStyle name="Обычный 2 2 2 30" xfId="518" xr:uid="{00000000-0005-0000-0000-000006020000}"/>
    <cellStyle name="Обычный 2 2 2 31" xfId="519" xr:uid="{00000000-0005-0000-0000-000007020000}"/>
    <cellStyle name="Обычный 2 2 2 4" xfId="520" xr:uid="{00000000-0005-0000-0000-000008020000}"/>
    <cellStyle name="Обычный 2 2 2 5" xfId="521" xr:uid="{00000000-0005-0000-0000-000009020000}"/>
    <cellStyle name="Обычный 2 2 2 6" xfId="522" xr:uid="{00000000-0005-0000-0000-00000A020000}"/>
    <cellStyle name="Обычный 2 2 2 7" xfId="523" xr:uid="{00000000-0005-0000-0000-00000B020000}"/>
    <cellStyle name="Обычный 2 2 2 8" xfId="524" xr:uid="{00000000-0005-0000-0000-00000C020000}"/>
    <cellStyle name="Обычный 2 2 2 9" xfId="525" xr:uid="{00000000-0005-0000-0000-00000D020000}"/>
    <cellStyle name="Обычный 2 2 20" xfId="526" xr:uid="{00000000-0005-0000-0000-00000E020000}"/>
    <cellStyle name="Обычный 2 2 20 2" xfId="527" xr:uid="{00000000-0005-0000-0000-00000F020000}"/>
    <cellStyle name="Обычный 2 2 21" xfId="528" xr:uid="{00000000-0005-0000-0000-000010020000}"/>
    <cellStyle name="Обычный 2 2 21 2" xfId="529" xr:uid="{00000000-0005-0000-0000-000011020000}"/>
    <cellStyle name="Обычный 2 2 22" xfId="530" xr:uid="{00000000-0005-0000-0000-000012020000}"/>
    <cellStyle name="Обычный 2 2 22 2" xfId="531" xr:uid="{00000000-0005-0000-0000-000013020000}"/>
    <cellStyle name="Обычный 2 2 23" xfId="532" xr:uid="{00000000-0005-0000-0000-000014020000}"/>
    <cellStyle name="Обычный 2 2 23 2" xfId="533" xr:uid="{00000000-0005-0000-0000-000015020000}"/>
    <cellStyle name="Обычный 2 2 24" xfId="534" xr:uid="{00000000-0005-0000-0000-000016020000}"/>
    <cellStyle name="Обычный 2 2 24 2" xfId="535" xr:uid="{00000000-0005-0000-0000-000017020000}"/>
    <cellStyle name="Обычный 2 2 25" xfId="536" xr:uid="{00000000-0005-0000-0000-000018020000}"/>
    <cellStyle name="Обычный 2 2 25 2" xfId="537" xr:uid="{00000000-0005-0000-0000-000019020000}"/>
    <cellStyle name="Обычный 2 2 26" xfId="538" xr:uid="{00000000-0005-0000-0000-00001A020000}"/>
    <cellStyle name="Обычный 2 2 26 2" xfId="539" xr:uid="{00000000-0005-0000-0000-00001B020000}"/>
    <cellStyle name="Обычный 2 2 27" xfId="540" xr:uid="{00000000-0005-0000-0000-00001C020000}"/>
    <cellStyle name="Обычный 2 2 27 2" xfId="541" xr:uid="{00000000-0005-0000-0000-00001D020000}"/>
    <cellStyle name="Обычный 2 2 28" xfId="542" xr:uid="{00000000-0005-0000-0000-00001E020000}"/>
    <cellStyle name="Обычный 2 2 28 2" xfId="543" xr:uid="{00000000-0005-0000-0000-00001F020000}"/>
    <cellStyle name="Обычный 2 2 29" xfId="544" xr:uid="{00000000-0005-0000-0000-000020020000}"/>
    <cellStyle name="Обычный 2 2 29 2" xfId="545" xr:uid="{00000000-0005-0000-0000-000021020000}"/>
    <cellStyle name="Обычный 2 2 3" xfId="546" xr:uid="{00000000-0005-0000-0000-000022020000}"/>
    <cellStyle name="Обычный 2 2 3 2" xfId="547" xr:uid="{00000000-0005-0000-0000-000023020000}"/>
    <cellStyle name="Обычный 2 2 30" xfId="548" xr:uid="{00000000-0005-0000-0000-000024020000}"/>
    <cellStyle name="Обычный 2 2 30 2" xfId="549" xr:uid="{00000000-0005-0000-0000-000025020000}"/>
    <cellStyle name="Обычный 2 2 31" xfId="550" xr:uid="{00000000-0005-0000-0000-000026020000}"/>
    <cellStyle name="Обычный 2 2 31 2" xfId="551" xr:uid="{00000000-0005-0000-0000-000027020000}"/>
    <cellStyle name="Обычный 2 2 32" xfId="552" xr:uid="{00000000-0005-0000-0000-000028020000}"/>
    <cellStyle name="Обычный 2 2 4" xfId="553" xr:uid="{00000000-0005-0000-0000-000029020000}"/>
    <cellStyle name="Обычный 2 2 4 2" xfId="554" xr:uid="{00000000-0005-0000-0000-00002A020000}"/>
    <cellStyle name="Обычный 2 2 5" xfId="555" xr:uid="{00000000-0005-0000-0000-00002B020000}"/>
    <cellStyle name="Обычный 2 2 5 2" xfId="556" xr:uid="{00000000-0005-0000-0000-00002C020000}"/>
    <cellStyle name="Обычный 2 2 6" xfId="557" xr:uid="{00000000-0005-0000-0000-00002D020000}"/>
    <cellStyle name="Обычный 2 2 6 2" xfId="558" xr:uid="{00000000-0005-0000-0000-00002E020000}"/>
    <cellStyle name="Обычный 2 2 7" xfId="559" xr:uid="{00000000-0005-0000-0000-00002F020000}"/>
    <cellStyle name="Обычный 2 2 7 2" xfId="560" xr:uid="{00000000-0005-0000-0000-000030020000}"/>
    <cellStyle name="Обычный 2 2 8" xfId="561" xr:uid="{00000000-0005-0000-0000-000031020000}"/>
    <cellStyle name="Обычный 2 2 8 2" xfId="562" xr:uid="{00000000-0005-0000-0000-000032020000}"/>
    <cellStyle name="Обычный 2 2 9" xfId="563" xr:uid="{00000000-0005-0000-0000-000033020000}"/>
    <cellStyle name="Обычный 2 2 9 2" xfId="564" xr:uid="{00000000-0005-0000-0000-000034020000}"/>
    <cellStyle name="Обычный 2 20" xfId="565" xr:uid="{00000000-0005-0000-0000-000035020000}"/>
    <cellStyle name="Обычный 2 21" xfId="566" xr:uid="{00000000-0005-0000-0000-000036020000}"/>
    <cellStyle name="Обычный 2 22" xfId="567" xr:uid="{00000000-0005-0000-0000-000037020000}"/>
    <cellStyle name="Обычный 2 23" xfId="568" xr:uid="{00000000-0005-0000-0000-000038020000}"/>
    <cellStyle name="Обычный 2 24" xfId="569" xr:uid="{00000000-0005-0000-0000-000039020000}"/>
    <cellStyle name="Обычный 2 25" xfId="570" xr:uid="{00000000-0005-0000-0000-00003A020000}"/>
    <cellStyle name="Обычный 2 26" xfId="571" xr:uid="{00000000-0005-0000-0000-00003B020000}"/>
    <cellStyle name="Обычный 2 27" xfId="572" xr:uid="{00000000-0005-0000-0000-00003C020000}"/>
    <cellStyle name="Обычный 2 28" xfId="573" xr:uid="{00000000-0005-0000-0000-00003D020000}"/>
    <cellStyle name="Обычный 2 29" xfId="574" xr:uid="{00000000-0005-0000-0000-00003E020000}"/>
    <cellStyle name="Обычный 2 3" xfId="575" xr:uid="{00000000-0005-0000-0000-00003F020000}"/>
    <cellStyle name="Обычный 2 3 2" xfId="576" xr:uid="{00000000-0005-0000-0000-000040020000}"/>
    <cellStyle name="Обычный 2 3 3" xfId="577" xr:uid="{00000000-0005-0000-0000-000041020000}"/>
    <cellStyle name="Обычный 2 30" xfId="578" xr:uid="{00000000-0005-0000-0000-000042020000}"/>
    <cellStyle name="Обычный 2 31" xfId="579" xr:uid="{00000000-0005-0000-0000-000043020000}"/>
    <cellStyle name="Обычный 2 32" xfId="580" xr:uid="{00000000-0005-0000-0000-000044020000}"/>
    <cellStyle name="Обычный 2 33" xfId="581" xr:uid="{00000000-0005-0000-0000-000045020000}"/>
    <cellStyle name="Обычный 2 34" xfId="582" xr:uid="{00000000-0005-0000-0000-000046020000}"/>
    <cellStyle name="Обычный 2 34 2" xfId="583" xr:uid="{00000000-0005-0000-0000-000047020000}"/>
    <cellStyle name="Обычный 2 35" xfId="584" xr:uid="{00000000-0005-0000-0000-000048020000}"/>
    <cellStyle name="Обычный 2 36" xfId="585" xr:uid="{00000000-0005-0000-0000-000049020000}"/>
    <cellStyle name="Обычный 2 4" xfId="586" xr:uid="{00000000-0005-0000-0000-00004A020000}"/>
    <cellStyle name="Обычный 2 4 2" xfId="587" xr:uid="{00000000-0005-0000-0000-00004B020000}"/>
    <cellStyle name="Обычный 2 4 3" xfId="588" xr:uid="{00000000-0005-0000-0000-00004C020000}"/>
    <cellStyle name="Обычный 2 5" xfId="589" xr:uid="{00000000-0005-0000-0000-00004D020000}"/>
    <cellStyle name="Обычный 2 5 2" xfId="590" xr:uid="{00000000-0005-0000-0000-00004E020000}"/>
    <cellStyle name="Обычный 2 5 3" xfId="591" xr:uid="{00000000-0005-0000-0000-00004F020000}"/>
    <cellStyle name="Обычный 2 6" xfId="592" xr:uid="{00000000-0005-0000-0000-000050020000}"/>
    <cellStyle name="Обычный 2 7" xfId="593" xr:uid="{00000000-0005-0000-0000-000051020000}"/>
    <cellStyle name="Обычный 2 8" xfId="594" xr:uid="{00000000-0005-0000-0000-000052020000}"/>
    <cellStyle name="Обычный 2 9" xfId="595" xr:uid="{00000000-0005-0000-0000-000053020000}"/>
    <cellStyle name="Обычный 20" xfId="596" xr:uid="{00000000-0005-0000-0000-000054020000}"/>
    <cellStyle name="Обычный 20 10" xfId="597" xr:uid="{00000000-0005-0000-0000-000055020000}"/>
    <cellStyle name="Обычный 20 11" xfId="598" xr:uid="{00000000-0005-0000-0000-000056020000}"/>
    <cellStyle name="Обычный 20 12" xfId="599" xr:uid="{00000000-0005-0000-0000-000057020000}"/>
    <cellStyle name="Обычный 20 13" xfId="600" xr:uid="{00000000-0005-0000-0000-000058020000}"/>
    <cellStyle name="Обычный 20 14" xfId="601" xr:uid="{00000000-0005-0000-0000-000059020000}"/>
    <cellStyle name="Обычный 20 15" xfId="602" xr:uid="{00000000-0005-0000-0000-00005A020000}"/>
    <cellStyle name="Обычный 20 16" xfId="603" xr:uid="{00000000-0005-0000-0000-00005B020000}"/>
    <cellStyle name="Обычный 20 17" xfId="604" xr:uid="{00000000-0005-0000-0000-00005C020000}"/>
    <cellStyle name="Обычный 20 18" xfId="605" xr:uid="{00000000-0005-0000-0000-00005D020000}"/>
    <cellStyle name="Обычный 20 19" xfId="606" xr:uid="{00000000-0005-0000-0000-00005E020000}"/>
    <cellStyle name="Обычный 20 2" xfId="607" xr:uid="{00000000-0005-0000-0000-00005F020000}"/>
    <cellStyle name="Обычный 20 2 2" xfId="608" xr:uid="{00000000-0005-0000-0000-000060020000}"/>
    <cellStyle name="Обычный 20 2 2 2" xfId="609" xr:uid="{00000000-0005-0000-0000-000061020000}"/>
    <cellStyle name="Обычный 20 2 3" xfId="610" xr:uid="{00000000-0005-0000-0000-000062020000}"/>
    <cellStyle name="Обычный 20 2 4" xfId="611" xr:uid="{00000000-0005-0000-0000-000063020000}"/>
    <cellStyle name="Обычный 20 20" xfId="612" xr:uid="{00000000-0005-0000-0000-000064020000}"/>
    <cellStyle name="Обычный 20 21" xfId="613" xr:uid="{00000000-0005-0000-0000-000065020000}"/>
    <cellStyle name="Обычный 20 22" xfId="614" xr:uid="{00000000-0005-0000-0000-000066020000}"/>
    <cellStyle name="Обычный 20 23" xfId="615" xr:uid="{00000000-0005-0000-0000-000067020000}"/>
    <cellStyle name="Обычный 20 24" xfId="616" xr:uid="{00000000-0005-0000-0000-000068020000}"/>
    <cellStyle name="Обычный 20 25" xfId="617" xr:uid="{00000000-0005-0000-0000-000069020000}"/>
    <cellStyle name="Обычный 20 26" xfId="618" xr:uid="{00000000-0005-0000-0000-00006A020000}"/>
    <cellStyle name="Обычный 20 27" xfId="619" xr:uid="{00000000-0005-0000-0000-00006B020000}"/>
    <cellStyle name="Обычный 20 28" xfId="620" xr:uid="{00000000-0005-0000-0000-00006C020000}"/>
    <cellStyle name="Обычный 20 29" xfId="621" xr:uid="{00000000-0005-0000-0000-00006D020000}"/>
    <cellStyle name="Обычный 20 3" xfId="622" xr:uid="{00000000-0005-0000-0000-00006E020000}"/>
    <cellStyle name="Обычный 20 3 2" xfId="623" xr:uid="{00000000-0005-0000-0000-00006F020000}"/>
    <cellStyle name="Обычный 20 30" xfId="624" xr:uid="{00000000-0005-0000-0000-000070020000}"/>
    <cellStyle name="Обычный 20 31" xfId="625" xr:uid="{00000000-0005-0000-0000-000071020000}"/>
    <cellStyle name="Обычный 20 32" xfId="626" xr:uid="{00000000-0005-0000-0000-000072020000}"/>
    <cellStyle name="Обычный 20 4" xfId="627" xr:uid="{00000000-0005-0000-0000-000073020000}"/>
    <cellStyle name="Обычный 20 5" xfId="628" xr:uid="{00000000-0005-0000-0000-000074020000}"/>
    <cellStyle name="Обычный 20 6" xfId="629" xr:uid="{00000000-0005-0000-0000-000075020000}"/>
    <cellStyle name="Обычный 20 7" xfId="630" xr:uid="{00000000-0005-0000-0000-000076020000}"/>
    <cellStyle name="Обычный 20 8" xfId="631" xr:uid="{00000000-0005-0000-0000-000077020000}"/>
    <cellStyle name="Обычный 20 9" xfId="632" xr:uid="{00000000-0005-0000-0000-000078020000}"/>
    <cellStyle name="Обычный 21" xfId="633" xr:uid="{00000000-0005-0000-0000-000079020000}"/>
    <cellStyle name="Обычный 21 2" xfId="634" xr:uid="{00000000-0005-0000-0000-00007A020000}"/>
    <cellStyle name="Обычный 21 2 2" xfId="635" xr:uid="{00000000-0005-0000-0000-00007B020000}"/>
    <cellStyle name="Обычный 21 2 3" xfId="636" xr:uid="{00000000-0005-0000-0000-00007C020000}"/>
    <cellStyle name="Обычный 21 2 4" xfId="637" xr:uid="{00000000-0005-0000-0000-00007D020000}"/>
    <cellStyle name="Обычный 22" xfId="638" xr:uid="{00000000-0005-0000-0000-00007E020000}"/>
    <cellStyle name="Обычный 22 10" xfId="639" xr:uid="{00000000-0005-0000-0000-00007F020000}"/>
    <cellStyle name="Обычный 22 11" xfId="640" xr:uid="{00000000-0005-0000-0000-000080020000}"/>
    <cellStyle name="Обычный 22 12" xfId="641" xr:uid="{00000000-0005-0000-0000-000081020000}"/>
    <cellStyle name="Обычный 22 13" xfId="642" xr:uid="{00000000-0005-0000-0000-000082020000}"/>
    <cellStyle name="Обычный 22 14" xfId="643" xr:uid="{00000000-0005-0000-0000-000083020000}"/>
    <cellStyle name="Обычный 22 15" xfId="644" xr:uid="{00000000-0005-0000-0000-000084020000}"/>
    <cellStyle name="Обычный 22 16" xfId="645" xr:uid="{00000000-0005-0000-0000-000085020000}"/>
    <cellStyle name="Обычный 22 17" xfId="646" xr:uid="{00000000-0005-0000-0000-000086020000}"/>
    <cellStyle name="Обычный 22 18" xfId="647" xr:uid="{00000000-0005-0000-0000-000087020000}"/>
    <cellStyle name="Обычный 22 19" xfId="648" xr:uid="{00000000-0005-0000-0000-000088020000}"/>
    <cellStyle name="Обычный 22 2" xfId="649" xr:uid="{00000000-0005-0000-0000-000089020000}"/>
    <cellStyle name="Обычный 22 2 2" xfId="650" xr:uid="{00000000-0005-0000-0000-00008A020000}"/>
    <cellStyle name="Обычный 22 2 3" xfId="651" xr:uid="{00000000-0005-0000-0000-00008B020000}"/>
    <cellStyle name="Обычный 22 20" xfId="652" xr:uid="{00000000-0005-0000-0000-00008C020000}"/>
    <cellStyle name="Обычный 22 21" xfId="653" xr:uid="{00000000-0005-0000-0000-00008D020000}"/>
    <cellStyle name="Обычный 22 22" xfId="654" xr:uid="{00000000-0005-0000-0000-00008E020000}"/>
    <cellStyle name="Обычный 22 23" xfId="655" xr:uid="{00000000-0005-0000-0000-00008F020000}"/>
    <cellStyle name="Обычный 22 24" xfId="656" xr:uid="{00000000-0005-0000-0000-000090020000}"/>
    <cellStyle name="Обычный 22 25" xfId="657" xr:uid="{00000000-0005-0000-0000-000091020000}"/>
    <cellStyle name="Обычный 22 26" xfId="658" xr:uid="{00000000-0005-0000-0000-000092020000}"/>
    <cellStyle name="Обычный 22 27" xfId="659" xr:uid="{00000000-0005-0000-0000-000093020000}"/>
    <cellStyle name="Обычный 22 28" xfId="660" xr:uid="{00000000-0005-0000-0000-000094020000}"/>
    <cellStyle name="Обычный 22 29" xfId="661" xr:uid="{00000000-0005-0000-0000-000095020000}"/>
    <cellStyle name="Обычный 22 3" xfId="662" xr:uid="{00000000-0005-0000-0000-000096020000}"/>
    <cellStyle name="Обычный 22 30" xfId="663" xr:uid="{00000000-0005-0000-0000-000097020000}"/>
    <cellStyle name="Обычный 22 31" xfId="664" xr:uid="{00000000-0005-0000-0000-000098020000}"/>
    <cellStyle name="Обычный 22 32" xfId="665" xr:uid="{00000000-0005-0000-0000-000099020000}"/>
    <cellStyle name="Обычный 22 4" xfId="666" xr:uid="{00000000-0005-0000-0000-00009A020000}"/>
    <cellStyle name="Обычный 22 5" xfId="667" xr:uid="{00000000-0005-0000-0000-00009B020000}"/>
    <cellStyle name="Обычный 22 6" xfId="668" xr:uid="{00000000-0005-0000-0000-00009C020000}"/>
    <cellStyle name="Обычный 22 7" xfId="669" xr:uid="{00000000-0005-0000-0000-00009D020000}"/>
    <cellStyle name="Обычный 22 8" xfId="670" xr:uid="{00000000-0005-0000-0000-00009E020000}"/>
    <cellStyle name="Обычный 22 9" xfId="671" xr:uid="{00000000-0005-0000-0000-00009F020000}"/>
    <cellStyle name="Обычный 23" xfId="672" xr:uid="{00000000-0005-0000-0000-0000A0020000}"/>
    <cellStyle name="Обычный 24" xfId="673" xr:uid="{00000000-0005-0000-0000-0000A1020000}"/>
    <cellStyle name="Обычный 24 2" xfId="674" xr:uid="{00000000-0005-0000-0000-0000A2020000}"/>
    <cellStyle name="Обычный 24 3" xfId="675" xr:uid="{00000000-0005-0000-0000-0000A3020000}"/>
    <cellStyle name="Обычный 24 4" xfId="676" xr:uid="{00000000-0005-0000-0000-0000A4020000}"/>
    <cellStyle name="Обычный 25" xfId="677" xr:uid="{00000000-0005-0000-0000-0000A5020000}"/>
    <cellStyle name="Обычный 25 2" xfId="678" xr:uid="{00000000-0005-0000-0000-0000A6020000}"/>
    <cellStyle name="Обычный 256" xfId="679" xr:uid="{00000000-0005-0000-0000-0000A7020000}"/>
    <cellStyle name="Обычный 256 2" xfId="680" xr:uid="{00000000-0005-0000-0000-0000A8020000}"/>
    <cellStyle name="Обычный 26" xfId="681" xr:uid="{00000000-0005-0000-0000-0000A9020000}"/>
    <cellStyle name="Обычный 26 10" xfId="682" xr:uid="{00000000-0005-0000-0000-0000AA020000}"/>
    <cellStyle name="Обычный 26 11" xfId="683" xr:uid="{00000000-0005-0000-0000-0000AB020000}"/>
    <cellStyle name="Обычный 26 12" xfId="684" xr:uid="{00000000-0005-0000-0000-0000AC020000}"/>
    <cellStyle name="Обычный 26 13" xfId="685" xr:uid="{00000000-0005-0000-0000-0000AD020000}"/>
    <cellStyle name="Обычный 26 14" xfId="686" xr:uid="{00000000-0005-0000-0000-0000AE020000}"/>
    <cellStyle name="Обычный 26 15" xfId="687" xr:uid="{00000000-0005-0000-0000-0000AF020000}"/>
    <cellStyle name="Обычный 26 16" xfId="688" xr:uid="{00000000-0005-0000-0000-0000B0020000}"/>
    <cellStyle name="Обычный 26 17" xfId="689" xr:uid="{00000000-0005-0000-0000-0000B1020000}"/>
    <cellStyle name="Обычный 26 18" xfId="690" xr:uid="{00000000-0005-0000-0000-0000B2020000}"/>
    <cellStyle name="Обычный 26 19" xfId="691" xr:uid="{00000000-0005-0000-0000-0000B3020000}"/>
    <cellStyle name="Обычный 26 2" xfId="692" xr:uid="{00000000-0005-0000-0000-0000B4020000}"/>
    <cellStyle name="Обычный 26 20" xfId="693" xr:uid="{00000000-0005-0000-0000-0000B5020000}"/>
    <cellStyle name="Обычный 26 21" xfId="694" xr:uid="{00000000-0005-0000-0000-0000B6020000}"/>
    <cellStyle name="Обычный 26 22" xfId="695" xr:uid="{00000000-0005-0000-0000-0000B7020000}"/>
    <cellStyle name="Обычный 26 23" xfId="696" xr:uid="{00000000-0005-0000-0000-0000B8020000}"/>
    <cellStyle name="Обычный 26 24" xfId="697" xr:uid="{00000000-0005-0000-0000-0000B9020000}"/>
    <cellStyle name="Обычный 26 25" xfId="698" xr:uid="{00000000-0005-0000-0000-0000BA020000}"/>
    <cellStyle name="Обычный 26 26" xfId="699" xr:uid="{00000000-0005-0000-0000-0000BB020000}"/>
    <cellStyle name="Обычный 26 27" xfId="700" xr:uid="{00000000-0005-0000-0000-0000BC020000}"/>
    <cellStyle name="Обычный 26 28" xfId="701" xr:uid="{00000000-0005-0000-0000-0000BD020000}"/>
    <cellStyle name="Обычный 26 29" xfId="702" xr:uid="{00000000-0005-0000-0000-0000BE020000}"/>
    <cellStyle name="Обычный 26 3" xfId="703" xr:uid="{00000000-0005-0000-0000-0000BF020000}"/>
    <cellStyle name="Обычный 26 3 2" xfId="704" xr:uid="{00000000-0005-0000-0000-0000C0020000}"/>
    <cellStyle name="Обычный 26 30" xfId="705" xr:uid="{00000000-0005-0000-0000-0000C1020000}"/>
    <cellStyle name="Обычный 26 31" xfId="706" xr:uid="{00000000-0005-0000-0000-0000C2020000}"/>
    <cellStyle name="Обычный 26 32" xfId="707" xr:uid="{00000000-0005-0000-0000-0000C3020000}"/>
    <cellStyle name="Обычный 26 4" xfId="708" xr:uid="{00000000-0005-0000-0000-0000C4020000}"/>
    <cellStyle name="Обычный 26 5" xfId="709" xr:uid="{00000000-0005-0000-0000-0000C5020000}"/>
    <cellStyle name="Обычный 26 6" xfId="710" xr:uid="{00000000-0005-0000-0000-0000C6020000}"/>
    <cellStyle name="Обычный 26 7" xfId="711" xr:uid="{00000000-0005-0000-0000-0000C7020000}"/>
    <cellStyle name="Обычный 26 8" xfId="712" xr:uid="{00000000-0005-0000-0000-0000C8020000}"/>
    <cellStyle name="Обычный 26 9" xfId="713" xr:uid="{00000000-0005-0000-0000-0000C9020000}"/>
    <cellStyle name="Обычный 27" xfId="714" xr:uid="{00000000-0005-0000-0000-0000CA020000}"/>
    <cellStyle name="Обычный 27 2" xfId="715" xr:uid="{00000000-0005-0000-0000-0000CB020000}"/>
    <cellStyle name="Обычный 28" xfId="716" xr:uid="{00000000-0005-0000-0000-0000CC020000}"/>
    <cellStyle name="Обычный 29" xfId="717" xr:uid="{00000000-0005-0000-0000-0000CD020000}"/>
    <cellStyle name="Обычный 3" xfId="718" xr:uid="{00000000-0005-0000-0000-0000CE020000}"/>
    <cellStyle name="Обычный 3 2" xfId="719" xr:uid="{00000000-0005-0000-0000-0000CF020000}"/>
    <cellStyle name="Обычный 3 2 2" xfId="720" xr:uid="{00000000-0005-0000-0000-0000D0020000}"/>
    <cellStyle name="Обычный 3 2 2 2" xfId="721" xr:uid="{00000000-0005-0000-0000-0000D1020000}"/>
    <cellStyle name="Обычный 3 2 3" xfId="722" xr:uid="{00000000-0005-0000-0000-0000D2020000}"/>
    <cellStyle name="Обычный 3 2 4" xfId="723" xr:uid="{00000000-0005-0000-0000-0000D3020000}"/>
    <cellStyle name="Обычный 3 3" xfId="724" xr:uid="{00000000-0005-0000-0000-0000D4020000}"/>
    <cellStyle name="Обычный 3 3 2" xfId="725" xr:uid="{00000000-0005-0000-0000-0000D5020000}"/>
    <cellStyle name="Обычный 3 3 2 2" xfId="726" xr:uid="{00000000-0005-0000-0000-0000D6020000}"/>
    <cellStyle name="Обычный 3 3 3" xfId="727" xr:uid="{00000000-0005-0000-0000-0000D7020000}"/>
    <cellStyle name="Обычный 3 4" xfId="728" xr:uid="{00000000-0005-0000-0000-0000D8020000}"/>
    <cellStyle name="Обычный 3 5" xfId="729" xr:uid="{00000000-0005-0000-0000-0000D9020000}"/>
    <cellStyle name="Обычный 3 5 2" xfId="730" xr:uid="{00000000-0005-0000-0000-0000DA020000}"/>
    <cellStyle name="Обычный 3 6" xfId="731" xr:uid="{00000000-0005-0000-0000-0000DB020000}"/>
    <cellStyle name="Обычный 3 7" xfId="732" xr:uid="{00000000-0005-0000-0000-0000DC020000}"/>
    <cellStyle name="Обычный 3 8" xfId="733" xr:uid="{00000000-0005-0000-0000-0000DD020000}"/>
    <cellStyle name="Обычный 30" xfId="734" xr:uid="{00000000-0005-0000-0000-0000DE020000}"/>
    <cellStyle name="Обычный 30 2" xfId="735" xr:uid="{00000000-0005-0000-0000-0000DF020000}"/>
    <cellStyle name="Обычный 31" xfId="736" xr:uid="{00000000-0005-0000-0000-0000E0020000}"/>
    <cellStyle name="Обычный 31 2" xfId="737" xr:uid="{00000000-0005-0000-0000-0000E1020000}"/>
    <cellStyle name="Обычный 32" xfId="738" xr:uid="{00000000-0005-0000-0000-0000E2020000}"/>
    <cellStyle name="Обычный 32 2" xfId="739" xr:uid="{00000000-0005-0000-0000-0000E3020000}"/>
    <cellStyle name="Обычный 33" xfId="740" xr:uid="{00000000-0005-0000-0000-0000E4020000}"/>
    <cellStyle name="Обычный 33 2" xfId="741" xr:uid="{00000000-0005-0000-0000-0000E5020000}"/>
    <cellStyle name="Обычный 34" xfId="742" xr:uid="{00000000-0005-0000-0000-0000E6020000}"/>
    <cellStyle name="Обычный 34 2" xfId="743" xr:uid="{00000000-0005-0000-0000-0000E7020000}"/>
    <cellStyle name="Обычный 35" xfId="744" xr:uid="{00000000-0005-0000-0000-0000E8020000}"/>
    <cellStyle name="Обычный 35 10" xfId="745" xr:uid="{00000000-0005-0000-0000-0000E9020000}"/>
    <cellStyle name="Обычный 35 11" xfId="746" xr:uid="{00000000-0005-0000-0000-0000EA020000}"/>
    <cellStyle name="Обычный 35 12" xfId="747" xr:uid="{00000000-0005-0000-0000-0000EB020000}"/>
    <cellStyle name="Обычный 35 13" xfId="748" xr:uid="{00000000-0005-0000-0000-0000EC020000}"/>
    <cellStyle name="Обычный 35 14" xfId="749" xr:uid="{00000000-0005-0000-0000-0000ED020000}"/>
    <cellStyle name="Обычный 35 15" xfId="750" xr:uid="{00000000-0005-0000-0000-0000EE020000}"/>
    <cellStyle name="Обычный 35 16" xfId="751" xr:uid="{00000000-0005-0000-0000-0000EF020000}"/>
    <cellStyle name="Обычный 35 17" xfId="752" xr:uid="{00000000-0005-0000-0000-0000F0020000}"/>
    <cellStyle name="Обычный 35 18" xfId="753" xr:uid="{00000000-0005-0000-0000-0000F1020000}"/>
    <cellStyle name="Обычный 35 19" xfId="754" xr:uid="{00000000-0005-0000-0000-0000F2020000}"/>
    <cellStyle name="Обычный 35 2" xfId="755" xr:uid="{00000000-0005-0000-0000-0000F3020000}"/>
    <cellStyle name="Обычный 35 2 2" xfId="756" xr:uid="{00000000-0005-0000-0000-0000F4020000}"/>
    <cellStyle name="Обычный 35 20" xfId="757" xr:uid="{00000000-0005-0000-0000-0000F5020000}"/>
    <cellStyle name="Обычный 35 21" xfId="758" xr:uid="{00000000-0005-0000-0000-0000F6020000}"/>
    <cellStyle name="Обычный 35 22" xfId="759" xr:uid="{00000000-0005-0000-0000-0000F7020000}"/>
    <cellStyle name="Обычный 35 23" xfId="760" xr:uid="{00000000-0005-0000-0000-0000F8020000}"/>
    <cellStyle name="Обычный 35 24" xfId="761" xr:uid="{00000000-0005-0000-0000-0000F9020000}"/>
    <cellStyle name="Обычный 35 25" xfId="762" xr:uid="{00000000-0005-0000-0000-0000FA020000}"/>
    <cellStyle name="Обычный 35 26" xfId="763" xr:uid="{00000000-0005-0000-0000-0000FB020000}"/>
    <cellStyle name="Обычный 35 27" xfId="764" xr:uid="{00000000-0005-0000-0000-0000FC020000}"/>
    <cellStyle name="Обычный 35 28" xfId="765" xr:uid="{00000000-0005-0000-0000-0000FD020000}"/>
    <cellStyle name="Обычный 35 29" xfId="766" xr:uid="{00000000-0005-0000-0000-0000FE020000}"/>
    <cellStyle name="Обычный 35 3" xfId="767" xr:uid="{00000000-0005-0000-0000-0000FF020000}"/>
    <cellStyle name="Обычный 35 30" xfId="768" xr:uid="{00000000-0005-0000-0000-000000030000}"/>
    <cellStyle name="Обычный 35 31" xfId="769" xr:uid="{00000000-0005-0000-0000-000001030000}"/>
    <cellStyle name="Обычный 35 4" xfId="770" xr:uid="{00000000-0005-0000-0000-000002030000}"/>
    <cellStyle name="Обычный 35 5" xfId="771" xr:uid="{00000000-0005-0000-0000-000003030000}"/>
    <cellStyle name="Обычный 35 6" xfId="772" xr:uid="{00000000-0005-0000-0000-000004030000}"/>
    <cellStyle name="Обычный 35 7" xfId="773" xr:uid="{00000000-0005-0000-0000-000005030000}"/>
    <cellStyle name="Обычный 35 8" xfId="774" xr:uid="{00000000-0005-0000-0000-000006030000}"/>
    <cellStyle name="Обычный 35 9" xfId="775" xr:uid="{00000000-0005-0000-0000-000007030000}"/>
    <cellStyle name="Обычный 36" xfId="776" xr:uid="{00000000-0005-0000-0000-000008030000}"/>
    <cellStyle name="Обычный 36 2" xfId="777" xr:uid="{00000000-0005-0000-0000-000009030000}"/>
    <cellStyle name="Обычный 37" xfId="778" xr:uid="{00000000-0005-0000-0000-00000A030000}"/>
    <cellStyle name="Обычный 37 2" xfId="779" xr:uid="{00000000-0005-0000-0000-00000B030000}"/>
    <cellStyle name="Обычный 38" xfId="780" xr:uid="{00000000-0005-0000-0000-00000C030000}"/>
    <cellStyle name="Обычный 38 2" xfId="781" xr:uid="{00000000-0005-0000-0000-00000D030000}"/>
    <cellStyle name="Обычный 39" xfId="782" xr:uid="{00000000-0005-0000-0000-00000E030000}"/>
    <cellStyle name="Обычный 39 2" xfId="783" xr:uid="{00000000-0005-0000-0000-00000F030000}"/>
    <cellStyle name="Обычный 4" xfId="784" xr:uid="{00000000-0005-0000-0000-000010030000}"/>
    <cellStyle name="Обычный 4 2" xfId="785" xr:uid="{00000000-0005-0000-0000-000011030000}"/>
    <cellStyle name="Обычный 4 2 2" xfId="786" xr:uid="{00000000-0005-0000-0000-000012030000}"/>
    <cellStyle name="Обычный 4 2 3" xfId="787" xr:uid="{00000000-0005-0000-0000-000013030000}"/>
    <cellStyle name="Обычный 4 3" xfId="788" xr:uid="{00000000-0005-0000-0000-000014030000}"/>
    <cellStyle name="Обычный 4 3 2" xfId="789" xr:uid="{00000000-0005-0000-0000-000015030000}"/>
    <cellStyle name="Обычный 4 4" xfId="790" xr:uid="{00000000-0005-0000-0000-000016030000}"/>
    <cellStyle name="Обычный 4 4 2" xfId="791" xr:uid="{00000000-0005-0000-0000-000017030000}"/>
    <cellStyle name="Обычный 4 5" xfId="792" xr:uid="{00000000-0005-0000-0000-000018030000}"/>
    <cellStyle name="Обычный 40" xfId="793" xr:uid="{00000000-0005-0000-0000-000019030000}"/>
    <cellStyle name="Обычный 40 10" xfId="794" xr:uid="{00000000-0005-0000-0000-00001A030000}"/>
    <cellStyle name="Обычный 40 11" xfId="795" xr:uid="{00000000-0005-0000-0000-00001B030000}"/>
    <cellStyle name="Обычный 40 12" xfId="796" xr:uid="{00000000-0005-0000-0000-00001C030000}"/>
    <cellStyle name="Обычный 40 13" xfId="797" xr:uid="{00000000-0005-0000-0000-00001D030000}"/>
    <cellStyle name="Обычный 40 14" xfId="798" xr:uid="{00000000-0005-0000-0000-00001E030000}"/>
    <cellStyle name="Обычный 40 15" xfId="799" xr:uid="{00000000-0005-0000-0000-00001F030000}"/>
    <cellStyle name="Обычный 40 16" xfId="800" xr:uid="{00000000-0005-0000-0000-000020030000}"/>
    <cellStyle name="Обычный 40 17" xfId="801" xr:uid="{00000000-0005-0000-0000-000021030000}"/>
    <cellStyle name="Обычный 40 18" xfId="802" xr:uid="{00000000-0005-0000-0000-000022030000}"/>
    <cellStyle name="Обычный 40 19" xfId="803" xr:uid="{00000000-0005-0000-0000-000023030000}"/>
    <cellStyle name="Обычный 40 2" xfId="804" xr:uid="{00000000-0005-0000-0000-000024030000}"/>
    <cellStyle name="Обычный 40 2 2" xfId="805" xr:uid="{00000000-0005-0000-0000-000025030000}"/>
    <cellStyle name="Обычный 40 20" xfId="806" xr:uid="{00000000-0005-0000-0000-000026030000}"/>
    <cellStyle name="Обычный 40 21" xfId="807" xr:uid="{00000000-0005-0000-0000-000027030000}"/>
    <cellStyle name="Обычный 40 22" xfId="808" xr:uid="{00000000-0005-0000-0000-000028030000}"/>
    <cellStyle name="Обычный 40 23" xfId="809" xr:uid="{00000000-0005-0000-0000-000029030000}"/>
    <cellStyle name="Обычный 40 24" xfId="810" xr:uid="{00000000-0005-0000-0000-00002A030000}"/>
    <cellStyle name="Обычный 40 25" xfId="811" xr:uid="{00000000-0005-0000-0000-00002B030000}"/>
    <cellStyle name="Обычный 40 26" xfId="812" xr:uid="{00000000-0005-0000-0000-00002C030000}"/>
    <cellStyle name="Обычный 40 27" xfId="813" xr:uid="{00000000-0005-0000-0000-00002D030000}"/>
    <cellStyle name="Обычный 40 28" xfId="814" xr:uid="{00000000-0005-0000-0000-00002E030000}"/>
    <cellStyle name="Обычный 40 29" xfId="815" xr:uid="{00000000-0005-0000-0000-00002F030000}"/>
    <cellStyle name="Обычный 40 3" xfId="816" xr:uid="{00000000-0005-0000-0000-000030030000}"/>
    <cellStyle name="Обычный 40 30" xfId="817" xr:uid="{00000000-0005-0000-0000-000031030000}"/>
    <cellStyle name="Обычный 40 31" xfId="818" xr:uid="{00000000-0005-0000-0000-000032030000}"/>
    <cellStyle name="Обычный 40 32" xfId="819" xr:uid="{00000000-0005-0000-0000-000033030000}"/>
    <cellStyle name="Обычный 40 4" xfId="820" xr:uid="{00000000-0005-0000-0000-000034030000}"/>
    <cellStyle name="Обычный 40 5" xfId="821" xr:uid="{00000000-0005-0000-0000-000035030000}"/>
    <cellStyle name="Обычный 40 6" xfId="822" xr:uid="{00000000-0005-0000-0000-000036030000}"/>
    <cellStyle name="Обычный 40 7" xfId="823" xr:uid="{00000000-0005-0000-0000-000037030000}"/>
    <cellStyle name="Обычный 40 8" xfId="824" xr:uid="{00000000-0005-0000-0000-000038030000}"/>
    <cellStyle name="Обычный 40 9" xfId="825" xr:uid="{00000000-0005-0000-0000-000039030000}"/>
    <cellStyle name="Обычный 41" xfId="826" xr:uid="{00000000-0005-0000-0000-00003A030000}"/>
    <cellStyle name="Обычный 41 10" xfId="827" xr:uid="{00000000-0005-0000-0000-00003B030000}"/>
    <cellStyle name="Обычный 41 11" xfId="828" xr:uid="{00000000-0005-0000-0000-00003C030000}"/>
    <cellStyle name="Обычный 41 12" xfId="829" xr:uid="{00000000-0005-0000-0000-00003D030000}"/>
    <cellStyle name="Обычный 41 13" xfId="830" xr:uid="{00000000-0005-0000-0000-00003E030000}"/>
    <cellStyle name="Обычный 41 14" xfId="831" xr:uid="{00000000-0005-0000-0000-00003F030000}"/>
    <cellStyle name="Обычный 41 15" xfId="832" xr:uid="{00000000-0005-0000-0000-000040030000}"/>
    <cellStyle name="Обычный 41 16" xfId="833" xr:uid="{00000000-0005-0000-0000-000041030000}"/>
    <cellStyle name="Обычный 41 17" xfId="834" xr:uid="{00000000-0005-0000-0000-000042030000}"/>
    <cellStyle name="Обычный 41 18" xfId="835" xr:uid="{00000000-0005-0000-0000-000043030000}"/>
    <cellStyle name="Обычный 41 19" xfId="836" xr:uid="{00000000-0005-0000-0000-000044030000}"/>
    <cellStyle name="Обычный 41 2" xfId="837" xr:uid="{00000000-0005-0000-0000-000045030000}"/>
    <cellStyle name="Обычный 41 2 2" xfId="838" xr:uid="{00000000-0005-0000-0000-000046030000}"/>
    <cellStyle name="Обычный 41 20" xfId="839" xr:uid="{00000000-0005-0000-0000-000047030000}"/>
    <cellStyle name="Обычный 41 21" xfId="840" xr:uid="{00000000-0005-0000-0000-000048030000}"/>
    <cellStyle name="Обычный 41 22" xfId="841" xr:uid="{00000000-0005-0000-0000-000049030000}"/>
    <cellStyle name="Обычный 41 23" xfId="842" xr:uid="{00000000-0005-0000-0000-00004A030000}"/>
    <cellStyle name="Обычный 41 24" xfId="843" xr:uid="{00000000-0005-0000-0000-00004B030000}"/>
    <cellStyle name="Обычный 41 25" xfId="844" xr:uid="{00000000-0005-0000-0000-00004C030000}"/>
    <cellStyle name="Обычный 41 26" xfId="845" xr:uid="{00000000-0005-0000-0000-00004D030000}"/>
    <cellStyle name="Обычный 41 27" xfId="846" xr:uid="{00000000-0005-0000-0000-00004E030000}"/>
    <cellStyle name="Обычный 41 28" xfId="847" xr:uid="{00000000-0005-0000-0000-00004F030000}"/>
    <cellStyle name="Обычный 41 29" xfId="848" xr:uid="{00000000-0005-0000-0000-000050030000}"/>
    <cellStyle name="Обычный 41 3" xfId="849" xr:uid="{00000000-0005-0000-0000-000051030000}"/>
    <cellStyle name="Обычный 41 30" xfId="850" xr:uid="{00000000-0005-0000-0000-000052030000}"/>
    <cellStyle name="Обычный 41 31" xfId="851" xr:uid="{00000000-0005-0000-0000-000053030000}"/>
    <cellStyle name="Обычный 41 32" xfId="852" xr:uid="{00000000-0005-0000-0000-000054030000}"/>
    <cellStyle name="Обычный 41 4" xfId="853" xr:uid="{00000000-0005-0000-0000-000055030000}"/>
    <cellStyle name="Обычный 41 5" xfId="854" xr:uid="{00000000-0005-0000-0000-000056030000}"/>
    <cellStyle name="Обычный 41 6" xfId="855" xr:uid="{00000000-0005-0000-0000-000057030000}"/>
    <cellStyle name="Обычный 41 7" xfId="856" xr:uid="{00000000-0005-0000-0000-000058030000}"/>
    <cellStyle name="Обычный 41 8" xfId="857" xr:uid="{00000000-0005-0000-0000-000059030000}"/>
    <cellStyle name="Обычный 41 9" xfId="858" xr:uid="{00000000-0005-0000-0000-00005A030000}"/>
    <cellStyle name="Обычный 42" xfId="859" xr:uid="{00000000-0005-0000-0000-00005B030000}"/>
    <cellStyle name="Обычный 43" xfId="860" xr:uid="{00000000-0005-0000-0000-00005C030000}"/>
    <cellStyle name="Обычный 44" xfId="861" xr:uid="{00000000-0005-0000-0000-00005D030000}"/>
    <cellStyle name="Обычный 45" xfId="862" xr:uid="{00000000-0005-0000-0000-00005E030000}"/>
    <cellStyle name="Обычный 46" xfId="863" xr:uid="{00000000-0005-0000-0000-00005F030000}"/>
    <cellStyle name="Обычный 47" xfId="864" xr:uid="{00000000-0005-0000-0000-000060030000}"/>
    <cellStyle name="Обычный 47 2" xfId="865" xr:uid="{00000000-0005-0000-0000-000061030000}"/>
    <cellStyle name="Обычный 47 3" xfId="866" xr:uid="{00000000-0005-0000-0000-000062030000}"/>
    <cellStyle name="Обычный 47 4" xfId="867" xr:uid="{00000000-0005-0000-0000-000063030000}"/>
    <cellStyle name="Обычный 47 5" xfId="868" xr:uid="{00000000-0005-0000-0000-000064030000}"/>
    <cellStyle name="Обычный 47 6" xfId="869" xr:uid="{00000000-0005-0000-0000-000065030000}"/>
    <cellStyle name="Обычный 47 7" xfId="870" xr:uid="{00000000-0005-0000-0000-000066030000}"/>
    <cellStyle name="Обычный 48" xfId="871" xr:uid="{00000000-0005-0000-0000-000067030000}"/>
    <cellStyle name="Обычный 48 2" xfId="872" xr:uid="{00000000-0005-0000-0000-000068030000}"/>
    <cellStyle name="Обычный 48 3" xfId="873" xr:uid="{00000000-0005-0000-0000-000069030000}"/>
    <cellStyle name="Обычный 49" xfId="874" xr:uid="{00000000-0005-0000-0000-00006A030000}"/>
    <cellStyle name="Обычный 5" xfId="875" xr:uid="{00000000-0005-0000-0000-00006B030000}"/>
    <cellStyle name="Обычный 5 2" xfId="876" xr:uid="{00000000-0005-0000-0000-00006C030000}"/>
    <cellStyle name="Обычный 5 2 2" xfId="877" xr:uid="{00000000-0005-0000-0000-00006D030000}"/>
    <cellStyle name="Обычный 5 2 2 2" xfId="878" xr:uid="{00000000-0005-0000-0000-00006E030000}"/>
    <cellStyle name="Обычный 5 2 3" xfId="879" xr:uid="{00000000-0005-0000-0000-00006F030000}"/>
    <cellStyle name="Обычный 5 3" xfId="880" xr:uid="{00000000-0005-0000-0000-000070030000}"/>
    <cellStyle name="Обычный 5 3 2" xfId="881" xr:uid="{00000000-0005-0000-0000-000071030000}"/>
    <cellStyle name="Обычный 5 3 2 2" xfId="882" xr:uid="{00000000-0005-0000-0000-000072030000}"/>
    <cellStyle name="Обычный 5 3 3" xfId="883" xr:uid="{00000000-0005-0000-0000-000073030000}"/>
    <cellStyle name="Обычный 5 3 4" xfId="884" xr:uid="{00000000-0005-0000-0000-000074030000}"/>
    <cellStyle name="Обычный 5 4" xfId="885" xr:uid="{00000000-0005-0000-0000-000075030000}"/>
    <cellStyle name="Обычный 5 4 2" xfId="886" xr:uid="{00000000-0005-0000-0000-000076030000}"/>
    <cellStyle name="Обычный 5 5" xfId="887" xr:uid="{00000000-0005-0000-0000-000077030000}"/>
    <cellStyle name="Обычный 5 5 2" xfId="888" xr:uid="{00000000-0005-0000-0000-000078030000}"/>
    <cellStyle name="Обычный 5 6" xfId="889" xr:uid="{00000000-0005-0000-0000-000079030000}"/>
    <cellStyle name="Обычный 5 6 2" xfId="890" xr:uid="{00000000-0005-0000-0000-00007A030000}"/>
    <cellStyle name="Обычный 5 7" xfId="891" xr:uid="{00000000-0005-0000-0000-00007B030000}"/>
    <cellStyle name="Обычный 5 7 2" xfId="892" xr:uid="{00000000-0005-0000-0000-00007C030000}"/>
    <cellStyle name="Обычный 5 8" xfId="893" xr:uid="{00000000-0005-0000-0000-00007D030000}"/>
    <cellStyle name="Обычный 5 8 2" xfId="894" xr:uid="{00000000-0005-0000-0000-00007E030000}"/>
    <cellStyle name="Обычный 50" xfId="895" xr:uid="{00000000-0005-0000-0000-00007F030000}"/>
    <cellStyle name="Обычный 51" xfId="896" xr:uid="{00000000-0005-0000-0000-000080030000}"/>
    <cellStyle name="Обычный 52" xfId="897" xr:uid="{00000000-0005-0000-0000-000081030000}"/>
    <cellStyle name="Обычный 53" xfId="898" xr:uid="{00000000-0005-0000-0000-000082030000}"/>
    <cellStyle name="Обычный 54" xfId="899" xr:uid="{00000000-0005-0000-0000-000083030000}"/>
    <cellStyle name="Обычный 55" xfId="900" xr:uid="{00000000-0005-0000-0000-000084030000}"/>
    <cellStyle name="Обычный 56" xfId="901" xr:uid="{00000000-0005-0000-0000-000085030000}"/>
    <cellStyle name="Обычный 57" xfId="902" xr:uid="{00000000-0005-0000-0000-000086030000}"/>
    <cellStyle name="Обычный 58" xfId="903" xr:uid="{00000000-0005-0000-0000-000087030000}"/>
    <cellStyle name="Обычный 59" xfId="904" xr:uid="{00000000-0005-0000-0000-000088030000}"/>
    <cellStyle name="Обычный 6" xfId="905" xr:uid="{00000000-0005-0000-0000-000089030000}"/>
    <cellStyle name="Обычный 6 2" xfId="906" xr:uid="{00000000-0005-0000-0000-00008A030000}"/>
    <cellStyle name="Обычный 6 2 2" xfId="907" xr:uid="{00000000-0005-0000-0000-00008B030000}"/>
    <cellStyle name="Обычный 6 2 3" xfId="908" xr:uid="{00000000-0005-0000-0000-00008C030000}"/>
    <cellStyle name="Обычный 6 3" xfId="909" xr:uid="{00000000-0005-0000-0000-00008D030000}"/>
    <cellStyle name="Обычный 6 3 2" xfId="910" xr:uid="{00000000-0005-0000-0000-00008E030000}"/>
    <cellStyle name="Обычный 6 4" xfId="911" xr:uid="{00000000-0005-0000-0000-00008F030000}"/>
    <cellStyle name="Обычный 6 5" xfId="912" xr:uid="{00000000-0005-0000-0000-000090030000}"/>
    <cellStyle name="Обычный 6 6" xfId="913" xr:uid="{00000000-0005-0000-0000-000091030000}"/>
    <cellStyle name="Обычный 60" xfId="914" xr:uid="{00000000-0005-0000-0000-000092030000}"/>
    <cellStyle name="Обычный 61" xfId="915" xr:uid="{00000000-0005-0000-0000-000093030000}"/>
    <cellStyle name="Обычный 62" xfId="916" xr:uid="{00000000-0005-0000-0000-000094030000}"/>
    <cellStyle name="Обычный 63" xfId="917" xr:uid="{00000000-0005-0000-0000-000095030000}"/>
    <cellStyle name="Обычный 64" xfId="918" xr:uid="{00000000-0005-0000-0000-000096030000}"/>
    <cellStyle name="Обычный 65" xfId="919" xr:uid="{00000000-0005-0000-0000-000097030000}"/>
    <cellStyle name="Обычный 65 2" xfId="920" xr:uid="{00000000-0005-0000-0000-000098030000}"/>
    <cellStyle name="Обычный 66" xfId="921" xr:uid="{00000000-0005-0000-0000-000099030000}"/>
    <cellStyle name="Обычный 66 2" xfId="922" xr:uid="{00000000-0005-0000-0000-00009A030000}"/>
    <cellStyle name="Обычный 66 3" xfId="923" xr:uid="{00000000-0005-0000-0000-00009B030000}"/>
    <cellStyle name="Обычный 67" xfId="924" xr:uid="{00000000-0005-0000-0000-00009C030000}"/>
    <cellStyle name="Обычный 68" xfId="925" xr:uid="{00000000-0005-0000-0000-00009D030000}"/>
    <cellStyle name="Обычный 69" xfId="926" xr:uid="{00000000-0005-0000-0000-00009E030000}"/>
    <cellStyle name="Обычный 7" xfId="927" xr:uid="{00000000-0005-0000-0000-00009F030000}"/>
    <cellStyle name="Обычный 7 2" xfId="928" xr:uid="{00000000-0005-0000-0000-0000A0030000}"/>
    <cellStyle name="Обычный 7 2 2" xfId="929" xr:uid="{00000000-0005-0000-0000-0000A1030000}"/>
    <cellStyle name="Обычный 7 2 3" xfId="930" xr:uid="{00000000-0005-0000-0000-0000A2030000}"/>
    <cellStyle name="Обычный 7 3" xfId="931" xr:uid="{00000000-0005-0000-0000-0000A3030000}"/>
    <cellStyle name="Обычный 7 3 2" xfId="932" xr:uid="{00000000-0005-0000-0000-0000A4030000}"/>
    <cellStyle name="Обычный 7 4" xfId="933" xr:uid="{00000000-0005-0000-0000-0000A5030000}"/>
    <cellStyle name="Обычный 7 4 2" xfId="934" xr:uid="{00000000-0005-0000-0000-0000A6030000}"/>
    <cellStyle name="Обычный 7 5" xfId="935" xr:uid="{00000000-0005-0000-0000-0000A7030000}"/>
    <cellStyle name="Обычный 70" xfId="936" xr:uid="{00000000-0005-0000-0000-0000A8030000}"/>
    <cellStyle name="Обычный 71" xfId="937" xr:uid="{00000000-0005-0000-0000-0000A9030000}"/>
    <cellStyle name="Обычный 72" xfId="938" xr:uid="{00000000-0005-0000-0000-0000AA030000}"/>
    <cellStyle name="Обычный 73" xfId="939" xr:uid="{00000000-0005-0000-0000-0000AB030000}"/>
    <cellStyle name="Обычный 73 2" xfId="940" xr:uid="{00000000-0005-0000-0000-0000AC030000}"/>
    <cellStyle name="Обычный 73 3" xfId="941" xr:uid="{00000000-0005-0000-0000-0000AD030000}"/>
    <cellStyle name="Обычный 73 4" xfId="942" xr:uid="{00000000-0005-0000-0000-0000AE030000}"/>
    <cellStyle name="Обычный 74" xfId="943" xr:uid="{00000000-0005-0000-0000-0000AF030000}"/>
    <cellStyle name="Обычный 75" xfId="944" xr:uid="{00000000-0005-0000-0000-0000B0030000}"/>
    <cellStyle name="Обычный 75 2" xfId="945" xr:uid="{00000000-0005-0000-0000-0000B1030000}"/>
    <cellStyle name="Обычный 76" xfId="946" xr:uid="{00000000-0005-0000-0000-0000B2030000}"/>
    <cellStyle name="Обычный 77" xfId="947" xr:uid="{00000000-0005-0000-0000-0000B3030000}"/>
    <cellStyle name="Обычный 78" xfId="948" xr:uid="{00000000-0005-0000-0000-0000B4030000}"/>
    <cellStyle name="Обычный 78 2" xfId="949" xr:uid="{00000000-0005-0000-0000-0000B5030000}"/>
    <cellStyle name="Обычный 78 3" xfId="950" xr:uid="{00000000-0005-0000-0000-0000B6030000}"/>
    <cellStyle name="Обычный 79" xfId="951" xr:uid="{00000000-0005-0000-0000-0000B7030000}"/>
    <cellStyle name="Обычный 8" xfId="952" xr:uid="{00000000-0005-0000-0000-0000B8030000}"/>
    <cellStyle name="Обычный 8 2" xfId="953" xr:uid="{00000000-0005-0000-0000-0000B9030000}"/>
    <cellStyle name="Обычный 8 2 2" xfId="954" xr:uid="{00000000-0005-0000-0000-0000BA030000}"/>
    <cellStyle name="Обычный 8 2 3" xfId="955" xr:uid="{00000000-0005-0000-0000-0000BB030000}"/>
    <cellStyle name="Обычный 8 3" xfId="956" xr:uid="{00000000-0005-0000-0000-0000BC030000}"/>
    <cellStyle name="Обычный 8 3 2" xfId="957" xr:uid="{00000000-0005-0000-0000-0000BD030000}"/>
    <cellStyle name="Обычный 8 4" xfId="958" xr:uid="{00000000-0005-0000-0000-0000BE030000}"/>
    <cellStyle name="Обычный 8 5" xfId="959" xr:uid="{00000000-0005-0000-0000-0000BF030000}"/>
    <cellStyle name="Обычный 8 6" xfId="960" xr:uid="{00000000-0005-0000-0000-0000C0030000}"/>
    <cellStyle name="Обычный 80" xfId="961" xr:uid="{00000000-0005-0000-0000-0000C1030000}"/>
    <cellStyle name="Обычный 81" xfId="962" xr:uid="{00000000-0005-0000-0000-0000C2030000}"/>
    <cellStyle name="Обычный 82" xfId="963" xr:uid="{00000000-0005-0000-0000-0000C3030000}"/>
    <cellStyle name="Обычный 83" xfId="964" xr:uid="{00000000-0005-0000-0000-0000C4030000}"/>
    <cellStyle name="Обычный 84" xfId="965" xr:uid="{00000000-0005-0000-0000-0000C5030000}"/>
    <cellStyle name="Обычный 85" xfId="966" xr:uid="{00000000-0005-0000-0000-0000C6030000}"/>
    <cellStyle name="Обычный 86" xfId="967" xr:uid="{00000000-0005-0000-0000-0000C7030000}"/>
    <cellStyle name="Обычный 87" xfId="968" xr:uid="{00000000-0005-0000-0000-0000C8030000}"/>
    <cellStyle name="Обычный 87 2" xfId="969" xr:uid="{00000000-0005-0000-0000-0000C9030000}"/>
    <cellStyle name="Обычный 87 3" xfId="970" xr:uid="{00000000-0005-0000-0000-0000CA030000}"/>
    <cellStyle name="Обычный 88" xfId="971" xr:uid="{00000000-0005-0000-0000-0000CB030000}"/>
    <cellStyle name="Обычный 88 2" xfId="972" xr:uid="{00000000-0005-0000-0000-0000CC030000}"/>
    <cellStyle name="Обычный 88 3" xfId="973" xr:uid="{00000000-0005-0000-0000-0000CD030000}"/>
    <cellStyle name="Обычный 89" xfId="974" xr:uid="{00000000-0005-0000-0000-0000CE030000}"/>
    <cellStyle name="Обычный 9" xfId="975" xr:uid="{00000000-0005-0000-0000-0000CF030000}"/>
    <cellStyle name="Обычный 9 2" xfId="976" xr:uid="{00000000-0005-0000-0000-0000D0030000}"/>
    <cellStyle name="Обычный 9 2 2" xfId="977" xr:uid="{00000000-0005-0000-0000-0000D1030000}"/>
    <cellStyle name="Обычный 9 2 3" xfId="978" xr:uid="{00000000-0005-0000-0000-0000D2030000}"/>
    <cellStyle name="Обычный 9 3" xfId="979" xr:uid="{00000000-0005-0000-0000-0000D3030000}"/>
    <cellStyle name="Обычный 9 3 2" xfId="980" xr:uid="{00000000-0005-0000-0000-0000D4030000}"/>
    <cellStyle name="Обычный 9 4" xfId="981" xr:uid="{00000000-0005-0000-0000-0000D5030000}"/>
    <cellStyle name="Обычный 90" xfId="982" xr:uid="{00000000-0005-0000-0000-0000D6030000}"/>
    <cellStyle name="Обычный 90 2" xfId="983" xr:uid="{00000000-0005-0000-0000-0000D7030000}"/>
    <cellStyle name="Обычный 91" xfId="984" xr:uid="{00000000-0005-0000-0000-0000D8030000}"/>
    <cellStyle name="Обычный 92" xfId="985" xr:uid="{00000000-0005-0000-0000-0000D9030000}"/>
    <cellStyle name="Обычный 92 2" xfId="986" xr:uid="{00000000-0005-0000-0000-0000DA030000}"/>
    <cellStyle name="Обычный 93" xfId="987" xr:uid="{00000000-0005-0000-0000-0000DB030000}"/>
    <cellStyle name="Обычный 93 2" xfId="988" xr:uid="{00000000-0005-0000-0000-0000DC030000}"/>
    <cellStyle name="Обычный 93 3" xfId="989" xr:uid="{00000000-0005-0000-0000-0000DD030000}"/>
    <cellStyle name="Обычный 94" xfId="990" xr:uid="{00000000-0005-0000-0000-0000DE030000}"/>
    <cellStyle name="Обычный 94 2" xfId="991" xr:uid="{00000000-0005-0000-0000-0000DF030000}"/>
    <cellStyle name="Обычный 94 3" xfId="992" xr:uid="{00000000-0005-0000-0000-0000E0030000}"/>
    <cellStyle name="Обычный 95" xfId="993" xr:uid="{00000000-0005-0000-0000-0000E1030000}"/>
    <cellStyle name="Обычный 95 2" xfId="994" xr:uid="{00000000-0005-0000-0000-0000E2030000}"/>
    <cellStyle name="Обычный 96" xfId="995" xr:uid="{00000000-0005-0000-0000-0000E3030000}"/>
    <cellStyle name="Обычный 97" xfId="996" xr:uid="{00000000-0005-0000-0000-0000E4030000}"/>
    <cellStyle name="Обычный 97 2" xfId="997" xr:uid="{00000000-0005-0000-0000-0000E5030000}"/>
    <cellStyle name="Обычный 98" xfId="998" xr:uid="{00000000-0005-0000-0000-0000E6030000}"/>
    <cellStyle name="Обычный 99" xfId="999" xr:uid="{00000000-0005-0000-0000-0000E7030000}"/>
    <cellStyle name="Обычный 99 2" xfId="1000" xr:uid="{00000000-0005-0000-0000-0000E8030000}"/>
    <cellStyle name="Обычный 99 2 2" xfId="1001" xr:uid="{00000000-0005-0000-0000-0000E9030000}"/>
    <cellStyle name="Обычный_Книга3" xfId="1002" xr:uid="{00000000-0005-0000-0000-0000EA030000}"/>
    <cellStyle name="Примечание 10" xfId="1003" xr:uid="{00000000-0005-0000-0000-0000EB030000}"/>
    <cellStyle name="Примечание 11" xfId="1004" xr:uid="{00000000-0005-0000-0000-0000EC030000}"/>
    <cellStyle name="Примечание 12" xfId="1005" xr:uid="{00000000-0005-0000-0000-0000ED030000}"/>
    <cellStyle name="Примечание 13" xfId="1006" xr:uid="{00000000-0005-0000-0000-0000EE030000}"/>
    <cellStyle name="Примечание 14" xfId="1007" xr:uid="{00000000-0005-0000-0000-0000EF030000}"/>
    <cellStyle name="Примечание 15" xfId="1008" xr:uid="{00000000-0005-0000-0000-0000F0030000}"/>
    <cellStyle name="Примечание 16" xfId="1009" xr:uid="{00000000-0005-0000-0000-0000F1030000}"/>
    <cellStyle name="Примечание 17" xfId="1010" xr:uid="{00000000-0005-0000-0000-0000F2030000}"/>
    <cellStyle name="Примечание 18" xfId="1011" xr:uid="{00000000-0005-0000-0000-0000F3030000}"/>
    <cellStyle name="Примечание 19" xfId="1012" xr:uid="{00000000-0005-0000-0000-0000F4030000}"/>
    <cellStyle name="Примечание 2" xfId="1013" xr:uid="{00000000-0005-0000-0000-0000F5030000}"/>
    <cellStyle name="Примечание 2 2" xfId="1014" xr:uid="{00000000-0005-0000-0000-0000F6030000}"/>
    <cellStyle name="Примечание 2 3" xfId="1015" xr:uid="{00000000-0005-0000-0000-0000F7030000}"/>
    <cellStyle name="Примечание 20" xfId="1016" xr:uid="{00000000-0005-0000-0000-0000F8030000}"/>
    <cellStyle name="Примечание 21" xfId="1017" xr:uid="{00000000-0005-0000-0000-0000F9030000}"/>
    <cellStyle name="Примечание 22" xfId="1018" xr:uid="{00000000-0005-0000-0000-0000FA030000}"/>
    <cellStyle name="Примечание 23" xfId="1019" xr:uid="{00000000-0005-0000-0000-0000FB030000}"/>
    <cellStyle name="Примечание 24" xfId="1020" xr:uid="{00000000-0005-0000-0000-0000FC030000}"/>
    <cellStyle name="Примечание 25" xfId="1021" xr:uid="{00000000-0005-0000-0000-0000FD030000}"/>
    <cellStyle name="Примечание 26" xfId="1022" xr:uid="{00000000-0005-0000-0000-0000FE030000}"/>
    <cellStyle name="Примечание 27" xfId="1023" xr:uid="{00000000-0005-0000-0000-0000FF030000}"/>
    <cellStyle name="Примечание 28" xfId="1024" xr:uid="{00000000-0005-0000-0000-000000040000}"/>
    <cellStyle name="Примечание 29" xfId="1025" xr:uid="{00000000-0005-0000-0000-000001040000}"/>
    <cellStyle name="Примечание 3" xfId="1026" xr:uid="{00000000-0005-0000-0000-000002040000}"/>
    <cellStyle name="Примечание 3 2" xfId="1027" xr:uid="{00000000-0005-0000-0000-000003040000}"/>
    <cellStyle name="Примечание 3 3" xfId="1028" xr:uid="{00000000-0005-0000-0000-000004040000}"/>
    <cellStyle name="Примечание 30" xfId="1029" xr:uid="{00000000-0005-0000-0000-000005040000}"/>
    <cellStyle name="Примечание 4" xfId="1030" xr:uid="{00000000-0005-0000-0000-000006040000}"/>
    <cellStyle name="Примечание 4 2" xfId="1031" xr:uid="{00000000-0005-0000-0000-000007040000}"/>
    <cellStyle name="Примечание 4 3" xfId="1032" xr:uid="{00000000-0005-0000-0000-000008040000}"/>
    <cellStyle name="Примечание 5" xfId="1033" xr:uid="{00000000-0005-0000-0000-000009040000}"/>
    <cellStyle name="Примечание 5 2" xfId="1034" xr:uid="{00000000-0005-0000-0000-00000A040000}"/>
    <cellStyle name="Примечание 5 3" xfId="1035" xr:uid="{00000000-0005-0000-0000-00000B040000}"/>
    <cellStyle name="Примечание 6" xfId="1036" xr:uid="{00000000-0005-0000-0000-00000C040000}"/>
    <cellStyle name="Примечание 6 2" xfId="1037" xr:uid="{00000000-0005-0000-0000-00000D040000}"/>
    <cellStyle name="Примечание 6 3" xfId="1038" xr:uid="{00000000-0005-0000-0000-00000E040000}"/>
    <cellStyle name="Примечание 7" xfId="1039" xr:uid="{00000000-0005-0000-0000-00000F040000}"/>
    <cellStyle name="Примечание 7 2" xfId="1040" xr:uid="{00000000-0005-0000-0000-000010040000}"/>
    <cellStyle name="Примечание 7 3" xfId="1041" xr:uid="{00000000-0005-0000-0000-000011040000}"/>
    <cellStyle name="Примечание 8" xfId="1042" xr:uid="{00000000-0005-0000-0000-000012040000}"/>
    <cellStyle name="Примечание 8 2" xfId="1043" xr:uid="{00000000-0005-0000-0000-000013040000}"/>
    <cellStyle name="Примечание 8 3" xfId="1044" xr:uid="{00000000-0005-0000-0000-000014040000}"/>
    <cellStyle name="Примечание 9" xfId="1045" xr:uid="{00000000-0005-0000-0000-000015040000}"/>
    <cellStyle name="Примечание 9 2" xfId="1046" xr:uid="{00000000-0005-0000-0000-000016040000}"/>
    <cellStyle name="Процентный" xfId="1047" builtinId="5"/>
    <cellStyle name="Процентный 2" xfId="1048" xr:uid="{00000000-0005-0000-0000-000018040000}"/>
    <cellStyle name="Процентный 2 2" xfId="1049" xr:uid="{00000000-0005-0000-0000-000019040000}"/>
    <cellStyle name="Процентный 2 2 2" xfId="1050" xr:uid="{00000000-0005-0000-0000-00001A040000}"/>
    <cellStyle name="Процентный 2 2 3" xfId="1051" xr:uid="{00000000-0005-0000-0000-00001B040000}"/>
    <cellStyle name="Процентный 2 3" xfId="1052" xr:uid="{00000000-0005-0000-0000-00001C040000}"/>
    <cellStyle name="Процентный 2 4" xfId="1053" xr:uid="{00000000-0005-0000-0000-00001D040000}"/>
    <cellStyle name="Процентный 2 5" xfId="1054" xr:uid="{00000000-0005-0000-0000-00001E040000}"/>
    <cellStyle name="Процентный 2 6" xfId="1055" xr:uid="{00000000-0005-0000-0000-00001F040000}"/>
    <cellStyle name="Процентный 2 7" xfId="1056" xr:uid="{00000000-0005-0000-0000-000020040000}"/>
    <cellStyle name="Процентный 3" xfId="1057" xr:uid="{00000000-0005-0000-0000-000021040000}"/>
    <cellStyle name="Процентный 4" xfId="1058" xr:uid="{00000000-0005-0000-0000-000022040000}"/>
    <cellStyle name="Стиль 1" xfId="1059" xr:uid="{00000000-0005-0000-0000-000023040000}"/>
    <cellStyle name="Финансовый" xfId="1060" builtinId="3"/>
    <cellStyle name="Финансовый [0] 2" xfId="1061" xr:uid="{00000000-0005-0000-0000-000025040000}"/>
    <cellStyle name="Финансовый [0] 2 2" xfId="1062" xr:uid="{00000000-0005-0000-0000-000026040000}"/>
    <cellStyle name="Финансовый [0] 67" xfId="1063" xr:uid="{00000000-0005-0000-0000-000027040000}"/>
    <cellStyle name="Финансовый 10" xfId="1064" xr:uid="{00000000-0005-0000-0000-000028040000}"/>
    <cellStyle name="Финансовый 10 2" xfId="1065" xr:uid="{00000000-0005-0000-0000-000029040000}"/>
    <cellStyle name="Финансовый 11" xfId="1066" xr:uid="{00000000-0005-0000-0000-00002A040000}"/>
    <cellStyle name="Финансовый 11 2" xfId="1067" xr:uid="{00000000-0005-0000-0000-00002B040000}"/>
    <cellStyle name="Финансовый 13" xfId="1068" xr:uid="{00000000-0005-0000-0000-00002C040000}"/>
    <cellStyle name="Финансовый 13 2" xfId="1069" xr:uid="{00000000-0005-0000-0000-00002D040000}"/>
    <cellStyle name="Финансовый 13 3" xfId="1070" xr:uid="{00000000-0005-0000-0000-00002E040000}"/>
    <cellStyle name="Финансовый 17" xfId="1071" xr:uid="{00000000-0005-0000-0000-00002F040000}"/>
    <cellStyle name="Финансовый 19" xfId="1072" xr:uid="{00000000-0005-0000-0000-000030040000}"/>
    <cellStyle name="Финансовый 19 2" xfId="1073" xr:uid="{00000000-0005-0000-0000-000031040000}"/>
    <cellStyle name="Финансовый 19 3" xfId="1074" xr:uid="{00000000-0005-0000-0000-000032040000}"/>
    <cellStyle name="Финансовый 2" xfId="1075" xr:uid="{00000000-0005-0000-0000-000033040000}"/>
    <cellStyle name="Финансовый 2 10" xfId="1076" xr:uid="{00000000-0005-0000-0000-000034040000}"/>
    <cellStyle name="Финансовый 2 11" xfId="1077" xr:uid="{00000000-0005-0000-0000-000035040000}"/>
    <cellStyle name="Финансовый 2 12" xfId="1078" xr:uid="{00000000-0005-0000-0000-000036040000}"/>
    <cellStyle name="Финансовый 2 13" xfId="1079" xr:uid="{00000000-0005-0000-0000-000037040000}"/>
    <cellStyle name="Финансовый 2 14" xfId="1080" xr:uid="{00000000-0005-0000-0000-000038040000}"/>
    <cellStyle name="Финансовый 2 15" xfId="1081" xr:uid="{00000000-0005-0000-0000-000039040000}"/>
    <cellStyle name="Финансовый 2 16" xfId="1082" xr:uid="{00000000-0005-0000-0000-00003A040000}"/>
    <cellStyle name="Финансовый 2 17" xfId="1083" xr:uid="{00000000-0005-0000-0000-00003B040000}"/>
    <cellStyle name="Финансовый 2 18" xfId="1084" xr:uid="{00000000-0005-0000-0000-00003C040000}"/>
    <cellStyle name="Финансовый 2 19" xfId="1085" xr:uid="{00000000-0005-0000-0000-00003D040000}"/>
    <cellStyle name="Финансовый 2 2" xfId="1086" xr:uid="{00000000-0005-0000-0000-00003E040000}"/>
    <cellStyle name="Финансовый 2 2 2" xfId="1087" xr:uid="{00000000-0005-0000-0000-00003F040000}"/>
    <cellStyle name="Финансовый 2 2 2 2" xfId="1088" xr:uid="{00000000-0005-0000-0000-000040040000}"/>
    <cellStyle name="Финансовый 2 2 2 3" xfId="1089" xr:uid="{00000000-0005-0000-0000-000041040000}"/>
    <cellStyle name="Финансовый 2 2 3" xfId="1090" xr:uid="{00000000-0005-0000-0000-000042040000}"/>
    <cellStyle name="Финансовый 2 2 4" xfId="1091" xr:uid="{00000000-0005-0000-0000-000043040000}"/>
    <cellStyle name="Финансовый 2 20" xfId="1092" xr:uid="{00000000-0005-0000-0000-000044040000}"/>
    <cellStyle name="Финансовый 2 21" xfId="1093" xr:uid="{00000000-0005-0000-0000-000045040000}"/>
    <cellStyle name="Финансовый 2 22" xfId="1094" xr:uid="{00000000-0005-0000-0000-000046040000}"/>
    <cellStyle name="Финансовый 2 23" xfId="1095" xr:uid="{00000000-0005-0000-0000-000047040000}"/>
    <cellStyle name="Финансовый 2 24" xfId="1096" xr:uid="{00000000-0005-0000-0000-000048040000}"/>
    <cellStyle name="Финансовый 2 25" xfId="1097" xr:uid="{00000000-0005-0000-0000-000049040000}"/>
    <cellStyle name="Финансовый 2 26" xfId="1098" xr:uid="{00000000-0005-0000-0000-00004A040000}"/>
    <cellStyle name="Финансовый 2 27" xfId="1099" xr:uid="{00000000-0005-0000-0000-00004B040000}"/>
    <cellStyle name="Финансовый 2 28" xfId="1100" xr:uid="{00000000-0005-0000-0000-00004C040000}"/>
    <cellStyle name="Финансовый 2 29" xfId="1101" xr:uid="{00000000-0005-0000-0000-00004D040000}"/>
    <cellStyle name="Финансовый 2 3" xfId="1102" xr:uid="{00000000-0005-0000-0000-00004E040000}"/>
    <cellStyle name="Финансовый 2 3 2" xfId="1103" xr:uid="{00000000-0005-0000-0000-00004F040000}"/>
    <cellStyle name="Финансовый 2 3 3" xfId="1104" xr:uid="{00000000-0005-0000-0000-000050040000}"/>
    <cellStyle name="Финансовый 2 3 4" xfId="1105" xr:uid="{00000000-0005-0000-0000-000051040000}"/>
    <cellStyle name="Финансовый 2 30" xfId="1106" xr:uid="{00000000-0005-0000-0000-000052040000}"/>
    <cellStyle name="Финансовый 2 4" xfId="1107" xr:uid="{00000000-0005-0000-0000-000053040000}"/>
    <cellStyle name="Финансовый 2 4 2" xfId="1108" xr:uid="{00000000-0005-0000-0000-000054040000}"/>
    <cellStyle name="Финансовый 2 4 3" xfId="1109" xr:uid="{00000000-0005-0000-0000-000055040000}"/>
    <cellStyle name="Финансовый 2 4 4" xfId="1110" xr:uid="{00000000-0005-0000-0000-000056040000}"/>
    <cellStyle name="Финансовый 2 5" xfId="1111" xr:uid="{00000000-0005-0000-0000-000057040000}"/>
    <cellStyle name="Финансовый 2 5 2" xfId="1112" xr:uid="{00000000-0005-0000-0000-000058040000}"/>
    <cellStyle name="Финансовый 2 6" xfId="1113" xr:uid="{00000000-0005-0000-0000-000059040000}"/>
    <cellStyle name="Финансовый 2 6 2" xfId="1114" xr:uid="{00000000-0005-0000-0000-00005A040000}"/>
    <cellStyle name="Финансовый 2 7" xfId="1115" xr:uid="{00000000-0005-0000-0000-00005B040000}"/>
    <cellStyle name="Финансовый 2 8" xfId="1116" xr:uid="{00000000-0005-0000-0000-00005C040000}"/>
    <cellStyle name="Финансовый 2 9" xfId="1117" xr:uid="{00000000-0005-0000-0000-00005D040000}"/>
    <cellStyle name="Финансовый 20" xfId="1118" xr:uid="{00000000-0005-0000-0000-00005E040000}"/>
    <cellStyle name="Финансовый 21" xfId="1119" xr:uid="{00000000-0005-0000-0000-00005F040000}"/>
    <cellStyle name="Финансовый 23" xfId="1120" xr:uid="{00000000-0005-0000-0000-000060040000}"/>
    <cellStyle name="Финансовый 24" xfId="1121" xr:uid="{00000000-0005-0000-0000-000061040000}"/>
    <cellStyle name="Финансовый 25" xfId="1122" xr:uid="{00000000-0005-0000-0000-000062040000}"/>
    <cellStyle name="Финансовый 26" xfId="1123" xr:uid="{00000000-0005-0000-0000-000063040000}"/>
    <cellStyle name="Финансовый 27" xfId="1124" xr:uid="{00000000-0005-0000-0000-000064040000}"/>
    <cellStyle name="Финансовый 28" xfId="1125" xr:uid="{00000000-0005-0000-0000-000065040000}"/>
    <cellStyle name="Финансовый 3" xfId="1126" xr:uid="{00000000-0005-0000-0000-000066040000}"/>
    <cellStyle name="Финансовый 3 10" xfId="1127" xr:uid="{00000000-0005-0000-0000-000067040000}"/>
    <cellStyle name="Финансовый 3 11" xfId="1128" xr:uid="{00000000-0005-0000-0000-000068040000}"/>
    <cellStyle name="Финансовый 3 12" xfId="1129" xr:uid="{00000000-0005-0000-0000-000069040000}"/>
    <cellStyle name="Финансовый 3 13" xfId="1130" xr:uid="{00000000-0005-0000-0000-00006A040000}"/>
    <cellStyle name="Финансовый 3 14" xfId="1131" xr:uid="{00000000-0005-0000-0000-00006B040000}"/>
    <cellStyle name="Финансовый 3 15" xfId="1132" xr:uid="{00000000-0005-0000-0000-00006C040000}"/>
    <cellStyle name="Финансовый 3 16" xfId="1133" xr:uid="{00000000-0005-0000-0000-00006D040000}"/>
    <cellStyle name="Финансовый 3 17" xfId="1134" xr:uid="{00000000-0005-0000-0000-00006E040000}"/>
    <cellStyle name="Финансовый 3 18" xfId="1135" xr:uid="{00000000-0005-0000-0000-00006F040000}"/>
    <cellStyle name="Финансовый 3 19" xfId="1136" xr:uid="{00000000-0005-0000-0000-000070040000}"/>
    <cellStyle name="Финансовый 3 2" xfId="1137" xr:uid="{00000000-0005-0000-0000-000071040000}"/>
    <cellStyle name="Финансовый 3 2 2" xfId="1138" xr:uid="{00000000-0005-0000-0000-000072040000}"/>
    <cellStyle name="Финансовый 3 2 2 2" xfId="1139" xr:uid="{00000000-0005-0000-0000-000073040000}"/>
    <cellStyle name="Финансовый 3 2 2 3" xfId="1140" xr:uid="{00000000-0005-0000-0000-000074040000}"/>
    <cellStyle name="Финансовый 3 2 3" xfId="1141" xr:uid="{00000000-0005-0000-0000-000075040000}"/>
    <cellStyle name="Финансовый 3 2 3 2" xfId="1142" xr:uid="{00000000-0005-0000-0000-000076040000}"/>
    <cellStyle name="Финансовый 3 2 4" xfId="1143" xr:uid="{00000000-0005-0000-0000-000077040000}"/>
    <cellStyle name="Финансовый 3 2 5" xfId="1144" xr:uid="{00000000-0005-0000-0000-000078040000}"/>
    <cellStyle name="Финансовый 3 2 6" xfId="1145" xr:uid="{00000000-0005-0000-0000-000079040000}"/>
    <cellStyle name="Финансовый 3 20" xfId="1146" xr:uid="{00000000-0005-0000-0000-00007A040000}"/>
    <cellStyle name="Финансовый 3 21" xfId="1147" xr:uid="{00000000-0005-0000-0000-00007B040000}"/>
    <cellStyle name="Финансовый 3 22" xfId="1148" xr:uid="{00000000-0005-0000-0000-00007C040000}"/>
    <cellStyle name="Финансовый 3 3" xfId="1149" xr:uid="{00000000-0005-0000-0000-00007D040000}"/>
    <cellStyle name="Финансовый 3 3 2" xfId="1150" xr:uid="{00000000-0005-0000-0000-00007E040000}"/>
    <cellStyle name="Финансовый 3 3 3" xfId="1151" xr:uid="{00000000-0005-0000-0000-00007F040000}"/>
    <cellStyle name="Финансовый 3 4" xfId="1152" xr:uid="{00000000-0005-0000-0000-000080040000}"/>
    <cellStyle name="Финансовый 3 4 2" xfId="1153" xr:uid="{00000000-0005-0000-0000-000081040000}"/>
    <cellStyle name="Финансовый 3 4 3" xfId="1154" xr:uid="{00000000-0005-0000-0000-000082040000}"/>
    <cellStyle name="Финансовый 3 5" xfId="1155" xr:uid="{00000000-0005-0000-0000-000083040000}"/>
    <cellStyle name="Финансовый 3 5 2" xfId="1156" xr:uid="{00000000-0005-0000-0000-000084040000}"/>
    <cellStyle name="Финансовый 3 5 3" xfId="1157" xr:uid="{00000000-0005-0000-0000-000085040000}"/>
    <cellStyle name="Финансовый 3 5 4" xfId="1158" xr:uid="{00000000-0005-0000-0000-000086040000}"/>
    <cellStyle name="Финансовый 3 6" xfId="1159" xr:uid="{00000000-0005-0000-0000-000087040000}"/>
    <cellStyle name="Финансовый 3 6 2" xfId="1160" xr:uid="{00000000-0005-0000-0000-000088040000}"/>
    <cellStyle name="Финансовый 3 7" xfId="1161" xr:uid="{00000000-0005-0000-0000-000089040000}"/>
    <cellStyle name="Финансовый 3 7 2" xfId="1162" xr:uid="{00000000-0005-0000-0000-00008A040000}"/>
    <cellStyle name="Финансовый 3 8" xfId="1163" xr:uid="{00000000-0005-0000-0000-00008B040000}"/>
    <cellStyle name="Финансовый 3 9" xfId="1164" xr:uid="{00000000-0005-0000-0000-00008C040000}"/>
    <cellStyle name="Финансовый 30" xfId="1165" xr:uid="{00000000-0005-0000-0000-00008D040000}"/>
    <cellStyle name="Финансовый 31" xfId="1166" xr:uid="{00000000-0005-0000-0000-00008E040000}"/>
    <cellStyle name="Финансовый 31 2" xfId="1167" xr:uid="{00000000-0005-0000-0000-00008F040000}"/>
    <cellStyle name="Финансовый 32" xfId="1168" xr:uid="{00000000-0005-0000-0000-000090040000}"/>
    <cellStyle name="Финансовый 32 2" xfId="1169" xr:uid="{00000000-0005-0000-0000-000091040000}"/>
    <cellStyle name="Финансовый 33" xfId="1170" xr:uid="{00000000-0005-0000-0000-000092040000}"/>
    <cellStyle name="Финансовый 33 2" xfId="1171" xr:uid="{00000000-0005-0000-0000-000093040000}"/>
    <cellStyle name="Финансовый 34" xfId="1172" xr:uid="{00000000-0005-0000-0000-000094040000}"/>
    <cellStyle name="Финансовый 34 2" xfId="1173" xr:uid="{00000000-0005-0000-0000-000095040000}"/>
    <cellStyle name="Финансовый 35" xfId="1174" xr:uid="{00000000-0005-0000-0000-000096040000}"/>
    <cellStyle name="Финансовый 35 2" xfId="1175" xr:uid="{00000000-0005-0000-0000-000097040000}"/>
    <cellStyle name="Финансовый 36" xfId="1176" xr:uid="{00000000-0005-0000-0000-000098040000}"/>
    <cellStyle name="Финансовый 36 2" xfId="1177" xr:uid="{00000000-0005-0000-0000-000099040000}"/>
    <cellStyle name="Финансовый 37" xfId="1178" xr:uid="{00000000-0005-0000-0000-00009A040000}"/>
    <cellStyle name="Финансовый 37 2" xfId="1179" xr:uid="{00000000-0005-0000-0000-00009B040000}"/>
    <cellStyle name="Финансовый 38" xfId="1180" xr:uid="{00000000-0005-0000-0000-00009C040000}"/>
    <cellStyle name="Финансовый 38 2" xfId="1181" xr:uid="{00000000-0005-0000-0000-00009D040000}"/>
    <cellStyle name="Финансовый 39" xfId="1182" xr:uid="{00000000-0005-0000-0000-00009E040000}"/>
    <cellStyle name="Финансовый 4" xfId="1183" xr:uid="{00000000-0005-0000-0000-00009F040000}"/>
    <cellStyle name="Финансовый 4 2" xfId="1184" xr:uid="{00000000-0005-0000-0000-0000A0040000}"/>
    <cellStyle name="Финансовый 4 2 2" xfId="1185" xr:uid="{00000000-0005-0000-0000-0000A1040000}"/>
    <cellStyle name="Финансовый 4 2 2 2" xfId="1186" xr:uid="{00000000-0005-0000-0000-0000A2040000}"/>
    <cellStyle name="Финансовый 4 2 3" xfId="1187" xr:uid="{00000000-0005-0000-0000-0000A3040000}"/>
    <cellStyle name="Финансовый 4 3" xfId="1188" xr:uid="{00000000-0005-0000-0000-0000A4040000}"/>
    <cellStyle name="Финансовый 4 3 2" xfId="1189" xr:uid="{00000000-0005-0000-0000-0000A5040000}"/>
    <cellStyle name="Финансовый 4 4" xfId="1190" xr:uid="{00000000-0005-0000-0000-0000A6040000}"/>
    <cellStyle name="Финансовый 4 4 2" xfId="1191" xr:uid="{00000000-0005-0000-0000-0000A7040000}"/>
    <cellStyle name="Финансовый 4 5" xfId="1192" xr:uid="{00000000-0005-0000-0000-0000A8040000}"/>
    <cellStyle name="Финансовый 4 6" xfId="1193" xr:uid="{00000000-0005-0000-0000-0000A9040000}"/>
    <cellStyle name="Финансовый 4 7" xfId="1194" xr:uid="{00000000-0005-0000-0000-0000AA040000}"/>
    <cellStyle name="Финансовый 4 8" xfId="1195" xr:uid="{00000000-0005-0000-0000-0000AB040000}"/>
    <cellStyle name="Финансовый 4 9" xfId="1196" xr:uid="{00000000-0005-0000-0000-0000AC040000}"/>
    <cellStyle name="Финансовый 40" xfId="1197" xr:uid="{00000000-0005-0000-0000-0000AD040000}"/>
    <cellStyle name="Финансовый 41" xfId="1198" xr:uid="{00000000-0005-0000-0000-0000AE040000}"/>
    <cellStyle name="Финансовый 42" xfId="1199" xr:uid="{00000000-0005-0000-0000-0000AF040000}"/>
    <cellStyle name="Финансовый 42 2" xfId="1200" xr:uid="{00000000-0005-0000-0000-0000B0040000}"/>
    <cellStyle name="Финансовый 44" xfId="1201" xr:uid="{00000000-0005-0000-0000-0000B1040000}"/>
    <cellStyle name="Финансовый 46" xfId="1202" xr:uid="{00000000-0005-0000-0000-0000B2040000}"/>
    <cellStyle name="Финансовый 47" xfId="1203" xr:uid="{00000000-0005-0000-0000-0000B3040000}"/>
    <cellStyle name="Финансовый 5" xfId="1204" xr:uid="{00000000-0005-0000-0000-0000B4040000}"/>
    <cellStyle name="Финансовый 5 2" xfId="1205" xr:uid="{00000000-0005-0000-0000-0000B5040000}"/>
    <cellStyle name="Финансовый 5 2 2" xfId="1206" xr:uid="{00000000-0005-0000-0000-0000B6040000}"/>
    <cellStyle name="Финансовый 5 3" xfId="1207" xr:uid="{00000000-0005-0000-0000-0000B7040000}"/>
    <cellStyle name="Финансовый 5 3 2" xfId="1208" xr:uid="{00000000-0005-0000-0000-0000B8040000}"/>
    <cellStyle name="Финансовый 5 3 3" xfId="1209" xr:uid="{00000000-0005-0000-0000-0000B9040000}"/>
    <cellStyle name="Финансовый 5 4" xfId="1210" xr:uid="{00000000-0005-0000-0000-0000BA040000}"/>
    <cellStyle name="Финансовый 5 5" xfId="1211" xr:uid="{00000000-0005-0000-0000-0000BB040000}"/>
    <cellStyle name="Финансовый 6" xfId="1212" xr:uid="{00000000-0005-0000-0000-0000BC040000}"/>
    <cellStyle name="Финансовый 6 2" xfId="1213" xr:uid="{00000000-0005-0000-0000-0000BD040000}"/>
    <cellStyle name="Финансовый 6 2 2" xfId="1214" xr:uid="{00000000-0005-0000-0000-0000BE040000}"/>
    <cellStyle name="Финансовый 6 2 3" xfId="1215" xr:uid="{00000000-0005-0000-0000-0000BF040000}"/>
    <cellStyle name="Финансовый 6 3" xfId="1216" xr:uid="{00000000-0005-0000-0000-0000C0040000}"/>
    <cellStyle name="Финансовый 6 4" xfId="1217" xr:uid="{00000000-0005-0000-0000-0000C1040000}"/>
    <cellStyle name="Финансовый 7" xfId="1218" xr:uid="{00000000-0005-0000-0000-0000C2040000}"/>
    <cellStyle name="Финансовый 7 2" xfId="1219" xr:uid="{00000000-0005-0000-0000-0000C3040000}"/>
    <cellStyle name="Финансовый 7 2 2" xfId="1220" xr:uid="{00000000-0005-0000-0000-0000C4040000}"/>
    <cellStyle name="Финансовый 7 2 3" xfId="1221" xr:uid="{00000000-0005-0000-0000-0000C5040000}"/>
    <cellStyle name="Финансовый 7 3" xfId="1222" xr:uid="{00000000-0005-0000-0000-0000C6040000}"/>
    <cellStyle name="Финансовый 8" xfId="1223" xr:uid="{00000000-0005-0000-0000-0000C7040000}"/>
    <cellStyle name="Финансовый 8 2" xfId="1224" xr:uid="{00000000-0005-0000-0000-0000C8040000}"/>
    <cellStyle name="Финансовый 9" xfId="1225" xr:uid="{00000000-0005-0000-0000-0000C9040000}"/>
    <cellStyle name="Џђћ–…ќ’ќ›‰" xfId="1226" xr:uid="{00000000-0005-0000-0000-0000CA040000}"/>
  </cellStyles>
  <dxfs count="408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indexed="13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kandarov_U\Desktop\21%20&#1090;&#1072;&#1073;&#1083;%20(&#1042;&#1089;&#1077;%20&#1080;&#1079;&#1084;&#1077;&#1085;&#1077;&#1085;&#1080;&#1103;)\21-&#1087;&#1086;&#1089;&#1083;%20&#1085;&#1072;%201.09.2019\15.11.2019\&#1060;&#1080;&#1085;&#1072;&#1085;&#1089;&#1086;&#1074;&#1072;&#1103;%20&#1086;&#1090;&#1095;&#1077;&#1090;&#1085;&#1086;&#1089;&#1090;&#1100;%202019&#1075;%20-1.11.2019+30%25-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85;&#1080;&#1075;&#1072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Asset quality"/>
      <sheetName val="Income "/>
      <sheetName val="Analysis of Interest"/>
      <sheetName val="Bank Capital Calc"/>
      <sheetName val="Calculation of Risk Weighted As"/>
      <sheetName val="Calculation of Risk Weight  (2)"/>
      <sheetName val="Calculation of Risk Weight SUM"/>
      <sheetName val="Calculation of Risk"/>
      <sheetName val="Changes in Equity"/>
      <sheetName val="Loans Receivable"/>
      <sheetName val="Aging Analysis"/>
      <sheetName val="Asset Classification"/>
      <sheetName val="Loans to Affiliated P."/>
      <sheetName val=" Largest risk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loans_av rate"/>
      <sheetName val="loans_av rate (2)"/>
      <sheetName val="Deposits_av rate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>
        <row r="26">
          <cell r="F26">
            <v>39508622</v>
          </cell>
        </row>
        <row r="28">
          <cell r="F28">
            <v>6159259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AF89"/>
  <sheetViews>
    <sheetView tabSelected="1" zoomScaleSheetLayoutView="100" workbookViewId="0">
      <pane xSplit="2" ySplit="4" topLeftCell="C5" activePane="bottomRight" state="frozen"/>
      <selection activeCell="B32" sqref="B32"/>
      <selection pane="topRight" activeCell="B32" sqref="B32"/>
      <selection pane="bottomLeft" activeCell="B32" sqref="B32"/>
      <selection pane="bottomRight" activeCell="D17" sqref="D17"/>
    </sheetView>
  </sheetViews>
  <sheetFormatPr defaultRowHeight="15" customHeight="1"/>
  <cols>
    <col min="1" max="1" width="7" style="275" customWidth="1"/>
    <col min="2" max="2" width="77.85546875" style="221" customWidth="1"/>
    <col min="3" max="5" width="20" style="221" customWidth="1"/>
    <col min="6" max="7" width="11.7109375" style="652" bestFit="1" customWidth="1"/>
    <col min="8" max="15" width="6.140625" style="652" customWidth="1"/>
    <col min="16" max="22" width="6.140625" style="436" customWidth="1"/>
    <col min="23" max="24" width="9.140625" style="436"/>
    <col min="25" max="16384" width="9.140625" style="221"/>
  </cols>
  <sheetData>
    <row r="1" spans="1:24" ht="15" customHeight="1">
      <c r="A1" s="1190" t="s">
        <v>1130</v>
      </c>
      <c r="B1" s="1190"/>
      <c r="C1" s="1190"/>
      <c r="D1" s="1190"/>
      <c r="E1" s="274" t="s">
        <v>1054</v>
      </c>
      <c r="F1" s="1002">
        <v>1133</v>
      </c>
    </row>
    <row r="2" spans="1:24" ht="15" customHeight="1">
      <c r="B2" s="276" t="str">
        <f>IF(C3&gt;0," "&amp;TEXT(C3,"д ММММ, гггг"),"Число,Месяц,Год")</f>
        <v xml:space="preserve"> 30 Декабрь, 2019</v>
      </c>
      <c r="C2" s="229"/>
      <c r="D2" s="881"/>
      <c r="E2" s="229"/>
    </row>
    <row r="3" spans="1:24" ht="15" customHeight="1">
      <c r="B3" s="456" t="s">
        <v>1375</v>
      </c>
      <c r="C3" s="764">
        <v>43829</v>
      </c>
      <c r="D3" s="430"/>
      <c r="E3" s="457" t="s">
        <v>635</v>
      </c>
    </row>
    <row r="4" spans="1:24" ht="43.5" customHeight="1">
      <c r="A4" s="583" t="s">
        <v>161</v>
      </c>
      <c r="B4" s="583" t="s">
        <v>0</v>
      </c>
      <c r="C4" s="583" t="s">
        <v>531</v>
      </c>
      <c r="D4" s="583" t="s">
        <v>532</v>
      </c>
      <c r="E4" s="583" t="s">
        <v>533</v>
      </c>
      <c r="F4" s="653"/>
      <c r="G4" s="653"/>
      <c r="H4" s="653"/>
      <c r="I4" s="653"/>
      <c r="J4" s="653"/>
      <c r="K4" s="653"/>
      <c r="L4" s="653"/>
      <c r="M4" s="653"/>
      <c r="N4" s="653"/>
      <c r="O4" s="653"/>
      <c r="P4" s="438"/>
      <c r="Q4" s="438"/>
      <c r="R4" s="438"/>
      <c r="S4" s="438"/>
      <c r="T4" s="438"/>
      <c r="U4" s="438"/>
      <c r="V4" s="438"/>
      <c r="W4" s="438"/>
    </row>
    <row r="5" spans="1:24" ht="15" customHeight="1">
      <c r="A5" s="277">
        <v>1</v>
      </c>
      <c r="B5" s="278" t="s">
        <v>852</v>
      </c>
      <c r="C5" s="62">
        <f>+D5+E5</f>
        <v>173211577</v>
      </c>
      <c r="D5" s="62">
        <f>+'Bank Assets Analysis'!T7</f>
        <v>69805132</v>
      </c>
      <c r="E5" s="62">
        <f>+'Bank Assets Analysis'!U7</f>
        <v>103406445</v>
      </c>
      <c r="F5" s="653"/>
      <c r="G5" s="653"/>
      <c r="I5" s="653"/>
      <c r="J5" s="653"/>
      <c r="K5" s="653"/>
      <c r="L5" s="654">
        <f t="shared" ref="L5:L44" si="0">+C5-D5-E5</f>
        <v>0</v>
      </c>
      <c r="M5" s="653"/>
      <c r="N5" s="653"/>
      <c r="O5" s="653"/>
      <c r="P5" s="438"/>
      <c r="Q5" s="438"/>
      <c r="R5" s="438"/>
      <c r="S5" s="438"/>
      <c r="T5" s="438"/>
      <c r="U5" s="438"/>
      <c r="V5" s="438"/>
      <c r="W5" s="438"/>
    </row>
    <row r="6" spans="1:24" ht="15" customHeight="1">
      <c r="A6" s="277">
        <v>2</v>
      </c>
      <c r="B6" s="278" t="s">
        <v>757</v>
      </c>
      <c r="C6" s="279">
        <f>+D6+E6</f>
        <v>140577780</v>
      </c>
      <c r="D6" s="62">
        <f>+'Bank Assets Analysis'!T8+'Bank Assets Analysis'!T9</f>
        <v>119493320</v>
      </c>
      <c r="E6" s="62">
        <f>+'Bank Assets Analysis'!U8+'Bank Assets Analysis'!U9</f>
        <v>21084460</v>
      </c>
      <c r="F6" s="653"/>
      <c r="G6" s="653"/>
      <c r="I6" s="653"/>
      <c r="J6" s="653"/>
      <c r="K6" s="653"/>
      <c r="L6" s="654">
        <f t="shared" si="0"/>
        <v>0</v>
      </c>
      <c r="M6" s="653"/>
      <c r="N6" s="653"/>
      <c r="O6" s="653"/>
      <c r="P6" s="438"/>
      <c r="Q6" s="438"/>
      <c r="R6" s="438"/>
      <c r="S6" s="438"/>
      <c r="T6" s="438"/>
      <c r="U6" s="438"/>
      <c r="V6" s="438"/>
      <c r="W6" s="438"/>
    </row>
    <row r="7" spans="1:24" ht="15" customHeight="1">
      <c r="A7" s="277">
        <v>3</v>
      </c>
      <c r="B7" s="278" t="s">
        <v>853</v>
      </c>
      <c r="C7" s="284">
        <f>+'Bank Assets Analysis'!S10</f>
        <v>453538332</v>
      </c>
      <c r="D7" s="284">
        <f>+'Bank Assets Analysis'!T10</f>
        <v>266889175</v>
      </c>
      <c r="E7" s="284">
        <f>+'Bank Assets Analysis'!U10</f>
        <v>186649157</v>
      </c>
      <c r="F7" s="653"/>
      <c r="G7" s="653"/>
      <c r="I7" s="653"/>
      <c r="J7" s="653"/>
      <c r="K7" s="653"/>
      <c r="L7" s="654">
        <f t="shared" si="0"/>
        <v>0</v>
      </c>
      <c r="M7" s="653"/>
      <c r="N7" s="653"/>
      <c r="O7" s="653"/>
      <c r="P7" s="438"/>
      <c r="Q7" s="438"/>
      <c r="R7" s="438"/>
      <c r="S7" s="438"/>
      <c r="T7" s="438"/>
      <c r="U7" s="438"/>
      <c r="V7" s="438"/>
      <c r="W7" s="438"/>
    </row>
    <row r="8" spans="1:24" ht="15" customHeight="1">
      <c r="A8" s="277" t="s">
        <v>515</v>
      </c>
      <c r="B8" s="280" t="s">
        <v>854</v>
      </c>
      <c r="C8" s="62">
        <f>+D8+E8</f>
        <v>453538332</v>
      </c>
      <c r="D8" s="53">
        <v>266889175</v>
      </c>
      <c r="E8" s="53">
        <v>186649157</v>
      </c>
      <c r="F8" s="653"/>
      <c r="G8" s="653"/>
      <c r="I8" s="653"/>
      <c r="J8" s="653"/>
      <c r="K8" s="653"/>
      <c r="L8" s="654">
        <f t="shared" si="0"/>
        <v>0</v>
      </c>
      <c r="M8" s="653"/>
      <c r="N8" s="653"/>
      <c r="O8" s="653"/>
      <c r="P8" s="438"/>
      <c r="Q8" s="438"/>
      <c r="R8" s="438"/>
      <c r="S8" s="438"/>
      <c r="T8" s="438"/>
      <c r="U8" s="438"/>
      <c r="V8" s="438"/>
      <c r="W8" s="438"/>
    </row>
    <row r="9" spans="1:24" ht="15" customHeight="1">
      <c r="A9" s="277" t="s">
        <v>516</v>
      </c>
      <c r="B9" s="280" t="s">
        <v>855</v>
      </c>
      <c r="C9" s="62">
        <f>+D9+E9</f>
        <v>0</v>
      </c>
      <c r="D9" s="53"/>
      <c r="E9" s="53"/>
      <c r="F9" s="653"/>
      <c r="G9" s="653"/>
      <c r="I9" s="653"/>
      <c r="J9" s="653"/>
      <c r="K9" s="653"/>
      <c r="L9" s="654">
        <f t="shared" si="0"/>
        <v>0</v>
      </c>
      <c r="M9" s="653"/>
      <c r="N9" s="653"/>
      <c r="O9" s="653"/>
      <c r="P9" s="438"/>
      <c r="Q9" s="438"/>
      <c r="R9" s="438"/>
      <c r="S9" s="438"/>
      <c r="T9" s="438"/>
      <c r="U9" s="438"/>
      <c r="V9" s="438"/>
      <c r="W9" s="438"/>
    </row>
    <row r="10" spans="1:24" s="282" customFormat="1" ht="15" customHeight="1">
      <c r="A10" s="277">
        <v>4</v>
      </c>
      <c r="B10" s="278" t="s">
        <v>401</v>
      </c>
      <c r="C10" s="284">
        <f>+C11-C12</f>
        <v>119576827</v>
      </c>
      <c r="D10" s="284">
        <f>+'Investment Securities'!C28</f>
        <v>119576827</v>
      </c>
      <c r="E10" s="284">
        <f>+'Investment Securities'!D28</f>
        <v>0</v>
      </c>
      <c r="F10" s="653"/>
      <c r="G10" s="652"/>
      <c r="H10" s="652"/>
      <c r="I10" s="653"/>
      <c r="J10" s="653"/>
      <c r="K10" s="653"/>
      <c r="L10" s="654">
        <f t="shared" si="0"/>
        <v>0</v>
      </c>
      <c r="M10" s="653"/>
      <c r="N10" s="653"/>
      <c r="O10" s="653"/>
      <c r="P10" s="438"/>
      <c r="Q10" s="438"/>
      <c r="R10" s="438"/>
      <c r="S10" s="438"/>
      <c r="T10" s="438"/>
      <c r="U10" s="438"/>
      <c r="V10" s="438"/>
      <c r="W10" s="438"/>
      <c r="X10" s="436"/>
    </row>
    <row r="11" spans="1:24" s="282" customFormat="1" ht="15" customHeight="1">
      <c r="A11" s="277" t="s">
        <v>818</v>
      </c>
      <c r="B11" s="506" t="s">
        <v>1123</v>
      </c>
      <c r="C11" s="62">
        <f>+D11+E11</f>
        <v>119576827</v>
      </c>
      <c r="D11" s="62">
        <f>+'Investment Securities'!C26</f>
        <v>119576827</v>
      </c>
      <c r="E11" s="62">
        <f>+'Investment Securities'!D26</f>
        <v>0</v>
      </c>
      <c r="F11" s="653"/>
      <c r="G11" s="653"/>
      <c r="H11" s="652"/>
      <c r="I11" s="653"/>
      <c r="J11" s="653"/>
      <c r="K11" s="653"/>
      <c r="L11" s="654">
        <f t="shared" si="0"/>
        <v>0</v>
      </c>
      <c r="M11" s="653"/>
      <c r="N11" s="653"/>
      <c r="O11" s="653"/>
      <c r="P11" s="438"/>
      <c r="Q11" s="438"/>
      <c r="R11" s="438"/>
      <c r="S11" s="438"/>
      <c r="T11" s="438"/>
      <c r="U11" s="438"/>
      <c r="V11" s="438"/>
      <c r="W11" s="438"/>
      <c r="X11" s="436"/>
    </row>
    <row r="12" spans="1:24" s="282" customFormat="1" ht="15" customHeight="1">
      <c r="A12" s="277" t="s">
        <v>819</v>
      </c>
      <c r="B12" s="280" t="s">
        <v>855</v>
      </c>
      <c r="C12" s="62">
        <f>+D12+E12</f>
        <v>0</v>
      </c>
      <c r="D12" s="62">
        <f>+'Investment Securities'!C27</f>
        <v>0</v>
      </c>
      <c r="E12" s="62">
        <f>+'Investment Securities'!D27</f>
        <v>0</v>
      </c>
      <c r="F12" s="653"/>
      <c r="G12" s="653"/>
      <c r="H12" s="652"/>
      <c r="I12" s="653"/>
      <c r="J12" s="653"/>
      <c r="K12" s="653"/>
      <c r="L12" s="654">
        <f t="shared" si="0"/>
        <v>0</v>
      </c>
      <c r="M12" s="653"/>
      <c r="N12" s="653"/>
      <c r="O12" s="653"/>
      <c r="P12" s="438"/>
      <c r="Q12" s="438"/>
      <c r="R12" s="438"/>
      <c r="S12" s="438"/>
      <c r="T12" s="438"/>
      <c r="U12" s="438"/>
      <c r="V12" s="438"/>
      <c r="W12" s="438"/>
      <c r="X12" s="436"/>
    </row>
    <row r="13" spans="1:24" s="282" customFormat="1" ht="15" customHeight="1">
      <c r="A13" s="277">
        <v>5</v>
      </c>
      <c r="B13" s="278" t="s">
        <v>997</v>
      </c>
      <c r="C13" s="284">
        <f>+C14-C15</f>
        <v>175</v>
      </c>
      <c r="D13" s="284">
        <f>+'Investment Securities'!C39</f>
        <v>175</v>
      </c>
      <c r="E13" s="284">
        <f>+'Investment Securities'!D39</f>
        <v>0</v>
      </c>
      <c r="F13" s="653"/>
      <c r="G13" s="653"/>
      <c r="H13" s="652"/>
      <c r="I13" s="653"/>
      <c r="J13" s="653"/>
      <c r="K13" s="653"/>
      <c r="L13" s="654">
        <f t="shared" si="0"/>
        <v>0</v>
      </c>
      <c r="M13" s="653"/>
      <c r="N13" s="653"/>
      <c r="O13" s="653"/>
      <c r="P13" s="438"/>
      <c r="Q13" s="438"/>
      <c r="R13" s="438"/>
      <c r="S13" s="438"/>
      <c r="T13" s="438"/>
      <c r="U13" s="438"/>
      <c r="V13" s="438"/>
      <c r="W13" s="438"/>
      <c r="X13" s="436"/>
    </row>
    <row r="14" spans="1:24" s="282" customFormat="1" ht="15" customHeight="1">
      <c r="A14" s="277" t="s">
        <v>820</v>
      </c>
      <c r="B14" s="506" t="s">
        <v>1122</v>
      </c>
      <c r="C14" s="62">
        <f>+D14+E14</f>
        <v>175</v>
      </c>
      <c r="D14" s="62">
        <f>+'Investment Securities'!C37</f>
        <v>175</v>
      </c>
      <c r="E14" s="62">
        <f>+'Investment Securities'!D37</f>
        <v>0</v>
      </c>
      <c r="F14" s="653"/>
      <c r="G14" s="653"/>
      <c r="H14" s="652"/>
      <c r="I14" s="653"/>
      <c r="J14" s="653"/>
      <c r="K14" s="653"/>
      <c r="L14" s="654">
        <f t="shared" si="0"/>
        <v>0</v>
      </c>
      <c r="M14" s="653"/>
      <c r="N14" s="653"/>
      <c r="O14" s="653"/>
      <c r="P14" s="438"/>
      <c r="Q14" s="438"/>
      <c r="R14" s="438"/>
      <c r="S14" s="438"/>
      <c r="T14" s="438"/>
      <c r="U14" s="438"/>
      <c r="V14" s="438"/>
      <c r="W14" s="438"/>
      <c r="X14" s="436"/>
    </row>
    <row r="15" spans="1:24" s="282" customFormat="1" ht="15" customHeight="1">
      <c r="A15" s="277" t="s">
        <v>821</v>
      </c>
      <c r="B15" s="280" t="s">
        <v>855</v>
      </c>
      <c r="C15" s="62">
        <f>+D15+E15</f>
        <v>0</v>
      </c>
      <c r="D15" s="62">
        <f>+'Investment Securities'!C38</f>
        <v>0</v>
      </c>
      <c r="E15" s="62">
        <f>+'Investment Securities'!D38</f>
        <v>0</v>
      </c>
      <c r="F15" s="653"/>
      <c r="G15" s="653"/>
      <c r="H15" s="652"/>
      <c r="I15" s="653"/>
      <c r="J15" s="653"/>
      <c r="K15" s="653"/>
      <c r="L15" s="654">
        <f t="shared" si="0"/>
        <v>0</v>
      </c>
      <c r="M15" s="653"/>
      <c r="N15" s="653"/>
      <c r="O15" s="653"/>
      <c r="P15" s="438"/>
      <c r="Q15" s="438"/>
      <c r="R15" s="438"/>
      <c r="S15" s="438"/>
      <c r="T15" s="438"/>
      <c r="U15" s="438"/>
      <c r="V15" s="438"/>
      <c r="W15" s="438"/>
      <c r="X15" s="436"/>
    </row>
    <row r="16" spans="1:24" ht="15" customHeight="1">
      <c r="A16" s="277">
        <v>6</v>
      </c>
      <c r="B16" s="278" t="s">
        <v>415</v>
      </c>
      <c r="C16" s="284">
        <f>+'Investment Securities'!B15</f>
        <v>6670220</v>
      </c>
      <c r="D16" s="62">
        <f>+'Investment Securities'!C15</f>
        <v>6670220</v>
      </c>
      <c r="E16" s="62">
        <f>+'Investment Securities'!D15</f>
        <v>0</v>
      </c>
      <c r="F16" s="653"/>
      <c r="G16" s="653"/>
      <c r="I16" s="653"/>
      <c r="J16" s="653"/>
      <c r="K16" s="653"/>
      <c r="L16" s="654">
        <f t="shared" si="0"/>
        <v>0</v>
      </c>
      <c r="M16" s="653"/>
      <c r="N16" s="653"/>
      <c r="O16" s="653"/>
      <c r="P16" s="438"/>
      <c r="Q16" s="438"/>
      <c r="R16" s="438"/>
      <c r="S16" s="438"/>
      <c r="T16" s="438"/>
      <c r="U16" s="438"/>
      <c r="V16" s="438"/>
      <c r="W16" s="438"/>
    </row>
    <row r="17" spans="1:23" ht="15" customHeight="1">
      <c r="A17" s="277" t="s">
        <v>822</v>
      </c>
      <c r="B17" s="280" t="s">
        <v>998</v>
      </c>
      <c r="C17" s="62">
        <f>+D17+E17</f>
        <v>6941924</v>
      </c>
      <c r="D17" s="62">
        <f>+'Investment Securities'!C13</f>
        <v>6941924</v>
      </c>
      <c r="E17" s="62">
        <f>+'Investment Securities'!D13</f>
        <v>0</v>
      </c>
      <c r="F17" s="653"/>
      <c r="G17" s="653"/>
      <c r="I17" s="653"/>
      <c r="J17" s="653"/>
      <c r="K17" s="653"/>
      <c r="L17" s="654">
        <f t="shared" si="0"/>
        <v>0</v>
      </c>
      <c r="M17" s="653"/>
      <c r="N17" s="653"/>
      <c r="O17" s="653"/>
      <c r="P17" s="438"/>
      <c r="Q17" s="438"/>
      <c r="R17" s="438"/>
      <c r="S17" s="438"/>
      <c r="T17" s="438"/>
      <c r="U17" s="438"/>
      <c r="V17" s="438"/>
      <c r="W17" s="438"/>
    </row>
    <row r="18" spans="1:23" ht="15" customHeight="1">
      <c r="A18" s="283" t="s">
        <v>823</v>
      </c>
      <c r="B18" s="280" t="s">
        <v>855</v>
      </c>
      <c r="C18" s="62">
        <f>+D18+E18</f>
        <v>271704</v>
      </c>
      <c r="D18" s="62">
        <f>+'Investment Securities'!C14</f>
        <v>271704</v>
      </c>
      <c r="E18" s="62">
        <f>+'Investment Securities'!D14</f>
        <v>0</v>
      </c>
      <c r="F18" s="653"/>
      <c r="G18" s="653"/>
      <c r="I18" s="653"/>
      <c r="J18" s="653"/>
      <c r="K18" s="653"/>
      <c r="L18" s="654">
        <f t="shared" si="0"/>
        <v>0</v>
      </c>
      <c r="M18" s="653"/>
      <c r="N18" s="653"/>
      <c r="O18" s="653"/>
      <c r="P18" s="438"/>
      <c r="Q18" s="438"/>
      <c r="R18" s="438"/>
      <c r="S18" s="438"/>
      <c r="T18" s="438"/>
      <c r="U18" s="438"/>
      <c r="V18" s="438"/>
      <c r="W18" s="438"/>
    </row>
    <row r="19" spans="1:23" ht="15" customHeight="1">
      <c r="A19" s="277">
        <v>7</v>
      </c>
      <c r="B19" s="278" t="s">
        <v>999</v>
      </c>
      <c r="C19" s="62">
        <f>+'Bank Assets Analysis'!S28</f>
        <v>0</v>
      </c>
      <c r="D19" s="62">
        <f>+'Bank Assets Analysis'!T28</f>
        <v>0</v>
      </c>
      <c r="E19" s="62">
        <f>+'Bank Assets Analysis'!U28</f>
        <v>0</v>
      </c>
      <c r="F19" s="653"/>
      <c r="G19" s="653"/>
      <c r="I19" s="653"/>
      <c r="J19" s="653"/>
      <c r="K19" s="653"/>
      <c r="L19" s="654">
        <f t="shared" si="0"/>
        <v>0</v>
      </c>
      <c r="M19" s="653"/>
      <c r="N19" s="653"/>
      <c r="O19" s="653"/>
      <c r="P19" s="438"/>
      <c r="Q19" s="438"/>
      <c r="R19" s="438"/>
      <c r="S19" s="438"/>
      <c r="T19" s="438"/>
      <c r="U19" s="438"/>
      <c r="V19" s="438"/>
      <c r="W19" s="438"/>
    </row>
    <row r="20" spans="1:23" ht="15" customHeight="1">
      <c r="A20" s="277" t="s">
        <v>824</v>
      </c>
      <c r="B20" s="280" t="s">
        <v>1000</v>
      </c>
      <c r="C20" s="62">
        <f>+D20+E20</f>
        <v>0</v>
      </c>
      <c r="D20" s="53">
        <v>0</v>
      </c>
      <c r="E20" s="53">
        <v>0</v>
      </c>
      <c r="F20" s="653"/>
      <c r="G20" s="653"/>
      <c r="I20" s="653"/>
      <c r="J20" s="653"/>
      <c r="K20" s="653"/>
      <c r="L20" s="654">
        <f t="shared" si="0"/>
        <v>0</v>
      </c>
      <c r="M20" s="653"/>
      <c r="N20" s="653"/>
      <c r="O20" s="653"/>
      <c r="P20" s="438"/>
      <c r="Q20" s="438"/>
      <c r="R20" s="438"/>
      <c r="S20" s="438"/>
      <c r="T20" s="438"/>
      <c r="U20" s="438"/>
      <c r="V20" s="438"/>
      <c r="W20" s="438"/>
    </row>
    <row r="21" spans="1:23" ht="15" customHeight="1">
      <c r="A21" s="277" t="s">
        <v>825</v>
      </c>
      <c r="B21" s="280" t="s">
        <v>1001</v>
      </c>
      <c r="C21" s="62">
        <f>+D21+E21</f>
        <v>0</v>
      </c>
      <c r="D21" s="53">
        <v>0</v>
      </c>
      <c r="E21" s="53">
        <v>0</v>
      </c>
      <c r="F21" s="653"/>
      <c r="G21" s="653"/>
      <c r="I21" s="653"/>
      <c r="J21" s="653"/>
      <c r="K21" s="653"/>
      <c r="L21" s="654">
        <f t="shared" si="0"/>
        <v>0</v>
      </c>
      <c r="M21" s="653"/>
      <c r="N21" s="653"/>
      <c r="O21" s="653"/>
      <c r="P21" s="438"/>
      <c r="Q21" s="438"/>
      <c r="R21" s="438"/>
      <c r="S21" s="438"/>
      <c r="T21" s="438"/>
      <c r="U21" s="438"/>
      <c r="V21" s="438"/>
      <c r="W21" s="438"/>
    </row>
    <row r="22" spans="1:23" ht="15" customHeight="1">
      <c r="A22" s="277">
        <v>8</v>
      </c>
      <c r="B22" s="278" t="s">
        <v>1002</v>
      </c>
      <c r="C22" s="284">
        <f>+'Bank Assets Analysis'!S24+'Bank Assets Analysis'!S25+'Bank Assets Analysis'!S26</f>
        <v>4652448980</v>
      </c>
      <c r="D22" s="284">
        <f>+'Bank Assets Analysis'!T24+'Bank Assets Analysis'!T25+'Bank Assets Analysis'!T26</f>
        <v>3092790433</v>
      </c>
      <c r="E22" s="284">
        <f>+'Bank Assets Analysis'!U24+'Bank Assets Analysis'!U25+'Bank Assets Analysis'!U26</f>
        <v>1559658547</v>
      </c>
      <c r="G22" s="653"/>
      <c r="I22" s="653"/>
      <c r="J22" s="653"/>
      <c r="K22" s="653"/>
      <c r="L22" s="654">
        <f t="shared" si="0"/>
        <v>0</v>
      </c>
      <c r="M22" s="653"/>
      <c r="N22" s="653"/>
      <c r="O22" s="653"/>
      <c r="P22" s="438"/>
      <c r="Q22" s="438"/>
      <c r="R22" s="438"/>
      <c r="S22" s="438"/>
      <c r="T22" s="438"/>
      <c r="U22" s="438"/>
      <c r="V22" s="438"/>
      <c r="W22" s="438"/>
    </row>
    <row r="23" spans="1:23" ht="12.75">
      <c r="A23" s="277" t="s">
        <v>826</v>
      </c>
      <c r="B23" s="280" t="s">
        <v>1003</v>
      </c>
      <c r="C23" s="62">
        <f>+D23+E23</f>
        <v>4772374677</v>
      </c>
      <c r="D23" s="53">
        <v>3194072351</v>
      </c>
      <c r="E23" s="53">
        <v>1578302326</v>
      </c>
      <c r="F23" s="653"/>
      <c r="G23" s="653"/>
      <c r="I23" s="653"/>
      <c r="J23" s="653"/>
      <c r="K23" s="653"/>
      <c r="L23" s="654">
        <f t="shared" si="0"/>
        <v>0</v>
      </c>
      <c r="M23" s="653"/>
      <c r="N23" s="653"/>
      <c r="O23" s="653"/>
      <c r="P23" s="438"/>
      <c r="Q23" s="438"/>
      <c r="R23" s="438"/>
      <c r="S23" s="438"/>
      <c r="T23" s="438"/>
      <c r="U23" s="438"/>
      <c r="V23" s="438"/>
      <c r="W23" s="438"/>
    </row>
    <row r="24" spans="1:23" ht="15" customHeight="1">
      <c r="A24" s="277" t="s">
        <v>827</v>
      </c>
      <c r="B24" s="280" t="s">
        <v>855</v>
      </c>
      <c r="C24" s="62">
        <f>+'Charge-offs and Recoveries'!C25</f>
        <v>119925697</v>
      </c>
      <c r="D24" s="53">
        <v>101281918</v>
      </c>
      <c r="E24" s="53">
        <v>18643779</v>
      </c>
      <c r="F24" s="653">
        <f>+'Asset Classification'!Y50</f>
        <v>119925697</v>
      </c>
      <c r="G24" s="653"/>
      <c r="I24" s="653"/>
      <c r="J24" s="653"/>
      <c r="K24" s="653"/>
      <c r="L24" s="654">
        <f t="shared" si="0"/>
        <v>0</v>
      </c>
      <c r="M24" s="653"/>
      <c r="N24" s="653"/>
      <c r="O24" s="653"/>
      <c r="P24" s="438"/>
      <c r="Q24" s="438"/>
      <c r="R24" s="438"/>
      <c r="S24" s="438"/>
      <c r="T24" s="438"/>
      <c r="U24" s="438"/>
      <c r="V24" s="438"/>
      <c r="W24" s="438"/>
    </row>
    <row r="25" spans="1:23" ht="15" customHeight="1">
      <c r="A25" s="277">
        <v>9</v>
      </c>
      <c r="B25" s="278" t="s">
        <v>403</v>
      </c>
      <c r="C25" s="284">
        <f>+'Bank Assets Analysis'!S20</f>
        <v>0</v>
      </c>
      <c r="D25" s="284">
        <f>+'Bank Assets Analysis'!T20</f>
        <v>0</v>
      </c>
      <c r="E25" s="284">
        <f>+'Bank Assets Analysis'!U20</f>
        <v>0</v>
      </c>
      <c r="F25" s="653"/>
      <c r="G25" s="653"/>
      <c r="I25" s="653"/>
      <c r="J25" s="653"/>
      <c r="K25" s="653"/>
      <c r="L25" s="654">
        <f t="shared" si="0"/>
        <v>0</v>
      </c>
      <c r="M25" s="653"/>
      <c r="N25" s="653"/>
      <c r="O25" s="653"/>
      <c r="P25" s="438"/>
      <c r="Q25" s="438"/>
      <c r="R25" s="438"/>
      <c r="S25" s="438"/>
      <c r="T25" s="438"/>
      <c r="U25" s="438"/>
      <c r="V25" s="438"/>
      <c r="W25" s="438"/>
    </row>
    <row r="26" spans="1:23" ht="15" customHeight="1">
      <c r="A26" s="277" t="s">
        <v>828</v>
      </c>
      <c r="B26" s="280" t="s">
        <v>1004</v>
      </c>
      <c r="C26" s="62">
        <f>+D26+E26</f>
        <v>0</v>
      </c>
      <c r="D26" s="53">
        <v>0</v>
      </c>
      <c r="E26" s="53">
        <v>0</v>
      </c>
      <c r="F26" s="653"/>
      <c r="G26" s="653"/>
      <c r="I26" s="653"/>
      <c r="J26" s="653"/>
      <c r="K26" s="653"/>
      <c r="L26" s="654">
        <f t="shared" si="0"/>
        <v>0</v>
      </c>
      <c r="M26" s="653"/>
      <c r="N26" s="653"/>
      <c r="O26" s="653"/>
      <c r="P26" s="438"/>
      <c r="Q26" s="438"/>
      <c r="R26" s="438"/>
      <c r="S26" s="438"/>
      <c r="T26" s="438"/>
      <c r="U26" s="438"/>
      <c r="V26" s="438"/>
      <c r="W26" s="438"/>
    </row>
    <row r="27" spans="1:23" ht="15" customHeight="1">
      <c r="A27" s="277" t="s">
        <v>829</v>
      </c>
      <c r="B27" s="280" t="s">
        <v>855</v>
      </c>
      <c r="C27" s="62">
        <f>+D27+E27</f>
        <v>0</v>
      </c>
      <c r="D27" s="53">
        <v>0</v>
      </c>
      <c r="E27" s="53">
        <v>0</v>
      </c>
      <c r="F27" s="653"/>
      <c r="G27" s="653"/>
      <c r="I27" s="653"/>
      <c r="J27" s="653"/>
      <c r="K27" s="653"/>
      <c r="L27" s="654">
        <f t="shared" si="0"/>
        <v>0</v>
      </c>
      <c r="M27" s="653"/>
      <c r="N27" s="653"/>
      <c r="O27" s="653"/>
      <c r="P27" s="438"/>
      <c r="Q27" s="438"/>
      <c r="R27" s="438"/>
      <c r="S27" s="438"/>
      <c r="T27" s="438"/>
      <c r="U27" s="438"/>
      <c r="V27" s="438"/>
      <c r="W27" s="438"/>
    </row>
    <row r="28" spans="1:23" ht="15" customHeight="1">
      <c r="A28" s="277">
        <v>10</v>
      </c>
      <c r="B28" s="280" t="s">
        <v>1005</v>
      </c>
      <c r="C28" s="284">
        <f>+D28+E28</f>
        <v>0</v>
      </c>
      <c r="D28" s="284">
        <f>+'Bank Assets Analysis'!T21+'Bank Assets Analysis'!T22</f>
        <v>0</v>
      </c>
      <c r="E28" s="284">
        <f>+'Bank Assets Analysis'!U21+'Bank Assets Analysis'!U22</f>
        <v>0</v>
      </c>
      <c r="F28" s="653"/>
      <c r="G28" s="653"/>
      <c r="I28" s="653"/>
      <c r="J28" s="653"/>
      <c r="K28" s="653"/>
      <c r="L28" s="654">
        <f t="shared" si="0"/>
        <v>0</v>
      </c>
      <c r="M28" s="653"/>
      <c r="N28" s="653"/>
      <c r="O28" s="653"/>
      <c r="P28" s="438"/>
      <c r="Q28" s="438"/>
      <c r="R28" s="438"/>
      <c r="S28" s="438"/>
      <c r="T28" s="438"/>
      <c r="U28" s="438"/>
      <c r="V28" s="438"/>
      <c r="W28" s="438"/>
    </row>
    <row r="29" spans="1:23" ht="15" customHeight="1">
      <c r="A29" s="277" t="s">
        <v>830</v>
      </c>
      <c r="B29" s="280" t="s">
        <v>1115</v>
      </c>
      <c r="C29" s="62">
        <f>+D29+E29</f>
        <v>0</v>
      </c>
      <c r="D29" s="53">
        <v>0</v>
      </c>
      <c r="E29" s="53">
        <v>0</v>
      </c>
      <c r="F29" s="653"/>
      <c r="G29" s="653"/>
      <c r="I29" s="653"/>
      <c r="J29" s="653"/>
      <c r="K29" s="653"/>
      <c r="L29" s="654">
        <f t="shared" si="0"/>
        <v>0</v>
      </c>
      <c r="M29" s="653"/>
      <c r="N29" s="653"/>
      <c r="O29" s="653"/>
      <c r="P29" s="438"/>
      <c r="Q29" s="438"/>
      <c r="R29" s="438"/>
      <c r="S29" s="438"/>
      <c r="T29" s="438"/>
      <c r="U29" s="438"/>
      <c r="V29" s="438"/>
      <c r="W29" s="438"/>
    </row>
    <row r="30" spans="1:23" ht="15" customHeight="1">
      <c r="A30" s="277" t="s">
        <v>831</v>
      </c>
      <c r="B30" s="280" t="s">
        <v>855</v>
      </c>
      <c r="C30" s="62">
        <f>+D30+E30</f>
        <v>0</v>
      </c>
      <c r="D30" s="53"/>
      <c r="E30" s="53"/>
      <c r="F30" s="653"/>
      <c r="G30" s="653"/>
      <c r="I30" s="653"/>
      <c r="J30" s="653"/>
      <c r="K30" s="653"/>
      <c r="L30" s="654">
        <f t="shared" si="0"/>
        <v>0</v>
      </c>
      <c r="M30" s="653"/>
      <c r="N30" s="653"/>
      <c r="O30" s="653"/>
      <c r="P30" s="438"/>
      <c r="Q30" s="438"/>
      <c r="R30" s="438"/>
      <c r="S30" s="438"/>
      <c r="T30" s="438"/>
      <c r="U30" s="438"/>
      <c r="V30" s="438"/>
      <c r="W30" s="438"/>
    </row>
    <row r="31" spans="1:23" ht="15" customHeight="1">
      <c r="A31" s="277">
        <v>11</v>
      </c>
      <c r="B31" s="280" t="s">
        <v>1006</v>
      </c>
      <c r="C31" s="62">
        <f>+'Bank Assets Analysis'!S31</f>
        <v>149099836</v>
      </c>
      <c r="D31" s="62">
        <f>+'Bank Assets Analysis'!T31</f>
        <v>149099836</v>
      </c>
      <c r="E31" s="62">
        <f>+'Bank Assets Analysis'!U31</f>
        <v>0</v>
      </c>
      <c r="F31" s="653"/>
      <c r="G31" s="653"/>
      <c r="I31" s="653"/>
      <c r="J31" s="653"/>
      <c r="K31" s="653"/>
      <c r="L31" s="654">
        <f t="shared" si="0"/>
        <v>0</v>
      </c>
      <c r="M31" s="653"/>
      <c r="N31" s="653"/>
      <c r="O31" s="653"/>
      <c r="P31" s="438"/>
      <c r="Q31" s="438"/>
      <c r="R31" s="438"/>
      <c r="S31" s="438"/>
      <c r="T31" s="438"/>
      <c r="U31" s="438"/>
      <c r="V31" s="438"/>
      <c r="W31" s="438"/>
    </row>
    <row r="32" spans="1:23" ht="15" customHeight="1">
      <c r="A32" s="277">
        <v>12</v>
      </c>
      <c r="B32" s="280" t="s">
        <v>1116</v>
      </c>
      <c r="C32" s="62">
        <f>+C33+C34-C35</f>
        <v>35355520</v>
      </c>
      <c r="D32" s="62">
        <f>+D33+D34-D35</f>
        <v>27389456</v>
      </c>
      <c r="E32" s="62">
        <f>+E33+E34-E35</f>
        <v>7966064</v>
      </c>
      <c r="F32" s="653"/>
      <c r="G32" s="653"/>
      <c r="I32" s="653"/>
      <c r="J32" s="653"/>
      <c r="K32" s="653"/>
      <c r="L32" s="654">
        <f t="shared" si="0"/>
        <v>0</v>
      </c>
      <c r="M32" s="653"/>
      <c r="N32" s="653"/>
      <c r="O32" s="653"/>
      <c r="P32" s="438"/>
      <c r="Q32" s="438"/>
      <c r="R32" s="438"/>
      <c r="S32" s="438"/>
      <c r="T32" s="438"/>
      <c r="U32" s="438"/>
      <c r="V32" s="438"/>
      <c r="W32" s="438"/>
    </row>
    <row r="33" spans="1:23" ht="15" customHeight="1">
      <c r="A33" s="277" t="s">
        <v>832</v>
      </c>
      <c r="B33" s="280" t="s">
        <v>1118</v>
      </c>
      <c r="C33" s="62">
        <f>+'Bank Assets Analysis'!S36</f>
        <v>35343476</v>
      </c>
      <c r="D33" s="62">
        <f>+'Bank Assets Analysis'!T36</f>
        <v>27377412</v>
      </c>
      <c r="E33" s="62">
        <f>+'Bank Assets Analysis'!U36</f>
        <v>7966064</v>
      </c>
      <c r="F33" s="653"/>
      <c r="G33" s="653"/>
      <c r="I33" s="653"/>
      <c r="J33" s="653"/>
      <c r="K33" s="653"/>
      <c r="L33" s="654">
        <f t="shared" si="0"/>
        <v>0</v>
      </c>
      <c r="M33" s="653"/>
      <c r="N33" s="653"/>
      <c r="O33" s="653"/>
      <c r="P33" s="438"/>
      <c r="Q33" s="438"/>
      <c r="R33" s="438"/>
      <c r="S33" s="438"/>
      <c r="T33" s="438"/>
      <c r="U33" s="438"/>
      <c r="V33" s="438"/>
      <c r="W33" s="438"/>
    </row>
    <row r="34" spans="1:23" ht="18" customHeight="1">
      <c r="A34" s="277" t="s">
        <v>833</v>
      </c>
      <c r="B34" s="506" t="s">
        <v>1119</v>
      </c>
      <c r="C34" s="62">
        <f>+D34+E34</f>
        <v>12044</v>
      </c>
      <c r="D34" s="53">
        <v>12044</v>
      </c>
      <c r="E34" s="53">
        <v>0</v>
      </c>
      <c r="F34" s="653"/>
      <c r="G34" s="653"/>
      <c r="I34" s="653"/>
      <c r="J34" s="653"/>
      <c r="K34" s="653"/>
      <c r="L34" s="654">
        <f t="shared" si="0"/>
        <v>0</v>
      </c>
      <c r="M34" s="653"/>
      <c r="N34" s="653"/>
      <c r="O34" s="653"/>
      <c r="P34" s="438"/>
      <c r="Q34" s="438"/>
      <c r="R34" s="438"/>
      <c r="S34" s="438"/>
      <c r="T34" s="438"/>
      <c r="U34" s="438"/>
      <c r="V34" s="438"/>
      <c r="W34" s="438"/>
    </row>
    <row r="35" spans="1:23" ht="18" customHeight="1">
      <c r="A35" s="277" t="s">
        <v>834</v>
      </c>
      <c r="B35" s="280" t="s">
        <v>855</v>
      </c>
      <c r="C35" s="62">
        <f>+D35+E35</f>
        <v>0</v>
      </c>
      <c r="D35" s="53">
        <v>0</v>
      </c>
      <c r="E35" s="53">
        <v>0</v>
      </c>
      <c r="F35" s="653"/>
      <c r="G35" s="653"/>
      <c r="I35" s="653"/>
      <c r="J35" s="653"/>
      <c r="K35" s="653"/>
      <c r="L35" s="654">
        <f t="shared" si="0"/>
        <v>0</v>
      </c>
      <c r="M35" s="653"/>
      <c r="N35" s="653"/>
      <c r="O35" s="653"/>
      <c r="P35" s="438"/>
      <c r="Q35" s="438"/>
      <c r="R35" s="438"/>
      <c r="S35" s="438"/>
      <c r="T35" s="438"/>
      <c r="U35" s="438"/>
      <c r="V35" s="438"/>
      <c r="W35" s="438"/>
    </row>
    <row r="36" spans="1:23" ht="18" customHeight="1">
      <c r="A36" s="277">
        <v>13</v>
      </c>
      <c r="B36" s="278" t="s">
        <v>1007</v>
      </c>
      <c r="C36" s="62">
        <f>+'Bank Assets Analysis'!S32</f>
        <v>0</v>
      </c>
      <c r="D36" s="62">
        <f>+'Bank Assets Analysis'!T32</f>
        <v>0</v>
      </c>
      <c r="E36" s="62">
        <f>+'Bank Assets Analysis'!U32</f>
        <v>0</v>
      </c>
      <c r="F36" s="653"/>
      <c r="G36" s="653"/>
      <c r="I36" s="653"/>
      <c r="J36" s="653"/>
      <c r="K36" s="653"/>
      <c r="L36" s="654">
        <f t="shared" si="0"/>
        <v>0</v>
      </c>
      <c r="M36" s="653"/>
      <c r="N36" s="653"/>
      <c r="O36" s="653"/>
      <c r="P36" s="438"/>
      <c r="Q36" s="438"/>
      <c r="R36" s="438"/>
      <c r="S36" s="438"/>
      <c r="T36" s="438"/>
      <c r="U36" s="438"/>
      <c r="V36" s="438"/>
      <c r="W36" s="438"/>
    </row>
    <row r="37" spans="1:23" ht="18" customHeight="1">
      <c r="A37" s="277" t="s">
        <v>835</v>
      </c>
      <c r="B37" s="506" t="s">
        <v>1120</v>
      </c>
      <c r="C37" s="62">
        <f>+D37+E37</f>
        <v>0</v>
      </c>
      <c r="D37" s="53"/>
      <c r="E37" s="53"/>
      <c r="F37" s="653"/>
      <c r="G37" s="653"/>
      <c r="I37" s="653"/>
      <c r="J37" s="653"/>
      <c r="K37" s="653"/>
      <c r="L37" s="654">
        <f t="shared" si="0"/>
        <v>0</v>
      </c>
      <c r="M37" s="653"/>
      <c r="N37" s="653"/>
      <c r="O37" s="653"/>
      <c r="P37" s="438"/>
      <c r="Q37" s="438"/>
      <c r="R37" s="438"/>
      <c r="S37" s="438"/>
      <c r="T37" s="438"/>
      <c r="U37" s="438"/>
      <c r="V37" s="438"/>
      <c r="W37" s="438"/>
    </row>
    <row r="38" spans="1:23" ht="18" customHeight="1">
      <c r="A38" s="277" t="s">
        <v>836</v>
      </c>
      <c r="B38" s="506" t="s">
        <v>1121</v>
      </c>
      <c r="C38" s="62">
        <f>+D38+E38</f>
        <v>0</v>
      </c>
      <c r="D38" s="53"/>
      <c r="E38" s="53"/>
      <c r="F38" s="653"/>
      <c r="G38" s="653"/>
      <c r="I38" s="653"/>
      <c r="J38" s="653"/>
      <c r="K38" s="653"/>
      <c r="L38" s="654">
        <f t="shared" si="0"/>
        <v>0</v>
      </c>
      <c r="M38" s="653"/>
      <c r="N38" s="653"/>
      <c r="O38" s="653"/>
      <c r="P38" s="438"/>
      <c r="Q38" s="438"/>
      <c r="R38" s="438"/>
      <c r="S38" s="438"/>
      <c r="T38" s="438"/>
      <c r="U38" s="438"/>
      <c r="V38" s="438"/>
      <c r="W38" s="438"/>
    </row>
    <row r="39" spans="1:23" ht="18" customHeight="1">
      <c r="A39" s="277" t="s">
        <v>837</v>
      </c>
      <c r="B39" s="285" t="s">
        <v>1008</v>
      </c>
      <c r="C39" s="62">
        <f>+D39+E39</f>
        <v>0</v>
      </c>
      <c r="D39" s="53">
        <v>0</v>
      </c>
      <c r="E39" s="53"/>
      <c r="F39" s="653"/>
      <c r="G39" s="653"/>
      <c r="I39" s="653"/>
      <c r="J39" s="653"/>
      <c r="K39" s="653"/>
      <c r="L39" s="654">
        <f t="shared" si="0"/>
        <v>0</v>
      </c>
      <c r="M39" s="653"/>
      <c r="N39" s="653"/>
      <c r="O39" s="653"/>
      <c r="P39" s="438"/>
      <c r="Q39" s="438"/>
      <c r="R39" s="438"/>
      <c r="S39" s="438"/>
      <c r="T39" s="438"/>
      <c r="U39" s="438"/>
      <c r="V39" s="438"/>
      <c r="W39" s="438"/>
    </row>
    <row r="40" spans="1:23" ht="18" customHeight="1">
      <c r="A40" s="277">
        <v>14</v>
      </c>
      <c r="B40" s="278" t="s">
        <v>181</v>
      </c>
      <c r="C40" s="284">
        <f>+C41-C42+C43</f>
        <v>159793158</v>
      </c>
      <c r="D40" s="284">
        <f>+D41-D42+D43</f>
        <v>87417391</v>
      </c>
      <c r="E40" s="284">
        <f>+E41-E42+E43</f>
        <v>72375767</v>
      </c>
      <c r="F40" s="653"/>
      <c r="G40" s="653"/>
      <c r="I40" s="653"/>
      <c r="J40" s="653"/>
      <c r="K40" s="653"/>
      <c r="L40" s="654">
        <f t="shared" si="0"/>
        <v>0</v>
      </c>
      <c r="M40" s="653"/>
      <c r="N40" s="653"/>
      <c r="O40" s="653"/>
      <c r="P40" s="438"/>
      <c r="Q40" s="438"/>
      <c r="R40" s="438"/>
      <c r="S40" s="438"/>
      <c r="T40" s="438"/>
      <c r="U40" s="438"/>
      <c r="V40" s="438"/>
      <c r="W40" s="438"/>
    </row>
    <row r="41" spans="1:23" ht="18" customHeight="1">
      <c r="A41" s="277" t="s">
        <v>838</v>
      </c>
      <c r="B41" s="506" t="s">
        <v>1009</v>
      </c>
      <c r="C41" s="286">
        <f>+D41+E41</f>
        <v>164581413</v>
      </c>
      <c r="D41" s="53">
        <v>22080772</v>
      </c>
      <c r="E41" s="53">
        <v>142500641</v>
      </c>
      <c r="F41" s="653"/>
      <c r="G41" s="653"/>
      <c r="H41" s="653"/>
      <c r="I41" s="653"/>
      <c r="J41" s="653"/>
      <c r="K41" s="653"/>
      <c r="L41" s="654">
        <f t="shared" si="0"/>
        <v>0</v>
      </c>
      <c r="M41" s="653"/>
      <c r="N41" s="653"/>
      <c r="O41" s="653"/>
      <c r="P41" s="438"/>
      <c r="Q41" s="438"/>
      <c r="R41" s="438"/>
      <c r="S41" s="438"/>
      <c r="T41" s="438"/>
      <c r="U41" s="438"/>
      <c r="V41" s="438"/>
      <c r="W41" s="438"/>
    </row>
    <row r="42" spans="1:23" ht="15" customHeight="1">
      <c r="A42" s="277" t="s">
        <v>839</v>
      </c>
      <c r="B42" s="280" t="s">
        <v>855</v>
      </c>
      <c r="C42" s="286">
        <f>+D42+E42</f>
        <v>4788255</v>
      </c>
      <c r="D42" s="53">
        <v>4745103</v>
      </c>
      <c r="E42" s="53">
        <v>43152</v>
      </c>
      <c r="F42" s="653"/>
      <c r="G42" s="653"/>
      <c r="H42" s="654"/>
      <c r="I42" s="653"/>
      <c r="J42" s="653"/>
      <c r="K42" s="653"/>
      <c r="L42" s="654">
        <f t="shared" si="0"/>
        <v>0</v>
      </c>
      <c r="M42" s="653"/>
      <c r="N42" s="653"/>
      <c r="O42" s="653"/>
      <c r="P42" s="438"/>
      <c r="Q42" s="438"/>
      <c r="R42" s="438"/>
      <c r="S42" s="438"/>
      <c r="T42" s="438"/>
      <c r="U42" s="438"/>
      <c r="V42" s="438"/>
      <c r="W42" s="438"/>
    </row>
    <row r="43" spans="1:23" s="282" customFormat="1" ht="15" customHeight="1">
      <c r="A43" s="277" t="s">
        <v>1206</v>
      </c>
      <c r="B43" s="506" t="s">
        <v>1203</v>
      </c>
      <c r="C43" s="286">
        <f>+D43+E43</f>
        <v>0</v>
      </c>
      <c r="D43" s="53">
        <v>70081722</v>
      </c>
      <c r="E43" s="53">
        <v>-70081722</v>
      </c>
      <c r="F43" s="922"/>
      <c r="G43" s="922"/>
      <c r="H43" s="923"/>
      <c r="I43" s="922"/>
      <c r="J43" s="922"/>
      <c r="K43" s="922"/>
      <c r="L43" s="974">
        <f>+C43-D43-E43</f>
        <v>0</v>
      </c>
      <c r="M43" s="922"/>
      <c r="N43" s="922"/>
      <c r="O43" s="922"/>
      <c r="P43" s="281"/>
      <c r="Q43" s="281"/>
      <c r="R43" s="281"/>
      <c r="S43" s="281"/>
      <c r="T43" s="281"/>
      <c r="U43" s="281"/>
      <c r="V43" s="281"/>
      <c r="W43" s="281"/>
    </row>
    <row r="44" spans="1:23" ht="15" customHeight="1">
      <c r="A44" s="287" t="s">
        <v>420</v>
      </c>
      <c r="B44" s="441" t="s">
        <v>1067</v>
      </c>
      <c r="C44" s="288">
        <f>+D44+E44</f>
        <v>5890272405</v>
      </c>
      <c r="D44" s="288">
        <f>+D5+D6+D7+D10+D13+D16+D19+D22+D25+D28+D31+D32+D36+D40</f>
        <v>3939131965</v>
      </c>
      <c r="E44" s="288">
        <f>+E5+E6+E7+E10+E13+E16+E19+E22+E25+E28+E31+E32+E36+E40</f>
        <v>1951140440</v>
      </c>
      <c r="F44" s="654">
        <f>+'Bank Assets Analysis'!S38</f>
        <v>5890272405</v>
      </c>
      <c r="G44" s="654">
        <f>+'Bank Assets Analysis'!T38</f>
        <v>3939131965</v>
      </c>
      <c r="H44" s="654">
        <f>+'Bank Assets Analysis'!U38</f>
        <v>1951140440</v>
      </c>
      <c r="I44" s="653"/>
      <c r="J44" s="653"/>
      <c r="K44" s="653"/>
      <c r="L44" s="654">
        <f t="shared" si="0"/>
        <v>0</v>
      </c>
      <c r="M44" s="653"/>
      <c r="N44" s="653"/>
      <c r="O44" s="653"/>
      <c r="P44" s="438"/>
      <c r="Q44" s="438"/>
      <c r="R44" s="438"/>
      <c r="S44" s="438"/>
      <c r="T44" s="438"/>
      <c r="U44" s="438"/>
      <c r="V44" s="438"/>
      <c r="W44" s="438"/>
    </row>
    <row r="45" spans="1:23" ht="6.75" customHeight="1">
      <c r="A45" s="277"/>
      <c r="B45" s="289"/>
      <c r="C45" s="62"/>
      <c r="D45" s="62"/>
      <c r="E45" s="62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438"/>
      <c r="Q45" s="438"/>
      <c r="R45" s="438"/>
      <c r="S45" s="438"/>
      <c r="T45" s="438"/>
      <c r="U45" s="438"/>
      <c r="V45" s="438"/>
      <c r="W45" s="438"/>
    </row>
    <row r="46" spans="1:23" ht="15" customHeight="1">
      <c r="A46" s="277"/>
      <c r="B46" s="290" t="s">
        <v>1</v>
      </c>
      <c r="C46" s="62"/>
      <c r="D46" s="62"/>
      <c r="E46" s="62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438"/>
      <c r="Q46" s="438"/>
      <c r="R46" s="438"/>
      <c r="S46" s="438"/>
      <c r="T46" s="438"/>
      <c r="U46" s="438"/>
      <c r="V46" s="438"/>
      <c r="W46" s="438"/>
    </row>
    <row r="47" spans="1:23" ht="6.75" customHeight="1">
      <c r="A47" s="277"/>
      <c r="B47" s="290"/>
      <c r="C47" s="62"/>
      <c r="D47" s="62"/>
      <c r="E47" s="62"/>
      <c r="F47" s="653"/>
      <c r="G47" s="653"/>
      <c r="H47" s="653"/>
      <c r="I47" s="653"/>
      <c r="J47" s="653"/>
      <c r="K47" s="653"/>
      <c r="L47" s="653"/>
      <c r="M47" s="653"/>
      <c r="N47" s="653"/>
      <c r="O47" s="653"/>
      <c r="P47" s="438"/>
      <c r="Q47" s="438"/>
      <c r="R47" s="438"/>
      <c r="S47" s="438"/>
      <c r="T47" s="438"/>
      <c r="U47" s="438"/>
      <c r="V47" s="438"/>
      <c r="W47" s="438"/>
    </row>
    <row r="48" spans="1:23" ht="15" customHeight="1">
      <c r="A48" s="277"/>
      <c r="B48" s="291" t="s">
        <v>2</v>
      </c>
      <c r="C48" s="62"/>
      <c r="D48" s="62"/>
      <c r="E48" s="62"/>
      <c r="F48" s="653"/>
      <c r="G48" s="653"/>
      <c r="H48" s="653"/>
      <c r="I48" s="653"/>
      <c r="J48" s="653"/>
      <c r="K48" s="653"/>
      <c r="L48" s="653"/>
      <c r="M48" s="653"/>
      <c r="N48" s="653"/>
      <c r="O48" s="653"/>
      <c r="P48" s="438"/>
      <c r="Q48" s="438"/>
      <c r="R48" s="438"/>
      <c r="S48" s="438"/>
      <c r="T48" s="438"/>
      <c r="U48" s="438"/>
      <c r="V48" s="438"/>
      <c r="W48" s="438"/>
    </row>
    <row r="49" spans="1:23" ht="16.5" customHeight="1">
      <c r="A49" s="277" t="s">
        <v>840</v>
      </c>
      <c r="B49" s="278" t="s">
        <v>437</v>
      </c>
      <c r="C49" s="63">
        <f>+'Deposits by Client'!C11</f>
        <v>411919754</v>
      </c>
      <c r="D49" s="305">
        <f>+'Bank Liabilities Analysis'!T16+'Bank Liabilities Analysis'!T8</f>
        <v>376542342</v>
      </c>
      <c r="E49" s="63">
        <f>+'Bank Liabilities Analysis'!U16+'Bank Liabilities Analysis'!U8</f>
        <v>35377412</v>
      </c>
      <c r="F49" s="653"/>
      <c r="G49" s="653"/>
      <c r="H49" s="653"/>
      <c r="I49" s="653"/>
      <c r="J49" s="653"/>
      <c r="K49" s="653"/>
      <c r="L49" s="654">
        <f t="shared" ref="L49:L77" si="1">+C49-D49-E49</f>
        <v>0</v>
      </c>
      <c r="M49" s="653"/>
      <c r="N49" s="653"/>
      <c r="O49" s="653"/>
      <c r="P49" s="438"/>
      <c r="Q49" s="438"/>
      <c r="R49" s="438"/>
      <c r="S49" s="438"/>
      <c r="T49" s="438"/>
      <c r="U49" s="438"/>
      <c r="V49" s="438"/>
      <c r="W49" s="438"/>
    </row>
    <row r="50" spans="1:23" ht="16.5" customHeight="1">
      <c r="A50" s="277" t="s">
        <v>423</v>
      </c>
      <c r="B50" s="278" t="s">
        <v>1010</v>
      </c>
      <c r="C50" s="63">
        <f>+'Deposits by Client'!C20</f>
        <v>980518852</v>
      </c>
      <c r="D50" s="305">
        <f>+'Bank Liabilities Analysis'!T13</f>
        <v>720172719</v>
      </c>
      <c r="E50" s="63">
        <f>+'Bank Liabilities Analysis'!U13</f>
        <v>260346133</v>
      </c>
      <c r="F50" s="653"/>
      <c r="G50" s="653"/>
      <c r="H50" s="653"/>
      <c r="I50" s="653"/>
      <c r="J50" s="653"/>
      <c r="K50" s="653"/>
      <c r="L50" s="654">
        <f t="shared" si="1"/>
        <v>0</v>
      </c>
      <c r="M50" s="653"/>
      <c r="N50" s="653"/>
      <c r="O50" s="653"/>
      <c r="P50" s="438"/>
      <c r="Q50" s="438"/>
      <c r="R50" s="438"/>
      <c r="S50" s="438"/>
      <c r="T50" s="438"/>
      <c r="U50" s="438"/>
      <c r="V50" s="438"/>
      <c r="W50" s="438"/>
    </row>
    <row r="51" spans="1:23" ht="16.5" customHeight="1">
      <c r="A51" s="277" t="s">
        <v>425</v>
      </c>
      <c r="B51" s="278" t="s">
        <v>443</v>
      </c>
      <c r="C51" s="63">
        <f>+'Bank Liabilities Analysis'!S23</f>
        <v>0</v>
      </c>
      <c r="D51" s="62">
        <f>+'Bank Liabilities Analysis'!T23</f>
        <v>0</v>
      </c>
      <c r="E51" s="62">
        <f>+'Bank Liabilities Analysis'!U23</f>
        <v>0</v>
      </c>
      <c r="F51" s="653"/>
      <c r="G51" s="653"/>
      <c r="H51" s="653"/>
      <c r="I51" s="653"/>
      <c r="J51" s="653"/>
      <c r="K51" s="653"/>
      <c r="L51" s="654">
        <f t="shared" si="1"/>
        <v>0</v>
      </c>
      <c r="M51" s="653"/>
      <c r="N51" s="653"/>
      <c r="O51" s="653"/>
      <c r="P51" s="438"/>
      <c r="Q51" s="438"/>
      <c r="R51" s="438"/>
      <c r="S51" s="438"/>
      <c r="T51" s="438"/>
      <c r="U51" s="438"/>
      <c r="V51" s="438"/>
      <c r="W51" s="438"/>
    </row>
    <row r="52" spans="1:23" ht="16.5" customHeight="1">
      <c r="A52" s="277" t="s">
        <v>427</v>
      </c>
      <c r="B52" s="278" t="s">
        <v>444</v>
      </c>
      <c r="C52" s="63">
        <f>+'Bank Liabilities Analysis'!S24</f>
        <v>1255060883</v>
      </c>
      <c r="D52" s="62">
        <f>+'Bank Liabilities Analysis'!T24</f>
        <v>344256789</v>
      </c>
      <c r="E52" s="62">
        <f>+'Bank Liabilities Analysis'!U24</f>
        <v>910804094</v>
      </c>
      <c r="F52" s="653"/>
      <c r="G52" s="653"/>
      <c r="H52" s="653"/>
      <c r="I52" s="653"/>
      <c r="J52" s="653"/>
      <c r="K52" s="653"/>
      <c r="L52" s="654">
        <f t="shared" si="1"/>
        <v>0</v>
      </c>
      <c r="M52" s="653"/>
      <c r="N52" s="653"/>
      <c r="O52" s="653"/>
      <c r="P52" s="438"/>
      <c r="Q52" s="438"/>
      <c r="R52" s="438"/>
      <c r="S52" s="438"/>
      <c r="T52" s="438"/>
      <c r="U52" s="438"/>
      <c r="V52" s="438"/>
      <c r="W52" s="438"/>
    </row>
    <row r="53" spans="1:23" ht="16.5" customHeight="1">
      <c r="A53" s="277" t="s">
        <v>429</v>
      </c>
      <c r="B53" s="292" t="s">
        <v>1011</v>
      </c>
      <c r="C53" s="63">
        <f>+'Bank Liabilities Analysis'!S33</f>
        <v>0</v>
      </c>
      <c r="D53" s="62">
        <f>+'Bank Liabilities Analysis'!T33</f>
        <v>0</v>
      </c>
      <c r="E53" s="62">
        <f>+'Bank Liabilities Analysis'!U33</f>
        <v>0</v>
      </c>
      <c r="F53" s="653"/>
      <c r="G53" s="653"/>
      <c r="H53" s="653"/>
      <c r="I53" s="653"/>
      <c r="J53" s="653"/>
      <c r="K53" s="653"/>
      <c r="L53" s="654">
        <f t="shared" si="1"/>
        <v>0</v>
      </c>
      <c r="M53" s="653"/>
      <c r="N53" s="653"/>
      <c r="O53" s="653"/>
      <c r="P53" s="438"/>
      <c r="Q53" s="438"/>
      <c r="R53" s="438"/>
      <c r="S53" s="438"/>
      <c r="T53" s="438"/>
      <c r="U53" s="438"/>
      <c r="V53" s="438"/>
      <c r="W53" s="438"/>
    </row>
    <row r="54" spans="1:23" ht="16.5" customHeight="1">
      <c r="A54" s="277" t="s">
        <v>431</v>
      </c>
      <c r="B54" s="278" t="s">
        <v>447</v>
      </c>
      <c r="C54" s="63">
        <f>+D54+E54</f>
        <v>1288900066</v>
      </c>
      <c r="D54" s="53">
        <v>818676330</v>
      </c>
      <c r="E54" s="53">
        <v>470223736</v>
      </c>
      <c r="F54" s="653"/>
      <c r="G54" s="653"/>
      <c r="H54" s="653"/>
      <c r="I54" s="653"/>
      <c r="J54" s="653"/>
      <c r="K54" s="653"/>
      <c r="L54" s="654">
        <f t="shared" si="1"/>
        <v>0</v>
      </c>
      <c r="M54" s="653"/>
      <c r="N54" s="653"/>
      <c r="O54" s="653"/>
      <c r="P54" s="438"/>
      <c r="Q54" s="438"/>
      <c r="R54" s="438"/>
      <c r="S54" s="438"/>
      <c r="T54" s="438"/>
      <c r="U54" s="438"/>
      <c r="V54" s="438"/>
      <c r="W54" s="438"/>
    </row>
    <row r="55" spans="1:23" ht="16.5" customHeight="1">
      <c r="A55" s="277" t="s">
        <v>96</v>
      </c>
      <c r="B55" s="452" t="s">
        <v>1090</v>
      </c>
      <c r="C55" s="63">
        <f>+D55+E55</f>
        <v>0</v>
      </c>
      <c r="D55" s="53">
        <v>0</v>
      </c>
      <c r="E55" s="53">
        <v>0</v>
      </c>
      <c r="F55" s="653"/>
      <c r="G55" s="653"/>
      <c r="H55" s="653"/>
      <c r="I55" s="653"/>
      <c r="J55" s="653"/>
      <c r="K55" s="653"/>
      <c r="L55" s="654">
        <f t="shared" si="1"/>
        <v>0</v>
      </c>
      <c r="M55" s="653"/>
      <c r="N55" s="653"/>
      <c r="O55" s="653"/>
      <c r="P55" s="438"/>
      <c r="Q55" s="438"/>
      <c r="R55" s="438"/>
      <c r="S55" s="438"/>
      <c r="T55" s="438"/>
      <c r="U55" s="438"/>
      <c r="V55" s="438"/>
      <c r="W55" s="438"/>
    </row>
    <row r="56" spans="1:23" ht="16.5" customHeight="1">
      <c r="A56" s="277" t="s">
        <v>97</v>
      </c>
      <c r="B56" s="442" t="s">
        <v>1012</v>
      </c>
      <c r="C56" s="63">
        <f>+D56+E56</f>
        <v>0</v>
      </c>
      <c r="D56" s="53">
        <v>0</v>
      </c>
      <c r="E56" s="53">
        <v>0</v>
      </c>
      <c r="F56" s="653"/>
      <c r="G56" s="653"/>
      <c r="H56" s="653"/>
      <c r="I56" s="653"/>
      <c r="J56" s="653"/>
      <c r="K56" s="653"/>
      <c r="L56" s="654">
        <f t="shared" si="1"/>
        <v>0</v>
      </c>
      <c r="M56" s="653"/>
      <c r="N56" s="653"/>
      <c r="O56" s="653"/>
      <c r="P56" s="438"/>
      <c r="Q56" s="438"/>
      <c r="R56" s="438"/>
      <c r="S56" s="438"/>
      <c r="T56" s="438"/>
      <c r="U56" s="438"/>
      <c r="V56" s="438"/>
      <c r="W56" s="438"/>
    </row>
    <row r="57" spans="1:23" ht="16.5" customHeight="1">
      <c r="A57" s="277" t="s">
        <v>841</v>
      </c>
      <c r="B57" s="278" t="s">
        <v>1013</v>
      </c>
      <c r="C57" s="63">
        <f>+'Bank Liabilities Analysis'!S36</f>
        <v>17489975</v>
      </c>
      <c r="D57" s="63">
        <f>+'Bank Liabilities Analysis'!T36</f>
        <v>10224338</v>
      </c>
      <c r="E57" s="63">
        <f>+'Bank Liabilities Analysis'!U36</f>
        <v>7265637</v>
      </c>
      <c r="F57" s="653"/>
      <c r="G57" s="653"/>
      <c r="H57" s="653"/>
      <c r="I57" s="653"/>
      <c r="J57" s="653"/>
      <c r="K57" s="653"/>
      <c r="L57" s="654">
        <f t="shared" si="1"/>
        <v>0</v>
      </c>
      <c r="M57" s="653"/>
      <c r="N57" s="653"/>
      <c r="O57" s="653"/>
      <c r="P57" s="438"/>
      <c r="Q57" s="438"/>
      <c r="R57" s="438"/>
      <c r="S57" s="438"/>
      <c r="T57" s="438"/>
      <c r="U57" s="438"/>
      <c r="V57" s="438"/>
      <c r="W57" s="438"/>
    </row>
    <row r="58" spans="1:23" ht="16.5" customHeight="1">
      <c r="A58" s="277" t="s">
        <v>842</v>
      </c>
      <c r="B58" s="278" t="s">
        <v>1014</v>
      </c>
      <c r="C58" s="63">
        <f>+D58+E58</f>
        <v>6455266</v>
      </c>
      <c r="D58" s="53">
        <v>6455266</v>
      </c>
      <c r="E58" s="53">
        <v>0</v>
      </c>
      <c r="F58" s="653"/>
      <c r="G58" s="653"/>
      <c r="H58" s="653"/>
      <c r="I58" s="653"/>
      <c r="J58" s="653"/>
      <c r="K58" s="653"/>
      <c r="L58" s="654">
        <f t="shared" si="1"/>
        <v>0</v>
      </c>
      <c r="M58" s="653"/>
      <c r="N58" s="653"/>
      <c r="O58" s="653"/>
      <c r="P58" s="438"/>
      <c r="Q58" s="438"/>
      <c r="R58" s="438"/>
      <c r="S58" s="438"/>
      <c r="T58" s="438"/>
      <c r="U58" s="438"/>
      <c r="V58" s="438"/>
      <c r="W58" s="438"/>
    </row>
    <row r="59" spans="1:23" ht="16.5" customHeight="1">
      <c r="A59" s="277" t="s">
        <v>843</v>
      </c>
      <c r="B59" s="278" t="s">
        <v>1015</v>
      </c>
      <c r="C59" s="63">
        <f>+'Bank Liabilities Analysis'!S35</f>
        <v>1615392</v>
      </c>
      <c r="D59" s="62">
        <f>+'Bank Liabilities Analysis'!T35</f>
        <v>1448014</v>
      </c>
      <c r="E59" s="62">
        <f>+'Bank Liabilities Analysis'!U35</f>
        <v>167378</v>
      </c>
      <c r="F59" s="653"/>
      <c r="G59" s="653"/>
      <c r="H59" s="653"/>
      <c r="I59" s="653"/>
      <c r="J59" s="653"/>
      <c r="K59" s="653"/>
      <c r="L59" s="654">
        <f t="shared" si="1"/>
        <v>0</v>
      </c>
      <c r="M59" s="653"/>
      <c r="N59" s="653"/>
      <c r="O59" s="653"/>
      <c r="P59" s="438"/>
      <c r="Q59" s="438"/>
      <c r="R59" s="438"/>
      <c r="S59" s="438"/>
      <c r="T59" s="438"/>
      <c r="U59" s="438"/>
      <c r="V59" s="438"/>
      <c r="W59" s="438"/>
    </row>
    <row r="60" spans="1:23" ht="16.5" customHeight="1">
      <c r="A60" s="277" t="s">
        <v>844</v>
      </c>
      <c r="B60" s="278" t="s">
        <v>454</v>
      </c>
      <c r="C60" s="63">
        <f>+D60+E60</f>
        <v>303206742</v>
      </c>
      <c r="D60" s="53">
        <v>36250692</v>
      </c>
      <c r="E60" s="53">
        <v>266956050</v>
      </c>
      <c r="F60" s="653"/>
      <c r="G60" s="653"/>
      <c r="H60" s="653"/>
      <c r="I60" s="653"/>
      <c r="J60" s="653"/>
      <c r="K60" s="653"/>
      <c r="L60" s="654">
        <f t="shared" si="1"/>
        <v>0</v>
      </c>
      <c r="M60" s="653"/>
      <c r="N60" s="653"/>
      <c r="O60" s="653"/>
      <c r="P60" s="438"/>
      <c r="Q60" s="438"/>
      <c r="R60" s="438"/>
      <c r="S60" s="438"/>
      <c r="T60" s="438"/>
      <c r="U60" s="438"/>
      <c r="V60" s="438"/>
      <c r="W60" s="438"/>
    </row>
    <row r="61" spans="1:23" ht="16.5" customHeight="1">
      <c r="A61" s="295" t="s">
        <v>845</v>
      </c>
      <c r="B61" s="293" t="s">
        <v>1026</v>
      </c>
      <c r="C61" s="294">
        <f>+D61+E61</f>
        <v>4265166930</v>
      </c>
      <c r="D61" s="294">
        <f>SUM(D49:D60)</f>
        <v>2314026490</v>
      </c>
      <c r="E61" s="294">
        <f>SUM(E49:E60)</f>
        <v>1951140440</v>
      </c>
      <c r="F61" s="655">
        <f>+'Bank Liabilities Analysis'!S38</f>
        <v>4265166930</v>
      </c>
      <c r="G61" s="655">
        <f>+'Bank Liabilities Analysis'!T38</f>
        <v>2314026490</v>
      </c>
      <c r="H61" s="655">
        <f>+'Bank Liabilities Analysis'!U38</f>
        <v>1951140440</v>
      </c>
      <c r="I61" s="653"/>
      <c r="J61" s="653"/>
      <c r="K61" s="653"/>
      <c r="L61" s="654">
        <f t="shared" si="1"/>
        <v>0</v>
      </c>
      <c r="M61" s="653"/>
      <c r="N61" s="653"/>
      <c r="O61" s="653"/>
      <c r="P61" s="438"/>
      <c r="Q61" s="438"/>
      <c r="R61" s="438"/>
      <c r="S61" s="438"/>
      <c r="T61" s="438"/>
      <c r="U61" s="438"/>
      <c r="V61" s="438"/>
      <c r="W61" s="438"/>
    </row>
    <row r="62" spans="1:23" ht="6.75" customHeight="1">
      <c r="A62" s="277"/>
      <c r="B62" s="289"/>
      <c r="C62" s="63"/>
      <c r="D62" s="63"/>
      <c r="E62" s="63"/>
      <c r="F62" s="653"/>
      <c r="G62" s="653"/>
      <c r="H62" s="653"/>
      <c r="I62" s="653"/>
      <c r="J62" s="653"/>
      <c r="K62" s="653"/>
      <c r="L62" s="654">
        <f t="shared" si="1"/>
        <v>0</v>
      </c>
      <c r="M62" s="653"/>
      <c r="N62" s="653"/>
      <c r="O62" s="653"/>
      <c r="P62" s="438"/>
      <c r="Q62" s="438"/>
      <c r="R62" s="438"/>
      <c r="S62" s="438"/>
      <c r="T62" s="438"/>
      <c r="U62" s="438"/>
      <c r="V62" s="438"/>
      <c r="W62" s="438"/>
    </row>
    <row r="63" spans="1:23" ht="15" customHeight="1">
      <c r="A63" s="283"/>
      <c r="B63" s="291" t="s">
        <v>3</v>
      </c>
      <c r="C63" s="62"/>
      <c r="D63" s="62"/>
      <c r="E63" s="62"/>
      <c r="F63" s="653"/>
      <c r="G63" s="653"/>
      <c r="H63" s="653"/>
      <c r="I63" s="653"/>
      <c r="J63" s="653"/>
      <c r="K63" s="653"/>
      <c r="L63" s="654">
        <f t="shared" si="1"/>
        <v>0</v>
      </c>
      <c r="M63" s="653"/>
      <c r="N63" s="653"/>
      <c r="O63" s="653"/>
      <c r="P63" s="438"/>
      <c r="Q63" s="438"/>
      <c r="R63" s="438"/>
      <c r="S63" s="438"/>
      <c r="T63" s="438"/>
      <c r="U63" s="438"/>
      <c r="V63" s="438"/>
      <c r="W63" s="438"/>
    </row>
    <row r="64" spans="1:23" ht="6.75" customHeight="1">
      <c r="A64" s="277"/>
      <c r="B64" s="289"/>
      <c r="C64" s="63"/>
      <c r="D64" s="63"/>
      <c r="E64" s="63"/>
      <c r="F64" s="653"/>
      <c r="G64" s="653"/>
      <c r="H64" s="653"/>
      <c r="I64" s="653"/>
      <c r="J64" s="653"/>
      <c r="K64" s="653"/>
      <c r="L64" s="654">
        <f>+C64-D64-E64</f>
        <v>0</v>
      </c>
      <c r="M64" s="653"/>
      <c r="N64" s="653"/>
      <c r="O64" s="653"/>
      <c r="P64" s="438"/>
      <c r="Q64" s="438"/>
      <c r="R64" s="438"/>
      <c r="S64" s="438"/>
      <c r="T64" s="438"/>
      <c r="U64" s="438"/>
      <c r="V64" s="438"/>
      <c r="W64" s="438"/>
    </row>
    <row r="65" spans="1:32" ht="15" customHeight="1">
      <c r="A65" s="295" t="s">
        <v>846</v>
      </c>
      <c r="B65" s="278" t="s">
        <v>1016</v>
      </c>
      <c r="C65" s="62"/>
      <c r="D65" s="62"/>
      <c r="E65" s="62"/>
      <c r="F65" s="653"/>
      <c r="G65" s="653"/>
      <c r="H65" s="653"/>
      <c r="I65" s="653"/>
      <c r="J65" s="653"/>
      <c r="K65" s="653"/>
      <c r="L65" s="654">
        <f t="shared" si="1"/>
        <v>0</v>
      </c>
      <c r="M65" s="653"/>
      <c r="N65" s="653"/>
      <c r="O65" s="653"/>
      <c r="P65" s="438"/>
      <c r="Q65" s="438"/>
      <c r="R65" s="438"/>
      <c r="S65" s="438"/>
      <c r="T65" s="438"/>
      <c r="U65" s="438"/>
      <c r="V65" s="438"/>
      <c r="W65" s="438"/>
    </row>
    <row r="66" spans="1:32" ht="15" customHeight="1">
      <c r="A66" s="283" t="s">
        <v>1091</v>
      </c>
      <c r="B66" s="280" t="s">
        <v>1017</v>
      </c>
      <c r="C66" s="63">
        <f>+'Bank Capital Calc'!C7</f>
        <v>1641584276</v>
      </c>
      <c r="D66" s="304">
        <v>1641584276</v>
      </c>
      <c r="E66" s="304">
        <v>0</v>
      </c>
      <c r="F66" s="653"/>
      <c r="G66" s="653"/>
      <c r="H66" s="653"/>
      <c r="I66" s="653"/>
      <c r="J66" s="653"/>
      <c r="K66" s="653"/>
      <c r="L66" s="654">
        <f t="shared" si="1"/>
        <v>0</v>
      </c>
      <c r="M66" s="653"/>
      <c r="N66" s="653"/>
      <c r="O66" s="653"/>
      <c r="P66" s="438"/>
      <c r="Q66" s="438"/>
      <c r="R66" s="438"/>
      <c r="S66" s="438"/>
      <c r="T66" s="438"/>
      <c r="U66" s="438"/>
      <c r="V66" s="438"/>
      <c r="W66" s="438"/>
    </row>
    <row r="67" spans="1:32" ht="15" customHeight="1">
      <c r="A67" s="277" t="s">
        <v>1092</v>
      </c>
      <c r="B67" s="280" t="s">
        <v>1018</v>
      </c>
      <c r="C67" s="63">
        <f>+'Bank Capital Calc'!C25</f>
        <v>144180</v>
      </c>
      <c r="D67" s="53">
        <v>144180</v>
      </c>
      <c r="E67" s="53"/>
      <c r="F67" s="653"/>
      <c r="G67" s="653"/>
      <c r="H67" s="653"/>
      <c r="I67" s="653"/>
      <c r="J67" s="653"/>
      <c r="K67" s="653"/>
      <c r="L67" s="654">
        <f t="shared" si="1"/>
        <v>0</v>
      </c>
      <c r="M67" s="653"/>
      <c r="N67" s="653"/>
      <c r="O67" s="653"/>
      <c r="P67" s="438"/>
      <c r="Q67" s="438"/>
      <c r="R67" s="438"/>
      <c r="S67" s="438"/>
      <c r="T67" s="438"/>
      <c r="U67" s="438"/>
      <c r="V67" s="438"/>
      <c r="W67" s="438"/>
    </row>
    <row r="68" spans="1:32" ht="15" customHeight="1">
      <c r="A68" s="277" t="s">
        <v>847</v>
      </c>
      <c r="B68" s="296" t="s">
        <v>146</v>
      </c>
      <c r="C68" s="63">
        <f>+'Bank Capital Calc'!C10+'Bank Capital Calc'!C28</f>
        <v>0</v>
      </c>
      <c r="D68" s="53">
        <v>0</v>
      </c>
      <c r="E68" s="53"/>
      <c r="F68" s="653"/>
      <c r="G68" s="653"/>
      <c r="H68" s="653"/>
      <c r="I68" s="653"/>
      <c r="J68" s="653"/>
      <c r="K68" s="653"/>
      <c r="L68" s="654">
        <f t="shared" si="1"/>
        <v>0</v>
      </c>
      <c r="M68" s="653"/>
      <c r="N68" s="653"/>
      <c r="O68" s="653"/>
      <c r="P68" s="438"/>
      <c r="Q68" s="438"/>
      <c r="R68" s="438"/>
      <c r="S68" s="438"/>
      <c r="T68" s="438"/>
      <c r="U68" s="438"/>
      <c r="V68" s="438"/>
      <c r="W68" s="438"/>
    </row>
    <row r="69" spans="1:32" ht="15" customHeight="1">
      <c r="A69" s="277" t="s">
        <v>848</v>
      </c>
      <c r="B69" s="296" t="s">
        <v>1019</v>
      </c>
      <c r="C69" s="62"/>
      <c r="D69" s="62"/>
      <c r="E69" s="62"/>
      <c r="F69" s="653"/>
      <c r="G69" s="653"/>
      <c r="H69" s="653"/>
      <c r="I69" s="653"/>
      <c r="J69" s="653"/>
      <c r="K69" s="653"/>
      <c r="L69" s="654">
        <f t="shared" si="1"/>
        <v>0</v>
      </c>
      <c r="M69" s="653"/>
      <c r="N69" s="653"/>
      <c r="O69" s="653"/>
      <c r="P69" s="438"/>
      <c r="Q69" s="438"/>
      <c r="R69" s="438"/>
      <c r="S69" s="438"/>
      <c r="T69" s="438"/>
      <c r="U69" s="438"/>
      <c r="V69" s="438"/>
      <c r="W69" s="438"/>
    </row>
    <row r="70" spans="1:32" ht="15" customHeight="1">
      <c r="A70" s="277" t="s">
        <v>849</v>
      </c>
      <c r="B70" s="297" t="s">
        <v>1020</v>
      </c>
      <c r="C70" s="63">
        <f>+D70+E70</f>
        <v>48234365</v>
      </c>
      <c r="D70" s="53">
        <v>48234365</v>
      </c>
      <c r="E70" s="53">
        <v>0</v>
      </c>
      <c r="F70" s="653"/>
      <c r="G70" s="653"/>
      <c r="H70" s="653"/>
      <c r="I70" s="653"/>
      <c r="J70" s="653"/>
      <c r="K70" s="653"/>
      <c r="L70" s="654">
        <f t="shared" si="1"/>
        <v>0</v>
      </c>
      <c r="M70" s="653"/>
      <c r="N70" s="653"/>
      <c r="O70" s="653"/>
      <c r="P70" s="438"/>
      <c r="Q70" s="438"/>
      <c r="R70" s="438"/>
      <c r="S70" s="438"/>
      <c r="T70" s="438"/>
      <c r="U70" s="438"/>
      <c r="V70" s="438"/>
      <c r="W70" s="438"/>
    </row>
    <row r="71" spans="1:32" ht="15" customHeight="1">
      <c r="A71" s="277" t="s">
        <v>1093</v>
      </c>
      <c r="B71" s="297" t="s">
        <v>1021</v>
      </c>
      <c r="C71" s="63">
        <f>+'Asset Classification'!G71</f>
        <v>0</v>
      </c>
      <c r="D71" s="305"/>
      <c r="E71" s="63">
        <f>+'Asset Classification'!H71</f>
        <v>0</v>
      </c>
      <c r="F71" s="654">
        <f>+'Asset Classification'!G71</f>
        <v>0</v>
      </c>
      <c r="G71" s="653"/>
      <c r="H71" s="654">
        <f>+'Asset Classification'!H71</f>
        <v>0</v>
      </c>
      <c r="I71" s="653"/>
      <c r="J71" s="653"/>
      <c r="K71" s="653"/>
      <c r="L71" s="654">
        <f t="shared" si="1"/>
        <v>0</v>
      </c>
      <c r="M71" s="653"/>
      <c r="N71" s="653"/>
      <c r="O71" s="653"/>
      <c r="P71" s="438"/>
      <c r="Q71" s="438"/>
      <c r="R71" s="438"/>
      <c r="S71" s="438"/>
      <c r="T71" s="438"/>
      <c r="U71" s="438"/>
      <c r="V71" s="438"/>
      <c r="W71" s="438"/>
    </row>
    <row r="72" spans="1:32" ht="15" customHeight="1">
      <c r="A72" s="277" t="s">
        <v>1094</v>
      </c>
      <c r="B72" s="440" t="s">
        <v>1022</v>
      </c>
      <c r="C72" s="63">
        <f>+'Bank Capital Calc'!C17</f>
        <v>0</v>
      </c>
      <c r="D72" s="53"/>
      <c r="E72" s="53"/>
      <c r="F72" s="653"/>
      <c r="G72" s="653"/>
      <c r="H72" s="653"/>
      <c r="I72" s="653"/>
      <c r="J72" s="653"/>
      <c r="K72" s="653"/>
      <c r="L72" s="654">
        <f t="shared" si="1"/>
        <v>0</v>
      </c>
      <c r="M72" s="653"/>
      <c r="N72" s="653"/>
      <c r="O72" s="653"/>
      <c r="P72" s="438"/>
      <c r="Q72" s="438"/>
      <c r="R72" s="438"/>
      <c r="S72" s="438"/>
      <c r="T72" s="438"/>
      <c r="U72" s="438"/>
      <c r="V72" s="438"/>
      <c r="W72" s="438"/>
    </row>
    <row r="73" spans="1:32" ht="15" customHeight="1">
      <c r="A73" s="277" t="s">
        <v>1095</v>
      </c>
      <c r="B73" s="297" t="s">
        <v>1023</v>
      </c>
      <c r="C73" s="63">
        <f>+D73+E73</f>
        <v>6153526</v>
      </c>
      <c r="D73" s="53">
        <v>6153526</v>
      </c>
      <c r="E73" s="53"/>
      <c r="F73" s="653"/>
      <c r="G73" s="653"/>
      <c r="H73" s="653"/>
      <c r="I73" s="653"/>
      <c r="J73" s="653"/>
      <c r="K73" s="653"/>
      <c r="L73" s="654">
        <f t="shared" si="1"/>
        <v>0</v>
      </c>
      <c r="M73" s="653"/>
      <c r="N73" s="653"/>
      <c r="O73" s="653"/>
      <c r="P73" s="438"/>
      <c r="Q73" s="438"/>
      <c r="R73" s="438"/>
      <c r="S73" s="438"/>
      <c r="T73" s="438"/>
      <c r="U73" s="438"/>
      <c r="V73" s="438"/>
      <c r="W73" s="438"/>
    </row>
    <row r="74" spans="1:32" ht="15" customHeight="1">
      <c r="A74" s="277" t="s">
        <v>850</v>
      </c>
      <c r="B74" s="296" t="s">
        <v>147</v>
      </c>
      <c r="C74" s="63">
        <f>+D74+E74</f>
        <v>-71010872</v>
      </c>
      <c r="D74" s="53">
        <v>-71010872</v>
      </c>
      <c r="E74" s="53">
        <v>0</v>
      </c>
      <c r="F74" s="653"/>
      <c r="G74" s="653"/>
      <c r="H74" s="653"/>
      <c r="I74" s="653"/>
      <c r="J74" s="653"/>
      <c r="K74" s="653"/>
      <c r="L74" s="654">
        <f t="shared" si="1"/>
        <v>0</v>
      </c>
      <c r="M74" s="653"/>
      <c r="N74" s="653"/>
      <c r="O74" s="653"/>
      <c r="P74" s="438"/>
      <c r="Q74" s="438"/>
      <c r="R74" s="438"/>
      <c r="S74" s="438"/>
      <c r="T74" s="438"/>
      <c r="U74" s="438"/>
      <c r="V74" s="438"/>
      <c r="W74" s="438"/>
    </row>
    <row r="75" spans="1:32" ht="15" customHeight="1">
      <c r="A75" s="277" t="s">
        <v>1096</v>
      </c>
      <c r="B75" s="440" t="s">
        <v>1126</v>
      </c>
      <c r="C75" s="63">
        <f>+D75+E75</f>
        <v>6838822</v>
      </c>
      <c r="D75" s="53">
        <v>6838822</v>
      </c>
      <c r="E75" s="53"/>
      <c r="F75" s="653"/>
      <c r="G75" s="653"/>
      <c r="H75" s="653"/>
      <c r="I75" s="653"/>
      <c r="J75" s="653"/>
      <c r="K75" s="653"/>
      <c r="L75" s="654">
        <f t="shared" si="1"/>
        <v>0</v>
      </c>
      <c r="M75" s="653"/>
      <c r="N75" s="653"/>
      <c r="O75" s="653"/>
      <c r="P75" s="438"/>
      <c r="Q75" s="438"/>
      <c r="R75" s="438"/>
      <c r="S75" s="438"/>
      <c r="T75" s="438"/>
      <c r="U75" s="438"/>
      <c r="V75" s="438"/>
      <c r="W75" s="438"/>
    </row>
    <row r="76" spans="1:32" ht="15" customHeight="1">
      <c r="A76" s="298" t="s">
        <v>851</v>
      </c>
      <c r="B76" s="293" t="s">
        <v>1024</v>
      </c>
      <c r="C76" s="63">
        <f>SUM(C66:C74)</f>
        <v>1625105475</v>
      </c>
      <c r="D76" s="299">
        <f>SUM(D66:D74)</f>
        <v>1625105475</v>
      </c>
      <c r="E76" s="299">
        <f>SUM(E66:E74)</f>
        <v>0</v>
      </c>
      <c r="F76" s="654">
        <f>+'Changes in Equity'!C14</f>
        <v>1625105475</v>
      </c>
      <c r="G76" s="653"/>
      <c r="H76" s="653"/>
      <c r="I76" s="653"/>
      <c r="J76" s="653"/>
      <c r="K76" s="653"/>
      <c r="L76" s="654">
        <f t="shared" si="1"/>
        <v>0</v>
      </c>
      <c r="M76" s="653"/>
      <c r="N76" s="653"/>
      <c r="O76" s="653"/>
      <c r="P76" s="438"/>
      <c r="Q76" s="438"/>
      <c r="R76" s="438"/>
      <c r="S76" s="438"/>
      <c r="T76" s="438"/>
      <c r="U76" s="438"/>
      <c r="V76" s="438"/>
      <c r="W76" s="438"/>
    </row>
    <row r="77" spans="1:32" ht="15" customHeight="1">
      <c r="A77" s="298" t="s">
        <v>1097</v>
      </c>
      <c r="B77" s="300" t="s">
        <v>1025</v>
      </c>
      <c r="C77" s="288">
        <f>+D77+E77</f>
        <v>5890272405</v>
      </c>
      <c r="D77" s="288">
        <f>+D61+D76</f>
        <v>3939131965</v>
      </c>
      <c r="E77" s="288">
        <f>+E61+E76</f>
        <v>1951140440</v>
      </c>
      <c r="F77" s="653"/>
      <c r="G77" s="653"/>
      <c r="H77" s="653"/>
      <c r="I77" s="653"/>
      <c r="J77" s="653"/>
      <c r="K77" s="653"/>
      <c r="L77" s="654">
        <f t="shared" si="1"/>
        <v>0</v>
      </c>
      <c r="M77" s="653"/>
      <c r="N77" s="653"/>
      <c r="O77" s="653"/>
      <c r="P77" s="438"/>
      <c r="Q77" s="438"/>
      <c r="R77" s="438"/>
      <c r="S77" s="438"/>
      <c r="T77" s="438"/>
      <c r="U77" s="438"/>
      <c r="V77" s="438"/>
      <c r="W77" s="438"/>
    </row>
    <row r="78" spans="1:32" ht="15" customHeight="1">
      <c r="A78" s="281"/>
      <c r="B78" s="228"/>
      <c r="C78" s="228"/>
      <c r="D78" s="228"/>
      <c r="E78" s="228"/>
      <c r="F78" s="653"/>
      <c r="G78" s="653"/>
      <c r="H78" s="653"/>
      <c r="I78" s="653"/>
      <c r="J78" s="653"/>
      <c r="K78" s="653"/>
      <c r="L78" s="653"/>
      <c r="M78" s="653"/>
      <c r="N78" s="653"/>
      <c r="O78" s="653"/>
      <c r="P78" s="438"/>
      <c r="Q78" s="438"/>
      <c r="R78" s="438"/>
      <c r="S78" s="438"/>
      <c r="T78" s="438"/>
      <c r="U78" s="438"/>
      <c r="V78" s="438"/>
      <c r="W78" s="438"/>
    </row>
    <row r="79" spans="1:32" ht="15" customHeight="1">
      <c r="A79" s="281"/>
      <c r="B79" s="15" t="s">
        <v>4</v>
      </c>
      <c r="C79" s="228"/>
      <c r="D79" s="228"/>
      <c r="E79" s="228"/>
      <c r="F79" s="653"/>
      <c r="G79" s="653"/>
      <c r="H79" s="653"/>
      <c r="I79" s="653"/>
      <c r="J79" s="653"/>
      <c r="K79" s="653"/>
      <c r="L79" s="653"/>
      <c r="M79" s="653"/>
      <c r="N79" s="653"/>
      <c r="O79" s="653"/>
      <c r="P79" s="438"/>
      <c r="Q79" s="438"/>
      <c r="R79" s="438"/>
      <c r="S79" s="438"/>
      <c r="T79" s="438"/>
      <c r="U79" s="438"/>
      <c r="V79" s="438"/>
      <c r="W79" s="438"/>
      <c r="X79" s="438"/>
      <c r="Y79" s="228"/>
      <c r="Z79" s="228"/>
      <c r="AA79" s="228"/>
      <c r="AB79" s="228"/>
      <c r="AC79" s="228"/>
      <c r="AD79" s="228"/>
      <c r="AE79" s="228"/>
      <c r="AF79" s="228"/>
    </row>
    <row r="80" spans="1:32" ht="11.25" customHeight="1">
      <c r="A80" s="281"/>
      <c r="B80" s="15"/>
      <c r="C80" s="228"/>
      <c r="D80" s="228"/>
      <c r="E80" s="228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438"/>
      <c r="Q80" s="438"/>
      <c r="R80" s="438"/>
      <c r="S80" s="438"/>
      <c r="T80" s="438"/>
      <c r="U80" s="438"/>
      <c r="V80" s="438"/>
      <c r="W80" s="438"/>
      <c r="X80" s="438"/>
      <c r="Y80" s="228"/>
      <c r="Z80" s="228"/>
      <c r="AA80" s="228"/>
      <c r="AB80" s="228"/>
      <c r="AC80" s="228"/>
      <c r="AD80" s="228"/>
      <c r="AE80" s="228"/>
      <c r="AF80" s="228"/>
    </row>
    <row r="81" spans="1:32" ht="15" customHeight="1">
      <c r="A81" s="281"/>
      <c r="B81" s="15" t="s">
        <v>5</v>
      </c>
      <c r="C81" s="228"/>
      <c r="D81" s="228"/>
      <c r="E81" s="228"/>
      <c r="F81" s="653"/>
      <c r="G81" s="653"/>
      <c r="H81" s="653"/>
      <c r="I81" s="653"/>
      <c r="J81" s="653"/>
      <c r="K81" s="653"/>
      <c r="L81" s="653"/>
      <c r="M81" s="653"/>
      <c r="N81" s="653"/>
      <c r="O81" s="653"/>
      <c r="P81" s="438"/>
      <c r="Q81" s="438"/>
      <c r="R81" s="438"/>
      <c r="S81" s="438"/>
      <c r="T81" s="438"/>
      <c r="U81" s="438"/>
      <c r="V81" s="438"/>
      <c r="W81" s="438"/>
      <c r="X81" s="438"/>
      <c r="Y81" s="228"/>
      <c r="Z81" s="228"/>
      <c r="AA81" s="228"/>
      <c r="AB81" s="228"/>
      <c r="AC81" s="228"/>
      <c r="AD81" s="228"/>
      <c r="AE81" s="228"/>
      <c r="AF81" s="228"/>
    </row>
    <row r="82" spans="1:32" ht="15" customHeight="1">
      <c r="A82" s="281"/>
      <c r="B82" s="228"/>
      <c r="C82" s="228"/>
      <c r="D82" s="228"/>
      <c r="E82" s="228"/>
      <c r="F82" s="653"/>
      <c r="G82" s="653"/>
      <c r="H82" s="653"/>
      <c r="I82" s="653"/>
      <c r="J82" s="653"/>
      <c r="K82" s="653"/>
      <c r="L82" s="653"/>
      <c r="M82" s="653"/>
      <c r="N82" s="653"/>
      <c r="O82" s="653"/>
      <c r="P82" s="438"/>
      <c r="Q82" s="438"/>
      <c r="R82" s="438"/>
      <c r="S82" s="438"/>
      <c r="T82" s="438"/>
      <c r="U82" s="438"/>
      <c r="V82" s="438"/>
      <c r="W82" s="438"/>
      <c r="X82" s="438"/>
      <c r="Y82" s="228"/>
      <c r="Z82" s="228"/>
      <c r="AA82" s="228"/>
      <c r="AB82" s="228"/>
      <c r="AC82" s="228"/>
      <c r="AD82" s="228"/>
      <c r="AE82" s="228"/>
      <c r="AF82" s="228"/>
    </row>
    <row r="83" spans="1:32" s="303" customFormat="1" ht="15" customHeight="1">
      <c r="A83" s="301"/>
      <c r="B83" s="301"/>
      <c r="C83" s="302">
        <f>+C44-C77</f>
        <v>0</v>
      </c>
      <c r="D83" s="302"/>
      <c r="E83" s="301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439"/>
      <c r="Q83" s="439"/>
      <c r="R83" s="439"/>
      <c r="S83" s="439"/>
      <c r="T83" s="439"/>
      <c r="U83" s="439"/>
      <c r="V83" s="439"/>
      <c r="W83" s="439"/>
      <c r="X83" s="439"/>
      <c r="Y83" s="301"/>
      <c r="Z83" s="301"/>
      <c r="AA83" s="301"/>
      <c r="AB83" s="301"/>
      <c r="AC83" s="301"/>
      <c r="AD83" s="301"/>
      <c r="AE83" s="301"/>
      <c r="AF83" s="301"/>
    </row>
    <row r="84" spans="1:32" ht="15" customHeight="1">
      <c r="A84" s="281"/>
      <c r="B84" s="228"/>
      <c r="C84" s="228"/>
      <c r="D84" s="228"/>
      <c r="E84" s="228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438"/>
      <c r="Q84" s="438"/>
      <c r="R84" s="438"/>
      <c r="S84" s="438"/>
      <c r="T84" s="438"/>
      <c r="U84" s="438"/>
      <c r="V84" s="438"/>
      <c r="W84" s="438"/>
      <c r="X84" s="438"/>
      <c r="Y84" s="228"/>
      <c r="Z84" s="228"/>
      <c r="AA84" s="228"/>
      <c r="AB84" s="228"/>
      <c r="AC84" s="228"/>
      <c r="AD84" s="228"/>
      <c r="AE84" s="228"/>
      <c r="AF84" s="228"/>
    </row>
    <row r="85" spans="1:32" ht="15" customHeight="1">
      <c r="A85" s="281"/>
      <c r="B85" s="228"/>
      <c r="C85" s="228"/>
      <c r="D85" s="228"/>
      <c r="E85" s="228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438"/>
      <c r="Q85" s="438"/>
      <c r="R85" s="438"/>
      <c r="S85" s="438"/>
      <c r="T85" s="438"/>
      <c r="U85" s="438"/>
      <c r="V85" s="438"/>
      <c r="W85" s="438"/>
      <c r="X85" s="438"/>
      <c r="Y85" s="228"/>
      <c r="Z85" s="228"/>
      <c r="AA85" s="228"/>
      <c r="AB85" s="228"/>
      <c r="AC85" s="228"/>
      <c r="AD85" s="228"/>
      <c r="AE85" s="228"/>
      <c r="AF85" s="228"/>
    </row>
    <row r="86" spans="1:32" ht="15" customHeight="1">
      <c r="A86" s="281"/>
      <c r="B86" s="228"/>
      <c r="C86" s="228"/>
      <c r="D86" s="228"/>
      <c r="E86" s="228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438"/>
      <c r="Q86" s="438"/>
      <c r="R86" s="438"/>
      <c r="S86" s="438"/>
      <c r="T86" s="438"/>
      <c r="U86" s="438"/>
      <c r="V86" s="438"/>
      <c r="W86" s="438"/>
      <c r="X86" s="438"/>
      <c r="Y86" s="228"/>
      <c r="Z86" s="228"/>
      <c r="AA86" s="228"/>
      <c r="AB86" s="228"/>
      <c r="AC86" s="228"/>
      <c r="AD86" s="228"/>
      <c r="AE86" s="228"/>
      <c r="AF86" s="228"/>
    </row>
    <row r="87" spans="1:32" ht="15" customHeight="1">
      <c r="A87" s="281"/>
      <c r="B87" s="228"/>
      <c r="C87" s="228"/>
      <c r="D87" s="228"/>
      <c r="E87" s="228"/>
      <c r="F87" s="653"/>
      <c r="G87" s="653"/>
      <c r="H87" s="653"/>
      <c r="I87" s="653"/>
      <c r="J87" s="653"/>
      <c r="K87" s="653"/>
      <c r="L87" s="653"/>
      <c r="M87" s="653"/>
      <c r="N87" s="653"/>
      <c r="O87" s="653"/>
      <c r="P87" s="438"/>
      <c r="Q87" s="438"/>
      <c r="R87" s="438"/>
      <c r="S87" s="438"/>
      <c r="T87" s="438"/>
      <c r="U87" s="438"/>
      <c r="V87" s="438"/>
      <c r="W87" s="438"/>
      <c r="X87" s="438"/>
      <c r="Y87" s="228"/>
      <c r="Z87" s="228"/>
      <c r="AA87" s="228"/>
      <c r="AB87" s="228"/>
      <c r="AC87" s="228"/>
      <c r="AD87" s="228"/>
      <c r="AE87" s="228"/>
      <c r="AF87" s="228"/>
    </row>
    <row r="88" spans="1:32" ht="15" customHeight="1">
      <c r="A88" s="281"/>
      <c r="G88" s="653"/>
      <c r="H88" s="653"/>
      <c r="I88" s="653"/>
      <c r="J88" s="653"/>
      <c r="K88" s="653"/>
      <c r="L88" s="653"/>
      <c r="M88" s="653"/>
      <c r="N88" s="653"/>
      <c r="O88" s="653"/>
      <c r="P88" s="438"/>
      <c r="Q88" s="438"/>
      <c r="R88" s="438"/>
      <c r="S88" s="438"/>
      <c r="T88" s="438"/>
      <c r="U88" s="438"/>
      <c r="V88" s="438"/>
      <c r="W88" s="438"/>
      <c r="X88" s="438"/>
      <c r="Y88" s="228"/>
      <c r="Z88" s="228"/>
      <c r="AA88" s="228"/>
      <c r="AB88" s="228"/>
      <c r="AC88" s="228"/>
      <c r="AD88" s="228"/>
      <c r="AE88" s="228"/>
      <c r="AF88" s="228"/>
    </row>
    <row r="89" spans="1:32" ht="15" customHeight="1">
      <c r="A89" s="281"/>
    </row>
  </sheetData>
  <sheetProtection password="CA76" sheet="1" objects="1" scenarios="1"/>
  <mergeCells count="1">
    <mergeCell ref="A1:D1"/>
  </mergeCells>
  <phoneticPr fontId="18" type="noConversion"/>
  <conditionalFormatting sqref="C61">
    <cfRule type="cellIs" dxfId="407" priority="66" operator="notEqual">
      <formula>$F$61</formula>
    </cfRule>
    <cfRule type="cellIs" dxfId="406" priority="101" operator="notEqual">
      <formula>$D$61+$E$61</formula>
    </cfRule>
  </conditionalFormatting>
  <conditionalFormatting sqref="C77">
    <cfRule type="cellIs" dxfId="405" priority="65" operator="notEqual">
      <formula>$C$44</formula>
    </cfRule>
    <cfRule type="cellIs" dxfId="404" priority="98" operator="notEqual">
      <formula>$C$44</formula>
    </cfRule>
  </conditionalFormatting>
  <conditionalFormatting sqref="C24">
    <cfRule type="cellIs" dxfId="403" priority="7" operator="notEqual">
      <formula>$F$24</formula>
    </cfRule>
    <cfRule type="cellIs" dxfId="402" priority="27" operator="notEqual">
      <formula>$D$24+$E$24</formula>
    </cfRule>
    <cfRule type="cellIs" dxfId="401" priority="55" operator="notEqual">
      <formula>$D$24+$E$24</formula>
    </cfRule>
    <cfRule type="cellIs" dxfId="400" priority="92" operator="notEqual">
      <formula>$F$24</formula>
    </cfRule>
  </conditionalFormatting>
  <conditionalFormatting sqref="C50">
    <cfRule type="cellIs" dxfId="399" priority="90" operator="notEqual">
      <formula>$D$50+$E$50</formula>
    </cfRule>
  </conditionalFormatting>
  <conditionalFormatting sqref="D61">
    <cfRule type="cellIs" dxfId="398" priority="67" operator="notEqual">
      <formula>$G$61</formula>
    </cfRule>
  </conditionalFormatting>
  <conditionalFormatting sqref="E61">
    <cfRule type="cellIs" dxfId="397" priority="185" operator="notEqual">
      <formula>$H$61</formula>
    </cfRule>
  </conditionalFormatting>
  <conditionalFormatting sqref="D77">
    <cfRule type="cellIs" dxfId="396" priority="64" operator="notEqual">
      <formula>$D$44</formula>
    </cfRule>
  </conditionalFormatting>
  <conditionalFormatting sqref="E77">
    <cfRule type="cellIs" dxfId="395" priority="63" operator="notEqual">
      <formula>$E$44</formula>
    </cfRule>
  </conditionalFormatting>
  <conditionalFormatting sqref="E71">
    <cfRule type="cellIs" dxfId="394" priority="62" operator="notEqual">
      <formula>$H$71</formula>
    </cfRule>
  </conditionalFormatting>
  <conditionalFormatting sqref="D7">
    <cfRule type="cellIs" dxfId="393" priority="60" operator="notEqual">
      <formula>$D$8+$D$9</formula>
    </cfRule>
  </conditionalFormatting>
  <conditionalFormatting sqref="E7">
    <cfRule type="cellIs" dxfId="392" priority="59" operator="notEqual">
      <formula>$E$8+$E$9</formula>
    </cfRule>
  </conditionalFormatting>
  <conditionalFormatting sqref="C19:D19">
    <cfRule type="cellIs" dxfId="391" priority="57" operator="notEqual">
      <formula>$D$20-$D$21</formula>
    </cfRule>
  </conditionalFormatting>
  <conditionalFormatting sqref="E19">
    <cfRule type="cellIs" dxfId="390" priority="56" operator="notEqual">
      <formula>$E$20-$E$21</formula>
    </cfRule>
  </conditionalFormatting>
  <conditionalFormatting sqref="C67">
    <cfRule type="cellIs" dxfId="389" priority="53" operator="notEqual">
      <formula>$D$67+$E$67</formula>
    </cfRule>
  </conditionalFormatting>
  <conditionalFormatting sqref="C60 C58 C49:C54 C56">
    <cfRule type="cellIs" dxfId="388" priority="51" operator="notEqual">
      <formula>D49+E49</formula>
    </cfRule>
  </conditionalFormatting>
  <conditionalFormatting sqref="C44">
    <cfRule type="cellIs" dxfId="387" priority="42" operator="notEqual">
      <formula>$F$44</formula>
    </cfRule>
  </conditionalFormatting>
  <conditionalFormatting sqref="E44">
    <cfRule type="cellIs" dxfId="386" priority="40" operator="notEqual">
      <formula>$H$44</formula>
    </cfRule>
  </conditionalFormatting>
  <conditionalFormatting sqref="C7">
    <cfRule type="cellIs" dxfId="385" priority="39" operator="notEqual">
      <formula>+$D$7+$E$7</formula>
    </cfRule>
  </conditionalFormatting>
  <conditionalFormatting sqref="C76">
    <cfRule type="cellIs" dxfId="384" priority="28" stopIfTrue="1" operator="notEqual">
      <formula>$F$76</formula>
    </cfRule>
    <cfRule type="cellIs" dxfId="383" priority="34" stopIfTrue="1" operator="notEqual">
      <formula>$D$76+$E$76</formula>
    </cfRule>
  </conditionalFormatting>
  <conditionalFormatting sqref="C36">
    <cfRule type="cellIs" dxfId="382" priority="33" operator="notEqual">
      <formula>$C$37+$C$38-$C$39</formula>
    </cfRule>
  </conditionalFormatting>
  <conditionalFormatting sqref="D36">
    <cfRule type="cellIs" dxfId="381" priority="32" operator="notEqual">
      <formula>$D$37+$D$38-$D$39</formula>
    </cfRule>
  </conditionalFormatting>
  <conditionalFormatting sqref="E36">
    <cfRule type="cellIs" dxfId="380" priority="30" operator="notEqual">
      <formula>$E$37+$E$38-$E$39</formula>
    </cfRule>
  </conditionalFormatting>
  <conditionalFormatting sqref="E40">
    <cfRule type="cellIs" dxfId="379" priority="29" operator="notEqual">
      <formula>$E$41-$E$42+$E$43</formula>
    </cfRule>
  </conditionalFormatting>
  <conditionalFormatting sqref="C22">
    <cfRule type="cellIs" dxfId="378" priority="26" operator="notEqual">
      <formula>C23-C24</formula>
    </cfRule>
  </conditionalFormatting>
  <conditionalFormatting sqref="D22:E22">
    <cfRule type="cellIs" dxfId="377" priority="25" operator="notEqual">
      <formula>D23-D24</formula>
    </cfRule>
  </conditionalFormatting>
  <conditionalFormatting sqref="C25">
    <cfRule type="cellIs" dxfId="376" priority="24" operator="notEqual">
      <formula>C26-C27</formula>
    </cfRule>
  </conditionalFormatting>
  <conditionalFormatting sqref="D25:E25">
    <cfRule type="cellIs" dxfId="375" priority="23" operator="notEqual">
      <formula>D26-D27</formula>
    </cfRule>
  </conditionalFormatting>
  <conditionalFormatting sqref="C28">
    <cfRule type="cellIs" dxfId="374" priority="22" operator="notEqual">
      <formula>C29-C30</formula>
    </cfRule>
  </conditionalFormatting>
  <conditionalFormatting sqref="D28:E28">
    <cfRule type="cellIs" dxfId="373" priority="21" operator="notEqual">
      <formula>D29-D30</formula>
    </cfRule>
  </conditionalFormatting>
  <conditionalFormatting sqref="C40">
    <cfRule type="cellIs" dxfId="372" priority="20" operator="notEqual">
      <formula>C41-C42+C43</formula>
    </cfRule>
  </conditionalFormatting>
  <conditionalFormatting sqref="C16">
    <cfRule type="cellIs" dxfId="371" priority="18" operator="notEqual">
      <formula>C17-C18</formula>
    </cfRule>
  </conditionalFormatting>
  <conditionalFormatting sqref="C13">
    <cfRule type="cellIs" dxfId="370" priority="16" operator="notEqual">
      <formula>C14-C15</formula>
    </cfRule>
  </conditionalFormatting>
  <conditionalFormatting sqref="D13:E13">
    <cfRule type="cellIs" dxfId="369" priority="15" operator="notEqual">
      <formula>D14-D15</formula>
    </cfRule>
  </conditionalFormatting>
  <conditionalFormatting sqref="C10">
    <cfRule type="cellIs" dxfId="368" priority="14" operator="notEqual">
      <formula>C11-C12</formula>
    </cfRule>
  </conditionalFormatting>
  <conditionalFormatting sqref="D10:E10">
    <cfRule type="cellIs" dxfId="367" priority="13" operator="notEqual">
      <formula>D11-D12</formula>
    </cfRule>
  </conditionalFormatting>
  <conditionalFormatting sqref="C7">
    <cfRule type="cellIs" dxfId="366" priority="12" operator="notEqual">
      <formula>C8-C9</formula>
    </cfRule>
  </conditionalFormatting>
  <conditionalFormatting sqref="D7:E7">
    <cfRule type="cellIs" dxfId="365" priority="11" operator="notEqual">
      <formula>D8-D9</formula>
    </cfRule>
  </conditionalFormatting>
  <conditionalFormatting sqref="C55">
    <cfRule type="cellIs" dxfId="364" priority="8" operator="notEqual">
      <formula>D55+E55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6:E76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E57 D70:D75 D54:D60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1:E61" xr:uid="{00000000-0002-0000-0000-000002000000}"/>
    <dataValidation allowBlank="1" showInputMessage="1" showErrorMessage="1" prompt="Значение должно равняться Итого активов (Ячейка С36)" sqref="D77:E77" xr:uid="{00000000-0002-0000-0000-000003000000}"/>
    <dataValidation allowBlank="1" showInputMessage="1" showErrorMessage="1" prompt="Если значение ячейки не равно &quot;В24 - В25&quot;, ячейка окрасится" sqref="D43 D37:D39 D26" xr:uid="{00000000-0002-0000-0000-000004000000}"/>
    <dataValidation type="date" operator="greaterThan" allowBlank="1" showInputMessage="1" showErrorMessage="1" prompt="Введите дату в формате ЧЧ.ММ.ГГГГ" sqref="C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6:E17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5" orientation="portrait" r:id="rId1"/>
  <headerFooter alignWithMargins="0"/>
  <ignoredErrors>
    <ignoredError sqref="C5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>
    <pageSetUpPr fitToPage="1"/>
  </sheetPr>
  <dimension ref="A1:AF72"/>
  <sheetViews>
    <sheetView zoomScale="80" zoomScaleNormal="80" zoomScaleSheetLayoutView="40" workbookViewId="0">
      <pane xSplit="2" ySplit="9" topLeftCell="C52" activePane="bottomRight" state="frozen"/>
      <selection activeCell="B32" sqref="B32"/>
      <selection pane="topRight" activeCell="B32" sqref="B32"/>
      <selection pane="bottomLeft" activeCell="B32" sqref="B32"/>
      <selection pane="bottomRight" activeCell="D61" sqref="D61"/>
    </sheetView>
  </sheetViews>
  <sheetFormatPr defaultRowHeight="15.75"/>
  <cols>
    <col min="1" max="1" width="8" style="106" customWidth="1"/>
    <col min="2" max="2" width="108.7109375" style="107" customWidth="1"/>
    <col min="3" max="3" width="19.42578125" style="447" customWidth="1"/>
    <col min="4" max="8" width="18.28515625" style="106" customWidth="1"/>
    <col min="9" max="9" width="19.42578125" style="106" customWidth="1"/>
    <col min="10" max="13" width="18" style="106" customWidth="1"/>
    <col min="14" max="14" width="19.42578125" style="106" customWidth="1"/>
    <col min="15" max="19" width="16" style="106" customWidth="1"/>
    <col min="20" max="16384" width="9.140625" style="106"/>
  </cols>
  <sheetData>
    <row r="1" spans="1:21" s="444" customFormat="1" ht="27.75" customHeight="1">
      <c r="A1" s="1195" t="s">
        <v>1111</v>
      </c>
      <c r="B1" s="1196"/>
      <c r="C1" s="1196"/>
      <c r="D1" s="1196"/>
      <c r="E1" s="1196"/>
      <c r="F1" s="1196"/>
      <c r="G1" s="1196"/>
      <c r="H1" s="1196"/>
      <c r="I1" s="1196"/>
      <c r="J1" s="1196"/>
      <c r="K1" s="1196"/>
      <c r="L1" s="1196"/>
      <c r="M1" s="1196"/>
      <c r="N1" s="1196"/>
      <c r="O1" s="1196"/>
      <c r="P1" s="1196"/>
      <c r="Q1" s="1196"/>
      <c r="R1" s="1197" t="s">
        <v>634</v>
      </c>
      <c r="S1" s="1197"/>
    </row>
    <row r="2" spans="1:21" ht="8.25" customHeight="1"/>
    <row r="3" spans="1:21" s="767" customFormat="1" ht="26.25">
      <c r="B3" s="769" t="str">
        <f>+Balance!B3</f>
        <v>АКБ "Микрокредитбанк"</v>
      </c>
      <c r="C3" s="768"/>
      <c r="M3" s="881"/>
      <c r="P3" s="1209">
        <f>+Balance!C3</f>
        <v>43829</v>
      </c>
      <c r="Q3" s="1209"/>
      <c r="R3" s="765"/>
      <c r="S3" s="766" t="str">
        <f>+Balance!E3</f>
        <v>тыс. сум</v>
      </c>
    </row>
    <row r="4" spans="1:21" s="748" customFormat="1" ht="30.75" customHeight="1">
      <c r="A4" s="1191" t="s">
        <v>161</v>
      </c>
      <c r="B4" s="1191" t="s">
        <v>636</v>
      </c>
      <c r="C4" s="1191" t="s">
        <v>637</v>
      </c>
      <c r="D4" s="1199" t="s">
        <v>638</v>
      </c>
      <c r="E4" s="1200"/>
      <c r="F4" s="1200"/>
      <c r="G4" s="1200"/>
      <c r="H4" s="1201"/>
      <c r="I4" s="1193" t="s">
        <v>639</v>
      </c>
      <c r="J4" s="1194"/>
      <c r="K4" s="1194"/>
      <c r="L4" s="1194"/>
      <c r="M4" s="1208"/>
      <c r="N4" s="1193" t="s">
        <v>640</v>
      </c>
      <c r="O4" s="1194"/>
      <c r="P4" s="1194"/>
      <c r="Q4" s="1194"/>
      <c r="R4" s="1194"/>
      <c r="S4" s="1208"/>
    </row>
    <row r="5" spans="1:21" s="748" customFormat="1" ht="30.75" customHeight="1">
      <c r="A5" s="1198"/>
      <c r="B5" s="1198"/>
      <c r="C5" s="1198"/>
      <c r="D5" s="1202"/>
      <c r="E5" s="1203"/>
      <c r="F5" s="1203"/>
      <c r="G5" s="1203"/>
      <c r="H5" s="1204"/>
      <c r="I5" s="1191" t="s">
        <v>641</v>
      </c>
      <c r="J5" s="1191" t="s">
        <v>642</v>
      </c>
      <c r="K5" s="1191" t="s">
        <v>643</v>
      </c>
      <c r="L5" s="1191" t="s">
        <v>644</v>
      </c>
      <c r="M5" s="1191" t="s">
        <v>645</v>
      </c>
      <c r="N5" s="1193" t="s">
        <v>646</v>
      </c>
      <c r="O5" s="1194"/>
      <c r="P5" s="1194"/>
      <c r="Q5" s="1194"/>
      <c r="R5" s="1194"/>
      <c r="S5" s="1208"/>
    </row>
    <row r="6" spans="1:21" s="748" customFormat="1" ht="30.75" customHeight="1">
      <c r="A6" s="1198"/>
      <c r="B6" s="1198"/>
      <c r="C6" s="1198"/>
      <c r="D6" s="1205"/>
      <c r="E6" s="1206"/>
      <c r="F6" s="1206"/>
      <c r="G6" s="1206"/>
      <c r="H6" s="1207"/>
      <c r="I6" s="1198"/>
      <c r="J6" s="1198"/>
      <c r="K6" s="1198"/>
      <c r="L6" s="1198"/>
      <c r="M6" s="1198"/>
      <c r="N6" s="1191" t="s">
        <v>641</v>
      </c>
      <c r="O6" s="1193" t="s">
        <v>647</v>
      </c>
      <c r="P6" s="1194"/>
      <c r="Q6" s="1194"/>
      <c r="R6" s="1194"/>
      <c r="S6" s="1194"/>
    </row>
    <row r="7" spans="1:21" s="748" customFormat="1" ht="21" customHeight="1">
      <c r="A7" s="1192"/>
      <c r="B7" s="1192"/>
      <c r="C7" s="1192"/>
      <c r="D7" s="749" t="s">
        <v>504</v>
      </c>
      <c r="E7" s="749" t="s">
        <v>152</v>
      </c>
      <c r="F7" s="749" t="s">
        <v>154</v>
      </c>
      <c r="G7" s="749" t="s">
        <v>155</v>
      </c>
      <c r="H7" s="749" t="s">
        <v>158</v>
      </c>
      <c r="I7" s="1192"/>
      <c r="J7" s="1192"/>
      <c r="K7" s="1192"/>
      <c r="L7" s="1192"/>
      <c r="M7" s="1192"/>
      <c r="N7" s="1192"/>
      <c r="O7" s="749" t="s">
        <v>504</v>
      </c>
      <c r="P7" s="749" t="s">
        <v>152</v>
      </c>
      <c r="Q7" s="749" t="s">
        <v>154</v>
      </c>
      <c r="R7" s="749" t="s">
        <v>155</v>
      </c>
      <c r="S7" s="749" t="s">
        <v>158</v>
      </c>
    </row>
    <row r="8" spans="1:21" s="108" customFormat="1">
      <c r="A8" s="109" t="s">
        <v>309</v>
      </c>
      <c r="B8" s="161" t="s">
        <v>310</v>
      </c>
      <c r="C8" s="448" t="s">
        <v>327</v>
      </c>
      <c r="D8" s="161" t="s">
        <v>311</v>
      </c>
      <c r="E8" s="161" t="s">
        <v>312</v>
      </c>
      <c r="F8" s="161" t="s">
        <v>328</v>
      </c>
      <c r="G8" s="161" t="s">
        <v>313</v>
      </c>
      <c r="H8" s="161" t="s">
        <v>314</v>
      </c>
      <c r="I8" s="161" t="s">
        <v>315</v>
      </c>
      <c r="J8" s="161" t="s">
        <v>316</v>
      </c>
      <c r="K8" s="161" t="s">
        <v>317</v>
      </c>
      <c r="L8" s="161" t="s">
        <v>318</v>
      </c>
      <c r="M8" s="161" t="s">
        <v>319</v>
      </c>
      <c r="N8" s="161" t="s">
        <v>648</v>
      </c>
      <c r="O8" s="161" t="s">
        <v>649</v>
      </c>
      <c r="P8" s="161" t="s">
        <v>650</v>
      </c>
      <c r="Q8" s="161" t="s">
        <v>651</v>
      </c>
      <c r="R8" s="161" t="s">
        <v>1117</v>
      </c>
      <c r="S8" s="161" t="s">
        <v>1176</v>
      </c>
    </row>
    <row r="9" spans="1:21" s="108" customFormat="1" ht="29.25" customHeight="1">
      <c r="A9" s="681"/>
      <c r="B9" s="682" t="s">
        <v>1078</v>
      </c>
      <c r="C9" s="683">
        <f t="shared" ref="C9:S9" si="0">SUM(C10:C60)</f>
        <v>5890272405</v>
      </c>
      <c r="D9" s="683">
        <f t="shared" si="0"/>
        <v>5245683982</v>
      </c>
      <c r="E9" s="683">
        <f t="shared" si="0"/>
        <v>741964846</v>
      </c>
      <c r="F9" s="683">
        <f t="shared" si="0"/>
        <v>9977568</v>
      </c>
      <c r="G9" s="683">
        <f t="shared" si="0"/>
        <v>3530535</v>
      </c>
      <c r="H9" s="683">
        <f t="shared" si="0"/>
        <v>14101127</v>
      </c>
      <c r="I9" s="683">
        <f t="shared" si="0"/>
        <v>35636673</v>
      </c>
      <c r="J9" s="683">
        <f t="shared" si="0"/>
        <v>9434194</v>
      </c>
      <c r="K9" s="683">
        <f t="shared" si="0"/>
        <v>13991813</v>
      </c>
      <c r="L9" s="683">
        <f t="shared" si="0"/>
        <v>8526121</v>
      </c>
      <c r="M9" s="683">
        <f t="shared" si="0"/>
        <v>3684545</v>
      </c>
      <c r="N9" s="683">
        <f t="shared" si="0"/>
        <v>124985653</v>
      </c>
      <c r="O9" s="683">
        <f t="shared" si="0"/>
        <v>0</v>
      </c>
      <c r="P9" s="683">
        <f t="shared" si="0"/>
        <v>110124747</v>
      </c>
      <c r="Q9" s="683">
        <f t="shared" si="0"/>
        <v>2493866</v>
      </c>
      <c r="R9" s="683">
        <f t="shared" si="0"/>
        <v>1766454</v>
      </c>
      <c r="S9" s="683">
        <f t="shared" si="0"/>
        <v>10600586</v>
      </c>
    </row>
    <row r="10" spans="1:21" s="105" customFormat="1" ht="23.25" customHeight="1">
      <c r="A10" s="110" t="s">
        <v>9</v>
      </c>
      <c r="B10" s="589" t="s">
        <v>852</v>
      </c>
      <c r="C10" s="587">
        <f>SUM(D10:H10)-N10+O10</f>
        <v>173211577</v>
      </c>
      <c r="D10" s="492">
        <v>173211577</v>
      </c>
      <c r="E10" s="492"/>
      <c r="F10" s="492"/>
      <c r="G10" s="492"/>
      <c r="H10" s="492"/>
      <c r="I10" s="587">
        <f>SUM(J10:M10)</f>
        <v>0</v>
      </c>
      <c r="J10" s="492"/>
      <c r="K10" s="492"/>
      <c r="L10" s="492"/>
      <c r="M10" s="492"/>
      <c r="N10" s="587">
        <f>SUM(O10:S10)</f>
        <v>0</v>
      </c>
      <c r="O10" s="492"/>
      <c r="P10" s="492"/>
      <c r="Q10" s="492"/>
      <c r="R10" s="492"/>
      <c r="S10" s="492"/>
      <c r="T10" s="817">
        <v>10100</v>
      </c>
      <c r="U10"/>
    </row>
    <row r="11" spans="1:21" s="105" customFormat="1" ht="23.25" customHeight="1">
      <c r="A11" s="110" t="s">
        <v>12</v>
      </c>
      <c r="B11" s="589" t="s">
        <v>757</v>
      </c>
      <c r="C11" s="587">
        <f t="shared" ref="C11:C60" si="1">SUM(D11:H11)-N11+O11</f>
        <v>140577780</v>
      </c>
      <c r="D11" s="492">
        <v>140577780</v>
      </c>
      <c r="E11" s="492"/>
      <c r="F11" s="492"/>
      <c r="G11" s="492"/>
      <c r="H11" s="492"/>
      <c r="I11" s="587">
        <f>SUM(J11:M11)</f>
        <v>0</v>
      </c>
      <c r="J11" s="492"/>
      <c r="K11" s="492"/>
      <c r="L11" s="492"/>
      <c r="M11" s="492"/>
      <c r="N11" s="587">
        <f t="shared" ref="N11:N60" si="2">SUM(O11:S11)</f>
        <v>0</v>
      </c>
      <c r="O11" s="492"/>
      <c r="P11" s="492"/>
      <c r="Q11" s="492"/>
      <c r="R11" s="492"/>
      <c r="S11" s="492"/>
      <c r="T11" s="678">
        <v>10300</v>
      </c>
      <c r="U11"/>
    </row>
    <row r="12" spans="1:21" s="105" customFormat="1" ht="23.25" customHeight="1">
      <c r="A12" s="110" t="s">
        <v>13</v>
      </c>
      <c r="B12" s="589" t="s">
        <v>399</v>
      </c>
      <c r="C12" s="587">
        <f t="shared" si="1"/>
        <v>453538332</v>
      </c>
      <c r="D12" s="492">
        <v>453538332</v>
      </c>
      <c r="E12" s="493"/>
      <c r="F12" s="493"/>
      <c r="G12" s="493"/>
      <c r="H12" s="493"/>
      <c r="I12" s="587">
        <f>SUM(J12:M12)</f>
        <v>0</v>
      </c>
      <c r="J12" s="492"/>
      <c r="K12" s="492"/>
      <c r="L12" s="492"/>
      <c r="M12" s="492"/>
      <c r="N12" s="587">
        <f t="shared" si="2"/>
        <v>0</v>
      </c>
      <c r="O12" s="492"/>
      <c r="P12" s="492"/>
      <c r="Q12" s="492"/>
      <c r="R12" s="492"/>
      <c r="S12" s="492"/>
      <c r="T12" s="678">
        <v>10500</v>
      </c>
      <c r="U12"/>
    </row>
    <row r="13" spans="1:21" s="105" customFormat="1" ht="23.25" customHeight="1">
      <c r="A13" s="110" t="s">
        <v>11</v>
      </c>
      <c r="B13" s="589" t="s">
        <v>652</v>
      </c>
      <c r="C13" s="587">
        <f t="shared" si="1"/>
        <v>119576827</v>
      </c>
      <c r="D13" s="492">
        <v>119576827</v>
      </c>
      <c r="E13" s="493"/>
      <c r="F13" s="493"/>
      <c r="G13" s="493"/>
      <c r="H13" s="493"/>
      <c r="I13" s="587">
        <f t="shared" ref="I13:I60" si="3">SUM(J13:M13)</f>
        <v>0</v>
      </c>
      <c r="J13" s="492"/>
      <c r="K13" s="492"/>
      <c r="L13" s="492"/>
      <c r="M13" s="492"/>
      <c r="N13" s="587">
        <f t="shared" si="2"/>
        <v>0</v>
      </c>
      <c r="O13" s="492"/>
      <c r="P13" s="492"/>
      <c r="Q13" s="492"/>
      <c r="R13" s="492"/>
      <c r="S13" s="492"/>
      <c r="T13" s="105">
        <v>10700</v>
      </c>
      <c r="U13"/>
    </row>
    <row r="14" spans="1:21" s="105" customFormat="1" ht="23.25" customHeight="1">
      <c r="A14" s="110" t="s">
        <v>10</v>
      </c>
      <c r="B14" s="589" t="s">
        <v>653</v>
      </c>
      <c r="C14" s="587">
        <f t="shared" si="1"/>
        <v>0</v>
      </c>
      <c r="D14" s="492"/>
      <c r="E14" s="493"/>
      <c r="F14" s="493"/>
      <c r="G14" s="493"/>
      <c r="H14" s="493"/>
      <c r="I14" s="587">
        <f t="shared" si="3"/>
        <v>0</v>
      </c>
      <c r="J14" s="492"/>
      <c r="K14" s="492"/>
      <c r="L14" s="492"/>
      <c r="M14" s="492"/>
      <c r="N14" s="587">
        <f t="shared" si="2"/>
        <v>0</v>
      </c>
      <c r="O14" s="492"/>
      <c r="P14" s="492"/>
      <c r="Q14" s="492"/>
      <c r="R14" s="492"/>
      <c r="S14" s="492"/>
      <c r="T14" s="105">
        <v>10800</v>
      </c>
      <c r="U14"/>
    </row>
    <row r="15" spans="1:21" s="105" customFormat="1" ht="23.25" customHeight="1">
      <c r="A15" s="110" t="s">
        <v>16</v>
      </c>
      <c r="B15" s="589" t="s">
        <v>654</v>
      </c>
      <c r="C15" s="587">
        <f t="shared" si="1"/>
        <v>175</v>
      </c>
      <c r="D15" s="492">
        <v>175</v>
      </c>
      <c r="E15" s="493"/>
      <c r="F15" s="493"/>
      <c r="G15" s="493"/>
      <c r="H15" s="493"/>
      <c r="I15" s="587">
        <f t="shared" si="3"/>
        <v>0</v>
      </c>
      <c r="J15" s="492"/>
      <c r="K15" s="492"/>
      <c r="L15" s="492"/>
      <c r="M15" s="492"/>
      <c r="N15" s="587">
        <f t="shared" si="2"/>
        <v>0</v>
      </c>
      <c r="O15" s="492"/>
      <c r="P15" s="492"/>
      <c r="Q15" s="492"/>
      <c r="R15" s="492"/>
      <c r="S15" s="492"/>
      <c r="T15" s="105">
        <v>10900</v>
      </c>
      <c r="U15"/>
    </row>
    <row r="16" spans="1:21" s="105" customFormat="1" ht="23.25" customHeight="1">
      <c r="A16" s="110" t="s">
        <v>15</v>
      </c>
      <c r="B16" s="589" t="s">
        <v>655</v>
      </c>
      <c r="C16" s="587">
        <f t="shared" si="1"/>
        <v>6311020</v>
      </c>
      <c r="D16" s="492">
        <v>6311020</v>
      </c>
      <c r="E16" s="493">
        <v>0</v>
      </c>
      <c r="F16" s="492">
        <v>0</v>
      </c>
      <c r="G16" s="493">
        <v>0</v>
      </c>
      <c r="H16" s="493">
        <v>0</v>
      </c>
      <c r="I16" s="587">
        <f t="shared" si="3"/>
        <v>279848</v>
      </c>
      <c r="J16" s="492">
        <v>0</v>
      </c>
      <c r="K16" s="492">
        <v>279848</v>
      </c>
      <c r="L16" s="492">
        <v>0</v>
      </c>
      <c r="M16" s="492">
        <v>0</v>
      </c>
      <c r="N16" s="587">
        <f t="shared" si="2"/>
        <v>0</v>
      </c>
      <c r="O16" s="492">
        <v>0</v>
      </c>
      <c r="P16" s="492">
        <v>0</v>
      </c>
      <c r="Q16" s="492">
        <v>0</v>
      </c>
      <c r="R16" s="492">
        <v>0</v>
      </c>
      <c r="S16" s="492">
        <v>0</v>
      </c>
      <c r="T16" s="105">
        <v>11100</v>
      </c>
      <c r="U16"/>
    </row>
    <row r="17" spans="1:21" s="105" customFormat="1" ht="23.25" customHeight="1">
      <c r="A17" s="110" t="s">
        <v>14</v>
      </c>
      <c r="B17" s="589" t="s">
        <v>656</v>
      </c>
      <c r="C17" s="587">
        <f t="shared" si="1"/>
        <v>0</v>
      </c>
      <c r="D17" s="492"/>
      <c r="E17" s="493"/>
      <c r="F17" s="493"/>
      <c r="G17" s="493"/>
      <c r="H17" s="493"/>
      <c r="I17" s="587">
        <f t="shared" si="3"/>
        <v>0</v>
      </c>
      <c r="J17" s="492"/>
      <c r="K17" s="492"/>
      <c r="L17" s="492"/>
      <c r="M17" s="492"/>
      <c r="N17" s="587">
        <f t="shared" si="2"/>
        <v>0</v>
      </c>
      <c r="O17" s="492"/>
      <c r="P17" s="492"/>
      <c r="Q17" s="492"/>
      <c r="R17" s="492"/>
      <c r="S17" s="492"/>
      <c r="T17" s="105">
        <v>11300</v>
      </c>
      <c r="U17"/>
    </row>
    <row r="18" spans="1:21" ht="23.25" customHeight="1">
      <c r="A18" s="110" t="s">
        <v>659</v>
      </c>
      <c r="B18" s="589" t="s">
        <v>657</v>
      </c>
      <c r="C18" s="587">
        <f t="shared" si="1"/>
        <v>0</v>
      </c>
      <c r="D18" s="492"/>
      <c r="E18" s="493"/>
      <c r="F18" s="493"/>
      <c r="G18" s="493"/>
      <c r="H18" s="493"/>
      <c r="I18" s="587">
        <f t="shared" si="3"/>
        <v>0</v>
      </c>
      <c r="J18" s="492"/>
      <c r="K18" s="492"/>
      <c r="L18" s="492"/>
      <c r="M18" s="492"/>
      <c r="N18" s="587">
        <f t="shared" si="2"/>
        <v>0</v>
      </c>
      <c r="O18" s="492"/>
      <c r="P18" s="492"/>
      <c r="Q18" s="492"/>
      <c r="R18" s="492"/>
      <c r="S18" s="492"/>
      <c r="T18" s="679">
        <v>11500</v>
      </c>
      <c r="U18"/>
    </row>
    <row r="19" spans="1:21" ht="23.25" customHeight="1">
      <c r="A19" s="110" t="s">
        <v>661</v>
      </c>
      <c r="B19" s="589" t="s">
        <v>658</v>
      </c>
      <c r="C19" s="587">
        <f t="shared" si="1"/>
        <v>0</v>
      </c>
      <c r="D19" s="492"/>
      <c r="E19" s="493"/>
      <c r="F19" s="493"/>
      <c r="G19" s="493"/>
      <c r="H19" s="493"/>
      <c r="I19" s="587">
        <f t="shared" si="3"/>
        <v>0</v>
      </c>
      <c r="J19" s="492"/>
      <c r="K19" s="492"/>
      <c r="L19" s="492"/>
      <c r="M19" s="492"/>
      <c r="N19" s="587">
        <f t="shared" si="2"/>
        <v>0</v>
      </c>
      <c r="O19" s="495"/>
      <c r="P19" s="495"/>
      <c r="Q19" s="495"/>
      <c r="R19" s="495"/>
      <c r="S19" s="495"/>
      <c r="T19" s="679">
        <v>11700</v>
      </c>
      <c r="U19"/>
    </row>
    <row r="20" spans="1:21" ht="23.25" customHeight="1">
      <c r="A20" s="110" t="s">
        <v>663</v>
      </c>
      <c r="B20" s="590" t="s">
        <v>660</v>
      </c>
      <c r="C20" s="587">
        <f t="shared" si="1"/>
        <v>0</v>
      </c>
      <c r="D20" s="492"/>
      <c r="E20" s="493"/>
      <c r="F20" s="493"/>
      <c r="G20" s="493"/>
      <c r="H20" s="493"/>
      <c r="I20" s="587">
        <f t="shared" si="3"/>
        <v>0</v>
      </c>
      <c r="J20" s="492"/>
      <c r="K20" s="492"/>
      <c r="L20" s="492"/>
      <c r="M20" s="492"/>
      <c r="N20" s="587">
        <f t="shared" si="2"/>
        <v>0</v>
      </c>
      <c r="O20" s="495"/>
      <c r="P20" s="495"/>
      <c r="Q20" s="495"/>
      <c r="R20" s="495"/>
      <c r="S20" s="495"/>
      <c r="T20" s="679">
        <v>11800</v>
      </c>
      <c r="U20"/>
    </row>
    <row r="21" spans="1:21" ht="23.25" customHeight="1">
      <c r="A21" s="110" t="s">
        <v>665</v>
      </c>
      <c r="B21" s="589" t="s">
        <v>662</v>
      </c>
      <c r="C21" s="587">
        <f t="shared" si="1"/>
        <v>0</v>
      </c>
      <c r="D21" s="492"/>
      <c r="E21" s="493"/>
      <c r="F21" s="493"/>
      <c r="G21" s="493"/>
      <c r="H21" s="493"/>
      <c r="I21" s="587">
        <f t="shared" si="3"/>
        <v>0</v>
      </c>
      <c r="J21" s="492"/>
      <c r="K21" s="492"/>
      <c r="L21" s="492"/>
      <c r="M21" s="492"/>
      <c r="N21" s="587">
        <f t="shared" si="2"/>
        <v>0</v>
      </c>
      <c r="O21" s="495"/>
      <c r="P21" s="495"/>
      <c r="Q21" s="495"/>
      <c r="R21" s="495"/>
      <c r="S21" s="495"/>
      <c r="T21" s="679">
        <v>11900</v>
      </c>
      <c r="U21"/>
    </row>
    <row r="22" spans="1:21" ht="23.25" customHeight="1">
      <c r="A22" s="110" t="s">
        <v>667</v>
      </c>
      <c r="B22" s="589" t="s">
        <v>664</v>
      </c>
      <c r="C22" s="587">
        <f t="shared" si="1"/>
        <v>0</v>
      </c>
      <c r="D22" s="492"/>
      <c r="E22" s="493"/>
      <c r="F22" s="493"/>
      <c r="G22" s="493"/>
      <c r="H22" s="493"/>
      <c r="I22" s="587">
        <f t="shared" si="3"/>
        <v>0</v>
      </c>
      <c r="J22" s="492"/>
      <c r="K22" s="492"/>
      <c r="L22" s="492"/>
      <c r="M22" s="492"/>
      <c r="N22" s="587">
        <f t="shared" si="2"/>
        <v>0</v>
      </c>
      <c r="O22" s="495"/>
      <c r="P22" s="495"/>
      <c r="Q22" s="495"/>
      <c r="R22" s="495"/>
      <c r="S22" s="495"/>
      <c r="T22" s="679">
        <v>12100</v>
      </c>
      <c r="U22"/>
    </row>
    <row r="23" spans="1:21" ht="23.25" customHeight="1">
      <c r="A23" s="110" t="s">
        <v>669</v>
      </c>
      <c r="B23" s="589" t="s">
        <v>666</v>
      </c>
      <c r="C23" s="587">
        <f t="shared" si="1"/>
        <v>0</v>
      </c>
      <c r="D23" s="492"/>
      <c r="E23" s="493"/>
      <c r="F23" s="493"/>
      <c r="G23" s="493"/>
      <c r="H23" s="493"/>
      <c r="I23" s="587">
        <f t="shared" si="3"/>
        <v>0</v>
      </c>
      <c r="J23" s="492"/>
      <c r="K23" s="492"/>
      <c r="L23" s="492"/>
      <c r="M23" s="492"/>
      <c r="N23" s="587">
        <f t="shared" si="2"/>
        <v>0</v>
      </c>
      <c r="O23" s="495"/>
      <c r="P23" s="495"/>
      <c r="Q23" s="495"/>
      <c r="R23" s="495"/>
      <c r="S23" s="495"/>
      <c r="T23" s="679">
        <v>12300</v>
      </c>
      <c r="U23"/>
    </row>
    <row r="24" spans="1:21" ht="23.25" customHeight="1">
      <c r="A24" s="110" t="s">
        <v>671</v>
      </c>
      <c r="B24" s="589" t="s">
        <v>668</v>
      </c>
      <c r="C24" s="587">
        <f t="shared" si="1"/>
        <v>0</v>
      </c>
      <c r="D24" s="492"/>
      <c r="E24" s="493"/>
      <c r="F24" s="493"/>
      <c r="G24" s="493"/>
      <c r="H24" s="493"/>
      <c r="I24" s="587">
        <f t="shared" si="3"/>
        <v>0</v>
      </c>
      <c r="J24" s="492"/>
      <c r="K24" s="492"/>
      <c r="L24" s="492"/>
      <c r="M24" s="492"/>
      <c r="N24" s="587">
        <f t="shared" si="2"/>
        <v>0</v>
      </c>
      <c r="O24" s="495"/>
      <c r="P24" s="495"/>
      <c r="Q24" s="495"/>
      <c r="R24" s="495"/>
      <c r="S24" s="495"/>
      <c r="T24" s="679">
        <v>12400</v>
      </c>
      <c r="U24"/>
    </row>
    <row r="25" spans="1:21" ht="23.25" customHeight="1">
      <c r="A25" s="110" t="s">
        <v>673</v>
      </c>
      <c r="B25" s="589" t="s">
        <v>670</v>
      </c>
      <c r="C25" s="587">
        <f>SUM(D25:H25)-N25+O25</f>
        <v>81825947</v>
      </c>
      <c r="D25" s="492">
        <v>80249045</v>
      </c>
      <c r="E25" s="492">
        <v>1523268</v>
      </c>
      <c r="F25" s="492">
        <v>109598</v>
      </c>
      <c r="G25" s="492">
        <v>24327</v>
      </c>
      <c r="H25" s="492">
        <v>0</v>
      </c>
      <c r="I25" s="587">
        <f t="shared" si="3"/>
        <v>290686</v>
      </c>
      <c r="J25" s="492">
        <v>173539</v>
      </c>
      <c r="K25" s="492">
        <v>91690</v>
      </c>
      <c r="L25" s="492">
        <v>20347</v>
      </c>
      <c r="M25" s="492">
        <v>5110</v>
      </c>
      <c r="N25" s="587">
        <f t="shared" si="2"/>
        <v>80291</v>
      </c>
      <c r="O25" s="495">
        <v>0</v>
      </c>
      <c r="P25" s="495">
        <v>74471</v>
      </c>
      <c r="Q25" s="495">
        <v>5820</v>
      </c>
      <c r="R25" s="495">
        <v>0</v>
      </c>
      <c r="S25" s="495">
        <v>0</v>
      </c>
      <c r="T25" s="679">
        <v>12500</v>
      </c>
      <c r="U25"/>
    </row>
    <row r="26" spans="1:21" ht="23.25" customHeight="1">
      <c r="A26" s="110" t="s">
        <v>675</v>
      </c>
      <c r="B26" s="589" t="s">
        <v>672</v>
      </c>
      <c r="C26" s="587">
        <f t="shared" si="1"/>
        <v>22125242</v>
      </c>
      <c r="D26" s="492">
        <v>20767187</v>
      </c>
      <c r="E26" s="492">
        <v>1132465</v>
      </c>
      <c r="F26" s="492">
        <v>384651</v>
      </c>
      <c r="G26" s="492">
        <v>4892</v>
      </c>
      <c r="H26" s="492">
        <v>0</v>
      </c>
      <c r="I26" s="587">
        <f t="shared" si="3"/>
        <v>370054</v>
      </c>
      <c r="J26" s="492">
        <v>113112</v>
      </c>
      <c r="K26" s="492">
        <v>160846</v>
      </c>
      <c r="L26" s="492">
        <v>93854</v>
      </c>
      <c r="M26" s="492">
        <v>2242</v>
      </c>
      <c r="N26" s="587">
        <f t="shared" si="2"/>
        <v>163953</v>
      </c>
      <c r="O26" s="495">
        <v>0</v>
      </c>
      <c r="P26" s="495">
        <v>62226</v>
      </c>
      <c r="Q26" s="495">
        <v>101727</v>
      </c>
      <c r="R26" s="495">
        <v>0</v>
      </c>
      <c r="S26" s="495">
        <v>0</v>
      </c>
      <c r="T26" s="679">
        <v>12600</v>
      </c>
      <c r="U26"/>
    </row>
    <row r="27" spans="1:21" ht="23.25" customHeight="1">
      <c r="A27" s="110" t="s">
        <v>677</v>
      </c>
      <c r="B27" s="589" t="s">
        <v>674</v>
      </c>
      <c r="C27" s="587">
        <f>SUM(D27:H27)-N27+O27</f>
        <v>4087343</v>
      </c>
      <c r="D27" s="492">
        <v>2328615</v>
      </c>
      <c r="E27" s="492">
        <v>2153839</v>
      </c>
      <c r="F27" s="492">
        <v>0</v>
      </c>
      <c r="G27" s="492">
        <v>5040</v>
      </c>
      <c r="H27" s="492">
        <v>0</v>
      </c>
      <c r="I27" s="587">
        <f t="shared" si="3"/>
        <v>0</v>
      </c>
      <c r="J27" s="492">
        <v>0</v>
      </c>
      <c r="K27" s="492">
        <v>0</v>
      </c>
      <c r="L27" s="492">
        <v>0</v>
      </c>
      <c r="M27" s="492">
        <v>0</v>
      </c>
      <c r="N27" s="587">
        <f t="shared" si="2"/>
        <v>400151</v>
      </c>
      <c r="O27" s="495">
        <v>0</v>
      </c>
      <c r="P27" s="495">
        <v>400151</v>
      </c>
      <c r="Q27" s="495">
        <v>0</v>
      </c>
      <c r="R27" s="495">
        <v>0</v>
      </c>
      <c r="S27" s="495">
        <v>0</v>
      </c>
      <c r="T27" s="679">
        <v>12700</v>
      </c>
      <c r="U27"/>
    </row>
    <row r="28" spans="1:21" ht="33.75" customHeight="1">
      <c r="A28" s="110" t="s">
        <v>679</v>
      </c>
      <c r="B28" s="589" t="s">
        <v>676</v>
      </c>
      <c r="C28" s="587">
        <f t="shared" si="1"/>
        <v>0</v>
      </c>
      <c r="D28" s="492"/>
      <c r="E28" s="492"/>
      <c r="F28" s="492"/>
      <c r="G28" s="492"/>
      <c r="H28" s="492"/>
      <c r="I28" s="587">
        <f t="shared" si="3"/>
        <v>0</v>
      </c>
      <c r="J28" s="492"/>
      <c r="K28" s="492"/>
      <c r="L28" s="492"/>
      <c r="M28" s="492"/>
      <c r="N28" s="587">
        <f t="shared" si="2"/>
        <v>0</v>
      </c>
      <c r="O28" s="495"/>
      <c r="P28" s="495"/>
      <c r="Q28" s="495"/>
      <c r="R28" s="495"/>
      <c r="S28" s="495"/>
      <c r="T28" s="679">
        <v>12800</v>
      </c>
      <c r="U28" s="680"/>
    </row>
    <row r="29" spans="1:21" ht="23.25" customHeight="1">
      <c r="A29" s="110" t="s">
        <v>681</v>
      </c>
      <c r="B29" s="589" t="s">
        <v>678</v>
      </c>
      <c r="C29" s="587">
        <f t="shared" si="1"/>
        <v>28920287</v>
      </c>
      <c r="D29" s="492">
        <v>13333</v>
      </c>
      <c r="E29" s="492">
        <v>30315361</v>
      </c>
      <c r="F29" s="492">
        <v>0</v>
      </c>
      <c r="G29" s="492">
        <v>46684</v>
      </c>
      <c r="H29" s="492">
        <v>0</v>
      </c>
      <c r="I29" s="587">
        <f t="shared" si="3"/>
        <v>237330</v>
      </c>
      <c r="J29" s="492">
        <v>237330</v>
      </c>
      <c r="K29" s="492">
        <v>0</v>
      </c>
      <c r="L29" s="492">
        <v>0</v>
      </c>
      <c r="M29" s="492">
        <v>0</v>
      </c>
      <c r="N29" s="587">
        <f t="shared" si="2"/>
        <v>1455091</v>
      </c>
      <c r="O29" s="495">
        <v>0</v>
      </c>
      <c r="P29" s="495">
        <v>1455091</v>
      </c>
      <c r="Q29" s="495">
        <v>0</v>
      </c>
      <c r="R29" s="495">
        <v>0</v>
      </c>
      <c r="S29" s="495">
        <v>0</v>
      </c>
      <c r="T29" s="679">
        <v>12900</v>
      </c>
      <c r="U29"/>
    </row>
    <row r="30" spans="1:21" ht="24" customHeight="1">
      <c r="A30" s="110" t="s">
        <v>683</v>
      </c>
      <c r="B30" s="589" t="s">
        <v>680</v>
      </c>
      <c r="C30" s="587">
        <f t="shared" si="1"/>
        <v>492867</v>
      </c>
      <c r="D30" s="492">
        <v>207415</v>
      </c>
      <c r="E30" s="492">
        <v>285452</v>
      </c>
      <c r="F30" s="492">
        <v>0</v>
      </c>
      <c r="G30" s="492">
        <v>0</v>
      </c>
      <c r="H30" s="492">
        <v>0</v>
      </c>
      <c r="I30" s="587">
        <f t="shared" si="3"/>
        <v>0</v>
      </c>
      <c r="J30" s="492">
        <v>0</v>
      </c>
      <c r="K30" s="492">
        <v>0</v>
      </c>
      <c r="L30" s="492">
        <v>0</v>
      </c>
      <c r="M30" s="492">
        <v>0</v>
      </c>
      <c r="N30" s="587">
        <f t="shared" si="2"/>
        <v>0</v>
      </c>
      <c r="O30" s="495">
        <v>0</v>
      </c>
      <c r="P30" s="495">
        <v>0</v>
      </c>
      <c r="Q30" s="495">
        <v>0</v>
      </c>
      <c r="R30" s="495">
        <v>0</v>
      </c>
      <c r="S30" s="495">
        <v>0</v>
      </c>
      <c r="T30" s="679">
        <v>13000</v>
      </c>
      <c r="U30"/>
    </row>
    <row r="31" spans="1:21" ht="33.75" customHeight="1">
      <c r="A31" s="110" t="s">
        <v>685</v>
      </c>
      <c r="B31" s="589" t="s">
        <v>682</v>
      </c>
      <c r="C31" s="587">
        <f t="shared" si="1"/>
        <v>135706442</v>
      </c>
      <c r="D31" s="492">
        <v>118406210</v>
      </c>
      <c r="E31" s="492">
        <v>17108437</v>
      </c>
      <c r="F31" s="492">
        <v>0</v>
      </c>
      <c r="G31" s="492">
        <v>1547179</v>
      </c>
      <c r="H31" s="492">
        <v>0</v>
      </c>
      <c r="I31" s="587">
        <f t="shared" si="3"/>
        <v>1253341</v>
      </c>
      <c r="J31" s="492">
        <v>735495</v>
      </c>
      <c r="K31" s="492">
        <v>395749</v>
      </c>
      <c r="L31" s="492">
        <v>122097</v>
      </c>
      <c r="M31" s="492">
        <v>0</v>
      </c>
      <c r="N31" s="587">
        <f t="shared" si="2"/>
        <v>1355384</v>
      </c>
      <c r="O31" s="495">
        <v>0</v>
      </c>
      <c r="P31" s="495">
        <v>1355384</v>
      </c>
      <c r="Q31" s="495">
        <v>0</v>
      </c>
      <c r="R31" s="495">
        <v>0</v>
      </c>
      <c r="S31" s="495">
        <v>0</v>
      </c>
      <c r="T31" s="679">
        <v>13100</v>
      </c>
      <c r="U31"/>
    </row>
    <row r="32" spans="1:21" ht="23.25" customHeight="1">
      <c r="A32" s="110" t="s">
        <v>687</v>
      </c>
      <c r="B32" s="589" t="s">
        <v>684</v>
      </c>
      <c r="C32" s="587">
        <f t="shared" si="1"/>
        <v>10228</v>
      </c>
      <c r="D32" s="492">
        <v>10228</v>
      </c>
      <c r="E32" s="493"/>
      <c r="F32" s="493"/>
      <c r="G32" s="493"/>
      <c r="H32" s="493"/>
      <c r="I32" s="587">
        <f t="shared" si="3"/>
        <v>0</v>
      </c>
      <c r="J32" s="492"/>
      <c r="K32" s="492"/>
      <c r="L32" s="492"/>
      <c r="M32" s="492"/>
      <c r="N32" s="587">
        <f t="shared" si="2"/>
        <v>0</v>
      </c>
      <c r="O32" s="495"/>
      <c r="P32" s="495"/>
      <c r="Q32" s="495"/>
      <c r="R32" s="495"/>
      <c r="S32" s="495"/>
      <c r="T32" s="679">
        <v>13200</v>
      </c>
      <c r="U32"/>
    </row>
    <row r="33" spans="1:21" ht="32.25" customHeight="1">
      <c r="A33" s="110" t="s">
        <v>689</v>
      </c>
      <c r="B33" s="589" t="s">
        <v>1172</v>
      </c>
      <c r="C33" s="587">
        <f t="shared" si="1"/>
        <v>0</v>
      </c>
      <c r="D33" s="492"/>
      <c r="E33" s="493"/>
      <c r="F33" s="493"/>
      <c r="G33" s="493"/>
      <c r="H33" s="493"/>
      <c r="I33" s="587">
        <f>SUM(J33:M33)</f>
        <v>0</v>
      </c>
      <c r="J33" s="492"/>
      <c r="K33" s="492"/>
      <c r="L33" s="492"/>
      <c r="M33" s="492"/>
      <c r="N33" s="587">
        <f t="shared" si="2"/>
        <v>0</v>
      </c>
      <c r="O33" s="495"/>
      <c r="P33" s="495"/>
      <c r="Q33" s="495"/>
      <c r="R33" s="495"/>
      <c r="S33" s="495"/>
      <c r="T33" s="679">
        <v>13300</v>
      </c>
      <c r="U33"/>
    </row>
    <row r="34" spans="1:21" ht="32.25" customHeight="1">
      <c r="A34" s="110" t="s">
        <v>691</v>
      </c>
      <c r="B34" s="589" t="s">
        <v>1173</v>
      </c>
      <c r="C34" s="587">
        <f t="shared" si="1"/>
        <v>0</v>
      </c>
      <c r="D34" s="492"/>
      <c r="E34" s="493"/>
      <c r="F34" s="493"/>
      <c r="G34" s="493"/>
      <c r="H34" s="493"/>
      <c r="I34" s="587">
        <f>SUM(J34:M34)</f>
        <v>0</v>
      </c>
      <c r="J34" s="492"/>
      <c r="K34" s="492"/>
      <c r="L34" s="492"/>
      <c r="M34" s="492"/>
      <c r="N34" s="587">
        <f t="shared" si="2"/>
        <v>0</v>
      </c>
      <c r="O34" s="495"/>
      <c r="P34" s="495"/>
      <c r="Q34" s="495"/>
      <c r="R34" s="495"/>
      <c r="S34" s="495"/>
      <c r="T34" s="679">
        <v>14300</v>
      </c>
      <c r="U34"/>
    </row>
    <row r="35" spans="1:21" ht="33.75" customHeight="1">
      <c r="A35" s="110" t="s">
        <v>693</v>
      </c>
      <c r="B35" s="589" t="s">
        <v>686</v>
      </c>
      <c r="C35" s="587">
        <f t="shared" si="1"/>
        <v>2362100</v>
      </c>
      <c r="D35" s="492">
        <v>1996666</v>
      </c>
      <c r="E35" s="493">
        <v>413333</v>
      </c>
      <c r="F35" s="493">
        <v>0</v>
      </c>
      <c r="G35" s="493">
        <v>0</v>
      </c>
      <c r="H35" s="493">
        <v>0</v>
      </c>
      <c r="I35" s="587">
        <f t="shared" si="3"/>
        <v>21252</v>
      </c>
      <c r="J35" s="492">
        <v>16667</v>
      </c>
      <c r="K35" s="492">
        <v>4585</v>
      </c>
      <c r="L35" s="492">
        <v>0</v>
      </c>
      <c r="M35" s="492">
        <v>0</v>
      </c>
      <c r="N35" s="587">
        <f t="shared" si="2"/>
        <v>47899</v>
      </c>
      <c r="O35" s="495">
        <v>0</v>
      </c>
      <c r="P35" s="495">
        <v>47899</v>
      </c>
      <c r="Q35" s="495">
        <v>0</v>
      </c>
      <c r="R35" s="495">
        <v>0</v>
      </c>
      <c r="S35" s="495">
        <v>0</v>
      </c>
      <c r="T35" s="679">
        <v>14400</v>
      </c>
      <c r="U35"/>
    </row>
    <row r="36" spans="1:21" ht="23.25" customHeight="1">
      <c r="A36" s="110" t="s">
        <v>695</v>
      </c>
      <c r="B36" s="589" t="s">
        <v>688</v>
      </c>
      <c r="C36" s="587">
        <f t="shared" si="1"/>
        <v>0</v>
      </c>
      <c r="D36" s="492"/>
      <c r="E36" s="493"/>
      <c r="F36" s="493"/>
      <c r="G36" s="493"/>
      <c r="H36" s="493"/>
      <c r="I36" s="587">
        <f t="shared" si="3"/>
        <v>0</v>
      </c>
      <c r="J36" s="492"/>
      <c r="K36" s="492"/>
      <c r="L36" s="492"/>
      <c r="M36" s="492"/>
      <c r="N36" s="587">
        <f t="shared" si="2"/>
        <v>0</v>
      </c>
      <c r="O36" s="495"/>
      <c r="P36" s="495"/>
      <c r="Q36" s="495"/>
      <c r="R36" s="495"/>
      <c r="S36" s="495"/>
      <c r="T36" s="679">
        <v>14500</v>
      </c>
      <c r="U36"/>
    </row>
    <row r="37" spans="1:21" ht="23.25" customHeight="1">
      <c r="A37" s="110" t="s">
        <v>697</v>
      </c>
      <c r="B37" s="589" t="s">
        <v>690</v>
      </c>
      <c r="C37" s="587">
        <f t="shared" si="1"/>
        <v>0</v>
      </c>
      <c r="D37" s="492"/>
      <c r="E37" s="493"/>
      <c r="F37" s="493"/>
      <c r="G37" s="493"/>
      <c r="H37" s="493"/>
      <c r="I37" s="587">
        <f t="shared" si="3"/>
        <v>0</v>
      </c>
      <c r="J37" s="492"/>
      <c r="K37" s="492"/>
      <c r="L37" s="492"/>
      <c r="M37" s="492"/>
      <c r="N37" s="587">
        <f t="shared" si="2"/>
        <v>0</v>
      </c>
      <c r="O37" s="495"/>
      <c r="P37" s="495"/>
      <c r="Q37" s="495"/>
      <c r="R37" s="495"/>
      <c r="S37" s="495"/>
      <c r="T37" s="679">
        <v>14700</v>
      </c>
      <c r="U37"/>
    </row>
    <row r="38" spans="1:21" ht="23.25" customHeight="1">
      <c r="A38" s="110" t="s">
        <v>699</v>
      </c>
      <c r="B38" s="589" t="s">
        <v>692</v>
      </c>
      <c r="C38" s="587">
        <f t="shared" si="1"/>
        <v>0</v>
      </c>
      <c r="D38" s="492"/>
      <c r="E38" s="493"/>
      <c r="F38" s="493"/>
      <c r="G38" s="493"/>
      <c r="H38" s="493"/>
      <c r="I38" s="587">
        <f t="shared" si="3"/>
        <v>0</v>
      </c>
      <c r="J38" s="492"/>
      <c r="K38" s="492"/>
      <c r="L38" s="492"/>
      <c r="M38" s="492"/>
      <c r="N38" s="587">
        <f t="shared" si="2"/>
        <v>0</v>
      </c>
      <c r="O38" s="495"/>
      <c r="P38" s="495"/>
      <c r="Q38" s="495"/>
      <c r="R38" s="495"/>
      <c r="S38" s="495"/>
      <c r="T38" s="679">
        <v>14800</v>
      </c>
      <c r="U38"/>
    </row>
    <row r="39" spans="1:21" ht="23.25" customHeight="1">
      <c r="A39" s="110" t="s">
        <v>700</v>
      </c>
      <c r="B39" s="589" t="s">
        <v>694</v>
      </c>
      <c r="C39" s="587">
        <f t="shared" ref="C39:C44" si="4">SUM(D39:H39)-N39+O39</f>
        <v>1374647662</v>
      </c>
      <c r="D39" s="492">
        <v>1360175424</v>
      </c>
      <c r="E39" s="492">
        <v>12442314</v>
      </c>
      <c r="F39" s="492">
        <v>4226282</v>
      </c>
      <c r="G39" s="492">
        <v>183301</v>
      </c>
      <c r="H39" s="492">
        <v>0</v>
      </c>
      <c r="I39" s="587">
        <f t="shared" si="3"/>
        <v>1921749</v>
      </c>
      <c r="J39" s="492">
        <v>660432</v>
      </c>
      <c r="K39" s="492">
        <v>580241</v>
      </c>
      <c r="L39" s="492">
        <v>401746</v>
      </c>
      <c r="M39" s="492">
        <v>279330</v>
      </c>
      <c r="N39" s="587">
        <f t="shared" si="2"/>
        <v>2379659</v>
      </c>
      <c r="O39" s="1158"/>
      <c r="P39" s="495">
        <v>1598673</v>
      </c>
      <c r="Q39" s="495">
        <v>627772</v>
      </c>
      <c r="R39" s="495">
        <v>153214</v>
      </c>
      <c r="S39" s="495">
        <v>0</v>
      </c>
      <c r="T39" s="679">
        <v>14900</v>
      </c>
      <c r="U39"/>
    </row>
    <row r="40" spans="1:21" ht="23.25" customHeight="1">
      <c r="A40" s="110" t="s">
        <v>702</v>
      </c>
      <c r="B40" s="589" t="s">
        <v>696</v>
      </c>
      <c r="C40" s="587">
        <f t="shared" si="4"/>
        <v>127710513</v>
      </c>
      <c r="D40" s="492">
        <v>125749499</v>
      </c>
      <c r="E40" s="492">
        <v>2052405</v>
      </c>
      <c r="F40" s="492">
        <v>221484</v>
      </c>
      <c r="G40" s="492">
        <v>197968</v>
      </c>
      <c r="H40" s="492">
        <v>0</v>
      </c>
      <c r="I40" s="587">
        <f t="shared" si="3"/>
        <v>837202</v>
      </c>
      <c r="J40" s="492">
        <v>308051</v>
      </c>
      <c r="K40" s="492">
        <v>265750</v>
      </c>
      <c r="L40" s="492">
        <v>156359</v>
      </c>
      <c r="M40" s="492">
        <v>107042</v>
      </c>
      <c r="N40" s="587">
        <f t="shared" si="2"/>
        <v>510843</v>
      </c>
      <c r="O40" s="495">
        <v>0</v>
      </c>
      <c r="P40" s="495">
        <v>339850</v>
      </c>
      <c r="Q40" s="495">
        <v>62970</v>
      </c>
      <c r="R40" s="495">
        <v>108023</v>
      </c>
      <c r="S40" s="495">
        <v>0</v>
      </c>
      <c r="T40" s="679">
        <v>15000</v>
      </c>
      <c r="U40"/>
    </row>
    <row r="41" spans="1:21" ht="33.75" customHeight="1">
      <c r="A41" s="110" t="s">
        <v>704</v>
      </c>
      <c r="B41" s="589" t="s">
        <v>698</v>
      </c>
      <c r="C41" s="587">
        <f t="shared" si="4"/>
        <v>90333574</v>
      </c>
      <c r="D41" s="492">
        <v>18109752</v>
      </c>
      <c r="E41" s="492">
        <v>76644921</v>
      </c>
      <c r="F41" s="492">
        <v>3534667</v>
      </c>
      <c r="G41" s="492">
        <v>579444</v>
      </c>
      <c r="H41" s="492">
        <v>0</v>
      </c>
      <c r="I41" s="587">
        <f t="shared" si="3"/>
        <v>243778</v>
      </c>
      <c r="J41" s="492">
        <v>40203</v>
      </c>
      <c r="K41" s="492">
        <v>65177</v>
      </c>
      <c r="L41" s="492">
        <v>95341</v>
      </c>
      <c r="M41" s="492">
        <v>43057</v>
      </c>
      <c r="N41" s="587">
        <f t="shared" si="2"/>
        <v>8535210</v>
      </c>
      <c r="O41" s="495">
        <v>0</v>
      </c>
      <c r="P41" s="495">
        <v>7024810</v>
      </c>
      <c r="Q41" s="495">
        <v>1210400</v>
      </c>
      <c r="R41" s="495">
        <v>300000</v>
      </c>
      <c r="S41" s="495">
        <v>0</v>
      </c>
      <c r="T41" s="679">
        <v>15100</v>
      </c>
      <c r="U41"/>
    </row>
    <row r="42" spans="1:21" ht="23.25" customHeight="1">
      <c r="A42" s="110" t="s">
        <v>706</v>
      </c>
      <c r="B42" s="589" t="s">
        <v>1164</v>
      </c>
      <c r="C42" s="587">
        <f t="shared" si="4"/>
        <v>37899886</v>
      </c>
      <c r="D42" s="492">
        <v>32190404</v>
      </c>
      <c r="E42" s="492">
        <v>5681414</v>
      </c>
      <c r="F42" s="492">
        <v>1096328</v>
      </c>
      <c r="G42" s="492">
        <v>102314</v>
      </c>
      <c r="H42" s="492">
        <v>0</v>
      </c>
      <c r="I42" s="587">
        <f t="shared" si="3"/>
        <v>395551</v>
      </c>
      <c r="J42" s="492">
        <v>59512</v>
      </c>
      <c r="K42" s="492">
        <v>108650</v>
      </c>
      <c r="L42" s="492">
        <v>96342</v>
      </c>
      <c r="M42" s="492">
        <v>131047</v>
      </c>
      <c r="N42" s="587">
        <f t="shared" si="2"/>
        <v>1170574</v>
      </c>
      <c r="O42" s="495">
        <v>0</v>
      </c>
      <c r="P42" s="495">
        <v>729570</v>
      </c>
      <c r="Q42" s="495">
        <v>341004</v>
      </c>
      <c r="R42" s="495">
        <v>100000</v>
      </c>
      <c r="S42" s="495">
        <v>0</v>
      </c>
      <c r="T42" s="679">
        <v>15200</v>
      </c>
      <c r="U42"/>
    </row>
    <row r="43" spans="1:21" ht="23.25" customHeight="1">
      <c r="A43" s="110" t="s">
        <v>708</v>
      </c>
      <c r="B43" s="589" t="s">
        <v>701</v>
      </c>
      <c r="C43" s="587">
        <f t="shared" si="4"/>
        <v>123715897</v>
      </c>
      <c r="D43" s="492">
        <v>119164340</v>
      </c>
      <c r="E43" s="492">
        <v>5380525</v>
      </c>
      <c r="F43" s="492">
        <v>0</v>
      </c>
      <c r="G43" s="492">
        <v>443556</v>
      </c>
      <c r="H43" s="492">
        <v>0</v>
      </c>
      <c r="I43" s="587">
        <f t="shared" si="3"/>
        <v>1329867</v>
      </c>
      <c r="J43" s="492">
        <v>386684</v>
      </c>
      <c r="K43" s="492">
        <v>673333</v>
      </c>
      <c r="L43" s="492">
        <v>269850</v>
      </c>
      <c r="M43" s="492">
        <v>0</v>
      </c>
      <c r="N43" s="587">
        <f t="shared" si="2"/>
        <v>1272524</v>
      </c>
      <c r="O43" s="495">
        <v>0</v>
      </c>
      <c r="P43" s="495">
        <v>418353</v>
      </c>
      <c r="Q43" s="495">
        <v>0</v>
      </c>
      <c r="R43" s="495">
        <v>854171</v>
      </c>
      <c r="S43" s="495">
        <v>0</v>
      </c>
      <c r="T43" s="679">
        <v>15300</v>
      </c>
      <c r="U43"/>
    </row>
    <row r="44" spans="1:21" ht="23.25" customHeight="1">
      <c r="A44" s="110" t="s">
        <v>710</v>
      </c>
      <c r="B44" s="589" t="s">
        <v>703</v>
      </c>
      <c r="C44" s="587">
        <f t="shared" si="4"/>
        <v>0</v>
      </c>
      <c r="D44" s="492"/>
      <c r="E44" s="492"/>
      <c r="F44" s="492"/>
      <c r="G44" s="492"/>
      <c r="H44" s="492"/>
      <c r="I44" s="587">
        <f t="shared" si="3"/>
        <v>0</v>
      </c>
      <c r="J44" s="492"/>
      <c r="K44" s="492"/>
      <c r="L44" s="492"/>
      <c r="M44" s="492"/>
      <c r="N44" s="587">
        <f t="shared" si="2"/>
        <v>0</v>
      </c>
      <c r="O44" s="495">
        <v>0</v>
      </c>
      <c r="P44" s="495"/>
      <c r="Q44" s="495"/>
      <c r="R44" s="495"/>
      <c r="S44" s="495"/>
      <c r="T44" s="679">
        <v>15400</v>
      </c>
      <c r="U44"/>
    </row>
    <row r="45" spans="1:21" ht="33.75" customHeight="1">
      <c r="A45" s="110" t="s">
        <v>712</v>
      </c>
      <c r="B45" s="589" t="s">
        <v>705</v>
      </c>
      <c r="C45" s="587">
        <f t="shared" si="1"/>
        <v>2603384716</v>
      </c>
      <c r="D45" s="492">
        <v>2113605856</v>
      </c>
      <c r="E45" s="492">
        <v>586348885</v>
      </c>
      <c r="F45" s="492">
        <v>0</v>
      </c>
      <c r="G45" s="492">
        <v>0</v>
      </c>
      <c r="H45" s="492">
        <v>0</v>
      </c>
      <c r="I45" s="587">
        <f t="shared" si="3"/>
        <v>18207096</v>
      </c>
      <c r="J45" s="492">
        <v>4568793</v>
      </c>
      <c r="K45" s="492">
        <v>6877585</v>
      </c>
      <c r="L45" s="492">
        <v>4754619</v>
      </c>
      <c r="M45" s="492">
        <v>2006099</v>
      </c>
      <c r="N45" s="587">
        <f t="shared" si="2"/>
        <v>96570025</v>
      </c>
      <c r="O45" s="495">
        <v>0</v>
      </c>
      <c r="P45" s="495">
        <v>96570025</v>
      </c>
      <c r="Q45" s="495">
        <v>0</v>
      </c>
      <c r="R45" s="495">
        <v>0</v>
      </c>
      <c r="S45" s="495">
        <v>0</v>
      </c>
      <c r="T45" s="679">
        <v>15500</v>
      </c>
      <c r="U45"/>
    </row>
    <row r="46" spans="1:21" ht="18" customHeight="1">
      <c r="A46" s="110" t="s">
        <v>714</v>
      </c>
      <c r="B46" s="589" t="s">
        <v>1154</v>
      </c>
      <c r="C46" s="587">
        <f t="shared" si="1"/>
        <v>4354759</v>
      </c>
      <c r="D46" s="492">
        <v>3545827</v>
      </c>
      <c r="E46" s="492">
        <v>452007</v>
      </c>
      <c r="F46" s="492">
        <v>404558</v>
      </c>
      <c r="G46" s="492">
        <v>395830</v>
      </c>
      <c r="H46" s="492">
        <v>0</v>
      </c>
      <c r="I46" s="587">
        <f t="shared" si="3"/>
        <v>134754</v>
      </c>
      <c r="J46" s="492">
        <v>10689</v>
      </c>
      <c r="K46" s="492">
        <v>58544</v>
      </c>
      <c r="L46" s="492">
        <v>37445</v>
      </c>
      <c r="M46" s="492">
        <v>28076</v>
      </c>
      <c r="N46" s="587">
        <f t="shared" si="2"/>
        <v>443463</v>
      </c>
      <c r="O46" s="495">
        <v>0</v>
      </c>
      <c r="P46" s="495">
        <v>48244</v>
      </c>
      <c r="Q46" s="495">
        <v>144173</v>
      </c>
      <c r="R46" s="495">
        <v>251046</v>
      </c>
      <c r="S46" s="495">
        <v>0</v>
      </c>
      <c r="T46" s="679">
        <v>15600</v>
      </c>
      <c r="U46"/>
    </row>
    <row r="47" spans="1:21" ht="23.25" customHeight="1">
      <c r="A47" s="110" t="s">
        <v>716</v>
      </c>
      <c r="B47" s="589" t="s">
        <v>707</v>
      </c>
      <c r="C47" s="587">
        <f t="shared" si="1"/>
        <v>8560497</v>
      </c>
      <c r="D47" s="492">
        <v>0</v>
      </c>
      <c r="E47" s="492">
        <v>0</v>
      </c>
      <c r="F47" s="492">
        <v>0</v>
      </c>
      <c r="G47" s="492">
        <v>0</v>
      </c>
      <c r="H47" s="492">
        <v>14101127</v>
      </c>
      <c r="I47" s="587">
        <f t="shared" si="3"/>
        <v>0</v>
      </c>
      <c r="J47" s="492">
        <v>0</v>
      </c>
      <c r="K47" s="492">
        <v>0</v>
      </c>
      <c r="L47" s="492">
        <v>0</v>
      </c>
      <c r="M47" s="492">
        <v>0</v>
      </c>
      <c r="N47" s="587">
        <f t="shared" si="2"/>
        <v>5540630</v>
      </c>
      <c r="O47" s="495">
        <v>0</v>
      </c>
      <c r="P47" s="495">
        <v>0</v>
      </c>
      <c r="Q47" s="495">
        <v>0</v>
      </c>
      <c r="R47" s="495">
        <v>0</v>
      </c>
      <c r="S47" s="495">
        <v>5540630</v>
      </c>
      <c r="T47" s="679">
        <v>15700</v>
      </c>
      <c r="U47"/>
    </row>
    <row r="48" spans="1:21" ht="33.75" customHeight="1">
      <c r="A48" s="110" t="s">
        <v>718</v>
      </c>
      <c r="B48" s="589" t="s">
        <v>709</v>
      </c>
      <c r="C48" s="587">
        <f t="shared" si="1"/>
        <v>70220</v>
      </c>
      <c r="D48" s="492">
        <v>341924</v>
      </c>
      <c r="E48" s="492">
        <v>0</v>
      </c>
      <c r="F48" s="492">
        <v>0</v>
      </c>
      <c r="G48" s="492">
        <v>0</v>
      </c>
      <c r="H48" s="492">
        <v>0</v>
      </c>
      <c r="I48" s="587">
        <f t="shared" si="3"/>
        <v>0</v>
      </c>
      <c r="J48" s="492">
        <v>0</v>
      </c>
      <c r="K48" s="492">
        <v>0</v>
      </c>
      <c r="L48" s="492">
        <v>0</v>
      </c>
      <c r="M48" s="492">
        <v>0</v>
      </c>
      <c r="N48" s="587">
        <f t="shared" si="2"/>
        <v>271704</v>
      </c>
      <c r="O48" s="492">
        <v>0</v>
      </c>
      <c r="P48" s="492">
        <v>0</v>
      </c>
      <c r="Q48" s="492">
        <v>0</v>
      </c>
      <c r="R48" s="492">
        <v>0</v>
      </c>
      <c r="S48" s="492">
        <v>271704</v>
      </c>
      <c r="T48" s="679">
        <v>15800</v>
      </c>
      <c r="U48"/>
    </row>
    <row r="49" spans="1:29" ht="23.25" customHeight="1">
      <c r="A49" s="110" t="s">
        <v>1079</v>
      </c>
      <c r="B49" s="589" t="s">
        <v>711</v>
      </c>
      <c r="C49" s="587">
        <f t="shared" si="1"/>
        <v>6600000</v>
      </c>
      <c r="D49" s="492">
        <v>6600000</v>
      </c>
      <c r="E49" s="492">
        <v>0</v>
      </c>
      <c r="F49" s="492">
        <v>0</v>
      </c>
      <c r="G49" s="492">
        <v>0</v>
      </c>
      <c r="H49" s="492">
        <v>0</v>
      </c>
      <c r="I49" s="587">
        <f t="shared" si="3"/>
        <v>0</v>
      </c>
      <c r="J49" s="492">
        <v>0</v>
      </c>
      <c r="K49" s="492">
        <v>0</v>
      </c>
      <c r="L49" s="492">
        <v>0</v>
      </c>
      <c r="M49" s="492">
        <v>0</v>
      </c>
      <c r="N49" s="587">
        <f t="shared" si="2"/>
        <v>0</v>
      </c>
      <c r="O49" s="492">
        <v>0</v>
      </c>
      <c r="P49" s="492">
        <v>0</v>
      </c>
      <c r="Q49" s="492">
        <v>0</v>
      </c>
      <c r="R49" s="492">
        <v>0</v>
      </c>
      <c r="S49" s="492">
        <v>0</v>
      </c>
      <c r="T49" s="679">
        <v>15900</v>
      </c>
      <c r="U49"/>
    </row>
    <row r="50" spans="1:29" ht="23.25" customHeight="1">
      <c r="A50" s="110" t="s">
        <v>1080</v>
      </c>
      <c r="B50" s="589" t="s">
        <v>713</v>
      </c>
      <c r="C50" s="587">
        <f t="shared" si="1"/>
        <v>35343476</v>
      </c>
      <c r="D50" s="492">
        <v>35343476</v>
      </c>
      <c r="E50" s="492">
        <v>0</v>
      </c>
      <c r="F50" s="492">
        <v>0</v>
      </c>
      <c r="G50" s="492">
        <v>0</v>
      </c>
      <c r="H50" s="492">
        <v>0</v>
      </c>
      <c r="I50" s="587">
        <f t="shared" si="3"/>
        <v>10114165</v>
      </c>
      <c r="J50" s="492">
        <v>2123687</v>
      </c>
      <c r="K50" s="492">
        <v>4429815</v>
      </c>
      <c r="L50" s="492">
        <v>2478121</v>
      </c>
      <c r="M50" s="492">
        <v>1082542</v>
      </c>
      <c r="N50" s="587">
        <f t="shared" si="2"/>
        <v>0</v>
      </c>
      <c r="O50" s="495">
        <v>0</v>
      </c>
      <c r="P50" s="495">
        <v>0</v>
      </c>
      <c r="Q50" s="495">
        <v>0</v>
      </c>
      <c r="R50" s="495">
        <v>0</v>
      </c>
      <c r="S50" s="495">
        <v>0</v>
      </c>
      <c r="T50" s="679">
        <v>16300</v>
      </c>
      <c r="U50"/>
    </row>
    <row r="51" spans="1:29" ht="23.25" customHeight="1">
      <c r="A51" s="110" t="s">
        <v>1147</v>
      </c>
      <c r="B51" s="589" t="s">
        <v>715</v>
      </c>
      <c r="C51" s="587">
        <f t="shared" si="1"/>
        <v>12043</v>
      </c>
      <c r="D51" s="492">
        <v>12043</v>
      </c>
      <c r="E51" s="492">
        <v>0</v>
      </c>
      <c r="F51" s="492">
        <v>0</v>
      </c>
      <c r="G51" s="492">
        <v>0</v>
      </c>
      <c r="H51" s="492">
        <v>0</v>
      </c>
      <c r="I51" s="587">
        <f t="shared" si="3"/>
        <v>0</v>
      </c>
      <c r="J51" s="492">
        <v>0</v>
      </c>
      <c r="K51" s="492">
        <v>0</v>
      </c>
      <c r="L51" s="492">
        <v>0</v>
      </c>
      <c r="M51" s="492">
        <v>0</v>
      </c>
      <c r="N51" s="587">
        <f t="shared" si="2"/>
        <v>0</v>
      </c>
      <c r="O51" s="495">
        <v>0</v>
      </c>
      <c r="P51" s="495">
        <v>0</v>
      </c>
      <c r="Q51" s="495">
        <v>0</v>
      </c>
      <c r="R51" s="495">
        <v>0</v>
      </c>
      <c r="S51" s="495">
        <v>0</v>
      </c>
      <c r="T51" s="679">
        <v>16400</v>
      </c>
      <c r="U51"/>
    </row>
    <row r="52" spans="1:29" ht="23.25" customHeight="1">
      <c r="A52" s="110" t="s">
        <v>1155</v>
      </c>
      <c r="B52" s="589" t="s">
        <v>1146</v>
      </c>
      <c r="C52" s="587">
        <f t="shared" si="1"/>
        <v>147419920</v>
      </c>
      <c r="D52" s="492">
        <v>147419920</v>
      </c>
      <c r="E52" s="492">
        <v>0</v>
      </c>
      <c r="F52" s="492">
        <v>0</v>
      </c>
      <c r="G52" s="492">
        <v>0</v>
      </c>
      <c r="H52" s="492">
        <v>0</v>
      </c>
      <c r="I52" s="587">
        <f t="shared" si="3"/>
        <v>0</v>
      </c>
      <c r="J52" s="492">
        <v>0</v>
      </c>
      <c r="K52" s="492">
        <v>0</v>
      </c>
      <c r="L52" s="492">
        <v>0</v>
      </c>
      <c r="M52" s="492">
        <v>0</v>
      </c>
      <c r="N52" s="587">
        <f t="shared" si="2"/>
        <v>0</v>
      </c>
      <c r="O52" s="495">
        <v>0</v>
      </c>
      <c r="P52" s="495">
        <v>0</v>
      </c>
      <c r="Q52" s="495">
        <v>0</v>
      </c>
      <c r="R52" s="495">
        <v>0</v>
      </c>
      <c r="S52" s="495">
        <v>0</v>
      </c>
      <c r="T52" s="679">
        <v>16500</v>
      </c>
      <c r="U52"/>
    </row>
    <row r="53" spans="1:29" ht="23.25" customHeight="1">
      <c r="A53" s="110" t="s">
        <v>1156</v>
      </c>
      <c r="B53" s="589" t="s">
        <v>1149</v>
      </c>
      <c r="C53" s="587">
        <f t="shared" si="1"/>
        <v>1679916</v>
      </c>
      <c r="D53" s="492">
        <v>1679916</v>
      </c>
      <c r="E53" s="492">
        <v>0</v>
      </c>
      <c r="F53" s="492">
        <v>0</v>
      </c>
      <c r="G53" s="492">
        <v>0</v>
      </c>
      <c r="H53" s="492">
        <v>0</v>
      </c>
      <c r="I53" s="587">
        <f t="shared" si="3"/>
        <v>0</v>
      </c>
      <c r="J53" s="492">
        <v>0</v>
      </c>
      <c r="K53" s="492">
        <v>0</v>
      </c>
      <c r="L53" s="492">
        <v>0</v>
      </c>
      <c r="M53" s="492">
        <v>0</v>
      </c>
      <c r="N53" s="587">
        <f t="shared" si="2"/>
        <v>0</v>
      </c>
      <c r="O53" s="495">
        <v>0</v>
      </c>
      <c r="P53" s="495">
        <v>0</v>
      </c>
      <c r="Q53" s="495">
        <v>0</v>
      </c>
      <c r="R53" s="495">
        <v>0</v>
      </c>
      <c r="S53" s="495">
        <v>0</v>
      </c>
      <c r="T53" s="679">
        <v>16600</v>
      </c>
      <c r="U53"/>
    </row>
    <row r="54" spans="1:29" ht="23.25" customHeight="1">
      <c r="A54" s="110" t="s">
        <v>1157</v>
      </c>
      <c r="B54" s="589" t="s">
        <v>717</v>
      </c>
      <c r="C54" s="587">
        <f t="shared" si="1"/>
        <v>0</v>
      </c>
      <c r="D54" s="492">
        <v>0</v>
      </c>
      <c r="E54" s="492">
        <v>0</v>
      </c>
      <c r="F54" s="492">
        <v>0</v>
      </c>
      <c r="G54" s="492">
        <v>0</v>
      </c>
      <c r="H54" s="492">
        <v>0</v>
      </c>
      <c r="I54" s="587">
        <f t="shared" si="3"/>
        <v>0</v>
      </c>
      <c r="J54" s="492">
        <v>0</v>
      </c>
      <c r="K54" s="492">
        <v>0</v>
      </c>
      <c r="L54" s="492">
        <v>0</v>
      </c>
      <c r="M54" s="492">
        <v>0</v>
      </c>
      <c r="N54" s="587">
        <f t="shared" si="2"/>
        <v>0</v>
      </c>
      <c r="O54" s="495">
        <v>0</v>
      </c>
      <c r="P54" s="495">
        <v>0</v>
      </c>
      <c r="Q54" s="495">
        <v>0</v>
      </c>
      <c r="R54" s="495">
        <v>0</v>
      </c>
      <c r="S54" s="495">
        <v>0</v>
      </c>
      <c r="T54" s="882">
        <v>16700</v>
      </c>
      <c r="U54" s="883"/>
    </row>
    <row r="55" spans="1:29" ht="23.25" customHeight="1">
      <c r="A55" s="924" t="s">
        <v>1158</v>
      </c>
      <c r="B55" s="589" t="s">
        <v>1202</v>
      </c>
      <c r="C55" s="587">
        <f>SUM(D55:H55)-N55+O55</f>
        <v>1803739</v>
      </c>
      <c r="D55" s="492">
        <v>5409517</v>
      </c>
      <c r="E55" s="492">
        <v>30220</v>
      </c>
      <c r="F55" s="492">
        <v>0</v>
      </c>
      <c r="G55" s="492">
        <v>0</v>
      </c>
      <c r="H55" s="492">
        <v>0</v>
      </c>
      <c r="I55" s="587">
        <f>SUM(J55:M55)</f>
        <v>0</v>
      </c>
      <c r="J55" s="492">
        <v>0</v>
      </c>
      <c r="K55" s="492">
        <v>0</v>
      </c>
      <c r="L55" s="492">
        <v>0</v>
      </c>
      <c r="M55" s="492">
        <v>0</v>
      </c>
      <c r="N55" s="587">
        <f>SUM(O55:S55)</f>
        <v>3635998</v>
      </c>
      <c r="O55" s="495">
        <v>0</v>
      </c>
      <c r="P55" s="495">
        <v>0</v>
      </c>
      <c r="Q55" s="495">
        <v>0</v>
      </c>
      <c r="R55" s="495">
        <v>0</v>
      </c>
      <c r="S55" s="495">
        <v>3635998</v>
      </c>
      <c r="T55" s="925">
        <v>16800</v>
      </c>
      <c r="U55" s="926"/>
    </row>
    <row r="56" spans="1:29" ht="23.25" customHeight="1">
      <c r="A56" s="110" t="s">
        <v>1159</v>
      </c>
      <c r="B56" s="589" t="s">
        <v>1150</v>
      </c>
      <c r="C56" s="587">
        <f t="shared" si="1"/>
        <v>0</v>
      </c>
      <c r="D56" s="492">
        <v>0</v>
      </c>
      <c r="E56" s="492">
        <v>0</v>
      </c>
      <c r="F56" s="492">
        <v>0</v>
      </c>
      <c r="G56" s="492">
        <v>0</v>
      </c>
      <c r="H56" s="492">
        <v>0</v>
      </c>
      <c r="I56" s="587">
        <f t="shared" si="3"/>
        <v>0</v>
      </c>
      <c r="J56" s="492">
        <v>0</v>
      </c>
      <c r="K56" s="492">
        <v>0</v>
      </c>
      <c r="L56" s="492">
        <v>0</v>
      </c>
      <c r="M56" s="492">
        <v>0</v>
      </c>
      <c r="N56" s="587">
        <f t="shared" si="2"/>
        <v>0</v>
      </c>
      <c r="O56" s="495">
        <v>0</v>
      </c>
      <c r="P56" s="495">
        <v>0</v>
      </c>
      <c r="Q56" s="495">
        <v>0</v>
      </c>
      <c r="R56" s="495">
        <v>0</v>
      </c>
      <c r="S56" s="495">
        <v>0</v>
      </c>
      <c r="T56" s="882">
        <v>16900</v>
      </c>
      <c r="U56" s="883"/>
    </row>
    <row r="57" spans="1:29" ht="23.25" customHeight="1">
      <c r="A57" s="110" t="s">
        <v>1160</v>
      </c>
      <c r="B57" s="589" t="s">
        <v>1151</v>
      </c>
      <c r="C57" s="587">
        <f t="shared" si="1"/>
        <v>0</v>
      </c>
      <c r="D57" s="492">
        <v>0</v>
      </c>
      <c r="E57" s="492">
        <v>0</v>
      </c>
      <c r="F57" s="492">
        <v>0</v>
      </c>
      <c r="G57" s="492">
        <v>0</v>
      </c>
      <c r="H57" s="492">
        <v>0</v>
      </c>
      <c r="I57" s="587">
        <f t="shared" si="3"/>
        <v>0</v>
      </c>
      <c r="J57" s="492">
        <v>0</v>
      </c>
      <c r="K57" s="492">
        <v>0</v>
      </c>
      <c r="L57" s="492">
        <v>0</v>
      </c>
      <c r="M57" s="492">
        <v>0</v>
      </c>
      <c r="N57" s="587">
        <f t="shared" si="2"/>
        <v>0</v>
      </c>
      <c r="O57" s="495">
        <v>0</v>
      </c>
      <c r="P57" s="495">
        <v>0</v>
      </c>
      <c r="Q57" s="495">
        <v>0</v>
      </c>
      <c r="R57" s="495">
        <v>0</v>
      </c>
      <c r="S57" s="495">
        <v>0</v>
      </c>
      <c r="T57" s="882">
        <v>17100</v>
      </c>
      <c r="U57" s="883"/>
    </row>
    <row r="58" spans="1:29" ht="23.25" customHeight="1">
      <c r="A58" s="110" t="s">
        <v>1174</v>
      </c>
      <c r="B58" s="589" t="s">
        <v>1152</v>
      </c>
      <c r="C58" s="587">
        <f t="shared" si="1"/>
        <v>0</v>
      </c>
      <c r="D58" s="492">
        <v>0</v>
      </c>
      <c r="E58" s="492">
        <v>0</v>
      </c>
      <c r="F58" s="492">
        <v>0</v>
      </c>
      <c r="G58" s="492">
        <v>0</v>
      </c>
      <c r="H58" s="492">
        <v>0</v>
      </c>
      <c r="I58" s="587">
        <f t="shared" si="3"/>
        <v>0</v>
      </c>
      <c r="J58" s="492">
        <v>0</v>
      </c>
      <c r="K58" s="492">
        <v>0</v>
      </c>
      <c r="L58" s="492">
        <v>0</v>
      </c>
      <c r="M58" s="492">
        <v>0</v>
      </c>
      <c r="N58" s="587">
        <f t="shared" si="2"/>
        <v>0</v>
      </c>
      <c r="O58" s="495">
        <v>0</v>
      </c>
      <c r="P58" s="495">
        <v>0</v>
      </c>
      <c r="Q58" s="495">
        <v>0</v>
      </c>
      <c r="R58" s="495">
        <v>0</v>
      </c>
      <c r="S58" s="495">
        <v>0</v>
      </c>
      <c r="T58" s="882">
        <v>17300</v>
      </c>
      <c r="U58" s="883"/>
    </row>
    <row r="59" spans="1:29" ht="23.25" customHeight="1">
      <c r="A59" s="110" t="s">
        <v>1175</v>
      </c>
      <c r="B59" s="589" t="s">
        <v>1153</v>
      </c>
      <c r="C59" s="587">
        <f t="shared" si="1"/>
        <v>5445311</v>
      </c>
      <c r="D59" s="492">
        <v>5445311</v>
      </c>
      <c r="E59" s="492">
        <v>0</v>
      </c>
      <c r="F59" s="492">
        <v>0</v>
      </c>
      <c r="G59" s="492">
        <v>0</v>
      </c>
      <c r="H59" s="492">
        <v>0</v>
      </c>
      <c r="I59" s="587">
        <f t="shared" si="3"/>
        <v>0</v>
      </c>
      <c r="J59" s="492">
        <v>0</v>
      </c>
      <c r="K59" s="492">
        <v>0</v>
      </c>
      <c r="L59" s="492">
        <v>0</v>
      </c>
      <c r="M59" s="492">
        <v>0</v>
      </c>
      <c r="N59" s="587">
        <f t="shared" si="2"/>
        <v>0</v>
      </c>
      <c r="O59" s="495">
        <v>0</v>
      </c>
      <c r="P59" s="495">
        <v>0</v>
      </c>
      <c r="Q59" s="495">
        <v>0</v>
      </c>
      <c r="R59" s="495">
        <v>0</v>
      </c>
      <c r="S59" s="495">
        <v>0</v>
      </c>
      <c r="T59" s="882">
        <v>17400</v>
      </c>
      <c r="U59" s="883"/>
      <c r="V59" s="111"/>
      <c r="W59" s="111"/>
      <c r="X59" s="111"/>
      <c r="Y59" s="111"/>
      <c r="Z59" s="111"/>
      <c r="AA59" s="111"/>
      <c r="AB59" s="111"/>
      <c r="AC59" s="111"/>
    </row>
    <row r="60" spans="1:29" s="111" customFormat="1" ht="23.25" customHeight="1">
      <c r="A60" s="110" t="s">
        <v>1201</v>
      </c>
      <c r="B60" s="589" t="s">
        <v>430</v>
      </c>
      <c r="C60" s="587">
        <f t="shared" si="1"/>
        <v>152544109</v>
      </c>
      <c r="D60" s="492">
        <v>153696363</v>
      </c>
      <c r="E60" s="493">
        <v>0</v>
      </c>
      <c r="F60" s="493">
        <v>0</v>
      </c>
      <c r="G60" s="493">
        <v>0</v>
      </c>
      <c r="H60" s="493">
        <v>0</v>
      </c>
      <c r="I60" s="587">
        <f t="shared" si="3"/>
        <v>0</v>
      </c>
      <c r="J60" s="492">
        <v>0</v>
      </c>
      <c r="K60" s="492">
        <v>0</v>
      </c>
      <c r="L60" s="492">
        <v>0</v>
      </c>
      <c r="M60" s="492">
        <v>0</v>
      </c>
      <c r="N60" s="587">
        <f t="shared" si="2"/>
        <v>1152254</v>
      </c>
      <c r="O60" s="495">
        <v>0</v>
      </c>
      <c r="P60" s="495">
        <v>0</v>
      </c>
      <c r="Q60" s="495">
        <v>0</v>
      </c>
      <c r="R60" s="495">
        <v>0</v>
      </c>
      <c r="S60" s="495">
        <v>1152254</v>
      </c>
      <c r="T60" s="882">
        <v>19900</v>
      </c>
      <c r="U60" s="883"/>
      <c r="V60" s="105"/>
      <c r="W60" s="105"/>
      <c r="X60" s="105"/>
      <c r="Y60" s="105"/>
      <c r="Z60" s="105"/>
      <c r="AA60" s="105"/>
      <c r="AB60" s="105"/>
      <c r="AC60" s="105"/>
    </row>
    <row r="61" spans="1:29" s="111" customFormat="1" ht="15" customHeight="1">
      <c r="A61" s="110"/>
      <c r="B61" s="589"/>
      <c r="C61" s="587"/>
      <c r="D61" s="587"/>
      <c r="E61" s="588"/>
      <c r="F61" s="588"/>
      <c r="G61" s="588"/>
      <c r="H61" s="588"/>
      <c r="I61" s="587"/>
      <c r="J61" s="492"/>
      <c r="K61" s="492"/>
      <c r="L61" s="492"/>
      <c r="M61" s="492"/>
      <c r="N61" s="587"/>
      <c r="O61" s="495"/>
      <c r="P61" s="495"/>
      <c r="Q61" s="495"/>
      <c r="R61" s="495"/>
      <c r="S61" s="495"/>
      <c r="T61" s="679"/>
      <c r="U61"/>
      <c r="V61" s="105"/>
      <c r="W61" s="105"/>
      <c r="X61" s="105"/>
      <c r="Y61" s="105"/>
      <c r="Z61" s="105"/>
      <c r="AA61" s="105"/>
      <c r="AB61" s="105"/>
      <c r="AC61" s="105"/>
    </row>
    <row r="62" spans="1:29" s="105" customFormat="1" ht="23.25" customHeight="1">
      <c r="A62" s="684"/>
      <c r="B62" s="685" t="s">
        <v>719</v>
      </c>
      <c r="C62" s="686">
        <f>SUM(D62:H62)</f>
        <v>125869722</v>
      </c>
      <c r="D62" s="686">
        <f>SUM(D63:D64)</f>
        <v>125869722</v>
      </c>
      <c r="E62" s="686">
        <f>SUM(E63:E64)</f>
        <v>0</v>
      </c>
      <c r="F62" s="686">
        <f>SUM(F63:F64)</f>
        <v>0</v>
      </c>
      <c r="G62" s="686">
        <f>SUM(G63:G64)</f>
        <v>0</v>
      </c>
      <c r="H62" s="686">
        <f>SUM(H63:H64)</f>
        <v>0</v>
      </c>
      <c r="I62" s="686">
        <f>SUM(J62:M62)</f>
        <v>0</v>
      </c>
      <c r="J62" s="686">
        <f t="shared" ref="J62:S62" si="5">SUM(J63:J64)</f>
        <v>0</v>
      </c>
      <c r="K62" s="686">
        <f t="shared" si="5"/>
        <v>0</v>
      </c>
      <c r="L62" s="686">
        <f t="shared" si="5"/>
        <v>0</v>
      </c>
      <c r="M62" s="686">
        <f t="shared" si="5"/>
        <v>0</v>
      </c>
      <c r="N62" s="686">
        <f t="shared" si="5"/>
        <v>0</v>
      </c>
      <c r="O62" s="686">
        <f t="shared" si="5"/>
        <v>0</v>
      </c>
      <c r="P62" s="686">
        <f t="shared" si="5"/>
        <v>0</v>
      </c>
      <c r="Q62" s="686">
        <f t="shared" si="5"/>
        <v>0</v>
      </c>
      <c r="R62" s="686">
        <f t="shared" si="5"/>
        <v>0</v>
      </c>
      <c r="S62" s="686">
        <f t="shared" si="5"/>
        <v>0</v>
      </c>
      <c r="T62" s="106"/>
      <c r="U62" s="106"/>
      <c r="V62" s="106"/>
      <c r="W62" s="106"/>
      <c r="X62" s="106"/>
      <c r="Y62" s="106"/>
      <c r="Z62" s="106"/>
      <c r="AA62" s="106"/>
      <c r="AB62" s="106"/>
      <c r="AC62" s="106"/>
    </row>
    <row r="63" spans="1:29" ht="23.25" customHeight="1">
      <c r="A63" s="110" t="s">
        <v>9</v>
      </c>
      <c r="B63" s="589" t="s">
        <v>194</v>
      </c>
      <c r="C63" s="587">
        <f>SUM(D63:H63)-N63+O63</f>
        <v>11705135</v>
      </c>
      <c r="D63" s="494">
        <v>11705135</v>
      </c>
      <c r="E63" s="493"/>
      <c r="F63" s="493"/>
      <c r="G63" s="493"/>
      <c r="H63" s="493"/>
      <c r="I63" s="587">
        <f>SUM(J63:M63)</f>
        <v>0</v>
      </c>
      <c r="J63" s="495"/>
      <c r="K63" s="495"/>
      <c r="L63" s="495"/>
      <c r="M63" s="495"/>
      <c r="N63" s="587">
        <f>SUM(O63:S63)</f>
        <v>0</v>
      </c>
      <c r="O63" s="495"/>
      <c r="P63" s="495"/>
      <c r="Q63" s="495"/>
      <c r="R63" s="495"/>
      <c r="S63" s="495"/>
      <c r="T63" s="678" t="s">
        <v>1306</v>
      </c>
    </row>
    <row r="64" spans="1:29" ht="23.25" customHeight="1">
      <c r="A64" s="110" t="s">
        <v>12</v>
      </c>
      <c r="B64" s="589" t="s">
        <v>720</v>
      </c>
      <c r="C64" s="587">
        <f>SUM(D64:H64)-N64+O64</f>
        <v>114164587</v>
      </c>
      <c r="D64" s="494">
        <v>114164587</v>
      </c>
      <c r="E64" s="493"/>
      <c r="F64" s="493"/>
      <c r="G64" s="493"/>
      <c r="H64" s="493"/>
      <c r="I64" s="587">
        <f>SUM(J64:M64)</f>
        <v>0</v>
      </c>
      <c r="J64" s="495"/>
      <c r="K64" s="495"/>
      <c r="L64" s="495"/>
      <c r="M64" s="495"/>
      <c r="N64" s="587">
        <f>SUM(O64:S64)</f>
        <v>0</v>
      </c>
      <c r="O64" s="495"/>
      <c r="P64" s="495"/>
      <c r="Q64" s="495"/>
      <c r="R64" s="495"/>
      <c r="S64" s="495"/>
      <c r="T64" s="106">
        <v>90993</v>
      </c>
    </row>
    <row r="65" spans="1:32">
      <c r="B65" s="112"/>
      <c r="C65" s="449"/>
      <c r="D65" s="113"/>
      <c r="E65" s="114"/>
      <c r="F65" s="114"/>
      <c r="G65" s="114"/>
      <c r="H65" s="114"/>
      <c r="I65" s="114"/>
      <c r="J65" s="114"/>
      <c r="K65" s="114"/>
      <c r="L65" s="114"/>
      <c r="M65" s="114"/>
      <c r="N65" s="443"/>
      <c r="O65" s="114"/>
      <c r="P65" s="114"/>
      <c r="Q65" s="114"/>
      <c r="R65" s="114"/>
      <c r="S65" s="114"/>
      <c r="U65" s="438"/>
    </row>
    <row r="66" spans="1:32">
      <c r="T66" s="438"/>
      <c r="U66" s="438"/>
      <c r="V66" s="438"/>
      <c r="W66" s="438"/>
      <c r="X66" s="438"/>
      <c r="Y66" s="228"/>
      <c r="Z66" s="228"/>
      <c r="AA66" s="228"/>
      <c r="AB66" s="228"/>
      <c r="AC66" s="228"/>
    </row>
    <row r="67" spans="1:32" s="221" customFormat="1" ht="15" customHeight="1">
      <c r="A67" s="281"/>
      <c r="B67" s="15" t="s">
        <v>4</v>
      </c>
      <c r="C67" s="228"/>
      <c r="D67" s="228"/>
      <c r="E67" s="228"/>
      <c r="F67" s="437"/>
      <c r="G67" s="437"/>
      <c r="H67" s="438"/>
      <c r="I67" s="438"/>
      <c r="J67" s="438"/>
      <c r="K67" s="438"/>
      <c r="L67" s="438"/>
      <c r="M67" s="438"/>
      <c r="N67" s="438"/>
      <c r="O67" s="438"/>
      <c r="P67" s="438"/>
      <c r="Q67" s="438"/>
      <c r="R67" s="438"/>
      <c r="S67" s="438"/>
      <c r="T67" s="438"/>
      <c r="U67" s="438"/>
      <c r="V67" s="438"/>
      <c r="W67" s="438"/>
      <c r="X67" s="438"/>
      <c r="Y67" s="228"/>
      <c r="Z67" s="228"/>
      <c r="AA67" s="228"/>
      <c r="AB67" s="228"/>
      <c r="AC67" s="228"/>
      <c r="AD67" s="228"/>
      <c r="AE67" s="228"/>
      <c r="AF67" s="228"/>
    </row>
    <row r="68" spans="1:32" s="221" customFormat="1" ht="15" customHeight="1">
      <c r="A68" s="281"/>
      <c r="B68" s="15"/>
      <c r="C68" s="228"/>
      <c r="D68" s="228"/>
      <c r="E68" s="228"/>
      <c r="F68" s="437"/>
      <c r="G68" s="437"/>
      <c r="H68" s="438"/>
      <c r="I68" s="438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8"/>
      <c r="U68" s="106"/>
      <c r="V68" s="438"/>
      <c r="W68" s="438"/>
      <c r="X68" s="438"/>
      <c r="Y68" s="228"/>
      <c r="Z68" s="228"/>
      <c r="AA68" s="228"/>
      <c r="AB68" s="228"/>
      <c r="AC68" s="228"/>
      <c r="AD68" s="228"/>
      <c r="AE68" s="228"/>
      <c r="AF68" s="228"/>
    </row>
    <row r="69" spans="1:32" s="221" customFormat="1" ht="15" customHeight="1">
      <c r="A69" s="281"/>
      <c r="B69" s="15" t="s">
        <v>5</v>
      </c>
      <c r="C69" s="228"/>
      <c r="D69" s="228"/>
      <c r="E69" s="228"/>
      <c r="F69" s="437"/>
      <c r="G69" s="437"/>
      <c r="H69" s="438"/>
      <c r="I69" s="438"/>
      <c r="J69" s="438"/>
      <c r="K69" s="438"/>
      <c r="L69" s="438"/>
      <c r="M69" s="438"/>
      <c r="N69" s="438"/>
      <c r="O69" s="438"/>
      <c r="P69" s="438"/>
      <c r="Q69" s="438"/>
      <c r="R69" s="438"/>
      <c r="S69" s="438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228"/>
      <c r="AE69" s="228"/>
      <c r="AF69" s="228"/>
    </row>
    <row r="71" spans="1:32">
      <c r="B71" s="112" t="s">
        <v>721</v>
      </c>
    </row>
    <row r="72" spans="1:32">
      <c r="C72" s="791">
        <f>+Balance!C44</f>
        <v>5890272405</v>
      </c>
    </row>
  </sheetData>
  <sheetProtection password="CA76" sheet="1" objects="1" scenarios="1"/>
  <mergeCells count="17">
    <mergeCell ref="P3:Q3"/>
    <mergeCell ref="N6:N7"/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  <mergeCell ref="N5:S5"/>
  </mergeCells>
  <conditionalFormatting sqref="C9">
    <cfRule type="cellIs" dxfId="363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5" orientation="landscape" r:id="rId1"/>
  <ignoredErrors>
    <ignoredError sqref="I62 E63:H63 T62 Q62:S62 T65 C65:O66 O62 Q65:S66" unlockedFormula="1"/>
    <ignoredError sqref="N62" formulaRange="1" unlockedFormula="1"/>
    <ignoredError sqref="N60:N61 N63 N56:N59 N10:N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>
    <pageSetUpPr fitToPage="1"/>
  </sheetPr>
  <dimension ref="A1:U94"/>
  <sheetViews>
    <sheetView view="pageBreakPreview" zoomScale="85" zoomScaleSheetLayoutView="85" workbookViewId="0">
      <pane xSplit="2" ySplit="4" topLeftCell="C60" activePane="bottomRight" state="frozen"/>
      <selection activeCell="B32" sqref="B32"/>
      <selection pane="topRight" activeCell="B32" sqref="B32"/>
      <selection pane="bottomLeft" activeCell="B32" sqref="B32"/>
      <selection pane="bottomRight" activeCell="D6" sqref="D6:E15"/>
    </sheetView>
  </sheetViews>
  <sheetFormatPr defaultRowHeight="15" customHeight="1"/>
  <cols>
    <col min="1" max="1" width="7.140625" style="102" customWidth="1"/>
    <col min="2" max="2" width="87.7109375" style="2" bestFit="1" customWidth="1"/>
    <col min="3" max="3" width="18.85546875" style="228" customWidth="1"/>
    <col min="4" max="5" width="16.5703125" style="2" customWidth="1"/>
    <col min="6" max="6" width="13" style="2" customWidth="1"/>
    <col min="7" max="7" width="11.140625" style="2" bestFit="1" customWidth="1"/>
    <col min="8" max="10" width="7.42578125" style="2" customWidth="1"/>
    <col min="11" max="16384" width="9.140625" style="2"/>
  </cols>
  <sheetData>
    <row r="1" spans="1:21" ht="18.75" customHeight="1">
      <c r="A1" s="99"/>
      <c r="B1" s="92" t="s">
        <v>1110</v>
      </c>
      <c r="D1" s="141" t="s">
        <v>817</v>
      </c>
      <c r="E1" s="141"/>
      <c r="F1" s="14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7.5" customHeight="1">
      <c r="A2" s="99"/>
      <c r="B2" s="92"/>
      <c r="C2" s="1083"/>
      <c r="D2" s="141"/>
      <c r="E2" s="141"/>
      <c r="F2" s="14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" customHeight="1">
      <c r="A3" s="100"/>
      <c r="B3" s="458" t="str">
        <f>Balance!B3</f>
        <v>АКБ "Микрокредитбанк"</v>
      </c>
      <c r="C3" s="1084">
        <f>+'Asset quality'!P3</f>
        <v>43829</v>
      </c>
      <c r="E3" s="459" t="s">
        <v>7</v>
      </c>
      <c r="F3" s="45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42" customHeight="1">
      <c r="A4" s="583" t="s">
        <v>161</v>
      </c>
      <c r="B4" s="583" t="s">
        <v>6</v>
      </c>
      <c r="C4" s="583" t="s">
        <v>531</v>
      </c>
      <c r="D4" s="583" t="s">
        <v>532</v>
      </c>
      <c r="E4" s="583" t="s">
        <v>533</v>
      </c>
      <c r="F4" s="51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" customHeight="1">
      <c r="A5" s="95" t="s">
        <v>555</v>
      </c>
      <c r="B5" s="196" t="s">
        <v>8</v>
      </c>
      <c r="C5" s="583"/>
      <c r="D5" s="583"/>
      <c r="E5" s="583"/>
      <c r="F5" s="51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5" customHeight="1">
      <c r="A6" s="96" t="s">
        <v>556</v>
      </c>
      <c r="B6" s="163" t="s">
        <v>544</v>
      </c>
      <c r="C6" s="1030">
        <f>+D6+E6</f>
        <v>81594</v>
      </c>
      <c r="D6" s="1029">
        <v>81594</v>
      </c>
      <c r="E6" s="1029"/>
      <c r="F6" s="51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" customHeight="1">
      <c r="A7" s="96" t="s">
        <v>557</v>
      </c>
      <c r="B7" s="163" t="s">
        <v>545</v>
      </c>
      <c r="C7" s="1030">
        <f t="shared" ref="C7:C15" si="0">+D7+E7</f>
        <v>12489567</v>
      </c>
      <c r="D7" s="1029">
        <v>12489567</v>
      </c>
      <c r="E7" s="1029"/>
      <c r="F7" s="51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" customHeight="1">
      <c r="A8" s="96" t="s">
        <v>558</v>
      </c>
      <c r="B8" s="163" t="s">
        <v>546</v>
      </c>
      <c r="C8" s="1030">
        <f t="shared" si="0"/>
        <v>0</v>
      </c>
      <c r="D8" s="1029">
        <v>0</v>
      </c>
      <c r="E8" s="1029"/>
      <c r="F8" s="51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5" customHeight="1">
      <c r="A9" s="96" t="s">
        <v>559</v>
      </c>
      <c r="B9" s="195" t="s">
        <v>547</v>
      </c>
      <c r="C9" s="1030">
        <f t="shared" si="0"/>
        <v>792723</v>
      </c>
      <c r="D9" s="1029">
        <v>792723</v>
      </c>
      <c r="E9" s="1029"/>
      <c r="F9" s="51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5" customHeight="1">
      <c r="A10" s="96" t="s">
        <v>560</v>
      </c>
      <c r="B10" s="163" t="s">
        <v>548</v>
      </c>
      <c r="C10" s="1030">
        <f t="shared" si="0"/>
        <v>9722584</v>
      </c>
      <c r="D10" s="1029">
        <v>9722584</v>
      </c>
      <c r="E10" s="1029"/>
      <c r="F10" s="51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5" customHeight="1">
      <c r="A11" s="97" t="s">
        <v>561</v>
      </c>
      <c r="B11" s="269" t="s">
        <v>549</v>
      </c>
      <c r="C11" s="1030">
        <f t="shared" si="0"/>
        <v>0</v>
      </c>
      <c r="D11" s="1029">
        <v>0</v>
      </c>
      <c r="E11" s="1029"/>
      <c r="F11" s="51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" customHeight="1">
      <c r="A12" s="97" t="s">
        <v>562</v>
      </c>
      <c r="B12" s="269" t="s">
        <v>550</v>
      </c>
      <c r="C12" s="1030">
        <f t="shared" si="0"/>
        <v>0</v>
      </c>
      <c r="D12" s="1029">
        <v>0</v>
      </c>
      <c r="E12" s="1029"/>
      <c r="F12" s="51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" customHeight="1">
      <c r="A13" s="97" t="s">
        <v>563</v>
      </c>
      <c r="B13" s="197" t="s">
        <v>551</v>
      </c>
      <c r="C13" s="1030">
        <f t="shared" si="0"/>
        <v>509814535</v>
      </c>
      <c r="D13" s="1029">
        <v>509814535</v>
      </c>
      <c r="E13" s="1029"/>
      <c r="F13" s="51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" customHeight="1">
      <c r="A14" s="98" t="s">
        <v>564</v>
      </c>
      <c r="B14" s="270" t="s">
        <v>552</v>
      </c>
      <c r="C14" s="1030">
        <f t="shared" si="0"/>
        <v>0</v>
      </c>
      <c r="D14" s="1029">
        <v>0</v>
      </c>
      <c r="E14" s="1029"/>
      <c r="F14" s="51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>
      <c r="A15" s="98" t="s">
        <v>565</v>
      </c>
      <c r="B15" s="271" t="s">
        <v>553</v>
      </c>
      <c r="C15" s="1030">
        <f t="shared" si="0"/>
        <v>188576046</v>
      </c>
      <c r="D15" s="1029">
        <v>188576046</v>
      </c>
      <c r="E15" s="1029"/>
      <c r="F15" s="51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>
      <c r="A16" s="95" t="s">
        <v>566</v>
      </c>
      <c r="B16" s="272" t="s">
        <v>554</v>
      </c>
      <c r="C16" s="614">
        <f>SUM(C6:C15)</f>
        <v>721477049</v>
      </c>
      <c r="D16" s="614">
        <f>SUM(D6:D15)</f>
        <v>721477049</v>
      </c>
      <c r="E16" s="614">
        <f>SUM(E6:E15)</f>
        <v>0</v>
      </c>
      <c r="F16" s="33"/>
      <c r="G16" s="67">
        <f>+'Analysis of Interest'!C42</f>
        <v>721477049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7.5" customHeight="1">
      <c r="A17" s="95"/>
      <c r="B17" s="196"/>
      <c r="C17" s="1085"/>
      <c r="D17" s="1031"/>
      <c r="E17" s="1031"/>
      <c r="F17" s="52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" customHeight="1">
      <c r="A18" s="95" t="s">
        <v>567</v>
      </c>
      <c r="B18" s="196" t="s">
        <v>602</v>
      </c>
      <c r="C18" s="583"/>
      <c r="D18" s="583"/>
      <c r="E18" s="583"/>
      <c r="F18" s="51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>
      <c r="A19" s="1048" t="s">
        <v>568</v>
      </c>
      <c r="B19" s="1049" t="s">
        <v>534</v>
      </c>
      <c r="C19" s="1030">
        <f>+D19+E19</f>
        <v>1370451</v>
      </c>
      <c r="D19" s="1029">
        <v>1370451</v>
      </c>
      <c r="E19" s="1029"/>
      <c r="F19" s="51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>
      <c r="A20" s="1048" t="s">
        <v>569</v>
      </c>
      <c r="B20" s="1049" t="s">
        <v>535</v>
      </c>
      <c r="C20" s="1030">
        <f>+D20+E20</f>
        <v>125270257</v>
      </c>
      <c r="D20" s="1029">
        <v>125270257</v>
      </c>
      <c r="E20" s="1029"/>
      <c r="F20" s="51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>
      <c r="A21" s="1048" t="s">
        <v>570</v>
      </c>
      <c r="B21" s="1049" t="s">
        <v>536</v>
      </c>
      <c r="C21" s="1030">
        <f>+D21+E21</f>
        <v>0</v>
      </c>
      <c r="D21" s="1029"/>
      <c r="E21" s="1029"/>
      <c r="F21" s="51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>
      <c r="A22" s="1048" t="s">
        <v>571</v>
      </c>
      <c r="B22" s="1049" t="s">
        <v>537</v>
      </c>
      <c r="C22" s="1030">
        <f>+D22+E22</f>
        <v>52377347</v>
      </c>
      <c r="D22" s="1029">
        <v>52377347</v>
      </c>
      <c r="E22" s="1029"/>
      <c r="F22" s="51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s="8" customFormat="1" ht="15" customHeight="1">
      <c r="A23" s="1054" t="s">
        <v>572</v>
      </c>
      <c r="B23" s="1055" t="s">
        <v>538</v>
      </c>
      <c r="C23" s="614">
        <f>SUM(C19:C22)</f>
        <v>179018055</v>
      </c>
      <c r="D23" s="614">
        <f>SUM(D19:D22)</f>
        <v>179018055</v>
      </c>
      <c r="E23" s="614">
        <f>SUM(E19:E22)</f>
        <v>0</v>
      </c>
      <c r="F23" s="521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 spans="1:21" ht="15.75" customHeight="1">
      <c r="A24" s="1048" t="s">
        <v>573</v>
      </c>
      <c r="B24" s="1049" t="s">
        <v>539</v>
      </c>
      <c r="C24" s="1030">
        <f>+D24+E24</f>
        <v>36723237</v>
      </c>
      <c r="D24" s="1029">
        <v>36723237</v>
      </c>
      <c r="E24" s="1029"/>
      <c r="F24" s="51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.75" customHeight="1">
      <c r="A25" s="101" t="s">
        <v>574</v>
      </c>
      <c r="B25" s="1053" t="s">
        <v>540</v>
      </c>
      <c r="C25" s="1030">
        <f>+D25+E25</f>
        <v>0</v>
      </c>
      <c r="D25" s="1029"/>
      <c r="E25" s="1029"/>
      <c r="F25" s="51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.75" customHeight="1">
      <c r="A26" s="101" t="s">
        <v>575</v>
      </c>
      <c r="B26" s="1053" t="s">
        <v>541</v>
      </c>
      <c r="C26" s="1030">
        <f>+D26+E26</f>
        <v>187555672</v>
      </c>
      <c r="D26" s="1029">
        <v>187555672</v>
      </c>
      <c r="E26" s="1029"/>
      <c r="F26" s="51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" customHeight="1">
      <c r="A27" s="1045" t="s">
        <v>576</v>
      </c>
      <c r="B27" s="1046" t="s">
        <v>542</v>
      </c>
      <c r="C27" s="614">
        <f>SUM(C24:C26)</f>
        <v>224278909</v>
      </c>
      <c r="D27" s="614">
        <f>SUM(D24:D26)</f>
        <v>224278909</v>
      </c>
      <c r="E27" s="614">
        <f>SUM(E24:E26)</f>
        <v>0</v>
      </c>
      <c r="F27" s="52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" customHeight="1">
      <c r="A28" s="1045" t="s">
        <v>577</v>
      </c>
      <c r="B28" s="1046" t="s">
        <v>543</v>
      </c>
      <c r="C28" s="614">
        <f>C27+C23</f>
        <v>403296964</v>
      </c>
      <c r="D28" s="614">
        <f>D27+D23</f>
        <v>403296964</v>
      </c>
      <c r="E28" s="614">
        <f>E27+E23</f>
        <v>0</v>
      </c>
      <c r="F28" s="520"/>
      <c r="G28" s="67">
        <f>+'Analysis of Interest'!C72</f>
        <v>403296964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7.5" customHeight="1">
      <c r="A29" s="1048"/>
      <c r="B29" s="1049"/>
      <c r="C29" s="1085"/>
      <c r="D29" s="1031"/>
      <c r="E29" s="1031"/>
      <c r="F29" s="52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s="56" customFormat="1" ht="12.75">
      <c r="A30" s="1050" t="s">
        <v>398</v>
      </c>
      <c r="B30" s="1051" t="s">
        <v>1231</v>
      </c>
      <c r="C30" s="614">
        <f>C16-C28</f>
        <v>318180085</v>
      </c>
      <c r="D30" s="614">
        <f>D16-D28</f>
        <v>318180085</v>
      </c>
      <c r="E30" s="614">
        <f>E16-E28</f>
        <v>0</v>
      </c>
      <c r="F30" s="519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</row>
    <row r="31" spans="1:21" ht="15.75" customHeight="1">
      <c r="A31" s="101" t="s">
        <v>578</v>
      </c>
      <c r="B31" s="1052" t="s">
        <v>603</v>
      </c>
      <c r="C31" s="1030">
        <f>+D31+E31</f>
        <v>139622948</v>
      </c>
      <c r="D31" s="1029">
        <v>139622948</v>
      </c>
      <c r="E31" s="1029"/>
      <c r="F31" s="51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.75" customHeight="1">
      <c r="A32" s="101" t="s">
        <v>1225</v>
      </c>
      <c r="B32" s="1053" t="s">
        <v>1226</v>
      </c>
      <c r="C32" s="1030">
        <f>+D32+E32</f>
        <v>0</v>
      </c>
      <c r="D32" s="1029">
        <v>0</v>
      </c>
      <c r="E32" s="1029"/>
      <c r="F32" s="51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.75" customHeight="1">
      <c r="A33" s="101" t="s">
        <v>1227</v>
      </c>
      <c r="B33" s="1053" t="s">
        <v>1228</v>
      </c>
      <c r="C33" s="1030">
        <f>+D33+E33</f>
        <v>271704</v>
      </c>
      <c r="D33" s="1029">
        <v>271704</v>
      </c>
      <c r="E33" s="1029"/>
      <c r="F33" s="51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.75" customHeight="1">
      <c r="A34" s="101" t="s">
        <v>1229</v>
      </c>
      <c r="B34" s="1053" t="s">
        <v>1230</v>
      </c>
      <c r="C34" s="1030">
        <f>+D34+E34</f>
        <v>4727042</v>
      </c>
      <c r="D34" s="1029">
        <v>4727042</v>
      </c>
      <c r="E34" s="1029"/>
      <c r="F34" s="51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8.75" customHeight="1">
      <c r="A35" s="1050" t="s">
        <v>1305</v>
      </c>
      <c r="B35" s="1051" t="s">
        <v>604</v>
      </c>
      <c r="C35" s="614">
        <f>C30-C31-C32-C33-C34</f>
        <v>173558391</v>
      </c>
      <c r="D35" s="614">
        <f>D30-D31-D32-D33-D34</f>
        <v>173558391</v>
      </c>
      <c r="E35" s="614">
        <f>E30-E31-E32-E33-E34</f>
        <v>0</v>
      </c>
      <c r="F35" s="52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7.5" customHeight="1">
      <c r="A36" s="1048"/>
      <c r="B36" s="1049"/>
      <c r="C36" s="1085"/>
      <c r="D36" s="1031"/>
      <c r="E36" s="1031"/>
      <c r="F36" s="52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5" customHeight="1">
      <c r="A37" s="1054" t="s">
        <v>579</v>
      </c>
      <c r="B37" s="1055" t="s">
        <v>605</v>
      </c>
      <c r="C37" s="583"/>
      <c r="D37" s="583"/>
      <c r="E37" s="583"/>
      <c r="F37" s="52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5" customHeight="1">
      <c r="A38" s="1048" t="s">
        <v>580</v>
      </c>
      <c r="B38" s="1049" t="s">
        <v>606</v>
      </c>
      <c r="C38" s="1030">
        <f>+D38+E38</f>
        <v>77887497</v>
      </c>
      <c r="D38" s="1029">
        <v>77887497</v>
      </c>
      <c r="E38" s="1029"/>
      <c r="F38" s="5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5" customHeight="1">
      <c r="A39" s="1048" t="s">
        <v>581</v>
      </c>
      <c r="B39" s="1049" t="s">
        <v>607</v>
      </c>
      <c r="C39" s="1030">
        <f>+D39+E39</f>
        <v>40924909</v>
      </c>
      <c r="D39" s="1029">
        <v>40924909</v>
      </c>
      <c r="E39" s="1029"/>
      <c r="F39" s="5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5" customHeight="1">
      <c r="A40" s="1048" t="s">
        <v>582</v>
      </c>
      <c r="B40" s="1049" t="s">
        <v>608</v>
      </c>
      <c r="C40" s="1030">
        <f>+D40+E40</f>
        <v>21699</v>
      </c>
      <c r="D40" s="1029">
        <v>21699</v>
      </c>
      <c r="E40" s="1029"/>
      <c r="F40" s="5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5" customHeight="1">
      <c r="A41" s="1048" t="s">
        <v>583</v>
      </c>
      <c r="B41" s="1049" t="s">
        <v>609</v>
      </c>
      <c r="C41" s="1030">
        <f>+D41+E41</f>
        <v>23246</v>
      </c>
      <c r="D41" s="1029">
        <v>23246</v>
      </c>
      <c r="E41" s="1029"/>
      <c r="F41" s="5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5" customHeight="1">
      <c r="A42" s="1048" t="s">
        <v>584</v>
      </c>
      <c r="B42" s="1049" t="s">
        <v>610</v>
      </c>
      <c r="C42" s="1030">
        <f>+D42+E42</f>
        <v>97933027</v>
      </c>
      <c r="D42" s="1029">
        <v>97933027</v>
      </c>
      <c r="E42" s="1029"/>
      <c r="F42" s="5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5" customHeight="1">
      <c r="A43" s="1054" t="s">
        <v>585</v>
      </c>
      <c r="B43" s="1055" t="s">
        <v>611</v>
      </c>
      <c r="C43" s="614">
        <f>SUM(C38:C42)</f>
        <v>216790378</v>
      </c>
      <c r="D43" s="614">
        <f>SUM(D38:D42)</f>
        <v>216790378</v>
      </c>
      <c r="E43" s="614">
        <f>SUM(E38:E42)</f>
        <v>0</v>
      </c>
      <c r="F43" s="3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7.5" customHeight="1">
      <c r="A44" s="1048"/>
      <c r="B44" s="1049"/>
      <c r="C44" s="1085"/>
      <c r="D44" s="1031"/>
      <c r="E44" s="1031"/>
      <c r="F44" s="5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5" customHeight="1">
      <c r="A45" s="1054" t="s">
        <v>586</v>
      </c>
      <c r="B45" s="1055" t="s">
        <v>612</v>
      </c>
      <c r="C45" s="583"/>
      <c r="D45" s="583"/>
      <c r="E45" s="583"/>
      <c r="F45" s="51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5" customHeight="1">
      <c r="A46" s="1048" t="s">
        <v>580</v>
      </c>
      <c r="B46" s="1049" t="s">
        <v>613</v>
      </c>
      <c r="C46" s="1030">
        <f>+D46+E46</f>
        <v>25072126</v>
      </c>
      <c r="D46" s="1029">
        <v>25072126</v>
      </c>
      <c r="E46" s="1029"/>
      <c r="F46" s="51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5" customHeight="1">
      <c r="A47" s="1048" t="s">
        <v>581</v>
      </c>
      <c r="B47" s="1049" t="s">
        <v>614</v>
      </c>
      <c r="C47" s="1030">
        <f>+D47+E47</f>
        <v>66056180</v>
      </c>
      <c r="D47" s="1029">
        <v>66056180</v>
      </c>
      <c r="E47" s="1029"/>
      <c r="F47" s="51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5" customHeight="1">
      <c r="A48" s="1048" t="s">
        <v>570</v>
      </c>
      <c r="B48" s="1056" t="s">
        <v>1030</v>
      </c>
      <c r="C48" s="1030">
        <f>+D48+E48</f>
        <v>0</v>
      </c>
      <c r="D48" s="1029"/>
      <c r="E48" s="1029"/>
      <c r="F48" s="51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5" customHeight="1">
      <c r="A49" s="1048" t="s">
        <v>583</v>
      </c>
      <c r="B49" s="1049" t="s">
        <v>615</v>
      </c>
      <c r="C49" s="1030">
        <f>+D49+E49</f>
        <v>0</v>
      </c>
      <c r="D49" s="1029"/>
      <c r="E49" s="1029"/>
      <c r="F49" s="51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5" customHeight="1">
      <c r="A50" s="1048" t="s">
        <v>584</v>
      </c>
      <c r="B50" s="1049" t="s">
        <v>616</v>
      </c>
      <c r="C50" s="1030">
        <f>+D50+E50</f>
        <v>1412453</v>
      </c>
      <c r="D50" s="1029">
        <v>1412453</v>
      </c>
      <c r="E50" s="1029"/>
      <c r="F50" s="51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5" customHeight="1">
      <c r="A51" s="1054" t="s">
        <v>585</v>
      </c>
      <c r="B51" s="1055" t="s">
        <v>617</v>
      </c>
      <c r="C51" s="614">
        <f>SUM(C46:C50)</f>
        <v>92540759</v>
      </c>
      <c r="D51" s="614">
        <f>SUM(D46:D50)</f>
        <v>92540759</v>
      </c>
      <c r="E51" s="614">
        <f>SUM(E46:E50)</f>
        <v>0</v>
      </c>
      <c r="F51" s="50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7.5" customHeight="1">
      <c r="A52" s="1054"/>
      <c r="B52" s="1055"/>
      <c r="C52" s="524"/>
      <c r="D52" s="1032"/>
      <c r="E52" s="1032"/>
      <c r="F52" s="3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5" customHeight="1">
      <c r="A53" s="1054" t="s">
        <v>587</v>
      </c>
      <c r="B53" s="1055" t="s">
        <v>618</v>
      </c>
      <c r="C53" s="614">
        <f>C35+C43-C51</f>
        <v>297808010</v>
      </c>
      <c r="D53" s="614">
        <f>D35+D43-D51</f>
        <v>297808010</v>
      </c>
      <c r="E53" s="614">
        <f>E35+E43-E51</f>
        <v>0</v>
      </c>
      <c r="F53" s="52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7.5" customHeight="1">
      <c r="A54" s="1054"/>
      <c r="B54" s="1055"/>
      <c r="C54" s="1086"/>
      <c r="D54" s="1033"/>
      <c r="E54" s="1033"/>
      <c r="F54" s="52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5" customHeight="1">
      <c r="A55" s="1054" t="s">
        <v>588</v>
      </c>
      <c r="B55" s="1055" t="s">
        <v>619</v>
      </c>
      <c r="C55" s="583"/>
      <c r="D55" s="583"/>
      <c r="E55" s="583"/>
      <c r="F55" s="52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5" customHeight="1">
      <c r="A56" s="1048" t="s">
        <v>589</v>
      </c>
      <c r="B56" s="1049" t="s">
        <v>620</v>
      </c>
      <c r="C56" s="1029">
        <f t="shared" ref="C56:C66" si="1">+D56+E56</f>
        <v>198100660</v>
      </c>
      <c r="D56" s="1029">
        <v>198100660</v>
      </c>
      <c r="E56" s="199"/>
      <c r="F56" s="51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5" customHeight="1">
      <c r="A57" s="491" t="s">
        <v>1099</v>
      </c>
      <c r="B57" s="1049" t="s">
        <v>621</v>
      </c>
      <c r="C57" s="1029">
        <f t="shared" si="1"/>
        <v>0</v>
      </c>
      <c r="D57" s="1029">
        <v>0</v>
      </c>
      <c r="E57" s="199"/>
      <c r="F57" s="51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5" customHeight="1">
      <c r="A58" s="1048" t="s">
        <v>590</v>
      </c>
      <c r="B58" s="1049" t="s">
        <v>622</v>
      </c>
      <c r="C58" s="1029">
        <f t="shared" si="1"/>
        <v>32455060</v>
      </c>
      <c r="D58" s="1029">
        <v>32455060</v>
      </c>
      <c r="E58" s="199"/>
      <c r="F58" s="51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5" customHeight="1">
      <c r="A59" s="1048" t="s">
        <v>558</v>
      </c>
      <c r="B59" s="1049" t="s">
        <v>623</v>
      </c>
      <c r="C59" s="1029">
        <f t="shared" si="1"/>
        <v>5294616</v>
      </c>
      <c r="D59" s="1029">
        <v>5294616</v>
      </c>
      <c r="E59" s="199"/>
      <c r="F59" s="51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5" customHeight="1">
      <c r="A60" s="1048" t="s">
        <v>591</v>
      </c>
      <c r="B60" s="1049" t="s">
        <v>624</v>
      </c>
      <c r="C60" s="1029">
        <f t="shared" si="1"/>
        <v>8647268</v>
      </c>
      <c r="D60" s="1029">
        <v>8647268</v>
      </c>
      <c r="E60" s="199"/>
      <c r="F60" s="51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5" customHeight="1">
      <c r="A61" s="1048" t="s">
        <v>592</v>
      </c>
      <c r="B61" s="1049" t="s">
        <v>625</v>
      </c>
      <c r="C61" s="1029">
        <f t="shared" si="1"/>
        <v>3492509</v>
      </c>
      <c r="D61" s="1029">
        <v>3492509</v>
      </c>
      <c r="E61" s="199"/>
      <c r="F61" s="51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5" customHeight="1">
      <c r="A62" s="1048" t="s">
        <v>593</v>
      </c>
      <c r="B62" s="1049" t="s">
        <v>626</v>
      </c>
      <c r="C62" s="1029">
        <f t="shared" si="1"/>
        <v>20436225</v>
      </c>
      <c r="D62" s="1029">
        <v>20436225</v>
      </c>
      <c r="E62" s="199"/>
      <c r="F62" s="51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5" customHeight="1">
      <c r="A63" s="1048" t="s">
        <v>594</v>
      </c>
      <c r="B63" s="1056" t="s">
        <v>1232</v>
      </c>
      <c r="C63" s="1029">
        <f t="shared" si="1"/>
        <v>8862516</v>
      </c>
      <c r="D63" s="1029">
        <v>8862516</v>
      </c>
      <c r="E63" s="199"/>
      <c r="F63" s="51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5" customHeight="1">
      <c r="A64" s="1048" t="s">
        <v>595</v>
      </c>
      <c r="B64" s="1056" t="s">
        <v>1233</v>
      </c>
      <c r="C64" s="1029">
        <f t="shared" si="1"/>
        <v>2302338</v>
      </c>
      <c r="D64" s="1029">
        <v>2302338</v>
      </c>
      <c r="E64" s="199"/>
      <c r="F64" s="51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5" customHeight="1">
      <c r="A65" s="1048" t="s">
        <v>1234</v>
      </c>
      <c r="B65" s="1056" t="s">
        <v>1235</v>
      </c>
      <c r="C65" s="1029">
        <f t="shared" si="1"/>
        <v>0</v>
      </c>
      <c r="D65" s="1029">
        <v>0</v>
      </c>
      <c r="E65" s="199"/>
      <c r="F65" s="51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5" customHeight="1">
      <c r="A66" s="1048" t="s">
        <v>1236</v>
      </c>
      <c r="B66" s="1056" t="s">
        <v>1237</v>
      </c>
      <c r="C66" s="1029">
        <f t="shared" si="1"/>
        <v>8247191</v>
      </c>
      <c r="D66" s="1029">
        <v>8247191</v>
      </c>
      <c r="E66" s="199"/>
      <c r="F66" s="51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5" customHeight="1">
      <c r="A67" s="95" t="s">
        <v>1238</v>
      </c>
      <c r="B67" s="196" t="s">
        <v>627</v>
      </c>
      <c r="C67" s="614">
        <f>SUM(C56:C66)-C57</f>
        <v>287838383</v>
      </c>
      <c r="D67" s="614">
        <f>SUM(D56:D66)-D57</f>
        <v>287838383</v>
      </c>
      <c r="E67" s="199"/>
      <c r="F67" s="520"/>
      <c r="G67" s="1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7.5" customHeight="1">
      <c r="A68" s="96" t="s">
        <v>18</v>
      </c>
      <c r="B68" s="163" t="s">
        <v>18</v>
      </c>
      <c r="C68" s="1085"/>
      <c r="D68" s="1031"/>
      <c r="E68" s="1031"/>
      <c r="F68" s="5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5" customHeight="1">
      <c r="A69" s="95" t="s">
        <v>739</v>
      </c>
      <c r="B69" s="196" t="s">
        <v>628</v>
      </c>
      <c r="C69" s="614">
        <f>C53-C67</f>
        <v>9969627</v>
      </c>
      <c r="D69" s="614">
        <f>D53-D67</f>
        <v>9969627</v>
      </c>
      <c r="E69" s="614">
        <f>+E53-(C67-D67)</f>
        <v>0</v>
      </c>
      <c r="F69" s="520"/>
      <c r="G69" s="1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5" customHeight="1">
      <c r="A70" s="96" t="s">
        <v>598</v>
      </c>
      <c r="B70" s="163" t="s">
        <v>629</v>
      </c>
      <c r="C70" s="1030">
        <f>+D70</f>
        <v>3130805</v>
      </c>
      <c r="D70" s="1029">
        <v>3130805</v>
      </c>
      <c r="E70" s="199"/>
      <c r="F70" s="51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7.5" customHeight="1">
      <c r="A71" s="96"/>
      <c r="B71" s="163"/>
      <c r="C71" s="524"/>
      <c r="D71" s="1032"/>
      <c r="E71" s="1032"/>
      <c r="F71" s="3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5" customHeight="1">
      <c r="A72" s="95" t="s">
        <v>597</v>
      </c>
      <c r="B72" s="196" t="s">
        <v>630</v>
      </c>
      <c r="C72" s="614">
        <f>C69-C70</f>
        <v>6838822</v>
      </c>
      <c r="D72" s="614">
        <f>D69-D70</f>
        <v>6838822</v>
      </c>
      <c r="E72" s="614">
        <f>E69-E70</f>
        <v>0</v>
      </c>
      <c r="F72" s="520"/>
      <c r="G72" s="10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5" customHeight="1">
      <c r="A73" s="96" t="s">
        <v>600</v>
      </c>
      <c r="B73" s="163" t="s">
        <v>631</v>
      </c>
      <c r="C73" s="1030">
        <f>+D73+E73</f>
        <v>0</v>
      </c>
      <c r="D73" s="1029"/>
      <c r="E73" s="1029"/>
      <c r="F73" s="51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5" customHeight="1">
      <c r="A74" s="96" t="s">
        <v>601</v>
      </c>
      <c r="B74" s="163" t="s">
        <v>632</v>
      </c>
      <c r="C74" s="1030">
        <f>+D74+E74</f>
        <v>0</v>
      </c>
      <c r="D74" s="1029"/>
      <c r="E74" s="1029"/>
      <c r="F74" s="51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7.5" customHeight="1">
      <c r="A75" s="95"/>
      <c r="B75" s="196"/>
      <c r="C75" s="1085"/>
      <c r="D75" s="1031"/>
      <c r="E75" s="1031"/>
      <c r="F75" s="52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5" customHeight="1">
      <c r="A76" s="95" t="s">
        <v>599</v>
      </c>
      <c r="B76" s="196" t="s">
        <v>633</v>
      </c>
      <c r="C76" s="614">
        <f>C72+C73+C74</f>
        <v>6838822</v>
      </c>
      <c r="D76" s="614">
        <f>D72+D73+D74</f>
        <v>6838822</v>
      </c>
      <c r="E76" s="614">
        <f>E72+E73+E74</f>
        <v>0</v>
      </c>
      <c r="F76" s="520"/>
      <c r="G76" s="10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5" customHeight="1">
      <c r="A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5" customHeight="1">
      <c r="A78" s="2"/>
      <c r="B78" s="8" t="s">
        <v>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5" customHeight="1">
      <c r="A79" s="2"/>
      <c r="B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5" customHeight="1">
      <c r="A80" s="2"/>
      <c r="B80" s="8" t="s">
        <v>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5" customHeight="1">
      <c r="A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5" customHeight="1">
      <c r="A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5" customHeight="1">
      <c r="A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5" customHeight="1">
      <c r="A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5" customHeight="1">
      <c r="A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5" customHeight="1">
      <c r="A86" s="91"/>
      <c r="G86" s="4"/>
      <c r="H86" s="4"/>
    </row>
    <row r="87" spans="1:21" ht="15" customHeight="1">
      <c r="A87" s="91"/>
    </row>
    <row r="89" spans="1:21" ht="15" customHeight="1">
      <c r="A89" s="64"/>
    </row>
    <row r="90" spans="1:21" ht="15" customHeight="1">
      <c r="A90" s="64"/>
    </row>
    <row r="91" spans="1:21" ht="15" customHeight="1">
      <c r="A91" s="64"/>
    </row>
    <row r="93" spans="1:21" ht="15" customHeight="1">
      <c r="A93" s="103"/>
    </row>
    <row r="94" spans="1:21" ht="15" customHeight="1">
      <c r="A94" s="104"/>
    </row>
  </sheetData>
  <sheetProtection password="CA76" sheet="1" objects="1" scenarios="1"/>
  <phoneticPr fontId="18" type="noConversion"/>
  <conditionalFormatting sqref="F28">
    <cfRule type="cellIs" dxfId="362" priority="41" operator="notEqual">
      <formula>$G$28</formula>
    </cfRule>
    <cfRule type="cellIs" dxfId="361" priority="43" stopIfTrue="1" operator="notEqual">
      <formula>$G$28</formula>
    </cfRule>
    <cfRule type="cellIs" dxfId="360" priority="44" stopIfTrue="1" operator="notEqual">
      <formula>INTEXP</formula>
    </cfRule>
  </conditionalFormatting>
  <conditionalFormatting sqref="F16">
    <cfRule type="cellIs" dxfId="359" priority="40" operator="notEqual">
      <formula>$G$16</formula>
    </cfRule>
    <cfRule type="cellIs" dxfId="358" priority="46" stopIfTrue="1" operator="notEqual">
      <formula>$G$16</formula>
    </cfRule>
  </conditionalFormatting>
  <conditionalFormatting sqref="G16">
    <cfRule type="cellIs" dxfId="357" priority="42" operator="notEqual">
      <formula>$G$16</formula>
    </cfRule>
  </conditionalFormatting>
  <conditionalFormatting sqref="C16">
    <cfRule type="cellIs" dxfId="356" priority="2" operator="notEqual">
      <formula>$G$16</formula>
    </cfRule>
  </conditionalFormatting>
  <conditionalFormatting sqref="C28">
    <cfRule type="cellIs" dxfId="355" priority="1" operator="notEqual">
      <formula>$G$28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3:F74 F18 F45 F56:F66 C56:D66 C31:F34 C38:F42 F30 C24:F26 F70 C46:F50 C6:E15 F5:F15 C19:F22 C70:D70" xr:uid="{00000000-0002-0000-02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 xr:uid="{00000000-0002-0000-0200-000001000000}"/>
    <dataValidation allowBlank="1" showInputMessage="1" showErrorMessage="1" prompt="Значение должно равняться итого процентных доходов (см.следующий лист)" sqref="C16:F16" xr:uid="{00000000-0002-0000-0200-000002000000}"/>
    <dataValidation type="whole" operator="greaterThanOrEqual" allowBlank="1" showInputMessage="1" showErrorMessage="1" sqref="E70 E56:E66" xr:uid="{00000000-0002-0000-02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8" orientation="portrait" r:id="rId1"/>
  <headerFooter alignWithMargins="0"/>
  <ignoredErrors>
    <ignoredError sqref="C6:C22 C84:C90" unlockedFormula="1"/>
    <ignoredError sqref="C23:C35 C38:C55 C67:C83" formula="1" unlockedFormula="1"/>
    <ignoredError sqref="C36:C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>
    <pageSetUpPr fitToPage="1"/>
  </sheetPr>
  <dimension ref="A1:T98"/>
  <sheetViews>
    <sheetView zoomScaleSheetLayoutView="115" workbookViewId="0">
      <pane xSplit="2" ySplit="4" topLeftCell="C41" activePane="bottomRight" state="frozen"/>
      <selection activeCell="B32" sqref="B32"/>
      <selection pane="topRight" activeCell="B32" sqref="B32"/>
      <selection pane="bottomLeft" activeCell="B32" sqref="B32"/>
      <selection pane="bottomRight" activeCell="C1" sqref="C1"/>
    </sheetView>
  </sheetViews>
  <sheetFormatPr defaultRowHeight="12.75"/>
  <cols>
    <col min="1" max="1" width="7.140625" style="120" customWidth="1"/>
    <col min="2" max="2" width="83.28515625" style="1" bestFit="1" customWidth="1"/>
    <col min="3" max="3" width="24" style="1" customWidth="1"/>
    <col min="4" max="4" width="10.140625" style="1" bestFit="1" customWidth="1"/>
    <col min="5" max="10" width="6.42578125" style="1" customWidth="1"/>
    <col min="11" max="16384" width="9.140625" style="1"/>
  </cols>
  <sheetData>
    <row r="1" spans="1:20" s="31" customFormat="1" ht="21" customHeight="1">
      <c r="A1" s="14"/>
      <c r="B1" s="586" t="s">
        <v>19</v>
      </c>
      <c r="C1" s="141" t="s">
        <v>1031</v>
      </c>
      <c r="D1" s="43"/>
      <c r="E1" s="43"/>
      <c r="F1" s="43"/>
      <c r="G1" s="43"/>
      <c r="H1" s="43"/>
    </row>
    <row r="2" spans="1:20" ht="9" customHeight="1">
      <c r="A2" s="92"/>
      <c r="B2" s="11"/>
      <c r="C2" s="141"/>
      <c r="D2" s="3"/>
      <c r="E2" s="3"/>
      <c r="F2" s="3"/>
      <c r="G2" s="3"/>
      <c r="H2" s="3"/>
    </row>
    <row r="3" spans="1:20" ht="15">
      <c r="A3" s="115"/>
      <c r="B3" s="458" t="str">
        <f>Balance!B3</f>
        <v>АКБ "Микрокредитбанк"</v>
      </c>
      <c r="C3" s="459">
        <f>+Balance!C3</f>
        <v>43829</v>
      </c>
      <c r="D3" s="3"/>
      <c r="E3" s="3"/>
      <c r="F3" s="3"/>
      <c r="G3" s="3"/>
      <c r="H3" s="3"/>
    </row>
    <row r="4" spans="1:20" ht="24" customHeight="1">
      <c r="A4" s="583" t="s">
        <v>161</v>
      </c>
      <c r="B4" s="583" t="s">
        <v>20</v>
      </c>
      <c r="C4" s="583" t="s">
        <v>7</v>
      </c>
      <c r="D4" s="3"/>
      <c r="E4" s="3"/>
      <c r="F4" s="3"/>
      <c r="G4" s="3"/>
      <c r="H4" s="3"/>
    </row>
    <row r="5" spans="1:20">
      <c r="A5" s="116" t="s">
        <v>722</v>
      </c>
      <c r="B5" s="571" t="s">
        <v>746</v>
      </c>
      <c r="C5" s="583"/>
      <c r="D5" s="3"/>
      <c r="E5" s="3"/>
      <c r="F5" s="3"/>
      <c r="G5" s="3"/>
      <c r="H5" s="3"/>
    </row>
    <row r="6" spans="1:20">
      <c r="A6" s="117" t="s">
        <v>723</v>
      </c>
      <c r="B6" s="572" t="s">
        <v>747</v>
      </c>
      <c r="C6" s="19"/>
      <c r="D6" s="3"/>
      <c r="E6" s="3"/>
      <c r="F6" s="3"/>
      <c r="G6" s="3"/>
      <c r="H6" s="3"/>
    </row>
    <row r="7" spans="1:20">
      <c r="A7" s="117" t="s">
        <v>724</v>
      </c>
      <c r="B7" s="572" t="s">
        <v>748</v>
      </c>
      <c r="C7" s="19">
        <v>31454</v>
      </c>
      <c r="D7" s="3"/>
      <c r="E7" s="3"/>
      <c r="F7" s="3"/>
      <c r="G7" s="3"/>
      <c r="H7" s="3"/>
    </row>
    <row r="8" spans="1:20">
      <c r="A8" s="117" t="s">
        <v>725</v>
      </c>
      <c r="B8" s="572" t="s">
        <v>749</v>
      </c>
      <c r="C8" s="19"/>
      <c r="D8" s="12"/>
      <c r="E8" s="3"/>
      <c r="F8" s="3"/>
      <c r="G8" s="3"/>
      <c r="H8" s="3"/>
    </row>
    <row r="9" spans="1:20">
      <c r="A9" s="117" t="s">
        <v>726</v>
      </c>
      <c r="B9" s="572" t="s">
        <v>750</v>
      </c>
      <c r="C9" s="19">
        <v>254188323</v>
      </c>
      <c r="D9" s="4"/>
      <c r="E9" s="3"/>
      <c r="F9" s="3"/>
      <c r="G9" s="3"/>
      <c r="H9" s="3"/>
    </row>
    <row r="10" spans="1:20">
      <c r="A10" s="117" t="s">
        <v>727</v>
      </c>
      <c r="B10" s="572" t="s">
        <v>751</v>
      </c>
      <c r="C10" s="19">
        <v>8243902</v>
      </c>
      <c r="D10" s="4"/>
      <c r="E10" s="3"/>
      <c r="F10" s="3"/>
      <c r="G10" s="3"/>
      <c r="H10" s="3"/>
    </row>
    <row r="11" spans="1:20">
      <c r="A11" s="117" t="s">
        <v>728</v>
      </c>
      <c r="B11" s="572" t="s">
        <v>752</v>
      </c>
      <c r="C11" s="19">
        <v>26345385</v>
      </c>
      <c r="D11" s="3"/>
      <c r="E11" s="3"/>
      <c r="F11" s="3"/>
      <c r="G11" s="3"/>
      <c r="H11" s="3"/>
    </row>
    <row r="12" spans="1:20">
      <c r="A12" s="117" t="s">
        <v>729</v>
      </c>
      <c r="B12" s="572" t="s">
        <v>753</v>
      </c>
      <c r="C12" s="19">
        <v>218415663</v>
      </c>
      <c r="D12" s="3"/>
      <c r="E12" s="3"/>
      <c r="F12" s="3"/>
      <c r="G12" s="3"/>
      <c r="H12" s="3"/>
    </row>
    <row r="13" spans="1:20">
      <c r="A13" s="117" t="s">
        <v>730</v>
      </c>
      <c r="B13" s="572" t="s">
        <v>754</v>
      </c>
      <c r="C13" s="19">
        <v>2589808</v>
      </c>
      <c r="D13" s="3"/>
      <c r="E13" s="3"/>
      <c r="F13" s="3"/>
      <c r="G13" s="3"/>
      <c r="H13" s="3"/>
    </row>
    <row r="14" spans="1:20">
      <c r="A14" s="116" t="s">
        <v>731</v>
      </c>
      <c r="B14" s="571" t="s">
        <v>755</v>
      </c>
      <c r="C14" s="13">
        <f>SUM(C6:C13)</f>
        <v>509814535</v>
      </c>
      <c r="D14" s="3"/>
      <c r="E14" s="3"/>
      <c r="F14" s="3"/>
      <c r="G14" s="3"/>
      <c r="H14" s="3"/>
    </row>
    <row r="15" spans="1:20" s="2" customFormat="1" ht="7.5" customHeight="1">
      <c r="A15" s="95"/>
      <c r="B15" s="196"/>
      <c r="C15" s="9"/>
      <c r="D15" s="52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116" t="s">
        <v>732</v>
      </c>
      <c r="B16" s="571" t="s">
        <v>756</v>
      </c>
      <c r="C16" s="583"/>
      <c r="D16" s="3"/>
      <c r="E16" s="3"/>
      <c r="F16" s="3"/>
      <c r="G16" s="3"/>
      <c r="H16" s="3"/>
    </row>
    <row r="17" spans="1:20">
      <c r="A17" s="118" t="s">
        <v>723</v>
      </c>
      <c r="B17" s="573" t="s">
        <v>757</v>
      </c>
      <c r="C17" s="19">
        <v>81594</v>
      </c>
      <c r="D17" s="3"/>
      <c r="E17" s="3"/>
      <c r="F17" s="3"/>
      <c r="G17" s="3"/>
      <c r="H17" s="3"/>
    </row>
    <row r="18" spans="1:20">
      <c r="A18" s="118" t="s">
        <v>724</v>
      </c>
      <c r="B18" s="573" t="s">
        <v>399</v>
      </c>
      <c r="C18" s="19">
        <v>12489567</v>
      </c>
      <c r="D18" s="3"/>
      <c r="E18" s="3"/>
      <c r="F18" s="3"/>
      <c r="G18" s="3"/>
      <c r="H18" s="3"/>
    </row>
    <row r="19" spans="1:20">
      <c r="A19" s="116"/>
      <c r="B19" s="571" t="s">
        <v>758</v>
      </c>
      <c r="C19" s="13">
        <f>SUM(C17:C18)</f>
        <v>12571161</v>
      </c>
      <c r="D19" s="3"/>
      <c r="E19" s="3"/>
      <c r="F19" s="3"/>
      <c r="G19" s="3"/>
      <c r="H19" s="3"/>
    </row>
    <row r="20" spans="1:20" s="2" customFormat="1" ht="7.5" customHeight="1">
      <c r="A20" s="95"/>
      <c r="B20" s="196"/>
      <c r="C20" s="9"/>
      <c r="D20" s="52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116" t="s">
        <v>733</v>
      </c>
      <c r="B21" s="571" t="s">
        <v>759</v>
      </c>
      <c r="C21" s="583"/>
      <c r="D21" s="3"/>
      <c r="E21" s="3"/>
      <c r="F21" s="3"/>
      <c r="G21" s="3"/>
      <c r="H21" s="3"/>
    </row>
    <row r="22" spans="1:20">
      <c r="A22" s="117" t="s">
        <v>723</v>
      </c>
      <c r="B22" s="573" t="s">
        <v>760</v>
      </c>
      <c r="C22" s="19">
        <v>9722584</v>
      </c>
      <c r="D22" s="3"/>
      <c r="E22" s="3"/>
      <c r="F22" s="3"/>
      <c r="G22" s="3"/>
      <c r="H22" s="3"/>
    </row>
    <row r="23" spans="1:20">
      <c r="A23" s="117" t="s">
        <v>724</v>
      </c>
      <c r="B23" s="573" t="s">
        <v>761</v>
      </c>
      <c r="C23" s="19">
        <v>0</v>
      </c>
      <c r="D23" s="3"/>
      <c r="E23" s="3"/>
      <c r="F23" s="3"/>
      <c r="G23" s="3"/>
      <c r="H23" s="3"/>
    </row>
    <row r="24" spans="1:20">
      <c r="A24" s="117" t="s">
        <v>725</v>
      </c>
      <c r="B24" s="573" t="s">
        <v>762</v>
      </c>
      <c r="C24" s="19">
        <v>0</v>
      </c>
      <c r="D24" s="3"/>
      <c r="E24" s="3"/>
      <c r="F24" s="3"/>
      <c r="G24" s="3"/>
      <c r="H24" s="3"/>
    </row>
    <row r="25" spans="1:20">
      <c r="A25" s="117" t="s">
        <v>726</v>
      </c>
      <c r="B25" s="573" t="s">
        <v>763</v>
      </c>
      <c r="C25" s="19">
        <v>0</v>
      </c>
      <c r="D25" s="3"/>
      <c r="E25" s="3"/>
      <c r="F25" s="3"/>
      <c r="G25" s="3"/>
      <c r="H25" s="3"/>
    </row>
    <row r="26" spans="1:20">
      <c r="A26" s="117" t="s">
        <v>727</v>
      </c>
      <c r="B26" s="573" t="s">
        <v>764</v>
      </c>
      <c r="C26" s="19">
        <v>0</v>
      </c>
      <c r="D26" s="3"/>
      <c r="E26" s="3"/>
      <c r="F26" s="3"/>
      <c r="G26" s="3"/>
      <c r="H26" s="3"/>
    </row>
    <row r="27" spans="1:20">
      <c r="A27" s="117" t="s">
        <v>728</v>
      </c>
      <c r="B27" s="573" t="s">
        <v>173</v>
      </c>
      <c r="C27" s="19">
        <v>0</v>
      </c>
      <c r="D27" s="3"/>
      <c r="E27" s="3"/>
      <c r="F27" s="3"/>
      <c r="G27" s="3"/>
      <c r="H27" s="3"/>
    </row>
    <row r="28" spans="1:20">
      <c r="A28" s="117" t="s">
        <v>729</v>
      </c>
      <c r="B28" s="571" t="s">
        <v>765</v>
      </c>
      <c r="C28" s="13">
        <f>SUM(C22:C27)</f>
        <v>9722584</v>
      </c>
      <c r="D28" s="3"/>
      <c r="E28" s="3"/>
      <c r="F28" s="3"/>
      <c r="G28" s="3"/>
      <c r="H28" s="3"/>
    </row>
    <row r="29" spans="1:20" s="2" customFormat="1" ht="7.5" customHeight="1">
      <c r="A29" s="95"/>
      <c r="B29" s="196"/>
      <c r="C29" s="9"/>
      <c r="D29" s="52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116" t="s">
        <v>734</v>
      </c>
      <c r="B30" s="571" t="s">
        <v>766</v>
      </c>
      <c r="C30" s="583"/>
      <c r="D30" s="3"/>
      <c r="E30" s="3"/>
      <c r="F30" s="3"/>
      <c r="G30" s="3"/>
      <c r="H30" s="3"/>
    </row>
    <row r="31" spans="1:20">
      <c r="A31" s="117" t="s">
        <v>723</v>
      </c>
      <c r="B31" s="572" t="s">
        <v>767</v>
      </c>
      <c r="C31" s="19">
        <v>0</v>
      </c>
      <c r="D31" s="3"/>
      <c r="E31" s="3"/>
      <c r="F31" s="3"/>
      <c r="G31" s="3"/>
      <c r="H31" s="3"/>
    </row>
    <row r="32" spans="1:20">
      <c r="A32" s="117" t="s">
        <v>724</v>
      </c>
      <c r="B32" s="572" t="s">
        <v>761</v>
      </c>
      <c r="C32" s="19">
        <v>0</v>
      </c>
      <c r="D32" s="3"/>
      <c r="E32" s="3"/>
      <c r="F32" s="3"/>
      <c r="G32" s="3"/>
      <c r="H32" s="3"/>
    </row>
    <row r="33" spans="1:20">
      <c r="A33" s="117" t="s">
        <v>725</v>
      </c>
      <c r="B33" s="572" t="s">
        <v>768</v>
      </c>
      <c r="C33" s="19">
        <v>0</v>
      </c>
      <c r="D33" s="3"/>
      <c r="E33" s="3"/>
      <c r="F33" s="3"/>
      <c r="G33" s="3"/>
      <c r="H33" s="3"/>
    </row>
    <row r="34" spans="1:20">
      <c r="A34" s="117" t="s">
        <v>726</v>
      </c>
      <c r="B34" s="572" t="s">
        <v>763</v>
      </c>
      <c r="C34" s="19">
        <v>0</v>
      </c>
      <c r="D34" s="3"/>
      <c r="E34" s="3"/>
      <c r="F34" s="3"/>
      <c r="G34" s="3"/>
      <c r="H34" s="3"/>
    </row>
    <row r="35" spans="1:20">
      <c r="A35" s="117" t="s">
        <v>727</v>
      </c>
      <c r="B35" s="572" t="s">
        <v>173</v>
      </c>
      <c r="C35" s="19">
        <v>792723</v>
      </c>
      <c r="D35" s="3"/>
      <c r="E35" s="3"/>
      <c r="F35" s="3"/>
      <c r="G35" s="3"/>
      <c r="H35" s="3"/>
    </row>
    <row r="36" spans="1:20">
      <c r="A36" s="117" t="s">
        <v>728</v>
      </c>
      <c r="B36" s="571" t="s">
        <v>769</v>
      </c>
      <c r="C36" s="13">
        <f>SUM(C31:C35)</f>
        <v>792723</v>
      </c>
      <c r="D36" s="3"/>
      <c r="E36" s="3"/>
      <c r="F36" s="3"/>
      <c r="G36" s="3"/>
      <c r="H36" s="3"/>
    </row>
    <row r="37" spans="1:20" s="2" customFormat="1" ht="7.5" customHeight="1">
      <c r="A37" s="95"/>
      <c r="B37" s="196"/>
      <c r="C37" s="9"/>
      <c r="D37" s="52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116" t="s">
        <v>735</v>
      </c>
      <c r="B38" s="571" t="s">
        <v>770</v>
      </c>
      <c r="C38" s="583"/>
      <c r="D38" s="3"/>
      <c r="E38" s="3"/>
      <c r="F38" s="3"/>
      <c r="G38" s="3"/>
      <c r="H38" s="3"/>
    </row>
    <row r="39" spans="1:20">
      <c r="A39" s="117" t="s">
        <v>723</v>
      </c>
      <c r="B39" s="574" t="s">
        <v>771</v>
      </c>
      <c r="C39" s="19">
        <v>0</v>
      </c>
      <c r="D39" s="3"/>
      <c r="E39" s="3"/>
      <c r="F39" s="3"/>
      <c r="G39" s="3"/>
      <c r="H39" s="3"/>
    </row>
    <row r="40" spans="1:20">
      <c r="A40" s="117" t="s">
        <v>724</v>
      </c>
      <c r="B40" s="574" t="s">
        <v>553</v>
      </c>
      <c r="C40" s="19">
        <v>188576046</v>
      </c>
      <c r="D40" s="3"/>
      <c r="E40" s="3"/>
      <c r="F40" s="3"/>
      <c r="G40" s="3"/>
      <c r="H40" s="3"/>
    </row>
    <row r="41" spans="1:20" s="2" customFormat="1" ht="7.5" customHeight="1">
      <c r="A41" s="95"/>
      <c r="B41" s="196"/>
      <c r="C41" s="9"/>
      <c r="D41" s="52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116" t="s">
        <v>587</v>
      </c>
      <c r="B42" s="571" t="s">
        <v>772</v>
      </c>
      <c r="C42" s="13">
        <f>C14+C19+C28+C36+C39+C40</f>
        <v>721477049</v>
      </c>
      <c r="D42" s="3"/>
      <c r="E42" s="3"/>
      <c r="F42" s="3"/>
      <c r="G42" s="3"/>
      <c r="H42" s="3"/>
    </row>
    <row r="43" spans="1:20" s="2" customFormat="1" ht="7.5" customHeight="1">
      <c r="A43" s="95"/>
      <c r="B43" s="196"/>
      <c r="C43" s="9"/>
      <c r="D43" s="52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116" t="s">
        <v>588</v>
      </c>
      <c r="B44" s="571" t="s">
        <v>773</v>
      </c>
      <c r="C44" s="583"/>
      <c r="D44" s="3"/>
      <c r="E44" s="3"/>
      <c r="F44" s="3"/>
      <c r="G44" s="3"/>
      <c r="H44" s="3"/>
    </row>
    <row r="45" spans="1:20">
      <c r="A45" s="116" t="s">
        <v>736</v>
      </c>
      <c r="B45" s="571" t="s">
        <v>437</v>
      </c>
      <c r="C45" s="19"/>
      <c r="D45" s="3"/>
      <c r="E45" s="3"/>
      <c r="F45" s="3"/>
      <c r="G45" s="3"/>
      <c r="H45" s="3"/>
    </row>
    <row r="46" spans="1:20">
      <c r="A46" s="117" t="s">
        <v>723</v>
      </c>
      <c r="B46" s="573" t="s">
        <v>290</v>
      </c>
      <c r="C46" s="19">
        <v>1364336</v>
      </c>
      <c r="D46" s="3"/>
      <c r="E46" s="3"/>
      <c r="F46" s="3"/>
      <c r="G46" s="3"/>
      <c r="H46" s="3"/>
    </row>
    <row r="47" spans="1:20">
      <c r="A47" s="117" t="s">
        <v>724</v>
      </c>
      <c r="B47" s="573" t="s">
        <v>291</v>
      </c>
      <c r="C47" s="19">
        <v>6115</v>
      </c>
      <c r="D47" s="3"/>
      <c r="E47" s="3"/>
      <c r="F47" s="3"/>
      <c r="G47" s="3"/>
      <c r="H47" s="3"/>
    </row>
    <row r="48" spans="1:20">
      <c r="A48" s="117" t="s">
        <v>725</v>
      </c>
      <c r="B48" s="573" t="s">
        <v>292</v>
      </c>
      <c r="C48" s="19">
        <v>0</v>
      </c>
      <c r="D48" s="3"/>
      <c r="E48" s="3"/>
      <c r="F48" s="3"/>
      <c r="G48" s="3"/>
      <c r="H48" s="3"/>
    </row>
    <row r="49" spans="1:20">
      <c r="A49" s="117" t="s">
        <v>726</v>
      </c>
      <c r="B49" s="572" t="s">
        <v>293</v>
      </c>
      <c r="C49" s="19">
        <v>0</v>
      </c>
      <c r="D49" s="3"/>
      <c r="E49" s="3"/>
      <c r="F49" s="3"/>
      <c r="G49" s="3"/>
      <c r="H49" s="3"/>
    </row>
    <row r="50" spans="1:20">
      <c r="A50" s="117" t="s">
        <v>727</v>
      </c>
      <c r="B50" s="572" t="s">
        <v>774</v>
      </c>
      <c r="C50" s="19">
        <v>0</v>
      </c>
      <c r="D50" s="3"/>
      <c r="E50" s="3"/>
      <c r="F50" s="3"/>
      <c r="G50" s="3"/>
      <c r="H50" s="3"/>
    </row>
    <row r="51" spans="1:20">
      <c r="A51" s="117" t="s">
        <v>728</v>
      </c>
      <c r="B51" s="572" t="s">
        <v>775</v>
      </c>
      <c r="C51" s="19">
        <v>0</v>
      </c>
      <c r="D51" s="3"/>
      <c r="E51" s="3"/>
      <c r="F51" s="3"/>
      <c r="G51" s="3"/>
      <c r="H51" s="3"/>
    </row>
    <row r="52" spans="1:20">
      <c r="A52" s="117" t="s">
        <v>729</v>
      </c>
      <c r="B52" s="572" t="s">
        <v>776</v>
      </c>
      <c r="C52" s="13">
        <f>SUM(C46:C51)</f>
        <v>1370451</v>
      </c>
      <c r="D52" s="3"/>
      <c r="E52" s="3"/>
      <c r="F52" s="3"/>
      <c r="G52" s="3"/>
      <c r="H52" s="3"/>
    </row>
    <row r="53" spans="1:20" s="2" customFormat="1" ht="7.5" customHeight="1">
      <c r="A53" s="95"/>
      <c r="B53" s="196"/>
      <c r="C53" s="9"/>
      <c r="D53" s="52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116" t="s">
        <v>737</v>
      </c>
      <c r="B54" s="571" t="s">
        <v>440</v>
      </c>
      <c r="C54" s="583"/>
      <c r="D54" s="3"/>
      <c r="E54" s="3"/>
      <c r="F54" s="3"/>
      <c r="G54" s="3"/>
      <c r="H54" s="3"/>
    </row>
    <row r="55" spans="1:20">
      <c r="A55" s="117" t="s">
        <v>723</v>
      </c>
      <c r="B55" s="573" t="s">
        <v>290</v>
      </c>
      <c r="C55" s="19">
        <v>64964982</v>
      </c>
      <c r="D55" s="3"/>
      <c r="E55" s="3"/>
      <c r="F55" s="3"/>
      <c r="G55" s="3"/>
      <c r="H55" s="3"/>
    </row>
    <row r="56" spans="1:20">
      <c r="A56" s="117" t="s">
        <v>724</v>
      </c>
      <c r="B56" s="573" t="s">
        <v>291</v>
      </c>
      <c r="C56" s="19">
        <v>26849088</v>
      </c>
      <c r="D56" s="3"/>
      <c r="E56" s="3"/>
      <c r="F56" s="3"/>
      <c r="G56" s="3"/>
      <c r="H56" s="3"/>
    </row>
    <row r="57" spans="1:20">
      <c r="A57" s="117" t="s">
        <v>725</v>
      </c>
      <c r="B57" s="573" t="s">
        <v>292</v>
      </c>
      <c r="C57" s="19">
        <v>12011951</v>
      </c>
      <c r="D57" s="3"/>
      <c r="E57" s="3"/>
      <c r="F57" s="3"/>
      <c r="G57" s="3"/>
      <c r="H57" s="3"/>
    </row>
    <row r="58" spans="1:20">
      <c r="A58" s="117" t="s">
        <v>726</v>
      </c>
      <c r="B58" s="572" t="s">
        <v>293</v>
      </c>
      <c r="C58" s="19">
        <v>244451</v>
      </c>
      <c r="D58" s="3"/>
      <c r="E58" s="3"/>
      <c r="F58" s="3"/>
      <c r="G58" s="3"/>
      <c r="H58" s="3"/>
    </row>
    <row r="59" spans="1:20">
      <c r="A59" s="117" t="s">
        <v>727</v>
      </c>
      <c r="B59" s="573" t="s">
        <v>774</v>
      </c>
      <c r="C59" s="19">
        <v>1461546</v>
      </c>
      <c r="D59" s="3"/>
      <c r="E59" s="3"/>
      <c r="F59" s="3"/>
      <c r="G59" s="3"/>
      <c r="H59" s="3"/>
    </row>
    <row r="60" spans="1:20">
      <c r="A60" s="117" t="s">
        <v>728</v>
      </c>
      <c r="B60" s="573" t="s">
        <v>775</v>
      </c>
      <c r="C60" s="19">
        <v>19738238</v>
      </c>
      <c r="D60" s="3"/>
      <c r="E60" s="3"/>
      <c r="F60" s="3"/>
      <c r="G60" s="3"/>
      <c r="H60" s="3"/>
    </row>
    <row r="61" spans="1:20" ht="13.5" customHeight="1">
      <c r="A61" s="117" t="s">
        <v>729</v>
      </c>
      <c r="B61" s="573" t="s">
        <v>777</v>
      </c>
      <c r="C61" s="13">
        <f>SUM(C55:C60)</f>
        <v>125270256</v>
      </c>
      <c r="D61" s="3"/>
      <c r="E61" s="3"/>
      <c r="F61" s="3"/>
      <c r="G61" s="3"/>
      <c r="H61" s="3"/>
    </row>
    <row r="62" spans="1:20" s="2" customFormat="1" ht="7.5" customHeight="1">
      <c r="A62" s="95"/>
      <c r="B62" s="196"/>
      <c r="C62" s="9"/>
      <c r="D62" s="52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116" t="s">
        <v>738</v>
      </c>
      <c r="B63" s="571" t="s">
        <v>778</v>
      </c>
      <c r="C63" s="13">
        <f>C52+C61</f>
        <v>126640707</v>
      </c>
      <c r="D63" s="3"/>
      <c r="E63" s="3"/>
      <c r="F63" s="3"/>
      <c r="G63" s="3"/>
      <c r="H63" s="3"/>
    </row>
    <row r="64" spans="1:20" s="2" customFormat="1" ht="7.5" customHeight="1">
      <c r="A64" s="95"/>
      <c r="B64" s="196"/>
      <c r="C64" s="9"/>
      <c r="D64" s="52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116" t="s">
        <v>739</v>
      </c>
      <c r="B65" s="571" t="s">
        <v>779</v>
      </c>
      <c r="C65" s="583"/>
      <c r="D65" s="3"/>
      <c r="E65" s="3"/>
      <c r="F65" s="3"/>
      <c r="G65" s="3"/>
      <c r="H65" s="3"/>
    </row>
    <row r="66" spans="1:20">
      <c r="A66" s="118" t="s">
        <v>740</v>
      </c>
      <c r="B66" s="573" t="s">
        <v>780</v>
      </c>
      <c r="C66" s="19">
        <v>0</v>
      </c>
      <c r="D66" s="3"/>
      <c r="E66" s="3"/>
      <c r="F66" s="3"/>
      <c r="G66" s="3"/>
      <c r="H66" s="3"/>
    </row>
    <row r="67" spans="1:20">
      <c r="A67" s="118" t="s">
        <v>741</v>
      </c>
      <c r="B67" s="574" t="s">
        <v>539</v>
      </c>
      <c r="C67" s="19">
        <v>36723237</v>
      </c>
      <c r="D67" s="3"/>
      <c r="E67" s="3"/>
      <c r="F67" s="3"/>
      <c r="G67" s="3"/>
      <c r="H67" s="3"/>
    </row>
    <row r="68" spans="1:20">
      <c r="A68" s="119" t="s">
        <v>742</v>
      </c>
      <c r="B68" s="574" t="s">
        <v>540</v>
      </c>
      <c r="C68" s="19">
        <v>0</v>
      </c>
      <c r="D68" s="3"/>
      <c r="E68" s="3"/>
      <c r="F68" s="3"/>
      <c r="G68" s="3"/>
      <c r="H68" s="3"/>
    </row>
    <row r="69" spans="1:20">
      <c r="A69" s="118" t="s">
        <v>743</v>
      </c>
      <c r="B69" s="574" t="s">
        <v>541</v>
      </c>
      <c r="C69" s="19">
        <v>239933020</v>
      </c>
      <c r="D69" s="3"/>
      <c r="E69" s="3"/>
      <c r="F69" s="3"/>
      <c r="G69" s="3"/>
      <c r="H69" s="3"/>
    </row>
    <row r="70" spans="1:20">
      <c r="A70" s="116" t="s">
        <v>744</v>
      </c>
      <c r="B70" s="575" t="s">
        <v>781</v>
      </c>
      <c r="C70" s="13">
        <f>SUM(C66:C69)</f>
        <v>276656257</v>
      </c>
      <c r="D70" s="3"/>
      <c r="E70" s="3"/>
      <c r="F70" s="3"/>
      <c r="G70" s="3"/>
      <c r="H70" s="3"/>
    </row>
    <row r="71" spans="1:20" s="2" customFormat="1" ht="7.5" customHeight="1">
      <c r="A71" s="95"/>
      <c r="B71" s="196"/>
      <c r="C71" s="9"/>
      <c r="D71" s="52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116" t="s">
        <v>745</v>
      </c>
      <c r="B72" s="571" t="s">
        <v>782</v>
      </c>
      <c r="C72" s="13">
        <f>C63+C70</f>
        <v>403296964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121"/>
      <c r="B74" s="8" t="s">
        <v>4</v>
      </c>
      <c r="D74" s="3"/>
      <c r="E74" s="3"/>
      <c r="F74" s="3"/>
      <c r="G74" s="3"/>
      <c r="H74" s="3"/>
    </row>
    <row r="75" spans="1:20">
      <c r="A75" s="121"/>
      <c r="B75" s="8"/>
      <c r="D75" s="3"/>
      <c r="E75" s="3"/>
      <c r="F75" s="3"/>
      <c r="G75" s="3"/>
      <c r="H75" s="3"/>
    </row>
    <row r="76" spans="1:20">
      <c r="A76" s="121"/>
      <c r="B76" s="8" t="s">
        <v>5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122"/>
      <c r="D78" s="3"/>
      <c r="E78" s="3"/>
      <c r="F78" s="3"/>
      <c r="G78" s="3"/>
      <c r="H78" s="3"/>
    </row>
    <row r="79" spans="1:20">
      <c r="A79" s="123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E90" s="3"/>
      <c r="F90" s="3"/>
      <c r="G90" s="3"/>
      <c r="H90" s="3"/>
    </row>
    <row r="91" spans="4:8">
      <c r="E91" s="3"/>
      <c r="F91" s="3"/>
      <c r="G91" s="3"/>
      <c r="H91" s="3"/>
    </row>
    <row r="92" spans="4:8">
      <c r="E92" s="3"/>
      <c r="F92" s="3"/>
      <c r="G92" s="3"/>
      <c r="H92" s="3"/>
    </row>
    <row r="93" spans="4:8">
      <c r="E93" s="3"/>
      <c r="F93" s="3"/>
      <c r="G93" s="3"/>
      <c r="H93" s="3"/>
    </row>
    <row r="94" spans="4:8">
      <c r="E94" s="3"/>
      <c r="F94" s="3"/>
      <c r="G94" s="3"/>
      <c r="H94" s="3"/>
    </row>
    <row r="95" spans="4:8">
      <c r="E95" s="3"/>
      <c r="F95" s="3"/>
      <c r="G95" s="3"/>
      <c r="H95" s="3"/>
    </row>
    <row r="96" spans="4:8">
      <c r="E96" s="3"/>
      <c r="F96" s="3"/>
      <c r="G96" s="3"/>
      <c r="H96" s="3"/>
    </row>
    <row r="97" spans="5:8">
      <c r="E97" s="3"/>
      <c r="F97" s="3"/>
      <c r="G97" s="3"/>
      <c r="H97" s="3"/>
    </row>
    <row r="98" spans="5:8">
      <c r="E98" s="3"/>
      <c r="F98" s="3"/>
      <c r="G98" s="3"/>
      <c r="H98" s="3"/>
    </row>
  </sheetData>
  <sheetProtection password="CA76" sheet="1" objects="1" scenarios="1"/>
  <phoneticPr fontId="18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 xr:uid="{00000000-0002-0000-03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7">
    <pageSetUpPr fitToPage="1"/>
  </sheetPr>
  <dimension ref="A1:H60"/>
  <sheetViews>
    <sheetView view="pageBreakPreview" zoomScaleSheetLayoutView="100" workbookViewId="0">
      <pane xSplit="2" ySplit="4" topLeftCell="C50" activePane="bottomRight" state="frozen"/>
      <selection activeCell="B32" sqref="B32"/>
      <selection pane="topRight" activeCell="B32" sqref="B32"/>
      <selection pane="bottomLeft" activeCell="B32" sqref="B32"/>
      <selection pane="bottomRight" activeCell="C56" sqref="C56"/>
    </sheetView>
  </sheetViews>
  <sheetFormatPr defaultRowHeight="12.75"/>
  <cols>
    <col min="1" max="1" width="6" style="307" customWidth="1"/>
    <col min="2" max="2" width="105.140625" style="307" customWidth="1"/>
    <col min="3" max="3" width="19.7109375" style="342" customWidth="1"/>
    <col min="4" max="4" width="10.28515625" style="632" bestFit="1" customWidth="1"/>
    <col min="5" max="5" width="19.42578125" style="633" bestFit="1" customWidth="1"/>
    <col min="6" max="6" width="9.28515625" style="632" bestFit="1" customWidth="1"/>
    <col min="7" max="7" width="9.140625" style="632"/>
    <col min="8" max="8" width="17.42578125" style="632" bestFit="1" customWidth="1"/>
    <col min="9" max="16384" width="9.140625" style="307"/>
  </cols>
  <sheetData>
    <row r="1" spans="1:8" ht="23.25" customHeight="1">
      <c r="A1" s="1210" t="s">
        <v>1124</v>
      </c>
      <c r="B1" s="1211"/>
      <c r="C1" s="306" t="s">
        <v>1055</v>
      </c>
    </row>
    <row r="2" spans="1:8">
      <c r="A2" s="344"/>
      <c r="B2" s="344"/>
      <c r="C2" s="344"/>
    </row>
    <row r="3" spans="1:8" ht="15.75">
      <c r="A3" s="308"/>
      <c r="B3" s="461" t="str">
        <f>Balance!B3</f>
        <v>АКБ "Микрокредитбанк"</v>
      </c>
      <c r="C3" s="460">
        <f>+Balance!C3</f>
        <v>43829</v>
      </c>
    </row>
    <row r="4" spans="1:8" s="309" customFormat="1" ht="43.5" customHeight="1">
      <c r="A4" s="583" t="s">
        <v>161</v>
      </c>
      <c r="B4" s="583" t="s">
        <v>131</v>
      </c>
      <c r="C4" s="583" t="s">
        <v>21</v>
      </c>
      <c r="D4" s="634"/>
      <c r="E4" s="635"/>
      <c r="F4" s="634"/>
      <c r="G4" s="634"/>
      <c r="H4" s="634"/>
    </row>
    <row r="5" spans="1:8" ht="12.75" customHeight="1">
      <c r="A5" s="508" t="s">
        <v>136</v>
      </c>
      <c r="B5" s="311" t="s">
        <v>490</v>
      </c>
      <c r="C5" s="312"/>
    </row>
    <row r="6" spans="1:8" ht="12.75" customHeight="1">
      <c r="A6" s="310">
        <v>1</v>
      </c>
      <c r="B6" s="311" t="s">
        <v>491</v>
      </c>
      <c r="C6" s="313"/>
    </row>
    <row r="7" spans="1:8" s="320" customFormat="1" ht="18" customHeight="1">
      <c r="A7" s="317" t="s">
        <v>494</v>
      </c>
      <c r="B7" s="318" t="s">
        <v>492</v>
      </c>
      <c r="C7" s="313">
        <f>+C8+C9</f>
        <v>1641584276</v>
      </c>
      <c r="D7" s="636"/>
      <c r="E7" s="435"/>
      <c r="F7" s="636"/>
      <c r="G7" s="636"/>
      <c r="H7" s="636"/>
    </row>
    <row r="8" spans="1:8" s="309" customFormat="1" ht="18" customHeight="1">
      <c r="A8" s="327" t="s">
        <v>137</v>
      </c>
      <c r="B8" s="554" t="s">
        <v>138</v>
      </c>
      <c r="C8" s="345">
        <v>1641584276</v>
      </c>
      <c r="D8" s="634"/>
      <c r="E8" s="635"/>
      <c r="F8" s="634"/>
      <c r="G8" s="634"/>
      <c r="H8" s="634"/>
    </row>
    <row r="9" spans="1:8" s="309" customFormat="1" ht="18" customHeight="1">
      <c r="A9" s="327" t="s">
        <v>139</v>
      </c>
      <c r="B9" s="554" t="s">
        <v>140</v>
      </c>
      <c r="C9" s="346"/>
      <c r="D9" s="634"/>
      <c r="E9" s="635"/>
      <c r="F9" s="634"/>
      <c r="G9" s="634"/>
      <c r="H9" s="634"/>
    </row>
    <row r="10" spans="1:8" s="320" customFormat="1" ht="18" customHeight="1">
      <c r="A10" s="317" t="s">
        <v>495</v>
      </c>
      <c r="B10" s="318" t="s">
        <v>493</v>
      </c>
      <c r="C10" s="432">
        <v>0</v>
      </c>
      <c r="D10" s="636"/>
      <c r="E10" s="435"/>
      <c r="F10" s="636"/>
      <c r="G10" s="636"/>
      <c r="H10" s="636"/>
    </row>
    <row r="11" spans="1:8" s="309" customFormat="1" ht="18" customHeight="1">
      <c r="A11" s="327" t="s">
        <v>496</v>
      </c>
      <c r="B11" s="554" t="s">
        <v>497</v>
      </c>
      <c r="C11" s="433">
        <f>+C12+C13-C14-C15</f>
        <v>-28839355</v>
      </c>
      <c r="D11" s="634"/>
      <c r="E11" s="635"/>
      <c r="F11" s="634"/>
      <c r="G11" s="634"/>
      <c r="H11" s="634"/>
    </row>
    <row r="12" spans="1:8" s="309" customFormat="1" ht="18" customHeight="1">
      <c r="A12" s="327" t="s">
        <v>143</v>
      </c>
      <c r="B12" s="554" t="s">
        <v>148</v>
      </c>
      <c r="C12" s="434">
        <v>49010340</v>
      </c>
      <c r="D12" s="634"/>
      <c r="E12" s="635"/>
      <c r="F12" s="634"/>
      <c r="G12" s="634"/>
      <c r="H12" s="634"/>
    </row>
    <row r="13" spans="1:8" s="309" customFormat="1" ht="18" customHeight="1">
      <c r="A13" s="322" t="s">
        <v>139</v>
      </c>
      <c r="B13" s="555" t="s">
        <v>149</v>
      </c>
      <c r="C13" s="434">
        <v>0</v>
      </c>
      <c r="D13" s="634"/>
      <c r="E13" s="635"/>
      <c r="F13" s="634"/>
      <c r="G13" s="634"/>
      <c r="H13" s="634"/>
    </row>
    <row r="14" spans="1:8" s="320" customFormat="1" ht="18" customHeight="1">
      <c r="A14" s="334" t="s">
        <v>141</v>
      </c>
      <c r="B14" s="552" t="s">
        <v>498</v>
      </c>
      <c r="C14" s="431">
        <v>77849695</v>
      </c>
      <c r="D14" s="636"/>
      <c r="E14" s="435"/>
      <c r="F14" s="636"/>
      <c r="G14" s="636"/>
      <c r="H14" s="636"/>
    </row>
    <row r="15" spans="1:8" s="320" customFormat="1" ht="18" customHeight="1">
      <c r="A15" s="334" t="s">
        <v>150</v>
      </c>
      <c r="B15" s="552" t="s">
        <v>499</v>
      </c>
      <c r="C15" s="431">
        <v>0</v>
      </c>
      <c r="D15" s="636"/>
      <c r="E15" s="435"/>
      <c r="F15" s="636"/>
      <c r="G15" s="636"/>
      <c r="H15" s="636"/>
    </row>
    <row r="16" spans="1:8" s="309" customFormat="1" ht="18" customHeight="1">
      <c r="A16" s="322" t="s">
        <v>500</v>
      </c>
      <c r="B16" s="555" t="s">
        <v>151</v>
      </c>
      <c r="C16" s="432">
        <v>0</v>
      </c>
      <c r="D16" s="634"/>
      <c r="E16" s="635"/>
      <c r="F16" s="634"/>
      <c r="G16" s="634"/>
      <c r="H16" s="634"/>
    </row>
    <row r="17" spans="1:8" s="309" customFormat="1" ht="18" customHeight="1">
      <c r="A17" s="322" t="s">
        <v>501</v>
      </c>
      <c r="B17" s="555" t="s">
        <v>22</v>
      </c>
      <c r="C17" s="432">
        <v>0</v>
      </c>
      <c r="D17" s="634"/>
      <c r="E17" s="635"/>
      <c r="F17" s="634"/>
      <c r="G17" s="634"/>
      <c r="H17" s="634"/>
    </row>
    <row r="18" spans="1:8" s="309" customFormat="1" ht="18" customHeight="1">
      <c r="A18" s="322"/>
      <c r="B18" s="555" t="s">
        <v>502</v>
      </c>
      <c r="C18" s="433">
        <f>+C7+C10+C11+C16+C17</f>
        <v>1612744921</v>
      </c>
      <c r="D18" s="634"/>
      <c r="E18" s="635"/>
      <c r="F18" s="634"/>
      <c r="G18" s="634"/>
      <c r="H18" s="634"/>
    </row>
    <row r="19" spans="1:8" s="309" customFormat="1" ht="18" customHeight="1">
      <c r="A19" s="322" t="s">
        <v>530</v>
      </c>
      <c r="B19" s="555" t="s">
        <v>503</v>
      </c>
      <c r="C19" s="433">
        <f>C21+C22</f>
        <v>6941923</v>
      </c>
      <c r="D19" s="634"/>
      <c r="E19" s="635"/>
      <c r="F19" s="634"/>
      <c r="G19" s="634"/>
      <c r="H19" s="634"/>
    </row>
    <row r="20" spans="1:8" s="309" customFormat="1" ht="22.5" customHeight="1">
      <c r="A20" s="322" t="s">
        <v>143</v>
      </c>
      <c r="B20" s="555" t="s">
        <v>153</v>
      </c>
      <c r="C20" s="432">
        <v>1679916</v>
      </c>
      <c r="D20" s="634"/>
      <c r="E20" s="635"/>
      <c r="F20" s="634"/>
      <c r="G20" s="634"/>
      <c r="H20" s="634"/>
    </row>
    <row r="21" spans="1:8" s="309" customFormat="1" ht="29.25" customHeight="1">
      <c r="A21" s="322" t="s">
        <v>139</v>
      </c>
      <c r="B21" s="555" t="s">
        <v>33</v>
      </c>
      <c r="C21" s="432">
        <v>6941923</v>
      </c>
      <c r="D21" s="634"/>
      <c r="E21" s="635"/>
      <c r="F21" s="634"/>
      <c r="G21" s="634"/>
      <c r="H21" s="634"/>
    </row>
    <row r="22" spans="1:8" s="309" customFormat="1" ht="22.5" customHeight="1">
      <c r="A22" s="322" t="s">
        <v>141</v>
      </c>
      <c r="B22" s="555" t="s">
        <v>23</v>
      </c>
      <c r="C22" s="432">
        <v>0</v>
      </c>
      <c r="D22" s="634"/>
      <c r="E22" s="635"/>
      <c r="F22" s="634"/>
      <c r="G22" s="634"/>
      <c r="H22" s="634"/>
    </row>
    <row r="23" spans="1:8" s="320" customFormat="1" ht="15" customHeight="1">
      <c r="A23" s="317" t="s">
        <v>504</v>
      </c>
      <c r="B23" s="318" t="s">
        <v>505</v>
      </c>
      <c r="C23" s="316">
        <f>+C18-C19</f>
        <v>1605802998</v>
      </c>
      <c r="D23" s="636"/>
      <c r="E23" s="435"/>
      <c r="F23" s="636"/>
      <c r="G23" s="636"/>
      <c r="H23" s="636"/>
    </row>
    <row r="24" spans="1:8" ht="16.5" customHeight="1">
      <c r="A24" s="314">
        <v>2</v>
      </c>
      <c r="B24" s="321" t="s">
        <v>506</v>
      </c>
      <c r="C24" s="315"/>
    </row>
    <row r="25" spans="1:8" s="320" customFormat="1" ht="18" customHeight="1">
      <c r="A25" s="334" t="s">
        <v>507</v>
      </c>
      <c r="B25" s="552" t="s">
        <v>142</v>
      </c>
      <c r="C25" s="547">
        <f>+C26+C27</f>
        <v>144180</v>
      </c>
      <c r="D25" s="636"/>
      <c r="E25" s="435"/>
      <c r="F25" s="636"/>
      <c r="G25" s="636"/>
      <c r="H25" s="636"/>
    </row>
    <row r="26" spans="1:8" s="320" customFormat="1" ht="18" customHeight="1">
      <c r="A26" s="334" t="s">
        <v>143</v>
      </c>
      <c r="B26" s="552" t="s">
        <v>144</v>
      </c>
      <c r="C26" s="431">
        <v>144180</v>
      </c>
      <c r="D26" s="636"/>
      <c r="E26" s="435"/>
      <c r="F26" s="636"/>
      <c r="G26" s="636"/>
      <c r="H26" s="636"/>
    </row>
    <row r="27" spans="1:8" s="320" customFormat="1" ht="18" customHeight="1">
      <c r="A27" s="334" t="s">
        <v>139</v>
      </c>
      <c r="B27" s="552" t="s">
        <v>145</v>
      </c>
      <c r="C27" s="431">
        <v>0</v>
      </c>
      <c r="D27" s="636"/>
      <c r="E27" s="435"/>
      <c r="F27" s="636"/>
      <c r="G27" s="636"/>
      <c r="H27" s="636"/>
    </row>
    <row r="28" spans="1:8" s="320" customFormat="1" ht="18" customHeight="1">
      <c r="A28" s="334" t="s">
        <v>508</v>
      </c>
      <c r="B28" s="552" t="s">
        <v>509</v>
      </c>
      <c r="C28" s="431">
        <v>0</v>
      </c>
      <c r="D28" s="636"/>
      <c r="E28" s="435"/>
      <c r="F28" s="636"/>
      <c r="G28" s="636"/>
      <c r="H28" s="636"/>
    </row>
    <row r="29" spans="1:8">
      <c r="A29" s="322" t="s">
        <v>510</v>
      </c>
      <c r="B29" s="553" t="s">
        <v>511</v>
      </c>
      <c r="C29" s="347">
        <v>0</v>
      </c>
    </row>
    <row r="30" spans="1:8" s="320" customFormat="1" ht="29.25" customHeight="1">
      <c r="A30" s="334" t="s">
        <v>512</v>
      </c>
      <c r="B30" s="552" t="s">
        <v>32</v>
      </c>
      <c r="C30" s="431">
        <v>0</v>
      </c>
      <c r="D30" s="636"/>
      <c r="E30" s="435"/>
      <c r="F30" s="636"/>
      <c r="G30" s="636"/>
      <c r="H30" s="636"/>
    </row>
    <row r="31" spans="1:8" s="324" customFormat="1">
      <c r="A31" s="323" t="s">
        <v>152</v>
      </c>
      <c r="B31" s="445" t="s">
        <v>513</v>
      </c>
      <c r="C31" s="433">
        <f>+C25+C28+C29+C30</f>
        <v>144180</v>
      </c>
      <c r="D31" s="637"/>
      <c r="E31" s="638"/>
      <c r="F31" s="639"/>
      <c r="G31" s="639"/>
      <c r="H31" s="639"/>
    </row>
    <row r="32" spans="1:8" s="324" customFormat="1" ht="16.5" customHeight="1">
      <c r="A32" s="323" t="s">
        <v>154</v>
      </c>
      <c r="B32" s="591" t="s">
        <v>514</v>
      </c>
      <c r="C32" s="316">
        <f>+C23+C31</f>
        <v>1605947178</v>
      </c>
      <c r="D32" s="639"/>
      <c r="E32" s="638"/>
      <c r="F32" s="639"/>
      <c r="G32" s="639"/>
      <c r="H32" s="639"/>
    </row>
    <row r="33" spans="1:8" s="326" customFormat="1" ht="13.5" customHeight="1">
      <c r="A33" s="325"/>
      <c r="B33" s="325" t="s">
        <v>156</v>
      </c>
      <c r="C33" s="316"/>
      <c r="D33" s="640"/>
      <c r="E33" s="641"/>
      <c r="F33" s="640"/>
      <c r="G33" s="640"/>
      <c r="H33" s="642"/>
    </row>
    <row r="34" spans="1:8" s="320" customFormat="1" ht="18" customHeight="1">
      <c r="A34" s="334" t="s">
        <v>515</v>
      </c>
      <c r="B34" s="552" t="s">
        <v>1239</v>
      </c>
      <c r="C34" s="431">
        <v>6838822</v>
      </c>
      <c r="D34" s="636"/>
      <c r="E34" s="435"/>
      <c r="F34" s="636"/>
      <c r="G34" s="636"/>
      <c r="H34" s="636"/>
    </row>
    <row r="35" spans="1:8" s="320" customFormat="1" ht="25.5">
      <c r="A35" s="334" t="s">
        <v>516</v>
      </c>
      <c r="B35" s="552" t="s">
        <v>37</v>
      </c>
      <c r="C35" s="834">
        <f>IF(Balance!C71&lt;(C43*1.25%),Balance!C71,(C43*1.25%))</f>
        <v>0</v>
      </c>
      <c r="D35" s="636"/>
      <c r="E35" s="435"/>
      <c r="F35" s="636"/>
      <c r="G35" s="636"/>
      <c r="H35" s="636"/>
    </row>
    <row r="36" spans="1:8" s="320" customFormat="1" ht="18" customHeight="1">
      <c r="A36" s="334" t="s">
        <v>517</v>
      </c>
      <c r="B36" s="552" t="s">
        <v>24</v>
      </c>
      <c r="C36" s="431">
        <v>2419898</v>
      </c>
      <c r="D36" s="636"/>
      <c r="E36" s="435"/>
      <c r="F36" s="636"/>
      <c r="G36" s="636"/>
      <c r="H36" s="636"/>
    </row>
    <row r="37" spans="1:8" s="320" customFormat="1" ht="18" customHeight="1">
      <c r="A37" s="334" t="s">
        <v>518</v>
      </c>
      <c r="B37" s="552" t="s">
        <v>519</v>
      </c>
      <c r="C37" s="431">
        <v>0</v>
      </c>
      <c r="D37" s="636"/>
      <c r="E37" s="435"/>
      <c r="F37" s="636"/>
      <c r="G37" s="636"/>
      <c r="H37" s="636"/>
    </row>
    <row r="38" spans="1:8" s="320" customFormat="1" ht="18" customHeight="1">
      <c r="A38" s="334" t="s">
        <v>520</v>
      </c>
      <c r="B38" s="552" t="s">
        <v>25</v>
      </c>
      <c r="C38" s="431">
        <v>0</v>
      </c>
      <c r="D38" s="636"/>
      <c r="E38" s="435"/>
      <c r="F38" s="636"/>
      <c r="G38" s="636"/>
      <c r="H38" s="636"/>
    </row>
    <row r="39" spans="1:8" s="320" customFormat="1" ht="18" customHeight="1">
      <c r="A39" s="334" t="s">
        <v>521</v>
      </c>
      <c r="B39" s="552" t="s">
        <v>157</v>
      </c>
      <c r="C39" s="431">
        <f>IF(C40&lt;(C32/3),0,(C40-C32/3)*-1)</f>
        <v>0</v>
      </c>
      <c r="D39" s="636"/>
      <c r="E39" s="435"/>
      <c r="F39" s="636"/>
      <c r="G39" s="636"/>
      <c r="H39" s="636"/>
    </row>
    <row r="40" spans="1:8" ht="18.75" customHeight="1">
      <c r="A40" s="327"/>
      <c r="B40" s="328" t="s">
        <v>89</v>
      </c>
      <c r="C40" s="316">
        <f>SUM(C34:C38)</f>
        <v>9258720</v>
      </c>
      <c r="D40" s="637"/>
    </row>
    <row r="41" spans="1:8" s="309" customFormat="1" ht="22.5" customHeight="1">
      <c r="A41" s="348" t="s">
        <v>155</v>
      </c>
      <c r="B41" s="329" t="s">
        <v>91</v>
      </c>
      <c r="C41" s="330">
        <f>+C39+C40</f>
        <v>9258720</v>
      </c>
      <c r="D41" s="643"/>
      <c r="E41" s="635"/>
      <c r="F41" s="634"/>
      <c r="G41" s="634"/>
      <c r="H41" s="634"/>
    </row>
    <row r="42" spans="1:8" s="309" customFormat="1" ht="15.75" customHeight="1">
      <c r="A42" s="325" t="s">
        <v>158</v>
      </c>
      <c r="B42" s="329" t="s">
        <v>522</v>
      </c>
      <c r="C42" s="331">
        <f>+C32+C39+C40</f>
        <v>1615205898</v>
      </c>
      <c r="D42" s="643"/>
      <c r="E42" s="635"/>
      <c r="F42" s="634"/>
      <c r="G42" s="634"/>
      <c r="H42" s="634"/>
    </row>
    <row r="43" spans="1:8" s="309" customFormat="1" ht="21.75" customHeight="1">
      <c r="A43" s="325" t="s">
        <v>30</v>
      </c>
      <c r="B43" s="318" t="s">
        <v>523</v>
      </c>
      <c r="C43" s="331">
        <f>+C44+C45+C46</f>
        <v>6807488498.7097769</v>
      </c>
      <c r="D43" s="634"/>
      <c r="E43" s="635"/>
      <c r="F43" s="634"/>
      <c r="G43" s="634"/>
      <c r="H43" s="634"/>
    </row>
    <row r="44" spans="1:8" s="320" customFormat="1" ht="18" customHeight="1">
      <c r="A44" s="334" t="s">
        <v>143</v>
      </c>
      <c r="B44" s="552" t="s">
        <v>38</v>
      </c>
      <c r="C44" s="547">
        <f>+'Calculation of Risk Weighted As'!J78</f>
        <v>6483865961.1999998</v>
      </c>
      <c r="D44" s="636"/>
      <c r="E44" s="435"/>
      <c r="F44" s="636"/>
      <c r="G44" s="636"/>
      <c r="H44" s="636"/>
    </row>
    <row r="45" spans="1:8" s="320" customFormat="1" ht="18" customHeight="1">
      <c r="A45" s="334" t="s">
        <v>139</v>
      </c>
      <c r="B45" s="552" t="s">
        <v>28</v>
      </c>
      <c r="C45" s="547">
        <f>+'Calculation of Risk'!C21</f>
        <v>269713520</v>
      </c>
      <c r="D45" s="636"/>
      <c r="E45" s="435"/>
      <c r="F45" s="636"/>
      <c r="G45" s="636"/>
      <c r="H45" s="636"/>
    </row>
    <row r="46" spans="1:8" s="320" customFormat="1" ht="18" customHeight="1">
      <c r="A46" s="334" t="s">
        <v>141</v>
      </c>
      <c r="B46" s="552" t="s">
        <v>29</v>
      </c>
      <c r="C46" s="547">
        <f>+'Calculation of Risk'!C27</f>
        <v>53909017.509776928</v>
      </c>
      <c r="D46" s="636"/>
      <c r="E46" s="435">
        <f>+'Calculation of Risk'!G11</f>
        <v>10</v>
      </c>
      <c r="F46" s="636"/>
      <c r="G46" s="636"/>
      <c r="H46" s="636"/>
    </row>
    <row r="47" spans="1:8" s="326" customFormat="1" ht="21.75" customHeight="1">
      <c r="A47" s="348" t="s">
        <v>31</v>
      </c>
      <c r="B47" s="349" t="s">
        <v>524</v>
      </c>
      <c r="C47" s="350">
        <f>+C23/C43</f>
        <v>0.23588772838975017</v>
      </c>
      <c r="D47" s="640"/>
      <c r="E47" s="641"/>
      <c r="F47" s="640"/>
      <c r="G47" s="640"/>
      <c r="H47" s="640"/>
    </row>
    <row r="48" spans="1:8" s="326" customFormat="1" ht="21.75" customHeight="1">
      <c r="A48" s="348" t="s">
        <v>159</v>
      </c>
      <c r="B48" s="349" t="s">
        <v>525</v>
      </c>
      <c r="C48" s="350">
        <f>+C32/C43</f>
        <v>0.2359089080068773</v>
      </c>
      <c r="D48" s="640"/>
      <c r="E48" s="641"/>
      <c r="F48" s="640"/>
      <c r="G48" s="640"/>
      <c r="H48" s="640"/>
    </row>
    <row r="49" spans="1:8" s="326" customFormat="1" ht="21.75" customHeight="1">
      <c r="A49" s="348" t="s">
        <v>92</v>
      </c>
      <c r="B49" s="349" t="s">
        <v>526</v>
      </c>
      <c r="C49" s="350">
        <f>+C42/C43</f>
        <v>0.23726898669107263</v>
      </c>
      <c r="D49" s="640"/>
      <c r="E49" s="641"/>
      <c r="F49" s="640"/>
      <c r="G49" s="640"/>
      <c r="H49" s="640"/>
    </row>
    <row r="50" spans="1:8" s="332" customFormat="1" ht="21.75" customHeight="1">
      <c r="A50" s="325" t="s">
        <v>93</v>
      </c>
      <c r="B50" s="318" t="s">
        <v>61</v>
      </c>
      <c r="C50" s="333">
        <f>SUM(C51:C53)-C54</f>
        <v>6739896681</v>
      </c>
      <c r="D50" s="644"/>
      <c r="E50" s="645"/>
      <c r="F50" s="646"/>
      <c r="G50" s="644"/>
      <c r="H50" s="644"/>
    </row>
    <row r="51" spans="1:8" s="337" customFormat="1" ht="21.75" customHeight="1">
      <c r="A51" s="334" t="s">
        <v>143</v>
      </c>
      <c r="B51" s="335" t="s">
        <v>109</v>
      </c>
      <c r="C51" s="336">
        <f>+Balance!C44</f>
        <v>5890272405</v>
      </c>
      <c r="D51" s="647"/>
      <c r="E51" s="648"/>
      <c r="F51" s="649"/>
      <c r="G51" s="647"/>
      <c r="H51" s="647"/>
    </row>
    <row r="52" spans="1:8" s="337" customFormat="1" ht="21.75" customHeight="1">
      <c r="A52" s="334" t="s">
        <v>139</v>
      </c>
      <c r="B52" s="335" t="s">
        <v>527</v>
      </c>
      <c r="C52" s="729">
        <f>SUM('Calculation of Risk Weighted As'!F58:I66)</f>
        <v>856566199</v>
      </c>
      <c r="D52" s="649">
        <f>+'Calculation of Risk Weighted As'!J78</f>
        <v>6483865961.1999998</v>
      </c>
      <c r="E52" s="648"/>
      <c r="F52" s="649"/>
      <c r="G52" s="647"/>
      <c r="H52" s="647"/>
    </row>
    <row r="53" spans="1:8" s="340" customFormat="1" ht="21.75" customHeight="1">
      <c r="A53" s="338" t="s">
        <v>141</v>
      </c>
      <c r="B53" s="339" t="s">
        <v>528</v>
      </c>
      <c r="C53" s="336">
        <f>SUM('Calculation of Risk Weighted As'!J69:J75)</f>
        <v>0</v>
      </c>
      <c r="D53" s="728"/>
      <c r="E53" s="730"/>
      <c r="F53" s="650"/>
      <c r="G53" s="650"/>
      <c r="H53" s="650"/>
    </row>
    <row r="54" spans="1:8" s="340" customFormat="1" ht="21.75" customHeight="1">
      <c r="A54" s="338" t="s">
        <v>150</v>
      </c>
      <c r="B54" s="339" t="s">
        <v>529</v>
      </c>
      <c r="C54" s="453">
        <f>+C19</f>
        <v>6941923</v>
      </c>
      <c r="D54" s="650"/>
      <c r="E54" s="651"/>
      <c r="F54" s="650"/>
      <c r="G54" s="650"/>
      <c r="H54" s="650"/>
    </row>
    <row r="55" spans="1:8" s="326" customFormat="1" ht="21.75" customHeight="1">
      <c r="A55" s="348" t="s">
        <v>94</v>
      </c>
      <c r="B55" s="349" t="s">
        <v>110</v>
      </c>
      <c r="C55" s="350">
        <f>+C32/C50</f>
        <v>0.23827474722679653</v>
      </c>
      <c r="D55" s="640"/>
      <c r="E55" s="641"/>
      <c r="F55" s="640"/>
      <c r="G55" s="640"/>
      <c r="H55" s="640"/>
    </row>
    <row r="56" spans="1:8">
      <c r="B56" s="341"/>
    </row>
    <row r="57" spans="1:8" s="1" customFormat="1">
      <c r="A57" s="121"/>
      <c r="B57" s="8" t="s">
        <v>4</v>
      </c>
      <c r="D57" s="273"/>
      <c r="E57" s="273"/>
      <c r="F57" s="273"/>
      <c r="G57" s="273"/>
      <c r="H57" s="273"/>
    </row>
    <row r="58" spans="1:8" s="1" customFormat="1">
      <c r="A58" s="121"/>
      <c r="B58" s="8"/>
      <c r="D58" s="273"/>
      <c r="E58" s="273"/>
      <c r="F58" s="273"/>
      <c r="G58" s="273"/>
      <c r="H58" s="273"/>
    </row>
    <row r="59" spans="1:8" s="1" customFormat="1">
      <c r="A59" s="121"/>
      <c r="B59" s="8" t="s">
        <v>5</v>
      </c>
      <c r="D59" s="273"/>
      <c r="E59" s="273"/>
      <c r="F59" s="273"/>
      <c r="G59" s="273"/>
      <c r="H59" s="273"/>
    </row>
    <row r="60" spans="1:8">
      <c r="B60" s="343"/>
    </row>
  </sheetData>
  <sheetProtection password="CA76" sheet="1" objects="1" scenarios="1"/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07" customWidth="1"/>
    <col min="2" max="2" width="105.140625" style="307" customWidth="1"/>
    <col min="3" max="3" width="19.7109375" style="342" customWidth="1"/>
    <col min="4" max="4" width="10.28515625" style="632" bestFit="1" customWidth="1"/>
    <col min="5" max="5" width="19.42578125" style="633" bestFit="1" customWidth="1"/>
    <col min="6" max="6" width="9.28515625" style="632" bestFit="1" customWidth="1"/>
    <col min="7" max="7" width="9.140625" style="632"/>
    <col min="8" max="8" width="17.42578125" style="632" bestFit="1" customWidth="1"/>
    <col min="9" max="16384" width="9.140625" style="307"/>
  </cols>
  <sheetData>
    <row r="1" spans="1:8" ht="23.25" customHeight="1">
      <c r="A1" s="1210" t="s">
        <v>1124</v>
      </c>
      <c r="B1" s="1211"/>
      <c r="C1" s="306" t="s">
        <v>1055</v>
      </c>
    </row>
    <row r="2" spans="1:8">
      <c r="A2" s="344"/>
      <c r="B2" s="344"/>
      <c r="C2" s="344"/>
    </row>
    <row r="3" spans="1:8" ht="15.75">
      <c r="A3" s="308"/>
      <c r="B3" s="461" t="str">
        <f>Balance!B3</f>
        <v>АКБ "Микрокредитбанк"</v>
      </c>
      <c r="C3" s="460">
        <f>+Balance!C3</f>
        <v>43829</v>
      </c>
    </row>
    <row r="4" spans="1:8" s="309" customFormat="1" ht="43.5" customHeight="1">
      <c r="A4" s="583" t="s">
        <v>161</v>
      </c>
      <c r="B4" s="583" t="s">
        <v>131</v>
      </c>
      <c r="C4" s="583" t="s">
        <v>21</v>
      </c>
      <c r="D4" s="634"/>
      <c r="E4" s="635"/>
      <c r="F4" s="634"/>
      <c r="G4" s="634"/>
      <c r="H4" s="634"/>
    </row>
    <row r="5" spans="1:8" ht="12.75" customHeight="1">
      <c r="A5" s="508" t="s">
        <v>136</v>
      </c>
      <c r="B5" s="311" t="s">
        <v>490</v>
      </c>
      <c r="C5" s="312"/>
    </row>
    <row r="6" spans="1:8" ht="12.75" customHeight="1">
      <c r="A6" s="310">
        <v>1</v>
      </c>
      <c r="B6" s="311" t="s">
        <v>491</v>
      </c>
      <c r="C6" s="313"/>
    </row>
    <row r="7" spans="1:8" s="320" customFormat="1" ht="18" customHeight="1">
      <c r="A7" s="317" t="s">
        <v>494</v>
      </c>
      <c r="B7" s="318" t="s">
        <v>492</v>
      </c>
      <c r="C7" s="350" t="s">
        <v>458</v>
      </c>
      <c r="D7" s="636"/>
      <c r="E7" s="435"/>
      <c r="F7" s="636"/>
      <c r="G7" s="636"/>
      <c r="H7" s="636"/>
    </row>
    <row r="8" spans="1:8" s="309" customFormat="1" ht="18" customHeight="1">
      <c r="A8" s="327" t="s">
        <v>137</v>
      </c>
      <c r="B8" s="554" t="s">
        <v>138</v>
      </c>
      <c r="C8" s="345"/>
      <c r="D8" s="634"/>
      <c r="E8" s="635"/>
      <c r="F8" s="634"/>
      <c r="G8" s="634"/>
      <c r="H8" s="634"/>
    </row>
    <row r="9" spans="1:8" s="309" customFormat="1" ht="18" customHeight="1">
      <c r="A9" s="327" t="s">
        <v>139</v>
      </c>
      <c r="B9" s="554" t="s">
        <v>140</v>
      </c>
      <c r="C9" s="346"/>
      <c r="D9" s="634"/>
      <c r="E9" s="635"/>
      <c r="F9" s="634"/>
      <c r="G9" s="634"/>
      <c r="H9" s="634"/>
    </row>
    <row r="10" spans="1:8" s="320" customFormat="1" ht="18" customHeight="1">
      <c r="A10" s="317" t="s">
        <v>495</v>
      </c>
      <c r="B10" s="318" t="s">
        <v>493</v>
      </c>
      <c r="C10" s="432">
        <v>0</v>
      </c>
      <c r="D10" s="636"/>
      <c r="E10" s="435"/>
      <c r="F10" s="636"/>
      <c r="G10" s="636"/>
      <c r="H10" s="636"/>
    </row>
    <row r="11" spans="1:8" s="309" customFormat="1" ht="18" customHeight="1">
      <c r="A11" s="327" t="s">
        <v>496</v>
      </c>
      <c r="B11" s="554" t="s">
        <v>497</v>
      </c>
      <c r="C11" s="350" t="s">
        <v>458</v>
      </c>
      <c r="D11" s="634"/>
      <c r="E11" s="635"/>
      <c r="F11" s="634"/>
      <c r="G11" s="634"/>
      <c r="H11" s="634"/>
    </row>
    <row r="12" spans="1:8" s="309" customFormat="1" ht="18" customHeight="1">
      <c r="A12" s="327" t="s">
        <v>143</v>
      </c>
      <c r="B12" s="554" t="s">
        <v>148</v>
      </c>
      <c r="C12" s="434"/>
      <c r="D12" s="634"/>
      <c r="E12" s="635"/>
      <c r="F12" s="634"/>
      <c r="G12" s="634"/>
      <c r="H12" s="634"/>
    </row>
    <row r="13" spans="1:8" s="309" customFormat="1" ht="18" customHeight="1">
      <c r="A13" s="322" t="s">
        <v>139</v>
      </c>
      <c r="B13" s="555" t="s">
        <v>149</v>
      </c>
      <c r="C13" s="434"/>
      <c r="D13" s="634"/>
      <c r="E13" s="635"/>
      <c r="F13" s="634"/>
      <c r="G13" s="634"/>
      <c r="H13" s="634"/>
    </row>
    <row r="14" spans="1:8" s="320" customFormat="1" ht="18" customHeight="1">
      <c r="A14" s="334" t="s">
        <v>141</v>
      </c>
      <c r="B14" s="552" t="s">
        <v>498</v>
      </c>
      <c r="C14" s="431"/>
      <c r="D14" s="636"/>
      <c r="E14" s="435"/>
      <c r="F14" s="636"/>
      <c r="G14" s="636"/>
      <c r="H14" s="636"/>
    </row>
    <row r="15" spans="1:8" s="320" customFormat="1" ht="18" customHeight="1">
      <c r="A15" s="334" t="s">
        <v>150</v>
      </c>
      <c r="B15" s="552" t="s">
        <v>499</v>
      </c>
      <c r="C15" s="431"/>
      <c r="D15" s="636"/>
      <c r="E15" s="435"/>
      <c r="F15" s="636"/>
      <c r="G15" s="636"/>
      <c r="H15" s="636"/>
    </row>
    <row r="16" spans="1:8" s="309" customFormat="1" ht="18" customHeight="1">
      <c r="A16" s="322" t="s">
        <v>500</v>
      </c>
      <c r="B16" s="555" t="s">
        <v>151</v>
      </c>
      <c r="C16" s="432"/>
      <c r="D16" s="634"/>
      <c r="E16" s="635"/>
      <c r="F16" s="634"/>
      <c r="G16" s="634"/>
      <c r="H16" s="634"/>
    </row>
    <row r="17" spans="1:8" s="309" customFormat="1" ht="18" customHeight="1">
      <c r="A17" s="322" t="s">
        <v>501</v>
      </c>
      <c r="B17" s="555" t="s">
        <v>22</v>
      </c>
      <c r="C17" s="432"/>
      <c r="D17" s="634"/>
      <c r="E17" s="635"/>
      <c r="F17" s="634"/>
      <c r="G17" s="634"/>
      <c r="H17" s="634"/>
    </row>
    <row r="18" spans="1:8" s="309" customFormat="1" ht="18" customHeight="1">
      <c r="A18" s="322"/>
      <c r="B18" s="555" t="s">
        <v>502</v>
      </c>
      <c r="C18" s="350" t="s">
        <v>458</v>
      </c>
      <c r="D18" s="634"/>
      <c r="E18" s="635"/>
      <c r="F18" s="634"/>
      <c r="G18" s="634"/>
      <c r="H18" s="634"/>
    </row>
    <row r="19" spans="1:8" s="309" customFormat="1" ht="18" customHeight="1">
      <c r="A19" s="322" t="s">
        <v>530</v>
      </c>
      <c r="B19" s="555" t="s">
        <v>503</v>
      </c>
      <c r="C19" s="350" t="s">
        <v>458</v>
      </c>
      <c r="D19" s="634"/>
      <c r="E19" s="635"/>
      <c r="F19" s="634"/>
      <c r="G19" s="634"/>
      <c r="H19" s="634"/>
    </row>
    <row r="20" spans="1:8" s="320" customFormat="1" ht="18" customHeight="1">
      <c r="A20" s="507" t="s">
        <v>143</v>
      </c>
      <c r="B20" s="1028" t="s">
        <v>153</v>
      </c>
      <c r="C20" s="431"/>
      <c r="D20" s="636"/>
      <c r="E20" s="435"/>
      <c r="F20" s="636"/>
      <c r="G20" s="636"/>
      <c r="H20" s="636"/>
    </row>
    <row r="21" spans="1:8" s="319" customFormat="1" ht="25.5">
      <c r="A21" s="507" t="s">
        <v>139</v>
      </c>
      <c r="B21" s="552" t="s">
        <v>33</v>
      </c>
      <c r="C21" s="431"/>
      <c r="D21" s="636"/>
      <c r="E21" s="435"/>
      <c r="F21" s="636"/>
      <c r="G21" s="636"/>
      <c r="H21" s="636"/>
    </row>
    <row r="22" spans="1:8" s="320" customFormat="1" ht="18" customHeight="1">
      <c r="A22" s="507" t="s">
        <v>141</v>
      </c>
      <c r="B22" s="552" t="s">
        <v>23</v>
      </c>
      <c r="C22" s="431"/>
      <c r="D22" s="636"/>
      <c r="E22" s="435"/>
      <c r="F22" s="636"/>
      <c r="G22" s="636"/>
      <c r="H22" s="636"/>
    </row>
    <row r="23" spans="1:8" s="320" customFormat="1" ht="15" customHeight="1">
      <c r="A23" s="317" t="s">
        <v>504</v>
      </c>
      <c r="B23" s="318" t="s">
        <v>505</v>
      </c>
      <c r="C23" s="350" t="s">
        <v>458</v>
      </c>
      <c r="D23" s="636"/>
      <c r="E23" s="435"/>
      <c r="F23" s="636"/>
      <c r="G23" s="636"/>
      <c r="H23" s="636"/>
    </row>
    <row r="24" spans="1:8" ht="16.5" customHeight="1">
      <c r="A24" s="314">
        <v>2</v>
      </c>
      <c r="B24" s="321" t="s">
        <v>506</v>
      </c>
      <c r="C24" s="315"/>
    </row>
    <row r="25" spans="1:8" s="320" customFormat="1" ht="18" customHeight="1">
      <c r="A25" s="334" t="s">
        <v>507</v>
      </c>
      <c r="B25" s="552" t="s">
        <v>142</v>
      </c>
      <c r="C25" s="547">
        <f>+C26+C27</f>
        <v>0</v>
      </c>
      <c r="D25" s="636"/>
      <c r="E25" s="435"/>
      <c r="F25" s="636"/>
      <c r="G25" s="636"/>
      <c r="H25" s="636"/>
    </row>
    <row r="26" spans="1:8" s="320" customFormat="1" ht="18" customHeight="1">
      <c r="A26" s="334" t="s">
        <v>143</v>
      </c>
      <c r="B26" s="552" t="s">
        <v>144</v>
      </c>
      <c r="C26" s="431"/>
      <c r="D26" s="636"/>
      <c r="E26" s="435"/>
      <c r="F26" s="636"/>
      <c r="G26" s="636"/>
      <c r="H26" s="636"/>
    </row>
    <row r="27" spans="1:8" s="320" customFormat="1" ht="18" customHeight="1">
      <c r="A27" s="334" t="s">
        <v>139</v>
      </c>
      <c r="B27" s="552" t="s">
        <v>145</v>
      </c>
      <c r="C27" s="431"/>
      <c r="D27" s="636"/>
      <c r="E27" s="435"/>
      <c r="F27" s="636"/>
      <c r="G27" s="636"/>
      <c r="H27" s="636"/>
    </row>
    <row r="28" spans="1:8" s="320" customFormat="1" ht="18" customHeight="1">
      <c r="A28" s="334" t="s">
        <v>508</v>
      </c>
      <c r="B28" s="552" t="s">
        <v>509</v>
      </c>
      <c r="C28" s="431">
        <v>0</v>
      </c>
      <c r="D28" s="636"/>
      <c r="E28" s="435"/>
      <c r="F28" s="636"/>
      <c r="G28" s="636"/>
      <c r="H28" s="636"/>
    </row>
    <row r="29" spans="1:8">
      <c r="A29" s="322" t="s">
        <v>510</v>
      </c>
      <c r="B29" s="553" t="s">
        <v>511</v>
      </c>
      <c r="C29" s="347">
        <v>0</v>
      </c>
    </row>
    <row r="30" spans="1:8" s="320" customFormat="1" ht="29.25" customHeight="1">
      <c r="A30" s="334" t="s">
        <v>512</v>
      </c>
      <c r="B30" s="552" t="s">
        <v>32</v>
      </c>
      <c r="C30" s="431">
        <v>0</v>
      </c>
      <c r="D30" s="636"/>
      <c r="E30" s="435"/>
      <c r="F30" s="636"/>
      <c r="G30" s="636"/>
      <c r="H30" s="636"/>
    </row>
    <row r="31" spans="1:8" s="324" customFormat="1">
      <c r="A31" s="323" t="s">
        <v>152</v>
      </c>
      <c r="B31" s="445" t="s">
        <v>513</v>
      </c>
      <c r="C31" s="433">
        <f>+C25+C28+C29+C30</f>
        <v>0</v>
      </c>
      <c r="D31" s="637"/>
      <c r="E31" s="638"/>
      <c r="F31" s="639"/>
      <c r="G31" s="639"/>
      <c r="H31" s="639"/>
    </row>
    <row r="32" spans="1:8" s="324" customFormat="1" ht="16.5" customHeight="1">
      <c r="A32" s="323" t="s">
        <v>154</v>
      </c>
      <c r="B32" s="591" t="s">
        <v>514</v>
      </c>
      <c r="C32" s="350" t="s">
        <v>458</v>
      </c>
      <c r="D32" s="639"/>
      <c r="E32" s="638"/>
      <c r="F32" s="639"/>
      <c r="G32" s="639"/>
      <c r="H32" s="639"/>
    </row>
    <row r="33" spans="1:8" s="326" customFormat="1" ht="13.5" customHeight="1">
      <c r="A33" s="325"/>
      <c r="B33" s="325" t="s">
        <v>156</v>
      </c>
      <c r="C33" s="316"/>
      <c r="D33" s="640"/>
      <c r="E33" s="641"/>
      <c r="F33" s="640"/>
      <c r="G33" s="640"/>
      <c r="H33" s="642"/>
    </row>
    <row r="34" spans="1:8" s="320" customFormat="1" ht="18" customHeight="1">
      <c r="A34" s="334" t="s">
        <v>515</v>
      </c>
      <c r="B34" s="1007" t="s">
        <v>1239</v>
      </c>
      <c r="C34" s="431"/>
      <c r="D34" s="636"/>
      <c r="E34" s="435"/>
      <c r="F34" s="636"/>
      <c r="G34" s="636"/>
      <c r="H34" s="636"/>
    </row>
    <row r="35" spans="1:8" s="320" customFormat="1" ht="25.5">
      <c r="A35" s="334" t="s">
        <v>516</v>
      </c>
      <c r="B35" s="552" t="s">
        <v>37</v>
      </c>
      <c r="C35" s="834">
        <f>IF(Balance!C71&lt;(C43*1.25%),Balance!C71,(C43*1.25%))</f>
        <v>0</v>
      </c>
      <c r="D35" s="636"/>
      <c r="E35" s="435"/>
      <c r="F35" s="636"/>
      <c r="G35" s="636"/>
      <c r="H35" s="636"/>
    </row>
    <row r="36" spans="1:8" s="320" customFormat="1" ht="18" customHeight="1">
      <c r="A36" s="334" t="s">
        <v>517</v>
      </c>
      <c r="B36" s="552" t="s">
        <v>24</v>
      </c>
      <c r="C36" s="431"/>
      <c r="D36" s="636"/>
      <c r="E36" s="435"/>
      <c r="F36" s="636"/>
      <c r="G36" s="636"/>
      <c r="H36" s="636"/>
    </row>
    <row r="37" spans="1:8" s="320" customFormat="1" ht="18" customHeight="1">
      <c r="A37" s="334" t="s">
        <v>518</v>
      </c>
      <c r="B37" s="552" t="s">
        <v>519</v>
      </c>
      <c r="C37" s="431"/>
      <c r="D37" s="636"/>
      <c r="E37" s="435"/>
      <c r="F37" s="636"/>
      <c r="G37" s="636"/>
      <c r="H37" s="636"/>
    </row>
    <row r="38" spans="1:8" s="320" customFormat="1" ht="18" customHeight="1">
      <c r="A38" s="334" t="s">
        <v>520</v>
      </c>
      <c r="B38" s="552" t="s">
        <v>25</v>
      </c>
      <c r="C38" s="431"/>
      <c r="D38" s="636"/>
      <c r="E38" s="435"/>
      <c r="F38" s="636"/>
      <c r="G38" s="636"/>
      <c r="H38" s="636"/>
    </row>
    <row r="39" spans="1:8" s="320" customFormat="1" ht="18" customHeight="1">
      <c r="A39" s="334" t="s">
        <v>521</v>
      </c>
      <c r="B39" s="552" t="s">
        <v>157</v>
      </c>
      <c r="C39" s="350" t="s">
        <v>458</v>
      </c>
      <c r="D39" s="636"/>
      <c r="E39" s="435"/>
      <c r="F39" s="636"/>
      <c r="G39" s="636"/>
      <c r="H39" s="636"/>
    </row>
    <row r="40" spans="1:8" ht="18.75" customHeight="1">
      <c r="A40" s="327"/>
      <c r="B40" s="328" t="s">
        <v>89</v>
      </c>
      <c r="C40" s="316">
        <f>SUM(C34:C38)</f>
        <v>0</v>
      </c>
      <c r="D40" s="637"/>
    </row>
    <row r="41" spans="1:8" s="309" customFormat="1" ht="22.5" customHeight="1">
      <c r="A41" s="348" t="s">
        <v>155</v>
      </c>
      <c r="B41" s="329" t="s">
        <v>91</v>
      </c>
      <c r="C41" s="350" t="s">
        <v>458</v>
      </c>
      <c r="D41" s="643"/>
      <c r="E41" s="635"/>
      <c r="F41" s="634"/>
      <c r="G41" s="634"/>
      <c r="H41" s="634"/>
    </row>
    <row r="42" spans="1:8" s="309" customFormat="1" ht="15.75" customHeight="1">
      <c r="A42" s="325" t="s">
        <v>158</v>
      </c>
      <c r="B42" s="329" t="s">
        <v>522</v>
      </c>
      <c r="C42" s="350" t="s">
        <v>458</v>
      </c>
      <c r="D42" s="643"/>
      <c r="E42" s="635"/>
      <c r="F42" s="634"/>
      <c r="G42" s="634"/>
      <c r="H42" s="634"/>
    </row>
    <row r="43" spans="1:8" s="309" customFormat="1" ht="21.75" customHeight="1">
      <c r="A43" s="325" t="s">
        <v>30</v>
      </c>
      <c r="B43" s="318" t="s">
        <v>523</v>
      </c>
      <c r="C43" s="331">
        <f>+C44+C45+C46</f>
        <v>6807488498.7097769</v>
      </c>
      <c r="D43" s="634"/>
      <c r="E43" s="635"/>
      <c r="F43" s="634"/>
      <c r="G43" s="634"/>
      <c r="H43" s="634"/>
    </row>
    <row r="44" spans="1:8" s="320" customFormat="1" ht="18" customHeight="1">
      <c r="A44" s="334" t="s">
        <v>143</v>
      </c>
      <c r="B44" s="552" t="s">
        <v>38</v>
      </c>
      <c r="C44" s="547">
        <f>+'Calculation of Risk Weighted As'!J78</f>
        <v>6483865961.1999998</v>
      </c>
      <c r="D44" s="636"/>
      <c r="E44" s="435"/>
      <c r="F44" s="636"/>
      <c r="G44" s="636"/>
      <c r="H44" s="636"/>
    </row>
    <row r="45" spans="1:8" s="320" customFormat="1" ht="18" customHeight="1">
      <c r="A45" s="334" t="s">
        <v>139</v>
      </c>
      <c r="B45" s="552" t="s">
        <v>28</v>
      </c>
      <c r="C45" s="547">
        <f>+'Calculation of Risk'!C21</f>
        <v>269713520</v>
      </c>
      <c r="D45" s="636"/>
      <c r="E45" s="435"/>
      <c r="F45" s="636"/>
      <c r="G45" s="636"/>
      <c r="H45" s="636"/>
    </row>
    <row r="46" spans="1:8" s="320" customFormat="1" ht="18" customHeight="1">
      <c r="A46" s="334" t="s">
        <v>141</v>
      </c>
      <c r="B46" s="552" t="s">
        <v>29</v>
      </c>
      <c r="C46" s="547">
        <f>+'Calculation of Risk'!C27</f>
        <v>53909017.509776928</v>
      </c>
      <c r="D46" s="636"/>
      <c r="E46" s="435">
        <f>+'Calculation of Risk'!G11</f>
        <v>10</v>
      </c>
      <c r="F46" s="636"/>
      <c r="G46" s="636"/>
      <c r="H46" s="636"/>
    </row>
    <row r="47" spans="1:8" s="326" customFormat="1" ht="21.75" customHeight="1">
      <c r="A47" s="348" t="s">
        <v>31</v>
      </c>
      <c r="B47" s="349" t="s">
        <v>524</v>
      </c>
      <c r="C47" s="350" t="s">
        <v>458</v>
      </c>
      <c r="D47" s="640"/>
      <c r="E47" s="641"/>
      <c r="F47" s="640"/>
      <c r="G47" s="640"/>
      <c r="H47" s="640"/>
    </row>
    <row r="48" spans="1:8" s="326" customFormat="1" ht="21.75" customHeight="1">
      <c r="A48" s="348" t="s">
        <v>159</v>
      </c>
      <c r="B48" s="349" t="s">
        <v>525</v>
      </c>
      <c r="C48" s="350" t="s">
        <v>458</v>
      </c>
      <c r="D48" s="640"/>
      <c r="E48" s="641"/>
      <c r="F48" s="640"/>
      <c r="G48" s="640"/>
      <c r="H48" s="640"/>
    </row>
    <row r="49" spans="1:8" s="326" customFormat="1" ht="21.75" customHeight="1">
      <c r="A49" s="348" t="s">
        <v>92</v>
      </c>
      <c r="B49" s="349" t="s">
        <v>526</v>
      </c>
      <c r="C49" s="350" t="s">
        <v>458</v>
      </c>
      <c r="D49" s="640"/>
      <c r="E49" s="641"/>
      <c r="F49" s="640"/>
      <c r="G49" s="640"/>
      <c r="H49" s="640"/>
    </row>
    <row r="50" spans="1:8" s="332" customFormat="1" ht="21.75" customHeight="1">
      <c r="A50" s="325" t="s">
        <v>93</v>
      </c>
      <c r="B50" s="318" t="s">
        <v>61</v>
      </c>
      <c r="C50" s="350" t="s">
        <v>458</v>
      </c>
      <c r="D50" s="644"/>
      <c r="E50" s="645"/>
      <c r="F50" s="646"/>
      <c r="G50" s="644"/>
      <c r="H50" s="644"/>
    </row>
    <row r="51" spans="1:8" s="337" customFormat="1" ht="21.75" customHeight="1">
      <c r="A51" s="334" t="s">
        <v>143</v>
      </c>
      <c r="B51" s="335" t="s">
        <v>109</v>
      </c>
      <c r="C51" s="336">
        <f>+Balance!C44</f>
        <v>5890272405</v>
      </c>
      <c r="D51" s="647"/>
      <c r="E51" s="648"/>
      <c r="F51" s="649"/>
      <c r="G51" s="647"/>
      <c r="H51" s="647"/>
    </row>
    <row r="52" spans="1:8" s="337" customFormat="1" ht="21.75" customHeight="1">
      <c r="A52" s="334" t="s">
        <v>139</v>
      </c>
      <c r="B52" s="335" t="s">
        <v>527</v>
      </c>
      <c r="C52" s="729">
        <f>SUM('Calculation of Risk Weighted As'!F58:I66)</f>
        <v>856566199</v>
      </c>
      <c r="D52" s="649">
        <f>+'Calculation of Risk Weighted As'!J78</f>
        <v>6483865961.1999998</v>
      </c>
      <c r="E52" s="648"/>
      <c r="F52" s="649"/>
      <c r="G52" s="647"/>
      <c r="H52" s="647"/>
    </row>
    <row r="53" spans="1:8" s="340" customFormat="1" ht="21.75" customHeight="1">
      <c r="A53" s="338" t="s">
        <v>141</v>
      </c>
      <c r="B53" s="339" t="s">
        <v>528</v>
      </c>
      <c r="C53" s="731">
        <f>SUM('Calculation of Risk Weighted As'!J69:J75)</f>
        <v>0</v>
      </c>
      <c r="D53" s="728"/>
      <c r="E53" s="730"/>
      <c r="F53" s="650"/>
      <c r="G53" s="650"/>
      <c r="H53" s="650"/>
    </row>
    <row r="54" spans="1:8" s="340" customFormat="1" ht="21.75" customHeight="1">
      <c r="A54" s="338" t="s">
        <v>150</v>
      </c>
      <c r="B54" s="339" t="s">
        <v>529</v>
      </c>
      <c r="C54" s="453" t="str">
        <f>+C19</f>
        <v>Формула</v>
      </c>
      <c r="D54" s="650"/>
      <c r="E54" s="651"/>
      <c r="F54" s="650"/>
      <c r="G54" s="650"/>
      <c r="H54" s="650"/>
    </row>
    <row r="55" spans="1:8" s="326" customFormat="1" ht="21.75" customHeight="1">
      <c r="A55" s="348" t="s">
        <v>94</v>
      </c>
      <c r="B55" s="349" t="s">
        <v>110</v>
      </c>
      <c r="C55" s="350" t="s">
        <v>458</v>
      </c>
      <c r="D55" s="640"/>
      <c r="E55" s="641"/>
      <c r="F55" s="640"/>
      <c r="G55" s="640"/>
      <c r="H55" s="640"/>
    </row>
    <row r="56" spans="1:8">
      <c r="B56" s="341"/>
    </row>
    <row r="57" spans="1:8" s="1" customFormat="1">
      <c r="A57" s="121"/>
      <c r="B57" s="8" t="s">
        <v>4</v>
      </c>
      <c r="D57" s="273"/>
      <c r="E57" s="273"/>
      <c r="F57" s="273"/>
      <c r="G57" s="273"/>
      <c r="H57" s="273"/>
    </row>
    <row r="58" spans="1:8" s="1" customFormat="1">
      <c r="A58" s="121"/>
      <c r="B58" s="8"/>
      <c r="D58" s="273"/>
      <c r="E58" s="273"/>
      <c r="F58" s="273"/>
      <c r="G58" s="273"/>
      <c r="H58" s="273"/>
    </row>
    <row r="59" spans="1:8" s="1" customFormat="1">
      <c r="A59" s="121"/>
      <c r="B59" s="8" t="s">
        <v>5</v>
      </c>
      <c r="D59" s="273"/>
      <c r="E59" s="273"/>
      <c r="F59" s="273"/>
      <c r="G59" s="273"/>
      <c r="H59" s="273"/>
    </row>
    <row r="60" spans="1:8">
      <c r="B60" s="343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5">
    <pageSetUpPr fitToPage="1"/>
  </sheetPr>
  <dimension ref="A1:IV82"/>
  <sheetViews>
    <sheetView view="pageBreakPreview" zoomScaleNormal="85" zoomScaleSheetLayoutView="100" workbookViewId="0">
      <pane xSplit="2" ySplit="6" topLeftCell="C55" activePane="bottomRight" state="frozen"/>
      <selection activeCell="B3" sqref="B3"/>
      <selection pane="topRight" activeCell="B3" sqref="B3"/>
      <selection pane="bottomLeft" activeCell="B3" sqref="B3"/>
      <selection pane="bottomRight" activeCell="I65" sqref="I65"/>
    </sheetView>
  </sheetViews>
  <sheetFormatPr defaultRowHeight="12.75"/>
  <cols>
    <col min="1" max="1" width="5.42578125" style="1105" customWidth="1"/>
    <col min="2" max="2" width="67" style="863" customWidth="1"/>
    <col min="3" max="3" width="12.5703125" style="863" customWidth="1"/>
    <col min="4" max="5" width="14.7109375" style="863" customWidth="1"/>
    <col min="6" max="9" width="15.28515625" style="863" customWidth="1"/>
    <col min="10" max="10" width="13" style="1104" customWidth="1"/>
    <col min="11" max="13" width="16.42578125" style="1098" customWidth="1"/>
    <col min="14" max="16" width="10.28515625" style="1098" customWidth="1"/>
    <col min="17" max="20" width="9.140625" style="1099"/>
    <col min="21" max="16384" width="9.140625" style="863"/>
  </cols>
  <sheetData>
    <row r="1" spans="1:20" ht="26.25" customHeight="1">
      <c r="A1" s="1235" t="s">
        <v>160</v>
      </c>
      <c r="B1" s="1235"/>
      <c r="C1" s="1235"/>
      <c r="D1" s="1235"/>
      <c r="E1" s="1235"/>
      <c r="F1" s="1235"/>
      <c r="G1" s="1235"/>
      <c r="H1" s="1235"/>
      <c r="I1" s="1216" t="s">
        <v>1066</v>
      </c>
      <c r="J1" s="1216"/>
    </row>
    <row r="2" spans="1:20">
      <c r="A2" s="1100"/>
      <c r="B2" s="1101"/>
      <c r="C2" s="1102"/>
      <c r="F2" s="1103"/>
      <c r="G2" s="1103"/>
      <c r="H2" s="1103"/>
      <c r="I2" s="1102"/>
    </row>
    <row r="3" spans="1:20" ht="16.5" thickBot="1">
      <c r="B3" s="1106" t="str">
        <f>Balance!B3</f>
        <v>АКБ "Микрокредитбанк"</v>
      </c>
      <c r="D3" s="1102"/>
      <c r="E3" s="1102"/>
      <c r="G3" s="1234">
        <f>+Balance!C3</f>
        <v>43829</v>
      </c>
      <c r="H3" s="1234"/>
      <c r="J3" s="1107" t="str">
        <f>+Balance!E3</f>
        <v>тыс. сум</v>
      </c>
      <c r="K3" s="1104"/>
    </row>
    <row r="4" spans="1:20">
      <c r="A4" s="1217" t="s">
        <v>161</v>
      </c>
      <c r="B4" s="1219" t="s">
        <v>131</v>
      </c>
      <c r="C4" s="1108">
        <v>0</v>
      </c>
      <c r="D4" s="1108">
        <v>0.2</v>
      </c>
      <c r="E4" s="1108">
        <v>0.3</v>
      </c>
      <c r="F4" s="1108">
        <v>0.5</v>
      </c>
      <c r="G4" s="1108">
        <v>1</v>
      </c>
      <c r="H4" s="1108">
        <v>1.5</v>
      </c>
      <c r="I4" s="1108">
        <v>2</v>
      </c>
      <c r="J4" s="1109">
        <v>3</v>
      </c>
      <c r="K4" s="1110"/>
      <c r="L4" s="1104"/>
    </row>
    <row r="5" spans="1:20" ht="20.25" customHeight="1">
      <c r="A5" s="1218"/>
      <c r="B5" s="1220"/>
      <c r="C5" s="1111" t="s">
        <v>162</v>
      </c>
      <c r="D5" s="1111" t="s">
        <v>162</v>
      </c>
      <c r="E5" s="1111" t="s">
        <v>162</v>
      </c>
      <c r="F5" s="1111" t="s">
        <v>162</v>
      </c>
      <c r="G5" s="1111" t="s">
        <v>162</v>
      </c>
      <c r="H5" s="1111" t="s">
        <v>162</v>
      </c>
      <c r="I5" s="1111" t="s">
        <v>162</v>
      </c>
      <c r="J5" s="1112" t="s">
        <v>162</v>
      </c>
      <c r="L5" s="1104"/>
    </row>
    <row r="6" spans="1:20">
      <c r="A6" s="1113"/>
      <c r="B6" s="1114" t="s">
        <v>132</v>
      </c>
      <c r="C6" s="1114" t="s">
        <v>133</v>
      </c>
      <c r="D6" s="1114" t="s">
        <v>134</v>
      </c>
      <c r="E6" s="1114" t="s">
        <v>135</v>
      </c>
      <c r="F6" s="1114" t="s">
        <v>163</v>
      </c>
      <c r="G6" s="1114" t="s">
        <v>164</v>
      </c>
      <c r="H6" s="1114" t="s">
        <v>187</v>
      </c>
      <c r="I6" s="1114" t="s">
        <v>235</v>
      </c>
      <c r="J6" s="1114" t="s">
        <v>236</v>
      </c>
      <c r="L6" s="1104"/>
    </row>
    <row r="7" spans="1:20">
      <c r="A7" s="1113"/>
      <c r="B7" s="1115" t="s">
        <v>165</v>
      </c>
      <c r="C7" s="1116"/>
      <c r="D7" s="1116"/>
      <c r="E7" s="1116"/>
      <c r="F7" s="1116"/>
      <c r="G7" s="1116"/>
      <c r="H7" s="1116"/>
      <c r="I7" s="1116"/>
      <c r="J7" s="1117"/>
      <c r="L7" s="1104"/>
    </row>
    <row r="8" spans="1:20" s="858" customFormat="1">
      <c r="A8" s="1113" t="s">
        <v>166</v>
      </c>
      <c r="B8" s="1118" t="s">
        <v>167</v>
      </c>
      <c r="C8" s="198">
        <v>159937550</v>
      </c>
      <c r="D8" s="855"/>
      <c r="E8" s="855"/>
      <c r="F8" s="855"/>
      <c r="G8" s="855"/>
      <c r="H8" s="855"/>
      <c r="I8" s="855"/>
      <c r="J8" s="861"/>
      <c r="K8" s="853"/>
      <c r="L8" s="854"/>
      <c r="M8" s="859"/>
      <c r="N8" s="859"/>
      <c r="O8" s="859"/>
      <c r="P8" s="859"/>
      <c r="Q8" s="1119"/>
      <c r="R8" s="1119"/>
      <c r="S8" s="1119"/>
      <c r="T8" s="1119"/>
    </row>
    <row r="9" spans="1:20" s="858" customFormat="1">
      <c r="A9" s="1113" t="s">
        <v>397</v>
      </c>
      <c r="B9" s="1118" t="s">
        <v>168</v>
      </c>
      <c r="C9" s="855"/>
      <c r="D9" s="198">
        <v>13274201</v>
      </c>
      <c r="E9" s="855"/>
      <c r="F9" s="855"/>
      <c r="G9" s="855"/>
      <c r="H9" s="855"/>
      <c r="I9" s="855"/>
      <c r="J9" s="861"/>
      <c r="K9" s="853"/>
      <c r="L9" s="854"/>
      <c r="M9" s="859"/>
      <c r="N9" s="859"/>
      <c r="O9" s="859"/>
      <c r="P9" s="859"/>
      <c r="Q9" s="1119"/>
      <c r="R9" s="1119"/>
      <c r="S9" s="1119"/>
      <c r="T9" s="1119"/>
    </row>
    <row r="10" spans="1:20" s="858" customFormat="1">
      <c r="A10" s="1113" t="s">
        <v>398</v>
      </c>
      <c r="B10" s="1118" t="s">
        <v>169</v>
      </c>
      <c r="C10" s="551">
        <f>+Balance!D6</f>
        <v>119493320</v>
      </c>
      <c r="D10" s="551">
        <f>+Balance!E6</f>
        <v>21084460</v>
      </c>
      <c r="E10" s="855"/>
      <c r="F10" s="855"/>
      <c r="G10" s="855"/>
      <c r="H10" s="855"/>
      <c r="I10" s="855"/>
      <c r="J10" s="861"/>
      <c r="K10" s="853"/>
      <c r="L10" s="854"/>
      <c r="M10" s="859"/>
      <c r="N10" s="859"/>
      <c r="O10" s="859"/>
      <c r="P10" s="859"/>
      <c r="Q10" s="1119"/>
      <c r="R10" s="1119"/>
      <c r="S10" s="1119"/>
      <c r="T10" s="1119"/>
    </row>
    <row r="11" spans="1:20" s="858" customFormat="1" ht="17.25" customHeight="1">
      <c r="A11" s="1113" t="s">
        <v>400</v>
      </c>
      <c r="B11" s="1118" t="s">
        <v>1289</v>
      </c>
      <c r="C11" s="855"/>
      <c r="D11" s="198"/>
      <c r="E11" s="198"/>
      <c r="F11" s="198"/>
      <c r="G11" s="200">
        <v>309855</v>
      </c>
      <c r="H11" s="198">
        <v>453228477</v>
      </c>
      <c r="I11" s="855"/>
      <c r="J11" s="861"/>
      <c r="K11" s="853"/>
      <c r="L11" s="854"/>
      <c r="M11" s="859"/>
      <c r="N11" s="859"/>
      <c r="O11" s="859"/>
      <c r="P11" s="859"/>
      <c r="Q11" s="1119"/>
      <c r="R11" s="1119"/>
      <c r="S11" s="1119"/>
      <c r="T11" s="1119"/>
    </row>
    <row r="12" spans="1:20" s="858" customFormat="1">
      <c r="A12" s="1113" t="s">
        <v>402</v>
      </c>
      <c r="B12" s="1118" t="s">
        <v>171</v>
      </c>
      <c r="C12" s="855"/>
      <c r="D12" s="855"/>
      <c r="E12" s="855"/>
      <c r="F12" s="855"/>
      <c r="G12" s="855"/>
      <c r="H12" s="855"/>
      <c r="I12" s="855"/>
      <c r="J12" s="861"/>
      <c r="K12" s="1120"/>
      <c r="L12" s="1121"/>
    </row>
    <row r="13" spans="1:20" s="858" customFormat="1">
      <c r="A13" s="1113" t="s">
        <v>42</v>
      </c>
      <c r="B13" s="1118" t="s">
        <v>172</v>
      </c>
      <c r="C13" s="198">
        <v>109174000</v>
      </c>
      <c r="D13" s="855"/>
      <c r="E13" s="855"/>
      <c r="F13" s="855"/>
      <c r="G13" s="855"/>
      <c r="H13" s="855"/>
      <c r="I13" s="855"/>
      <c r="J13" s="861"/>
      <c r="K13" s="1120"/>
      <c r="L13" s="1121"/>
    </row>
    <row r="14" spans="1:20" s="858" customFormat="1" ht="42" customHeight="1">
      <c r="A14" s="1113" t="s">
        <v>43</v>
      </c>
      <c r="B14" s="1118" t="s">
        <v>129</v>
      </c>
      <c r="C14" s="198"/>
      <c r="D14" s="855"/>
      <c r="E14" s="855"/>
      <c r="F14" s="855"/>
      <c r="G14" s="855"/>
      <c r="H14" s="855"/>
      <c r="I14" s="855"/>
      <c r="J14" s="861"/>
      <c r="K14" s="1120"/>
      <c r="L14" s="1121"/>
    </row>
    <row r="15" spans="1:20" s="858" customFormat="1">
      <c r="A15" s="1113" t="s">
        <v>73</v>
      </c>
      <c r="B15" s="1118" t="s">
        <v>783</v>
      </c>
      <c r="C15" s="855"/>
      <c r="D15" s="198"/>
      <c r="E15" s="855"/>
      <c r="F15" s="198"/>
      <c r="G15" s="855"/>
      <c r="H15" s="855"/>
      <c r="I15" s="855"/>
      <c r="J15" s="861"/>
      <c r="K15" s="1120"/>
      <c r="L15" s="1121"/>
    </row>
    <row r="16" spans="1:20" s="858" customFormat="1">
      <c r="A16" s="1113" t="s">
        <v>74</v>
      </c>
      <c r="B16" s="1118" t="s">
        <v>173</v>
      </c>
      <c r="C16" s="198"/>
      <c r="D16" s="855"/>
      <c r="E16" s="855"/>
      <c r="F16" s="855"/>
      <c r="G16" s="200">
        <v>10402827</v>
      </c>
      <c r="H16" s="855"/>
      <c r="I16" s="855"/>
      <c r="J16" s="861"/>
      <c r="K16" s="1120"/>
      <c r="L16" s="1121"/>
    </row>
    <row r="17" spans="1:256" s="858" customFormat="1" ht="25.5">
      <c r="A17" s="1113" t="s">
        <v>404</v>
      </c>
      <c r="B17" s="1122" t="s">
        <v>98</v>
      </c>
      <c r="C17" s="884"/>
      <c r="D17" s="855"/>
      <c r="E17" s="855"/>
      <c r="F17" s="855"/>
      <c r="G17" s="855"/>
      <c r="H17" s="855"/>
      <c r="I17" s="855"/>
      <c r="J17" s="861"/>
      <c r="K17" s="1120"/>
      <c r="L17" s="1121"/>
    </row>
    <row r="18" spans="1:256" s="858" customFormat="1" ht="42" customHeight="1">
      <c r="A18" s="1113" t="s">
        <v>406</v>
      </c>
      <c r="B18" s="1118" t="s">
        <v>121</v>
      </c>
      <c r="C18" s="855"/>
      <c r="D18" s="198"/>
      <c r="E18" s="855"/>
      <c r="F18" s="855"/>
      <c r="G18" s="855"/>
      <c r="H18" s="855"/>
      <c r="I18" s="855"/>
      <c r="J18" s="861"/>
      <c r="K18" s="1120"/>
      <c r="L18" s="1121"/>
    </row>
    <row r="19" spans="1:256" s="858" customFormat="1" ht="25.5">
      <c r="A19" s="1113" t="s">
        <v>408</v>
      </c>
      <c r="B19" s="1118" t="s">
        <v>111</v>
      </c>
      <c r="C19" s="855"/>
      <c r="D19" s="198"/>
      <c r="E19" s="855"/>
      <c r="F19" s="198"/>
      <c r="G19" s="855"/>
      <c r="H19" s="855"/>
      <c r="I19" s="855"/>
      <c r="J19" s="861"/>
      <c r="K19" s="1120"/>
      <c r="L19" s="1121"/>
    </row>
    <row r="20" spans="1:256" s="858" customFormat="1" ht="25.5">
      <c r="A20" s="1113" t="s">
        <v>410</v>
      </c>
      <c r="B20" s="1118" t="s">
        <v>1131</v>
      </c>
      <c r="C20" s="198"/>
      <c r="D20" s="1142"/>
      <c r="E20" s="855"/>
      <c r="F20" s="855"/>
      <c r="G20" s="855"/>
      <c r="H20" s="855"/>
      <c r="I20" s="855"/>
      <c r="J20" s="861"/>
      <c r="K20" s="1120"/>
      <c r="L20" s="1121"/>
    </row>
    <row r="21" spans="1:256" s="858" customFormat="1" ht="38.25">
      <c r="A21" s="1113" t="s">
        <v>451</v>
      </c>
      <c r="B21" s="1118" t="s">
        <v>112</v>
      </c>
      <c r="C21" s="855"/>
      <c r="D21" s="198"/>
      <c r="E21" s="855"/>
      <c r="F21" s="855"/>
      <c r="G21" s="855"/>
      <c r="H21" s="855"/>
      <c r="I21" s="855"/>
      <c r="J21" s="861"/>
      <c r="K21" s="1120"/>
      <c r="L21" s="1121"/>
    </row>
    <row r="22" spans="1:256" s="858" customFormat="1">
      <c r="A22" s="1113" t="s">
        <v>453</v>
      </c>
      <c r="B22" s="1118" t="s">
        <v>174</v>
      </c>
      <c r="C22" s="855"/>
      <c r="D22" s="855"/>
      <c r="E22" s="855"/>
      <c r="F22" s="855"/>
      <c r="G22" s="855"/>
      <c r="H22" s="855"/>
      <c r="I22" s="855"/>
      <c r="J22" s="861"/>
      <c r="K22" s="1120"/>
      <c r="L22" s="1121"/>
    </row>
    <row r="23" spans="1:256" s="858" customFormat="1" ht="25.5">
      <c r="A23" s="1113" t="s">
        <v>42</v>
      </c>
      <c r="B23" s="1118" t="s">
        <v>39</v>
      </c>
      <c r="C23" s="198">
        <v>0</v>
      </c>
      <c r="D23" s="198">
        <v>0</v>
      </c>
      <c r="E23" s="855"/>
      <c r="F23" s="855"/>
      <c r="G23" s="855"/>
      <c r="H23" s="855"/>
      <c r="I23" s="855"/>
      <c r="J23" s="861"/>
      <c r="K23" s="1120"/>
      <c r="L23" s="1121"/>
    </row>
    <row r="24" spans="1:256" s="858" customFormat="1">
      <c r="A24" s="1113" t="s">
        <v>43</v>
      </c>
      <c r="B24" s="1118" t="s">
        <v>1145</v>
      </c>
      <c r="C24" s="198">
        <v>0</v>
      </c>
      <c r="D24" s="855"/>
      <c r="E24" s="855"/>
      <c r="F24" s="855"/>
      <c r="G24" s="855"/>
      <c r="H24" s="855"/>
      <c r="I24" s="855"/>
      <c r="J24" s="861"/>
      <c r="K24" s="1120"/>
      <c r="L24" s="1121"/>
    </row>
    <row r="25" spans="1:256" s="858" customFormat="1" ht="54" customHeight="1">
      <c r="A25" s="1113" t="s">
        <v>73</v>
      </c>
      <c r="B25" s="1118" t="s">
        <v>122</v>
      </c>
      <c r="C25" s="855"/>
      <c r="D25" s="198">
        <v>0</v>
      </c>
      <c r="E25" s="855"/>
      <c r="F25" s="855"/>
      <c r="G25" s="855"/>
      <c r="H25" s="855"/>
      <c r="I25" s="855"/>
      <c r="J25" s="861"/>
      <c r="K25" s="1120"/>
      <c r="L25" s="1121"/>
    </row>
    <row r="26" spans="1:256" s="858" customFormat="1" ht="25.5">
      <c r="A26" s="1113" t="s">
        <v>74</v>
      </c>
      <c r="B26" s="1118" t="s">
        <v>123</v>
      </c>
      <c r="C26" s="855"/>
      <c r="D26" s="855"/>
      <c r="E26" s="855"/>
      <c r="F26" s="198">
        <v>66552554</v>
      </c>
      <c r="G26" s="855"/>
      <c r="H26" s="855"/>
      <c r="I26" s="855"/>
      <c r="J26" s="861"/>
      <c r="K26" s="1120"/>
      <c r="L26" s="1121"/>
    </row>
    <row r="27" spans="1:256" s="858" customFormat="1" ht="17.25" customHeight="1">
      <c r="A27" s="1113" t="s">
        <v>75</v>
      </c>
      <c r="B27" s="1118" t="s">
        <v>35</v>
      </c>
      <c r="C27" s="855"/>
      <c r="D27" s="855"/>
      <c r="E27" s="855"/>
      <c r="F27" s="855"/>
      <c r="G27" s="198">
        <v>129827087</v>
      </c>
      <c r="H27" s="855"/>
      <c r="I27" s="855"/>
      <c r="J27" s="861"/>
      <c r="K27" s="1120"/>
      <c r="L27" s="1121"/>
    </row>
    <row r="28" spans="1:256" s="858" customFormat="1" ht="17.25" customHeight="1">
      <c r="A28" s="1113" t="s">
        <v>78</v>
      </c>
      <c r="B28" s="1118" t="s">
        <v>36</v>
      </c>
      <c r="C28" s="855"/>
      <c r="D28" s="855"/>
      <c r="E28" s="855"/>
      <c r="F28" s="855"/>
      <c r="G28" s="198">
        <v>0</v>
      </c>
      <c r="H28" s="855"/>
      <c r="I28" s="855"/>
      <c r="J28" s="861"/>
      <c r="K28" s="1120"/>
      <c r="L28" s="1121"/>
    </row>
    <row r="29" spans="1:256" s="858" customFormat="1" ht="17.25" customHeight="1">
      <c r="A29" s="1113" t="s">
        <v>79</v>
      </c>
      <c r="B29" s="1118" t="s">
        <v>90</v>
      </c>
      <c r="C29" s="855"/>
      <c r="D29" s="855"/>
      <c r="E29" s="855"/>
      <c r="F29" s="855"/>
      <c r="G29" s="855"/>
      <c r="H29" s="198">
        <v>0</v>
      </c>
      <c r="I29" s="855"/>
      <c r="J29" s="861"/>
      <c r="K29" s="1120"/>
      <c r="L29" s="1121"/>
    </row>
    <row r="30" spans="1:256" s="1123" customFormat="1" ht="20.25" customHeight="1">
      <c r="A30" s="1113" t="s">
        <v>784</v>
      </c>
      <c r="B30" s="1118" t="s">
        <v>1194</v>
      </c>
      <c r="C30" s="855"/>
      <c r="D30" s="855"/>
      <c r="E30" s="855"/>
      <c r="F30" s="855"/>
      <c r="G30" s="198">
        <v>2152157</v>
      </c>
      <c r="H30" s="198">
        <v>91403487</v>
      </c>
      <c r="I30" s="198">
        <v>56603467</v>
      </c>
      <c r="J30" s="1006">
        <v>16031679</v>
      </c>
      <c r="K30" s="1120"/>
      <c r="L30" s="1121"/>
      <c r="M30" s="858"/>
      <c r="N30" s="858"/>
      <c r="O30" s="858"/>
      <c r="P30" s="858"/>
      <c r="Q30" s="858"/>
      <c r="R30" s="858"/>
      <c r="S30" s="858"/>
      <c r="T30" s="858"/>
      <c r="U30" s="858"/>
      <c r="V30" s="858"/>
      <c r="W30" s="858"/>
      <c r="X30" s="858"/>
      <c r="Y30" s="858"/>
      <c r="Z30" s="858"/>
      <c r="AA30" s="858"/>
      <c r="AB30" s="858"/>
      <c r="AC30" s="858"/>
      <c r="AD30" s="858"/>
      <c r="AE30" s="858"/>
      <c r="AF30" s="858"/>
      <c r="AG30" s="858"/>
      <c r="AH30" s="858"/>
      <c r="AI30" s="858"/>
      <c r="AJ30" s="858"/>
      <c r="AK30" s="858"/>
      <c r="AL30" s="858"/>
      <c r="AM30" s="858"/>
      <c r="AN30" s="858"/>
      <c r="AO30" s="858"/>
      <c r="AP30" s="858"/>
      <c r="AQ30" s="858"/>
      <c r="AR30" s="858"/>
      <c r="AS30" s="858"/>
      <c r="AT30" s="858"/>
      <c r="AU30" s="858"/>
      <c r="AV30" s="858"/>
      <c r="AW30" s="858"/>
      <c r="AX30" s="858"/>
      <c r="AY30" s="858"/>
      <c r="AZ30" s="858"/>
      <c r="BA30" s="858"/>
      <c r="BB30" s="858"/>
      <c r="BC30" s="858"/>
      <c r="BD30" s="858"/>
      <c r="BE30" s="858"/>
      <c r="BF30" s="858"/>
      <c r="BG30" s="858"/>
      <c r="BH30" s="858"/>
      <c r="BI30" s="858"/>
      <c r="BJ30" s="858"/>
      <c r="BK30" s="858"/>
      <c r="BL30" s="858"/>
      <c r="BM30" s="858"/>
      <c r="BN30" s="858"/>
      <c r="BO30" s="858"/>
      <c r="BP30" s="858"/>
      <c r="BQ30" s="858"/>
      <c r="BR30" s="858"/>
      <c r="BS30" s="858"/>
      <c r="BT30" s="858"/>
      <c r="BU30" s="858"/>
      <c r="BV30" s="858"/>
      <c r="BW30" s="858"/>
      <c r="BX30" s="858"/>
      <c r="BY30" s="858"/>
      <c r="BZ30" s="858"/>
      <c r="CA30" s="858"/>
      <c r="CB30" s="858"/>
      <c r="CC30" s="858"/>
      <c r="CD30" s="858"/>
      <c r="CE30" s="858"/>
      <c r="CF30" s="858"/>
      <c r="CG30" s="858"/>
      <c r="CH30" s="858"/>
      <c r="CI30" s="858"/>
      <c r="CJ30" s="858"/>
      <c r="CK30" s="858"/>
      <c r="CL30" s="858"/>
      <c r="CM30" s="858"/>
      <c r="CN30" s="858"/>
      <c r="CO30" s="858"/>
      <c r="CP30" s="858"/>
      <c r="CQ30" s="858"/>
      <c r="CR30" s="858"/>
      <c r="CS30" s="858"/>
      <c r="CT30" s="858"/>
      <c r="CU30" s="858"/>
      <c r="CV30" s="858"/>
      <c r="CW30" s="858"/>
      <c r="CX30" s="858"/>
      <c r="CY30" s="858"/>
      <c r="CZ30" s="858"/>
      <c r="DA30" s="858"/>
      <c r="DB30" s="858"/>
      <c r="DC30" s="858"/>
      <c r="DD30" s="858"/>
      <c r="DE30" s="858"/>
      <c r="DF30" s="858"/>
      <c r="DG30" s="858"/>
      <c r="DH30" s="858"/>
      <c r="DI30" s="858"/>
      <c r="DJ30" s="858"/>
      <c r="DK30" s="858"/>
      <c r="DL30" s="858"/>
      <c r="DM30" s="858"/>
      <c r="DN30" s="858"/>
      <c r="DO30" s="858"/>
      <c r="DP30" s="858"/>
      <c r="DQ30" s="858"/>
      <c r="DR30" s="858"/>
      <c r="DS30" s="858"/>
      <c r="DT30" s="858"/>
      <c r="DU30" s="858"/>
      <c r="DV30" s="858"/>
      <c r="DW30" s="858"/>
      <c r="DX30" s="858"/>
      <c r="DY30" s="858"/>
      <c r="DZ30" s="858"/>
      <c r="EA30" s="858"/>
      <c r="EB30" s="858"/>
      <c r="EC30" s="858"/>
      <c r="ED30" s="858"/>
      <c r="EE30" s="858"/>
      <c r="EF30" s="858"/>
      <c r="EG30" s="858"/>
      <c r="EH30" s="858"/>
      <c r="EI30" s="858"/>
      <c r="EJ30" s="858"/>
      <c r="EK30" s="858"/>
      <c r="EL30" s="858"/>
      <c r="EM30" s="858"/>
      <c r="EN30" s="858"/>
      <c r="EO30" s="858"/>
      <c r="EP30" s="858"/>
      <c r="EQ30" s="858"/>
      <c r="ER30" s="858"/>
      <c r="ES30" s="858"/>
      <c r="ET30" s="858"/>
      <c r="EU30" s="858"/>
      <c r="EV30" s="858"/>
      <c r="EW30" s="858"/>
      <c r="EX30" s="858"/>
      <c r="EY30" s="858"/>
      <c r="EZ30" s="858"/>
      <c r="FA30" s="858"/>
      <c r="FB30" s="858"/>
      <c r="FC30" s="858"/>
      <c r="FD30" s="858"/>
      <c r="FE30" s="858"/>
      <c r="FF30" s="858"/>
      <c r="FG30" s="858"/>
      <c r="FH30" s="858"/>
      <c r="FI30" s="858"/>
      <c r="FJ30" s="858"/>
      <c r="FK30" s="858"/>
      <c r="FL30" s="858"/>
      <c r="FM30" s="858"/>
      <c r="FN30" s="858"/>
      <c r="FO30" s="858"/>
      <c r="FP30" s="858"/>
      <c r="FQ30" s="858"/>
      <c r="FR30" s="858"/>
      <c r="FS30" s="858"/>
      <c r="FT30" s="858"/>
      <c r="FU30" s="858"/>
      <c r="FV30" s="858"/>
      <c r="FW30" s="858"/>
      <c r="FX30" s="858"/>
      <c r="FY30" s="858"/>
      <c r="FZ30" s="858"/>
      <c r="GA30" s="858"/>
      <c r="GB30" s="858"/>
      <c r="GC30" s="858"/>
      <c r="GD30" s="858"/>
      <c r="GE30" s="858"/>
      <c r="GF30" s="858"/>
      <c r="GG30" s="858"/>
      <c r="GH30" s="858"/>
      <c r="GI30" s="858"/>
      <c r="GJ30" s="858"/>
      <c r="GK30" s="858"/>
      <c r="GL30" s="858"/>
      <c r="GM30" s="858"/>
      <c r="GN30" s="858"/>
      <c r="GO30" s="858"/>
      <c r="GP30" s="858"/>
      <c r="GQ30" s="858"/>
      <c r="GR30" s="858"/>
      <c r="GS30" s="858"/>
      <c r="GT30" s="858"/>
      <c r="GU30" s="858"/>
      <c r="GV30" s="858"/>
      <c r="GW30" s="858"/>
      <c r="GX30" s="858"/>
      <c r="GY30" s="858"/>
      <c r="GZ30" s="858"/>
      <c r="HA30" s="858"/>
      <c r="HB30" s="858"/>
      <c r="HC30" s="858"/>
      <c r="HD30" s="858"/>
      <c r="HE30" s="858"/>
      <c r="HF30" s="858"/>
      <c r="HG30" s="858"/>
      <c r="HH30" s="858"/>
      <c r="HI30" s="858"/>
      <c r="HJ30" s="858"/>
      <c r="HK30" s="858"/>
      <c r="HL30" s="858"/>
      <c r="HM30" s="858"/>
      <c r="HN30" s="858"/>
      <c r="HO30" s="858"/>
      <c r="HP30" s="858"/>
      <c r="HQ30" s="858"/>
      <c r="HR30" s="858"/>
      <c r="HS30" s="858"/>
      <c r="HT30" s="858"/>
      <c r="HU30" s="858"/>
      <c r="HV30" s="858"/>
      <c r="HW30" s="858"/>
      <c r="HX30" s="858"/>
      <c r="HY30" s="858"/>
      <c r="HZ30" s="858"/>
      <c r="IA30" s="858"/>
      <c r="IB30" s="858"/>
      <c r="IC30" s="858"/>
      <c r="ID30" s="858"/>
      <c r="IE30" s="858"/>
      <c r="IF30" s="858"/>
      <c r="IG30" s="858"/>
      <c r="IH30" s="858"/>
      <c r="II30" s="858"/>
      <c r="IJ30" s="858"/>
      <c r="IK30" s="858"/>
      <c r="IL30" s="858"/>
      <c r="IM30" s="858"/>
      <c r="IN30" s="858"/>
      <c r="IO30" s="858"/>
      <c r="IP30" s="858"/>
      <c r="IQ30" s="858"/>
      <c r="IR30" s="858"/>
      <c r="IS30" s="858"/>
      <c r="IT30" s="858"/>
      <c r="IU30" s="858"/>
      <c r="IV30" s="858"/>
    </row>
    <row r="31" spans="1:256" s="1123" customFormat="1" ht="20.25" customHeight="1">
      <c r="A31" s="1113" t="s">
        <v>1187</v>
      </c>
      <c r="B31" s="1118" t="s">
        <v>1192</v>
      </c>
      <c r="C31" s="855"/>
      <c r="D31" s="855"/>
      <c r="E31" s="855"/>
      <c r="F31" s="855"/>
      <c r="G31" s="855"/>
      <c r="H31" s="855"/>
      <c r="I31" s="855"/>
      <c r="J31" s="1006">
        <v>65055525</v>
      </c>
      <c r="K31" s="853"/>
      <c r="L31" s="854"/>
      <c r="M31" s="859"/>
      <c r="N31" s="859"/>
      <c r="O31" s="859"/>
      <c r="P31" s="859"/>
      <c r="Q31" s="1119"/>
      <c r="R31" s="1119"/>
      <c r="S31" s="1119"/>
      <c r="T31" s="1119"/>
      <c r="U31" s="858"/>
      <c r="V31" s="858"/>
      <c r="W31" s="858"/>
      <c r="X31" s="858"/>
      <c r="Y31" s="858"/>
      <c r="Z31" s="858"/>
      <c r="AA31" s="858"/>
      <c r="AB31" s="858"/>
      <c r="AC31" s="858"/>
      <c r="AD31" s="858"/>
      <c r="AE31" s="858"/>
      <c r="AF31" s="858"/>
      <c r="AG31" s="858"/>
      <c r="AH31" s="858"/>
      <c r="AI31" s="858"/>
      <c r="AJ31" s="858"/>
      <c r="AK31" s="858"/>
      <c r="AL31" s="858"/>
      <c r="AM31" s="858"/>
      <c r="AN31" s="858"/>
      <c r="AO31" s="858"/>
      <c r="AP31" s="858"/>
      <c r="AQ31" s="858"/>
      <c r="AR31" s="858"/>
      <c r="AS31" s="858"/>
      <c r="AT31" s="858"/>
      <c r="AU31" s="858"/>
      <c r="AV31" s="858"/>
      <c r="AW31" s="858"/>
      <c r="AX31" s="858"/>
      <c r="AY31" s="858"/>
      <c r="AZ31" s="858"/>
      <c r="BA31" s="858"/>
      <c r="BB31" s="858"/>
      <c r="BC31" s="858"/>
      <c r="BD31" s="858"/>
      <c r="BE31" s="858"/>
      <c r="BF31" s="858"/>
      <c r="BG31" s="858"/>
      <c r="BH31" s="858"/>
      <c r="BI31" s="858"/>
      <c r="BJ31" s="858"/>
      <c r="BK31" s="858"/>
      <c r="BL31" s="858"/>
      <c r="BM31" s="858"/>
      <c r="BN31" s="858"/>
      <c r="BO31" s="858"/>
      <c r="BP31" s="858"/>
      <c r="BQ31" s="858"/>
      <c r="BR31" s="858"/>
      <c r="BS31" s="858"/>
      <c r="BT31" s="858"/>
      <c r="BU31" s="858"/>
      <c r="BV31" s="858"/>
      <c r="BW31" s="858"/>
      <c r="BX31" s="858"/>
      <c r="BY31" s="858"/>
      <c r="BZ31" s="858"/>
      <c r="CA31" s="858"/>
      <c r="CB31" s="858"/>
      <c r="CC31" s="858"/>
      <c r="CD31" s="858"/>
      <c r="CE31" s="858"/>
      <c r="CF31" s="858"/>
      <c r="CG31" s="858"/>
      <c r="CH31" s="858"/>
      <c r="CI31" s="858"/>
      <c r="CJ31" s="858"/>
      <c r="CK31" s="858"/>
      <c r="CL31" s="858"/>
      <c r="CM31" s="858"/>
      <c r="CN31" s="858"/>
      <c r="CO31" s="858"/>
      <c r="CP31" s="858"/>
      <c r="CQ31" s="858"/>
      <c r="CR31" s="858"/>
      <c r="CS31" s="858"/>
      <c r="CT31" s="858"/>
      <c r="CU31" s="858"/>
      <c r="CV31" s="858"/>
      <c r="CW31" s="858"/>
      <c r="CX31" s="858"/>
      <c r="CY31" s="858"/>
      <c r="CZ31" s="858"/>
      <c r="DA31" s="858"/>
      <c r="DB31" s="858"/>
      <c r="DC31" s="858"/>
      <c r="DD31" s="858"/>
      <c r="DE31" s="858"/>
      <c r="DF31" s="858"/>
      <c r="DG31" s="858"/>
      <c r="DH31" s="858"/>
      <c r="DI31" s="858"/>
      <c r="DJ31" s="858"/>
      <c r="DK31" s="858"/>
      <c r="DL31" s="858"/>
      <c r="DM31" s="858"/>
      <c r="DN31" s="858"/>
      <c r="DO31" s="858"/>
      <c r="DP31" s="858"/>
      <c r="DQ31" s="858"/>
      <c r="DR31" s="858"/>
      <c r="DS31" s="858"/>
      <c r="DT31" s="858"/>
      <c r="DU31" s="858"/>
      <c r="DV31" s="858"/>
      <c r="DW31" s="858"/>
      <c r="DX31" s="858"/>
      <c r="DY31" s="858"/>
      <c r="DZ31" s="858"/>
      <c r="EA31" s="858"/>
      <c r="EB31" s="858"/>
      <c r="EC31" s="858"/>
      <c r="ED31" s="858"/>
      <c r="EE31" s="858"/>
      <c r="EF31" s="858"/>
      <c r="EG31" s="858"/>
      <c r="EH31" s="858"/>
      <c r="EI31" s="858"/>
      <c r="EJ31" s="858"/>
      <c r="EK31" s="858"/>
      <c r="EL31" s="858"/>
      <c r="EM31" s="858"/>
      <c r="EN31" s="858"/>
      <c r="EO31" s="858"/>
      <c r="EP31" s="858"/>
      <c r="EQ31" s="858"/>
      <c r="ER31" s="858"/>
      <c r="ES31" s="858"/>
      <c r="ET31" s="858"/>
      <c r="EU31" s="858"/>
      <c r="EV31" s="858"/>
      <c r="EW31" s="858"/>
      <c r="EX31" s="858"/>
      <c r="EY31" s="858"/>
      <c r="EZ31" s="858"/>
      <c r="FA31" s="858"/>
      <c r="FB31" s="858"/>
      <c r="FC31" s="858"/>
      <c r="FD31" s="858"/>
      <c r="FE31" s="858"/>
      <c r="FF31" s="858"/>
      <c r="FG31" s="858"/>
      <c r="FH31" s="858"/>
      <c r="FI31" s="858"/>
      <c r="FJ31" s="858"/>
      <c r="FK31" s="858"/>
      <c r="FL31" s="858"/>
      <c r="FM31" s="858"/>
      <c r="FN31" s="858"/>
      <c r="FO31" s="858"/>
      <c r="FP31" s="858"/>
      <c r="FQ31" s="858"/>
      <c r="FR31" s="858"/>
      <c r="FS31" s="858"/>
      <c r="FT31" s="858"/>
      <c r="FU31" s="858"/>
      <c r="FV31" s="858"/>
      <c r="FW31" s="858"/>
      <c r="FX31" s="858"/>
      <c r="FY31" s="858"/>
      <c r="FZ31" s="858"/>
      <c r="GA31" s="858"/>
      <c r="GB31" s="858"/>
      <c r="GC31" s="858"/>
      <c r="GD31" s="858"/>
      <c r="GE31" s="858"/>
      <c r="GF31" s="858"/>
      <c r="GG31" s="858"/>
      <c r="GH31" s="858"/>
      <c r="GI31" s="858"/>
      <c r="GJ31" s="858"/>
      <c r="GK31" s="858"/>
      <c r="GL31" s="858"/>
      <c r="GM31" s="858"/>
      <c r="GN31" s="858"/>
      <c r="GO31" s="858"/>
      <c r="GP31" s="858"/>
      <c r="GQ31" s="858"/>
      <c r="GR31" s="858"/>
      <c r="GS31" s="858"/>
      <c r="GT31" s="858"/>
      <c r="GU31" s="858"/>
      <c r="GV31" s="858"/>
      <c r="GW31" s="858"/>
      <c r="GX31" s="858"/>
      <c r="GY31" s="858"/>
      <c r="GZ31" s="858"/>
      <c r="HA31" s="858"/>
      <c r="HB31" s="858"/>
      <c r="HC31" s="858"/>
      <c r="HD31" s="858"/>
      <c r="HE31" s="858"/>
      <c r="HF31" s="858"/>
      <c r="HG31" s="858"/>
      <c r="HH31" s="858"/>
      <c r="HI31" s="858"/>
      <c r="HJ31" s="858"/>
      <c r="HK31" s="858"/>
      <c r="HL31" s="858"/>
      <c r="HM31" s="858"/>
      <c r="HN31" s="858"/>
      <c r="HO31" s="858"/>
      <c r="HP31" s="858"/>
      <c r="HQ31" s="858"/>
      <c r="HR31" s="858"/>
      <c r="HS31" s="858"/>
      <c r="HT31" s="858"/>
      <c r="HU31" s="858"/>
      <c r="HV31" s="858"/>
      <c r="HW31" s="858"/>
      <c r="HX31" s="858"/>
      <c r="HY31" s="858"/>
      <c r="HZ31" s="858"/>
      <c r="IA31" s="858"/>
      <c r="IB31" s="858"/>
      <c r="IC31" s="858"/>
      <c r="ID31" s="858"/>
      <c r="IE31" s="858"/>
      <c r="IF31" s="858"/>
      <c r="IG31" s="858"/>
      <c r="IH31" s="858"/>
      <c r="II31" s="858"/>
      <c r="IJ31" s="858"/>
      <c r="IK31" s="858"/>
      <c r="IL31" s="858"/>
      <c r="IM31" s="858"/>
      <c r="IN31" s="858"/>
      <c r="IO31" s="858"/>
      <c r="IP31" s="858"/>
      <c r="IQ31" s="858"/>
      <c r="IR31" s="858"/>
      <c r="IS31" s="858"/>
      <c r="IT31" s="858"/>
      <c r="IU31" s="858"/>
      <c r="IV31" s="858"/>
    </row>
    <row r="32" spans="1:256" s="1123" customFormat="1" ht="20.25" customHeight="1">
      <c r="A32" s="1124" t="s">
        <v>1193</v>
      </c>
      <c r="B32" s="1118" t="s">
        <v>1303</v>
      </c>
      <c r="C32" s="855"/>
      <c r="D32" s="855"/>
      <c r="E32" s="855"/>
      <c r="F32" s="855"/>
      <c r="G32" s="198">
        <v>4227795</v>
      </c>
      <c r="H32" s="198">
        <v>43981306</v>
      </c>
      <c r="I32" s="198">
        <v>32208912</v>
      </c>
      <c r="J32" s="1006">
        <v>138898</v>
      </c>
      <c r="K32" s="1120"/>
      <c r="L32" s="1121"/>
      <c r="M32" s="858"/>
      <c r="N32" s="858"/>
      <c r="O32" s="858"/>
      <c r="P32" s="858"/>
      <c r="Q32" s="858"/>
      <c r="R32" s="858"/>
      <c r="S32" s="858"/>
      <c r="T32" s="858"/>
      <c r="U32" s="858"/>
      <c r="V32" s="858"/>
      <c r="W32" s="858"/>
      <c r="X32" s="858"/>
      <c r="Y32" s="858"/>
      <c r="Z32" s="858"/>
      <c r="AA32" s="858"/>
      <c r="AB32" s="858"/>
      <c r="AC32" s="858"/>
      <c r="AD32" s="858"/>
      <c r="AE32" s="858"/>
      <c r="AF32" s="858"/>
      <c r="AG32" s="858"/>
      <c r="AH32" s="858"/>
      <c r="AI32" s="858"/>
      <c r="AJ32" s="858"/>
      <c r="AK32" s="858"/>
      <c r="AL32" s="858"/>
      <c r="AM32" s="858"/>
      <c r="AN32" s="858"/>
      <c r="AO32" s="858"/>
      <c r="AP32" s="858"/>
      <c r="AQ32" s="858"/>
      <c r="AR32" s="858"/>
      <c r="AS32" s="858"/>
      <c r="AT32" s="858"/>
      <c r="AU32" s="858"/>
      <c r="AV32" s="858"/>
      <c r="AW32" s="858"/>
      <c r="AX32" s="858"/>
      <c r="AY32" s="858"/>
      <c r="AZ32" s="858"/>
      <c r="BA32" s="858"/>
      <c r="BB32" s="858"/>
      <c r="BC32" s="858"/>
      <c r="BD32" s="858"/>
      <c r="BE32" s="858"/>
      <c r="BF32" s="858"/>
      <c r="BG32" s="858"/>
      <c r="BH32" s="858"/>
      <c r="BI32" s="858"/>
      <c r="BJ32" s="858"/>
      <c r="BK32" s="858"/>
      <c r="BL32" s="858"/>
      <c r="BM32" s="858"/>
      <c r="BN32" s="858"/>
      <c r="BO32" s="858"/>
      <c r="BP32" s="858"/>
      <c r="BQ32" s="858"/>
      <c r="BR32" s="858"/>
      <c r="BS32" s="858"/>
      <c r="BT32" s="858"/>
      <c r="BU32" s="858"/>
      <c r="BV32" s="858"/>
      <c r="BW32" s="858"/>
      <c r="BX32" s="858"/>
      <c r="BY32" s="858"/>
      <c r="BZ32" s="858"/>
      <c r="CA32" s="858"/>
      <c r="CB32" s="858"/>
      <c r="CC32" s="858"/>
      <c r="CD32" s="858"/>
      <c r="CE32" s="858"/>
      <c r="CF32" s="858"/>
      <c r="CG32" s="858"/>
      <c r="CH32" s="858"/>
      <c r="CI32" s="858"/>
      <c r="CJ32" s="858"/>
      <c r="CK32" s="858"/>
      <c r="CL32" s="858"/>
      <c r="CM32" s="858"/>
      <c r="CN32" s="858"/>
      <c r="CO32" s="858"/>
      <c r="CP32" s="858"/>
      <c r="CQ32" s="858"/>
      <c r="CR32" s="858"/>
      <c r="CS32" s="858"/>
      <c r="CT32" s="858"/>
      <c r="CU32" s="858"/>
      <c r="CV32" s="858"/>
      <c r="CW32" s="858"/>
      <c r="CX32" s="858"/>
      <c r="CY32" s="858"/>
      <c r="CZ32" s="858"/>
      <c r="DA32" s="858"/>
      <c r="DB32" s="858"/>
      <c r="DC32" s="858"/>
      <c r="DD32" s="858"/>
      <c r="DE32" s="858"/>
      <c r="DF32" s="858"/>
      <c r="DG32" s="858"/>
      <c r="DH32" s="858"/>
      <c r="DI32" s="858"/>
      <c r="DJ32" s="858"/>
      <c r="DK32" s="858"/>
      <c r="DL32" s="858"/>
      <c r="DM32" s="858"/>
      <c r="DN32" s="858"/>
      <c r="DO32" s="858"/>
      <c r="DP32" s="858"/>
      <c r="DQ32" s="858"/>
      <c r="DR32" s="858"/>
      <c r="DS32" s="858"/>
      <c r="DT32" s="858"/>
      <c r="DU32" s="858"/>
      <c r="DV32" s="858"/>
      <c r="DW32" s="858"/>
      <c r="DX32" s="858"/>
      <c r="DY32" s="858"/>
      <c r="DZ32" s="858"/>
      <c r="EA32" s="858"/>
      <c r="EB32" s="858"/>
      <c r="EC32" s="858"/>
      <c r="ED32" s="858"/>
      <c r="EE32" s="858"/>
      <c r="EF32" s="858"/>
      <c r="EG32" s="858"/>
      <c r="EH32" s="858"/>
      <c r="EI32" s="858"/>
      <c r="EJ32" s="858"/>
      <c r="EK32" s="858"/>
      <c r="EL32" s="858"/>
      <c r="EM32" s="858"/>
      <c r="EN32" s="858"/>
      <c r="EO32" s="858"/>
      <c r="EP32" s="858"/>
      <c r="EQ32" s="858"/>
      <c r="ER32" s="858"/>
      <c r="ES32" s="858"/>
      <c r="ET32" s="858"/>
      <c r="EU32" s="858"/>
      <c r="EV32" s="858"/>
      <c r="EW32" s="858"/>
      <c r="EX32" s="858"/>
      <c r="EY32" s="858"/>
      <c r="EZ32" s="858"/>
      <c r="FA32" s="858"/>
      <c r="FB32" s="858"/>
      <c r="FC32" s="858"/>
      <c r="FD32" s="858"/>
      <c r="FE32" s="858"/>
      <c r="FF32" s="858"/>
      <c r="FG32" s="858"/>
      <c r="FH32" s="858"/>
      <c r="FI32" s="858"/>
      <c r="FJ32" s="858"/>
      <c r="FK32" s="858"/>
      <c r="FL32" s="858"/>
      <c r="FM32" s="858"/>
      <c r="FN32" s="858"/>
      <c r="FO32" s="858"/>
      <c r="FP32" s="858"/>
      <c r="FQ32" s="858"/>
      <c r="FR32" s="858"/>
      <c r="FS32" s="858"/>
      <c r="FT32" s="858"/>
      <c r="FU32" s="858"/>
      <c r="FV32" s="858"/>
      <c r="FW32" s="858"/>
      <c r="FX32" s="858"/>
      <c r="FY32" s="858"/>
      <c r="FZ32" s="858"/>
      <c r="GA32" s="858"/>
      <c r="GB32" s="858"/>
      <c r="GC32" s="858"/>
      <c r="GD32" s="858"/>
      <c r="GE32" s="858"/>
      <c r="GF32" s="858"/>
      <c r="GG32" s="858"/>
      <c r="GH32" s="858"/>
      <c r="GI32" s="858"/>
      <c r="GJ32" s="858"/>
      <c r="GK32" s="858"/>
      <c r="GL32" s="858"/>
      <c r="GM32" s="858"/>
      <c r="GN32" s="858"/>
      <c r="GO32" s="858"/>
      <c r="GP32" s="858"/>
      <c r="GQ32" s="858"/>
      <c r="GR32" s="858"/>
      <c r="GS32" s="858"/>
      <c r="GT32" s="858"/>
      <c r="GU32" s="858"/>
      <c r="GV32" s="858"/>
      <c r="GW32" s="858"/>
      <c r="GX32" s="858"/>
      <c r="GY32" s="858"/>
      <c r="GZ32" s="858"/>
      <c r="HA32" s="858"/>
      <c r="HB32" s="858"/>
      <c r="HC32" s="858"/>
      <c r="HD32" s="858"/>
      <c r="HE32" s="858"/>
      <c r="HF32" s="858"/>
      <c r="HG32" s="858"/>
      <c r="HH32" s="858"/>
      <c r="HI32" s="858"/>
      <c r="HJ32" s="858"/>
      <c r="HK32" s="858"/>
      <c r="HL32" s="858"/>
      <c r="HM32" s="858"/>
      <c r="HN32" s="858"/>
      <c r="HO32" s="858"/>
      <c r="HP32" s="858"/>
      <c r="HQ32" s="858"/>
      <c r="HR32" s="858"/>
      <c r="HS32" s="858"/>
      <c r="HT32" s="858"/>
      <c r="HU32" s="858"/>
      <c r="HV32" s="858"/>
      <c r="HW32" s="858"/>
      <c r="HX32" s="858"/>
      <c r="HY32" s="858"/>
      <c r="HZ32" s="858"/>
      <c r="IA32" s="858"/>
      <c r="IB32" s="858"/>
      <c r="IC32" s="858"/>
      <c r="ID32" s="858"/>
      <c r="IE32" s="858"/>
      <c r="IF32" s="858"/>
      <c r="IG32" s="858"/>
      <c r="IH32" s="858"/>
      <c r="II32" s="858"/>
      <c r="IJ32" s="858"/>
      <c r="IK32" s="858"/>
      <c r="IL32" s="858"/>
      <c r="IM32" s="858"/>
      <c r="IN32" s="858"/>
      <c r="IO32" s="858"/>
      <c r="IP32" s="858"/>
      <c r="IQ32" s="858"/>
      <c r="IR32" s="858"/>
      <c r="IS32" s="858"/>
      <c r="IT32" s="858"/>
      <c r="IU32" s="858"/>
      <c r="IV32" s="858"/>
    </row>
    <row r="33" spans="1:20" s="858" customFormat="1" ht="17.25" customHeight="1">
      <c r="A33" s="1124" t="s">
        <v>1196</v>
      </c>
      <c r="B33" s="1118" t="s">
        <v>1198</v>
      </c>
      <c r="C33" s="855"/>
      <c r="D33" s="855"/>
      <c r="E33" s="855"/>
      <c r="F33" s="855"/>
      <c r="G33" s="198">
        <v>4105828351</v>
      </c>
      <c r="H33" s="855"/>
      <c r="I33" s="855"/>
      <c r="J33" s="861"/>
      <c r="K33" s="853"/>
      <c r="L33" s="854"/>
      <c r="M33" s="859"/>
      <c r="N33" s="859"/>
      <c r="O33" s="859"/>
      <c r="P33" s="859"/>
      <c r="Q33" s="1119"/>
      <c r="R33" s="1119"/>
      <c r="S33" s="1119"/>
      <c r="T33" s="1119"/>
    </row>
    <row r="34" spans="1:20" s="858" customFormat="1" ht="17.25" customHeight="1">
      <c r="A34" s="1113" t="s">
        <v>414</v>
      </c>
      <c r="B34" s="1118" t="s">
        <v>175</v>
      </c>
      <c r="C34" s="855"/>
      <c r="D34" s="855"/>
      <c r="E34" s="855"/>
      <c r="F34" s="855"/>
      <c r="G34" s="855"/>
      <c r="H34" s="198">
        <v>8560497</v>
      </c>
      <c r="I34" s="855"/>
      <c r="J34" s="861"/>
      <c r="K34" s="853">
        <f>+'Bank Assets Analysis'!S26</f>
        <v>8560497</v>
      </c>
      <c r="L34" s="854"/>
      <c r="M34" s="859"/>
      <c r="N34" s="859"/>
      <c r="O34" s="859"/>
      <c r="P34" s="859"/>
      <c r="Q34" s="1119"/>
      <c r="R34" s="1119"/>
      <c r="S34" s="1119"/>
      <c r="T34" s="1119"/>
    </row>
    <row r="35" spans="1:20" s="858" customFormat="1" ht="17.25" customHeight="1">
      <c r="A35" s="1113" t="s">
        <v>416</v>
      </c>
      <c r="B35" s="1118" t="s">
        <v>41</v>
      </c>
      <c r="C35" s="855"/>
      <c r="D35" s="855"/>
      <c r="E35" s="855"/>
      <c r="F35" s="855"/>
      <c r="G35" s="855"/>
      <c r="H35" s="200">
        <v>25522506</v>
      </c>
      <c r="I35" s="855"/>
      <c r="J35" s="861"/>
      <c r="K35" s="853">
        <f>+'Bank Assets Analysis'!C25+'Bank Assets Analysis'!C24</f>
        <v>25522506</v>
      </c>
      <c r="L35" s="854"/>
      <c r="M35" s="859"/>
      <c r="N35" s="859"/>
      <c r="O35" s="859"/>
      <c r="P35" s="859"/>
      <c r="Q35" s="1119"/>
      <c r="R35" s="1119"/>
      <c r="S35" s="1119"/>
      <c r="T35" s="1119"/>
    </row>
    <row r="36" spans="1:20" s="858" customFormat="1" ht="17.25" customHeight="1">
      <c r="A36" s="1113" t="s">
        <v>418</v>
      </c>
      <c r="B36" s="1118" t="s">
        <v>1162</v>
      </c>
      <c r="C36" s="855"/>
      <c r="D36" s="855"/>
      <c r="E36" s="855"/>
      <c r="F36" s="855"/>
      <c r="G36" s="200">
        <v>4354759</v>
      </c>
      <c r="H36" s="855"/>
      <c r="I36" s="855"/>
      <c r="J36" s="861"/>
      <c r="K36" s="853"/>
      <c r="L36" s="854"/>
      <c r="M36" s="859"/>
      <c r="N36" s="859"/>
      <c r="O36" s="859"/>
      <c r="P36" s="859"/>
      <c r="Q36" s="1119"/>
      <c r="R36" s="1119"/>
      <c r="S36" s="1119"/>
      <c r="T36" s="1119"/>
    </row>
    <row r="37" spans="1:20" s="858" customFormat="1" ht="17.25" customHeight="1">
      <c r="A37" s="1113" t="s">
        <v>420</v>
      </c>
      <c r="B37" s="1118" t="s">
        <v>40</v>
      </c>
      <c r="C37" s="855"/>
      <c r="D37" s="855"/>
      <c r="E37" s="855"/>
      <c r="F37" s="855"/>
      <c r="G37" s="855"/>
      <c r="H37" s="855"/>
      <c r="I37" s="855"/>
      <c r="J37" s="861"/>
      <c r="K37" s="853"/>
      <c r="L37" s="854"/>
      <c r="M37" s="859"/>
      <c r="N37" s="859"/>
      <c r="O37" s="859"/>
      <c r="P37" s="859"/>
      <c r="Q37" s="1119"/>
      <c r="R37" s="1119"/>
      <c r="S37" s="1119"/>
      <c r="T37" s="1119"/>
    </row>
    <row r="38" spans="1:20" s="858" customFormat="1" ht="25.5">
      <c r="A38" s="1113" t="s">
        <v>143</v>
      </c>
      <c r="B38" s="1118" t="s">
        <v>176</v>
      </c>
      <c r="C38" s="855"/>
      <c r="D38" s="855"/>
      <c r="E38" s="855"/>
      <c r="F38" s="855"/>
      <c r="G38" s="200">
        <v>147419920</v>
      </c>
      <c r="H38" s="855"/>
      <c r="I38" s="855"/>
      <c r="J38" s="861"/>
      <c r="K38" s="853"/>
      <c r="L38" s="854"/>
      <c r="M38" s="859"/>
      <c r="N38" s="859"/>
      <c r="O38" s="859"/>
      <c r="P38" s="859"/>
      <c r="Q38" s="1119"/>
      <c r="R38" s="1119"/>
      <c r="S38" s="1119"/>
      <c r="T38" s="1119"/>
    </row>
    <row r="39" spans="1:20" s="858" customFormat="1" ht="15.75" customHeight="1">
      <c r="A39" s="1113" t="s">
        <v>139</v>
      </c>
      <c r="B39" s="1118" t="s">
        <v>1068</v>
      </c>
      <c r="C39" s="855"/>
      <c r="D39" s="855"/>
      <c r="E39" s="855"/>
      <c r="F39" s="855"/>
      <c r="G39" s="200">
        <v>0</v>
      </c>
      <c r="H39" s="855"/>
      <c r="I39" s="855"/>
      <c r="J39" s="861"/>
      <c r="K39" s="853"/>
      <c r="L39" s="854"/>
      <c r="M39" s="859"/>
      <c r="N39" s="859"/>
      <c r="O39" s="859"/>
      <c r="P39" s="859"/>
      <c r="Q39" s="1119"/>
      <c r="R39" s="1119"/>
      <c r="S39" s="1119"/>
      <c r="T39" s="1119"/>
    </row>
    <row r="40" spans="1:20" s="858" customFormat="1" ht="25.5">
      <c r="A40" s="1113" t="s">
        <v>141</v>
      </c>
      <c r="B40" s="1118" t="s">
        <v>113</v>
      </c>
      <c r="C40" s="855"/>
      <c r="D40" s="855"/>
      <c r="E40" s="855"/>
      <c r="F40" s="855"/>
      <c r="G40" s="855"/>
      <c r="H40" s="198">
        <v>0</v>
      </c>
      <c r="I40" s="855"/>
      <c r="J40" s="861"/>
      <c r="K40" s="853"/>
      <c r="L40" s="854"/>
      <c r="M40" s="859"/>
      <c r="N40" s="859"/>
      <c r="O40" s="859"/>
      <c r="P40" s="859"/>
      <c r="Q40" s="1119"/>
      <c r="R40" s="1119"/>
      <c r="S40" s="1119"/>
      <c r="T40" s="1119"/>
    </row>
    <row r="41" spans="1:20" s="858" customFormat="1" ht="18.75" customHeight="1">
      <c r="A41" s="1113" t="s">
        <v>150</v>
      </c>
      <c r="B41" s="1118" t="s">
        <v>34</v>
      </c>
      <c r="C41" s="855"/>
      <c r="D41" s="855"/>
      <c r="E41" s="855"/>
      <c r="F41" s="855"/>
      <c r="G41" s="855"/>
      <c r="H41" s="198">
        <v>0</v>
      </c>
      <c r="I41" s="855"/>
      <c r="J41" s="861"/>
      <c r="K41" s="853"/>
      <c r="L41" s="854"/>
      <c r="M41" s="859"/>
      <c r="N41" s="859"/>
      <c r="O41" s="859"/>
      <c r="P41" s="859"/>
      <c r="Q41" s="1119"/>
      <c r="R41" s="1119"/>
      <c r="S41" s="1119"/>
      <c r="T41" s="1119"/>
    </row>
    <row r="42" spans="1:20" s="858" customFormat="1" ht="25.5">
      <c r="A42" s="1113" t="s">
        <v>421</v>
      </c>
      <c r="B42" s="1118" t="s">
        <v>177</v>
      </c>
      <c r="C42" s="198">
        <v>0</v>
      </c>
      <c r="D42" s="855"/>
      <c r="E42" s="855"/>
      <c r="F42" s="855"/>
      <c r="G42" s="855"/>
      <c r="H42" s="855"/>
      <c r="I42" s="855"/>
      <c r="J42" s="861"/>
      <c r="K42" s="853"/>
      <c r="L42" s="1125"/>
      <c r="M42" s="1125"/>
      <c r="N42" s="1126"/>
      <c r="O42" s="859"/>
      <c r="P42" s="859"/>
      <c r="Q42" s="1119"/>
      <c r="R42" s="1119"/>
      <c r="S42" s="1119"/>
      <c r="T42" s="1119"/>
    </row>
    <row r="43" spans="1:20" s="858" customFormat="1" ht="16.5" customHeight="1">
      <c r="A43" s="1113" t="s">
        <v>423</v>
      </c>
      <c r="B43" s="1118" t="s">
        <v>178</v>
      </c>
      <c r="C43" s="855"/>
      <c r="D43" s="855"/>
      <c r="E43" s="855"/>
      <c r="F43" s="855"/>
      <c r="G43" s="200">
        <v>6670221</v>
      </c>
      <c r="H43" s="855"/>
      <c r="I43" s="855"/>
      <c r="J43" s="861"/>
      <c r="K43" s="853"/>
      <c r="L43" s="854"/>
      <c r="M43" s="859"/>
      <c r="N43" s="859"/>
      <c r="O43" s="859"/>
      <c r="P43" s="859"/>
      <c r="Q43" s="1119"/>
      <c r="R43" s="1119"/>
      <c r="S43" s="1119"/>
      <c r="T43" s="1119"/>
    </row>
    <row r="44" spans="1:20" s="858" customFormat="1" ht="15.75" customHeight="1">
      <c r="A44" s="1113" t="s">
        <v>425</v>
      </c>
      <c r="B44" s="1118" t="s">
        <v>179</v>
      </c>
      <c r="C44" s="551">
        <f>+'Bank Capital Calc'!C20</f>
        <v>1679916</v>
      </c>
      <c r="D44" s="855"/>
      <c r="E44" s="855"/>
      <c r="F44" s="855"/>
      <c r="G44" s="855"/>
      <c r="H44" s="855"/>
      <c r="I44" s="855"/>
      <c r="J44" s="861"/>
      <c r="K44" s="853"/>
      <c r="L44" s="854"/>
      <c r="M44" s="859"/>
      <c r="N44" s="859"/>
      <c r="O44" s="859"/>
      <c r="P44" s="859"/>
      <c r="Q44" s="1119"/>
      <c r="R44" s="1119"/>
      <c r="S44" s="1119"/>
      <c r="T44" s="1119"/>
    </row>
    <row r="45" spans="1:20" s="858" customFormat="1" ht="25.5">
      <c r="A45" s="1113" t="s">
        <v>427</v>
      </c>
      <c r="B45" s="1118" t="s">
        <v>180</v>
      </c>
      <c r="C45" s="855"/>
      <c r="D45" s="855"/>
      <c r="E45" s="855"/>
      <c r="F45" s="855"/>
      <c r="G45" s="855"/>
      <c r="H45" s="198">
        <v>349952</v>
      </c>
      <c r="I45" s="855"/>
      <c r="J45" s="861"/>
      <c r="K45" s="853"/>
      <c r="L45" s="854"/>
      <c r="M45" s="859"/>
      <c r="N45" s="859"/>
      <c r="O45" s="859"/>
      <c r="P45" s="859"/>
      <c r="Q45" s="1119"/>
      <c r="R45" s="1119"/>
      <c r="S45" s="1119"/>
      <c r="T45" s="1119"/>
    </row>
    <row r="46" spans="1:20" s="858" customFormat="1" ht="14.25" customHeight="1">
      <c r="A46" s="1113" t="s">
        <v>429</v>
      </c>
      <c r="B46" s="1118" t="s">
        <v>181</v>
      </c>
      <c r="C46" s="198"/>
      <c r="D46" s="855"/>
      <c r="E46" s="855"/>
      <c r="F46" s="855"/>
      <c r="G46" s="200">
        <v>194798726</v>
      </c>
      <c r="H46" s="855"/>
      <c r="I46" s="855"/>
      <c r="J46" s="861"/>
      <c r="K46" s="853">
        <f>+Balance!C44</f>
        <v>5890272405</v>
      </c>
      <c r="L46" s="854"/>
      <c r="M46" s="859"/>
      <c r="N46" s="859"/>
      <c r="O46" s="859"/>
      <c r="P46" s="859"/>
      <c r="Q46" s="1119"/>
      <c r="R46" s="1119"/>
      <c r="S46" s="1119"/>
      <c r="T46" s="1119"/>
    </row>
    <row r="47" spans="1:20" s="858" customFormat="1">
      <c r="A47" s="1113" t="s">
        <v>431</v>
      </c>
      <c r="B47" s="1118" t="s">
        <v>182</v>
      </c>
      <c r="C47" s="852">
        <f t="shared" ref="C47:J47" si="0">SUM(C8:C46)</f>
        <v>390284786</v>
      </c>
      <c r="D47" s="852">
        <f t="shared" si="0"/>
        <v>34358661</v>
      </c>
      <c r="E47" s="852">
        <f>SUM(E8:E46)</f>
        <v>0</v>
      </c>
      <c r="F47" s="852">
        <f t="shared" si="0"/>
        <v>66552554</v>
      </c>
      <c r="G47" s="852">
        <f t="shared" si="0"/>
        <v>4605991698</v>
      </c>
      <c r="H47" s="852">
        <f t="shared" si="0"/>
        <v>623046225</v>
      </c>
      <c r="I47" s="852">
        <f t="shared" si="0"/>
        <v>88812379</v>
      </c>
      <c r="J47" s="860">
        <f t="shared" si="0"/>
        <v>81226102</v>
      </c>
      <c r="K47" s="853">
        <f>SUM(C47:J47)</f>
        <v>5890272405</v>
      </c>
      <c r="L47" s="854">
        <f>+Balance!C44</f>
        <v>5890272405</v>
      </c>
      <c r="M47" s="853">
        <f>+K47-L47</f>
        <v>0</v>
      </c>
      <c r="N47" s="859"/>
      <c r="O47" s="859"/>
      <c r="P47" s="859"/>
      <c r="Q47" s="1119"/>
      <c r="R47" s="1119"/>
      <c r="S47" s="1119"/>
      <c r="T47" s="1119"/>
    </row>
    <row r="48" spans="1:20" s="858" customFormat="1">
      <c r="A48" s="1113" t="s">
        <v>96</v>
      </c>
      <c r="B48" s="1118" t="s">
        <v>183</v>
      </c>
      <c r="C48" s="855"/>
      <c r="D48" s="852">
        <f t="shared" ref="D48:J48" si="1">D47*D4</f>
        <v>6871732.2000000002</v>
      </c>
      <c r="E48" s="852">
        <f t="shared" si="1"/>
        <v>0</v>
      </c>
      <c r="F48" s="852">
        <f t="shared" si="1"/>
        <v>33276277</v>
      </c>
      <c r="G48" s="852">
        <f t="shared" si="1"/>
        <v>4605991698</v>
      </c>
      <c r="H48" s="852">
        <f t="shared" si="1"/>
        <v>934569337.5</v>
      </c>
      <c r="I48" s="852">
        <f t="shared" si="1"/>
        <v>177624758</v>
      </c>
      <c r="J48" s="860">
        <f t="shared" si="1"/>
        <v>243678306</v>
      </c>
      <c r="K48" s="853"/>
      <c r="L48" s="854"/>
      <c r="M48" s="859"/>
      <c r="N48" s="859"/>
      <c r="O48" s="859"/>
      <c r="P48" s="859"/>
      <c r="Q48" s="1119"/>
      <c r="R48" s="1119"/>
      <c r="S48" s="1119"/>
      <c r="T48" s="1119"/>
    </row>
    <row r="49" spans="1:20" s="858" customFormat="1" ht="13.5" thickBot="1">
      <c r="A49" s="1127" t="s">
        <v>97</v>
      </c>
      <c r="B49" s="1128" t="s">
        <v>184</v>
      </c>
      <c r="C49" s="856"/>
      <c r="D49" s="856"/>
      <c r="E49" s="856"/>
      <c r="F49" s="856"/>
      <c r="G49" s="856"/>
      <c r="H49" s="856"/>
      <c r="I49" s="856"/>
      <c r="J49" s="862">
        <f>SUM(D48:J48)</f>
        <v>6002012108.6999998</v>
      </c>
      <c r="K49" s="853"/>
      <c r="L49" s="854"/>
      <c r="M49" s="859"/>
      <c r="N49" s="859"/>
      <c r="O49" s="859"/>
      <c r="P49" s="859"/>
      <c r="Q49" s="1119"/>
      <c r="R49" s="1119"/>
      <c r="S49" s="1119"/>
      <c r="T49" s="1119"/>
    </row>
    <row r="50" spans="1:20" s="858" customFormat="1">
      <c r="A50" s="1129"/>
      <c r="B50" s="1130"/>
      <c r="C50" s="857"/>
      <c r="D50" s="857"/>
      <c r="E50" s="857"/>
      <c r="F50" s="857"/>
      <c r="G50" s="857"/>
      <c r="J50" s="854"/>
      <c r="K50" s="859"/>
      <c r="L50" s="859"/>
      <c r="M50" s="859"/>
      <c r="N50" s="859"/>
      <c r="O50" s="859"/>
      <c r="P50" s="859"/>
      <c r="Q50" s="1119"/>
      <c r="R50" s="1119"/>
      <c r="S50" s="1119"/>
      <c r="T50" s="1119"/>
    </row>
    <row r="51" spans="1:20" s="858" customFormat="1" ht="13.5" thickBot="1">
      <c r="A51" s="1129"/>
      <c r="B51" s="1131"/>
      <c r="C51" s="1131"/>
      <c r="D51" s="1131"/>
      <c r="E51" s="1131"/>
      <c r="F51" s="1131"/>
      <c r="G51" s="1131"/>
      <c r="H51" s="1131"/>
      <c r="I51" s="857"/>
      <c r="K51" s="854"/>
      <c r="L51" s="859"/>
      <c r="M51" s="859"/>
      <c r="N51" s="859"/>
      <c r="O51" s="859"/>
      <c r="P51" s="859"/>
      <c r="Q51" s="1119"/>
      <c r="R51" s="1119"/>
      <c r="S51" s="1119"/>
      <c r="T51" s="1119"/>
    </row>
    <row r="52" spans="1:20" s="858" customFormat="1" ht="12.75" customHeight="1">
      <c r="A52" s="1221" t="s">
        <v>161</v>
      </c>
      <c r="B52" s="1228" t="s">
        <v>131</v>
      </c>
      <c r="C52" s="1229"/>
      <c r="D52" s="1236" t="s">
        <v>185</v>
      </c>
      <c r="E52" s="1237"/>
      <c r="F52" s="1132">
        <v>0</v>
      </c>
      <c r="G52" s="1133">
        <v>0.2</v>
      </c>
      <c r="H52" s="1133">
        <v>0.5</v>
      </c>
      <c r="I52" s="1133">
        <v>1</v>
      </c>
      <c r="J52" s="1223" t="s">
        <v>186</v>
      </c>
      <c r="K52" s="854"/>
      <c r="L52" s="859"/>
      <c r="M52" s="859"/>
      <c r="N52" s="859"/>
      <c r="O52" s="859"/>
      <c r="P52" s="859"/>
      <c r="Q52" s="1119"/>
      <c r="R52" s="1119"/>
      <c r="S52" s="1119"/>
      <c r="T52" s="1119"/>
    </row>
    <row r="53" spans="1:20" s="858" customFormat="1" ht="9.75" customHeight="1">
      <c r="A53" s="1222"/>
      <c r="B53" s="1230"/>
      <c r="C53" s="1231"/>
      <c r="D53" s="1238"/>
      <c r="E53" s="1239"/>
      <c r="F53" s="1225" t="s">
        <v>162</v>
      </c>
      <c r="G53" s="1220" t="s">
        <v>162</v>
      </c>
      <c r="H53" s="1220" t="s">
        <v>162</v>
      </c>
      <c r="I53" s="1220" t="s">
        <v>162</v>
      </c>
      <c r="J53" s="1224"/>
      <c r="K53" s="854"/>
      <c r="L53" s="859"/>
      <c r="M53" s="859"/>
      <c r="N53" s="859"/>
      <c r="O53" s="859"/>
      <c r="P53" s="859"/>
      <c r="Q53" s="1119"/>
      <c r="R53" s="1119"/>
      <c r="S53" s="1119"/>
      <c r="T53" s="1119"/>
    </row>
    <row r="54" spans="1:20" s="858" customFormat="1" ht="17.25" customHeight="1">
      <c r="A54" s="1222"/>
      <c r="B54" s="1232"/>
      <c r="C54" s="1233"/>
      <c r="D54" s="1240"/>
      <c r="E54" s="1241"/>
      <c r="F54" s="1226"/>
      <c r="G54" s="1227"/>
      <c r="H54" s="1227"/>
      <c r="I54" s="1227"/>
      <c r="J54" s="1224"/>
      <c r="K54" s="854"/>
      <c r="L54" s="859"/>
      <c r="M54" s="859"/>
      <c r="N54" s="859"/>
      <c r="O54" s="859"/>
      <c r="P54" s="859"/>
      <c r="Q54" s="1119"/>
      <c r="R54" s="1119"/>
      <c r="S54" s="1119"/>
      <c r="T54" s="1119"/>
    </row>
    <row r="55" spans="1:20" s="858" customFormat="1">
      <c r="A55" s="1222"/>
      <c r="B55" s="1249" t="s">
        <v>132</v>
      </c>
      <c r="C55" s="1250"/>
      <c r="D55" s="1111" t="s">
        <v>133</v>
      </c>
      <c r="E55" s="1111"/>
      <c r="F55" s="1134" t="s">
        <v>134</v>
      </c>
      <c r="G55" s="1111" t="s">
        <v>135</v>
      </c>
      <c r="H55" s="1111" t="s">
        <v>163</v>
      </c>
      <c r="I55" s="1111" t="s">
        <v>164</v>
      </c>
      <c r="J55" s="1112" t="s">
        <v>187</v>
      </c>
      <c r="K55" s="854"/>
      <c r="L55" s="859"/>
      <c r="M55" s="859"/>
      <c r="N55" s="859"/>
      <c r="O55" s="859"/>
      <c r="P55" s="859"/>
      <c r="Q55" s="1119"/>
      <c r="R55" s="1119"/>
      <c r="S55" s="1119"/>
      <c r="T55" s="1119"/>
    </row>
    <row r="56" spans="1:20" s="858" customFormat="1">
      <c r="A56" s="1244" t="s">
        <v>188</v>
      </c>
      <c r="B56" s="1245"/>
      <c r="C56" s="1245"/>
      <c r="D56" s="1245"/>
      <c r="E56" s="1245"/>
      <c r="F56" s="1245"/>
      <c r="G56" s="1245"/>
      <c r="H56" s="1245"/>
      <c r="I56" s="1245"/>
      <c r="J56" s="1246"/>
      <c r="K56" s="854"/>
      <c r="L56" s="859"/>
      <c r="M56" s="859"/>
      <c r="N56" s="859"/>
      <c r="O56" s="859"/>
      <c r="P56" s="859"/>
      <c r="Q56" s="1119"/>
      <c r="R56" s="1119"/>
      <c r="S56" s="1119"/>
      <c r="T56" s="1119"/>
    </row>
    <row r="57" spans="1:20" s="858" customFormat="1">
      <c r="A57" s="1135">
        <v>1</v>
      </c>
      <c r="B57" s="1242" t="s">
        <v>189</v>
      </c>
      <c r="C57" s="1243"/>
      <c r="D57" s="855"/>
      <c r="E57" s="855"/>
      <c r="F57" s="855"/>
      <c r="G57" s="855"/>
      <c r="H57" s="855"/>
      <c r="I57" s="855"/>
      <c r="J57" s="861"/>
      <c r="K57" s="854"/>
      <c r="L57" s="859"/>
      <c r="M57" s="859"/>
      <c r="N57" s="859"/>
      <c r="O57" s="859"/>
      <c r="P57" s="859"/>
      <c r="Q57" s="1119"/>
      <c r="R57" s="1119"/>
      <c r="S57" s="1119"/>
      <c r="T57" s="1119"/>
    </row>
    <row r="58" spans="1:20" s="858" customFormat="1">
      <c r="A58" s="1135" t="s">
        <v>137</v>
      </c>
      <c r="B58" s="1242" t="s">
        <v>190</v>
      </c>
      <c r="C58" s="1243"/>
      <c r="D58" s="1212">
        <v>0.5</v>
      </c>
      <c r="E58" s="1213"/>
      <c r="F58" s="200"/>
      <c r="G58" s="200"/>
      <c r="H58" s="200"/>
      <c r="I58" s="200">
        <v>730696477</v>
      </c>
      <c r="J58" s="860">
        <f>(G58*0.1)+(H58*0.25)+(I58*0.5)</f>
        <v>365348238.5</v>
      </c>
      <c r="K58" s="854"/>
      <c r="L58" s="859"/>
      <c r="M58" s="859"/>
      <c r="N58" s="859"/>
      <c r="O58" s="859"/>
      <c r="P58" s="859"/>
      <c r="Q58" s="1119"/>
      <c r="R58" s="1119"/>
      <c r="S58" s="1119"/>
      <c r="T58" s="1119"/>
    </row>
    <row r="59" spans="1:20" s="858" customFormat="1">
      <c r="A59" s="1135" t="s">
        <v>139</v>
      </c>
      <c r="B59" s="1242" t="s">
        <v>191</v>
      </c>
      <c r="C59" s="1243"/>
      <c r="D59" s="1212">
        <v>0.2</v>
      </c>
      <c r="E59" s="1213"/>
      <c r="F59" s="200"/>
      <c r="G59" s="200"/>
      <c r="H59" s="200"/>
      <c r="I59" s="200"/>
      <c r="J59" s="860">
        <f>(G59*0.04)+(H59*0.1)+(I59*0.2)</f>
        <v>0</v>
      </c>
      <c r="K59" s="854"/>
      <c r="L59" s="859"/>
      <c r="M59" s="859"/>
      <c r="N59" s="859"/>
      <c r="O59" s="859"/>
      <c r="P59" s="859"/>
      <c r="Q59" s="1119"/>
      <c r="R59" s="1119"/>
      <c r="S59" s="1119"/>
      <c r="T59" s="1119"/>
    </row>
    <row r="60" spans="1:20" s="858" customFormat="1" ht="26.25" customHeight="1">
      <c r="A60" s="1135">
        <v>2</v>
      </c>
      <c r="B60" s="1242" t="s">
        <v>192</v>
      </c>
      <c r="C60" s="1243"/>
      <c r="D60" s="1212">
        <v>1</v>
      </c>
      <c r="E60" s="1213"/>
      <c r="F60" s="200"/>
      <c r="G60" s="200"/>
      <c r="H60" s="200"/>
      <c r="I60" s="200"/>
      <c r="J60" s="860">
        <f>(G60*0.2)+(H60*0.5)+(I60*1)</f>
        <v>0</v>
      </c>
      <c r="K60" s="854"/>
      <c r="L60" s="859"/>
      <c r="M60" s="859"/>
      <c r="N60" s="859"/>
      <c r="O60" s="859"/>
      <c r="P60" s="859"/>
      <c r="Q60" s="1119"/>
      <c r="R60" s="1119"/>
      <c r="S60" s="1119"/>
      <c r="T60" s="1119"/>
    </row>
    <row r="61" spans="1:20" s="858" customFormat="1">
      <c r="A61" s="1135">
        <v>3</v>
      </c>
      <c r="B61" s="1242" t="s">
        <v>193</v>
      </c>
      <c r="C61" s="1243"/>
      <c r="D61" s="1212">
        <v>1</v>
      </c>
      <c r="E61" s="1213"/>
      <c r="F61" s="200"/>
      <c r="G61" s="855"/>
      <c r="H61" s="855"/>
      <c r="I61" s="200">
        <v>114164587</v>
      </c>
      <c r="J61" s="860">
        <f>(G61*0.2)+(H61*0.5)+(I61*1)</f>
        <v>114164587</v>
      </c>
      <c r="K61" s="854"/>
      <c r="L61" s="859"/>
      <c r="M61" s="859"/>
      <c r="N61" s="859"/>
      <c r="O61" s="859"/>
      <c r="P61" s="859"/>
      <c r="Q61" s="1119"/>
      <c r="R61" s="1119"/>
      <c r="S61" s="1119"/>
      <c r="T61" s="1119"/>
    </row>
    <row r="62" spans="1:20" s="858" customFormat="1">
      <c r="A62" s="1135">
        <v>4</v>
      </c>
      <c r="B62" s="1242" t="s">
        <v>194</v>
      </c>
      <c r="C62" s="1243"/>
      <c r="D62" s="1136"/>
      <c r="E62" s="1136"/>
      <c r="F62" s="855"/>
      <c r="G62" s="855"/>
      <c r="H62" s="855"/>
      <c r="I62" s="855"/>
      <c r="J62" s="861"/>
      <c r="K62" s="854"/>
      <c r="L62" s="859"/>
      <c r="M62" s="859"/>
      <c r="N62" s="859"/>
      <c r="O62" s="859"/>
      <c r="P62" s="859"/>
      <c r="Q62" s="1119"/>
      <c r="R62" s="1119"/>
      <c r="S62" s="1119"/>
      <c r="T62" s="1119"/>
    </row>
    <row r="63" spans="1:20" s="858" customFormat="1">
      <c r="A63" s="1135" t="s">
        <v>137</v>
      </c>
      <c r="B63" s="1242" t="s">
        <v>195</v>
      </c>
      <c r="C63" s="1243"/>
      <c r="D63" s="1212">
        <v>1</v>
      </c>
      <c r="E63" s="1213"/>
      <c r="F63" s="200"/>
      <c r="G63" s="200"/>
      <c r="H63" s="200"/>
      <c r="I63" s="200"/>
      <c r="J63" s="860">
        <f>(G63*0.2)+(H63*0.5)+(I63*1)</f>
        <v>0</v>
      </c>
      <c r="K63" s="854"/>
      <c r="L63" s="859"/>
      <c r="M63" s="859"/>
      <c r="N63" s="859"/>
      <c r="O63" s="859"/>
      <c r="P63" s="859"/>
      <c r="Q63" s="1119"/>
      <c r="R63" s="1119"/>
      <c r="S63" s="1119"/>
      <c r="T63" s="1119"/>
    </row>
    <row r="64" spans="1:20" s="858" customFormat="1">
      <c r="A64" s="1135" t="s">
        <v>139</v>
      </c>
      <c r="B64" s="1242" t="s">
        <v>196</v>
      </c>
      <c r="C64" s="1243"/>
      <c r="D64" s="1212">
        <v>0.5</v>
      </c>
      <c r="E64" s="1213"/>
      <c r="F64" s="200"/>
      <c r="G64" s="200"/>
      <c r="H64" s="200"/>
      <c r="I64" s="200"/>
      <c r="J64" s="860">
        <f>(G64*0.1)+(H64*0.25)+(I64*0.5)</f>
        <v>0</v>
      </c>
      <c r="K64" s="854"/>
      <c r="L64" s="859"/>
      <c r="M64" s="859"/>
      <c r="N64" s="859"/>
      <c r="O64" s="859"/>
      <c r="P64" s="859"/>
      <c r="Q64" s="1119"/>
      <c r="R64" s="1119"/>
      <c r="S64" s="1119"/>
      <c r="T64" s="1119"/>
    </row>
    <row r="65" spans="1:20" s="858" customFormat="1">
      <c r="A65" s="1135" t="s">
        <v>141</v>
      </c>
      <c r="B65" s="1242" t="s">
        <v>197</v>
      </c>
      <c r="C65" s="1243"/>
      <c r="D65" s="1212">
        <v>0.2</v>
      </c>
      <c r="E65" s="1213"/>
      <c r="F65" s="200"/>
      <c r="G65" s="200"/>
      <c r="H65" s="200"/>
      <c r="I65" s="200">
        <v>11705135</v>
      </c>
      <c r="J65" s="860">
        <f>(G65*0.04)+(H65*0.1)+(I65*0.2)</f>
        <v>2341027</v>
      </c>
      <c r="K65" s="854"/>
      <c r="L65" s="859"/>
      <c r="M65" s="859"/>
      <c r="N65" s="859"/>
      <c r="O65" s="859"/>
      <c r="P65" s="859"/>
      <c r="Q65" s="1119"/>
      <c r="R65" s="1119"/>
      <c r="S65" s="1119"/>
      <c r="T65" s="1119"/>
    </row>
    <row r="66" spans="1:20" s="858" customFormat="1">
      <c r="A66" s="1135" t="s">
        <v>150</v>
      </c>
      <c r="B66" s="1242" t="s">
        <v>785</v>
      </c>
      <c r="C66" s="1243"/>
      <c r="D66" s="1212">
        <v>1</v>
      </c>
      <c r="E66" s="1213"/>
      <c r="F66" s="200"/>
      <c r="G66" s="855"/>
      <c r="H66" s="855"/>
      <c r="I66" s="200"/>
      <c r="J66" s="860">
        <f>(G66*0.2)+(H66*0.5)+(I66*1)</f>
        <v>0</v>
      </c>
      <c r="K66" s="854"/>
      <c r="L66" s="859"/>
      <c r="M66" s="859"/>
      <c r="N66" s="859"/>
      <c r="O66" s="859"/>
      <c r="P66" s="859"/>
      <c r="Q66" s="1119"/>
      <c r="R66" s="1119"/>
      <c r="S66" s="1119"/>
      <c r="T66" s="1119"/>
    </row>
    <row r="67" spans="1:20" s="858" customFormat="1">
      <c r="A67" s="1135">
        <v>5</v>
      </c>
      <c r="B67" s="1242" t="s">
        <v>198</v>
      </c>
      <c r="C67" s="1243"/>
      <c r="D67" s="1136"/>
      <c r="E67" s="1136"/>
      <c r="F67" s="855"/>
      <c r="G67" s="855"/>
      <c r="H67" s="855"/>
      <c r="I67" s="855"/>
      <c r="J67" s="861"/>
      <c r="K67" s="854"/>
      <c r="L67" s="859"/>
      <c r="M67" s="859"/>
      <c r="N67" s="859"/>
      <c r="O67" s="859"/>
      <c r="P67" s="859"/>
      <c r="Q67" s="1119"/>
      <c r="R67" s="1119"/>
      <c r="S67" s="1119"/>
      <c r="T67" s="1119"/>
    </row>
    <row r="68" spans="1:20" s="858" customFormat="1">
      <c r="A68" s="1135" t="s">
        <v>137</v>
      </c>
      <c r="B68" s="1242" t="s">
        <v>199</v>
      </c>
      <c r="C68" s="1243"/>
      <c r="D68" s="1136"/>
      <c r="E68" s="1136"/>
      <c r="F68" s="855"/>
      <c r="G68" s="855"/>
      <c r="H68" s="855"/>
      <c r="I68" s="855"/>
      <c r="J68" s="861"/>
      <c r="K68" s="854"/>
      <c r="L68" s="859"/>
      <c r="M68" s="859"/>
      <c r="N68" s="859"/>
      <c r="O68" s="859"/>
      <c r="P68" s="859"/>
      <c r="Q68" s="1119"/>
      <c r="R68" s="1119"/>
      <c r="S68" s="1119"/>
      <c r="T68" s="1119"/>
    </row>
    <row r="69" spans="1:20" s="858" customFormat="1">
      <c r="A69" s="1135" t="s">
        <v>200</v>
      </c>
      <c r="B69" s="1242" t="s">
        <v>201</v>
      </c>
      <c r="C69" s="1243"/>
      <c r="D69" s="1214">
        <v>5.0000000000000001E-3</v>
      </c>
      <c r="E69" s="1215"/>
      <c r="F69" s="200"/>
      <c r="G69" s="200"/>
      <c r="H69" s="200"/>
      <c r="I69" s="200"/>
      <c r="J69" s="860">
        <f>(G69*0.001)+(H69*0.0025)+(I69*0.005)</f>
        <v>0</v>
      </c>
      <c r="K69" s="854"/>
      <c r="L69" s="859"/>
      <c r="M69" s="859"/>
      <c r="N69" s="859"/>
      <c r="O69" s="859"/>
      <c r="P69" s="859"/>
      <c r="Q69" s="1119"/>
      <c r="R69" s="1119"/>
      <c r="S69" s="1119"/>
      <c r="T69" s="1119"/>
    </row>
    <row r="70" spans="1:20" s="858" customFormat="1">
      <c r="A70" s="1135" t="s">
        <v>202</v>
      </c>
      <c r="B70" s="1242" t="s">
        <v>203</v>
      </c>
      <c r="C70" s="1243"/>
      <c r="D70" s="1212">
        <v>0.01</v>
      </c>
      <c r="E70" s="1213"/>
      <c r="F70" s="200"/>
      <c r="G70" s="200"/>
      <c r="H70" s="200"/>
      <c r="I70" s="200"/>
      <c r="J70" s="860">
        <f>(G70*0.002)+(H70*0.005)+(I70*0.01)</f>
        <v>0</v>
      </c>
      <c r="K70" s="854"/>
      <c r="L70" s="859"/>
      <c r="M70" s="859"/>
      <c r="N70" s="859"/>
      <c r="O70" s="859"/>
      <c r="P70" s="859"/>
      <c r="Q70" s="1119"/>
      <c r="R70" s="1119"/>
      <c r="S70" s="1119"/>
      <c r="T70" s="1119"/>
    </row>
    <row r="71" spans="1:20" s="858" customFormat="1">
      <c r="A71" s="1135" t="s">
        <v>204</v>
      </c>
      <c r="B71" s="1242" t="s">
        <v>205</v>
      </c>
      <c r="C71" s="1243"/>
      <c r="D71" s="1212">
        <v>0.02</v>
      </c>
      <c r="E71" s="1213"/>
      <c r="F71" s="200"/>
      <c r="G71" s="200"/>
      <c r="H71" s="200"/>
      <c r="I71" s="200"/>
      <c r="J71" s="852">
        <f>(G71*0.004)+(H71*0.01)+(I71*0.02)</f>
        <v>0</v>
      </c>
      <c r="K71" s="854"/>
      <c r="L71" s="859"/>
      <c r="M71" s="859"/>
      <c r="N71" s="859"/>
      <c r="O71" s="859"/>
      <c r="P71" s="859"/>
      <c r="Q71" s="1119"/>
      <c r="R71" s="1119"/>
      <c r="S71" s="1119"/>
      <c r="T71" s="1119"/>
    </row>
    <row r="72" spans="1:20" s="858" customFormat="1">
      <c r="A72" s="1135" t="s">
        <v>139</v>
      </c>
      <c r="B72" s="1242" t="s">
        <v>206</v>
      </c>
      <c r="C72" s="1243"/>
      <c r="D72" s="1136"/>
      <c r="E72" s="1136"/>
      <c r="F72" s="855"/>
      <c r="G72" s="855"/>
      <c r="H72" s="855"/>
      <c r="I72" s="855"/>
      <c r="J72" s="861"/>
      <c r="K72" s="854"/>
      <c r="L72" s="859"/>
      <c r="M72" s="859"/>
      <c r="N72" s="859"/>
      <c r="O72" s="859"/>
      <c r="P72" s="859"/>
      <c r="Q72" s="1119"/>
      <c r="R72" s="1119"/>
      <c r="S72" s="1119"/>
      <c r="T72" s="1119"/>
    </row>
    <row r="73" spans="1:20" s="858" customFormat="1">
      <c r="A73" s="1135" t="s">
        <v>207</v>
      </c>
      <c r="B73" s="1242" t="s">
        <v>208</v>
      </c>
      <c r="C73" s="1243"/>
      <c r="D73" s="1212">
        <v>0.02</v>
      </c>
      <c r="E73" s="1213"/>
      <c r="F73" s="200"/>
      <c r="G73" s="200"/>
      <c r="H73" s="200"/>
      <c r="I73" s="200"/>
      <c r="J73" s="860">
        <f>(G73*0.004)+(H73*0.01)+(I73*0.02)</f>
        <v>0</v>
      </c>
      <c r="K73" s="854"/>
      <c r="L73" s="859"/>
      <c r="M73" s="859"/>
      <c r="N73" s="859"/>
      <c r="O73" s="859"/>
      <c r="P73" s="859"/>
      <c r="Q73" s="1119"/>
      <c r="R73" s="1119"/>
      <c r="S73" s="1119"/>
      <c r="T73" s="1119"/>
    </row>
    <row r="74" spans="1:20" s="858" customFormat="1">
      <c r="A74" s="1135" t="s">
        <v>209</v>
      </c>
      <c r="B74" s="1242" t="s">
        <v>210</v>
      </c>
      <c r="C74" s="1243"/>
      <c r="D74" s="1212">
        <v>0.05</v>
      </c>
      <c r="E74" s="1213"/>
      <c r="F74" s="200"/>
      <c r="G74" s="200"/>
      <c r="H74" s="200"/>
      <c r="I74" s="200"/>
      <c r="J74" s="860">
        <f>(G74*0.01)+(H74*0.025)+(I74*0.05)</f>
        <v>0</v>
      </c>
      <c r="K74" s="854"/>
      <c r="L74" s="859"/>
      <c r="M74" s="859"/>
      <c r="N74" s="859"/>
      <c r="O74" s="859"/>
      <c r="P74" s="859"/>
      <c r="Q74" s="1119"/>
      <c r="R74" s="1119"/>
      <c r="S74" s="1119"/>
      <c r="T74" s="1119"/>
    </row>
    <row r="75" spans="1:20" s="858" customFormat="1">
      <c r="A75" s="1135" t="s">
        <v>211</v>
      </c>
      <c r="B75" s="1242" t="s">
        <v>212</v>
      </c>
      <c r="C75" s="1243"/>
      <c r="D75" s="1212">
        <v>0.08</v>
      </c>
      <c r="E75" s="1213"/>
      <c r="F75" s="200"/>
      <c r="G75" s="200"/>
      <c r="H75" s="200"/>
      <c r="I75" s="200"/>
      <c r="J75" s="860">
        <f>(G75*0.016)+(H75*0.04)+(I75*0.08)</f>
        <v>0</v>
      </c>
      <c r="K75" s="854"/>
      <c r="L75" s="859"/>
      <c r="M75" s="859"/>
      <c r="N75" s="859"/>
      <c r="O75" s="859"/>
      <c r="P75" s="859"/>
      <c r="Q75" s="1119"/>
      <c r="R75" s="1119"/>
      <c r="S75" s="1119"/>
      <c r="T75" s="1119"/>
    </row>
    <row r="76" spans="1:20" s="858" customFormat="1">
      <c r="A76" s="1135">
        <v>6</v>
      </c>
      <c r="B76" s="1242" t="s">
        <v>213</v>
      </c>
      <c r="C76" s="1243"/>
      <c r="D76" s="1136"/>
      <c r="E76" s="1136"/>
      <c r="F76" s="852">
        <f>SUM(F58:F75)</f>
        <v>0</v>
      </c>
      <c r="G76" s="852">
        <f>SUM(G58:G75)</f>
        <v>0</v>
      </c>
      <c r="H76" s="852">
        <f>SUM(H58:H75)</f>
        <v>0</v>
      </c>
      <c r="I76" s="852">
        <f>SUM(I58:I75)</f>
        <v>856566199</v>
      </c>
      <c r="J76" s="861"/>
      <c r="K76" s="1137">
        <f>+F76+G76+H76+I76</f>
        <v>856566199</v>
      </c>
      <c r="L76" s="854">
        <f>+Commitments!C4+Commitments!C7+Commitments!C10+Commitments!C19+Commitments!C20+Commitments!C21+Commitments!C22</f>
        <v>856566199</v>
      </c>
      <c r="M76" s="1138">
        <f>+K76-L76</f>
        <v>0</v>
      </c>
      <c r="N76" s="859"/>
      <c r="O76" s="859"/>
      <c r="P76" s="859"/>
      <c r="Q76" s="1119"/>
      <c r="R76" s="1119"/>
      <c r="S76" s="1119"/>
      <c r="T76" s="1119"/>
    </row>
    <row r="77" spans="1:20" s="858" customFormat="1">
      <c r="A77" s="1135">
        <v>7</v>
      </c>
      <c r="B77" s="1242" t="s">
        <v>214</v>
      </c>
      <c r="C77" s="1243"/>
      <c r="D77" s="1136"/>
      <c r="E77" s="1136"/>
      <c r="F77" s="855"/>
      <c r="G77" s="855"/>
      <c r="H77" s="855"/>
      <c r="I77" s="855"/>
      <c r="J77" s="860">
        <f>SUM(J58:J75)</f>
        <v>481853852.5</v>
      </c>
      <c r="K77" s="854"/>
      <c r="L77" s="859"/>
      <c r="M77" s="859"/>
      <c r="N77" s="859"/>
      <c r="O77" s="859"/>
      <c r="P77" s="859"/>
      <c r="Q77" s="1119"/>
      <c r="R77" s="1119"/>
      <c r="S77" s="1119"/>
      <c r="T77" s="1119"/>
    </row>
    <row r="78" spans="1:20" s="858" customFormat="1" ht="13.5" thickBot="1">
      <c r="A78" s="1139">
        <v>8</v>
      </c>
      <c r="B78" s="1247" t="s">
        <v>215</v>
      </c>
      <c r="C78" s="1248"/>
      <c r="D78" s="1140"/>
      <c r="E78" s="1140"/>
      <c r="F78" s="856"/>
      <c r="G78" s="856"/>
      <c r="H78" s="856"/>
      <c r="I78" s="856"/>
      <c r="J78" s="862">
        <f>SUM(J77+J49)</f>
        <v>6483865961.1999998</v>
      </c>
      <c r="K78" s="854">
        <f>+J78*0.15</f>
        <v>972579894.17999995</v>
      </c>
      <c r="L78" s="859"/>
      <c r="M78" s="859"/>
      <c r="N78" s="859"/>
      <c r="O78" s="859"/>
      <c r="P78" s="859"/>
      <c r="Q78" s="1119"/>
      <c r="R78" s="1119"/>
      <c r="S78" s="1119"/>
      <c r="T78" s="1119"/>
    </row>
    <row r="79" spans="1:20">
      <c r="J79" s="863"/>
      <c r="K79" s="1104"/>
    </row>
    <row r="80" spans="1:20">
      <c r="B80" s="1141" t="s">
        <v>4</v>
      </c>
      <c r="C80" s="1141"/>
      <c r="J80" s="863"/>
      <c r="K80" s="1104"/>
    </row>
    <row r="81" spans="2:11">
      <c r="B81" s="1141"/>
      <c r="C81" s="1141"/>
      <c r="J81" s="863"/>
      <c r="K81" s="1104"/>
    </row>
    <row r="82" spans="2:11">
      <c r="B82" s="1141" t="s">
        <v>5</v>
      </c>
    </row>
  </sheetData>
  <sheetProtection password="CA76" sheet="1" objects="1" scenarios="1"/>
  <mergeCells count="51">
    <mergeCell ref="B75:C75"/>
    <mergeCell ref="B76:C76"/>
    <mergeCell ref="B77:C77"/>
    <mergeCell ref="B78:C78"/>
    <mergeCell ref="B55:C55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A56:J56"/>
    <mergeCell ref="B57:C57"/>
    <mergeCell ref="B58:C58"/>
    <mergeCell ref="B59:C59"/>
    <mergeCell ref="D58:E58"/>
    <mergeCell ref="D59:E59"/>
    <mergeCell ref="D60:E60"/>
    <mergeCell ref="D61:E61"/>
    <mergeCell ref="D63:E63"/>
    <mergeCell ref="D64:E64"/>
    <mergeCell ref="I1:J1"/>
    <mergeCell ref="A4:A5"/>
    <mergeCell ref="B4:B5"/>
    <mergeCell ref="A52:A55"/>
    <mergeCell ref="J52:J54"/>
    <mergeCell ref="F53:F54"/>
    <mergeCell ref="G53:G54"/>
    <mergeCell ref="H53:H54"/>
    <mergeCell ref="I53:I54"/>
    <mergeCell ref="B52:C54"/>
    <mergeCell ref="G3:H3"/>
    <mergeCell ref="A1:H1"/>
    <mergeCell ref="D52:E54"/>
    <mergeCell ref="D73:E73"/>
    <mergeCell ref="D74:E74"/>
    <mergeCell ref="D75:E75"/>
    <mergeCell ref="D65:E65"/>
    <mergeCell ref="D66:E66"/>
    <mergeCell ref="D69:E69"/>
    <mergeCell ref="D70:E70"/>
    <mergeCell ref="D71:E71"/>
  </mergeCells>
  <phoneticPr fontId="18" type="noConversion"/>
  <conditionalFormatting sqref="K47">
    <cfRule type="cellIs" dxfId="354" priority="10" operator="notEqual">
      <formula>$L$47</formula>
    </cfRule>
  </conditionalFormatting>
  <conditionalFormatting sqref="H34">
    <cfRule type="cellIs" dxfId="353" priority="9" operator="notEqual">
      <formula>$K$34</formula>
    </cfRule>
  </conditionalFormatting>
  <conditionalFormatting sqref="K34">
    <cfRule type="cellIs" dxfId="352" priority="6" operator="notEqual">
      <formula>$H$34</formula>
    </cfRule>
  </conditionalFormatting>
  <conditionalFormatting sqref="K35">
    <cfRule type="cellIs" dxfId="351" priority="5" operator="notEqual">
      <formula>$H$35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8:F61 F66 H45 C44 C42 G41:H41 F73:I75 I61 F69:I71 I63:I66 F63:H65 G43 G36:G40 G46:J46 H34:H35 G33 G58:I60 D15 G29 C24 F15 F26 G31:J31 C18 H27:J29 D19:D21 C20 C13:C14 D23 C16 D25 G16:G17 F19 C10:D10 C8 D9 D11:H11" xr:uid="{00000000-0002-0000-0600-000000000000}">
      <formula1>-1E+22</formula1>
      <formula2>1E+22</formula2>
    </dataValidation>
    <dataValidation type="whole" operator="greaterThanOrEqual" allowBlank="1" showInputMessage="1" showErrorMessage="1" sqref="F62:I62 G66:H66 F72:I72 G61:H61 F67:I68" xr:uid="{00000000-0002-0000-06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V82"/>
  <sheetViews>
    <sheetView view="pageBreakPreview" zoomScaleSheetLayoutView="100" workbookViewId="0">
      <pane xSplit="2" ySplit="6" topLeftCell="E58" activePane="bottomRight" state="frozen"/>
      <selection activeCell="B3" sqref="B3"/>
      <selection pane="topRight" activeCell="B3" sqref="B3"/>
      <selection pane="bottomLeft" activeCell="B3" sqref="B3"/>
      <selection pane="bottomRight" activeCell="I69" sqref="I69"/>
    </sheetView>
  </sheetViews>
  <sheetFormatPr defaultRowHeight="12.75"/>
  <cols>
    <col min="1" max="1" width="5.42578125" style="1105" customWidth="1"/>
    <col min="2" max="2" width="67" style="863" customWidth="1"/>
    <col min="3" max="3" width="12.5703125" style="863" customWidth="1"/>
    <col min="4" max="7" width="14.7109375" style="863" customWidth="1"/>
    <col min="8" max="8" width="16.140625" style="863" customWidth="1"/>
    <col min="9" max="9" width="14.7109375" style="863" customWidth="1"/>
    <col min="10" max="10" width="13" style="1104" customWidth="1"/>
    <col min="11" max="13" width="16.42578125" style="1098" customWidth="1"/>
    <col min="14" max="16" width="10.28515625" style="1098" customWidth="1"/>
    <col min="17" max="20" width="9.140625" style="1099"/>
    <col min="21" max="16384" width="9.140625" style="863"/>
  </cols>
  <sheetData>
    <row r="1" spans="1:20" ht="26.25" customHeight="1">
      <c r="A1" s="1235" t="s">
        <v>1240</v>
      </c>
      <c r="B1" s="1235"/>
      <c r="C1" s="1235"/>
      <c r="D1" s="1235"/>
      <c r="E1" s="1235"/>
      <c r="F1" s="1235"/>
      <c r="G1" s="1235"/>
      <c r="H1" s="1235"/>
      <c r="I1" s="1216" t="s">
        <v>1284</v>
      </c>
      <c r="J1" s="1216"/>
    </row>
    <row r="2" spans="1:20">
      <c r="A2" s="1100"/>
      <c r="B2" s="1101"/>
      <c r="C2" s="1102"/>
      <c r="F2" s="1103"/>
      <c r="G2" s="1103"/>
      <c r="H2" s="1103"/>
      <c r="I2" s="1102"/>
    </row>
    <row r="3" spans="1:20" ht="16.5" thickBot="1">
      <c r="B3" s="1106" t="str">
        <f>Balance!B3</f>
        <v>АКБ "Микрокредитбанк"</v>
      </c>
      <c r="D3" s="1102"/>
      <c r="E3" s="1102"/>
      <c r="G3" s="1234">
        <f>+Balance!C3</f>
        <v>43829</v>
      </c>
      <c r="H3" s="1234"/>
      <c r="J3" s="1107" t="str">
        <f>+Balance!E3</f>
        <v>тыс. сум</v>
      </c>
      <c r="K3" s="1104"/>
    </row>
    <row r="4" spans="1:20">
      <c r="A4" s="1217" t="s">
        <v>161</v>
      </c>
      <c r="B4" s="1219" t="s">
        <v>131</v>
      </c>
      <c r="C4" s="1108">
        <v>0</v>
      </c>
      <c r="D4" s="1108">
        <v>0.2</v>
      </c>
      <c r="E4" s="1108">
        <v>0.3</v>
      </c>
      <c r="F4" s="1108">
        <v>0.5</v>
      </c>
      <c r="G4" s="1108">
        <v>1</v>
      </c>
      <c r="H4" s="1108">
        <v>1.5</v>
      </c>
      <c r="I4" s="1108">
        <v>2</v>
      </c>
      <c r="J4" s="1109">
        <v>3</v>
      </c>
      <c r="K4" s="1110"/>
      <c r="L4" s="1104"/>
    </row>
    <row r="5" spans="1:20" ht="20.25" customHeight="1">
      <c r="A5" s="1218"/>
      <c r="B5" s="1220"/>
      <c r="C5" s="1111" t="s">
        <v>162</v>
      </c>
      <c r="D5" s="1111" t="s">
        <v>162</v>
      </c>
      <c r="E5" s="1111" t="s">
        <v>162</v>
      </c>
      <c r="F5" s="1111" t="s">
        <v>162</v>
      </c>
      <c r="G5" s="1111" t="s">
        <v>162</v>
      </c>
      <c r="H5" s="1111" t="s">
        <v>162</v>
      </c>
      <c r="I5" s="1111" t="s">
        <v>162</v>
      </c>
      <c r="J5" s="1112" t="s">
        <v>162</v>
      </c>
      <c r="L5" s="1104"/>
    </row>
    <row r="6" spans="1:20">
      <c r="A6" s="1113"/>
      <c r="B6" s="1114" t="s">
        <v>132</v>
      </c>
      <c r="C6" s="1114" t="s">
        <v>133</v>
      </c>
      <c r="D6" s="1114" t="s">
        <v>134</v>
      </c>
      <c r="E6" s="1114" t="s">
        <v>135</v>
      </c>
      <c r="F6" s="1114" t="s">
        <v>163</v>
      </c>
      <c r="G6" s="1114" t="s">
        <v>164</v>
      </c>
      <c r="H6" s="1114" t="s">
        <v>187</v>
      </c>
      <c r="I6" s="1114" t="s">
        <v>235</v>
      </c>
      <c r="J6" s="1114" t="s">
        <v>236</v>
      </c>
      <c r="L6" s="1104"/>
    </row>
    <row r="7" spans="1:20">
      <c r="A7" s="1113"/>
      <c r="B7" s="1115" t="s">
        <v>165</v>
      </c>
      <c r="C7" s="1116"/>
      <c r="D7" s="1116"/>
      <c r="E7" s="1116"/>
      <c r="F7" s="1116"/>
      <c r="G7" s="1116"/>
      <c r="H7" s="1116"/>
      <c r="I7" s="1116"/>
      <c r="J7" s="1117"/>
      <c r="L7" s="1104"/>
    </row>
    <row r="8" spans="1:20" s="858" customFormat="1">
      <c r="A8" s="1113" t="s">
        <v>166</v>
      </c>
      <c r="B8" s="1118" t="s">
        <v>167</v>
      </c>
      <c r="C8" s="198">
        <v>60859707</v>
      </c>
      <c r="D8" s="855"/>
      <c r="E8" s="855"/>
      <c r="F8" s="855"/>
      <c r="G8" s="855"/>
      <c r="H8" s="855"/>
      <c r="I8" s="855"/>
      <c r="J8" s="861"/>
      <c r="K8" s="853"/>
      <c r="L8" s="854"/>
      <c r="M8" s="859"/>
      <c r="N8" s="859"/>
      <c r="O8" s="859"/>
      <c r="P8" s="859"/>
      <c r="Q8" s="1119"/>
      <c r="R8" s="1119"/>
      <c r="S8" s="1119"/>
      <c r="T8" s="1119"/>
    </row>
    <row r="9" spans="1:20" s="858" customFormat="1">
      <c r="A9" s="1113" t="s">
        <v>397</v>
      </c>
      <c r="B9" s="1118" t="s">
        <v>168</v>
      </c>
      <c r="C9" s="855"/>
      <c r="D9" s="198">
        <v>8945599</v>
      </c>
      <c r="E9" s="855"/>
      <c r="F9" s="855"/>
      <c r="G9" s="855"/>
      <c r="H9" s="855"/>
      <c r="I9" s="855"/>
      <c r="J9" s="861"/>
      <c r="K9" s="853"/>
      <c r="L9" s="854"/>
      <c r="M9" s="859"/>
      <c r="N9" s="859"/>
      <c r="O9" s="859"/>
      <c r="P9" s="859"/>
      <c r="Q9" s="1119"/>
      <c r="R9" s="1119"/>
      <c r="S9" s="1119"/>
      <c r="T9" s="1119"/>
    </row>
    <row r="10" spans="1:20" s="858" customFormat="1">
      <c r="A10" s="1113" t="s">
        <v>398</v>
      </c>
      <c r="B10" s="1118" t="s">
        <v>169</v>
      </c>
      <c r="C10" s="551">
        <f>+Balance!D6</f>
        <v>119493320</v>
      </c>
      <c r="D10" s="855"/>
      <c r="E10" s="855"/>
      <c r="F10" s="855"/>
      <c r="G10" s="855"/>
      <c r="H10" s="855"/>
      <c r="I10" s="855"/>
      <c r="J10" s="861"/>
      <c r="K10" s="853"/>
      <c r="L10" s="854"/>
      <c r="M10" s="859"/>
      <c r="N10" s="859"/>
      <c r="O10" s="859"/>
      <c r="P10" s="859"/>
      <c r="Q10" s="1119"/>
      <c r="R10" s="1119"/>
      <c r="S10" s="1119"/>
      <c r="T10" s="1119"/>
    </row>
    <row r="11" spans="1:20" s="858" customFormat="1" ht="17.25" customHeight="1">
      <c r="A11" s="1113" t="s">
        <v>400</v>
      </c>
      <c r="B11" s="1118" t="s">
        <v>1289</v>
      </c>
      <c r="C11" s="855"/>
      <c r="D11" s="198"/>
      <c r="E11" s="198"/>
      <c r="F11" s="198"/>
      <c r="G11" s="200"/>
      <c r="H11" s="198">
        <v>266889175</v>
      </c>
      <c r="I11" s="855"/>
      <c r="J11" s="861"/>
      <c r="K11" s="853"/>
      <c r="L11" s="854"/>
      <c r="M11" s="859"/>
      <c r="N11" s="859"/>
      <c r="O11" s="859"/>
      <c r="P11" s="859"/>
      <c r="Q11" s="1119"/>
      <c r="R11" s="1119"/>
      <c r="S11" s="1119"/>
      <c r="T11" s="1119"/>
    </row>
    <row r="12" spans="1:20" s="858" customFormat="1">
      <c r="A12" s="1113" t="s">
        <v>402</v>
      </c>
      <c r="B12" s="1118" t="s">
        <v>171</v>
      </c>
      <c r="C12" s="855"/>
      <c r="D12" s="855"/>
      <c r="E12" s="855"/>
      <c r="F12" s="855"/>
      <c r="G12" s="855"/>
      <c r="H12" s="855"/>
      <c r="I12" s="855"/>
      <c r="J12" s="861"/>
      <c r="K12" s="1120"/>
      <c r="L12" s="1121"/>
    </row>
    <row r="13" spans="1:20" s="858" customFormat="1">
      <c r="A13" s="1113" t="s">
        <v>42</v>
      </c>
      <c r="B13" s="1118" t="s">
        <v>172</v>
      </c>
      <c r="C13" s="198">
        <v>109174000</v>
      </c>
      <c r="D13" s="855"/>
      <c r="E13" s="855"/>
      <c r="F13" s="855"/>
      <c r="G13" s="855"/>
      <c r="H13" s="855"/>
      <c r="I13" s="855"/>
      <c r="J13" s="861"/>
      <c r="K13" s="1120"/>
      <c r="L13" s="1121"/>
    </row>
    <row r="14" spans="1:20" s="858" customFormat="1" ht="42" customHeight="1">
      <c r="A14" s="1113" t="s">
        <v>43</v>
      </c>
      <c r="B14" s="1118" t="s">
        <v>129</v>
      </c>
      <c r="C14" s="198"/>
      <c r="D14" s="855"/>
      <c r="E14" s="855"/>
      <c r="F14" s="855"/>
      <c r="G14" s="855"/>
      <c r="H14" s="855"/>
      <c r="I14" s="855"/>
      <c r="J14" s="861"/>
      <c r="K14" s="1120"/>
      <c r="L14" s="1121"/>
    </row>
    <row r="15" spans="1:20" s="858" customFormat="1">
      <c r="A15" s="1113" t="s">
        <v>73</v>
      </c>
      <c r="B15" s="1118" t="s">
        <v>783</v>
      </c>
      <c r="C15" s="855"/>
      <c r="D15" s="198"/>
      <c r="E15" s="855"/>
      <c r="F15" s="198"/>
      <c r="G15" s="855"/>
      <c r="H15" s="855"/>
      <c r="I15" s="855"/>
      <c r="J15" s="861"/>
      <c r="K15" s="1120"/>
      <c r="L15" s="1121"/>
    </row>
    <row r="16" spans="1:20" s="858" customFormat="1">
      <c r="A16" s="1113" t="s">
        <v>74</v>
      </c>
      <c r="B16" s="1118" t="s">
        <v>173</v>
      </c>
      <c r="C16" s="198"/>
      <c r="D16" s="855"/>
      <c r="E16" s="855"/>
      <c r="F16" s="855"/>
      <c r="G16" s="200">
        <v>10402827</v>
      </c>
      <c r="H16" s="855"/>
      <c r="I16" s="855"/>
      <c r="J16" s="861"/>
      <c r="K16" s="1120"/>
      <c r="L16" s="1121"/>
    </row>
    <row r="17" spans="1:256" s="858" customFormat="1" ht="25.5">
      <c r="A17" s="1113" t="s">
        <v>404</v>
      </c>
      <c r="B17" s="1122" t="s">
        <v>98</v>
      </c>
      <c r="C17" s="884"/>
      <c r="D17" s="855"/>
      <c r="E17" s="855"/>
      <c r="F17" s="855"/>
      <c r="G17" s="855"/>
      <c r="H17" s="855"/>
      <c r="I17" s="855"/>
      <c r="J17" s="861"/>
      <c r="K17" s="1120"/>
      <c r="L17" s="1121"/>
    </row>
    <row r="18" spans="1:256" s="858" customFormat="1" ht="42" customHeight="1">
      <c r="A18" s="1113" t="s">
        <v>406</v>
      </c>
      <c r="B18" s="1118" t="s">
        <v>121</v>
      </c>
      <c r="C18" s="855"/>
      <c r="D18" s="198"/>
      <c r="E18" s="855"/>
      <c r="F18" s="855"/>
      <c r="G18" s="855"/>
      <c r="H18" s="855"/>
      <c r="I18" s="855"/>
      <c r="J18" s="861"/>
      <c r="K18" s="1120"/>
      <c r="L18" s="1121"/>
    </row>
    <row r="19" spans="1:256" s="858" customFormat="1" ht="25.5">
      <c r="A19" s="1113" t="s">
        <v>408</v>
      </c>
      <c r="B19" s="1118" t="s">
        <v>111</v>
      </c>
      <c r="C19" s="855"/>
      <c r="D19" s="198"/>
      <c r="E19" s="855"/>
      <c r="F19" s="198"/>
      <c r="G19" s="855"/>
      <c r="H19" s="855"/>
      <c r="I19" s="855"/>
      <c r="J19" s="861"/>
      <c r="K19" s="1120"/>
      <c r="L19" s="1121"/>
    </row>
    <row r="20" spans="1:256" s="858" customFormat="1" ht="25.5">
      <c r="A20" s="1113" t="s">
        <v>410</v>
      </c>
      <c r="B20" s="1118" t="s">
        <v>1131</v>
      </c>
      <c r="C20" s="198"/>
      <c r="D20" s="1142"/>
      <c r="E20" s="855"/>
      <c r="F20" s="855"/>
      <c r="G20" s="855"/>
      <c r="H20" s="855"/>
      <c r="I20" s="855"/>
      <c r="J20" s="861"/>
      <c r="K20" s="1120"/>
      <c r="L20" s="1121"/>
    </row>
    <row r="21" spans="1:256" s="858" customFormat="1" ht="38.25">
      <c r="A21" s="1113" t="s">
        <v>451</v>
      </c>
      <c r="B21" s="1118" t="s">
        <v>112</v>
      </c>
      <c r="C21" s="855"/>
      <c r="D21" s="198"/>
      <c r="E21" s="855"/>
      <c r="F21" s="855"/>
      <c r="G21" s="855"/>
      <c r="H21" s="855"/>
      <c r="I21" s="855"/>
      <c r="J21" s="861"/>
      <c r="K21" s="1120"/>
      <c r="L21" s="1121"/>
    </row>
    <row r="22" spans="1:256" s="858" customFormat="1">
      <c r="A22" s="1113" t="s">
        <v>453</v>
      </c>
      <c r="B22" s="1118" t="s">
        <v>174</v>
      </c>
      <c r="C22" s="855"/>
      <c r="D22" s="855"/>
      <c r="E22" s="855"/>
      <c r="F22" s="855"/>
      <c r="G22" s="855"/>
      <c r="H22" s="855"/>
      <c r="I22" s="855"/>
      <c r="J22" s="861"/>
      <c r="K22" s="1120"/>
      <c r="L22" s="1121"/>
    </row>
    <row r="23" spans="1:256" s="858" customFormat="1" ht="25.5">
      <c r="A23" s="1113" t="s">
        <v>42</v>
      </c>
      <c r="B23" s="1118" t="s">
        <v>39</v>
      </c>
      <c r="C23" s="198">
        <v>0</v>
      </c>
      <c r="D23" s="198">
        <v>0</v>
      </c>
      <c r="E23" s="855"/>
      <c r="F23" s="855"/>
      <c r="G23" s="855"/>
      <c r="H23" s="855"/>
      <c r="I23" s="855"/>
      <c r="J23" s="861"/>
      <c r="K23" s="1120"/>
      <c r="L23" s="1121"/>
    </row>
    <row r="24" spans="1:256" s="858" customFormat="1">
      <c r="A24" s="1113" t="s">
        <v>43</v>
      </c>
      <c r="B24" s="1118" t="s">
        <v>1145</v>
      </c>
      <c r="C24" s="198">
        <v>0</v>
      </c>
      <c r="D24" s="855"/>
      <c r="E24" s="855"/>
      <c r="F24" s="855"/>
      <c r="G24" s="855"/>
      <c r="H24" s="855"/>
      <c r="I24" s="855"/>
      <c r="J24" s="861"/>
      <c r="K24" s="1120"/>
      <c r="L24" s="1121"/>
    </row>
    <row r="25" spans="1:256" s="858" customFormat="1" ht="54" customHeight="1">
      <c r="A25" s="1113" t="s">
        <v>73</v>
      </c>
      <c r="B25" s="1118" t="s">
        <v>122</v>
      </c>
      <c r="C25" s="855"/>
      <c r="D25" s="198">
        <v>0</v>
      </c>
      <c r="E25" s="855"/>
      <c r="F25" s="855"/>
      <c r="G25" s="855"/>
      <c r="H25" s="855"/>
      <c r="I25" s="855"/>
      <c r="J25" s="861"/>
      <c r="K25" s="1120"/>
      <c r="L25" s="1121"/>
    </row>
    <row r="26" spans="1:256" s="858" customFormat="1" ht="25.5">
      <c r="A26" s="1113" t="s">
        <v>74</v>
      </c>
      <c r="B26" s="1118" t="s">
        <v>123</v>
      </c>
      <c r="C26" s="855"/>
      <c r="D26" s="855"/>
      <c r="E26" s="855"/>
      <c r="F26" s="198">
        <v>66552554</v>
      </c>
      <c r="G26" s="855"/>
      <c r="H26" s="855"/>
      <c r="I26" s="855"/>
      <c r="J26" s="861"/>
      <c r="K26" s="1120"/>
      <c r="L26" s="1121"/>
    </row>
    <row r="27" spans="1:256" s="858" customFormat="1" ht="17.25" customHeight="1">
      <c r="A27" s="1113" t="s">
        <v>75</v>
      </c>
      <c r="B27" s="1118" t="s">
        <v>35</v>
      </c>
      <c r="C27" s="855"/>
      <c r="D27" s="855"/>
      <c r="E27" s="855"/>
      <c r="F27" s="855"/>
      <c r="G27" s="198">
        <v>129827087</v>
      </c>
      <c r="H27" s="855"/>
      <c r="I27" s="855"/>
      <c r="J27" s="861"/>
      <c r="K27" s="1120"/>
      <c r="L27" s="1121"/>
    </row>
    <row r="28" spans="1:256" s="858" customFormat="1" ht="17.25" customHeight="1">
      <c r="A28" s="1113" t="s">
        <v>78</v>
      </c>
      <c r="B28" s="1118" t="s">
        <v>36</v>
      </c>
      <c r="C28" s="855"/>
      <c r="D28" s="855"/>
      <c r="E28" s="855"/>
      <c r="F28" s="855"/>
      <c r="G28" s="198"/>
      <c r="H28" s="855"/>
      <c r="I28" s="855"/>
      <c r="J28" s="861"/>
      <c r="K28" s="1120"/>
      <c r="L28" s="1121"/>
    </row>
    <row r="29" spans="1:256" s="858" customFormat="1" ht="17.25" customHeight="1">
      <c r="A29" s="1113" t="s">
        <v>79</v>
      </c>
      <c r="B29" s="1118" t="s">
        <v>90</v>
      </c>
      <c r="C29" s="855"/>
      <c r="D29" s="855"/>
      <c r="E29" s="855"/>
      <c r="F29" s="855"/>
      <c r="G29" s="855"/>
      <c r="H29" s="198">
        <v>0</v>
      </c>
      <c r="I29" s="855"/>
      <c r="J29" s="861"/>
      <c r="K29" s="1120"/>
      <c r="L29" s="1121"/>
    </row>
    <row r="30" spans="1:256" s="1123" customFormat="1" ht="20.25" customHeight="1">
      <c r="A30" s="1113" t="s">
        <v>784</v>
      </c>
      <c r="B30" s="1118" t="s">
        <v>1194</v>
      </c>
      <c r="C30" s="855"/>
      <c r="D30" s="855"/>
      <c r="E30" s="855"/>
      <c r="F30" s="855"/>
      <c r="G30" s="198">
        <v>2152157</v>
      </c>
      <c r="H30" s="198">
        <v>91403487</v>
      </c>
      <c r="I30" s="198">
        <v>56603467</v>
      </c>
      <c r="J30" s="1006">
        <v>16031679</v>
      </c>
      <c r="K30" s="1120"/>
      <c r="L30" s="1121"/>
      <c r="M30" s="858"/>
      <c r="N30" s="858"/>
      <c r="O30" s="858"/>
      <c r="P30" s="858"/>
      <c r="Q30" s="858"/>
      <c r="R30" s="858"/>
      <c r="S30" s="858"/>
      <c r="T30" s="858"/>
      <c r="U30" s="858"/>
      <c r="V30" s="858"/>
      <c r="W30" s="858"/>
      <c r="X30" s="858"/>
      <c r="Y30" s="858"/>
      <c r="Z30" s="858"/>
      <c r="AA30" s="858"/>
      <c r="AB30" s="858"/>
      <c r="AC30" s="858"/>
      <c r="AD30" s="858"/>
      <c r="AE30" s="858"/>
      <c r="AF30" s="858"/>
      <c r="AG30" s="858"/>
      <c r="AH30" s="858"/>
      <c r="AI30" s="858"/>
      <c r="AJ30" s="858"/>
      <c r="AK30" s="858"/>
      <c r="AL30" s="858"/>
      <c r="AM30" s="858"/>
      <c r="AN30" s="858"/>
      <c r="AO30" s="858"/>
      <c r="AP30" s="858"/>
      <c r="AQ30" s="858"/>
      <c r="AR30" s="858"/>
      <c r="AS30" s="858"/>
      <c r="AT30" s="858"/>
      <c r="AU30" s="858"/>
      <c r="AV30" s="858"/>
      <c r="AW30" s="858"/>
      <c r="AX30" s="858"/>
      <c r="AY30" s="858"/>
      <c r="AZ30" s="858"/>
      <c r="BA30" s="858"/>
      <c r="BB30" s="858"/>
      <c r="BC30" s="858"/>
      <c r="BD30" s="858"/>
      <c r="BE30" s="858"/>
      <c r="BF30" s="858"/>
      <c r="BG30" s="858"/>
      <c r="BH30" s="858"/>
      <c r="BI30" s="858"/>
      <c r="BJ30" s="858"/>
      <c r="BK30" s="858"/>
      <c r="BL30" s="858"/>
      <c r="BM30" s="858"/>
      <c r="BN30" s="858"/>
      <c r="BO30" s="858"/>
      <c r="BP30" s="858"/>
      <c r="BQ30" s="858"/>
      <c r="BR30" s="858"/>
      <c r="BS30" s="858"/>
      <c r="BT30" s="858"/>
      <c r="BU30" s="858"/>
      <c r="BV30" s="858"/>
      <c r="BW30" s="858"/>
      <c r="BX30" s="858"/>
      <c r="BY30" s="858"/>
      <c r="BZ30" s="858"/>
      <c r="CA30" s="858"/>
      <c r="CB30" s="858"/>
      <c r="CC30" s="858"/>
      <c r="CD30" s="858"/>
      <c r="CE30" s="858"/>
      <c r="CF30" s="858"/>
      <c r="CG30" s="858"/>
      <c r="CH30" s="858"/>
      <c r="CI30" s="858"/>
      <c r="CJ30" s="858"/>
      <c r="CK30" s="858"/>
      <c r="CL30" s="858"/>
      <c r="CM30" s="858"/>
      <c r="CN30" s="858"/>
      <c r="CO30" s="858"/>
      <c r="CP30" s="858"/>
      <c r="CQ30" s="858"/>
      <c r="CR30" s="858"/>
      <c r="CS30" s="858"/>
      <c r="CT30" s="858"/>
      <c r="CU30" s="858"/>
      <c r="CV30" s="858"/>
      <c r="CW30" s="858"/>
      <c r="CX30" s="858"/>
      <c r="CY30" s="858"/>
      <c r="CZ30" s="858"/>
      <c r="DA30" s="858"/>
      <c r="DB30" s="858"/>
      <c r="DC30" s="858"/>
      <c r="DD30" s="858"/>
      <c r="DE30" s="858"/>
      <c r="DF30" s="858"/>
      <c r="DG30" s="858"/>
      <c r="DH30" s="858"/>
      <c r="DI30" s="858"/>
      <c r="DJ30" s="858"/>
      <c r="DK30" s="858"/>
      <c r="DL30" s="858"/>
      <c r="DM30" s="858"/>
      <c r="DN30" s="858"/>
      <c r="DO30" s="858"/>
      <c r="DP30" s="858"/>
      <c r="DQ30" s="858"/>
      <c r="DR30" s="858"/>
      <c r="DS30" s="858"/>
      <c r="DT30" s="858"/>
      <c r="DU30" s="858"/>
      <c r="DV30" s="858"/>
      <c r="DW30" s="858"/>
      <c r="DX30" s="858"/>
      <c r="DY30" s="858"/>
      <c r="DZ30" s="858"/>
      <c r="EA30" s="858"/>
      <c r="EB30" s="858"/>
      <c r="EC30" s="858"/>
      <c r="ED30" s="858"/>
      <c r="EE30" s="858"/>
      <c r="EF30" s="858"/>
      <c r="EG30" s="858"/>
      <c r="EH30" s="858"/>
      <c r="EI30" s="858"/>
      <c r="EJ30" s="858"/>
      <c r="EK30" s="858"/>
      <c r="EL30" s="858"/>
      <c r="EM30" s="858"/>
      <c r="EN30" s="858"/>
      <c r="EO30" s="858"/>
      <c r="EP30" s="858"/>
      <c r="EQ30" s="858"/>
      <c r="ER30" s="858"/>
      <c r="ES30" s="858"/>
      <c r="ET30" s="858"/>
      <c r="EU30" s="858"/>
      <c r="EV30" s="858"/>
      <c r="EW30" s="858"/>
      <c r="EX30" s="858"/>
      <c r="EY30" s="858"/>
      <c r="EZ30" s="858"/>
      <c r="FA30" s="858"/>
      <c r="FB30" s="858"/>
      <c r="FC30" s="858"/>
      <c r="FD30" s="858"/>
      <c r="FE30" s="858"/>
      <c r="FF30" s="858"/>
      <c r="FG30" s="858"/>
      <c r="FH30" s="858"/>
      <c r="FI30" s="858"/>
      <c r="FJ30" s="858"/>
      <c r="FK30" s="858"/>
      <c r="FL30" s="858"/>
      <c r="FM30" s="858"/>
      <c r="FN30" s="858"/>
      <c r="FO30" s="858"/>
      <c r="FP30" s="858"/>
      <c r="FQ30" s="858"/>
      <c r="FR30" s="858"/>
      <c r="FS30" s="858"/>
      <c r="FT30" s="858"/>
      <c r="FU30" s="858"/>
      <c r="FV30" s="858"/>
      <c r="FW30" s="858"/>
      <c r="FX30" s="858"/>
      <c r="FY30" s="858"/>
      <c r="FZ30" s="858"/>
      <c r="GA30" s="858"/>
      <c r="GB30" s="858"/>
      <c r="GC30" s="858"/>
      <c r="GD30" s="858"/>
      <c r="GE30" s="858"/>
      <c r="GF30" s="858"/>
      <c r="GG30" s="858"/>
      <c r="GH30" s="858"/>
      <c r="GI30" s="858"/>
      <c r="GJ30" s="858"/>
      <c r="GK30" s="858"/>
      <c r="GL30" s="858"/>
      <c r="GM30" s="858"/>
      <c r="GN30" s="858"/>
      <c r="GO30" s="858"/>
      <c r="GP30" s="858"/>
      <c r="GQ30" s="858"/>
      <c r="GR30" s="858"/>
      <c r="GS30" s="858"/>
      <c r="GT30" s="858"/>
      <c r="GU30" s="858"/>
      <c r="GV30" s="858"/>
      <c r="GW30" s="858"/>
      <c r="GX30" s="858"/>
      <c r="GY30" s="858"/>
      <c r="GZ30" s="858"/>
      <c r="HA30" s="858"/>
      <c r="HB30" s="858"/>
      <c r="HC30" s="858"/>
      <c r="HD30" s="858"/>
      <c r="HE30" s="858"/>
      <c r="HF30" s="858"/>
      <c r="HG30" s="858"/>
      <c r="HH30" s="858"/>
      <c r="HI30" s="858"/>
      <c r="HJ30" s="858"/>
      <c r="HK30" s="858"/>
      <c r="HL30" s="858"/>
      <c r="HM30" s="858"/>
      <c r="HN30" s="858"/>
      <c r="HO30" s="858"/>
      <c r="HP30" s="858"/>
      <c r="HQ30" s="858"/>
      <c r="HR30" s="858"/>
      <c r="HS30" s="858"/>
      <c r="HT30" s="858"/>
      <c r="HU30" s="858"/>
      <c r="HV30" s="858"/>
      <c r="HW30" s="858"/>
      <c r="HX30" s="858"/>
      <c r="HY30" s="858"/>
      <c r="HZ30" s="858"/>
      <c r="IA30" s="858"/>
      <c r="IB30" s="858"/>
      <c r="IC30" s="858"/>
      <c r="ID30" s="858"/>
      <c r="IE30" s="858"/>
      <c r="IF30" s="858"/>
      <c r="IG30" s="858"/>
      <c r="IH30" s="858"/>
      <c r="II30" s="858"/>
      <c r="IJ30" s="858"/>
      <c r="IK30" s="858"/>
      <c r="IL30" s="858"/>
      <c r="IM30" s="858"/>
      <c r="IN30" s="858"/>
      <c r="IO30" s="858"/>
      <c r="IP30" s="858"/>
      <c r="IQ30" s="858"/>
      <c r="IR30" s="858"/>
      <c r="IS30" s="858"/>
      <c r="IT30" s="858"/>
      <c r="IU30" s="858"/>
      <c r="IV30" s="858"/>
    </row>
    <row r="31" spans="1:256" s="1123" customFormat="1" ht="20.25" customHeight="1">
      <c r="A31" s="1113" t="s">
        <v>1187</v>
      </c>
      <c r="B31" s="1118" t="s">
        <v>1192</v>
      </c>
      <c r="C31" s="855"/>
      <c r="D31" s="855"/>
      <c r="E31" s="855"/>
      <c r="F31" s="855"/>
      <c r="G31" s="855"/>
      <c r="H31" s="855"/>
      <c r="I31" s="855"/>
      <c r="J31" s="1006">
        <v>65055525</v>
      </c>
      <c r="K31" s="853"/>
      <c r="L31" s="854"/>
      <c r="M31" s="859"/>
      <c r="N31" s="859"/>
      <c r="O31" s="859"/>
      <c r="P31" s="859"/>
      <c r="Q31" s="1119"/>
      <c r="R31" s="1119"/>
      <c r="S31" s="1119"/>
      <c r="T31" s="1119"/>
      <c r="U31" s="858"/>
      <c r="V31" s="858"/>
      <c r="W31" s="858"/>
      <c r="X31" s="858"/>
      <c r="Y31" s="858"/>
      <c r="Z31" s="858"/>
      <c r="AA31" s="858"/>
      <c r="AB31" s="858"/>
      <c r="AC31" s="858"/>
      <c r="AD31" s="858"/>
      <c r="AE31" s="858"/>
      <c r="AF31" s="858"/>
      <c r="AG31" s="858"/>
      <c r="AH31" s="858"/>
      <c r="AI31" s="858"/>
      <c r="AJ31" s="858"/>
      <c r="AK31" s="858"/>
      <c r="AL31" s="858"/>
      <c r="AM31" s="858"/>
      <c r="AN31" s="858"/>
      <c r="AO31" s="858"/>
      <c r="AP31" s="858"/>
      <c r="AQ31" s="858"/>
      <c r="AR31" s="858"/>
      <c r="AS31" s="858"/>
      <c r="AT31" s="858"/>
      <c r="AU31" s="858"/>
      <c r="AV31" s="858"/>
      <c r="AW31" s="858"/>
      <c r="AX31" s="858"/>
      <c r="AY31" s="858"/>
      <c r="AZ31" s="858"/>
      <c r="BA31" s="858"/>
      <c r="BB31" s="858"/>
      <c r="BC31" s="858"/>
      <c r="BD31" s="858"/>
      <c r="BE31" s="858"/>
      <c r="BF31" s="858"/>
      <c r="BG31" s="858"/>
      <c r="BH31" s="858"/>
      <c r="BI31" s="858"/>
      <c r="BJ31" s="858"/>
      <c r="BK31" s="858"/>
      <c r="BL31" s="858"/>
      <c r="BM31" s="858"/>
      <c r="BN31" s="858"/>
      <c r="BO31" s="858"/>
      <c r="BP31" s="858"/>
      <c r="BQ31" s="858"/>
      <c r="BR31" s="858"/>
      <c r="BS31" s="858"/>
      <c r="BT31" s="858"/>
      <c r="BU31" s="858"/>
      <c r="BV31" s="858"/>
      <c r="BW31" s="858"/>
      <c r="BX31" s="858"/>
      <c r="BY31" s="858"/>
      <c r="BZ31" s="858"/>
      <c r="CA31" s="858"/>
      <c r="CB31" s="858"/>
      <c r="CC31" s="858"/>
      <c r="CD31" s="858"/>
      <c r="CE31" s="858"/>
      <c r="CF31" s="858"/>
      <c r="CG31" s="858"/>
      <c r="CH31" s="858"/>
      <c r="CI31" s="858"/>
      <c r="CJ31" s="858"/>
      <c r="CK31" s="858"/>
      <c r="CL31" s="858"/>
      <c r="CM31" s="858"/>
      <c r="CN31" s="858"/>
      <c r="CO31" s="858"/>
      <c r="CP31" s="858"/>
      <c r="CQ31" s="858"/>
      <c r="CR31" s="858"/>
      <c r="CS31" s="858"/>
      <c r="CT31" s="858"/>
      <c r="CU31" s="858"/>
      <c r="CV31" s="858"/>
      <c r="CW31" s="858"/>
      <c r="CX31" s="858"/>
      <c r="CY31" s="858"/>
      <c r="CZ31" s="858"/>
      <c r="DA31" s="858"/>
      <c r="DB31" s="858"/>
      <c r="DC31" s="858"/>
      <c r="DD31" s="858"/>
      <c r="DE31" s="858"/>
      <c r="DF31" s="858"/>
      <c r="DG31" s="858"/>
      <c r="DH31" s="858"/>
      <c r="DI31" s="858"/>
      <c r="DJ31" s="858"/>
      <c r="DK31" s="858"/>
      <c r="DL31" s="858"/>
      <c r="DM31" s="858"/>
      <c r="DN31" s="858"/>
      <c r="DO31" s="858"/>
      <c r="DP31" s="858"/>
      <c r="DQ31" s="858"/>
      <c r="DR31" s="858"/>
      <c r="DS31" s="858"/>
      <c r="DT31" s="858"/>
      <c r="DU31" s="858"/>
      <c r="DV31" s="858"/>
      <c r="DW31" s="858"/>
      <c r="DX31" s="858"/>
      <c r="DY31" s="858"/>
      <c r="DZ31" s="858"/>
      <c r="EA31" s="858"/>
      <c r="EB31" s="858"/>
      <c r="EC31" s="858"/>
      <c r="ED31" s="858"/>
      <c r="EE31" s="858"/>
      <c r="EF31" s="858"/>
      <c r="EG31" s="858"/>
      <c r="EH31" s="858"/>
      <c r="EI31" s="858"/>
      <c r="EJ31" s="858"/>
      <c r="EK31" s="858"/>
      <c r="EL31" s="858"/>
      <c r="EM31" s="858"/>
      <c r="EN31" s="858"/>
      <c r="EO31" s="858"/>
      <c r="EP31" s="858"/>
      <c r="EQ31" s="858"/>
      <c r="ER31" s="858"/>
      <c r="ES31" s="858"/>
      <c r="ET31" s="858"/>
      <c r="EU31" s="858"/>
      <c r="EV31" s="858"/>
      <c r="EW31" s="858"/>
      <c r="EX31" s="858"/>
      <c r="EY31" s="858"/>
      <c r="EZ31" s="858"/>
      <c r="FA31" s="858"/>
      <c r="FB31" s="858"/>
      <c r="FC31" s="858"/>
      <c r="FD31" s="858"/>
      <c r="FE31" s="858"/>
      <c r="FF31" s="858"/>
      <c r="FG31" s="858"/>
      <c r="FH31" s="858"/>
      <c r="FI31" s="858"/>
      <c r="FJ31" s="858"/>
      <c r="FK31" s="858"/>
      <c r="FL31" s="858"/>
      <c r="FM31" s="858"/>
      <c r="FN31" s="858"/>
      <c r="FO31" s="858"/>
      <c r="FP31" s="858"/>
      <c r="FQ31" s="858"/>
      <c r="FR31" s="858"/>
      <c r="FS31" s="858"/>
      <c r="FT31" s="858"/>
      <c r="FU31" s="858"/>
      <c r="FV31" s="858"/>
      <c r="FW31" s="858"/>
      <c r="FX31" s="858"/>
      <c r="FY31" s="858"/>
      <c r="FZ31" s="858"/>
      <c r="GA31" s="858"/>
      <c r="GB31" s="858"/>
      <c r="GC31" s="858"/>
      <c r="GD31" s="858"/>
      <c r="GE31" s="858"/>
      <c r="GF31" s="858"/>
      <c r="GG31" s="858"/>
      <c r="GH31" s="858"/>
      <c r="GI31" s="858"/>
      <c r="GJ31" s="858"/>
      <c r="GK31" s="858"/>
      <c r="GL31" s="858"/>
      <c r="GM31" s="858"/>
      <c r="GN31" s="858"/>
      <c r="GO31" s="858"/>
      <c r="GP31" s="858"/>
      <c r="GQ31" s="858"/>
      <c r="GR31" s="858"/>
      <c r="GS31" s="858"/>
      <c r="GT31" s="858"/>
      <c r="GU31" s="858"/>
      <c r="GV31" s="858"/>
      <c r="GW31" s="858"/>
      <c r="GX31" s="858"/>
      <c r="GY31" s="858"/>
      <c r="GZ31" s="858"/>
      <c r="HA31" s="858"/>
      <c r="HB31" s="858"/>
      <c r="HC31" s="858"/>
      <c r="HD31" s="858"/>
      <c r="HE31" s="858"/>
      <c r="HF31" s="858"/>
      <c r="HG31" s="858"/>
      <c r="HH31" s="858"/>
      <c r="HI31" s="858"/>
      <c r="HJ31" s="858"/>
      <c r="HK31" s="858"/>
      <c r="HL31" s="858"/>
      <c r="HM31" s="858"/>
      <c r="HN31" s="858"/>
      <c r="HO31" s="858"/>
      <c r="HP31" s="858"/>
      <c r="HQ31" s="858"/>
      <c r="HR31" s="858"/>
      <c r="HS31" s="858"/>
      <c r="HT31" s="858"/>
      <c r="HU31" s="858"/>
      <c r="HV31" s="858"/>
      <c r="HW31" s="858"/>
      <c r="HX31" s="858"/>
      <c r="HY31" s="858"/>
      <c r="HZ31" s="858"/>
      <c r="IA31" s="858"/>
      <c r="IB31" s="858"/>
      <c r="IC31" s="858"/>
      <c r="ID31" s="858"/>
      <c r="IE31" s="858"/>
      <c r="IF31" s="858"/>
      <c r="IG31" s="858"/>
      <c r="IH31" s="858"/>
      <c r="II31" s="858"/>
      <c r="IJ31" s="858"/>
      <c r="IK31" s="858"/>
      <c r="IL31" s="858"/>
      <c r="IM31" s="858"/>
      <c r="IN31" s="858"/>
      <c r="IO31" s="858"/>
      <c r="IP31" s="858"/>
      <c r="IQ31" s="858"/>
      <c r="IR31" s="858"/>
      <c r="IS31" s="858"/>
      <c r="IT31" s="858"/>
      <c r="IU31" s="858"/>
      <c r="IV31" s="858"/>
    </row>
    <row r="32" spans="1:256" s="1123" customFormat="1" ht="20.25" customHeight="1">
      <c r="A32" s="1124" t="s">
        <v>1193</v>
      </c>
      <c r="B32" s="1118" t="s">
        <v>1303</v>
      </c>
      <c r="C32" s="855"/>
      <c r="D32" s="855"/>
      <c r="E32" s="855"/>
      <c r="F32" s="855"/>
      <c r="G32" s="198">
        <v>4227795</v>
      </c>
      <c r="H32" s="198">
        <v>43981306</v>
      </c>
      <c r="I32" s="198">
        <v>32208912</v>
      </c>
      <c r="J32" s="1006">
        <v>138898</v>
      </c>
      <c r="K32" s="1120"/>
      <c r="L32" s="1121"/>
      <c r="M32" s="858"/>
      <c r="N32" s="858"/>
      <c r="O32" s="858"/>
      <c r="P32" s="858"/>
      <c r="Q32" s="858"/>
      <c r="R32" s="858"/>
      <c r="S32" s="858"/>
      <c r="T32" s="858"/>
      <c r="U32" s="858"/>
      <c r="V32" s="858"/>
      <c r="W32" s="858"/>
      <c r="X32" s="858"/>
      <c r="Y32" s="858"/>
      <c r="Z32" s="858"/>
      <c r="AA32" s="858"/>
      <c r="AB32" s="858"/>
      <c r="AC32" s="858"/>
      <c r="AD32" s="858"/>
      <c r="AE32" s="858"/>
      <c r="AF32" s="858"/>
      <c r="AG32" s="858"/>
      <c r="AH32" s="858"/>
      <c r="AI32" s="858"/>
      <c r="AJ32" s="858"/>
      <c r="AK32" s="858"/>
      <c r="AL32" s="858"/>
      <c r="AM32" s="858"/>
      <c r="AN32" s="858"/>
      <c r="AO32" s="858"/>
      <c r="AP32" s="858"/>
      <c r="AQ32" s="858"/>
      <c r="AR32" s="858"/>
      <c r="AS32" s="858"/>
      <c r="AT32" s="858"/>
      <c r="AU32" s="858"/>
      <c r="AV32" s="858"/>
      <c r="AW32" s="858"/>
      <c r="AX32" s="858"/>
      <c r="AY32" s="858"/>
      <c r="AZ32" s="858"/>
      <c r="BA32" s="858"/>
      <c r="BB32" s="858"/>
      <c r="BC32" s="858"/>
      <c r="BD32" s="858"/>
      <c r="BE32" s="858"/>
      <c r="BF32" s="858"/>
      <c r="BG32" s="858"/>
      <c r="BH32" s="858"/>
      <c r="BI32" s="858"/>
      <c r="BJ32" s="858"/>
      <c r="BK32" s="858"/>
      <c r="BL32" s="858"/>
      <c r="BM32" s="858"/>
      <c r="BN32" s="858"/>
      <c r="BO32" s="858"/>
      <c r="BP32" s="858"/>
      <c r="BQ32" s="858"/>
      <c r="BR32" s="858"/>
      <c r="BS32" s="858"/>
      <c r="BT32" s="858"/>
      <c r="BU32" s="858"/>
      <c r="BV32" s="858"/>
      <c r="BW32" s="858"/>
      <c r="BX32" s="858"/>
      <c r="BY32" s="858"/>
      <c r="BZ32" s="858"/>
      <c r="CA32" s="858"/>
      <c r="CB32" s="858"/>
      <c r="CC32" s="858"/>
      <c r="CD32" s="858"/>
      <c r="CE32" s="858"/>
      <c r="CF32" s="858"/>
      <c r="CG32" s="858"/>
      <c r="CH32" s="858"/>
      <c r="CI32" s="858"/>
      <c r="CJ32" s="858"/>
      <c r="CK32" s="858"/>
      <c r="CL32" s="858"/>
      <c r="CM32" s="858"/>
      <c r="CN32" s="858"/>
      <c r="CO32" s="858"/>
      <c r="CP32" s="858"/>
      <c r="CQ32" s="858"/>
      <c r="CR32" s="858"/>
      <c r="CS32" s="858"/>
      <c r="CT32" s="858"/>
      <c r="CU32" s="858"/>
      <c r="CV32" s="858"/>
      <c r="CW32" s="858"/>
      <c r="CX32" s="858"/>
      <c r="CY32" s="858"/>
      <c r="CZ32" s="858"/>
      <c r="DA32" s="858"/>
      <c r="DB32" s="858"/>
      <c r="DC32" s="858"/>
      <c r="DD32" s="858"/>
      <c r="DE32" s="858"/>
      <c r="DF32" s="858"/>
      <c r="DG32" s="858"/>
      <c r="DH32" s="858"/>
      <c r="DI32" s="858"/>
      <c r="DJ32" s="858"/>
      <c r="DK32" s="858"/>
      <c r="DL32" s="858"/>
      <c r="DM32" s="858"/>
      <c r="DN32" s="858"/>
      <c r="DO32" s="858"/>
      <c r="DP32" s="858"/>
      <c r="DQ32" s="858"/>
      <c r="DR32" s="858"/>
      <c r="DS32" s="858"/>
      <c r="DT32" s="858"/>
      <c r="DU32" s="858"/>
      <c r="DV32" s="858"/>
      <c r="DW32" s="858"/>
      <c r="DX32" s="858"/>
      <c r="DY32" s="858"/>
      <c r="DZ32" s="858"/>
      <c r="EA32" s="858"/>
      <c r="EB32" s="858"/>
      <c r="EC32" s="858"/>
      <c r="ED32" s="858"/>
      <c r="EE32" s="858"/>
      <c r="EF32" s="858"/>
      <c r="EG32" s="858"/>
      <c r="EH32" s="858"/>
      <c r="EI32" s="858"/>
      <c r="EJ32" s="858"/>
      <c r="EK32" s="858"/>
      <c r="EL32" s="858"/>
      <c r="EM32" s="858"/>
      <c r="EN32" s="858"/>
      <c r="EO32" s="858"/>
      <c r="EP32" s="858"/>
      <c r="EQ32" s="858"/>
      <c r="ER32" s="858"/>
      <c r="ES32" s="858"/>
      <c r="ET32" s="858"/>
      <c r="EU32" s="858"/>
      <c r="EV32" s="858"/>
      <c r="EW32" s="858"/>
      <c r="EX32" s="858"/>
      <c r="EY32" s="858"/>
      <c r="EZ32" s="858"/>
      <c r="FA32" s="858"/>
      <c r="FB32" s="858"/>
      <c r="FC32" s="858"/>
      <c r="FD32" s="858"/>
      <c r="FE32" s="858"/>
      <c r="FF32" s="858"/>
      <c r="FG32" s="858"/>
      <c r="FH32" s="858"/>
      <c r="FI32" s="858"/>
      <c r="FJ32" s="858"/>
      <c r="FK32" s="858"/>
      <c r="FL32" s="858"/>
      <c r="FM32" s="858"/>
      <c r="FN32" s="858"/>
      <c r="FO32" s="858"/>
      <c r="FP32" s="858"/>
      <c r="FQ32" s="858"/>
      <c r="FR32" s="858"/>
      <c r="FS32" s="858"/>
      <c r="FT32" s="858"/>
      <c r="FU32" s="858"/>
      <c r="FV32" s="858"/>
      <c r="FW32" s="858"/>
      <c r="FX32" s="858"/>
      <c r="FY32" s="858"/>
      <c r="FZ32" s="858"/>
      <c r="GA32" s="858"/>
      <c r="GB32" s="858"/>
      <c r="GC32" s="858"/>
      <c r="GD32" s="858"/>
      <c r="GE32" s="858"/>
      <c r="GF32" s="858"/>
      <c r="GG32" s="858"/>
      <c r="GH32" s="858"/>
      <c r="GI32" s="858"/>
      <c r="GJ32" s="858"/>
      <c r="GK32" s="858"/>
      <c r="GL32" s="858"/>
      <c r="GM32" s="858"/>
      <c r="GN32" s="858"/>
      <c r="GO32" s="858"/>
      <c r="GP32" s="858"/>
      <c r="GQ32" s="858"/>
      <c r="GR32" s="858"/>
      <c r="GS32" s="858"/>
      <c r="GT32" s="858"/>
      <c r="GU32" s="858"/>
      <c r="GV32" s="858"/>
      <c r="GW32" s="858"/>
      <c r="GX32" s="858"/>
      <c r="GY32" s="858"/>
      <c r="GZ32" s="858"/>
      <c r="HA32" s="858"/>
      <c r="HB32" s="858"/>
      <c r="HC32" s="858"/>
      <c r="HD32" s="858"/>
      <c r="HE32" s="858"/>
      <c r="HF32" s="858"/>
      <c r="HG32" s="858"/>
      <c r="HH32" s="858"/>
      <c r="HI32" s="858"/>
      <c r="HJ32" s="858"/>
      <c r="HK32" s="858"/>
      <c r="HL32" s="858"/>
      <c r="HM32" s="858"/>
      <c r="HN32" s="858"/>
      <c r="HO32" s="858"/>
      <c r="HP32" s="858"/>
      <c r="HQ32" s="858"/>
      <c r="HR32" s="858"/>
      <c r="HS32" s="858"/>
      <c r="HT32" s="858"/>
      <c r="HU32" s="858"/>
      <c r="HV32" s="858"/>
      <c r="HW32" s="858"/>
      <c r="HX32" s="858"/>
      <c r="HY32" s="858"/>
      <c r="HZ32" s="858"/>
      <c r="IA32" s="858"/>
      <c r="IB32" s="858"/>
      <c r="IC32" s="858"/>
      <c r="ID32" s="858"/>
      <c r="IE32" s="858"/>
      <c r="IF32" s="858"/>
      <c r="IG32" s="858"/>
      <c r="IH32" s="858"/>
      <c r="II32" s="858"/>
      <c r="IJ32" s="858"/>
      <c r="IK32" s="858"/>
      <c r="IL32" s="858"/>
      <c r="IM32" s="858"/>
      <c r="IN32" s="858"/>
      <c r="IO32" s="858"/>
      <c r="IP32" s="858"/>
      <c r="IQ32" s="858"/>
      <c r="IR32" s="858"/>
      <c r="IS32" s="858"/>
      <c r="IT32" s="858"/>
      <c r="IU32" s="858"/>
      <c r="IV32" s="858"/>
    </row>
    <row r="33" spans="1:20" s="858" customFormat="1" ht="17.25" customHeight="1">
      <c r="A33" s="1124" t="s">
        <v>1196</v>
      </c>
      <c r="B33" s="1118" t="s">
        <v>1198</v>
      </c>
      <c r="C33" s="855"/>
      <c r="D33" s="855"/>
      <c r="E33" s="855"/>
      <c r="F33" s="855"/>
      <c r="G33" s="198">
        <v>2550363615</v>
      </c>
      <c r="H33" s="855"/>
      <c r="I33" s="855"/>
      <c r="J33" s="861"/>
      <c r="K33" s="1143"/>
      <c r="L33" s="1144"/>
      <c r="M33" s="1145"/>
      <c r="N33" s="1145"/>
      <c r="O33" s="1145"/>
      <c r="P33" s="1145"/>
      <c r="Q33" s="1119"/>
      <c r="R33" s="1119"/>
      <c r="S33" s="1119"/>
      <c r="T33" s="1119"/>
    </row>
    <row r="34" spans="1:20" s="858" customFormat="1" ht="17.25" customHeight="1">
      <c r="A34" s="1113" t="s">
        <v>414</v>
      </c>
      <c r="B34" s="1118" t="s">
        <v>175</v>
      </c>
      <c r="C34" s="855"/>
      <c r="D34" s="855"/>
      <c r="E34" s="855"/>
      <c r="F34" s="855"/>
      <c r="G34" s="855"/>
      <c r="H34" s="198">
        <v>8560497</v>
      </c>
      <c r="I34" s="855"/>
      <c r="J34" s="861"/>
      <c r="K34" s="1143">
        <f>+'Bank Assets Analysis (нац)'!K25</f>
        <v>8560497</v>
      </c>
      <c r="L34" s="1144"/>
      <c r="M34" s="1145"/>
      <c r="N34" s="1145"/>
      <c r="O34" s="1145"/>
      <c r="P34" s="1145"/>
      <c r="Q34" s="1119"/>
      <c r="R34" s="1119"/>
      <c r="S34" s="1119"/>
      <c r="T34" s="1119"/>
    </row>
    <row r="35" spans="1:20" s="858" customFormat="1" ht="17.25" customHeight="1">
      <c r="A35" s="1113" t="s">
        <v>416</v>
      </c>
      <c r="B35" s="1118" t="s">
        <v>41</v>
      </c>
      <c r="C35" s="855"/>
      <c r="D35" s="855"/>
      <c r="E35" s="855"/>
      <c r="F35" s="855"/>
      <c r="G35" s="855"/>
      <c r="H35" s="198">
        <v>23225577</v>
      </c>
      <c r="I35" s="855"/>
      <c r="J35" s="861"/>
      <c r="K35" s="1143">
        <f>+'Bank Assets Analysis (нац)'!C23+'Bank Assets Analysis (нац)'!C24</f>
        <v>23225577</v>
      </c>
      <c r="L35" s="1144"/>
      <c r="M35" s="1145"/>
      <c r="N35" s="1145"/>
      <c r="O35" s="1145"/>
      <c r="P35" s="1145"/>
      <c r="Q35" s="1119"/>
      <c r="R35" s="1119"/>
      <c r="S35" s="1119"/>
      <c r="T35" s="1119"/>
    </row>
    <row r="36" spans="1:20" s="858" customFormat="1" ht="17.25" customHeight="1">
      <c r="A36" s="1113" t="s">
        <v>418</v>
      </c>
      <c r="B36" s="1118" t="s">
        <v>1162</v>
      </c>
      <c r="C36" s="855"/>
      <c r="D36" s="855"/>
      <c r="E36" s="855"/>
      <c r="F36" s="855"/>
      <c r="G36" s="200">
        <v>2107924</v>
      </c>
      <c r="H36" s="855"/>
      <c r="I36" s="855"/>
      <c r="J36" s="861"/>
      <c r="K36" s="1143"/>
      <c r="L36" s="1144"/>
      <c r="M36" s="1145"/>
      <c r="N36" s="1145"/>
      <c r="O36" s="1145"/>
      <c r="P36" s="1145"/>
      <c r="Q36" s="1119"/>
      <c r="R36" s="1119"/>
      <c r="S36" s="1119"/>
      <c r="T36" s="1119"/>
    </row>
    <row r="37" spans="1:20" s="858" customFormat="1" ht="17.25" customHeight="1">
      <c r="A37" s="1113" t="s">
        <v>420</v>
      </c>
      <c r="B37" s="1118" t="s">
        <v>40</v>
      </c>
      <c r="C37" s="855"/>
      <c r="D37" s="855"/>
      <c r="E37" s="855"/>
      <c r="F37" s="855"/>
      <c r="G37" s="855"/>
      <c r="H37" s="855"/>
      <c r="I37" s="855"/>
      <c r="J37" s="861"/>
      <c r="K37" s="1143"/>
      <c r="L37" s="1144"/>
      <c r="M37" s="1145"/>
      <c r="N37" s="1145"/>
      <c r="O37" s="1145"/>
      <c r="P37" s="1145"/>
      <c r="Q37" s="1119"/>
      <c r="R37" s="1119"/>
      <c r="S37" s="1119"/>
      <c r="T37" s="1119"/>
    </row>
    <row r="38" spans="1:20" s="858" customFormat="1" ht="25.5">
      <c r="A38" s="1113" t="s">
        <v>143</v>
      </c>
      <c r="B38" s="1118" t="s">
        <v>176</v>
      </c>
      <c r="C38" s="855"/>
      <c r="D38" s="855"/>
      <c r="E38" s="855"/>
      <c r="F38" s="855"/>
      <c r="G38" s="200">
        <v>147419920</v>
      </c>
      <c r="H38" s="855"/>
      <c r="I38" s="855"/>
      <c r="J38" s="861"/>
      <c r="K38" s="1143"/>
      <c r="L38" s="1144"/>
      <c r="M38" s="1145"/>
      <c r="N38" s="1145"/>
      <c r="O38" s="1145"/>
      <c r="P38" s="1145"/>
      <c r="Q38" s="1119"/>
      <c r="R38" s="1119"/>
      <c r="S38" s="1119"/>
      <c r="T38" s="1119"/>
    </row>
    <row r="39" spans="1:20" s="858" customFormat="1" ht="15.75" customHeight="1">
      <c r="A39" s="1113" t="s">
        <v>139</v>
      </c>
      <c r="B39" s="1118" t="s">
        <v>1068</v>
      </c>
      <c r="C39" s="855"/>
      <c r="D39" s="855"/>
      <c r="E39" s="855"/>
      <c r="F39" s="855"/>
      <c r="G39" s="200">
        <v>0</v>
      </c>
      <c r="H39" s="855"/>
      <c r="I39" s="855"/>
      <c r="J39" s="861"/>
      <c r="K39" s="1143"/>
      <c r="L39" s="1144"/>
      <c r="M39" s="1145"/>
      <c r="N39" s="1145"/>
      <c r="O39" s="1145"/>
      <c r="P39" s="1145"/>
      <c r="Q39" s="1119"/>
      <c r="R39" s="1119"/>
      <c r="S39" s="1119"/>
      <c r="T39" s="1119"/>
    </row>
    <row r="40" spans="1:20" s="858" customFormat="1" ht="25.5">
      <c r="A40" s="1113" t="s">
        <v>141</v>
      </c>
      <c r="B40" s="1118" t="s">
        <v>113</v>
      </c>
      <c r="C40" s="855"/>
      <c r="D40" s="855"/>
      <c r="E40" s="855"/>
      <c r="F40" s="855"/>
      <c r="G40" s="855"/>
      <c r="H40" s="198">
        <v>0</v>
      </c>
      <c r="I40" s="855"/>
      <c r="J40" s="861"/>
      <c r="K40" s="1143"/>
      <c r="L40" s="1144"/>
      <c r="M40" s="1145"/>
      <c r="N40" s="1145"/>
      <c r="O40" s="1145"/>
      <c r="P40" s="1145"/>
      <c r="Q40" s="1119"/>
      <c r="R40" s="1119"/>
      <c r="S40" s="1119"/>
      <c r="T40" s="1119"/>
    </row>
    <row r="41" spans="1:20" s="858" customFormat="1" ht="18.75" customHeight="1">
      <c r="A41" s="1113" t="s">
        <v>150</v>
      </c>
      <c r="B41" s="1118" t="s">
        <v>34</v>
      </c>
      <c r="C41" s="855"/>
      <c r="D41" s="855"/>
      <c r="E41" s="855"/>
      <c r="F41" s="855"/>
      <c r="G41" s="855"/>
      <c r="H41" s="198">
        <v>0</v>
      </c>
      <c r="I41" s="855"/>
      <c r="J41" s="861"/>
      <c r="K41" s="1143"/>
      <c r="L41" s="1144"/>
      <c r="M41" s="1145"/>
      <c r="N41" s="1145"/>
      <c r="O41" s="1145"/>
      <c r="P41" s="1145"/>
      <c r="Q41" s="1119"/>
      <c r="R41" s="1119"/>
      <c r="S41" s="1119"/>
      <c r="T41" s="1119"/>
    </row>
    <row r="42" spans="1:20" s="858" customFormat="1" ht="25.5">
      <c r="A42" s="1113" t="s">
        <v>421</v>
      </c>
      <c r="B42" s="1118" t="s">
        <v>177</v>
      </c>
      <c r="C42" s="198"/>
      <c r="D42" s="855"/>
      <c r="E42" s="855"/>
      <c r="F42" s="855"/>
      <c r="G42" s="855"/>
      <c r="H42" s="855"/>
      <c r="I42" s="855"/>
      <c r="J42" s="861"/>
      <c r="K42" s="1143"/>
      <c r="L42" s="1146"/>
      <c r="M42" s="1146"/>
      <c r="N42" s="1147"/>
      <c r="O42" s="1145"/>
      <c r="P42" s="1145"/>
      <c r="Q42" s="1119"/>
      <c r="R42" s="1119"/>
      <c r="S42" s="1119"/>
      <c r="T42" s="1119"/>
    </row>
    <row r="43" spans="1:20" s="858" customFormat="1" ht="16.5" customHeight="1">
      <c r="A43" s="1113" t="s">
        <v>423</v>
      </c>
      <c r="B43" s="1118" t="s">
        <v>178</v>
      </c>
      <c r="C43" s="855"/>
      <c r="D43" s="855"/>
      <c r="E43" s="855"/>
      <c r="F43" s="855"/>
      <c r="G43" s="200">
        <v>6670221</v>
      </c>
      <c r="H43" s="855"/>
      <c r="I43" s="855"/>
      <c r="J43" s="861"/>
      <c r="K43" s="1143"/>
      <c r="L43" s="1144"/>
      <c r="M43" s="1145"/>
      <c r="N43" s="1145"/>
      <c r="O43" s="1145"/>
      <c r="P43" s="1145"/>
      <c r="Q43" s="1119"/>
      <c r="R43" s="1119"/>
      <c r="S43" s="1119"/>
      <c r="T43" s="1119"/>
    </row>
    <row r="44" spans="1:20" s="858" customFormat="1" ht="15.75" customHeight="1">
      <c r="A44" s="1113" t="s">
        <v>425</v>
      </c>
      <c r="B44" s="1118" t="s">
        <v>179</v>
      </c>
      <c r="C44" s="198">
        <v>1679916</v>
      </c>
      <c r="D44" s="855"/>
      <c r="E44" s="855"/>
      <c r="F44" s="855"/>
      <c r="G44" s="855"/>
      <c r="H44" s="855"/>
      <c r="I44" s="855"/>
      <c r="J44" s="861"/>
      <c r="K44" s="1143"/>
      <c r="L44" s="1144"/>
      <c r="M44" s="1145"/>
      <c r="N44" s="1145"/>
      <c r="O44" s="1145"/>
      <c r="P44" s="1145"/>
      <c r="Q44" s="1119"/>
      <c r="R44" s="1119"/>
      <c r="S44" s="1119"/>
      <c r="T44" s="1119"/>
    </row>
    <row r="45" spans="1:20" s="858" customFormat="1" ht="25.5">
      <c r="A45" s="1113" t="s">
        <v>427</v>
      </c>
      <c r="B45" s="1118" t="s">
        <v>180</v>
      </c>
      <c r="C45" s="855"/>
      <c r="D45" s="855"/>
      <c r="E45" s="855"/>
      <c r="F45" s="855"/>
      <c r="G45" s="855"/>
      <c r="H45" s="198">
        <v>349952</v>
      </c>
      <c r="I45" s="855"/>
      <c r="J45" s="861"/>
      <c r="K45" s="1143"/>
      <c r="L45" s="1144"/>
      <c r="M45" s="1145"/>
      <c r="N45" s="1145"/>
      <c r="O45" s="1145"/>
      <c r="P45" s="1145"/>
      <c r="Q45" s="1119"/>
      <c r="R45" s="1119"/>
      <c r="S45" s="1119"/>
      <c r="T45" s="1119"/>
    </row>
    <row r="46" spans="1:20" s="858" customFormat="1" ht="14.25" customHeight="1">
      <c r="A46" s="1113" t="s">
        <v>429</v>
      </c>
      <c r="B46" s="1118" t="s">
        <v>181</v>
      </c>
      <c r="C46" s="198"/>
      <c r="D46" s="855"/>
      <c r="E46" s="855"/>
      <c r="F46" s="855"/>
      <c r="G46" s="200">
        <v>114806848</v>
      </c>
      <c r="H46" s="855"/>
      <c r="I46" s="855"/>
      <c r="J46" s="861"/>
      <c r="K46" s="1143">
        <f>+Balance!C44</f>
        <v>5890272405</v>
      </c>
      <c r="L46" s="1144"/>
      <c r="M46" s="1145"/>
      <c r="N46" s="1145"/>
      <c r="O46" s="1145"/>
      <c r="P46" s="1145"/>
      <c r="Q46" s="1119"/>
      <c r="R46" s="1119"/>
      <c r="S46" s="1119"/>
      <c r="T46" s="1119"/>
    </row>
    <row r="47" spans="1:20" s="858" customFormat="1">
      <c r="A47" s="1113" t="s">
        <v>431</v>
      </c>
      <c r="B47" s="1118" t="s">
        <v>182</v>
      </c>
      <c r="C47" s="852">
        <f t="shared" ref="C47:J47" si="0">SUM(C8:C46)</f>
        <v>291206943</v>
      </c>
      <c r="D47" s="852">
        <f t="shared" si="0"/>
        <v>8945599</v>
      </c>
      <c r="E47" s="852">
        <f>SUM(E8:E46)</f>
        <v>0</v>
      </c>
      <c r="F47" s="852">
        <f t="shared" si="0"/>
        <v>66552554</v>
      </c>
      <c r="G47" s="852">
        <f t="shared" si="0"/>
        <v>2967978394</v>
      </c>
      <c r="H47" s="852">
        <f t="shared" si="0"/>
        <v>434409994</v>
      </c>
      <c r="I47" s="852">
        <f t="shared" si="0"/>
        <v>88812379</v>
      </c>
      <c r="J47" s="860">
        <f t="shared" si="0"/>
        <v>81226102</v>
      </c>
      <c r="K47" s="1143">
        <f>SUM(C47:J47)</f>
        <v>3939131965</v>
      </c>
      <c r="L47" s="1144">
        <f>+Balance!D44</f>
        <v>3939131965</v>
      </c>
      <c r="M47" s="1143">
        <f>+K47-L47</f>
        <v>0</v>
      </c>
      <c r="N47" s="1145"/>
      <c r="O47" s="1145"/>
      <c r="P47" s="1145"/>
      <c r="Q47" s="1119"/>
      <c r="R47" s="1119"/>
      <c r="S47" s="1119"/>
      <c r="T47" s="1119"/>
    </row>
    <row r="48" spans="1:20" s="858" customFormat="1">
      <c r="A48" s="1113" t="s">
        <v>96</v>
      </c>
      <c r="B48" s="1118" t="s">
        <v>183</v>
      </c>
      <c r="C48" s="855"/>
      <c r="D48" s="852">
        <f t="shared" ref="D48:J48" si="1">D47*D4</f>
        <v>1789119.8</v>
      </c>
      <c r="E48" s="852">
        <f t="shared" si="1"/>
        <v>0</v>
      </c>
      <c r="F48" s="852">
        <f t="shared" si="1"/>
        <v>33276277</v>
      </c>
      <c r="G48" s="852">
        <f t="shared" si="1"/>
        <v>2967978394</v>
      </c>
      <c r="H48" s="852">
        <f t="shared" si="1"/>
        <v>651614991</v>
      </c>
      <c r="I48" s="852">
        <f t="shared" si="1"/>
        <v>177624758</v>
      </c>
      <c r="J48" s="860">
        <f t="shared" si="1"/>
        <v>243678306</v>
      </c>
      <c r="K48" s="1143"/>
      <c r="L48" s="1144"/>
      <c r="M48" s="1145"/>
      <c r="N48" s="1145"/>
      <c r="O48" s="1145"/>
      <c r="P48" s="1145"/>
      <c r="Q48" s="1119"/>
      <c r="R48" s="1119"/>
      <c r="S48" s="1119"/>
      <c r="T48" s="1119"/>
    </row>
    <row r="49" spans="1:20" s="858" customFormat="1" ht="13.5" thickBot="1">
      <c r="A49" s="1127" t="s">
        <v>97</v>
      </c>
      <c r="B49" s="1128" t="s">
        <v>184</v>
      </c>
      <c r="C49" s="856"/>
      <c r="D49" s="856"/>
      <c r="E49" s="856"/>
      <c r="F49" s="856"/>
      <c r="G49" s="856"/>
      <c r="H49" s="856"/>
      <c r="I49" s="856"/>
      <c r="J49" s="862">
        <f>SUM(D48:J48)</f>
        <v>4075961845.8000002</v>
      </c>
      <c r="K49" s="1143"/>
      <c r="L49" s="1144"/>
      <c r="M49" s="1145"/>
      <c r="N49" s="1145"/>
      <c r="O49" s="1145"/>
      <c r="P49" s="1145"/>
      <c r="Q49" s="1119"/>
      <c r="R49" s="1119"/>
      <c r="S49" s="1119"/>
      <c r="T49" s="1119"/>
    </row>
    <row r="50" spans="1:20" s="858" customFormat="1">
      <c r="A50" s="1129"/>
      <c r="B50" s="1130"/>
      <c r="C50" s="857"/>
      <c r="D50" s="857"/>
      <c r="E50" s="857"/>
      <c r="F50" s="857"/>
      <c r="G50" s="857"/>
      <c r="J50" s="854"/>
      <c r="K50" s="1145"/>
      <c r="L50" s="1145"/>
      <c r="M50" s="1145"/>
      <c r="N50" s="1145"/>
      <c r="O50" s="1145"/>
      <c r="P50" s="1145"/>
      <c r="Q50" s="1119"/>
      <c r="R50" s="1119"/>
      <c r="S50" s="1119"/>
      <c r="T50" s="1119"/>
    </row>
    <row r="51" spans="1:20" s="858" customFormat="1" ht="13.5" thickBot="1">
      <c r="A51" s="1129"/>
      <c r="B51" s="1131"/>
      <c r="C51" s="1131"/>
      <c r="D51" s="1131"/>
      <c r="E51" s="1131"/>
      <c r="F51" s="1131"/>
      <c r="G51" s="1131"/>
      <c r="H51" s="1131"/>
      <c r="I51" s="857"/>
      <c r="K51" s="1144"/>
      <c r="L51" s="1145"/>
      <c r="M51" s="1145"/>
      <c r="N51" s="1145"/>
      <c r="O51" s="1145"/>
      <c r="P51" s="1145"/>
      <c r="Q51" s="1119"/>
      <c r="R51" s="1119"/>
      <c r="S51" s="1119"/>
      <c r="T51" s="1119"/>
    </row>
    <row r="52" spans="1:20" s="858" customFormat="1" ht="12.75" customHeight="1">
      <c r="A52" s="1221" t="s">
        <v>161</v>
      </c>
      <c r="B52" s="1228" t="s">
        <v>131</v>
      </c>
      <c r="C52" s="1229"/>
      <c r="D52" s="1236" t="s">
        <v>185</v>
      </c>
      <c r="E52" s="1237"/>
      <c r="F52" s="1132">
        <v>0</v>
      </c>
      <c r="G52" s="1133">
        <v>0.2</v>
      </c>
      <c r="H52" s="1133">
        <v>0.5</v>
      </c>
      <c r="I52" s="1133">
        <v>1</v>
      </c>
      <c r="J52" s="1223" t="s">
        <v>186</v>
      </c>
      <c r="K52" s="1144"/>
      <c r="L52" s="1145"/>
      <c r="M52" s="1145"/>
      <c r="N52" s="1145"/>
      <c r="O52" s="1145"/>
      <c r="P52" s="1145"/>
      <c r="Q52" s="1119"/>
      <c r="R52" s="1119"/>
      <c r="S52" s="1119"/>
      <c r="T52" s="1119"/>
    </row>
    <row r="53" spans="1:20" s="858" customFormat="1" ht="9.75" customHeight="1">
      <c r="A53" s="1222"/>
      <c r="B53" s="1230"/>
      <c r="C53" s="1231"/>
      <c r="D53" s="1238"/>
      <c r="E53" s="1239"/>
      <c r="F53" s="1225" t="s">
        <v>162</v>
      </c>
      <c r="G53" s="1220" t="s">
        <v>162</v>
      </c>
      <c r="H53" s="1220" t="s">
        <v>162</v>
      </c>
      <c r="I53" s="1220" t="s">
        <v>162</v>
      </c>
      <c r="J53" s="1224"/>
      <c r="K53" s="854"/>
      <c r="L53" s="859"/>
      <c r="M53" s="859"/>
      <c r="N53" s="859"/>
      <c r="O53" s="859"/>
      <c r="P53" s="859"/>
      <c r="Q53" s="1119"/>
      <c r="R53" s="1119"/>
      <c r="S53" s="1119"/>
      <c r="T53" s="1119"/>
    </row>
    <row r="54" spans="1:20" s="858" customFormat="1" ht="17.25" customHeight="1">
      <c r="A54" s="1222"/>
      <c r="B54" s="1232"/>
      <c r="C54" s="1233"/>
      <c r="D54" s="1240"/>
      <c r="E54" s="1241"/>
      <c r="F54" s="1226"/>
      <c r="G54" s="1227"/>
      <c r="H54" s="1227"/>
      <c r="I54" s="1227"/>
      <c r="J54" s="1224"/>
      <c r="K54" s="854"/>
      <c r="L54" s="859"/>
      <c r="M54" s="859"/>
      <c r="N54" s="859"/>
      <c r="O54" s="859"/>
      <c r="P54" s="859"/>
      <c r="Q54" s="1119"/>
      <c r="R54" s="1119"/>
      <c r="S54" s="1119"/>
      <c r="T54" s="1119"/>
    </row>
    <row r="55" spans="1:20" s="858" customFormat="1">
      <c r="A55" s="1222"/>
      <c r="B55" s="1249" t="s">
        <v>132</v>
      </c>
      <c r="C55" s="1250"/>
      <c r="D55" s="1111" t="s">
        <v>133</v>
      </c>
      <c r="E55" s="1111"/>
      <c r="F55" s="1134" t="s">
        <v>134</v>
      </c>
      <c r="G55" s="1111" t="s">
        <v>135</v>
      </c>
      <c r="H55" s="1111" t="s">
        <v>163</v>
      </c>
      <c r="I55" s="1111" t="s">
        <v>164</v>
      </c>
      <c r="J55" s="1112" t="s">
        <v>187</v>
      </c>
      <c r="K55" s="854"/>
      <c r="L55" s="859"/>
      <c r="M55" s="859"/>
      <c r="N55" s="859"/>
      <c r="O55" s="859"/>
      <c r="P55" s="859"/>
      <c r="Q55" s="1119"/>
      <c r="R55" s="1119"/>
      <c r="S55" s="1119"/>
      <c r="T55" s="1119"/>
    </row>
    <row r="56" spans="1:20" s="858" customFormat="1">
      <c r="A56" s="1244" t="s">
        <v>188</v>
      </c>
      <c r="B56" s="1245"/>
      <c r="C56" s="1245"/>
      <c r="D56" s="1245"/>
      <c r="E56" s="1245"/>
      <c r="F56" s="1245"/>
      <c r="G56" s="1245"/>
      <c r="H56" s="1245"/>
      <c r="I56" s="1245"/>
      <c r="J56" s="1246"/>
      <c r="K56" s="854"/>
      <c r="L56" s="859"/>
      <c r="M56" s="859"/>
      <c r="N56" s="859"/>
      <c r="O56" s="859"/>
      <c r="P56" s="859"/>
      <c r="Q56" s="1119"/>
      <c r="R56" s="1119"/>
      <c r="S56" s="1119"/>
      <c r="T56" s="1119"/>
    </row>
    <row r="57" spans="1:20" s="858" customFormat="1">
      <c r="A57" s="1135">
        <v>1</v>
      </c>
      <c r="B57" s="1242" t="s">
        <v>189</v>
      </c>
      <c r="C57" s="1243"/>
      <c r="D57" s="855"/>
      <c r="E57" s="855"/>
      <c r="F57" s="855"/>
      <c r="G57" s="855"/>
      <c r="H57" s="855"/>
      <c r="I57" s="855"/>
      <c r="J57" s="861"/>
      <c r="K57" s="854"/>
      <c r="L57" s="859"/>
      <c r="M57" s="859"/>
      <c r="N57" s="859"/>
      <c r="O57" s="859"/>
      <c r="P57" s="859"/>
      <c r="Q57" s="1119"/>
      <c r="R57" s="1119"/>
      <c r="S57" s="1119"/>
      <c r="T57" s="1119"/>
    </row>
    <row r="58" spans="1:20" s="858" customFormat="1">
      <c r="A58" s="1135" t="s">
        <v>137</v>
      </c>
      <c r="B58" s="1242" t="s">
        <v>190</v>
      </c>
      <c r="C58" s="1243"/>
      <c r="D58" s="1212">
        <v>0.5</v>
      </c>
      <c r="E58" s="1213"/>
      <c r="F58" s="200"/>
      <c r="G58" s="200"/>
      <c r="H58" s="200"/>
      <c r="I58" s="200">
        <v>202970378</v>
      </c>
      <c r="J58" s="860">
        <f>(G58*0.1)+(H58*0.25)+(I58*0.5)</f>
        <v>101485189</v>
      </c>
      <c r="K58" s="854"/>
      <c r="L58" s="859"/>
      <c r="M58" s="859"/>
      <c r="N58" s="859"/>
      <c r="O58" s="859"/>
      <c r="P58" s="859"/>
      <c r="Q58" s="1119"/>
      <c r="R58" s="1119"/>
      <c r="S58" s="1119"/>
      <c r="T58" s="1119"/>
    </row>
    <row r="59" spans="1:20" s="858" customFormat="1">
      <c r="A59" s="1135" t="s">
        <v>139</v>
      </c>
      <c r="B59" s="1242" t="s">
        <v>191</v>
      </c>
      <c r="C59" s="1243"/>
      <c r="D59" s="1212">
        <v>0.2</v>
      </c>
      <c r="E59" s="1213"/>
      <c r="F59" s="200"/>
      <c r="G59" s="200"/>
      <c r="H59" s="200"/>
      <c r="I59" s="200"/>
      <c r="J59" s="860">
        <f>(G59*0.04)+(H59*0.1)+(I59*0.2)</f>
        <v>0</v>
      </c>
      <c r="K59" s="854"/>
      <c r="L59" s="859"/>
      <c r="M59" s="859"/>
      <c r="N59" s="859"/>
      <c r="O59" s="859"/>
      <c r="P59" s="859"/>
      <c r="Q59" s="1119"/>
      <c r="R59" s="1119"/>
      <c r="S59" s="1119"/>
      <c r="T59" s="1119"/>
    </row>
    <row r="60" spans="1:20" s="858" customFormat="1" ht="26.25" customHeight="1">
      <c r="A60" s="1135">
        <v>2</v>
      </c>
      <c r="B60" s="1242" t="s">
        <v>192</v>
      </c>
      <c r="C60" s="1243"/>
      <c r="D60" s="1212">
        <v>1</v>
      </c>
      <c r="E60" s="1213"/>
      <c r="F60" s="200"/>
      <c r="G60" s="200"/>
      <c r="H60" s="200"/>
      <c r="I60" s="200"/>
      <c r="J60" s="860">
        <f>(G60*0.2)+(H60*0.5)+(I60*1)</f>
        <v>0</v>
      </c>
      <c r="K60" s="854"/>
      <c r="L60" s="859"/>
      <c r="M60" s="859"/>
      <c r="N60" s="859"/>
      <c r="O60" s="859"/>
      <c r="P60" s="859"/>
      <c r="Q60" s="1119"/>
      <c r="R60" s="1119"/>
      <c r="S60" s="1119"/>
      <c r="T60" s="1119"/>
    </row>
    <row r="61" spans="1:20" s="858" customFormat="1">
      <c r="A61" s="1135">
        <v>3</v>
      </c>
      <c r="B61" s="1242" t="s">
        <v>193</v>
      </c>
      <c r="C61" s="1243"/>
      <c r="D61" s="1212">
        <v>1</v>
      </c>
      <c r="E61" s="1213"/>
      <c r="F61" s="200"/>
      <c r="G61" s="855"/>
      <c r="H61" s="855"/>
      <c r="I61" s="200">
        <v>1364025</v>
      </c>
      <c r="J61" s="860">
        <f>(G61*0.2)+(H61*0.5)+(I61*1)</f>
        <v>1364025</v>
      </c>
      <c r="K61" s="854"/>
      <c r="L61" s="859"/>
      <c r="M61" s="859"/>
      <c r="N61" s="859"/>
      <c r="O61" s="859"/>
      <c r="P61" s="859"/>
      <c r="Q61" s="1119"/>
      <c r="R61" s="1119"/>
      <c r="S61" s="1119"/>
      <c r="T61" s="1119"/>
    </row>
    <row r="62" spans="1:20" s="858" customFormat="1">
      <c r="A62" s="1135">
        <v>4</v>
      </c>
      <c r="B62" s="1242" t="s">
        <v>194</v>
      </c>
      <c r="C62" s="1243"/>
      <c r="D62" s="1136"/>
      <c r="E62" s="1136"/>
      <c r="F62" s="855"/>
      <c r="G62" s="855"/>
      <c r="H62" s="855"/>
      <c r="I62" s="855"/>
      <c r="J62" s="861"/>
      <c r="K62" s="854"/>
      <c r="L62" s="859"/>
      <c r="M62" s="859"/>
      <c r="N62" s="859"/>
      <c r="O62" s="859"/>
      <c r="P62" s="859"/>
      <c r="Q62" s="1119"/>
      <c r="R62" s="1119"/>
      <c r="S62" s="1119"/>
      <c r="T62" s="1119"/>
    </row>
    <row r="63" spans="1:20" s="858" customFormat="1">
      <c r="A63" s="1135" t="s">
        <v>137</v>
      </c>
      <c r="B63" s="1242" t="s">
        <v>195</v>
      </c>
      <c r="C63" s="1243"/>
      <c r="D63" s="1212">
        <v>1</v>
      </c>
      <c r="E63" s="1213"/>
      <c r="F63" s="200"/>
      <c r="G63" s="200"/>
      <c r="H63" s="200"/>
      <c r="I63" s="200"/>
      <c r="J63" s="860">
        <f>(G63*0.2)+(H63*0.5)+(I63*1)</f>
        <v>0</v>
      </c>
      <c r="K63" s="854"/>
      <c r="L63" s="859"/>
      <c r="M63" s="859"/>
      <c r="N63" s="859"/>
      <c r="O63" s="859"/>
      <c r="P63" s="859"/>
      <c r="Q63" s="1119"/>
      <c r="R63" s="1119"/>
      <c r="S63" s="1119"/>
      <c r="T63" s="1119"/>
    </row>
    <row r="64" spans="1:20" s="858" customFormat="1">
      <c r="A64" s="1135" t="s">
        <v>139</v>
      </c>
      <c r="B64" s="1242" t="s">
        <v>196</v>
      </c>
      <c r="C64" s="1243"/>
      <c r="D64" s="1212">
        <v>0.5</v>
      </c>
      <c r="E64" s="1213"/>
      <c r="F64" s="200"/>
      <c r="G64" s="200"/>
      <c r="H64" s="200"/>
      <c r="I64" s="200"/>
      <c r="J64" s="860">
        <f>(G64*0.1)+(H64*0.25)+(I64*0.5)</f>
        <v>0</v>
      </c>
      <c r="K64" s="854"/>
      <c r="L64" s="859"/>
      <c r="M64" s="859"/>
      <c r="N64" s="859"/>
      <c r="O64" s="859"/>
      <c r="P64" s="859"/>
      <c r="Q64" s="1119"/>
      <c r="R64" s="1119"/>
      <c r="S64" s="1119"/>
      <c r="T64" s="1119"/>
    </row>
    <row r="65" spans="1:20" s="858" customFormat="1">
      <c r="A65" s="1135" t="s">
        <v>141</v>
      </c>
      <c r="B65" s="1242" t="s">
        <v>197</v>
      </c>
      <c r="C65" s="1243"/>
      <c r="D65" s="1212">
        <v>0.2</v>
      </c>
      <c r="E65" s="1213"/>
      <c r="F65" s="200"/>
      <c r="G65" s="200"/>
      <c r="H65" s="200"/>
      <c r="I65" s="200"/>
      <c r="J65" s="860">
        <f>(G65*0.04)+(H65*0.1)+(I65*0.2)</f>
        <v>0</v>
      </c>
      <c r="K65" s="854"/>
      <c r="L65" s="859"/>
      <c r="M65" s="859"/>
      <c r="N65" s="859"/>
      <c r="O65" s="859"/>
      <c r="P65" s="859"/>
      <c r="Q65" s="1119"/>
      <c r="R65" s="1119"/>
      <c r="S65" s="1119"/>
      <c r="T65" s="1119"/>
    </row>
    <row r="66" spans="1:20" s="858" customFormat="1">
      <c r="A66" s="1135" t="s">
        <v>150</v>
      </c>
      <c r="B66" s="1242" t="s">
        <v>785</v>
      </c>
      <c r="C66" s="1243"/>
      <c r="D66" s="1212">
        <v>1</v>
      </c>
      <c r="E66" s="1213"/>
      <c r="F66" s="200"/>
      <c r="G66" s="855"/>
      <c r="H66" s="855"/>
      <c r="I66" s="200"/>
      <c r="J66" s="860">
        <f>(G66*0.2)+(H66*0.5)+(I66*1)</f>
        <v>0</v>
      </c>
      <c r="K66" s="854"/>
      <c r="L66" s="859"/>
      <c r="M66" s="859"/>
      <c r="N66" s="859"/>
      <c r="O66" s="859"/>
      <c r="P66" s="859"/>
      <c r="Q66" s="1119"/>
      <c r="R66" s="1119"/>
      <c r="S66" s="1119"/>
      <c r="T66" s="1119"/>
    </row>
    <row r="67" spans="1:20" s="858" customFormat="1">
      <c r="A67" s="1135">
        <v>5</v>
      </c>
      <c r="B67" s="1242" t="s">
        <v>198</v>
      </c>
      <c r="C67" s="1243"/>
      <c r="D67" s="1136"/>
      <c r="E67" s="1136"/>
      <c r="F67" s="855"/>
      <c r="G67" s="855"/>
      <c r="H67" s="855"/>
      <c r="I67" s="855"/>
      <c r="J67" s="861"/>
      <c r="K67" s="854"/>
      <c r="L67" s="859"/>
      <c r="M67" s="859"/>
      <c r="N67" s="859"/>
      <c r="O67" s="859"/>
      <c r="P67" s="859"/>
      <c r="Q67" s="1119"/>
      <c r="R67" s="1119"/>
      <c r="S67" s="1119"/>
      <c r="T67" s="1119"/>
    </row>
    <row r="68" spans="1:20" s="858" customFormat="1">
      <c r="A68" s="1135" t="s">
        <v>137</v>
      </c>
      <c r="B68" s="1242" t="s">
        <v>199</v>
      </c>
      <c r="C68" s="1243"/>
      <c r="D68" s="1136"/>
      <c r="E68" s="1136"/>
      <c r="F68" s="855"/>
      <c r="G68" s="855"/>
      <c r="H68" s="855"/>
      <c r="I68" s="855"/>
      <c r="J68" s="861"/>
      <c r="K68" s="854"/>
      <c r="L68" s="859"/>
      <c r="M68" s="859"/>
      <c r="N68" s="859"/>
      <c r="O68" s="859"/>
      <c r="P68" s="859"/>
      <c r="Q68" s="1119"/>
      <c r="R68" s="1119"/>
      <c r="S68" s="1119"/>
      <c r="T68" s="1119"/>
    </row>
    <row r="69" spans="1:20" s="858" customFormat="1">
      <c r="A69" s="1135" t="s">
        <v>200</v>
      </c>
      <c r="B69" s="1242" t="s">
        <v>201</v>
      </c>
      <c r="C69" s="1243"/>
      <c r="D69" s="1214">
        <v>5.0000000000000001E-3</v>
      </c>
      <c r="E69" s="1215"/>
      <c r="F69" s="200"/>
      <c r="G69" s="200"/>
      <c r="H69" s="200"/>
      <c r="I69" s="200"/>
      <c r="J69" s="860">
        <f>(G69*0.001)+(H69*0.0025)+(I69*0.005)</f>
        <v>0</v>
      </c>
      <c r="K69" s="854"/>
      <c r="L69" s="859"/>
      <c r="M69" s="859"/>
      <c r="N69" s="859"/>
      <c r="O69" s="859"/>
      <c r="P69" s="859"/>
      <c r="Q69" s="1119"/>
      <c r="R69" s="1119"/>
      <c r="S69" s="1119"/>
      <c r="T69" s="1119"/>
    </row>
    <row r="70" spans="1:20" s="858" customFormat="1">
      <c r="A70" s="1135" t="s">
        <v>202</v>
      </c>
      <c r="B70" s="1242" t="s">
        <v>203</v>
      </c>
      <c r="C70" s="1243"/>
      <c r="D70" s="1212">
        <v>0.01</v>
      </c>
      <c r="E70" s="1213"/>
      <c r="F70" s="200"/>
      <c r="G70" s="200"/>
      <c r="H70" s="200"/>
      <c r="I70" s="200"/>
      <c r="J70" s="860">
        <f>(G70*0.002)+(H70*0.005)+(I70*0.01)</f>
        <v>0</v>
      </c>
      <c r="K70" s="854"/>
      <c r="L70" s="859"/>
      <c r="M70" s="859"/>
      <c r="N70" s="859"/>
      <c r="O70" s="859"/>
      <c r="P70" s="859"/>
      <c r="Q70" s="1119"/>
      <c r="R70" s="1119"/>
      <c r="S70" s="1119"/>
      <c r="T70" s="1119"/>
    </row>
    <row r="71" spans="1:20" s="858" customFormat="1">
      <c r="A71" s="1135" t="s">
        <v>204</v>
      </c>
      <c r="B71" s="1242" t="s">
        <v>205</v>
      </c>
      <c r="C71" s="1243"/>
      <c r="D71" s="1212">
        <v>0.02</v>
      </c>
      <c r="E71" s="1213"/>
      <c r="F71" s="200"/>
      <c r="G71" s="200"/>
      <c r="H71" s="200"/>
      <c r="I71" s="200"/>
      <c r="J71" s="852">
        <f>(G71*0.004)+(H71*0.01)+(I71*0.02)</f>
        <v>0</v>
      </c>
      <c r="K71" s="854"/>
      <c r="L71" s="859"/>
      <c r="M71" s="859"/>
      <c r="N71" s="859"/>
      <c r="O71" s="859"/>
      <c r="P71" s="859"/>
      <c r="Q71" s="1119"/>
      <c r="R71" s="1119"/>
      <c r="S71" s="1119"/>
      <c r="T71" s="1119"/>
    </row>
    <row r="72" spans="1:20" s="858" customFormat="1">
      <c r="A72" s="1135" t="s">
        <v>139</v>
      </c>
      <c r="B72" s="1242" t="s">
        <v>206</v>
      </c>
      <c r="C72" s="1243"/>
      <c r="D72" s="1136"/>
      <c r="E72" s="1136"/>
      <c r="F72" s="855"/>
      <c r="G72" s="855"/>
      <c r="H72" s="855"/>
      <c r="I72" s="855"/>
      <c r="J72" s="861"/>
      <c r="K72" s="854"/>
      <c r="L72" s="859"/>
      <c r="M72" s="859"/>
      <c r="N72" s="859"/>
      <c r="O72" s="859"/>
      <c r="P72" s="859"/>
      <c r="Q72" s="1119"/>
      <c r="R72" s="1119"/>
      <c r="S72" s="1119"/>
      <c r="T72" s="1119"/>
    </row>
    <row r="73" spans="1:20" s="858" customFormat="1">
      <c r="A73" s="1135" t="s">
        <v>207</v>
      </c>
      <c r="B73" s="1242" t="s">
        <v>208</v>
      </c>
      <c r="C73" s="1243"/>
      <c r="D73" s="1212">
        <v>0.02</v>
      </c>
      <c r="E73" s="1213"/>
      <c r="F73" s="200"/>
      <c r="G73" s="200"/>
      <c r="H73" s="200"/>
      <c r="I73" s="200"/>
      <c r="J73" s="860">
        <f>(G73*0.004)+(H73*0.01)+(I73*0.02)</f>
        <v>0</v>
      </c>
      <c r="K73" s="854"/>
      <c r="L73" s="859"/>
      <c r="M73" s="859"/>
      <c r="N73" s="859"/>
      <c r="O73" s="859"/>
      <c r="P73" s="859"/>
      <c r="Q73" s="1119"/>
      <c r="R73" s="1119"/>
      <c r="S73" s="1119"/>
      <c r="T73" s="1119"/>
    </row>
    <row r="74" spans="1:20" s="858" customFormat="1">
      <c r="A74" s="1135" t="s">
        <v>209</v>
      </c>
      <c r="B74" s="1242" t="s">
        <v>210</v>
      </c>
      <c r="C74" s="1243"/>
      <c r="D74" s="1212">
        <v>0.05</v>
      </c>
      <c r="E74" s="1213"/>
      <c r="F74" s="200"/>
      <c r="G74" s="200"/>
      <c r="H74" s="200"/>
      <c r="I74" s="200"/>
      <c r="J74" s="860">
        <f>(G74*0.01)+(H74*0.025)+(I74*0.05)</f>
        <v>0</v>
      </c>
      <c r="K74" s="854"/>
      <c r="L74" s="859"/>
      <c r="M74" s="859"/>
      <c r="N74" s="859"/>
      <c r="O74" s="859"/>
      <c r="P74" s="859"/>
      <c r="Q74" s="1119"/>
      <c r="R74" s="1119"/>
      <c r="S74" s="1119"/>
      <c r="T74" s="1119"/>
    </row>
    <row r="75" spans="1:20" s="858" customFormat="1">
      <c r="A75" s="1135" t="s">
        <v>211</v>
      </c>
      <c r="B75" s="1242" t="s">
        <v>212</v>
      </c>
      <c r="C75" s="1243"/>
      <c r="D75" s="1212">
        <v>0.08</v>
      </c>
      <c r="E75" s="1213"/>
      <c r="F75" s="200"/>
      <c r="G75" s="200"/>
      <c r="H75" s="200"/>
      <c r="I75" s="200"/>
      <c r="J75" s="860">
        <f>(G75*0.016)+(H75*0.04)+(I75*0.08)</f>
        <v>0</v>
      </c>
      <c r="K75" s="854"/>
      <c r="L75" s="859"/>
      <c r="M75" s="859"/>
      <c r="N75" s="859"/>
      <c r="O75" s="859"/>
      <c r="P75" s="859"/>
      <c r="Q75" s="1119"/>
      <c r="R75" s="1119"/>
      <c r="S75" s="1119"/>
      <c r="T75" s="1119"/>
    </row>
    <row r="76" spans="1:20" s="858" customFormat="1">
      <c r="A76" s="1135">
        <v>6</v>
      </c>
      <c r="B76" s="1242" t="s">
        <v>213</v>
      </c>
      <c r="C76" s="1243"/>
      <c r="D76" s="1136"/>
      <c r="E76" s="1136"/>
      <c r="F76" s="852">
        <f>SUM(F58:F75)</f>
        <v>0</v>
      </c>
      <c r="G76" s="852">
        <f>SUM(G58:G75)</f>
        <v>0</v>
      </c>
      <c r="H76" s="852">
        <f>SUM(H58:H75)</f>
        <v>0</v>
      </c>
      <c r="I76" s="852">
        <f>SUM(I58:I75)</f>
        <v>204334403</v>
      </c>
      <c r="J76" s="861"/>
      <c r="K76" s="1137">
        <f>+F76+G76+H76+I76</f>
        <v>204334403</v>
      </c>
      <c r="L76" s="854">
        <f>+Commitments!C4+Commitments!C7+Commitments!C10+Commitments!C19+Commitments!C20+Commitments!C21+Commitments!C22</f>
        <v>856566199</v>
      </c>
      <c r="M76" s="1138">
        <f>+K76-L76</f>
        <v>-652231796</v>
      </c>
      <c r="N76" s="859"/>
      <c r="O76" s="859"/>
      <c r="P76" s="859"/>
      <c r="Q76" s="1119"/>
      <c r="R76" s="1119"/>
      <c r="S76" s="1119"/>
      <c r="T76" s="1119"/>
    </row>
    <row r="77" spans="1:20" s="858" customFormat="1">
      <c r="A77" s="1135">
        <v>7</v>
      </c>
      <c r="B77" s="1242" t="s">
        <v>214</v>
      </c>
      <c r="C77" s="1243"/>
      <c r="D77" s="1136"/>
      <c r="E77" s="1136"/>
      <c r="F77" s="855"/>
      <c r="G77" s="855"/>
      <c r="H77" s="855"/>
      <c r="I77" s="855"/>
      <c r="J77" s="860">
        <f>SUM(J58:J75)</f>
        <v>102849214</v>
      </c>
      <c r="K77" s="854"/>
      <c r="L77" s="859"/>
      <c r="M77" s="859"/>
      <c r="N77" s="859"/>
      <c r="O77" s="859"/>
      <c r="P77" s="859"/>
      <c r="Q77" s="1119"/>
      <c r="R77" s="1119"/>
      <c r="S77" s="1119"/>
      <c r="T77" s="1119"/>
    </row>
    <row r="78" spans="1:20" s="858" customFormat="1" ht="13.5" thickBot="1">
      <c r="A78" s="1139">
        <v>8</v>
      </c>
      <c r="B78" s="1247" t="s">
        <v>215</v>
      </c>
      <c r="C78" s="1248"/>
      <c r="D78" s="1140"/>
      <c r="E78" s="1140"/>
      <c r="F78" s="856"/>
      <c r="G78" s="856"/>
      <c r="H78" s="856"/>
      <c r="I78" s="856"/>
      <c r="J78" s="862">
        <f>SUM(J77+J49)</f>
        <v>4178811059.8000002</v>
      </c>
      <c r="K78" s="854">
        <f>+J78*0.15</f>
        <v>626821658.97000003</v>
      </c>
      <c r="L78" s="859"/>
      <c r="M78" s="859"/>
      <c r="N78" s="859"/>
      <c r="O78" s="859"/>
      <c r="P78" s="859"/>
      <c r="Q78" s="1119"/>
      <c r="R78" s="1119"/>
      <c r="S78" s="1119"/>
      <c r="T78" s="1119"/>
    </row>
    <row r="79" spans="1:20">
      <c r="J79" s="863"/>
      <c r="K79" s="1104"/>
    </row>
    <row r="80" spans="1:20">
      <c r="B80" s="1141" t="s">
        <v>4</v>
      </c>
      <c r="C80" s="1141"/>
      <c r="J80" s="863"/>
      <c r="K80" s="1104"/>
    </row>
    <row r="81" spans="2:11">
      <c r="B81" s="1141"/>
      <c r="C81" s="1141"/>
      <c r="J81" s="863"/>
      <c r="K81" s="1104"/>
    </row>
    <row r="82" spans="2:11">
      <c r="B82" s="1141" t="s">
        <v>5</v>
      </c>
    </row>
  </sheetData>
  <sheetProtection password="CA76" sheet="1" objects="1" scenarios="1"/>
  <mergeCells count="51">
    <mergeCell ref="A1:H1"/>
    <mergeCell ref="I1:J1"/>
    <mergeCell ref="G3:H3"/>
    <mergeCell ref="A4:A5"/>
    <mergeCell ref="B4:B5"/>
    <mergeCell ref="B59:C59"/>
    <mergeCell ref="D59:E59"/>
    <mergeCell ref="B60:C60"/>
    <mergeCell ref="D60:E60"/>
    <mergeCell ref="B55:C55"/>
    <mergeCell ref="B57:C57"/>
    <mergeCell ref="B58:C58"/>
    <mergeCell ref="D58:E58"/>
    <mergeCell ref="H53:H54"/>
    <mergeCell ref="I53:I54"/>
    <mergeCell ref="A56:J56"/>
    <mergeCell ref="A52:A55"/>
    <mergeCell ref="B52:C54"/>
    <mergeCell ref="D52:E54"/>
    <mergeCell ref="F53:F54"/>
    <mergeCell ref="G53:G54"/>
    <mergeCell ref="J52:J54"/>
    <mergeCell ref="B62:C62"/>
    <mergeCell ref="B61:C61"/>
    <mergeCell ref="D61:E61"/>
    <mergeCell ref="B63:C63"/>
    <mergeCell ref="D63:E63"/>
    <mergeCell ref="B64:C64"/>
    <mergeCell ref="D64:E64"/>
    <mergeCell ref="B66:C66"/>
    <mergeCell ref="D66:E66"/>
    <mergeCell ref="B65:C65"/>
    <mergeCell ref="D65:E65"/>
    <mergeCell ref="B67:C67"/>
    <mergeCell ref="B69:C69"/>
    <mergeCell ref="D69:E69"/>
    <mergeCell ref="B70:C70"/>
    <mergeCell ref="D70:E70"/>
    <mergeCell ref="B68:C68"/>
    <mergeCell ref="D71:E71"/>
    <mergeCell ref="D73:E73"/>
    <mergeCell ref="B74:C74"/>
    <mergeCell ref="D74:E74"/>
    <mergeCell ref="B75:C75"/>
    <mergeCell ref="D75:E75"/>
    <mergeCell ref="B71:C71"/>
    <mergeCell ref="B76:C76"/>
    <mergeCell ref="B77:C77"/>
    <mergeCell ref="B78:C78"/>
    <mergeCell ref="B72:C72"/>
    <mergeCell ref="B73:C73"/>
  </mergeCells>
  <conditionalFormatting sqref="K47">
    <cfRule type="cellIs" dxfId="350" priority="7" operator="notEqual">
      <formula>$L$47</formula>
    </cfRule>
  </conditionalFormatting>
  <conditionalFormatting sqref="H34">
    <cfRule type="cellIs" dxfId="349" priority="6" operator="notEqual">
      <formula>$K$34</formula>
    </cfRule>
  </conditionalFormatting>
  <conditionalFormatting sqref="H35">
    <cfRule type="cellIs" dxfId="348" priority="5" operator="notEqual">
      <formula>$K$35</formula>
    </cfRule>
  </conditionalFormatting>
  <conditionalFormatting sqref="K34">
    <cfRule type="cellIs" dxfId="347" priority="4" operator="notEqual">
      <formula>$H$34</formula>
    </cfRule>
  </conditionalFormatting>
  <conditionalFormatting sqref="K35">
    <cfRule type="cellIs" dxfId="346" priority="3" operator="notEqual">
      <formula>$H$35</formula>
    </cfRule>
  </conditionalFormatting>
  <dataValidations count="2">
    <dataValidation type="whole" operator="greaterThanOrEqual" allowBlank="1" showInputMessage="1" showErrorMessage="1" sqref="F62:I62 G66:H66 F72:I72 G61:H61 F67:I68" xr:uid="{00000000-0002-0000-0700-000000000000}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58:I60 F66 H45 D11:H11 G41:H41 F73:I75 I61 F69:I71 F58:F61 I63:I66 F63:H65 G43 G36:G40 G46:J46 H34:H35 G33 C42 D15 G29 C24 F15 F26 G31:J31 C18 H27:J29 D19:D21 C20 C13:C14 D23 C16 D25 G16:G17 F19 C10 D9 C8 C44" xr:uid="{00000000-0002-0000-0700-000001000000}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3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V82"/>
  <sheetViews>
    <sheetView view="pageBreakPreview" zoomScaleSheetLayoutView="100" workbookViewId="0">
      <pane xSplit="2" ySplit="6" topLeftCell="C64" activePane="bottomRight" state="frozen"/>
      <selection activeCell="B3" sqref="B3"/>
      <selection pane="topRight" activeCell="B3" sqref="B3"/>
      <selection pane="bottomLeft" activeCell="B3" sqref="B3"/>
      <selection pane="bottomRight" activeCell="C47" sqref="C47"/>
    </sheetView>
  </sheetViews>
  <sheetFormatPr defaultRowHeight="12.75"/>
  <cols>
    <col min="1" max="1" width="5.42578125" style="1105" customWidth="1"/>
    <col min="2" max="2" width="67" style="863" customWidth="1"/>
    <col min="3" max="3" width="12.5703125" style="863" customWidth="1"/>
    <col min="4" max="7" width="14.7109375" style="863" customWidth="1"/>
    <col min="8" max="8" width="16.140625" style="863" customWidth="1"/>
    <col min="9" max="9" width="14.7109375" style="863" customWidth="1"/>
    <col min="10" max="10" width="13" style="1104" customWidth="1"/>
    <col min="11" max="13" width="16.42578125" style="1098" customWidth="1"/>
    <col min="14" max="16" width="10.28515625" style="1098" customWidth="1"/>
    <col min="17" max="20" width="9.140625" style="1099"/>
    <col min="21" max="16384" width="9.140625" style="863"/>
  </cols>
  <sheetData>
    <row r="1" spans="1:20" ht="26.25" customHeight="1">
      <c r="A1" s="1235" t="s">
        <v>1241</v>
      </c>
      <c r="B1" s="1235"/>
      <c r="C1" s="1235"/>
      <c r="D1" s="1235"/>
      <c r="E1" s="1235"/>
      <c r="F1" s="1235"/>
      <c r="G1" s="1235"/>
      <c r="H1" s="1235"/>
      <c r="I1" s="1216" t="s">
        <v>1285</v>
      </c>
      <c r="J1" s="1216"/>
    </row>
    <row r="2" spans="1:20">
      <c r="A2" s="1100"/>
      <c r="B2" s="1101"/>
      <c r="C2" s="1102"/>
      <c r="F2" s="1103"/>
      <c r="G2" s="1103"/>
      <c r="H2" s="1103"/>
      <c r="I2" s="1102"/>
    </row>
    <row r="3" spans="1:20" ht="16.5" thickBot="1">
      <c r="B3" s="1106" t="str">
        <f>Balance!B3</f>
        <v>АКБ "Микрокредитбанк"</v>
      </c>
      <c r="D3" s="1102"/>
      <c r="E3" s="1102"/>
      <c r="G3" s="1234">
        <f>+Balance!C3</f>
        <v>43829</v>
      </c>
      <c r="H3" s="1234"/>
      <c r="J3" s="1107" t="str">
        <f>+Balance!E3</f>
        <v>тыс. сум</v>
      </c>
      <c r="K3" s="1104"/>
    </row>
    <row r="4" spans="1:20">
      <c r="A4" s="1217" t="s">
        <v>161</v>
      </c>
      <c r="B4" s="1219" t="s">
        <v>131</v>
      </c>
      <c r="C4" s="1108">
        <v>0</v>
      </c>
      <c r="D4" s="1108">
        <v>0.2</v>
      </c>
      <c r="E4" s="1108">
        <v>0.3</v>
      </c>
      <c r="F4" s="1108">
        <v>0.5</v>
      </c>
      <c r="G4" s="1108">
        <v>1</v>
      </c>
      <c r="H4" s="1108">
        <v>1.5</v>
      </c>
      <c r="I4" s="1108">
        <v>2</v>
      </c>
      <c r="J4" s="1109">
        <v>3</v>
      </c>
      <c r="K4" s="1110"/>
      <c r="L4" s="1104"/>
    </row>
    <row r="5" spans="1:20" ht="20.25" customHeight="1">
      <c r="A5" s="1218"/>
      <c r="B5" s="1220"/>
      <c r="C5" s="1111" t="s">
        <v>162</v>
      </c>
      <c r="D5" s="1111" t="s">
        <v>162</v>
      </c>
      <c r="E5" s="1111" t="s">
        <v>162</v>
      </c>
      <c r="F5" s="1111" t="s">
        <v>162</v>
      </c>
      <c r="G5" s="1111" t="s">
        <v>162</v>
      </c>
      <c r="H5" s="1111" t="s">
        <v>162</v>
      </c>
      <c r="I5" s="1111" t="s">
        <v>162</v>
      </c>
      <c r="J5" s="1112" t="s">
        <v>162</v>
      </c>
      <c r="L5" s="1104"/>
    </row>
    <row r="6" spans="1:20">
      <c r="A6" s="1113"/>
      <c r="B6" s="1114" t="s">
        <v>132</v>
      </c>
      <c r="C6" s="1114" t="s">
        <v>133</v>
      </c>
      <c r="D6" s="1114" t="s">
        <v>134</v>
      </c>
      <c r="E6" s="1114" t="s">
        <v>135</v>
      </c>
      <c r="F6" s="1114" t="s">
        <v>163</v>
      </c>
      <c r="G6" s="1114" t="s">
        <v>164</v>
      </c>
      <c r="H6" s="1114" t="s">
        <v>187</v>
      </c>
      <c r="I6" s="1114" t="s">
        <v>235</v>
      </c>
      <c r="J6" s="1114" t="s">
        <v>236</v>
      </c>
      <c r="L6" s="1104"/>
    </row>
    <row r="7" spans="1:20">
      <c r="A7" s="1113"/>
      <c r="B7" s="1115" t="s">
        <v>165</v>
      </c>
      <c r="C7" s="1116"/>
      <c r="D7" s="1116"/>
      <c r="E7" s="1116"/>
      <c r="F7" s="1116"/>
      <c r="G7" s="1116"/>
      <c r="H7" s="1116"/>
      <c r="I7" s="1116"/>
      <c r="J7" s="1117"/>
      <c r="L7" s="1104"/>
    </row>
    <row r="8" spans="1:20" s="858" customFormat="1">
      <c r="A8" s="1113" t="s">
        <v>166</v>
      </c>
      <c r="B8" s="1118" t="s">
        <v>167</v>
      </c>
      <c r="C8" s="551">
        <f>+'Calculation of Risk Weighted As'!C8-'Calculation of Risk Weighte нац'!C8</f>
        <v>99077843</v>
      </c>
      <c r="D8" s="855"/>
      <c r="E8" s="855"/>
      <c r="F8" s="855"/>
      <c r="G8" s="855"/>
      <c r="H8" s="855"/>
      <c r="I8" s="855"/>
      <c r="J8" s="861"/>
      <c r="K8" s="853"/>
      <c r="L8" s="854"/>
      <c r="M8" s="859"/>
      <c r="N8" s="859"/>
      <c r="O8" s="859"/>
      <c r="P8" s="859"/>
      <c r="Q8" s="1119"/>
      <c r="R8" s="1119"/>
      <c r="S8" s="1119"/>
      <c r="T8" s="1119"/>
    </row>
    <row r="9" spans="1:20" s="858" customFormat="1">
      <c r="A9" s="1113" t="s">
        <v>397</v>
      </c>
      <c r="B9" s="1118" t="s">
        <v>168</v>
      </c>
      <c r="C9" s="855"/>
      <c r="D9" s="551">
        <f>+'Calculation of Risk Weighted As'!D9-'Calculation of Risk Weighte нац'!D9</f>
        <v>4328602</v>
      </c>
      <c r="E9" s="855"/>
      <c r="F9" s="855"/>
      <c r="G9" s="855"/>
      <c r="H9" s="855"/>
      <c r="I9" s="855"/>
      <c r="J9" s="861"/>
      <c r="K9" s="853"/>
      <c r="L9" s="854"/>
      <c r="M9" s="859"/>
      <c r="N9" s="859"/>
      <c r="O9" s="859"/>
      <c r="P9" s="859"/>
      <c r="Q9" s="1119"/>
      <c r="R9" s="1119"/>
      <c r="S9" s="1119"/>
      <c r="T9" s="1119"/>
    </row>
    <row r="10" spans="1:20" s="858" customFormat="1">
      <c r="A10" s="1113" t="s">
        <v>398</v>
      </c>
      <c r="B10" s="1118" t="s">
        <v>169</v>
      </c>
      <c r="C10" s="855"/>
      <c r="D10" s="551">
        <f>+Balance!E6</f>
        <v>21084460</v>
      </c>
      <c r="E10" s="855"/>
      <c r="F10" s="855"/>
      <c r="G10" s="855"/>
      <c r="H10" s="855"/>
      <c r="I10" s="855"/>
      <c r="J10" s="861"/>
      <c r="K10" s="853"/>
      <c r="L10" s="854"/>
      <c r="M10" s="859"/>
      <c r="N10" s="859"/>
      <c r="O10" s="859"/>
      <c r="P10" s="859"/>
      <c r="Q10" s="1119"/>
      <c r="R10" s="1119"/>
      <c r="S10" s="1119"/>
      <c r="T10" s="1119"/>
    </row>
    <row r="11" spans="1:20" s="858" customFormat="1" ht="17.25" customHeight="1">
      <c r="A11" s="1113" t="s">
        <v>400</v>
      </c>
      <c r="B11" s="1118" t="s">
        <v>1289</v>
      </c>
      <c r="C11" s="855"/>
      <c r="D11" s="551">
        <f>+'Calculation of Risk Weighted As'!D11-'Calculation of Risk Weighte нац'!D11</f>
        <v>0</v>
      </c>
      <c r="E11" s="551">
        <f>+'Calculation of Risk Weighted As'!E11-'Calculation of Risk Weighte нац'!E11</f>
        <v>0</v>
      </c>
      <c r="F11" s="551">
        <f>+'Calculation of Risk Weighted As'!F11-'Calculation of Risk Weighte нац'!F11</f>
        <v>0</v>
      </c>
      <c r="G11" s="551">
        <f>+'Calculation of Risk Weighted As'!G11-'Calculation of Risk Weighte нац'!G11</f>
        <v>309855</v>
      </c>
      <c r="H11" s="551">
        <f>+'Calculation of Risk Weighted As'!H11-'Calculation of Risk Weighte нац'!H11</f>
        <v>186339302</v>
      </c>
      <c r="I11" s="855"/>
      <c r="J11" s="861"/>
      <c r="K11" s="853"/>
      <c r="L11" s="854"/>
      <c r="M11" s="859"/>
      <c r="N11" s="859"/>
      <c r="O11" s="859"/>
      <c r="P11" s="859"/>
      <c r="Q11" s="1119"/>
      <c r="R11" s="1119"/>
      <c r="S11" s="1119"/>
      <c r="T11" s="1119"/>
    </row>
    <row r="12" spans="1:20" s="858" customFormat="1">
      <c r="A12" s="1113" t="s">
        <v>402</v>
      </c>
      <c r="B12" s="1118" t="s">
        <v>171</v>
      </c>
      <c r="C12" s="855"/>
      <c r="D12" s="855"/>
      <c r="E12" s="855"/>
      <c r="F12" s="855"/>
      <c r="G12" s="855"/>
      <c r="H12" s="855"/>
      <c r="I12" s="855"/>
      <c r="J12" s="861"/>
      <c r="K12" s="1120"/>
      <c r="L12" s="1121"/>
    </row>
    <row r="13" spans="1:20" s="858" customFormat="1">
      <c r="A13" s="1113" t="s">
        <v>42</v>
      </c>
      <c r="B13" s="1118" t="s">
        <v>172</v>
      </c>
      <c r="C13" s="551">
        <f>+'Calculation of Risk Weighted As'!C13-'Calculation of Risk Weighte нац'!C13</f>
        <v>0</v>
      </c>
      <c r="D13" s="855"/>
      <c r="E13" s="855"/>
      <c r="F13" s="855"/>
      <c r="G13" s="855"/>
      <c r="H13" s="855"/>
      <c r="I13" s="855"/>
      <c r="J13" s="861"/>
      <c r="K13" s="1120"/>
      <c r="L13" s="1121"/>
    </row>
    <row r="14" spans="1:20" s="858" customFormat="1" ht="42" customHeight="1">
      <c r="A14" s="1113" t="s">
        <v>43</v>
      </c>
      <c r="B14" s="1118" t="s">
        <v>129</v>
      </c>
      <c r="C14" s="551">
        <f>+'Calculation of Risk Weighted As'!C14-'Calculation of Risk Weighte нац'!C14</f>
        <v>0</v>
      </c>
      <c r="D14" s="855"/>
      <c r="E14" s="855"/>
      <c r="F14" s="855"/>
      <c r="G14" s="855"/>
      <c r="H14" s="855"/>
      <c r="I14" s="855"/>
      <c r="J14" s="861"/>
      <c r="K14" s="1120"/>
      <c r="L14" s="1121"/>
    </row>
    <row r="15" spans="1:20" s="858" customFormat="1">
      <c r="A15" s="1113" t="s">
        <v>73</v>
      </c>
      <c r="B15" s="1118" t="s">
        <v>783</v>
      </c>
      <c r="C15" s="855"/>
      <c r="D15" s="551">
        <f>+'Calculation of Risk Weighted As'!D15-'Calculation of Risk Weighte нац'!D15</f>
        <v>0</v>
      </c>
      <c r="E15" s="855"/>
      <c r="F15" s="551">
        <f>+'Calculation of Risk Weighted As'!F15-'Calculation of Risk Weighte нац'!F15</f>
        <v>0</v>
      </c>
      <c r="G15" s="855"/>
      <c r="H15" s="855"/>
      <c r="I15" s="855"/>
      <c r="J15" s="861"/>
      <c r="K15" s="1120"/>
      <c r="L15" s="1121"/>
    </row>
    <row r="16" spans="1:20" s="858" customFormat="1">
      <c r="A16" s="1113" t="s">
        <v>74</v>
      </c>
      <c r="B16" s="1118" t="s">
        <v>173</v>
      </c>
      <c r="C16" s="551">
        <f>+'Calculation of Risk Weighted As'!C16-'Calculation of Risk Weighte нац'!C16</f>
        <v>0</v>
      </c>
      <c r="D16" s="855"/>
      <c r="E16" s="855"/>
      <c r="F16" s="855"/>
      <c r="G16" s="551">
        <f>+'Calculation of Risk Weighted As'!G16-'Calculation of Risk Weighte нац'!G16</f>
        <v>0</v>
      </c>
      <c r="H16" s="855"/>
      <c r="I16" s="855"/>
      <c r="J16" s="861"/>
      <c r="K16" s="1120"/>
      <c r="L16" s="1121"/>
    </row>
    <row r="17" spans="1:256" s="858" customFormat="1" ht="25.5">
      <c r="A17" s="1113" t="s">
        <v>404</v>
      </c>
      <c r="B17" s="1122" t="s">
        <v>98</v>
      </c>
      <c r="C17" s="551">
        <f>+'Calculation of Risk Weighted As'!C17-'Calculation of Risk Weighte нац'!C17</f>
        <v>0</v>
      </c>
      <c r="D17" s="855"/>
      <c r="E17" s="855"/>
      <c r="F17" s="855"/>
      <c r="G17" s="855"/>
      <c r="H17" s="855"/>
      <c r="I17" s="855"/>
      <c r="J17" s="861"/>
      <c r="K17" s="1120"/>
      <c r="L17" s="1121"/>
    </row>
    <row r="18" spans="1:256" s="858" customFormat="1" ht="42" customHeight="1">
      <c r="A18" s="1113" t="s">
        <v>406</v>
      </c>
      <c r="B18" s="1118" t="s">
        <v>121</v>
      </c>
      <c r="C18" s="855"/>
      <c r="D18" s="551">
        <f>+'Calculation of Risk Weighted As'!D18-'Calculation of Risk Weighte нац'!D18</f>
        <v>0</v>
      </c>
      <c r="E18" s="855"/>
      <c r="F18" s="855"/>
      <c r="G18" s="855"/>
      <c r="H18" s="855"/>
      <c r="I18" s="855"/>
      <c r="J18" s="861"/>
      <c r="K18" s="1120"/>
      <c r="L18" s="1121"/>
    </row>
    <row r="19" spans="1:256" s="858" customFormat="1" ht="25.5">
      <c r="A19" s="1113" t="s">
        <v>408</v>
      </c>
      <c r="B19" s="1118" t="s">
        <v>111</v>
      </c>
      <c r="C19" s="855"/>
      <c r="D19" s="551">
        <f>+'Calculation of Risk Weighted As'!D19-'Calculation of Risk Weighte нац'!D19</f>
        <v>0</v>
      </c>
      <c r="E19" s="855"/>
      <c r="F19" s="551">
        <f>+'Calculation of Risk Weighted As'!F19-'Calculation of Risk Weighte нац'!F19</f>
        <v>0</v>
      </c>
      <c r="G19" s="855"/>
      <c r="H19" s="855"/>
      <c r="I19" s="855"/>
      <c r="J19" s="861"/>
      <c r="K19" s="1120"/>
      <c r="L19" s="1121"/>
    </row>
    <row r="20" spans="1:256" s="858" customFormat="1" ht="25.5">
      <c r="A20" s="1113" t="s">
        <v>410</v>
      </c>
      <c r="B20" s="1118" t="s">
        <v>1131</v>
      </c>
      <c r="C20" s="551">
        <f>+'Calculation of Risk Weighted As'!C20-'Calculation of Risk Weighte нац'!C20</f>
        <v>0</v>
      </c>
      <c r="D20" s="855"/>
      <c r="E20" s="855"/>
      <c r="F20" s="855"/>
      <c r="G20" s="855"/>
      <c r="H20" s="855"/>
      <c r="I20" s="855"/>
      <c r="J20" s="861"/>
      <c r="K20" s="1120"/>
      <c r="L20" s="1121"/>
    </row>
    <row r="21" spans="1:256" s="858" customFormat="1" ht="38.25">
      <c r="A21" s="1113" t="s">
        <v>451</v>
      </c>
      <c r="B21" s="1118" t="s">
        <v>112</v>
      </c>
      <c r="C21" s="855"/>
      <c r="D21" s="551">
        <f>+'Calculation of Risk Weighted As'!D21-'Calculation of Risk Weighte нац'!D21</f>
        <v>0</v>
      </c>
      <c r="E21" s="855"/>
      <c r="F21" s="855"/>
      <c r="G21" s="855"/>
      <c r="H21" s="855"/>
      <c r="I21" s="855"/>
      <c r="J21" s="861"/>
      <c r="K21" s="1120"/>
      <c r="L21" s="1121"/>
    </row>
    <row r="22" spans="1:256" s="858" customFormat="1">
      <c r="A22" s="1113" t="s">
        <v>453</v>
      </c>
      <c r="B22" s="1118" t="s">
        <v>174</v>
      </c>
      <c r="C22" s="855"/>
      <c r="D22" s="855"/>
      <c r="E22" s="855"/>
      <c r="F22" s="855"/>
      <c r="G22" s="855"/>
      <c r="H22" s="855"/>
      <c r="I22" s="855"/>
      <c r="J22" s="861"/>
      <c r="K22" s="1120"/>
      <c r="L22" s="1121"/>
    </row>
    <row r="23" spans="1:256" s="858" customFormat="1" ht="25.5">
      <c r="A23" s="1113" t="s">
        <v>42</v>
      </c>
      <c r="B23" s="1118" t="s">
        <v>39</v>
      </c>
      <c r="C23" s="551">
        <f>+'Calculation of Risk Weighted As'!C23-'Calculation of Risk Weighte нац'!C23</f>
        <v>0</v>
      </c>
      <c r="D23" s="551">
        <f>+'Calculation of Risk Weighted As'!D23-'Calculation of Risk Weighte нац'!D23</f>
        <v>0</v>
      </c>
      <c r="E23" s="855"/>
      <c r="F23" s="855"/>
      <c r="G23" s="855"/>
      <c r="H23" s="855"/>
      <c r="I23" s="855"/>
      <c r="J23" s="861"/>
      <c r="K23" s="1120"/>
      <c r="L23" s="1121"/>
    </row>
    <row r="24" spans="1:256" s="858" customFormat="1">
      <c r="A24" s="1113" t="s">
        <v>43</v>
      </c>
      <c r="B24" s="1118" t="s">
        <v>1145</v>
      </c>
      <c r="C24" s="551">
        <f>+'Calculation of Risk Weighted As'!C24-'Calculation of Risk Weighte нац'!C24</f>
        <v>0</v>
      </c>
      <c r="D24" s="855"/>
      <c r="E24" s="855"/>
      <c r="F24" s="855"/>
      <c r="G24" s="855"/>
      <c r="H24" s="855"/>
      <c r="I24" s="855"/>
      <c r="J24" s="861"/>
      <c r="K24" s="1120"/>
      <c r="L24" s="1121"/>
    </row>
    <row r="25" spans="1:256" s="858" customFormat="1" ht="54" customHeight="1">
      <c r="A25" s="1113" t="s">
        <v>73</v>
      </c>
      <c r="B25" s="1118" t="s">
        <v>122</v>
      </c>
      <c r="C25" s="855"/>
      <c r="D25" s="551">
        <f>+'Calculation of Risk Weighted As'!D25-'Calculation of Risk Weighte нац'!D25</f>
        <v>0</v>
      </c>
      <c r="E25" s="855"/>
      <c r="F25" s="855"/>
      <c r="G25" s="855"/>
      <c r="H25" s="855"/>
      <c r="I25" s="855"/>
      <c r="J25" s="861"/>
      <c r="K25" s="1120"/>
      <c r="L25" s="1121"/>
    </row>
    <row r="26" spans="1:256" s="858" customFormat="1" ht="25.5">
      <c r="A26" s="1113" t="s">
        <v>74</v>
      </c>
      <c r="B26" s="1118" t="s">
        <v>123</v>
      </c>
      <c r="C26" s="855"/>
      <c r="D26" s="855"/>
      <c r="E26" s="855"/>
      <c r="F26" s="551">
        <f>+'Calculation of Risk Weighted As'!F26-'Calculation of Risk Weighte нац'!F26</f>
        <v>0</v>
      </c>
      <c r="G26" s="855"/>
      <c r="H26" s="855"/>
      <c r="I26" s="855"/>
      <c r="J26" s="861"/>
      <c r="K26" s="1120"/>
      <c r="L26" s="1121"/>
    </row>
    <row r="27" spans="1:256" s="858" customFormat="1" ht="17.25" customHeight="1">
      <c r="A27" s="1113" t="s">
        <v>75</v>
      </c>
      <c r="B27" s="1118" t="s">
        <v>35</v>
      </c>
      <c r="C27" s="855"/>
      <c r="D27" s="855"/>
      <c r="E27" s="855"/>
      <c r="F27" s="855"/>
      <c r="G27" s="551">
        <f>+'Calculation of Risk Weighted As'!G27-'Calculation of Risk Weighte нац'!G27</f>
        <v>0</v>
      </c>
      <c r="H27" s="855"/>
      <c r="I27" s="855"/>
      <c r="J27" s="861"/>
      <c r="K27" s="1120"/>
      <c r="L27" s="1121"/>
    </row>
    <row r="28" spans="1:256" s="858" customFormat="1" ht="17.25" customHeight="1">
      <c r="A28" s="1113" t="s">
        <v>78</v>
      </c>
      <c r="B28" s="1118" t="s">
        <v>36</v>
      </c>
      <c r="C28" s="855"/>
      <c r="D28" s="855"/>
      <c r="E28" s="855"/>
      <c r="F28" s="855"/>
      <c r="G28" s="551">
        <f>+'Calculation of Risk Weighted As'!G28-'Calculation of Risk Weighte нац'!G28</f>
        <v>0</v>
      </c>
      <c r="H28" s="855"/>
      <c r="I28" s="855"/>
      <c r="J28" s="861"/>
      <c r="K28" s="1120"/>
      <c r="L28" s="1121"/>
    </row>
    <row r="29" spans="1:256" s="858" customFormat="1" ht="17.25" customHeight="1">
      <c r="A29" s="1113" t="s">
        <v>79</v>
      </c>
      <c r="B29" s="1118" t="s">
        <v>90</v>
      </c>
      <c r="C29" s="855"/>
      <c r="D29" s="855"/>
      <c r="E29" s="855"/>
      <c r="F29" s="855"/>
      <c r="G29" s="855"/>
      <c r="H29" s="551">
        <f>+'Calculation of Risk Weighted As'!H29-'Calculation of Risk Weighte нац'!H29</f>
        <v>0</v>
      </c>
      <c r="I29" s="855"/>
      <c r="J29" s="861"/>
      <c r="K29" s="1120"/>
      <c r="L29" s="1121"/>
    </row>
    <row r="30" spans="1:256" s="1123" customFormat="1" ht="20.25" customHeight="1">
      <c r="A30" s="1113" t="s">
        <v>784</v>
      </c>
      <c r="B30" s="1118" t="s">
        <v>1194</v>
      </c>
      <c r="C30" s="855"/>
      <c r="D30" s="855"/>
      <c r="E30" s="855"/>
      <c r="F30" s="855"/>
      <c r="G30" s="551">
        <f>+'Calculation of Risk Weighted As'!G30-'Calculation of Risk Weighte нац'!G30</f>
        <v>0</v>
      </c>
      <c r="H30" s="551">
        <f>+'Calculation of Risk Weighted As'!H30-'Calculation of Risk Weighte нац'!H30</f>
        <v>0</v>
      </c>
      <c r="I30" s="551">
        <f>+'Calculation of Risk Weighted As'!I30-'Calculation of Risk Weighte нац'!I30</f>
        <v>0</v>
      </c>
      <c r="J30" s="551">
        <f>+'Calculation of Risk Weighted As'!J30-'Calculation of Risk Weighte нац'!J30</f>
        <v>0</v>
      </c>
      <c r="K30" s="1120"/>
      <c r="L30" s="1121"/>
      <c r="M30" s="858"/>
      <c r="N30" s="858"/>
      <c r="O30" s="858"/>
      <c r="P30" s="858"/>
      <c r="Q30" s="858"/>
      <c r="R30" s="858"/>
      <c r="S30" s="858"/>
      <c r="T30" s="858"/>
      <c r="U30" s="858"/>
      <c r="V30" s="858"/>
      <c r="W30" s="858"/>
      <c r="X30" s="858"/>
      <c r="Y30" s="858"/>
      <c r="Z30" s="858"/>
      <c r="AA30" s="858"/>
      <c r="AB30" s="858"/>
      <c r="AC30" s="858"/>
      <c r="AD30" s="858"/>
      <c r="AE30" s="858"/>
      <c r="AF30" s="858"/>
      <c r="AG30" s="858"/>
      <c r="AH30" s="858"/>
      <c r="AI30" s="858"/>
      <c r="AJ30" s="858"/>
      <c r="AK30" s="858"/>
      <c r="AL30" s="858"/>
      <c r="AM30" s="858"/>
      <c r="AN30" s="858"/>
      <c r="AO30" s="858"/>
      <c r="AP30" s="858"/>
      <c r="AQ30" s="858"/>
      <c r="AR30" s="858"/>
      <c r="AS30" s="858"/>
      <c r="AT30" s="858"/>
      <c r="AU30" s="858"/>
      <c r="AV30" s="858"/>
      <c r="AW30" s="858"/>
      <c r="AX30" s="858"/>
      <c r="AY30" s="858"/>
      <c r="AZ30" s="858"/>
      <c r="BA30" s="858"/>
      <c r="BB30" s="858"/>
      <c r="BC30" s="858"/>
      <c r="BD30" s="858"/>
      <c r="BE30" s="858"/>
      <c r="BF30" s="858"/>
      <c r="BG30" s="858"/>
      <c r="BH30" s="858"/>
      <c r="BI30" s="858"/>
      <c r="BJ30" s="858"/>
      <c r="BK30" s="858"/>
      <c r="BL30" s="858"/>
      <c r="BM30" s="858"/>
      <c r="BN30" s="858"/>
      <c r="BO30" s="858"/>
      <c r="BP30" s="858"/>
      <c r="BQ30" s="858"/>
      <c r="BR30" s="858"/>
      <c r="BS30" s="858"/>
      <c r="BT30" s="858"/>
      <c r="BU30" s="858"/>
      <c r="BV30" s="858"/>
      <c r="BW30" s="858"/>
      <c r="BX30" s="858"/>
      <c r="BY30" s="858"/>
      <c r="BZ30" s="858"/>
      <c r="CA30" s="858"/>
      <c r="CB30" s="858"/>
      <c r="CC30" s="858"/>
      <c r="CD30" s="858"/>
      <c r="CE30" s="858"/>
      <c r="CF30" s="858"/>
      <c r="CG30" s="858"/>
      <c r="CH30" s="858"/>
      <c r="CI30" s="858"/>
      <c r="CJ30" s="858"/>
      <c r="CK30" s="858"/>
      <c r="CL30" s="858"/>
      <c r="CM30" s="858"/>
      <c r="CN30" s="858"/>
      <c r="CO30" s="858"/>
      <c r="CP30" s="858"/>
      <c r="CQ30" s="858"/>
      <c r="CR30" s="858"/>
      <c r="CS30" s="858"/>
      <c r="CT30" s="858"/>
      <c r="CU30" s="858"/>
      <c r="CV30" s="858"/>
      <c r="CW30" s="858"/>
      <c r="CX30" s="858"/>
      <c r="CY30" s="858"/>
      <c r="CZ30" s="858"/>
      <c r="DA30" s="858"/>
      <c r="DB30" s="858"/>
      <c r="DC30" s="858"/>
      <c r="DD30" s="858"/>
      <c r="DE30" s="858"/>
      <c r="DF30" s="858"/>
      <c r="DG30" s="858"/>
      <c r="DH30" s="858"/>
      <c r="DI30" s="858"/>
      <c r="DJ30" s="858"/>
      <c r="DK30" s="858"/>
      <c r="DL30" s="858"/>
      <c r="DM30" s="858"/>
      <c r="DN30" s="858"/>
      <c r="DO30" s="858"/>
      <c r="DP30" s="858"/>
      <c r="DQ30" s="858"/>
      <c r="DR30" s="858"/>
      <c r="DS30" s="858"/>
      <c r="DT30" s="858"/>
      <c r="DU30" s="858"/>
      <c r="DV30" s="858"/>
      <c r="DW30" s="858"/>
      <c r="DX30" s="858"/>
      <c r="DY30" s="858"/>
      <c r="DZ30" s="858"/>
      <c r="EA30" s="858"/>
      <c r="EB30" s="858"/>
      <c r="EC30" s="858"/>
      <c r="ED30" s="858"/>
      <c r="EE30" s="858"/>
      <c r="EF30" s="858"/>
      <c r="EG30" s="858"/>
      <c r="EH30" s="858"/>
      <c r="EI30" s="858"/>
      <c r="EJ30" s="858"/>
      <c r="EK30" s="858"/>
      <c r="EL30" s="858"/>
      <c r="EM30" s="858"/>
      <c r="EN30" s="858"/>
      <c r="EO30" s="858"/>
      <c r="EP30" s="858"/>
      <c r="EQ30" s="858"/>
      <c r="ER30" s="858"/>
      <c r="ES30" s="858"/>
      <c r="ET30" s="858"/>
      <c r="EU30" s="858"/>
      <c r="EV30" s="858"/>
      <c r="EW30" s="858"/>
      <c r="EX30" s="858"/>
      <c r="EY30" s="858"/>
      <c r="EZ30" s="858"/>
      <c r="FA30" s="858"/>
      <c r="FB30" s="858"/>
      <c r="FC30" s="858"/>
      <c r="FD30" s="858"/>
      <c r="FE30" s="858"/>
      <c r="FF30" s="858"/>
      <c r="FG30" s="858"/>
      <c r="FH30" s="858"/>
      <c r="FI30" s="858"/>
      <c r="FJ30" s="858"/>
      <c r="FK30" s="858"/>
      <c r="FL30" s="858"/>
      <c r="FM30" s="858"/>
      <c r="FN30" s="858"/>
      <c r="FO30" s="858"/>
      <c r="FP30" s="858"/>
      <c r="FQ30" s="858"/>
      <c r="FR30" s="858"/>
      <c r="FS30" s="858"/>
      <c r="FT30" s="858"/>
      <c r="FU30" s="858"/>
      <c r="FV30" s="858"/>
      <c r="FW30" s="858"/>
      <c r="FX30" s="858"/>
      <c r="FY30" s="858"/>
      <c r="FZ30" s="858"/>
      <c r="GA30" s="858"/>
      <c r="GB30" s="858"/>
      <c r="GC30" s="858"/>
      <c r="GD30" s="858"/>
      <c r="GE30" s="858"/>
      <c r="GF30" s="858"/>
      <c r="GG30" s="858"/>
      <c r="GH30" s="858"/>
      <c r="GI30" s="858"/>
      <c r="GJ30" s="858"/>
      <c r="GK30" s="858"/>
      <c r="GL30" s="858"/>
      <c r="GM30" s="858"/>
      <c r="GN30" s="858"/>
      <c r="GO30" s="858"/>
      <c r="GP30" s="858"/>
      <c r="GQ30" s="858"/>
      <c r="GR30" s="858"/>
      <c r="GS30" s="858"/>
      <c r="GT30" s="858"/>
      <c r="GU30" s="858"/>
      <c r="GV30" s="858"/>
      <c r="GW30" s="858"/>
      <c r="GX30" s="858"/>
      <c r="GY30" s="858"/>
      <c r="GZ30" s="858"/>
      <c r="HA30" s="858"/>
      <c r="HB30" s="858"/>
      <c r="HC30" s="858"/>
      <c r="HD30" s="858"/>
      <c r="HE30" s="858"/>
      <c r="HF30" s="858"/>
      <c r="HG30" s="858"/>
      <c r="HH30" s="858"/>
      <c r="HI30" s="858"/>
      <c r="HJ30" s="858"/>
      <c r="HK30" s="858"/>
      <c r="HL30" s="858"/>
      <c r="HM30" s="858"/>
      <c r="HN30" s="858"/>
      <c r="HO30" s="858"/>
      <c r="HP30" s="858"/>
      <c r="HQ30" s="858"/>
      <c r="HR30" s="858"/>
      <c r="HS30" s="858"/>
      <c r="HT30" s="858"/>
      <c r="HU30" s="858"/>
      <c r="HV30" s="858"/>
      <c r="HW30" s="858"/>
      <c r="HX30" s="858"/>
      <c r="HY30" s="858"/>
      <c r="HZ30" s="858"/>
      <c r="IA30" s="858"/>
      <c r="IB30" s="858"/>
      <c r="IC30" s="858"/>
      <c r="ID30" s="858"/>
      <c r="IE30" s="858"/>
      <c r="IF30" s="858"/>
      <c r="IG30" s="858"/>
      <c r="IH30" s="858"/>
      <c r="II30" s="858"/>
      <c r="IJ30" s="858"/>
      <c r="IK30" s="858"/>
      <c r="IL30" s="858"/>
      <c r="IM30" s="858"/>
      <c r="IN30" s="858"/>
      <c r="IO30" s="858"/>
      <c r="IP30" s="858"/>
      <c r="IQ30" s="858"/>
      <c r="IR30" s="858"/>
      <c r="IS30" s="858"/>
      <c r="IT30" s="858"/>
      <c r="IU30" s="858"/>
      <c r="IV30" s="858"/>
    </row>
    <row r="31" spans="1:256" s="1123" customFormat="1" ht="20.25" customHeight="1">
      <c r="A31" s="1113" t="s">
        <v>1187</v>
      </c>
      <c r="B31" s="1118" t="s">
        <v>1192</v>
      </c>
      <c r="C31" s="855"/>
      <c r="D31" s="855"/>
      <c r="E31" s="855"/>
      <c r="F31" s="855"/>
      <c r="G31" s="855"/>
      <c r="H31" s="855"/>
      <c r="I31" s="855"/>
      <c r="J31" s="551">
        <f>+'Calculation of Risk Weighted As'!J31-'Calculation of Risk Weighte нац'!J31</f>
        <v>0</v>
      </c>
      <c r="K31" s="853"/>
      <c r="L31" s="854"/>
      <c r="M31" s="859"/>
      <c r="N31" s="859"/>
      <c r="O31" s="859"/>
      <c r="P31" s="859"/>
      <c r="Q31" s="1119"/>
      <c r="R31" s="1119"/>
      <c r="S31" s="1119"/>
      <c r="T31" s="1119"/>
      <c r="U31" s="858"/>
      <c r="V31" s="858"/>
      <c r="W31" s="858"/>
      <c r="X31" s="858"/>
      <c r="Y31" s="858"/>
      <c r="Z31" s="858"/>
      <c r="AA31" s="858"/>
      <c r="AB31" s="858"/>
      <c r="AC31" s="858"/>
      <c r="AD31" s="858"/>
      <c r="AE31" s="858"/>
      <c r="AF31" s="858"/>
      <c r="AG31" s="858"/>
      <c r="AH31" s="858"/>
      <c r="AI31" s="858"/>
      <c r="AJ31" s="858"/>
      <c r="AK31" s="858"/>
      <c r="AL31" s="858"/>
      <c r="AM31" s="858"/>
      <c r="AN31" s="858"/>
      <c r="AO31" s="858"/>
      <c r="AP31" s="858"/>
      <c r="AQ31" s="858"/>
      <c r="AR31" s="858"/>
      <c r="AS31" s="858"/>
      <c r="AT31" s="858"/>
      <c r="AU31" s="858"/>
      <c r="AV31" s="858"/>
      <c r="AW31" s="858"/>
      <c r="AX31" s="858"/>
      <c r="AY31" s="858"/>
      <c r="AZ31" s="858"/>
      <c r="BA31" s="858"/>
      <c r="BB31" s="858"/>
      <c r="BC31" s="858"/>
      <c r="BD31" s="858"/>
      <c r="BE31" s="858"/>
      <c r="BF31" s="858"/>
      <c r="BG31" s="858"/>
      <c r="BH31" s="858"/>
      <c r="BI31" s="858"/>
      <c r="BJ31" s="858"/>
      <c r="BK31" s="858"/>
      <c r="BL31" s="858"/>
      <c r="BM31" s="858"/>
      <c r="BN31" s="858"/>
      <c r="BO31" s="858"/>
      <c r="BP31" s="858"/>
      <c r="BQ31" s="858"/>
      <c r="BR31" s="858"/>
      <c r="BS31" s="858"/>
      <c r="BT31" s="858"/>
      <c r="BU31" s="858"/>
      <c r="BV31" s="858"/>
      <c r="BW31" s="858"/>
      <c r="BX31" s="858"/>
      <c r="BY31" s="858"/>
      <c r="BZ31" s="858"/>
      <c r="CA31" s="858"/>
      <c r="CB31" s="858"/>
      <c r="CC31" s="858"/>
      <c r="CD31" s="858"/>
      <c r="CE31" s="858"/>
      <c r="CF31" s="858"/>
      <c r="CG31" s="858"/>
      <c r="CH31" s="858"/>
      <c r="CI31" s="858"/>
      <c r="CJ31" s="858"/>
      <c r="CK31" s="858"/>
      <c r="CL31" s="858"/>
      <c r="CM31" s="858"/>
      <c r="CN31" s="858"/>
      <c r="CO31" s="858"/>
      <c r="CP31" s="858"/>
      <c r="CQ31" s="858"/>
      <c r="CR31" s="858"/>
      <c r="CS31" s="858"/>
      <c r="CT31" s="858"/>
      <c r="CU31" s="858"/>
      <c r="CV31" s="858"/>
      <c r="CW31" s="858"/>
      <c r="CX31" s="858"/>
      <c r="CY31" s="858"/>
      <c r="CZ31" s="858"/>
      <c r="DA31" s="858"/>
      <c r="DB31" s="858"/>
      <c r="DC31" s="858"/>
      <c r="DD31" s="858"/>
      <c r="DE31" s="858"/>
      <c r="DF31" s="858"/>
      <c r="DG31" s="858"/>
      <c r="DH31" s="858"/>
      <c r="DI31" s="858"/>
      <c r="DJ31" s="858"/>
      <c r="DK31" s="858"/>
      <c r="DL31" s="858"/>
      <c r="DM31" s="858"/>
      <c r="DN31" s="858"/>
      <c r="DO31" s="858"/>
      <c r="DP31" s="858"/>
      <c r="DQ31" s="858"/>
      <c r="DR31" s="858"/>
      <c r="DS31" s="858"/>
      <c r="DT31" s="858"/>
      <c r="DU31" s="858"/>
      <c r="DV31" s="858"/>
      <c r="DW31" s="858"/>
      <c r="DX31" s="858"/>
      <c r="DY31" s="858"/>
      <c r="DZ31" s="858"/>
      <c r="EA31" s="858"/>
      <c r="EB31" s="858"/>
      <c r="EC31" s="858"/>
      <c r="ED31" s="858"/>
      <c r="EE31" s="858"/>
      <c r="EF31" s="858"/>
      <c r="EG31" s="858"/>
      <c r="EH31" s="858"/>
      <c r="EI31" s="858"/>
      <c r="EJ31" s="858"/>
      <c r="EK31" s="858"/>
      <c r="EL31" s="858"/>
      <c r="EM31" s="858"/>
      <c r="EN31" s="858"/>
      <c r="EO31" s="858"/>
      <c r="EP31" s="858"/>
      <c r="EQ31" s="858"/>
      <c r="ER31" s="858"/>
      <c r="ES31" s="858"/>
      <c r="ET31" s="858"/>
      <c r="EU31" s="858"/>
      <c r="EV31" s="858"/>
      <c r="EW31" s="858"/>
      <c r="EX31" s="858"/>
      <c r="EY31" s="858"/>
      <c r="EZ31" s="858"/>
      <c r="FA31" s="858"/>
      <c r="FB31" s="858"/>
      <c r="FC31" s="858"/>
      <c r="FD31" s="858"/>
      <c r="FE31" s="858"/>
      <c r="FF31" s="858"/>
      <c r="FG31" s="858"/>
      <c r="FH31" s="858"/>
      <c r="FI31" s="858"/>
      <c r="FJ31" s="858"/>
      <c r="FK31" s="858"/>
      <c r="FL31" s="858"/>
      <c r="FM31" s="858"/>
      <c r="FN31" s="858"/>
      <c r="FO31" s="858"/>
      <c r="FP31" s="858"/>
      <c r="FQ31" s="858"/>
      <c r="FR31" s="858"/>
      <c r="FS31" s="858"/>
      <c r="FT31" s="858"/>
      <c r="FU31" s="858"/>
      <c r="FV31" s="858"/>
      <c r="FW31" s="858"/>
      <c r="FX31" s="858"/>
      <c r="FY31" s="858"/>
      <c r="FZ31" s="858"/>
      <c r="GA31" s="858"/>
      <c r="GB31" s="858"/>
      <c r="GC31" s="858"/>
      <c r="GD31" s="858"/>
      <c r="GE31" s="858"/>
      <c r="GF31" s="858"/>
      <c r="GG31" s="858"/>
      <c r="GH31" s="858"/>
      <c r="GI31" s="858"/>
      <c r="GJ31" s="858"/>
      <c r="GK31" s="858"/>
      <c r="GL31" s="858"/>
      <c r="GM31" s="858"/>
      <c r="GN31" s="858"/>
      <c r="GO31" s="858"/>
      <c r="GP31" s="858"/>
      <c r="GQ31" s="858"/>
      <c r="GR31" s="858"/>
      <c r="GS31" s="858"/>
      <c r="GT31" s="858"/>
      <c r="GU31" s="858"/>
      <c r="GV31" s="858"/>
      <c r="GW31" s="858"/>
      <c r="GX31" s="858"/>
      <c r="GY31" s="858"/>
      <c r="GZ31" s="858"/>
      <c r="HA31" s="858"/>
      <c r="HB31" s="858"/>
      <c r="HC31" s="858"/>
      <c r="HD31" s="858"/>
      <c r="HE31" s="858"/>
      <c r="HF31" s="858"/>
      <c r="HG31" s="858"/>
      <c r="HH31" s="858"/>
      <c r="HI31" s="858"/>
      <c r="HJ31" s="858"/>
      <c r="HK31" s="858"/>
      <c r="HL31" s="858"/>
      <c r="HM31" s="858"/>
      <c r="HN31" s="858"/>
      <c r="HO31" s="858"/>
      <c r="HP31" s="858"/>
      <c r="HQ31" s="858"/>
      <c r="HR31" s="858"/>
      <c r="HS31" s="858"/>
      <c r="HT31" s="858"/>
      <c r="HU31" s="858"/>
      <c r="HV31" s="858"/>
      <c r="HW31" s="858"/>
      <c r="HX31" s="858"/>
      <c r="HY31" s="858"/>
      <c r="HZ31" s="858"/>
      <c r="IA31" s="858"/>
      <c r="IB31" s="858"/>
      <c r="IC31" s="858"/>
      <c r="ID31" s="858"/>
      <c r="IE31" s="858"/>
      <c r="IF31" s="858"/>
      <c r="IG31" s="858"/>
      <c r="IH31" s="858"/>
      <c r="II31" s="858"/>
      <c r="IJ31" s="858"/>
      <c r="IK31" s="858"/>
      <c r="IL31" s="858"/>
      <c r="IM31" s="858"/>
      <c r="IN31" s="858"/>
      <c r="IO31" s="858"/>
      <c r="IP31" s="858"/>
      <c r="IQ31" s="858"/>
      <c r="IR31" s="858"/>
      <c r="IS31" s="858"/>
      <c r="IT31" s="858"/>
      <c r="IU31" s="858"/>
      <c r="IV31" s="858"/>
    </row>
    <row r="32" spans="1:256" s="1123" customFormat="1" ht="20.25" customHeight="1">
      <c r="A32" s="1124" t="s">
        <v>1193</v>
      </c>
      <c r="B32" s="1118" t="s">
        <v>1303</v>
      </c>
      <c r="C32" s="855"/>
      <c r="D32" s="855"/>
      <c r="E32" s="855"/>
      <c r="F32" s="855"/>
      <c r="G32" s="551">
        <f>+'Calculation of Risk Weighted As'!G32-'Calculation of Risk Weighte нац'!G32</f>
        <v>0</v>
      </c>
      <c r="H32" s="551">
        <f>+'Calculation of Risk Weighted As'!H32-'Calculation of Risk Weighte нац'!H32</f>
        <v>0</v>
      </c>
      <c r="I32" s="551">
        <f>+'Calculation of Risk Weighted As'!I32-'Calculation of Risk Weighte нац'!I32</f>
        <v>0</v>
      </c>
      <c r="J32" s="551">
        <f>+'Calculation of Risk Weighted As'!J32-'Calculation of Risk Weighte нац'!J32</f>
        <v>0</v>
      </c>
      <c r="K32" s="1120"/>
      <c r="L32" s="1121"/>
      <c r="M32" s="858"/>
      <c r="N32" s="858"/>
      <c r="O32" s="858"/>
      <c r="P32" s="858"/>
      <c r="Q32" s="858"/>
      <c r="R32" s="858"/>
      <c r="S32" s="858"/>
      <c r="T32" s="858"/>
      <c r="U32" s="858"/>
      <c r="V32" s="858"/>
      <c r="W32" s="858"/>
      <c r="X32" s="858"/>
      <c r="Y32" s="858"/>
      <c r="Z32" s="858"/>
      <c r="AA32" s="858"/>
      <c r="AB32" s="858"/>
      <c r="AC32" s="858"/>
      <c r="AD32" s="858"/>
      <c r="AE32" s="858"/>
      <c r="AF32" s="858"/>
      <c r="AG32" s="858"/>
      <c r="AH32" s="858"/>
      <c r="AI32" s="858"/>
      <c r="AJ32" s="858"/>
      <c r="AK32" s="858"/>
      <c r="AL32" s="858"/>
      <c r="AM32" s="858"/>
      <c r="AN32" s="858"/>
      <c r="AO32" s="858"/>
      <c r="AP32" s="858"/>
      <c r="AQ32" s="858"/>
      <c r="AR32" s="858"/>
      <c r="AS32" s="858"/>
      <c r="AT32" s="858"/>
      <c r="AU32" s="858"/>
      <c r="AV32" s="858"/>
      <c r="AW32" s="858"/>
      <c r="AX32" s="858"/>
      <c r="AY32" s="858"/>
      <c r="AZ32" s="858"/>
      <c r="BA32" s="858"/>
      <c r="BB32" s="858"/>
      <c r="BC32" s="858"/>
      <c r="BD32" s="858"/>
      <c r="BE32" s="858"/>
      <c r="BF32" s="858"/>
      <c r="BG32" s="858"/>
      <c r="BH32" s="858"/>
      <c r="BI32" s="858"/>
      <c r="BJ32" s="858"/>
      <c r="BK32" s="858"/>
      <c r="BL32" s="858"/>
      <c r="BM32" s="858"/>
      <c r="BN32" s="858"/>
      <c r="BO32" s="858"/>
      <c r="BP32" s="858"/>
      <c r="BQ32" s="858"/>
      <c r="BR32" s="858"/>
      <c r="BS32" s="858"/>
      <c r="BT32" s="858"/>
      <c r="BU32" s="858"/>
      <c r="BV32" s="858"/>
      <c r="BW32" s="858"/>
      <c r="BX32" s="858"/>
      <c r="BY32" s="858"/>
      <c r="BZ32" s="858"/>
      <c r="CA32" s="858"/>
      <c r="CB32" s="858"/>
      <c r="CC32" s="858"/>
      <c r="CD32" s="858"/>
      <c r="CE32" s="858"/>
      <c r="CF32" s="858"/>
      <c r="CG32" s="858"/>
      <c r="CH32" s="858"/>
      <c r="CI32" s="858"/>
      <c r="CJ32" s="858"/>
      <c r="CK32" s="858"/>
      <c r="CL32" s="858"/>
      <c r="CM32" s="858"/>
      <c r="CN32" s="858"/>
      <c r="CO32" s="858"/>
      <c r="CP32" s="858"/>
      <c r="CQ32" s="858"/>
      <c r="CR32" s="858"/>
      <c r="CS32" s="858"/>
      <c r="CT32" s="858"/>
      <c r="CU32" s="858"/>
      <c r="CV32" s="858"/>
      <c r="CW32" s="858"/>
      <c r="CX32" s="858"/>
      <c r="CY32" s="858"/>
      <c r="CZ32" s="858"/>
      <c r="DA32" s="858"/>
      <c r="DB32" s="858"/>
      <c r="DC32" s="858"/>
      <c r="DD32" s="858"/>
      <c r="DE32" s="858"/>
      <c r="DF32" s="858"/>
      <c r="DG32" s="858"/>
      <c r="DH32" s="858"/>
      <c r="DI32" s="858"/>
      <c r="DJ32" s="858"/>
      <c r="DK32" s="858"/>
      <c r="DL32" s="858"/>
      <c r="DM32" s="858"/>
      <c r="DN32" s="858"/>
      <c r="DO32" s="858"/>
      <c r="DP32" s="858"/>
      <c r="DQ32" s="858"/>
      <c r="DR32" s="858"/>
      <c r="DS32" s="858"/>
      <c r="DT32" s="858"/>
      <c r="DU32" s="858"/>
      <c r="DV32" s="858"/>
      <c r="DW32" s="858"/>
      <c r="DX32" s="858"/>
      <c r="DY32" s="858"/>
      <c r="DZ32" s="858"/>
      <c r="EA32" s="858"/>
      <c r="EB32" s="858"/>
      <c r="EC32" s="858"/>
      <c r="ED32" s="858"/>
      <c r="EE32" s="858"/>
      <c r="EF32" s="858"/>
      <c r="EG32" s="858"/>
      <c r="EH32" s="858"/>
      <c r="EI32" s="858"/>
      <c r="EJ32" s="858"/>
      <c r="EK32" s="858"/>
      <c r="EL32" s="858"/>
      <c r="EM32" s="858"/>
      <c r="EN32" s="858"/>
      <c r="EO32" s="858"/>
      <c r="EP32" s="858"/>
      <c r="EQ32" s="858"/>
      <c r="ER32" s="858"/>
      <c r="ES32" s="858"/>
      <c r="ET32" s="858"/>
      <c r="EU32" s="858"/>
      <c r="EV32" s="858"/>
      <c r="EW32" s="858"/>
      <c r="EX32" s="858"/>
      <c r="EY32" s="858"/>
      <c r="EZ32" s="858"/>
      <c r="FA32" s="858"/>
      <c r="FB32" s="858"/>
      <c r="FC32" s="858"/>
      <c r="FD32" s="858"/>
      <c r="FE32" s="858"/>
      <c r="FF32" s="858"/>
      <c r="FG32" s="858"/>
      <c r="FH32" s="858"/>
      <c r="FI32" s="858"/>
      <c r="FJ32" s="858"/>
      <c r="FK32" s="858"/>
      <c r="FL32" s="858"/>
      <c r="FM32" s="858"/>
      <c r="FN32" s="858"/>
      <c r="FO32" s="858"/>
      <c r="FP32" s="858"/>
      <c r="FQ32" s="858"/>
      <c r="FR32" s="858"/>
      <c r="FS32" s="858"/>
      <c r="FT32" s="858"/>
      <c r="FU32" s="858"/>
      <c r="FV32" s="858"/>
      <c r="FW32" s="858"/>
      <c r="FX32" s="858"/>
      <c r="FY32" s="858"/>
      <c r="FZ32" s="858"/>
      <c r="GA32" s="858"/>
      <c r="GB32" s="858"/>
      <c r="GC32" s="858"/>
      <c r="GD32" s="858"/>
      <c r="GE32" s="858"/>
      <c r="GF32" s="858"/>
      <c r="GG32" s="858"/>
      <c r="GH32" s="858"/>
      <c r="GI32" s="858"/>
      <c r="GJ32" s="858"/>
      <c r="GK32" s="858"/>
      <c r="GL32" s="858"/>
      <c r="GM32" s="858"/>
      <c r="GN32" s="858"/>
      <c r="GO32" s="858"/>
      <c r="GP32" s="858"/>
      <c r="GQ32" s="858"/>
      <c r="GR32" s="858"/>
      <c r="GS32" s="858"/>
      <c r="GT32" s="858"/>
      <c r="GU32" s="858"/>
      <c r="GV32" s="858"/>
      <c r="GW32" s="858"/>
      <c r="GX32" s="858"/>
      <c r="GY32" s="858"/>
      <c r="GZ32" s="858"/>
      <c r="HA32" s="858"/>
      <c r="HB32" s="858"/>
      <c r="HC32" s="858"/>
      <c r="HD32" s="858"/>
      <c r="HE32" s="858"/>
      <c r="HF32" s="858"/>
      <c r="HG32" s="858"/>
      <c r="HH32" s="858"/>
      <c r="HI32" s="858"/>
      <c r="HJ32" s="858"/>
      <c r="HK32" s="858"/>
      <c r="HL32" s="858"/>
      <c r="HM32" s="858"/>
      <c r="HN32" s="858"/>
      <c r="HO32" s="858"/>
      <c r="HP32" s="858"/>
      <c r="HQ32" s="858"/>
      <c r="HR32" s="858"/>
      <c r="HS32" s="858"/>
      <c r="HT32" s="858"/>
      <c r="HU32" s="858"/>
      <c r="HV32" s="858"/>
      <c r="HW32" s="858"/>
      <c r="HX32" s="858"/>
      <c r="HY32" s="858"/>
      <c r="HZ32" s="858"/>
      <c r="IA32" s="858"/>
      <c r="IB32" s="858"/>
      <c r="IC32" s="858"/>
      <c r="ID32" s="858"/>
      <c r="IE32" s="858"/>
      <c r="IF32" s="858"/>
      <c r="IG32" s="858"/>
      <c r="IH32" s="858"/>
      <c r="II32" s="858"/>
      <c r="IJ32" s="858"/>
      <c r="IK32" s="858"/>
      <c r="IL32" s="858"/>
      <c r="IM32" s="858"/>
      <c r="IN32" s="858"/>
      <c r="IO32" s="858"/>
      <c r="IP32" s="858"/>
      <c r="IQ32" s="858"/>
      <c r="IR32" s="858"/>
      <c r="IS32" s="858"/>
      <c r="IT32" s="858"/>
      <c r="IU32" s="858"/>
      <c r="IV32" s="858"/>
    </row>
    <row r="33" spans="1:20" s="858" customFormat="1" ht="17.25" customHeight="1">
      <c r="A33" s="1124" t="s">
        <v>1196</v>
      </c>
      <c r="B33" s="1118" t="s">
        <v>1198</v>
      </c>
      <c r="C33" s="855"/>
      <c r="D33" s="855"/>
      <c r="E33" s="855"/>
      <c r="F33" s="855"/>
      <c r="G33" s="551">
        <f>+'Calculation of Risk Weighted As'!G33-'Calculation of Risk Weighte нац'!G33</f>
        <v>1555464736</v>
      </c>
      <c r="H33" s="855"/>
      <c r="I33" s="855"/>
      <c r="J33" s="861"/>
      <c r="K33" s="853"/>
      <c r="L33" s="854"/>
      <c r="M33" s="859"/>
      <c r="N33" s="859"/>
      <c r="O33" s="859"/>
      <c r="P33" s="859"/>
      <c r="Q33" s="1119"/>
      <c r="R33" s="1119"/>
      <c r="S33" s="1119"/>
      <c r="T33" s="1119"/>
    </row>
    <row r="34" spans="1:20" s="858" customFormat="1" ht="17.25" customHeight="1">
      <c r="A34" s="1113" t="s">
        <v>414</v>
      </c>
      <c r="B34" s="1118" t="s">
        <v>175</v>
      </c>
      <c r="C34" s="855"/>
      <c r="D34" s="855"/>
      <c r="E34" s="855"/>
      <c r="F34" s="855"/>
      <c r="G34" s="855"/>
      <c r="H34" s="551">
        <f>+'Calculation of Risk Weighted As'!H34-'Calculation of Risk Weighte нац'!H34</f>
        <v>0</v>
      </c>
      <c r="I34" s="855"/>
      <c r="J34" s="861"/>
      <c r="K34" s="853">
        <f>+'Bank Assets Analysis'!U26</f>
        <v>0</v>
      </c>
      <c r="L34" s="854"/>
      <c r="M34" s="859"/>
      <c r="N34" s="859"/>
      <c r="O34" s="859"/>
      <c r="P34" s="859"/>
      <c r="Q34" s="1119"/>
      <c r="R34" s="1119"/>
      <c r="S34" s="1119"/>
      <c r="T34" s="1119"/>
    </row>
    <row r="35" spans="1:20" s="858" customFormat="1" ht="17.25" customHeight="1">
      <c r="A35" s="1113" t="s">
        <v>416</v>
      </c>
      <c r="B35" s="1118" t="s">
        <v>41</v>
      </c>
      <c r="C35" s="855"/>
      <c r="D35" s="855"/>
      <c r="E35" s="855"/>
      <c r="F35" s="855"/>
      <c r="G35" s="855"/>
      <c r="H35" s="551">
        <f>+'Calculation of Risk Weighted As'!H35-'Calculation of Risk Weighte нац'!H35</f>
        <v>2296929</v>
      </c>
      <c r="I35" s="855"/>
      <c r="J35" s="861"/>
      <c r="K35" s="853">
        <f>+'Bank Assets Analysis'!D24+'Bank Assets Analysis'!D25</f>
        <v>2296929</v>
      </c>
      <c r="L35" s="854"/>
      <c r="M35" s="859"/>
      <c r="N35" s="859"/>
      <c r="O35" s="859"/>
      <c r="P35" s="859"/>
      <c r="Q35" s="1119"/>
      <c r="R35" s="1119"/>
      <c r="S35" s="1119"/>
      <c r="T35" s="1119"/>
    </row>
    <row r="36" spans="1:20" s="858" customFormat="1" ht="17.25" customHeight="1">
      <c r="A36" s="1113" t="s">
        <v>418</v>
      </c>
      <c r="B36" s="1118" t="s">
        <v>1162</v>
      </c>
      <c r="C36" s="855"/>
      <c r="D36" s="855"/>
      <c r="E36" s="855"/>
      <c r="F36" s="855"/>
      <c r="G36" s="551">
        <f>+'Calculation of Risk Weighted As'!G36-'Calculation of Risk Weighte нац'!G36</f>
        <v>2246835</v>
      </c>
      <c r="H36" s="855"/>
      <c r="I36" s="855"/>
      <c r="J36" s="861"/>
      <c r="K36" s="853"/>
      <c r="L36" s="854"/>
      <c r="M36" s="859"/>
      <c r="N36" s="859"/>
      <c r="O36" s="859"/>
      <c r="P36" s="859"/>
      <c r="Q36" s="1119"/>
      <c r="R36" s="1119"/>
      <c r="S36" s="1119"/>
      <c r="T36" s="1119"/>
    </row>
    <row r="37" spans="1:20" s="858" customFormat="1" ht="17.25" customHeight="1">
      <c r="A37" s="1113" t="s">
        <v>420</v>
      </c>
      <c r="B37" s="1118" t="s">
        <v>40</v>
      </c>
      <c r="C37" s="855"/>
      <c r="D37" s="855"/>
      <c r="E37" s="855"/>
      <c r="F37" s="855"/>
      <c r="G37" s="855"/>
      <c r="H37" s="855"/>
      <c r="I37" s="855"/>
      <c r="J37" s="861"/>
      <c r="K37" s="853"/>
      <c r="L37" s="854"/>
      <c r="M37" s="859"/>
      <c r="N37" s="859"/>
      <c r="O37" s="859"/>
      <c r="P37" s="859"/>
      <c r="Q37" s="1119"/>
      <c r="R37" s="1119"/>
      <c r="S37" s="1119"/>
      <c r="T37" s="1119"/>
    </row>
    <row r="38" spans="1:20" s="858" customFormat="1" ht="25.5">
      <c r="A38" s="1113" t="s">
        <v>143</v>
      </c>
      <c r="B38" s="1118" t="s">
        <v>176</v>
      </c>
      <c r="C38" s="855"/>
      <c r="D38" s="855"/>
      <c r="E38" s="855"/>
      <c r="F38" s="855"/>
      <c r="G38" s="551">
        <f>+'Calculation of Risk Weighted As'!G38-'Calculation of Risk Weighte нац'!G38</f>
        <v>0</v>
      </c>
      <c r="H38" s="855"/>
      <c r="I38" s="855"/>
      <c r="J38" s="861"/>
      <c r="K38" s="853"/>
      <c r="L38" s="854"/>
      <c r="M38" s="859"/>
      <c r="N38" s="859"/>
      <c r="O38" s="859"/>
      <c r="P38" s="859"/>
      <c r="Q38" s="1119"/>
      <c r="R38" s="1119"/>
      <c r="S38" s="1119"/>
      <c r="T38" s="1119"/>
    </row>
    <row r="39" spans="1:20" s="858" customFormat="1" ht="15.75" customHeight="1">
      <c r="A39" s="1113" t="s">
        <v>139</v>
      </c>
      <c r="B39" s="1118" t="s">
        <v>1068</v>
      </c>
      <c r="C39" s="855"/>
      <c r="D39" s="855"/>
      <c r="E39" s="855"/>
      <c r="F39" s="855"/>
      <c r="G39" s="551">
        <f>+'Calculation of Risk Weighted As'!G39-'Calculation of Risk Weighte нац'!G39</f>
        <v>0</v>
      </c>
      <c r="H39" s="855"/>
      <c r="I39" s="855"/>
      <c r="J39" s="861"/>
      <c r="K39" s="853"/>
      <c r="L39" s="854"/>
      <c r="M39" s="859"/>
      <c r="N39" s="859"/>
      <c r="O39" s="859"/>
      <c r="P39" s="859"/>
      <c r="Q39" s="1119"/>
      <c r="R39" s="1119"/>
      <c r="S39" s="1119"/>
      <c r="T39" s="1119"/>
    </row>
    <row r="40" spans="1:20" s="858" customFormat="1" ht="25.5">
      <c r="A40" s="1113" t="s">
        <v>141</v>
      </c>
      <c r="B40" s="1118" t="s">
        <v>113</v>
      </c>
      <c r="C40" s="855"/>
      <c r="D40" s="855"/>
      <c r="E40" s="855"/>
      <c r="F40" s="855"/>
      <c r="G40" s="855"/>
      <c r="H40" s="551">
        <f>+'Calculation of Risk Weighted As'!H40-'Calculation of Risk Weighte нац'!H40</f>
        <v>0</v>
      </c>
      <c r="I40" s="855"/>
      <c r="J40" s="861"/>
      <c r="K40" s="853"/>
      <c r="L40" s="854"/>
      <c r="M40" s="859"/>
      <c r="N40" s="859"/>
      <c r="O40" s="859"/>
      <c r="P40" s="859"/>
      <c r="Q40" s="1119"/>
      <c r="R40" s="1119"/>
      <c r="S40" s="1119"/>
      <c r="T40" s="1119"/>
    </row>
    <row r="41" spans="1:20" s="858" customFormat="1" ht="18.75" customHeight="1">
      <c r="A41" s="1113" t="s">
        <v>150</v>
      </c>
      <c r="B41" s="1118" t="s">
        <v>34</v>
      </c>
      <c r="C41" s="855"/>
      <c r="D41" s="855"/>
      <c r="E41" s="855"/>
      <c r="F41" s="855"/>
      <c r="G41" s="855"/>
      <c r="H41" s="551">
        <f>+'Calculation of Risk Weighted As'!H41-'Calculation of Risk Weighte нац'!H41</f>
        <v>0</v>
      </c>
      <c r="I41" s="855"/>
      <c r="J41" s="861"/>
      <c r="K41" s="853"/>
      <c r="L41" s="854"/>
      <c r="M41" s="859"/>
      <c r="N41" s="859"/>
      <c r="O41" s="859"/>
      <c r="P41" s="859"/>
      <c r="Q41" s="1119"/>
      <c r="R41" s="1119"/>
      <c r="S41" s="1119"/>
      <c r="T41" s="1119"/>
    </row>
    <row r="42" spans="1:20" s="858" customFormat="1" ht="25.5">
      <c r="A42" s="1113" t="s">
        <v>421</v>
      </c>
      <c r="B42" s="1118" t="s">
        <v>177</v>
      </c>
      <c r="C42" s="551">
        <f>+'Calculation of Risk Weighted As'!C42-'Calculation of Risk Weighte нац'!C42</f>
        <v>0</v>
      </c>
      <c r="D42" s="855"/>
      <c r="E42" s="855"/>
      <c r="F42" s="855"/>
      <c r="G42" s="855"/>
      <c r="H42" s="855"/>
      <c r="I42" s="855"/>
      <c r="J42" s="861"/>
      <c r="K42" s="853"/>
      <c r="L42" s="1125"/>
      <c r="M42" s="1125"/>
      <c r="N42" s="1126"/>
      <c r="O42" s="859"/>
      <c r="P42" s="859"/>
      <c r="Q42" s="1119"/>
      <c r="R42" s="1119"/>
      <c r="S42" s="1119"/>
      <c r="T42" s="1119"/>
    </row>
    <row r="43" spans="1:20" s="858" customFormat="1" ht="16.5" customHeight="1">
      <c r="A43" s="1113" t="s">
        <v>423</v>
      </c>
      <c r="B43" s="1118" t="s">
        <v>178</v>
      </c>
      <c r="C43" s="855"/>
      <c r="D43" s="855"/>
      <c r="E43" s="855"/>
      <c r="F43" s="855"/>
      <c r="G43" s="551">
        <f>+'Calculation of Risk Weighted As'!G43-'Calculation of Risk Weighte нац'!G43</f>
        <v>0</v>
      </c>
      <c r="H43" s="855"/>
      <c r="I43" s="855"/>
      <c r="J43" s="861"/>
      <c r="K43" s="853"/>
      <c r="L43" s="854"/>
      <c r="M43" s="859"/>
      <c r="N43" s="859"/>
      <c r="O43" s="859"/>
      <c r="P43" s="859"/>
      <c r="Q43" s="1119"/>
      <c r="R43" s="1119"/>
      <c r="S43" s="1119"/>
      <c r="T43" s="1119"/>
    </row>
    <row r="44" spans="1:20" s="858" customFormat="1" ht="15.75" customHeight="1">
      <c r="A44" s="1113" t="s">
        <v>425</v>
      </c>
      <c r="B44" s="1118" t="s">
        <v>179</v>
      </c>
      <c r="C44" s="551">
        <f>+'Calculation of Risk Weighted As'!C44-'Calculation of Risk Weighte нац'!C44</f>
        <v>0</v>
      </c>
      <c r="D44" s="855"/>
      <c r="E44" s="855"/>
      <c r="F44" s="855"/>
      <c r="G44" s="855"/>
      <c r="H44" s="855"/>
      <c r="I44" s="855"/>
      <c r="J44" s="861"/>
      <c r="K44" s="853"/>
      <c r="L44" s="854"/>
      <c r="M44" s="859"/>
      <c r="N44" s="859"/>
      <c r="O44" s="859"/>
      <c r="P44" s="859"/>
      <c r="Q44" s="1119"/>
      <c r="R44" s="1119"/>
      <c r="S44" s="1119"/>
      <c r="T44" s="1119"/>
    </row>
    <row r="45" spans="1:20" s="858" customFormat="1" ht="25.5">
      <c r="A45" s="1113" t="s">
        <v>427</v>
      </c>
      <c r="B45" s="1118" t="s">
        <v>180</v>
      </c>
      <c r="C45" s="855"/>
      <c r="D45" s="855"/>
      <c r="E45" s="855"/>
      <c r="F45" s="855"/>
      <c r="G45" s="855"/>
      <c r="H45" s="551">
        <f>+'Calculation of Risk Weighted As'!H45-'Calculation of Risk Weighte нац'!H45</f>
        <v>0</v>
      </c>
      <c r="I45" s="855"/>
      <c r="J45" s="861"/>
      <c r="K45" s="853"/>
      <c r="L45" s="854"/>
      <c r="M45" s="859"/>
      <c r="N45" s="859"/>
      <c r="O45" s="859"/>
      <c r="P45" s="859"/>
      <c r="Q45" s="1119"/>
      <c r="R45" s="1119"/>
      <c r="S45" s="1119"/>
      <c r="T45" s="1119"/>
    </row>
    <row r="46" spans="1:20" s="858" customFormat="1" ht="14.25" customHeight="1">
      <c r="A46" s="1113" t="s">
        <v>429</v>
      </c>
      <c r="B46" s="1118" t="s">
        <v>181</v>
      </c>
      <c r="C46" s="551">
        <f>+'Calculation of Risk Weighted As'!C46-'Calculation of Risk Weighte нац'!C46</f>
        <v>0</v>
      </c>
      <c r="D46" s="855"/>
      <c r="E46" s="855"/>
      <c r="F46" s="855"/>
      <c r="G46" s="551">
        <f>+'Calculation of Risk Weighted As'!G46-'Calculation of Risk Weighte нац'!G46</f>
        <v>79991878</v>
      </c>
      <c r="H46" s="855"/>
      <c r="I46" s="855"/>
      <c r="J46" s="861"/>
      <c r="K46" s="853">
        <f>+Balance!C44</f>
        <v>5890272405</v>
      </c>
      <c r="L46" s="854"/>
      <c r="M46" s="859"/>
      <c r="N46" s="859"/>
      <c r="O46" s="859"/>
      <c r="P46" s="859"/>
      <c r="Q46" s="1119"/>
      <c r="R46" s="1119"/>
      <c r="S46" s="1119"/>
      <c r="T46" s="1119"/>
    </row>
    <row r="47" spans="1:20" s="858" customFormat="1">
      <c r="A47" s="1113" t="s">
        <v>431</v>
      </c>
      <c r="B47" s="1118" t="s">
        <v>182</v>
      </c>
      <c r="C47" s="852">
        <f t="shared" ref="C47:J47" si="0">SUM(C8:C46)</f>
        <v>99077843</v>
      </c>
      <c r="D47" s="852">
        <f t="shared" si="0"/>
        <v>25413062</v>
      </c>
      <c r="E47" s="852">
        <f>SUM(E8:E46)</f>
        <v>0</v>
      </c>
      <c r="F47" s="852">
        <f t="shared" si="0"/>
        <v>0</v>
      </c>
      <c r="G47" s="852">
        <f t="shared" si="0"/>
        <v>1638013304</v>
      </c>
      <c r="H47" s="852">
        <f t="shared" si="0"/>
        <v>188636231</v>
      </c>
      <c r="I47" s="852">
        <f t="shared" si="0"/>
        <v>0</v>
      </c>
      <c r="J47" s="860">
        <f t="shared" si="0"/>
        <v>0</v>
      </c>
      <c r="K47" s="853">
        <f>SUM(C47:J47)</f>
        <v>1951140440</v>
      </c>
      <c r="L47" s="854">
        <f>+Balance!E44</f>
        <v>1951140440</v>
      </c>
      <c r="M47" s="853">
        <f>+K47-L47</f>
        <v>0</v>
      </c>
      <c r="N47" s="859"/>
      <c r="O47" s="859"/>
      <c r="P47" s="859"/>
      <c r="Q47" s="1119"/>
      <c r="R47" s="1119"/>
      <c r="S47" s="1119"/>
      <c r="T47" s="1119"/>
    </row>
    <row r="48" spans="1:20" s="858" customFormat="1">
      <c r="A48" s="1113" t="s">
        <v>96</v>
      </c>
      <c r="B48" s="1118" t="s">
        <v>183</v>
      </c>
      <c r="C48" s="855"/>
      <c r="D48" s="852">
        <f t="shared" ref="D48:J48" si="1">D47*D4</f>
        <v>5082612.4000000004</v>
      </c>
      <c r="E48" s="852">
        <f t="shared" si="1"/>
        <v>0</v>
      </c>
      <c r="F48" s="852">
        <f t="shared" si="1"/>
        <v>0</v>
      </c>
      <c r="G48" s="852">
        <f t="shared" si="1"/>
        <v>1638013304</v>
      </c>
      <c r="H48" s="852">
        <f t="shared" si="1"/>
        <v>282954346.5</v>
      </c>
      <c r="I48" s="852">
        <f t="shared" si="1"/>
        <v>0</v>
      </c>
      <c r="J48" s="860">
        <f t="shared" si="1"/>
        <v>0</v>
      </c>
      <c r="K48" s="853"/>
      <c r="L48" s="854"/>
      <c r="M48" s="859"/>
      <c r="N48" s="859"/>
      <c r="O48" s="859"/>
      <c r="P48" s="859"/>
      <c r="Q48" s="1119"/>
      <c r="R48" s="1119"/>
      <c r="S48" s="1119"/>
      <c r="T48" s="1119"/>
    </row>
    <row r="49" spans="1:20" s="858" customFormat="1" ht="13.5" thickBot="1">
      <c r="A49" s="1127" t="s">
        <v>97</v>
      </c>
      <c r="B49" s="1128" t="s">
        <v>184</v>
      </c>
      <c r="C49" s="856"/>
      <c r="D49" s="856"/>
      <c r="E49" s="856"/>
      <c r="F49" s="856"/>
      <c r="G49" s="856"/>
      <c r="H49" s="856"/>
      <c r="I49" s="856"/>
      <c r="J49" s="862">
        <f>SUM(D48:J48)</f>
        <v>1926050262.9000001</v>
      </c>
      <c r="K49" s="853"/>
      <c r="L49" s="854"/>
      <c r="M49" s="859"/>
      <c r="N49" s="859"/>
      <c r="O49" s="859"/>
      <c r="P49" s="859"/>
      <c r="Q49" s="1119"/>
      <c r="R49" s="1119"/>
      <c r="S49" s="1119"/>
      <c r="T49" s="1119"/>
    </row>
    <row r="50" spans="1:20" s="858" customFormat="1">
      <c r="A50" s="1129"/>
      <c r="B50" s="1130"/>
      <c r="C50" s="857"/>
      <c r="D50" s="857"/>
      <c r="E50" s="857"/>
      <c r="F50" s="857"/>
      <c r="G50" s="857"/>
      <c r="J50" s="854"/>
      <c r="K50" s="859"/>
      <c r="L50" s="859"/>
      <c r="M50" s="859"/>
      <c r="N50" s="859"/>
      <c r="O50" s="859"/>
      <c r="P50" s="859"/>
      <c r="Q50" s="1119"/>
      <c r="R50" s="1119"/>
      <c r="S50" s="1119"/>
      <c r="T50" s="1119"/>
    </row>
    <row r="51" spans="1:20" s="858" customFormat="1" ht="13.5" thickBot="1">
      <c r="A51" s="1129"/>
      <c r="B51" s="1131"/>
      <c r="C51" s="1131"/>
      <c r="D51" s="1131"/>
      <c r="E51" s="1131"/>
      <c r="F51" s="1131"/>
      <c r="G51" s="1131"/>
      <c r="H51" s="1131"/>
      <c r="I51" s="857"/>
      <c r="K51" s="854"/>
      <c r="L51" s="859"/>
      <c r="M51" s="859"/>
      <c r="N51" s="859"/>
      <c r="O51" s="859"/>
      <c r="P51" s="859"/>
      <c r="Q51" s="1119"/>
      <c r="R51" s="1119"/>
      <c r="S51" s="1119"/>
      <c r="T51" s="1119"/>
    </row>
    <row r="52" spans="1:20" s="858" customFormat="1" ht="12.75" customHeight="1">
      <c r="A52" s="1221" t="s">
        <v>161</v>
      </c>
      <c r="B52" s="1228" t="s">
        <v>131</v>
      </c>
      <c r="C52" s="1229"/>
      <c r="D52" s="1236" t="s">
        <v>185</v>
      </c>
      <c r="E52" s="1237"/>
      <c r="F52" s="1132">
        <v>0</v>
      </c>
      <c r="G52" s="1133">
        <v>0.2</v>
      </c>
      <c r="H52" s="1133">
        <v>0.5</v>
      </c>
      <c r="I52" s="1133">
        <v>1</v>
      </c>
      <c r="J52" s="1223" t="s">
        <v>186</v>
      </c>
      <c r="K52" s="854"/>
      <c r="L52" s="859"/>
      <c r="M52" s="859"/>
      <c r="N52" s="859"/>
      <c r="O52" s="859"/>
      <c r="P52" s="859"/>
      <c r="Q52" s="1119"/>
      <c r="R52" s="1119"/>
      <c r="S52" s="1119"/>
      <c r="T52" s="1119"/>
    </row>
    <row r="53" spans="1:20" s="858" customFormat="1" ht="9.75" customHeight="1">
      <c r="A53" s="1222"/>
      <c r="B53" s="1230"/>
      <c r="C53" s="1231"/>
      <c r="D53" s="1238"/>
      <c r="E53" s="1239"/>
      <c r="F53" s="1225" t="s">
        <v>162</v>
      </c>
      <c r="G53" s="1220" t="s">
        <v>162</v>
      </c>
      <c r="H53" s="1220" t="s">
        <v>162</v>
      </c>
      <c r="I53" s="1220" t="s">
        <v>162</v>
      </c>
      <c r="J53" s="1224"/>
      <c r="K53" s="854"/>
      <c r="L53" s="859"/>
      <c r="M53" s="859"/>
      <c r="N53" s="859"/>
      <c r="O53" s="859"/>
      <c r="P53" s="859"/>
      <c r="Q53" s="1119"/>
      <c r="R53" s="1119"/>
      <c r="S53" s="1119"/>
      <c r="T53" s="1119"/>
    </row>
    <row r="54" spans="1:20" s="858" customFormat="1" ht="17.25" customHeight="1">
      <c r="A54" s="1222"/>
      <c r="B54" s="1232"/>
      <c r="C54" s="1233"/>
      <c r="D54" s="1240"/>
      <c r="E54" s="1241"/>
      <c r="F54" s="1226"/>
      <c r="G54" s="1227"/>
      <c r="H54" s="1227"/>
      <c r="I54" s="1227"/>
      <c r="J54" s="1224"/>
      <c r="K54" s="854"/>
      <c r="L54" s="859"/>
      <c r="M54" s="859"/>
      <c r="N54" s="859"/>
      <c r="O54" s="859"/>
      <c r="P54" s="859"/>
      <c r="Q54" s="1119"/>
      <c r="R54" s="1119"/>
      <c r="S54" s="1119"/>
      <c r="T54" s="1119"/>
    </row>
    <row r="55" spans="1:20" s="858" customFormat="1">
      <c r="A55" s="1222"/>
      <c r="B55" s="1249" t="s">
        <v>132</v>
      </c>
      <c r="C55" s="1250"/>
      <c r="D55" s="1249" t="s">
        <v>133</v>
      </c>
      <c r="E55" s="1250"/>
      <c r="F55" s="1134" t="s">
        <v>134</v>
      </c>
      <c r="G55" s="1111" t="s">
        <v>135</v>
      </c>
      <c r="H55" s="1111" t="s">
        <v>163</v>
      </c>
      <c r="I55" s="1111" t="s">
        <v>164</v>
      </c>
      <c r="J55" s="1112" t="s">
        <v>187</v>
      </c>
      <c r="K55" s="854"/>
      <c r="L55" s="859"/>
      <c r="M55" s="859"/>
      <c r="N55" s="859"/>
      <c r="O55" s="859"/>
      <c r="P55" s="859"/>
      <c r="Q55" s="1119"/>
      <c r="R55" s="1119"/>
      <c r="S55" s="1119"/>
      <c r="T55" s="1119"/>
    </row>
    <row r="56" spans="1:20" s="858" customFormat="1">
      <c r="A56" s="1244" t="s">
        <v>188</v>
      </c>
      <c r="B56" s="1245"/>
      <c r="C56" s="1245"/>
      <c r="D56" s="1245"/>
      <c r="E56" s="1245"/>
      <c r="F56" s="1245"/>
      <c r="G56" s="1245"/>
      <c r="H56" s="1245"/>
      <c r="I56" s="1245"/>
      <c r="J56" s="1246"/>
      <c r="K56" s="854"/>
      <c r="L56" s="859"/>
      <c r="M56" s="859"/>
      <c r="N56" s="859"/>
      <c r="O56" s="859"/>
      <c r="P56" s="859"/>
      <c r="Q56" s="1119"/>
      <c r="R56" s="1119"/>
      <c r="S56" s="1119"/>
      <c r="T56" s="1119"/>
    </row>
    <row r="57" spans="1:20" s="858" customFormat="1">
      <c r="A57" s="1135">
        <v>1</v>
      </c>
      <c r="B57" s="1242" t="s">
        <v>189</v>
      </c>
      <c r="C57" s="1243"/>
      <c r="D57" s="855"/>
      <c r="E57" s="855"/>
      <c r="F57" s="855"/>
      <c r="G57" s="855"/>
      <c r="H57" s="855"/>
      <c r="I57" s="855"/>
      <c r="J57" s="861"/>
      <c r="K57" s="854"/>
      <c r="L57" s="859"/>
      <c r="M57" s="859"/>
      <c r="N57" s="859"/>
      <c r="O57" s="859"/>
      <c r="P57" s="859"/>
      <c r="Q57" s="1119"/>
      <c r="R57" s="1119"/>
      <c r="S57" s="1119"/>
      <c r="T57" s="1119"/>
    </row>
    <row r="58" spans="1:20" s="858" customFormat="1">
      <c r="A58" s="1135" t="s">
        <v>137</v>
      </c>
      <c r="B58" s="1242" t="s">
        <v>190</v>
      </c>
      <c r="C58" s="1243"/>
      <c r="D58" s="1212">
        <v>0.5</v>
      </c>
      <c r="E58" s="1213"/>
      <c r="F58" s="551">
        <f>+'Calculation of Risk Weighted As'!F58-'Calculation of Risk Weighte нац'!F58</f>
        <v>0</v>
      </c>
      <c r="G58" s="551">
        <f>+'Calculation of Risk Weighted As'!G58-'Calculation of Risk Weighte нац'!G58</f>
        <v>0</v>
      </c>
      <c r="H58" s="551">
        <f>+'Calculation of Risk Weighted As'!H58-'Calculation of Risk Weighte нац'!H58</f>
        <v>0</v>
      </c>
      <c r="I58" s="551">
        <f>+'Calculation of Risk Weighted As'!I58-'Calculation of Risk Weighte нац'!I58</f>
        <v>527726099</v>
      </c>
      <c r="J58" s="860">
        <f>(G58*0.1)+(H58*0.25)+(I58*0.5)</f>
        <v>263863049.5</v>
      </c>
      <c r="K58" s="854"/>
      <c r="L58" s="859"/>
      <c r="M58" s="859"/>
      <c r="N58" s="859"/>
      <c r="O58" s="859"/>
      <c r="P58" s="859"/>
      <c r="Q58" s="1119"/>
      <c r="R58" s="1119"/>
      <c r="S58" s="1119"/>
      <c r="T58" s="1119"/>
    </row>
    <row r="59" spans="1:20" s="858" customFormat="1">
      <c r="A59" s="1135" t="s">
        <v>139</v>
      </c>
      <c r="B59" s="1242" t="s">
        <v>191</v>
      </c>
      <c r="C59" s="1243"/>
      <c r="D59" s="1212">
        <v>0.2</v>
      </c>
      <c r="E59" s="1213"/>
      <c r="F59" s="551">
        <f>+'Calculation of Risk Weighted As'!F59-'Calculation of Risk Weighte нац'!F59</f>
        <v>0</v>
      </c>
      <c r="G59" s="551">
        <f>+'Calculation of Risk Weighted As'!G59-'Calculation of Risk Weighte нац'!G59</f>
        <v>0</v>
      </c>
      <c r="H59" s="551">
        <f>+'Calculation of Risk Weighted As'!H59-'Calculation of Risk Weighte нац'!H59</f>
        <v>0</v>
      </c>
      <c r="I59" s="551">
        <f>+'Calculation of Risk Weighted As'!I59-'Calculation of Risk Weighte нац'!I59</f>
        <v>0</v>
      </c>
      <c r="J59" s="860">
        <f>(G59*0.04)+(H59*0.1)+(I59*0.2)</f>
        <v>0</v>
      </c>
      <c r="K59" s="854"/>
      <c r="L59" s="859"/>
      <c r="M59" s="859"/>
      <c r="N59" s="859"/>
      <c r="O59" s="859"/>
      <c r="P59" s="859"/>
      <c r="Q59" s="1119"/>
      <c r="R59" s="1119"/>
      <c r="S59" s="1119"/>
      <c r="T59" s="1119"/>
    </row>
    <row r="60" spans="1:20" s="858" customFormat="1" ht="26.25" customHeight="1">
      <c r="A60" s="1135">
        <v>2</v>
      </c>
      <c r="B60" s="1242" t="s">
        <v>192</v>
      </c>
      <c r="C60" s="1243"/>
      <c r="D60" s="1212">
        <v>1</v>
      </c>
      <c r="E60" s="1213"/>
      <c r="F60" s="551">
        <f>+'Calculation of Risk Weighted As'!F60-'Calculation of Risk Weighte нац'!F60</f>
        <v>0</v>
      </c>
      <c r="G60" s="551">
        <f>+'Calculation of Risk Weighted As'!G60-'Calculation of Risk Weighte нац'!G60</f>
        <v>0</v>
      </c>
      <c r="H60" s="551">
        <f>+'Calculation of Risk Weighted As'!H60-'Calculation of Risk Weighte нац'!H60</f>
        <v>0</v>
      </c>
      <c r="I60" s="551">
        <f>+'Calculation of Risk Weighted As'!I60-'Calculation of Risk Weighte нац'!I60</f>
        <v>0</v>
      </c>
      <c r="J60" s="860">
        <f>(G60*0.2)+(H60*0.5)+(I60*1)</f>
        <v>0</v>
      </c>
      <c r="K60" s="854"/>
      <c r="L60" s="859"/>
      <c r="M60" s="859"/>
      <c r="N60" s="859"/>
      <c r="O60" s="859"/>
      <c r="P60" s="859"/>
      <c r="Q60" s="1119"/>
      <c r="R60" s="1119"/>
      <c r="S60" s="1119"/>
      <c r="T60" s="1119"/>
    </row>
    <row r="61" spans="1:20" s="858" customFormat="1">
      <c r="A61" s="1135">
        <v>3</v>
      </c>
      <c r="B61" s="1242" t="s">
        <v>193</v>
      </c>
      <c r="C61" s="1243"/>
      <c r="D61" s="1212">
        <v>1</v>
      </c>
      <c r="E61" s="1213"/>
      <c r="F61" s="551">
        <f>+'Calculation of Risk Weighted As'!F61-'Calculation of Risk Weighte нац'!F61</f>
        <v>0</v>
      </c>
      <c r="G61" s="855"/>
      <c r="H61" s="855"/>
      <c r="I61" s="551">
        <f>+'Calculation of Risk Weighted As'!I61-'Calculation of Risk Weighte нац'!I61</f>
        <v>112800562</v>
      </c>
      <c r="J61" s="860">
        <f>(G61*0.2)+(H61*0.5)+(I61*1)</f>
        <v>112800562</v>
      </c>
      <c r="K61" s="854"/>
      <c r="L61" s="859"/>
      <c r="M61" s="859"/>
      <c r="N61" s="859"/>
      <c r="O61" s="859"/>
      <c r="P61" s="859"/>
      <c r="Q61" s="1119"/>
      <c r="R61" s="1119"/>
      <c r="S61" s="1119"/>
      <c r="T61" s="1119"/>
    </row>
    <row r="62" spans="1:20" s="858" customFormat="1">
      <c r="A62" s="1135">
        <v>4</v>
      </c>
      <c r="B62" s="1242" t="s">
        <v>194</v>
      </c>
      <c r="C62" s="1243"/>
      <c r="D62" s="1136"/>
      <c r="E62" s="1136"/>
      <c r="F62" s="855"/>
      <c r="G62" s="855"/>
      <c r="H62" s="855"/>
      <c r="I62" s="855"/>
      <c r="J62" s="861"/>
      <c r="K62" s="854"/>
      <c r="L62" s="859"/>
      <c r="M62" s="859"/>
      <c r="N62" s="859"/>
      <c r="O62" s="859"/>
      <c r="P62" s="859"/>
      <c r="Q62" s="1119"/>
      <c r="R62" s="1119"/>
      <c r="S62" s="1119"/>
      <c r="T62" s="1119"/>
    </row>
    <row r="63" spans="1:20" s="858" customFormat="1">
      <c r="A63" s="1135" t="s">
        <v>137</v>
      </c>
      <c r="B63" s="1242" t="s">
        <v>195</v>
      </c>
      <c r="C63" s="1243"/>
      <c r="D63" s="1212">
        <v>1</v>
      </c>
      <c r="E63" s="1213"/>
      <c r="F63" s="551">
        <f>+'Calculation of Risk Weighted As'!F63-'Calculation of Risk Weighte нац'!F63</f>
        <v>0</v>
      </c>
      <c r="G63" s="551">
        <f>+'Calculation of Risk Weighted As'!G63-'Calculation of Risk Weighte нац'!G63</f>
        <v>0</v>
      </c>
      <c r="H63" s="551">
        <f>+'Calculation of Risk Weighted As'!H63-'Calculation of Risk Weighte нац'!H63</f>
        <v>0</v>
      </c>
      <c r="I63" s="551">
        <f>+'Calculation of Risk Weighted As'!I63-'Calculation of Risk Weighte нац'!I63</f>
        <v>0</v>
      </c>
      <c r="J63" s="860">
        <f>(G63*0.2)+(H63*0.5)+(I63*1)</f>
        <v>0</v>
      </c>
      <c r="K63" s="854"/>
      <c r="L63" s="859"/>
      <c r="M63" s="859"/>
      <c r="N63" s="859"/>
      <c r="O63" s="859"/>
      <c r="P63" s="859"/>
      <c r="Q63" s="1119"/>
      <c r="R63" s="1119"/>
      <c r="S63" s="1119"/>
      <c r="T63" s="1119"/>
    </row>
    <row r="64" spans="1:20" s="858" customFormat="1">
      <c r="A64" s="1135" t="s">
        <v>139</v>
      </c>
      <c r="B64" s="1242" t="s">
        <v>196</v>
      </c>
      <c r="C64" s="1243"/>
      <c r="D64" s="1212">
        <v>0.5</v>
      </c>
      <c r="E64" s="1213"/>
      <c r="F64" s="551">
        <f>+'Calculation of Risk Weighted As'!F64-'Calculation of Risk Weighte нац'!F64</f>
        <v>0</v>
      </c>
      <c r="G64" s="551">
        <f>+'Calculation of Risk Weighted As'!G64-'Calculation of Risk Weighte нац'!G64</f>
        <v>0</v>
      </c>
      <c r="H64" s="551">
        <f>+'Calculation of Risk Weighted As'!H64-'Calculation of Risk Weighte нац'!H64</f>
        <v>0</v>
      </c>
      <c r="I64" s="551">
        <f>+'Calculation of Risk Weighted As'!I64-'Calculation of Risk Weighte нац'!I64</f>
        <v>0</v>
      </c>
      <c r="J64" s="860">
        <f>(G64*0.1)+(H64*0.25)+(I64*0.5)</f>
        <v>0</v>
      </c>
      <c r="K64" s="854"/>
      <c r="L64" s="859"/>
      <c r="M64" s="859"/>
      <c r="N64" s="859"/>
      <c r="O64" s="859"/>
      <c r="P64" s="859"/>
      <c r="Q64" s="1119"/>
      <c r="R64" s="1119"/>
      <c r="S64" s="1119"/>
      <c r="T64" s="1119"/>
    </row>
    <row r="65" spans="1:20" s="858" customFormat="1">
      <c r="A65" s="1135" t="s">
        <v>141</v>
      </c>
      <c r="B65" s="1242" t="s">
        <v>197</v>
      </c>
      <c r="C65" s="1243"/>
      <c r="D65" s="1212">
        <v>0.2</v>
      </c>
      <c r="E65" s="1213"/>
      <c r="F65" s="551">
        <f>+'Calculation of Risk Weighted As'!F65-'Calculation of Risk Weighte нац'!F65</f>
        <v>0</v>
      </c>
      <c r="G65" s="551">
        <f>+'Calculation of Risk Weighted As'!G65-'Calculation of Risk Weighte нац'!G65</f>
        <v>0</v>
      </c>
      <c r="H65" s="551">
        <f>+'Calculation of Risk Weighted As'!H65-'Calculation of Risk Weighte нац'!H65</f>
        <v>0</v>
      </c>
      <c r="I65" s="551">
        <f>+'Calculation of Risk Weighted As'!I65-'Calculation of Risk Weighte нац'!I65</f>
        <v>11705135</v>
      </c>
      <c r="J65" s="860">
        <f>(G65*0.04)+(H65*0.1)+(I65*0.2)</f>
        <v>2341027</v>
      </c>
      <c r="K65" s="854"/>
      <c r="L65" s="859"/>
      <c r="M65" s="859"/>
      <c r="N65" s="859"/>
      <c r="O65" s="859"/>
      <c r="P65" s="859"/>
      <c r="Q65" s="1119"/>
      <c r="R65" s="1119"/>
      <c r="S65" s="1119"/>
      <c r="T65" s="1119"/>
    </row>
    <row r="66" spans="1:20" s="858" customFormat="1">
      <c r="A66" s="1135" t="s">
        <v>150</v>
      </c>
      <c r="B66" s="1242" t="s">
        <v>785</v>
      </c>
      <c r="C66" s="1243"/>
      <c r="D66" s="1212">
        <v>1</v>
      </c>
      <c r="E66" s="1213"/>
      <c r="F66" s="551">
        <f>+'Calculation of Risk Weighted As'!F66-'Calculation of Risk Weighte нац'!F66</f>
        <v>0</v>
      </c>
      <c r="G66" s="855"/>
      <c r="H66" s="855"/>
      <c r="I66" s="551">
        <f>+'Calculation of Risk Weighted As'!I66-'Calculation of Risk Weighte нац'!I66</f>
        <v>0</v>
      </c>
      <c r="J66" s="860">
        <f>(G66*0.2)+(H66*0.5)+(I66*1)</f>
        <v>0</v>
      </c>
      <c r="K66" s="854"/>
      <c r="L66" s="859"/>
      <c r="M66" s="859"/>
      <c r="N66" s="859"/>
      <c r="O66" s="859"/>
      <c r="P66" s="859"/>
      <c r="Q66" s="1119"/>
      <c r="R66" s="1119"/>
      <c r="S66" s="1119"/>
      <c r="T66" s="1119"/>
    </row>
    <row r="67" spans="1:20" s="858" customFormat="1">
      <c r="A67" s="1135">
        <v>5</v>
      </c>
      <c r="B67" s="1242" t="s">
        <v>198</v>
      </c>
      <c r="C67" s="1243"/>
      <c r="D67" s="1136"/>
      <c r="E67" s="1136"/>
      <c r="F67" s="855"/>
      <c r="G67" s="855"/>
      <c r="H67" s="855"/>
      <c r="I67" s="855"/>
      <c r="J67" s="861"/>
      <c r="K67" s="854"/>
      <c r="L67" s="859"/>
      <c r="M67" s="859"/>
      <c r="N67" s="859"/>
      <c r="O67" s="859"/>
      <c r="P67" s="859"/>
      <c r="Q67" s="1119"/>
      <c r="R67" s="1119"/>
      <c r="S67" s="1119"/>
      <c r="T67" s="1119"/>
    </row>
    <row r="68" spans="1:20" s="858" customFormat="1">
      <c r="A68" s="1135" t="s">
        <v>137</v>
      </c>
      <c r="B68" s="1242" t="s">
        <v>199</v>
      </c>
      <c r="C68" s="1243"/>
      <c r="D68" s="1136"/>
      <c r="E68" s="1136"/>
      <c r="F68" s="855"/>
      <c r="G68" s="855"/>
      <c r="H68" s="855"/>
      <c r="I68" s="855"/>
      <c r="J68" s="861"/>
      <c r="K68" s="854"/>
      <c r="L68" s="859"/>
      <c r="M68" s="859"/>
      <c r="N68" s="859"/>
      <c r="O68" s="859"/>
      <c r="P68" s="859"/>
      <c r="Q68" s="1119"/>
      <c r="R68" s="1119"/>
      <c r="S68" s="1119"/>
      <c r="T68" s="1119"/>
    </row>
    <row r="69" spans="1:20" s="858" customFormat="1">
      <c r="A69" s="1135" t="s">
        <v>200</v>
      </c>
      <c r="B69" s="1242" t="s">
        <v>201</v>
      </c>
      <c r="C69" s="1243"/>
      <c r="D69" s="1214">
        <v>5.0000000000000001E-3</v>
      </c>
      <c r="E69" s="1215"/>
      <c r="F69" s="551">
        <f>+'Calculation of Risk Weighted As'!F69-'Calculation of Risk Weighte нац'!F69</f>
        <v>0</v>
      </c>
      <c r="G69" s="551">
        <f>+'Calculation of Risk Weighted As'!G69-'Calculation of Risk Weighte нац'!G69</f>
        <v>0</v>
      </c>
      <c r="H69" s="551">
        <f>+'Calculation of Risk Weighted As'!H69-'Calculation of Risk Weighte нац'!H69</f>
        <v>0</v>
      </c>
      <c r="I69" s="551">
        <f>+'Calculation of Risk Weighted As'!I69-'Calculation of Risk Weighte нац'!I69</f>
        <v>0</v>
      </c>
      <c r="J69" s="860">
        <f>(G69*0.001)+(H69*0.0025)+(I69*0.005)</f>
        <v>0</v>
      </c>
      <c r="K69" s="854"/>
      <c r="L69" s="859"/>
      <c r="M69" s="859"/>
      <c r="N69" s="859"/>
      <c r="O69" s="859"/>
      <c r="P69" s="859"/>
      <c r="Q69" s="1119"/>
      <c r="R69" s="1119"/>
      <c r="S69" s="1119"/>
      <c r="T69" s="1119"/>
    </row>
    <row r="70" spans="1:20" s="858" customFormat="1">
      <c r="A70" s="1135" t="s">
        <v>202</v>
      </c>
      <c r="B70" s="1242" t="s">
        <v>203</v>
      </c>
      <c r="C70" s="1243"/>
      <c r="D70" s="1212">
        <v>0.01</v>
      </c>
      <c r="E70" s="1213"/>
      <c r="F70" s="551">
        <f>+'Calculation of Risk Weighted As'!F70-'Calculation of Risk Weighte нац'!F70</f>
        <v>0</v>
      </c>
      <c r="G70" s="551">
        <f>+'Calculation of Risk Weighted As'!G70-'Calculation of Risk Weighte нац'!G70</f>
        <v>0</v>
      </c>
      <c r="H70" s="551">
        <f>+'Calculation of Risk Weighted As'!H70-'Calculation of Risk Weighte нац'!H70</f>
        <v>0</v>
      </c>
      <c r="I70" s="551">
        <f>+'Calculation of Risk Weighted As'!I70-'Calculation of Risk Weighte нац'!I70</f>
        <v>0</v>
      </c>
      <c r="J70" s="860">
        <f>(G70*0.002)+(H70*0.005)+(I70*0.01)</f>
        <v>0</v>
      </c>
      <c r="K70" s="854"/>
      <c r="L70" s="859"/>
      <c r="M70" s="859"/>
      <c r="N70" s="859"/>
      <c r="O70" s="859"/>
      <c r="P70" s="859"/>
      <c r="Q70" s="1119"/>
      <c r="R70" s="1119"/>
      <c r="S70" s="1119"/>
      <c r="T70" s="1119"/>
    </row>
    <row r="71" spans="1:20" s="858" customFormat="1">
      <c r="A71" s="1135" t="s">
        <v>204</v>
      </c>
      <c r="B71" s="1242" t="s">
        <v>205</v>
      </c>
      <c r="C71" s="1243"/>
      <c r="D71" s="1212">
        <v>0.02</v>
      </c>
      <c r="E71" s="1213"/>
      <c r="F71" s="551">
        <f>+'Calculation of Risk Weighted As'!F71-'Calculation of Risk Weighte нац'!F71</f>
        <v>0</v>
      </c>
      <c r="G71" s="551">
        <f>+'Calculation of Risk Weighted As'!G71-'Calculation of Risk Weighte нац'!G71</f>
        <v>0</v>
      </c>
      <c r="H71" s="551">
        <f>+'Calculation of Risk Weighted As'!H71-'Calculation of Risk Weighte нац'!H71</f>
        <v>0</v>
      </c>
      <c r="I71" s="551">
        <f>+'Calculation of Risk Weighted As'!I71-'Calculation of Risk Weighte нац'!I71</f>
        <v>0</v>
      </c>
      <c r="J71" s="852">
        <f>(G71*0.004)+(H71*0.01)+(I71*0.02)</f>
        <v>0</v>
      </c>
      <c r="K71" s="854"/>
      <c r="L71" s="859"/>
      <c r="M71" s="859"/>
      <c r="N71" s="859"/>
      <c r="O71" s="859"/>
      <c r="P71" s="859"/>
      <c r="Q71" s="1119"/>
      <c r="R71" s="1119"/>
      <c r="S71" s="1119"/>
      <c r="T71" s="1119"/>
    </row>
    <row r="72" spans="1:20" s="858" customFormat="1">
      <c r="A72" s="1135" t="s">
        <v>139</v>
      </c>
      <c r="B72" s="1242" t="s">
        <v>206</v>
      </c>
      <c r="C72" s="1243"/>
      <c r="D72" s="1136"/>
      <c r="E72" s="1136"/>
      <c r="F72" s="855"/>
      <c r="G72" s="855"/>
      <c r="H72" s="855"/>
      <c r="I72" s="855"/>
      <c r="J72" s="861"/>
      <c r="K72" s="854"/>
      <c r="L72" s="859"/>
      <c r="M72" s="859"/>
      <c r="N72" s="859"/>
      <c r="O72" s="859"/>
      <c r="P72" s="859"/>
      <c r="Q72" s="1119"/>
      <c r="R72" s="1119"/>
      <c r="S72" s="1119"/>
      <c r="T72" s="1119"/>
    </row>
    <row r="73" spans="1:20" s="858" customFormat="1">
      <c r="A73" s="1135" t="s">
        <v>207</v>
      </c>
      <c r="B73" s="1242" t="s">
        <v>208</v>
      </c>
      <c r="C73" s="1243"/>
      <c r="D73" s="1212">
        <v>0.02</v>
      </c>
      <c r="E73" s="1213"/>
      <c r="F73" s="551">
        <f>+'Calculation of Risk Weighted As'!F73-'Calculation of Risk Weighte нац'!F73</f>
        <v>0</v>
      </c>
      <c r="G73" s="551">
        <f>+'Calculation of Risk Weighted As'!G73-'Calculation of Risk Weighte нац'!G73</f>
        <v>0</v>
      </c>
      <c r="H73" s="551">
        <f>+'Calculation of Risk Weighted As'!H73-'Calculation of Risk Weighte нац'!H73</f>
        <v>0</v>
      </c>
      <c r="I73" s="551">
        <f>+'Calculation of Risk Weighted As'!I73-'Calculation of Risk Weighte нац'!I73</f>
        <v>0</v>
      </c>
      <c r="J73" s="860">
        <f>(G73*0.004)+(H73*0.01)+(I73*0.02)</f>
        <v>0</v>
      </c>
      <c r="K73" s="854"/>
      <c r="L73" s="859"/>
      <c r="M73" s="859"/>
      <c r="N73" s="859"/>
      <c r="O73" s="859"/>
      <c r="P73" s="859"/>
      <c r="Q73" s="1119"/>
      <c r="R73" s="1119"/>
      <c r="S73" s="1119"/>
      <c r="T73" s="1119"/>
    </row>
    <row r="74" spans="1:20" s="858" customFormat="1">
      <c r="A74" s="1135" t="s">
        <v>209</v>
      </c>
      <c r="B74" s="1242" t="s">
        <v>210</v>
      </c>
      <c r="C74" s="1243"/>
      <c r="D74" s="1212">
        <v>0.05</v>
      </c>
      <c r="E74" s="1213"/>
      <c r="F74" s="551">
        <f>+'Calculation of Risk Weighted As'!F74-'Calculation of Risk Weighte нац'!F74</f>
        <v>0</v>
      </c>
      <c r="G74" s="551">
        <f>+'Calculation of Risk Weighted As'!G74-'Calculation of Risk Weighte нац'!G74</f>
        <v>0</v>
      </c>
      <c r="H74" s="551">
        <f>+'Calculation of Risk Weighted As'!H74-'Calculation of Risk Weighte нац'!H74</f>
        <v>0</v>
      </c>
      <c r="I74" s="551">
        <f>+'Calculation of Risk Weighted As'!I74-'Calculation of Risk Weighte нац'!I74</f>
        <v>0</v>
      </c>
      <c r="J74" s="860">
        <f>(G74*0.01)+(H74*0.025)+(I74*0.05)</f>
        <v>0</v>
      </c>
      <c r="K74" s="854"/>
      <c r="L74" s="859"/>
      <c r="M74" s="859"/>
      <c r="N74" s="859"/>
      <c r="O74" s="859"/>
      <c r="P74" s="859"/>
      <c r="Q74" s="1119"/>
      <c r="R74" s="1119"/>
      <c r="S74" s="1119"/>
      <c r="T74" s="1119"/>
    </row>
    <row r="75" spans="1:20" s="858" customFormat="1">
      <c r="A75" s="1135" t="s">
        <v>211</v>
      </c>
      <c r="B75" s="1242" t="s">
        <v>212</v>
      </c>
      <c r="C75" s="1243"/>
      <c r="D75" s="1212">
        <v>0.08</v>
      </c>
      <c r="E75" s="1213"/>
      <c r="F75" s="551">
        <f>+'Calculation of Risk Weighted As'!F75-'Calculation of Risk Weighte нац'!F75</f>
        <v>0</v>
      </c>
      <c r="G75" s="551">
        <f>+'Calculation of Risk Weighted As'!G75-'Calculation of Risk Weighte нац'!G75</f>
        <v>0</v>
      </c>
      <c r="H75" s="551">
        <f>+'Calculation of Risk Weighted As'!H75-'Calculation of Risk Weighte нац'!H75</f>
        <v>0</v>
      </c>
      <c r="I75" s="551">
        <f>+'Calculation of Risk Weighted As'!I75-'Calculation of Risk Weighte нац'!I75</f>
        <v>0</v>
      </c>
      <c r="J75" s="860">
        <f>(G75*0.016)+(H75*0.04)+(I75*0.08)</f>
        <v>0</v>
      </c>
      <c r="K75" s="854"/>
      <c r="L75" s="859"/>
      <c r="M75" s="859"/>
      <c r="N75" s="859"/>
      <c r="O75" s="859"/>
      <c r="P75" s="859"/>
      <c r="Q75" s="1119"/>
      <c r="R75" s="1119"/>
      <c r="S75" s="1119"/>
      <c r="T75" s="1119"/>
    </row>
    <row r="76" spans="1:20" s="858" customFormat="1">
      <c r="A76" s="1135">
        <v>6</v>
      </c>
      <c r="B76" s="1242" t="s">
        <v>213</v>
      </c>
      <c r="C76" s="1243"/>
      <c r="D76" s="1136"/>
      <c r="E76" s="1136"/>
      <c r="F76" s="852">
        <f>SUM(F58:F75)</f>
        <v>0</v>
      </c>
      <c r="G76" s="852">
        <f>SUM(G58:G75)</f>
        <v>0</v>
      </c>
      <c r="H76" s="852">
        <f>SUM(H58:H75)</f>
        <v>0</v>
      </c>
      <c r="I76" s="852">
        <f>SUM(I58:I75)</f>
        <v>652231796</v>
      </c>
      <c r="J76" s="861"/>
      <c r="K76" s="1137">
        <f>+F76+G76+H76+I76</f>
        <v>652231796</v>
      </c>
      <c r="L76" s="854">
        <f>+Commitments!C4+Commitments!C7+Commitments!C10+Commitments!C19+Commitments!C20+Commitments!C21+Commitments!C22</f>
        <v>856566199</v>
      </c>
      <c r="M76" s="1138">
        <f>+K76-L76</f>
        <v>-204334403</v>
      </c>
      <c r="N76" s="859"/>
      <c r="O76" s="859"/>
      <c r="P76" s="859"/>
      <c r="Q76" s="1119"/>
      <c r="R76" s="1119"/>
      <c r="S76" s="1119"/>
      <c r="T76" s="1119"/>
    </row>
    <row r="77" spans="1:20" s="858" customFormat="1">
      <c r="A77" s="1135">
        <v>7</v>
      </c>
      <c r="B77" s="1242" t="s">
        <v>214</v>
      </c>
      <c r="C77" s="1243"/>
      <c r="D77" s="1136"/>
      <c r="E77" s="1136"/>
      <c r="F77" s="855"/>
      <c r="G77" s="855"/>
      <c r="H77" s="855"/>
      <c r="I77" s="855"/>
      <c r="J77" s="860">
        <f>SUM(J58:J75)</f>
        <v>379004638.5</v>
      </c>
      <c r="K77" s="854"/>
      <c r="L77" s="859"/>
      <c r="M77" s="859"/>
      <c r="N77" s="859"/>
      <c r="O77" s="859"/>
      <c r="P77" s="859"/>
      <c r="Q77" s="1119"/>
      <c r="R77" s="1119"/>
      <c r="S77" s="1119"/>
      <c r="T77" s="1119"/>
    </row>
    <row r="78" spans="1:20" s="858" customFormat="1" ht="13.5" thickBot="1">
      <c r="A78" s="1139">
        <v>8</v>
      </c>
      <c r="B78" s="1247" t="s">
        <v>215</v>
      </c>
      <c r="C78" s="1248"/>
      <c r="D78" s="1140"/>
      <c r="E78" s="1140"/>
      <c r="F78" s="856"/>
      <c r="G78" s="856"/>
      <c r="H78" s="856"/>
      <c r="I78" s="856"/>
      <c r="J78" s="862">
        <f>SUM(J77+J49)</f>
        <v>2305054901.4000001</v>
      </c>
      <c r="K78" s="854">
        <f>+J78*0.15</f>
        <v>345758235.20999998</v>
      </c>
      <c r="L78" s="859"/>
      <c r="M78" s="859"/>
      <c r="N78" s="859"/>
      <c r="O78" s="859"/>
      <c r="P78" s="859"/>
      <c r="Q78" s="1119"/>
      <c r="R78" s="1119"/>
      <c r="S78" s="1119"/>
      <c r="T78" s="1119"/>
    </row>
    <row r="79" spans="1:20">
      <c r="J79" s="863"/>
      <c r="K79" s="1104"/>
    </row>
    <row r="80" spans="1:20">
      <c r="B80" s="1141" t="s">
        <v>4</v>
      </c>
      <c r="C80" s="1141"/>
      <c r="J80" s="863"/>
      <c r="K80" s="1104"/>
    </row>
    <row r="81" spans="2:11">
      <c r="B81" s="1141"/>
      <c r="C81" s="1141"/>
      <c r="J81" s="863"/>
      <c r="K81" s="1104"/>
    </row>
    <row r="82" spans="2:11">
      <c r="B82" s="1141" t="s">
        <v>5</v>
      </c>
    </row>
  </sheetData>
  <sheetProtection password="CA76" sheet="1" objects="1" scenarios="1"/>
  <mergeCells count="52">
    <mergeCell ref="B57:C57"/>
    <mergeCell ref="A1:H1"/>
    <mergeCell ref="I1:J1"/>
    <mergeCell ref="G3:H3"/>
    <mergeCell ref="A4:A5"/>
    <mergeCell ref="B4:B5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  <mergeCell ref="B64:C64"/>
    <mergeCell ref="D64:E64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B63:C63"/>
    <mergeCell ref="D63:E63"/>
    <mergeCell ref="D71:E71"/>
    <mergeCell ref="B65:C65"/>
    <mergeCell ref="D65:E65"/>
    <mergeCell ref="B66:C66"/>
    <mergeCell ref="D66:E66"/>
    <mergeCell ref="B67:C67"/>
    <mergeCell ref="B68:C68"/>
    <mergeCell ref="B76:C76"/>
    <mergeCell ref="B77:C77"/>
    <mergeCell ref="B78:C78"/>
    <mergeCell ref="D55:E55"/>
    <mergeCell ref="B72:C72"/>
    <mergeCell ref="B73:C73"/>
    <mergeCell ref="D73:E73"/>
    <mergeCell ref="B74:C74"/>
    <mergeCell ref="D74:E74"/>
    <mergeCell ref="B75:C75"/>
    <mergeCell ref="D75:E75"/>
    <mergeCell ref="B69:C69"/>
    <mergeCell ref="D69:E69"/>
    <mergeCell ref="B70:C70"/>
    <mergeCell ref="D70:E70"/>
    <mergeCell ref="B71:C71"/>
  </mergeCells>
  <conditionalFormatting sqref="K47">
    <cfRule type="cellIs" dxfId="345" priority="5" operator="notEqual">
      <formula>$L$47</formula>
    </cfRule>
  </conditionalFormatting>
  <conditionalFormatting sqref="K34">
    <cfRule type="cellIs" dxfId="344" priority="2" operator="notEqual">
      <formula>$H$34</formula>
    </cfRule>
  </conditionalFormatting>
  <conditionalFormatting sqref="K35">
    <cfRule type="cellIs" dxfId="343" priority="1" operator="notEqual">
      <formula>$H$35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60:H60 I65:I66 G43 C42 G33 H40:H41 F69:I71 F60:F61 F65:F66 C46 F58:I59 I60:I61 G36:G41 H34:H35 H45 F73:I75 G46:J46 G65:H65 F63:I64 F26 C13:C14 E11:H11 D18:D21 D15 D25 C16:C18 F19 C24 G16:G17 C23:D23 F15 C20 G27:J32 D9:D11 C8 C44" xr:uid="{00000000-0002-0000-0800-000000000000}">
      <formula1>-1E+22</formula1>
      <formula2>1E+22</formula2>
    </dataValidation>
    <dataValidation type="whole" operator="greaterThanOrEqual" allowBlank="1" showInputMessage="1" showErrorMessage="1" sqref="F62:I62 G66:H66 F72:I72 G61:H61 F67:I68" xr:uid="{00000000-0002-0000-08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8">
    <pageSetUpPr fitToPage="1"/>
  </sheetPr>
  <dimension ref="A1:Y32"/>
  <sheetViews>
    <sheetView topLeftCell="A13" zoomScaleSheetLayoutView="85" workbookViewId="0">
      <selection sqref="A1:C1"/>
    </sheetView>
  </sheetViews>
  <sheetFormatPr defaultRowHeight="12.75"/>
  <cols>
    <col min="1" max="1" width="8.85546875" style="351" customWidth="1"/>
    <col min="2" max="2" width="58.42578125" style="351" bestFit="1" customWidth="1"/>
    <col min="3" max="3" width="21.28515625" style="363" customWidth="1"/>
    <col min="4" max="4" width="12.140625" style="364" bestFit="1" customWidth="1"/>
    <col min="5" max="5" width="7.7109375" style="364" customWidth="1"/>
    <col min="6" max="6" width="12.28515625" style="364" bestFit="1" customWidth="1"/>
    <col min="7" max="7" width="12.85546875" style="399" bestFit="1" customWidth="1"/>
    <col min="8" max="8" width="13.140625" style="364" bestFit="1" customWidth="1"/>
    <col min="9" max="10" width="14.7109375" style="364" customWidth="1"/>
    <col min="11" max="11" width="18.7109375" style="364" customWidth="1"/>
    <col min="12" max="12" width="14.7109375" style="364" customWidth="1"/>
    <col min="13" max="13" width="18.85546875" style="364" customWidth="1"/>
    <col min="14" max="14" width="9.140625" style="364"/>
    <col min="15" max="15" width="9.140625" style="400"/>
    <col min="16" max="19" width="9.140625" style="843"/>
    <col min="20" max="25" width="9.140625" style="352"/>
    <col min="26" max="16384" width="9.140625" style="351"/>
  </cols>
  <sheetData>
    <row r="1" spans="1:25" s="414" customFormat="1" ht="27.75" customHeight="1">
      <c r="A1" s="1251" t="s">
        <v>55</v>
      </c>
      <c r="B1" s="1251"/>
      <c r="C1" s="1251"/>
      <c r="D1" s="408"/>
      <c r="E1" s="408"/>
      <c r="F1" s="408"/>
      <c r="G1" s="409"/>
      <c r="H1" s="408"/>
      <c r="I1" s="410" t="s">
        <v>99</v>
      </c>
      <c r="J1" s="411" t="s">
        <v>101</v>
      </c>
      <c r="K1" s="411" t="s">
        <v>100</v>
      </c>
      <c r="L1" s="411" t="s">
        <v>102</v>
      </c>
      <c r="M1" s="411" t="s">
        <v>103</v>
      </c>
      <c r="N1" s="408"/>
      <c r="O1" s="412"/>
      <c r="P1" s="842"/>
      <c r="Q1" s="842"/>
      <c r="R1" s="842"/>
      <c r="S1" s="842"/>
      <c r="T1" s="413"/>
      <c r="U1" s="413"/>
      <c r="V1" s="413"/>
      <c r="W1" s="413"/>
      <c r="X1" s="413"/>
      <c r="Y1" s="413"/>
    </row>
    <row r="2" spans="1:25" ht="15">
      <c r="C2" s="415" t="s">
        <v>1098</v>
      </c>
      <c r="D2" s="846"/>
      <c r="H2" s="401" t="s">
        <v>84</v>
      </c>
      <c r="I2" s="364">
        <v>10</v>
      </c>
      <c r="J2" s="364">
        <v>7.5</v>
      </c>
      <c r="K2" s="364">
        <v>6</v>
      </c>
      <c r="L2" s="364">
        <v>80</v>
      </c>
    </row>
    <row r="3" spans="1:25" ht="15.75" customHeight="1">
      <c r="B3" s="353" t="str">
        <f>+Balance!B3</f>
        <v>АКБ "Микрокредитбанк"</v>
      </c>
      <c r="C3" s="490">
        <f>+Balance!C3</f>
        <v>43829</v>
      </c>
      <c r="H3" s="401" t="s">
        <v>86</v>
      </c>
      <c r="I3" s="364">
        <v>11.5</v>
      </c>
      <c r="J3" s="364">
        <v>8.5</v>
      </c>
      <c r="K3" s="364">
        <v>7</v>
      </c>
      <c r="L3" s="364">
        <v>80</v>
      </c>
    </row>
    <row r="4" spans="1:25" ht="43.5" customHeight="1">
      <c r="A4" s="583" t="s">
        <v>161</v>
      </c>
      <c r="B4" s="583" t="s">
        <v>50</v>
      </c>
      <c r="C4" s="583" t="s">
        <v>7</v>
      </c>
      <c r="H4" s="401" t="s">
        <v>87</v>
      </c>
      <c r="I4" s="364">
        <v>12.5</v>
      </c>
      <c r="J4" s="364">
        <v>9.5</v>
      </c>
      <c r="K4" s="364">
        <v>7.5</v>
      </c>
      <c r="L4" s="364">
        <v>90</v>
      </c>
    </row>
    <row r="5" spans="1:25" ht="21.75" customHeight="1">
      <c r="A5" s="354" t="s">
        <v>166</v>
      </c>
      <c r="B5" s="576" t="str">
        <f>+"Валовый доход банка за "&amp;(E$9-3)&amp;" год"</f>
        <v>Валовый доход банка за 2016 год</v>
      </c>
      <c r="C5" s="355">
        <f>+C6+C8-C7-C9</f>
        <v>151405362</v>
      </c>
      <c r="H5" s="401" t="s">
        <v>85</v>
      </c>
      <c r="I5" s="364">
        <v>12.5</v>
      </c>
      <c r="J5" s="364">
        <v>9.5</v>
      </c>
      <c r="K5" s="364">
        <v>7.5</v>
      </c>
      <c r="L5" s="364">
        <v>100</v>
      </c>
      <c r="M5" s="364">
        <v>100</v>
      </c>
    </row>
    <row r="6" spans="1:25" ht="21.75" customHeight="1">
      <c r="A6" s="354" t="s">
        <v>170</v>
      </c>
      <c r="B6" s="356" t="s">
        <v>51</v>
      </c>
      <c r="C6" s="90">
        <v>204104096</v>
      </c>
      <c r="E6" s="847"/>
      <c r="H6" s="401" t="s">
        <v>88</v>
      </c>
      <c r="I6" s="364">
        <v>13</v>
      </c>
      <c r="J6" s="364">
        <v>10</v>
      </c>
      <c r="K6" s="364">
        <v>8</v>
      </c>
      <c r="L6" s="364">
        <v>100</v>
      </c>
      <c r="M6" s="364">
        <v>100</v>
      </c>
    </row>
    <row r="7" spans="1:25" ht="21.75" customHeight="1">
      <c r="A7" s="354" t="s">
        <v>52</v>
      </c>
      <c r="B7" s="356" t="s">
        <v>53</v>
      </c>
      <c r="C7" s="90">
        <v>126300057</v>
      </c>
      <c r="E7" s="364" t="str">
        <f>RIGHT(Balance!B2,4)</f>
        <v>2019</v>
      </c>
      <c r="F7" s="402"/>
      <c r="H7" s="401"/>
    </row>
    <row r="8" spans="1:25" ht="21.75" customHeight="1">
      <c r="A8" s="354" t="s">
        <v>54</v>
      </c>
      <c r="B8" s="356" t="s">
        <v>786</v>
      </c>
      <c r="C8" s="90">
        <v>94287758</v>
      </c>
      <c r="F8" s="402"/>
      <c r="G8" s="399">
        <f>VLOOKUP(E9,H2:M6,2,0)</f>
        <v>13</v>
      </c>
      <c r="H8" s="401"/>
    </row>
    <row r="9" spans="1:25" ht="21.75" customHeight="1">
      <c r="A9" s="354" t="s">
        <v>788</v>
      </c>
      <c r="B9" s="356" t="s">
        <v>787</v>
      </c>
      <c r="C9" s="90">
        <v>20686435</v>
      </c>
      <c r="E9" s="848" t="str">
        <f>IF(E7&gt;H6,H6,E7)</f>
        <v>2019</v>
      </c>
      <c r="F9" s="849"/>
      <c r="H9" s="401"/>
    </row>
    <row r="10" spans="1:25" ht="21.75" customHeight="1">
      <c r="A10" s="354" t="s">
        <v>397</v>
      </c>
      <c r="B10" s="576" t="str">
        <f>+"Валовый доход банка за "&amp;(E$9-2)&amp;" год"</f>
        <v>Валовый доход банка за 2017 год</v>
      </c>
      <c r="C10" s="355">
        <f>+C11+C13-C12-C14</f>
        <v>215368224</v>
      </c>
      <c r="D10" s="850"/>
      <c r="G10" s="403">
        <f>VLOOKUP($E$9,$H$2:$M$6,4,0)</f>
        <v>8</v>
      </c>
      <c r="H10" s="401"/>
    </row>
    <row r="11" spans="1:25" ht="21.75" customHeight="1">
      <c r="A11" s="354" t="s">
        <v>170</v>
      </c>
      <c r="B11" s="356" t="s">
        <v>51</v>
      </c>
      <c r="C11" s="90">
        <v>222901466</v>
      </c>
      <c r="D11" s="850"/>
      <c r="G11" s="403">
        <f>VLOOKUP($E$9,$H$2:$J$6,3,0)</f>
        <v>10</v>
      </c>
      <c r="H11" s="401"/>
    </row>
    <row r="12" spans="1:25" ht="21.75" customHeight="1">
      <c r="A12" s="354" t="s">
        <v>52</v>
      </c>
      <c r="B12" s="356" t="s">
        <v>53</v>
      </c>
      <c r="C12" s="90">
        <v>146139315</v>
      </c>
      <c r="G12" s="399">
        <f>VLOOKUP($E$9,H2:M6,5,0)</f>
        <v>100</v>
      </c>
      <c r="H12" s="401"/>
    </row>
    <row r="13" spans="1:25" ht="21.75" customHeight="1">
      <c r="A13" s="354" t="s">
        <v>54</v>
      </c>
      <c r="B13" s="356" t="s">
        <v>786</v>
      </c>
      <c r="C13" s="90">
        <v>164180943</v>
      </c>
      <c r="F13" s="849"/>
      <c r="G13" s="399">
        <f>VLOOKUP(E9,H2:M6,6,0)</f>
        <v>100</v>
      </c>
      <c r="H13" s="401"/>
    </row>
    <row r="14" spans="1:25" ht="21.75" customHeight="1">
      <c r="A14" s="354" t="s">
        <v>788</v>
      </c>
      <c r="B14" s="356" t="s">
        <v>787</v>
      </c>
      <c r="C14" s="90">
        <v>25574870</v>
      </c>
      <c r="H14" s="401"/>
    </row>
    <row r="15" spans="1:25" ht="21.75" customHeight="1">
      <c r="A15" s="354" t="s">
        <v>398</v>
      </c>
      <c r="B15" s="576" t="str">
        <f>+"Валовый доход банка за "&amp;(E$9-1)&amp;" год"</f>
        <v>Валовый доход банка за 2018 год</v>
      </c>
      <c r="C15" s="355">
        <f>+C16+C18-C17-C19</f>
        <v>334481566</v>
      </c>
      <c r="H15" s="401"/>
    </row>
    <row r="16" spans="1:25" ht="21.75" customHeight="1">
      <c r="A16" s="354" t="s">
        <v>170</v>
      </c>
      <c r="B16" s="356" t="s">
        <v>51</v>
      </c>
      <c r="C16" s="90">
        <v>446360945</v>
      </c>
      <c r="H16" s="401"/>
    </row>
    <row r="17" spans="1:25" ht="21.75" customHeight="1">
      <c r="A17" s="354" t="s">
        <v>52</v>
      </c>
      <c r="B17" s="356" t="s">
        <v>53</v>
      </c>
      <c r="C17" s="90">
        <v>228795878</v>
      </c>
      <c r="H17" s="401"/>
    </row>
    <row r="18" spans="1:25" ht="21.75" customHeight="1">
      <c r="A18" s="354" t="s">
        <v>54</v>
      </c>
      <c r="B18" s="356" t="s">
        <v>786</v>
      </c>
      <c r="C18" s="90">
        <v>158773389</v>
      </c>
      <c r="H18" s="401"/>
    </row>
    <row r="19" spans="1:25" ht="21.75" customHeight="1">
      <c r="A19" s="354" t="s">
        <v>788</v>
      </c>
      <c r="B19" s="356" t="s">
        <v>787</v>
      </c>
      <c r="C19" s="90">
        <v>41856890</v>
      </c>
      <c r="H19" s="401"/>
    </row>
    <row r="20" spans="1:25" ht="31.5" customHeight="1">
      <c r="A20" s="354" t="s">
        <v>400</v>
      </c>
      <c r="B20" s="357" t="s">
        <v>80</v>
      </c>
      <c r="C20" s="355">
        <f>(C5+C10+C15)/3</f>
        <v>233751717.33333334</v>
      </c>
      <c r="H20" s="401"/>
    </row>
    <row r="21" spans="1:25" ht="22.5" customHeight="1">
      <c r="A21" s="354" t="s">
        <v>402</v>
      </c>
      <c r="B21" s="358" t="s">
        <v>81</v>
      </c>
      <c r="C21" s="359">
        <f>+(100/C28)*C20*15%</f>
        <v>269713520</v>
      </c>
      <c r="H21" s="401"/>
    </row>
    <row r="22" spans="1:25" ht="13.5" customHeight="1">
      <c r="A22" s="583"/>
      <c r="B22" s="583"/>
      <c r="C22" s="583"/>
      <c r="H22" s="401"/>
    </row>
    <row r="23" spans="1:25" ht="21.75" customHeight="1">
      <c r="A23" s="354" t="s">
        <v>404</v>
      </c>
      <c r="B23" s="356" t="s">
        <v>65</v>
      </c>
      <c r="C23" s="90">
        <v>70081722.762710005</v>
      </c>
      <c r="H23" s="401"/>
    </row>
    <row r="24" spans="1:25" ht="21.75" customHeight="1">
      <c r="A24" s="354" t="s">
        <v>406</v>
      </c>
      <c r="B24" s="356" t="s">
        <v>127</v>
      </c>
      <c r="C24" s="90">
        <v>0</v>
      </c>
      <c r="H24" s="401"/>
    </row>
    <row r="25" spans="1:25" ht="22.5" customHeight="1">
      <c r="A25" s="354" t="s">
        <v>408</v>
      </c>
      <c r="B25" s="356" t="s">
        <v>128</v>
      </c>
      <c r="C25" s="90">
        <v>0</v>
      </c>
      <c r="H25" s="401"/>
    </row>
    <row r="26" spans="1:25" ht="22.5" customHeight="1">
      <c r="A26" s="354" t="s">
        <v>410</v>
      </c>
      <c r="B26" s="360" t="s">
        <v>60</v>
      </c>
      <c r="C26" s="355">
        <f>ABS(C23+(C24-C25))</f>
        <v>70081722.762710005</v>
      </c>
      <c r="D26" s="851">
        <f>+C26*0.1</f>
        <v>7008172.2762710005</v>
      </c>
      <c r="G26" s="404"/>
      <c r="H26" s="404"/>
      <c r="I26" s="404"/>
      <c r="J26" s="404"/>
      <c r="K26" s="404"/>
      <c r="L26" s="404"/>
      <c r="M26" s="404"/>
      <c r="N26" s="404"/>
      <c r="O26" s="405"/>
      <c r="P26" s="844"/>
    </row>
    <row r="27" spans="1:25" ht="22.5" customHeight="1">
      <c r="A27" s="354" t="s">
        <v>451</v>
      </c>
      <c r="B27" s="577" t="s">
        <v>82</v>
      </c>
      <c r="C27" s="355">
        <f>+(100/C28)*(C26*10%)</f>
        <v>53909017.509776928</v>
      </c>
      <c r="H27" s="401"/>
    </row>
    <row r="28" spans="1:25" s="362" customFormat="1" ht="15">
      <c r="A28" s="354" t="s">
        <v>453</v>
      </c>
      <c r="B28" s="356" t="s">
        <v>83</v>
      </c>
      <c r="C28" s="578">
        <f>VLOOKUP($E$9,$H$2:$I$6,2,0)</f>
        <v>13</v>
      </c>
      <c r="D28" s="399"/>
      <c r="E28" s="399"/>
      <c r="F28" s="399"/>
      <c r="G28" s="399"/>
      <c r="H28" s="401"/>
      <c r="I28" s="364"/>
      <c r="J28" s="364"/>
      <c r="K28" s="364"/>
      <c r="L28" s="364"/>
      <c r="M28" s="364"/>
      <c r="N28" s="364"/>
      <c r="O28" s="400"/>
      <c r="P28" s="843"/>
      <c r="Q28" s="845"/>
      <c r="R28" s="845"/>
      <c r="S28" s="845"/>
      <c r="T28" s="361"/>
      <c r="U28" s="361"/>
      <c r="V28" s="361"/>
      <c r="W28" s="361"/>
      <c r="X28" s="361"/>
      <c r="Y28" s="361"/>
    </row>
    <row r="29" spans="1:25" ht="15">
      <c r="H29" s="406"/>
      <c r="K29" s="399"/>
      <c r="L29" s="399"/>
      <c r="M29" s="399"/>
      <c r="N29" s="399"/>
      <c r="O29" s="407"/>
      <c r="P29" s="845"/>
    </row>
    <row r="30" spans="1:25" ht="15">
      <c r="A30" s="15" t="s">
        <v>4</v>
      </c>
      <c r="H30" s="401"/>
    </row>
    <row r="31" spans="1:25">
      <c r="A31" s="15"/>
    </row>
    <row r="32" spans="1:25">
      <c r="A32" s="15" t="s">
        <v>5</v>
      </c>
    </row>
  </sheetData>
  <sheetProtection password="CA76" sheet="1" objects="1" scenarios="1"/>
  <mergeCells count="1">
    <mergeCell ref="A1:C1"/>
  </mergeCells>
  <phoneticPr fontId="37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6"/>
  <dimension ref="A1:I28"/>
  <sheetViews>
    <sheetView zoomScaleSheetLayoutView="100" workbookViewId="0">
      <selection activeCell="C14" sqref="C14"/>
    </sheetView>
  </sheetViews>
  <sheetFormatPr defaultRowHeight="12.75"/>
  <cols>
    <col min="1" max="1" width="5.85546875" style="120" customWidth="1"/>
    <col min="2" max="2" width="89.42578125" style="1" customWidth="1"/>
    <col min="3" max="3" width="30.7109375" style="1" customWidth="1"/>
    <col min="4" max="4" width="12.85546875" style="1" bestFit="1" customWidth="1"/>
    <col min="5" max="8" width="9.140625" style="1"/>
    <col min="9" max="9" width="5.42578125" style="1" customWidth="1"/>
    <col min="10" max="16384" width="9.140625" style="1"/>
  </cols>
  <sheetData>
    <row r="1" spans="1:9" ht="15.75">
      <c r="A1" s="14"/>
      <c r="B1" s="14" t="s">
        <v>216</v>
      </c>
      <c r="C1" s="140" t="s">
        <v>1106</v>
      </c>
      <c r="D1" s="3"/>
      <c r="E1" s="3"/>
      <c r="F1" s="3"/>
      <c r="G1" s="3"/>
      <c r="H1" s="3"/>
    </row>
    <row r="2" spans="1:9" ht="15.75">
      <c r="A2" s="14"/>
      <c r="B2" s="14"/>
      <c r="C2" s="140"/>
      <c r="D2" s="3"/>
      <c r="E2" s="3"/>
      <c r="F2" s="3"/>
      <c r="G2" s="3"/>
      <c r="H2" s="3"/>
    </row>
    <row r="3" spans="1:9" ht="15.75">
      <c r="A3" s="124"/>
      <c r="B3" s="463" t="str">
        <f>Balance!B3</f>
        <v>АКБ "Микрокредитбанк"</v>
      </c>
      <c r="C3" s="462">
        <f>+Balance!C3</f>
        <v>43829</v>
      </c>
      <c r="D3" s="3"/>
      <c r="E3" s="3"/>
      <c r="F3" s="3"/>
      <c r="G3" s="3"/>
      <c r="H3" s="3"/>
    </row>
    <row r="4" spans="1:9" s="31" customFormat="1" ht="33.75" customHeight="1">
      <c r="A4" s="583" t="s">
        <v>161</v>
      </c>
      <c r="B4" s="583" t="s">
        <v>20</v>
      </c>
      <c r="C4" s="583" t="s">
        <v>7</v>
      </c>
      <c r="D4" s="43"/>
      <c r="E4" s="43"/>
      <c r="F4" s="43"/>
      <c r="G4" s="43"/>
      <c r="H4" s="43"/>
    </row>
    <row r="5" spans="1:9" ht="18.75" customHeight="1">
      <c r="A5" s="125" t="s">
        <v>555</v>
      </c>
      <c r="B5" s="130" t="s">
        <v>791</v>
      </c>
      <c r="C5" s="133">
        <v>665013964</v>
      </c>
      <c r="D5" s="3"/>
      <c r="E5" s="3"/>
      <c r="F5" s="3"/>
      <c r="G5" s="3"/>
      <c r="H5" s="3"/>
    </row>
    <row r="6" spans="1:9" ht="18.75" customHeight="1">
      <c r="A6" s="126" t="s">
        <v>567</v>
      </c>
      <c r="B6" s="131" t="s">
        <v>792</v>
      </c>
      <c r="C6" s="133"/>
      <c r="D6" s="3"/>
      <c r="E6" s="3"/>
      <c r="F6" s="3"/>
      <c r="G6" s="3"/>
      <c r="H6" s="3"/>
    </row>
    <row r="7" spans="1:9" ht="18.75" customHeight="1">
      <c r="A7" s="127" t="s">
        <v>789</v>
      </c>
      <c r="B7" s="132" t="s">
        <v>793</v>
      </c>
      <c r="C7" s="524">
        <f>SUM(C5:C6)</f>
        <v>665013964</v>
      </c>
      <c r="E7" s="3"/>
      <c r="F7" s="3"/>
      <c r="G7" s="3"/>
      <c r="H7" s="3"/>
      <c r="I7" s="273"/>
    </row>
    <row r="8" spans="1:9" ht="18.75" customHeight="1">
      <c r="A8" s="127" t="s">
        <v>579</v>
      </c>
      <c r="B8" s="132" t="s">
        <v>794</v>
      </c>
      <c r="C8" s="524">
        <f>+'Income '!C76</f>
        <v>6838822</v>
      </c>
      <c r="E8" s="3"/>
      <c r="F8" s="3"/>
      <c r="G8" s="3"/>
      <c r="H8" s="3"/>
      <c r="I8" s="370">
        <f>+Balance!C75</f>
        <v>6838822</v>
      </c>
    </row>
    <row r="9" spans="1:9" ht="18.75" customHeight="1">
      <c r="A9" s="127" t="s">
        <v>586</v>
      </c>
      <c r="B9" s="131" t="s">
        <v>795</v>
      </c>
      <c r="C9" s="134">
        <v>947543197</v>
      </c>
      <c r="E9" s="3"/>
      <c r="F9" s="3"/>
      <c r="G9" s="3"/>
      <c r="H9" s="3"/>
      <c r="I9" s="273"/>
    </row>
    <row r="10" spans="1:9" ht="18.75" customHeight="1">
      <c r="A10" s="127" t="s">
        <v>790</v>
      </c>
      <c r="B10" s="132" t="s">
        <v>796</v>
      </c>
      <c r="C10" s="134">
        <v>5377552</v>
      </c>
      <c r="E10" s="3"/>
      <c r="F10" s="3"/>
      <c r="G10" s="3"/>
      <c r="H10" s="3"/>
      <c r="I10" s="370"/>
    </row>
    <row r="11" spans="1:9" ht="18.75" customHeight="1">
      <c r="A11" s="127" t="s">
        <v>588</v>
      </c>
      <c r="B11" s="132" t="s">
        <v>797</v>
      </c>
      <c r="C11" s="135">
        <v>0</v>
      </c>
      <c r="E11" s="3"/>
      <c r="F11" s="3"/>
      <c r="G11" s="3"/>
      <c r="H11" s="3"/>
      <c r="I11" s="273"/>
    </row>
    <row r="12" spans="1:9" ht="18.75" customHeight="1">
      <c r="A12" s="127" t="s">
        <v>739</v>
      </c>
      <c r="B12" s="132" t="s">
        <v>798</v>
      </c>
      <c r="C12" s="134">
        <v>0</v>
      </c>
      <c r="E12" s="3"/>
      <c r="F12" s="3"/>
      <c r="G12" s="3"/>
      <c r="H12" s="3"/>
      <c r="I12" s="273"/>
    </row>
    <row r="13" spans="1:9" ht="18.75" customHeight="1">
      <c r="A13" s="127" t="s">
        <v>597</v>
      </c>
      <c r="B13" s="132" t="s">
        <v>799</v>
      </c>
      <c r="C13" s="134">
        <v>331940</v>
      </c>
      <c r="E13" s="3"/>
      <c r="F13" s="3"/>
      <c r="G13" s="3"/>
      <c r="H13" s="3"/>
      <c r="I13" s="273"/>
    </row>
    <row r="14" spans="1:9" ht="18.75" customHeight="1">
      <c r="A14" s="127" t="s">
        <v>599</v>
      </c>
      <c r="B14" s="132" t="s">
        <v>800</v>
      </c>
      <c r="C14" s="524">
        <f>C7+SUM(C8:C10)-SUM(C11:C12)+C13</f>
        <v>1625105475</v>
      </c>
      <c r="D14" s="630">
        <f>+Balance!C76</f>
        <v>1625105475</v>
      </c>
      <c r="E14" s="3"/>
      <c r="F14" s="3"/>
      <c r="G14" s="3"/>
      <c r="H14" s="3"/>
      <c r="I14" s="371">
        <f>+Balance!C76</f>
        <v>1625105475</v>
      </c>
    </row>
    <row r="15" spans="1:9">
      <c r="A15" s="128"/>
      <c r="B15" s="2"/>
      <c r="C15" s="2"/>
      <c r="E15" s="3"/>
      <c r="F15" s="3"/>
      <c r="G15" s="3"/>
      <c r="H15" s="3"/>
      <c r="I15" s="273"/>
    </row>
    <row r="16" spans="1:9" ht="12.75" customHeight="1">
      <c r="A16" s="129"/>
      <c r="B16" s="8" t="s">
        <v>4</v>
      </c>
      <c r="D16" s="3"/>
      <c r="E16" s="3"/>
      <c r="F16" s="3"/>
      <c r="G16" s="3"/>
      <c r="H16" s="3"/>
    </row>
    <row r="17" spans="1:8" ht="12.75" customHeight="1">
      <c r="A17" s="129"/>
      <c r="B17" s="8"/>
      <c r="D17" s="3"/>
      <c r="E17" s="3"/>
      <c r="F17" s="3"/>
      <c r="G17" s="3"/>
      <c r="H17" s="3"/>
    </row>
    <row r="18" spans="1:8">
      <c r="A18" s="129"/>
      <c r="B18" s="8" t="s">
        <v>5</v>
      </c>
      <c r="D18" s="3"/>
      <c r="E18" s="3"/>
      <c r="F18" s="3"/>
      <c r="G18" s="3"/>
      <c r="H18" s="3"/>
    </row>
    <row r="20" spans="1:8" ht="12.75" customHeight="1">
      <c r="A20" s="122"/>
    </row>
    <row r="21" spans="1:8">
      <c r="A21" s="123"/>
    </row>
    <row r="27" spans="1:8" ht="12.75" customHeight="1"/>
    <row r="28" spans="1:8" ht="12.75" customHeight="1"/>
  </sheetData>
  <sheetProtection password="CA76" sheet="1" objects="1" scenarios="1"/>
  <phoneticPr fontId="18" type="noConversion"/>
  <conditionalFormatting sqref="C8">
    <cfRule type="cellIs" dxfId="342" priority="6" stopIfTrue="1" operator="notEqual">
      <formula>NETINC</formula>
    </cfRule>
  </conditionalFormatting>
  <conditionalFormatting sqref="C14">
    <cfRule type="cellIs" dxfId="341" priority="7" operator="notEqual">
      <formula>$I$14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A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A00-000001000000}"/>
    <dataValidation operator="greaterThan" allowBlank="1" showInputMessage="1" showErrorMessage="1" sqref="C10" xr:uid="{00000000-0002-0000-0A00-000002000000}"/>
    <dataValidation type="whole" operator="greaterThanOrEqual" allowBlank="1" showInputMessage="1" showErrorMessage="1" prompt="Ввести как положительное число или 0." sqref="C11:C12" xr:uid="{00000000-0002-0000-0A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2">
    <pageSetUpPr fitToPage="1"/>
  </sheetPr>
  <dimension ref="A1:AH102"/>
  <sheetViews>
    <sheetView zoomScale="85" zoomScaleNormal="85" zoomScaleSheetLayoutView="55" workbookViewId="0">
      <pane xSplit="3" ySplit="8" topLeftCell="P78" activePane="bottomRight" state="frozen"/>
      <selection activeCell="B32" sqref="B32"/>
      <selection pane="topRight" activeCell="B32" sqref="B32"/>
      <selection pane="bottomLeft" activeCell="B32" sqref="B32"/>
      <selection pane="bottomRight" activeCell="D70" sqref="D70"/>
    </sheetView>
  </sheetViews>
  <sheetFormatPr defaultRowHeight="12.75"/>
  <cols>
    <col min="1" max="1" width="7" style="1" customWidth="1"/>
    <col min="2" max="2" width="57.5703125" style="1" customWidth="1"/>
    <col min="3" max="3" width="18.42578125" style="1" customWidth="1"/>
    <col min="4" max="4" width="15" style="1" customWidth="1"/>
    <col min="5" max="5" width="13.28515625" style="1" customWidth="1"/>
    <col min="6" max="6" width="15" style="1" customWidth="1"/>
    <col min="7" max="7" width="14.28515625" style="1" customWidth="1"/>
    <col min="8" max="8" width="15.42578125" style="1" customWidth="1"/>
    <col min="9" max="9" width="14.42578125" style="1" customWidth="1"/>
    <col min="10" max="10" width="13.7109375" style="1" customWidth="1"/>
    <col min="11" max="12" width="17" style="1" customWidth="1"/>
    <col min="13" max="13" width="15" style="1" customWidth="1"/>
    <col min="14" max="14" width="13.7109375" style="1" customWidth="1"/>
    <col min="15" max="17" width="16" style="1" customWidth="1"/>
    <col min="18" max="18" width="15.140625" style="1" customWidth="1"/>
    <col min="19" max="21" width="13.7109375" style="1" customWidth="1"/>
    <col min="22" max="23" width="15.28515625" style="1" customWidth="1"/>
    <col min="24" max="25" width="13.7109375" style="1" customWidth="1"/>
    <col min="26" max="16384" width="9.140625" style="1"/>
  </cols>
  <sheetData>
    <row r="1" spans="1:34" s="745" customFormat="1" ht="31.5" customHeight="1">
      <c r="A1" s="747" t="s">
        <v>1220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747"/>
      <c r="U1" s="747"/>
      <c r="V1" s="747"/>
      <c r="W1" s="744" t="s">
        <v>1032</v>
      </c>
      <c r="X1" s="18"/>
      <c r="Y1" s="744"/>
    </row>
    <row r="2" spans="1:34" ht="18">
      <c r="A2" s="18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8"/>
      <c r="X2" s="17"/>
      <c r="Y2" s="17"/>
    </row>
    <row r="3" spans="1:34" s="2" customFormat="1" ht="15.75">
      <c r="A3" s="68"/>
      <c r="B3" s="464" t="str">
        <f>Balance!B3</f>
        <v>АКБ "Микрокредитбанк"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1262">
        <f>+Balance!C3</f>
        <v>43829</v>
      </c>
      <c r="U3" s="1262"/>
      <c r="V3" s="727"/>
      <c r="W3" s="727"/>
      <c r="X3" s="727" t="str">
        <f>+Balance!E3</f>
        <v>тыс. сум</v>
      </c>
      <c r="Y3" s="33"/>
    </row>
    <row r="4" spans="1:34" s="46" customFormat="1" ht="32.25" customHeight="1">
      <c r="A4" s="1252" t="s">
        <v>161</v>
      </c>
      <c r="B4" s="1252" t="s">
        <v>218</v>
      </c>
      <c r="C4" s="1255" t="s">
        <v>219</v>
      </c>
      <c r="D4" s="1260" t="s">
        <v>532</v>
      </c>
      <c r="E4" s="1260"/>
      <c r="F4" s="1260" t="s">
        <v>533</v>
      </c>
      <c r="G4" s="1260"/>
      <c r="H4" s="1259" t="s">
        <v>217</v>
      </c>
      <c r="I4" s="1259"/>
      <c r="J4" s="1259" t="s">
        <v>217</v>
      </c>
      <c r="K4" s="1259"/>
      <c r="L4" s="1259"/>
      <c r="M4" s="1259"/>
      <c r="N4" s="1259"/>
      <c r="O4" s="1259"/>
      <c r="P4" s="1259"/>
      <c r="Q4" s="1259"/>
      <c r="R4" s="1259"/>
      <c r="S4" s="1259"/>
      <c r="T4" s="1259"/>
      <c r="U4" s="1259"/>
      <c r="V4" s="1259"/>
      <c r="W4" s="1259"/>
      <c r="X4" s="1259"/>
      <c r="Y4" s="1259"/>
    </row>
    <row r="5" spans="1:34" s="46" customFormat="1" ht="18" customHeight="1">
      <c r="A5" s="1253"/>
      <c r="B5" s="1253"/>
      <c r="C5" s="1256"/>
      <c r="D5" s="1261" t="s">
        <v>916</v>
      </c>
      <c r="E5" s="1261" t="s">
        <v>1148</v>
      </c>
      <c r="F5" s="1261" t="s">
        <v>916</v>
      </c>
      <c r="G5" s="1261" t="s">
        <v>1148</v>
      </c>
      <c r="H5" s="1258" t="s">
        <v>1163</v>
      </c>
      <c r="I5" s="1258" t="s">
        <v>1197</v>
      </c>
      <c r="J5" s="1258" t="s">
        <v>220</v>
      </c>
      <c r="K5" s="1258" t="s">
        <v>221</v>
      </c>
      <c r="L5" s="864" t="s">
        <v>217</v>
      </c>
      <c r="M5" s="1258" t="s">
        <v>222</v>
      </c>
      <c r="N5" s="1258" t="s">
        <v>223</v>
      </c>
      <c r="O5" s="1258" t="s">
        <v>224</v>
      </c>
      <c r="P5" s="1259" t="s">
        <v>217</v>
      </c>
      <c r="Q5" s="1259"/>
      <c r="R5" s="1258" t="s">
        <v>225</v>
      </c>
      <c r="S5" s="1258" t="s">
        <v>226</v>
      </c>
      <c r="T5" s="1258" t="s">
        <v>227</v>
      </c>
      <c r="U5" s="1258" t="s">
        <v>228</v>
      </c>
      <c r="V5" s="1258" t="s">
        <v>229</v>
      </c>
      <c r="W5" s="1258" t="s">
        <v>230</v>
      </c>
      <c r="X5" s="1258" t="s">
        <v>231</v>
      </c>
      <c r="Y5" s="1258" t="s">
        <v>232</v>
      </c>
    </row>
    <row r="6" spans="1:34" s="46" customFormat="1" ht="102" customHeight="1">
      <c r="A6" s="1254"/>
      <c r="B6" s="1254"/>
      <c r="C6" s="1257"/>
      <c r="D6" s="1261"/>
      <c r="E6" s="1261"/>
      <c r="F6" s="1261"/>
      <c r="G6" s="1261"/>
      <c r="H6" s="1258"/>
      <c r="I6" s="1258"/>
      <c r="J6" s="1258"/>
      <c r="K6" s="1258"/>
      <c r="L6" s="719" t="s">
        <v>124</v>
      </c>
      <c r="M6" s="1258"/>
      <c r="N6" s="1258"/>
      <c r="O6" s="1258"/>
      <c r="P6" s="719" t="s">
        <v>1033</v>
      </c>
      <c r="Q6" s="719" t="s">
        <v>1034</v>
      </c>
      <c r="R6" s="1258"/>
      <c r="S6" s="1258"/>
      <c r="T6" s="1258"/>
      <c r="U6" s="1258"/>
      <c r="V6" s="1258"/>
      <c r="W6" s="1258"/>
      <c r="X6" s="1258"/>
      <c r="Y6" s="1258"/>
      <c r="AA6" s="720"/>
      <c r="AB6" s="702"/>
    </row>
    <row r="7" spans="1:34" s="726" customFormat="1" ht="15">
      <c r="A7" s="721" t="s">
        <v>233</v>
      </c>
      <c r="B7" s="722" t="s">
        <v>234</v>
      </c>
      <c r="C7" s="722" t="s">
        <v>133</v>
      </c>
      <c r="D7" s="723" t="s">
        <v>1133</v>
      </c>
      <c r="E7" s="723" t="s">
        <v>1134</v>
      </c>
      <c r="F7" s="723" t="s">
        <v>1135</v>
      </c>
      <c r="G7" s="723" t="s">
        <v>1136</v>
      </c>
      <c r="H7" s="724" t="s">
        <v>134</v>
      </c>
      <c r="I7" s="724" t="s">
        <v>135</v>
      </c>
      <c r="J7" s="724" t="s">
        <v>163</v>
      </c>
      <c r="K7" s="724" t="s">
        <v>164</v>
      </c>
      <c r="L7" s="722" t="s">
        <v>1045</v>
      </c>
      <c r="M7" s="724" t="s">
        <v>187</v>
      </c>
      <c r="N7" s="724" t="s">
        <v>235</v>
      </c>
      <c r="O7" s="724" t="s">
        <v>236</v>
      </c>
      <c r="P7" s="722" t="s">
        <v>1047</v>
      </c>
      <c r="Q7" s="722" t="s">
        <v>1081</v>
      </c>
      <c r="R7" s="724" t="s">
        <v>237</v>
      </c>
      <c r="S7" s="724" t="s">
        <v>238</v>
      </c>
      <c r="T7" s="724" t="s">
        <v>239</v>
      </c>
      <c r="U7" s="724" t="s">
        <v>240</v>
      </c>
      <c r="V7" s="724" t="s">
        <v>241</v>
      </c>
      <c r="W7" s="724" t="s">
        <v>242</v>
      </c>
      <c r="X7" s="724" t="s">
        <v>243</v>
      </c>
      <c r="Y7" s="725" t="s">
        <v>244</v>
      </c>
    </row>
    <row r="8" spans="1:34" s="46" customFormat="1" ht="15.75" customHeight="1">
      <c r="A8" s="698"/>
      <c r="B8" s="699" t="s">
        <v>245</v>
      </c>
      <c r="C8" s="700"/>
      <c r="D8" s="700"/>
      <c r="E8" s="700"/>
      <c r="F8" s="700"/>
      <c r="G8" s="700"/>
      <c r="H8" s="701"/>
      <c r="I8" s="701"/>
      <c r="J8" s="701"/>
      <c r="K8" s="701"/>
      <c r="L8" s="701"/>
      <c r="M8" s="701"/>
      <c r="N8" s="701"/>
      <c r="O8" s="701"/>
      <c r="P8" s="701"/>
      <c r="Q8" s="701"/>
      <c r="R8" s="701"/>
      <c r="S8" s="701"/>
      <c r="T8" s="701"/>
      <c r="U8" s="701"/>
      <c r="V8" s="701"/>
      <c r="W8" s="701"/>
      <c r="X8" s="701"/>
      <c r="Y8" s="701"/>
      <c r="AA8" s="702"/>
    </row>
    <row r="9" spans="1:34" s="46" customFormat="1" ht="15.75" customHeight="1">
      <c r="A9" s="703">
        <v>10</v>
      </c>
      <c r="B9" s="704" t="s">
        <v>246</v>
      </c>
      <c r="C9" s="705">
        <f t="shared" ref="C9:C15" si="0">SUM(J9:Y9)-L9-P9-Q9</f>
        <v>100645482</v>
      </c>
      <c r="D9" s="706">
        <v>100645482</v>
      </c>
      <c r="E9" s="785">
        <v>7.744126572050683E-2</v>
      </c>
      <c r="F9" s="261"/>
      <c r="G9" s="785"/>
      <c r="H9" s="261">
        <v>100645482</v>
      </c>
      <c r="I9" s="261"/>
      <c r="J9" s="261">
        <v>0</v>
      </c>
      <c r="K9" s="261">
        <v>0</v>
      </c>
      <c r="L9" s="261">
        <v>0</v>
      </c>
      <c r="M9" s="261">
        <v>91464</v>
      </c>
      <c r="N9" s="261">
        <v>0</v>
      </c>
      <c r="O9" s="705">
        <f t="shared" ref="O9:O14" si="1">+P9+Q9</f>
        <v>58001</v>
      </c>
      <c r="P9" s="261">
        <v>0</v>
      </c>
      <c r="Q9" s="261">
        <v>58001</v>
      </c>
      <c r="R9" s="261">
        <v>0</v>
      </c>
      <c r="S9" s="261">
        <v>0</v>
      </c>
      <c r="T9" s="261">
        <v>0</v>
      </c>
      <c r="U9" s="261">
        <v>0</v>
      </c>
      <c r="V9" s="261">
        <v>18608939</v>
      </c>
      <c r="W9" s="261">
        <v>81887078</v>
      </c>
      <c r="X9" s="261">
        <v>0</v>
      </c>
      <c r="Y9" s="261">
        <v>0</v>
      </c>
      <c r="AB9" s="707"/>
      <c r="AH9" s="708"/>
    </row>
    <row r="10" spans="1:34" s="46" customFormat="1" ht="15.75" customHeight="1">
      <c r="A10" s="703">
        <f t="shared" ref="A10:A74" si="2">A9+10</f>
        <v>20</v>
      </c>
      <c r="B10" s="704" t="s">
        <v>247</v>
      </c>
      <c r="C10" s="705">
        <f t="shared" si="0"/>
        <v>1060521</v>
      </c>
      <c r="D10" s="706">
        <v>1060521</v>
      </c>
      <c r="E10" s="786">
        <v>0.18592444670311592</v>
      </c>
      <c r="F10" s="706"/>
      <c r="G10" s="786"/>
      <c r="H10" s="706">
        <v>1060521</v>
      </c>
      <c r="I10" s="706">
        <v>0</v>
      </c>
      <c r="J10" s="706">
        <v>0</v>
      </c>
      <c r="K10" s="706">
        <v>0</v>
      </c>
      <c r="L10" s="706">
        <v>0</v>
      </c>
      <c r="M10" s="706">
        <v>10000</v>
      </c>
      <c r="N10" s="706">
        <v>0</v>
      </c>
      <c r="O10" s="705">
        <f t="shared" si="1"/>
        <v>1050521</v>
      </c>
      <c r="P10" s="706">
        <v>0</v>
      </c>
      <c r="Q10" s="706">
        <v>1050521</v>
      </c>
      <c r="R10" s="706">
        <v>0</v>
      </c>
      <c r="S10" s="706">
        <v>0</v>
      </c>
      <c r="T10" s="706">
        <v>0</v>
      </c>
      <c r="U10" s="706">
        <v>0</v>
      </c>
      <c r="V10" s="706">
        <v>0</v>
      </c>
      <c r="W10" s="706">
        <v>0</v>
      </c>
      <c r="X10" s="706">
        <v>0</v>
      </c>
      <c r="Y10" s="706">
        <v>0</v>
      </c>
      <c r="AB10" s="707"/>
    </row>
    <row r="11" spans="1:34" s="712" customFormat="1" ht="15.75" customHeight="1">
      <c r="A11" s="709">
        <f t="shared" si="2"/>
        <v>30</v>
      </c>
      <c r="B11" s="710" t="s">
        <v>248</v>
      </c>
      <c r="C11" s="705">
        <f t="shared" si="0"/>
        <v>81185906</v>
      </c>
      <c r="D11" s="706">
        <v>46882998</v>
      </c>
      <c r="E11" s="786">
        <v>0.21228218437604629</v>
      </c>
      <c r="F11" s="706">
        <v>34302908</v>
      </c>
      <c r="G11" s="786">
        <v>0.11938420712747697</v>
      </c>
      <c r="H11" s="706">
        <v>81185906</v>
      </c>
      <c r="I11" s="711">
        <v>0</v>
      </c>
      <c r="J11" s="706">
        <v>0</v>
      </c>
      <c r="K11" s="711">
        <v>0</v>
      </c>
      <c r="L11" s="706">
        <v>0</v>
      </c>
      <c r="M11" s="706">
        <v>443463</v>
      </c>
      <c r="N11" s="706">
        <v>0</v>
      </c>
      <c r="O11" s="705">
        <f t="shared" si="1"/>
        <v>50898620</v>
      </c>
      <c r="P11" s="706">
        <v>0</v>
      </c>
      <c r="Q11" s="706">
        <v>50898620</v>
      </c>
      <c r="R11" s="706">
        <v>0</v>
      </c>
      <c r="S11" s="706">
        <v>0</v>
      </c>
      <c r="T11" s="706">
        <v>0</v>
      </c>
      <c r="U11" s="706">
        <v>0</v>
      </c>
      <c r="V11" s="706">
        <v>0</v>
      </c>
      <c r="W11" s="706">
        <v>29606493</v>
      </c>
      <c r="X11" s="706">
        <v>0</v>
      </c>
      <c r="Y11" s="706">
        <v>237330</v>
      </c>
      <c r="AB11" s="707"/>
    </row>
    <row r="12" spans="1:34" s="712" customFormat="1" ht="15.75" customHeight="1">
      <c r="A12" s="709">
        <f t="shared" si="2"/>
        <v>40</v>
      </c>
      <c r="B12" s="710" t="s">
        <v>249</v>
      </c>
      <c r="C12" s="705">
        <f t="shared" si="0"/>
        <v>1044810736</v>
      </c>
      <c r="D12" s="706">
        <v>301931344</v>
      </c>
      <c r="E12" s="786">
        <v>0.12828056527549261</v>
      </c>
      <c r="F12" s="706">
        <v>742879392</v>
      </c>
      <c r="G12" s="786">
        <v>0.10057935947852355</v>
      </c>
      <c r="H12" s="706">
        <v>1039069231</v>
      </c>
      <c r="I12" s="706">
        <v>5741505</v>
      </c>
      <c r="J12" s="706">
        <v>0</v>
      </c>
      <c r="K12" s="706">
        <v>0</v>
      </c>
      <c r="L12" s="706">
        <v>0</v>
      </c>
      <c r="M12" s="706">
        <v>72364171</v>
      </c>
      <c r="N12" s="706">
        <v>0</v>
      </c>
      <c r="O12" s="705">
        <f t="shared" si="1"/>
        <v>667211899</v>
      </c>
      <c r="P12" s="706">
        <v>0</v>
      </c>
      <c r="Q12" s="706">
        <v>667211899</v>
      </c>
      <c r="R12" s="706">
        <v>5921945</v>
      </c>
      <c r="S12" s="706">
        <v>0</v>
      </c>
      <c r="T12" s="706">
        <v>0</v>
      </c>
      <c r="U12" s="706">
        <v>0</v>
      </c>
      <c r="V12" s="706">
        <v>34968502</v>
      </c>
      <c r="W12" s="706">
        <v>263835401</v>
      </c>
      <c r="X12" s="706">
        <v>0</v>
      </c>
      <c r="Y12" s="706">
        <v>508818</v>
      </c>
      <c r="AB12" s="707"/>
    </row>
    <row r="13" spans="1:34" s="712" customFormat="1" ht="15.75" customHeight="1">
      <c r="A13" s="709">
        <f t="shared" si="2"/>
        <v>50</v>
      </c>
      <c r="B13" s="713" t="s">
        <v>250</v>
      </c>
      <c r="C13" s="705">
        <f t="shared" si="0"/>
        <v>0</v>
      </c>
      <c r="D13" s="706"/>
      <c r="E13" s="786"/>
      <c r="F13" s="706"/>
      <c r="G13" s="786"/>
      <c r="H13" s="706"/>
      <c r="I13" s="706"/>
      <c r="J13" s="706"/>
      <c r="K13" s="706"/>
      <c r="L13" s="706"/>
      <c r="M13" s="706"/>
      <c r="N13" s="706"/>
      <c r="O13" s="705">
        <f t="shared" si="1"/>
        <v>0</v>
      </c>
      <c r="P13" s="706"/>
      <c r="Q13" s="706"/>
      <c r="R13" s="706"/>
      <c r="S13" s="706"/>
      <c r="T13" s="706"/>
      <c r="U13" s="706"/>
      <c r="V13" s="706"/>
      <c r="W13" s="706"/>
      <c r="X13" s="706"/>
      <c r="Y13" s="706"/>
      <c r="AB13" s="707"/>
    </row>
    <row r="14" spans="1:34" s="712" customFormat="1" ht="15.75" customHeight="1">
      <c r="A14" s="709">
        <f>A13+10</f>
        <v>60</v>
      </c>
      <c r="B14" s="710" t="s">
        <v>251</v>
      </c>
      <c r="C14" s="705">
        <f t="shared" si="0"/>
        <v>0</v>
      </c>
      <c r="D14" s="706"/>
      <c r="E14" s="786"/>
      <c r="F14" s="706"/>
      <c r="G14" s="786"/>
      <c r="H14" s="706"/>
      <c r="I14" s="706"/>
      <c r="J14" s="706"/>
      <c r="K14" s="706"/>
      <c r="L14" s="706"/>
      <c r="M14" s="706"/>
      <c r="N14" s="706"/>
      <c r="O14" s="705">
        <f t="shared" si="1"/>
        <v>0</v>
      </c>
      <c r="P14" s="706"/>
      <c r="Q14" s="706"/>
      <c r="R14" s="706"/>
      <c r="S14" s="706"/>
      <c r="T14" s="706"/>
      <c r="U14" s="706"/>
      <c r="V14" s="706"/>
      <c r="W14" s="706"/>
      <c r="X14" s="706"/>
      <c r="Y14" s="706"/>
      <c r="AB14" s="707"/>
    </row>
    <row r="15" spans="1:34" s="712" customFormat="1" ht="15.75" customHeight="1">
      <c r="A15" s="864">
        <f>A14+10</f>
        <v>70</v>
      </c>
      <c r="B15" s="714" t="s">
        <v>252</v>
      </c>
      <c r="C15" s="715">
        <f t="shared" si="0"/>
        <v>1227702645</v>
      </c>
      <c r="D15" s="716">
        <f>SUM(D9:D14)</f>
        <v>450520345</v>
      </c>
      <c r="E15" s="787">
        <f>IFERROR(((D9*E9)/D15)+((D10*E10)/D15)+((D11*E11)/D15)+((D12*E12)/D15)+((D13*E13)/D15)+((D14*E14)/D15),0)</f>
        <v>0.12580039865573561</v>
      </c>
      <c r="F15" s="716">
        <f>SUM(F9:F14)</f>
        <v>777182300</v>
      </c>
      <c r="G15" s="787">
        <f>IFERROR(((F9*G9)/F15)+((F10*G10)/F15)+((F11*G11)/F15)+((F12*G12)/F15)+((F13*G13)/F15)+((F14*G14)/F15),0)</f>
        <v>0.10140935902799357</v>
      </c>
      <c r="H15" s="716">
        <f t="shared" ref="H15:Y15" si="3">SUM(H9:H14)</f>
        <v>1221961140</v>
      </c>
      <c r="I15" s="716">
        <f t="shared" si="3"/>
        <v>5741505</v>
      </c>
      <c r="J15" s="716">
        <f t="shared" si="3"/>
        <v>0</v>
      </c>
      <c r="K15" s="716">
        <f t="shared" si="3"/>
        <v>0</v>
      </c>
      <c r="L15" s="716">
        <f t="shared" si="3"/>
        <v>0</v>
      </c>
      <c r="M15" s="716">
        <f t="shared" si="3"/>
        <v>72909098</v>
      </c>
      <c r="N15" s="716">
        <f t="shared" si="3"/>
        <v>0</v>
      </c>
      <c r="O15" s="715">
        <f t="shared" si="3"/>
        <v>719219041</v>
      </c>
      <c r="P15" s="716">
        <f t="shared" si="3"/>
        <v>0</v>
      </c>
      <c r="Q15" s="716">
        <f t="shared" si="3"/>
        <v>719219041</v>
      </c>
      <c r="R15" s="716">
        <f t="shared" si="3"/>
        <v>5921945</v>
      </c>
      <c r="S15" s="716">
        <f t="shared" si="3"/>
        <v>0</v>
      </c>
      <c r="T15" s="716">
        <f t="shared" si="3"/>
        <v>0</v>
      </c>
      <c r="U15" s="716">
        <f t="shared" si="3"/>
        <v>0</v>
      </c>
      <c r="V15" s="716">
        <f t="shared" si="3"/>
        <v>53577441</v>
      </c>
      <c r="W15" s="716">
        <f t="shared" si="3"/>
        <v>375328972</v>
      </c>
      <c r="X15" s="716">
        <f t="shared" si="3"/>
        <v>0</v>
      </c>
      <c r="Y15" s="716">
        <f t="shared" si="3"/>
        <v>746148</v>
      </c>
      <c r="AA15" s="717"/>
      <c r="AB15" s="707"/>
    </row>
    <row r="16" spans="1:34" s="712" customFormat="1" ht="15.75" customHeight="1">
      <c r="A16" s="864"/>
      <c r="B16" s="714" t="s">
        <v>253</v>
      </c>
      <c r="C16" s="715"/>
      <c r="D16" s="716"/>
      <c r="E16" s="787"/>
      <c r="F16" s="716"/>
      <c r="G16" s="787"/>
      <c r="H16" s="716"/>
      <c r="I16" s="716"/>
      <c r="J16" s="716"/>
      <c r="K16" s="716"/>
      <c r="L16" s="716"/>
      <c r="M16" s="716"/>
      <c r="N16" s="716"/>
      <c r="O16" s="715"/>
      <c r="P16" s="716"/>
      <c r="Q16" s="716"/>
      <c r="R16" s="716"/>
      <c r="S16" s="716"/>
      <c r="T16" s="716"/>
      <c r="U16" s="716"/>
      <c r="V16" s="716"/>
      <c r="W16" s="716"/>
      <c r="X16" s="716"/>
      <c r="Y16" s="716"/>
      <c r="AA16" s="717"/>
      <c r="AB16" s="707"/>
    </row>
    <row r="17" spans="1:28" s="712" customFormat="1" ht="15.75" customHeight="1">
      <c r="A17" s="703">
        <f>A15+10</f>
        <v>80</v>
      </c>
      <c r="B17" s="704" t="s">
        <v>246</v>
      </c>
      <c r="C17" s="705">
        <f t="shared" ref="C17:C24" si="4">SUM(J17:Y17)-L17-P17-Q17</f>
        <v>584765854</v>
      </c>
      <c r="D17" s="706">
        <v>584765854</v>
      </c>
      <c r="E17" s="786">
        <v>7.7723512669115105E-2</v>
      </c>
      <c r="F17" s="706"/>
      <c r="G17" s="786"/>
      <c r="H17" s="706">
        <v>584765854</v>
      </c>
      <c r="I17" s="706"/>
      <c r="J17" s="706">
        <v>0</v>
      </c>
      <c r="K17" s="706">
        <v>0</v>
      </c>
      <c r="L17" s="706">
        <v>0</v>
      </c>
      <c r="M17" s="706">
        <v>1760837</v>
      </c>
      <c r="N17" s="706">
        <v>0</v>
      </c>
      <c r="O17" s="705">
        <f t="shared" ref="O17:O23" si="5">+P17+Q17</f>
        <v>421378</v>
      </c>
      <c r="P17" s="706">
        <v>0</v>
      </c>
      <c r="Q17" s="706">
        <v>421378</v>
      </c>
      <c r="R17" s="706">
        <v>0</v>
      </c>
      <c r="S17" s="706">
        <v>0</v>
      </c>
      <c r="T17" s="706">
        <v>0</v>
      </c>
      <c r="U17" s="706">
        <v>0</v>
      </c>
      <c r="V17" s="706">
        <v>139930320</v>
      </c>
      <c r="W17" s="706">
        <v>442576277</v>
      </c>
      <c r="X17" s="706">
        <v>0</v>
      </c>
      <c r="Y17" s="706">
        <v>77042</v>
      </c>
      <c r="AB17" s="707"/>
    </row>
    <row r="18" spans="1:28" s="712" customFormat="1" ht="15.75" customHeight="1">
      <c r="A18" s="703">
        <f t="shared" si="2"/>
        <v>90</v>
      </c>
      <c r="B18" s="704" t="s">
        <v>247</v>
      </c>
      <c r="C18" s="705">
        <f t="shared" si="4"/>
        <v>71121613</v>
      </c>
      <c r="D18" s="706">
        <v>71121613</v>
      </c>
      <c r="E18" s="785">
        <v>6.6449217841846084E-2</v>
      </c>
      <c r="F18" s="261"/>
      <c r="G18" s="785"/>
      <c r="H18" s="706">
        <v>71121613</v>
      </c>
      <c r="I18" s="706"/>
      <c r="J18" s="706">
        <v>0</v>
      </c>
      <c r="K18" s="706">
        <v>0</v>
      </c>
      <c r="L18" s="706">
        <v>0</v>
      </c>
      <c r="M18" s="706">
        <v>0</v>
      </c>
      <c r="N18" s="706">
        <v>0</v>
      </c>
      <c r="O18" s="705">
        <f t="shared" si="5"/>
        <v>2330000</v>
      </c>
      <c r="P18" s="706">
        <v>0</v>
      </c>
      <c r="Q18" s="706">
        <v>2330000</v>
      </c>
      <c r="R18" s="706">
        <v>0</v>
      </c>
      <c r="S18" s="706">
        <v>0</v>
      </c>
      <c r="T18" s="706">
        <v>0</v>
      </c>
      <c r="U18" s="706">
        <v>0</v>
      </c>
      <c r="V18" s="706">
        <v>68791613</v>
      </c>
      <c r="W18" s="706">
        <v>0</v>
      </c>
      <c r="X18" s="706">
        <v>0</v>
      </c>
      <c r="Y18" s="706">
        <v>0</v>
      </c>
      <c r="AB18" s="707"/>
    </row>
    <row r="19" spans="1:28" s="46" customFormat="1" ht="15.75" customHeight="1">
      <c r="A19" s="709">
        <f t="shared" si="2"/>
        <v>100</v>
      </c>
      <c r="B19" s="710" t="s">
        <v>248</v>
      </c>
      <c r="C19" s="705">
        <f t="shared" si="4"/>
        <v>26499946</v>
      </c>
      <c r="D19" s="706">
        <v>26499946</v>
      </c>
      <c r="E19" s="786">
        <v>0.21056597731740218</v>
      </c>
      <c r="F19" s="706"/>
      <c r="G19" s="786"/>
      <c r="H19" s="706">
        <v>26499946</v>
      </c>
      <c r="I19" s="711"/>
      <c r="J19" s="706">
        <v>0</v>
      </c>
      <c r="K19" s="711">
        <v>0</v>
      </c>
      <c r="L19" s="706">
        <v>0</v>
      </c>
      <c r="M19" s="706">
        <v>0</v>
      </c>
      <c r="N19" s="706">
        <v>0</v>
      </c>
      <c r="O19" s="705">
        <f t="shared" si="5"/>
        <v>26499946</v>
      </c>
      <c r="P19" s="706">
        <v>0</v>
      </c>
      <c r="Q19" s="706">
        <v>26499946</v>
      </c>
      <c r="R19" s="706">
        <v>0</v>
      </c>
      <c r="S19" s="706">
        <v>0</v>
      </c>
      <c r="T19" s="706">
        <v>0</v>
      </c>
      <c r="U19" s="706">
        <v>0</v>
      </c>
      <c r="V19" s="706">
        <v>0</v>
      </c>
      <c r="W19" s="706">
        <v>0</v>
      </c>
      <c r="X19" s="706">
        <v>0</v>
      </c>
      <c r="Y19" s="706">
        <v>0</v>
      </c>
      <c r="AB19" s="707"/>
    </row>
    <row r="20" spans="1:28" s="46" customFormat="1" ht="15.75" customHeight="1">
      <c r="A20" s="709">
        <f t="shared" si="2"/>
        <v>110</v>
      </c>
      <c r="B20" s="710" t="s">
        <v>249</v>
      </c>
      <c r="C20" s="705">
        <f t="shared" si="4"/>
        <v>310022747</v>
      </c>
      <c r="D20" s="706">
        <v>215495555</v>
      </c>
      <c r="E20" s="786">
        <v>0.16510114889070482</v>
      </c>
      <c r="F20" s="706">
        <v>94527192</v>
      </c>
      <c r="G20" s="786">
        <v>8.852716985101583E-2</v>
      </c>
      <c r="H20" s="706">
        <v>301272419</v>
      </c>
      <c r="I20" s="706">
        <v>8750328</v>
      </c>
      <c r="J20" s="706">
        <v>0</v>
      </c>
      <c r="K20" s="706">
        <v>0</v>
      </c>
      <c r="L20" s="706">
        <v>0</v>
      </c>
      <c r="M20" s="706">
        <v>25591161</v>
      </c>
      <c r="N20" s="706">
        <v>0</v>
      </c>
      <c r="O20" s="705">
        <f t="shared" si="5"/>
        <v>209382778</v>
      </c>
      <c r="P20" s="706">
        <v>0</v>
      </c>
      <c r="Q20" s="706">
        <v>209382778</v>
      </c>
      <c r="R20" s="706">
        <v>4193068</v>
      </c>
      <c r="S20" s="706">
        <v>0</v>
      </c>
      <c r="T20" s="706">
        <v>0</v>
      </c>
      <c r="U20" s="706">
        <v>0</v>
      </c>
      <c r="V20" s="706">
        <v>10879376</v>
      </c>
      <c r="W20" s="706">
        <v>59976364</v>
      </c>
      <c r="X20" s="706">
        <v>0</v>
      </c>
      <c r="Y20" s="706">
        <v>0</v>
      </c>
      <c r="AB20" s="707"/>
    </row>
    <row r="21" spans="1:28" s="46" customFormat="1" ht="15.75" customHeight="1">
      <c r="A21" s="709">
        <f>A20+10</f>
        <v>120</v>
      </c>
      <c r="B21" s="710" t="s">
        <v>254</v>
      </c>
      <c r="C21" s="705">
        <f t="shared" si="4"/>
        <v>60729562</v>
      </c>
      <c r="D21" s="706">
        <v>42011514</v>
      </c>
      <c r="E21" s="786">
        <v>0.17209201762827003</v>
      </c>
      <c r="F21" s="706">
        <v>18718048</v>
      </c>
      <c r="G21" s="786">
        <v>5.4379882916706909E-2</v>
      </c>
      <c r="H21" s="706">
        <v>59150502</v>
      </c>
      <c r="I21" s="706">
        <v>1579060</v>
      </c>
      <c r="J21" s="706">
        <v>322400</v>
      </c>
      <c r="K21" s="706">
        <v>0</v>
      </c>
      <c r="L21" s="706">
        <v>0</v>
      </c>
      <c r="M21" s="706">
        <v>15614270</v>
      </c>
      <c r="N21" s="706">
        <v>0</v>
      </c>
      <c r="O21" s="705">
        <f t="shared" si="5"/>
        <v>43105805</v>
      </c>
      <c r="P21" s="706">
        <v>0</v>
      </c>
      <c r="Q21" s="706">
        <v>43105805</v>
      </c>
      <c r="R21" s="706">
        <v>40735</v>
      </c>
      <c r="S21" s="706">
        <v>0</v>
      </c>
      <c r="T21" s="706">
        <v>0</v>
      </c>
      <c r="U21" s="706">
        <v>0</v>
      </c>
      <c r="V21" s="706">
        <v>1053454</v>
      </c>
      <c r="W21" s="706">
        <v>592898</v>
      </c>
      <c r="X21" s="706">
        <v>0</v>
      </c>
      <c r="Y21" s="706">
        <v>0</v>
      </c>
      <c r="AB21" s="707"/>
    </row>
    <row r="22" spans="1:28" s="46" customFormat="1" ht="15.75" customHeight="1">
      <c r="A22" s="709">
        <f t="shared" si="2"/>
        <v>130</v>
      </c>
      <c r="B22" s="713" t="s">
        <v>250</v>
      </c>
      <c r="C22" s="705">
        <f t="shared" si="4"/>
        <v>0</v>
      </c>
      <c r="D22" s="706"/>
      <c r="E22" s="786"/>
      <c r="F22" s="706"/>
      <c r="G22" s="786"/>
      <c r="H22" s="706"/>
      <c r="I22" s="706"/>
      <c r="J22" s="706"/>
      <c r="K22" s="706"/>
      <c r="L22" s="706"/>
      <c r="M22" s="706"/>
      <c r="N22" s="706"/>
      <c r="O22" s="705">
        <f t="shared" si="5"/>
        <v>0</v>
      </c>
      <c r="P22" s="706"/>
      <c r="Q22" s="706"/>
      <c r="R22" s="706"/>
      <c r="S22" s="706"/>
      <c r="T22" s="706"/>
      <c r="U22" s="706"/>
      <c r="V22" s="706"/>
      <c r="W22" s="706"/>
      <c r="X22" s="706"/>
      <c r="Y22" s="706"/>
      <c r="AB22" s="707"/>
    </row>
    <row r="23" spans="1:28" s="46" customFormat="1" ht="15.75" customHeight="1">
      <c r="A23" s="709">
        <f>A22+10</f>
        <v>140</v>
      </c>
      <c r="B23" s="710" t="s">
        <v>251</v>
      </c>
      <c r="C23" s="705">
        <f t="shared" si="4"/>
        <v>0</v>
      </c>
      <c r="D23" s="706"/>
      <c r="E23" s="786"/>
      <c r="F23" s="706"/>
      <c r="G23" s="786"/>
      <c r="H23" s="706"/>
      <c r="I23" s="706"/>
      <c r="J23" s="706"/>
      <c r="K23" s="706"/>
      <c r="L23" s="706"/>
      <c r="M23" s="706"/>
      <c r="N23" s="706"/>
      <c r="O23" s="705">
        <f t="shared" si="5"/>
        <v>0</v>
      </c>
      <c r="P23" s="706"/>
      <c r="Q23" s="706"/>
      <c r="R23" s="706"/>
      <c r="S23" s="706"/>
      <c r="T23" s="706"/>
      <c r="U23" s="706"/>
      <c r="V23" s="706"/>
      <c r="W23" s="706"/>
      <c r="X23" s="706"/>
      <c r="Y23" s="706"/>
      <c r="AB23" s="707"/>
    </row>
    <row r="24" spans="1:28" s="46" customFormat="1" ht="15.75" customHeight="1">
      <c r="A24" s="864">
        <f>A23+10</f>
        <v>150</v>
      </c>
      <c r="B24" s="714" t="s">
        <v>255</v>
      </c>
      <c r="C24" s="715">
        <f t="shared" si="4"/>
        <v>1053139722</v>
      </c>
      <c r="D24" s="716">
        <f>SUM(D17:D23)</f>
        <v>939894482</v>
      </c>
      <c r="E24" s="787">
        <f>IFERROR(((D17*E17)/D24)+((D18*E18)/D24)+((D19*E19)/D24)+((D20*E20)/D24)+((D21*E21)/D24)+((D22*E22)/D24)+((D23*E23)/D24),0)</f>
        <v>0.10486754699864505</v>
      </c>
      <c r="F24" s="716">
        <f>SUM(F17:F23)</f>
        <v>113245240</v>
      </c>
      <c r="G24" s="787">
        <f>IFERROR(((F17*G17)/F24)+((F18*G18)/F24)+((F19*G19)/F24)+((F20*G20)/F24)+((F21*G21)/F24)+((F22*G22)/F24)+((F23*G23)/F24),0)</f>
        <v>8.2883042504858354E-2</v>
      </c>
      <c r="H24" s="716">
        <f t="shared" ref="H24:Y24" si="6">SUM(H17:H23)</f>
        <v>1042810334</v>
      </c>
      <c r="I24" s="716">
        <f t="shared" si="6"/>
        <v>10329388</v>
      </c>
      <c r="J24" s="716">
        <f t="shared" si="6"/>
        <v>322400</v>
      </c>
      <c r="K24" s="716">
        <f t="shared" si="6"/>
        <v>0</v>
      </c>
      <c r="L24" s="716">
        <f t="shared" si="6"/>
        <v>0</v>
      </c>
      <c r="M24" s="716">
        <f t="shared" si="6"/>
        <v>42966268</v>
      </c>
      <c r="N24" s="716">
        <f t="shared" si="6"/>
        <v>0</v>
      </c>
      <c r="O24" s="715">
        <f t="shared" si="6"/>
        <v>281739907</v>
      </c>
      <c r="P24" s="716">
        <f t="shared" si="6"/>
        <v>0</v>
      </c>
      <c r="Q24" s="716">
        <f t="shared" si="6"/>
        <v>281739907</v>
      </c>
      <c r="R24" s="716">
        <f t="shared" si="6"/>
        <v>4233803</v>
      </c>
      <c r="S24" s="716">
        <f t="shared" si="6"/>
        <v>0</v>
      </c>
      <c r="T24" s="716">
        <f t="shared" si="6"/>
        <v>0</v>
      </c>
      <c r="U24" s="716">
        <f t="shared" si="6"/>
        <v>0</v>
      </c>
      <c r="V24" s="716">
        <f t="shared" si="6"/>
        <v>220654763</v>
      </c>
      <c r="W24" s="716">
        <f t="shared" si="6"/>
        <v>503145539</v>
      </c>
      <c r="X24" s="716">
        <f t="shared" si="6"/>
        <v>0</v>
      </c>
      <c r="Y24" s="716">
        <f t="shared" si="6"/>
        <v>77042</v>
      </c>
      <c r="AB24" s="707"/>
    </row>
    <row r="25" spans="1:28" s="46" customFormat="1" ht="15.75" customHeight="1">
      <c r="A25" s="864"/>
      <c r="B25" s="714" t="s">
        <v>256</v>
      </c>
      <c r="C25" s="715"/>
      <c r="D25" s="716"/>
      <c r="E25" s="787"/>
      <c r="F25" s="716"/>
      <c r="G25" s="787"/>
      <c r="H25" s="716"/>
      <c r="I25" s="716"/>
      <c r="J25" s="716"/>
      <c r="K25" s="716"/>
      <c r="L25" s="716"/>
      <c r="M25" s="716"/>
      <c r="N25" s="716"/>
      <c r="O25" s="715"/>
      <c r="P25" s="716"/>
      <c r="Q25" s="716"/>
      <c r="R25" s="716"/>
      <c r="S25" s="716"/>
      <c r="T25" s="716"/>
      <c r="U25" s="716"/>
      <c r="V25" s="716"/>
      <c r="W25" s="716"/>
      <c r="X25" s="716"/>
      <c r="Y25" s="716"/>
      <c r="AA25" s="702"/>
      <c r="AB25" s="707"/>
    </row>
    <row r="26" spans="1:28" s="46" customFormat="1" ht="15.75" customHeight="1">
      <c r="A26" s="703">
        <f>A24+10</f>
        <v>160</v>
      </c>
      <c r="B26" s="704" t="s">
        <v>246</v>
      </c>
      <c r="C26" s="705">
        <f t="shared" ref="C26:C32" si="7">SUM(J26:Y26)-L26-P26-Q26</f>
        <v>169885131</v>
      </c>
      <c r="D26" s="706">
        <v>169885131</v>
      </c>
      <c r="E26" s="785">
        <v>0.2780390643128976</v>
      </c>
      <c r="F26" s="261"/>
      <c r="G26" s="785"/>
      <c r="H26" s="706">
        <v>169885131</v>
      </c>
      <c r="I26" s="706"/>
      <c r="J26" s="706">
        <v>0</v>
      </c>
      <c r="K26" s="706">
        <v>0</v>
      </c>
      <c r="L26" s="706">
        <v>0</v>
      </c>
      <c r="M26" s="706">
        <v>166183224</v>
      </c>
      <c r="N26" s="706">
        <v>0</v>
      </c>
      <c r="O26" s="705">
        <f t="shared" ref="O26:O31" si="8">+P26+Q26</f>
        <v>0</v>
      </c>
      <c r="P26" s="706">
        <v>0</v>
      </c>
      <c r="Q26" s="706">
        <v>0</v>
      </c>
      <c r="R26" s="706">
        <v>0</v>
      </c>
      <c r="S26" s="706">
        <v>0</v>
      </c>
      <c r="T26" s="706">
        <v>0</v>
      </c>
      <c r="U26" s="706">
        <v>0</v>
      </c>
      <c r="V26" s="706">
        <v>7952</v>
      </c>
      <c r="W26" s="706">
        <v>3693955</v>
      </c>
      <c r="X26" s="706">
        <v>0</v>
      </c>
      <c r="Y26" s="706">
        <v>0</v>
      </c>
      <c r="AB26" s="707"/>
    </row>
    <row r="27" spans="1:28" s="46" customFormat="1" ht="15.75" customHeight="1">
      <c r="A27" s="703">
        <f t="shared" si="2"/>
        <v>170</v>
      </c>
      <c r="B27" s="704" t="s">
        <v>247</v>
      </c>
      <c r="C27" s="705">
        <f t="shared" si="7"/>
        <v>928138</v>
      </c>
      <c r="D27" s="706">
        <v>928138</v>
      </c>
      <c r="E27" s="786">
        <v>0.23207595782814647</v>
      </c>
      <c r="F27" s="706"/>
      <c r="G27" s="786"/>
      <c r="H27" s="706">
        <v>928138</v>
      </c>
      <c r="I27" s="706"/>
      <c r="J27" s="706">
        <v>0</v>
      </c>
      <c r="K27" s="711">
        <v>0</v>
      </c>
      <c r="L27" s="706">
        <v>0</v>
      </c>
      <c r="M27" s="706">
        <v>661138</v>
      </c>
      <c r="N27" s="706">
        <v>0</v>
      </c>
      <c r="O27" s="705">
        <f t="shared" si="8"/>
        <v>267000</v>
      </c>
      <c r="P27" s="706">
        <v>0</v>
      </c>
      <c r="Q27" s="706">
        <v>267000</v>
      </c>
      <c r="R27" s="706">
        <v>0</v>
      </c>
      <c r="S27" s="706">
        <v>0</v>
      </c>
      <c r="T27" s="706">
        <v>0</v>
      </c>
      <c r="U27" s="706">
        <v>0</v>
      </c>
      <c r="V27" s="706">
        <v>0</v>
      </c>
      <c r="W27" s="706">
        <v>0</v>
      </c>
      <c r="X27" s="706">
        <v>0</v>
      </c>
      <c r="Y27" s="706">
        <v>0</v>
      </c>
      <c r="AB27" s="707"/>
    </row>
    <row r="28" spans="1:28" s="46" customFormat="1" ht="15.75" customHeight="1">
      <c r="A28" s="709">
        <f t="shared" si="2"/>
        <v>180</v>
      </c>
      <c r="B28" s="710" t="s">
        <v>248</v>
      </c>
      <c r="C28" s="705">
        <f t="shared" si="7"/>
        <v>47581850</v>
      </c>
      <c r="D28" s="706"/>
      <c r="E28" s="786"/>
      <c r="F28" s="706">
        <v>47581850</v>
      </c>
      <c r="G28" s="786">
        <v>0.09</v>
      </c>
      <c r="H28" s="706">
        <v>47581850</v>
      </c>
      <c r="I28" s="711"/>
      <c r="J28" s="706">
        <v>0</v>
      </c>
      <c r="K28" s="706">
        <v>0</v>
      </c>
      <c r="L28" s="706">
        <v>0</v>
      </c>
      <c r="M28" s="706">
        <v>0</v>
      </c>
      <c r="N28" s="706">
        <v>0</v>
      </c>
      <c r="O28" s="705">
        <f t="shared" si="8"/>
        <v>47581850</v>
      </c>
      <c r="P28" s="706">
        <v>0</v>
      </c>
      <c r="Q28" s="706">
        <v>47581850</v>
      </c>
      <c r="R28" s="706">
        <v>0</v>
      </c>
      <c r="S28" s="706">
        <v>0</v>
      </c>
      <c r="T28" s="706">
        <v>0</v>
      </c>
      <c r="U28" s="706">
        <v>0</v>
      </c>
      <c r="V28" s="706">
        <v>0</v>
      </c>
      <c r="W28" s="706">
        <v>0</v>
      </c>
      <c r="X28" s="706">
        <v>0</v>
      </c>
      <c r="Y28" s="706">
        <v>0</v>
      </c>
      <c r="AB28" s="707"/>
    </row>
    <row r="29" spans="1:28" s="46" customFormat="1" ht="15.75" customHeight="1">
      <c r="A29" s="709">
        <f t="shared" si="2"/>
        <v>190</v>
      </c>
      <c r="B29" s="710" t="s">
        <v>249</v>
      </c>
      <c r="C29" s="705">
        <f t="shared" si="7"/>
        <v>237862697</v>
      </c>
      <c r="D29" s="706">
        <v>161511964</v>
      </c>
      <c r="E29" s="786">
        <v>0.23810183392517531</v>
      </c>
      <c r="F29" s="706">
        <v>76350733</v>
      </c>
      <c r="G29" s="786">
        <v>0.11976032598316071</v>
      </c>
      <c r="H29" s="706">
        <v>228920662</v>
      </c>
      <c r="I29" s="706">
        <v>8942035</v>
      </c>
      <c r="J29" s="706">
        <v>1625936</v>
      </c>
      <c r="K29" s="711">
        <v>0</v>
      </c>
      <c r="L29" s="706">
        <v>0</v>
      </c>
      <c r="M29" s="706">
        <v>116093385</v>
      </c>
      <c r="N29" s="706">
        <v>0</v>
      </c>
      <c r="O29" s="705">
        <f t="shared" si="8"/>
        <v>116013320</v>
      </c>
      <c r="P29" s="706">
        <v>0</v>
      </c>
      <c r="Q29" s="706">
        <v>116013320</v>
      </c>
      <c r="R29" s="706">
        <v>0</v>
      </c>
      <c r="S29" s="706">
        <v>0</v>
      </c>
      <c r="T29" s="706">
        <v>0</v>
      </c>
      <c r="U29" s="706">
        <v>0</v>
      </c>
      <c r="V29" s="706">
        <v>1372122</v>
      </c>
      <c r="W29" s="706">
        <v>2757934</v>
      </c>
      <c r="X29" s="706">
        <v>0</v>
      </c>
      <c r="Y29" s="706">
        <v>0</v>
      </c>
      <c r="AB29" s="707"/>
    </row>
    <row r="30" spans="1:28" s="46" customFormat="1" ht="15.75" customHeight="1">
      <c r="A30" s="709">
        <f t="shared" si="2"/>
        <v>200</v>
      </c>
      <c r="B30" s="713" t="s">
        <v>250</v>
      </c>
      <c r="C30" s="705">
        <f t="shared" si="7"/>
        <v>0</v>
      </c>
      <c r="D30" s="706"/>
      <c r="E30" s="786"/>
      <c r="F30" s="706"/>
      <c r="G30" s="786"/>
      <c r="H30" s="706"/>
      <c r="I30" s="706"/>
      <c r="J30" s="706"/>
      <c r="K30" s="706"/>
      <c r="L30" s="706"/>
      <c r="M30" s="706"/>
      <c r="N30" s="706"/>
      <c r="O30" s="705">
        <f t="shared" si="8"/>
        <v>0</v>
      </c>
      <c r="P30" s="706"/>
      <c r="Q30" s="706"/>
      <c r="R30" s="706"/>
      <c r="S30" s="706"/>
      <c r="T30" s="706"/>
      <c r="U30" s="706"/>
      <c r="V30" s="706"/>
      <c r="W30" s="706"/>
      <c r="X30" s="706"/>
      <c r="Y30" s="706"/>
      <c r="AB30" s="707"/>
    </row>
    <row r="31" spans="1:28" s="46" customFormat="1" ht="15.75" customHeight="1">
      <c r="A31" s="709">
        <f>A30+10</f>
        <v>210</v>
      </c>
      <c r="B31" s="710" t="s">
        <v>251</v>
      </c>
      <c r="C31" s="705">
        <f t="shared" si="7"/>
        <v>0</v>
      </c>
      <c r="D31" s="706"/>
      <c r="E31" s="786"/>
      <c r="F31" s="706"/>
      <c r="G31" s="786"/>
      <c r="H31" s="706"/>
      <c r="I31" s="706"/>
      <c r="J31" s="706"/>
      <c r="K31" s="711"/>
      <c r="L31" s="706"/>
      <c r="M31" s="706"/>
      <c r="N31" s="706"/>
      <c r="O31" s="705">
        <f t="shared" si="8"/>
        <v>0</v>
      </c>
      <c r="P31" s="706"/>
      <c r="Q31" s="706"/>
      <c r="R31" s="706"/>
      <c r="S31" s="706"/>
      <c r="T31" s="706"/>
      <c r="U31" s="706"/>
      <c r="V31" s="706"/>
      <c r="W31" s="706"/>
      <c r="X31" s="706"/>
      <c r="Y31" s="706"/>
      <c r="AB31" s="707"/>
    </row>
    <row r="32" spans="1:28" s="46" customFormat="1" ht="15.75" customHeight="1">
      <c r="A32" s="864">
        <f>A31+10</f>
        <v>220</v>
      </c>
      <c r="B32" s="714" t="s">
        <v>257</v>
      </c>
      <c r="C32" s="715">
        <f t="shared" si="7"/>
        <v>456257816</v>
      </c>
      <c r="D32" s="716">
        <f>SUM(D26:D31)</f>
        <v>332325233</v>
      </c>
      <c r="E32" s="787">
        <f>IFERROR(((D26*E26)/D32)+((D27*E27)/D32)+((D28*E28)/D32)+((D29*E29)/D32)+((D30*E30)/D32)+((D31*E31)/D32),0)</f>
        <v>0.25850097337784045</v>
      </c>
      <c r="F32" s="716">
        <f>SUM(F26:F31)</f>
        <v>123932583</v>
      </c>
      <c r="G32" s="787">
        <f>IFERROR(((F26*G26)/F32)+((F27*G27)/F32)+((F28*G28)/F32)+((F29*G29)/F32)+((F30*G30)/F32)+((F31*G31)/F32),0)</f>
        <v>0.10833434475527121</v>
      </c>
      <c r="H32" s="716">
        <f t="shared" ref="H32:Y32" si="9">SUM(H26:H31)</f>
        <v>447315781</v>
      </c>
      <c r="I32" s="716">
        <f t="shared" si="9"/>
        <v>8942035</v>
      </c>
      <c r="J32" s="716">
        <f t="shared" si="9"/>
        <v>1625936</v>
      </c>
      <c r="K32" s="716">
        <f t="shared" si="9"/>
        <v>0</v>
      </c>
      <c r="L32" s="716">
        <f t="shared" si="9"/>
        <v>0</v>
      </c>
      <c r="M32" s="716">
        <f t="shared" si="9"/>
        <v>282937747</v>
      </c>
      <c r="N32" s="716">
        <f t="shared" si="9"/>
        <v>0</v>
      </c>
      <c r="O32" s="715">
        <f t="shared" si="9"/>
        <v>163862170</v>
      </c>
      <c r="P32" s="716">
        <f t="shared" si="9"/>
        <v>0</v>
      </c>
      <c r="Q32" s="716">
        <f t="shared" si="9"/>
        <v>163862170</v>
      </c>
      <c r="R32" s="716">
        <f t="shared" si="9"/>
        <v>0</v>
      </c>
      <c r="S32" s="716">
        <f t="shared" si="9"/>
        <v>0</v>
      </c>
      <c r="T32" s="716">
        <f t="shared" si="9"/>
        <v>0</v>
      </c>
      <c r="U32" s="716">
        <f t="shared" si="9"/>
        <v>0</v>
      </c>
      <c r="V32" s="716">
        <f t="shared" si="9"/>
        <v>1380074</v>
      </c>
      <c r="W32" s="716">
        <f t="shared" si="9"/>
        <v>6451889</v>
      </c>
      <c r="X32" s="716">
        <f t="shared" si="9"/>
        <v>0</v>
      </c>
      <c r="Y32" s="716">
        <f t="shared" si="9"/>
        <v>0</v>
      </c>
      <c r="AB32" s="707"/>
    </row>
    <row r="33" spans="1:28" s="46" customFormat="1" ht="15.75" customHeight="1">
      <c r="A33" s="864"/>
      <c r="B33" s="714" t="s">
        <v>258</v>
      </c>
      <c r="C33" s="715"/>
      <c r="D33" s="716"/>
      <c r="E33" s="787"/>
      <c r="F33" s="716"/>
      <c r="G33" s="787"/>
      <c r="H33" s="716"/>
      <c r="I33" s="716"/>
      <c r="J33" s="716"/>
      <c r="K33" s="716"/>
      <c r="L33" s="716"/>
      <c r="M33" s="716"/>
      <c r="N33" s="716"/>
      <c r="O33" s="715"/>
      <c r="P33" s="716"/>
      <c r="Q33" s="716"/>
      <c r="R33" s="716"/>
      <c r="S33" s="716"/>
      <c r="T33" s="716"/>
      <c r="U33" s="716"/>
      <c r="V33" s="716"/>
      <c r="W33" s="716"/>
      <c r="X33" s="716"/>
      <c r="Y33" s="716"/>
      <c r="AB33" s="707"/>
    </row>
    <row r="34" spans="1:28" s="46" customFormat="1" ht="15.75" customHeight="1">
      <c r="A34" s="703">
        <f>A32+10</f>
        <v>230</v>
      </c>
      <c r="B34" s="704" t="s">
        <v>246</v>
      </c>
      <c r="C34" s="705">
        <f t="shared" ref="C34:C40" si="10">SUM(J34:Y34)-L34-P34-Q34</f>
        <v>0</v>
      </c>
      <c r="D34" s="706"/>
      <c r="E34" s="786"/>
      <c r="F34" s="706"/>
      <c r="G34" s="786"/>
      <c r="H34" s="706"/>
      <c r="I34" s="706"/>
      <c r="J34" s="706"/>
      <c r="K34" s="706"/>
      <c r="L34" s="706"/>
      <c r="M34" s="706"/>
      <c r="N34" s="706"/>
      <c r="O34" s="705">
        <f t="shared" ref="O34:O39" si="11">+P34+Q34</f>
        <v>0</v>
      </c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AB34" s="707"/>
    </row>
    <row r="35" spans="1:28" s="46" customFormat="1" ht="15.75" customHeight="1">
      <c r="A35" s="703">
        <f t="shared" si="2"/>
        <v>240</v>
      </c>
      <c r="B35" s="704" t="s">
        <v>247</v>
      </c>
      <c r="C35" s="705">
        <f t="shared" si="10"/>
        <v>1049953</v>
      </c>
      <c r="D35" s="706">
        <v>1049953</v>
      </c>
      <c r="E35" s="785">
        <v>0.28000000000000003</v>
      </c>
      <c r="F35" s="261"/>
      <c r="G35" s="785"/>
      <c r="H35" s="706">
        <v>1049953</v>
      </c>
      <c r="I35" s="706"/>
      <c r="J35" s="706">
        <v>0</v>
      </c>
      <c r="K35" s="711">
        <v>0</v>
      </c>
      <c r="L35" s="706">
        <v>0</v>
      </c>
      <c r="M35" s="706">
        <v>0</v>
      </c>
      <c r="N35" s="706">
        <v>0</v>
      </c>
      <c r="O35" s="705">
        <f t="shared" si="11"/>
        <v>350000</v>
      </c>
      <c r="P35" s="706">
        <v>0</v>
      </c>
      <c r="Q35" s="706">
        <v>350000</v>
      </c>
      <c r="R35" s="706">
        <v>0</v>
      </c>
      <c r="S35" s="706">
        <v>0</v>
      </c>
      <c r="T35" s="706">
        <v>0</v>
      </c>
      <c r="U35" s="706">
        <v>0</v>
      </c>
      <c r="V35" s="706">
        <v>699953</v>
      </c>
      <c r="W35" s="706">
        <v>0</v>
      </c>
      <c r="X35" s="706">
        <v>0</v>
      </c>
      <c r="Y35" s="706">
        <v>0</v>
      </c>
      <c r="AB35" s="707"/>
    </row>
    <row r="36" spans="1:28" s="46" customFormat="1" ht="15.75" customHeight="1">
      <c r="A36" s="709">
        <f t="shared" si="2"/>
        <v>250</v>
      </c>
      <c r="B36" s="710" t="s">
        <v>248</v>
      </c>
      <c r="C36" s="705">
        <f t="shared" si="10"/>
        <v>490239</v>
      </c>
      <c r="D36" s="706">
        <v>490239</v>
      </c>
      <c r="E36" s="786">
        <v>0.24</v>
      </c>
      <c r="F36" s="706"/>
      <c r="G36" s="786"/>
      <c r="H36" s="706">
        <v>490239</v>
      </c>
      <c r="I36" s="711"/>
      <c r="J36" s="706">
        <v>0</v>
      </c>
      <c r="K36" s="706">
        <v>0</v>
      </c>
      <c r="L36" s="706">
        <v>0</v>
      </c>
      <c r="M36" s="706">
        <v>0</v>
      </c>
      <c r="N36" s="706">
        <v>0</v>
      </c>
      <c r="O36" s="705">
        <f t="shared" si="11"/>
        <v>490239</v>
      </c>
      <c r="P36" s="706">
        <v>0</v>
      </c>
      <c r="Q36" s="706">
        <v>490239</v>
      </c>
      <c r="R36" s="706">
        <v>0</v>
      </c>
      <c r="S36" s="706">
        <v>0</v>
      </c>
      <c r="T36" s="706">
        <v>0</v>
      </c>
      <c r="U36" s="706">
        <v>0</v>
      </c>
      <c r="V36" s="706">
        <v>0</v>
      </c>
      <c r="W36" s="706">
        <v>0</v>
      </c>
      <c r="X36" s="706">
        <v>0</v>
      </c>
      <c r="Y36" s="706">
        <v>0</v>
      </c>
      <c r="AB36" s="707"/>
    </row>
    <row r="37" spans="1:28" s="46" customFormat="1" ht="15.75" customHeight="1">
      <c r="A37" s="709">
        <f t="shared" si="2"/>
        <v>260</v>
      </c>
      <c r="B37" s="710" t="s">
        <v>249</v>
      </c>
      <c r="C37" s="705">
        <f t="shared" si="10"/>
        <v>276471671</v>
      </c>
      <c r="D37" s="706">
        <v>276471671</v>
      </c>
      <c r="E37" s="786">
        <v>0.13227020874955306</v>
      </c>
      <c r="F37" s="706"/>
      <c r="G37" s="786"/>
      <c r="H37" s="706">
        <v>233094178</v>
      </c>
      <c r="I37" s="706">
        <v>43377493</v>
      </c>
      <c r="J37" s="706">
        <v>0</v>
      </c>
      <c r="K37" s="711">
        <v>0</v>
      </c>
      <c r="L37" s="706">
        <v>0</v>
      </c>
      <c r="M37" s="706">
        <v>3947713</v>
      </c>
      <c r="N37" s="706">
        <v>0</v>
      </c>
      <c r="O37" s="705">
        <f t="shared" si="11"/>
        <v>259600031</v>
      </c>
      <c r="P37" s="706">
        <v>0</v>
      </c>
      <c r="Q37" s="706">
        <v>259600031</v>
      </c>
      <c r="R37" s="706">
        <v>1547619</v>
      </c>
      <c r="S37" s="706">
        <v>0</v>
      </c>
      <c r="T37" s="706">
        <v>0</v>
      </c>
      <c r="U37" s="706">
        <v>0</v>
      </c>
      <c r="V37" s="706">
        <v>7963862</v>
      </c>
      <c r="W37" s="706">
        <v>3412446</v>
      </c>
      <c r="X37" s="706">
        <v>0</v>
      </c>
      <c r="Y37" s="706">
        <v>0</v>
      </c>
      <c r="AB37" s="707"/>
    </row>
    <row r="38" spans="1:28" s="46" customFormat="1" ht="15.75" customHeight="1">
      <c r="A38" s="709">
        <f t="shared" si="2"/>
        <v>270</v>
      </c>
      <c r="B38" s="713" t="s">
        <v>250</v>
      </c>
      <c r="C38" s="705">
        <f t="shared" si="10"/>
        <v>0</v>
      </c>
      <c r="D38" s="706"/>
      <c r="E38" s="786"/>
      <c r="F38" s="706"/>
      <c r="G38" s="786"/>
      <c r="H38" s="706"/>
      <c r="I38" s="706"/>
      <c r="J38" s="706"/>
      <c r="K38" s="706"/>
      <c r="L38" s="706"/>
      <c r="M38" s="706"/>
      <c r="N38" s="706"/>
      <c r="O38" s="705">
        <f t="shared" si="11"/>
        <v>0</v>
      </c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AB38" s="707"/>
    </row>
    <row r="39" spans="1:28" s="46" customFormat="1" ht="15.75" customHeight="1">
      <c r="A39" s="709">
        <f>A38+10</f>
        <v>280</v>
      </c>
      <c r="B39" s="710" t="s">
        <v>251</v>
      </c>
      <c r="C39" s="705">
        <f t="shared" si="10"/>
        <v>0</v>
      </c>
      <c r="D39" s="706"/>
      <c r="E39" s="786"/>
      <c r="F39" s="706"/>
      <c r="G39" s="786"/>
      <c r="H39" s="706"/>
      <c r="I39" s="706"/>
      <c r="J39" s="706"/>
      <c r="K39" s="711"/>
      <c r="L39" s="706"/>
      <c r="M39" s="706"/>
      <c r="N39" s="706"/>
      <c r="O39" s="705">
        <f t="shared" si="11"/>
        <v>0</v>
      </c>
      <c r="P39" s="706"/>
      <c r="Q39" s="706"/>
      <c r="R39" s="706"/>
      <c r="S39" s="706"/>
      <c r="T39" s="706"/>
      <c r="U39" s="706"/>
      <c r="V39" s="706"/>
      <c r="W39" s="706"/>
      <c r="X39" s="706"/>
      <c r="Y39" s="706"/>
      <c r="AB39" s="707"/>
    </row>
    <row r="40" spans="1:28" s="46" customFormat="1" ht="15.75" customHeight="1">
      <c r="A40" s="864">
        <f>A39+10</f>
        <v>290</v>
      </c>
      <c r="B40" s="714" t="s">
        <v>259</v>
      </c>
      <c r="C40" s="715">
        <f t="shared" si="10"/>
        <v>278011863</v>
      </c>
      <c r="D40" s="716">
        <f>SUM(D34:D39)</f>
        <v>278011863</v>
      </c>
      <c r="E40" s="787">
        <f>IFERROR(((D34*E34)/D40)+((D35*E35)/D40)+((D36*E36)/D40)+((D37*E37)/D40)+((D38*E38)/D40)+((D39*E39)/D40),0)</f>
        <v>0.13301810015390517</v>
      </c>
      <c r="F40" s="716">
        <f>SUM(F34:F39)</f>
        <v>0</v>
      </c>
      <c r="G40" s="787">
        <f>IFERROR(((F34*G34)/F40)+((F35*G35)/F40)+((F36*G36)/F40)+((F37*G37)/F40)+((F38*G38)/F40)+((F39*G39)/F40),0)</f>
        <v>0</v>
      </c>
      <c r="H40" s="716">
        <f t="shared" ref="H40:Y40" si="12">SUM(H34:H39)</f>
        <v>234634370</v>
      </c>
      <c r="I40" s="716">
        <f t="shared" si="12"/>
        <v>43377493</v>
      </c>
      <c r="J40" s="716">
        <f t="shared" si="12"/>
        <v>0</v>
      </c>
      <c r="K40" s="716">
        <f t="shared" si="12"/>
        <v>0</v>
      </c>
      <c r="L40" s="716">
        <f t="shared" si="12"/>
        <v>0</v>
      </c>
      <c r="M40" s="716">
        <f t="shared" si="12"/>
        <v>3947713</v>
      </c>
      <c r="N40" s="716">
        <f t="shared" si="12"/>
        <v>0</v>
      </c>
      <c r="O40" s="715">
        <f t="shared" si="12"/>
        <v>260440270</v>
      </c>
      <c r="P40" s="716">
        <f t="shared" si="12"/>
        <v>0</v>
      </c>
      <c r="Q40" s="716">
        <f t="shared" si="12"/>
        <v>260440270</v>
      </c>
      <c r="R40" s="716">
        <f t="shared" si="12"/>
        <v>1547619</v>
      </c>
      <c r="S40" s="716">
        <f t="shared" si="12"/>
        <v>0</v>
      </c>
      <c r="T40" s="716">
        <f t="shared" si="12"/>
        <v>0</v>
      </c>
      <c r="U40" s="716">
        <f t="shared" si="12"/>
        <v>0</v>
      </c>
      <c r="V40" s="716">
        <f t="shared" si="12"/>
        <v>8663815</v>
      </c>
      <c r="W40" s="716">
        <f t="shared" si="12"/>
        <v>3412446</v>
      </c>
      <c r="X40" s="716">
        <f t="shared" si="12"/>
        <v>0</v>
      </c>
      <c r="Y40" s="716">
        <f t="shared" si="12"/>
        <v>0</v>
      </c>
      <c r="AB40" s="707"/>
    </row>
    <row r="41" spans="1:28" s="46" customFormat="1" ht="15.75" customHeight="1">
      <c r="A41" s="864"/>
      <c r="B41" s="714" t="s">
        <v>260</v>
      </c>
      <c r="C41" s="715"/>
      <c r="D41" s="716"/>
      <c r="E41" s="787"/>
      <c r="F41" s="716"/>
      <c r="G41" s="787"/>
      <c r="H41" s="716"/>
      <c r="I41" s="716"/>
      <c r="J41" s="716"/>
      <c r="K41" s="716"/>
      <c r="L41" s="716"/>
      <c r="M41" s="716"/>
      <c r="N41" s="716"/>
      <c r="O41" s="715"/>
      <c r="P41" s="716"/>
      <c r="Q41" s="716"/>
      <c r="R41" s="716"/>
      <c r="S41" s="716"/>
      <c r="T41" s="716"/>
      <c r="U41" s="716"/>
      <c r="V41" s="716"/>
      <c r="W41" s="716"/>
      <c r="X41" s="716"/>
      <c r="Y41" s="716"/>
      <c r="AB41" s="707"/>
    </row>
    <row r="42" spans="1:28" s="46" customFormat="1" ht="15.75" customHeight="1">
      <c r="A42" s="703">
        <f>A40+10</f>
        <v>300</v>
      </c>
      <c r="B42" s="704" t="s">
        <v>246</v>
      </c>
      <c r="C42" s="705">
        <f t="shared" ref="C42:C47" si="13">SUM(J42:Y42)-L42-P42-Q42</f>
        <v>0</v>
      </c>
      <c r="D42" s="706"/>
      <c r="E42" s="786"/>
      <c r="F42" s="706"/>
      <c r="G42" s="786"/>
      <c r="H42" s="706"/>
      <c r="I42" s="706"/>
      <c r="J42" s="706"/>
      <c r="K42" s="706"/>
      <c r="L42" s="706"/>
      <c r="M42" s="706"/>
      <c r="N42" s="706"/>
      <c r="O42" s="705">
        <f t="shared" ref="O42:O47" si="14">+P42+Q42</f>
        <v>0</v>
      </c>
      <c r="P42" s="706"/>
      <c r="Q42" s="706"/>
      <c r="R42" s="706"/>
      <c r="S42" s="706"/>
      <c r="T42" s="706"/>
      <c r="U42" s="706"/>
      <c r="V42" s="706"/>
      <c r="W42" s="706"/>
      <c r="X42" s="706"/>
      <c r="Y42" s="706"/>
      <c r="AB42" s="707"/>
    </row>
    <row r="43" spans="1:28" s="46" customFormat="1" ht="15.75" customHeight="1">
      <c r="A43" s="703">
        <f t="shared" si="2"/>
        <v>310</v>
      </c>
      <c r="B43" s="704" t="s">
        <v>247</v>
      </c>
      <c r="C43" s="705">
        <f t="shared" si="13"/>
        <v>19571931</v>
      </c>
      <c r="D43" s="706">
        <v>19571931</v>
      </c>
      <c r="E43" s="785">
        <v>0.1634622845086188</v>
      </c>
      <c r="F43" s="261"/>
      <c r="G43" s="785"/>
      <c r="H43" s="706">
        <v>19571931</v>
      </c>
      <c r="I43" s="706"/>
      <c r="J43" s="706">
        <v>0</v>
      </c>
      <c r="K43" s="711">
        <v>0</v>
      </c>
      <c r="L43" s="706">
        <v>0</v>
      </c>
      <c r="M43" s="706">
        <v>116665</v>
      </c>
      <c r="N43" s="706">
        <v>0</v>
      </c>
      <c r="O43" s="705">
        <f t="shared" si="14"/>
        <v>9555266</v>
      </c>
      <c r="P43" s="706">
        <v>0</v>
      </c>
      <c r="Q43" s="706">
        <v>9555266</v>
      </c>
      <c r="R43" s="706">
        <v>9900000</v>
      </c>
      <c r="S43" s="706">
        <v>0</v>
      </c>
      <c r="T43" s="706">
        <v>0</v>
      </c>
      <c r="U43" s="706">
        <v>0</v>
      </c>
      <c r="V43" s="706">
        <v>0</v>
      </c>
      <c r="W43" s="706">
        <v>0</v>
      </c>
      <c r="X43" s="706">
        <v>0</v>
      </c>
      <c r="Y43" s="706">
        <v>0</v>
      </c>
      <c r="AB43" s="707"/>
    </row>
    <row r="44" spans="1:28" s="46" customFormat="1" ht="15.75" customHeight="1">
      <c r="A44" s="709">
        <f t="shared" si="2"/>
        <v>320</v>
      </c>
      <c r="B44" s="710" t="s">
        <v>248</v>
      </c>
      <c r="C44" s="705">
        <f t="shared" si="13"/>
        <v>0</v>
      </c>
      <c r="D44" s="706"/>
      <c r="E44" s="786"/>
      <c r="F44" s="706"/>
      <c r="G44" s="786"/>
      <c r="H44" s="706"/>
      <c r="I44" s="711"/>
      <c r="J44" s="706">
        <v>0</v>
      </c>
      <c r="K44" s="706">
        <v>0</v>
      </c>
      <c r="L44" s="706">
        <v>0</v>
      </c>
      <c r="M44" s="706">
        <v>0</v>
      </c>
      <c r="N44" s="706">
        <v>0</v>
      </c>
      <c r="O44" s="705">
        <f t="shared" si="14"/>
        <v>0</v>
      </c>
      <c r="P44" s="706">
        <v>0</v>
      </c>
      <c r="Q44" s="706">
        <v>0</v>
      </c>
      <c r="R44" s="706">
        <v>0</v>
      </c>
      <c r="S44" s="706">
        <v>0</v>
      </c>
      <c r="T44" s="706">
        <v>0</v>
      </c>
      <c r="U44" s="706">
        <v>0</v>
      </c>
      <c r="V44" s="706">
        <v>0</v>
      </c>
      <c r="W44" s="706">
        <v>0</v>
      </c>
      <c r="X44" s="706">
        <v>0</v>
      </c>
      <c r="Y44" s="706">
        <v>0</v>
      </c>
      <c r="AB44" s="707"/>
    </row>
    <row r="45" spans="1:28" s="46" customFormat="1" ht="15.75" customHeight="1">
      <c r="A45" s="709">
        <f t="shared" si="2"/>
        <v>330</v>
      </c>
      <c r="B45" s="710" t="s">
        <v>249</v>
      </c>
      <c r="C45" s="705">
        <f t="shared" si="13"/>
        <v>414998050</v>
      </c>
      <c r="D45" s="706">
        <v>258460758</v>
      </c>
      <c r="E45" s="786">
        <v>0.23345216742269301</v>
      </c>
      <c r="F45" s="706">
        <v>156537292</v>
      </c>
      <c r="G45" s="786">
        <v>0.10510107747658934</v>
      </c>
      <c r="H45" s="706">
        <v>405173615</v>
      </c>
      <c r="I45" s="706">
        <v>9824435</v>
      </c>
      <c r="J45" s="706">
        <v>251000</v>
      </c>
      <c r="K45" s="711">
        <v>0</v>
      </c>
      <c r="L45" s="706">
        <v>0</v>
      </c>
      <c r="M45" s="706">
        <v>37231617</v>
      </c>
      <c r="N45" s="706">
        <v>0</v>
      </c>
      <c r="O45" s="705">
        <f t="shared" si="14"/>
        <v>172073738</v>
      </c>
      <c r="P45" s="706">
        <v>0</v>
      </c>
      <c r="Q45" s="706">
        <v>172073738</v>
      </c>
      <c r="R45" s="706">
        <v>0</v>
      </c>
      <c r="S45" s="706">
        <v>0</v>
      </c>
      <c r="T45" s="706">
        <v>0</v>
      </c>
      <c r="U45" s="706">
        <v>0</v>
      </c>
      <c r="V45" s="706">
        <v>15407700</v>
      </c>
      <c r="W45" s="706">
        <v>189712485</v>
      </c>
      <c r="X45" s="706">
        <v>0</v>
      </c>
      <c r="Y45" s="706">
        <v>321510</v>
      </c>
      <c r="AB45" s="707"/>
    </row>
    <row r="46" spans="1:28" s="46" customFormat="1" ht="15.75" customHeight="1">
      <c r="A46" s="709">
        <f t="shared" si="2"/>
        <v>340</v>
      </c>
      <c r="B46" s="713" t="s">
        <v>250</v>
      </c>
      <c r="C46" s="705">
        <f t="shared" si="13"/>
        <v>0</v>
      </c>
      <c r="D46" s="706"/>
      <c r="E46" s="786"/>
      <c r="F46" s="706"/>
      <c r="G46" s="786"/>
      <c r="H46" s="706"/>
      <c r="I46" s="706"/>
      <c r="J46" s="706"/>
      <c r="K46" s="706"/>
      <c r="L46" s="706"/>
      <c r="M46" s="706"/>
      <c r="N46" s="706"/>
      <c r="O46" s="705">
        <f t="shared" si="14"/>
        <v>0</v>
      </c>
      <c r="P46" s="706"/>
      <c r="Q46" s="706"/>
      <c r="R46" s="706"/>
      <c r="S46" s="706"/>
      <c r="T46" s="706"/>
      <c r="U46" s="706"/>
      <c r="V46" s="706"/>
      <c r="W46" s="706"/>
      <c r="X46" s="706"/>
      <c r="Y46" s="706"/>
      <c r="AB46" s="707"/>
    </row>
    <row r="47" spans="1:28" s="46" customFormat="1" ht="15.75" customHeight="1">
      <c r="A47" s="709">
        <f>A46+10</f>
        <v>350</v>
      </c>
      <c r="B47" s="710" t="s">
        <v>251</v>
      </c>
      <c r="C47" s="705">
        <f t="shared" si="13"/>
        <v>0</v>
      </c>
      <c r="D47" s="706"/>
      <c r="E47" s="786"/>
      <c r="F47" s="706"/>
      <c r="G47" s="786"/>
      <c r="H47" s="706"/>
      <c r="I47" s="706"/>
      <c r="J47" s="706"/>
      <c r="K47" s="711"/>
      <c r="L47" s="706"/>
      <c r="M47" s="706"/>
      <c r="N47" s="706"/>
      <c r="O47" s="705">
        <f t="shared" si="14"/>
        <v>0</v>
      </c>
      <c r="P47" s="706"/>
      <c r="Q47" s="706"/>
      <c r="R47" s="706"/>
      <c r="S47" s="706"/>
      <c r="T47" s="706"/>
      <c r="U47" s="706"/>
      <c r="V47" s="706"/>
      <c r="W47" s="706"/>
      <c r="X47" s="706"/>
      <c r="Y47" s="706"/>
      <c r="AB47" s="707"/>
    </row>
    <row r="48" spans="1:28" s="46" customFormat="1" ht="15.75" customHeight="1">
      <c r="A48" s="864">
        <f>A47+10</f>
        <v>360</v>
      </c>
      <c r="B48" s="714" t="s">
        <v>261</v>
      </c>
      <c r="C48" s="715">
        <f>SUM(J48:Y48)-L48-P48-Q48</f>
        <v>434569981</v>
      </c>
      <c r="D48" s="716">
        <f>SUM(D42:D47)</f>
        <v>278032689</v>
      </c>
      <c r="E48" s="787">
        <f>IFERROR(((D42*E42)/D48)+((D43*E43)/D48)+((D44*E44)/D48)+((D45*E45)/D48)+((D46*E46)/D48)+((D47*E47)/D48),0)</f>
        <v>0.22852527496260411</v>
      </c>
      <c r="F48" s="716">
        <f>SUM(F42:F47)</f>
        <v>156537292</v>
      </c>
      <c r="G48" s="787">
        <f>IFERROR(((F42*G42)/F48)+((F43*G43)/F48)+((F44*G44)/F48)+((F45*G45)/F48)+((F46*G46)/F48)+((F47*G47)/F48),0)</f>
        <v>0.10510107747658934</v>
      </c>
      <c r="H48" s="716">
        <f t="shared" ref="H48:Y48" si="15">SUM(H42:H47)</f>
        <v>424745546</v>
      </c>
      <c r="I48" s="716">
        <f t="shared" si="15"/>
        <v>9824435</v>
      </c>
      <c r="J48" s="716">
        <f t="shared" si="15"/>
        <v>251000</v>
      </c>
      <c r="K48" s="716">
        <f t="shared" si="15"/>
        <v>0</v>
      </c>
      <c r="L48" s="716">
        <f t="shared" si="15"/>
        <v>0</v>
      </c>
      <c r="M48" s="716">
        <f t="shared" si="15"/>
        <v>37348282</v>
      </c>
      <c r="N48" s="716">
        <f t="shared" si="15"/>
        <v>0</v>
      </c>
      <c r="O48" s="715">
        <f t="shared" si="15"/>
        <v>181629004</v>
      </c>
      <c r="P48" s="716">
        <f t="shared" si="15"/>
        <v>0</v>
      </c>
      <c r="Q48" s="716">
        <f t="shared" si="15"/>
        <v>181629004</v>
      </c>
      <c r="R48" s="716">
        <f t="shared" si="15"/>
        <v>9900000</v>
      </c>
      <c r="S48" s="716">
        <f t="shared" si="15"/>
        <v>0</v>
      </c>
      <c r="T48" s="716">
        <f t="shared" si="15"/>
        <v>0</v>
      </c>
      <c r="U48" s="716">
        <f t="shared" si="15"/>
        <v>0</v>
      </c>
      <c r="V48" s="716">
        <f t="shared" si="15"/>
        <v>15407700</v>
      </c>
      <c r="W48" s="716">
        <f t="shared" si="15"/>
        <v>189712485</v>
      </c>
      <c r="X48" s="716">
        <f t="shared" si="15"/>
        <v>0</v>
      </c>
      <c r="Y48" s="716">
        <f t="shared" si="15"/>
        <v>321510</v>
      </c>
      <c r="AB48" s="707"/>
    </row>
    <row r="49" spans="1:28" s="46" customFormat="1" ht="15.75" customHeight="1">
      <c r="A49" s="864"/>
      <c r="B49" s="714" t="s">
        <v>262</v>
      </c>
      <c r="C49" s="715"/>
      <c r="D49" s="716"/>
      <c r="E49" s="787"/>
      <c r="F49" s="716"/>
      <c r="G49" s="787"/>
      <c r="H49" s="716"/>
      <c r="I49" s="716"/>
      <c r="J49" s="716"/>
      <c r="K49" s="716"/>
      <c r="L49" s="716"/>
      <c r="M49" s="716"/>
      <c r="N49" s="716"/>
      <c r="O49" s="715"/>
      <c r="P49" s="716"/>
      <c r="Q49" s="716"/>
      <c r="R49" s="716"/>
      <c r="S49" s="716"/>
      <c r="T49" s="716"/>
      <c r="U49" s="716"/>
      <c r="V49" s="716"/>
      <c r="W49" s="716"/>
      <c r="X49" s="716"/>
      <c r="Y49" s="716"/>
      <c r="AB49" s="707"/>
    </row>
    <row r="50" spans="1:28" s="46" customFormat="1" ht="15.75" customHeight="1">
      <c r="A50" s="703">
        <f>A48+10</f>
        <v>370</v>
      </c>
      <c r="B50" s="704" t="s">
        <v>246</v>
      </c>
      <c r="C50" s="705">
        <f t="shared" ref="C50:C56" si="16">SUM(J50:Y50)-L50-P50-Q50</f>
        <v>6334221</v>
      </c>
      <c r="D50" s="706">
        <v>6334221</v>
      </c>
      <c r="E50" s="786">
        <v>7.8824375833794702E-2</v>
      </c>
      <c r="F50" s="706"/>
      <c r="G50" s="786"/>
      <c r="H50" s="706">
        <v>6334221</v>
      </c>
      <c r="I50" s="706"/>
      <c r="J50" s="706">
        <v>0</v>
      </c>
      <c r="K50" s="706">
        <v>0</v>
      </c>
      <c r="L50" s="706">
        <v>0</v>
      </c>
      <c r="M50" s="706">
        <v>0</v>
      </c>
      <c r="N50" s="706">
        <v>0</v>
      </c>
      <c r="O50" s="705">
        <f t="shared" ref="O50:O55" si="17">+P50+Q50</f>
        <v>8999</v>
      </c>
      <c r="P50" s="706">
        <v>0</v>
      </c>
      <c r="Q50" s="706">
        <v>8999</v>
      </c>
      <c r="R50" s="706">
        <v>0</v>
      </c>
      <c r="S50" s="706">
        <v>0</v>
      </c>
      <c r="T50" s="706">
        <v>0</v>
      </c>
      <c r="U50" s="706">
        <v>0</v>
      </c>
      <c r="V50" s="706">
        <v>1607847</v>
      </c>
      <c r="W50" s="706">
        <v>4717375</v>
      </c>
      <c r="X50" s="706">
        <v>0</v>
      </c>
      <c r="Y50" s="706">
        <v>0</v>
      </c>
      <c r="AB50" s="707"/>
    </row>
    <row r="51" spans="1:28" s="46" customFormat="1" ht="15.75" customHeight="1">
      <c r="A51" s="703">
        <f t="shared" si="2"/>
        <v>380</v>
      </c>
      <c r="B51" s="704" t="s">
        <v>247</v>
      </c>
      <c r="C51" s="705">
        <f t="shared" si="16"/>
        <v>189159</v>
      </c>
      <c r="D51" s="706">
        <v>189159</v>
      </c>
      <c r="E51" s="786">
        <v>0.23999999999999996</v>
      </c>
      <c r="F51" s="706"/>
      <c r="G51" s="786"/>
      <c r="H51" s="706">
        <v>189159</v>
      </c>
      <c r="I51" s="706"/>
      <c r="J51" s="706">
        <v>0</v>
      </c>
      <c r="K51" s="711">
        <v>0</v>
      </c>
      <c r="L51" s="706">
        <v>0</v>
      </c>
      <c r="M51" s="706">
        <v>0</v>
      </c>
      <c r="N51" s="706">
        <v>0</v>
      </c>
      <c r="O51" s="705">
        <f t="shared" si="17"/>
        <v>189159</v>
      </c>
      <c r="P51" s="706">
        <v>0</v>
      </c>
      <c r="Q51" s="706">
        <v>189159</v>
      </c>
      <c r="R51" s="706">
        <v>0</v>
      </c>
      <c r="S51" s="706">
        <v>0</v>
      </c>
      <c r="T51" s="706">
        <v>0</v>
      </c>
      <c r="U51" s="706">
        <v>0</v>
      </c>
      <c r="V51" s="706">
        <v>0</v>
      </c>
      <c r="W51" s="706">
        <v>0</v>
      </c>
      <c r="X51" s="706">
        <v>0</v>
      </c>
      <c r="Y51" s="706">
        <v>0</v>
      </c>
      <c r="AB51" s="707"/>
    </row>
    <row r="52" spans="1:28" s="46" customFormat="1" ht="15.75" customHeight="1">
      <c r="A52" s="709">
        <f t="shared" si="2"/>
        <v>390</v>
      </c>
      <c r="B52" s="710" t="s">
        <v>248</v>
      </c>
      <c r="C52" s="705">
        <f t="shared" si="16"/>
        <v>0</v>
      </c>
      <c r="D52" s="706"/>
      <c r="E52" s="786"/>
      <c r="F52" s="706"/>
      <c r="G52" s="786"/>
      <c r="H52" s="706"/>
      <c r="I52" s="711"/>
      <c r="J52" s="706">
        <v>0</v>
      </c>
      <c r="K52" s="706">
        <v>0</v>
      </c>
      <c r="L52" s="706">
        <v>0</v>
      </c>
      <c r="M52" s="706">
        <v>0</v>
      </c>
      <c r="N52" s="706">
        <v>0</v>
      </c>
      <c r="O52" s="705">
        <f t="shared" si="17"/>
        <v>0</v>
      </c>
      <c r="P52" s="706">
        <v>0</v>
      </c>
      <c r="Q52" s="706">
        <v>0</v>
      </c>
      <c r="R52" s="706">
        <v>0</v>
      </c>
      <c r="S52" s="706">
        <v>0</v>
      </c>
      <c r="T52" s="706">
        <v>0</v>
      </c>
      <c r="U52" s="706">
        <v>0</v>
      </c>
      <c r="V52" s="706">
        <v>0</v>
      </c>
      <c r="W52" s="706">
        <v>0</v>
      </c>
      <c r="X52" s="706">
        <v>0</v>
      </c>
      <c r="Y52" s="706">
        <v>0</v>
      </c>
      <c r="AB52" s="707"/>
    </row>
    <row r="53" spans="1:28" s="46" customFormat="1" ht="15.75" customHeight="1">
      <c r="A53" s="709">
        <f t="shared" si="2"/>
        <v>400</v>
      </c>
      <c r="B53" s="710" t="s">
        <v>249</v>
      </c>
      <c r="C53" s="705">
        <f t="shared" si="16"/>
        <v>599368724</v>
      </c>
      <c r="D53" s="706">
        <v>196593529</v>
      </c>
      <c r="E53" s="786">
        <v>0.17370447967375002</v>
      </c>
      <c r="F53" s="706">
        <v>402775195</v>
      </c>
      <c r="G53" s="786">
        <v>0.10262048008013566</v>
      </c>
      <c r="H53" s="706">
        <v>599368724</v>
      </c>
      <c r="I53" s="706"/>
      <c r="J53" s="706">
        <v>0</v>
      </c>
      <c r="K53" s="711">
        <v>0</v>
      </c>
      <c r="L53" s="706">
        <v>0</v>
      </c>
      <c r="M53" s="706">
        <v>27411502</v>
      </c>
      <c r="N53" s="706">
        <v>0</v>
      </c>
      <c r="O53" s="705">
        <f t="shared" si="17"/>
        <v>273902853</v>
      </c>
      <c r="P53" s="706">
        <v>0</v>
      </c>
      <c r="Q53" s="706">
        <v>273902853</v>
      </c>
      <c r="R53" s="706">
        <v>0</v>
      </c>
      <c r="S53" s="706">
        <v>0</v>
      </c>
      <c r="T53" s="706">
        <v>0</v>
      </c>
      <c r="U53" s="706">
        <v>0</v>
      </c>
      <c r="V53" s="706">
        <v>16082037</v>
      </c>
      <c r="W53" s="706">
        <v>281971618</v>
      </c>
      <c r="X53" s="706">
        <v>0</v>
      </c>
      <c r="Y53" s="706">
        <v>714</v>
      </c>
      <c r="AB53" s="707"/>
    </row>
    <row r="54" spans="1:28" s="46" customFormat="1" ht="15.75" customHeight="1">
      <c r="A54" s="709">
        <f t="shared" si="2"/>
        <v>410</v>
      </c>
      <c r="B54" s="713" t="s">
        <v>250</v>
      </c>
      <c r="C54" s="705">
        <f t="shared" si="16"/>
        <v>0</v>
      </c>
      <c r="D54" s="706"/>
      <c r="E54" s="786"/>
      <c r="F54" s="706"/>
      <c r="G54" s="786"/>
      <c r="H54" s="706"/>
      <c r="I54" s="706"/>
      <c r="J54" s="706">
        <v>0</v>
      </c>
      <c r="K54" s="706">
        <v>0</v>
      </c>
      <c r="L54" s="706">
        <v>0</v>
      </c>
      <c r="M54" s="706">
        <v>0</v>
      </c>
      <c r="N54" s="706">
        <v>0</v>
      </c>
      <c r="O54" s="705">
        <f t="shared" si="17"/>
        <v>0</v>
      </c>
      <c r="P54" s="706">
        <v>0</v>
      </c>
      <c r="Q54" s="706">
        <v>0</v>
      </c>
      <c r="R54" s="706">
        <v>0</v>
      </c>
      <c r="S54" s="706">
        <v>0</v>
      </c>
      <c r="T54" s="706">
        <v>0</v>
      </c>
      <c r="U54" s="706">
        <v>0</v>
      </c>
      <c r="V54" s="706">
        <v>0</v>
      </c>
      <c r="W54" s="706">
        <v>0</v>
      </c>
      <c r="X54" s="706">
        <v>0</v>
      </c>
      <c r="Y54" s="706">
        <v>0</v>
      </c>
      <c r="AB54" s="707"/>
    </row>
    <row r="55" spans="1:28" s="46" customFormat="1" ht="15.75" customHeight="1">
      <c r="A55" s="709">
        <f>A54+10</f>
        <v>420</v>
      </c>
      <c r="B55" s="710" t="s">
        <v>251</v>
      </c>
      <c r="C55" s="705">
        <f t="shared" si="16"/>
        <v>199980</v>
      </c>
      <c r="D55" s="706">
        <v>199980</v>
      </c>
      <c r="E55" s="786">
        <v>0.27999999999999997</v>
      </c>
      <c r="F55" s="706"/>
      <c r="G55" s="786"/>
      <c r="H55" s="706">
        <v>199980</v>
      </c>
      <c r="I55" s="706"/>
      <c r="J55" s="706">
        <v>0</v>
      </c>
      <c r="K55" s="711">
        <v>0</v>
      </c>
      <c r="L55" s="706">
        <v>0</v>
      </c>
      <c r="M55" s="706">
        <v>0</v>
      </c>
      <c r="N55" s="706">
        <v>0</v>
      </c>
      <c r="O55" s="705">
        <f t="shared" si="17"/>
        <v>199980</v>
      </c>
      <c r="P55" s="706">
        <v>0</v>
      </c>
      <c r="Q55" s="706">
        <v>199980</v>
      </c>
      <c r="R55" s="706">
        <v>0</v>
      </c>
      <c r="S55" s="706">
        <v>0</v>
      </c>
      <c r="T55" s="706">
        <v>0</v>
      </c>
      <c r="U55" s="706">
        <v>0</v>
      </c>
      <c r="V55" s="706">
        <v>0</v>
      </c>
      <c r="W55" s="706">
        <v>0</v>
      </c>
      <c r="X55" s="706">
        <v>0</v>
      </c>
      <c r="Y55" s="706">
        <v>0</v>
      </c>
      <c r="AB55" s="707"/>
    </row>
    <row r="56" spans="1:28" s="46" customFormat="1" ht="15.75" customHeight="1">
      <c r="A56" s="864">
        <f>A55+10</f>
        <v>430</v>
      </c>
      <c r="B56" s="714" t="s">
        <v>263</v>
      </c>
      <c r="C56" s="715">
        <f t="shared" si="16"/>
        <v>606092084</v>
      </c>
      <c r="D56" s="716">
        <f>SUM(D50:D55)</f>
        <v>203316889</v>
      </c>
      <c r="E56" s="787">
        <f>IFERROR(((D50*E50)/D56)+((D51*E51)/D56)+((D52*E52)/D56)+((D53*E53)/D56)+((D54*E54)/D56)+((D55*E55)/D56),0)</f>
        <v>0.17091477451678697</v>
      </c>
      <c r="F56" s="716">
        <f>SUM(F50:F55)</f>
        <v>402775195</v>
      </c>
      <c r="G56" s="787">
        <f>IFERROR(((F50*G50)/F56)+((F51*G51)/F56)+((F52*G52)/F56)+((F53*G53)/F56)+((F54*G54)/F56)+((F55*G55)/F56),0)</f>
        <v>0.10262048008013566</v>
      </c>
      <c r="H56" s="716">
        <f t="shared" ref="H56:Y56" si="18">SUM(H50:H55)</f>
        <v>606092084</v>
      </c>
      <c r="I56" s="716">
        <f t="shared" si="18"/>
        <v>0</v>
      </c>
      <c r="J56" s="716">
        <f t="shared" si="18"/>
        <v>0</v>
      </c>
      <c r="K56" s="716">
        <f t="shared" si="18"/>
        <v>0</v>
      </c>
      <c r="L56" s="716">
        <f t="shared" si="18"/>
        <v>0</v>
      </c>
      <c r="M56" s="716">
        <f t="shared" si="18"/>
        <v>27411502</v>
      </c>
      <c r="N56" s="716">
        <f t="shared" si="18"/>
        <v>0</v>
      </c>
      <c r="O56" s="715">
        <f t="shared" si="18"/>
        <v>274300991</v>
      </c>
      <c r="P56" s="716">
        <f t="shared" si="18"/>
        <v>0</v>
      </c>
      <c r="Q56" s="716">
        <f t="shared" si="18"/>
        <v>274300991</v>
      </c>
      <c r="R56" s="716">
        <f t="shared" si="18"/>
        <v>0</v>
      </c>
      <c r="S56" s="716">
        <f t="shared" si="18"/>
        <v>0</v>
      </c>
      <c r="T56" s="716">
        <f t="shared" si="18"/>
        <v>0</v>
      </c>
      <c r="U56" s="716">
        <f t="shared" si="18"/>
        <v>0</v>
      </c>
      <c r="V56" s="716">
        <f t="shared" si="18"/>
        <v>17689884</v>
      </c>
      <c r="W56" s="716">
        <f t="shared" si="18"/>
        <v>286688993</v>
      </c>
      <c r="X56" s="716">
        <f t="shared" si="18"/>
        <v>0</v>
      </c>
      <c r="Y56" s="716">
        <f t="shared" si="18"/>
        <v>714</v>
      </c>
      <c r="AB56" s="707"/>
    </row>
    <row r="57" spans="1:28" s="46" customFormat="1" ht="15.75" customHeight="1">
      <c r="A57" s="864"/>
      <c r="B57" s="714" t="s">
        <v>264</v>
      </c>
      <c r="C57" s="715"/>
      <c r="D57" s="716"/>
      <c r="E57" s="787"/>
      <c r="F57" s="716"/>
      <c r="G57" s="787"/>
      <c r="H57" s="716"/>
      <c r="I57" s="716"/>
      <c r="J57" s="716"/>
      <c r="K57" s="716"/>
      <c r="L57" s="716"/>
      <c r="M57" s="716"/>
      <c r="N57" s="716"/>
      <c r="O57" s="715"/>
      <c r="P57" s="716"/>
      <c r="Q57" s="716"/>
      <c r="R57" s="716"/>
      <c r="S57" s="716"/>
      <c r="T57" s="716"/>
      <c r="U57" s="716"/>
      <c r="V57" s="716"/>
      <c r="W57" s="716"/>
      <c r="X57" s="716"/>
      <c r="Y57" s="716"/>
      <c r="AB57" s="707"/>
    </row>
    <row r="58" spans="1:28" s="46" customFormat="1" ht="15.75" customHeight="1">
      <c r="A58" s="703">
        <f>A56+10</f>
        <v>440</v>
      </c>
      <c r="B58" s="704" t="s">
        <v>246</v>
      </c>
      <c r="C58" s="705">
        <f t="shared" ref="C58:C64" si="19">SUM(J58:Y58)-L58-P58-Q58</f>
        <v>0</v>
      </c>
      <c r="D58" s="706"/>
      <c r="E58" s="786"/>
      <c r="F58" s="706"/>
      <c r="G58" s="786"/>
      <c r="H58" s="706"/>
      <c r="I58" s="706"/>
      <c r="J58" s="706"/>
      <c r="K58" s="706"/>
      <c r="L58" s="706"/>
      <c r="M58" s="706"/>
      <c r="N58" s="706"/>
      <c r="O58" s="705">
        <f t="shared" ref="O58:O64" si="20">+P58+Q58</f>
        <v>0</v>
      </c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AB58" s="707"/>
    </row>
    <row r="59" spans="1:28" s="46" customFormat="1" ht="15.75" customHeight="1">
      <c r="A59" s="703">
        <f t="shared" si="2"/>
        <v>450</v>
      </c>
      <c r="B59" s="704" t="s">
        <v>247</v>
      </c>
      <c r="C59" s="705">
        <f t="shared" si="19"/>
        <v>9883333</v>
      </c>
      <c r="D59" s="706">
        <v>9883333</v>
      </c>
      <c r="E59" s="785">
        <v>0.13312710485271959</v>
      </c>
      <c r="F59" s="261"/>
      <c r="G59" s="785"/>
      <c r="H59" s="706">
        <v>8657198</v>
      </c>
      <c r="I59" s="706">
        <v>1226135</v>
      </c>
      <c r="J59" s="706">
        <v>0</v>
      </c>
      <c r="K59" s="711">
        <v>0</v>
      </c>
      <c r="L59" s="706">
        <v>0</v>
      </c>
      <c r="M59" s="706">
        <v>0</v>
      </c>
      <c r="N59" s="706">
        <v>0</v>
      </c>
      <c r="O59" s="705">
        <f t="shared" si="20"/>
        <v>0</v>
      </c>
      <c r="P59" s="706">
        <v>0</v>
      </c>
      <c r="Q59" s="706">
        <v>0</v>
      </c>
      <c r="R59" s="706">
        <v>0</v>
      </c>
      <c r="S59" s="706">
        <v>0</v>
      </c>
      <c r="T59" s="706">
        <v>0</v>
      </c>
      <c r="U59" s="706">
        <v>0</v>
      </c>
      <c r="V59" s="706">
        <v>2103310</v>
      </c>
      <c r="W59" s="706">
        <v>7780023</v>
      </c>
      <c r="X59" s="706">
        <v>0</v>
      </c>
      <c r="Y59" s="706">
        <v>0</v>
      </c>
      <c r="AB59" s="707"/>
    </row>
    <row r="60" spans="1:28" s="46" customFormat="1" ht="15.75" customHeight="1">
      <c r="A60" s="709">
        <f t="shared" si="2"/>
        <v>460</v>
      </c>
      <c r="B60" s="710" t="s">
        <v>248</v>
      </c>
      <c r="C60" s="705">
        <f t="shared" si="19"/>
        <v>0</v>
      </c>
      <c r="D60" s="706"/>
      <c r="E60" s="786"/>
      <c r="F60" s="706"/>
      <c r="G60" s="786"/>
      <c r="H60" s="706"/>
      <c r="I60" s="711"/>
      <c r="J60" s="706">
        <v>0</v>
      </c>
      <c r="K60" s="706">
        <v>0</v>
      </c>
      <c r="L60" s="706">
        <v>0</v>
      </c>
      <c r="M60" s="706">
        <v>0</v>
      </c>
      <c r="N60" s="706">
        <v>0</v>
      </c>
      <c r="O60" s="705">
        <f t="shared" si="20"/>
        <v>0</v>
      </c>
      <c r="P60" s="706">
        <v>0</v>
      </c>
      <c r="Q60" s="706">
        <v>0</v>
      </c>
      <c r="R60" s="706">
        <v>0</v>
      </c>
      <c r="S60" s="706">
        <v>0</v>
      </c>
      <c r="T60" s="706">
        <v>0</v>
      </c>
      <c r="U60" s="706">
        <v>0</v>
      </c>
      <c r="V60" s="706">
        <v>0</v>
      </c>
      <c r="W60" s="706">
        <v>0</v>
      </c>
      <c r="X60" s="706">
        <v>0</v>
      </c>
      <c r="Y60" s="706">
        <v>0</v>
      </c>
      <c r="AB60" s="707"/>
    </row>
    <row r="61" spans="1:28" s="46" customFormat="1" ht="15.75" customHeight="1">
      <c r="A61" s="709">
        <f t="shared" si="2"/>
        <v>470</v>
      </c>
      <c r="B61" s="710" t="s">
        <v>249</v>
      </c>
      <c r="C61" s="705">
        <f t="shared" si="19"/>
        <v>50932526</v>
      </c>
      <c r="D61" s="706">
        <v>50932526</v>
      </c>
      <c r="E61" s="786">
        <v>0.13834121982773062</v>
      </c>
      <c r="F61" s="706"/>
      <c r="G61" s="786"/>
      <c r="H61" s="706">
        <v>30910960</v>
      </c>
      <c r="I61" s="706">
        <v>20021566</v>
      </c>
      <c r="J61" s="706">
        <v>0</v>
      </c>
      <c r="K61" s="711">
        <v>0</v>
      </c>
      <c r="L61" s="706">
        <v>0</v>
      </c>
      <c r="M61" s="706">
        <v>0</v>
      </c>
      <c r="N61" s="706">
        <v>0</v>
      </c>
      <c r="O61" s="705">
        <f t="shared" si="20"/>
        <v>0</v>
      </c>
      <c r="P61" s="706">
        <v>0</v>
      </c>
      <c r="Q61" s="706">
        <v>0</v>
      </c>
      <c r="R61" s="706">
        <v>0</v>
      </c>
      <c r="S61" s="706">
        <v>0</v>
      </c>
      <c r="T61" s="706">
        <v>0</v>
      </c>
      <c r="U61" s="706">
        <v>0</v>
      </c>
      <c r="V61" s="706">
        <v>13586629</v>
      </c>
      <c r="W61" s="706">
        <v>37345897</v>
      </c>
      <c r="X61" s="706">
        <v>0</v>
      </c>
      <c r="Y61" s="706">
        <v>0</v>
      </c>
      <c r="AB61" s="707"/>
    </row>
    <row r="62" spans="1:28" s="46" customFormat="1" ht="15.75" customHeight="1">
      <c r="A62" s="709">
        <f t="shared" si="2"/>
        <v>480</v>
      </c>
      <c r="B62" s="713" t="s">
        <v>250</v>
      </c>
      <c r="C62" s="705">
        <f t="shared" si="19"/>
        <v>0</v>
      </c>
      <c r="D62" s="706"/>
      <c r="E62" s="786"/>
      <c r="F62" s="706"/>
      <c r="G62" s="786"/>
      <c r="H62" s="706"/>
      <c r="I62" s="706"/>
      <c r="J62" s="706">
        <v>0</v>
      </c>
      <c r="K62" s="706">
        <v>0</v>
      </c>
      <c r="L62" s="706">
        <v>0</v>
      </c>
      <c r="M62" s="706">
        <v>0</v>
      </c>
      <c r="N62" s="706">
        <v>0</v>
      </c>
      <c r="O62" s="705">
        <f t="shared" si="20"/>
        <v>0</v>
      </c>
      <c r="P62" s="706">
        <v>0</v>
      </c>
      <c r="Q62" s="706">
        <v>0</v>
      </c>
      <c r="R62" s="706">
        <v>0</v>
      </c>
      <c r="S62" s="706">
        <v>0</v>
      </c>
      <c r="T62" s="706">
        <v>0</v>
      </c>
      <c r="U62" s="706">
        <v>0</v>
      </c>
      <c r="V62" s="706">
        <v>0</v>
      </c>
      <c r="W62" s="706">
        <v>0</v>
      </c>
      <c r="X62" s="706">
        <v>0</v>
      </c>
      <c r="Y62" s="706">
        <v>0</v>
      </c>
      <c r="AB62" s="707"/>
    </row>
    <row r="63" spans="1:28" s="46" customFormat="1" ht="15.75" customHeight="1">
      <c r="A63" s="709">
        <v>485</v>
      </c>
      <c r="B63" s="713" t="s">
        <v>270</v>
      </c>
      <c r="C63" s="705">
        <f>SUM(J63:Y63)-L63-P63-Q63</f>
        <v>40062247</v>
      </c>
      <c r="D63" s="706">
        <v>40062247</v>
      </c>
      <c r="E63" s="786">
        <v>0.14081934911765248</v>
      </c>
      <c r="F63" s="706"/>
      <c r="G63" s="786"/>
      <c r="H63" s="706">
        <v>12577788</v>
      </c>
      <c r="I63" s="706">
        <v>27484459</v>
      </c>
      <c r="J63" s="706">
        <v>0</v>
      </c>
      <c r="K63" s="706">
        <v>0</v>
      </c>
      <c r="L63" s="706">
        <v>0</v>
      </c>
      <c r="M63" s="706">
        <v>350662</v>
      </c>
      <c r="N63" s="706">
        <v>0</v>
      </c>
      <c r="O63" s="705">
        <f t="shared" si="20"/>
        <v>0</v>
      </c>
      <c r="P63" s="706">
        <v>0</v>
      </c>
      <c r="Q63" s="706">
        <v>0</v>
      </c>
      <c r="R63" s="706">
        <v>0</v>
      </c>
      <c r="S63" s="706">
        <v>0</v>
      </c>
      <c r="T63" s="706">
        <v>0</v>
      </c>
      <c r="U63" s="706">
        <v>0</v>
      </c>
      <c r="V63" s="706">
        <v>10514893</v>
      </c>
      <c r="W63" s="706">
        <v>29196692</v>
      </c>
      <c r="X63" s="706">
        <v>0</v>
      </c>
      <c r="Y63" s="706">
        <v>0</v>
      </c>
      <c r="AB63" s="707"/>
    </row>
    <row r="64" spans="1:28" s="46" customFormat="1" ht="15.75" customHeight="1">
      <c r="A64" s="709">
        <f>A62+10</f>
        <v>490</v>
      </c>
      <c r="B64" s="710" t="s">
        <v>251</v>
      </c>
      <c r="C64" s="705">
        <f t="shared" si="19"/>
        <v>0</v>
      </c>
      <c r="D64" s="706"/>
      <c r="E64" s="786"/>
      <c r="F64" s="706"/>
      <c r="G64" s="786"/>
      <c r="H64" s="706"/>
      <c r="I64" s="706"/>
      <c r="J64" s="706"/>
      <c r="K64" s="711"/>
      <c r="L64" s="706"/>
      <c r="M64" s="706"/>
      <c r="N64" s="706"/>
      <c r="O64" s="705">
        <f t="shared" si="20"/>
        <v>0</v>
      </c>
      <c r="P64" s="706"/>
      <c r="Q64" s="706"/>
      <c r="R64" s="706"/>
      <c r="S64" s="706"/>
      <c r="T64" s="706"/>
      <c r="U64" s="706"/>
      <c r="V64" s="706"/>
      <c r="W64" s="706"/>
      <c r="X64" s="706"/>
      <c r="Y64" s="706"/>
      <c r="AB64" s="707"/>
    </row>
    <row r="65" spans="1:28" s="46" customFormat="1" ht="15.75" customHeight="1">
      <c r="A65" s="864">
        <f>A64+10</f>
        <v>500</v>
      </c>
      <c r="B65" s="714" t="s">
        <v>265</v>
      </c>
      <c r="C65" s="715">
        <f t="shared" ref="C65:C78" si="21">SUM(J65:Y65)-L65-P65-Q65</f>
        <v>100878106</v>
      </c>
      <c r="D65" s="716">
        <f>SUM(D58:D64)</f>
        <v>100878106</v>
      </c>
      <c r="E65" s="787">
        <f>IFERROR(((D58*E58)/D65)+((D59*E59)/D65)+((D60*E60)/D65)+((D61*E61)/D65)+((D62*E62)/D65)+((D63*E63)/D65)+((D64*E64)/D65),0)</f>
        <v>0.13881452959736945</v>
      </c>
      <c r="F65" s="716">
        <f>SUM(F58:F64)</f>
        <v>0</v>
      </c>
      <c r="G65" s="787">
        <f>IFERROR(((F58*G58)/F65)+((F59*G59)/F65)+((F60*G60)/F65)+((F61*G61)/F65)+((F62*G62)/F65)+((F63*G63)/F65)+((F64*G64)/F65),0)</f>
        <v>0</v>
      </c>
      <c r="H65" s="716">
        <f t="shared" ref="H65:Y65" si="22">SUM(H58:H64)</f>
        <v>52145946</v>
      </c>
      <c r="I65" s="716">
        <f t="shared" si="22"/>
        <v>48732160</v>
      </c>
      <c r="J65" s="716">
        <f t="shared" si="22"/>
        <v>0</v>
      </c>
      <c r="K65" s="716">
        <f t="shared" si="22"/>
        <v>0</v>
      </c>
      <c r="L65" s="716">
        <f t="shared" si="22"/>
        <v>0</v>
      </c>
      <c r="M65" s="716">
        <f t="shared" si="22"/>
        <v>350662</v>
      </c>
      <c r="N65" s="716">
        <f t="shared" si="22"/>
        <v>0</v>
      </c>
      <c r="O65" s="715">
        <f t="shared" si="22"/>
        <v>0</v>
      </c>
      <c r="P65" s="716">
        <f t="shared" si="22"/>
        <v>0</v>
      </c>
      <c r="Q65" s="716">
        <f t="shared" si="22"/>
        <v>0</v>
      </c>
      <c r="R65" s="716">
        <f t="shared" si="22"/>
        <v>0</v>
      </c>
      <c r="S65" s="716">
        <f t="shared" si="22"/>
        <v>0</v>
      </c>
      <c r="T65" s="716">
        <f t="shared" si="22"/>
        <v>0</v>
      </c>
      <c r="U65" s="716">
        <f t="shared" si="22"/>
        <v>0</v>
      </c>
      <c r="V65" s="716">
        <f t="shared" si="22"/>
        <v>26204832</v>
      </c>
      <c r="W65" s="716">
        <f t="shared" si="22"/>
        <v>74322612</v>
      </c>
      <c r="X65" s="716">
        <f t="shared" si="22"/>
        <v>0</v>
      </c>
      <c r="Y65" s="716">
        <f t="shared" si="22"/>
        <v>0</v>
      </c>
      <c r="AB65" s="707"/>
    </row>
    <row r="66" spans="1:28" s="46" customFormat="1" ht="15.75" customHeight="1">
      <c r="A66" s="864"/>
      <c r="B66" s="714" t="s">
        <v>266</v>
      </c>
      <c r="C66" s="715"/>
      <c r="D66" s="718"/>
      <c r="E66" s="788"/>
      <c r="F66" s="718"/>
      <c r="G66" s="788"/>
      <c r="H66" s="718"/>
      <c r="I66" s="718"/>
      <c r="J66" s="718"/>
      <c r="K66" s="718"/>
      <c r="L66" s="718"/>
      <c r="M66" s="718"/>
      <c r="N66" s="718"/>
      <c r="O66" s="715"/>
      <c r="P66" s="718"/>
      <c r="Q66" s="718"/>
      <c r="R66" s="718"/>
      <c r="S66" s="718"/>
      <c r="T66" s="718"/>
      <c r="U66" s="718"/>
      <c r="V66" s="718"/>
      <c r="W66" s="718"/>
      <c r="X66" s="718"/>
      <c r="Y66" s="718"/>
      <c r="AB66" s="707"/>
    </row>
    <row r="67" spans="1:28" s="46" customFormat="1" ht="15.75" customHeight="1">
      <c r="A67" s="703">
        <f>A65+10</f>
        <v>510</v>
      </c>
      <c r="B67" s="704" t="s">
        <v>246</v>
      </c>
      <c r="C67" s="705">
        <f t="shared" si="21"/>
        <v>598592536</v>
      </c>
      <c r="D67" s="706">
        <v>598592536</v>
      </c>
      <c r="E67" s="785">
        <v>0.23896245874796804</v>
      </c>
      <c r="F67" s="261"/>
      <c r="G67" s="785"/>
      <c r="H67" s="706">
        <v>596248680</v>
      </c>
      <c r="I67" s="706">
        <v>2343856</v>
      </c>
      <c r="J67" s="706">
        <v>83036</v>
      </c>
      <c r="K67" s="706">
        <v>0</v>
      </c>
      <c r="L67" s="706">
        <v>0</v>
      </c>
      <c r="M67" s="706">
        <v>3652386</v>
      </c>
      <c r="N67" s="706">
        <v>0</v>
      </c>
      <c r="O67" s="705">
        <f t="shared" ref="O67:O77" si="23">+P67+Q67</f>
        <v>172885346</v>
      </c>
      <c r="P67" s="706">
        <v>172381016</v>
      </c>
      <c r="Q67" s="706">
        <v>504330</v>
      </c>
      <c r="R67" s="706">
        <v>0</v>
      </c>
      <c r="S67" s="706">
        <v>0</v>
      </c>
      <c r="T67" s="706">
        <v>0</v>
      </c>
      <c r="U67" s="706">
        <v>0</v>
      </c>
      <c r="V67" s="706">
        <v>407688089</v>
      </c>
      <c r="W67" s="706">
        <v>14247185</v>
      </c>
      <c r="X67" s="706">
        <v>0</v>
      </c>
      <c r="Y67" s="706">
        <v>36494</v>
      </c>
      <c r="AB67" s="707"/>
    </row>
    <row r="68" spans="1:28" s="46" customFormat="1" ht="15.75" customHeight="1">
      <c r="A68" s="703">
        <f t="shared" si="2"/>
        <v>520</v>
      </c>
      <c r="B68" s="704" t="s">
        <v>247</v>
      </c>
      <c r="C68" s="705">
        <f t="shared" si="21"/>
        <v>5666000</v>
      </c>
      <c r="D68" s="706">
        <v>5666000</v>
      </c>
      <c r="E68" s="786">
        <v>0.11420225819206556</v>
      </c>
      <c r="F68" s="706"/>
      <c r="G68" s="786"/>
      <c r="H68" s="706">
        <v>5666000</v>
      </c>
      <c r="I68" s="706"/>
      <c r="J68" s="706">
        <v>0</v>
      </c>
      <c r="K68" s="711">
        <v>0</v>
      </c>
      <c r="L68" s="706">
        <v>0</v>
      </c>
      <c r="M68" s="706">
        <v>6240</v>
      </c>
      <c r="N68" s="706">
        <v>0</v>
      </c>
      <c r="O68" s="705">
        <f t="shared" si="23"/>
        <v>0</v>
      </c>
      <c r="P68" s="706">
        <v>0</v>
      </c>
      <c r="Q68" s="706">
        <v>0</v>
      </c>
      <c r="R68" s="706">
        <v>0</v>
      </c>
      <c r="S68" s="706">
        <v>0</v>
      </c>
      <c r="T68" s="706">
        <v>0</v>
      </c>
      <c r="U68" s="706">
        <v>0</v>
      </c>
      <c r="V68" s="706">
        <v>0</v>
      </c>
      <c r="W68" s="706">
        <v>0</v>
      </c>
      <c r="X68" s="706">
        <v>0</v>
      </c>
      <c r="Y68" s="706">
        <v>5659760</v>
      </c>
      <c r="AB68" s="707"/>
    </row>
    <row r="69" spans="1:28" s="46" customFormat="1" ht="15.75" customHeight="1">
      <c r="A69" s="709">
        <f t="shared" si="2"/>
        <v>530</v>
      </c>
      <c r="B69" s="710" t="s">
        <v>248</v>
      </c>
      <c r="C69" s="705">
        <f t="shared" si="21"/>
        <v>0</v>
      </c>
      <c r="D69" s="706"/>
      <c r="E69" s="786"/>
      <c r="F69" s="706"/>
      <c r="G69" s="786"/>
      <c r="H69" s="706"/>
      <c r="I69" s="711"/>
      <c r="J69" s="706">
        <v>0</v>
      </c>
      <c r="K69" s="706">
        <v>0</v>
      </c>
      <c r="L69" s="706">
        <v>0</v>
      </c>
      <c r="M69" s="706">
        <v>0</v>
      </c>
      <c r="N69" s="706">
        <v>0</v>
      </c>
      <c r="O69" s="705">
        <f t="shared" si="23"/>
        <v>0</v>
      </c>
      <c r="P69" s="706">
        <v>0</v>
      </c>
      <c r="Q69" s="706">
        <v>0</v>
      </c>
      <c r="R69" s="706">
        <v>0</v>
      </c>
      <c r="S69" s="706">
        <v>0</v>
      </c>
      <c r="T69" s="706">
        <v>0</v>
      </c>
      <c r="U69" s="706">
        <v>0</v>
      </c>
      <c r="V69" s="706">
        <v>0</v>
      </c>
      <c r="W69" s="706">
        <v>0</v>
      </c>
      <c r="X69" s="706">
        <v>0</v>
      </c>
      <c r="Y69" s="706">
        <v>0</v>
      </c>
      <c r="AB69" s="707"/>
    </row>
    <row r="70" spans="1:28" s="46" customFormat="1" ht="15.75" customHeight="1">
      <c r="A70" s="709">
        <f t="shared" si="2"/>
        <v>540</v>
      </c>
      <c r="B70" s="710" t="s">
        <v>249</v>
      </c>
      <c r="C70" s="705">
        <f t="shared" si="21"/>
        <v>10504833</v>
      </c>
      <c r="D70" s="706">
        <v>5875121</v>
      </c>
      <c r="E70" s="786">
        <v>0.18644922433551675</v>
      </c>
      <c r="F70" s="706">
        <v>4629712</v>
      </c>
      <c r="G70" s="786">
        <v>9.0000000000000024E-2</v>
      </c>
      <c r="H70" s="706">
        <v>10437763</v>
      </c>
      <c r="I70" s="706">
        <v>67070</v>
      </c>
      <c r="J70" s="706">
        <v>0</v>
      </c>
      <c r="K70" s="706">
        <v>0</v>
      </c>
      <c r="L70" s="706">
        <v>0</v>
      </c>
      <c r="M70" s="706">
        <v>2262940</v>
      </c>
      <c r="N70" s="706">
        <v>0</v>
      </c>
      <c r="O70" s="705">
        <f t="shared" si="23"/>
        <v>4882483</v>
      </c>
      <c r="P70" s="706">
        <v>0</v>
      </c>
      <c r="Q70" s="706">
        <v>4882483</v>
      </c>
      <c r="R70" s="706">
        <v>29188</v>
      </c>
      <c r="S70" s="706">
        <v>0</v>
      </c>
      <c r="T70" s="706">
        <v>0</v>
      </c>
      <c r="U70" s="706">
        <v>0</v>
      </c>
      <c r="V70" s="706">
        <v>1080700</v>
      </c>
      <c r="W70" s="706">
        <v>777532</v>
      </c>
      <c r="X70" s="706">
        <v>0</v>
      </c>
      <c r="Y70" s="706">
        <v>1471990</v>
      </c>
      <c r="AB70" s="707"/>
    </row>
    <row r="71" spans="1:28" s="46" customFormat="1" ht="15.75" customHeight="1">
      <c r="A71" s="709">
        <f t="shared" si="2"/>
        <v>550</v>
      </c>
      <c r="B71" s="710" t="s">
        <v>267</v>
      </c>
      <c r="C71" s="705">
        <f t="shared" si="21"/>
        <v>0</v>
      </c>
      <c r="D71" s="706"/>
      <c r="E71" s="786"/>
      <c r="F71" s="706"/>
      <c r="G71" s="786"/>
      <c r="H71" s="706"/>
      <c r="I71" s="706"/>
      <c r="J71" s="706">
        <v>0</v>
      </c>
      <c r="K71" s="706">
        <v>0</v>
      </c>
      <c r="L71" s="706">
        <v>0</v>
      </c>
      <c r="M71" s="706">
        <v>0</v>
      </c>
      <c r="N71" s="706">
        <v>0</v>
      </c>
      <c r="O71" s="705">
        <f t="shared" si="23"/>
        <v>0</v>
      </c>
      <c r="P71" s="706">
        <v>0</v>
      </c>
      <c r="Q71" s="706">
        <v>0</v>
      </c>
      <c r="R71" s="706">
        <v>0</v>
      </c>
      <c r="S71" s="706">
        <v>0</v>
      </c>
      <c r="T71" s="706">
        <v>0</v>
      </c>
      <c r="U71" s="706">
        <v>0</v>
      </c>
      <c r="V71" s="706">
        <v>0</v>
      </c>
      <c r="W71" s="706">
        <v>0</v>
      </c>
      <c r="X71" s="706">
        <v>0</v>
      </c>
      <c r="Y71" s="706">
        <v>0</v>
      </c>
      <c r="AB71" s="707"/>
    </row>
    <row r="72" spans="1:28" s="46" customFormat="1" ht="15.75" customHeight="1">
      <c r="A72" s="709">
        <f t="shared" si="2"/>
        <v>560</v>
      </c>
      <c r="B72" s="710" t="s">
        <v>268</v>
      </c>
      <c r="C72" s="705">
        <f t="shared" si="21"/>
        <v>0</v>
      </c>
      <c r="D72" s="706"/>
      <c r="E72" s="786"/>
      <c r="F72" s="706"/>
      <c r="G72" s="786"/>
      <c r="H72" s="706"/>
      <c r="I72" s="706"/>
      <c r="J72" s="706">
        <v>0</v>
      </c>
      <c r="K72" s="706">
        <v>0</v>
      </c>
      <c r="L72" s="706">
        <v>0</v>
      </c>
      <c r="M72" s="706">
        <v>0</v>
      </c>
      <c r="N72" s="706">
        <v>0</v>
      </c>
      <c r="O72" s="705">
        <f t="shared" si="23"/>
        <v>0</v>
      </c>
      <c r="P72" s="706">
        <v>0</v>
      </c>
      <c r="Q72" s="706">
        <v>0</v>
      </c>
      <c r="R72" s="706">
        <v>0</v>
      </c>
      <c r="S72" s="706">
        <v>0</v>
      </c>
      <c r="T72" s="706">
        <v>0</v>
      </c>
      <c r="U72" s="706">
        <v>0</v>
      </c>
      <c r="V72" s="706">
        <v>0</v>
      </c>
      <c r="W72" s="706">
        <v>0</v>
      </c>
      <c r="X72" s="706">
        <v>0</v>
      </c>
      <c r="Y72" s="706">
        <v>0</v>
      </c>
      <c r="AB72" s="707"/>
    </row>
    <row r="73" spans="1:28" s="46" customFormat="1" ht="15.75" customHeight="1">
      <c r="A73" s="709">
        <f t="shared" si="2"/>
        <v>570</v>
      </c>
      <c r="B73" s="710" t="s">
        <v>250</v>
      </c>
      <c r="C73" s="705">
        <f t="shared" si="21"/>
        <v>0</v>
      </c>
      <c r="D73" s="706"/>
      <c r="E73" s="785"/>
      <c r="F73" s="261"/>
      <c r="G73" s="785"/>
      <c r="H73" s="706"/>
      <c r="I73" s="706"/>
      <c r="J73" s="706">
        <v>0</v>
      </c>
      <c r="K73" s="711">
        <v>0</v>
      </c>
      <c r="L73" s="706">
        <v>0</v>
      </c>
      <c r="M73" s="706">
        <v>0</v>
      </c>
      <c r="N73" s="706">
        <v>0</v>
      </c>
      <c r="O73" s="705">
        <f t="shared" si="23"/>
        <v>0</v>
      </c>
      <c r="P73" s="706">
        <v>0</v>
      </c>
      <c r="Q73" s="706">
        <v>0</v>
      </c>
      <c r="R73" s="706">
        <v>0</v>
      </c>
      <c r="S73" s="706">
        <v>0</v>
      </c>
      <c r="T73" s="706">
        <v>0</v>
      </c>
      <c r="U73" s="706">
        <v>0</v>
      </c>
      <c r="V73" s="706">
        <v>0</v>
      </c>
      <c r="W73" s="706">
        <v>0</v>
      </c>
      <c r="X73" s="706">
        <v>0</v>
      </c>
      <c r="Y73" s="706">
        <v>0</v>
      </c>
      <c r="AB73" s="707"/>
    </row>
    <row r="74" spans="1:28" s="46" customFormat="1" ht="15.75" customHeight="1">
      <c r="A74" s="709">
        <f t="shared" si="2"/>
        <v>580</v>
      </c>
      <c r="B74" s="710" t="s">
        <v>269</v>
      </c>
      <c r="C74" s="705">
        <f t="shared" si="21"/>
        <v>0</v>
      </c>
      <c r="D74" s="706"/>
      <c r="E74" s="786"/>
      <c r="F74" s="706"/>
      <c r="G74" s="786"/>
      <c r="H74" s="706"/>
      <c r="I74" s="711"/>
      <c r="J74" s="706">
        <v>0</v>
      </c>
      <c r="K74" s="706">
        <v>0</v>
      </c>
      <c r="L74" s="706">
        <v>0</v>
      </c>
      <c r="M74" s="706">
        <v>0</v>
      </c>
      <c r="N74" s="706">
        <v>0</v>
      </c>
      <c r="O74" s="705">
        <f t="shared" si="23"/>
        <v>0</v>
      </c>
      <c r="P74" s="706">
        <v>0</v>
      </c>
      <c r="Q74" s="706">
        <v>0</v>
      </c>
      <c r="R74" s="706">
        <v>0</v>
      </c>
      <c r="S74" s="706">
        <v>0</v>
      </c>
      <c r="T74" s="706">
        <v>0</v>
      </c>
      <c r="U74" s="706">
        <v>0</v>
      </c>
      <c r="V74" s="706">
        <v>0</v>
      </c>
      <c r="W74" s="706">
        <v>0</v>
      </c>
      <c r="X74" s="706">
        <v>0</v>
      </c>
      <c r="Y74" s="706">
        <v>0</v>
      </c>
      <c r="AB74" s="707"/>
    </row>
    <row r="75" spans="1:28" s="46" customFormat="1" ht="15.75" customHeight="1">
      <c r="A75" s="709">
        <f t="shared" ref="A75:A92" si="24">A74+10</f>
        <v>590</v>
      </c>
      <c r="B75" s="710" t="s">
        <v>270</v>
      </c>
      <c r="C75" s="705">
        <f t="shared" si="21"/>
        <v>959091</v>
      </c>
      <c r="D75" s="706">
        <v>959091</v>
      </c>
      <c r="E75" s="786">
        <v>0.18257882670554781</v>
      </c>
      <c r="F75" s="706"/>
      <c r="G75" s="786"/>
      <c r="H75" s="706">
        <v>489946</v>
      </c>
      <c r="I75" s="706">
        <v>469145</v>
      </c>
      <c r="J75" s="706">
        <v>0</v>
      </c>
      <c r="K75" s="711">
        <v>0</v>
      </c>
      <c r="L75" s="706">
        <v>0</v>
      </c>
      <c r="M75" s="706">
        <v>10569</v>
      </c>
      <c r="N75" s="706">
        <v>0</v>
      </c>
      <c r="O75" s="705">
        <f t="shared" si="23"/>
        <v>754682</v>
      </c>
      <c r="P75" s="706">
        <v>0</v>
      </c>
      <c r="Q75" s="706">
        <v>754682</v>
      </c>
      <c r="R75" s="706">
        <v>0</v>
      </c>
      <c r="S75" s="706">
        <v>0</v>
      </c>
      <c r="T75" s="706">
        <v>0</v>
      </c>
      <c r="U75" s="706">
        <v>0</v>
      </c>
      <c r="V75" s="706">
        <v>88365</v>
      </c>
      <c r="W75" s="706">
        <v>97014</v>
      </c>
      <c r="X75" s="706">
        <v>0</v>
      </c>
      <c r="Y75" s="706">
        <v>8461</v>
      </c>
      <c r="AB75" s="707"/>
    </row>
    <row r="76" spans="1:28" s="46" customFormat="1" ht="15.75" customHeight="1">
      <c r="A76" s="709">
        <f t="shared" si="24"/>
        <v>600</v>
      </c>
      <c r="B76" s="710" t="s">
        <v>271</v>
      </c>
      <c r="C76" s="705">
        <f t="shared" si="21"/>
        <v>0</v>
      </c>
      <c r="D76" s="706"/>
      <c r="E76" s="786"/>
      <c r="F76" s="706"/>
      <c r="G76" s="786"/>
      <c r="H76" s="706"/>
      <c r="I76" s="706"/>
      <c r="J76" s="706"/>
      <c r="K76" s="706"/>
      <c r="L76" s="706"/>
      <c r="M76" s="706"/>
      <c r="N76" s="706"/>
      <c r="O76" s="705">
        <f t="shared" si="23"/>
        <v>0</v>
      </c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AB76" s="707"/>
    </row>
    <row r="77" spans="1:28" s="46" customFormat="1" ht="15.75" customHeight="1">
      <c r="A77" s="709">
        <f>A76+10</f>
        <v>610</v>
      </c>
      <c r="B77" s="710" t="s">
        <v>251</v>
      </c>
      <c r="C77" s="705">
        <f t="shared" si="21"/>
        <v>0</v>
      </c>
      <c r="D77" s="706"/>
      <c r="E77" s="786"/>
      <c r="F77" s="706"/>
      <c r="G77" s="786"/>
      <c r="H77" s="706"/>
      <c r="I77" s="706"/>
      <c r="J77" s="706"/>
      <c r="K77" s="711"/>
      <c r="L77" s="706"/>
      <c r="M77" s="706"/>
      <c r="N77" s="706"/>
      <c r="O77" s="705">
        <f t="shared" si="23"/>
        <v>0</v>
      </c>
      <c r="P77" s="706"/>
      <c r="Q77" s="706"/>
      <c r="R77" s="706"/>
      <c r="S77" s="706"/>
      <c r="T77" s="706"/>
      <c r="U77" s="706"/>
      <c r="V77" s="706"/>
      <c r="W77" s="706"/>
      <c r="X77" s="706"/>
      <c r="Y77" s="706"/>
      <c r="AB77" s="707"/>
    </row>
    <row r="78" spans="1:28" s="46" customFormat="1" ht="15.75" customHeight="1">
      <c r="A78" s="864">
        <f>A77+10</f>
        <v>620</v>
      </c>
      <c r="B78" s="714" t="s">
        <v>272</v>
      </c>
      <c r="C78" s="715">
        <f t="shared" si="21"/>
        <v>615722460</v>
      </c>
      <c r="D78" s="716">
        <f>SUM(D67:D77)</f>
        <v>611092748</v>
      </c>
      <c r="E78" s="787">
        <f>IFERROR(((D67*E67)/D78)+((D68*E68)/D78)+((D69*E69)/D78)+((D70*E70)/D78)+((D71*E71)/D78)+((D72*E72)/D78)+((D73*E73)/D78)+((D74*E74)/D78)+((D75*E75)/D78)+((D76*E76)/D78)+((D77*E77)/D78),0)</f>
        <v>0.23721233171706527</v>
      </c>
      <c r="F78" s="716">
        <f>SUM(F67:F77)</f>
        <v>4629712</v>
      </c>
      <c r="G78" s="787">
        <f>IFERROR(((F67*G67)/F78)+((F68*G68)/F78)+((F69*G69)/F78)+((F70*G70)/F78)+((F71*G71)/F78)+((F72*G72)/F78)+((F73*G73)/F78)+((F74*G74)/F78)+((F75*G75)/F78)+((F76*G76)/F78)+((F77*G77)/F78),0)</f>
        <v>9.0000000000000024E-2</v>
      </c>
      <c r="H78" s="716">
        <f t="shared" ref="H78:Y78" si="25">SUM(H67:H77)</f>
        <v>612842389</v>
      </c>
      <c r="I78" s="716">
        <f t="shared" si="25"/>
        <v>2880071</v>
      </c>
      <c r="J78" s="716">
        <f t="shared" si="25"/>
        <v>83036</v>
      </c>
      <c r="K78" s="716">
        <f t="shared" si="25"/>
        <v>0</v>
      </c>
      <c r="L78" s="716">
        <f t="shared" si="25"/>
        <v>0</v>
      </c>
      <c r="M78" s="716">
        <f t="shared" si="25"/>
        <v>5932135</v>
      </c>
      <c r="N78" s="716">
        <f t="shared" si="25"/>
        <v>0</v>
      </c>
      <c r="O78" s="715">
        <f t="shared" si="25"/>
        <v>178522511</v>
      </c>
      <c r="P78" s="716">
        <f t="shared" si="25"/>
        <v>172381016</v>
      </c>
      <c r="Q78" s="716">
        <f t="shared" si="25"/>
        <v>6141495</v>
      </c>
      <c r="R78" s="716">
        <f t="shared" si="25"/>
        <v>29188</v>
      </c>
      <c r="S78" s="716">
        <f t="shared" si="25"/>
        <v>0</v>
      </c>
      <c r="T78" s="716">
        <f t="shared" si="25"/>
        <v>0</v>
      </c>
      <c r="U78" s="716">
        <f t="shared" si="25"/>
        <v>0</v>
      </c>
      <c r="V78" s="716">
        <f t="shared" si="25"/>
        <v>408857154</v>
      </c>
      <c r="W78" s="716">
        <f t="shared" si="25"/>
        <v>15121731</v>
      </c>
      <c r="X78" s="716">
        <f t="shared" si="25"/>
        <v>0</v>
      </c>
      <c r="Y78" s="716">
        <f t="shared" si="25"/>
        <v>7176705</v>
      </c>
      <c r="AB78" s="707"/>
    </row>
    <row r="79" spans="1:28" s="46" customFormat="1" ht="15.75" customHeight="1">
      <c r="A79" s="864"/>
      <c r="B79" s="714" t="s">
        <v>273</v>
      </c>
      <c r="C79" s="715"/>
      <c r="D79" s="715"/>
      <c r="E79" s="789"/>
      <c r="F79" s="715"/>
      <c r="G79" s="787"/>
      <c r="H79" s="716"/>
      <c r="I79" s="716"/>
      <c r="J79" s="716"/>
      <c r="K79" s="716"/>
      <c r="L79" s="716"/>
      <c r="M79" s="716"/>
      <c r="N79" s="716"/>
      <c r="O79" s="715"/>
      <c r="P79" s="716"/>
      <c r="Q79" s="716"/>
      <c r="R79" s="716"/>
      <c r="S79" s="716"/>
      <c r="T79" s="716"/>
      <c r="U79" s="716"/>
      <c r="V79" s="716"/>
      <c r="W79" s="716"/>
      <c r="X79" s="716"/>
      <c r="Y79" s="716"/>
      <c r="AB79" s="707"/>
    </row>
    <row r="80" spans="1:28" s="46" customFormat="1" ht="15.75" customHeight="1">
      <c r="A80" s="703">
        <f>A78+10</f>
        <v>630</v>
      </c>
      <c r="B80" s="704" t="s">
        <v>246</v>
      </c>
      <c r="C80" s="705">
        <f t="shared" ref="C80:C92" si="26">SUM(J80:Y80)-L80-P80-Q80</f>
        <v>1460223224</v>
      </c>
      <c r="D80" s="705">
        <f>D9+D17+D26+D34+D42+D50+D58+D67</f>
        <v>1460223224</v>
      </c>
      <c r="E80" s="790">
        <f>IFERROR(((D9*E9)/D80)+((D17*E17)/D80)+((D26*E26)/D80)+((D34*E34)/D80)+((D42*E42)/D80)+((D50*E50)/D80)+((D58*E58)/D80)+((D67*E67)/D80),0)</f>
        <v>0.16711096210337995</v>
      </c>
      <c r="F80" s="705">
        <f>F9+F17+F26+F34+F42+F50+F58+F67</f>
        <v>0</v>
      </c>
      <c r="G80" s="790">
        <f>IFERROR(((F9*G9)/F80)+((F17*G17)/F80)+((F26*G26)/F80)+((F34*G34)/F80)+((F42*G42)/F80)+((F50*G50)/F80)+((F58*G58)/F80)+((F67*G67)/F80),0)</f>
        <v>0</v>
      </c>
      <c r="H80" s="705">
        <f t="shared" ref="H80:Y80" si="27">H9+H17+H26+H34+H42+H50+H58+H67</f>
        <v>1457879368</v>
      </c>
      <c r="I80" s="705">
        <f t="shared" si="27"/>
        <v>2343856</v>
      </c>
      <c r="J80" s="705">
        <f t="shared" si="27"/>
        <v>83036</v>
      </c>
      <c r="K80" s="705">
        <f t="shared" si="27"/>
        <v>0</v>
      </c>
      <c r="L80" s="705">
        <f t="shared" si="27"/>
        <v>0</v>
      </c>
      <c r="M80" s="705">
        <f t="shared" si="27"/>
        <v>171687911</v>
      </c>
      <c r="N80" s="705">
        <f t="shared" si="27"/>
        <v>0</v>
      </c>
      <c r="O80" s="705">
        <f t="shared" si="27"/>
        <v>173373724</v>
      </c>
      <c r="P80" s="705">
        <f t="shared" si="27"/>
        <v>172381016</v>
      </c>
      <c r="Q80" s="705">
        <f t="shared" si="27"/>
        <v>992708</v>
      </c>
      <c r="R80" s="705">
        <f t="shared" si="27"/>
        <v>0</v>
      </c>
      <c r="S80" s="705">
        <f t="shared" si="27"/>
        <v>0</v>
      </c>
      <c r="T80" s="705">
        <f t="shared" si="27"/>
        <v>0</v>
      </c>
      <c r="U80" s="705">
        <f t="shared" si="27"/>
        <v>0</v>
      </c>
      <c r="V80" s="705">
        <f t="shared" si="27"/>
        <v>567843147</v>
      </c>
      <c r="W80" s="705">
        <f t="shared" si="27"/>
        <v>547121870</v>
      </c>
      <c r="X80" s="705">
        <f t="shared" si="27"/>
        <v>0</v>
      </c>
      <c r="Y80" s="705">
        <f t="shared" si="27"/>
        <v>113536</v>
      </c>
      <c r="AB80" s="707"/>
    </row>
    <row r="81" spans="1:28" s="46" customFormat="1" ht="15.75" customHeight="1">
      <c r="A81" s="703">
        <f t="shared" si="24"/>
        <v>640</v>
      </c>
      <c r="B81" s="704" t="s">
        <v>247</v>
      </c>
      <c r="C81" s="705">
        <f t="shared" si="26"/>
        <v>109470648</v>
      </c>
      <c r="D81" s="705">
        <f>D10+D18+D27+D35+D43+D51+D59+D68</f>
        <v>109470648</v>
      </c>
      <c r="E81" s="790">
        <f>IFERROR(((D10*E10)/D81)+((D18*E18)/D81)+((D27*E27)/D81)+((D35*E35)/D81)+((D43*E43)/D81)+((D51*E51)/D81)+((D59*E59)/D81)+((D68*E68)/D81),0)</f>
        <v>9.7195166945534581E-2</v>
      </c>
      <c r="F81" s="705">
        <f>F10+F18+F27+F35+F43+F51+F59+F68</f>
        <v>0</v>
      </c>
      <c r="G81" s="790">
        <f>IFERROR(((F10*G10)/F81)+((F18*G18)/F81)+((F27*G27)/F81)+((F35*G35)/F81)+((F43*G43)/F81)+((F51*G51)/F81)+((F59*G59)/F81)+((F68*G68)/F81),0)</f>
        <v>0</v>
      </c>
      <c r="H81" s="705">
        <f t="shared" ref="H81:Y81" si="28">H10+H18+H27+H35+H43+H51+H59+H68</f>
        <v>108244513</v>
      </c>
      <c r="I81" s="705">
        <f t="shared" si="28"/>
        <v>1226135</v>
      </c>
      <c r="J81" s="705">
        <f t="shared" si="28"/>
        <v>0</v>
      </c>
      <c r="K81" s="705">
        <f t="shared" si="28"/>
        <v>0</v>
      </c>
      <c r="L81" s="705">
        <f t="shared" si="28"/>
        <v>0</v>
      </c>
      <c r="M81" s="705">
        <f t="shared" si="28"/>
        <v>794043</v>
      </c>
      <c r="N81" s="705">
        <f t="shared" si="28"/>
        <v>0</v>
      </c>
      <c r="O81" s="705">
        <f t="shared" si="28"/>
        <v>13741946</v>
      </c>
      <c r="P81" s="705">
        <f t="shared" si="28"/>
        <v>0</v>
      </c>
      <c r="Q81" s="705">
        <f t="shared" si="28"/>
        <v>13741946</v>
      </c>
      <c r="R81" s="705">
        <f t="shared" si="28"/>
        <v>9900000</v>
      </c>
      <c r="S81" s="705">
        <f t="shared" si="28"/>
        <v>0</v>
      </c>
      <c r="T81" s="705">
        <f t="shared" si="28"/>
        <v>0</v>
      </c>
      <c r="U81" s="705">
        <f t="shared" si="28"/>
        <v>0</v>
      </c>
      <c r="V81" s="705">
        <f t="shared" si="28"/>
        <v>71594876</v>
      </c>
      <c r="W81" s="705">
        <f t="shared" si="28"/>
        <v>7780023</v>
      </c>
      <c r="X81" s="705">
        <f t="shared" si="28"/>
        <v>0</v>
      </c>
      <c r="Y81" s="705">
        <f t="shared" si="28"/>
        <v>5659760</v>
      </c>
      <c r="AB81" s="707"/>
    </row>
    <row r="82" spans="1:28" s="46" customFormat="1" ht="15.75" customHeight="1">
      <c r="A82" s="709">
        <f t="shared" si="24"/>
        <v>650</v>
      </c>
      <c r="B82" s="710" t="s">
        <v>248</v>
      </c>
      <c r="C82" s="705">
        <f t="shared" si="26"/>
        <v>155757941</v>
      </c>
      <c r="D82" s="705">
        <f>D11+D19+D28+D36+D44+D52+D60+D69</f>
        <v>73873183</v>
      </c>
      <c r="E82" s="790">
        <f>IFERROR(((D11*E11)/D82)+((D19*E19)/D82)+((D28*E28)/D82)+((D36*E36)/D82)+((D44*E44)/D82)+((D52*E52)/D82)+((D60*E60)/D82)+((D69*E69)/D82),0)</f>
        <v>0.2118504845511556</v>
      </c>
      <c r="F82" s="705">
        <f>F11+F19+F28+F36+F44+F52+F60+F69</f>
        <v>81884758</v>
      </c>
      <c r="G82" s="790">
        <f>IFERROR(((F11*G11)/F82)+((F19*G19)/F82)+((F28*G28)/F82)+((F36*G36)/F82)+((F44*G44)/F82)+((F52*G52)/F82)+((F60*G60)/F82)+((F69*G69)/F82),0)</f>
        <v>0.10230954060762794</v>
      </c>
      <c r="H82" s="705">
        <f t="shared" ref="H82:Y82" si="29">H11+H19+H28+H36+H44+H52+H60+H69</f>
        <v>155757941</v>
      </c>
      <c r="I82" s="705">
        <f t="shared" si="29"/>
        <v>0</v>
      </c>
      <c r="J82" s="705">
        <f t="shared" si="29"/>
        <v>0</v>
      </c>
      <c r="K82" s="705">
        <f t="shared" si="29"/>
        <v>0</v>
      </c>
      <c r="L82" s="705">
        <f t="shared" si="29"/>
        <v>0</v>
      </c>
      <c r="M82" s="705">
        <f t="shared" si="29"/>
        <v>443463</v>
      </c>
      <c r="N82" s="705">
        <f t="shared" si="29"/>
        <v>0</v>
      </c>
      <c r="O82" s="705">
        <f t="shared" si="29"/>
        <v>125470655</v>
      </c>
      <c r="P82" s="705">
        <f t="shared" si="29"/>
        <v>0</v>
      </c>
      <c r="Q82" s="705">
        <f t="shared" si="29"/>
        <v>125470655</v>
      </c>
      <c r="R82" s="705">
        <f t="shared" si="29"/>
        <v>0</v>
      </c>
      <c r="S82" s="705">
        <f t="shared" si="29"/>
        <v>0</v>
      </c>
      <c r="T82" s="705">
        <f t="shared" si="29"/>
        <v>0</v>
      </c>
      <c r="U82" s="705">
        <f t="shared" si="29"/>
        <v>0</v>
      </c>
      <c r="V82" s="705">
        <f t="shared" si="29"/>
        <v>0</v>
      </c>
      <c r="W82" s="705">
        <f t="shared" si="29"/>
        <v>29606493</v>
      </c>
      <c r="X82" s="705">
        <f t="shared" si="29"/>
        <v>0</v>
      </c>
      <c r="Y82" s="705">
        <f t="shared" si="29"/>
        <v>237330</v>
      </c>
      <c r="AB82" s="707"/>
    </row>
    <row r="83" spans="1:28" s="46" customFormat="1" ht="15.75" customHeight="1">
      <c r="A83" s="709">
        <f t="shared" si="24"/>
        <v>660</v>
      </c>
      <c r="B83" s="710" t="s">
        <v>249</v>
      </c>
      <c r="C83" s="705">
        <f t="shared" si="26"/>
        <v>2944971984</v>
      </c>
      <c r="D83" s="705">
        <f>D12+D20+D29+D37+D45+D53+D61+D70</f>
        <v>1467272468</v>
      </c>
      <c r="E83" s="790">
        <f>IFERROR(((D12*E12)/D83)+((D20*E20)/D83)+((D29*E29)/D83)+((D37*E37)/D83)+((D45*E45)/D83)+((D53*E53)/D83)+((D61*E61)/D83)+((D70*E70)/D83),0)</f>
        <v>0.17172313492893282</v>
      </c>
      <c r="F83" s="705">
        <f>F12+F20+F29+F37+F45+F53+F61+F70</f>
        <v>1477699516</v>
      </c>
      <c r="G83" s="790">
        <f>IFERROR(((F12*G12)/F83)+((F20*G20)/F83)+((F29*G29)/F83)+((F37*G37)/F83)+((F45*G45)/F83)+((F53*G53)/F83)+((F61*G61)/F83)+((F70*G70)/F83),0)</f>
        <v>0.10180164590495108</v>
      </c>
      <c r="H83" s="705">
        <f t="shared" ref="H83:Y83" si="30">H12+H20+H29+H37+H45+H53+H61+H70</f>
        <v>2848247552</v>
      </c>
      <c r="I83" s="705">
        <f t="shared" si="30"/>
        <v>96724432</v>
      </c>
      <c r="J83" s="705">
        <f t="shared" si="30"/>
        <v>1876936</v>
      </c>
      <c r="K83" s="705">
        <f t="shared" si="30"/>
        <v>0</v>
      </c>
      <c r="L83" s="705">
        <f t="shared" si="30"/>
        <v>0</v>
      </c>
      <c r="M83" s="705">
        <f t="shared" si="30"/>
        <v>284902489</v>
      </c>
      <c r="N83" s="705">
        <f t="shared" si="30"/>
        <v>0</v>
      </c>
      <c r="O83" s="705">
        <f t="shared" si="30"/>
        <v>1703067102</v>
      </c>
      <c r="P83" s="705">
        <f t="shared" si="30"/>
        <v>0</v>
      </c>
      <c r="Q83" s="705">
        <f t="shared" si="30"/>
        <v>1703067102</v>
      </c>
      <c r="R83" s="705">
        <f t="shared" si="30"/>
        <v>11691820</v>
      </c>
      <c r="S83" s="705">
        <f t="shared" si="30"/>
        <v>0</v>
      </c>
      <c r="T83" s="705">
        <f t="shared" si="30"/>
        <v>0</v>
      </c>
      <c r="U83" s="705">
        <f t="shared" si="30"/>
        <v>0</v>
      </c>
      <c r="V83" s="705">
        <f t="shared" si="30"/>
        <v>101340928</v>
      </c>
      <c r="W83" s="705">
        <f t="shared" si="30"/>
        <v>839789677</v>
      </c>
      <c r="X83" s="705">
        <f t="shared" si="30"/>
        <v>0</v>
      </c>
      <c r="Y83" s="705">
        <f t="shared" si="30"/>
        <v>2303032</v>
      </c>
      <c r="AB83" s="707"/>
    </row>
    <row r="84" spans="1:28" s="46" customFormat="1" ht="15.75" customHeight="1">
      <c r="A84" s="709">
        <f t="shared" si="24"/>
        <v>670</v>
      </c>
      <c r="B84" s="710" t="s">
        <v>254</v>
      </c>
      <c r="C84" s="705">
        <f t="shared" si="26"/>
        <v>60729562</v>
      </c>
      <c r="D84" s="705">
        <f>D21</f>
        <v>42011514</v>
      </c>
      <c r="E84" s="790">
        <f>IFERROR(E21,0)</f>
        <v>0.17209201762827003</v>
      </c>
      <c r="F84" s="705">
        <f>F21</f>
        <v>18718048</v>
      </c>
      <c r="G84" s="790">
        <f>IFERROR(G21,0)</f>
        <v>5.4379882916706909E-2</v>
      </c>
      <c r="H84" s="705">
        <f>H21</f>
        <v>59150502</v>
      </c>
      <c r="I84" s="705">
        <f>I21</f>
        <v>1579060</v>
      </c>
      <c r="J84" s="705">
        <f>J21</f>
        <v>322400</v>
      </c>
      <c r="K84" s="705">
        <f t="shared" ref="K84:X84" si="31">K21</f>
        <v>0</v>
      </c>
      <c r="L84" s="705">
        <f>L21</f>
        <v>0</v>
      </c>
      <c r="M84" s="705">
        <f t="shared" si="31"/>
        <v>15614270</v>
      </c>
      <c r="N84" s="705">
        <f t="shared" si="31"/>
        <v>0</v>
      </c>
      <c r="O84" s="705">
        <f t="shared" si="31"/>
        <v>43105805</v>
      </c>
      <c r="P84" s="705">
        <f>P21</f>
        <v>0</v>
      </c>
      <c r="Q84" s="705">
        <f>Q21</f>
        <v>43105805</v>
      </c>
      <c r="R84" s="705">
        <f t="shared" si="31"/>
        <v>40735</v>
      </c>
      <c r="S84" s="705">
        <f t="shared" si="31"/>
        <v>0</v>
      </c>
      <c r="T84" s="705">
        <f t="shared" si="31"/>
        <v>0</v>
      </c>
      <c r="U84" s="705">
        <f t="shared" si="31"/>
        <v>0</v>
      </c>
      <c r="V84" s="705">
        <f t="shared" si="31"/>
        <v>1053454</v>
      </c>
      <c r="W84" s="705">
        <f t="shared" si="31"/>
        <v>592898</v>
      </c>
      <c r="X84" s="705">
        <f t="shared" si="31"/>
        <v>0</v>
      </c>
      <c r="Y84" s="705">
        <f>Y21</f>
        <v>0</v>
      </c>
      <c r="AB84" s="707"/>
    </row>
    <row r="85" spans="1:28" s="46" customFormat="1" ht="15.75" customHeight="1">
      <c r="A85" s="709">
        <f t="shared" si="24"/>
        <v>680</v>
      </c>
      <c r="B85" s="710" t="s">
        <v>268</v>
      </c>
      <c r="C85" s="705">
        <f t="shared" si="26"/>
        <v>0</v>
      </c>
      <c r="D85" s="705">
        <f t="shared" ref="D85:J85" si="32">D72</f>
        <v>0</v>
      </c>
      <c r="E85" s="790">
        <f t="shared" si="32"/>
        <v>0</v>
      </c>
      <c r="F85" s="705">
        <f t="shared" si="32"/>
        <v>0</v>
      </c>
      <c r="G85" s="790">
        <f t="shared" si="32"/>
        <v>0</v>
      </c>
      <c r="H85" s="705">
        <f t="shared" si="32"/>
        <v>0</v>
      </c>
      <c r="I85" s="705">
        <f t="shared" si="32"/>
        <v>0</v>
      </c>
      <c r="J85" s="705">
        <f t="shared" si="32"/>
        <v>0</v>
      </c>
      <c r="K85" s="705">
        <f t="shared" ref="K85:X85" si="33">K72</f>
        <v>0</v>
      </c>
      <c r="L85" s="705">
        <f>L72</f>
        <v>0</v>
      </c>
      <c r="M85" s="705">
        <f t="shared" si="33"/>
        <v>0</v>
      </c>
      <c r="N85" s="705">
        <f t="shared" si="33"/>
        <v>0</v>
      </c>
      <c r="O85" s="705">
        <f t="shared" si="33"/>
        <v>0</v>
      </c>
      <c r="P85" s="705">
        <f>P72</f>
        <v>0</v>
      </c>
      <c r="Q85" s="705">
        <f>Q72</f>
        <v>0</v>
      </c>
      <c r="R85" s="705">
        <f t="shared" si="33"/>
        <v>0</v>
      </c>
      <c r="S85" s="705">
        <f t="shared" si="33"/>
        <v>0</v>
      </c>
      <c r="T85" s="705">
        <f t="shared" si="33"/>
        <v>0</v>
      </c>
      <c r="U85" s="705">
        <f t="shared" si="33"/>
        <v>0</v>
      </c>
      <c r="V85" s="705">
        <f t="shared" si="33"/>
        <v>0</v>
      </c>
      <c r="W85" s="705">
        <f t="shared" si="33"/>
        <v>0</v>
      </c>
      <c r="X85" s="705">
        <f t="shared" si="33"/>
        <v>0</v>
      </c>
      <c r="Y85" s="705">
        <f>Y72</f>
        <v>0</v>
      </c>
      <c r="AB85" s="707"/>
    </row>
    <row r="86" spans="1:28" s="46" customFormat="1" ht="15.75" customHeight="1">
      <c r="A86" s="709">
        <f t="shared" si="24"/>
        <v>690</v>
      </c>
      <c r="B86" s="710" t="s">
        <v>267</v>
      </c>
      <c r="C86" s="705">
        <f t="shared" si="26"/>
        <v>0</v>
      </c>
      <c r="D86" s="705">
        <f t="shared" ref="D86:J86" si="34">D71</f>
        <v>0</v>
      </c>
      <c r="E86" s="790">
        <f t="shared" si="34"/>
        <v>0</v>
      </c>
      <c r="F86" s="705">
        <f t="shared" si="34"/>
        <v>0</v>
      </c>
      <c r="G86" s="790">
        <f t="shared" si="34"/>
        <v>0</v>
      </c>
      <c r="H86" s="705">
        <f t="shared" si="34"/>
        <v>0</v>
      </c>
      <c r="I86" s="705">
        <f t="shared" si="34"/>
        <v>0</v>
      </c>
      <c r="J86" s="705">
        <f t="shared" si="34"/>
        <v>0</v>
      </c>
      <c r="K86" s="705">
        <f t="shared" ref="K86:Y86" si="35">K71</f>
        <v>0</v>
      </c>
      <c r="L86" s="705">
        <f>L71</f>
        <v>0</v>
      </c>
      <c r="M86" s="705">
        <f t="shared" si="35"/>
        <v>0</v>
      </c>
      <c r="N86" s="705">
        <f t="shared" si="35"/>
        <v>0</v>
      </c>
      <c r="O86" s="705">
        <f t="shared" si="35"/>
        <v>0</v>
      </c>
      <c r="P86" s="705">
        <f>P71</f>
        <v>0</v>
      </c>
      <c r="Q86" s="705">
        <f>Q71</f>
        <v>0</v>
      </c>
      <c r="R86" s="705">
        <f t="shared" si="35"/>
        <v>0</v>
      </c>
      <c r="S86" s="705">
        <f t="shared" si="35"/>
        <v>0</v>
      </c>
      <c r="T86" s="705">
        <f t="shared" si="35"/>
        <v>0</v>
      </c>
      <c r="U86" s="705">
        <f t="shared" si="35"/>
        <v>0</v>
      </c>
      <c r="V86" s="705">
        <f t="shared" si="35"/>
        <v>0</v>
      </c>
      <c r="W86" s="705">
        <f t="shared" si="35"/>
        <v>0</v>
      </c>
      <c r="X86" s="705">
        <f t="shared" si="35"/>
        <v>0</v>
      </c>
      <c r="Y86" s="705">
        <f t="shared" si="35"/>
        <v>0</v>
      </c>
      <c r="AB86" s="707"/>
    </row>
    <row r="87" spans="1:28" s="46" customFormat="1" ht="15.75" customHeight="1">
      <c r="A87" s="709">
        <f t="shared" si="24"/>
        <v>700</v>
      </c>
      <c r="B87" s="710" t="s">
        <v>250</v>
      </c>
      <c r="C87" s="705">
        <f t="shared" si="26"/>
        <v>0</v>
      </c>
      <c r="D87" s="705">
        <f>D13+D22+D30+D38+D46+D54+D62+D73</f>
        <v>0</v>
      </c>
      <c r="E87" s="790">
        <f>IFERROR(((D13*E13)/D87)+((D22*E22)/D87)+((D30*E30)/D87)+((D38*E38)/D87)+((D46*E46)/D87)+((D54*E54)/D87)+((D62*E62)/D87)+((D73*E73)/D87),0)</f>
        <v>0</v>
      </c>
      <c r="F87" s="705">
        <f>F13+F22+F30+F38+F46+F54+F62+F73</f>
        <v>0</v>
      </c>
      <c r="G87" s="790">
        <f>IFERROR(((F13*G13)/F87)+((F22*G22)/F87)+((F30*G30)/F87)+((F38*G38)/F87)+((F46*G46)/F87)+((F54*G54)/F87)+((F62*G62)/F87)+((F73*G73)/F87),0)</f>
        <v>0</v>
      </c>
      <c r="H87" s="705">
        <f t="shared" ref="H87:Y87" si="36">H13+H22+H30+H38+H46+H54+H62+H73</f>
        <v>0</v>
      </c>
      <c r="I87" s="705">
        <f t="shared" si="36"/>
        <v>0</v>
      </c>
      <c r="J87" s="705">
        <f t="shared" si="36"/>
        <v>0</v>
      </c>
      <c r="K87" s="705">
        <f t="shared" si="36"/>
        <v>0</v>
      </c>
      <c r="L87" s="705">
        <f t="shared" si="36"/>
        <v>0</v>
      </c>
      <c r="M87" s="705">
        <f t="shared" si="36"/>
        <v>0</v>
      </c>
      <c r="N87" s="705">
        <f t="shared" si="36"/>
        <v>0</v>
      </c>
      <c r="O87" s="705">
        <f t="shared" si="36"/>
        <v>0</v>
      </c>
      <c r="P87" s="705">
        <f t="shared" si="36"/>
        <v>0</v>
      </c>
      <c r="Q87" s="705">
        <f t="shared" si="36"/>
        <v>0</v>
      </c>
      <c r="R87" s="705">
        <f t="shared" si="36"/>
        <v>0</v>
      </c>
      <c r="S87" s="705">
        <f t="shared" si="36"/>
        <v>0</v>
      </c>
      <c r="T87" s="705">
        <f t="shared" si="36"/>
        <v>0</v>
      </c>
      <c r="U87" s="705">
        <f t="shared" si="36"/>
        <v>0</v>
      </c>
      <c r="V87" s="705">
        <f t="shared" si="36"/>
        <v>0</v>
      </c>
      <c r="W87" s="705">
        <f t="shared" si="36"/>
        <v>0</v>
      </c>
      <c r="X87" s="705">
        <f t="shared" si="36"/>
        <v>0</v>
      </c>
      <c r="Y87" s="705">
        <f t="shared" si="36"/>
        <v>0</v>
      </c>
      <c r="AB87" s="707"/>
    </row>
    <row r="88" spans="1:28" s="46" customFormat="1" ht="15.75" customHeight="1">
      <c r="A88" s="709">
        <f t="shared" si="24"/>
        <v>710</v>
      </c>
      <c r="B88" s="710" t="s">
        <v>269</v>
      </c>
      <c r="C88" s="705">
        <f t="shared" si="26"/>
        <v>0</v>
      </c>
      <c r="D88" s="705">
        <f t="shared" ref="D88:G90" si="37">D74</f>
        <v>0</v>
      </c>
      <c r="E88" s="790">
        <f t="shared" si="37"/>
        <v>0</v>
      </c>
      <c r="F88" s="705">
        <f t="shared" si="37"/>
        <v>0</v>
      </c>
      <c r="G88" s="790">
        <f t="shared" si="37"/>
        <v>0</v>
      </c>
      <c r="H88" s="705">
        <f t="shared" ref="H88:I90" si="38">H74</f>
        <v>0</v>
      </c>
      <c r="I88" s="705">
        <f t="shared" si="38"/>
        <v>0</v>
      </c>
      <c r="J88" s="705">
        <f>J74</f>
        <v>0</v>
      </c>
      <c r="K88" s="705">
        <f t="shared" ref="K88:Y90" si="39">K74</f>
        <v>0</v>
      </c>
      <c r="L88" s="705">
        <f>L74</f>
        <v>0</v>
      </c>
      <c r="M88" s="705">
        <f t="shared" si="39"/>
        <v>0</v>
      </c>
      <c r="N88" s="705">
        <f t="shared" si="39"/>
        <v>0</v>
      </c>
      <c r="O88" s="705">
        <f t="shared" si="39"/>
        <v>0</v>
      </c>
      <c r="P88" s="705">
        <f>P74</f>
        <v>0</v>
      </c>
      <c r="Q88" s="705">
        <f>Q74</f>
        <v>0</v>
      </c>
      <c r="R88" s="705">
        <f t="shared" si="39"/>
        <v>0</v>
      </c>
      <c r="S88" s="705">
        <f t="shared" si="39"/>
        <v>0</v>
      </c>
      <c r="T88" s="705">
        <f t="shared" si="39"/>
        <v>0</v>
      </c>
      <c r="U88" s="705">
        <f t="shared" si="39"/>
        <v>0</v>
      </c>
      <c r="V88" s="705">
        <f t="shared" si="39"/>
        <v>0</v>
      </c>
      <c r="W88" s="705">
        <f t="shared" si="39"/>
        <v>0</v>
      </c>
      <c r="X88" s="705">
        <f t="shared" si="39"/>
        <v>0</v>
      </c>
      <c r="Y88" s="705">
        <f t="shared" si="39"/>
        <v>0</v>
      </c>
      <c r="AB88" s="707"/>
    </row>
    <row r="89" spans="1:28" s="46" customFormat="1" ht="15.75" customHeight="1">
      <c r="A89" s="709">
        <f t="shared" si="24"/>
        <v>720</v>
      </c>
      <c r="B89" s="710" t="s">
        <v>270</v>
      </c>
      <c r="C89" s="705">
        <f>SUM(J89:Y89)-L89-P89-Q89</f>
        <v>41021338</v>
      </c>
      <c r="D89" s="705">
        <f>+D63+D75</f>
        <v>41021338</v>
      </c>
      <c r="E89" s="790">
        <f>IFERROR(((D75*E75)/D78)+((D63*E63)/D65),0)</f>
        <v>5.6210872423689648E-2</v>
      </c>
      <c r="F89" s="705">
        <f>+F63+F75</f>
        <v>0</v>
      </c>
      <c r="G89" s="790">
        <f>IFERROR(((F75*G75)/F78)+((F63*G63)/F65),0)</f>
        <v>0</v>
      </c>
      <c r="H89" s="705">
        <f t="shared" ref="H89:P89" si="40">+H63+H75</f>
        <v>13067734</v>
      </c>
      <c r="I89" s="705">
        <f t="shared" si="40"/>
        <v>27953604</v>
      </c>
      <c r="J89" s="705">
        <f t="shared" si="40"/>
        <v>0</v>
      </c>
      <c r="K89" s="705">
        <f t="shared" si="40"/>
        <v>0</v>
      </c>
      <c r="L89" s="705">
        <f t="shared" si="40"/>
        <v>0</v>
      </c>
      <c r="M89" s="705">
        <f t="shared" si="40"/>
        <v>361231</v>
      </c>
      <c r="N89" s="705">
        <f t="shared" si="40"/>
        <v>0</v>
      </c>
      <c r="O89" s="705">
        <f t="shared" si="40"/>
        <v>754682</v>
      </c>
      <c r="P89" s="705">
        <f t="shared" si="40"/>
        <v>0</v>
      </c>
      <c r="Q89" s="705">
        <f t="shared" ref="Q89:Y89" si="41">+Q63+Q75</f>
        <v>754682</v>
      </c>
      <c r="R89" s="705">
        <f t="shared" si="41"/>
        <v>0</v>
      </c>
      <c r="S89" s="705">
        <f t="shared" si="41"/>
        <v>0</v>
      </c>
      <c r="T89" s="705">
        <f t="shared" si="41"/>
        <v>0</v>
      </c>
      <c r="U89" s="705">
        <f t="shared" si="41"/>
        <v>0</v>
      </c>
      <c r="V89" s="705">
        <f t="shared" si="41"/>
        <v>10603258</v>
      </c>
      <c r="W89" s="705">
        <f t="shared" si="41"/>
        <v>29293706</v>
      </c>
      <c r="X89" s="705">
        <f t="shared" si="41"/>
        <v>0</v>
      </c>
      <c r="Y89" s="705">
        <f t="shared" si="41"/>
        <v>8461</v>
      </c>
      <c r="AB89" s="707"/>
    </row>
    <row r="90" spans="1:28" s="46" customFormat="1" ht="15.75" customHeight="1">
      <c r="A90" s="709">
        <f t="shared" si="24"/>
        <v>730</v>
      </c>
      <c r="B90" s="710" t="s">
        <v>271</v>
      </c>
      <c r="C90" s="705">
        <f t="shared" si="26"/>
        <v>0</v>
      </c>
      <c r="D90" s="705">
        <f>D76</f>
        <v>0</v>
      </c>
      <c r="E90" s="790">
        <f t="shared" si="37"/>
        <v>0</v>
      </c>
      <c r="F90" s="705">
        <f>F76</f>
        <v>0</v>
      </c>
      <c r="G90" s="790">
        <f t="shared" si="37"/>
        <v>0</v>
      </c>
      <c r="H90" s="705">
        <f t="shared" si="38"/>
        <v>0</v>
      </c>
      <c r="I90" s="705">
        <f t="shared" si="38"/>
        <v>0</v>
      </c>
      <c r="J90" s="705">
        <f>J76</f>
        <v>0</v>
      </c>
      <c r="K90" s="705">
        <f t="shared" si="39"/>
        <v>0</v>
      </c>
      <c r="L90" s="705">
        <f>L76</f>
        <v>0</v>
      </c>
      <c r="M90" s="705">
        <f t="shared" si="39"/>
        <v>0</v>
      </c>
      <c r="N90" s="705">
        <f t="shared" si="39"/>
        <v>0</v>
      </c>
      <c r="O90" s="705">
        <f t="shared" si="39"/>
        <v>0</v>
      </c>
      <c r="P90" s="705">
        <f>P76</f>
        <v>0</v>
      </c>
      <c r="Q90" s="705">
        <f>Q76</f>
        <v>0</v>
      </c>
      <c r="R90" s="705">
        <f t="shared" si="39"/>
        <v>0</v>
      </c>
      <c r="S90" s="705">
        <f t="shared" si="39"/>
        <v>0</v>
      </c>
      <c r="T90" s="705">
        <f t="shared" si="39"/>
        <v>0</v>
      </c>
      <c r="U90" s="705">
        <f t="shared" si="39"/>
        <v>0</v>
      </c>
      <c r="V90" s="705">
        <f t="shared" si="39"/>
        <v>0</v>
      </c>
      <c r="W90" s="705">
        <f t="shared" si="39"/>
        <v>0</v>
      </c>
      <c r="X90" s="705">
        <f t="shared" si="39"/>
        <v>0</v>
      </c>
      <c r="Y90" s="705">
        <f t="shared" si="39"/>
        <v>0</v>
      </c>
      <c r="AB90" s="707"/>
    </row>
    <row r="91" spans="1:28" s="46" customFormat="1" ht="15.75" customHeight="1">
      <c r="A91" s="709">
        <f>A90+10</f>
        <v>740</v>
      </c>
      <c r="B91" s="710" t="s">
        <v>251</v>
      </c>
      <c r="C91" s="705">
        <f t="shared" si="26"/>
        <v>199980</v>
      </c>
      <c r="D91" s="705">
        <f>D14+D23+D31+D39+D47+D55+D64+D77</f>
        <v>199980</v>
      </c>
      <c r="E91" s="790">
        <f>IFERROR(((D14*E14)/D91)+((D23*E23)/D91)+((D31*E31)/D91)+((D39*E39)/D91)+((D47*E47)/D91)+((D55*E55)/D91)+((D64*E64)/D91)+((D77*E77)/D91),0)</f>
        <v>0.27999999999999997</v>
      </c>
      <c r="F91" s="705">
        <f>F14+F23+F31+F39+F47+F55+F64+F77</f>
        <v>0</v>
      </c>
      <c r="G91" s="790">
        <f>IFERROR(((F14*G14)/F91)+((F23*G23)/F91)+((F31*G31)/F91)+((F39*G39)/F91)+((F47*G47)/F91)+((F55*G55)/F91)+((F64*G64)/F91)+((F77*G77)/F91),0)</f>
        <v>0</v>
      </c>
      <c r="H91" s="705">
        <f t="shared" ref="H91:Y91" si="42">H14+H23+H31+H39+H47+H55+H64+H77</f>
        <v>199980</v>
      </c>
      <c r="I91" s="705">
        <f t="shared" si="42"/>
        <v>0</v>
      </c>
      <c r="J91" s="705">
        <f t="shared" si="42"/>
        <v>0</v>
      </c>
      <c r="K91" s="705">
        <f t="shared" si="42"/>
        <v>0</v>
      </c>
      <c r="L91" s="705">
        <f t="shared" si="42"/>
        <v>0</v>
      </c>
      <c r="M91" s="705">
        <f t="shared" si="42"/>
        <v>0</v>
      </c>
      <c r="N91" s="705">
        <f t="shared" si="42"/>
        <v>0</v>
      </c>
      <c r="O91" s="705">
        <f t="shared" si="42"/>
        <v>199980</v>
      </c>
      <c r="P91" s="705">
        <f t="shared" si="42"/>
        <v>0</v>
      </c>
      <c r="Q91" s="705">
        <f t="shared" si="42"/>
        <v>199980</v>
      </c>
      <c r="R91" s="705">
        <f t="shared" si="42"/>
        <v>0</v>
      </c>
      <c r="S91" s="705">
        <f t="shared" si="42"/>
        <v>0</v>
      </c>
      <c r="T91" s="705">
        <f t="shared" si="42"/>
        <v>0</v>
      </c>
      <c r="U91" s="705">
        <f t="shared" si="42"/>
        <v>0</v>
      </c>
      <c r="V91" s="705">
        <f t="shared" si="42"/>
        <v>0</v>
      </c>
      <c r="W91" s="705">
        <f t="shared" si="42"/>
        <v>0</v>
      </c>
      <c r="X91" s="705">
        <f t="shared" si="42"/>
        <v>0</v>
      </c>
      <c r="Y91" s="705">
        <f t="shared" si="42"/>
        <v>0</v>
      </c>
      <c r="AB91" s="707"/>
    </row>
    <row r="92" spans="1:28" s="46" customFormat="1" ht="15.75" customHeight="1">
      <c r="A92" s="864">
        <f t="shared" si="24"/>
        <v>750</v>
      </c>
      <c r="B92" s="714" t="s">
        <v>274</v>
      </c>
      <c r="C92" s="715">
        <f t="shared" si="26"/>
        <v>4772374677</v>
      </c>
      <c r="D92" s="716">
        <f>SUM(D80:D91)</f>
        <v>3194072355</v>
      </c>
      <c r="E92" s="787">
        <f>IFERROR(((D80*E80)/D92)+((D81*E81)/D92)+((D82*E82)/D92)+((D83*E83)/D92)+((D84*E84)/D92)+((D85*E85)/D92)+((D86*E86)/D92)+((D87*E87)/D92)+((D88*E88)/D92)+((D89*E89)/D92)+((D90*E90)/D92)+((D91*E91)/D92),0)</f>
        <v>0.16651648743722308</v>
      </c>
      <c r="F92" s="716">
        <f>SUM(F80:F91)</f>
        <v>1578302322</v>
      </c>
      <c r="G92" s="787">
        <f>IFERROR(((F80*G80)/F92)+((F81*G81)/F92)+((F82*G82)/F92)+((F83*G83)/F92)+((F84*G84)/F92)+((F85*G85)/F92)+((F86*G86)/F92)+((F87*G87)/F92)+((F88*G88)/F92)+((F89*G89)/F92)+((F90*G90)/F92)+((F91*G91)/F92),0)</f>
        <v>0.10126559271080238</v>
      </c>
      <c r="H92" s="716">
        <f t="shared" ref="H92:Y92" si="43">SUM(H80:H91)</f>
        <v>4642547590</v>
      </c>
      <c r="I92" s="716">
        <f t="shared" si="43"/>
        <v>129827087</v>
      </c>
      <c r="J92" s="716">
        <f t="shared" si="43"/>
        <v>2282372</v>
      </c>
      <c r="K92" s="716">
        <f t="shared" si="43"/>
        <v>0</v>
      </c>
      <c r="L92" s="716">
        <f t="shared" si="43"/>
        <v>0</v>
      </c>
      <c r="M92" s="716">
        <f t="shared" si="43"/>
        <v>473803407</v>
      </c>
      <c r="N92" s="716">
        <f t="shared" si="43"/>
        <v>0</v>
      </c>
      <c r="O92" s="715">
        <f t="shared" si="43"/>
        <v>2059713894</v>
      </c>
      <c r="P92" s="716">
        <f t="shared" si="43"/>
        <v>172381016</v>
      </c>
      <c r="Q92" s="716">
        <f t="shared" si="43"/>
        <v>1887332878</v>
      </c>
      <c r="R92" s="716">
        <f t="shared" si="43"/>
        <v>21632555</v>
      </c>
      <c r="S92" s="716">
        <f t="shared" si="43"/>
        <v>0</v>
      </c>
      <c r="T92" s="716">
        <f t="shared" si="43"/>
        <v>0</v>
      </c>
      <c r="U92" s="716">
        <f t="shared" si="43"/>
        <v>0</v>
      </c>
      <c r="V92" s="716">
        <f t="shared" si="43"/>
        <v>752435663</v>
      </c>
      <c r="W92" s="716">
        <f t="shared" si="43"/>
        <v>1454184667</v>
      </c>
      <c r="X92" s="716">
        <f t="shared" si="43"/>
        <v>0</v>
      </c>
      <c r="Y92" s="716">
        <f t="shared" si="43"/>
        <v>8322119</v>
      </c>
      <c r="AB92" s="707"/>
    </row>
    <row r="93" spans="1:28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8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8">
      <c r="B95" s="8" t="s">
        <v>4</v>
      </c>
      <c r="H95" s="23"/>
      <c r="I95" s="23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8">
      <c r="B96" s="8"/>
      <c r="C96" s="22"/>
      <c r="D96" s="22"/>
      <c r="E96" s="22"/>
      <c r="F96" s="22"/>
      <c r="G96" s="22"/>
      <c r="H96" s="23"/>
      <c r="I96" s="23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2:9">
      <c r="B97" s="8" t="s">
        <v>5</v>
      </c>
      <c r="C97" s="24"/>
      <c r="D97" s="24"/>
      <c r="E97" s="24"/>
      <c r="F97" s="24"/>
      <c r="G97" s="24"/>
      <c r="H97" s="24"/>
      <c r="I97" s="24"/>
    </row>
    <row r="98" spans="2:9">
      <c r="C98" s="24"/>
      <c r="D98" s="24"/>
      <c r="E98" s="24"/>
      <c r="F98" s="24"/>
      <c r="G98" s="24"/>
      <c r="H98" s="24"/>
      <c r="I98" s="24"/>
    </row>
    <row r="99" spans="2:9">
      <c r="C99" s="370">
        <f>+Balance!C23</f>
        <v>4772374677</v>
      </c>
      <c r="D99" s="370"/>
      <c r="E99" s="370"/>
      <c r="F99" s="370"/>
      <c r="G99" s="370"/>
      <c r="H99" s="24"/>
      <c r="I99" s="24"/>
    </row>
    <row r="100" spans="2:9">
      <c r="C100" s="24"/>
      <c r="D100" s="24"/>
      <c r="E100" s="24"/>
      <c r="F100" s="24"/>
      <c r="G100" s="24"/>
      <c r="H100" s="24"/>
      <c r="I100" s="24"/>
    </row>
    <row r="102" spans="2:9">
      <c r="C102" s="631">
        <f>+Balance!C23</f>
        <v>4772374677</v>
      </c>
    </row>
  </sheetData>
  <sheetProtection password="CA76" sheet="1" objects="1" scenarios="1"/>
  <mergeCells count="28">
    <mergeCell ref="J5:J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</mergeCells>
  <phoneticPr fontId="37" type="noConversion"/>
  <conditionalFormatting sqref="C92">
    <cfRule type="cellIs" dxfId="340" priority="314" stopIfTrue="1" operator="notEqual">
      <formula>H92+I92</formula>
    </cfRule>
    <cfRule type="cellIs" dxfId="339" priority="315" stopIfTrue="1" operator="notEqual">
      <formula>C102</formula>
    </cfRule>
  </conditionalFormatting>
  <conditionalFormatting sqref="C50:C55 C42:C47 C34:C39 C26:C31 C17:C23 C9:C14 C80:C91 C67:C77 C58:C64">
    <cfRule type="cellIs" dxfId="338" priority="144" operator="notEqual">
      <formula>D9+F9</formula>
    </cfRule>
    <cfRule type="cellIs" dxfId="337" priority="147" stopIfTrue="1" operator="notEqual">
      <formula>H9+$I9</formula>
    </cfRule>
  </conditionalFormatting>
  <conditionalFormatting sqref="C10:C14">
    <cfRule type="cellIs" dxfId="336" priority="145" operator="notEqual">
      <formula>H10+$I10</formula>
    </cfRule>
  </conditionalFormatting>
  <dataValidations disablePrompts="1"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 xr:uid="{00000000-0002-0000-0B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5" orientation="landscape" r:id="rId1"/>
  <headerFooter alignWithMargins="0"/>
  <ignoredErrors>
    <ignoredError sqref="E91:G92 E79:G85 E90:G90 E87:G88 F86:G86 F78:G78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9">
    <pageSetUpPr fitToPage="1"/>
  </sheetPr>
  <dimension ref="A1:Z39"/>
  <sheetViews>
    <sheetView zoomScale="70" zoomScaleNormal="70" zoomScaleSheetLayoutView="55" workbookViewId="0">
      <pane xSplit="2" ySplit="7" topLeftCell="C8" activePane="bottomRight" state="frozen"/>
      <selection activeCell="B32" sqref="B32"/>
      <selection pane="topRight" activeCell="B32" sqref="B32"/>
      <selection pane="bottomLeft" activeCell="B32" sqref="B32"/>
      <selection pane="bottomRight" activeCell="G36" sqref="G36"/>
    </sheetView>
  </sheetViews>
  <sheetFormatPr defaultRowHeight="15"/>
  <cols>
    <col min="1" max="1" width="5" style="35" customWidth="1"/>
    <col min="2" max="2" width="48.140625" style="35" customWidth="1"/>
    <col min="3" max="3" width="19.140625" style="35" customWidth="1"/>
    <col min="4" max="4" width="7.140625" style="35" customWidth="1"/>
    <col min="5" max="5" width="19.5703125" style="35" customWidth="1"/>
    <col min="6" max="6" width="8.5703125" style="35" customWidth="1"/>
    <col min="7" max="7" width="21.85546875" style="35" customWidth="1"/>
    <col min="8" max="8" width="7.140625" style="35" customWidth="1"/>
    <col min="9" max="10" width="15.42578125" style="35" customWidth="1"/>
    <col min="11" max="11" width="8.7109375" style="35" customWidth="1"/>
    <col min="12" max="25" width="13.140625" style="35" customWidth="1"/>
    <col min="26" max="26" width="14.28515625" style="660" bestFit="1" customWidth="1"/>
    <col min="27" max="16384" width="9.140625" style="35"/>
  </cols>
  <sheetData>
    <row r="1" spans="1:26" s="763" customFormat="1" ht="36.75" customHeight="1">
      <c r="A1" s="758" t="s">
        <v>1221</v>
      </c>
      <c r="B1" s="759"/>
      <c r="C1" s="759"/>
      <c r="D1" s="759"/>
      <c r="E1" s="759"/>
      <c r="F1" s="759"/>
      <c r="G1" s="759"/>
      <c r="H1" s="759"/>
      <c r="I1" s="758"/>
      <c r="J1" s="758"/>
      <c r="K1" s="758"/>
      <c r="L1" s="758"/>
      <c r="M1" s="758"/>
      <c r="N1" s="758"/>
      <c r="O1" s="758"/>
      <c r="P1" s="758"/>
      <c r="Q1" s="758"/>
      <c r="R1" s="759"/>
      <c r="S1" s="759"/>
      <c r="T1" s="759"/>
      <c r="U1" s="759"/>
      <c r="V1" s="760"/>
      <c r="W1" s="761"/>
      <c r="X1" s="746" t="s">
        <v>1044</v>
      </c>
      <c r="Y1" s="759"/>
      <c r="Z1" s="762"/>
    </row>
    <row r="2" spans="1:26" s="256" customFormat="1" ht="18">
      <c r="A2" s="755"/>
      <c r="B2" s="257"/>
      <c r="C2" s="257"/>
      <c r="D2" s="257"/>
      <c r="E2" s="257"/>
      <c r="F2" s="257"/>
      <c r="G2" s="257"/>
      <c r="H2" s="257"/>
      <c r="I2" s="18"/>
      <c r="J2" s="18"/>
      <c r="K2" s="18"/>
      <c r="L2" s="257"/>
      <c r="M2" s="257"/>
      <c r="N2" s="257"/>
      <c r="O2" s="257"/>
      <c r="P2" s="257"/>
      <c r="Q2" s="257"/>
      <c r="R2" s="257"/>
      <c r="S2" s="257"/>
      <c r="T2" s="756"/>
      <c r="U2" s="257"/>
      <c r="V2" s="257"/>
      <c r="W2" s="257"/>
      <c r="X2" s="257"/>
      <c r="Y2" s="757"/>
      <c r="Z2" s="660"/>
    </row>
    <row r="3" spans="1:26" ht="18">
      <c r="A3" s="750"/>
      <c r="B3" s="751" t="str">
        <f>Balance!B3</f>
        <v>АКБ "Микрокредитбанк"</v>
      </c>
      <c r="C3" s="41"/>
      <c r="D3" s="752"/>
      <c r="E3" s="752"/>
      <c r="F3" s="752"/>
      <c r="G3" s="752"/>
      <c r="H3" s="752"/>
      <c r="I3" s="752"/>
      <c r="J3" s="753"/>
      <c r="K3" s="753"/>
      <c r="L3" s="753"/>
      <c r="M3" s="752"/>
      <c r="N3" s="752"/>
      <c r="O3" s="752"/>
      <c r="P3" s="752"/>
      <c r="Q3" s="752"/>
      <c r="R3" s="752"/>
      <c r="S3" s="752"/>
      <c r="T3" s="1266">
        <f>+Balance!C3</f>
        <v>43829</v>
      </c>
      <c r="U3" s="1266"/>
      <c r="V3" s="41"/>
      <c r="W3" s="41"/>
      <c r="X3" s="752" t="str">
        <f>+Balance!E3</f>
        <v>тыс. сум</v>
      </c>
      <c r="Y3" s="754"/>
    </row>
    <row r="4" spans="1:26" ht="30" customHeight="1">
      <c r="A4" s="1271" t="s">
        <v>161</v>
      </c>
      <c r="B4" s="1271" t="s">
        <v>131</v>
      </c>
      <c r="C4" s="1271" t="s">
        <v>275</v>
      </c>
      <c r="D4" s="1271" t="s">
        <v>276</v>
      </c>
      <c r="E4" s="1271" t="s">
        <v>277</v>
      </c>
      <c r="F4" s="1271" t="s">
        <v>276</v>
      </c>
      <c r="G4" s="1271" t="s">
        <v>286</v>
      </c>
      <c r="H4" s="1271" t="s">
        <v>276</v>
      </c>
      <c r="I4" s="1267" t="s">
        <v>278</v>
      </c>
      <c r="J4" s="1268"/>
      <c r="K4" s="1271" t="s">
        <v>276</v>
      </c>
      <c r="L4" s="1263" t="s">
        <v>1082</v>
      </c>
      <c r="M4" s="1265"/>
      <c r="N4" s="1265"/>
      <c r="O4" s="1265"/>
      <c r="P4" s="1265"/>
      <c r="Q4" s="1265"/>
      <c r="R4" s="1265"/>
      <c r="S4" s="1265"/>
      <c r="T4" s="1265"/>
      <c r="U4" s="1265"/>
      <c r="V4" s="1265"/>
      <c r="W4" s="1265"/>
      <c r="X4" s="1265"/>
      <c r="Y4" s="1264"/>
    </row>
    <row r="5" spans="1:26" ht="25.5" customHeight="1">
      <c r="A5" s="1272"/>
      <c r="B5" s="1272"/>
      <c r="C5" s="1272"/>
      <c r="D5" s="1272"/>
      <c r="E5" s="1272"/>
      <c r="F5" s="1272"/>
      <c r="G5" s="1272"/>
      <c r="H5" s="1272"/>
      <c r="I5" s="1269"/>
      <c r="J5" s="1270"/>
      <c r="K5" s="1272"/>
      <c r="L5" s="1263" t="s">
        <v>280</v>
      </c>
      <c r="M5" s="1264"/>
      <c r="N5" s="1263" t="s">
        <v>281</v>
      </c>
      <c r="O5" s="1264"/>
      <c r="P5" s="1263" t="s">
        <v>282</v>
      </c>
      <c r="Q5" s="1264"/>
      <c r="R5" s="1263" t="s">
        <v>283</v>
      </c>
      <c r="S5" s="1264"/>
      <c r="T5" s="1263" t="s">
        <v>284</v>
      </c>
      <c r="U5" s="1264"/>
      <c r="V5" s="1263" t="s">
        <v>1171</v>
      </c>
      <c r="W5" s="1264"/>
      <c r="X5" s="1263" t="s">
        <v>285</v>
      </c>
      <c r="Y5" s="1264"/>
    </row>
    <row r="6" spans="1:26" ht="31.5">
      <c r="A6" s="1273"/>
      <c r="B6" s="1273"/>
      <c r="C6" s="1273"/>
      <c r="D6" s="1273"/>
      <c r="E6" s="1273"/>
      <c r="F6" s="1273"/>
      <c r="G6" s="1273"/>
      <c r="H6" s="1273"/>
      <c r="I6" s="579" t="s">
        <v>801</v>
      </c>
      <c r="J6" s="579" t="s">
        <v>802</v>
      </c>
      <c r="K6" s="1273"/>
      <c r="L6" s="579" t="s">
        <v>801</v>
      </c>
      <c r="M6" s="579" t="s">
        <v>802</v>
      </c>
      <c r="N6" s="579" t="s">
        <v>801</v>
      </c>
      <c r="O6" s="579" t="s">
        <v>802</v>
      </c>
      <c r="P6" s="579" t="s">
        <v>801</v>
      </c>
      <c r="Q6" s="579" t="s">
        <v>802</v>
      </c>
      <c r="R6" s="579" t="s">
        <v>801</v>
      </c>
      <c r="S6" s="579" t="s">
        <v>802</v>
      </c>
      <c r="T6" s="579" t="s">
        <v>801</v>
      </c>
      <c r="U6" s="579" t="s">
        <v>802</v>
      </c>
      <c r="V6" s="579" t="s">
        <v>801</v>
      </c>
      <c r="W6" s="579" t="s">
        <v>802</v>
      </c>
      <c r="X6" s="579" t="s">
        <v>801</v>
      </c>
      <c r="Y6" s="579" t="s">
        <v>802</v>
      </c>
    </row>
    <row r="7" spans="1:26" ht="15.75">
      <c r="A7" s="579"/>
      <c r="B7" s="579" t="s">
        <v>234</v>
      </c>
      <c r="C7" s="579" t="s">
        <v>133</v>
      </c>
      <c r="D7" s="579" t="s">
        <v>134</v>
      </c>
      <c r="E7" s="579" t="s">
        <v>135</v>
      </c>
      <c r="F7" s="579" t="s">
        <v>163</v>
      </c>
      <c r="G7" s="579" t="s">
        <v>164</v>
      </c>
      <c r="H7" s="579" t="s">
        <v>187</v>
      </c>
      <c r="I7" s="579" t="s">
        <v>235</v>
      </c>
      <c r="J7" s="579" t="s">
        <v>1046</v>
      </c>
      <c r="K7" s="579" t="s">
        <v>236</v>
      </c>
      <c r="L7" s="579" t="s">
        <v>237</v>
      </c>
      <c r="M7" s="579" t="s">
        <v>1035</v>
      </c>
      <c r="N7" s="579" t="s">
        <v>238</v>
      </c>
      <c r="O7" s="579" t="s">
        <v>1048</v>
      </c>
      <c r="P7" s="579" t="s">
        <v>239</v>
      </c>
      <c r="Q7" s="579" t="s">
        <v>1049</v>
      </c>
      <c r="R7" s="579" t="s">
        <v>240</v>
      </c>
      <c r="S7" s="579" t="s">
        <v>1050</v>
      </c>
      <c r="T7" s="579" t="s">
        <v>241</v>
      </c>
      <c r="U7" s="579" t="s">
        <v>1051</v>
      </c>
      <c r="V7" s="579" t="s">
        <v>242</v>
      </c>
      <c r="W7" s="579" t="s">
        <v>1052</v>
      </c>
      <c r="X7" s="579" t="s">
        <v>243</v>
      </c>
      <c r="Y7" s="579" t="s">
        <v>1053</v>
      </c>
    </row>
    <row r="8" spans="1:26" s="258" customFormat="1" ht="27.75" customHeight="1">
      <c r="A8" s="579"/>
      <c r="B8" s="579" t="s">
        <v>287</v>
      </c>
      <c r="C8" s="579"/>
      <c r="D8" s="579"/>
      <c r="E8" s="579"/>
      <c r="F8" s="579"/>
      <c r="G8" s="579"/>
      <c r="H8" s="579"/>
      <c r="I8" s="579"/>
      <c r="J8" s="579"/>
      <c r="K8" s="579"/>
      <c r="L8" s="579"/>
      <c r="M8" s="579"/>
      <c r="N8" s="579"/>
      <c r="O8" s="579"/>
      <c r="P8" s="579"/>
      <c r="Q8" s="579"/>
      <c r="R8" s="579"/>
      <c r="S8" s="579"/>
      <c r="T8" s="579"/>
      <c r="U8" s="579"/>
      <c r="V8" s="579"/>
      <c r="W8" s="579"/>
      <c r="X8" s="579"/>
      <c r="Y8" s="579"/>
      <c r="Z8" s="661"/>
    </row>
    <row r="9" spans="1:26" s="258" customFormat="1" ht="26.25" customHeight="1">
      <c r="A9" s="259">
        <v>1</v>
      </c>
      <c r="B9" s="260" t="s">
        <v>288</v>
      </c>
      <c r="C9" s="264">
        <f>+'Loans Receivable'!C86</f>
        <v>0</v>
      </c>
      <c r="D9" s="529">
        <f t="shared" ref="D9:D20" si="0">IF(C$22=0,"",C9/C$22)</f>
        <v>0</v>
      </c>
      <c r="E9" s="261">
        <v>0</v>
      </c>
      <c r="F9" s="529" t="str">
        <f t="shared" ref="F9:F20" si="1">IF(E$22=0,"",E9/E$22)</f>
        <v/>
      </c>
      <c r="G9" s="261">
        <v>0</v>
      </c>
      <c r="H9" s="529">
        <f t="shared" ref="H9:H20" si="2">IF($G$22=0,"",G9/$G$22)</f>
        <v>0</v>
      </c>
      <c r="I9" s="264">
        <f t="shared" ref="I9:I20" si="3">+L9+N9+P9+R9+T9+V9+X9</f>
        <v>0</v>
      </c>
      <c r="J9" s="264">
        <f>+M9+O9+T9+S9+U9+W9+Y9</f>
        <v>0</v>
      </c>
      <c r="K9" s="529">
        <f t="shared" ref="K9:K20" si="4">IF($Z$22=0,"",Z9/$Z$22)</f>
        <v>0</v>
      </c>
      <c r="L9" s="261">
        <v>0</v>
      </c>
      <c r="M9" s="261">
        <v>0</v>
      </c>
      <c r="N9" s="261">
        <v>0</v>
      </c>
      <c r="O9" s="261">
        <v>0</v>
      </c>
      <c r="P9" s="261">
        <v>0</v>
      </c>
      <c r="Q9" s="261">
        <v>0</v>
      </c>
      <c r="R9" s="261">
        <v>0</v>
      </c>
      <c r="S9" s="261">
        <v>0</v>
      </c>
      <c r="T9" s="261">
        <v>0</v>
      </c>
      <c r="U9" s="261">
        <v>0</v>
      </c>
      <c r="V9" s="261">
        <v>0</v>
      </c>
      <c r="W9" s="261">
        <v>0</v>
      </c>
      <c r="X9" s="261">
        <v>0</v>
      </c>
      <c r="Y9" s="261">
        <v>0</v>
      </c>
      <c r="Z9" s="662">
        <f>+I9+J9</f>
        <v>0</v>
      </c>
    </row>
    <row r="10" spans="1:26" s="258" customFormat="1" ht="26.25" customHeight="1">
      <c r="A10" s="259">
        <v>2</v>
      </c>
      <c r="B10" s="260" t="s">
        <v>289</v>
      </c>
      <c r="C10" s="264">
        <f>+'Loans Receivable'!C85</f>
        <v>0</v>
      </c>
      <c r="D10" s="529">
        <f t="shared" si="0"/>
        <v>0</v>
      </c>
      <c r="E10" s="261">
        <v>0</v>
      </c>
      <c r="F10" s="529" t="str">
        <f t="shared" si="1"/>
        <v/>
      </c>
      <c r="G10" s="261">
        <v>0</v>
      </c>
      <c r="H10" s="529">
        <f t="shared" si="2"/>
        <v>0</v>
      </c>
      <c r="I10" s="264">
        <f t="shared" si="3"/>
        <v>0</v>
      </c>
      <c r="J10" s="264">
        <f>+M10+O10+Q10+S10+U10+W10+Y10</f>
        <v>0</v>
      </c>
      <c r="K10" s="529">
        <f t="shared" si="4"/>
        <v>0</v>
      </c>
      <c r="L10" s="261">
        <v>0</v>
      </c>
      <c r="M10" s="261">
        <v>0</v>
      </c>
      <c r="N10" s="261">
        <v>0</v>
      </c>
      <c r="O10" s="261">
        <v>0</v>
      </c>
      <c r="P10" s="261">
        <v>0</v>
      </c>
      <c r="Q10" s="261">
        <v>0</v>
      </c>
      <c r="R10" s="261">
        <v>0</v>
      </c>
      <c r="S10" s="261">
        <v>0</v>
      </c>
      <c r="T10" s="261">
        <v>0</v>
      </c>
      <c r="U10" s="261">
        <v>0</v>
      </c>
      <c r="V10" s="261">
        <v>0</v>
      </c>
      <c r="W10" s="261">
        <v>0</v>
      </c>
      <c r="X10" s="261">
        <v>0</v>
      </c>
      <c r="Y10" s="261">
        <v>0</v>
      </c>
      <c r="Z10" s="662">
        <f t="shared" ref="Z10:Z34" si="5">+I10+J10</f>
        <v>0</v>
      </c>
    </row>
    <row r="11" spans="1:26" s="258" customFormat="1" ht="26.25" customHeight="1">
      <c r="A11" s="259">
        <v>3</v>
      </c>
      <c r="B11" s="260" t="s">
        <v>290</v>
      </c>
      <c r="C11" s="264">
        <f>+'Loans Receivable'!C87</f>
        <v>0</v>
      </c>
      <c r="D11" s="529">
        <f t="shared" si="0"/>
        <v>0</v>
      </c>
      <c r="E11" s="261">
        <v>0</v>
      </c>
      <c r="F11" s="529" t="str">
        <f t="shared" si="1"/>
        <v/>
      </c>
      <c r="G11" s="261">
        <v>0</v>
      </c>
      <c r="H11" s="529">
        <f t="shared" si="2"/>
        <v>0</v>
      </c>
      <c r="I11" s="264">
        <f t="shared" si="3"/>
        <v>0</v>
      </c>
      <c r="J11" s="264">
        <f>+M11+O11+Q11+S11+U11+W11+Y11</f>
        <v>0</v>
      </c>
      <c r="K11" s="529">
        <f t="shared" si="4"/>
        <v>0</v>
      </c>
      <c r="L11" s="261">
        <v>0</v>
      </c>
      <c r="M11" s="261">
        <v>0</v>
      </c>
      <c r="N11" s="261">
        <v>0</v>
      </c>
      <c r="O11" s="261">
        <v>0</v>
      </c>
      <c r="P11" s="261">
        <v>0</v>
      </c>
      <c r="Q11" s="261">
        <v>0</v>
      </c>
      <c r="R11" s="261">
        <v>0</v>
      </c>
      <c r="S11" s="261">
        <v>0</v>
      </c>
      <c r="T11" s="261">
        <v>0</v>
      </c>
      <c r="U11" s="261">
        <v>0</v>
      </c>
      <c r="V11" s="261">
        <v>0</v>
      </c>
      <c r="W11" s="261">
        <v>0</v>
      </c>
      <c r="X11" s="261">
        <v>0</v>
      </c>
      <c r="Y11" s="261">
        <v>0</v>
      </c>
      <c r="Z11" s="662">
        <f t="shared" si="5"/>
        <v>0</v>
      </c>
    </row>
    <row r="12" spans="1:26" s="258" customFormat="1" ht="26.25" customHeight="1">
      <c r="A12" s="259">
        <v>4</v>
      </c>
      <c r="B12" s="260" t="s">
        <v>291</v>
      </c>
      <c r="C12" s="264">
        <f>+'Loans Receivable'!C80</f>
        <v>1460223224</v>
      </c>
      <c r="D12" s="529">
        <f t="shared" si="0"/>
        <v>0.30597413716014488</v>
      </c>
      <c r="E12" s="261">
        <v>0</v>
      </c>
      <c r="F12" s="529" t="str">
        <f t="shared" si="1"/>
        <v/>
      </c>
      <c r="G12" s="261">
        <v>4521</v>
      </c>
      <c r="H12" s="529">
        <f t="shared" si="2"/>
        <v>3.2061267159709999E-4</v>
      </c>
      <c r="I12" s="264">
        <f t="shared" si="3"/>
        <v>2212434</v>
      </c>
      <c r="J12" s="264">
        <f t="shared" ref="J12:J19" si="6">+M12+O12+Q12+S12+U12+W12+Y12</f>
        <v>2285521</v>
      </c>
      <c r="K12" s="529">
        <f t="shared" si="4"/>
        <v>0.12621704700338426</v>
      </c>
      <c r="L12" s="261">
        <v>833971</v>
      </c>
      <c r="M12" s="261">
        <v>617875</v>
      </c>
      <c r="N12" s="261">
        <v>419289</v>
      </c>
      <c r="O12" s="261">
        <v>486083</v>
      </c>
      <c r="P12" s="261">
        <v>252641</v>
      </c>
      <c r="Q12" s="261">
        <v>287877</v>
      </c>
      <c r="R12" s="261">
        <v>422093</v>
      </c>
      <c r="S12" s="261">
        <v>570246</v>
      </c>
      <c r="T12" s="261">
        <v>253339</v>
      </c>
      <c r="U12" s="261">
        <v>306487</v>
      </c>
      <c r="V12" s="261">
        <v>31101</v>
      </c>
      <c r="W12" s="261">
        <v>16953</v>
      </c>
      <c r="X12" s="261">
        <v>0</v>
      </c>
      <c r="Y12" s="261">
        <v>0</v>
      </c>
      <c r="Z12" s="662">
        <f t="shared" si="5"/>
        <v>4497955</v>
      </c>
    </row>
    <row r="13" spans="1:26" s="258" customFormat="1" ht="26.25" customHeight="1">
      <c r="A13" s="259">
        <v>5</v>
      </c>
      <c r="B13" s="260" t="s">
        <v>292</v>
      </c>
      <c r="C13" s="264">
        <f>+'Loans Receivable'!C81</f>
        <v>109470648</v>
      </c>
      <c r="D13" s="529">
        <f t="shared" si="0"/>
        <v>2.2938401824899299E-2</v>
      </c>
      <c r="E13" s="261">
        <v>0</v>
      </c>
      <c r="F13" s="529" t="str">
        <f t="shared" si="1"/>
        <v/>
      </c>
      <c r="G13" s="261">
        <v>0</v>
      </c>
      <c r="H13" s="529">
        <f t="shared" si="2"/>
        <v>0</v>
      </c>
      <c r="I13" s="264">
        <f t="shared" si="3"/>
        <v>243778</v>
      </c>
      <c r="J13" s="264">
        <f t="shared" si="6"/>
        <v>211587</v>
      </c>
      <c r="K13" s="529">
        <f t="shared" si="4"/>
        <v>1.2777990355327271E-2</v>
      </c>
      <c r="L13" s="261">
        <v>40203</v>
      </c>
      <c r="M13" s="261">
        <v>39144</v>
      </c>
      <c r="N13" s="261">
        <v>33380</v>
      </c>
      <c r="O13" s="261">
        <v>26946</v>
      </c>
      <c r="P13" s="261">
        <v>31797</v>
      </c>
      <c r="Q13" s="261">
        <v>17357</v>
      </c>
      <c r="R13" s="261">
        <v>95341</v>
      </c>
      <c r="S13" s="261">
        <v>83449</v>
      </c>
      <c r="T13" s="261">
        <v>43057</v>
      </c>
      <c r="U13" s="261">
        <v>44691</v>
      </c>
      <c r="V13" s="261">
        <v>0</v>
      </c>
      <c r="W13" s="261">
        <v>0</v>
      </c>
      <c r="X13" s="261">
        <v>0</v>
      </c>
      <c r="Y13" s="261">
        <v>0</v>
      </c>
      <c r="Z13" s="662">
        <f t="shared" si="5"/>
        <v>455365</v>
      </c>
    </row>
    <row r="14" spans="1:26" s="258" customFormat="1" ht="26.25" customHeight="1">
      <c r="A14" s="259">
        <v>6</v>
      </c>
      <c r="B14" s="262" t="s">
        <v>293</v>
      </c>
      <c r="C14" s="264">
        <f>+'Loans Receivable'!C82</f>
        <v>155757941</v>
      </c>
      <c r="D14" s="529">
        <f t="shared" si="0"/>
        <v>3.2637408322246868E-2</v>
      </c>
      <c r="E14" s="261">
        <v>0</v>
      </c>
      <c r="F14" s="529" t="str">
        <f t="shared" si="1"/>
        <v/>
      </c>
      <c r="G14" s="261">
        <v>0</v>
      </c>
      <c r="H14" s="529">
        <f t="shared" si="2"/>
        <v>0</v>
      </c>
      <c r="I14" s="264">
        <f t="shared" si="3"/>
        <v>1567196</v>
      </c>
      <c r="J14" s="264">
        <f t="shared" si="6"/>
        <v>194183</v>
      </c>
      <c r="K14" s="529">
        <f t="shared" si="4"/>
        <v>4.9426029391973457E-2</v>
      </c>
      <c r="L14" s="261">
        <v>624013</v>
      </c>
      <c r="M14" s="261">
        <v>63542</v>
      </c>
      <c r="N14" s="261">
        <v>340000</v>
      </c>
      <c r="O14" s="261">
        <v>57336</v>
      </c>
      <c r="P14" s="261">
        <v>333333</v>
      </c>
      <c r="Q14" s="261">
        <v>73305</v>
      </c>
      <c r="R14" s="261">
        <v>269850</v>
      </c>
      <c r="S14" s="261">
        <v>0</v>
      </c>
      <c r="T14" s="261">
        <v>0</v>
      </c>
      <c r="U14" s="261">
        <v>0</v>
      </c>
      <c r="V14" s="261">
        <v>0</v>
      </c>
      <c r="W14" s="261">
        <v>0</v>
      </c>
      <c r="X14" s="261">
        <v>0</v>
      </c>
      <c r="Y14" s="261">
        <v>0</v>
      </c>
      <c r="Z14" s="662">
        <f t="shared" si="5"/>
        <v>1761379</v>
      </c>
    </row>
    <row r="15" spans="1:26" s="258" customFormat="1" ht="26.25" customHeight="1">
      <c r="A15" s="259">
        <v>7</v>
      </c>
      <c r="B15" s="262" t="s">
        <v>294</v>
      </c>
      <c r="C15" s="264">
        <f>+'Loans Receivable'!C83</f>
        <v>2944971984</v>
      </c>
      <c r="D15" s="529">
        <f t="shared" si="0"/>
        <v>0.61708733771323709</v>
      </c>
      <c r="E15" s="261">
        <v>0</v>
      </c>
      <c r="F15" s="529" t="str">
        <f t="shared" si="1"/>
        <v/>
      </c>
      <c r="G15" s="261">
        <v>13835570</v>
      </c>
      <c r="H15" s="529">
        <f t="shared" si="2"/>
        <v>0.98116767546310302</v>
      </c>
      <c r="I15" s="264">
        <f t="shared" si="3"/>
        <v>18967753</v>
      </c>
      <c r="J15" s="264">
        <f t="shared" si="6"/>
        <v>6503698</v>
      </c>
      <c r="K15" s="529">
        <f t="shared" si="4"/>
        <v>0.71475400000920397</v>
      </c>
      <c r="L15" s="261">
        <v>5145347</v>
      </c>
      <c r="M15" s="261">
        <v>1229904</v>
      </c>
      <c r="N15" s="261">
        <v>4965861</v>
      </c>
      <c r="O15" s="261">
        <v>1150359</v>
      </c>
      <c r="P15" s="261">
        <v>2320736</v>
      </c>
      <c r="Q15" s="261">
        <v>1953830</v>
      </c>
      <c r="R15" s="261">
        <v>4675527</v>
      </c>
      <c r="S15" s="261">
        <v>1609456</v>
      </c>
      <c r="T15" s="261">
        <v>1743248</v>
      </c>
      <c r="U15" s="261">
        <v>530014</v>
      </c>
      <c r="V15" s="261">
        <v>117034</v>
      </c>
      <c r="W15" s="261">
        <v>30135</v>
      </c>
      <c r="X15" s="261">
        <v>0</v>
      </c>
      <c r="Y15" s="261">
        <v>0</v>
      </c>
      <c r="Z15" s="662">
        <f t="shared" si="5"/>
        <v>25471451</v>
      </c>
    </row>
    <row r="16" spans="1:26" s="258" customFormat="1" ht="26.25" customHeight="1">
      <c r="A16" s="259">
        <v>8</v>
      </c>
      <c r="B16" s="262" t="s">
        <v>295</v>
      </c>
      <c r="C16" s="264">
        <f>+'Loans Receivable'!C84</f>
        <v>60729562</v>
      </c>
      <c r="D16" s="529">
        <f t="shared" si="0"/>
        <v>1.2725229285261335E-2</v>
      </c>
      <c r="E16" s="261">
        <v>0</v>
      </c>
      <c r="F16" s="529" t="str">
        <f t="shared" si="1"/>
        <v/>
      </c>
      <c r="G16" s="261">
        <v>195035</v>
      </c>
      <c r="H16" s="529">
        <f t="shared" si="2"/>
        <v>1.3831163991360407E-2</v>
      </c>
      <c r="I16" s="264">
        <f t="shared" si="3"/>
        <v>928533</v>
      </c>
      <c r="J16" s="264">
        <f t="shared" si="6"/>
        <v>389211</v>
      </c>
      <c r="K16" s="529">
        <f t="shared" si="4"/>
        <v>3.6977194388656091E-2</v>
      </c>
      <c r="L16" s="261">
        <v>165044</v>
      </c>
      <c r="M16" s="261">
        <v>81454</v>
      </c>
      <c r="N16" s="261">
        <v>223981</v>
      </c>
      <c r="O16" s="261">
        <v>79023</v>
      </c>
      <c r="P16" s="261">
        <v>126983</v>
      </c>
      <c r="Q16" s="261">
        <v>108736</v>
      </c>
      <c r="R16" s="261">
        <v>238633</v>
      </c>
      <c r="S16" s="261">
        <v>80673</v>
      </c>
      <c r="T16" s="261">
        <v>173041</v>
      </c>
      <c r="U16" s="261">
        <v>39325</v>
      </c>
      <c r="V16" s="261">
        <v>851</v>
      </c>
      <c r="W16" s="261">
        <v>0</v>
      </c>
      <c r="X16" s="261">
        <v>0</v>
      </c>
      <c r="Y16" s="261">
        <v>0</v>
      </c>
      <c r="Z16" s="662">
        <f t="shared" si="5"/>
        <v>1317744</v>
      </c>
    </row>
    <row r="17" spans="1:26" s="258" customFormat="1" ht="26.25" customHeight="1">
      <c r="A17" s="259">
        <v>9</v>
      </c>
      <c r="B17" s="263" t="s">
        <v>296</v>
      </c>
      <c r="C17" s="264">
        <f>+'Loans Receivable'!C88</f>
        <v>0</v>
      </c>
      <c r="D17" s="529">
        <f t="shared" si="0"/>
        <v>0</v>
      </c>
      <c r="E17" s="261">
        <v>0</v>
      </c>
      <c r="F17" s="529" t="str">
        <f t="shared" si="1"/>
        <v/>
      </c>
      <c r="G17" s="261">
        <v>0</v>
      </c>
      <c r="H17" s="529">
        <f t="shared" si="2"/>
        <v>0</v>
      </c>
      <c r="I17" s="264">
        <f t="shared" si="3"/>
        <v>0</v>
      </c>
      <c r="J17" s="264">
        <f t="shared" si="6"/>
        <v>0</v>
      </c>
      <c r="K17" s="529">
        <f t="shared" si="4"/>
        <v>0</v>
      </c>
      <c r="L17" s="261">
        <v>0</v>
      </c>
      <c r="M17" s="261">
        <v>0</v>
      </c>
      <c r="N17" s="261">
        <v>0</v>
      </c>
      <c r="O17" s="261">
        <v>0</v>
      </c>
      <c r="P17" s="261">
        <v>0</v>
      </c>
      <c r="Q17" s="261">
        <v>0</v>
      </c>
      <c r="R17" s="261">
        <v>0</v>
      </c>
      <c r="S17" s="261">
        <v>0</v>
      </c>
      <c r="T17" s="261">
        <v>0</v>
      </c>
      <c r="U17" s="261">
        <v>0</v>
      </c>
      <c r="V17" s="261">
        <v>0</v>
      </c>
      <c r="W17" s="261">
        <v>0</v>
      </c>
      <c r="X17" s="261">
        <v>0</v>
      </c>
      <c r="Y17" s="261">
        <v>0</v>
      </c>
      <c r="Z17" s="662">
        <f t="shared" si="5"/>
        <v>0</v>
      </c>
    </row>
    <row r="18" spans="1:26" s="258" customFormat="1" ht="38.25" customHeight="1">
      <c r="A18" s="259">
        <v>10</v>
      </c>
      <c r="B18" s="263" t="s">
        <v>297</v>
      </c>
      <c r="C18" s="264">
        <f>+'Loans Receivable'!C89</f>
        <v>41021338</v>
      </c>
      <c r="D18" s="529">
        <f t="shared" si="0"/>
        <v>8.595582027056339E-3</v>
      </c>
      <c r="E18" s="261">
        <v>0</v>
      </c>
      <c r="F18" s="529" t="str">
        <f t="shared" si="1"/>
        <v/>
      </c>
      <c r="G18" s="261">
        <v>0</v>
      </c>
      <c r="H18" s="529">
        <f t="shared" si="2"/>
        <v>0</v>
      </c>
      <c r="I18" s="264">
        <f t="shared" si="3"/>
        <v>395550</v>
      </c>
      <c r="J18" s="264">
        <f t="shared" si="6"/>
        <v>360966</v>
      </c>
      <c r="K18" s="529">
        <f t="shared" si="4"/>
        <v>2.122858399668566E-2</v>
      </c>
      <c r="L18" s="261">
        <v>59512</v>
      </c>
      <c r="M18" s="261">
        <v>37795</v>
      </c>
      <c r="N18" s="261">
        <v>56090</v>
      </c>
      <c r="O18" s="261">
        <v>63926</v>
      </c>
      <c r="P18" s="261">
        <v>52559</v>
      </c>
      <c r="Q18" s="261">
        <v>57296</v>
      </c>
      <c r="R18" s="261">
        <v>96342</v>
      </c>
      <c r="S18" s="261">
        <v>103036</v>
      </c>
      <c r="T18" s="261">
        <v>111407</v>
      </c>
      <c r="U18" s="261">
        <v>98913</v>
      </c>
      <c r="V18" s="261">
        <v>19640</v>
      </c>
      <c r="W18" s="261">
        <v>0</v>
      </c>
      <c r="X18" s="261">
        <v>0</v>
      </c>
      <c r="Y18" s="261">
        <v>0</v>
      </c>
      <c r="Z18" s="662">
        <f t="shared" si="5"/>
        <v>756516</v>
      </c>
    </row>
    <row r="19" spans="1:26" s="258" customFormat="1" ht="26.25" customHeight="1">
      <c r="A19" s="259">
        <v>11</v>
      </c>
      <c r="B19" s="263" t="s">
        <v>298</v>
      </c>
      <c r="C19" s="264">
        <f>+'Loans Receivable'!C90</f>
        <v>0</v>
      </c>
      <c r="D19" s="529">
        <f t="shared" si="0"/>
        <v>0</v>
      </c>
      <c r="E19" s="261">
        <v>0</v>
      </c>
      <c r="F19" s="529" t="str">
        <f t="shared" si="1"/>
        <v/>
      </c>
      <c r="G19" s="261">
        <v>0</v>
      </c>
      <c r="H19" s="529">
        <f t="shared" si="2"/>
        <v>0</v>
      </c>
      <c r="I19" s="264">
        <f t="shared" si="3"/>
        <v>0</v>
      </c>
      <c r="J19" s="264">
        <f t="shared" si="6"/>
        <v>0</v>
      </c>
      <c r="K19" s="529">
        <f t="shared" si="4"/>
        <v>0</v>
      </c>
      <c r="L19" s="261">
        <v>0</v>
      </c>
      <c r="M19" s="261">
        <v>0</v>
      </c>
      <c r="N19" s="261">
        <v>0</v>
      </c>
      <c r="O19" s="261">
        <v>0</v>
      </c>
      <c r="P19" s="261">
        <v>0</v>
      </c>
      <c r="Q19" s="261">
        <v>0</v>
      </c>
      <c r="R19" s="261">
        <v>0</v>
      </c>
      <c r="S19" s="261">
        <v>0</v>
      </c>
      <c r="T19" s="261">
        <v>0</v>
      </c>
      <c r="U19" s="261">
        <v>0</v>
      </c>
      <c r="V19" s="261">
        <v>0</v>
      </c>
      <c r="W19" s="261">
        <v>0</v>
      </c>
      <c r="X19" s="261">
        <v>0</v>
      </c>
      <c r="Y19" s="261">
        <v>0</v>
      </c>
      <c r="Z19" s="662">
        <f t="shared" si="5"/>
        <v>0</v>
      </c>
    </row>
    <row r="20" spans="1:26" s="258" customFormat="1" ht="26.25" customHeight="1">
      <c r="A20" s="259">
        <v>12</v>
      </c>
      <c r="B20" s="263" t="s">
        <v>299</v>
      </c>
      <c r="C20" s="264">
        <f>+'Loans Receivable'!C91</f>
        <v>199980</v>
      </c>
      <c r="D20" s="529">
        <f t="shared" si="0"/>
        <v>4.1903667154170513E-5</v>
      </c>
      <c r="E20" s="261">
        <v>0</v>
      </c>
      <c r="F20" s="529" t="str">
        <f t="shared" si="1"/>
        <v/>
      </c>
      <c r="G20" s="261">
        <v>66001</v>
      </c>
      <c r="H20" s="529">
        <f t="shared" si="2"/>
        <v>4.6805478739394375E-3</v>
      </c>
      <c r="I20" s="264">
        <f t="shared" si="3"/>
        <v>1207257</v>
      </c>
      <c r="J20" s="264">
        <f>+M20+O20+Q20+S20+U20+W20+Y20</f>
        <v>169001</v>
      </c>
      <c r="K20" s="529">
        <f t="shared" si="4"/>
        <v>3.8619154854769251E-2</v>
      </c>
      <c r="L20" s="528">
        <v>421163</v>
      </c>
      <c r="M20" s="528">
        <v>53972</v>
      </c>
      <c r="N20" s="528">
        <v>261730</v>
      </c>
      <c r="O20" s="528">
        <v>41255</v>
      </c>
      <c r="P20" s="528">
        <v>164867</v>
      </c>
      <c r="Q20" s="528">
        <v>26488</v>
      </c>
      <c r="R20" s="528">
        <v>250213</v>
      </c>
      <c r="S20" s="528">
        <v>31262</v>
      </c>
      <c r="T20" s="528">
        <v>94595</v>
      </c>
      <c r="U20" s="261">
        <v>15778</v>
      </c>
      <c r="V20" s="261">
        <v>14689</v>
      </c>
      <c r="W20" s="261">
        <v>246</v>
      </c>
      <c r="X20" s="261">
        <v>0</v>
      </c>
      <c r="Y20" s="261">
        <v>0</v>
      </c>
      <c r="Z20" s="662">
        <f t="shared" si="5"/>
        <v>1376258</v>
      </c>
    </row>
    <row r="21" spans="1:26" s="258" customFormat="1" ht="18.75" customHeight="1">
      <c r="A21" s="259"/>
      <c r="B21" s="260"/>
      <c r="C21" s="264"/>
      <c r="D21" s="529"/>
      <c r="E21" s="530"/>
      <c r="F21" s="529"/>
      <c r="G21" s="530"/>
      <c r="H21" s="529"/>
      <c r="I21" s="264"/>
      <c r="J21" s="531"/>
      <c r="K21" s="529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662">
        <f t="shared" si="5"/>
        <v>0</v>
      </c>
    </row>
    <row r="22" spans="1:26" s="258" customFormat="1" ht="27.75" customHeight="1">
      <c r="A22" s="579">
        <v>13</v>
      </c>
      <c r="B22" s="579" t="s">
        <v>300</v>
      </c>
      <c r="C22" s="580">
        <f>SUM(C9:C20)</f>
        <v>4772374677</v>
      </c>
      <c r="D22" s="581">
        <f>IF(C$22=0,"",C22/C$22)</f>
        <v>1</v>
      </c>
      <c r="E22" s="580">
        <f>SUM(E9:E20)</f>
        <v>0</v>
      </c>
      <c r="F22" s="581" t="str">
        <f>IF(E$22=0,"",E22/E$22)</f>
        <v/>
      </c>
      <c r="G22" s="580">
        <f>SUM(G9:G20)</f>
        <v>14101127</v>
      </c>
      <c r="H22" s="581">
        <f>IF($G$22=0,"",G22/$G$22)</f>
        <v>1</v>
      </c>
      <c r="I22" s="580">
        <f>SUM(I9:I20)</f>
        <v>25522501</v>
      </c>
      <c r="J22" s="580">
        <f>SUM(J9:J20)</f>
        <v>10114167</v>
      </c>
      <c r="K22" s="581">
        <f>IF($Z$22=0,"",Z22/$Z$22)</f>
        <v>1</v>
      </c>
      <c r="L22" s="580">
        <f t="shared" ref="L22:Y22" si="7">SUM(L9:L20)</f>
        <v>7289253</v>
      </c>
      <c r="M22" s="580">
        <f t="shared" si="7"/>
        <v>2123686</v>
      </c>
      <c r="N22" s="580">
        <f t="shared" si="7"/>
        <v>6300331</v>
      </c>
      <c r="O22" s="580">
        <f t="shared" si="7"/>
        <v>1904928</v>
      </c>
      <c r="P22" s="580">
        <f t="shared" si="7"/>
        <v>3282916</v>
      </c>
      <c r="Q22" s="580">
        <f t="shared" si="7"/>
        <v>2524889</v>
      </c>
      <c r="R22" s="580">
        <f t="shared" si="7"/>
        <v>6047999</v>
      </c>
      <c r="S22" s="580">
        <f t="shared" si="7"/>
        <v>2478122</v>
      </c>
      <c r="T22" s="580">
        <f t="shared" si="7"/>
        <v>2418687</v>
      </c>
      <c r="U22" s="580">
        <f t="shared" si="7"/>
        <v>1035208</v>
      </c>
      <c r="V22" s="580">
        <f t="shared" si="7"/>
        <v>183315</v>
      </c>
      <c r="W22" s="580">
        <f t="shared" si="7"/>
        <v>47334</v>
      </c>
      <c r="X22" s="580">
        <f t="shared" si="7"/>
        <v>0</v>
      </c>
      <c r="Y22" s="580">
        <f t="shared" si="7"/>
        <v>0</v>
      </c>
      <c r="Z22" s="662">
        <f t="shared" si="5"/>
        <v>35636668</v>
      </c>
    </row>
    <row r="23" spans="1:26" s="258" customFormat="1" ht="18.75" customHeight="1">
      <c r="A23" s="259"/>
      <c r="B23" s="260"/>
      <c r="C23" s="264"/>
      <c r="D23" s="532"/>
      <c r="E23" s="530"/>
      <c r="F23" s="531"/>
      <c r="G23" s="530"/>
      <c r="H23" s="532"/>
      <c r="I23" s="264"/>
      <c r="J23" s="531"/>
      <c r="K23" s="532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662">
        <f t="shared" si="5"/>
        <v>0</v>
      </c>
    </row>
    <row r="24" spans="1:26" s="258" customFormat="1" ht="27.75" customHeight="1">
      <c r="A24" s="579"/>
      <c r="B24" s="579" t="s">
        <v>301</v>
      </c>
      <c r="C24" s="579"/>
      <c r="D24" s="579"/>
      <c r="E24" s="579"/>
      <c r="F24" s="579" t="str">
        <f>IF(E$22=0,"",E24/E$22)</f>
        <v/>
      </c>
      <c r="G24" s="579"/>
      <c r="H24" s="579"/>
      <c r="I24" s="579"/>
      <c r="J24" s="579"/>
      <c r="K24" s="579"/>
      <c r="L24" s="579"/>
      <c r="M24" s="579"/>
      <c r="N24" s="579"/>
      <c r="O24" s="579"/>
      <c r="P24" s="579"/>
      <c r="Q24" s="579"/>
      <c r="R24" s="579"/>
      <c r="S24" s="579"/>
      <c r="T24" s="579"/>
      <c r="U24" s="579"/>
      <c r="V24" s="579"/>
      <c r="W24" s="579"/>
      <c r="X24" s="579"/>
      <c r="Y24" s="579"/>
      <c r="Z24" s="661">
        <f t="shared" si="5"/>
        <v>0</v>
      </c>
    </row>
    <row r="25" spans="1:26" s="258" customFormat="1" ht="26.25" customHeight="1">
      <c r="A25" s="259">
        <v>14</v>
      </c>
      <c r="B25" s="265" t="s">
        <v>245</v>
      </c>
      <c r="C25" s="264">
        <f>+'Loans Receivable'!C15</f>
        <v>1227702645</v>
      </c>
      <c r="D25" s="529">
        <f t="shared" ref="D25:D32" si="8">IF(C$34=0,"",C25/C$34)</f>
        <v>0.25725194019589337</v>
      </c>
      <c r="E25" s="261">
        <v>0</v>
      </c>
      <c r="F25" s="529" t="str">
        <f t="shared" ref="F25:F32" si="9">IF($E$34=0,"",E25/$E$34)</f>
        <v/>
      </c>
      <c r="G25" s="261">
        <v>1533410</v>
      </c>
      <c r="H25" s="529">
        <f t="shared" ref="H25:H32" si="10">IF($G$34=0,"",G25/$G$34)</f>
        <v>0.10874379047859083</v>
      </c>
      <c r="I25" s="264">
        <f t="shared" ref="I25:I32" si="11">+L25+N25+P25+R25+T25+V25+X25</f>
        <v>7581240</v>
      </c>
      <c r="J25" s="264">
        <f t="shared" ref="J25:J32" si="12">+M25+O25+Q25+S25+U25+W25+Y25</f>
        <v>1351885</v>
      </c>
      <c r="K25" s="529">
        <f t="shared" ref="K25:K32" si="13">IF($Z$34=0,"",Z25/$Z$34)</f>
        <v>0.25067228507446321</v>
      </c>
      <c r="L25" s="528">
        <v>2303900</v>
      </c>
      <c r="M25" s="528">
        <v>291997</v>
      </c>
      <c r="N25" s="528">
        <v>1421991</v>
      </c>
      <c r="O25" s="528">
        <v>358068</v>
      </c>
      <c r="P25" s="528">
        <v>1167105</v>
      </c>
      <c r="Q25" s="528">
        <v>465939</v>
      </c>
      <c r="R25" s="528">
        <v>2352140</v>
      </c>
      <c r="S25" s="528">
        <v>182878</v>
      </c>
      <c r="T25" s="528">
        <v>310770</v>
      </c>
      <c r="U25" s="261">
        <v>52762</v>
      </c>
      <c r="V25" s="261">
        <v>25334</v>
      </c>
      <c r="W25" s="261">
        <v>241</v>
      </c>
      <c r="X25" s="261">
        <v>0</v>
      </c>
      <c r="Y25" s="261">
        <v>0</v>
      </c>
      <c r="Z25" s="662">
        <f t="shared" si="5"/>
        <v>8933125</v>
      </c>
    </row>
    <row r="26" spans="1:26" s="258" customFormat="1" ht="26.25" customHeight="1">
      <c r="A26" s="259">
        <v>15</v>
      </c>
      <c r="B26" s="265" t="s">
        <v>253</v>
      </c>
      <c r="C26" s="264">
        <f>+'Loans Receivable'!C24</f>
        <v>1053139722</v>
      </c>
      <c r="D26" s="529">
        <f t="shared" si="8"/>
        <v>0.22067414930254856</v>
      </c>
      <c r="E26" s="261">
        <v>0</v>
      </c>
      <c r="F26" s="529" t="str">
        <f t="shared" si="9"/>
        <v/>
      </c>
      <c r="G26" s="261">
        <v>327911</v>
      </c>
      <c r="H26" s="529">
        <f t="shared" si="10"/>
        <v>2.3254240600769003E-2</v>
      </c>
      <c r="I26" s="264">
        <f t="shared" si="11"/>
        <v>3443159</v>
      </c>
      <c r="J26" s="264">
        <f t="shared" si="12"/>
        <v>1609868</v>
      </c>
      <c r="K26" s="529">
        <f t="shared" si="13"/>
        <v>0.14179291397276536</v>
      </c>
      <c r="L26" s="261">
        <v>924471</v>
      </c>
      <c r="M26" s="261">
        <v>272066</v>
      </c>
      <c r="N26" s="261">
        <v>771720</v>
      </c>
      <c r="O26" s="261">
        <v>224950</v>
      </c>
      <c r="P26" s="261">
        <v>526413</v>
      </c>
      <c r="Q26" s="261">
        <v>515942</v>
      </c>
      <c r="R26" s="261">
        <v>713308</v>
      </c>
      <c r="S26" s="261">
        <v>501395</v>
      </c>
      <c r="T26" s="261">
        <v>506396</v>
      </c>
      <c r="U26" s="261">
        <v>95515</v>
      </c>
      <c r="V26" s="261">
        <v>851</v>
      </c>
      <c r="W26" s="261">
        <v>0</v>
      </c>
      <c r="X26" s="261">
        <v>0</v>
      </c>
      <c r="Y26" s="261">
        <v>0</v>
      </c>
      <c r="Z26" s="662">
        <f t="shared" si="5"/>
        <v>5053027</v>
      </c>
    </row>
    <row r="27" spans="1:26" s="258" customFormat="1" ht="26.25" customHeight="1">
      <c r="A27" s="259">
        <v>16</v>
      </c>
      <c r="B27" s="265" t="s">
        <v>256</v>
      </c>
      <c r="C27" s="264">
        <f>+'Loans Receivable'!C32</f>
        <v>456257816</v>
      </c>
      <c r="D27" s="529">
        <f t="shared" si="8"/>
        <v>9.5603938684632322E-2</v>
      </c>
      <c r="E27" s="261">
        <v>0</v>
      </c>
      <c r="F27" s="529" t="str">
        <f t="shared" si="9"/>
        <v/>
      </c>
      <c r="G27" s="261">
        <v>143655</v>
      </c>
      <c r="H27" s="529">
        <f t="shared" si="10"/>
        <v>1.0187483596169299E-2</v>
      </c>
      <c r="I27" s="264">
        <f t="shared" si="11"/>
        <v>1544539</v>
      </c>
      <c r="J27" s="264">
        <f t="shared" si="12"/>
        <v>178538</v>
      </c>
      <c r="K27" s="529">
        <f t="shared" si="13"/>
        <v>4.8351237551164994E-2</v>
      </c>
      <c r="L27" s="261">
        <v>590835</v>
      </c>
      <c r="M27" s="261">
        <v>64152</v>
      </c>
      <c r="N27" s="261">
        <v>539960</v>
      </c>
      <c r="O27" s="261">
        <v>39370</v>
      </c>
      <c r="P27" s="261">
        <v>127855</v>
      </c>
      <c r="Q27" s="261">
        <v>31718</v>
      </c>
      <c r="R27" s="261">
        <v>167870</v>
      </c>
      <c r="S27" s="261">
        <v>43298</v>
      </c>
      <c r="T27" s="261">
        <v>118019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Z27" s="662">
        <f t="shared" si="5"/>
        <v>1723077</v>
      </c>
    </row>
    <row r="28" spans="1:26" s="258" customFormat="1" ht="26.25" customHeight="1">
      <c r="A28" s="259">
        <v>17</v>
      </c>
      <c r="B28" s="265" t="s">
        <v>258</v>
      </c>
      <c r="C28" s="264">
        <f>+'Loans Receivable'!C40</f>
        <v>278011863</v>
      </c>
      <c r="D28" s="529">
        <f t="shared" si="8"/>
        <v>5.8254408301144374E-2</v>
      </c>
      <c r="E28" s="261">
        <v>0</v>
      </c>
      <c r="F28" s="529" t="str">
        <f t="shared" si="9"/>
        <v/>
      </c>
      <c r="G28" s="261">
        <v>7219621</v>
      </c>
      <c r="H28" s="529">
        <f t="shared" si="10"/>
        <v>0.51198893535247214</v>
      </c>
      <c r="I28" s="264">
        <f t="shared" si="11"/>
        <v>2435627</v>
      </c>
      <c r="J28" s="264">
        <f t="shared" si="12"/>
        <v>812994</v>
      </c>
      <c r="K28" s="529">
        <f t="shared" si="13"/>
        <v>9.1159504586680221E-2</v>
      </c>
      <c r="L28" s="261">
        <v>470940</v>
      </c>
      <c r="M28" s="261">
        <v>167671</v>
      </c>
      <c r="N28" s="261">
        <v>1631843</v>
      </c>
      <c r="O28" s="261">
        <v>152022</v>
      </c>
      <c r="P28" s="261">
        <v>133388</v>
      </c>
      <c r="Q28" s="261">
        <v>329706</v>
      </c>
      <c r="R28" s="261">
        <v>104069</v>
      </c>
      <c r="S28" s="261">
        <v>136612</v>
      </c>
      <c r="T28" s="261">
        <v>89178</v>
      </c>
      <c r="U28" s="261">
        <v>24252</v>
      </c>
      <c r="V28" s="261">
        <v>6209</v>
      </c>
      <c r="W28" s="261">
        <v>2731</v>
      </c>
      <c r="X28" s="261">
        <v>0</v>
      </c>
      <c r="Y28" s="261">
        <v>0</v>
      </c>
      <c r="Z28" s="662">
        <f t="shared" si="5"/>
        <v>3248621</v>
      </c>
    </row>
    <row r="29" spans="1:26" s="258" customFormat="1" ht="26.25" customHeight="1">
      <c r="A29" s="259">
        <v>18</v>
      </c>
      <c r="B29" s="266" t="s">
        <v>260</v>
      </c>
      <c r="C29" s="264">
        <f>+'Loans Receivable'!C48</f>
        <v>434569981</v>
      </c>
      <c r="D29" s="529">
        <f t="shared" si="8"/>
        <v>9.1059485143605373E-2</v>
      </c>
      <c r="E29" s="261">
        <v>0</v>
      </c>
      <c r="F29" s="529" t="str">
        <f t="shared" si="9"/>
        <v/>
      </c>
      <c r="G29" s="261">
        <v>3353953</v>
      </c>
      <c r="H29" s="529">
        <f t="shared" si="10"/>
        <v>0.23784999596131573</v>
      </c>
      <c r="I29" s="264">
        <f t="shared" si="11"/>
        <v>4607433</v>
      </c>
      <c r="J29" s="264">
        <f t="shared" si="12"/>
        <v>1416597</v>
      </c>
      <c r="K29" s="529">
        <f t="shared" si="13"/>
        <v>0.16904021442184214</v>
      </c>
      <c r="L29" s="261">
        <v>1144406</v>
      </c>
      <c r="M29" s="261">
        <v>304383</v>
      </c>
      <c r="N29" s="261">
        <v>717843</v>
      </c>
      <c r="O29" s="261">
        <v>263771</v>
      </c>
      <c r="P29" s="261">
        <v>614693</v>
      </c>
      <c r="Q29" s="261">
        <v>520797</v>
      </c>
      <c r="R29" s="261">
        <v>1438666</v>
      </c>
      <c r="S29" s="261">
        <v>257375</v>
      </c>
      <c r="T29" s="261">
        <v>615674</v>
      </c>
      <c r="U29" s="261">
        <v>70271</v>
      </c>
      <c r="V29" s="261">
        <v>76151</v>
      </c>
      <c r="W29" s="261">
        <v>0</v>
      </c>
      <c r="X29" s="261">
        <v>0</v>
      </c>
      <c r="Y29" s="261">
        <v>0</v>
      </c>
      <c r="Z29" s="662">
        <f t="shared" si="5"/>
        <v>6024030</v>
      </c>
    </row>
    <row r="30" spans="1:26" s="258" customFormat="1" ht="38.25" customHeight="1">
      <c r="A30" s="259">
        <v>19</v>
      </c>
      <c r="B30" s="266" t="s">
        <v>262</v>
      </c>
      <c r="C30" s="264">
        <f>+'Loans Receivable'!C56</f>
        <v>606092084</v>
      </c>
      <c r="D30" s="529">
        <f t="shared" si="8"/>
        <v>0.12700010477404516</v>
      </c>
      <c r="E30" s="261">
        <v>0</v>
      </c>
      <c r="F30" s="529" t="str">
        <f t="shared" si="9"/>
        <v/>
      </c>
      <c r="G30" s="261">
        <v>0</v>
      </c>
      <c r="H30" s="529">
        <f t="shared" si="10"/>
        <v>0</v>
      </c>
      <c r="I30" s="264">
        <f t="shared" si="11"/>
        <v>0</v>
      </c>
      <c r="J30" s="264">
        <f t="shared" si="12"/>
        <v>0</v>
      </c>
      <c r="K30" s="529">
        <f t="shared" si="13"/>
        <v>0</v>
      </c>
      <c r="L30" s="261">
        <v>0</v>
      </c>
      <c r="M30" s="261">
        <v>0</v>
      </c>
      <c r="N30" s="261">
        <v>0</v>
      </c>
      <c r="O30" s="261">
        <v>0</v>
      </c>
      <c r="P30" s="261">
        <v>0</v>
      </c>
      <c r="Q30" s="261">
        <v>0</v>
      </c>
      <c r="R30" s="261">
        <v>0</v>
      </c>
      <c r="S30" s="261">
        <v>0</v>
      </c>
      <c r="T30" s="261">
        <v>0</v>
      </c>
      <c r="U30" s="261">
        <v>0</v>
      </c>
      <c r="V30" s="261">
        <v>0</v>
      </c>
      <c r="W30" s="261">
        <v>0</v>
      </c>
      <c r="X30" s="261">
        <v>0</v>
      </c>
      <c r="Y30" s="261">
        <v>0</v>
      </c>
      <c r="Z30" s="662">
        <f t="shared" si="5"/>
        <v>0</v>
      </c>
    </row>
    <row r="31" spans="1:26" s="258" customFormat="1" ht="26.25" customHeight="1">
      <c r="A31" s="259">
        <v>20</v>
      </c>
      <c r="B31" s="265" t="s">
        <v>264</v>
      </c>
      <c r="C31" s="264">
        <f>+'Loans Receivable'!C65</f>
        <v>100878106</v>
      </c>
      <c r="D31" s="529">
        <f t="shared" si="8"/>
        <v>2.1137926677503405E-2</v>
      </c>
      <c r="E31" s="261">
        <v>0</v>
      </c>
      <c r="F31" s="529" t="str">
        <f t="shared" si="9"/>
        <v/>
      </c>
      <c r="G31" s="261">
        <v>0</v>
      </c>
      <c r="H31" s="529">
        <f t="shared" si="10"/>
        <v>0</v>
      </c>
      <c r="I31" s="264">
        <f t="shared" si="11"/>
        <v>130000</v>
      </c>
      <c r="J31" s="264">
        <f t="shared" si="12"/>
        <v>22001</v>
      </c>
      <c r="K31" s="529">
        <f t="shared" si="13"/>
        <v>4.2652977545487702E-3</v>
      </c>
      <c r="L31" s="261">
        <v>71667</v>
      </c>
      <c r="M31" s="261">
        <v>8163</v>
      </c>
      <c r="N31" s="261">
        <v>58333</v>
      </c>
      <c r="O31" s="261">
        <v>7488</v>
      </c>
      <c r="P31" s="261">
        <v>0</v>
      </c>
      <c r="Q31" s="261">
        <v>6350</v>
      </c>
      <c r="R31" s="261">
        <v>0</v>
      </c>
      <c r="S31" s="261">
        <v>0</v>
      </c>
      <c r="T31" s="261">
        <v>0</v>
      </c>
      <c r="U31" s="261">
        <v>0</v>
      </c>
      <c r="V31" s="261">
        <v>0</v>
      </c>
      <c r="W31" s="261">
        <v>0</v>
      </c>
      <c r="X31" s="261">
        <v>0</v>
      </c>
      <c r="Y31" s="261">
        <v>0</v>
      </c>
      <c r="Z31" s="662">
        <f t="shared" si="5"/>
        <v>152001</v>
      </c>
    </row>
    <row r="32" spans="1:26" s="258" customFormat="1" ht="26.25" customHeight="1">
      <c r="A32" s="259">
        <v>21</v>
      </c>
      <c r="B32" s="265" t="s">
        <v>302</v>
      </c>
      <c r="C32" s="264">
        <f>+'Loans Receivable'!C78</f>
        <v>615722460</v>
      </c>
      <c r="D32" s="529">
        <f t="shared" si="8"/>
        <v>0.1290180469206274</v>
      </c>
      <c r="E32" s="261">
        <v>0</v>
      </c>
      <c r="F32" s="529" t="str">
        <f t="shared" si="9"/>
        <v/>
      </c>
      <c r="G32" s="261">
        <v>1522577</v>
      </c>
      <c r="H32" s="529">
        <f t="shared" si="10"/>
        <v>0.10797555401068297</v>
      </c>
      <c r="I32" s="264">
        <f t="shared" si="11"/>
        <v>5780503</v>
      </c>
      <c r="J32" s="264">
        <f t="shared" si="12"/>
        <v>4722284</v>
      </c>
      <c r="K32" s="529">
        <f t="shared" si="13"/>
        <v>0.29471854663853536</v>
      </c>
      <c r="L32" s="261">
        <v>1783034</v>
      </c>
      <c r="M32" s="261">
        <v>1015254</v>
      </c>
      <c r="N32" s="261">
        <v>1158641</v>
      </c>
      <c r="O32" s="261">
        <v>859259</v>
      </c>
      <c r="P32" s="261">
        <v>713462</v>
      </c>
      <c r="Q32" s="261">
        <v>654437</v>
      </c>
      <c r="R32" s="261">
        <v>1271946</v>
      </c>
      <c r="S32" s="261">
        <v>1356564</v>
      </c>
      <c r="T32" s="261">
        <v>778650</v>
      </c>
      <c r="U32" s="261">
        <v>792408</v>
      </c>
      <c r="V32" s="261">
        <v>74770</v>
      </c>
      <c r="W32" s="261">
        <v>44362</v>
      </c>
      <c r="X32" s="261">
        <v>0</v>
      </c>
      <c r="Y32" s="261">
        <v>0</v>
      </c>
      <c r="Z32" s="662">
        <f t="shared" si="5"/>
        <v>10502787</v>
      </c>
    </row>
    <row r="33" spans="1:26" s="258" customFormat="1" ht="18.75" customHeight="1">
      <c r="A33" s="259"/>
      <c r="B33" s="260"/>
      <c r="C33" s="264"/>
      <c r="D33" s="529"/>
      <c r="E33" s="530"/>
      <c r="F33" s="529"/>
      <c r="G33" s="530"/>
      <c r="H33" s="529"/>
      <c r="I33" s="264"/>
      <c r="J33" s="531"/>
      <c r="K33" s="529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662">
        <f t="shared" si="5"/>
        <v>0</v>
      </c>
    </row>
    <row r="34" spans="1:26" s="258" customFormat="1" ht="27.75" customHeight="1">
      <c r="A34" s="579">
        <v>22</v>
      </c>
      <c r="B34" s="579" t="s">
        <v>300</v>
      </c>
      <c r="C34" s="580">
        <f>SUM(C25:C32)</f>
        <v>4772374677</v>
      </c>
      <c r="D34" s="581">
        <f>IF(C$34=0,"",C34/C$34)</f>
        <v>1</v>
      </c>
      <c r="E34" s="580">
        <f>SUM(E25:E32)</f>
        <v>0</v>
      </c>
      <c r="F34" s="581" t="str">
        <f>IF($E$34=0,"",E34/$E$34)</f>
        <v/>
      </c>
      <c r="G34" s="580">
        <f>SUM(G25:G32)</f>
        <v>14101127</v>
      </c>
      <c r="H34" s="581">
        <f>IF($G$34=0,"",G34/$G$34)</f>
        <v>1</v>
      </c>
      <c r="I34" s="580">
        <f t="shared" ref="I34:Y34" si="14">SUM(I25:I32)</f>
        <v>25522501</v>
      </c>
      <c r="J34" s="580">
        <f t="shared" si="14"/>
        <v>10114167</v>
      </c>
      <c r="K34" s="581">
        <f>IF($Z$34=0,"",Z34/$Z$34)</f>
        <v>1</v>
      </c>
      <c r="L34" s="580">
        <f t="shared" si="14"/>
        <v>7289253</v>
      </c>
      <c r="M34" s="580">
        <f t="shared" si="14"/>
        <v>2123686</v>
      </c>
      <c r="N34" s="580">
        <f t="shared" si="14"/>
        <v>6300331</v>
      </c>
      <c r="O34" s="580">
        <f t="shared" si="14"/>
        <v>1904928</v>
      </c>
      <c r="P34" s="580">
        <f t="shared" si="14"/>
        <v>3282916</v>
      </c>
      <c r="Q34" s="580">
        <f t="shared" si="14"/>
        <v>2524889</v>
      </c>
      <c r="R34" s="580">
        <f t="shared" si="14"/>
        <v>6047999</v>
      </c>
      <c r="S34" s="580">
        <f t="shared" si="14"/>
        <v>2478122</v>
      </c>
      <c r="T34" s="580">
        <f t="shared" si="14"/>
        <v>2418687</v>
      </c>
      <c r="U34" s="580">
        <f t="shared" si="14"/>
        <v>1035208</v>
      </c>
      <c r="V34" s="580">
        <f t="shared" si="14"/>
        <v>183315</v>
      </c>
      <c r="W34" s="580">
        <f t="shared" si="14"/>
        <v>47334</v>
      </c>
      <c r="X34" s="580">
        <f t="shared" si="14"/>
        <v>0</v>
      </c>
      <c r="Y34" s="580">
        <f t="shared" si="14"/>
        <v>0</v>
      </c>
      <c r="Z34" s="662">
        <f t="shared" si="5"/>
        <v>35636668</v>
      </c>
    </row>
    <row r="35" spans="1:26" ht="15.75">
      <c r="A35" s="267"/>
    </row>
    <row r="36" spans="1:26" ht="15.75">
      <c r="A36" s="267"/>
    </row>
    <row r="37" spans="1:26" ht="15.75">
      <c r="A37" s="267"/>
      <c r="B37" s="268" t="s">
        <v>4</v>
      </c>
    </row>
    <row r="38" spans="1:26" ht="15.75">
      <c r="A38" s="267"/>
      <c r="B38" s="268"/>
    </row>
    <row r="39" spans="1:26" ht="15.75">
      <c r="A39" s="267"/>
      <c r="B39" s="268" t="s">
        <v>5</v>
      </c>
    </row>
  </sheetData>
  <sheetProtection password="CA76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8" type="noConversion"/>
  <conditionalFormatting sqref="C34 E34 G34 I34:J34 L34:Y34">
    <cfRule type="cellIs" dxfId="335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 xr:uid="{00000000-0002-0000-0C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0">
    <pageSetUpPr fitToPage="1"/>
  </sheetPr>
  <dimension ref="A1:CH89"/>
  <sheetViews>
    <sheetView view="pageBreakPreview" zoomScale="70" zoomScaleNormal="70" zoomScaleSheetLayoutView="70" workbookViewId="0">
      <pane xSplit="2" ySplit="5" topLeftCell="C63" activePane="bottomRight" state="frozen"/>
      <selection activeCell="B32" sqref="B32"/>
      <selection pane="topRight" activeCell="B32" sqref="B32"/>
      <selection pane="bottomLeft" activeCell="B32" sqref="B32"/>
      <selection pane="bottomRight" activeCell="F56" sqref="F56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2" width="14.7109375" style="1" customWidth="1"/>
    <col min="23" max="23" width="14.42578125" style="1" customWidth="1"/>
    <col min="24" max="24" width="12.42578125" style="1" customWidth="1"/>
    <col min="25" max="25" width="16.85546875" style="1" bestFit="1" customWidth="1"/>
    <col min="26" max="26" width="14.7109375" style="1" customWidth="1"/>
    <col min="27" max="27" width="16.5703125" style="660" customWidth="1"/>
    <col min="28" max="35" width="9.42578125" style="660"/>
    <col min="36" max="84" width="9.42578125" style="1"/>
    <col min="85" max="86" width="9.42578125" style="1" customWidth="1"/>
    <col min="87" max="16384" width="9.42578125" style="1"/>
  </cols>
  <sheetData>
    <row r="1" spans="1:86" ht="21" customHeight="1">
      <c r="A1" s="28" t="s">
        <v>1222</v>
      </c>
      <c r="B1" s="26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32" t="s">
        <v>1043</v>
      </c>
      <c r="X1" s="25"/>
      <c r="Y1" s="25"/>
      <c r="Z1" s="25"/>
    </row>
    <row r="2" spans="1:86" ht="15.75">
      <c r="A2" s="20"/>
      <c r="B2" s="466" t="str">
        <f>Balance!B3</f>
        <v>АКБ "Микрокредитбанк"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 t="str">
        <f>+Balance!B2</f>
        <v xml:space="preserve"> 30 Декабрь, 2019</v>
      </c>
      <c r="V2" s="20"/>
      <c r="W2" s="465"/>
      <c r="X2" s="20"/>
      <c r="Y2" s="20"/>
      <c r="Z2" s="20" t="str">
        <f>+Balance!E3</f>
        <v>тыс. сум</v>
      </c>
    </row>
    <row r="3" spans="1:86" ht="137.25" customHeight="1">
      <c r="A3" s="29" t="s">
        <v>161</v>
      </c>
      <c r="B3" s="30" t="s">
        <v>303</v>
      </c>
      <c r="C3" s="70" t="s">
        <v>304</v>
      </c>
      <c r="D3" s="70" t="s">
        <v>803</v>
      </c>
      <c r="E3" s="70" t="s">
        <v>305</v>
      </c>
      <c r="F3" s="70" t="s">
        <v>803</v>
      </c>
      <c r="G3" s="70" t="s">
        <v>130</v>
      </c>
      <c r="H3" s="70" t="s">
        <v>803</v>
      </c>
      <c r="I3" s="70" t="s">
        <v>306</v>
      </c>
      <c r="J3" s="70" t="s">
        <v>803</v>
      </c>
      <c r="K3" s="70" t="s">
        <v>62</v>
      </c>
      <c r="L3" s="70" t="s">
        <v>803</v>
      </c>
      <c r="M3" s="70" t="s">
        <v>26</v>
      </c>
      <c r="N3" s="70" t="s">
        <v>803</v>
      </c>
      <c r="O3" s="70" t="s">
        <v>63</v>
      </c>
      <c r="P3" s="70" t="s">
        <v>803</v>
      </c>
      <c r="Q3" s="70" t="s">
        <v>307</v>
      </c>
      <c r="R3" s="70" t="s">
        <v>803</v>
      </c>
      <c r="S3" s="70" t="s">
        <v>64</v>
      </c>
      <c r="T3" s="70" t="s">
        <v>803</v>
      </c>
      <c r="U3" s="70" t="s">
        <v>308</v>
      </c>
      <c r="V3" s="70" t="s">
        <v>803</v>
      </c>
      <c r="W3" s="70" t="s">
        <v>27</v>
      </c>
      <c r="X3" s="70" t="s">
        <v>803</v>
      </c>
      <c r="Y3" s="70" t="s">
        <v>108</v>
      </c>
      <c r="Z3" s="70" t="s">
        <v>803</v>
      </c>
    </row>
    <row r="4" spans="1:86" s="139" customFormat="1" ht="25.5">
      <c r="A4" s="138" t="s">
        <v>234</v>
      </c>
      <c r="B4" s="138" t="s">
        <v>133</v>
      </c>
      <c r="C4" s="138" t="s">
        <v>134</v>
      </c>
      <c r="D4" s="138" t="s">
        <v>805</v>
      </c>
      <c r="E4" s="138" t="s">
        <v>135</v>
      </c>
      <c r="F4" s="138" t="s">
        <v>806</v>
      </c>
      <c r="G4" s="138" t="s">
        <v>163</v>
      </c>
      <c r="H4" s="138" t="s">
        <v>807</v>
      </c>
      <c r="I4" s="138" t="s">
        <v>164</v>
      </c>
      <c r="J4" s="138" t="s">
        <v>808</v>
      </c>
      <c r="K4" s="138" t="s">
        <v>187</v>
      </c>
      <c r="L4" s="138" t="s">
        <v>809</v>
      </c>
      <c r="M4" s="138" t="s">
        <v>235</v>
      </c>
      <c r="N4" s="138" t="s">
        <v>810</v>
      </c>
      <c r="O4" s="138" t="s">
        <v>236</v>
      </c>
      <c r="P4" s="138" t="s">
        <v>811</v>
      </c>
      <c r="Q4" s="138" t="s">
        <v>237</v>
      </c>
      <c r="R4" s="138" t="s">
        <v>812</v>
      </c>
      <c r="S4" s="138" t="s">
        <v>238</v>
      </c>
      <c r="T4" s="138" t="s">
        <v>813</v>
      </c>
      <c r="U4" s="138" t="s">
        <v>239</v>
      </c>
      <c r="V4" s="138" t="s">
        <v>814</v>
      </c>
      <c r="W4" s="138" t="s">
        <v>240</v>
      </c>
      <c r="X4" s="138" t="s">
        <v>815</v>
      </c>
      <c r="Y4" s="138" t="s">
        <v>107</v>
      </c>
      <c r="Z4" s="138" t="s">
        <v>816</v>
      </c>
      <c r="AA4" s="661"/>
      <c r="AB4" s="661"/>
      <c r="AC4" s="661"/>
      <c r="AD4" s="661"/>
      <c r="AE4" s="661"/>
      <c r="AF4" s="661"/>
      <c r="AG4" s="661"/>
      <c r="AH4" s="661"/>
      <c r="AI4" s="661"/>
    </row>
    <row r="5" spans="1:86" s="139" customFormat="1" ht="27.75" customHeight="1">
      <c r="A5" s="583"/>
      <c r="B5" s="583" t="s">
        <v>287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  <c r="M5" s="583"/>
      <c r="N5" s="583"/>
      <c r="O5" s="583"/>
      <c r="P5" s="583"/>
      <c r="Q5" s="583"/>
      <c r="R5" s="583"/>
      <c r="S5" s="583"/>
      <c r="T5" s="583"/>
      <c r="U5" s="583"/>
      <c r="V5" s="583"/>
      <c r="W5" s="583"/>
      <c r="X5" s="583"/>
      <c r="Y5" s="583"/>
      <c r="Z5" s="583"/>
      <c r="AA5" s="661"/>
      <c r="AB5" s="661"/>
      <c r="AC5" s="661"/>
      <c r="AD5" s="661"/>
      <c r="AE5" s="661"/>
      <c r="AF5" s="661"/>
      <c r="AG5" s="661"/>
      <c r="AH5" s="661"/>
      <c r="AI5" s="661"/>
    </row>
    <row r="6" spans="1:86" s="31" customFormat="1" ht="23.25" customHeight="1">
      <c r="A6" s="30">
        <v>1</v>
      </c>
      <c r="B6" s="201" t="s">
        <v>288</v>
      </c>
      <c r="C6" s="784">
        <f t="shared" ref="C6:D29" si="0">E6+I6+M6+Q6+U6</f>
        <v>0</v>
      </c>
      <c r="D6" s="784">
        <f t="shared" si="0"/>
        <v>0</v>
      </c>
      <c r="E6" s="782"/>
      <c r="F6" s="782"/>
      <c r="G6" s="782"/>
      <c r="H6" s="782"/>
      <c r="I6" s="782"/>
      <c r="J6" s="782"/>
      <c r="K6" s="782"/>
      <c r="L6" s="782"/>
      <c r="M6" s="782"/>
      <c r="N6" s="782"/>
      <c r="O6" s="782"/>
      <c r="P6" s="782"/>
      <c r="Q6" s="782"/>
      <c r="R6" s="782"/>
      <c r="S6" s="782"/>
      <c r="T6" s="782"/>
      <c r="U6" s="782"/>
      <c r="V6" s="782"/>
      <c r="W6" s="782"/>
      <c r="X6" s="782"/>
      <c r="Y6" s="783">
        <f t="shared" ref="Y6:Y29" si="1">+W6+S6+O6+K6</f>
        <v>0</v>
      </c>
      <c r="Z6" s="783">
        <f t="shared" ref="Z6:Z29" si="2">+X6+T6+P6+L6</f>
        <v>0</v>
      </c>
      <c r="AA6" s="662">
        <f>+'Aging Analysis'!C9</f>
        <v>0</v>
      </c>
      <c r="AB6" s="661"/>
      <c r="AC6" s="661"/>
      <c r="AD6" s="661"/>
      <c r="AE6" s="661"/>
      <c r="AF6" s="661"/>
      <c r="AG6" s="661"/>
      <c r="AH6" s="661"/>
      <c r="AI6" s="661"/>
      <c r="CH6" s="49"/>
    </row>
    <row r="7" spans="1:86" s="31" customFormat="1" ht="14.25" customHeight="1">
      <c r="A7" s="30"/>
      <c r="B7" s="204" t="s">
        <v>804</v>
      </c>
      <c r="C7" s="206">
        <f t="shared" si="0"/>
        <v>0</v>
      </c>
      <c r="D7" s="206">
        <f t="shared" si="0"/>
        <v>0</v>
      </c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137">
        <f t="shared" si="1"/>
        <v>0</v>
      </c>
      <c r="Z7" s="137">
        <f t="shared" si="2"/>
        <v>0</v>
      </c>
      <c r="AA7" s="661"/>
      <c r="AB7" s="661"/>
      <c r="AC7" s="661"/>
      <c r="AD7" s="661"/>
      <c r="AE7" s="661"/>
      <c r="AF7" s="661"/>
      <c r="AG7" s="661"/>
      <c r="AH7" s="661"/>
      <c r="AI7" s="661"/>
      <c r="CH7" s="49"/>
    </row>
    <row r="8" spans="1:86" s="31" customFormat="1" ht="23.25" customHeight="1">
      <c r="A8" s="30">
        <v>2</v>
      </c>
      <c r="B8" s="201" t="s">
        <v>289</v>
      </c>
      <c r="C8" s="206">
        <f t="shared" si="0"/>
        <v>0</v>
      </c>
      <c r="D8" s="206">
        <f t="shared" si="0"/>
        <v>0</v>
      </c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137">
        <f t="shared" si="1"/>
        <v>0</v>
      </c>
      <c r="Z8" s="137">
        <f t="shared" si="2"/>
        <v>0</v>
      </c>
      <c r="AA8" s="662">
        <f>+'Aging Analysis'!C10</f>
        <v>0</v>
      </c>
      <c r="AB8" s="661"/>
      <c r="AC8" s="661"/>
      <c r="AD8" s="661"/>
      <c r="AE8" s="661"/>
      <c r="AF8" s="661"/>
      <c r="AG8" s="661"/>
      <c r="AH8" s="661"/>
      <c r="AI8" s="661"/>
      <c r="CH8" s="49"/>
    </row>
    <row r="9" spans="1:86" s="31" customFormat="1" ht="14.25" customHeight="1">
      <c r="A9" s="30"/>
      <c r="B9" s="204" t="s">
        <v>804</v>
      </c>
      <c r="C9" s="206">
        <f t="shared" si="0"/>
        <v>0</v>
      </c>
      <c r="D9" s="206">
        <f t="shared" si="0"/>
        <v>0</v>
      </c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137">
        <f t="shared" si="1"/>
        <v>0</v>
      </c>
      <c r="Z9" s="137">
        <f t="shared" si="2"/>
        <v>0</v>
      </c>
      <c r="AA9" s="662"/>
      <c r="AB9" s="661"/>
      <c r="AC9" s="661"/>
      <c r="AD9" s="661"/>
      <c r="AE9" s="661"/>
      <c r="AF9" s="661"/>
      <c r="AG9" s="661"/>
      <c r="AH9" s="661"/>
      <c r="AI9" s="661"/>
      <c r="CH9" s="49"/>
    </row>
    <row r="10" spans="1:86" s="31" customFormat="1" ht="23.25" customHeight="1">
      <c r="A10" s="30">
        <v>3</v>
      </c>
      <c r="B10" s="201" t="s">
        <v>290</v>
      </c>
      <c r="C10" s="206">
        <f t="shared" si="0"/>
        <v>0</v>
      </c>
      <c r="D10" s="206">
        <f t="shared" si="0"/>
        <v>0</v>
      </c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137">
        <f t="shared" si="1"/>
        <v>0</v>
      </c>
      <c r="Z10" s="137">
        <f t="shared" si="2"/>
        <v>0</v>
      </c>
      <c r="AA10" s="662">
        <f>+'Aging Analysis'!C11</f>
        <v>0</v>
      </c>
      <c r="AB10" s="661"/>
      <c r="AC10" s="661"/>
      <c r="AD10" s="661"/>
      <c r="AE10" s="661"/>
      <c r="AF10" s="661"/>
      <c r="AG10" s="661"/>
      <c r="AH10" s="661"/>
      <c r="AI10" s="661"/>
      <c r="CH10" s="49"/>
    </row>
    <row r="11" spans="1:86" s="31" customFormat="1" ht="14.25" customHeight="1">
      <c r="A11" s="30"/>
      <c r="B11" s="204" t="s">
        <v>804</v>
      </c>
      <c r="C11" s="206">
        <f t="shared" si="0"/>
        <v>0</v>
      </c>
      <c r="D11" s="206">
        <f t="shared" si="0"/>
        <v>0</v>
      </c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137">
        <f t="shared" si="1"/>
        <v>0</v>
      </c>
      <c r="Z11" s="137">
        <f t="shared" si="2"/>
        <v>0</v>
      </c>
      <c r="AA11" s="662"/>
      <c r="AB11" s="661"/>
      <c r="AC11" s="661"/>
      <c r="AD11" s="661"/>
      <c r="AE11" s="661"/>
      <c r="AF11" s="661"/>
      <c r="AG11" s="661"/>
      <c r="AH11" s="661"/>
      <c r="AI11" s="661"/>
      <c r="CH11" s="49"/>
    </row>
    <row r="12" spans="1:86" s="31" customFormat="1" ht="23.25" customHeight="1">
      <c r="A12" s="30">
        <v>4</v>
      </c>
      <c r="B12" s="201" t="s">
        <v>291</v>
      </c>
      <c r="C12" s="206">
        <f t="shared" si="0"/>
        <v>1460223224</v>
      </c>
      <c r="D12" s="206">
        <f t="shared" si="0"/>
        <v>0</v>
      </c>
      <c r="E12" s="207">
        <v>1440604883</v>
      </c>
      <c r="F12" s="207"/>
      <c r="G12" s="207"/>
      <c r="H12" s="207"/>
      <c r="I12" s="207">
        <v>19180910</v>
      </c>
      <c r="J12" s="207"/>
      <c r="K12" s="207">
        <v>3629425</v>
      </c>
      <c r="L12" s="207"/>
      <c r="M12" s="207">
        <v>402692</v>
      </c>
      <c r="N12" s="207"/>
      <c r="O12" s="207">
        <v>100563</v>
      </c>
      <c r="P12" s="207"/>
      <c r="Q12" s="207">
        <v>30218</v>
      </c>
      <c r="R12" s="207"/>
      <c r="S12" s="207">
        <v>15105</v>
      </c>
      <c r="T12" s="207"/>
      <c r="U12" s="207">
        <v>4521</v>
      </c>
      <c r="V12" s="207"/>
      <c r="W12" s="207">
        <v>2540</v>
      </c>
      <c r="X12" s="207"/>
      <c r="Y12" s="137">
        <f t="shared" si="1"/>
        <v>3747633</v>
      </c>
      <c r="Z12" s="137">
        <f t="shared" si="2"/>
        <v>0</v>
      </c>
      <c r="AA12" s="662">
        <f>+'Aging Analysis'!C12</f>
        <v>1460223224</v>
      </c>
      <c r="AB12" s="661"/>
      <c r="AC12" s="661"/>
      <c r="AD12" s="661"/>
      <c r="AE12" s="661"/>
      <c r="AF12" s="661"/>
      <c r="AG12" s="661"/>
      <c r="AH12" s="661"/>
      <c r="AI12" s="661"/>
      <c r="CH12" s="49"/>
    </row>
    <row r="13" spans="1:86" s="31" customFormat="1" ht="14.25" customHeight="1">
      <c r="A13" s="30"/>
      <c r="B13" s="204" t="s">
        <v>804</v>
      </c>
      <c r="C13" s="206">
        <f t="shared" si="0"/>
        <v>0</v>
      </c>
      <c r="D13" s="206">
        <f t="shared" si="0"/>
        <v>0</v>
      </c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137">
        <f t="shared" si="1"/>
        <v>0</v>
      </c>
      <c r="Z13" s="137">
        <f t="shared" si="2"/>
        <v>0</v>
      </c>
      <c r="AA13" s="662"/>
      <c r="AB13" s="661"/>
      <c r="AC13" s="661"/>
      <c r="AD13" s="661"/>
      <c r="AE13" s="661"/>
      <c r="AF13" s="661"/>
      <c r="AG13" s="661"/>
      <c r="AH13" s="661"/>
      <c r="AI13" s="661"/>
      <c r="CH13" s="49"/>
    </row>
    <row r="14" spans="1:86" s="31" customFormat="1" ht="23.25" customHeight="1">
      <c r="A14" s="30">
        <v>5</v>
      </c>
      <c r="B14" s="201" t="s">
        <v>292</v>
      </c>
      <c r="C14" s="206">
        <f t="shared" si="0"/>
        <v>109470648</v>
      </c>
      <c r="D14" s="206">
        <f t="shared" si="0"/>
        <v>0</v>
      </c>
      <c r="E14" s="207">
        <v>23119073</v>
      </c>
      <c r="F14" s="207"/>
      <c r="G14" s="207"/>
      <c r="H14" s="207"/>
      <c r="I14" s="207">
        <v>85951575</v>
      </c>
      <c r="J14" s="207"/>
      <c r="K14" s="207">
        <v>9735361</v>
      </c>
      <c r="L14" s="207"/>
      <c r="M14" s="207"/>
      <c r="N14" s="207"/>
      <c r="O14" s="207"/>
      <c r="P14" s="207"/>
      <c r="Q14" s="207">
        <v>400000</v>
      </c>
      <c r="R14" s="207"/>
      <c r="S14" s="207">
        <v>200000</v>
      </c>
      <c r="T14" s="207"/>
      <c r="U14" s="207"/>
      <c r="V14" s="207"/>
      <c r="W14" s="207"/>
      <c r="X14" s="207"/>
      <c r="Y14" s="137">
        <f t="shared" si="1"/>
        <v>9935361</v>
      </c>
      <c r="Z14" s="137">
        <f t="shared" si="2"/>
        <v>0</v>
      </c>
      <c r="AA14" s="662">
        <f>+'Aging Analysis'!C13</f>
        <v>109470648</v>
      </c>
      <c r="AB14" s="661"/>
      <c r="AC14" s="661"/>
      <c r="AD14" s="661"/>
      <c r="AE14" s="661"/>
      <c r="AF14" s="661"/>
      <c r="AG14" s="661"/>
      <c r="AH14" s="661"/>
      <c r="AI14" s="661"/>
      <c r="CH14" s="49"/>
    </row>
    <row r="15" spans="1:86" s="31" customFormat="1" ht="14.25" customHeight="1">
      <c r="A15" s="30"/>
      <c r="B15" s="204" t="s">
        <v>804</v>
      </c>
      <c r="C15" s="206">
        <f t="shared" si="0"/>
        <v>0</v>
      </c>
      <c r="D15" s="206">
        <f t="shared" si="0"/>
        <v>0</v>
      </c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137">
        <f t="shared" si="1"/>
        <v>0</v>
      </c>
      <c r="Z15" s="137">
        <f t="shared" si="2"/>
        <v>0</v>
      </c>
      <c r="AA15" s="662"/>
      <c r="AB15" s="661"/>
      <c r="AC15" s="661"/>
      <c r="AD15" s="661"/>
      <c r="AE15" s="661"/>
      <c r="AF15" s="661"/>
      <c r="AG15" s="661"/>
      <c r="AH15" s="661"/>
      <c r="AI15" s="661"/>
      <c r="CH15" s="49"/>
    </row>
    <row r="16" spans="1:86" s="31" customFormat="1" ht="23.25" customHeight="1">
      <c r="A16" s="30">
        <v>6</v>
      </c>
      <c r="B16" s="201" t="s">
        <v>293</v>
      </c>
      <c r="C16" s="206">
        <f t="shared" si="0"/>
        <v>155757941</v>
      </c>
      <c r="D16" s="206">
        <f t="shared" si="0"/>
        <v>81884758</v>
      </c>
      <c r="E16" s="207">
        <v>118773503</v>
      </c>
      <c r="F16" s="207">
        <v>48327077</v>
      </c>
      <c r="G16" s="207"/>
      <c r="H16" s="207"/>
      <c r="I16" s="207">
        <v>36984438</v>
      </c>
      <c r="J16" s="207">
        <v>33557681</v>
      </c>
      <c r="K16" s="207">
        <v>3121757</v>
      </c>
      <c r="L16" s="207">
        <v>2373405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137">
        <f t="shared" si="1"/>
        <v>3121757</v>
      </c>
      <c r="Z16" s="137">
        <f t="shared" si="2"/>
        <v>2373405</v>
      </c>
      <c r="AA16" s="662">
        <f>+'Aging Analysis'!C14</f>
        <v>155757941</v>
      </c>
      <c r="AB16" s="661"/>
      <c r="AC16" s="661"/>
      <c r="AD16" s="661"/>
      <c r="AE16" s="661"/>
      <c r="AF16" s="661"/>
      <c r="AG16" s="661"/>
      <c r="AH16" s="661"/>
      <c r="AI16" s="661"/>
      <c r="CH16" s="49"/>
    </row>
    <row r="17" spans="1:86" s="31" customFormat="1" ht="14.25" customHeight="1">
      <c r="A17" s="30"/>
      <c r="B17" s="204" t="s">
        <v>804</v>
      </c>
      <c r="C17" s="206">
        <f t="shared" si="0"/>
        <v>0</v>
      </c>
      <c r="D17" s="206">
        <f t="shared" si="0"/>
        <v>0</v>
      </c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137">
        <f t="shared" si="1"/>
        <v>0</v>
      </c>
      <c r="Z17" s="137">
        <f t="shared" si="2"/>
        <v>0</v>
      </c>
      <c r="AA17" s="662"/>
      <c r="AB17" s="661"/>
      <c r="AC17" s="661"/>
      <c r="AD17" s="661"/>
      <c r="AE17" s="661"/>
      <c r="AF17" s="661"/>
      <c r="AG17" s="661"/>
      <c r="AH17" s="661"/>
      <c r="AI17" s="661"/>
      <c r="CH17" s="49"/>
    </row>
    <row r="18" spans="1:86" s="31" customFormat="1" ht="23.25" customHeight="1">
      <c r="A18" s="30">
        <v>7</v>
      </c>
      <c r="B18" s="201" t="s">
        <v>294</v>
      </c>
      <c r="C18" s="206">
        <f t="shared" si="0"/>
        <v>2944971984</v>
      </c>
      <c r="D18" s="206">
        <f t="shared" si="0"/>
        <v>1477699520</v>
      </c>
      <c r="E18" s="207">
        <v>2346481896</v>
      </c>
      <c r="F18" s="207">
        <v>1263319757</v>
      </c>
      <c r="G18" s="207"/>
      <c r="H18" s="207"/>
      <c r="I18" s="207">
        <v>572977252</v>
      </c>
      <c r="J18" s="207">
        <v>214379763</v>
      </c>
      <c r="K18" s="207">
        <v>87716718</v>
      </c>
      <c r="L18" s="207">
        <v>14948352</v>
      </c>
      <c r="M18" s="207">
        <v>8488339</v>
      </c>
      <c r="N18" s="207"/>
      <c r="O18" s="207">
        <v>2121668</v>
      </c>
      <c r="P18" s="207"/>
      <c r="Q18" s="207">
        <v>3100317</v>
      </c>
      <c r="R18" s="207"/>
      <c r="S18" s="207">
        <v>1551349</v>
      </c>
      <c r="T18" s="207"/>
      <c r="U18" s="207">
        <v>13924180</v>
      </c>
      <c r="V18" s="207"/>
      <c r="W18" s="207">
        <v>5497232</v>
      </c>
      <c r="X18" s="207"/>
      <c r="Y18" s="137">
        <f t="shared" si="1"/>
        <v>96886967</v>
      </c>
      <c r="Z18" s="137">
        <f t="shared" si="2"/>
        <v>14948352</v>
      </c>
      <c r="AA18" s="662">
        <f>+'Aging Analysis'!C15</f>
        <v>2944971984</v>
      </c>
      <c r="AB18" s="661"/>
      <c r="AC18" s="661"/>
      <c r="AD18" s="661"/>
      <c r="AE18" s="661"/>
      <c r="AF18" s="661"/>
      <c r="AG18" s="661"/>
      <c r="AH18" s="661"/>
      <c r="AI18" s="661"/>
      <c r="CH18" s="49"/>
    </row>
    <row r="19" spans="1:86" s="31" customFormat="1" ht="14.25" customHeight="1">
      <c r="A19" s="30"/>
      <c r="B19" s="204" t="s">
        <v>804</v>
      </c>
      <c r="C19" s="206">
        <f t="shared" si="0"/>
        <v>0</v>
      </c>
      <c r="D19" s="206">
        <f t="shared" si="0"/>
        <v>0</v>
      </c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137">
        <f t="shared" si="1"/>
        <v>0</v>
      </c>
      <c r="Z19" s="137">
        <f t="shared" si="2"/>
        <v>0</v>
      </c>
      <c r="AA19" s="662"/>
      <c r="AB19" s="661"/>
      <c r="AC19" s="661"/>
      <c r="AD19" s="661"/>
      <c r="AE19" s="661"/>
      <c r="AF19" s="661"/>
      <c r="AG19" s="661"/>
      <c r="AH19" s="661"/>
      <c r="AI19" s="661"/>
      <c r="CH19" s="49"/>
    </row>
    <row r="20" spans="1:86" s="31" customFormat="1" ht="23.25" customHeight="1">
      <c r="A20" s="30">
        <v>8</v>
      </c>
      <c r="B20" s="201" t="s">
        <v>295</v>
      </c>
      <c r="C20" s="206">
        <f t="shared" si="0"/>
        <v>60729562</v>
      </c>
      <c r="D20" s="206">
        <f t="shared" si="0"/>
        <v>18718047</v>
      </c>
      <c r="E20" s="207">
        <v>41203175</v>
      </c>
      <c r="F20" s="207">
        <v>8655771</v>
      </c>
      <c r="G20" s="207"/>
      <c r="H20" s="207"/>
      <c r="I20" s="207">
        <v>18551385</v>
      </c>
      <c r="J20" s="207">
        <v>9601693</v>
      </c>
      <c r="K20" s="207">
        <v>3107916</v>
      </c>
      <c r="L20" s="207">
        <v>1206875</v>
      </c>
      <c r="M20" s="207">
        <v>802576</v>
      </c>
      <c r="N20" s="207">
        <v>460583</v>
      </c>
      <c r="O20" s="207">
        <v>200644</v>
      </c>
      <c r="P20" s="207">
        <v>115146</v>
      </c>
      <c r="Q20" s="207"/>
      <c r="R20" s="207"/>
      <c r="S20" s="207"/>
      <c r="T20" s="207"/>
      <c r="U20" s="207">
        <v>172426</v>
      </c>
      <c r="V20" s="207"/>
      <c r="W20" s="207">
        <v>40858</v>
      </c>
      <c r="X20" s="207"/>
      <c r="Y20" s="137">
        <f t="shared" si="1"/>
        <v>3349418</v>
      </c>
      <c r="Z20" s="137">
        <f t="shared" si="2"/>
        <v>1322021</v>
      </c>
      <c r="AA20" s="662">
        <f>+'Aging Analysis'!C16</f>
        <v>60729562</v>
      </c>
      <c r="AB20" s="661"/>
      <c r="AC20" s="661"/>
      <c r="AD20" s="661"/>
      <c r="AE20" s="661"/>
      <c r="AF20" s="661"/>
      <c r="AG20" s="661"/>
      <c r="AH20" s="661"/>
      <c r="AI20" s="661"/>
      <c r="CH20" s="49"/>
    </row>
    <row r="21" spans="1:86" s="31" customFormat="1" ht="14.25" customHeight="1">
      <c r="A21" s="30"/>
      <c r="B21" s="204" t="s">
        <v>804</v>
      </c>
      <c r="C21" s="206">
        <f t="shared" si="0"/>
        <v>0</v>
      </c>
      <c r="D21" s="206">
        <f t="shared" si="0"/>
        <v>0</v>
      </c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137">
        <f t="shared" si="1"/>
        <v>0</v>
      </c>
      <c r="Z21" s="137">
        <f t="shared" si="2"/>
        <v>0</v>
      </c>
      <c r="AA21" s="662"/>
      <c r="AB21" s="661"/>
      <c r="AC21" s="661"/>
      <c r="AD21" s="661"/>
      <c r="AE21" s="661"/>
      <c r="AF21" s="661"/>
      <c r="AG21" s="661"/>
      <c r="AH21" s="661"/>
      <c r="AI21" s="661"/>
      <c r="CH21" s="49"/>
    </row>
    <row r="22" spans="1:86" s="31" customFormat="1" ht="23.25" customHeight="1">
      <c r="A22" s="30">
        <v>9</v>
      </c>
      <c r="B22" s="201" t="s">
        <v>296</v>
      </c>
      <c r="C22" s="206">
        <f t="shared" si="0"/>
        <v>0</v>
      </c>
      <c r="D22" s="206">
        <f t="shared" si="0"/>
        <v>0</v>
      </c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137">
        <f t="shared" si="1"/>
        <v>0</v>
      </c>
      <c r="Z22" s="137">
        <f t="shared" si="2"/>
        <v>0</v>
      </c>
      <c r="AA22" s="662">
        <f>+'Aging Analysis'!C17</f>
        <v>0</v>
      </c>
      <c r="AB22" s="661"/>
      <c r="AC22" s="661"/>
      <c r="AD22" s="661"/>
      <c r="AE22" s="661"/>
      <c r="AF22" s="661"/>
      <c r="AG22" s="661"/>
      <c r="AH22" s="661"/>
      <c r="AI22" s="661"/>
      <c r="CH22" s="49"/>
    </row>
    <row r="23" spans="1:86" s="31" customFormat="1" ht="14.25" customHeight="1">
      <c r="A23" s="30"/>
      <c r="B23" s="204" t="s">
        <v>804</v>
      </c>
      <c r="C23" s="206">
        <f t="shared" si="0"/>
        <v>0</v>
      </c>
      <c r="D23" s="206">
        <f t="shared" si="0"/>
        <v>0</v>
      </c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137">
        <f t="shared" si="1"/>
        <v>0</v>
      </c>
      <c r="Z23" s="137">
        <f t="shared" si="2"/>
        <v>0</v>
      </c>
      <c r="AA23" s="662"/>
      <c r="AB23" s="661"/>
      <c r="AC23" s="661"/>
      <c r="AD23" s="661"/>
      <c r="AE23" s="661"/>
      <c r="AF23" s="661"/>
      <c r="AG23" s="661"/>
      <c r="AH23" s="661"/>
      <c r="AI23" s="661"/>
      <c r="CH23" s="49"/>
    </row>
    <row r="24" spans="1:86" s="31" customFormat="1" ht="23.25" customHeight="1">
      <c r="A24" s="30">
        <v>10</v>
      </c>
      <c r="B24" s="201" t="s">
        <v>297</v>
      </c>
      <c r="C24" s="206">
        <f t="shared" si="0"/>
        <v>41021338</v>
      </c>
      <c r="D24" s="206">
        <f t="shared" si="0"/>
        <v>0</v>
      </c>
      <c r="E24" s="207">
        <v>32448311</v>
      </c>
      <c r="F24" s="207"/>
      <c r="G24" s="207"/>
      <c r="H24" s="207"/>
      <c r="I24" s="207">
        <v>8289066</v>
      </c>
      <c r="J24" s="207"/>
      <c r="K24" s="207">
        <v>2813570</v>
      </c>
      <c r="L24" s="207"/>
      <c r="M24" s="207">
        <v>283961</v>
      </c>
      <c r="N24" s="207"/>
      <c r="O24" s="207">
        <v>70991</v>
      </c>
      <c r="P24" s="207"/>
      <c r="Q24" s="207"/>
      <c r="R24" s="207"/>
      <c r="S24" s="207"/>
      <c r="T24" s="207"/>
      <c r="U24" s="207"/>
      <c r="V24" s="207"/>
      <c r="W24" s="207"/>
      <c r="X24" s="207"/>
      <c r="Y24" s="137">
        <f t="shared" si="1"/>
        <v>2884561</v>
      </c>
      <c r="Z24" s="137">
        <f t="shared" si="2"/>
        <v>0</v>
      </c>
      <c r="AA24" s="662">
        <f>+'Aging Analysis'!C18</f>
        <v>41021338</v>
      </c>
      <c r="AB24" s="661"/>
      <c r="AC24" s="661"/>
      <c r="AD24" s="661"/>
      <c r="AE24" s="661"/>
      <c r="AF24" s="661"/>
      <c r="AG24" s="661"/>
      <c r="AH24" s="661"/>
      <c r="AI24" s="661"/>
      <c r="CH24" s="49"/>
    </row>
    <row r="25" spans="1:86" s="31" customFormat="1" ht="14.25" customHeight="1">
      <c r="A25" s="30"/>
      <c r="B25" s="204" t="s">
        <v>804</v>
      </c>
      <c r="C25" s="206">
        <f t="shared" si="0"/>
        <v>0</v>
      </c>
      <c r="D25" s="206">
        <f t="shared" si="0"/>
        <v>0</v>
      </c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137">
        <f t="shared" si="1"/>
        <v>0</v>
      </c>
      <c r="Z25" s="137">
        <f t="shared" si="2"/>
        <v>0</v>
      </c>
      <c r="AA25" s="662"/>
      <c r="AB25" s="661"/>
      <c r="AC25" s="661"/>
      <c r="AD25" s="661"/>
      <c r="AE25" s="661"/>
      <c r="AF25" s="661"/>
      <c r="AG25" s="661"/>
      <c r="AH25" s="661"/>
      <c r="AI25" s="661"/>
      <c r="CH25" s="49"/>
    </row>
    <row r="26" spans="1:86" s="31" customFormat="1" ht="23.25" customHeight="1">
      <c r="A26" s="30">
        <v>11</v>
      </c>
      <c r="B26" s="201" t="s">
        <v>298</v>
      </c>
      <c r="C26" s="206">
        <f t="shared" si="0"/>
        <v>0</v>
      </c>
      <c r="D26" s="206">
        <f t="shared" si="0"/>
        <v>0</v>
      </c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137">
        <f t="shared" si="1"/>
        <v>0</v>
      </c>
      <c r="Z26" s="137">
        <f t="shared" si="2"/>
        <v>0</v>
      </c>
      <c r="AA26" s="662">
        <f>+'Aging Analysis'!C19</f>
        <v>0</v>
      </c>
      <c r="AB26" s="661"/>
      <c r="AC26" s="661"/>
      <c r="AD26" s="661"/>
      <c r="AE26" s="661"/>
      <c r="AF26" s="661"/>
      <c r="AG26" s="661"/>
      <c r="AH26" s="661"/>
      <c r="AI26" s="661"/>
      <c r="CH26" s="49"/>
    </row>
    <row r="27" spans="1:86" s="31" customFormat="1" ht="14.25" customHeight="1">
      <c r="A27" s="30"/>
      <c r="B27" s="204" t="s">
        <v>804</v>
      </c>
      <c r="C27" s="206">
        <f t="shared" si="0"/>
        <v>0</v>
      </c>
      <c r="D27" s="206">
        <f t="shared" si="0"/>
        <v>0</v>
      </c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137">
        <f t="shared" si="1"/>
        <v>0</v>
      </c>
      <c r="Z27" s="137">
        <f t="shared" si="2"/>
        <v>0</v>
      </c>
      <c r="AA27" s="662"/>
      <c r="AB27" s="661"/>
      <c r="AC27" s="661"/>
      <c r="AD27" s="661"/>
      <c r="AE27" s="661"/>
      <c r="AF27" s="661"/>
      <c r="AG27" s="661"/>
      <c r="AH27" s="661"/>
      <c r="AI27" s="661"/>
      <c r="CH27" s="49"/>
    </row>
    <row r="28" spans="1:86" s="31" customFormat="1" ht="23.25" customHeight="1">
      <c r="A28" s="30">
        <v>12</v>
      </c>
      <c r="B28" s="201" t="s">
        <v>299</v>
      </c>
      <c r="C28" s="206">
        <f t="shared" si="0"/>
        <v>199980</v>
      </c>
      <c r="D28" s="206">
        <f t="shared" si="0"/>
        <v>0</v>
      </c>
      <c r="E28" s="207">
        <v>199980</v>
      </c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137">
        <f t="shared" si="1"/>
        <v>0</v>
      </c>
      <c r="Z28" s="137">
        <f t="shared" si="2"/>
        <v>0</v>
      </c>
      <c r="AA28" s="662">
        <f>+'Aging Analysis'!C20</f>
        <v>199980</v>
      </c>
      <c r="AB28" s="661"/>
      <c r="AC28" s="661"/>
      <c r="AD28" s="661"/>
      <c r="AE28" s="661"/>
      <c r="AF28" s="661"/>
      <c r="AG28" s="661"/>
      <c r="AH28" s="661"/>
      <c r="AI28" s="661"/>
      <c r="CH28" s="49"/>
    </row>
    <row r="29" spans="1:86" s="31" customFormat="1" ht="14.25" customHeight="1">
      <c r="A29" s="30"/>
      <c r="B29" s="204" t="s">
        <v>804</v>
      </c>
      <c r="C29" s="206">
        <f t="shared" si="0"/>
        <v>0</v>
      </c>
      <c r="D29" s="206">
        <f t="shared" si="0"/>
        <v>0</v>
      </c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137">
        <f t="shared" si="1"/>
        <v>0</v>
      </c>
      <c r="Z29" s="137">
        <f t="shared" si="2"/>
        <v>0</v>
      </c>
      <c r="AA29" s="662">
        <f>+'Aging Analysis'!C21</f>
        <v>0</v>
      </c>
      <c r="AB29" s="661"/>
      <c r="AC29" s="661"/>
      <c r="AD29" s="661"/>
      <c r="AE29" s="661"/>
      <c r="AF29" s="661"/>
      <c r="AG29" s="661"/>
      <c r="AH29" s="661"/>
      <c r="AI29" s="661"/>
      <c r="CH29" s="49"/>
    </row>
    <row r="30" spans="1:86" s="258" customFormat="1" ht="28.5" customHeight="1">
      <c r="A30" s="579">
        <v>13</v>
      </c>
      <c r="B30" s="579" t="s">
        <v>300</v>
      </c>
      <c r="C30" s="583">
        <f t="shared" ref="C30:Z30" si="3">+C6+C8+C10+C12+C14+C16+C18+C20+C22+C24+C26+C28</f>
        <v>4772374677</v>
      </c>
      <c r="D30" s="583">
        <f t="shared" si="3"/>
        <v>1578302325</v>
      </c>
      <c r="E30" s="583">
        <f t="shared" si="3"/>
        <v>4002830821</v>
      </c>
      <c r="F30" s="583">
        <f t="shared" si="3"/>
        <v>1320302605</v>
      </c>
      <c r="G30" s="583">
        <f t="shared" si="3"/>
        <v>0</v>
      </c>
      <c r="H30" s="583">
        <f t="shared" si="3"/>
        <v>0</v>
      </c>
      <c r="I30" s="583">
        <f t="shared" si="3"/>
        <v>741934626</v>
      </c>
      <c r="J30" s="583">
        <f t="shared" si="3"/>
        <v>257539137</v>
      </c>
      <c r="K30" s="583">
        <f t="shared" si="3"/>
        <v>110124747</v>
      </c>
      <c r="L30" s="583">
        <f t="shared" si="3"/>
        <v>18528632</v>
      </c>
      <c r="M30" s="583">
        <f t="shared" si="3"/>
        <v>9977568</v>
      </c>
      <c r="N30" s="583">
        <f t="shared" si="3"/>
        <v>460583</v>
      </c>
      <c r="O30" s="583">
        <f t="shared" si="3"/>
        <v>2493866</v>
      </c>
      <c r="P30" s="583">
        <f t="shared" si="3"/>
        <v>115146</v>
      </c>
      <c r="Q30" s="583">
        <f t="shared" si="3"/>
        <v>3530535</v>
      </c>
      <c r="R30" s="583">
        <f t="shared" si="3"/>
        <v>0</v>
      </c>
      <c r="S30" s="583">
        <f t="shared" si="3"/>
        <v>1766454</v>
      </c>
      <c r="T30" s="583">
        <f t="shared" si="3"/>
        <v>0</v>
      </c>
      <c r="U30" s="583">
        <f t="shared" si="3"/>
        <v>14101127</v>
      </c>
      <c r="V30" s="583">
        <f t="shared" si="3"/>
        <v>0</v>
      </c>
      <c r="W30" s="583">
        <f t="shared" si="3"/>
        <v>5540630</v>
      </c>
      <c r="X30" s="583">
        <f t="shared" si="3"/>
        <v>0</v>
      </c>
      <c r="Y30" s="583">
        <f t="shared" si="3"/>
        <v>119925697</v>
      </c>
      <c r="Z30" s="583">
        <f t="shared" si="3"/>
        <v>18643778</v>
      </c>
      <c r="AA30" s="662">
        <f>+'Aging Analysis'!C22</f>
        <v>4772374677</v>
      </c>
      <c r="AB30" s="661"/>
      <c r="AC30" s="661"/>
      <c r="AD30" s="661"/>
      <c r="AE30" s="661"/>
      <c r="AF30" s="661"/>
      <c r="AG30" s="661"/>
      <c r="AH30" s="661"/>
      <c r="AI30" s="661"/>
    </row>
    <row r="31" spans="1:86" s="31" customFormat="1" ht="13.5" customHeight="1">
      <c r="A31" s="205"/>
      <c r="B31" s="204" t="s">
        <v>804</v>
      </c>
      <c r="C31" s="203">
        <f t="shared" ref="C31:Z31" si="4">+C7+C9+C11+C13+C15+C17+C19+C21+C23+C25+C27+C29</f>
        <v>0</v>
      </c>
      <c r="D31" s="203">
        <f t="shared" si="4"/>
        <v>0</v>
      </c>
      <c r="E31" s="203">
        <f t="shared" si="4"/>
        <v>0</v>
      </c>
      <c r="F31" s="203">
        <f t="shared" si="4"/>
        <v>0</v>
      </c>
      <c r="G31" s="203">
        <f t="shared" si="4"/>
        <v>0</v>
      </c>
      <c r="H31" s="203">
        <f t="shared" si="4"/>
        <v>0</v>
      </c>
      <c r="I31" s="203">
        <f t="shared" si="4"/>
        <v>0</v>
      </c>
      <c r="J31" s="203">
        <f t="shared" si="4"/>
        <v>0</v>
      </c>
      <c r="K31" s="203">
        <f t="shared" si="4"/>
        <v>0</v>
      </c>
      <c r="L31" s="203">
        <f t="shared" si="4"/>
        <v>0</v>
      </c>
      <c r="M31" s="203">
        <f t="shared" si="4"/>
        <v>0</v>
      </c>
      <c r="N31" s="203">
        <f t="shared" si="4"/>
        <v>0</v>
      </c>
      <c r="O31" s="203">
        <f t="shared" si="4"/>
        <v>0</v>
      </c>
      <c r="P31" s="203">
        <f t="shared" si="4"/>
        <v>0</v>
      </c>
      <c r="Q31" s="203">
        <f t="shared" si="4"/>
        <v>0</v>
      </c>
      <c r="R31" s="203">
        <f t="shared" si="4"/>
        <v>0</v>
      </c>
      <c r="S31" s="203">
        <f t="shared" si="4"/>
        <v>0</v>
      </c>
      <c r="T31" s="203">
        <f t="shared" si="4"/>
        <v>0</v>
      </c>
      <c r="U31" s="203">
        <f t="shared" si="4"/>
        <v>0</v>
      </c>
      <c r="V31" s="203">
        <f t="shared" si="4"/>
        <v>0</v>
      </c>
      <c r="W31" s="203">
        <f t="shared" si="4"/>
        <v>0</v>
      </c>
      <c r="X31" s="203">
        <f t="shared" si="4"/>
        <v>0</v>
      </c>
      <c r="Y31" s="203">
        <f t="shared" si="4"/>
        <v>0</v>
      </c>
      <c r="Z31" s="203">
        <f t="shared" si="4"/>
        <v>0</v>
      </c>
      <c r="AA31" s="662">
        <f>+'Aging Analysis'!C23</f>
        <v>0</v>
      </c>
      <c r="AB31" s="661"/>
      <c r="AC31" s="661"/>
      <c r="AD31" s="661"/>
      <c r="AE31" s="661"/>
      <c r="AF31" s="661"/>
      <c r="AG31" s="661"/>
      <c r="AH31" s="661"/>
      <c r="AI31" s="661"/>
      <c r="CH31" s="49"/>
    </row>
    <row r="32" spans="1:86" s="139" customFormat="1" ht="27.75" customHeight="1">
      <c r="A32" s="583"/>
      <c r="B32" s="583" t="s">
        <v>301</v>
      </c>
      <c r="C32" s="583"/>
      <c r="D32" s="583"/>
      <c r="E32" s="583"/>
      <c r="F32" s="583"/>
      <c r="G32" s="583"/>
      <c r="H32" s="583"/>
      <c r="I32" s="583"/>
      <c r="J32" s="583"/>
      <c r="K32" s="583"/>
      <c r="L32" s="583"/>
      <c r="M32" s="583"/>
      <c r="N32" s="583"/>
      <c r="O32" s="583"/>
      <c r="P32" s="583"/>
      <c r="Q32" s="583"/>
      <c r="R32" s="583"/>
      <c r="S32" s="583"/>
      <c r="T32" s="583"/>
      <c r="U32" s="583"/>
      <c r="V32" s="583"/>
      <c r="W32" s="583"/>
      <c r="X32" s="583"/>
      <c r="Y32" s="583"/>
      <c r="Z32" s="583"/>
      <c r="AA32" s="662">
        <f>+'Aging Analysis'!C24</f>
        <v>0</v>
      </c>
      <c r="AB32" s="661"/>
      <c r="AC32" s="661"/>
      <c r="AD32" s="661"/>
      <c r="AE32" s="661"/>
      <c r="AF32" s="661"/>
      <c r="AG32" s="661"/>
      <c r="AH32" s="661"/>
      <c r="AI32" s="661"/>
    </row>
    <row r="33" spans="1:86" s="139" customFormat="1" ht="7.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662"/>
      <c r="AB33" s="661"/>
      <c r="AC33" s="661"/>
      <c r="AD33" s="661"/>
      <c r="AE33" s="661"/>
      <c r="AF33" s="661"/>
      <c r="AG33" s="661"/>
      <c r="AH33" s="661"/>
      <c r="AI33" s="661"/>
    </row>
    <row r="34" spans="1:86" s="31" customFormat="1" ht="23.25" customHeight="1">
      <c r="A34" s="205">
        <v>14</v>
      </c>
      <c r="B34" s="505" t="s">
        <v>245</v>
      </c>
      <c r="C34" s="206">
        <f t="shared" ref="C34:D49" si="5">E34+I34+M34+Q34+U34</f>
        <v>1227702645</v>
      </c>
      <c r="D34" s="206">
        <f t="shared" si="5"/>
        <v>777182302</v>
      </c>
      <c r="E34" s="207">
        <v>960279021</v>
      </c>
      <c r="F34" s="207">
        <v>581718225</v>
      </c>
      <c r="G34" s="207"/>
      <c r="H34" s="207"/>
      <c r="I34" s="207">
        <v>263767265</v>
      </c>
      <c r="J34" s="207">
        <v>195464077</v>
      </c>
      <c r="K34" s="207">
        <v>24385207</v>
      </c>
      <c r="L34" s="207">
        <v>11159071</v>
      </c>
      <c r="M34" s="207">
        <v>1961532</v>
      </c>
      <c r="N34" s="207"/>
      <c r="O34" s="207">
        <v>490387</v>
      </c>
      <c r="P34" s="207"/>
      <c r="Q34" s="207">
        <v>410470</v>
      </c>
      <c r="R34" s="207"/>
      <c r="S34" s="207">
        <v>205232</v>
      </c>
      <c r="T34" s="207"/>
      <c r="U34" s="207">
        <v>1284357</v>
      </c>
      <c r="V34" s="207"/>
      <c r="W34" s="207">
        <v>10332</v>
      </c>
      <c r="X34" s="207"/>
      <c r="Y34" s="783">
        <f>+W34+S34+O34+K34</f>
        <v>25091158</v>
      </c>
      <c r="Z34" s="783">
        <f>+X34+T34+P34+L34</f>
        <v>11159071</v>
      </c>
      <c r="AA34" s="662">
        <f>+'Aging Analysis'!C25</f>
        <v>1227702645</v>
      </c>
      <c r="AB34" s="661"/>
      <c r="AC34" s="661"/>
      <c r="AD34" s="661"/>
      <c r="AE34" s="661"/>
      <c r="AF34" s="661"/>
      <c r="AG34" s="661"/>
      <c r="AH34" s="661"/>
      <c r="AI34" s="661"/>
      <c r="CH34" s="49">
        <f>'Aging Analysis'!C25</f>
        <v>1227702645</v>
      </c>
    </row>
    <row r="35" spans="1:86" s="31" customFormat="1" ht="14.25" customHeight="1">
      <c r="A35" s="30"/>
      <c r="B35" s="204" t="s">
        <v>804</v>
      </c>
      <c r="C35" s="206">
        <f t="shared" si="5"/>
        <v>0</v>
      </c>
      <c r="D35" s="206">
        <f t="shared" si="5"/>
        <v>0</v>
      </c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137">
        <f t="shared" ref="Y35:Y49" si="6">+W35+S35+O35+K35</f>
        <v>0</v>
      </c>
      <c r="Z35" s="137">
        <f t="shared" ref="Z35:Z49" si="7">+X35+T35+P35+L35</f>
        <v>0</v>
      </c>
      <c r="AA35" s="662"/>
      <c r="AB35" s="661"/>
      <c r="AC35" s="661"/>
      <c r="AD35" s="661"/>
      <c r="AE35" s="661"/>
      <c r="AF35" s="661"/>
      <c r="AG35" s="661"/>
      <c r="AH35" s="661"/>
      <c r="AI35" s="661"/>
      <c r="CH35" s="49"/>
    </row>
    <row r="36" spans="1:86" s="31" customFormat="1" ht="23.25" customHeight="1">
      <c r="A36" s="205">
        <v>15</v>
      </c>
      <c r="B36" s="201" t="s">
        <v>253</v>
      </c>
      <c r="C36" s="206">
        <f t="shared" si="5"/>
        <v>1053139722</v>
      </c>
      <c r="D36" s="206">
        <f t="shared" si="5"/>
        <v>113245239</v>
      </c>
      <c r="E36" s="207">
        <v>919543910</v>
      </c>
      <c r="F36" s="207">
        <v>97153487</v>
      </c>
      <c r="G36" s="207"/>
      <c r="H36" s="207"/>
      <c r="I36" s="207">
        <v>131030375</v>
      </c>
      <c r="J36" s="207">
        <v>15631169</v>
      </c>
      <c r="K36" s="207">
        <v>23640083</v>
      </c>
      <c r="L36" s="207">
        <v>1824901</v>
      </c>
      <c r="M36" s="207">
        <v>1513250</v>
      </c>
      <c r="N36" s="207">
        <v>460583</v>
      </c>
      <c r="O36" s="207">
        <v>378244</v>
      </c>
      <c r="P36" s="207">
        <v>115146</v>
      </c>
      <c r="Q36" s="207">
        <v>814632</v>
      </c>
      <c r="R36" s="207"/>
      <c r="S36" s="207">
        <v>408508</v>
      </c>
      <c r="T36" s="207"/>
      <c r="U36" s="207">
        <v>237555</v>
      </c>
      <c r="V36" s="207"/>
      <c r="W36" s="207">
        <v>81398</v>
      </c>
      <c r="X36" s="207"/>
      <c r="Y36" s="783">
        <f t="shared" si="6"/>
        <v>24508233</v>
      </c>
      <c r="Z36" s="783">
        <f t="shared" si="7"/>
        <v>1940047</v>
      </c>
      <c r="AA36" s="662">
        <f>+'Aging Analysis'!C26</f>
        <v>1053139722</v>
      </c>
      <c r="AB36" s="661"/>
      <c r="AC36" s="661"/>
      <c r="AD36" s="661"/>
      <c r="AE36" s="661"/>
      <c r="AF36" s="661"/>
      <c r="AG36" s="661"/>
      <c r="AH36" s="661"/>
      <c r="AI36" s="661"/>
      <c r="CH36" s="49">
        <f>'Aging Analysis'!C26</f>
        <v>1053139722</v>
      </c>
    </row>
    <row r="37" spans="1:86" s="31" customFormat="1" ht="14.25" customHeight="1">
      <c r="A37" s="30"/>
      <c r="B37" s="204" t="s">
        <v>804</v>
      </c>
      <c r="C37" s="206">
        <f t="shared" si="5"/>
        <v>0</v>
      </c>
      <c r="D37" s="206">
        <f t="shared" si="5"/>
        <v>0</v>
      </c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137">
        <f t="shared" si="6"/>
        <v>0</v>
      </c>
      <c r="Z37" s="137">
        <f t="shared" si="7"/>
        <v>0</v>
      </c>
      <c r="AA37" s="662"/>
      <c r="AB37" s="661"/>
      <c r="AC37" s="661"/>
      <c r="AD37" s="661"/>
      <c r="AE37" s="661"/>
      <c r="AF37" s="661"/>
      <c r="AG37" s="661"/>
      <c r="AH37" s="661"/>
      <c r="AI37" s="661"/>
      <c r="CH37" s="49"/>
    </row>
    <row r="38" spans="1:86" s="31" customFormat="1" ht="23.25" customHeight="1">
      <c r="A38" s="205">
        <v>16</v>
      </c>
      <c r="B38" s="201" t="s">
        <v>256</v>
      </c>
      <c r="C38" s="206">
        <f t="shared" si="5"/>
        <v>456257816</v>
      </c>
      <c r="D38" s="206">
        <f t="shared" si="5"/>
        <v>123932583</v>
      </c>
      <c r="E38" s="207">
        <v>398749953</v>
      </c>
      <c r="F38" s="207">
        <v>107198293</v>
      </c>
      <c r="G38" s="207"/>
      <c r="H38" s="207"/>
      <c r="I38" s="207">
        <v>55899494</v>
      </c>
      <c r="J38" s="207">
        <v>16734290</v>
      </c>
      <c r="K38" s="207">
        <v>12288933</v>
      </c>
      <c r="L38" s="207">
        <v>1419499</v>
      </c>
      <c r="M38" s="207">
        <v>1132424</v>
      </c>
      <c r="N38" s="207"/>
      <c r="O38" s="207">
        <v>283106</v>
      </c>
      <c r="P38" s="207"/>
      <c r="Q38" s="207"/>
      <c r="R38" s="207"/>
      <c r="S38" s="207"/>
      <c r="T38" s="207"/>
      <c r="U38" s="207">
        <v>475945</v>
      </c>
      <c r="V38" s="207"/>
      <c r="W38" s="207">
        <v>448568</v>
      </c>
      <c r="X38" s="207"/>
      <c r="Y38" s="783">
        <f t="shared" si="6"/>
        <v>13020607</v>
      </c>
      <c r="Z38" s="783">
        <f t="shared" si="7"/>
        <v>1419499</v>
      </c>
      <c r="AA38" s="662">
        <f>+'Aging Analysis'!C27</f>
        <v>456257816</v>
      </c>
      <c r="AB38" s="661"/>
      <c r="AC38" s="661"/>
      <c r="AD38" s="661"/>
      <c r="AE38" s="661"/>
      <c r="AF38" s="661"/>
      <c r="AG38" s="661"/>
      <c r="AH38" s="661"/>
      <c r="AI38" s="661"/>
      <c r="CH38" s="49">
        <f>'Aging Analysis'!C27</f>
        <v>456257816</v>
      </c>
    </row>
    <row r="39" spans="1:86" s="31" customFormat="1" ht="14.25" customHeight="1">
      <c r="A39" s="30"/>
      <c r="B39" s="204" t="s">
        <v>804</v>
      </c>
      <c r="C39" s="206">
        <f t="shared" si="5"/>
        <v>0</v>
      </c>
      <c r="D39" s="206">
        <f t="shared" si="5"/>
        <v>0</v>
      </c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137">
        <f t="shared" si="6"/>
        <v>0</v>
      </c>
      <c r="Z39" s="137">
        <f t="shared" si="7"/>
        <v>0</v>
      </c>
      <c r="AA39" s="662"/>
      <c r="AB39" s="661"/>
      <c r="AC39" s="661"/>
      <c r="AD39" s="661"/>
      <c r="AE39" s="661"/>
      <c r="AF39" s="661"/>
      <c r="AG39" s="661"/>
      <c r="AH39" s="661"/>
      <c r="AI39" s="661"/>
      <c r="CH39" s="49"/>
    </row>
    <row r="40" spans="1:86" s="31" customFormat="1" ht="23.25" customHeight="1">
      <c r="A40" s="205">
        <v>17</v>
      </c>
      <c r="B40" s="201" t="s">
        <v>258</v>
      </c>
      <c r="C40" s="206">
        <f t="shared" si="5"/>
        <v>278011863</v>
      </c>
      <c r="D40" s="206">
        <f t="shared" si="5"/>
        <v>0</v>
      </c>
      <c r="E40" s="207">
        <v>159764320</v>
      </c>
      <c r="F40" s="207"/>
      <c r="G40" s="207"/>
      <c r="H40" s="207"/>
      <c r="I40" s="207">
        <v>114401332</v>
      </c>
      <c r="J40" s="207"/>
      <c r="K40" s="207">
        <v>11742961</v>
      </c>
      <c r="L40" s="207"/>
      <c r="M40" s="207"/>
      <c r="N40" s="207"/>
      <c r="O40" s="207"/>
      <c r="P40" s="207"/>
      <c r="Q40" s="207"/>
      <c r="R40" s="207"/>
      <c r="S40" s="207"/>
      <c r="T40" s="207"/>
      <c r="U40" s="207">
        <v>3846211</v>
      </c>
      <c r="V40" s="207"/>
      <c r="W40" s="207">
        <v>577257</v>
      </c>
      <c r="X40" s="207"/>
      <c r="Y40" s="783">
        <f t="shared" si="6"/>
        <v>12320218</v>
      </c>
      <c r="Z40" s="783">
        <f t="shared" si="7"/>
        <v>0</v>
      </c>
      <c r="AA40" s="662">
        <f>+'Aging Analysis'!C28</f>
        <v>278011863</v>
      </c>
      <c r="AB40" s="661"/>
      <c r="AC40" s="661"/>
      <c r="AD40" s="661"/>
      <c r="AE40" s="661"/>
      <c r="AF40" s="661"/>
      <c r="AG40" s="661"/>
      <c r="AH40" s="661"/>
      <c r="AI40" s="661"/>
      <c r="CH40" s="49">
        <f>'Aging Analysis'!C28</f>
        <v>278011863</v>
      </c>
    </row>
    <row r="41" spans="1:86" s="31" customFormat="1" ht="14.25" customHeight="1">
      <c r="A41" s="30"/>
      <c r="B41" s="204" t="s">
        <v>804</v>
      </c>
      <c r="C41" s="206">
        <f t="shared" si="5"/>
        <v>0</v>
      </c>
      <c r="D41" s="206">
        <f t="shared" si="5"/>
        <v>0</v>
      </c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137">
        <f t="shared" si="6"/>
        <v>0</v>
      </c>
      <c r="Z41" s="137">
        <f t="shared" si="7"/>
        <v>0</v>
      </c>
      <c r="AA41" s="662"/>
      <c r="AB41" s="661"/>
      <c r="AC41" s="661"/>
      <c r="AD41" s="661"/>
      <c r="AE41" s="661"/>
      <c r="AF41" s="661"/>
      <c r="AG41" s="661"/>
      <c r="AH41" s="661"/>
      <c r="AI41" s="661"/>
      <c r="CH41" s="49"/>
    </row>
    <row r="42" spans="1:86" s="31" customFormat="1" ht="23.25" customHeight="1">
      <c r="A42" s="205">
        <v>18</v>
      </c>
      <c r="B42" s="201" t="s">
        <v>260</v>
      </c>
      <c r="C42" s="206">
        <f t="shared" si="5"/>
        <v>434569981</v>
      </c>
      <c r="D42" s="206">
        <f t="shared" si="5"/>
        <v>156537292</v>
      </c>
      <c r="E42" s="207">
        <v>372609817</v>
      </c>
      <c r="F42" s="207">
        <v>156537292</v>
      </c>
      <c r="G42" s="207"/>
      <c r="H42" s="207"/>
      <c r="I42" s="207">
        <v>54262075</v>
      </c>
      <c r="J42" s="207"/>
      <c r="K42" s="207">
        <v>13721089</v>
      </c>
      <c r="L42" s="207"/>
      <c r="M42" s="207">
        <v>2115014</v>
      </c>
      <c r="N42" s="207"/>
      <c r="O42" s="207">
        <v>528754</v>
      </c>
      <c r="P42" s="207"/>
      <c r="Q42" s="207">
        <v>550000</v>
      </c>
      <c r="R42" s="207"/>
      <c r="S42" s="207">
        <v>275000</v>
      </c>
      <c r="T42" s="207"/>
      <c r="U42" s="207">
        <v>5033075</v>
      </c>
      <c r="V42" s="207"/>
      <c r="W42" s="207">
        <v>1223075</v>
      </c>
      <c r="X42" s="207"/>
      <c r="Y42" s="783">
        <f t="shared" si="6"/>
        <v>15747918</v>
      </c>
      <c r="Z42" s="783">
        <f t="shared" si="7"/>
        <v>0</v>
      </c>
      <c r="AA42" s="662">
        <f>+'Aging Analysis'!C29</f>
        <v>434569981</v>
      </c>
      <c r="AB42" s="661"/>
      <c r="AC42" s="661"/>
      <c r="AD42" s="661"/>
      <c r="AE42" s="661"/>
      <c r="AF42" s="661"/>
      <c r="AG42" s="661"/>
      <c r="AH42" s="661"/>
      <c r="AI42" s="661"/>
      <c r="CH42" s="49">
        <f>'Aging Analysis'!C29</f>
        <v>434569981</v>
      </c>
    </row>
    <row r="43" spans="1:86" s="31" customFormat="1" ht="14.25" customHeight="1">
      <c r="A43" s="30"/>
      <c r="B43" s="204" t="s">
        <v>804</v>
      </c>
      <c r="C43" s="206">
        <f t="shared" si="5"/>
        <v>0</v>
      </c>
      <c r="D43" s="206">
        <f t="shared" si="5"/>
        <v>0</v>
      </c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137">
        <f t="shared" si="6"/>
        <v>0</v>
      </c>
      <c r="Z43" s="137">
        <f t="shared" si="7"/>
        <v>0</v>
      </c>
      <c r="AA43" s="662"/>
      <c r="AB43" s="661"/>
      <c r="AC43" s="661"/>
      <c r="AD43" s="661"/>
      <c r="AE43" s="661"/>
      <c r="AF43" s="661"/>
      <c r="AG43" s="661"/>
      <c r="AH43" s="661"/>
      <c r="AI43" s="661"/>
      <c r="CH43" s="49"/>
    </row>
    <row r="44" spans="1:86" s="31" customFormat="1" ht="23.25" customHeight="1">
      <c r="A44" s="205">
        <v>19</v>
      </c>
      <c r="B44" s="201" t="s">
        <v>262</v>
      </c>
      <c r="C44" s="206">
        <f t="shared" si="5"/>
        <v>606092084</v>
      </c>
      <c r="D44" s="206">
        <f t="shared" si="5"/>
        <v>402775195</v>
      </c>
      <c r="E44" s="207">
        <v>520009340</v>
      </c>
      <c r="F44" s="207">
        <v>373065594</v>
      </c>
      <c r="G44" s="207"/>
      <c r="H44" s="207"/>
      <c r="I44" s="207">
        <v>78703760</v>
      </c>
      <c r="J44" s="207">
        <v>29709601</v>
      </c>
      <c r="K44" s="207">
        <v>13367757</v>
      </c>
      <c r="L44" s="207">
        <v>4125161</v>
      </c>
      <c r="M44" s="207">
        <v>2400000</v>
      </c>
      <c r="N44" s="207"/>
      <c r="O44" s="207">
        <v>600000</v>
      </c>
      <c r="P44" s="207"/>
      <c r="Q44" s="207">
        <v>1755000</v>
      </c>
      <c r="R44" s="207"/>
      <c r="S44" s="207">
        <v>877498</v>
      </c>
      <c r="T44" s="207"/>
      <c r="U44" s="207">
        <v>3223984</v>
      </c>
      <c r="V44" s="207"/>
      <c r="W44" s="207">
        <v>3200000</v>
      </c>
      <c r="X44" s="207"/>
      <c r="Y44" s="783">
        <f t="shared" si="6"/>
        <v>18045255</v>
      </c>
      <c r="Z44" s="783">
        <f t="shared" si="7"/>
        <v>4125161</v>
      </c>
      <c r="AA44" s="662">
        <f>+'Aging Analysis'!C30</f>
        <v>606092084</v>
      </c>
      <c r="AB44" s="661"/>
      <c r="AC44" s="661"/>
      <c r="AD44" s="661"/>
      <c r="AE44" s="661"/>
      <c r="AF44" s="661"/>
      <c r="AG44" s="661"/>
      <c r="AH44" s="661"/>
      <c r="AI44" s="661"/>
      <c r="CH44" s="49">
        <f>'Aging Analysis'!C30</f>
        <v>606092084</v>
      </c>
    </row>
    <row r="45" spans="1:86" s="31" customFormat="1" ht="14.25" customHeight="1">
      <c r="A45" s="30"/>
      <c r="B45" s="204" t="s">
        <v>804</v>
      </c>
      <c r="C45" s="206">
        <f t="shared" si="5"/>
        <v>0</v>
      </c>
      <c r="D45" s="206">
        <f t="shared" si="5"/>
        <v>0</v>
      </c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137">
        <f t="shared" si="6"/>
        <v>0</v>
      </c>
      <c r="Z45" s="137">
        <f t="shared" si="7"/>
        <v>0</v>
      </c>
      <c r="AA45" s="662"/>
      <c r="AB45" s="661"/>
      <c r="AC45" s="661"/>
      <c r="AD45" s="661"/>
      <c r="AE45" s="661"/>
      <c r="AF45" s="661"/>
      <c r="AG45" s="661"/>
      <c r="AH45" s="661"/>
      <c r="AI45" s="661"/>
      <c r="CH45" s="49"/>
    </row>
    <row r="46" spans="1:86" s="31" customFormat="1" ht="23.25" customHeight="1">
      <c r="A46" s="205">
        <v>20</v>
      </c>
      <c r="B46" s="201" t="s">
        <v>264</v>
      </c>
      <c r="C46" s="206">
        <f t="shared" si="5"/>
        <v>100878106</v>
      </c>
      <c r="D46" s="206">
        <f t="shared" si="5"/>
        <v>0</v>
      </c>
      <c r="E46" s="207">
        <v>74469220</v>
      </c>
      <c r="F46" s="207"/>
      <c r="G46" s="207"/>
      <c r="H46" s="207"/>
      <c r="I46" s="207">
        <v>25895462</v>
      </c>
      <c r="J46" s="207"/>
      <c r="K46" s="207">
        <v>6613543</v>
      </c>
      <c r="L46" s="207"/>
      <c r="M46" s="207">
        <v>513424</v>
      </c>
      <c r="N46" s="207"/>
      <c r="O46" s="207">
        <v>127922</v>
      </c>
      <c r="P46" s="207"/>
      <c r="Q46" s="207"/>
      <c r="R46" s="207"/>
      <c r="S46" s="207"/>
      <c r="T46" s="207"/>
      <c r="U46" s="207"/>
      <c r="V46" s="207"/>
      <c r="W46" s="207"/>
      <c r="X46" s="207"/>
      <c r="Y46" s="783">
        <f t="shared" si="6"/>
        <v>6741465</v>
      </c>
      <c r="Z46" s="783">
        <f t="shared" si="7"/>
        <v>0</v>
      </c>
      <c r="AA46" s="662">
        <f>+'Aging Analysis'!C31</f>
        <v>100878106</v>
      </c>
      <c r="AB46" s="661"/>
      <c r="AC46" s="661"/>
      <c r="AD46" s="661"/>
      <c r="AE46" s="661"/>
      <c r="AF46" s="661"/>
      <c r="AG46" s="661"/>
      <c r="AH46" s="661"/>
      <c r="AI46" s="661"/>
      <c r="CH46" s="49">
        <f>'Aging Analysis'!C31</f>
        <v>100878106</v>
      </c>
    </row>
    <row r="47" spans="1:86" s="31" customFormat="1" ht="14.25" customHeight="1">
      <c r="A47" s="30"/>
      <c r="B47" s="204" t="s">
        <v>804</v>
      </c>
      <c r="C47" s="206">
        <f t="shared" si="5"/>
        <v>0</v>
      </c>
      <c r="D47" s="206">
        <f t="shared" si="5"/>
        <v>0</v>
      </c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137">
        <f t="shared" si="6"/>
        <v>0</v>
      </c>
      <c r="Z47" s="137">
        <f t="shared" si="7"/>
        <v>0</v>
      </c>
      <c r="AA47" s="662"/>
      <c r="AB47" s="661"/>
      <c r="AC47" s="661"/>
      <c r="AD47" s="661"/>
      <c r="AE47" s="661"/>
      <c r="AF47" s="661"/>
      <c r="AG47" s="661"/>
      <c r="AH47" s="661"/>
      <c r="AI47" s="661"/>
      <c r="CH47" s="49"/>
    </row>
    <row r="48" spans="1:86" s="31" customFormat="1" ht="23.25" customHeight="1">
      <c r="A48" s="205">
        <v>21</v>
      </c>
      <c r="B48" s="201" t="s">
        <v>302</v>
      </c>
      <c r="C48" s="206">
        <f t="shared" si="5"/>
        <v>615722460</v>
      </c>
      <c r="D48" s="206">
        <f t="shared" si="5"/>
        <v>4629714</v>
      </c>
      <c r="E48" s="207">
        <v>597405240</v>
      </c>
      <c r="F48" s="207">
        <v>4629714</v>
      </c>
      <c r="G48" s="207"/>
      <c r="H48" s="207"/>
      <c r="I48" s="207">
        <v>17974863</v>
      </c>
      <c r="J48" s="207"/>
      <c r="K48" s="207">
        <v>4365174</v>
      </c>
      <c r="L48" s="207"/>
      <c r="M48" s="207">
        <v>341924</v>
      </c>
      <c r="N48" s="207"/>
      <c r="O48" s="207">
        <v>85453</v>
      </c>
      <c r="P48" s="207"/>
      <c r="Q48" s="207">
        <v>433</v>
      </c>
      <c r="R48" s="207"/>
      <c r="S48" s="207">
        <v>216</v>
      </c>
      <c r="T48" s="207"/>
      <c r="U48" s="207"/>
      <c r="V48" s="207"/>
      <c r="W48" s="207"/>
      <c r="X48" s="207"/>
      <c r="Y48" s="783">
        <f t="shared" si="6"/>
        <v>4450843</v>
      </c>
      <c r="Z48" s="783">
        <f t="shared" si="7"/>
        <v>0</v>
      </c>
      <c r="AA48" s="662">
        <f>+'Aging Analysis'!C32</f>
        <v>615722460</v>
      </c>
      <c r="AB48" s="661"/>
      <c r="AC48" s="661"/>
      <c r="AD48" s="661"/>
      <c r="AE48" s="661"/>
      <c r="AF48" s="661"/>
      <c r="AG48" s="661"/>
      <c r="AH48" s="661"/>
      <c r="AI48" s="661"/>
      <c r="CH48" s="49">
        <f>'Aging Analysis'!C32</f>
        <v>615722460</v>
      </c>
    </row>
    <row r="49" spans="1:86" s="31" customFormat="1" ht="14.25" customHeight="1">
      <c r="A49" s="30"/>
      <c r="B49" s="204" t="s">
        <v>804</v>
      </c>
      <c r="C49" s="206">
        <f t="shared" si="5"/>
        <v>0</v>
      </c>
      <c r="D49" s="206">
        <f t="shared" si="5"/>
        <v>0</v>
      </c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137">
        <f t="shared" si="6"/>
        <v>0</v>
      </c>
      <c r="Z49" s="137">
        <f t="shared" si="7"/>
        <v>0</v>
      </c>
      <c r="AA49" s="662">
        <f>+'Aging Analysis'!C33</f>
        <v>0</v>
      </c>
      <c r="AB49" s="661"/>
      <c r="AC49" s="661"/>
      <c r="AD49" s="661"/>
      <c r="AE49" s="661"/>
      <c r="AF49" s="661"/>
      <c r="AG49" s="661"/>
      <c r="AH49" s="661"/>
      <c r="AI49" s="661"/>
      <c r="CH49" s="49"/>
    </row>
    <row r="50" spans="1:86" s="258" customFormat="1" ht="28.5" customHeight="1">
      <c r="A50" s="579">
        <v>22</v>
      </c>
      <c r="B50" s="579" t="s">
        <v>300</v>
      </c>
      <c r="C50" s="583">
        <f>+C34+C36+C38+C40+C42+C44+C46+C48</f>
        <v>4772374677</v>
      </c>
      <c r="D50" s="583">
        <f t="shared" ref="D50:Z50" si="8">+D34+D36+D38+D40+D42+D44+D46+D48</f>
        <v>1578302325</v>
      </c>
      <c r="E50" s="583">
        <f t="shared" si="8"/>
        <v>4002830821</v>
      </c>
      <c r="F50" s="583">
        <f t="shared" si="8"/>
        <v>1320302605</v>
      </c>
      <c r="G50" s="583">
        <f t="shared" si="8"/>
        <v>0</v>
      </c>
      <c r="H50" s="583">
        <f t="shared" si="8"/>
        <v>0</v>
      </c>
      <c r="I50" s="583">
        <f t="shared" si="8"/>
        <v>741934626</v>
      </c>
      <c r="J50" s="583">
        <f t="shared" si="8"/>
        <v>257539137</v>
      </c>
      <c r="K50" s="583">
        <f t="shared" si="8"/>
        <v>110124747</v>
      </c>
      <c r="L50" s="583">
        <f t="shared" si="8"/>
        <v>18528632</v>
      </c>
      <c r="M50" s="583">
        <f t="shared" si="8"/>
        <v>9977568</v>
      </c>
      <c r="N50" s="583">
        <f t="shared" si="8"/>
        <v>460583</v>
      </c>
      <c r="O50" s="583">
        <f t="shared" si="8"/>
        <v>2493866</v>
      </c>
      <c r="P50" s="583">
        <f t="shared" si="8"/>
        <v>115146</v>
      </c>
      <c r="Q50" s="583">
        <f t="shared" si="8"/>
        <v>3530535</v>
      </c>
      <c r="R50" s="583">
        <f t="shared" si="8"/>
        <v>0</v>
      </c>
      <c r="S50" s="583">
        <f t="shared" si="8"/>
        <v>1766454</v>
      </c>
      <c r="T50" s="583">
        <f t="shared" si="8"/>
        <v>0</v>
      </c>
      <c r="U50" s="583">
        <f t="shared" si="8"/>
        <v>14101127</v>
      </c>
      <c r="V50" s="583">
        <f t="shared" si="8"/>
        <v>0</v>
      </c>
      <c r="W50" s="583">
        <f t="shared" si="8"/>
        <v>5540630</v>
      </c>
      <c r="X50" s="583">
        <f t="shared" si="8"/>
        <v>0</v>
      </c>
      <c r="Y50" s="583">
        <f t="shared" si="8"/>
        <v>119925697</v>
      </c>
      <c r="Z50" s="583">
        <f t="shared" si="8"/>
        <v>18643778</v>
      </c>
      <c r="AA50" s="662">
        <f>+'Aging Analysis'!C34</f>
        <v>4772374677</v>
      </c>
      <c r="AB50" s="661"/>
      <c r="AC50" s="661"/>
      <c r="AD50" s="661"/>
      <c r="AE50" s="661"/>
      <c r="AF50" s="661"/>
      <c r="AG50" s="661"/>
      <c r="AH50" s="661"/>
      <c r="AI50" s="661"/>
      <c r="CH50" s="258">
        <f>'Aging Analysis'!C34</f>
        <v>4772374677</v>
      </c>
    </row>
    <row r="51" spans="1:86" s="31" customFormat="1" ht="23.25" customHeight="1">
      <c r="A51" s="205"/>
      <c r="B51" s="204" t="s">
        <v>804</v>
      </c>
      <c r="C51" s="203">
        <f>+C35+C37+C39+C41+C43+C45+C47+C49</f>
        <v>0</v>
      </c>
      <c r="D51" s="203">
        <f t="shared" ref="D51:Z51" si="9">+D35+D37+D39+D41+D43+D45+D47+D49</f>
        <v>0</v>
      </c>
      <c r="E51" s="207">
        <f t="shared" si="9"/>
        <v>0</v>
      </c>
      <c r="F51" s="207">
        <f t="shared" si="9"/>
        <v>0</v>
      </c>
      <c r="G51" s="207">
        <f t="shared" si="9"/>
        <v>0</v>
      </c>
      <c r="H51" s="207">
        <f t="shared" si="9"/>
        <v>0</v>
      </c>
      <c r="I51" s="207">
        <f t="shared" si="9"/>
        <v>0</v>
      </c>
      <c r="J51" s="207">
        <f t="shared" si="9"/>
        <v>0</v>
      </c>
      <c r="K51" s="207">
        <f t="shared" si="9"/>
        <v>0</v>
      </c>
      <c r="L51" s="207">
        <f t="shared" si="9"/>
        <v>0</v>
      </c>
      <c r="M51" s="207">
        <f t="shared" si="9"/>
        <v>0</v>
      </c>
      <c r="N51" s="207">
        <f t="shared" si="9"/>
        <v>0</v>
      </c>
      <c r="O51" s="207">
        <f t="shared" si="9"/>
        <v>0</v>
      </c>
      <c r="P51" s="207">
        <f t="shared" si="9"/>
        <v>0</v>
      </c>
      <c r="Q51" s="207">
        <f t="shared" si="9"/>
        <v>0</v>
      </c>
      <c r="R51" s="207">
        <f t="shared" si="9"/>
        <v>0</v>
      </c>
      <c r="S51" s="207">
        <f t="shared" si="9"/>
        <v>0</v>
      </c>
      <c r="T51" s="207">
        <f t="shared" si="9"/>
        <v>0</v>
      </c>
      <c r="U51" s="207">
        <f t="shared" si="9"/>
        <v>0</v>
      </c>
      <c r="V51" s="207">
        <f t="shared" si="9"/>
        <v>0</v>
      </c>
      <c r="W51" s="207">
        <f t="shared" si="9"/>
        <v>0</v>
      </c>
      <c r="X51" s="207">
        <f t="shared" si="9"/>
        <v>0</v>
      </c>
      <c r="Y51" s="203">
        <f t="shared" si="9"/>
        <v>0</v>
      </c>
      <c r="Z51" s="203">
        <f t="shared" si="9"/>
        <v>0</v>
      </c>
      <c r="AA51" s="662"/>
      <c r="AB51" s="661"/>
      <c r="AC51" s="661"/>
      <c r="AD51" s="661"/>
      <c r="AE51" s="661"/>
      <c r="AF51" s="661"/>
      <c r="AG51" s="661"/>
      <c r="AH51" s="661"/>
      <c r="AI51" s="661"/>
      <c r="CH51" s="49"/>
    </row>
    <row r="52" spans="1:86" s="139" customFormat="1" ht="27.75" customHeight="1">
      <c r="A52" s="583"/>
      <c r="B52" s="583" t="s">
        <v>1256</v>
      </c>
      <c r="C52" s="583"/>
      <c r="D52" s="583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583"/>
      <c r="P52" s="583"/>
      <c r="Q52" s="583"/>
      <c r="R52" s="583"/>
      <c r="S52" s="583"/>
      <c r="T52" s="583"/>
      <c r="U52" s="583"/>
      <c r="V52" s="583"/>
      <c r="W52" s="583"/>
      <c r="X52" s="583"/>
      <c r="Y52" s="583"/>
      <c r="Z52" s="583"/>
      <c r="AA52" s="662">
        <f>+'[2]Aging Analysis'!C42</f>
        <v>0</v>
      </c>
      <c r="AB52" s="661"/>
      <c r="AC52" s="661"/>
      <c r="AD52" s="661"/>
      <c r="AE52" s="661"/>
      <c r="AF52" s="661"/>
      <c r="AG52" s="661"/>
      <c r="AH52" s="661"/>
      <c r="AI52" s="661"/>
    </row>
    <row r="53" spans="1:86" s="139" customFormat="1" ht="7.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662"/>
      <c r="AB53" s="661"/>
      <c r="AC53" s="661"/>
      <c r="AD53" s="661"/>
      <c r="AE53" s="661"/>
      <c r="AF53" s="661"/>
      <c r="AG53" s="661"/>
      <c r="AH53" s="661"/>
      <c r="AI53" s="661"/>
    </row>
    <row r="54" spans="1:86" s="910" customFormat="1" ht="21.75" customHeight="1">
      <c r="A54" s="1057">
        <v>23</v>
      </c>
      <c r="B54" s="505" t="s">
        <v>1242</v>
      </c>
      <c r="C54" s="206">
        <f t="shared" ref="C54:D67" si="10">E54+I54+M54+Q54+U54</f>
        <v>252434523</v>
      </c>
      <c r="D54" s="206">
        <f t="shared" si="10"/>
        <v>9199713</v>
      </c>
      <c r="E54" s="207">
        <v>195830774</v>
      </c>
      <c r="F54" s="207">
        <v>0</v>
      </c>
      <c r="G54" s="207"/>
      <c r="H54" s="207"/>
      <c r="I54" s="207">
        <v>55073193</v>
      </c>
      <c r="J54" s="207">
        <v>8739130</v>
      </c>
      <c r="K54" s="207">
        <v>11968259</v>
      </c>
      <c r="L54" s="207">
        <v>1967891</v>
      </c>
      <c r="M54" s="207">
        <v>1524613</v>
      </c>
      <c r="N54" s="207">
        <v>460583</v>
      </c>
      <c r="O54" s="207">
        <v>381154</v>
      </c>
      <c r="P54" s="207">
        <v>115146</v>
      </c>
      <c r="Q54" s="207">
        <v>0</v>
      </c>
      <c r="R54" s="207"/>
      <c r="S54" s="207">
        <v>0</v>
      </c>
      <c r="T54" s="207"/>
      <c r="U54" s="207">
        <v>5943</v>
      </c>
      <c r="V54" s="207"/>
      <c r="W54" s="207">
        <v>5943</v>
      </c>
      <c r="X54" s="207"/>
      <c r="Y54" s="783">
        <f>+W54+S54+O54+K54</f>
        <v>12355356</v>
      </c>
      <c r="Z54" s="783">
        <f>+X54+T54+P54+L54</f>
        <v>2083037</v>
      </c>
      <c r="AA54" s="1058">
        <f>+'[2]Aging Analysis'!C43</f>
        <v>0</v>
      </c>
      <c r="AB54" s="1059"/>
      <c r="AC54" s="1059"/>
      <c r="AD54" s="1059"/>
      <c r="AE54" s="1059"/>
      <c r="AF54" s="1059"/>
      <c r="AG54" s="1059"/>
      <c r="AH54" s="1059"/>
      <c r="AI54" s="1059"/>
      <c r="CH54" s="1060">
        <f>'[2]Aging Analysis'!C43</f>
        <v>0</v>
      </c>
    </row>
    <row r="55" spans="1:86" s="910" customFormat="1" ht="21.75" customHeight="1">
      <c r="A55" s="1057">
        <v>24</v>
      </c>
      <c r="B55" s="505" t="s">
        <v>1243</v>
      </c>
      <c r="C55" s="206">
        <f t="shared" si="10"/>
        <v>164558784</v>
      </c>
      <c r="D55" s="206">
        <f t="shared" si="10"/>
        <v>18164858</v>
      </c>
      <c r="E55" s="207">
        <v>160554040</v>
      </c>
      <c r="F55" s="207">
        <v>18164858</v>
      </c>
      <c r="G55" s="207"/>
      <c r="H55" s="207"/>
      <c r="I55" s="207">
        <v>3664303</v>
      </c>
      <c r="J55" s="207">
        <v>0</v>
      </c>
      <c r="K55" s="207">
        <v>614656</v>
      </c>
      <c r="L55" s="207">
        <v>0</v>
      </c>
      <c r="M55" s="207">
        <v>32541</v>
      </c>
      <c r="N55" s="207">
        <v>0</v>
      </c>
      <c r="O55" s="207">
        <v>8105</v>
      </c>
      <c r="P55" s="207">
        <v>0</v>
      </c>
      <c r="Q55" s="207">
        <v>0</v>
      </c>
      <c r="R55" s="207"/>
      <c r="S55" s="207">
        <v>0</v>
      </c>
      <c r="T55" s="207"/>
      <c r="U55" s="207">
        <v>307900</v>
      </c>
      <c r="V55" s="207"/>
      <c r="W55" s="207">
        <v>2541</v>
      </c>
      <c r="X55" s="207"/>
      <c r="Y55" s="783">
        <f t="shared" ref="Y55:Z67" si="11">+W55+S55+O55+K55</f>
        <v>625302</v>
      </c>
      <c r="Z55" s="783">
        <f t="shared" si="11"/>
        <v>0</v>
      </c>
      <c r="AA55" s="1058"/>
      <c r="AB55" s="1059"/>
      <c r="AC55" s="1059"/>
      <c r="AD55" s="1059"/>
      <c r="AE55" s="1059"/>
      <c r="AF55" s="1059"/>
      <c r="AG55" s="1059"/>
      <c r="AH55" s="1059"/>
      <c r="AI55" s="1059"/>
      <c r="CH55" s="1060"/>
    </row>
    <row r="56" spans="1:86" s="910" customFormat="1" ht="21.75" customHeight="1">
      <c r="A56" s="1057">
        <v>25</v>
      </c>
      <c r="B56" s="505" t="s">
        <v>1244</v>
      </c>
      <c r="C56" s="206">
        <f t="shared" si="10"/>
        <v>234866139</v>
      </c>
      <c r="D56" s="206">
        <f t="shared" si="10"/>
        <v>20878676</v>
      </c>
      <c r="E56" s="207">
        <v>203584850</v>
      </c>
      <c r="F56" s="207">
        <v>13949476</v>
      </c>
      <c r="G56" s="207"/>
      <c r="H56" s="207"/>
      <c r="I56" s="207">
        <v>31136646</v>
      </c>
      <c r="J56" s="207">
        <v>6929200</v>
      </c>
      <c r="K56" s="207">
        <v>2630666</v>
      </c>
      <c r="L56" s="207">
        <v>639919</v>
      </c>
      <c r="M56" s="207">
        <v>0</v>
      </c>
      <c r="N56" s="207">
        <v>0</v>
      </c>
      <c r="O56" s="207">
        <v>0</v>
      </c>
      <c r="P56" s="207">
        <v>0</v>
      </c>
      <c r="Q56" s="207">
        <v>11049</v>
      </c>
      <c r="R56" s="207"/>
      <c r="S56" s="207">
        <v>5520</v>
      </c>
      <c r="T56" s="207"/>
      <c r="U56" s="207">
        <v>133594</v>
      </c>
      <c r="V56" s="207"/>
      <c r="W56" s="207">
        <v>0</v>
      </c>
      <c r="X56" s="207"/>
      <c r="Y56" s="783">
        <f t="shared" si="11"/>
        <v>2636186</v>
      </c>
      <c r="Z56" s="783">
        <f t="shared" si="11"/>
        <v>639919</v>
      </c>
      <c r="AA56" s="1058">
        <f>+'[2]Aging Analysis'!C44</f>
        <v>0</v>
      </c>
      <c r="AB56" s="1059"/>
      <c r="AC56" s="1059"/>
      <c r="AD56" s="1059"/>
      <c r="AE56" s="1059"/>
      <c r="AF56" s="1059"/>
      <c r="AG56" s="1059"/>
      <c r="AH56" s="1059"/>
      <c r="AI56" s="1059"/>
      <c r="CH56" s="1060">
        <f>'[2]Aging Analysis'!C44</f>
        <v>0</v>
      </c>
    </row>
    <row r="57" spans="1:86" s="910" customFormat="1" ht="21.75" customHeight="1">
      <c r="A57" s="1057">
        <v>26</v>
      </c>
      <c r="B57" s="505" t="s">
        <v>1245</v>
      </c>
      <c r="C57" s="206">
        <f t="shared" si="10"/>
        <v>224943112</v>
      </c>
      <c r="D57" s="206">
        <f t="shared" si="10"/>
        <v>36813673</v>
      </c>
      <c r="E57" s="207">
        <v>179862021</v>
      </c>
      <c r="F57" s="207">
        <v>31202613</v>
      </c>
      <c r="G57" s="207"/>
      <c r="H57" s="207"/>
      <c r="I57" s="207">
        <v>44928590</v>
      </c>
      <c r="J57" s="207">
        <v>5611060</v>
      </c>
      <c r="K57" s="207">
        <v>4392134</v>
      </c>
      <c r="L57" s="207">
        <v>743078</v>
      </c>
      <c r="M57" s="207">
        <v>1665</v>
      </c>
      <c r="N57" s="207">
        <v>0</v>
      </c>
      <c r="O57" s="207">
        <v>416</v>
      </c>
      <c r="P57" s="207">
        <v>0</v>
      </c>
      <c r="Q57" s="207">
        <v>18736</v>
      </c>
      <c r="R57" s="207"/>
      <c r="S57" s="207">
        <v>9369</v>
      </c>
      <c r="T57" s="207"/>
      <c r="U57" s="207">
        <v>132100</v>
      </c>
      <c r="V57" s="207"/>
      <c r="W57" s="207">
        <v>132100</v>
      </c>
      <c r="X57" s="207"/>
      <c r="Y57" s="783">
        <f t="shared" si="11"/>
        <v>4534019</v>
      </c>
      <c r="Z57" s="783">
        <f t="shared" si="11"/>
        <v>743078</v>
      </c>
      <c r="AA57" s="1058"/>
      <c r="AB57" s="1059"/>
      <c r="AC57" s="1059"/>
      <c r="AD57" s="1059"/>
      <c r="AE57" s="1059"/>
      <c r="AF57" s="1059"/>
      <c r="AG57" s="1059"/>
      <c r="AH57" s="1059"/>
      <c r="AI57" s="1059"/>
      <c r="CH57" s="1060"/>
    </row>
    <row r="58" spans="1:86" s="910" customFormat="1" ht="21.75" customHeight="1">
      <c r="A58" s="1057">
        <v>27</v>
      </c>
      <c r="B58" s="505" t="s">
        <v>1246</v>
      </c>
      <c r="C58" s="206">
        <f t="shared" si="10"/>
        <v>462044449</v>
      </c>
      <c r="D58" s="206">
        <f t="shared" si="10"/>
        <v>108007006</v>
      </c>
      <c r="E58" s="207">
        <v>373873311</v>
      </c>
      <c r="F58" s="207">
        <v>69583268</v>
      </c>
      <c r="G58" s="207"/>
      <c r="H58" s="207"/>
      <c r="I58" s="207">
        <v>75888197</v>
      </c>
      <c r="J58" s="207">
        <v>38423738</v>
      </c>
      <c r="K58" s="207">
        <v>11268090</v>
      </c>
      <c r="L58" s="207">
        <v>1157873</v>
      </c>
      <c r="M58" s="207">
        <v>2400000</v>
      </c>
      <c r="N58" s="207">
        <v>0</v>
      </c>
      <c r="O58" s="207">
        <v>600000</v>
      </c>
      <c r="P58" s="207">
        <v>0</v>
      </c>
      <c r="Q58" s="207">
        <v>1150769</v>
      </c>
      <c r="R58" s="207"/>
      <c r="S58" s="207">
        <v>575216</v>
      </c>
      <c r="T58" s="207"/>
      <c r="U58" s="207">
        <v>8732172</v>
      </c>
      <c r="V58" s="207"/>
      <c r="W58" s="207">
        <v>5015918</v>
      </c>
      <c r="X58" s="207"/>
      <c r="Y58" s="783">
        <f t="shared" si="11"/>
        <v>17459224</v>
      </c>
      <c r="Z58" s="783">
        <f t="shared" si="11"/>
        <v>1157873</v>
      </c>
      <c r="AA58" s="1058">
        <f>+'[2]Aging Analysis'!C45</f>
        <v>0</v>
      </c>
      <c r="AB58" s="1059"/>
      <c r="AC58" s="1059"/>
      <c r="AD58" s="1059"/>
      <c r="AE58" s="1059"/>
      <c r="AF58" s="1059"/>
      <c r="AG58" s="1059"/>
      <c r="AH58" s="1059"/>
      <c r="AI58" s="1059"/>
      <c r="CH58" s="1060">
        <f>'[2]Aging Analysis'!C45</f>
        <v>0</v>
      </c>
    </row>
    <row r="59" spans="1:86" s="910" customFormat="1" ht="21.75" customHeight="1">
      <c r="A59" s="1057">
        <v>28</v>
      </c>
      <c r="B59" s="505" t="s">
        <v>1247</v>
      </c>
      <c r="C59" s="206">
        <f t="shared" si="10"/>
        <v>170340853</v>
      </c>
      <c r="D59" s="206">
        <f t="shared" si="10"/>
        <v>9141768</v>
      </c>
      <c r="E59" s="207">
        <v>143577410</v>
      </c>
      <c r="F59" s="207">
        <v>8323046</v>
      </c>
      <c r="G59" s="207"/>
      <c r="H59" s="207"/>
      <c r="I59" s="207">
        <v>26763443</v>
      </c>
      <c r="J59" s="207">
        <v>818722</v>
      </c>
      <c r="K59" s="207">
        <v>2558724</v>
      </c>
      <c r="L59" s="207">
        <v>74918</v>
      </c>
      <c r="M59" s="207">
        <v>0</v>
      </c>
      <c r="N59" s="207">
        <v>0</v>
      </c>
      <c r="O59" s="207">
        <v>0</v>
      </c>
      <c r="P59" s="207">
        <v>0</v>
      </c>
      <c r="Q59" s="207">
        <v>0</v>
      </c>
      <c r="R59" s="207"/>
      <c r="S59" s="207">
        <v>0</v>
      </c>
      <c r="T59" s="207"/>
      <c r="U59" s="207">
        <v>0</v>
      </c>
      <c r="V59" s="207"/>
      <c r="W59" s="207">
        <v>0</v>
      </c>
      <c r="X59" s="207"/>
      <c r="Y59" s="783">
        <f t="shared" si="11"/>
        <v>2558724</v>
      </c>
      <c r="Z59" s="783">
        <f t="shared" si="11"/>
        <v>74918</v>
      </c>
      <c r="AA59" s="1058"/>
      <c r="AB59" s="1059"/>
      <c r="AC59" s="1059"/>
      <c r="AD59" s="1059"/>
      <c r="AE59" s="1059"/>
      <c r="AF59" s="1059"/>
      <c r="AG59" s="1059"/>
      <c r="AH59" s="1059"/>
      <c r="AI59" s="1059"/>
      <c r="CH59" s="1060"/>
    </row>
    <row r="60" spans="1:86" s="910" customFormat="1" ht="21.75" customHeight="1">
      <c r="A60" s="1057">
        <v>29</v>
      </c>
      <c r="B60" s="505" t="s">
        <v>1248</v>
      </c>
      <c r="C60" s="206">
        <f t="shared" si="10"/>
        <v>264951765</v>
      </c>
      <c r="D60" s="206">
        <f t="shared" si="10"/>
        <v>21757314</v>
      </c>
      <c r="E60" s="207">
        <v>217618310</v>
      </c>
      <c r="F60" s="207">
        <v>6097071</v>
      </c>
      <c r="G60" s="207"/>
      <c r="H60" s="207"/>
      <c r="I60" s="207">
        <v>46761967</v>
      </c>
      <c r="J60" s="207">
        <v>15660243</v>
      </c>
      <c r="K60" s="207">
        <v>7656231</v>
      </c>
      <c r="L60" s="207">
        <v>1673172</v>
      </c>
      <c r="M60" s="207">
        <v>417289</v>
      </c>
      <c r="N60" s="207">
        <v>0</v>
      </c>
      <c r="O60" s="207">
        <v>103893</v>
      </c>
      <c r="P60" s="207">
        <v>0</v>
      </c>
      <c r="Q60" s="207">
        <v>421</v>
      </c>
      <c r="R60" s="207"/>
      <c r="S60" s="207">
        <v>211</v>
      </c>
      <c r="T60" s="207"/>
      <c r="U60" s="207">
        <v>153778</v>
      </c>
      <c r="V60" s="207"/>
      <c r="W60" s="207">
        <v>15378</v>
      </c>
      <c r="X60" s="207"/>
      <c r="Y60" s="783">
        <f t="shared" si="11"/>
        <v>7775713</v>
      </c>
      <c r="Z60" s="783">
        <f t="shared" si="11"/>
        <v>1673172</v>
      </c>
      <c r="AA60" s="1058">
        <f>+'[2]Aging Analysis'!C46</f>
        <v>0</v>
      </c>
      <c r="AB60" s="1059"/>
      <c r="AC60" s="1059"/>
      <c r="AD60" s="1059"/>
      <c r="AE60" s="1059"/>
      <c r="AF60" s="1059"/>
      <c r="AG60" s="1059"/>
      <c r="AH60" s="1059"/>
      <c r="AI60" s="1059"/>
      <c r="CH60" s="1060">
        <f>'[2]Aging Analysis'!C46</f>
        <v>0</v>
      </c>
    </row>
    <row r="61" spans="1:86" s="910" customFormat="1" ht="21.75" customHeight="1">
      <c r="A61" s="1057">
        <v>30</v>
      </c>
      <c r="B61" s="505" t="s">
        <v>1249</v>
      </c>
      <c r="C61" s="206">
        <f t="shared" si="10"/>
        <v>374628458</v>
      </c>
      <c r="D61" s="206">
        <f t="shared" si="10"/>
        <v>17353533</v>
      </c>
      <c r="E61" s="207">
        <v>279920386</v>
      </c>
      <c r="F61" s="207">
        <v>9848295</v>
      </c>
      <c r="G61" s="207"/>
      <c r="H61" s="207"/>
      <c r="I61" s="207">
        <v>91744199</v>
      </c>
      <c r="J61" s="207">
        <v>7505238</v>
      </c>
      <c r="K61" s="207">
        <v>10674672</v>
      </c>
      <c r="L61" s="207">
        <v>600706</v>
      </c>
      <c r="M61" s="207">
        <v>26556</v>
      </c>
      <c r="N61" s="207">
        <v>0</v>
      </c>
      <c r="O61" s="207">
        <v>6646</v>
      </c>
      <c r="P61" s="207">
        <v>0</v>
      </c>
      <c r="Q61" s="207">
        <v>0</v>
      </c>
      <c r="R61" s="207"/>
      <c r="S61" s="207">
        <v>0</v>
      </c>
      <c r="T61" s="207"/>
      <c r="U61" s="207">
        <v>2937317</v>
      </c>
      <c r="V61" s="207"/>
      <c r="W61" s="207">
        <v>294</v>
      </c>
      <c r="X61" s="207"/>
      <c r="Y61" s="783">
        <f t="shared" si="11"/>
        <v>10681612</v>
      </c>
      <c r="Z61" s="783">
        <f t="shared" si="11"/>
        <v>600706</v>
      </c>
      <c r="AA61" s="1058"/>
      <c r="AB61" s="1059"/>
      <c r="AC61" s="1059"/>
      <c r="AD61" s="1059"/>
      <c r="AE61" s="1059"/>
      <c r="AF61" s="1059"/>
      <c r="AG61" s="1059"/>
      <c r="AH61" s="1059"/>
      <c r="AI61" s="1059"/>
      <c r="CH61" s="1060"/>
    </row>
    <row r="62" spans="1:86" s="910" customFormat="1" ht="21.75" customHeight="1">
      <c r="A62" s="1057">
        <v>31</v>
      </c>
      <c r="B62" s="505" t="s">
        <v>1250</v>
      </c>
      <c r="C62" s="206">
        <f t="shared" si="10"/>
        <v>588033245</v>
      </c>
      <c r="D62" s="206">
        <f t="shared" si="10"/>
        <v>258375827</v>
      </c>
      <c r="E62" s="207">
        <v>413038048</v>
      </c>
      <c r="F62" s="207">
        <v>131550560</v>
      </c>
      <c r="G62" s="207"/>
      <c r="H62" s="207"/>
      <c r="I62" s="207">
        <v>173687160</v>
      </c>
      <c r="J62" s="207">
        <v>126825267</v>
      </c>
      <c r="K62" s="207">
        <v>21744396</v>
      </c>
      <c r="L62" s="207">
        <v>7489864</v>
      </c>
      <c r="M62" s="207">
        <v>708037</v>
      </c>
      <c r="N62" s="207">
        <v>0</v>
      </c>
      <c r="O62" s="207">
        <v>177027</v>
      </c>
      <c r="P62" s="207">
        <v>0</v>
      </c>
      <c r="Q62" s="207">
        <v>600000</v>
      </c>
      <c r="R62" s="207"/>
      <c r="S62" s="207">
        <v>300000</v>
      </c>
      <c r="T62" s="207"/>
      <c r="U62" s="207">
        <v>0</v>
      </c>
      <c r="V62" s="207"/>
      <c r="W62" s="207">
        <v>0</v>
      </c>
      <c r="X62" s="207"/>
      <c r="Y62" s="783">
        <f t="shared" si="11"/>
        <v>22221423</v>
      </c>
      <c r="Z62" s="783">
        <f t="shared" si="11"/>
        <v>7489864</v>
      </c>
      <c r="AA62" s="1058">
        <f>+'[2]Aging Analysis'!C47</f>
        <v>0</v>
      </c>
      <c r="AB62" s="1059"/>
      <c r="AC62" s="1059"/>
      <c r="AD62" s="1059"/>
      <c r="AE62" s="1059"/>
      <c r="AF62" s="1059"/>
      <c r="AG62" s="1059"/>
      <c r="AH62" s="1059"/>
      <c r="AI62" s="1059"/>
      <c r="CH62" s="1060">
        <f>'[2]Aging Analysis'!C47</f>
        <v>0</v>
      </c>
    </row>
    <row r="63" spans="1:86" s="910" customFormat="1" ht="21.75" customHeight="1">
      <c r="A63" s="1057">
        <v>32</v>
      </c>
      <c r="B63" s="505" t="s">
        <v>1251</v>
      </c>
      <c r="C63" s="206">
        <f t="shared" si="10"/>
        <v>227548296</v>
      </c>
      <c r="D63" s="206">
        <f t="shared" si="10"/>
        <v>104919025</v>
      </c>
      <c r="E63" s="207">
        <v>181463372</v>
      </c>
      <c r="F63" s="207">
        <v>74539621</v>
      </c>
      <c r="G63" s="207"/>
      <c r="H63" s="207"/>
      <c r="I63" s="207">
        <v>46081759</v>
      </c>
      <c r="J63" s="207">
        <v>30379404</v>
      </c>
      <c r="K63" s="207">
        <v>11526808</v>
      </c>
      <c r="L63" s="207">
        <v>2302680</v>
      </c>
      <c r="M63" s="207">
        <v>3165</v>
      </c>
      <c r="N63" s="207">
        <v>0</v>
      </c>
      <c r="O63" s="207">
        <v>795</v>
      </c>
      <c r="P63" s="207">
        <v>0</v>
      </c>
      <c r="Q63" s="207">
        <v>0</v>
      </c>
      <c r="R63" s="207"/>
      <c r="S63" s="207">
        <v>0</v>
      </c>
      <c r="T63" s="207"/>
      <c r="U63" s="207">
        <v>0</v>
      </c>
      <c r="V63" s="207"/>
      <c r="W63" s="207">
        <v>0</v>
      </c>
      <c r="X63" s="207"/>
      <c r="Y63" s="783">
        <f t="shared" si="11"/>
        <v>11527603</v>
      </c>
      <c r="Z63" s="783">
        <f t="shared" si="11"/>
        <v>2302680</v>
      </c>
      <c r="AA63" s="1058"/>
      <c r="AB63" s="1059"/>
      <c r="AC63" s="1059"/>
      <c r="AD63" s="1059"/>
      <c r="AE63" s="1059"/>
      <c r="AF63" s="1059"/>
      <c r="AG63" s="1059"/>
      <c r="AH63" s="1059"/>
      <c r="AI63" s="1059"/>
      <c r="CH63" s="1060"/>
    </row>
    <row r="64" spans="1:86" s="910" customFormat="1" ht="21.75" customHeight="1">
      <c r="A64" s="1057">
        <v>33</v>
      </c>
      <c r="B64" s="505" t="s">
        <v>1252</v>
      </c>
      <c r="C64" s="206">
        <f t="shared" si="10"/>
        <v>337780737</v>
      </c>
      <c r="D64" s="206">
        <f t="shared" si="10"/>
        <v>122676571</v>
      </c>
      <c r="E64" s="207">
        <v>301090999</v>
      </c>
      <c r="F64" s="207">
        <v>113340608</v>
      </c>
      <c r="G64" s="207"/>
      <c r="H64" s="207"/>
      <c r="I64" s="207">
        <v>31777764</v>
      </c>
      <c r="J64" s="207">
        <v>9335963</v>
      </c>
      <c r="K64" s="207">
        <v>5910181</v>
      </c>
      <c r="L64" s="207">
        <v>1342141</v>
      </c>
      <c r="M64" s="207">
        <v>2605364</v>
      </c>
      <c r="N64" s="207">
        <v>0</v>
      </c>
      <c r="O64" s="207">
        <v>651342</v>
      </c>
      <c r="P64" s="207">
        <v>0</v>
      </c>
      <c r="Q64" s="207">
        <v>955000</v>
      </c>
      <c r="R64" s="207"/>
      <c r="S64" s="207">
        <v>477499</v>
      </c>
      <c r="T64" s="207"/>
      <c r="U64" s="207">
        <v>1351610</v>
      </c>
      <c r="V64" s="207"/>
      <c r="W64" s="207">
        <v>21742</v>
      </c>
      <c r="X64" s="207"/>
      <c r="Y64" s="783">
        <f t="shared" si="11"/>
        <v>7060764</v>
      </c>
      <c r="Z64" s="783">
        <f t="shared" si="11"/>
        <v>1342141</v>
      </c>
      <c r="AA64" s="1058">
        <f>+'[2]Aging Analysis'!C48</f>
        <v>0</v>
      </c>
      <c r="AB64" s="1059"/>
      <c r="AC64" s="1059"/>
      <c r="AD64" s="1059"/>
      <c r="AE64" s="1059"/>
      <c r="AF64" s="1059"/>
      <c r="AG64" s="1059"/>
      <c r="AH64" s="1059"/>
      <c r="AI64" s="1059"/>
      <c r="CH64" s="1060">
        <f>'[2]Aging Analysis'!C48</f>
        <v>0</v>
      </c>
    </row>
    <row r="65" spans="1:86" s="910" customFormat="1" ht="21.75" customHeight="1">
      <c r="A65" s="1057">
        <v>34</v>
      </c>
      <c r="B65" s="505" t="s">
        <v>1253</v>
      </c>
      <c r="C65" s="206">
        <f t="shared" si="10"/>
        <v>169002895</v>
      </c>
      <c r="D65" s="206">
        <f t="shared" si="10"/>
        <v>17214062</v>
      </c>
      <c r="E65" s="207">
        <v>144704753</v>
      </c>
      <c r="F65" s="207">
        <v>17214062</v>
      </c>
      <c r="G65" s="207"/>
      <c r="H65" s="207"/>
      <c r="I65" s="207">
        <v>22219382</v>
      </c>
      <c r="J65" s="207">
        <v>0</v>
      </c>
      <c r="K65" s="207">
        <v>4921287</v>
      </c>
      <c r="L65" s="207">
        <v>0</v>
      </c>
      <c r="M65" s="207">
        <v>1484200</v>
      </c>
      <c r="N65" s="207">
        <v>0</v>
      </c>
      <c r="O65" s="207">
        <v>370952</v>
      </c>
      <c r="P65" s="207">
        <v>0</v>
      </c>
      <c r="Q65" s="207">
        <v>594560</v>
      </c>
      <c r="R65" s="207"/>
      <c r="S65" s="207">
        <v>298640</v>
      </c>
      <c r="T65" s="207"/>
      <c r="U65" s="207">
        <v>0</v>
      </c>
      <c r="V65" s="207"/>
      <c r="W65" s="207">
        <v>0</v>
      </c>
      <c r="X65" s="207"/>
      <c r="Y65" s="783">
        <f t="shared" si="11"/>
        <v>5590879</v>
      </c>
      <c r="Z65" s="783">
        <f t="shared" si="11"/>
        <v>0</v>
      </c>
      <c r="AA65" s="1058"/>
      <c r="AB65" s="1059"/>
      <c r="AC65" s="1059"/>
      <c r="AD65" s="1059"/>
      <c r="AE65" s="1059"/>
      <c r="AF65" s="1059"/>
      <c r="AG65" s="1059"/>
      <c r="AH65" s="1059"/>
      <c r="AI65" s="1059"/>
      <c r="CH65" s="1060"/>
    </row>
    <row r="66" spans="1:86" s="910" customFormat="1" ht="21.75" customHeight="1">
      <c r="A66" s="1057">
        <v>35</v>
      </c>
      <c r="B66" s="505" t="s">
        <v>1254</v>
      </c>
      <c r="C66" s="206">
        <f t="shared" si="10"/>
        <v>189615721</v>
      </c>
      <c r="D66" s="206">
        <f t="shared" si="10"/>
        <v>23849646</v>
      </c>
      <c r="E66" s="207">
        <v>173904067</v>
      </c>
      <c r="F66" s="207">
        <v>21619840</v>
      </c>
      <c r="G66" s="207"/>
      <c r="H66" s="207"/>
      <c r="I66" s="207">
        <v>14707271</v>
      </c>
      <c r="J66" s="207">
        <v>2229806</v>
      </c>
      <c r="K66" s="207">
        <v>4571185</v>
      </c>
      <c r="L66" s="207">
        <v>222981</v>
      </c>
      <c r="M66" s="207">
        <v>774138</v>
      </c>
      <c r="N66" s="207">
        <v>0</v>
      </c>
      <c r="O66" s="207">
        <v>193536</v>
      </c>
      <c r="P66" s="207">
        <v>0</v>
      </c>
      <c r="Q66" s="207">
        <v>200000</v>
      </c>
      <c r="R66" s="207"/>
      <c r="S66" s="207">
        <v>99999</v>
      </c>
      <c r="T66" s="207"/>
      <c r="U66" s="207">
        <v>30245</v>
      </c>
      <c r="V66" s="207"/>
      <c r="W66" s="207">
        <v>30246</v>
      </c>
      <c r="X66" s="207"/>
      <c r="Y66" s="783">
        <f t="shared" si="11"/>
        <v>4894966</v>
      </c>
      <c r="Z66" s="783">
        <f t="shared" si="11"/>
        <v>222981</v>
      </c>
      <c r="AA66" s="1058">
        <f>+'[2]Aging Analysis'!C49</f>
        <v>0</v>
      </c>
      <c r="AB66" s="1059"/>
      <c r="AC66" s="1059"/>
      <c r="AD66" s="1059"/>
      <c r="AE66" s="1059"/>
      <c r="AF66" s="1059"/>
      <c r="AG66" s="1059"/>
      <c r="AH66" s="1059"/>
      <c r="AI66" s="1059"/>
      <c r="CH66" s="1060">
        <f>'[2]Aging Analysis'!C49</f>
        <v>0</v>
      </c>
    </row>
    <row r="67" spans="1:86" s="910" customFormat="1" ht="21.75" customHeight="1">
      <c r="A67" s="1057">
        <v>36</v>
      </c>
      <c r="B67" s="505" t="s">
        <v>1255</v>
      </c>
      <c r="C67" s="206">
        <f t="shared" si="10"/>
        <v>1111625700</v>
      </c>
      <c r="D67" s="206">
        <f t="shared" si="10"/>
        <v>809950653</v>
      </c>
      <c r="E67" s="207">
        <v>1033808480</v>
      </c>
      <c r="F67" s="207">
        <v>804869287</v>
      </c>
      <c r="G67" s="207"/>
      <c r="H67" s="207"/>
      <c r="I67" s="207">
        <v>77500752</v>
      </c>
      <c r="J67" s="207">
        <v>5081366</v>
      </c>
      <c r="K67" s="207">
        <v>9687458</v>
      </c>
      <c r="L67" s="207">
        <v>313409</v>
      </c>
      <c r="M67" s="207">
        <v>0</v>
      </c>
      <c r="N67" s="207">
        <v>0</v>
      </c>
      <c r="O67" s="207">
        <v>0</v>
      </c>
      <c r="P67" s="207">
        <v>0</v>
      </c>
      <c r="Q67" s="207">
        <v>0</v>
      </c>
      <c r="R67" s="207"/>
      <c r="S67" s="207">
        <v>0</v>
      </c>
      <c r="T67" s="207"/>
      <c r="U67" s="207">
        <v>316468</v>
      </c>
      <c r="V67" s="207"/>
      <c r="W67" s="207">
        <v>316468</v>
      </c>
      <c r="X67" s="207"/>
      <c r="Y67" s="783">
        <f t="shared" si="11"/>
        <v>10003926</v>
      </c>
      <c r="Z67" s="783">
        <f t="shared" si="11"/>
        <v>313409</v>
      </c>
      <c r="AA67" s="1058"/>
      <c r="AB67" s="1059"/>
      <c r="AC67" s="1059"/>
      <c r="AD67" s="1059"/>
      <c r="AE67" s="1059"/>
      <c r="AF67" s="1059"/>
      <c r="AG67" s="1059"/>
      <c r="AH67" s="1059"/>
      <c r="AI67" s="1059"/>
      <c r="CH67" s="1060"/>
    </row>
    <row r="68" spans="1:86" s="258" customFormat="1" ht="28.5" customHeight="1">
      <c r="A68" s="579">
        <v>37</v>
      </c>
      <c r="B68" s="579" t="s">
        <v>300</v>
      </c>
      <c r="C68" s="583">
        <f>SUM(C54:C67)</f>
        <v>4772374677</v>
      </c>
      <c r="D68" s="583">
        <f t="shared" ref="D68:Z68" si="12">SUM(D54:D67)</f>
        <v>1578302325</v>
      </c>
      <c r="E68" s="583">
        <f t="shared" si="12"/>
        <v>4002830821</v>
      </c>
      <c r="F68" s="583">
        <f t="shared" si="12"/>
        <v>1320302605</v>
      </c>
      <c r="G68" s="583">
        <f t="shared" si="12"/>
        <v>0</v>
      </c>
      <c r="H68" s="583">
        <f t="shared" si="12"/>
        <v>0</v>
      </c>
      <c r="I68" s="583">
        <f t="shared" si="12"/>
        <v>741934626</v>
      </c>
      <c r="J68" s="583">
        <f t="shared" si="12"/>
        <v>257539137</v>
      </c>
      <c r="K68" s="583">
        <f t="shared" si="12"/>
        <v>110124747</v>
      </c>
      <c r="L68" s="583">
        <f t="shared" si="12"/>
        <v>18528632</v>
      </c>
      <c r="M68" s="583">
        <f t="shared" si="12"/>
        <v>9977568</v>
      </c>
      <c r="N68" s="583">
        <f t="shared" si="12"/>
        <v>460583</v>
      </c>
      <c r="O68" s="583">
        <f t="shared" si="12"/>
        <v>2493866</v>
      </c>
      <c r="P68" s="583">
        <f t="shared" si="12"/>
        <v>115146</v>
      </c>
      <c r="Q68" s="583">
        <f t="shared" si="12"/>
        <v>3530535</v>
      </c>
      <c r="R68" s="583">
        <f t="shared" si="12"/>
        <v>0</v>
      </c>
      <c r="S68" s="583">
        <f t="shared" si="12"/>
        <v>1766454</v>
      </c>
      <c r="T68" s="583">
        <f t="shared" si="12"/>
        <v>0</v>
      </c>
      <c r="U68" s="583">
        <f t="shared" si="12"/>
        <v>14101127</v>
      </c>
      <c r="V68" s="583">
        <f t="shared" si="12"/>
        <v>0</v>
      </c>
      <c r="W68" s="583">
        <f t="shared" si="12"/>
        <v>5540630</v>
      </c>
      <c r="X68" s="583">
        <f t="shared" si="12"/>
        <v>0</v>
      </c>
      <c r="Y68" s="583">
        <f t="shared" si="12"/>
        <v>119925697</v>
      </c>
      <c r="Z68" s="583">
        <f t="shared" si="12"/>
        <v>18643778</v>
      </c>
      <c r="AA68" s="662">
        <f>+'[2]Aging Analysis'!C51</f>
        <v>0</v>
      </c>
      <c r="AB68" s="661"/>
      <c r="AC68" s="661"/>
      <c r="AD68" s="661"/>
      <c r="AE68" s="661"/>
      <c r="AF68" s="661"/>
      <c r="AG68" s="661"/>
      <c r="AH68" s="661"/>
      <c r="AI68" s="661"/>
      <c r="CH68" s="258">
        <f>'[2]Aging Analysis'!C51</f>
        <v>0</v>
      </c>
    </row>
    <row r="69" spans="1:86" s="31" customFormat="1" ht="23.25" customHeight="1">
      <c r="A69" s="205">
        <v>38</v>
      </c>
      <c r="B69" s="1027" t="s">
        <v>320</v>
      </c>
      <c r="C69" s="629">
        <f>E69+I69+M69+Q69+U69</f>
        <v>159478025</v>
      </c>
      <c r="D69" s="629">
        <f>F69+J69+N69+R69+V69</f>
        <v>142500641</v>
      </c>
      <c r="E69" s="207">
        <v>154418067</v>
      </c>
      <c r="F69" s="207">
        <v>142457488</v>
      </c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>
        <v>5059958</v>
      </c>
      <c r="V69" s="207">
        <v>43153</v>
      </c>
      <c r="W69" s="207">
        <v>5059956</v>
      </c>
      <c r="X69" s="207">
        <v>43153</v>
      </c>
      <c r="Y69" s="783">
        <f>+W69+S69+O69+K69</f>
        <v>5059956</v>
      </c>
      <c r="Z69" s="783">
        <f>+X69+T69+P69+L69</f>
        <v>43153</v>
      </c>
      <c r="AA69" s="662"/>
      <c r="AB69" s="661"/>
      <c r="AC69" s="661"/>
      <c r="AD69" s="661"/>
      <c r="AE69" s="661"/>
      <c r="AF69" s="661"/>
      <c r="AG69" s="661"/>
      <c r="AH69" s="661"/>
      <c r="AI69" s="661"/>
    </row>
    <row r="70" spans="1:86" s="31" customFormat="1" ht="23.25" customHeight="1">
      <c r="A70" s="205"/>
      <c r="B70" s="204" t="s">
        <v>804</v>
      </c>
      <c r="C70" s="629">
        <f>E70+I70+M70+Q70+U70</f>
        <v>0</v>
      </c>
      <c r="D70" s="629">
        <f>F70+J70+N70+R70+V70</f>
        <v>0</v>
      </c>
      <c r="E70" s="782"/>
      <c r="F70" s="782"/>
      <c r="G70" s="782"/>
      <c r="H70" s="782"/>
      <c r="I70" s="782"/>
      <c r="J70" s="782"/>
      <c r="K70" s="782"/>
      <c r="L70" s="782"/>
      <c r="M70" s="782"/>
      <c r="N70" s="782"/>
      <c r="O70" s="782"/>
      <c r="P70" s="782"/>
      <c r="Q70" s="782"/>
      <c r="R70" s="782"/>
      <c r="S70" s="782"/>
      <c r="T70" s="782"/>
      <c r="U70" s="782"/>
      <c r="V70" s="782"/>
      <c r="W70" s="782"/>
      <c r="X70" s="782"/>
      <c r="Y70" s="783">
        <f>+W70+S70+O70+K70</f>
        <v>0</v>
      </c>
      <c r="Z70" s="783">
        <f>+X70+T70+P70+L70</f>
        <v>0</v>
      </c>
      <c r="AA70" s="662"/>
      <c r="AB70" s="661"/>
      <c r="AC70" s="661"/>
      <c r="AD70" s="661"/>
      <c r="AE70" s="661"/>
      <c r="AF70" s="661"/>
      <c r="AG70" s="661"/>
      <c r="AH70" s="661"/>
      <c r="AI70" s="661"/>
      <c r="CH70" s="49"/>
    </row>
    <row r="71" spans="1:86" s="258" customFormat="1" ht="28.5" customHeight="1">
      <c r="A71" s="579">
        <v>39</v>
      </c>
      <c r="B71" s="579" t="s">
        <v>321</v>
      </c>
      <c r="C71" s="583">
        <f>+C50+C69</f>
        <v>4931852702</v>
      </c>
      <c r="D71" s="583">
        <f t="shared" ref="D71:Z71" si="13">+D50+D69</f>
        <v>1720802966</v>
      </c>
      <c r="E71" s="583">
        <f t="shared" si="13"/>
        <v>4157248888</v>
      </c>
      <c r="F71" s="583">
        <f t="shared" si="13"/>
        <v>1462760093</v>
      </c>
      <c r="G71" s="583">
        <f t="shared" si="13"/>
        <v>0</v>
      </c>
      <c r="H71" s="583">
        <f t="shared" si="13"/>
        <v>0</v>
      </c>
      <c r="I71" s="583">
        <f t="shared" si="13"/>
        <v>741934626</v>
      </c>
      <c r="J71" s="583">
        <f t="shared" si="13"/>
        <v>257539137</v>
      </c>
      <c r="K71" s="583">
        <f t="shared" si="13"/>
        <v>110124747</v>
      </c>
      <c r="L71" s="583">
        <f t="shared" si="13"/>
        <v>18528632</v>
      </c>
      <c r="M71" s="583">
        <f t="shared" si="13"/>
        <v>9977568</v>
      </c>
      <c r="N71" s="583">
        <f t="shared" si="13"/>
        <v>460583</v>
      </c>
      <c r="O71" s="583">
        <f t="shared" si="13"/>
        <v>2493866</v>
      </c>
      <c r="P71" s="583">
        <f t="shared" si="13"/>
        <v>115146</v>
      </c>
      <c r="Q71" s="583">
        <f t="shared" si="13"/>
        <v>3530535</v>
      </c>
      <c r="R71" s="583">
        <f t="shared" si="13"/>
        <v>0</v>
      </c>
      <c r="S71" s="583">
        <f t="shared" si="13"/>
        <v>1766454</v>
      </c>
      <c r="T71" s="583">
        <f t="shared" si="13"/>
        <v>0</v>
      </c>
      <c r="U71" s="583">
        <f t="shared" si="13"/>
        <v>19161085</v>
      </c>
      <c r="V71" s="583">
        <f t="shared" si="13"/>
        <v>43153</v>
      </c>
      <c r="W71" s="583">
        <f t="shared" si="13"/>
        <v>10600586</v>
      </c>
      <c r="X71" s="583">
        <f t="shared" si="13"/>
        <v>43153</v>
      </c>
      <c r="Y71" s="583">
        <f t="shared" si="13"/>
        <v>124985653</v>
      </c>
      <c r="Z71" s="583">
        <f t="shared" si="13"/>
        <v>18686931</v>
      </c>
      <c r="AA71" s="662"/>
      <c r="AB71" s="661"/>
      <c r="AC71" s="661"/>
      <c r="AD71" s="661"/>
      <c r="AE71" s="661"/>
      <c r="AF71" s="661"/>
      <c r="AG71" s="661"/>
      <c r="AH71" s="661"/>
      <c r="AI71" s="661"/>
    </row>
    <row r="72" spans="1:86">
      <c r="Y72" s="21"/>
      <c r="AA72" s="661"/>
    </row>
    <row r="73" spans="1:86">
      <c r="Y73" s="21"/>
      <c r="AA73" s="661"/>
    </row>
    <row r="74" spans="1:86">
      <c r="B74" s="8" t="s">
        <v>4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61"/>
    </row>
    <row r="75" spans="1:86">
      <c r="B75" s="8"/>
      <c r="AA75" s="661"/>
    </row>
    <row r="76" spans="1:86">
      <c r="B76" s="8" t="s">
        <v>5</v>
      </c>
      <c r="AA76" s="661"/>
    </row>
    <row r="77" spans="1:86">
      <c r="E77" s="20">
        <f>SUM('Asset quality'!D21:D47)+'Asset quality'!D16</f>
        <v>4002830821</v>
      </c>
      <c r="G77" s="20">
        <f>SUM('Asset quality'!O21:O47)+'Asset quality'!O16</f>
        <v>0</v>
      </c>
      <c r="I77" s="20">
        <f>SUM('Asset quality'!E21:E47)+'Asset quality'!E16</f>
        <v>741934626</v>
      </c>
      <c r="K77" s="20">
        <f>SUM('Asset quality'!P21:P47)+'Asset quality'!P16</f>
        <v>110124747</v>
      </c>
      <c r="M77" s="20">
        <f>SUM('Asset quality'!F21:F47)</f>
        <v>9977568</v>
      </c>
      <c r="O77" s="20">
        <f>SUM('Asset quality'!Q21:Q47)</f>
        <v>2493866</v>
      </c>
      <c r="Q77" s="20">
        <f>SUM('Asset quality'!G21:G47)</f>
        <v>3530535</v>
      </c>
      <c r="S77" s="20">
        <f>SUM('Asset quality'!R21:R47)</f>
        <v>1766454</v>
      </c>
      <c r="U77" s="20">
        <f>SUM('Asset quality'!H21:H47)</f>
        <v>14101127</v>
      </c>
      <c r="W77" s="20">
        <f>SUM('Asset quality'!S21:S47)+'Asset quality'!S16</f>
        <v>5540630</v>
      </c>
      <c r="Y77" s="20">
        <f>+W77+S77+O77+K77</f>
        <v>119925697</v>
      </c>
      <c r="AA77" s="661"/>
    </row>
    <row r="78" spans="1:86">
      <c r="E78" s="20"/>
      <c r="G78" s="20">
        <f>+'Asset quality'!O9+'Asset quality'!O62</f>
        <v>0</v>
      </c>
      <c r="I78" s="20"/>
      <c r="K78" s="20">
        <f>+'Asset quality'!P9+'Asset quality'!P62</f>
        <v>110124747</v>
      </c>
      <c r="M78" s="20"/>
      <c r="O78" s="20">
        <f>+'Asset quality'!Q9+'Asset quality'!Q62</f>
        <v>2493866</v>
      </c>
      <c r="S78" s="20">
        <f>+'Asset quality'!R9+'Asset quality'!R62</f>
        <v>1766454</v>
      </c>
      <c r="U78" s="20"/>
      <c r="W78" s="20">
        <f>+'Asset quality'!S9+'Asset quality'!S62</f>
        <v>10600586</v>
      </c>
      <c r="Y78" s="20">
        <f>+W78+S78+O78+K78</f>
        <v>124985653</v>
      </c>
      <c r="AA78" s="661"/>
    </row>
    <row r="79" spans="1:86">
      <c r="E79" s="1148">
        <f>+E77-E50</f>
        <v>0</v>
      </c>
      <c r="F79" s="1148"/>
      <c r="G79" s="1148">
        <f>+G77-G50</f>
        <v>0</v>
      </c>
      <c r="H79" s="1149"/>
      <c r="I79" s="1148">
        <f>+I77-I50</f>
        <v>0</v>
      </c>
      <c r="J79" s="1149"/>
      <c r="K79" s="1148">
        <f>+K77-K50</f>
        <v>0</v>
      </c>
      <c r="L79" s="1149"/>
      <c r="M79" s="1148">
        <f>+M77-M50</f>
        <v>0</v>
      </c>
      <c r="N79" s="1149"/>
      <c r="O79" s="1148">
        <f>+O77-O50</f>
        <v>0</v>
      </c>
      <c r="P79" s="1149"/>
      <c r="Q79" s="1148">
        <f>+Q77-Q50</f>
        <v>0</v>
      </c>
      <c r="R79" s="1149"/>
      <c r="S79" s="1148">
        <f>+S77-S50</f>
        <v>0</v>
      </c>
      <c r="T79" s="1149"/>
      <c r="U79" s="1148">
        <f>+U77-U50</f>
        <v>0</v>
      </c>
      <c r="V79" s="1149"/>
      <c r="W79" s="1148">
        <f>+W77-W50</f>
        <v>0</v>
      </c>
      <c r="X79" s="1149"/>
      <c r="Y79" s="1148">
        <f>+Y77-Y50</f>
        <v>0</v>
      </c>
      <c r="Z79" s="1149"/>
      <c r="AA79" s="1150"/>
    </row>
    <row r="80" spans="1:86">
      <c r="E80" s="1151"/>
      <c r="F80" s="1148"/>
      <c r="G80" s="1148">
        <f>+G78-G71</f>
        <v>0</v>
      </c>
      <c r="H80" s="1149"/>
      <c r="I80" s="1148"/>
      <c r="J80" s="1149"/>
      <c r="K80" s="1148">
        <f>+K78-K71</f>
        <v>0</v>
      </c>
      <c r="L80" s="1149"/>
      <c r="M80" s="1148"/>
      <c r="N80" s="1149"/>
      <c r="O80" s="1148">
        <f>+O78-O71</f>
        <v>0</v>
      </c>
      <c r="P80" s="1149"/>
      <c r="Q80" s="1148"/>
      <c r="R80" s="1149"/>
      <c r="S80" s="1148">
        <f>+S78-S71</f>
        <v>0</v>
      </c>
      <c r="T80" s="1149"/>
      <c r="U80" s="1148"/>
      <c r="V80" s="1149"/>
      <c r="W80" s="1148">
        <f>+W78-W71</f>
        <v>0</v>
      </c>
      <c r="X80" s="1149"/>
      <c r="Y80" s="1148">
        <f>+Y78-Y71</f>
        <v>0</v>
      </c>
      <c r="Z80" s="1149"/>
      <c r="AA80" s="1150"/>
    </row>
    <row r="81" spans="5:27">
      <c r="E81" s="1149"/>
      <c r="F81" s="1149"/>
      <c r="G81" s="1149"/>
      <c r="H81" s="1149"/>
      <c r="I81" s="1149"/>
      <c r="J81" s="1149"/>
      <c r="K81" s="1149"/>
      <c r="L81" s="1149"/>
      <c r="M81" s="1149"/>
      <c r="N81" s="1149"/>
      <c r="O81" s="1149"/>
      <c r="P81" s="1149"/>
      <c r="Q81" s="1149"/>
      <c r="R81" s="1149"/>
      <c r="S81" s="1149"/>
      <c r="T81" s="1149"/>
      <c r="U81" s="1149"/>
      <c r="V81" s="1149"/>
      <c r="W81" s="1149"/>
      <c r="X81" s="1149"/>
      <c r="Y81" s="1149"/>
      <c r="Z81" s="1149"/>
      <c r="AA81" s="1150"/>
    </row>
    <row r="82" spans="5:27">
      <c r="AA82" s="661"/>
    </row>
    <row r="83" spans="5:27">
      <c r="AA83" s="661"/>
    </row>
    <row r="84" spans="5:27">
      <c r="AA84" s="661"/>
    </row>
    <row r="85" spans="5:27">
      <c r="AA85" s="661">
        <f>+Balance!C24</f>
        <v>119925697</v>
      </c>
    </row>
    <row r="86" spans="5:27">
      <c r="AA86" s="661"/>
    </row>
    <row r="87" spans="5:27">
      <c r="AA87" s="661"/>
    </row>
    <row r="88" spans="5:27">
      <c r="AA88" s="661"/>
    </row>
    <row r="89" spans="5:27">
      <c r="AA89" s="661"/>
    </row>
  </sheetData>
  <sheetProtection password="CA76" sheet="1" objects="1" scenarios="1"/>
  <phoneticPr fontId="18" type="noConversion"/>
  <conditionalFormatting sqref="C36">
    <cfRule type="cellIs" dxfId="334" priority="476" stopIfTrue="1" operator="notEqual">
      <formula>$CH$36</formula>
    </cfRule>
  </conditionalFormatting>
  <conditionalFormatting sqref="C38">
    <cfRule type="cellIs" dxfId="333" priority="477" stopIfTrue="1" operator="notEqual">
      <formula>$CH$38</formula>
    </cfRule>
  </conditionalFormatting>
  <conditionalFormatting sqref="C40">
    <cfRule type="cellIs" dxfId="332" priority="478" stopIfTrue="1" operator="notEqual">
      <formula>$CH$40</formula>
    </cfRule>
  </conditionalFormatting>
  <conditionalFormatting sqref="C42">
    <cfRule type="cellIs" dxfId="331" priority="479" stopIfTrue="1" operator="notEqual">
      <formula>$CH$42</formula>
    </cfRule>
  </conditionalFormatting>
  <conditionalFormatting sqref="C44">
    <cfRule type="cellIs" dxfId="330" priority="480" stopIfTrue="1" operator="notEqual">
      <formula>$CH$44</formula>
    </cfRule>
  </conditionalFormatting>
  <conditionalFormatting sqref="C46">
    <cfRule type="cellIs" dxfId="329" priority="481" stopIfTrue="1" operator="notEqual">
      <formula>$CH$46</formula>
    </cfRule>
  </conditionalFormatting>
  <conditionalFormatting sqref="C48">
    <cfRule type="cellIs" dxfId="328" priority="482" stopIfTrue="1" operator="notEqual">
      <formula>$CH$48</formula>
    </cfRule>
  </conditionalFormatting>
  <conditionalFormatting sqref="C14">
    <cfRule type="cellIs" dxfId="327" priority="170" operator="notEqual">
      <formula>AA14</formula>
    </cfRule>
  </conditionalFormatting>
  <conditionalFormatting sqref="C16">
    <cfRule type="cellIs" dxfId="326" priority="169" operator="notEqual">
      <formula>AA16</formula>
    </cfRule>
  </conditionalFormatting>
  <conditionalFormatting sqref="C18">
    <cfRule type="cellIs" dxfId="325" priority="168" operator="notEqual">
      <formula>AA18</formula>
    </cfRule>
  </conditionalFormatting>
  <conditionalFormatting sqref="C20">
    <cfRule type="cellIs" dxfId="324" priority="167" operator="notEqual">
      <formula>AA20</formula>
    </cfRule>
  </conditionalFormatting>
  <conditionalFormatting sqref="C22">
    <cfRule type="cellIs" dxfId="323" priority="166" operator="notEqual">
      <formula>AA22</formula>
    </cfRule>
  </conditionalFormatting>
  <conditionalFormatting sqref="C24">
    <cfRule type="cellIs" dxfId="322" priority="165" operator="notEqual">
      <formula>AA24</formula>
    </cfRule>
  </conditionalFormatting>
  <conditionalFormatting sqref="C26">
    <cfRule type="cellIs" dxfId="321" priority="164" operator="notEqual">
      <formula>AA26</formula>
    </cfRule>
  </conditionalFormatting>
  <conditionalFormatting sqref="C28">
    <cfRule type="cellIs" dxfId="320" priority="163" operator="notEqual">
      <formula>AA28</formula>
    </cfRule>
  </conditionalFormatting>
  <conditionalFormatting sqref="C34">
    <cfRule type="cellIs" dxfId="319" priority="162" operator="notEqual">
      <formula>AA34</formula>
    </cfRule>
  </conditionalFormatting>
  <conditionalFormatting sqref="C36">
    <cfRule type="cellIs" dxfId="318" priority="161" operator="notEqual">
      <formula>AA36</formula>
    </cfRule>
  </conditionalFormatting>
  <conditionalFormatting sqref="C38">
    <cfRule type="cellIs" dxfId="317" priority="160" operator="notEqual">
      <formula>AA38</formula>
    </cfRule>
  </conditionalFormatting>
  <conditionalFormatting sqref="C40">
    <cfRule type="cellIs" dxfId="316" priority="159" operator="notEqual">
      <formula>AA40</formula>
    </cfRule>
  </conditionalFormatting>
  <conditionalFormatting sqref="C42">
    <cfRule type="cellIs" dxfId="315" priority="158" operator="notEqual">
      <formula>AA42</formula>
    </cfRule>
  </conditionalFormatting>
  <conditionalFormatting sqref="C44">
    <cfRule type="cellIs" dxfId="314" priority="157" operator="notEqual">
      <formula>AA44</formula>
    </cfRule>
  </conditionalFormatting>
  <conditionalFormatting sqref="C46">
    <cfRule type="cellIs" dxfId="313" priority="156" operator="notEqual">
      <formula>AA46</formula>
    </cfRule>
  </conditionalFormatting>
  <conditionalFormatting sqref="C48">
    <cfRule type="cellIs" dxfId="312" priority="155" operator="notEqual">
      <formula>AA48</formula>
    </cfRule>
  </conditionalFormatting>
  <conditionalFormatting sqref="C12">
    <cfRule type="cellIs" dxfId="311" priority="153" operator="notEqual">
      <formula>AA12</formula>
    </cfRule>
  </conditionalFormatting>
  <conditionalFormatting sqref="C10">
    <cfRule type="cellIs" dxfId="310" priority="152" operator="notEqual">
      <formula>AA10</formula>
    </cfRule>
  </conditionalFormatting>
  <conditionalFormatting sqref="C8">
    <cfRule type="cellIs" dxfId="309" priority="151" operator="notEqual">
      <formula>AA8</formula>
    </cfRule>
  </conditionalFormatting>
  <conditionalFormatting sqref="C6">
    <cfRule type="cellIs" dxfId="308" priority="150" operator="notEqual">
      <formula>AA6</formula>
    </cfRule>
  </conditionalFormatting>
  <conditionalFormatting sqref="C10">
    <cfRule type="cellIs" dxfId="307" priority="149" operator="notEqual">
      <formula>AA10</formula>
    </cfRule>
  </conditionalFormatting>
  <conditionalFormatting sqref="C8">
    <cfRule type="cellIs" dxfId="306" priority="148" operator="notEqual">
      <formula>AA8</formula>
    </cfRule>
  </conditionalFormatting>
  <conditionalFormatting sqref="C6">
    <cfRule type="cellIs" dxfId="305" priority="147" operator="notEqual">
      <formula>AA6</formula>
    </cfRule>
  </conditionalFormatting>
  <conditionalFormatting sqref="C30">
    <cfRule type="cellIs" dxfId="304" priority="146" operator="notEqual">
      <formula>$C$50</formula>
    </cfRule>
  </conditionalFormatting>
  <conditionalFormatting sqref="D30">
    <cfRule type="cellIs" dxfId="303" priority="144" operator="notEqual">
      <formula>$D$50</formula>
    </cfRule>
  </conditionalFormatting>
  <conditionalFormatting sqref="E30">
    <cfRule type="cellIs" dxfId="302" priority="143" operator="notEqual">
      <formula>$E$50</formula>
    </cfRule>
  </conditionalFormatting>
  <conditionalFormatting sqref="F30">
    <cfRule type="cellIs" dxfId="301" priority="142" operator="notEqual">
      <formula>$F$50</formula>
    </cfRule>
  </conditionalFormatting>
  <conditionalFormatting sqref="G30">
    <cfRule type="cellIs" dxfId="300" priority="141" operator="notEqual">
      <formula>$G$50</formula>
    </cfRule>
  </conditionalFormatting>
  <conditionalFormatting sqref="H30">
    <cfRule type="cellIs" dxfId="299" priority="140" operator="notEqual">
      <formula>$H$50</formula>
    </cfRule>
  </conditionalFormatting>
  <conditionalFormatting sqref="I30">
    <cfRule type="cellIs" dxfId="298" priority="139" operator="notEqual">
      <formula>$I$50</formula>
    </cfRule>
  </conditionalFormatting>
  <conditionalFormatting sqref="J30">
    <cfRule type="cellIs" dxfId="297" priority="137" operator="notEqual">
      <formula>$J$50</formula>
    </cfRule>
  </conditionalFormatting>
  <conditionalFormatting sqref="K30">
    <cfRule type="cellIs" dxfId="296" priority="136" operator="notEqual">
      <formula>$K$50</formula>
    </cfRule>
  </conditionalFormatting>
  <conditionalFormatting sqref="L30">
    <cfRule type="cellIs" dxfId="295" priority="135" operator="notEqual">
      <formula>$L$50</formula>
    </cfRule>
  </conditionalFormatting>
  <conditionalFormatting sqref="M30">
    <cfRule type="cellIs" dxfId="294" priority="133" operator="notEqual">
      <formula>$M$50</formula>
    </cfRule>
  </conditionalFormatting>
  <conditionalFormatting sqref="N30">
    <cfRule type="cellIs" dxfId="293" priority="132" operator="notEqual">
      <formula>$N$50</formula>
    </cfRule>
  </conditionalFormatting>
  <conditionalFormatting sqref="O30">
    <cfRule type="cellIs" dxfId="292" priority="131" operator="notEqual">
      <formula>$O$50</formula>
    </cfRule>
  </conditionalFormatting>
  <conditionalFormatting sqref="P30">
    <cfRule type="cellIs" dxfId="291" priority="130" operator="notEqual">
      <formula>$P$50</formula>
    </cfRule>
  </conditionalFormatting>
  <conditionalFormatting sqref="Q30">
    <cfRule type="cellIs" dxfId="290" priority="128" operator="notEqual">
      <formula>$Q$50</formula>
    </cfRule>
  </conditionalFormatting>
  <conditionalFormatting sqref="R30">
    <cfRule type="cellIs" dxfId="289" priority="127" operator="notEqual">
      <formula>$R$50</formula>
    </cfRule>
  </conditionalFormatting>
  <conditionalFormatting sqref="S30">
    <cfRule type="cellIs" dxfId="288" priority="126" operator="notEqual">
      <formula>$S$50</formula>
    </cfRule>
  </conditionalFormatting>
  <conditionalFormatting sqref="T30">
    <cfRule type="cellIs" dxfId="287" priority="125" operator="notEqual">
      <formula>$T$50</formula>
    </cfRule>
  </conditionalFormatting>
  <conditionalFormatting sqref="U30">
    <cfRule type="cellIs" dxfId="286" priority="124" operator="notEqual">
      <formula>$U$50</formula>
    </cfRule>
  </conditionalFormatting>
  <conditionalFormatting sqref="V30">
    <cfRule type="cellIs" dxfId="285" priority="123" operator="notEqual">
      <formula>$V$50</formula>
    </cfRule>
  </conditionalFormatting>
  <conditionalFormatting sqref="W30">
    <cfRule type="cellIs" dxfId="284" priority="122" operator="notEqual">
      <formula>$W$50</formula>
    </cfRule>
  </conditionalFormatting>
  <conditionalFormatting sqref="X30">
    <cfRule type="cellIs" dxfId="283" priority="121" operator="notEqual">
      <formula>$X$50</formula>
    </cfRule>
  </conditionalFormatting>
  <conditionalFormatting sqref="Y30">
    <cfRule type="cellIs" dxfId="282" priority="120" operator="notEqual">
      <formula>$Y$50</formula>
    </cfRule>
  </conditionalFormatting>
  <conditionalFormatting sqref="Z30">
    <cfRule type="cellIs" dxfId="281" priority="119" operator="notEqual">
      <formula>$Z$50</formula>
    </cfRule>
  </conditionalFormatting>
  <conditionalFormatting sqref="C31">
    <cfRule type="cellIs" dxfId="280" priority="118" operator="notEqual">
      <formula>$C$51</formula>
    </cfRule>
  </conditionalFormatting>
  <conditionalFormatting sqref="D31">
    <cfRule type="cellIs" dxfId="279" priority="117" operator="notEqual">
      <formula>$D$51</formula>
    </cfRule>
  </conditionalFormatting>
  <conditionalFormatting sqref="I31">
    <cfRule type="cellIs" dxfId="278" priority="107" operator="notEqual">
      <formula>$I$51</formula>
    </cfRule>
  </conditionalFormatting>
  <conditionalFormatting sqref="J31">
    <cfRule type="cellIs" dxfId="277" priority="106" operator="notEqual">
      <formula>$J$51</formula>
    </cfRule>
  </conditionalFormatting>
  <conditionalFormatting sqref="K31">
    <cfRule type="cellIs" dxfId="276" priority="105" operator="notEqual">
      <formula>$K$51</formula>
    </cfRule>
  </conditionalFormatting>
  <conditionalFormatting sqref="L31">
    <cfRule type="cellIs" dxfId="275" priority="104" operator="notEqual">
      <formula>$L$51</formula>
    </cfRule>
  </conditionalFormatting>
  <conditionalFormatting sqref="M31">
    <cfRule type="cellIs" dxfId="274" priority="103" operator="notEqual">
      <formula>$M$51</formula>
    </cfRule>
  </conditionalFormatting>
  <conditionalFormatting sqref="N31">
    <cfRule type="cellIs" dxfId="273" priority="102" operator="notEqual">
      <formula>$N$51</formula>
    </cfRule>
  </conditionalFormatting>
  <conditionalFormatting sqref="O31">
    <cfRule type="cellIs" dxfId="272" priority="101" operator="notEqual">
      <formula>$O$51</formula>
    </cfRule>
  </conditionalFormatting>
  <conditionalFormatting sqref="P31">
    <cfRule type="cellIs" dxfId="271" priority="100" operator="notEqual">
      <formula>$P$51</formula>
    </cfRule>
  </conditionalFormatting>
  <conditionalFormatting sqref="Q31">
    <cfRule type="cellIs" dxfId="270" priority="99" operator="notEqual">
      <formula>$Q$51</formula>
    </cfRule>
  </conditionalFormatting>
  <conditionalFormatting sqref="R31">
    <cfRule type="cellIs" dxfId="269" priority="98" operator="notEqual">
      <formula>$R$51</formula>
    </cfRule>
  </conditionalFormatting>
  <conditionalFormatting sqref="S31">
    <cfRule type="cellIs" dxfId="268" priority="97" operator="notEqual">
      <formula>$S$51</formula>
    </cfRule>
  </conditionalFormatting>
  <conditionalFormatting sqref="T31">
    <cfRule type="cellIs" dxfId="267" priority="96" operator="notEqual">
      <formula>$T$51</formula>
    </cfRule>
  </conditionalFormatting>
  <conditionalFormatting sqref="U31">
    <cfRule type="cellIs" dxfId="266" priority="95" operator="notEqual">
      <formula>$U$51</formula>
    </cfRule>
  </conditionalFormatting>
  <conditionalFormatting sqref="V31">
    <cfRule type="cellIs" dxfId="265" priority="94" operator="notEqual">
      <formula>$V$51</formula>
    </cfRule>
  </conditionalFormatting>
  <conditionalFormatting sqref="W31">
    <cfRule type="cellIs" dxfId="264" priority="93" operator="notEqual">
      <formula>$W$51</formula>
    </cfRule>
  </conditionalFormatting>
  <conditionalFormatting sqref="X31">
    <cfRule type="cellIs" dxfId="263" priority="92" operator="notEqual">
      <formula>$X$51</formula>
    </cfRule>
  </conditionalFormatting>
  <conditionalFormatting sqref="Y31">
    <cfRule type="cellIs" dxfId="262" priority="91" operator="notEqual">
      <formula>$Y$51</formula>
    </cfRule>
  </conditionalFormatting>
  <conditionalFormatting sqref="Z31">
    <cfRule type="cellIs" dxfId="261" priority="90" operator="notEqual">
      <formula>$Z$51</formula>
    </cfRule>
  </conditionalFormatting>
  <conditionalFormatting sqref="E31">
    <cfRule type="cellIs" dxfId="260" priority="89" operator="notEqual">
      <formula>$E$51</formula>
    </cfRule>
  </conditionalFormatting>
  <conditionalFormatting sqref="F31">
    <cfRule type="cellIs" dxfId="259" priority="88" operator="notEqual">
      <formula>$F$51</formula>
    </cfRule>
  </conditionalFormatting>
  <conditionalFormatting sqref="G31">
    <cfRule type="cellIs" dxfId="258" priority="87" operator="notEqual">
      <formula>$G$51</formula>
    </cfRule>
  </conditionalFormatting>
  <conditionalFormatting sqref="H31">
    <cfRule type="cellIs" dxfId="257" priority="85" operator="notEqual">
      <formula>$H$49</formula>
    </cfRule>
  </conditionalFormatting>
  <conditionalFormatting sqref="G50">
    <cfRule type="cellIs" dxfId="256" priority="83" operator="notEqual">
      <formula>$G$68</formula>
    </cfRule>
  </conditionalFormatting>
  <conditionalFormatting sqref="G71">
    <cfRule type="cellIs" dxfId="255" priority="17" operator="notEqual">
      <formula>$G$78</formula>
    </cfRule>
    <cfRule type="cellIs" dxfId="254" priority="82" operator="notEqual">
      <formula>$G$78</formula>
    </cfRule>
  </conditionalFormatting>
  <conditionalFormatting sqref="K50">
    <cfRule type="cellIs" dxfId="253" priority="81" operator="notEqual">
      <formula>$K$68</formula>
    </cfRule>
  </conditionalFormatting>
  <conditionalFormatting sqref="K71">
    <cfRule type="cellIs" dxfId="252" priority="16" operator="notEqual">
      <formula>$K$78</formula>
    </cfRule>
    <cfRule type="cellIs" dxfId="251" priority="80" operator="notEqual">
      <formula>$K$78</formula>
    </cfRule>
  </conditionalFormatting>
  <conditionalFormatting sqref="S50">
    <cfRule type="cellIs" dxfId="250" priority="77" operator="notEqual">
      <formula>$S$68</formula>
    </cfRule>
  </conditionalFormatting>
  <conditionalFormatting sqref="S71">
    <cfRule type="cellIs" dxfId="249" priority="14" operator="notEqual">
      <formula>$S$78</formula>
    </cfRule>
    <cfRule type="cellIs" dxfId="248" priority="76" operator="notEqual">
      <formula>$S$78</formula>
    </cfRule>
  </conditionalFormatting>
  <conditionalFormatting sqref="W50">
    <cfRule type="cellIs" dxfId="247" priority="75" operator="notEqual">
      <formula>$W$68</formula>
    </cfRule>
  </conditionalFormatting>
  <conditionalFormatting sqref="W71">
    <cfRule type="cellIs" dxfId="246" priority="13" operator="notEqual">
      <formula>$W$78</formula>
    </cfRule>
    <cfRule type="cellIs" dxfId="245" priority="74" operator="notEqual">
      <formula>$W$78</formula>
    </cfRule>
  </conditionalFormatting>
  <conditionalFormatting sqref="Y50">
    <cfRule type="cellIs" dxfId="244" priority="73" operator="notEqual">
      <formula>$Y$68</formula>
    </cfRule>
  </conditionalFormatting>
  <conditionalFormatting sqref="Y71">
    <cfRule type="cellIs" dxfId="243" priority="12" operator="notEqual">
      <formula>$Y$78</formula>
    </cfRule>
    <cfRule type="cellIs" dxfId="242" priority="71" operator="notEqual">
      <formula>$Y$78</formula>
    </cfRule>
  </conditionalFormatting>
  <conditionalFormatting sqref="O50">
    <cfRule type="cellIs" dxfId="241" priority="70" operator="notEqual">
      <formula>$O$68</formula>
    </cfRule>
  </conditionalFormatting>
  <conditionalFormatting sqref="O71">
    <cfRule type="cellIs" dxfId="240" priority="15" operator="notEqual">
      <formula>$O$78</formula>
    </cfRule>
    <cfRule type="cellIs" dxfId="239" priority="69" operator="notEqual">
      <formula>$O$78</formula>
    </cfRule>
  </conditionalFormatting>
  <conditionalFormatting sqref="E50">
    <cfRule type="cellIs" dxfId="238" priority="67" operator="notEqual">
      <formula>$E$68</formula>
    </cfRule>
  </conditionalFormatting>
  <conditionalFormatting sqref="C50">
    <cfRule type="cellIs" dxfId="237" priority="66" operator="notEqual">
      <formula>C68</formula>
    </cfRule>
  </conditionalFormatting>
  <conditionalFormatting sqref="M50">
    <cfRule type="cellIs" dxfId="236" priority="64" operator="notEqual">
      <formula>$M$68</formula>
    </cfRule>
  </conditionalFormatting>
  <conditionalFormatting sqref="Q50">
    <cfRule type="cellIs" dxfId="235" priority="62" operator="notEqual">
      <formula>$Q$68</formula>
    </cfRule>
  </conditionalFormatting>
  <conditionalFormatting sqref="U50">
    <cfRule type="cellIs" dxfId="234" priority="59" operator="notEqual">
      <formula>$U$68</formula>
    </cfRule>
  </conditionalFormatting>
  <conditionalFormatting sqref="G68">
    <cfRule type="cellIs" dxfId="233" priority="11" operator="notEqual">
      <formula>$G$77</formula>
    </cfRule>
    <cfRule type="cellIs" dxfId="232" priority="44" operator="notEqual">
      <formula>$G$30</formula>
    </cfRule>
  </conditionalFormatting>
  <conditionalFormatting sqref="K68">
    <cfRule type="cellIs" dxfId="231" priority="9" operator="notEqual">
      <formula>$K$77</formula>
    </cfRule>
    <cfRule type="cellIs" dxfId="230" priority="43" operator="notEqual">
      <formula>$K$30</formula>
    </cfRule>
  </conditionalFormatting>
  <conditionalFormatting sqref="S68">
    <cfRule type="cellIs" dxfId="229" priority="5" operator="notEqual">
      <formula>$S$77</formula>
    </cfRule>
    <cfRule type="cellIs" dxfId="228" priority="42" operator="notEqual">
      <formula>$S$30</formula>
    </cfRule>
  </conditionalFormatting>
  <conditionalFormatting sqref="W68">
    <cfRule type="cellIs" dxfId="227" priority="3" operator="notEqual">
      <formula>$W$77</formula>
    </cfRule>
    <cfRule type="cellIs" dxfId="226" priority="41" operator="notEqual">
      <formula>$W$30</formula>
    </cfRule>
  </conditionalFormatting>
  <conditionalFormatting sqref="Y68">
    <cfRule type="cellIs" dxfId="225" priority="2" operator="notEqual">
      <formula>$Y$77</formula>
    </cfRule>
    <cfRule type="cellIs" dxfId="224" priority="40" operator="notEqual">
      <formula>$Y$30</formula>
    </cfRule>
  </conditionalFormatting>
  <conditionalFormatting sqref="O68">
    <cfRule type="cellIs" dxfId="223" priority="7" operator="notEqual">
      <formula>$O$77</formula>
    </cfRule>
    <cfRule type="cellIs" dxfId="222" priority="39" operator="notEqual">
      <formula>$O$30</formula>
    </cfRule>
  </conditionalFormatting>
  <conditionalFormatting sqref="E68">
    <cfRule type="cellIs" dxfId="221" priority="1" operator="notEqual">
      <formula>$E$77</formula>
    </cfRule>
    <cfRule type="cellIs" dxfId="220" priority="38" operator="notEqual">
      <formula>$E$30</formula>
    </cfRule>
  </conditionalFormatting>
  <conditionalFormatting sqref="C68">
    <cfRule type="cellIs" dxfId="219" priority="37" operator="notEqual">
      <formula>C$30</formula>
    </cfRule>
  </conditionalFormatting>
  <conditionalFormatting sqref="M68">
    <cfRule type="cellIs" dxfId="218" priority="8" operator="notEqual">
      <formula>$M$77</formula>
    </cfRule>
    <cfRule type="cellIs" dxfId="217" priority="36" operator="notEqual">
      <formula>$M$30</formula>
    </cfRule>
  </conditionalFormatting>
  <conditionalFormatting sqref="Q68">
    <cfRule type="cellIs" dxfId="216" priority="6" operator="notEqual">
      <formula>$Q$77</formula>
    </cfRule>
    <cfRule type="cellIs" dxfId="215" priority="35" operator="notEqual">
      <formula>$Q$30</formula>
    </cfRule>
  </conditionalFormatting>
  <conditionalFormatting sqref="U68">
    <cfRule type="cellIs" dxfId="214" priority="4" operator="notEqual">
      <formula>$U$77</formula>
    </cfRule>
    <cfRule type="cellIs" dxfId="213" priority="34" operator="notEqual">
      <formula>$U$30</formula>
    </cfRule>
  </conditionalFormatting>
  <conditionalFormatting sqref="H50">
    <cfRule type="cellIs" dxfId="212" priority="33" operator="notEqual">
      <formula>H68</formula>
    </cfRule>
  </conditionalFormatting>
  <conditionalFormatting sqref="J68">
    <cfRule type="cellIs" dxfId="211" priority="32" operator="notEqual">
      <formula>$J$30</formula>
    </cfRule>
  </conditionalFormatting>
  <conditionalFormatting sqref="D50">
    <cfRule type="cellIs" dxfId="210" priority="31" operator="notEqual">
      <formula>$D$68</formula>
    </cfRule>
  </conditionalFormatting>
  <conditionalFormatting sqref="F50">
    <cfRule type="cellIs" dxfId="209" priority="30" operator="notEqual">
      <formula>$F$68</formula>
    </cfRule>
  </conditionalFormatting>
  <conditionalFormatting sqref="I50">
    <cfRule type="cellIs" dxfId="208" priority="29" operator="notEqual">
      <formula>$I$68</formula>
    </cfRule>
  </conditionalFormatting>
  <conditionalFormatting sqref="J50">
    <cfRule type="cellIs" dxfId="207" priority="28" operator="notEqual">
      <formula>$J$68</formula>
    </cfRule>
  </conditionalFormatting>
  <conditionalFormatting sqref="L50">
    <cfRule type="cellIs" dxfId="206" priority="27" operator="notEqual">
      <formula>$L$68</formula>
    </cfRule>
  </conditionalFormatting>
  <conditionalFormatting sqref="N50">
    <cfRule type="cellIs" dxfId="205" priority="24" operator="notEqual">
      <formula>$N$68</formula>
    </cfRule>
  </conditionalFormatting>
  <conditionalFormatting sqref="P50">
    <cfRule type="cellIs" dxfId="204" priority="23" operator="notEqual">
      <formula>$P$68</formula>
    </cfRule>
  </conditionalFormatting>
  <conditionalFormatting sqref="R50">
    <cfRule type="cellIs" dxfId="203" priority="22" operator="notEqual">
      <formula>$R$68</formula>
    </cfRule>
  </conditionalFormatting>
  <conditionalFormatting sqref="T50">
    <cfRule type="cellIs" dxfId="202" priority="21" operator="notEqual">
      <formula>$T$68</formula>
    </cfRule>
  </conditionalFormatting>
  <conditionalFormatting sqref="V50">
    <cfRule type="cellIs" dxfId="201" priority="20" operator="notEqual">
      <formula>$V$68</formula>
    </cfRule>
  </conditionalFormatting>
  <conditionalFormatting sqref="X50">
    <cfRule type="cellIs" dxfId="200" priority="19" operator="notEqual">
      <formula>$X$68</formula>
    </cfRule>
  </conditionalFormatting>
  <conditionalFormatting sqref="Z50">
    <cfRule type="cellIs" dxfId="199" priority="18" operator="notEqual">
      <formula>$Z$68</formula>
    </cfRule>
  </conditionalFormatting>
  <conditionalFormatting sqref="I68">
    <cfRule type="cellIs" dxfId="198" priority="10" operator="notEqual">
      <formula>$I$77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X48:X49 V48:V49 T48:T49 R48:R49 P48:P49 N48:N49 L48:L49 J48:J49 H48:H49 F48:F49 I43:I49 W28 F46 H46 J46 L46 N46 P46 R46 T46 V46 M28 I28 O28 Q28 S28 U28 K28 G28 O43:O49 Q43:Q49 S43:S49 U43:U49 K43:K49 G43:G49 W43:W49 M43:M49 E62:E67 E69:X69 I62:I67 F66 H66 J66 L66 N66 P66 R66 T66 V66 O62:O67 Q62:Q67 S62:S67 U62:U67 K62:K67 G62:G67 W62:W67 M62:M67 M54:M60 W54:W60 G54:G60 K54:K60 U54:U60 S54:S60 Q54:Q60 O54:O60 I54:I60 E54:E60 M34:M41 W34:W41 G34:G41 K34:K41 U34:U41 S34:S41 Q34:Q41 O34:O41 I34:I41 E34:E41 E43:E49" xr:uid="{00000000-0002-0000-0D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0 U70 S70 Q70 O70 M70 K70 I70 G70 E70" xr:uid="{00000000-0002-0000-0D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1">
    <pageSetUpPr fitToPage="1"/>
  </sheetPr>
  <dimension ref="A1:AD79"/>
  <sheetViews>
    <sheetView view="pageBreakPreview" zoomScale="70" zoomScaleSheetLayoutView="70" workbookViewId="0">
      <pane xSplit="2" ySplit="6" topLeftCell="C34" activePane="bottomRight" state="frozen"/>
      <selection activeCell="B32" sqref="B32"/>
      <selection pane="topRight" activeCell="B32" sqref="B32"/>
      <selection pane="bottomLeft" activeCell="B32" sqref="B32"/>
      <selection pane="bottomRight" activeCell="G7" sqref="G7:G37"/>
    </sheetView>
  </sheetViews>
  <sheetFormatPr defaultRowHeight="12.75"/>
  <cols>
    <col min="1" max="1" width="5.140625" style="1152" customWidth="1"/>
    <col min="2" max="2" width="32.7109375" style="1152" customWidth="1"/>
    <col min="3" max="3" width="14.140625" style="1152" customWidth="1"/>
    <col min="4" max="4" width="16.5703125" style="1152" customWidth="1"/>
    <col min="5" max="17" width="9" style="1152" customWidth="1"/>
    <col min="18" max="18" width="15.85546875" style="1152" customWidth="1"/>
    <col min="19" max="19" width="9.140625" style="1152"/>
    <col min="20" max="20" width="9.140625" style="1154"/>
    <col min="21" max="21" width="8.28515625" style="1152" customWidth="1"/>
    <col min="22" max="22" width="7.42578125" style="1152" customWidth="1"/>
    <col min="23" max="23" width="6.85546875" style="1152" customWidth="1"/>
    <col min="24" max="16384" width="9.140625" style="1152"/>
  </cols>
  <sheetData>
    <row r="1" spans="1:21" ht="20.25">
      <c r="A1" s="1274" t="s">
        <v>1112</v>
      </c>
      <c r="B1" s="1274"/>
      <c r="C1" s="1274"/>
      <c r="D1" s="1274"/>
      <c r="E1" s="1274"/>
      <c r="F1" s="1274"/>
      <c r="G1" s="1274"/>
      <c r="H1" s="1274"/>
      <c r="I1" s="1274"/>
      <c r="J1" s="1274"/>
      <c r="K1" s="1274"/>
      <c r="L1" s="1274"/>
      <c r="M1" s="1274"/>
      <c r="N1" s="1274"/>
      <c r="O1" s="1274"/>
      <c r="P1" s="1274"/>
      <c r="Q1" s="1274"/>
      <c r="R1" s="1162" t="s">
        <v>856</v>
      </c>
    </row>
    <row r="2" spans="1:21">
      <c r="A2" s="1163"/>
      <c r="B2" s="1164"/>
      <c r="C2" s="1164"/>
      <c r="D2" s="1164"/>
      <c r="E2" s="1164"/>
      <c r="F2" s="1164"/>
      <c r="G2" s="1164"/>
      <c r="H2" s="1164"/>
      <c r="I2" s="1164"/>
      <c r="J2" s="1164"/>
      <c r="K2" s="1164"/>
      <c r="L2" s="1164"/>
      <c r="M2" s="1164"/>
      <c r="N2" s="1164"/>
      <c r="P2" s="1164"/>
      <c r="Q2" s="1164"/>
      <c r="R2" s="1164"/>
    </row>
    <row r="3" spans="1:21" ht="15.75">
      <c r="A3" s="1165"/>
      <c r="B3" s="1166" t="str">
        <f>Balance!B3</f>
        <v>АКБ "Микрокредитбанк"</v>
      </c>
      <c r="D3" s="1165"/>
      <c r="E3" s="1165"/>
      <c r="F3" s="1165"/>
      <c r="G3" s="1165"/>
      <c r="H3" s="1165"/>
      <c r="I3" s="1165"/>
      <c r="J3" s="1165"/>
      <c r="K3" s="1165"/>
      <c r="L3" s="1165"/>
      <c r="M3" s="1275">
        <f>+Balance!C3</f>
        <v>43829</v>
      </c>
      <c r="N3" s="1275"/>
      <c r="O3" s="1275"/>
      <c r="P3" s="1165"/>
      <c r="Q3" s="1165"/>
      <c r="R3" s="1165" t="str">
        <f>+Balance!E3</f>
        <v>тыс. сум</v>
      </c>
      <c r="T3" s="1152"/>
      <c r="U3" s="1154"/>
    </row>
    <row r="4" spans="1:21" ht="15">
      <c r="A4" s="1284" t="s">
        <v>161</v>
      </c>
      <c r="B4" s="1284" t="s">
        <v>322</v>
      </c>
      <c r="C4" s="1276" t="s">
        <v>857</v>
      </c>
      <c r="D4" s="1276" t="s">
        <v>858</v>
      </c>
      <c r="E4" s="1276" t="s">
        <v>859</v>
      </c>
      <c r="F4" s="1276" t="s">
        <v>323</v>
      </c>
      <c r="G4" s="1276" t="s">
        <v>1107</v>
      </c>
      <c r="H4" s="1278" t="s">
        <v>217</v>
      </c>
      <c r="I4" s="1283"/>
      <c r="J4" s="1283"/>
      <c r="K4" s="1283"/>
      <c r="L4" s="1279"/>
      <c r="M4" s="1276" t="s">
        <v>324</v>
      </c>
      <c r="N4" s="1278" t="s">
        <v>989</v>
      </c>
      <c r="O4" s="1279"/>
      <c r="P4" s="1276" t="s">
        <v>325</v>
      </c>
      <c r="Q4" s="1276" t="s">
        <v>864</v>
      </c>
      <c r="R4" s="1276" t="s">
        <v>326</v>
      </c>
    </row>
    <row r="5" spans="1:21" ht="82.5" customHeight="1">
      <c r="A5" s="1285"/>
      <c r="B5" s="1285"/>
      <c r="C5" s="1277"/>
      <c r="D5" s="1277"/>
      <c r="E5" s="1277"/>
      <c r="F5" s="1277"/>
      <c r="G5" s="1277"/>
      <c r="H5" s="1159" t="s">
        <v>860</v>
      </c>
      <c r="I5" s="1159" t="s">
        <v>861</v>
      </c>
      <c r="J5" s="1159" t="s">
        <v>194</v>
      </c>
      <c r="K5" s="1159" t="s">
        <v>862</v>
      </c>
      <c r="L5" s="1159" t="s">
        <v>1069</v>
      </c>
      <c r="M5" s="1277"/>
      <c r="N5" s="921" t="s">
        <v>990</v>
      </c>
      <c r="O5" s="921" t="s">
        <v>863</v>
      </c>
      <c r="P5" s="1277"/>
      <c r="Q5" s="1277"/>
      <c r="R5" s="1277"/>
    </row>
    <row r="6" spans="1:21" ht="15">
      <c r="A6" s="1160"/>
      <c r="B6" s="1160" t="s">
        <v>309</v>
      </c>
      <c r="C6" s="1160" t="s">
        <v>310</v>
      </c>
      <c r="D6" s="1160" t="s">
        <v>327</v>
      </c>
      <c r="E6" s="1160" t="s">
        <v>311</v>
      </c>
      <c r="F6" s="1160" t="s">
        <v>312</v>
      </c>
      <c r="G6" s="1161" t="s">
        <v>328</v>
      </c>
      <c r="H6" s="1160" t="s">
        <v>991</v>
      </c>
      <c r="I6" s="1160" t="s">
        <v>992</v>
      </c>
      <c r="J6" s="1160" t="s">
        <v>993</v>
      </c>
      <c r="K6" s="1160" t="s">
        <v>994</v>
      </c>
      <c r="L6" s="1160" t="s">
        <v>995</v>
      </c>
      <c r="M6" s="1160" t="s">
        <v>313</v>
      </c>
      <c r="N6" s="1160" t="s">
        <v>314</v>
      </c>
      <c r="O6" s="1160" t="s">
        <v>315</v>
      </c>
      <c r="P6" s="1160" t="s">
        <v>316</v>
      </c>
      <c r="Q6" s="1160" t="s">
        <v>317</v>
      </c>
      <c r="R6" s="1160" t="s">
        <v>318</v>
      </c>
    </row>
    <row r="7" spans="1:21" ht="29.25" customHeight="1">
      <c r="A7" s="546">
        <v>1</v>
      </c>
      <c r="B7" s="1167" t="s">
        <v>1311</v>
      </c>
      <c r="C7" s="1168" t="s">
        <v>1312</v>
      </c>
      <c r="D7" s="1168" t="s">
        <v>291</v>
      </c>
      <c r="E7" s="1168" t="s">
        <v>1313</v>
      </c>
      <c r="F7" s="1168">
        <v>1</v>
      </c>
      <c r="G7" s="1169">
        <v>252717.45851</v>
      </c>
      <c r="H7" s="1168">
        <v>252717.45851</v>
      </c>
      <c r="I7" s="1168"/>
      <c r="J7" s="1168"/>
      <c r="K7" s="1168"/>
      <c r="L7" s="1168"/>
      <c r="M7" s="1168"/>
      <c r="N7" s="1168"/>
      <c r="O7" s="1168"/>
      <c r="P7" s="1168">
        <v>1</v>
      </c>
      <c r="Q7" s="1168">
        <v>0</v>
      </c>
      <c r="R7" s="1168" t="s">
        <v>1310</v>
      </c>
      <c r="T7" s="1153"/>
    </row>
    <row r="8" spans="1:21" ht="29.25" customHeight="1">
      <c r="A8" s="546">
        <f>A7+1</f>
        <v>2</v>
      </c>
      <c r="B8" s="1168" t="s">
        <v>1314</v>
      </c>
      <c r="C8" s="1168" t="s">
        <v>1315</v>
      </c>
      <c r="D8" s="1168" t="s">
        <v>291</v>
      </c>
      <c r="E8" s="1168" t="s">
        <v>1313</v>
      </c>
      <c r="F8" s="1168">
        <v>2</v>
      </c>
      <c r="G8" s="1169">
        <v>61638.61939</v>
      </c>
      <c r="H8" s="1168">
        <v>61638.61939</v>
      </c>
      <c r="I8" s="1168"/>
      <c r="J8" s="1168"/>
      <c r="K8" s="1168"/>
      <c r="L8" s="1168"/>
      <c r="M8" s="1168"/>
      <c r="N8" s="1168"/>
      <c r="O8" s="1168"/>
      <c r="P8" s="1168">
        <v>1</v>
      </c>
      <c r="Q8" s="1168">
        <v>0</v>
      </c>
      <c r="R8" s="1168" t="s">
        <v>1310</v>
      </c>
      <c r="S8" s="1152">
        <v>1000</v>
      </c>
      <c r="T8" s="1153"/>
    </row>
    <row r="9" spans="1:21" ht="29.25" customHeight="1">
      <c r="A9" s="546">
        <f t="shared" ref="A9:A38" si="0">A8+1</f>
        <v>3</v>
      </c>
      <c r="B9" s="1168" t="s">
        <v>1316</v>
      </c>
      <c r="C9" s="1168" t="s">
        <v>1317</v>
      </c>
      <c r="D9" s="1168" t="s">
        <v>291</v>
      </c>
      <c r="E9" s="1168" t="s">
        <v>1313</v>
      </c>
      <c r="F9" s="1168">
        <v>3</v>
      </c>
      <c r="G9" s="1169">
        <v>51185.210749999998</v>
      </c>
      <c r="H9" s="1168">
        <v>51185.210749999998</v>
      </c>
      <c r="I9" s="1168"/>
      <c r="J9" s="1168"/>
      <c r="K9" s="1168"/>
      <c r="L9" s="1168"/>
      <c r="M9" s="1168"/>
      <c r="N9" s="1168"/>
      <c r="O9" s="1168"/>
      <c r="P9" s="1168">
        <v>1</v>
      </c>
      <c r="Q9" s="1168">
        <v>0</v>
      </c>
      <c r="R9" s="1168" t="s">
        <v>1310</v>
      </c>
      <c r="T9" s="1153"/>
    </row>
    <row r="10" spans="1:21" ht="29.25" customHeight="1">
      <c r="A10" s="546">
        <f t="shared" si="0"/>
        <v>4</v>
      </c>
      <c r="B10" s="1168" t="s">
        <v>1318</v>
      </c>
      <c r="C10" s="1168" t="s">
        <v>1319</v>
      </c>
      <c r="D10" s="1168" t="s">
        <v>291</v>
      </c>
      <c r="E10" s="1168" t="s">
        <v>1313</v>
      </c>
      <c r="F10" s="1168">
        <v>4</v>
      </c>
      <c r="G10" s="1169">
        <v>48668.239679999999</v>
      </c>
      <c r="H10" s="1168">
        <v>48668.239679999999</v>
      </c>
      <c r="I10" s="1168"/>
      <c r="J10" s="1168"/>
      <c r="K10" s="1168"/>
      <c r="L10" s="1168"/>
      <c r="M10" s="1168"/>
      <c r="N10" s="1168"/>
      <c r="O10" s="1168"/>
      <c r="P10" s="1168">
        <v>1</v>
      </c>
      <c r="Q10" s="1168">
        <v>0</v>
      </c>
      <c r="R10" s="1168" t="s">
        <v>1310</v>
      </c>
    </row>
    <row r="11" spans="1:21" ht="29.25" customHeight="1">
      <c r="A11" s="546">
        <f t="shared" si="0"/>
        <v>5</v>
      </c>
      <c r="B11" s="1168" t="s">
        <v>1320</v>
      </c>
      <c r="C11" s="1168" t="s">
        <v>1321</v>
      </c>
      <c r="D11" s="1168" t="s">
        <v>291</v>
      </c>
      <c r="E11" s="1168" t="s">
        <v>1313</v>
      </c>
      <c r="F11" s="1168">
        <v>5</v>
      </c>
      <c r="G11" s="1169">
        <v>31012.128000000001</v>
      </c>
      <c r="H11" s="1168">
        <v>31012.128000000001</v>
      </c>
      <c r="I11" s="1168"/>
      <c r="J11" s="1168"/>
      <c r="K11" s="1168"/>
      <c r="L11" s="1168"/>
      <c r="M11" s="1168"/>
      <c r="N11" s="1168"/>
      <c r="O11" s="1168"/>
      <c r="P11" s="1168">
        <v>1</v>
      </c>
      <c r="Q11" s="1168">
        <v>0</v>
      </c>
      <c r="R11" s="1168" t="s">
        <v>1310</v>
      </c>
    </row>
    <row r="12" spans="1:21" ht="29.25" customHeight="1">
      <c r="A12" s="546">
        <f t="shared" si="0"/>
        <v>6</v>
      </c>
      <c r="B12" s="1168" t="s">
        <v>1322</v>
      </c>
      <c r="C12" s="1168" t="s">
        <v>1323</v>
      </c>
      <c r="D12" s="1168" t="s">
        <v>291</v>
      </c>
      <c r="E12" s="1168" t="s">
        <v>1313</v>
      </c>
      <c r="F12" s="1168">
        <v>6</v>
      </c>
      <c r="G12" s="1169">
        <v>34527.645850000001</v>
      </c>
      <c r="H12" s="1168">
        <v>34527.645850000001</v>
      </c>
      <c r="I12" s="1168"/>
      <c r="J12" s="1168"/>
      <c r="K12" s="1168"/>
      <c r="L12" s="1168"/>
      <c r="M12" s="1168"/>
      <c r="N12" s="1168"/>
      <c r="O12" s="1168"/>
      <c r="P12" s="1168">
        <v>1</v>
      </c>
      <c r="Q12" s="1168">
        <v>0</v>
      </c>
      <c r="R12" s="1168" t="s">
        <v>1310</v>
      </c>
    </row>
    <row r="13" spans="1:21" ht="29.25" customHeight="1">
      <c r="A13" s="546">
        <f t="shared" si="0"/>
        <v>7</v>
      </c>
      <c r="B13" s="1168" t="s">
        <v>1324</v>
      </c>
      <c r="C13" s="1168" t="s">
        <v>1325</v>
      </c>
      <c r="D13" s="1168" t="s">
        <v>291</v>
      </c>
      <c r="E13" s="1168" t="s">
        <v>1313</v>
      </c>
      <c r="F13" s="1168">
        <v>7</v>
      </c>
      <c r="G13" s="1169">
        <v>20939.249110000001</v>
      </c>
      <c r="H13" s="1168">
        <v>20939.249110000001</v>
      </c>
      <c r="I13" s="1168"/>
      <c r="J13" s="1168"/>
      <c r="K13" s="1168"/>
      <c r="L13" s="1168"/>
      <c r="M13" s="1168"/>
      <c r="N13" s="1168"/>
      <c r="O13" s="1168"/>
      <c r="P13" s="1168">
        <v>1</v>
      </c>
      <c r="Q13" s="1168">
        <v>0</v>
      </c>
      <c r="R13" s="1168" t="s">
        <v>1310</v>
      </c>
    </row>
    <row r="14" spans="1:21" ht="29.25" customHeight="1">
      <c r="A14" s="546">
        <f t="shared" si="0"/>
        <v>8</v>
      </c>
      <c r="B14" s="1168" t="s">
        <v>1326</v>
      </c>
      <c r="C14" s="1168" t="s">
        <v>1327</v>
      </c>
      <c r="D14" s="1168" t="s">
        <v>291</v>
      </c>
      <c r="E14" s="1168" t="s">
        <v>1313</v>
      </c>
      <c r="F14" s="1168">
        <v>8</v>
      </c>
      <c r="G14" s="1169">
        <v>18178.647290000001</v>
      </c>
      <c r="H14" s="1168">
        <v>18178.647290000001</v>
      </c>
      <c r="I14" s="1168"/>
      <c r="J14" s="1168"/>
      <c r="K14" s="1168"/>
      <c r="L14" s="1168"/>
      <c r="M14" s="1168"/>
      <c r="N14" s="1168"/>
      <c r="O14" s="1168"/>
      <c r="P14" s="1168">
        <v>1</v>
      </c>
      <c r="Q14" s="1168">
        <v>0</v>
      </c>
      <c r="R14" s="1168" t="s">
        <v>1310</v>
      </c>
    </row>
    <row r="15" spans="1:21" ht="29.25" customHeight="1">
      <c r="A15" s="546">
        <f t="shared" si="0"/>
        <v>9</v>
      </c>
      <c r="B15" s="1168" t="s">
        <v>1328</v>
      </c>
      <c r="C15" s="1168" t="s">
        <v>1329</v>
      </c>
      <c r="D15" s="1168" t="s">
        <v>291</v>
      </c>
      <c r="E15" s="1168" t="s">
        <v>1313</v>
      </c>
      <c r="F15" s="1168">
        <v>9</v>
      </c>
      <c r="G15" s="1169">
        <v>14826.672550000001</v>
      </c>
      <c r="H15" s="1168">
        <v>14826.672550000001</v>
      </c>
      <c r="I15" s="1168"/>
      <c r="J15" s="1168"/>
      <c r="K15" s="1168"/>
      <c r="L15" s="1168"/>
      <c r="M15" s="1168"/>
      <c r="N15" s="1168"/>
      <c r="O15" s="1168"/>
      <c r="P15" s="1168">
        <v>1</v>
      </c>
      <c r="Q15" s="1168">
        <v>0</v>
      </c>
      <c r="R15" s="1168" t="s">
        <v>1310</v>
      </c>
    </row>
    <row r="16" spans="1:21" ht="29.25" customHeight="1">
      <c r="A16" s="546">
        <f t="shared" si="0"/>
        <v>10</v>
      </c>
      <c r="B16" s="1168" t="s">
        <v>1330</v>
      </c>
      <c r="C16" s="1168" t="s">
        <v>1331</v>
      </c>
      <c r="D16" s="1168" t="s">
        <v>291</v>
      </c>
      <c r="E16" s="1168" t="s">
        <v>1313</v>
      </c>
      <c r="F16" s="1168">
        <v>10</v>
      </c>
      <c r="G16" s="1169">
        <v>10416.129859999999</v>
      </c>
      <c r="H16" s="1168">
        <v>10416.129859999999</v>
      </c>
      <c r="I16" s="1168"/>
      <c r="J16" s="1168"/>
      <c r="K16" s="1168"/>
      <c r="L16" s="1168"/>
      <c r="M16" s="1168"/>
      <c r="N16" s="1168"/>
      <c r="O16" s="1168"/>
      <c r="P16" s="1168">
        <v>1</v>
      </c>
      <c r="Q16" s="1168">
        <v>0</v>
      </c>
      <c r="R16" s="1168" t="s">
        <v>1310</v>
      </c>
    </row>
    <row r="17" spans="1:18" ht="29.25" customHeight="1">
      <c r="A17" s="546">
        <f t="shared" si="0"/>
        <v>11</v>
      </c>
      <c r="B17" s="1168" t="s">
        <v>1332</v>
      </c>
      <c r="C17" s="1168" t="s">
        <v>1333</v>
      </c>
      <c r="D17" s="1168" t="s">
        <v>291</v>
      </c>
      <c r="E17" s="1168" t="s">
        <v>1313</v>
      </c>
      <c r="F17" s="1168">
        <v>11</v>
      </c>
      <c r="G17" s="1169">
        <v>13914</v>
      </c>
      <c r="H17" s="1168">
        <v>13914</v>
      </c>
      <c r="I17" s="1168"/>
      <c r="J17" s="1168"/>
      <c r="K17" s="1168"/>
      <c r="L17" s="1168"/>
      <c r="M17" s="1168"/>
      <c r="N17" s="1168"/>
      <c r="O17" s="1168"/>
      <c r="P17" s="1168">
        <v>3</v>
      </c>
      <c r="Q17" s="1168">
        <v>0</v>
      </c>
      <c r="R17" s="1168" t="s">
        <v>1310</v>
      </c>
    </row>
    <row r="18" spans="1:18" ht="29.25" customHeight="1">
      <c r="A18" s="546">
        <f t="shared" si="0"/>
        <v>12</v>
      </c>
      <c r="B18" s="1168" t="s">
        <v>1334</v>
      </c>
      <c r="C18" s="1168" t="s">
        <v>1335</v>
      </c>
      <c r="D18" s="1168" t="s">
        <v>291</v>
      </c>
      <c r="E18" s="1168" t="s">
        <v>1313</v>
      </c>
      <c r="F18" s="1168">
        <v>12</v>
      </c>
      <c r="G18" s="1169">
        <v>9952.7389000000003</v>
      </c>
      <c r="H18" s="1168">
        <v>9952.7389000000003</v>
      </c>
      <c r="I18" s="1168"/>
      <c r="J18" s="1168"/>
      <c r="K18" s="1168"/>
      <c r="L18" s="1168"/>
      <c r="M18" s="1168"/>
      <c r="N18" s="1168"/>
      <c r="O18" s="1168"/>
      <c r="P18" s="1168">
        <v>1</v>
      </c>
      <c r="Q18" s="1168">
        <v>0</v>
      </c>
      <c r="R18" s="1168" t="s">
        <v>1310</v>
      </c>
    </row>
    <row r="19" spans="1:18" ht="29.25" customHeight="1">
      <c r="A19" s="546">
        <f t="shared" si="0"/>
        <v>13</v>
      </c>
      <c r="B19" s="1170" t="s">
        <v>1336</v>
      </c>
      <c r="C19" s="1168" t="s">
        <v>1337</v>
      </c>
      <c r="D19" s="1168" t="s">
        <v>291</v>
      </c>
      <c r="E19" s="1168" t="s">
        <v>1313</v>
      </c>
      <c r="F19" s="1168">
        <v>13</v>
      </c>
      <c r="G19" s="1169">
        <v>9100</v>
      </c>
      <c r="H19" s="1168">
        <v>9100</v>
      </c>
      <c r="I19" s="1168"/>
      <c r="J19" s="1168"/>
      <c r="K19" s="1168"/>
      <c r="L19" s="1168"/>
      <c r="M19" s="1168"/>
      <c r="N19" s="1168"/>
      <c r="O19" s="1168"/>
      <c r="P19" s="1168">
        <v>2</v>
      </c>
      <c r="Q19" s="1168">
        <v>0</v>
      </c>
      <c r="R19" s="1168" t="s">
        <v>1310</v>
      </c>
    </row>
    <row r="20" spans="1:18" ht="29.25" customHeight="1">
      <c r="A20" s="546">
        <f t="shared" si="0"/>
        <v>14</v>
      </c>
      <c r="B20" s="1168" t="s">
        <v>1338</v>
      </c>
      <c r="C20" s="1168" t="s">
        <v>1339</v>
      </c>
      <c r="D20" s="1168" t="s">
        <v>291</v>
      </c>
      <c r="E20" s="1168" t="s">
        <v>1313</v>
      </c>
      <c r="F20" s="1168">
        <v>14</v>
      </c>
      <c r="G20" s="1169">
        <v>7636.3680000000004</v>
      </c>
      <c r="H20" s="1168">
        <v>7636.3680000000004</v>
      </c>
      <c r="I20" s="1168"/>
      <c r="J20" s="1168"/>
      <c r="K20" s="1168"/>
      <c r="L20" s="1168"/>
      <c r="M20" s="1168"/>
      <c r="N20" s="1168"/>
      <c r="O20" s="1168"/>
      <c r="P20" s="1168">
        <v>1</v>
      </c>
      <c r="Q20" s="1168">
        <v>0</v>
      </c>
      <c r="R20" s="1168" t="s">
        <v>1310</v>
      </c>
    </row>
    <row r="21" spans="1:18" ht="29.25" customHeight="1">
      <c r="A21" s="546">
        <f t="shared" si="0"/>
        <v>15</v>
      </c>
      <c r="B21" s="1168" t="s">
        <v>1340</v>
      </c>
      <c r="C21" s="1168" t="s">
        <v>1341</v>
      </c>
      <c r="D21" s="1168" t="s">
        <v>291</v>
      </c>
      <c r="E21" s="1168" t="s">
        <v>1313</v>
      </c>
      <c r="F21" s="1168">
        <v>15</v>
      </c>
      <c r="G21" s="1169">
        <v>6333.3389999999999</v>
      </c>
      <c r="H21" s="1168">
        <v>6333.3389999999999</v>
      </c>
      <c r="I21" s="1168"/>
      <c r="J21" s="1168"/>
      <c r="K21" s="1168"/>
      <c r="L21" s="1168"/>
      <c r="M21" s="1168"/>
      <c r="N21" s="1168"/>
      <c r="O21" s="1168"/>
      <c r="P21" s="1168">
        <v>1</v>
      </c>
      <c r="Q21" s="1168">
        <v>0</v>
      </c>
      <c r="R21" s="1168" t="s">
        <v>1310</v>
      </c>
    </row>
    <row r="22" spans="1:18" ht="29.25" customHeight="1">
      <c r="A22" s="546">
        <f t="shared" si="0"/>
        <v>16</v>
      </c>
      <c r="B22" s="1168" t="s">
        <v>1342</v>
      </c>
      <c r="C22" s="1168" t="s">
        <v>1343</v>
      </c>
      <c r="D22" s="1168" t="s">
        <v>291</v>
      </c>
      <c r="E22" s="1168" t="s">
        <v>1313</v>
      </c>
      <c r="F22" s="1168">
        <v>16</v>
      </c>
      <c r="G22" s="1169">
        <v>5825.8595500000001</v>
      </c>
      <c r="H22" s="1168">
        <v>5825.8595500000001</v>
      </c>
      <c r="I22" s="1168"/>
      <c r="J22" s="1168"/>
      <c r="K22" s="1168"/>
      <c r="L22" s="1168"/>
      <c r="M22" s="1168"/>
      <c r="N22" s="1168"/>
      <c r="O22" s="1168"/>
      <c r="P22" s="1168">
        <v>1</v>
      </c>
      <c r="Q22" s="1168">
        <v>0</v>
      </c>
      <c r="R22" s="1168" t="s">
        <v>1310</v>
      </c>
    </row>
    <row r="23" spans="1:18" ht="29.25" customHeight="1">
      <c r="A23" s="546">
        <f t="shared" si="0"/>
        <v>17</v>
      </c>
      <c r="B23" s="1168" t="s">
        <v>1344</v>
      </c>
      <c r="C23" s="1168" t="s">
        <v>1345</v>
      </c>
      <c r="D23" s="1168" t="s">
        <v>291</v>
      </c>
      <c r="E23" s="1168" t="s">
        <v>1313</v>
      </c>
      <c r="F23" s="1168">
        <v>17</v>
      </c>
      <c r="G23" s="1169">
        <v>5635.0000499999996</v>
      </c>
      <c r="H23" s="1168">
        <v>5635.0000499999996</v>
      </c>
      <c r="I23" s="1168"/>
      <c r="J23" s="1168"/>
      <c r="K23" s="1168"/>
      <c r="L23" s="1168"/>
      <c r="M23" s="1168"/>
      <c r="N23" s="1168"/>
      <c r="O23" s="1168"/>
      <c r="P23" s="1168">
        <v>1</v>
      </c>
      <c r="Q23" s="1168">
        <v>0</v>
      </c>
      <c r="R23" s="1168" t="s">
        <v>1310</v>
      </c>
    </row>
    <row r="24" spans="1:18" ht="29.25" customHeight="1">
      <c r="A24" s="546">
        <f t="shared" si="0"/>
        <v>18</v>
      </c>
      <c r="B24" s="1168" t="s">
        <v>1346</v>
      </c>
      <c r="C24" s="1168" t="s">
        <v>1347</v>
      </c>
      <c r="D24" s="1168" t="s">
        <v>291</v>
      </c>
      <c r="E24" s="1168" t="s">
        <v>1313</v>
      </c>
      <c r="F24" s="1168">
        <v>18</v>
      </c>
      <c r="G24" s="1169">
        <v>5293.2989400000006</v>
      </c>
      <c r="H24" s="1168">
        <v>5293.2989400000006</v>
      </c>
      <c r="I24" s="1168"/>
      <c r="J24" s="1168"/>
      <c r="K24" s="1168"/>
      <c r="L24" s="1168"/>
      <c r="M24" s="1168"/>
      <c r="N24" s="1168"/>
      <c r="O24" s="1168"/>
      <c r="P24" s="1168">
        <v>1</v>
      </c>
      <c r="Q24" s="1168">
        <v>0</v>
      </c>
      <c r="R24" s="1168" t="s">
        <v>1310</v>
      </c>
    </row>
    <row r="25" spans="1:18" ht="29.25" customHeight="1">
      <c r="A25" s="546">
        <f t="shared" si="0"/>
        <v>19</v>
      </c>
      <c r="B25" s="1168" t="s">
        <v>1348</v>
      </c>
      <c r="C25" s="1168" t="s">
        <v>1349</v>
      </c>
      <c r="D25" s="1168" t="s">
        <v>291</v>
      </c>
      <c r="E25" s="1168" t="s">
        <v>1313</v>
      </c>
      <c r="F25" s="1168">
        <v>19</v>
      </c>
      <c r="G25" s="1169">
        <v>3817.9949200000001</v>
      </c>
      <c r="H25" s="1168">
        <v>3817.9949200000001</v>
      </c>
      <c r="I25" s="1168"/>
      <c r="J25" s="1168"/>
      <c r="K25" s="1168"/>
      <c r="L25" s="1168"/>
      <c r="M25" s="1168"/>
      <c r="N25" s="1168"/>
      <c r="O25" s="1168"/>
      <c r="P25" s="1168">
        <v>1</v>
      </c>
      <c r="Q25" s="1168">
        <v>0</v>
      </c>
      <c r="R25" s="1168" t="s">
        <v>1310</v>
      </c>
    </row>
    <row r="26" spans="1:18" ht="29.25" customHeight="1">
      <c r="A26" s="546">
        <f t="shared" si="0"/>
        <v>20</v>
      </c>
      <c r="B26" s="1171" t="s">
        <v>1350</v>
      </c>
      <c r="C26" s="1168" t="s">
        <v>1351</v>
      </c>
      <c r="D26" s="1168" t="s">
        <v>291</v>
      </c>
      <c r="E26" s="1168" t="s">
        <v>1313</v>
      </c>
      <c r="F26" s="1168">
        <v>20</v>
      </c>
      <c r="G26" s="1169">
        <v>4666.5769600000003</v>
      </c>
      <c r="H26" s="1168">
        <v>4666.5769600000003</v>
      </c>
      <c r="I26" s="1168"/>
      <c r="J26" s="1168"/>
      <c r="K26" s="1168"/>
      <c r="L26" s="1168"/>
      <c r="M26" s="1171"/>
      <c r="N26" s="1171"/>
      <c r="O26" s="1168"/>
      <c r="P26" s="1168">
        <v>1</v>
      </c>
      <c r="Q26" s="1168">
        <v>0</v>
      </c>
      <c r="R26" s="1168" t="s">
        <v>1310</v>
      </c>
    </row>
    <row r="27" spans="1:18" ht="29.25" customHeight="1">
      <c r="A27" s="546">
        <f t="shared" si="0"/>
        <v>21</v>
      </c>
      <c r="B27" s="1004" t="s">
        <v>1352</v>
      </c>
      <c r="C27" s="1004" t="s">
        <v>1353</v>
      </c>
      <c r="D27" s="1004" t="s">
        <v>291</v>
      </c>
      <c r="E27" s="1004" t="s">
        <v>1313</v>
      </c>
      <c r="F27" s="1004">
        <v>21</v>
      </c>
      <c r="G27" s="1169">
        <v>4796.9260300000005</v>
      </c>
      <c r="H27" s="1004">
        <v>4796.9260300000005</v>
      </c>
      <c r="I27" s="1004"/>
      <c r="J27" s="1004"/>
      <c r="K27" s="1004"/>
      <c r="L27" s="1004"/>
      <c r="M27" s="1004"/>
      <c r="N27" s="1004"/>
      <c r="O27" s="1004"/>
      <c r="P27" s="1168">
        <v>1</v>
      </c>
      <c r="Q27" s="1168">
        <v>0</v>
      </c>
      <c r="R27" s="1004" t="s">
        <v>1310</v>
      </c>
    </row>
    <row r="28" spans="1:18" ht="29.25" customHeight="1">
      <c r="A28" s="546">
        <f t="shared" si="0"/>
        <v>22</v>
      </c>
      <c r="B28" s="1004" t="s">
        <v>1354</v>
      </c>
      <c r="C28" s="1004" t="s">
        <v>1355</v>
      </c>
      <c r="D28" s="1004" t="s">
        <v>291</v>
      </c>
      <c r="E28" s="1004" t="s">
        <v>1313</v>
      </c>
      <c r="F28" s="1004">
        <v>22</v>
      </c>
      <c r="G28" s="1169">
        <v>4876.7861900000007</v>
      </c>
      <c r="H28" s="1004">
        <v>4876.7861900000007</v>
      </c>
      <c r="I28" s="1004"/>
      <c r="J28" s="1004"/>
      <c r="K28" s="1004"/>
      <c r="L28" s="1004"/>
      <c r="M28" s="1004"/>
      <c r="N28" s="1004"/>
      <c r="O28" s="1004"/>
      <c r="P28" s="1168">
        <v>2</v>
      </c>
      <c r="Q28" s="1168">
        <v>0</v>
      </c>
      <c r="R28" s="1004" t="s">
        <v>1310</v>
      </c>
    </row>
    <row r="29" spans="1:18" ht="29.25" customHeight="1">
      <c r="A29" s="546">
        <f t="shared" si="0"/>
        <v>23</v>
      </c>
      <c r="B29" s="1004" t="s">
        <v>1356</v>
      </c>
      <c r="C29" s="1004" t="s">
        <v>1357</v>
      </c>
      <c r="D29" s="1004" t="s">
        <v>291</v>
      </c>
      <c r="E29" s="1004" t="s">
        <v>1313</v>
      </c>
      <c r="F29" s="1004">
        <v>23</v>
      </c>
      <c r="G29" s="1169">
        <v>2514.2856699999998</v>
      </c>
      <c r="H29" s="1004">
        <v>2514.2856699999998</v>
      </c>
      <c r="I29" s="1004"/>
      <c r="J29" s="1004"/>
      <c r="K29" s="1004"/>
      <c r="L29" s="1004"/>
      <c r="M29" s="1004"/>
      <c r="N29" s="1004"/>
      <c r="O29" s="1004"/>
      <c r="P29" s="1168">
        <v>1</v>
      </c>
      <c r="Q29" s="1168">
        <v>0</v>
      </c>
      <c r="R29" s="1004" t="s">
        <v>1310</v>
      </c>
    </row>
    <row r="30" spans="1:18" ht="29.25" customHeight="1">
      <c r="A30" s="546">
        <f t="shared" si="0"/>
        <v>24</v>
      </c>
      <c r="B30" s="1004" t="s">
        <v>1358</v>
      </c>
      <c r="C30" s="1004" t="s">
        <v>1359</v>
      </c>
      <c r="D30" s="1004" t="s">
        <v>291</v>
      </c>
      <c r="E30" s="1004" t="s">
        <v>1313</v>
      </c>
      <c r="F30" s="1004">
        <v>24</v>
      </c>
      <c r="G30" s="1169">
        <v>4234.8539000000001</v>
      </c>
      <c r="H30" s="1004">
        <v>4234.8539000000001</v>
      </c>
      <c r="I30" s="1004"/>
      <c r="J30" s="1004"/>
      <c r="K30" s="1004"/>
      <c r="L30" s="1004"/>
      <c r="M30" s="1004"/>
      <c r="N30" s="1004"/>
      <c r="O30" s="1004"/>
      <c r="P30" s="1168">
        <v>1</v>
      </c>
      <c r="Q30" s="1168">
        <v>0</v>
      </c>
      <c r="R30" s="1004" t="s">
        <v>1310</v>
      </c>
    </row>
    <row r="31" spans="1:18" ht="29.25" customHeight="1">
      <c r="A31" s="546">
        <f t="shared" si="0"/>
        <v>25</v>
      </c>
      <c r="B31" s="1004" t="s">
        <v>1360</v>
      </c>
      <c r="C31" s="1004" t="s">
        <v>1361</v>
      </c>
      <c r="D31" s="1004" t="s">
        <v>291</v>
      </c>
      <c r="E31" s="1004" t="s">
        <v>1313</v>
      </c>
      <c r="F31" s="1004">
        <v>25</v>
      </c>
      <c r="G31" s="1169">
        <v>5333.34</v>
      </c>
      <c r="H31" s="1004">
        <v>5333.34</v>
      </c>
      <c r="I31" s="1004"/>
      <c r="J31" s="1004"/>
      <c r="K31" s="1004"/>
      <c r="L31" s="1004"/>
      <c r="M31" s="1004"/>
      <c r="N31" s="1004"/>
      <c r="O31" s="1004"/>
      <c r="P31" s="1168">
        <v>1</v>
      </c>
      <c r="Q31" s="1168">
        <v>0</v>
      </c>
      <c r="R31" s="1004" t="s">
        <v>1310</v>
      </c>
    </row>
    <row r="32" spans="1:18" ht="29.25" customHeight="1">
      <c r="A32" s="546">
        <f t="shared" si="0"/>
        <v>26</v>
      </c>
      <c r="B32" s="1004" t="s">
        <v>1362</v>
      </c>
      <c r="C32" s="1004" t="s">
        <v>1363</v>
      </c>
      <c r="D32" s="1004" t="s">
        <v>291</v>
      </c>
      <c r="E32" s="1004" t="s">
        <v>1313</v>
      </c>
      <c r="F32" s="1004">
        <v>27</v>
      </c>
      <c r="G32" s="1169">
        <v>23640.909199999998</v>
      </c>
      <c r="H32" s="1004">
        <v>23640.909199999998</v>
      </c>
      <c r="I32" s="1004"/>
      <c r="J32" s="1004"/>
      <c r="K32" s="1004"/>
      <c r="L32" s="1004"/>
      <c r="M32" s="1004"/>
      <c r="N32" s="1004"/>
      <c r="O32" s="1004"/>
      <c r="P32" s="1168">
        <v>1</v>
      </c>
      <c r="Q32" s="1168">
        <v>0</v>
      </c>
      <c r="R32" s="1004" t="s">
        <v>1310</v>
      </c>
    </row>
    <row r="33" spans="1:30" ht="29.25" customHeight="1">
      <c r="A33" s="546">
        <f t="shared" si="0"/>
        <v>27</v>
      </c>
      <c r="B33" s="1004" t="s">
        <v>1364</v>
      </c>
      <c r="C33" s="1004" t="s">
        <v>1365</v>
      </c>
      <c r="D33" s="1004" t="s">
        <v>291</v>
      </c>
      <c r="E33" s="1004" t="s">
        <v>1313</v>
      </c>
      <c r="F33" s="1004">
        <v>28</v>
      </c>
      <c r="G33" s="1169">
        <v>13791.656050000001</v>
      </c>
      <c r="H33" s="1004">
        <v>13791.656050000001</v>
      </c>
      <c r="I33" s="1004"/>
      <c r="J33" s="1004"/>
      <c r="K33" s="1004"/>
      <c r="L33" s="1004"/>
      <c r="M33" s="1004"/>
      <c r="N33" s="1004"/>
      <c r="O33" s="1004"/>
      <c r="P33" s="1168">
        <v>1</v>
      </c>
      <c r="Q33" s="1168">
        <v>0</v>
      </c>
      <c r="R33" s="1004" t="s">
        <v>1310</v>
      </c>
    </row>
    <row r="34" spans="1:30" ht="29.25" customHeight="1">
      <c r="A34" s="546">
        <f t="shared" si="0"/>
        <v>28</v>
      </c>
      <c r="B34" s="1004" t="s">
        <v>1366</v>
      </c>
      <c r="C34" s="1004" t="s">
        <v>1367</v>
      </c>
      <c r="D34" s="1004" t="s">
        <v>291</v>
      </c>
      <c r="E34" s="1004" t="s">
        <v>1313</v>
      </c>
      <c r="F34" s="1004">
        <v>29</v>
      </c>
      <c r="G34" s="1169">
        <v>8257.1479999999992</v>
      </c>
      <c r="H34" s="1004">
        <v>8257.1479999999992</v>
      </c>
      <c r="I34" s="1004"/>
      <c r="J34" s="1004"/>
      <c r="K34" s="1004"/>
      <c r="L34" s="1004"/>
      <c r="M34" s="1004"/>
      <c r="N34" s="1004"/>
      <c r="O34" s="1004"/>
      <c r="P34" s="1168">
        <v>1</v>
      </c>
      <c r="Q34" s="1168">
        <v>0</v>
      </c>
      <c r="R34" s="1004" t="s">
        <v>1310</v>
      </c>
    </row>
    <row r="35" spans="1:30" ht="29.25" customHeight="1">
      <c r="A35" s="546">
        <f t="shared" si="0"/>
        <v>29</v>
      </c>
      <c r="B35" s="1004" t="s">
        <v>1368</v>
      </c>
      <c r="C35" s="1004" t="s">
        <v>1369</v>
      </c>
      <c r="D35" s="1004" t="s">
        <v>291</v>
      </c>
      <c r="E35" s="1004" t="s">
        <v>1313</v>
      </c>
      <c r="F35" s="1004">
        <v>30</v>
      </c>
      <c r="G35" s="1169">
        <v>39418.75</v>
      </c>
      <c r="H35" s="1004">
        <v>39418.75</v>
      </c>
      <c r="I35" s="1004"/>
      <c r="J35" s="1004"/>
      <c r="K35" s="1004"/>
      <c r="L35" s="1004"/>
      <c r="M35" s="1004"/>
      <c r="N35" s="1004"/>
      <c r="O35" s="1004"/>
      <c r="P35" s="1168">
        <v>1</v>
      </c>
      <c r="Q35" s="1168">
        <v>0</v>
      </c>
      <c r="R35" s="1004" t="s">
        <v>1310</v>
      </c>
    </row>
    <row r="36" spans="1:30" ht="29.25" customHeight="1">
      <c r="A36" s="546">
        <f t="shared" si="0"/>
        <v>30</v>
      </c>
      <c r="B36" s="1004" t="s">
        <v>1370</v>
      </c>
      <c r="C36" s="1004" t="s">
        <v>1371</v>
      </c>
      <c r="D36" s="1004" t="s">
        <v>291</v>
      </c>
      <c r="E36" s="1004" t="s">
        <v>1313</v>
      </c>
      <c r="F36" s="1004">
        <v>31</v>
      </c>
      <c r="G36" s="1169">
        <v>503.38434999999998</v>
      </c>
      <c r="H36" s="1004">
        <v>503.38434999999998</v>
      </c>
      <c r="I36" s="1004"/>
      <c r="J36" s="1004"/>
      <c r="K36" s="1004"/>
      <c r="L36" s="1004"/>
      <c r="M36" s="1004"/>
      <c r="N36" s="1004"/>
      <c r="O36" s="1004"/>
      <c r="P36" s="1168">
        <v>1</v>
      </c>
      <c r="Q36" s="1168">
        <v>0</v>
      </c>
      <c r="R36" s="1004" t="s">
        <v>1310</v>
      </c>
    </row>
    <row r="37" spans="1:30" ht="29.25" customHeight="1">
      <c r="A37" s="546">
        <f t="shared" si="0"/>
        <v>31</v>
      </c>
      <c r="B37" s="1004" t="s">
        <v>1372</v>
      </c>
      <c r="C37" s="1004" t="s">
        <v>1373</v>
      </c>
      <c r="D37" s="1004" t="s">
        <v>291</v>
      </c>
      <c r="E37" s="1004" t="s">
        <v>1313</v>
      </c>
      <c r="F37" s="1004">
        <v>32</v>
      </c>
      <c r="G37" s="1169">
        <v>30811.316360000001</v>
      </c>
      <c r="H37" s="1004">
        <v>30811.316360000001</v>
      </c>
      <c r="I37" s="1004"/>
      <c r="J37" s="1004"/>
      <c r="K37" s="1004"/>
      <c r="L37" s="1004"/>
      <c r="M37" s="1004"/>
      <c r="N37" s="1004"/>
      <c r="O37" s="1004"/>
      <c r="P37" s="1168">
        <v>1</v>
      </c>
      <c r="Q37" s="1168">
        <v>0</v>
      </c>
      <c r="R37" s="1004" t="s">
        <v>1310</v>
      </c>
    </row>
    <row r="38" spans="1:30" s="1156" customFormat="1" ht="29.25" customHeight="1">
      <c r="A38" s="546">
        <f t="shared" si="0"/>
        <v>32</v>
      </c>
      <c r="B38" s="1155" t="s">
        <v>1374</v>
      </c>
      <c r="C38" s="1155"/>
      <c r="D38" s="1155" t="s">
        <v>291</v>
      </c>
      <c r="E38" s="1155"/>
      <c r="F38" s="1155"/>
      <c r="G38" s="1172">
        <v>389169</v>
      </c>
      <c r="H38" s="1172">
        <v>389169</v>
      </c>
      <c r="I38" s="1155"/>
      <c r="J38" s="1155"/>
      <c r="K38" s="1155"/>
      <c r="L38" s="1155"/>
      <c r="M38" s="1155"/>
      <c r="N38" s="1155"/>
      <c r="O38" s="1155"/>
      <c r="P38" s="1155"/>
      <c r="Q38" s="1155"/>
      <c r="R38" s="1155"/>
      <c r="T38" s="1157"/>
    </row>
    <row r="39" spans="1:30" ht="29.25" customHeight="1">
      <c r="A39" s="1280" t="s">
        <v>1127</v>
      </c>
      <c r="B39" s="1281"/>
      <c r="C39" s="1281"/>
      <c r="D39" s="1281"/>
      <c r="E39" s="1173"/>
      <c r="F39" s="1174"/>
      <c r="G39" s="1175">
        <f t="shared" ref="G39:L39" si="1">SUM(G7:G38)</f>
        <v>1143633.53306</v>
      </c>
      <c r="H39" s="1175">
        <f t="shared" si="1"/>
        <v>1143633.53306</v>
      </c>
      <c r="I39" s="1175">
        <f t="shared" si="1"/>
        <v>0</v>
      </c>
      <c r="J39" s="1175">
        <f t="shared" si="1"/>
        <v>0</v>
      </c>
      <c r="K39" s="1175">
        <f t="shared" si="1"/>
        <v>0</v>
      </c>
      <c r="L39" s="1175">
        <f t="shared" si="1"/>
        <v>0</v>
      </c>
      <c r="M39" s="1175"/>
      <c r="N39" s="1175"/>
      <c r="O39" s="1175">
        <f>SUM(O7:O38)</f>
        <v>0</v>
      </c>
      <c r="P39" s="1176"/>
      <c r="Q39" s="1177"/>
      <c r="R39" s="1178"/>
    </row>
    <row r="40" spans="1:30" ht="29.25" customHeight="1">
      <c r="A40" s="1280" t="s">
        <v>865</v>
      </c>
      <c r="B40" s="1281"/>
      <c r="C40" s="1281"/>
      <c r="D40" s="1281"/>
      <c r="E40" s="1173"/>
      <c r="F40" s="1174"/>
      <c r="G40" s="1175">
        <f t="shared" ref="G40:L40" si="2">MAX(G7:G38)</f>
        <v>389169</v>
      </c>
      <c r="H40" s="1175">
        <f t="shared" si="2"/>
        <v>389169</v>
      </c>
      <c r="I40" s="1175">
        <f t="shared" si="2"/>
        <v>0</v>
      </c>
      <c r="J40" s="1175">
        <f t="shared" si="2"/>
        <v>0</v>
      </c>
      <c r="K40" s="1175">
        <f t="shared" si="2"/>
        <v>0</v>
      </c>
      <c r="L40" s="1175">
        <f t="shared" si="2"/>
        <v>0</v>
      </c>
      <c r="M40" s="1175"/>
      <c r="N40" s="1175"/>
      <c r="O40" s="1175">
        <f>MAX(O7:O38)</f>
        <v>0</v>
      </c>
      <c r="P40" s="1179"/>
      <c r="Q40" s="1180"/>
      <c r="R40" s="1181"/>
    </row>
    <row r="43" spans="1:30" ht="25.5">
      <c r="B43" s="1182" t="s">
        <v>4</v>
      </c>
    </row>
    <row r="44" spans="1:30">
      <c r="B44" s="1182"/>
    </row>
    <row r="45" spans="1:30">
      <c r="B45" s="1182" t="s">
        <v>5</v>
      </c>
    </row>
    <row r="47" spans="1:30" ht="15.75">
      <c r="B47" s="1282" t="s">
        <v>1070</v>
      </c>
      <c r="C47" s="1282"/>
      <c r="D47" s="1282"/>
      <c r="E47" s="1282"/>
      <c r="F47" s="1282"/>
      <c r="G47" s="1282"/>
      <c r="H47" s="1282"/>
      <c r="I47" s="1282"/>
      <c r="J47" s="1282"/>
      <c r="K47" s="1282"/>
      <c r="L47" s="1282"/>
      <c r="M47" s="1282"/>
      <c r="N47" s="1282"/>
      <c r="O47" s="1282"/>
      <c r="P47" s="1282"/>
      <c r="Q47" s="1282"/>
      <c r="R47" s="1282"/>
    </row>
    <row r="48" spans="1:30">
      <c r="A48" s="1183"/>
      <c r="B48" s="1183"/>
      <c r="C48" s="1183"/>
      <c r="D48" s="1183"/>
      <c r="E48" s="1183"/>
      <c r="F48" s="1183"/>
      <c r="G48" s="1183"/>
      <c r="H48" s="1183"/>
      <c r="I48" s="1183"/>
      <c r="J48" s="1183"/>
      <c r="K48" s="1183"/>
      <c r="L48" s="1183"/>
      <c r="M48" s="1183"/>
      <c r="N48" s="1183"/>
      <c r="O48" s="1183"/>
      <c r="P48" s="1183"/>
      <c r="Q48" s="1183"/>
      <c r="R48" s="1183"/>
      <c r="T48" s="1184"/>
      <c r="U48" s="1183"/>
      <c r="V48" s="1183"/>
      <c r="W48" s="1183"/>
      <c r="X48" s="1183"/>
      <c r="Y48" s="1183"/>
      <c r="Z48" s="1183"/>
      <c r="AA48" s="1183"/>
      <c r="AB48" s="1183"/>
      <c r="AC48" s="1183"/>
      <c r="AD48" s="1183"/>
    </row>
    <row r="49" spans="1:30">
      <c r="A49" s="1183"/>
      <c r="B49" s="1183"/>
      <c r="C49" s="1183"/>
      <c r="D49" s="1183"/>
      <c r="E49" s="1183"/>
      <c r="F49" s="1183"/>
      <c r="G49" s="1183"/>
      <c r="H49" s="1183"/>
      <c r="I49" s="1183"/>
      <c r="J49" s="1183"/>
      <c r="K49" s="1183"/>
      <c r="L49" s="1183"/>
      <c r="M49" s="1183"/>
      <c r="N49" s="1183"/>
      <c r="O49" s="1183"/>
      <c r="P49" s="1183"/>
      <c r="Q49" s="1183"/>
      <c r="R49" s="1183"/>
      <c r="T49" s="1184"/>
      <c r="U49" s="1183"/>
      <c r="V49" s="1183"/>
      <c r="W49" s="1183"/>
      <c r="X49" s="1183"/>
      <c r="Y49" s="1183"/>
      <c r="Z49" s="1183"/>
      <c r="AA49" s="1183"/>
      <c r="AB49" s="1183"/>
      <c r="AC49" s="1183"/>
      <c r="AD49" s="1183"/>
    </row>
    <row r="50" spans="1:30">
      <c r="A50" s="1183"/>
      <c r="B50" s="1183"/>
      <c r="C50" s="1183"/>
      <c r="D50" s="1183"/>
      <c r="E50" s="1183"/>
      <c r="F50" s="1183"/>
      <c r="G50" s="1183"/>
      <c r="H50" s="1183"/>
      <c r="I50" s="1183"/>
      <c r="J50" s="1183"/>
      <c r="K50" s="1183"/>
      <c r="L50" s="1183"/>
      <c r="M50" s="1183"/>
      <c r="N50" s="1183"/>
      <c r="O50" s="1183"/>
      <c r="P50" s="1183"/>
      <c r="Q50" s="1183"/>
      <c r="R50" s="1183"/>
      <c r="T50" s="1184"/>
      <c r="U50" s="1183"/>
      <c r="V50" s="1183"/>
      <c r="W50" s="1183"/>
      <c r="X50" s="1183"/>
      <c r="Y50" s="1183"/>
      <c r="Z50" s="1183"/>
      <c r="AA50" s="1183"/>
      <c r="AB50" s="1183"/>
      <c r="AC50" s="1183"/>
      <c r="AD50" s="1183"/>
    </row>
    <row r="51" spans="1:30">
      <c r="A51" s="1183"/>
      <c r="B51" s="1183"/>
      <c r="C51" s="1183"/>
      <c r="D51" s="1183"/>
      <c r="E51" s="1183"/>
      <c r="F51" s="1183"/>
      <c r="G51" s="1183"/>
      <c r="H51" s="1183"/>
      <c r="I51" s="1183"/>
      <c r="J51" s="1183"/>
      <c r="K51" s="1183"/>
      <c r="L51" s="1183"/>
      <c r="M51" s="1183"/>
      <c r="N51" s="1183"/>
      <c r="O51" s="1183"/>
      <c r="P51" s="1183"/>
      <c r="Q51" s="1183"/>
      <c r="R51" s="1183"/>
      <c r="T51" s="1184"/>
      <c r="U51" s="1183"/>
      <c r="V51" s="1183"/>
      <c r="W51" s="1183"/>
      <c r="X51" s="1183"/>
      <c r="Y51" s="1183"/>
      <c r="Z51" s="1183"/>
      <c r="AA51" s="1183"/>
      <c r="AB51" s="1183"/>
      <c r="AC51" s="1183"/>
      <c r="AD51" s="1183"/>
    </row>
    <row r="52" spans="1:30">
      <c r="A52" s="1183"/>
      <c r="B52" s="1183"/>
      <c r="C52" s="1183"/>
      <c r="D52" s="1183"/>
      <c r="E52" s="1183"/>
      <c r="F52" s="1183"/>
      <c r="G52" s="1183"/>
      <c r="H52" s="1183"/>
      <c r="I52" s="1183"/>
      <c r="J52" s="1183"/>
      <c r="K52" s="1183"/>
      <c r="L52" s="1183"/>
      <c r="M52" s="1183"/>
      <c r="N52" s="1183"/>
      <c r="O52" s="1183"/>
      <c r="P52" s="1183"/>
      <c r="Q52" s="1183"/>
      <c r="R52" s="1183"/>
      <c r="T52" s="1184"/>
      <c r="U52" s="1183"/>
      <c r="V52" s="1183"/>
      <c r="W52" s="1183"/>
      <c r="X52" s="1183"/>
      <c r="Y52" s="1183"/>
      <c r="Z52" s="1183"/>
      <c r="AA52" s="1183"/>
      <c r="AB52" s="1183"/>
      <c r="AC52" s="1183"/>
      <c r="AD52" s="1183"/>
    </row>
    <row r="53" spans="1:30">
      <c r="A53" s="1183"/>
      <c r="B53" s="1183"/>
      <c r="C53" s="1183"/>
      <c r="D53" s="1183"/>
      <c r="E53" s="1183"/>
      <c r="F53" s="1183"/>
      <c r="G53" s="1183"/>
      <c r="H53" s="1183"/>
      <c r="I53" s="1183"/>
      <c r="J53" s="1183"/>
      <c r="K53" s="1183"/>
      <c r="L53" s="1183"/>
      <c r="M53" s="1183"/>
      <c r="N53" s="1183"/>
      <c r="O53" s="1183"/>
      <c r="P53" s="1183"/>
      <c r="Q53" s="1183"/>
      <c r="R53" s="1183"/>
      <c r="T53" s="1184"/>
      <c r="U53" s="1183"/>
      <c r="V53" s="1183"/>
      <c r="W53" s="1183"/>
      <c r="X53" s="1183"/>
      <c r="Y53" s="1183"/>
      <c r="Z53" s="1183"/>
      <c r="AA53" s="1183"/>
      <c r="AB53" s="1183"/>
      <c r="AC53" s="1183"/>
      <c r="AD53" s="1183"/>
    </row>
    <row r="54" spans="1:30">
      <c r="A54" s="1183"/>
      <c r="B54" s="1183"/>
      <c r="C54" s="1183"/>
      <c r="D54" s="1183"/>
      <c r="E54" s="1183"/>
      <c r="F54" s="1183"/>
      <c r="G54" s="1183"/>
      <c r="H54" s="1183"/>
      <c r="I54" s="1183"/>
      <c r="J54" s="1183"/>
      <c r="K54" s="1183"/>
      <c r="L54" s="1183"/>
      <c r="M54" s="1183"/>
      <c r="N54" s="1183"/>
      <c r="O54" s="1183"/>
      <c r="P54" s="1183"/>
      <c r="Q54" s="1183"/>
      <c r="R54" s="1183"/>
      <c r="T54" s="1184"/>
      <c r="U54" s="1183"/>
      <c r="V54" s="1183"/>
      <c r="W54" s="1183"/>
      <c r="X54" s="1183"/>
      <c r="Y54" s="1183"/>
      <c r="Z54" s="1183"/>
      <c r="AA54" s="1183"/>
      <c r="AB54" s="1183"/>
      <c r="AC54" s="1183"/>
      <c r="AD54" s="1183"/>
    </row>
    <row r="55" spans="1:30">
      <c r="A55" s="1183"/>
      <c r="B55" s="1183"/>
      <c r="C55" s="1183"/>
      <c r="D55" s="1183"/>
      <c r="E55" s="1183"/>
      <c r="F55" s="1183"/>
      <c r="G55" s="1183"/>
      <c r="H55" s="1183"/>
      <c r="I55" s="1183"/>
      <c r="J55" s="1183"/>
      <c r="K55" s="1183"/>
      <c r="L55" s="1183"/>
      <c r="M55" s="1183"/>
      <c r="N55" s="1183"/>
      <c r="O55" s="1183"/>
      <c r="P55" s="1183"/>
      <c r="Q55" s="1183"/>
      <c r="R55" s="1183"/>
      <c r="T55" s="1184"/>
      <c r="U55" s="1183"/>
      <c r="V55" s="1183"/>
      <c r="W55" s="1183"/>
      <c r="X55" s="1183"/>
      <c r="Y55" s="1183"/>
      <c r="Z55" s="1183"/>
      <c r="AA55" s="1183"/>
      <c r="AB55" s="1183"/>
      <c r="AC55" s="1183"/>
      <c r="AD55" s="1183"/>
    </row>
    <row r="56" spans="1:30">
      <c r="A56" s="1183"/>
      <c r="B56" s="1183"/>
      <c r="C56" s="1183"/>
      <c r="D56" s="1183"/>
      <c r="E56" s="1183"/>
      <c r="F56" s="1183"/>
      <c r="G56" s="1183"/>
      <c r="H56" s="1183"/>
      <c r="I56" s="1183"/>
      <c r="J56" s="1183"/>
      <c r="K56" s="1183"/>
      <c r="L56" s="1183"/>
      <c r="M56" s="1183"/>
      <c r="N56" s="1183"/>
      <c r="O56" s="1183"/>
      <c r="P56" s="1183"/>
      <c r="Q56" s="1183"/>
      <c r="R56" s="1183"/>
      <c r="T56" s="1184"/>
      <c r="U56" s="1183"/>
      <c r="V56" s="1183"/>
      <c r="W56" s="1183"/>
      <c r="X56" s="1183"/>
      <c r="Y56" s="1183"/>
      <c r="Z56" s="1183"/>
      <c r="AA56" s="1183"/>
      <c r="AB56" s="1183"/>
      <c r="AC56" s="1183"/>
      <c r="AD56" s="1183"/>
    </row>
    <row r="57" spans="1:30">
      <c r="A57" s="1183"/>
      <c r="B57" s="1183"/>
      <c r="C57" s="1183"/>
      <c r="D57" s="1183"/>
      <c r="E57" s="1183"/>
      <c r="F57" s="1183"/>
      <c r="G57" s="1183"/>
      <c r="H57" s="1183"/>
      <c r="I57" s="1183"/>
      <c r="J57" s="1183"/>
      <c r="K57" s="1183"/>
      <c r="L57" s="1183"/>
      <c r="M57" s="1183"/>
      <c r="N57" s="1183"/>
      <c r="O57" s="1183"/>
      <c r="P57" s="1183"/>
      <c r="Q57" s="1183"/>
      <c r="R57" s="1183"/>
      <c r="T57" s="1184"/>
      <c r="U57" s="1183"/>
      <c r="V57" s="1183"/>
      <c r="W57" s="1183"/>
      <c r="X57" s="1183"/>
      <c r="Y57" s="1183"/>
      <c r="Z57" s="1183"/>
      <c r="AA57" s="1183"/>
      <c r="AB57" s="1183"/>
      <c r="AC57" s="1183"/>
      <c r="AD57" s="1183"/>
    </row>
    <row r="58" spans="1:30">
      <c r="A58" s="1183"/>
      <c r="B58" s="1183"/>
      <c r="C58" s="1183"/>
      <c r="D58" s="1183"/>
      <c r="E58" s="1183"/>
      <c r="F58" s="1183"/>
      <c r="G58" s="1183"/>
      <c r="H58" s="1183"/>
      <c r="I58" s="1183"/>
      <c r="J58" s="1183"/>
      <c r="K58" s="1183"/>
      <c r="L58" s="1183"/>
      <c r="M58" s="1183"/>
      <c r="N58" s="1183"/>
      <c r="O58" s="1183"/>
      <c r="P58" s="1183"/>
      <c r="Q58" s="1183"/>
      <c r="R58" s="1183"/>
      <c r="T58" s="1184"/>
      <c r="U58" s="1183"/>
      <c r="V58" s="1183"/>
      <c r="W58" s="1183"/>
      <c r="X58" s="1183"/>
      <c r="Y58" s="1183"/>
      <c r="Z58" s="1183"/>
      <c r="AA58" s="1183"/>
      <c r="AB58" s="1183"/>
      <c r="AC58" s="1183"/>
      <c r="AD58" s="1183"/>
    </row>
    <row r="59" spans="1:30">
      <c r="A59" s="1183"/>
      <c r="B59" s="1183"/>
      <c r="C59" s="1183"/>
      <c r="D59" s="1183"/>
      <c r="E59" s="1183"/>
      <c r="F59" s="1183"/>
      <c r="G59" s="1183"/>
      <c r="H59" s="1183"/>
      <c r="I59" s="1183"/>
      <c r="J59" s="1183"/>
      <c r="K59" s="1183"/>
      <c r="L59" s="1183"/>
      <c r="M59" s="1183"/>
      <c r="N59" s="1183"/>
      <c r="O59" s="1183"/>
      <c r="P59" s="1183"/>
      <c r="Q59" s="1183"/>
      <c r="R59" s="1183"/>
      <c r="T59" s="1184"/>
      <c r="U59" s="1183"/>
      <c r="V59" s="1183"/>
      <c r="W59" s="1183"/>
      <c r="X59" s="1183"/>
      <c r="Y59" s="1183"/>
      <c r="Z59" s="1183"/>
      <c r="AA59" s="1183"/>
      <c r="AB59" s="1183"/>
      <c r="AC59" s="1183"/>
      <c r="AD59" s="1183"/>
    </row>
    <row r="60" spans="1:30">
      <c r="A60" s="1183"/>
      <c r="B60" s="1183"/>
      <c r="C60" s="1183"/>
      <c r="D60" s="1183"/>
      <c r="E60" s="1183"/>
      <c r="F60" s="1183"/>
      <c r="G60" s="1183"/>
      <c r="H60" s="1183"/>
      <c r="I60" s="1183"/>
      <c r="J60" s="1183"/>
      <c r="K60" s="1183"/>
      <c r="L60" s="1183"/>
      <c r="M60" s="1183"/>
      <c r="N60" s="1183"/>
      <c r="O60" s="1183"/>
      <c r="P60" s="1183"/>
      <c r="Q60" s="1183"/>
      <c r="R60" s="1183"/>
      <c r="T60" s="1184"/>
      <c r="U60" s="1183"/>
      <c r="V60" s="1183"/>
      <c r="W60" s="1183"/>
      <c r="X60" s="1183"/>
      <c r="Y60" s="1183"/>
      <c r="Z60" s="1183"/>
      <c r="AA60" s="1183"/>
      <c r="AB60" s="1183"/>
      <c r="AC60" s="1183"/>
      <c r="AD60" s="1183"/>
    </row>
    <row r="61" spans="1:30">
      <c r="A61" s="1183"/>
      <c r="B61" s="1183"/>
      <c r="C61" s="1183"/>
      <c r="D61" s="1183"/>
      <c r="E61" s="1183"/>
      <c r="F61" s="1183"/>
      <c r="G61" s="1183"/>
      <c r="H61" s="1183"/>
      <c r="I61" s="1183"/>
      <c r="J61" s="1183"/>
      <c r="K61" s="1183"/>
      <c r="L61" s="1183"/>
      <c r="M61" s="1183"/>
      <c r="N61" s="1183"/>
      <c r="O61" s="1183"/>
      <c r="P61" s="1183"/>
      <c r="Q61" s="1183"/>
      <c r="R61" s="1183"/>
      <c r="T61" s="1184"/>
      <c r="U61" s="1183"/>
      <c r="V61" s="1183"/>
      <c r="W61" s="1183"/>
      <c r="X61" s="1183"/>
      <c r="Y61" s="1183"/>
      <c r="Z61" s="1183"/>
      <c r="AA61" s="1183"/>
      <c r="AB61" s="1183"/>
      <c r="AC61" s="1183"/>
      <c r="AD61" s="1183"/>
    </row>
    <row r="62" spans="1:30">
      <c r="A62" s="1183"/>
      <c r="B62" s="1183"/>
      <c r="C62" s="1183"/>
      <c r="D62" s="1183"/>
      <c r="E62" s="1183"/>
      <c r="F62" s="1183"/>
      <c r="G62" s="1183"/>
      <c r="H62" s="1183"/>
      <c r="I62" s="1183"/>
      <c r="J62" s="1183"/>
      <c r="K62" s="1183"/>
      <c r="L62" s="1183"/>
      <c r="M62" s="1183"/>
      <c r="N62" s="1183"/>
      <c r="O62" s="1183"/>
      <c r="P62" s="1183"/>
      <c r="Q62" s="1183"/>
      <c r="R62" s="1183"/>
      <c r="T62" s="1184"/>
      <c r="U62" s="1183"/>
      <c r="V62" s="1183"/>
      <c r="W62" s="1183"/>
      <c r="X62" s="1183"/>
      <c r="Y62" s="1183"/>
      <c r="Z62" s="1183"/>
      <c r="AA62" s="1183"/>
      <c r="AB62" s="1183"/>
      <c r="AC62" s="1183"/>
      <c r="AD62" s="1183"/>
    </row>
    <row r="63" spans="1:30">
      <c r="A63" s="1183"/>
      <c r="B63" s="1183"/>
      <c r="C63" s="1183"/>
      <c r="D63" s="1183"/>
      <c r="E63" s="1183"/>
      <c r="F63" s="1183"/>
      <c r="G63" s="1183"/>
      <c r="H63" s="1183"/>
      <c r="I63" s="1183"/>
      <c r="J63" s="1183"/>
      <c r="K63" s="1183"/>
      <c r="L63" s="1183"/>
      <c r="M63" s="1183"/>
      <c r="N63" s="1183"/>
      <c r="O63" s="1183"/>
      <c r="P63" s="1183"/>
      <c r="Q63" s="1183"/>
      <c r="R63" s="1183"/>
      <c r="T63" s="1184"/>
      <c r="U63" s="1183"/>
      <c r="V63" s="1183"/>
      <c r="W63" s="1183"/>
      <c r="X63" s="1183"/>
      <c r="Y63" s="1183"/>
      <c r="Z63" s="1183"/>
      <c r="AA63" s="1183"/>
      <c r="AB63" s="1183"/>
      <c r="AC63" s="1183"/>
      <c r="AD63" s="1183"/>
    </row>
    <row r="64" spans="1:30">
      <c r="A64" s="1183"/>
      <c r="B64" s="1183"/>
      <c r="C64" s="1183"/>
      <c r="D64" s="1183"/>
      <c r="E64" s="1183"/>
      <c r="F64" s="1183"/>
      <c r="G64" s="1183"/>
      <c r="H64" s="1183"/>
      <c r="I64" s="1183"/>
      <c r="J64" s="1183"/>
      <c r="K64" s="1183"/>
      <c r="L64" s="1183"/>
      <c r="M64" s="1183"/>
      <c r="N64" s="1183"/>
      <c r="O64" s="1183"/>
      <c r="P64" s="1183"/>
      <c r="Q64" s="1183"/>
      <c r="R64" s="1183"/>
      <c r="T64" s="1184"/>
      <c r="U64" s="1183"/>
      <c r="V64" s="1183"/>
      <c r="W64" s="1183"/>
      <c r="X64" s="1183"/>
      <c r="Y64" s="1183"/>
      <c r="Z64" s="1183"/>
      <c r="AA64" s="1183"/>
      <c r="AB64" s="1183"/>
      <c r="AC64" s="1183"/>
      <c r="AD64" s="1183"/>
    </row>
    <row r="65" spans="1:30">
      <c r="A65" s="1183"/>
      <c r="B65" s="1183"/>
      <c r="C65" s="1183"/>
      <c r="D65" s="1183"/>
      <c r="E65" s="1183"/>
      <c r="F65" s="1183"/>
      <c r="G65" s="1183"/>
      <c r="H65" s="1183"/>
      <c r="I65" s="1183"/>
      <c r="J65" s="1183"/>
      <c r="K65" s="1183"/>
      <c r="L65" s="1183"/>
      <c r="M65" s="1183"/>
      <c r="N65" s="1183"/>
      <c r="O65" s="1183"/>
      <c r="P65" s="1183"/>
      <c r="Q65" s="1183"/>
      <c r="R65" s="1183"/>
      <c r="T65" s="1184"/>
      <c r="U65" s="1183"/>
      <c r="V65" s="1183"/>
      <c r="W65" s="1183"/>
      <c r="X65" s="1183"/>
      <c r="Y65" s="1183"/>
      <c r="Z65" s="1183"/>
      <c r="AA65" s="1183"/>
      <c r="AB65" s="1183"/>
      <c r="AC65" s="1183"/>
      <c r="AD65" s="1183"/>
    </row>
    <row r="66" spans="1:30">
      <c r="A66" s="1183"/>
      <c r="B66" s="1183"/>
      <c r="C66" s="1183"/>
      <c r="D66" s="1183"/>
      <c r="E66" s="1183"/>
      <c r="F66" s="1183"/>
      <c r="G66" s="1183"/>
      <c r="H66" s="1183"/>
      <c r="I66" s="1183"/>
      <c r="J66" s="1183"/>
      <c r="K66" s="1183"/>
      <c r="L66" s="1183"/>
      <c r="M66" s="1183"/>
      <c r="N66" s="1183"/>
      <c r="O66" s="1183"/>
      <c r="P66" s="1183"/>
      <c r="Q66" s="1183"/>
      <c r="R66" s="1183"/>
      <c r="T66" s="1184"/>
      <c r="U66" s="1183"/>
      <c r="V66" s="1183"/>
      <c r="W66" s="1183"/>
      <c r="X66" s="1183"/>
      <c r="Y66" s="1183"/>
      <c r="Z66" s="1183"/>
      <c r="AA66" s="1183"/>
      <c r="AB66" s="1183"/>
      <c r="AC66" s="1183"/>
      <c r="AD66" s="1183"/>
    </row>
    <row r="67" spans="1:30">
      <c r="A67" s="1183"/>
      <c r="B67" s="1183"/>
      <c r="C67" s="1183"/>
      <c r="D67" s="1183"/>
      <c r="E67" s="1183"/>
      <c r="F67" s="1183"/>
      <c r="G67" s="1183"/>
      <c r="H67" s="1183"/>
      <c r="I67" s="1183"/>
      <c r="J67" s="1183"/>
      <c r="K67" s="1183"/>
      <c r="L67" s="1183"/>
      <c r="M67" s="1183"/>
      <c r="N67" s="1183"/>
      <c r="O67" s="1183"/>
      <c r="P67" s="1183"/>
      <c r="Q67" s="1183"/>
      <c r="R67" s="1183"/>
      <c r="T67" s="1184"/>
      <c r="U67" s="1183"/>
      <c r="V67" s="1183"/>
      <c r="W67" s="1183"/>
      <c r="X67" s="1183"/>
      <c r="Y67" s="1183"/>
      <c r="Z67" s="1183"/>
      <c r="AA67" s="1183"/>
      <c r="AB67" s="1183"/>
      <c r="AC67" s="1183"/>
      <c r="AD67" s="1183"/>
    </row>
    <row r="68" spans="1:30">
      <c r="A68" s="1183"/>
      <c r="B68" s="1183"/>
      <c r="C68" s="1183"/>
      <c r="D68" s="1183"/>
      <c r="E68" s="1183"/>
      <c r="F68" s="1183"/>
      <c r="G68" s="1183"/>
      <c r="H68" s="1183"/>
      <c r="I68" s="1183"/>
      <c r="J68" s="1183"/>
      <c r="K68" s="1183"/>
      <c r="L68" s="1183"/>
      <c r="M68" s="1183"/>
      <c r="N68" s="1183"/>
      <c r="O68" s="1183"/>
      <c r="P68" s="1183"/>
      <c r="Q68" s="1183"/>
      <c r="R68" s="1183"/>
      <c r="T68" s="1184"/>
      <c r="U68" s="1183"/>
      <c r="V68" s="1183"/>
      <c r="W68" s="1183"/>
      <c r="X68" s="1183"/>
      <c r="Y68" s="1183"/>
      <c r="Z68" s="1183"/>
      <c r="AA68" s="1183"/>
      <c r="AB68" s="1183"/>
      <c r="AC68" s="1183"/>
      <c r="AD68" s="1183"/>
    </row>
    <row r="69" spans="1:30">
      <c r="A69" s="1183"/>
      <c r="B69" s="1183"/>
      <c r="C69" s="1183"/>
      <c r="D69" s="1183"/>
      <c r="E69" s="1183"/>
      <c r="F69" s="1183"/>
      <c r="G69" s="1183"/>
      <c r="H69" s="1183"/>
      <c r="I69" s="1183"/>
      <c r="J69" s="1183"/>
      <c r="K69" s="1183"/>
      <c r="L69" s="1183"/>
      <c r="M69" s="1183"/>
      <c r="N69" s="1183"/>
      <c r="O69" s="1183"/>
      <c r="P69" s="1183"/>
      <c r="Q69" s="1183"/>
      <c r="R69" s="1183"/>
      <c r="T69" s="1184"/>
      <c r="U69" s="1183"/>
      <c r="V69" s="1183"/>
      <c r="W69" s="1183"/>
      <c r="X69" s="1183"/>
      <c r="Y69" s="1183"/>
      <c r="Z69" s="1183"/>
      <c r="AA69" s="1183"/>
      <c r="AB69" s="1183"/>
      <c r="AC69" s="1183"/>
      <c r="AD69" s="1183"/>
    </row>
    <row r="70" spans="1:30">
      <c r="A70" s="1183"/>
      <c r="B70" s="1183"/>
      <c r="C70" s="1183"/>
      <c r="D70" s="1183"/>
      <c r="E70" s="1183"/>
      <c r="F70" s="1183"/>
      <c r="G70" s="1183"/>
      <c r="H70" s="1183"/>
      <c r="I70" s="1183"/>
      <c r="J70" s="1183"/>
      <c r="K70" s="1183"/>
      <c r="L70" s="1183"/>
      <c r="M70" s="1183"/>
      <c r="N70" s="1183"/>
      <c r="O70" s="1183"/>
      <c r="P70" s="1183"/>
      <c r="Q70" s="1183"/>
      <c r="R70" s="1183"/>
      <c r="T70" s="1184"/>
      <c r="U70" s="1183"/>
      <c r="V70" s="1183"/>
      <c r="W70" s="1183"/>
      <c r="X70" s="1183"/>
      <c r="Y70" s="1183"/>
      <c r="Z70" s="1183"/>
      <c r="AA70" s="1183"/>
      <c r="AB70" s="1183"/>
      <c r="AC70" s="1183"/>
      <c r="AD70" s="1183"/>
    </row>
    <row r="71" spans="1:30">
      <c r="A71" s="1183"/>
      <c r="B71" s="1183"/>
      <c r="C71" s="1183"/>
      <c r="D71" s="1183"/>
      <c r="E71" s="1183"/>
      <c r="F71" s="1183"/>
      <c r="G71" s="1183"/>
      <c r="H71" s="1183"/>
      <c r="I71" s="1183"/>
      <c r="J71" s="1183"/>
      <c r="K71" s="1183"/>
      <c r="L71" s="1183"/>
      <c r="M71" s="1183"/>
      <c r="N71" s="1183"/>
      <c r="O71" s="1183"/>
      <c r="P71" s="1183"/>
      <c r="Q71" s="1183"/>
      <c r="R71" s="1183"/>
      <c r="T71" s="1184"/>
      <c r="U71" s="1183"/>
      <c r="V71" s="1183"/>
      <c r="W71" s="1183"/>
      <c r="X71" s="1183"/>
      <c r="Y71" s="1183"/>
      <c r="Z71" s="1183"/>
      <c r="AA71" s="1183"/>
      <c r="AB71" s="1183"/>
      <c r="AC71" s="1183"/>
      <c r="AD71" s="1183"/>
    </row>
    <row r="72" spans="1:30">
      <c r="A72" s="1183"/>
      <c r="B72" s="1183"/>
      <c r="C72" s="1183"/>
      <c r="D72" s="1183"/>
      <c r="E72" s="1183"/>
      <c r="F72" s="1183"/>
      <c r="G72" s="1183"/>
      <c r="H72" s="1183"/>
      <c r="I72" s="1183"/>
      <c r="J72" s="1183"/>
      <c r="K72" s="1183"/>
      <c r="L72" s="1183"/>
      <c r="M72" s="1183"/>
      <c r="N72" s="1183"/>
      <c r="O72" s="1183"/>
      <c r="P72" s="1183"/>
      <c r="Q72" s="1183"/>
      <c r="R72" s="1183"/>
      <c r="T72" s="1184"/>
      <c r="U72" s="1183"/>
      <c r="V72" s="1183"/>
      <c r="W72" s="1183"/>
      <c r="X72" s="1183"/>
      <c r="Y72" s="1183"/>
      <c r="Z72" s="1183"/>
      <c r="AA72" s="1183"/>
      <c r="AB72" s="1183"/>
      <c r="AC72" s="1183"/>
      <c r="AD72" s="1183"/>
    </row>
    <row r="73" spans="1:30">
      <c r="A73" s="1183"/>
      <c r="B73" s="1183"/>
      <c r="C73" s="1183"/>
      <c r="D73" s="1183"/>
      <c r="E73" s="1183"/>
      <c r="F73" s="1183"/>
      <c r="G73" s="1183"/>
      <c r="H73" s="1183"/>
      <c r="I73" s="1183"/>
      <c r="J73" s="1183"/>
      <c r="K73" s="1183"/>
      <c r="L73" s="1183"/>
      <c r="M73" s="1183"/>
      <c r="N73" s="1183"/>
      <c r="O73" s="1183"/>
      <c r="P73" s="1183"/>
      <c r="Q73" s="1183"/>
      <c r="R73" s="1183"/>
      <c r="T73" s="1184"/>
      <c r="U73" s="1183"/>
      <c r="V73" s="1183"/>
      <c r="W73" s="1183"/>
      <c r="X73" s="1183"/>
      <c r="Y73" s="1183"/>
      <c r="Z73" s="1183"/>
      <c r="AA73" s="1183"/>
      <c r="AB73" s="1183"/>
      <c r="AC73" s="1183"/>
      <c r="AD73" s="1183"/>
    </row>
    <row r="74" spans="1:30">
      <c r="A74" s="1183"/>
      <c r="B74" s="1183"/>
      <c r="C74" s="1183"/>
      <c r="D74" s="1183"/>
      <c r="E74" s="1183"/>
      <c r="F74" s="1183"/>
      <c r="G74" s="1183"/>
      <c r="H74" s="1183"/>
      <c r="I74" s="1183"/>
      <c r="J74" s="1183"/>
      <c r="K74" s="1183"/>
      <c r="L74" s="1183"/>
      <c r="M74" s="1183"/>
      <c r="N74" s="1183"/>
      <c r="O74" s="1183"/>
      <c r="P74" s="1183"/>
      <c r="Q74" s="1183"/>
      <c r="R74" s="1183"/>
      <c r="T74" s="1184"/>
      <c r="U74" s="1183"/>
      <c r="V74" s="1183"/>
      <c r="W74" s="1183"/>
      <c r="X74" s="1183"/>
      <c r="Y74" s="1183"/>
      <c r="Z74" s="1183"/>
      <c r="AA74" s="1183"/>
      <c r="AB74" s="1183"/>
      <c r="AC74" s="1183"/>
      <c r="AD74" s="1183"/>
    </row>
    <row r="75" spans="1:30">
      <c r="A75" s="1183"/>
      <c r="B75" s="1183"/>
      <c r="C75" s="1183"/>
      <c r="D75" s="1183"/>
      <c r="E75" s="1183"/>
      <c r="F75" s="1183"/>
      <c r="G75" s="1183"/>
      <c r="H75" s="1183"/>
      <c r="I75" s="1183"/>
      <c r="J75" s="1183"/>
      <c r="K75" s="1183"/>
      <c r="L75" s="1183"/>
      <c r="M75" s="1183"/>
      <c r="N75" s="1183"/>
      <c r="O75" s="1183"/>
      <c r="P75" s="1183"/>
      <c r="Q75" s="1183"/>
      <c r="R75" s="1183"/>
      <c r="T75" s="1184"/>
      <c r="U75" s="1183"/>
      <c r="V75" s="1183"/>
      <c r="W75" s="1183"/>
      <c r="X75" s="1183"/>
      <c r="Y75" s="1183"/>
      <c r="Z75" s="1183"/>
      <c r="AA75" s="1183"/>
      <c r="AB75" s="1183"/>
      <c r="AC75" s="1183"/>
      <c r="AD75" s="1183"/>
    </row>
    <row r="76" spans="1:30">
      <c r="A76" s="1183"/>
      <c r="B76" s="1183"/>
      <c r="C76" s="1183"/>
      <c r="D76" s="1183"/>
      <c r="E76" s="1183"/>
      <c r="F76" s="1183"/>
      <c r="G76" s="1183"/>
      <c r="H76" s="1183"/>
      <c r="I76" s="1183"/>
      <c r="J76" s="1183"/>
      <c r="K76" s="1183"/>
      <c r="L76" s="1183"/>
      <c r="M76" s="1183"/>
      <c r="N76" s="1183"/>
      <c r="O76" s="1183"/>
      <c r="P76" s="1183"/>
      <c r="Q76" s="1183"/>
      <c r="R76" s="1183"/>
      <c r="T76" s="1184"/>
      <c r="U76" s="1183"/>
      <c r="V76" s="1183"/>
      <c r="W76" s="1183"/>
      <c r="X76" s="1183"/>
      <c r="Y76" s="1183"/>
      <c r="Z76" s="1183"/>
      <c r="AA76" s="1183"/>
      <c r="AB76" s="1183"/>
      <c r="AC76" s="1183"/>
      <c r="AD76" s="1183"/>
    </row>
    <row r="77" spans="1:30">
      <c r="A77" s="1183"/>
      <c r="B77" s="1183"/>
      <c r="C77" s="1183"/>
      <c r="D77" s="1183"/>
      <c r="E77" s="1183"/>
      <c r="F77" s="1183"/>
      <c r="G77" s="1183"/>
      <c r="H77" s="1183"/>
      <c r="I77" s="1183"/>
      <c r="J77" s="1183"/>
      <c r="K77" s="1183"/>
      <c r="L77" s="1183"/>
      <c r="M77" s="1183"/>
      <c r="N77" s="1183"/>
      <c r="O77" s="1183"/>
      <c r="P77" s="1183"/>
      <c r="Q77" s="1183"/>
      <c r="R77" s="1183"/>
      <c r="T77" s="1184"/>
      <c r="U77" s="1183"/>
      <c r="V77" s="1183"/>
      <c r="W77" s="1183"/>
      <c r="X77" s="1183"/>
      <c r="Y77" s="1183"/>
      <c r="Z77" s="1183"/>
      <c r="AA77" s="1183"/>
      <c r="AB77" s="1183"/>
      <c r="AC77" s="1183"/>
      <c r="AD77" s="1183"/>
    </row>
    <row r="78" spans="1:30">
      <c r="A78" s="1183"/>
      <c r="B78" s="1183"/>
      <c r="C78" s="1183"/>
      <c r="D78" s="1183"/>
      <c r="E78" s="1183"/>
      <c r="F78" s="1183"/>
      <c r="G78" s="1183"/>
      <c r="H78" s="1183"/>
      <c r="I78" s="1183"/>
      <c r="J78" s="1183"/>
      <c r="K78" s="1183"/>
      <c r="L78" s="1183"/>
      <c r="M78" s="1183"/>
      <c r="N78" s="1183"/>
      <c r="O78" s="1183"/>
      <c r="P78" s="1183"/>
      <c r="Q78" s="1183"/>
      <c r="R78" s="1183"/>
      <c r="T78" s="1184"/>
      <c r="U78" s="1183"/>
      <c r="V78" s="1183"/>
      <c r="W78" s="1183"/>
      <c r="X78" s="1183"/>
      <c r="Y78" s="1183"/>
      <c r="Z78" s="1183"/>
      <c r="AA78" s="1183"/>
      <c r="AB78" s="1183"/>
      <c r="AC78" s="1183"/>
      <c r="AD78" s="1183"/>
    </row>
    <row r="79" spans="1:30">
      <c r="A79" s="1183"/>
      <c r="B79" s="1183"/>
      <c r="C79" s="1183"/>
      <c r="D79" s="1183"/>
      <c r="E79" s="1183"/>
      <c r="F79" s="1183"/>
      <c r="G79" s="1183"/>
      <c r="H79" s="1183"/>
      <c r="I79" s="1183"/>
      <c r="J79" s="1183"/>
      <c r="K79" s="1183"/>
      <c r="L79" s="1183"/>
      <c r="M79" s="1183"/>
      <c r="N79" s="1183"/>
      <c r="O79" s="1183"/>
      <c r="P79" s="1183"/>
      <c r="Q79" s="1183"/>
      <c r="R79" s="1183"/>
      <c r="T79" s="1184"/>
      <c r="U79" s="1183"/>
      <c r="V79" s="1183"/>
      <c r="W79" s="1183"/>
      <c r="X79" s="1183"/>
      <c r="Y79" s="1183"/>
      <c r="Z79" s="1183"/>
      <c r="AA79" s="1183"/>
      <c r="AB79" s="1183"/>
      <c r="AC79" s="1183"/>
      <c r="AD79" s="1183"/>
    </row>
  </sheetData>
  <mergeCells count="18">
    <mergeCell ref="A40:D40"/>
    <mergeCell ref="A39:D39"/>
    <mergeCell ref="B47:R47"/>
    <mergeCell ref="H4:L4"/>
    <mergeCell ref="G4:G5"/>
    <mergeCell ref="A4:A5"/>
    <mergeCell ref="B4:B5"/>
    <mergeCell ref="C4:C5"/>
    <mergeCell ref="D4:D5"/>
    <mergeCell ref="E4:E5"/>
    <mergeCell ref="A1:Q1"/>
    <mergeCell ref="M3:O3"/>
    <mergeCell ref="P4:P5"/>
    <mergeCell ref="Q4:Q5"/>
    <mergeCell ref="R4:R5"/>
    <mergeCell ref="N4:O4"/>
    <mergeCell ref="F4:F5"/>
    <mergeCell ref="M4:M5"/>
  </mergeCells>
  <phoneticPr fontId="18" type="noConversion"/>
  <dataValidations disablePrompts="1" count="1">
    <dataValidation type="date" operator="greaterThan" allowBlank="1" showInputMessage="1" showErrorMessage="1" prompt="Введите дату в формате ЧЧ.ММ.ГГГГ" sqref="W50:X79" xr:uid="{00000000-0002-0000-0E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4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2">
    <pageSetUpPr fitToPage="1"/>
  </sheetPr>
  <dimension ref="A1:AD107"/>
  <sheetViews>
    <sheetView view="pageBreakPreview" zoomScale="70" zoomScaleNormal="85" zoomScaleSheetLayoutView="70" workbookViewId="0">
      <pane xSplit="2" ySplit="6" topLeftCell="C7" activePane="bottomRight" state="frozen"/>
      <selection activeCell="B32" sqref="B32"/>
      <selection pane="topRight" activeCell="B32" sqref="B32"/>
      <selection pane="bottomLeft" activeCell="B32" sqref="B32"/>
      <selection pane="bottomRight" activeCell="I7" sqref="I7"/>
    </sheetView>
  </sheetViews>
  <sheetFormatPr defaultRowHeight="12.75"/>
  <cols>
    <col min="1" max="1" width="5.140625" style="221" customWidth="1"/>
    <col min="2" max="2" width="32.7109375" style="221" customWidth="1"/>
    <col min="3" max="3" width="14.140625" style="221" customWidth="1"/>
    <col min="4" max="6" width="10.140625" style="221" customWidth="1"/>
    <col min="7" max="7" width="17.28515625" style="221" customWidth="1"/>
    <col min="8" max="12" width="13.85546875" style="221" customWidth="1"/>
    <col min="13" max="13" width="12.140625" style="221" customWidth="1"/>
    <col min="14" max="14" width="8.42578125" style="221" customWidth="1"/>
    <col min="15" max="15" width="17" style="221" customWidth="1"/>
    <col min="16" max="16" width="10.140625" style="221" customWidth="1"/>
    <col min="17" max="17" width="14.42578125" style="221" customWidth="1"/>
    <col min="18" max="18" width="21.42578125" style="221" customWidth="1"/>
    <col min="19" max="19" width="9.140625" style="221"/>
    <col min="20" max="20" width="9.140625" style="416"/>
    <col min="21" max="21" width="8.28515625" style="221" customWidth="1"/>
    <col min="22" max="22" width="7.42578125" style="221" customWidth="1"/>
    <col min="23" max="23" width="6.85546875" style="221" customWidth="1"/>
    <col min="24" max="16384" width="9.140625" style="221"/>
  </cols>
  <sheetData>
    <row r="1" spans="1:21" ht="20.25">
      <c r="A1" s="1287" t="s">
        <v>1219</v>
      </c>
      <c r="B1" s="1287"/>
      <c r="C1" s="1287"/>
      <c r="D1" s="1287"/>
      <c r="E1" s="1287"/>
      <c r="F1" s="1287"/>
      <c r="G1" s="1287"/>
      <c r="H1" s="1287"/>
      <c r="I1" s="1287"/>
      <c r="J1" s="1287"/>
      <c r="K1" s="1287"/>
      <c r="L1" s="1287"/>
      <c r="M1" s="1287"/>
      <c r="N1" s="1287"/>
      <c r="O1" s="1287"/>
      <c r="P1" s="1287"/>
      <c r="Q1" s="1287"/>
      <c r="R1" s="143" t="s">
        <v>996</v>
      </c>
    </row>
    <row r="2" spans="1:21">
      <c r="A2" s="427"/>
      <c r="B2" s="927"/>
      <c r="C2" s="927"/>
      <c r="D2" s="927"/>
      <c r="E2" s="927"/>
      <c r="F2" s="927"/>
      <c r="G2" s="927"/>
      <c r="H2" s="927"/>
      <c r="I2" s="927"/>
      <c r="J2" s="927"/>
      <c r="K2" s="927"/>
      <c r="L2" s="927"/>
      <c r="M2" s="927"/>
      <c r="N2" s="927"/>
      <c r="P2" s="927"/>
      <c r="Q2" s="927"/>
      <c r="R2" s="927"/>
    </row>
    <row r="3" spans="1:21" ht="15.75">
      <c r="A3" s="144"/>
      <c r="B3" s="928" t="str">
        <f>Balance!B3</f>
        <v>АКБ "Микрокредитбанк"</v>
      </c>
      <c r="D3" s="144"/>
      <c r="E3" s="144"/>
      <c r="F3" s="144"/>
      <c r="G3" s="144"/>
      <c r="H3" s="144"/>
      <c r="I3" s="144"/>
      <c r="J3" s="144"/>
      <c r="K3" s="144"/>
      <c r="L3" s="144"/>
      <c r="M3" s="1288">
        <f>+Balance!C3</f>
        <v>43829</v>
      </c>
      <c r="N3" s="1288">
        <f>+Balance!C3</f>
        <v>43829</v>
      </c>
      <c r="O3" s="1288"/>
      <c r="P3" s="144"/>
      <c r="Q3" s="144"/>
      <c r="R3" s="144" t="str">
        <f>+Balance!E3</f>
        <v>тыс. сум</v>
      </c>
      <c r="T3" s="221"/>
      <c r="U3" s="416"/>
    </row>
    <row r="4" spans="1:21" ht="24" customHeight="1">
      <c r="A4" s="1284" t="s">
        <v>161</v>
      </c>
      <c r="B4" s="1284" t="s">
        <v>322</v>
      </c>
      <c r="C4" s="1276" t="s">
        <v>857</v>
      </c>
      <c r="D4" s="1276" t="s">
        <v>858</v>
      </c>
      <c r="E4" s="1276" t="s">
        <v>859</v>
      </c>
      <c r="F4" s="1276" t="s">
        <v>323</v>
      </c>
      <c r="G4" s="1276" t="s">
        <v>1107</v>
      </c>
      <c r="H4" s="1278" t="s">
        <v>217</v>
      </c>
      <c r="I4" s="1283"/>
      <c r="J4" s="1283"/>
      <c r="K4" s="1283"/>
      <c r="L4" s="1279"/>
      <c r="M4" s="1276" t="s">
        <v>324</v>
      </c>
      <c r="N4" s="1278" t="s">
        <v>989</v>
      </c>
      <c r="O4" s="1279"/>
      <c r="P4" s="1276" t="s">
        <v>325</v>
      </c>
      <c r="Q4" s="1276" t="s">
        <v>864</v>
      </c>
      <c r="R4" s="1276" t="s">
        <v>326</v>
      </c>
    </row>
    <row r="5" spans="1:21" ht="96" customHeight="1">
      <c r="A5" s="1285"/>
      <c r="B5" s="1285"/>
      <c r="C5" s="1277"/>
      <c r="D5" s="1277"/>
      <c r="E5" s="1277"/>
      <c r="F5" s="1277"/>
      <c r="G5" s="1277"/>
      <c r="H5" s="919" t="s">
        <v>860</v>
      </c>
      <c r="I5" s="919" t="s">
        <v>861</v>
      </c>
      <c r="J5" s="919" t="s">
        <v>194</v>
      </c>
      <c r="K5" s="919" t="s">
        <v>862</v>
      </c>
      <c r="L5" s="919" t="s">
        <v>1069</v>
      </c>
      <c r="M5" s="1277"/>
      <c r="N5" s="921" t="s">
        <v>990</v>
      </c>
      <c r="O5" s="921" t="s">
        <v>863</v>
      </c>
      <c r="P5" s="1277"/>
      <c r="Q5" s="1277"/>
      <c r="R5" s="1277"/>
    </row>
    <row r="6" spans="1:21" ht="19.5" customHeight="1">
      <c r="A6" s="920"/>
      <c r="B6" s="920" t="s">
        <v>309</v>
      </c>
      <c r="C6" s="920" t="s">
        <v>310</v>
      </c>
      <c r="D6" s="920" t="s">
        <v>327</v>
      </c>
      <c r="E6" s="920" t="s">
        <v>311</v>
      </c>
      <c r="F6" s="920" t="s">
        <v>312</v>
      </c>
      <c r="G6" s="582" t="s">
        <v>328</v>
      </c>
      <c r="H6" s="920" t="s">
        <v>991</v>
      </c>
      <c r="I6" s="920" t="s">
        <v>992</v>
      </c>
      <c r="J6" s="920" t="s">
        <v>993</v>
      </c>
      <c r="K6" s="920" t="s">
        <v>994</v>
      </c>
      <c r="L6" s="920" t="s">
        <v>995</v>
      </c>
      <c r="M6" s="920" t="s">
        <v>313</v>
      </c>
      <c r="N6" s="920" t="s">
        <v>314</v>
      </c>
      <c r="O6" s="920" t="s">
        <v>315</v>
      </c>
      <c r="P6" s="920" t="s">
        <v>316</v>
      </c>
      <c r="Q6" s="920" t="s">
        <v>317</v>
      </c>
      <c r="R6" s="920" t="s">
        <v>318</v>
      </c>
    </row>
    <row r="7" spans="1:21" s="395" customFormat="1">
      <c r="A7" s="546">
        <v>1</v>
      </c>
      <c r="B7" s="146" t="s">
        <v>1377</v>
      </c>
      <c r="C7" s="148">
        <v>306892604</v>
      </c>
      <c r="D7" s="148" t="s">
        <v>1378</v>
      </c>
      <c r="E7" s="148">
        <v>840</v>
      </c>
      <c r="F7" s="148">
        <v>1</v>
      </c>
      <c r="G7" s="194">
        <f t="shared" ref="G7:G66" si="0">SUM(H7:L7)</f>
        <v>280732915</v>
      </c>
      <c r="H7" s="147">
        <v>280732915</v>
      </c>
      <c r="I7" s="147"/>
      <c r="J7" s="147"/>
      <c r="K7" s="147"/>
      <c r="L7" s="147"/>
      <c r="M7" s="147"/>
      <c r="N7" s="147"/>
      <c r="O7" s="147"/>
      <c r="P7" s="148">
        <v>1</v>
      </c>
      <c r="Q7" s="148">
        <v>0</v>
      </c>
      <c r="R7" s="148" t="s">
        <v>1310</v>
      </c>
      <c r="T7" s="417">
        <v>0</v>
      </c>
    </row>
    <row r="8" spans="1:21" s="395" customFormat="1">
      <c r="A8" s="546">
        <v>2</v>
      </c>
      <c r="B8" s="147" t="s">
        <v>1376</v>
      </c>
      <c r="C8" s="148">
        <v>305922787</v>
      </c>
      <c r="D8" s="148" t="s">
        <v>1378</v>
      </c>
      <c r="E8" s="148">
        <v>840</v>
      </c>
      <c r="F8" s="148">
        <v>2</v>
      </c>
      <c r="G8" s="194">
        <f t="shared" si="0"/>
        <v>400825035</v>
      </c>
      <c r="H8" s="147">
        <v>400825035</v>
      </c>
      <c r="I8" s="147"/>
      <c r="J8" s="147"/>
      <c r="K8" s="147"/>
      <c r="L8" s="147"/>
      <c r="M8" s="147"/>
      <c r="N8" s="147"/>
      <c r="O8" s="147"/>
      <c r="P8" s="148">
        <v>1</v>
      </c>
      <c r="Q8" s="148">
        <v>0</v>
      </c>
      <c r="R8" s="148" t="s">
        <v>1310</v>
      </c>
      <c r="T8" s="417"/>
    </row>
    <row r="9" spans="1:21" s="395" customFormat="1">
      <c r="A9" s="546">
        <v>3</v>
      </c>
      <c r="B9" s="147"/>
      <c r="C9" s="148"/>
      <c r="D9" s="148"/>
      <c r="E9" s="148"/>
      <c r="F9" s="148"/>
      <c r="G9" s="194">
        <f t="shared" si="0"/>
        <v>0</v>
      </c>
      <c r="H9" s="147"/>
      <c r="I9" s="147"/>
      <c r="J9" s="147"/>
      <c r="K9" s="147"/>
      <c r="L9" s="147"/>
      <c r="M9" s="147"/>
      <c r="N9" s="147"/>
      <c r="O9" s="147"/>
      <c r="P9" s="148"/>
      <c r="Q9" s="148"/>
      <c r="R9" s="148"/>
      <c r="T9" s="417"/>
    </row>
    <row r="10" spans="1:21" s="395" customFormat="1">
      <c r="A10" s="546">
        <v>4</v>
      </c>
      <c r="B10" s="147"/>
      <c r="C10" s="148"/>
      <c r="D10" s="148"/>
      <c r="E10" s="148"/>
      <c r="F10" s="148"/>
      <c r="G10" s="194">
        <f t="shared" si="0"/>
        <v>0</v>
      </c>
      <c r="H10" s="584"/>
      <c r="I10" s="147"/>
      <c r="J10" s="147"/>
      <c r="K10" s="147"/>
      <c r="L10" s="147"/>
      <c r="M10" s="147"/>
      <c r="N10" s="147"/>
      <c r="O10" s="147"/>
      <c r="P10" s="148"/>
      <c r="Q10" s="148"/>
      <c r="R10" s="148"/>
      <c r="T10" s="418"/>
    </row>
    <row r="11" spans="1:21" s="395" customFormat="1">
      <c r="A11" s="546">
        <v>5</v>
      </c>
      <c r="B11" s="147"/>
      <c r="C11" s="148"/>
      <c r="D11" s="148"/>
      <c r="E11" s="148"/>
      <c r="F11" s="148"/>
      <c r="G11" s="194">
        <f t="shared" si="0"/>
        <v>0</v>
      </c>
      <c r="H11" s="147"/>
      <c r="I11" s="147"/>
      <c r="J11" s="147"/>
      <c r="K11" s="147"/>
      <c r="L11" s="147"/>
      <c r="M11" s="147"/>
      <c r="N11" s="147"/>
      <c r="O11" s="147"/>
      <c r="P11" s="148"/>
      <c r="Q11" s="148"/>
      <c r="R11" s="148"/>
      <c r="T11" s="418"/>
    </row>
    <row r="12" spans="1:21" s="395" customFormat="1">
      <c r="A12" s="546">
        <v>6</v>
      </c>
      <c r="B12" s="147"/>
      <c r="C12" s="148"/>
      <c r="D12" s="148"/>
      <c r="E12" s="148"/>
      <c r="F12" s="148"/>
      <c r="G12" s="194">
        <f t="shared" si="0"/>
        <v>0</v>
      </c>
      <c r="H12" s="147"/>
      <c r="I12" s="147"/>
      <c r="J12" s="147"/>
      <c r="K12" s="147"/>
      <c r="L12" s="147"/>
      <c r="M12" s="147"/>
      <c r="N12" s="147"/>
      <c r="O12" s="147"/>
      <c r="P12" s="148"/>
      <c r="Q12" s="148"/>
      <c r="R12" s="148"/>
      <c r="T12" s="418"/>
    </row>
    <row r="13" spans="1:21" s="395" customFormat="1" ht="14.25" customHeight="1">
      <c r="A13" s="546">
        <v>7</v>
      </c>
      <c r="B13" s="147"/>
      <c r="C13" s="148"/>
      <c r="D13" s="148"/>
      <c r="E13" s="148"/>
      <c r="F13" s="148"/>
      <c r="G13" s="194">
        <f t="shared" si="0"/>
        <v>0</v>
      </c>
      <c r="H13" s="147"/>
      <c r="I13" s="147"/>
      <c r="J13" s="147"/>
      <c r="K13" s="147"/>
      <c r="L13" s="147"/>
      <c r="M13" s="147"/>
      <c r="N13" s="147"/>
      <c r="O13" s="147"/>
      <c r="P13" s="148"/>
      <c r="Q13" s="148"/>
      <c r="R13" s="148"/>
      <c r="T13" s="418"/>
    </row>
    <row r="14" spans="1:21" s="395" customFormat="1" ht="14.25" customHeight="1">
      <c r="A14" s="546">
        <v>8</v>
      </c>
      <c r="B14" s="147"/>
      <c r="C14" s="148"/>
      <c r="D14" s="148"/>
      <c r="E14" s="148"/>
      <c r="F14" s="148"/>
      <c r="G14" s="194">
        <f t="shared" si="0"/>
        <v>0</v>
      </c>
      <c r="H14" s="147"/>
      <c r="I14" s="147"/>
      <c r="J14" s="147"/>
      <c r="K14" s="147"/>
      <c r="L14" s="147"/>
      <c r="M14" s="147"/>
      <c r="N14" s="147"/>
      <c r="O14" s="147"/>
      <c r="P14" s="148"/>
      <c r="Q14" s="148"/>
      <c r="R14" s="148"/>
      <c r="T14" s="418"/>
    </row>
    <row r="15" spans="1:21" s="395" customFormat="1">
      <c r="A15" s="546">
        <v>9</v>
      </c>
      <c r="B15" s="147"/>
      <c r="C15" s="148"/>
      <c r="D15" s="148"/>
      <c r="E15" s="148"/>
      <c r="F15" s="148"/>
      <c r="G15" s="194">
        <f t="shared" si="0"/>
        <v>0</v>
      </c>
      <c r="H15" s="147"/>
      <c r="I15" s="147"/>
      <c r="J15" s="147"/>
      <c r="K15" s="147"/>
      <c r="L15" s="147"/>
      <c r="M15" s="147"/>
      <c r="N15" s="147"/>
      <c r="O15" s="147"/>
      <c r="P15" s="148"/>
      <c r="Q15" s="148"/>
      <c r="R15" s="148"/>
      <c r="T15" s="418"/>
    </row>
    <row r="16" spans="1:21" s="395" customFormat="1">
      <c r="A16" s="546">
        <v>10</v>
      </c>
      <c r="B16" s="147"/>
      <c r="C16" s="148"/>
      <c r="D16" s="148"/>
      <c r="E16" s="148"/>
      <c r="F16" s="148"/>
      <c r="G16" s="194">
        <f t="shared" si="0"/>
        <v>0</v>
      </c>
      <c r="H16" s="147"/>
      <c r="I16" s="147"/>
      <c r="J16" s="147"/>
      <c r="K16" s="147"/>
      <c r="L16" s="147"/>
      <c r="M16" s="147"/>
      <c r="N16" s="147"/>
      <c r="O16" s="147"/>
      <c r="P16" s="148"/>
      <c r="Q16" s="148"/>
      <c r="R16" s="148"/>
      <c r="T16" s="418"/>
    </row>
    <row r="17" spans="1:20" s="395" customFormat="1">
      <c r="A17" s="546">
        <v>11</v>
      </c>
      <c r="B17" s="147"/>
      <c r="C17" s="148"/>
      <c r="D17" s="148"/>
      <c r="E17" s="148"/>
      <c r="F17" s="148"/>
      <c r="G17" s="194">
        <f t="shared" si="0"/>
        <v>0</v>
      </c>
      <c r="H17" s="147"/>
      <c r="I17" s="147"/>
      <c r="J17" s="147"/>
      <c r="K17" s="147"/>
      <c r="L17" s="147"/>
      <c r="M17" s="147"/>
      <c r="N17" s="147"/>
      <c r="O17" s="147"/>
      <c r="P17" s="148"/>
      <c r="Q17" s="148"/>
      <c r="R17" s="148"/>
      <c r="T17" s="418"/>
    </row>
    <row r="18" spans="1:20" s="395" customFormat="1">
      <c r="A18" s="546">
        <v>12</v>
      </c>
      <c r="B18" s="147"/>
      <c r="C18" s="148"/>
      <c r="D18" s="148"/>
      <c r="E18" s="148"/>
      <c r="F18" s="148"/>
      <c r="G18" s="194">
        <f t="shared" si="0"/>
        <v>0</v>
      </c>
      <c r="H18" s="147"/>
      <c r="I18" s="147"/>
      <c r="J18" s="147"/>
      <c r="K18" s="147"/>
      <c r="L18" s="147"/>
      <c r="M18" s="147"/>
      <c r="N18" s="147"/>
      <c r="O18" s="147"/>
      <c r="P18" s="148"/>
      <c r="Q18" s="148"/>
      <c r="R18" s="148"/>
      <c r="T18" s="418"/>
    </row>
    <row r="19" spans="1:20" s="395" customFormat="1">
      <c r="A19" s="546">
        <v>13</v>
      </c>
      <c r="B19" s="149"/>
      <c r="C19" s="148"/>
      <c r="D19" s="148"/>
      <c r="E19" s="148"/>
      <c r="F19" s="148"/>
      <c r="G19" s="194">
        <f t="shared" si="0"/>
        <v>0</v>
      </c>
      <c r="H19" s="147"/>
      <c r="I19" s="147"/>
      <c r="J19" s="147"/>
      <c r="K19" s="147"/>
      <c r="L19" s="147"/>
      <c r="M19" s="147"/>
      <c r="N19" s="147"/>
      <c r="O19" s="147"/>
      <c r="P19" s="148"/>
      <c r="Q19" s="148"/>
      <c r="R19" s="148"/>
      <c r="T19" s="418"/>
    </row>
    <row r="20" spans="1:20" s="395" customFormat="1">
      <c r="A20" s="546">
        <v>14</v>
      </c>
      <c r="B20" s="147"/>
      <c r="C20" s="148"/>
      <c r="D20" s="148"/>
      <c r="E20" s="148"/>
      <c r="F20" s="148"/>
      <c r="G20" s="194">
        <f t="shared" si="0"/>
        <v>0</v>
      </c>
      <c r="H20" s="147"/>
      <c r="I20" s="147"/>
      <c r="J20" s="147"/>
      <c r="K20" s="147"/>
      <c r="L20" s="147"/>
      <c r="M20" s="147"/>
      <c r="N20" s="147"/>
      <c r="O20" s="147"/>
      <c r="P20" s="148"/>
      <c r="Q20" s="148"/>
      <c r="R20" s="148"/>
      <c r="T20" s="418"/>
    </row>
    <row r="21" spans="1:20" s="395" customFormat="1">
      <c r="A21" s="546">
        <v>15</v>
      </c>
      <c r="B21" s="147"/>
      <c r="C21" s="148"/>
      <c r="D21" s="148"/>
      <c r="E21" s="148"/>
      <c r="F21" s="148"/>
      <c r="G21" s="194">
        <f t="shared" si="0"/>
        <v>0</v>
      </c>
      <c r="H21" s="147"/>
      <c r="I21" s="147"/>
      <c r="J21" s="147"/>
      <c r="K21" s="147"/>
      <c r="L21" s="147"/>
      <c r="M21" s="147"/>
      <c r="N21" s="147"/>
      <c r="O21" s="147"/>
      <c r="P21" s="148"/>
      <c r="Q21" s="148"/>
      <c r="R21" s="148"/>
      <c r="T21" s="418"/>
    </row>
    <row r="22" spans="1:20" s="395" customFormat="1">
      <c r="A22" s="546">
        <v>16</v>
      </c>
      <c r="B22" s="147"/>
      <c r="C22" s="148"/>
      <c r="D22" s="148"/>
      <c r="E22" s="148"/>
      <c r="F22" s="148"/>
      <c r="G22" s="194">
        <f t="shared" si="0"/>
        <v>0</v>
      </c>
      <c r="H22" s="147"/>
      <c r="I22" s="147"/>
      <c r="J22" s="147"/>
      <c r="K22" s="147"/>
      <c r="L22" s="147"/>
      <c r="M22" s="147"/>
      <c r="N22" s="147"/>
      <c r="O22" s="147"/>
      <c r="P22" s="148"/>
      <c r="Q22" s="148"/>
      <c r="R22" s="148"/>
      <c r="T22" s="418"/>
    </row>
    <row r="23" spans="1:20" s="395" customFormat="1">
      <c r="A23" s="546">
        <v>17</v>
      </c>
      <c r="B23" s="147"/>
      <c r="C23" s="148"/>
      <c r="D23" s="148"/>
      <c r="E23" s="148"/>
      <c r="F23" s="148"/>
      <c r="G23" s="194">
        <f t="shared" si="0"/>
        <v>0</v>
      </c>
      <c r="H23" s="147"/>
      <c r="I23" s="147"/>
      <c r="J23" s="147"/>
      <c r="K23" s="147"/>
      <c r="L23" s="147"/>
      <c r="M23" s="147"/>
      <c r="N23" s="147"/>
      <c r="O23" s="147"/>
      <c r="P23" s="148"/>
      <c r="Q23" s="148"/>
      <c r="R23" s="148"/>
      <c r="T23" s="418"/>
    </row>
    <row r="24" spans="1:20" s="395" customFormat="1">
      <c r="A24" s="546">
        <v>18</v>
      </c>
      <c r="B24" s="147"/>
      <c r="C24" s="148"/>
      <c r="D24" s="148"/>
      <c r="E24" s="148"/>
      <c r="F24" s="148"/>
      <c r="G24" s="194">
        <f t="shared" si="0"/>
        <v>0</v>
      </c>
      <c r="H24" s="147"/>
      <c r="I24" s="147"/>
      <c r="J24" s="147"/>
      <c r="K24" s="147"/>
      <c r="L24" s="147"/>
      <c r="M24" s="147"/>
      <c r="N24" s="147"/>
      <c r="O24" s="147"/>
      <c r="P24" s="148"/>
      <c r="Q24" s="148"/>
      <c r="R24" s="148"/>
      <c r="T24" s="418"/>
    </row>
    <row r="25" spans="1:20" s="395" customFormat="1">
      <c r="A25" s="546">
        <v>19</v>
      </c>
      <c r="B25" s="147"/>
      <c r="C25" s="148"/>
      <c r="D25" s="148"/>
      <c r="E25" s="148"/>
      <c r="F25" s="148"/>
      <c r="G25" s="194">
        <f t="shared" si="0"/>
        <v>0</v>
      </c>
      <c r="H25" s="147"/>
      <c r="I25" s="147"/>
      <c r="J25" s="147"/>
      <c r="K25" s="147"/>
      <c r="L25" s="147"/>
      <c r="M25" s="147"/>
      <c r="N25" s="147"/>
      <c r="O25" s="147"/>
      <c r="P25" s="148"/>
      <c r="Q25" s="148"/>
      <c r="R25" s="148"/>
      <c r="T25" s="418"/>
    </row>
    <row r="26" spans="1:20" s="395" customFormat="1">
      <c r="A26" s="546">
        <v>20</v>
      </c>
      <c r="B26" s="150"/>
      <c r="C26" s="148"/>
      <c r="D26" s="148"/>
      <c r="E26" s="148"/>
      <c r="F26" s="148"/>
      <c r="G26" s="194">
        <f t="shared" si="0"/>
        <v>0</v>
      </c>
      <c r="H26" s="147"/>
      <c r="I26" s="147"/>
      <c r="J26" s="147"/>
      <c r="K26" s="147"/>
      <c r="L26" s="147"/>
      <c r="M26" s="150"/>
      <c r="N26" s="150"/>
      <c r="O26" s="147"/>
      <c r="P26" s="148"/>
      <c r="Q26" s="148"/>
      <c r="R26" s="148"/>
      <c r="T26" s="418"/>
    </row>
    <row r="27" spans="1:20" s="395" customFormat="1">
      <c r="A27" s="546">
        <v>21</v>
      </c>
      <c r="B27" s="88"/>
      <c r="C27" s="151"/>
      <c r="D27" s="151"/>
      <c r="E27" s="151"/>
      <c r="F27" s="151"/>
      <c r="G27" s="194">
        <f t="shared" si="0"/>
        <v>0</v>
      </c>
      <c r="H27" s="151"/>
      <c r="I27" s="151"/>
      <c r="J27" s="151"/>
      <c r="K27" s="151"/>
      <c r="L27" s="151"/>
      <c r="M27" s="88"/>
      <c r="N27" s="88"/>
      <c r="O27" s="88"/>
      <c r="P27" s="88"/>
      <c r="Q27" s="151"/>
      <c r="R27" s="151"/>
      <c r="T27" s="418"/>
    </row>
    <row r="28" spans="1:20" s="395" customFormat="1">
      <c r="A28" s="546">
        <v>22</v>
      </c>
      <c r="B28" s="88"/>
      <c r="C28" s="151"/>
      <c r="D28" s="151"/>
      <c r="E28" s="151"/>
      <c r="F28" s="151"/>
      <c r="G28" s="194">
        <f t="shared" si="0"/>
        <v>0</v>
      </c>
      <c r="H28" s="151"/>
      <c r="I28" s="151"/>
      <c r="J28" s="151"/>
      <c r="K28" s="151"/>
      <c r="L28" s="151"/>
      <c r="M28" s="88"/>
      <c r="N28" s="88"/>
      <c r="O28" s="88"/>
      <c r="P28" s="88"/>
      <c r="Q28" s="151"/>
      <c r="R28" s="151"/>
      <c r="T28" s="418"/>
    </row>
    <row r="29" spans="1:20" s="395" customFormat="1">
      <c r="A29" s="546">
        <v>23</v>
      </c>
      <c r="B29" s="88"/>
      <c r="C29" s="151"/>
      <c r="D29" s="151"/>
      <c r="E29" s="151"/>
      <c r="F29" s="151"/>
      <c r="G29" s="194">
        <f t="shared" si="0"/>
        <v>0</v>
      </c>
      <c r="H29" s="151"/>
      <c r="I29" s="151"/>
      <c r="J29" s="151"/>
      <c r="K29" s="151"/>
      <c r="L29" s="151"/>
      <c r="M29" s="88"/>
      <c r="N29" s="88"/>
      <c r="O29" s="88"/>
      <c r="P29" s="88"/>
      <c r="Q29" s="151"/>
      <c r="R29" s="151"/>
      <c r="T29" s="418"/>
    </row>
    <row r="30" spans="1:20" s="395" customFormat="1">
      <c r="A30" s="546">
        <v>24</v>
      </c>
      <c r="B30" s="151"/>
      <c r="C30" s="151"/>
      <c r="D30" s="151"/>
      <c r="E30" s="151"/>
      <c r="F30" s="151"/>
      <c r="G30" s="194">
        <f t="shared" si="0"/>
        <v>0</v>
      </c>
      <c r="H30" s="151"/>
      <c r="I30" s="151"/>
      <c r="J30" s="151"/>
      <c r="K30" s="151"/>
      <c r="L30" s="151"/>
      <c r="M30" s="88"/>
      <c r="N30" s="88"/>
      <c r="O30" s="88"/>
      <c r="P30" s="88"/>
      <c r="Q30" s="151"/>
      <c r="R30" s="151"/>
      <c r="T30" s="418"/>
    </row>
    <row r="31" spans="1:20" s="395" customFormat="1">
      <c r="A31" s="546">
        <v>25</v>
      </c>
      <c r="B31" s="151"/>
      <c r="C31" s="151"/>
      <c r="D31" s="151"/>
      <c r="E31" s="151"/>
      <c r="F31" s="151"/>
      <c r="G31" s="194">
        <f t="shared" si="0"/>
        <v>0</v>
      </c>
      <c r="H31" s="151"/>
      <c r="I31" s="151"/>
      <c r="J31" s="151"/>
      <c r="K31" s="151"/>
      <c r="L31" s="151"/>
      <c r="M31" s="88"/>
      <c r="N31" s="88"/>
      <c r="O31" s="88"/>
      <c r="P31" s="88"/>
      <c r="Q31" s="151"/>
      <c r="R31" s="151"/>
      <c r="T31" s="418"/>
    </row>
    <row r="32" spans="1:20" s="395" customFormat="1">
      <c r="A32" s="546">
        <v>26</v>
      </c>
      <c r="B32" s="151"/>
      <c r="C32" s="151"/>
      <c r="D32" s="151"/>
      <c r="E32" s="151"/>
      <c r="F32" s="151"/>
      <c r="G32" s="194">
        <f t="shared" si="0"/>
        <v>0</v>
      </c>
      <c r="H32" s="151"/>
      <c r="I32" s="151"/>
      <c r="J32" s="151"/>
      <c r="K32" s="151"/>
      <c r="L32" s="151"/>
      <c r="M32" s="88"/>
      <c r="N32" s="88"/>
      <c r="O32" s="88"/>
      <c r="P32" s="88"/>
      <c r="Q32" s="151"/>
      <c r="R32" s="151"/>
      <c r="T32" s="418"/>
    </row>
    <row r="33" spans="1:20" s="395" customFormat="1">
      <c r="A33" s="546">
        <v>27</v>
      </c>
      <c r="B33" s="151"/>
      <c r="C33" s="151"/>
      <c r="D33" s="151"/>
      <c r="E33" s="151"/>
      <c r="F33" s="151"/>
      <c r="G33" s="194">
        <f t="shared" si="0"/>
        <v>0</v>
      </c>
      <c r="H33" s="151"/>
      <c r="I33" s="151"/>
      <c r="J33" s="151"/>
      <c r="K33" s="151"/>
      <c r="L33" s="151"/>
      <c r="M33" s="88"/>
      <c r="N33" s="88"/>
      <c r="O33" s="88"/>
      <c r="P33" s="88"/>
      <c r="Q33" s="151"/>
      <c r="R33" s="151"/>
      <c r="T33" s="418"/>
    </row>
    <row r="34" spans="1:20" s="395" customFormat="1">
      <c r="A34" s="546">
        <v>28</v>
      </c>
      <c r="B34" s="151"/>
      <c r="C34" s="151"/>
      <c r="D34" s="151"/>
      <c r="E34" s="151"/>
      <c r="F34" s="151"/>
      <c r="G34" s="194">
        <f t="shared" si="0"/>
        <v>0</v>
      </c>
      <c r="H34" s="151"/>
      <c r="I34" s="151"/>
      <c r="J34" s="151"/>
      <c r="K34" s="151"/>
      <c r="L34" s="151"/>
      <c r="M34" s="88"/>
      <c r="N34" s="88"/>
      <c r="O34" s="88"/>
      <c r="P34" s="88"/>
      <c r="Q34" s="151"/>
      <c r="R34" s="151"/>
      <c r="T34" s="418"/>
    </row>
    <row r="35" spans="1:20" s="395" customFormat="1">
      <c r="A35" s="546">
        <v>29</v>
      </c>
      <c r="B35" s="151"/>
      <c r="C35" s="151"/>
      <c r="D35" s="151"/>
      <c r="E35" s="151"/>
      <c r="F35" s="151"/>
      <c r="G35" s="194">
        <f t="shared" si="0"/>
        <v>0</v>
      </c>
      <c r="H35" s="151"/>
      <c r="I35" s="151"/>
      <c r="J35" s="151"/>
      <c r="K35" s="151"/>
      <c r="L35" s="151"/>
      <c r="M35" s="88"/>
      <c r="N35" s="88"/>
      <c r="O35" s="88"/>
      <c r="P35" s="88"/>
      <c r="Q35" s="151"/>
      <c r="R35" s="151"/>
      <c r="T35" s="418"/>
    </row>
    <row r="36" spans="1:20" s="395" customFormat="1">
      <c r="A36" s="546">
        <v>30</v>
      </c>
      <c r="B36" s="151"/>
      <c r="C36" s="151"/>
      <c r="D36" s="151"/>
      <c r="E36" s="151"/>
      <c r="F36" s="151"/>
      <c r="G36" s="194">
        <f t="shared" si="0"/>
        <v>0</v>
      </c>
      <c r="H36" s="151"/>
      <c r="I36" s="151"/>
      <c r="J36" s="151"/>
      <c r="K36" s="151"/>
      <c r="L36" s="151"/>
      <c r="M36" s="88"/>
      <c r="N36" s="88"/>
      <c r="O36" s="88"/>
      <c r="P36" s="88"/>
      <c r="Q36" s="151"/>
      <c r="R36" s="151"/>
      <c r="T36" s="418"/>
    </row>
    <row r="37" spans="1:20" s="395" customFormat="1">
      <c r="A37" s="546">
        <v>31</v>
      </c>
      <c r="B37" s="151"/>
      <c r="C37" s="151"/>
      <c r="D37" s="151"/>
      <c r="E37" s="151"/>
      <c r="F37" s="151"/>
      <c r="G37" s="194">
        <f t="shared" si="0"/>
        <v>0</v>
      </c>
      <c r="H37" s="151"/>
      <c r="I37" s="151"/>
      <c r="J37" s="151"/>
      <c r="K37" s="151"/>
      <c r="L37" s="151"/>
      <c r="M37" s="88"/>
      <c r="N37" s="88"/>
      <c r="O37" s="88"/>
      <c r="P37" s="88"/>
      <c r="Q37" s="151"/>
      <c r="R37" s="151"/>
      <c r="T37" s="418"/>
    </row>
    <row r="38" spans="1:20" s="395" customFormat="1">
      <c r="A38" s="546">
        <v>32</v>
      </c>
      <c r="B38" s="151"/>
      <c r="C38" s="151"/>
      <c r="D38" s="151"/>
      <c r="E38" s="151"/>
      <c r="F38" s="151"/>
      <c r="G38" s="194">
        <f t="shared" si="0"/>
        <v>0</v>
      </c>
      <c r="H38" s="151"/>
      <c r="I38" s="151"/>
      <c r="J38" s="151"/>
      <c r="K38" s="151"/>
      <c r="L38" s="151"/>
      <c r="M38" s="88"/>
      <c r="N38" s="88"/>
      <c r="O38" s="88"/>
      <c r="P38" s="88"/>
      <c r="Q38" s="151"/>
      <c r="R38" s="151"/>
      <c r="T38" s="418"/>
    </row>
    <row r="39" spans="1:20" s="395" customFormat="1">
      <c r="A39" s="546">
        <v>33</v>
      </c>
      <c r="B39" s="151"/>
      <c r="C39" s="151"/>
      <c r="D39" s="151"/>
      <c r="E39" s="151"/>
      <c r="F39" s="151"/>
      <c r="G39" s="194">
        <f t="shared" si="0"/>
        <v>0</v>
      </c>
      <c r="H39" s="151"/>
      <c r="I39" s="151"/>
      <c r="J39" s="151"/>
      <c r="K39" s="151"/>
      <c r="L39" s="151"/>
      <c r="M39" s="88"/>
      <c r="N39" s="88"/>
      <c r="O39" s="88"/>
      <c r="P39" s="88"/>
      <c r="Q39" s="151"/>
      <c r="R39" s="151"/>
      <c r="T39" s="418"/>
    </row>
    <row r="40" spans="1:20" s="395" customFormat="1">
      <c r="A40" s="546">
        <v>34</v>
      </c>
      <c r="B40" s="151"/>
      <c r="C40" s="151"/>
      <c r="D40" s="151"/>
      <c r="E40" s="151"/>
      <c r="F40" s="151"/>
      <c r="G40" s="194">
        <f t="shared" si="0"/>
        <v>0</v>
      </c>
      <c r="H40" s="151"/>
      <c r="I40" s="151"/>
      <c r="J40" s="151"/>
      <c r="K40" s="151"/>
      <c r="L40" s="151"/>
      <c r="M40" s="88"/>
      <c r="N40" s="88"/>
      <c r="O40" s="88"/>
      <c r="P40" s="88"/>
      <c r="Q40" s="151"/>
      <c r="R40" s="151"/>
      <c r="T40" s="418"/>
    </row>
    <row r="41" spans="1:20" s="395" customFormat="1">
      <c r="A41" s="546">
        <v>35</v>
      </c>
      <c r="B41" s="151"/>
      <c r="C41" s="151"/>
      <c r="D41" s="151"/>
      <c r="E41" s="151"/>
      <c r="F41" s="151"/>
      <c r="G41" s="194">
        <f t="shared" si="0"/>
        <v>0</v>
      </c>
      <c r="H41" s="151"/>
      <c r="I41" s="151"/>
      <c r="J41" s="151"/>
      <c r="K41" s="151"/>
      <c r="L41" s="151"/>
      <c r="M41" s="88"/>
      <c r="N41" s="88"/>
      <c r="O41" s="88"/>
      <c r="P41" s="88"/>
      <c r="Q41" s="151"/>
      <c r="R41" s="151"/>
      <c r="T41" s="418"/>
    </row>
    <row r="42" spans="1:20" s="395" customFormat="1">
      <c r="A42" s="546">
        <v>36</v>
      </c>
      <c r="B42" s="151"/>
      <c r="C42" s="151"/>
      <c r="D42" s="151"/>
      <c r="E42" s="151"/>
      <c r="F42" s="151"/>
      <c r="G42" s="194">
        <f t="shared" si="0"/>
        <v>0</v>
      </c>
      <c r="H42" s="151"/>
      <c r="I42" s="151"/>
      <c r="J42" s="151"/>
      <c r="K42" s="151"/>
      <c r="L42" s="151"/>
      <c r="M42" s="88"/>
      <c r="N42" s="88"/>
      <c r="O42" s="88"/>
      <c r="P42" s="88"/>
      <c r="Q42" s="151"/>
      <c r="R42" s="151"/>
      <c r="T42" s="418"/>
    </row>
    <row r="43" spans="1:20" s="395" customFormat="1">
      <c r="A43" s="546">
        <v>37</v>
      </c>
      <c r="B43" s="151"/>
      <c r="C43" s="151"/>
      <c r="D43" s="151"/>
      <c r="E43" s="151"/>
      <c r="F43" s="151"/>
      <c r="G43" s="194">
        <f t="shared" si="0"/>
        <v>0</v>
      </c>
      <c r="H43" s="151"/>
      <c r="I43" s="151"/>
      <c r="J43" s="151"/>
      <c r="K43" s="151"/>
      <c r="L43" s="151"/>
      <c r="M43" s="88"/>
      <c r="N43" s="88"/>
      <c r="O43" s="88"/>
      <c r="P43" s="88"/>
      <c r="Q43" s="151"/>
      <c r="R43" s="151"/>
      <c r="T43" s="418"/>
    </row>
    <row r="44" spans="1:20" s="395" customFormat="1">
      <c r="A44" s="546">
        <v>38</v>
      </c>
      <c r="B44" s="151"/>
      <c r="C44" s="151"/>
      <c r="D44" s="151"/>
      <c r="E44" s="151"/>
      <c r="F44" s="151"/>
      <c r="G44" s="194">
        <f t="shared" si="0"/>
        <v>0</v>
      </c>
      <c r="H44" s="151"/>
      <c r="I44" s="151"/>
      <c r="J44" s="151"/>
      <c r="K44" s="151"/>
      <c r="L44" s="151"/>
      <c r="M44" s="88"/>
      <c r="N44" s="88"/>
      <c r="O44" s="88"/>
      <c r="P44" s="88"/>
      <c r="Q44" s="151"/>
      <c r="R44" s="151"/>
      <c r="T44" s="418"/>
    </row>
    <row r="45" spans="1:20" s="395" customFormat="1">
      <c r="A45" s="546">
        <v>39</v>
      </c>
      <c r="B45" s="151"/>
      <c r="C45" s="151"/>
      <c r="D45" s="151"/>
      <c r="E45" s="151"/>
      <c r="F45" s="151"/>
      <c r="G45" s="194">
        <f t="shared" si="0"/>
        <v>0</v>
      </c>
      <c r="H45" s="151"/>
      <c r="I45" s="151"/>
      <c r="J45" s="151"/>
      <c r="K45" s="151"/>
      <c r="L45" s="151"/>
      <c r="M45" s="88"/>
      <c r="N45" s="88"/>
      <c r="O45" s="88"/>
      <c r="P45" s="88"/>
      <c r="Q45" s="151"/>
      <c r="R45" s="151"/>
      <c r="T45" s="418"/>
    </row>
    <row r="46" spans="1:20" s="395" customFormat="1">
      <c r="A46" s="546">
        <v>40</v>
      </c>
      <c r="B46" s="151"/>
      <c r="C46" s="151"/>
      <c r="D46" s="151"/>
      <c r="E46" s="151"/>
      <c r="F46" s="151"/>
      <c r="G46" s="194">
        <f t="shared" si="0"/>
        <v>0</v>
      </c>
      <c r="H46" s="151"/>
      <c r="I46" s="151"/>
      <c r="J46" s="151"/>
      <c r="K46" s="151"/>
      <c r="L46" s="151"/>
      <c r="M46" s="88"/>
      <c r="N46" s="88"/>
      <c r="O46" s="88"/>
      <c r="P46" s="88"/>
      <c r="Q46" s="151"/>
      <c r="R46" s="151"/>
      <c r="T46" s="418"/>
    </row>
    <row r="47" spans="1:20" s="395" customFormat="1">
      <c r="A47" s="546">
        <v>41</v>
      </c>
      <c r="B47" s="151"/>
      <c r="C47" s="151"/>
      <c r="D47" s="151"/>
      <c r="E47" s="151"/>
      <c r="F47" s="151"/>
      <c r="G47" s="194">
        <f t="shared" si="0"/>
        <v>0</v>
      </c>
      <c r="H47" s="151"/>
      <c r="I47" s="151"/>
      <c r="J47" s="151"/>
      <c r="K47" s="151"/>
      <c r="L47" s="151"/>
      <c r="M47" s="88"/>
      <c r="N47" s="88"/>
      <c r="O47" s="88"/>
      <c r="P47" s="88"/>
      <c r="Q47" s="151"/>
      <c r="R47" s="151"/>
      <c r="T47" s="418"/>
    </row>
    <row r="48" spans="1:20" s="395" customFormat="1">
      <c r="A48" s="546">
        <v>42</v>
      </c>
      <c r="B48" s="151"/>
      <c r="C48" s="151"/>
      <c r="D48" s="151"/>
      <c r="E48" s="151"/>
      <c r="F48" s="151"/>
      <c r="G48" s="194">
        <f t="shared" si="0"/>
        <v>0</v>
      </c>
      <c r="H48" s="151"/>
      <c r="I48" s="151"/>
      <c r="J48" s="151"/>
      <c r="K48" s="151"/>
      <c r="L48" s="151"/>
      <c r="M48" s="88"/>
      <c r="N48" s="88"/>
      <c r="O48" s="88"/>
      <c r="P48" s="88"/>
      <c r="Q48" s="151"/>
      <c r="R48" s="151"/>
      <c r="T48" s="418"/>
    </row>
    <row r="49" spans="1:20" s="395" customFormat="1">
      <c r="A49" s="546">
        <v>43</v>
      </c>
      <c r="B49" s="151"/>
      <c r="C49" s="151"/>
      <c r="D49" s="151"/>
      <c r="E49" s="151"/>
      <c r="F49" s="151"/>
      <c r="G49" s="194">
        <f t="shared" si="0"/>
        <v>0</v>
      </c>
      <c r="H49" s="151"/>
      <c r="I49" s="151"/>
      <c r="J49" s="151"/>
      <c r="K49" s="151"/>
      <c r="L49" s="151"/>
      <c r="M49" s="88"/>
      <c r="N49" s="88"/>
      <c r="O49" s="88"/>
      <c r="P49" s="88"/>
      <c r="Q49" s="151"/>
      <c r="R49" s="151"/>
      <c r="T49" s="418"/>
    </row>
    <row r="50" spans="1:20" s="395" customFormat="1">
      <c r="A50" s="546">
        <v>44</v>
      </c>
      <c r="B50" s="151"/>
      <c r="C50" s="151"/>
      <c r="D50" s="151"/>
      <c r="E50" s="151"/>
      <c r="F50" s="151"/>
      <c r="G50" s="194">
        <f t="shared" si="0"/>
        <v>0</v>
      </c>
      <c r="H50" s="151"/>
      <c r="I50" s="151"/>
      <c r="J50" s="151"/>
      <c r="K50" s="151"/>
      <c r="L50" s="151"/>
      <c r="M50" s="88"/>
      <c r="N50" s="88"/>
      <c r="O50" s="88"/>
      <c r="P50" s="88"/>
      <c r="Q50" s="151"/>
      <c r="R50" s="151"/>
      <c r="T50" s="418"/>
    </row>
    <row r="51" spans="1:20" s="395" customFormat="1">
      <c r="A51" s="546">
        <v>45</v>
      </c>
      <c r="B51" s="151"/>
      <c r="C51" s="151"/>
      <c r="D51" s="151"/>
      <c r="E51" s="151"/>
      <c r="F51" s="151"/>
      <c r="G51" s="194">
        <f t="shared" si="0"/>
        <v>0</v>
      </c>
      <c r="H51" s="151"/>
      <c r="I51" s="151"/>
      <c r="J51" s="151"/>
      <c r="K51" s="151"/>
      <c r="L51" s="151"/>
      <c r="M51" s="88"/>
      <c r="N51" s="88"/>
      <c r="O51" s="88"/>
      <c r="P51" s="88"/>
      <c r="Q51" s="151"/>
      <c r="R51" s="151"/>
      <c r="T51" s="418"/>
    </row>
    <row r="52" spans="1:20" s="395" customFormat="1">
      <c r="A52" s="546">
        <v>46</v>
      </c>
      <c r="B52" s="151"/>
      <c r="C52" s="151"/>
      <c r="D52" s="151"/>
      <c r="E52" s="151"/>
      <c r="F52" s="151"/>
      <c r="G52" s="194">
        <f t="shared" si="0"/>
        <v>0</v>
      </c>
      <c r="H52" s="151"/>
      <c r="I52" s="151"/>
      <c r="J52" s="151"/>
      <c r="K52" s="151"/>
      <c r="L52" s="151"/>
      <c r="M52" s="88"/>
      <c r="N52" s="88"/>
      <c r="O52" s="88"/>
      <c r="P52" s="88"/>
      <c r="Q52" s="151"/>
      <c r="R52" s="151"/>
      <c r="T52" s="418"/>
    </row>
    <row r="53" spans="1:20" s="395" customFormat="1">
      <c r="A53" s="546">
        <v>47</v>
      </c>
      <c r="B53" s="151"/>
      <c r="C53" s="151"/>
      <c r="D53" s="151"/>
      <c r="E53" s="151"/>
      <c r="F53" s="151"/>
      <c r="G53" s="194">
        <f t="shared" si="0"/>
        <v>0</v>
      </c>
      <c r="H53" s="151"/>
      <c r="I53" s="151"/>
      <c r="J53" s="151"/>
      <c r="K53" s="151"/>
      <c r="L53" s="151"/>
      <c r="M53" s="88"/>
      <c r="N53" s="88"/>
      <c r="O53" s="88"/>
      <c r="P53" s="88"/>
      <c r="Q53" s="151"/>
      <c r="R53" s="151"/>
      <c r="T53" s="418"/>
    </row>
    <row r="54" spans="1:20" s="395" customFormat="1">
      <c r="A54" s="546">
        <v>48</v>
      </c>
      <c r="B54" s="151"/>
      <c r="C54" s="151"/>
      <c r="D54" s="151"/>
      <c r="E54" s="151"/>
      <c r="F54" s="151"/>
      <c r="G54" s="194">
        <f t="shared" si="0"/>
        <v>0</v>
      </c>
      <c r="H54" s="151"/>
      <c r="I54" s="151"/>
      <c r="J54" s="151"/>
      <c r="K54" s="151"/>
      <c r="L54" s="151"/>
      <c r="M54" s="88"/>
      <c r="N54" s="88"/>
      <c r="O54" s="88"/>
      <c r="P54" s="88"/>
      <c r="Q54" s="151"/>
      <c r="R54" s="151"/>
      <c r="T54" s="418"/>
    </row>
    <row r="55" spans="1:20" s="395" customFormat="1">
      <c r="A55" s="546">
        <v>49</v>
      </c>
      <c r="B55" s="151"/>
      <c r="C55" s="151"/>
      <c r="D55" s="151"/>
      <c r="E55" s="151"/>
      <c r="F55" s="151"/>
      <c r="G55" s="194">
        <f t="shared" si="0"/>
        <v>0</v>
      </c>
      <c r="H55" s="151"/>
      <c r="I55" s="151"/>
      <c r="J55" s="151"/>
      <c r="K55" s="151"/>
      <c r="L55" s="151"/>
      <c r="M55" s="88"/>
      <c r="N55" s="88"/>
      <c r="O55" s="88"/>
      <c r="P55" s="88"/>
      <c r="Q55" s="151"/>
      <c r="R55" s="151"/>
      <c r="T55" s="418"/>
    </row>
    <row r="56" spans="1:20" s="395" customFormat="1">
      <c r="A56" s="546">
        <v>50</v>
      </c>
      <c r="B56" s="151"/>
      <c r="C56" s="151"/>
      <c r="D56" s="151"/>
      <c r="E56" s="151"/>
      <c r="F56" s="151"/>
      <c r="G56" s="194">
        <f t="shared" si="0"/>
        <v>0</v>
      </c>
      <c r="H56" s="151"/>
      <c r="I56" s="151"/>
      <c r="J56" s="151"/>
      <c r="K56" s="151"/>
      <c r="L56" s="151"/>
      <c r="M56" s="88"/>
      <c r="N56" s="88"/>
      <c r="O56" s="88"/>
      <c r="P56" s="88"/>
      <c r="Q56" s="151"/>
      <c r="R56" s="151"/>
      <c r="T56" s="418"/>
    </row>
    <row r="57" spans="1:20" s="395" customFormat="1">
      <c r="A57" s="546">
        <v>51</v>
      </c>
      <c r="B57" s="151"/>
      <c r="C57" s="151"/>
      <c r="D57" s="151"/>
      <c r="E57" s="151"/>
      <c r="F57" s="151"/>
      <c r="G57" s="194">
        <f t="shared" si="0"/>
        <v>0</v>
      </c>
      <c r="H57" s="151"/>
      <c r="I57" s="151"/>
      <c r="J57" s="151"/>
      <c r="K57" s="151"/>
      <c r="L57" s="151"/>
      <c r="M57" s="88"/>
      <c r="N57" s="88"/>
      <c r="O57" s="88"/>
      <c r="P57" s="88"/>
      <c r="Q57" s="151"/>
      <c r="R57" s="151"/>
      <c r="T57" s="418"/>
    </row>
    <row r="58" spans="1:20" s="395" customFormat="1">
      <c r="A58" s="546">
        <v>52</v>
      </c>
      <c r="B58" s="151"/>
      <c r="C58" s="151"/>
      <c r="D58" s="151"/>
      <c r="E58" s="151"/>
      <c r="F58" s="151"/>
      <c r="G58" s="194">
        <f t="shared" si="0"/>
        <v>0</v>
      </c>
      <c r="H58" s="151"/>
      <c r="I58" s="151"/>
      <c r="J58" s="151"/>
      <c r="K58" s="151"/>
      <c r="L58" s="151"/>
      <c r="M58" s="88"/>
      <c r="N58" s="88"/>
      <c r="O58" s="88"/>
      <c r="P58" s="88"/>
      <c r="Q58" s="151"/>
      <c r="R58" s="151"/>
      <c r="T58" s="418"/>
    </row>
    <row r="59" spans="1:20" s="395" customFormat="1">
      <c r="A59" s="546">
        <v>53</v>
      </c>
      <c r="B59" s="151"/>
      <c r="C59" s="151"/>
      <c r="D59" s="151"/>
      <c r="E59" s="151"/>
      <c r="F59" s="151"/>
      <c r="G59" s="194">
        <f t="shared" si="0"/>
        <v>0</v>
      </c>
      <c r="H59" s="151"/>
      <c r="I59" s="151"/>
      <c r="J59" s="151"/>
      <c r="K59" s="151"/>
      <c r="L59" s="151"/>
      <c r="M59" s="88"/>
      <c r="N59" s="88"/>
      <c r="O59" s="88"/>
      <c r="P59" s="88"/>
      <c r="Q59" s="151"/>
      <c r="R59" s="151"/>
      <c r="T59" s="418"/>
    </row>
    <row r="60" spans="1:20" s="395" customFormat="1">
      <c r="A60" s="546">
        <v>54</v>
      </c>
      <c r="B60" s="151"/>
      <c r="C60" s="151"/>
      <c r="D60" s="151"/>
      <c r="E60" s="151"/>
      <c r="F60" s="151"/>
      <c r="G60" s="194">
        <f t="shared" si="0"/>
        <v>0</v>
      </c>
      <c r="H60" s="151"/>
      <c r="I60" s="151"/>
      <c r="J60" s="151"/>
      <c r="K60" s="151"/>
      <c r="L60" s="151"/>
      <c r="M60" s="88"/>
      <c r="N60" s="88"/>
      <c r="O60" s="88"/>
      <c r="P60" s="88"/>
      <c r="Q60" s="151"/>
      <c r="R60" s="151"/>
      <c r="T60" s="418"/>
    </row>
    <row r="61" spans="1:20" s="395" customFormat="1">
      <c r="A61" s="546">
        <v>55</v>
      </c>
      <c r="B61" s="151"/>
      <c r="C61" s="151"/>
      <c r="D61" s="151"/>
      <c r="E61" s="151"/>
      <c r="F61" s="151"/>
      <c r="G61" s="194">
        <f t="shared" si="0"/>
        <v>0</v>
      </c>
      <c r="H61" s="151"/>
      <c r="I61" s="151"/>
      <c r="J61" s="151"/>
      <c r="K61" s="151"/>
      <c r="L61" s="151"/>
      <c r="M61" s="88"/>
      <c r="N61" s="88"/>
      <c r="O61" s="88"/>
      <c r="P61" s="88"/>
      <c r="Q61" s="151"/>
      <c r="R61" s="151"/>
      <c r="T61" s="418"/>
    </row>
    <row r="62" spans="1:20" s="395" customFormat="1">
      <c r="A62" s="546">
        <v>56</v>
      </c>
      <c r="B62" s="151"/>
      <c r="C62" s="151"/>
      <c r="D62" s="151"/>
      <c r="E62" s="151"/>
      <c r="F62" s="151"/>
      <c r="G62" s="194">
        <f t="shared" si="0"/>
        <v>0</v>
      </c>
      <c r="H62" s="151"/>
      <c r="I62" s="151"/>
      <c r="J62" s="151"/>
      <c r="K62" s="151"/>
      <c r="L62" s="151"/>
      <c r="M62" s="88"/>
      <c r="N62" s="88"/>
      <c r="O62" s="88"/>
      <c r="P62" s="88"/>
      <c r="Q62" s="151"/>
      <c r="R62" s="151"/>
      <c r="T62" s="418"/>
    </row>
    <row r="63" spans="1:20" s="395" customFormat="1">
      <c r="A63" s="546">
        <v>57</v>
      </c>
      <c r="B63" s="151"/>
      <c r="C63" s="151"/>
      <c r="D63" s="151"/>
      <c r="E63" s="151"/>
      <c r="F63" s="151"/>
      <c r="G63" s="194">
        <f t="shared" si="0"/>
        <v>0</v>
      </c>
      <c r="H63" s="151"/>
      <c r="I63" s="151"/>
      <c r="J63" s="151"/>
      <c r="K63" s="151"/>
      <c r="L63" s="151"/>
      <c r="M63" s="88"/>
      <c r="N63" s="88"/>
      <c r="O63" s="88"/>
      <c r="P63" s="88"/>
      <c r="Q63" s="151"/>
      <c r="R63" s="151"/>
      <c r="T63" s="418"/>
    </row>
    <row r="64" spans="1:20" s="395" customFormat="1">
      <c r="A64" s="546">
        <v>58</v>
      </c>
      <c r="B64" s="151"/>
      <c r="C64" s="151"/>
      <c r="D64" s="151"/>
      <c r="E64" s="151"/>
      <c r="F64" s="151"/>
      <c r="G64" s="194">
        <f t="shared" si="0"/>
        <v>0</v>
      </c>
      <c r="H64" s="151"/>
      <c r="I64" s="151"/>
      <c r="J64" s="151"/>
      <c r="K64" s="151"/>
      <c r="L64" s="151"/>
      <c r="M64" s="88"/>
      <c r="N64" s="88"/>
      <c r="O64" s="88"/>
      <c r="P64" s="88"/>
      <c r="Q64" s="151"/>
      <c r="R64" s="151"/>
      <c r="T64" s="418"/>
    </row>
    <row r="65" spans="1:30" s="395" customFormat="1">
      <c r="A65" s="546">
        <v>59</v>
      </c>
      <c r="B65" s="151"/>
      <c r="C65" s="151"/>
      <c r="D65" s="151"/>
      <c r="E65" s="151"/>
      <c r="F65" s="151"/>
      <c r="G65" s="194">
        <f t="shared" si="0"/>
        <v>0</v>
      </c>
      <c r="H65" s="151"/>
      <c r="I65" s="151"/>
      <c r="J65" s="151"/>
      <c r="K65" s="151"/>
      <c r="L65" s="151"/>
      <c r="M65" s="88"/>
      <c r="N65" s="88"/>
      <c r="O65" s="88"/>
      <c r="P65" s="88"/>
      <c r="Q65" s="151"/>
      <c r="R65" s="151"/>
      <c r="T65" s="418"/>
    </row>
    <row r="66" spans="1:30" s="395" customFormat="1">
      <c r="A66" s="546">
        <v>60</v>
      </c>
      <c r="B66" s="151"/>
      <c r="C66" s="151"/>
      <c r="D66" s="151"/>
      <c r="E66" s="151"/>
      <c r="F66" s="151"/>
      <c r="G66" s="194">
        <f t="shared" si="0"/>
        <v>0</v>
      </c>
      <c r="H66" s="151"/>
      <c r="I66" s="151"/>
      <c r="J66" s="151"/>
      <c r="K66" s="151"/>
      <c r="L66" s="151"/>
      <c r="M66" s="88"/>
      <c r="N66" s="88"/>
      <c r="O66" s="88"/>
      <c r="P66" s="88"/>
      <c r="Q66" s="151"/>
      <c r="R66" s="151"/>
      <c r="T66" s="418"/>
    </row>
    <row r="67" spans="1:30" s="220" customFormat="1" ht="21" customHeight="1">
      <c r="A67" s="235"/>
      <c r="B67" s="236" t="s">
        <v>1100</v>
      </c>
      <c r="C67" s="236"/>
      <c r="D67" s="236"/>
      <c r="E67" s="236"/>
      <c r="F67" s="237"/>
      <c r="G67" s="238">
        <f t="shared" ref="G67:L67" si="1">SUM(G7:G66)</f>
        <v>681557950</v>
      </c>
      <c r="H67" s="238">
        <f t="shared" si="1"/>
        <v>681557950</v>
      </c>
      <c r="I67" s="238">
        <f t="shared" si="1"/>
        <v>0</v>
      </c>
      <c r="J67" s="238">
        <f t="shared" si="1"/>
        <v>0</v>
      </c>
      <c r="K67" s="238">
        <f t="shared" si="1"/>
        <v>0</v>
      </c>
      <c r="L67" s="238">
        <f t="shared" si="1"/>
        <v>0</v>
      </c>
      <c r="M67" s="238"/>
      <c r="N67" s="238"/>
      <c r="O67" s="238">
        <f>SUM(O7:O66)</f>
        <v>0</v>
      </c>
      <c r="P67" s="419"/>
      <c r="Q67" s="420"/>
      <c r="R67" s="421"/>
      <c r="T67" s="422"/>
    </row>
    <row r="68" spans="1:30" s="220" customFormat="1" ht="21" customHeight="1">
      <c r="A68" s="235"/>
      <c r="B68" s="236" t="s">
        <v>1101</v>
      </c>
      <c r="C68" s="236"/>
      <c r="D68" s="236"/>
      <c r="E68" s="236"/>
      <c r="F68" s="237"/>
      <c r="G68" s="137">
        <f t="shared" ref="G68:L68" si="2">MAX(G7:G66)</f>
        <v>400825035</v>
      </c>
      <c r="H68" s="137">
        <f t="shared" si="2"/>
        <v>400825035</v>
      </c>
      <c r="I68" s="137">
        <f t="shared" si="2"/>
        <v>0</v>
      </c>
      <c r="J68" s="137">
        <f t="shared" si="2"/>
        <v>0</v>
      </c>
      <c r="K68" s="137">
        <f t="shared" si="2"/>
        <v>0</v>
      </c>
      <c r="L68" s="137">
        <f t="shared" si="2"/>
        <v>0</v>
      </c>
      <c r="M68" s="137"/>
      <c r="N68" s="137"/>
      <c r="O68" s="137">
        <f>MAX(O7:O66)</f>
        <v>0</v>
      </c>
      <c r="P68" s="423"/>
      <c r="Q68" s="424"/>
      <c r="R68" s="425"/>
      <c r="T68" s="422"/>
    </row>
    <row r="69" spans="1:30" s="220" customFormat="1">
      <c r="T69" s="422"/>
    </row>
    <row r="70" spans="1:30" s="220" customFormat="1">
      <c r="T70" s="422"/>
    </row>
    <row r="71" spans="1:30" s="220" customFormat="1">
      <c r="B71" s="42" t="s">
        <v>4</v>
      </c>
      <c r="T71" s="422"/>
    </row>
    <row r="72" spans="1:30" s="220" customFormat="1">
      <c r="B72" s="42"/>
      <c r="T72" s="422"/>
    </row>
    <row r="73" spans="1:30" s="220" customFormat="1">
      <c r="B73" s="42" t="s">
        <v>5</v>
      </c>
      <c r="T73" s="422"/>
    </row>
    <row r="74" spans="1:30" s="220" customFormat="1">
      <c r="T74" s="422"/>
    </row>
    <row r="75" spans="1:30" s="220" customFormat="1" ht="15.75">
      <c r="B75" s="1286"/>
      <c r="C75" s="1286"/>
      <c r="D75" s="1286"/>
      <c r="E75" s="1286"/>
      <c r="F75" s="1286"/>
      <c r="G75" s="1286"/>
      <c r="H75" s="1286"/>
      <c r="I75" s="1286"/>
      <c r="J75" s="1286"/>
      <c r="K75" s="1286"/>
      <c r="L75" s="1286"/>
      <c r="M75" s="1286"/>
      <c r="N75" s="1286"/>
      <c r="O75" s="1286"/>
      <c r="P75" s="1286"/>
      <c r="Q75" s="1286"/>
      <c r="R75" s="1286"/>
      <c r="T75" s="422"/>
    </row>
    <row r="76" spans="1:30">
      <c r="A76" s="228"/>
      <c r="B76" s="228" t="s">
        <v>1070</v>
      </c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T76" s="426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</row>
    <row r="77" spans="1:30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T77" s="426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</row>
    <row r="78" spans="1:30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T78" s="426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</row>
    <row r="79" spans="1:30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T79" s="426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</row>
    <row r="80" spans="1:30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T80" s="426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spans="1:30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T81" s="426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</row>
    <row r="82" spans="1:30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T82" s="426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spans="1:30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T83" s="426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4" spans="1:30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T84" s="426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</row>
    <row r="85" spans="1:30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T85" s="426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</row>
    <row r="86" spans="1:30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T86" s="426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</row>
    <row r="87" spans="1:30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T87" s="426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</row>
    <row r="88" spans="1:30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T88" s="426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</row>
    <row r="89" spans="1:30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T89" s="426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</row>
    <row r="90" spans="1:30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T90" s="426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spans="1:30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T91" s="426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</row>
    <row r="92" spans="1:30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T92" s="426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</row>
    <row r="93" spans="1:30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T93" s="426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</row>
    <row r="94" spans="1:30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T94" s="426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</row>
    <row r="95" spans="1:30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T95" s="426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</row>
    <row r="96" spans="1:30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T96" s="426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</row>
    <row r="97" spans="1:30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T97" s="426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</row>
    <row r="98" spans="1:30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T98" s="426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</row>
    <row r="99" spans="1:30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T99" s="426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</row>
    <row r="100" spans="1:30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T100" s="426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</row>
    <row r="101" spans="1:30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T101" s="426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</row>
    <row r="102" spans="1:30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T102" s="426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</row>
    <row r="103" spans="1:30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T103" s="426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</row>
    <row r="104" spans="1:30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T104" s="426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</row>
    <row r="105" spans="1:30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T105" s="426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</row>
    <row r="106" spans="1:30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T106" s="426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</row>
    <row r="107" spans="1:30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T107" s="426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</row>
  </sheetData>
  <sheetProtection password="CA76" sheet="1" objects="1" scenarios="1"/>
  <mergeCells count="16">
    <mergeCell ref="A1:Q1"/>
    <mergeCell ref="N4:O4"/>
    <mergeCell ref="A4:A5"/>
    <mergeCell ref="B4:B5"/>
    <mergeCell ref="Q4:Q5"/>
    <mergeCell ref="M3:O3"/>
    <mergeCell ref="B75:R75"/>
    <mergeCell ref="R4:R5"/>
    <mergeCell ref="P4:P5"/>
    <mergeCell ref="M4:M5"/>
    <mergeCell ref="C4:C5"/>
    <mergeCell ref="D4:D5"/>
    <mergeCell ref="E4:E5"/>
    <mergeCell ref="F4:F5"/>
    <mergeCell ref="G4:G5"/>
    <mergeCell ref="H4:L4"/>
  </mergeCells>
  <phoneticPr fontId="18" type="noConversion"/>
  <printOptions horizontalCentered="1"/>
  <pageMargins left="0.15748031496062992" right="0.19685039370078741" top="0.49" bottom="0.19685039370078741" header="0.51181102362204722" footer="0.51181102362204722"/>
  <pageSetup paperSize="9" scale="51" orientation="landscape" r:id="rId1"/>
  <headerFooter alignWithMargins="0"/>
  <ignoredErrors>
    <ignoredError sqref="G57:G66 G8:G36 G37:G56" unlocked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3">
    <pageSetUpPr fitToPage="1"/>
  </sheetPr>
  <dimension ref="A1:L31"/>
  <sheetViews>
    <sheetView topLeftCell="A10" zoomScaleSheetLayoutView="70" workbookViewId="0">
      <selection activeCell="B15" sqref="B15"/>
    </sheetView>
  </sheetViews>
  <sheetFormatPr defaultColWidth="9.42578125" defaultRowHeight="15"/>
  <cols>
    <col min="1" max="1" width="34.28515625" style="35" customWidth="1"/>
    <col min="2" max="2" width="16.5703125" style="35" customWidth="1"/>
    <col min="3" max="3" width="17.5703125" style="35" customWidth="1"/>
    <col min="4" max="4" width="16.5703125" style="35" customWidth="1"/>
    <col min="5" max="5" width="17.5703125" style="35" customWidth="1"/>
    <col min="6" max="6" width="11.7109375" style="35" bestFit="1" customWidth="1"/>
    <col min="7" max="7" width="24.140625" style="208" bestFit="1" customWidth="1"/>
    <col min="8" max="8" width="20.85546875" style="208" bestFit="1" customWidth="1"/>
    <col min="9" max="16384" width="9.42578125" style="35"/>
  </cols>
  <sheetData>
    <row r="1" spans="1:8" s="31" customFormat="1" ht="52.5" customHeight="1">
      <c r="A1" s="1289" t="s">
        <v>1113</v>
      </c>
      <c r="B1" s="1289"/>
      <c r="C1" s="1289"/>
      <c r="D1" s="1289"/>
      <c r="E1" s="162" t="s">
        <v>1038</v>
      </c>
      <c r="F1" s="36"/>
      <c r="G1" s="209"/>
      <c r="H1" s="210"/>
    </row>
    <row r="2" spans="1:8" s="1" customFormat="1" ht="15.75" customHeight="1">
      <c r="A2" s="76"/>
      <c r="C2" s="26"/>
      <c r="G2" s="211"/>
      <c r="H2" s="211"/>
    </row>
    <row r="3" spans="1:8" s="1" customFormat="1" ht="16.5" customHeight="1">
      <c r="A3" s="37" t="s">
        <v>329</v>
      </c>
      <c r="B3" s="1290" t="str">
        <f>Balance!B3</f>
        <v>АКБ "Микрокредитбанк"</v>
      </c>
      <c r="C3" s="1291"/>
      <c r="E3" s="488" t="str">
        <f>+Balance!B2</f>
        <v xml:space="preserve"> 30 Декабрь, 2019</v>
      </c>
      <c r="G3" s="211"/>
      <c r="H3" s="211"/>
    </row>
    <row r="4" spans="1:8" s="38" customFormat="1" ht="24.75" customHeight="1">
      <c r="A4" s="1292" t="s">
        <v>218</v>
      </c>
      <c r="B4" s="1278" t="s">
        <v>330</v>
      </c>
      <c r="C4" s="1279"/>
      <c r="D4" s="1278" t="s">
        <v>331</v>
      </c>
      <c r="E4" s="1279"/>
      <c r="G4" s="212"/>
      <c r="H4" s="212"/>
    </row>
    <row r="5" spans="1:8" s="38" customFormat="1" ht="31.5" customHeight="1">
      <c r="A5" s="1292"/>
      <c r="B5" s="582" t="s">
        <v>279</v>
      </c>
      <c r="C5" s="582" t="s">
        <v>332</v>
      </c>
      <c r="D5" s="582" t="s">
        <v>279</v>
      </c>
      <c r="E5" s="582" t="s">
        <v>332</v>
      </c>
      <c r="G5" s="212"/>
      <c r="H5" s="212"/>
    </row>
    <row r="6" spans="1:8" s="39" customFormat="1">
      <c r="A6" s="582" t="s">
        <v>309</v>
      </c>
      <c r="B6" s="582" t="s">
        <v>310</v>
      </c>
      <c r="C6" s="582" t="s">
        <v>327</v>
      </c>
      <c r="D6" s="582" t="s">
        <v>311</v>
      </c>
      <c r="E6" s="582" t="s">
        <v>312</v>
      </c>
      <c r="G6" s="213"/>
      <c r="H6" s="213"/>
    </row>
    <row r="7" spans="1:8" ht="19.5" customHeight="1">
      <c r="A7" s="606" t="s">
        <v>333</v>
      </c>
      <c r="B7" s="27">
        <v>1816473</v>
      </c>
      <c r="C7" s="27">
        <v>0</v>
      </c>
      <c r="D7" s="525">
        <v>516697</v>
      </c>
      <c r="E7" s="27">
        <v>0</v>
      </c>
    </row>
    <row r="8" spans="1:8" ht="19.5" customHeight="1">
      <c r="A8" s="606" t="s">
        <v>334</v>
      </c>
      <c r="B8" s="27">
        <v>5366960</v>
      </c>
      <c r="C8" s="27">
        <v>0</v>
      </c>
      <c r="D8" s="525">
        <v>4396131</v>
      </c>
      <c r="E8" s="27">
        <v>0</v>
      </c>
    </row>
    <row r="9" spans="1:8" ht="19.5" customHeight="1">
      <c r="A9" s="606" t="s">
        <v>335</v>
      </c>
      <c r="B9" s="27">
        <v>65065</v>
      </c>
      <c r="C9" s="27">
        <v>0</v>
      </c>
      <c r="D9" s="27">
        <v>210170</v>
      </c>
      <c r="E9" s="27">
        <v>0</v>
      </c>
    </row>
    <row r="10" spans="1:8" ht="19.5" customHeight="1">
      <c r="A10" s="606" t="s">
        <v>336</v>
      </c>
      <c r="B10" s="27">
        <v>850135</v>
      </c>
      <c r="C10" s="27">
        <v>0</v>
      </c>
      <c r="D10" s="27">
        <v>888585</v>
      </c>
      <c r="E10" s="27">
        <v>0</v>
      </c>
    </row>
    <row r="11" spans="1:8" ht="25.5" customHeight="1">
      <c r="A11" s="606" t="s">
        <v>337</v>
      </c>
      <c r="B11" s="27">
        <v>2597913</v>
      </c>
      <c r="C11" s="27">
        <v>0</v>
      </c>
      <c r="D11" s="27">
        <v>2760536</v>
      </c>
      <c r="E11" s="27">
        <v>0</v>
      </c>
    </row>
    <row r="12" spans="1:8" ht="30.75" customHeight="1">
      <c r="A12" s="606" t="s">
        <v>338</v>
      </c>
      <c r="B12" s="27">
        <v>0</v>
      </c>
      <c r="C12" s="27">
        <v>0</v>
      </c>
      <c r="D12" s="27">
        <v>0</v>
      </c>
      <c r="E12" s="27">
        <v>0</v>
      </c>
    </row>
    <row r="13" spans="1:8" ht="19.5" customHeight="1">
      <c r="A13" s="606" t="s">
        <v>339</v>
      </c>
      <c r="B13" s="27">
        <v>0</v>
      </c>
      <c r="C13" s="27">
        <v>0</v>
      </c>
      <c r="D13" s="27">
        <v>0</v>
      </c>
      <c r="E13" s="27">
        <v>0</v>
      </c>
    </row>
    <row r="14" spans="1:8" ht="19.5" customHeight="1">
      <c r="A14" s="606" t="s">
        <v>340</v>
      </c>
      <c r="B14" s="27">
        <v>1502376</v>
      </c>
      <c r="C14" s="27">
        <v>0</v>
      </c>
      <c r="D14" s="27">
        <v>1466409</v>
      </c>
      <c r="E14" s="27">
        <v>0</v>
      </c>
    </row>
    <row r="15" spans="1:8" ht="19.5" customHeight="1">
      <c r="A15" s="607" t="s">
        <v>341</v>
      </c>
      <c r="B15" s="608">
        <f>SUM(B7:B14)</f>
        <v>12198922</v>
      </c>
      <c r="C15" s="608">
        <f>SUM(C7:C14)</f>
        <v>0</v>
      </c>
      <c r="D15" s="608">
        <f>SUM(D7:D14)</f>
        <v>10238528</v>
      </c>
      <c r="E15" s="608">
        <f>SUM(E7:E14)</f>
        <v>0</v>
      </c>
    </row>
    <row r="16" spans="1:8">
      <c r="A16" s="20"/>
      <c r="B16" s="33"/>
      <c r="C16" s="33"/>
      <c r="D16" s="33"/>
      <c r="E16" s="33"/>
    </row>
    <row r="17" spans="1:12">
      <c r="A17" s="20"/>
      <c r="B17" s="20"/>
      <c r="C17" s="20"/>
      <c r="D17" s="20"/>
      <c r="E17" s="20"/>
    </row>
    <row r="18" spans="1:12">
      <c r="A18" s="40" t="s">
        <v>342</v>
      </c>
      <c r="B18" s="33"/>
      <c r="C18" s="33"/>
      <c r="D18" s="33"/>
      <c r="E18" s="33"/>
    </row>
    <row r="19" spans="1:12">
      <c r="A19" s="585" t="s">
        <v>343</v>
      </c>
      <c r="B19" s="40"/>
      <c r="C19" s="33"/>
      <c r="D19" s="33"/>
      <c r="E19" s="20"/>
      <c r="F19" s="41"/>
    </row>
    <row r="20" spans="1:12" ht="19.5" customHeight="1">
      <c r="A20" s="1293" t="s">
        <v>344</v>
      </c>
      <c r="B20" s="1294"/>
      <c r="C20" s="88">
        <v>63498748</v>
      </c>
      <c r="D20" s="68"/>
      <c r="E20" s="33"/>
    </row>
    <row r="21" spans="1:12" ht="19.5" customHeight="1">
      <c r="A21" s="1293" t="s">
        <v>345</v>
      </c>
      <c r="B21" s="1294"/>
      <c r="C21" s="609">
        <f>D15</f>
        <v>10238528</v>
      </c>
      <c r="D21" s="68"/>
      <c r="E21" s="33"/>
    </row>
    <row r="22" spans="1:12" ht="19.5" customHeight="1">
      <c r="A22" s="1293" t="s">
        <v>346</v>
      </c>
      <c r="B22" s="1294">
        <v>0</v>
      </c>
      <c r="C22" s="610">
        <f>B15</f>
        <v>12198922</v>
      </c>
      <c r="D22" s="68"/>
      <c r="E22" s="33"/>
      <c r="H22" s="397"/>
    </row>
    <row r="23" spans="1:12" ht="29.25" customHeight="1">
      <c r="A23" s="1293" t="s">
        <v>347</v>
      </c>
      <c r="B23" s="1294"/>
      <c r="C23" s="88">
        <f>+'Income '!C31</f>
        <v>139622948</v>
      </c>
      <c r="D23" s="68"/>
      <c r="E23" s="33"/>
      <c r="H23" s="397"/>
    </row>
    <row r="24" spans="1:12" ht="19.5" customHeight="1">
      <c r="A24" s="1293" t="s">
        <v>348</v>
      </c>
      <c r="B24" s="1294"/>
      <c r="C24" s="88">
        <v>-81235605</v>
      </c>
      <c r="D24" s="68"/>
      <c r="E24" s="33"/>
      <c r="F24" s="214"/>
      <c r="G24" s="214"/>
      <c r="H24" s="398">
        <f>+'Income '!C31</f>
        <v>139622948</v>
      </c>
      <c r="I24" s="214"/>
      <c r="J24" s="214"/>
      <c r="K24" s="214"/>
      <c r="L24" s="214"/>
    </row>
    <row r="25" spans="1:12" ht="19.5" customHeight="1">
      <c r="A25" s="1293" t="s">
        <v>349</v>
      </c>
      <c r="B25" s="1294"/>
      <c r="C25" s="609">
        <f>SUM(C20:C21)-C22+SUM(C23:C24)</f>
        <v>119925697</v>
      </c>
      <c r="F25" s="214">
        <f>+'Asset Classification'!Y50</f>
        <v>119925697</v>
      </c>
      <c r="G25" s="214"/>
      <c r="H25" s="398">
        <f>'Asset Classification'!Y50</f>
        <v>119925697</v>
      </c>
      <c r="I25" s="214"/>
      <c r="J25" s="214"/>
      <c r="K25" s="214"/>
      <c r="L25" s="214"/>
    </row>
    <row r="26" spans="1:12">
      <c r="A26" s="1"/>
      <c r="B26" s="1"/>
      <c r="C26" s="1"/>
      <c r="D26" s="2"/>
      <c r="E26" s="1"/>
      <c r="F26" s="214"/>
      <c r="G26" s="214"/>
      <c r="H26" s="398"/>
      <c r="I26" s="214"/>
      <c r="J26" s="214"/>
      <c r="K26" s="214"/>
      <c r="L26" s="214"/>
    </row>
    <row r="27" spans="1:12">
      <c r="A27" s="1"/>
      <c r="B27" s="1"/>
      <c r="C27" s="1"/>
      <c r="D27" s="2"/>
      <c r="E27" s="1"/>
      <c r="F27" s="214"/>
      <c r="G27" s="214"/>
      <c r="H27" s="398"/>
      <c r="I27" s="214"/>
      <c r="J27" s="214"/>
      <c r="K27" s="214"/>
      <c r="L27" s="214"/>
    </row>
    <row r="28" spans="1:12">
      <c r="A28" s="8" t="s">
        <v>4</v>
      </c>
      <c r="B28" s="1"/>
      <c r="C28" s="1"/>
      <c r="D28" s="1"/>
      <c r="E28" s="1"/>
      <c r="H28" s="397"/>
    </row>
    <row r="29" spans="1:12">
      <c r="A29" s="8"/>
      <c r="B29" s="1"/>
      <c r="C29" s="1"/>
      <c r="D29" s="1"/>
      <c r="E29" s="1"/>
      <c r="H29" s="397"/>
    </row>
    <row r="30" spans="1:12">
      <c r="A30" s="8" t="s">
        <v>5</v>
      </c>
      <c r="B30" s="1"/>
      <c r="C30" s="1"/>
      <c r="D30" s="1"/>
      <c r="E30" s="1"/>
    </row>
    <row r="31" spans="1:12">
      <c r="A31" s="1"/>
      <c r="B31" s="1"/>
      <c r="C31" s="1"/>
      <c r="D31" s="1"/>
      <c r="E31" s="1"/>
    </row>
  </sheetData>
  <sheetProtection password="CA76" sheet="1" objects="1" scenarios="1"/>
  <mergeCells count="11">
    <mergeCell ref="A24:B24"/>
    <mergeCell ref="A25:B25"/>
    <mergeCell ref="A21:B21"/>
    <mergeCell ref="B4:C4"/>
    <mergeCell ref="D4:E4"/>
    <mergeCell ref="A23:B23"/>
    <mergeCell ref="A1:D1"/>
    <mergeCell ref="B3:C3"/>
    <mergeCell ref="A4:A5"/>
    <mergeCell ref="A20:B20"/>
    <mergeCell ref="A22:B22"/>
  </mergeCells>
  <phoneticPr fontId="18" type="noConversion"/>
  <conditionalFormatting sqref="H25">
    <cfRule type="cellIs" dxfId="197" priority="3" operator="notEqual">
      <formula>$H$25</formula>
    </cfRule>
  </conditionalFormatting>
  <conditionalFormatting sqref="C23">
    <cfRule type="cellIs" dxfId="196" priority="2" operator="notEqual">
      <formula>$H$24</formula>
    </cfRule>
  </conditionalFormatting>
  <conditionalFormatting sqref="C25">
    <cfRule type="cellIs" dxfId="195" priority="1" operator="notEqual">
      <formula>$F$25</formula>
    </cfRule>
  </conditionalFormatting>
  <dataValidations count="3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7:E14" xr:uid="{00000000-0002-0000-1000-000000000000}">
      <formula1>-1E+22</formula1>
      <formula2>1E+22</formula2>
    </dataValidation>
    <dataValidation allowBlank="1" showInputMessage="1" showErrorMessage="1" prompt="Если значение в ячейке не равно значению оценки резерва по ссудам (отчет о прибылях и убытках), то ячейка окрасится" sqref="C23" xr:uid="{00000000-0002-0000-1000-000001000000}"/>
    <dataValidation type="whole" operator="greaterThanOrEqual" allowBlank="1" showInputMessage="1" showErrorMessage="1" prompt="Ввести как положительное число." sqref="C22" xr:uid="{00000000-0002-0000-1000-000002000000}">
      <formula1>0</formula1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97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4">
    <pageSetUpPr fitToPage="1"/>
  </sheetPr>
  <dimension ref="A1:M27"/>
  <sheetViews>
    <sheetView topLeftCell="A4" zoomScaleSheetLayoutView="85" workbookViewId="0">
      <selection activeCell="C4" sqref="C4"/>
    </sheetView>
  </sheetViews>
  <sheetFormatPr defaultRowHeight="18.75"/>
  <cols>
    <col min="1" max="1" width="8.5703125" style="468" customWidth="1"/>
    <col min="2" max="2" width="54.7109375" style="468" bestFit="1" customWidth="1"/>
    <col min="3" max="4" width="25.7109375" style="468" customWidth="1"/>
    <col min="5" max="9" width="10" style="663" customWidth="1"/>
    <col min="10" max="13" width="9.140625" style="663"/>
    <col min="14" max="16384" width="9.140625" style="468"/>
  </cols>
  <sheetData>
    <row r="1" spans="1:13" ht="22.5" customHeight="1">
      <c r="A1" s="1295" t="s">
        <v>987</v>
      </c>
      <c r="B1" s="1295"/>
      <c r="C1" s="1295"/>
      <c r="D1" s="467" t="s">
        <v>988</v>
      </c>
    </row>
    <row r="2" spans="1:13" ht="25.5" customHeight="1">
      <c r="B2" s="469" t="str">
        <f>+Balance!B3</f>
        <v>АКБ "Микрокредитбанк"</v>
      </c>
      <c r="C2" s="489" t="str">
        <f>+Balance!B2</f>
        <v xml:space="preserve"> 30 Декабрь, 2019</v>
      </c>
      <c r="D2" s="470" t="s">
        <v>7</v>
      </c>
    </row>
    <row r="3" spans="1:13" ht="80.25" customHeight="1">
      <c r="A3" s="611" t="s">
        <v>161</v>
      </c>
      <c r="B3" s="611" t="s">
        <v>6</v>
      </c>
      <c r="C3" s="611" t="s">
        <v>531</v>
      </c>
      <c r="D3" s="611" t="s">
        <v>1037</v>
      </c>
    </row>
    <row r="4" spans="1:13" s="473" customFormat="1" ht="35.25" customHeight="1">
      <c r="A4" s="471" t="s">
        <v>555</v>
      </c>
      <c r="B4" s="472" t="s">
        <v>437</v>
      </c>
      <c r="C4" s="611"/>
      <c r="D4" s="611"/>
      <c r="E4" s="664"/>
      <c r="F4" s="664"/>
      <c r="G4" s="664"/>
      <c r="H4" s="664"/>
      <c r="I4" s="664"/>
      <c r="J4" s="664"/>
      <c r="K4" s="664"/>
      <c r="L4" s="664"/>
      <c r="M4" s="664"/>
    </row>
    <row r="5" spans="1:13" s="473" customFormat="1" ht="35.25" customHeight="1">
      <c r="A5" s="501" t="s">
        <v>580</v>
      </c>
      <c r="B5" s="502" t="s">
        <v>290</v>
      </c>
      <c r="C5" s="503">
        <v>880965</v>
      </c>
      <c r="D5" s="503">
        <v>179548</v>
      </c>
      <c r="E5" s="664"/>
      <c r="F5" s="664"/>
      <c r="G5" s="664"/>
      <c r="H5" s="664"/>
      <c r="I5" s="664"/>
      <c r="J5" s="664"/>
      <c r="K5" s="664"/>
      <c r="L5" s="664"/>
      <c r="M5" s="664"/>
    </row>
    <row r="6" spans="1:13" s="473" customFormat="1" ht="35.25" customHeight="1">
      <c r="A6" s="501" t="s">
        <v>581</v>
      </c>
      <c r="B6" s="502" t="s">
        <v>291</v>
      </c>
      <c r="C6" s="503">
        <v>138847610</v>
      </c>
      <c r="D6" s="503">
        <v>7672786</v>
      </c>
      <c r="E6" s="664"/>
      <c r="F6" s="664"/>
      <c r="G6" s="664"/>
      <c r="H6" s="664"/>
      <c r="I6" s="664"/>
      <c r="J6" s="664"/>
      <c r="K6" s="664"/>
      <c r="L6" s="664"/>
      <c r="M6" s="664"/>
    </row>
    <row r="7" spans="1:13" s="473" customFormat="1" ht="35.25" customHeight="1">
      <c r="A7" s="501" t="s">
        <v>582</v>
      </c>
      <c r="B7" s="502" t="s">
        <v>292</v>
      </c>
      <c r="C7" s="503">
        <v>24695061</v>
      </c>
      <c r="D7" s="503">
        <v>767726</v>
      </c>
      <c r="E7" s="664"/>
      <c r="F7" s="664"/>
      <c r="G7" s="664"/>
      <c r="H7" s="664"/>
      <c r="I7" s="664"/>
      <c r="J7" s="664"/>
      <c r="K7" s="664"/>
      <c r="L7" s="664"/>
      <c r="M7" s="664"/>
    </row>
    <row r="8" spans="1:13" s="473" customFormat="1" ht="35.25" customHeight="1">
      <c r="A8" s="501" t="s">
        <v>583</v>
      </c>
      <c r="B8" s="502" t="s">
        <v>293</v>
      </c>
      <c r="C8" s="503">
        <v>3741553</v>
      </c>
      <c r="D8" s="503">
        <v>190152</v>
      </c>
      <c r="E8" s="664"/>
      <c r="F8" s="664"/>
      <c r="G8" s="664"/>
      <c r="H8" s="664"/>
      <c r="I8" s="664"/>
      <c r="J8" s="664"/>
      <c r="K8" s="664"/>
      <c r="L8" s="664"/>
      <c r="M8" s="664"/>
    </row>
    <row r="9" spans="1:13" s="473" customFormat="1" ht="35.25" customHeight="1">
      <c r="A9" s="501" t="s">
        <v>584</v>
      </c>
      <c r="B9" s="502" t="s">
        <v>294</v>
      </c>
      <c r="C9" s="503">
        <v>144253948</v>
      </c>
      <c r="D9" s="503">
        <v>4935177</v>
      </c>
      <c r="E9" s="664"/>
      <c r="F9" s="664"/>
      <c r="G9" s="664"/>
      <c r="H9" s="664"/>
      <c r="I9" s="664"/>
      <c r="J9" s="664"/>
      <c r="K9" s="664"/>
      <c r="L9" s="664"/>
      <c r="M9" s="664"/>
    </row>
    <row r="10" spans="1:13" s="473" customFormat="1" ht="35.25" customHeight="1">
      <c r="A10" s="501" t="s">
        <v>585</v>
      </c>
      <c r="B10" s="502" t="s">
        <v>1027</v>
      </c>
      <c r="C10" s="503">
        <v>99500617</v>
      </c>
      <c r="D10" s="503">
        <v>21632023</v>
      </c>
      <c r="E10" s="664"/>
      <c r="F10" s="664"/>
      <c r="G10" s="664"/>
      <c r="H10" s="664"/>
      <c r="I10" s="664"/>
      <c r="J10" s="664"/>
      <c r="K10" s="664"/>
      <c r="L10" s="664"/>
      <c r="M10" s="664"/>
    </row>
    <row r="11" spans="1:13" s="475" customFormat="1" ht="35.25" customHeight="1">
      <c r="A11" s="471" t="s">
        <v>1128</v>
      </c>
      <c r="B11" s="472" t="s">
        <v>1028</v>
      </c>
      <c r="C11" s="474">
        <f>SUM(C5:C10)</f>
        <v>411919754</v>
      </c>
      <c r="D11" s="474">
        <f>SUM(D5:D10)</f>
        <v>35377412</v>
      </c>
      <c r="E11" s="665">
        <f>+'Bank Liabilities Analysis'!S16+'Bank Liabilities Analysis'!S8</f>
        <v>411919754</v>
      </c>
      <c r="F11" s="665">
        <f>+'Bank Liabilities Analysis'!T16+'Bank Liabilities Analysis'!T8</f>
        <v>376542342</v>
      </c>
      <c r="G11" s="665">
        <f>+'Bank Liabilities Analysis'!U16+'Bank Liabilities Analysis'!U8</f>
        <v>35377412</v>
      </c>
      <c r="H11" s="666"/>
      <c r="I11" s="666"/>
      <c r="J11" s="666"/>
      <c r="K11" s="666"/>
      <c r="L11" s="666"/>
      <c r="M11" s="666"/>
    </row>
    <row r="12" spans="1:13" s="473" customFormat="1" ht="9" customHeight="1">
      <c r="A12" s="476"/>
      <c r="B12" s="502"/>
      <c r="C12" s="477"/>
      <c r="D12" s="476"/>
      <c r="E12" s="664"/>
      <c r="F12" s="664"/>
      <c r="G12" s="664"/>
      <c r="H12" s="664"/>
      <c r="I12" s="664"/>
      <c r="J12" s="664"/>
      <c r="K12" s="664"/>
      <c r="L12" s="664"/>
      <c r="M12" s="664"/>
    </row>
    <row r="13" spans="1:13" s="473" customFormat="1" ht="35.25" customHeight="1">
      <c r="A13" s="471" t="s">
        <v>567</v>
      </c>
      <c r="B13" s="472" t="s">
        <v>440</v>
      </c>
      <c r="C13" s="611"/>
      <c r="D13" s="611"/>
      <c r="E13" s="664"/>
      <c r="F13" s="664"/>
      <c r="G13" s="664"/>
      <c r="H13" s="664"/>
      <c r="I13" s="664"/>
      <c r="J13" s="664"/>
      <c r="K13" s="664"/>
      <c r="L13" s="664"/>
      <c r="M13" s="664"/>
    </row>
    <row r="14" spans="1:13" s="473" customFormat="1" ht="35.25" customHeight="1">
      <c r="A14" s="501" t="s">
        <v>580</v>
      </c>
      <c r="B14" s="502" t="s">
        <v>290</v>
      </c>
      <c r="C14" s="503">
        <v>411007192</v>
      </c>
      <c r="D14" s="503">
        <v>142745550</v>
      </c>
      <c r="E14" s="664"/>
      <c r="F14" s="664"/>
      <c r="G14" s="664"/>
      <c r="H14" s="664"/>
      <c r="I14" s="664"/>
      <c r="J14" s="664"/>
      <c r="K14" s="664"/>
      <c r="L14" s="664"/>
      <c r="M14" s="664"/>
    </row>
    <row r="15" spans="1:13" s="473" customFormat="1" ht="35.25" customHeight="1">
      <c r="A15" s="501" t="s">
        <v>581</v>
      </c>
      <c r="B15" s="502" t="s">
        <v>291</v>
      </c>
      <c r="C15" s="503">
        <v>211599363</v>
      </c>
      <c r="D15" s="503">
        <v>4862025</v>
      </c>
      <c r="E15" s="664"/>
      <c r="F15" s="664"/>
      <c r="G15" s="664"/>
      <c r="H15" s="664"/>
      <c r="I15" s="664"/>
      <c r="J15" s="664"/>
      <c r="K15" s="664"/>
      <c r="L15" s="664"/>
      <c r="M15" s="664"/>
    </row>
    <row r="16" spans="1:13" s="473" customFormat="1" ht="35.25" customHeight="1">
      <c r="A16" s="501" t="s">
        <v>582</v>
      </c>
      <c r="B16" s="502" t="s">
        <v>292</v>
      </c>
      <c r="C16" s="503">
        <v>182330832</v>
      </c>
      <c r="D16" s="503">
        <v>100902897</v>
      </c>
      <c r="E16" s="664"/>
      <c r="F16" s="664"/>
      <c r="G16" s="664"/>
      <c r="H16" s="664"/>
      <c r="I16" s="664"/>
      <c r="J16" s="664"/>
      <c r="K16" s="664"/>
      <c r="L16" s="664"/>
      <c r="M16" s="664"/>
    </row>
    <row r="17" spans="1:13" s="473" customFormat="1" ht="35.25" customHeight="1">
      <c r="A17" s="501" t="s">
        <v>583</v>
      </c>
      <c r="B17" s="502" t="s">
        <v>293</v>
      </c>
      <c r="C17" s="503">
        <v>5275000</v>
      </c>
      <c r="D17" s="503">
        <v>0</v>
      </c>
      <c r="E17" s="664"/>
      <c r="F17" s="664"/>
      <c r="G17" s="664"/>
      <c r="H17" s="664"/>
      <c r="I17" s="664"/>
      <c r="J17" s="664"/>
      <c r="K17" s="664"/>
      <c r="L17" s="664"/>
      <c r="M17" s="664"/>
    </row>
    <row r="18" spans="1:13" s="473" customFormat="1" ht="35.25" customHeight="1">
      <c r="A18" s="501" t="s">
        <v>584</v>
      </c>
      <c r="B18" s="502" t="s">
        <v>294</v>
      </c>
      <c r="C18" s="503">
        <v>35398407</v>
      </c>
      <c r="D18" s="503">
        <v>0</v>
      </c>
      <c r="E18" s="664"/>
      <c r="F18" s="664"/>
      <c r="G18" s="664"/>
      <c r="H18" s="664"/>
      <c r="I18" s="664"/>
      <c r="J18" s="664"/>
      <c r="K18" s="664"/>
      <c r="L18" s="664"/>
      <c r="M18" s="664"/>
    </row>
    <row r="19" spans="1:13" s="473" customFormat="1" ht="35.25" customHeight="1">
      <c r="A19" s="501" t="s">
        <v>585</v>
      </c>
      <c r="B19" s="502" t="s">
        <v>1184</v>
      </c>
      <c r="C19" s="503">
        <v>134908058</v>
      </c>
      <c r="D19" s="503">
        <v>11835661</v>
      </c>
      <c r="E19" s="664"/>
      <c r="F19" s="664"/>
      <c r="G19" s="664"/>
      <c r="H19" s="664"/>
      <c r="I19" s="664"/>
      <c r="J19" s="664"/>
      <c r="K19" s="664"/>
      <c r="L19" s="664"/>
      <c r="M19" s="664"/>
    </row>
    <row r="20" spans="1:13" s="475" customFormat="1" ht="35.25" customHeight="1">
      <c r="A20" s="471" t="s">
        <v>1128</v>
      </c>
      <c r="B20" s="472" t="s">
        <v>1029</v>
      </c>
      <c r="C20" s="474">
        <f>SUM(C14:C19)</f>
        <v>980518852</v>
      </c>
      <c r="D20" s="474">
        <f>SUM(D14:D19)</f>
        <v>260346133</v>
      </c>
      <c r="E20" s="665">
        <f>+'Bank Liabilities Analysis'!S13</f>
        <v>980518852</v>
      </c>
      <c r="F20" s="665">
        <f>+'Bank Liabilities Analysis'!T13</f>
        <v>720172719</v>
      </c>
      <c r="G20" s="665">
        <f>+'Bank Liabilities Analysis'!U13</f>
        <v>260346133</v>
      </c>
      <c r="H20" s="666"/>
      <c r="I20" s="666"/>
      <c r="J20" s="666"/>
      <c r="K20" s="666"/>
      <c r="L20" s="666"/>
      <c r="M20" s="666"/>
    </row>
    <row r="21" spans="1:13" s="473" customFormat="1" ht="9" customHeight="1">
      <c r="A21" s="501"/>
      <c r="B21" s="502"/>
      <c r="C21" s="477"/>
      <c r="D21" s="477"/>
      <c r="E21" s="664"/>
      <c r="F21" s="664"/>
      <c r="G21" s="664"/>
      <c r="H21" s="664"/>
      <c r="I21" s="664"/>
      <c r="J21" s="664"/>
      <c r="K21" s="664"/>
      <c r="L21" s="664"/>
      <c r="M21" s="664"/>
    </row>
    <row r="22" spans="1:13" s="475" customFormat="1" ht="35.25" customHeight="1">
      <c r="A22" s="471" t="s">
        <v>789</v>
      </c>
      <c r="B22" s="472" t="s">
        <v>442</v>
      </c>
      <c r="C22" s="474">
        <f>+C11+C20</f>
        <v>1392438606</v>
      </c>
      <c r="D22" s="474">
        <f>+D11+D20</f>
        <v>295723545</v>
      </c>
      <c r="E22" s="665">
        <f>+'Bank Liabilities Analysis'!S22</f>
        <v>1392438606</v>
      </c>
      <c r="F22" s="665">
        <f>+'Bank Liabilities Analysis'!T22</f>
        <v>1096715061</v>
      </c>
      <c r="G22" s="665">
        <f>+'Bank Liabilities Analysis'!U22</f>
        <v>295723545</v>
      </c>
      <c r="H22" s="666"/>
      <c r="I22" s="666"/>
      <c r="J22" s="666"/>
      <c r="K22" s="666"/>
      <c r="L22" s="666"/>
      <c r="M22" s="666"/>
    </row>
    <row r="25" spans="1:13">
      <c r="B25" s="478" t="s">
        <v>4</v>
      </c>
    </row>
    <row r="26" spans="1:13">
      <c r="B26" s="478"/>
    </row>
    <row r="27" spans="1:13">
      <c r="B27" s="478" t="s">
        <v>5</v>
      </c>
    </row>
  </sheetData>
  <sheetProtection password="CA76" sheet="1" objects="1" scenarios="1"/>
  <mergeCells count="1">
    <mergeCell ref="A1:C1"/>
  </mergeCells>
  <phoneticPr fontId="18" type="noConversion"/>
  <conditionalFormatting sqref="D11">
    <cfRule type="cellIs" dxfId="194" priority="9" operator="notEqual">
      <formula>$G$11</formula>
    </cfRule>
  </conditionalFormatting>
  <conditionalFormatting sqref="D20">
    <cfRule type="cellIs" dxfId="193" priority="10" operator="notEqual">
      <formula>$G$20</formula>
    </cfRule>
  </conditionalFormatting>
  <conditionalFormatting sqref="D22">
    <cfRule type="cellIs" dxfId="192" priority="11" operator="notEqual">
      <formula>$G$22</formula>
    </cfRule>
  </conditionalFormatting>
  <conditionalFormatting sqref="C11">
    <cfRule type="cellIs" dxfId="191" priority="15" operator="notEqual">
      <formula>$E$11</formula>
    </cfRule>
  </conditionalFormatting>
  <conditionalFormatting sqref="C20">
    <cfRule type="cellIs" dxfId="190" priority="16" operator="notEqual">
      <formula>$E$20</formula>
    </cfRule>
  </conditionalFormatting>
  <conditionalFormatting sqref="C22">
    <cfRule type="cellIs" dxfId="189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 xr:uid="{00000000-0002-0000-11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1100-000001000000}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5">
    <pageSetUpPr fitToPage="1"/>
  </sheetPr>
  <dimension ref="A1:N82"/>
  <sheetViews>
    <sheetView zoomScaleSheetLayoutView="100" workbookViewId="0">
      <selection activeCell="C13" sqref="C13"/>
    </sheetView>
  </sheetViews>
  <sheetFormatPr defaultRowHeight="12.75"/>
  <cols>
    <col min="1" max="1" width="48.42578125" style="221" customWidth="1"/>
    <col min="2" max="2" width="16.85546875" style="221" customWidth="1"/>
    <col min="3" max="3" width="16.7109375" style="221" customWidth="1"/>
    <col min="4" max="4" width="16" style="221" customWidth="1"/>
    <col min="5" max="5" width="15.42578125" style="221" customWidth="1"/>
    <col min="6" max="9" width="12.140625" style="657" customWidth="1"/>
    <col min="10" max="11" width="5.42578125" style="802" customWidth="1"/>
    <col min="12" max="13" width="9.140625" style="802"/>
    <col min="14" max="14" width="9.140625" style="803"/>
    <col min="15" max="16384" width="9.140625" style="221"/>
  </cols>
  <sheetData>
    <row r="1" spans="1:14" ht="44.25" customHeight="1">
      <c r="A1" s="1303" t="s">
        <v>352</v>
      </c>
      <c r="B1" s="1303"/>
      <c r="C1" s="1303"/>
      <c r="D1" s="1303"/>
      <c r="E1" s="219" t="s">
        <v>986</v>
      </c>
    </row>
    <row r="2" spans="1:14" s="220" customFormat="1" ht="18" customHeight="1">
      <c r="A2" s="481" t="str">
        <f>Balance!B3</f>
        <v>АКБ "Микрокредитбанк"</v>
      </c>
      <c r="C2" s="480" t="str">
        <f>+Balance!B2</f>
        <v xml:space="preserve"> 30 Декабрь, 2019</v>
      </c>
      <c r="D2" s="378"/>
      <c r="E2" s="479" t="str">
        <f>+Balance!E3</f>
        <v>тыс. сум</v>
      </c>
      <c r="F2" s="667"/>
      <c r="G2" s="667"/>
      <c r="H2" s="667"/>
      <c r="I2" s="667"/>
      <c r="J2" s="804"/>
      <c r="K2" s="804"/>
      <c r="L2" s="804"/>
      <c r="M2" s="804"/>
      <c r="N2" s="805"/>
    </row>
    <row r="3" spans="1:14" ht="26.25" customHeight="1">
      <c r="A3" s="1298" t="s">
        <v>353</v>
      </c>
      <c r="B3" s="1300" t="s">
        <v>985</v>
      </c>
      <c r="C3" s="1296" t="s">
        <v>985</v>
      </c>
      <c r="D3" s="1297"/>
      <c r="E3" s="1302" t="s">
        <v>355</v>
      </c>
    </row>
    <row r="4" spans="1:14" ht="42.75" customHeight="1">
      <c r="A4" s="1299"/>
      <c r="B4" s="1301"/>
      <c r="C4" s="193" t="s">
        <v>532</v>
      </c>
      <c r="D4" s="193" t="s">
        <v>533</v>
      </c>
      <c r="E4" s="1301"/>
    </row>
    <row r="5" spans="1:14" ht="12.75" customHeight="1">
      <c r="A5" s="379"/>
      <c r="B5" s="379"/>
      <c r="C5" s="392"/>
      <c r="D5" s="392"/>
      <c r="E5" s="379"/>
    </row>
    <row r="6" spans="1:14" s="220" customFormat="1" ht="12.75" customHeight="1">
      <c r="A6" s="562" t="s">
        <v>356</v>
      </c>
      <c r="B6" s="136">
        <f t="shared" ref="B6:B15" si="0">+C6+D6</f>
        <v>0</v>
      </c>
      <c r="C6" s="88"/>
      <c r="D6" s="88"/>
      <c r="E6" s="88"/>
      <c r="F6" s="668"/>
      <c r="G6" s="668"/>
      <c r="H6" s="668"/>
      <c r="I6" s="668"/>
      <c r="J6" s="804"/>
      <c r="K6" s="804"/>
      <c r="L6" s="804"/>
      <c r="M6" s="804"/>
      <c r="N6" s="805"/>
    </row>
    <row r="7" spans="1:14" s="220" customFormat="1" ht="12.75" customHeight="1">
      <c r="A7" s="561" t="s">
        <v>357</v>
      </c>
      <c r="B7" s="136">
        <f t="shared" si="0"/>
        <v>0</v>
      </c>
      <c r="C7" s="781"/>
      <c r="D7" s="781"/>
      <c r="E7" s="781"/>
      <c r="F7" s="668"/>
      <c r="G7" s="668"/>
      <c r="H7" s="668"/>
      <c r="I7" s="668"/>
      <c r="J7" s="804"/>
      <c r="K7" s="804"/>
      <c r="L7" s="804"/>
      <c r="M7" s="804"/>
      <c r="N7" s="805"/>
    </row>
    <row r="8" spans="1:14" s="220" customFormat="1" ht="12.75" customHeight="1">
      <c r="A8" s="561" t="s">
        <v>358</v>
      </c>
      <c r="B8" s="136">
        <f t="shared" si="0"/>
        <v>0</v>
      </c>
      <c r="C8" s="88"/>
      <c r="D8" s="88"/>
      <c r="E8" s="88"/>
      <c r="F8" s="668"/>
      <c r="G8" s="668"/>
      <c r="H8" s="668"/>
      <c r="I8" s="668"/>
      <c r="J8" s="804"/>
      <c r="K8" s="804"/>
      <c r="L8" s="804"/>
      <c r="M8" s="804"/>
      <c r="N8" s="805"/>
    </row>
    <row r="9" spans="1:14" s="220" customFormat="1" ht="12.75" customHeight="1">
      <c r="A9" s="561" t="s">
        <v>359</v>
      </c>
      <c r="B9" s="136">
        <f t="shared" si="0"/>
        <v>0</v>
      </c>
      <c r="C9" s="88"/>
      <c r="D9" s="88"/>
      <c r="E9" s="88"/>
      <c r="F9" s="668"/>
      <c r="G9" s="668"/>
      <c r="H9" s="668"/>
      <c r="I9" s="668"/>
      <c r="J9" s="804"/>
      <c r="K9" s="804"/>
      <c r="L9" s="804"/>
      <c r="M9" s="804"/>
      <c r="N9" s="805"/>
    </row>
    <row r="10" spans="1:14" s="220" customFormat="1" ht="12.75" customHeight="1">
      <c r="A10" s="561" t="s">
        <v>360</v>
      </c>
      <c r="B10" s="136">
        <f>+C10+D10</f>
        <v>0</v>
      </c>
      <c r="C10" s="88">
        <v>0</v>
      </c>
      <c r="D10" s="88">
        <v>0</v>
      </c>
      <c r="E10" s="88">
        <v>341924</v>
      </c>
      <c r="F10" s="668"/>
      <c r="G10" s="668"/>
      <c r="H10" s="668"/>
      <c r="I10" s="668"/>
      <c r="J10" s="804"/>
      <c r="K10" s="804"/>
      <c r="L10" s="804"/>
      <c r="M10" s="804"/>
      <c r="N10" s="805"/>
    </row>
    <row r="11" spans="1:14" s="220" customFormat="1" ht="12.75" customHeight="1">
      <c r="A11" s="561" t="s">
        <v>361</v>
      </c>
      <c r="B11" s="136">
        <f>+C11+D11</f>
        <v>70220</v>
      </c>
      <c r="C11" s="88">
        <v>70220</v>
      </c>
      <c r="D11" s="88"/>
      <c r="E11" s="88"/>
      <c r="F11" s="668"/>
      <c r="G11" s="667"/>
      <c r="H11" s="667"/>
      <c r="I11" s="667"/>
      <c r="J11" s="804"/>
      <c r="K11" s="804"/>
      <c r="L11" s="804"/>
      <c r="M11" s="804"/>
      <c r="N11" s="805"/>
    </row>
    <row r="12" spans="1:14" s="220" customFormat="1">
      <c r="A12" s="561" t="s">
        <v>362</v>
      </c>
      <c r="B12" s="136">
        <f t="shared" si="0"/>
        <v>6871704</v>
      </c>
      <c r="C12" s="88">
        <f>6600000+271704</f>
        <v>6871704</v>
      </c>
      <c r="D12" s="88">
        <v>0</v>
      </c>
      <c r="E12" s="88">
        <v>6600000</v>
      </c>
      <c r="F12" s="668"/>
      <c r="G12" s="667"/>
      <c r="H12" s="667"/>
      <c r="I12" s="667"/>
      <c r="J12" s="804"/>
      <c r="K12" s="804"/>
      <c r="L12" s="804"/>
      <c r="M12" s="804"/>
      <c r="N12" s="805"/>
    </row>
    <row r="13" spans="1:14" s="220" customFormat="1" ht="12.75" customHeight="1">
      <c r="A13" s="569" t="s">
        <v>363</v>
      </c>
      <c r="B13" s="137">
        <f t="shared" si="0"/>
        <v>6941924</v>
      </c>
      <c r="C13" s="137">
        <f>SUM(C6:C12)</f>
        <v>6941924</v>
      </c>
      <c r="D13" s="137">
        <f>SUM(D6:D12)</f>
        <v>0</v>
      </c>
      <c r="E13" s="137">
        <f>SUM(E6:E12)</f>
        <v>6941924</v>
      </c>
      <c r="F13" s="668"/>
      <c r="G13" s="667"/>
      <c r="H13" s="667"/>
      <c r="I13" s="667"/>
      <c r="J13" s="804"/>
      <c r="K13" s="804"/>
      <c r="L13" s="804"/>
      <c r="M13" s="804"/>
      <c r="N13" s="805"/>
    </row>
    <row r="14" spans="1:14" s="220" customFormat="1" ht="12.75" customHeight="1">
      <c r="A14" s="564" t="s">
        <v>364</v>
      </c>
      <c r="B14" s="136">
        <f t="shared" si="0"/>
        <v>271704</v>
      </c>
      <c r="C14" s="565">
        <v>271704</v>
      </c>
      <c r="D14" s="565"/>
      <c r="E14" s="566"/>
      <c r="F14" s="668"/>
      <c r="G14" s="667"/>
      <c r="H14" s="667"/>
      <c r="I14" s="667"/>
      <c r="J14" s="804"/>
      <c r="K14" s="804"/>
      <c r="L14" s="804"/>
      <c r="M14" s="804"/>
      <c r="N14" s="805"/>
    </row>
    <row r="15" spans="1:14" s="220" customFormat="1" ht="17.25" customHeight="1">
      <c r="A15" s="569" t="s">
        <v>365</v>
      </c>
      <c r="B15" s="137">
        <f t="shared" si="0"/>
        <v>6670220</v>
      </c>
      <c r="C15" s="137">
        <f>C13-C14</f>
        <v>6670220</v>
      </c>
      <c r="D15" s="137">
        <f>D13-D14</f>
        <v>0</v>
      </c>
      <c r="E15" s="568"/>
      <c r="F15" s="669">
        <f>+'Bank Assets Analysis'!S27</f>
        <v>6670220</v>
      </c>
      <c r="G15" s="667">
        <f>+'Bank Assets Analysis'!T27</f>
        <v>6670220</v>
      </c>
      <c r="H15" s="667">
        <f>+'Bank Assets Analysis'!U27</f>
        <v>0</v>
      </c>
      <c r="I15" s="667"/>
      <c r="J15" s="804"/>
      <c r="K15" s="804"/>
      <c r="L15" s="804"/>
      <c r="M15" s="804"/>
      <c r="N15" s="805"/>
    </row>
    <row r="16" spans="1:14" ht="12.75" customHeight="1">
      <c r="A16" s="384"/>
      <c r="B16" s="385"/>
      <c r="C16" s="385"/>
      <c r="D16" s="385"/>
      <c r="E16" s="385"/>
      <c r="F16" s="658"/>
      <c r="G16" s="667"/>
      <c r="H16" s="667"/>
      <c r="I16" s="667"/>
    </row>
    <row r="17" spans="1:14" s="220" customFormat="1" ht="38.25" customHeight="1">
      <c r="A17" s="396" t="s">
        <v>366</v>
      </c>
      <c r="B17" s="393" t="s">
        <v>354</v>
      </c>
      <c r="C17" s="193" t="s">
        <v>532</v>
      </c>
      <c r="D17" s="193" t="s">
        <v>533</v>
      </c>
      <c r="E17" s="393" t="s">
        <v>355</v>
      </c>
      <c r="F17" s="670">
        <f>+Balance!C16</f>
        <v>6670220</v>
      </c>
      <c r="G17" s="667">
        <f>+Balance!D16</f>
        <v>6670220</v>
      </c>
      <c r="H17" s="667">
        <f>+Balance!E16</f>
        <v>0</v>
      </c>
      <c r="I17" s="667"/>
      <c r="J17" s="804"/>
      <c r="K17" s="804"/>
      <c r="L17" s="804"/>
      <c r="M17" s="804"/>
      <c r="N17" s="805"/>
    </row>
    <row r="18" spans="1:14" s="220" customFormat="1" ht="12.75" customHeight="1">
      <c r="A18" s="560"/>
      <c r="B18" s="561"/>
      <c r="C18" s="561"/>
      <c r="D18" s="561"/>
      <c r="E18" s="561"/>
      <c r="F18" s="668"/>
      <c r="G18" s="667"/>
      <c r="H18" s="667"/>
      <c r="I18" s="667"/>
      <c r="J18" s="804"/>
      <c r="K18" s="804"/>
      <c r="L18" s="804"/>
      <c r="M18" s="804"/>
      <c r="N18" s="805"/>
    </row>
    <row r="19" spans="1:14" s="220" customFormat="1">
      <c r="A19" s="562" t="s">
        <v>367</v>
      </c>
      <c r="B19" s="136">
        <f t="shared" ref="B19:B28" si="1">+C19+D19</f>
        <v>0</v>
      </c>
      <c r="C19" s="88">
        <v>0</v>
      </c>
      <c r="D19" s="88"/>
      <c r="E19" s="88"/>
      <c r="F19" s="668"/>
      <c r="G19" s="667"/>
      <c r="H19" s="667"/>
      <c r="I19" s="667"/>
      <c r="J19" s="804"/>
      <c r="K19" s="804"/>
      <c r="L19" s="804"/>
      <c r="M19" s="804"/>
      <c r="N19" s="805"/>
    </row>
    <row r="20" spans="1:14" s="220" customFormat="1">
      <c r="A20" s="561" t="s">
        <v>368</v>
      </c>
      <c r="B20" s="136">
        <f t="shared" si="1"/>
        <v>119576827</v>
      </c>
      <c r="C20" s="88">
        <v>119576827</v>
      </c>
      <c r="D20" s="88">
        <v>0</v>
      </c>
      <c r="E20" s="88">
        <v>119576827</v>
      </c>
      <c r="F20" s="668"/>
      <c r="G20" s="667"/>
      <c r="H20" s="667"/>
      <c r="I20" s="667"/>
      <c r="J20" s="804"/>
      <c r="K20" s="804"/>
      <c r="L20" s="804"/>
      <c r="M20" s="804"/>
      <c r="N20" s="805"/>
    </row>
    <row r="21" spans="1:14" s="220" customFormat="1">
      <c r="A21" s="561" t="s">
        <v>369</v>
      </c>
      <c r="B21" s="136">
        <f t="shared" si="1"/>
        <v>0</v>
      </c>
      <c r="C21" s="88"/>
      <c r="D21" s="88"/>
      <c r="E21" s="88"/>
      <c r="F21" s="668"/>
      <c r="G21" s="667"/>
      <c r="H21" s="667"/>
      <c r="I21" s="667"/>
      <c r="J21" s="804"/>
      <c r="K21" s="804"/>
      <c r="L21" s="804"/>
      <c r="M21" s="804"/>
      <c r="N21" s="805"/>
    </row>
    <row r="22" spans="1:14" s="220" customFormat="1">
      <c r="A22" s="561" t="s">
        <v>370</v>
      </c>
      <c r="B22" s="136">
        <f t="shared" si="1"/>
        <v>0</v>
      </c>
      <c r="C22" s="88"/>
      <c r="D22" s="88"/>
      <c r="E22" s="88"/>
      <c r="F22" s="668"/>
      <c r="G22" s="668"/>
      <c r="H22" s="668"/>
      <c r="I22" s="668"/>
      <c r="J22" s="804"/>
      <c r="K22" s="804"/>
      <c r="L22" s="804"/>
      <c r="M22" s="804"/>
      <c r="N22" s="805"/>
    </row>
    <row r="23" spans="1:14" s="220" customFormat="1">
      <c r="A23" s="561" t="s">
        <v>371</v>
      </c>
      <c r="B23" s="136">
        <f t="shared" si="1"/>
        <v>0</v>
      </c>
      <c r="C23" s="88"/>
      <c r="D23" s="88"/>
      <c r="E23" s="88"/>
      <c r="F23" s="668"/>
      <c r="G23" s="668"/>
      <c r="H23" s="668"/>
      <c r="I23" s="668"/>
      <c r="J23" s="804"/>
      <c r="K23" s="804"/>
      <c r="L23" s="804"/>
      <c r="M23" s="804"/>
      <c r="N23" s="805"/>
    </row>
    <row r="24" spans="1:14" s="220" customFormat="1">
      <c r="A24" s="561" t="s">
        <v>372</v>
      </c>
      <c r="B24" s="136">
        <f t="shared" si="1"/>
        <v>0</v>
      </c>
      <c r="C24" s="88"/>
      <c r="D24" s="88"/>
      <c r="E24" s="88"/>
      <c r="F24" s="668"/>
      <c r="G24" s="668"/>
      <c r="H24" s="668"/>
      <c r="I24" s="668"/>
      <c r="J24" s="804"/>
      <c r="K24" s="804"/>
      <c r="L24" s="804"/>
      <c r="M24" s="804"/>
      <c r="N24" s="805"/>
    </row>
    <row r="25" spans="1:14" s="220" customFormat="1">
      <c r="A25" s="561" t="s">
        <v>373</v>
      </c>
      <c r="B25" s="136">
        <f t="shared" si="1"/>
        <v>0</v>
      </c>
      <c r="C25" s="88"/>
      <c r="D25" s="88"/>
      <c r="E25" s="88"/>
      <c r="F25" s="668"/>
      <c r="G25" s="668"/>
      <c r="H25" s="668"/>
      <c r="I25" s="668"/>
      <c r="J25" s="804"/>
      <c r="K25" s="804"/>
      <c r="L25" s="804"/>
      <c r="M25" s="804"/>
      <c r="N25" s="805"/>
    </row>
    <row r="26" spans="1:14" s="220" customFormat="1">
      <c r="A26" s="563" t="s">
        <v>374</v>
      </c>
      <c r="B26" s="137">
        <f t="shared" si="1"/>
        <v>119576827</v>
      </c>
      <c r="C26" s="137">
        <f>SUM(C19:C25)</f>
        <v>119576827</v>
      </c>
      <c r="D26" s="137">
        <f>SUM(D19:D25)</f>
        <v>0</v>
      </c>
      <c r="E26" s="137">
        <f>SUM(E19:E25)</f>
        <v>119576827</v>
      </c>
      <c r="F26" s="668"/>
      <c r="G26" s="668"/>
      <c r="H26" s="668"/>
      <c r="I26" s="668"/>
      <c r="J26" s="804"/>
      <c r="K26" s="804"/>
      <c r="L26" s="804"/>
      <c r="M26" s="804"/>
      <c r="N26" s="805"/>
    </row>
    <row r="27" spans="1:14" s="220" customFormat="1">
      <c r="A27" s="564" t="s">
        <v>364</v>
      </c>
      <c r="B27" s="136">
        <f t="shared" si="1"/>
        <v>0</v>
      </c>
      <c r="C27" s="565"/>
      <c r="D27" s="565"/>
      <c r="E27" s="566"/>
      <c r="F27" s="668"/>
      <c r="G27" s="668"/>
      <c r="H27" s="668"/>
      <c r="I27" s="668"/>
      <c r="J27" s="804"/>
      <c r="K27" s="804"/>
      <c r="L27" s="804"/>
      <c r="M27" s="804"/>
      <c r="N27" s="805"/>
    </row>
    <row r="28" spans="1:14" s="220" customFormat="1" ht="32.25" customHeight="1">
      <c r="A28" s="567" t="s">
        <v>375</v>
      </c>
      <c r="B28" s="137">
        <f t="shared" si="1"/>
        <v>119576827</v>
      </c>
      <c r="C28" s="137">
        <f>C26-C27</f>
        <v>119576827</v>
      </c>
      <c r="D28" s="137">
        <f>D26-D27</f>
        <v>0</v>
      </c>
      <c r="E28" s="568"/>
      <c r="F28" s="668"/>
      <c r="G28" s="668"/>
      <c r="H28" s="668"/>
      <c r="I28" s="668"/>
      <c r="J28" s="804"/>
      <c r="K28" s="804"/>
      <c r="L28" s="804"/>
      <c r="M28" s="804"/>
      <c r="N28" s="805"/>
    </row>
    <row r="29" spans="1:14" ht="12.75" customHeight="1">
      <c r="A29" s="384"/>
      <c r="B29" s="385"/>
      <c r="C29" s="385"/>
      <c r="D29" s="385"/>
      <c r="E29" s="385"/>
      <c r="F29" s="659"/>
      <c r="G29" s="658"/>
      <c r="H29" s="658"/>
      <c r="I29" s="658"/>
    </row>
    <row r="30" spans="1:14" ht="12.75" customHeight="1">
      <c r="A30" s="386"/>
      <c r="B30" s="386"/>
      <c r="C30" s="386"/>
      <c r="D30" s="386"/>
      <c r="E30" s="386"/>
    </row>
    <row r="31" spans="1:14" ht="12.75" customHeight="1">
      <c r="A31" s="387"/>
      <c r="B31" s="385"/>
      <c r="C31" s="385"/>
      <c r="D31" s="385"/>
      <c r="E31" s="385"/>
      <c r="F31" s="658"/>
      <c r="G31" s="658"/>
      <c r="H31" s="658"/>
      <c r="I31" s="658"/>
    </row>
    <row r="32" spans="1:14" s="395" customFormat="1" ht="42" customHeight="1">
      <c r="A32" s="394" t="s">
        <v>376</v>
      </c>
      <c r="B32" s="393" t="s">
        <v>377</v>
      </c>
      <c r="C32" s="193" t="s">
        <v>532</v>
      </c>
      <c r="D32" s="193" t="s">
        <v>533</v>
      </c>
      <c r="E32" s="393" t="s">
        <v>355</v>
      </c>
      <c r="F32" s="671"/>
      <c r="G32" s="671"/>
      <c r="H32" s="671"/>
      <c r="I32" s="671"/>
      <c r="J32" s="806"/>
      <c r="K32" s="806"/>
      <c r="L32" s="806"/>
      <c r="M32" s="806"/>
      <c r="N32" s="807"/>
    </row>
    <row r="33" spans="1:9" ht="12.75" customHeight="1">
      <c r="A33" s="388"/>
      <c r="B33" s="388"/>
      <c r="C33" s="388"/>
      <c r="D33" s="388"/>
      <c r="E33" s="388"/>
      <c r="F33" s="658"/>
      <c r="G33" s="658"/>
      <c r="H33" s="658"/>
      <c r="I33" s="658"/>
    </row>
    <row r="34" spans="1:9" ht="12.75" customHeight="1">
      <c r="A34" s="388" t="s">
        <v>378</v>
      </c>
      <c r="B34" s="13">
        <f t="shared" ref="B34:B39" si="2">+C34+D34</f>
        <v>0</v>
      </c>
      <c r="C34" s="19">
        <v>0</v>
      </c>
      <c r="D34" s="19"/>
      <c r="E34" s="19"/>
      <c r="F34" s="658"/>
      <c r="G34" s="658"/>
      <c r="H34" s="658"/>
      <c r="I34" s="658"/>
    </row>
    <row r="35" spans="1:9" ht="12.75" customHeight="1">
      <c r="A35" s="388" t="s">
        <v>379</v>
      </c>
      <c r="B35" s="13">
        <f t="shared" si="2"/>
        <v>0</v>
      </c>
      <c r="C35" s="19">
        <v>0</v>
      </c>
      <c r="D35" s="19"/>
      <c r="E35" s="19"/>
      <c r="F35" s="658"/>
      <c r="G35" s="658"/>
      <c r="H35" s="658"/>
      <c r="I35" s="658"/>
    </row>
    <row r="36" spans="1:9" ht="12.75" customHeight="1">
      <c r="A36" s="388" t="s">
        <v>380</v>
      </c>
      <c r="B36" s="13">
        <f t="shared" si="2"/>
        <v>175</v>
      </c>
      <c r="C36" s="19">
        <v>175</v>
      </c>
      <c r="D36" s="19"/>
      <c r="E36" s="19">
        <v>174.702</v>
      </c>
      <c r="F36" s="658"/>
      <c r="G36" s="658"/>
      <c r="H36" s="658"/>
      <c r="I36" s="658"/>
    </row>
    <row r="37" spans="1:9" ht="12.75" customHeight="1">
      <c r="A37" s="814" t="s">
        <v>1181</v>
      </c>
      <c r="B37" s="13">
        <f t="shared" si="2"/>
        <v>175</v>
      </c>
      <c r="C37" s="13">
        <f>SUM(C34:C36)</f>
        <v>175</v>
      </c>
      <c r="D37" s="13">
        <f>SUM(D34:D36)</f>
        <v>0</v>
      </c>
      <c r="E37" s="13">
        <f>SUM(E34:E36)</f>
        <v>174.702</v>
      </c>
      <c r="F37" s="658"/>
      <c r="G37" s="658"/>
      <c r="H37" s="658"/>
      <c r="I37" s="658"/>
    </row>
    <row r="38" spans="1:9" ht="12.75" customHeight="1">
      <c r="A38" s="815" t="s">
        <v>1182</v>
      </c>
      <c r="B38" s="13">
        <f t="shared" si="2"/>
        <v>0</v>
      </c>
      <c r="C38" s="381"/>
      <c r="D38" s="381"/>
      <c r="E38" s="382"/>
      <c r="F38" s="658"/>
      <c r="G38" s="658"/>
      <c r="H38" s="658"/>
      <c r="I38" s="658"/>
    </row>
    <row r="39" spans="1:9" ht="25.5">
      <c r="A39" s="816" t="s">
        <v>1183</v>
      </c>
      <c r="B39" s="380">
        <f t="shared" si="2"/>
        <v>175</v>
      </c>
      <c r="C39" s="380">
        <f>C37-C38</f>
        <v>175</v>
      </c>
      <c r="D39" s="380">
        <f>D37-D38</f>
        <v>0</v>
      </c>
      <c r="E39" s="383"/>
      <c r="F39" s="658"/>
      <c r="G39" s="658"/>
      <c r="H39" s="658"/>
      <c r="I39" s="658"/>
    </row>
    <row r="40" spans="1:9" ht="12.75" customHeight="1">
      <c r="A40" s="233"/>
      <c r="B40" s="82"/>
      <c r="C40" s="82"/>
      <c r="D40" s="82"/>
      <c r="E40" s="82"/>
    </row>
    <row r="41" spans="1:9" ht="12.75" customHeight="1">
      <c r="A41" s="389" t="s">
        <v>350</v>
      </c>
      <c r="B41" s="390"/>
      <c r="C41" s="390"/>
      <c r="D41" s="390"/>
      <c r="E41" s="82"/>
      <c r="F41" s="672"/>
    </row>
    <row r="42" spans="1:9" ht="12.75" customHeight="1">
      <c r="A42" s="391" t="s">
        <v>381</v>
      </c>
      <c r="B42" s="44"/>
      <c r="C42" s="44"/>
      <c r="D42" s="44"/>
      <c r="E42" s="82"/>
      <c r="F42" s="658"/>
    </row>
    <row r="43" spans="1:9" ht="12.75" customHeight="1">
      <c r="A43" s="389" t="s">
        <v>382</v>
      </c>
      <c r="B43" s="390"/>
      <c r="C43" s="390"/>
      <c r="D43" s="390"/>
      <c r="E43" s="82"/>
      <c r="F43" s="672"/>
    </row>
    <row r="44" spans="1:9" ht="12.75" customHeight="1">
      <c r="A44" s="388" t="s">
        <v>383</v>
      </c>
      <c r="B44" s="44">
        <f>E13-B13</f>
        <v>0</v>
      </c>
      <c r="C44" s="44"/>
      <c r="D44" s="44"/>
      <c r="E44" s="82"/>
      <c r="F44" s="658"/>
    </row>
    <row r="45" spans="1:9" ht="12.75" customHeight="1">
      <c r="A45" s="389" t="s">
        <v>384</v>
      </c>
      <c r="B45" s="390"/>
      <c r="C45" s="390"/>
      <c r="D45" s="390"/>
      <c r="E45" s="82"/>
      <c r="F45" s="672"/>
    </row>
    <row r="46" spans="1:9" ht="12.75" customHeight="1">
      <c r="A46" s="388" t="s">
        <v>383</v>
      </c>
      <c r="B46" s="44">
        <f>E26-B26</f>
        <v>0</v>
      </c>
      <c r="C46" s="44"/>
      <c r="D46" s="44"/>
      <c r="E46" s="82"/>
      <c r="F46" s="658"/>
    </row>
    <row r="47" spans="1:9" ht="12.75" customHeight="1">
      <c r="A47" s="389" t="s">
        <v>385</v>
      </c>
      <c r="B47" s="390"/>
      <c r="C47" s="390"/>
      <c r="D47" s="390"/>
      <c r="E47" s="82"/>
      <c r="F47" s="672"/>
    </row>
    <row r="48" spans="1:9" ht="12.75" customHeight="1">
      <c r="A48" s="388" t="s">
        <v>383</v>
      </c>
      <c r="B48" s="44">
        <f>E37-B37</f>
        <v>-0.29800000000000182</v>
      </c>
      <c r="C48" s="44"/>
      <c r="D48" s="44"/>
      <c r="E48" s="82"/>
      <c r="F48" s="658"/>
    </row>
    <row r="49" spans="1:1" ht="12.75" customHeight="1"/>
    <row r="50" spans="1:1" ht="12.75" customHeight="1"/>
    <row r="51" spans="1:1" ht="12.75" customHeight="1">
      <c r="A51" s="15" t="s">
        <v>4</v>
      </c>
    </row>
    <row r="52" spans="1:1" ht="12.75" customHeight="1">
      <c r="A52" s="15"/>
    </row>
    <row r="53" spans="1:1" ht="12.75" customHeight="1">
      <c r="A53" s="15" t="s">
        <v>5</v>
      </c>
    </row>
    <row r="54" spans="1:1" ht="12.75" customHeight="1"/>
    <row r="55" spans="1:1" ht="12.75" customHeight="1"/>
    <row r="56" spans="1:1" ht="12.75" customHeight="1"/>
    <row r="57" spans="1:1" ht="12.75" customHeight="1"/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</sheetData>
  <sheetProtection password="CA76" sheet="1" objects="1" scenarios="1"/>
  <mergeCells count="5">
    <mergeCell ref="C3:D3"/>
    <mergeCell ref="A3:A4"/>
    <mergeCell ref="B3:B4"/>
    <mergeCell ref="E3:E4"/>
    <mergeCell ref="A1:D1"/>
  </mergeCells>
  <phoneticPr fontId="18" type="noConversion"/>
  <dataValidations count="2">
    <dataValidation type="whole" operator="greaterThanOrEqual" allowBlank="1" showErrorMessage="1" error="Введите как целое число." sqref="B38 B6:E12 B34:E36 B27 B14 B19:B25 C19:E24" xr:uid="{00000000-0002-0000-1200-000000000000}">
      <formula1>0</formula1>
    </dataValidation>
    <dataValidation type="whole" operator="greaterThanOrEqual" allowBlank="1" showInputMessage="1" showErrorMessage="1" prompt="Ввести как положительное число." sqref="C27:D27 C14:D14 C38:D38" xr:uid="{00000000-0002-0000-1200-000001000000}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6">
    <pageSetUpPr fitToPage="1"/>
  </sheetPr>
  <dimension ref="A1:P85"/>
  <sheetViews>
    <sheetView view="pageBreakPreview" zoomScaleSheetLayoutView="100" workbookViewId="0">
      <pane xSplit="2" ySplit="3" topLeftCell="C4" activePane="bottomRight" state="frozen"/>
      <selection activeCell="B32" sqref="B32"/>
      <selection pane="topRight" activeCell="B32" sqref="B32"/>
      <selection pane="bottomLeft" activeCell="B32" sqref="B32"/>
      <selection pane="bottomRight" activeCell="C17" sqref="C17:E17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221" customWidth="1"/>
    <col min="4" max="4" width="17.42578125" style="1000" customWidth="1"/>
    <col min="5" max="5" width="17.42578125" style="221" customWidth="1"/>
    <col min="6" max="7" width="17.140625" style="932" customWidth="1"/>
    <col min="8" max="8" width="17.140625" style="933" customWidth="1"/>
    <col min="9" max="9" width="14.28515625" style="938" customWidth="1"/>
    <col min="10" max="11" width="6.42578125" style="913" customWidth="1"/>
    <col min="12" max="12" width="9.140625" style="913"/>
    <col min="13" max="13" width="11.7109375" style="901" bestFit="1" customWidth="1"/>
    <col min="14" max="14" width="11.7109375" style="888" bestFit="1" customWidth="1"/>
    <col min="15" max="16" width="9.140625" style="838"/>
    <col min="17" max="16384" width="9.140625" style="1"/>
  </cols>
  <sheetData>
    <row r="1" spans="1:16" s="31" customFormat="1" ht="34.5" customHeight="1">
      <c r="B1" s="45" t="s">
        <v>386</v>
      </c>
      <c r="C1" s="533"/>
      <c r="D1" s="975"/>
      <c r="E1" s="533" t="s">
        <v>1039</v>
      </c>
      <c r="F1" s="929"/>
      <c r="G1" s="929"/>
      <c r="H1" s="930"/>
      <c r="I1" s="931"/>
      <c r="J1" s="908"/>
      <c r="K1" s="908"/>
      <c r="L1" s="909"/>
      <c r="M1" s="910"/>
      <c r="N1" s="139"/>
      <c r="O1" s="837"/>
      <c r="P1" s="837"/>
    </row>
    <row r="2" spans="1:16" ht="20.25" customHeight="1">
      <c r="B2" s="482" t="str">
        <f>Balance!B3</f>
        <v>АКБ "Микрокредитбанк"</v>
      </c>
      <c r="C2" s="480" t="str">
        <f>+Balance!B2</f>
        <v xml:space="preserve"> 30 Декабрь, 2019</v>
      </c>
      <c r="D2" s="976"/>
      <c r="E2" s="480" t="s">
        <v>7</v>
      </c>
      <c r="I2" s="934"/>
      <c r="J2" s="912"/>
      <c r="K2" s="912"/>
    </row>
    <row r="3" spans="1:16" s="46" customFormat="1" ht="36.75" customHeight="1">
      <c r="A3" s="579" t="s">
        <v>161</v>
      </c>
      <c r="B3" s="579" t="s">
        <v>387</v>
      </c>
      <c r="C3" s="579" t="s">
        <v>916</v>
      </c>
      <c r="D3" s="977" t="s">
        <v>1199</v>
      </c>
      <c r="E3" s="579" t="s">
        <v>1200</v>
      </c>
      <c r="F3" s="932"/>
      <c r="G3" s="932"/>
      <c r="H3" s="933"/>
      <c r="I3" s="934"/>
      <c r="J3" s="912"/>
      <c r="K3" s="912"/>
      <c r="L3" s="913"/>
      <c r="M3" s="712"/>
      <c r="O3" s="839"/>
      <c r="P3" s="839"/>
    </row>
    <row r="4" spans="1:16" ht="10.5" customHeight="1">
      <c r="A4" s="47"/>
      <c r="B4" s="47"/>
      <c r="C4" s="47"/>
      <c r="D4" s="978"/>
      <c r="E4" s="47"/>
      <c r="I4" s="934"/>
      <c r="J4" s="912"/>
      <c r="K4" s="912"/>
    </row>
    <row r="5" spans="1:16" ht="13.5" customHeight="1">
      <c r="A5" s="142" t="s">
        <v>555</v>
      </c>
      <c r="B5" s="169" t="s">
        <v>167</v>
      </c>
      <c r="C5" s="523">
        <f>+'Bank Assets Analysis'!S7+'Investment Securities'!B39</f>
        <v>173211752</v>
      </c>
      <c r="D5" s="979">
        <f>+'Bank Assets Analysis'!T7+'Investment Securities'!C39</f>
        <v>69805307</v>
      </c>
      <c r="E5" s="523">
        <f>+'Bank Assets Analysis'!U7+'Investment Securities'!D39</f>
        <v>103406445</v>
      </c>
      <c r="I5" s="934"/>
      <c r="J5" s="912"/>
      <c r="K5" s="912"/>
    </row>
    <row r="6" spans="1:16" ht="13.5" customHeight="1">
      <c r="A6" s="170" t="s">
        <v>567</v>
      </c>
      <c r="B6" s="171" t="s">
        <v>757</v>
      </c>
      <c r="C6" s="523">
        <f>+'Bank Assets Analysis'!S8+'Bank Assets Analysis'!S9</f>
        <v>140577780</v>
      </c>
      <c r="D6" s="979">
        <f>+'Bank Assets Analysis'!T8+'Bank Assets Analysis'!T9</f>
        <v>119493320</v>
      </c>
      <c r="E6" s="523">
        <f>+'Bank Assets Analysis'!U8+'Bank Assets Analysis'!U9</f>
        <v>21084460</v>
      </c>
      <c r="I6" s="934"/>
      <c r="J6" s="912"/>
      <c r="K6" s="912"/>
    </row>
    <row r="7" spans="1:16" ht="13.5" customHeight="1">
      <c r="A7" s="170" t="s">
        <v>789</v>
      </c>
      <c r="B7" s="171" t="s">
        <v>399</v>
      </c>
      <c r="C7" s="16">
        <f>'Bank Assets Analysis'!C11+'Bank Assets Analysis'!C13+'Bank Assets Analysis'!C14+'Bank Assets Analysis'!E14+'Bank Assets Analysis'!G14</f>
        <v>187559446</v>
      </c>
      <c r="D7" s="980">
        <f>+C7-E7</f>
        <v>1165678</v>
      </c>
      <c r="E7" s="16">
        <f>'Bank Assets Analysis'!D11+'Bank Assets Analysis'!D13+'Bank Assets Analysis'!D14+'Bank Assets Analysis'!F14+'Bank Assets Analysis'!H14</f>
        <v>186393768</v>
      </c>
      <c r="I7" s="934"/>
      <c r="J7" s="912"/>
      <c r="K7" s="912"/>
    </row>
    <row r="8" spans="1:16" ht="13.5" customHeight="1">
      <c r="A8" s="170" t="s">
        <v>893</v>
      </c>
      <c r="B8" s="171" t="s">
        <v>947</v>
      </c>
      <c r="C8" s="71">
        <f>IF(F8&gt;0,F8,0)</f>
        <v>0</v>
      </c>
      <c r="D8" s="981">
        <f>IF(G8&gt;0,G8,0)</f>
        <v>0</v>
      </c>
      <c r="E8" s="71">
        <f>IF(H8&gt;0,H8,0)</f>
        <v>0</v>
      </c>
      <c r="F8" s="935">
        <f>(('Bank Assets Analysis'!E11+'Bank Assets Analysis'!G11+'Bank Assets Analysis'!C12+'Bank Assets Analysis'!E12+'Bank Assets Analysis'!G12)-'Bank Liabilities Analysis'!C25-'Bank Liabilities Analysis'!E25-'Bank Liabilities Analysis'!G25)</f>
        <v>-338682024</v>
      </c>
      <c r="G8" s="935">
        <f>+('Bank Assets Analysis'!E11-'Bank Assets Analysis'!F11+'Bank Assets Analysis'!G11-'Bank Assets Analysis'!H11+'Bank Assets Analysis'!C12-'Bank Assets Analysis'!D12+'Bank Assets Analysis'!E12-'Bank Assets Analysis'!F12+'Bank Assets Analysis'!G12-'Bank Assets Analysis'!H12)-('Bank Liabilities Analysis'!C25-'Bank Liabilities Analysis'!D25+'Bank Liabilities Analysis'!E25-'Bank Liabilities Analysis'!F25+'Bank Liabilities Analysis'!G25-'Bank Liabilities Analysis'!H25)</f>
        <v>-39826503</v>
      </c>
      <c r="H8" s="935">
        <f>(('Bank Assets Analysis'!F11+'Bank Assets Analysis'!H11+'Bank Assets Analysis'!D12+'Bank Assets Analysis'!F12+'Bank Assets Analysis'!H12)-'Bank Liabilities Analysis'!D25-'Bank Liabilities Analysis'!F25-'Bank Liabilities Analysis'!H25)</f>
        <v>-298855521</v>
      </c>
      <c r="I8" s="934"/>
      <c r="J8" s="912"/>
      <c r="K8" s="912"/>
    </row>
    <row r="9" spans="1:16" ht="27.75" customHeight="1">
      <c r="A9" s="172" t="s">
        <v>579</v>
      </c>
      <c r="B9" s="173" t="s">
        <v>47</v>
      </c>
      <c r="C9" s="16">
        <v>109174000</v>
      </c>
      <c r="D9" s="980">
        <v>109174000</v>
      </c>
      <c r="E9" s="16"/>
      <c r="I9" s="934"/>
      <c r="J9" s="912"/>
      <c r="K9" s="912"/>
    </row>
    <row r="10" spans="1:16" s="58" customFormat="1" ht="13.5" customHeight="1">
      <c r="A10" s="142" t="s">
        <v>586</v>
      </c>
      <c r="B10" s="169" t="s">
        <v>948</v>
      </c>
      <c r="C10" s="16">
        <v>0</v>
      </c>
      <c r="D10" s="980">
        <v>0</v>
      </c>
      <c r="E10" s="16"/>
      <c r="F10" s="932"/>
      <c r="G10" s="932"/>
      <c r="H10" s="933"/>
      <c r="I10" s="934"/>
      <c r="J10" s="912"/>
      <c r="K10" s="912"/>
      <c r="L10" s="913"/>
      <c r="M10" s="901"/>
      <c r="N10" s="914"/>
      <c r="O10" s="840"/>
      <c r="P10" s="840"/>
    </row>
    <row r="11" spans="1:16" ht="13.5" customHeight="1">
      <c r="A11" s="142" t="s">
        <v>790</v>
      </c>
      <c r="B11" s="169" t="s">
        <v>949</v>
      </c>
      <c r="C11" s="16">
        <v>10402827</v>
      </c>
      <c r="D11" s="980">
        <v>10402827</v>
      </c>
      <c r="E11" s="16"/>
      <c r="I11" s="934"/>
      <c r="J11" s="912"/>
      <c r="K11" s="912"/>
    </row>
    <row r="12" spans="1:16" ht="13.5" customHeight="1">
      <c r="A12" s="174" t="s">
        <v>588</v>
      </c>
      <c r="B12" s="175" t="s">
        <v>950</v>
      </c>
      <c r="C12" s="145">
        <f>SUM(C5:C11)</f>
        <v>620925805</v>
      </c>
      <c r="D12" s="982">
        <f>SUM(D5:D11)</f>
        <v>310041132</v>
      </c>
      <c r="E12" s="145">
        <f>SUM(E5:E11)</f>
        <v>310884673</v>
      </c>
      <c r="I12" s="936"/>
      <c r="J12" s="912"/>
      <c r="K12" s="912"/>
    </row>
    <row r="13" spans="1:16" ht="13.5" customHeight="1">
      <c r="A13" s="142" t="s">
        <v>739</v>
      </c>
      <c r="B13" s="169" t="s">
        <v>951</v>
      </c>
      <c r="C13" s="71">
        <f>+'Bank Assets Analysis'!C23+'Bank Assets Analysis'!C24+'Bank Assets Analysis'!C25+'Bank Assets Analysis'!C26+'Bank Assets Analysis'!E23+'Bank Assets Analysis'!E24+'Bank Assets Analysis'!E25+'Bank Assets Analysis'!E26+'Bank Assets Analysis'!G23+'Bank Assets Analysis'!G24+'Bank Assets Analysis'!G25+'Bank Assets Analysis'!G26</f>
        <v>141749847</v>
      </c>
      <c r="D13" s="981">
        <f>+C13-E13</f>
        <v>136259201</v>
      </c>
      <c r="E13" s="71">
        <f>+'Bank Assets Analysis'!D23+'Bank Assets Analysis'!D24+'Bank Assets Analysis'!D25+'Bank Assets Analysis'!D26+'Bank Assets Analysis'!F23+'Bank Assets Analysis'!F24+'Bank Assets Analysis'!F25+'Bank Assets Analysis'!F26+'Bank Assets Analysis'!H23+'Bank Assets Analysis'!H24+'Bank Assets Analysis'!H25+'Bank Assets Analysis'!H26</f>
        <v>5490646</v>
      </c>
      <c r="I13" s="936"/>
      <c r="J13" s="912"/>
      <c r="K13" s="912"/>
    </row>
    <row r="14" spans="1:16" ht="38.25">
      <c r="A14" s="97" t="s">
        <v>597</v>
      </c>
      <c r="B14" s="176" t="s">
        <v>952</v>
      </c>
      <c r="C14" s="16">
        <f>+'Bank Assets Analysis'!C25+'Bank Assets Analysis'!C26</f>
        <v>34083003</v>
      </c>
      <c r="D14" s="980">
        <f>+C14-E14</f>
        <v>31786074</v>
      </c>
      <c r="E14" s="980">
        <f>+'Bank Assets Analysis'!D25</f>
        <v>2296929</v>
      </c>
      <c r="I14" s="934"/>
      <c r="J14" s="912"/>
      <c r="K14" s="912"/>
    </row>
    <row r="15" spans="1:16" ht="15" customHeight="1">
      <c r="A15" s="174" t="s">
        <v>599</v>
      </c>
      <c r="B15" s="175" t="s">
        <v>953</v>
      </c>
      <c r="C15" s="534">
        <f>SUM(C12:C13)-C14</f>
        <v>728592649</v>
      </c>
      <c r="D15" s="983">
        <f>SUM(D12:D13)-D14</f>
        <v>414514259</v>
      </c>
      <c r="E15" s="534">
        <f>SUM(E12:E13)-E14</f>
        <v>314078390</v>
      </c>
      <c r="I15" s="934"/>
      <c r="J15" s="912"/>
      <c r="K15" s="912"/>
    </row>
    <row r="16" spans="1:16" ht="9" customHeight="1">
      <c r="A16" s="184"/>
      <c r="B16" s="5"/>
      <c r="C16" s="535"/>
      <c r="D16" s="984"/>
      <c r="E16" s="535"/>
      <c r="I16" s="934"/>
      <c r="J16" s="912"/>
      <c r="K16" s="912"/>
    </row>
    <row r="17" spans="1:16" s="46" customFormat="1" ht="14.25" customHeight="1">
      <c r="A17" s="48"/>
      <c r="B17" s="48" t="s">
        <v>388</v>
      </c>
      <c r="C17" s="1304" t="s">
        <v>389</v>
      </c>
      <c r="D17" s="1305"/>
      <c r="E17" s="1306"/>
      <c r="F17" s="932"/>
      <c r="G17" s="932"/>
      <c r="H17" s="933"/>
      <c r="I17" s="934"/>
      <c r="J17" s="912"/>
      <c r="K17" s="912"/>
      <c r="L17" s="913"/>
      <c r="M17" s="712"/>
      <c r="O17" s="839"/>
      <c r="P17" s="839"/>
    </row>
    <row r="18" spans="1:16" ht="9" customHeight="1">
      <c r="A18" s="184"/>
      <c r="B18" s="5"/>
      <c r="C18" s="535"/>
      <c r="D18" s="984"/>
      <c r="E18" s="535"/>
      <c r="I18" s="934"/>
      <c r="J18" s="912"/>
      <c r="K18" s="912"/>
    </row>
    <row r="19" spans="1:16" ht="15" customHeight="1">
      <c r="A19" s="116" t="s">
        <v>954</v>
      </c>
      <c r="B19" s="177" t="s">
        <v>974</v>
      </c>
      <c r="C19" s="1271"/>
      <c r="D19" s="1307"/>
      <c r="E19" s="1271"/>
      <c r="I19" s="934"/>
      <c r="J19" s="912"/>
      <c r="K19" s="912"/>
    </row>
    <row r="20" spans="1:16" ht="15" customHeight="1">
      <c r="A20" s="118" t="s">
        <v>955</v>
      </c>
      <c r="B20" s="178" t="s">
        <v>975</v>
      </c>
      <c r="C20" s="1273"/>
      <c r="D20" s="1308"/>
      <c r="E20" s="1273"/>
      <c r="I20" s="934"/>
      <c r="J20" s="912"/>
      <c r="K20" s="912"/>
    </row>
    <row r="21" spans="1:16" ht="15" customHeight="1">
      <c r="A21" s="118"/>
      <c r="B21" s="178" t="s">
        <v>390</v>
      </c>
      <c r="C21" s="550">
        <f>IF(C36=0,0,(C5/C36))</f>
        <v>3.3719481121472716E-2</v>
      </c>
      <c r="D21" s="985">
        <f>IF(D36=0,0,(D5/D36))</f>
        <v>2.0280167407645679E-2</v>
      </c>
      <c r="E21" s="550">
        <f>IF(E36=0,0,(E5/E36))</f>
        <v>6.1014050500730985E-2</v>
      </c>
      <c r="I21" s="934"/>
      <c r="J21" s="912"/>
      <c r="K21" s="912"/>
    </row>
    <row r="22" spans="1:16" ht="15" customHeight="1">
      <c r="A22" s="116" t="s">
        <v>956</v>
      </c>
      <c r="B22" s="177" t="s">
        <v>976</v>
      </c>
      <c r="C22" s="1271"/>
      <c r="D22" s="1307"/>
      <c r="E22" s="1271"/>
      <c r="I22" s="934"/>
      <c r="J22" s="912"/>
      <c r="K22" s="912"/>
    </row>
    <row r="23" spans="1:16" ht="15" customHeight="1">
      <c r="A23" s="118" t="s">
        <v>957</v>
      </c>
      <c r="B23" s="178" t="s">
        <v>977</v>
      </c>
      <c r="C23" s="1273"/>
      <c r="D23" s="1308"/>
      <c r="E23" s="1273"/>
      <c r="I23" s="934"/>
      <c r="J23" s="912"/>
      <c r="K23" s="912"/>
    </row>
    <row r="24" spans="1:16" ht="13.5" customHeight="1">
      <c r="A24" s="118"/>
      <c r="B24" s="178" t="s">
        <v>390</v>
      </c>
      <c r="C24" s="550">
        <f>IF(C36=0,0,(C12/C36))</f>
        <v>0.12087687883633177</v>
      </c>
      <c r="D24" s="985">
        <f>IF(D36=0,0,(D12/D36))</f>
        <v>9.007461367107765E-2</v>
      </c>
      <c r="E24" s="550">
        <f>IF(E36=0,0,(E12/E36))</f>
        <v>0.18343472825436788</v>
      </c>
      <c r="I24" s="934"/>
      <c r="J24" s="912"/>
      <c r="K24" s="912"/>
    </row>
    <row r="25" spans="1:16" s="888" customFormat="1" ht="27" customHeight="1">
      <c r="A25" s="885" t="s">
        <v>1207</v>
      </c>
      <c r="B25" s="886" t="s">
        <v>1208</v>
      </c>
      <c r="C25" s="887"/>
      <c r="D25" s="986"/>
      <c r="E25" s="887"/>
      <c r="F25" s="932"/>
      <c r="G25" s="937"/>
      <c r="H25" s="934"/>
      <c r="I25" s="934"/>
      <c r="J25" s="913"/>
      <c r="K25" s="901"/>
    </row>
    <row r="26" spans="1:16" s="888" customFormat="1" ht="15" customHeight="1">
      <c r="A26" s="885" t="s">
        <v>1209</v>
      </c>
      <c r="B26" s="886" t="s">
        <v>1210</v>
      </c>
      <c r="C26" s="887"/>
      <c r="D26" s="986"/>
      <c r="E26" s="887"/>
      <c r="F26" s="932"/>
      <c r="G26" s="937"/>
      <c r="H26" s="934"/>
      <c r="I26" s="934"/>
      <c r="J26" s="913"/>
      <c r="K26" s="901"/>
    </row>
    <row r="27" spans="1:16" s="888" customFormat="1" ht="15" customHeight="1">
      <c r="A27" s="885" t="s">
        <v>1211</v>
      </c>
      <c r="B27" s="886" t="s">
        <v>1212</v>
      </c>
      <c r="C27" s="889">
        <f>IF('Deposits by Client'!E22=0,"",Balance!C22/'Deposits by Client'!E22)</f>
        <v>3.3412237781634735</v>
      </c>
      <c r="D27" s="987">
        <f>IF('Deposits by Client'!F22=0,"",Balance!D22/'Deposits by Client'!F22)</f>
        <v>2.8200492023698032</v>
      </c>
      <c r="E27" s="889">
        <f>IF('Deposits by Client'!G22=0,"",Balance!E22/'Deposits by Client'!G22)</f>
        <v>5.2740425081810782</v>
      </c>
      <c r="F27" s="932"/>
      <c r="G27" s="937"/>
      <c r="H27" s="934"/>
      <c r="I27" s="934"/>
      <c r="J27" s="913"/>
      <c r="K27" s="901"/>
    </row>
    <row r="28" spans="1:16" s="888" customFormat="1" ht="15" customHeight="1">
      <c r="A28" s="885" t="s">
        <v>1213</v>
      </c>
      <c r="B28" s="886" t="s">
        <v>1214</v>
      </c>
      <c r="C28" s="890"/>
      <c r="D28" s="988"/>
      <c r="E28" s="890"/>
      <c r="F28" s="932"/>
      <c r="G28" s="937"/>
      <c r="H28" s="934"/>
      <c r="I28" s="934"/>
      <c r="J28" s="913"/>
      <c r="K28" s="901"/>
    </row>
    <row r="29" spans="1:16" ht="7.5" customHeight="1">
      <c r="A29" s="185"/>
      <c r="B29" s="78"/>
      <c r="C29" s="536"/>
      <c r="D29" s="989"/>
      <c r="E29" s="536"/>
      <c r="I29" s="934"/>
      <c r="J29" s="912"/>
      <c r="K29" s="912"/>
    </row>
    <row r="30" spans="1:16" s="46" customFormat="1" ht="13.5" customHeight="1">
      <c r="A30" s="79"/>
      <c r="B30" s="79" t="s">
        <v>391</v>
      </c>
      <c r="C30" s="537"/>
      <c r="D30" s="990"/>
      <c r="E30" s="537"/>
      <c r="F30" s="932"/>
      <c r="G30" s="932"/>
      <c r="H30" s="933"/>
      <c r="I30" s="934"/>
      <c r="J30" s="912"/>
      <c r="K30" s="912"/>
      <c r="L30" s="913"/>
      <c r="M30" s="712"/>
      <c r="O30" s="839"/>
      <c r="P30" s="839"/>
    </row>
    <row r="31" spans="1:16" ht="3.75" customHeight="1">
      <c r="A31" s="186"/>
      <c r="B31" s="80"/>
      <c r="C31" s="538"/>
      <c r="D31" s="991"/>
      <c r="E31" s="538"/>
      <c r="I31" s="934"/>
      <c r="J31" s="912"/>
      <c r="K31" s="912"/>
    </row>
    <row r="32" spans="1:16" ht="16.5" customHeight="1">
      <c r="A32" s="116" t="s">
        <v>893</v>
      </c>
      <c r="B32" s="177" t="s">
        <v>984</v>
      </c>
      <c r="C32" s="548">
        <f>IFERROR(+C15/F32,0)</f>
        <v>0.61193935167306135</v>
      </c>
      <c r="D32" s="992">
        <f>IFERROR(+D15/G32,0)</f>
        <v>0.71825081947736691</v>
      </c>
      <c r="E32" s="548">
        <f>IFERROR(+E15/H32,0)</f>
        <v>0.5119347444676311</v>
      </c>
      <c r="F32" s="933">
        <f>+(('Bank Liabilities Analysis'!C38+'Bank Liabilities Analysis'!E38+'Bank Liabilities Analysis'!G38-'Bank Liabilities Analysis'!C25-'Bank Liabilities Analysis'!E25-'Bank Liabilities Analysis'!G25)-(IF(F8&lt;0,F8,0)))</f>
        <v>1190628854</v>
      </c>
      <c r="G32" s="933">
        <f>+(('Bank Liabilities Analysis (нац)'!C37+'Bank Liabilities Analysis (нац)'!D37+'Bank Liabilities Analysis (нац)'!E37--'Bank Liabilities Analysis (нац)'!C24-'Bank Liabilities Analysis (нац)'!D24-'Bank Liabilities Analysis (нац)'!E24)-(IF(G8&lt;0,G8,0)))</f>
        <v>577116305</v>
      </c>
      <c r="H32" s="935">
        <f>+(('Bank Liabilities Analysis'!D38+'Bank Liabilities Analysis'!F38+'Bank Liabilities Analysis'!H38-'Bank Liabilities Analysis'!D25-'Bank Liabilities Analysis'!F25-'Bank Liabilities Analysis'!H25)-(IF(H8&lt;0,H8,0)))</f>
        <v>613512549</v>
      </c>
      <c r="I32" s="934"/>
      <c r="J32" s="912"/>
      <c r="K32" s="911"/>
    </row>
    <row r="33" spans="1:14" ht="8.25" customHeight="1">
      <c r="A33" s="184"/>
      <c r="B33" s="5"/>
      <c r="C33" s="535"/>
      <c r="D33" s="984"/>
      <c r="E33" s="535"/>
      <c r="I33" s="934"/>
      <c r="J33" s="912"/>
      <c r="K33" s="912"/>
    </row>
    <row r="34" spans="1:14" ht="9.75" customHeight="1">
      <c r="A34" s="184"/>
      <c r="B34" s="5"/>
      <c r="C34" s="1271"/>
      <c r="D34" s="1307"/>
      <c r="E34" s="1271"/>
      <c r="I34" s="934"/>
      <c r="J34" s="912"/>
      <c r="K34" s="912"/>
    </row>
    <row r="35" spans="1:14" ht="12" customHeight="1">
      <c r="A35" s="187"/>
      <c r="B35" s="7" t="s">
        <v>350</v>
      </c>
      <c r="C35" s="1273"/>
      <c r="D35" s="1308"/>
      <c r="E35" s="1273"/>
      <c r="I35" s="934"/>
      <c r="J35" s="912"/>
      <c r="K35" s="912"/>
    </row>
    <row r="36" spans="1:14" ht="26.25" customHeight="1">
      <c r="A36" s="188"/>
      <c r="B36" s="6" t="s">
        <v>392</v>
      </c>
      <c r="C36" s="89">
        <v>5136845118.583334</v>
      </c>
      <c r="D36" s="993">
        <v>3442047868.5833335</v>
      </c>
      <c r="E36" s="89">
        <v>1694797250</v>
      </c>
      <c r="H36" s="935">
        <f>'Bank Assets Analysis'!S38*(100%-20%)</f>
        <v>4712217924</v>
      </c>
      <c r="I36" s="935">
        <f>'Bank Assets Analysis'!S38*(100%+20%)</f>
        <v>7068326886</v>
      </c>
      <c r="K36" s="912"/>
      <c r="M36" s="916"/>
      <c r="N36" s="917"/>
    </row>
    <row r="37" spans="1:14" ht="13.5" customHeight="1">
      <c r="A37" s="64"/>
      <c r="B37" s="64" t="s">
        <v>66</v>
      </c>
      <c r="C37" s="60"/>
      <c r="D37" s="994"/>
      <c r="E37" s="60"/>
      <c r="H37" s="935">
        <f>'Bank Assets Analysis'!T38*(100%-20%)</f>
        <v>3151305572</v>
      </c>
      <c r="I37" s="935">
        <f>'Bank Assets Analysis'!T38*(100%+20%)</f>
        <v>4726958358</v>
      </c>
      <c r="J37" s="912"/>
      <c r="K37" s="912"/>
      <c r="M37" s="916"/>
      <c r="N37" s="917"/>
    </row>
    <row r="38" spans="1:14" ht="15" customHeight="1">
      <c r="A38" s="94" t="s">
        <v>958</v>
      </c>
      <c r="B38" s="179" t="s">
        <v>114</v>
      </c>
      <c r="C38" s="549">
        <f>IFERROR((+C39/C40),0)</f>
        <v>0.90549095165868254</v>
      </c>
      <c r="D38" s="995">
        <f>IFERROR((+D39/D40),0)</f>
        <v>1.1919820119520914</v>
      </c>
      <c r="E38" s="549">
        <f>IFERROR((+E39/E40),0)</f>
        <v>0.74878076539840466</v>
      </c>
      <c r="H38" s="935">
        <f>'Bank Assets Analysis'!U38*(100%-20%)</f>
        <v>1560912352</v>
      </c>
      <c r="I38" s="935">
        <f>'Bank Assets Analysis'!U38*(100%+20%)</f>
        <v>2341368528</v>
      </c>
      <c r="J38" s="912"/>
      <c r="K38" s="912"/>
      <c r="M38" s="916"/>
      <c r="N38" s="917"/>
    </row>
    <row r="39" spans="1:14" ht="15" customHeight="1">
      <c r="A39" s="97" t="s">
        <v>959</v>
      </c>
      <c r="B39" s="180" t="s">
        <v>115</v>
      </c>
      <c r="C39" s="539">
        <f>+'Bank Assets Analysis'!AB41</f>
        <v>547901904</v>
      </c>
      <c r="D39" s="996">
        <f>+'Bank Assets Analysis (нац)'!P40</f>
        <v>255026112</v>
      </c>
      <c r="E39" s="539">
        <f>+'Bank Assets Analysis'!AD41</f>
        <v>292875792</v>
      </c>
      <c r="I39" s="936"/>
      <c r="J39" s="912"/>
      <c r="K39" s="912"/>
    </row>
    <row r="40" spans="1:14" ht="15" customHeight="1">
      <c r="A40" s="97" t="s">
        <v>960</v>
      </c>
      <c r="B40" s="180" t="s">
        <v>116</v>
      </c>
      <c r="C40" s="539">
        <f>+'Bank Assets Analysis'!AB42</f>
        <v>605088215.4000001</v>
      </c>
      <c r="D40" s="996">
        <f>+'Bank Assets Analysis (нац)'!P41</f>
        <v>213951309.19999999</v>
      </c>
      <c r="E40" s="539">
        <f>+'Bank Assets Analysis'!AD42</f>
        <v>391136906.19999999</v>
      </c>
      <c r="H40" s="935">
        <f>$H$36</f>
        <v>4712217924</v>
      </c>
      <c r="I40" s="936">
        <f>$I$36</f>
        <v>7068326886</v>
      </c>
      <c r="J40" s="912"/>
      <c r="K40" s="912"/>
    </row>
    <row r="41" spans="1:14" ht="15" customHeight="1">
      <c r="A41" s="94" t="s">
        <v>961</v>
      </c>
      <c r="B41" s="179" t="s">
        <v>119</v>
      </c>
      <c r="C41" s="548">
        <f>IFERROR((C42/C47),0)</f>
        <v>1.0220018307122698</v>
      </c>
      <c r="D41" s="992">
        <f>IFERROR((D42/D47),0)</f>
        <v>1.245471820661961</v>
      </c>
      <c r="E41" s="548">
        <f>IFERROR((E42/E47),0)</f>
        <v>0.64141029132523275</v>
      </c>
      <c r="I41" s="934"/>
      <c r="J41" s="912"/>
      <c r="K41" s="912"/>
    </row>
    <row r="42" spans="1:14" ht="15" customHeight="1">
      <c r="A42" s="94" t="s">
        <v>962</v>
      </c>
      <c r="B42" s="179" t="s">
        <v>118</v>
      </c>
      <c r="C42" s="540">
        <f>SUM(C43:C46)</f>
        <v>4010102980.3000002</v>
      </c>
      <c r="D42" s="997">
        <f>SUM(D43:D46)</f>
        <v>3079042683.9000001</v>
      </c>
      <c r="E42" s="540">
        <f>SUM(E43:E46)</f>
        <v>931060296.4000001</v>
      </c>
      <c r="I42" s="934"/>
      <c r="J42" s="912"/>
      <c r="K42" s="912"/>
    </row>
    <row r="43" spans="1:14" ht="15" customHeight="1">
      <c r="A43" s="172" t="s">
        <v>963</v>
      </c>
      <c r="B43" s="365" t="s">
        <v>1056</v>
      </c>
      <c r="C43" s="541">
        <f>Balance!C76</f>
        <v>1625105475</v>
      </c>
      <c r="D43" s="998">
        <f>Balance!D76</f>
        <v>1625105475</v>
      </c>
      <c r="E43" s="541">
        <f>Balance!E76</f>
        <v>0</v>
      </c>
      <c r="I43" s="934"/>
      <c r="J43" s="912"/>
      <c r="K43" s="912"/>
    </row>
    <row r="44" spans="1:14" ht="15" customHeight="1">
      <c r="A44" s="367" t="s">
        <v>964</v>
      </c>
      <c r="B44" s="368" t="s">
        <v>978</v>
      </c>
      <c r="C44" s="541">
        <f>'Bank Liabilities Analysis'!O38+'Bank Liabilities Analysis'!Q38</f>
        <v>1579210609</v>
      </c>
      <c r="D44" s="998">
        <f>+'Bank Liabilities Analysis (нац)'!I37+'Bank Liabilities Analysis (нац)'!J37</f>
        <v>1085327517</v>
      </c>
      <c r="E44" s="918">
        <f>'Bank Liabilities Analysis'!P38+'Bank Liabilities Analysis'!R38</f>
        <v>493883092</v>
      </c>
      <c r="I44" s="934"/>
      <c r="J44" s="912"/>
      <c r="K44" s="912"/>
    </row>
    <row r="45" spans="1:14" ht="15" customHeight="1">
      <c r="A45" s="189" t="s">
        <v>965</v>
      </c>
      <c r="B45" s="181" t="s">
        <v>979</v>
      </c>
      <c r="C45" s="541">
        <f>+('Bank Liabilities Analysis'!C38)*0.3</f>
        <v>227631179.40000001</v>
      </c>
      <c r="D45" s="998">
        <f>+('Bank Liabilities Analysis (нац)'!C37)*0.3</f>
        <v>134701236.29999998</v>
      </c>
      <c r="E45" s="541">
        <f>+('Bank Liabilities Analysis'!D38)*0.3</f>
        <v>92929943.099999994</v>
      </c>
      <c r="I45" s="934"/>
      <c r="J45" s="912"/>
      <c r="K45" s="912"/>
    </row>
    <row r="46" spans="1:14" ht="15" customHeight="1">
      <c r="A46" s="189" t="s">
        <v>966</v>
      </c>
      <c r="B46" s="181" t="s">
        <v>980</v>
      </c>
      <c r="C46" s="541">
        <f>+('Bank Liabilities Analysis'!E38+'Bank Liabilities Analysis'!G38+'Bank Liabilities Analysis'!I38+'Bank Liabilities Analysis'!K38+'Bank Liabilities Analysis'!M38)*0.3</f>
        <v>578155716.89999998</v>
      </c>
      <c r="D46" s="998">
        <f>+('Bank Liabilities Analysis (нац)'!D37+'Bank Liabilities Analysis (нац)'!E37+'Bank Liabilities Analysis (нац)'!F37+'Bank Liabilities Analysis (нац)'!G37+'Bank Liabilities Analysis (нац)'!H37)*0.3</f>
        <v>233908455.59999999</v>
      </c>
      <c r="E46" s="541">
        <f>+('Bank Liabilities Analysis'!F38+'Bank Liabilities Analysis'!H38+'Bank Liabilities Analysis'!J38+'Bank Liabilities Analysis'!L38+'Bank Liabilities Analysis'!N38)*0.3</f>
        <v>344247261.30000001</v>
      </c>
      <c r="I46" s="934"/>
      <c r="J46" s="912"/>
      <c r="K46" s="912"/>
    </row>
    <row r="47" spans="1:14" ht="15" customHeight="1">
      <c r="A47" s="94" t="s">
        <v>967</v>
      </c>
      <c r="B47" s="179" t="s">
        <v>117</v>
      </c>
      <c r="C47" s="542">
        <f>SUM(C48:C53)</f>
        <v>3923772795.5</v>
      </c>
      <c r="D47" s="999">
        <f>SUM(D48:D53)</f>
        <v>2472189762</v>
      </c>
      <c r="E47" s="542">
        <f>SUM(E48:E53)</f>
        <v>1451583033.5</v>
      </c>
      <c r="I47" s="934"/>
      <c r="J47" s="912"/>
      <c r="K47" s="912"/>
    </row>
    <row r="48" spans="1:14" ht="15" customHeight="1">
      <c r="A48" s="190" t="s">
        <v>968</v>
      </c>
      <c r="B48" s="182" t="s">
        <v>981</v>
      </c>
      <c r="C48" s="542">
        <f>+'Bank Assets Analysis'!O38-'Bank Assets Analysis'!O31+'Bank Assets Analysis'!Q38-'Bank Assets Analysis'!Q31</f>
        <v>2966747269</v>
      </c>
      <c r="D48" s="999">
        <f>+C48-E48</f>
        <v>1767615654</v>
      </c>
      <c r="E48" s="1068">
        <f>+'Bank Assets Analysis'!P38-'Bank Assets Analysis'!P34-'Bank Assets Analysis'!P31+'Bank Assets Analysis'!R38-'Bank Assets Analysis'!R34-'Bank Assets Analysis'!R31</f>
        <v>1199131615</v>
      </c>
      <c r="F48" s="1067"/>
      <c r="I48" s="934"/>
      <c r="J48" s="912"/>
      <c r="K48" s="912"/>
    </row>
    <row r="49" spans="1:16" s="61" customFormat="1" ht="15" customHeight="1">
      <c r="A49" s="170" t="s">
        <v>969</v>
      </c>
      <c r="B49" s="171" t="s">
        <v>419</v>
      </c>
      <c r="C49" s="541">
        <f>+'Bank Assets Analysis'!S31</f>
        <v>149099836</v>
      </c>
      <c r="D49" s="998">
        <f>+'Bank Assets Analysis'!T31</f>
        <v>149099836</v>
      </c>
      <c r="E49" s="541">
        <f>+'Bank Assets Analysis'!U31</f>
        <v>0</v>
      </c>
      <c r="F49" s="932"/>
      <c r="G49" s="932"/>
      <c r="H49" s="933"/>
      <c r="I49" s="934"/>
      <c r="J49" s="912"/>
      <c r="K49" s="912"/>
      <c r="L49" s="913"/>
      <c r="M49" s="901"/>
      <c r="N49" s="915"/>
      <c r="O49" s="841"/>
      <c r="P49" s="841"/>
    </row>
    <row r="50" spans="1:16" ht="26.25" customHeight="1">
      <c r="A50" s="172" t="s">
        <v>970</v>
      </c>
      <c r="B50" s="365" t="s">
        <v>982</v>
      </c>
      <c r="C50" s="541">
        <f>+'Bank Assets Analysis'!C23+'Bank Assets Analysis'!C24+'Bank Assets Analysis'!C25+'Bank Assets Analysis'!C26</f>
        <v>34083003</v>
      </c>
      <c r="D50" s="998">
        <f>+'Bank Assets Analysis (нац)'!C25+'Bank Assets Analysis (нац)'!C24+'Bank Assets Analysis (нац)'!C23+'Bank Assets Analysis (нац)'!C22</f>
        <v>31786074</v>
      </c>
      <c r="E50" s="541">
        <f>+'Bank Assets Analysis'!D23+'Bank Assets Analysis'!D24+'Bank Assets Analysis'!D25+'Bank Assets Analysis'!D26</f>
        <v>2296929</v>
      </c>
      <c r="I50" s="934"/>
      <c r="J50" s="912"/>
      <c r="K50" s="912"/>
    </row>
    <row r="51" spans="1:16" ht="26.25" customHeight="1">
      <c r="A51" s="191" t="s">
        <v>971</v>
      </c>
      <c r="B51" s="183" t="s">
        <v>1161</v>
      </c>
      <c r="C51" s="523">
        <f>+'Calculation of Risk Weighted As'!H45</f>
        <v>349952</v>
      </c>
      <c r="D51" s="980">
        <v>349952</v>
      </c>
      <c r="E51" s="16">
        <v>0</v>
      </c>
      <c r="I51" s="934"/>
      <c r="J51" s="912"/>
      <c r="K51" s="912"/>
    </row>
    <row r="52" spans="1:16" ht="25.5">
      <c r="A52" s="172" t="s">
        <v>972</v>
      </c>
      <c r="B52" s="173" t="s">
        <v>983</v>
      </c>
      <c r="C52" s="541">
        <f>(+'Bank Assets Analysis'!S38-'Bank Assets Analysis'!O38-'Bank Assets Analysis'!Q38-'Liquidity Analysis'!C12)*0.3</f>
        <v>646049848.5</v>
      </c>
      <c r="D52" s="998">
        <f>('Bank Assets Analysis (нац)'!K37-'Bank Assets Analysis (нац)'!C33-'Bank Assets Analysis (нац)'!I37-'Bank Assets Analysis (нац)'!J37-'Liquidity Analysis'!D12+(IF('Bank Assets Analysis'!C34&gt;0,'Bank Assets Analysis'!C34,0)))*0.3</f>
        <v>492688086</v>
      </c>
      <c r="E52" s="541">
        <f>(+'Bank Assets Analysis'!U38-'Bank Assets Analysis'!D34-'Bank Assets Analysis'!P38-'Bank Assets Analysis'!R38-'Liquidity Analysis'!E12+(IF('Bank Assets Analysis'!C34&lt;0,'Bank Assets Analysis'!C34,0)))*0.3</f>
        <v>153361762.5</v>
      </c>
      <c r="H52" s="935"/>
      <c r="I52" s="934"/>
      <c r="J52" s="912"/>
      <c r="K52" s="912"/>
    </row>
    <row r="53" spans="1:16" s="21" customFormat="1" ht="15" customHeight="1">
      <c r="A53" s="192" t="s">
        <v>973</v>
      </c>
      <c r="B53" s="366" t="s">
        <v>1057</v>
      </c>
      <c r="C53" s="541">
        <f>+ROUND(SUM(Commitments!C4-Commitments!C5+Commitments!C7-Commitments!C8+Commitments!C10-'Bank Liabilities Analysis'!S19+Commitments!C18-Commitments!C23)*15%,0)</f>
        <v>127442887</v>
      </c>
      <c r="D53" s="541">
        <f>+ROUND(SUM(Commitments!D4-Commitments!D5+Commitments!D7-Commitments!D8+Commitments!D10-'Bank Liabilities Analysis'!T19+Commitments!D18-Commitments!D23)*15%,0)</f>
        <v>30650160</v>
      </c>
      <c r="E53" s="541">
        <f>+ROUND(SUM(Commitments!E4-Commitments!E5+Commitments!E7-Commitments!E8+Commitments!E10-'Bank Liabilities Analysis'!U19+Commitments!E18-Commitments!E23)*15%,0)</f>
        <v>96792727</v>
      </c>
      <c r="F53" s="1026"/>
      <c r="G53" s="932"/>
      <c r="H53" s="935"/>
      <c r="I53" s="934"/>
      <c r="J53" s="912"/>
      <c r="K53" s="912"/>
      <c r="L53" s="913"/>
      <c r="M53" s="901"/>
      <c r="N53" s="901"/>
      <c r="O53" s="800"/>
      <c r="P53" s="800"/>
    </row>
    <row r="54" spans="1:16">
      <c r="H54" s="935"/>
      <c r="I54" s="934"/>
      <c r="J54" s="912"/>
      <c r="K54" s="912"/>
    </row>
    <row r="55" spans="1:16">
      <c r="H55" s="935"/>
      <c r="I55" s="934"/>
      <c r="J55" s="912"/>
      <c r="K55" s="912"/>
    </row>
    <row r="56" spans="1:16">
      <c r="B56" s="8" t="s">
        <v>4</v>
      </c>
      <c r="I56" s="934"/>
      <c r="J56" s="912"/>
      <c r="K56" s="912"/>
    </row>
    <row r="57" spans="1:16">
      <c r="B57" s="8"/>
      <c r="I57" s="934"/>
      <c r="J57" s="912"/>
      <c r="K57" s="912"/>
    </row>
    <row r="58" spans="1:16">
      <c r="B58" s="8" t="s">
        <v>5</v>
      </c>
      <c r="I58" s="934"/>
      <c r="J58" s="912"/>
      <c r="K58" s="912"/>
    </row>
    <row r="59" spans="1:16">
      <c r="B59" s="3"/>
      <c r="I59" s="934"/>
      <c r="J59" s="912"/>
      <c r="K59" s="912"/>
    </row>
    <row r="60" spans="1:16">
      <c r="B60" s="3"/>
      <c r="I60" s="934"/>
      <c r="J60" s="912"/>
      <c r="K60" s="912"/>
    </row>
    <row r="61" spans="1:16">
      <c r="B61" s="3"/>
      <c r="I61" s="934"/>
      <c r="J61" s="912"/>
      <c r="K61" s="912"/>
    </row>
    <row r="62" spans="1:16">
      <c r="B62" s="3"/>
      <c r="C62" s="543"/>
      <c r="D62" s="1001"/>
      <c r="E62" s="543"/>
      <c r="I62" s="934"/>
      <c r="J62" s="912"/>
      <c r="K62" s="912"/>
    </row>
    <row r="63" spans="1:16">
      <c r="B63" s="3"/>
      <c r="I63" s="934"/>
      <c r="J63" s="912"/>
      <c r="K63" s="912"/>
    </row>
    <row r="64" spans="1:16">
      <c r="B64" s="3"/>
      <c r="I64" s="934"/>
      <c r="J64" s="912"/>
      <c r="K64" s="912"/>
    </row>
    <row r="65" spans="2:11">
      <c r="B65" s="3"/>
      <c r="I65" s="934"/>
      <c r="J65" s="912"/>
      <c r="K65" s="912"/>
    </row>
    <row r="66" spans="2:11">
      <c r="B66" s="3"/>
      <c r="I66" s="934"/>
      <c r="J66" s="912"/>
      <c r="K66" s="912"/>
    </row>
    <row r="67" spans="2:11">
      <c r="B67" s="3"/>
      <c r="I67" s="934"/>
      <c r="J67" s="912"/>
      <c r="K67" s="912"/>
    </row>
    <row r="68" spans="2:11">
      <c r="I68" s="934"/>
      <c r="J68" s="912"/>
      <c r="K68" s="912"/>
    </row>
    <row r="69" spans="2:11">
      <c r="I69" s="934"/>
      <c r="J69" s="912"/>
      <c r="K69" s="912"/>
    </row>
    <row r="70" spans="2:11">
      <c r="I70" s="934"/>
      <c r="J70" s="912"/>
      <c r="K70" s="912"/>
    </row>
    <row r="71" spans="2:11">
      <c r="I71" s="934"/>
      <c r="J71" s="912"/>
      <c r="K71" s="912"/>
    </row>
    <row r="72" spans="2:11">
      <c r="I72" s="934"/>
      <c r="J72" s="912"/>
      <c r="K72" s="912"/>
    </row>
    <row r="73" spans="2:11">
      <c r="I73" s="934"/>
      <c r="J73" s="912"/>
      <c r="K73" s="912"/>
    </row>
    <row r="74" spans="2:11">
      <c r="I74" s="934"/>
      <c r="J74" s="912"/>
      <c r="K74" s="912"/>
    </row>
    <row r="75" spans="2:11">
      <c r="I75" s="934"/>
      <c r="J75" s="912"/>
      <c r="K75" s="912"/>
    </row>
    <row r="76" spans="2:11">
      <c r="I76" s="934"/>
      <c r="J76" s="912"/>
      <c r="K76" s="912"/>
    </row>
    <row r="77" spans="2:11">
      <c r="I77" s="934"/>
      <c r="J77" s="912"/>
      <c r="K77" s="912"/>
    </row>
    <row r="78" spans="2:11">
      <c r="I78" s="934"/>
      <c r="J78" s="912"/>
      <c r="K78" s="912"/>
    </row>
    <row r="79" spans="2:11">
      <c r="I79" s="934"/>
      <c r="J79" s="912"/>
      <c r="K79" s="912"/>
    </row>
    <row r="80" spans="2:11">
      <c r="I80" s="934"/>
      <c r="J80" s="912"/>
      <c r="K80" s="912"/>
    </row>
    <row r="81" spans="9:11">
      <c r="I81" s="934"/>
      <c r="J81" s="912"/>
      <c r="K81" s="912"/>
    </row>
    <row r="82" spans="9:11">
      <c r="I82" s="934"/>
      <c r="J82" s="912"/>
      <c r="K82" s="912"/>
    </row>
    <row r="83" spans="9:11">
      <c r="I83" s="934"/>
      <c r="J83" s="912"/>
      <c r="K83" s="912"/>
    </row>
    <row r="84" spans="9:11">
      <c r="I84" s="934"/>
      <c r="J84" s="912"/>
      <c r="K84" s="912"/>
    </row>
    <row r="85" spans="9:11">
      <c r="I85" s="934"/>
      <c r="J85" s="912"/>
      <c r="K85" s="912"/>
    </row>
  </sheetData>
  <sheetProtection password="CA76" sheet="1" objects="1" scenarios="1"/>
  <mergeCells count="10">
    <mergeCell ref="C17:E17"/>
    <mergeCell ref="E19:E20"/>
    <mergeCell ref="E22:E23"/>
    <mergeCell ref="E34:E35"/>
    <mergeCell ref="C19:C20"/>
    <mergeCell ref="C22:C23"/>
    <mergeCell ref="C34:C35"/>
    <mergeCell ref="D19:D20"/>
    <mergeCell ref="D22:D23"/>
    <mergeCell ref="D34:D35"/>
  </mergeCells>
  <phoneticPr fontId="18" type="noConversion"/>
  <conditionalFormatting sqref="C39:E40">
    <cfRule type="cellIs" dxfId="188" priority="9" stopIfTrue="1" operator="notBetween">
      <formula>TOTASS/4</formula>
      <formula>TOTASS*4</formula>
    </cfRule>
  </conditionalFormatting>
  <conditionalFormatting sqref="C36">
    <cfRule type="cellIs" dxfId="187" priority="11" operator="greaterThan">
      <formula>$I$36</formula>
    </cfRule>
    <cfRule type="cellIs" dxfId="186" priority="12" operator="lessThan">
      <formula>$H$36</formula>
    </cfRule>
  </conditionalFormatting>
  <conditionalFormatting sqref="D36">
    <cfRule type="cellIs" dxfId="185" priority="5" operator="greaterThan">
      <formula>$I$37</formula>
    </cfRule>
    <cfRule type="cellIs" dxfId="184" priority="6" operator="lessThan">
      <formula>$H$37</formula>
    </cfRule>
  </conditionalFormatting>
  <conditionalFormatting sqref="E36">
    <cfRule type="cellIs" dxfId="183" priority="3" operator="greaterThan">
      <formula>$I$38</formula>
    </cfRule>
    <cfRule type="cellIs" dxfId="182" priority="4" operator="lessThan">
      <formula>$H$38</formula>
    </cfRule>
  </conditionalFormatting>
  <conditionalFormatting sqref="C50">
    <cfRule type="cellIs" dxfId="181" priority="2" operator="notEqual">
      <formula>$D$50+$E$50</formula>
    </cfRule>
  </conditionalFormatting>
  <conditionalFormatting sqref="C51">
    <cfRule type="cellIs" dxfId="180" priority="1" operator="notEqual">
      <formula>$D$51+$E$51</formula>
    </cfRule>
  </conditionalFormatting>
  <dataValidations xWindow="793" yWindow="476" count="9">
    <dataValidation allowBlank="1" showErrorMessage="1" sqref="C38:E53" xr:uid="{00000000-0002-0000-1300-000000000000}"/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36:E37" xr:uid="{00000000-0002-0000-1300-000001000000}"/>
    <dataValidation allowBlank="1" showInputMessage="1" showErrorMessage="1" promptTitle="сообщение" sqref="C30:E30" xr:uid="{00000000-0002-0000-1300-000002000000}"/>
    <dataValidation allowBlank="1" showInputMessage="1" showErrorMessage="1" prompt="Введите значение в процентах. Например, 120% вводится как 120. " sqref="C32:E32" xr:uid="{00000000-0002-0000-1300-000003000000}"/>
    <dataValidation type="whole" operator="greaterThanOrEqual" allowBlank="1" showErrorMessage="1" error="Введите как целое положительное число." sqref="C14:E14" xr:uid="{00000000-0002-0000-1300-000004000000}">
      <formula1>0</formula1>
    </dataValidation>
    <dataValidation type="whole" operator="greaterThanOrEqual" allowBlank="1" showErrorMessage="1" error="Введите как целое число." sqref="C9:E11" xr:uid="{00000000-0002-0000-1300-000005000000}">
      <formula1>0</formula1>
    </dataValidation>
    <dataValidation allowBlank="1" showErrorMessage="1" prompt="Введите самостоятельно рассчитанный коэффициент" sqref="C3:E3" xr:uid="{00000000-0002-0000-1300-000006000000}"/>
    <dataValidation type="decimal" operator="greaterThanOrEqual" allowBlank="1" showInputMessage="1" showErrorMessage="1" prompt="Введите самостоятельно рассчитанный коэффициент" sqref="C25:E26 C28:E28" xr:uid="{00000000-0002-0000-1300-000007000000}">
      <formula1>0</formula1>
    </dataValidation>
    <dataValidation operator="greaterThanOrEqual" allowBlank="1" showErrorMessage="1" prompt="Введите самостоятельно рассчитанный коэффициент" sqref="C27:E27" xr:uid="{00000000-0002-0000-1300-000008000000}"/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2" orientation="portrait" r:id="rId1"/>
  <headerFooter alignWithMargins="0"/>
  <ignoredErrors>
    <ignoredError sqref="D47" formula="1"/>
    <ignoredError sqref="C7:E7" unlocked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7">
    <pageSetUpPr fitToPage="1"/>
  </sheetPr>
  <dimension ref="A1:AK46"/>
  <sheetViews>
    <sheetView view="pageBreakPreview" zoomScale="70" zoomScaleNormal="70" zoomScaleSheetLayoutView="70" workbookViewId="0">
      <pane xSplit="2" ySplit="5" topLeftCell="C19" activePane="bottomRight" state="frozen"/>
      <selection activeCell="B32" sqref="B32"/>
      <selection pane="topRight" activeCell="B32" sqref="B32"/>
      <selection pane="bottomLeft" activeCell="B32" sqref="B32"/>
      <selection pane="bottomRight" activeCell="C53" sqref="C53"/>
    </sheetView>
  </sheetViews>
  <sheetFormatPr defaultRowHeight="12.75"/>
  <cols>
    <col min="1" max="1" width="6.5703125" style="57" customWidth="1"/>
    <col min="2" max="2" width="78.5703125" style="20" customWidth="1"/>
    <col min="3" max="18" width="15.85546875" style="20" customWidth="1"/>
    <col min="19" max="21" width="18.28515625" style="20" customWidth="1"/>
    <col min="22" max="22" width="9" style="59" customWidth="1"/>
    <col min="23" max="23" width="16.5703125" style="65" customWidth="1"/>
    <col min="24" max="24" width="15.85546875" style="66" customWidth="1"/>
    <col min="25" max="25" width="18.140625" style="898" customWidth="1"/>
    <col min="26" max="26" width="18.42578125" style="892" customWidth="1"/>
    <col min="27" max="27" width="25.42578125" style="941" bestFit="1" customWidth="1"/>
    <col min="28" max="28" width="26.28515625" style="942" customWidth="1"/>
    <col min="29" max="29" width="25.42578125" style="941" bestFit="1" customWidth="1"/>
    <col min="30" max="30" width="22.42578125" style="942" customWidth="1"/>
    <col min="31" max="31" width="15.140625" style="941" customWidth="1"/>
    <col min="32" max="32" width="12.7109375" style="899" bestFit="1" customWidth="1"/>
    <col min="33" max="33" width="13.85546875" style="899" bestFit="1" customWidth="1"/>
    <col min="34" max="34" width="11.7109375" style="20" bestFit="1" customWidth="1"/>
    <col min="35" max="35" width="14.42578125" style="20" bestFit="1" customWidth="1"/>
    <col min="36" max="16384" width="9.140625" style="20"/>
  </cols>
  <sheetData>
    <row r="1" spans="1:37" s="624" customFormat="1" ht="38.25" customHeight="1">
      <c r="A1" s="621" t="s">
        <v>393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1311" t="s">
        <v>1042</v>
      </c>
      <c r="Y1" s="1311"/>
      <c r="Z1" s="1311"/>
      <c r="AA1" s="939"/>
      <c r="AB1" s="940"/>
      <c r="AC1" s="939"/>
      <c r="AD1" s="940"/>
      <c r="AE1" s="939"/>
    </row>
    <row r="2" spans="1:37" ht="15.75">
      <c r="A2" s="75"/>
      <c r="B2" s="451" t="str">
        <f>Balance!B3</f>
        <v>АКБ "Микрокредитбанк"</v>
      </c>
      <c r="C2" s="369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T2" s="483" t="str">
        <f>+Balance!B2</f>
        <v xml:space="preserve"> 30 Декабрь, 2019</v>
      </c>
      <c r="V2" s="20"/>
      <c r="W2" s="25"/>
      <c r="Y2" s="891"/>
      <c r="Z2" s="480" t="s">
        <v>7</v>
      </c>
    </row>
    <row r="3" spans="1:37" s="258" customFormat="1" ht="37.5" customHeight="1">
      <c r="A3" s="1309" t="s">
        <v>161</v>
      </c>
      <c r="B3" s="1309" t="s">
        <v>131</v>
      </c>
      <c r="C3" s="1316" t="s">
        <v>434</v>
      </c>
      <c r="D3" s="1318"/>
      <c r="E3" s="1318"/>
      <c r="F3" s="1318"/>
      <c r="G3" s="1318"/>
      <c r="H3" s="1318"/>
      <c r="I3" s="1318"/>
      <c r="J3" s="1318"/>
      <c r="K3" s="1318"/>
      <c r="L3" s="1318"/>
      <c r="M3" s="1318"/>
      <c r="N3" s="1318"/>
      <c r="O3" s="1318"/>
      <c r="P3" s="1318"/>
      <c r="Q3" s="1318"/>
      <c r="R3" s="1317"/>
      <c r="S3" s="1309" t="s">
        <v>394</v>
      </c>
      <c r="T3" s="1312" t="s">
        <v>217</v>
      </c>
      <c r="U3" s="1313"/>
      <c r="V3" s="1309" t="s">
        <v>72</v>
      </c>
      <c r="W3" s="1309" t="s">
        <v>95</v>
      </c>
      <c r="X3" s="1309" t="s">
        <v>59</v>
      </c>
      <c r="Y3" s="1309" t="s">
        <v>1223</v>
      </c>
      <c r="Z3" s="1309" t="s">
        <v>1224</v>
      </c>
      <c r="AA3" s="943"/>
      <c r="AB3" s="944"/>
      <c r="AC3" s="943"/>
      <c r="AD3" s="944"/>
      <c r="AE3" s="943"/>
    </row>
    <row r="4" spans="1:37" s="258" customFormat="1" ht="37.5" customHeight="1">
      <c r="A4" s="1310"/>
      <c r="B4" s="1310"/>
      <c r="C4" s="1316" t="s">
        <v>395</v>
      </c>
      <c r="D4" s="1317"/>
      <c r="E4" s="1316" t="s">
        <v>1189</v>
      </c>
      <c r="F4" s="1317"/>
      <c r="G4" s="1316" t="s">
        <v>1190</v>
      </c>
      <c r="H4" s="1317"/>
      <c r="I4" s="1316" t="s">
        <v>943</v>
      </c>
      <c r="J4" s="1317"/>
      <c r="K4" s="1316" t="s">
        <v>944</v>
      </c>
      <c r="L4" s="1317"/>
      <c r="M4" s="1316" t="s">
        <v>1108</v>
      </c>
      <c r="N4" s="1317"/>
      <c r="O4" s="1316" t="s">
        <v>1109</v>
      </c>
      <c r="P4" s="1317"/>
      <c r="Q4" s="1316" t="s">
        <v>285</v>
      </c>
      <c r="R4" s="1317"/>
      <c r="S4" s="1310"/>
      <c r="T4" s="1314"/>
      <c r="U4" s="1315"/>
      <c r="V4" s="1310"/>
      <c r="W4" s="1310"/>
      <c r="X4" s="1310"/>
      <c r="Y4" s="1310"/>
      <c r="Z4" s="1310"/>
      <c r="AA4" s="943"/>
      <c r="AB4" s="944"/>
      <c r="AC4" s="943"/>
      <c r="AD4" s="944"/>
      <c r="AE4" s="943"/>
    </row>
    <row r="5" spans="1:37" s="258" customFormat="1" ht="153" customHeight="1">
      <c r="A5" s="1310"/>
      <c r="B5" s="1310"/>
      <c r="C5" s="619" t="s">
        <v>916</v>
      </c>
      <c r="D5" s="619" t="s">
        <v>917</v>
      </c>
      <c r="E5" s="619" t="s">
        <v>916</v>
      </c>
      <c r="F5" s="619" t="s">
        <v>917</v>
      </c>
      <c r="G5" s="619" t="s">
        <v>916</v>
      </c>
      <c r="H5" s="619" t="s">
        <v>917</v>
      </c>
      <c r="I5" s="619" t="s">
        <v>916</v>
      </c>
      <c r="J5" s="619" t="s">
        <v>917</v>
      </c>
      <c r="K5" s="619" t="s">
        <v>916</v>
      </c>
      <c r="L5" s="619" t="s">
        <v>917</v>
      </c>
      <c r="M5" s="619" t="s">
        <v>916</v>
      </c>
      <c r="N5" s="619" t="s">
        <v>917</v>
      </c>
      <c r="O5" s="619" t="s">
        <v>916</v>
      </c>
      <c r="P5" s="619" t="s">
        <v>917</v>
      </c>
      <c r="Q5" s="619" t="s">
        <v>916</v>
      </c>
      <c r="R5" s="619" t="s">
        <v>917</v>
      </c>
      <c r="S5" s="1310"/>
      <c r="T5" s="619" t="s">
        <v>532</v>
      </c>
      <c r="U5" s="619" t="s">
        <v>1036</v>
      </c>
      <c r="V5" s="1310"/>
      <c r="W5" s="1310"/>
      <c r="X5" s="1310"/>
      <c r="Y5" s="1310"/>
      <c r="Z5" s="1310"/>
      <c r="AA5" s="943"/>
      <c r="AB5" s="944"/>
      <c r="AC5" s="943"/>
      <c r="AD5" s="944"/>
      <c r="AE5" s="943"/>
    </row>
    <row r="6" spans="1:37" s="429" customFormat="1" ht="45" customHeight="1">
      <c r="A6" s="620"/>
      <c r="B6" s="697" t="s">
        <v>0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245"/>
      <c r="W6" s="244"/>
      <c r="X6" s="137"/>
      <c r="Y6" s="893"/>
      <c r="Z6" s="894"/>
      <c r="AA6" s="945"/>
      <c r="AB6" s="946"/>
      <c r="AC6" s="945"/>
      <c r="AD6" s="946"/>
      <c r="AE6" s="945"/>
      <c r="AF6" s="900"/>
      <c r="AG6" s="900"/>
      <c r="AH6" s="428"/>
      <c r="AI6" s="428"/>
      <c r="AJ6" s="428"/>
      <c r="AK6" s="428"/>
    </row>
    <row r="7" spans="1:37" s="694" customFormat="1" ht="38.25" customHeight="1">
      <c r="A7" s="687" t="s">
        <v>166</v>
      </c>
      <c r="B7" s="688" t="s">
        <v>396</v>
      </c>
      <c r="C7" s="87">
        <v>173211577</v>
      </c>
      <c r="D7" s="87">
        <v>103406445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689">
        <f>+C7+E7+G7+I7+K7+M7+O7+Q7</f>
        <v>173211577</v>
      </c>
      <c r="T7" s="689">
        <f>+S7-U7</f>
        <v>69805132</v>
      </c>
      <c r="U7" s="689">
        <f>+D7+F7+H7+J7+L7+N7+P7+R7</f>
        <v>103406445</v>
      </c>
      <c r="V7" s="690">
        <v>1</v>
      </c>
      <c r="W7" s="691">
        <f>+C7</f>
        <v>173211577</v>
      </c>
      <c r="X7" s="692">
        <f>+W7*V7</f>
        <v>173211577</v>
      </c>
      <c r="Y7" s="895">
        <f>+D7</f>
        <v>103406445</v>
      </c>
      <c r="Z7" s="692">
        <f>+Y7*V7</f>
        <v>103406445</v>
      </c>
      <c r="AA7" s="947"/>
      <c r="AB7" s="948"/>
      <c r="AC7" s="947"/>
      <c r="AD7" s="948"/>
      <c r="AE7" s="947"/>
      <c r="AF7" s="693"/>
      <c r="AG7" s="693"/>
      <c r="AH7" s="693"/>
      <c r="AI7" s="693"/>
      <c r="AJ7" s="693"/>
      <c r="AK7" s="693"/>
    </row>
    <row r="8" spans="1:37" s="694" customFormat="1" ht="38.25" customHeight="1">
      <c r="A8" s="687" t="s">
        <v>397</v>
      </c>
      <c r="B8" s="688" t="s">
        <v>1166</v>
      </c>
      <c r="C8" s="87">
        <v>97131440</v>
      </c>
      <c r="D8" s="87">
        <v>0</v>
      </c>
      <c r="E8" s="87"/>
      <c r="F8" s="87">
        <v>21084460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689">
        <f t="shared" ref="S8:S38" si="0">+C8+E8+G8+I8+K8+M8+O8+Q8</f>
        <v>97131440</v>
      </c>
      <c r="T8" s="689">
        <f t="shared" ref="T8:T38" si="1">+S8-U8</f>
        <v>76046980</v>
      </c>
      <c r="U8" s="689">
        <f t="shared" ref="U8:U38" si="2">+D8+F8+H8+J8+L8+N8+P8+R8</f>
        <v>21084460</v>
      </c>
      <c r="V8" s="690">
        <v>1</v>
      </c>
      <c r="W8" s="691">
        <f>+C8+E8+G8</f>
        <v>97131440</v>
      </c>
      <c r="X8" s="692">
        <f t="shared" ref="X8:X37" si="3">+W8*V8</f>
        <v>97131440</v>
      </c>
      <c r="Y8" s="895">
        <f>+D8+F8+H8</f>
        <v>21084460</v>
      </c>
      <c r="Z8" s="692">
        <f>+Y8*V8</f>
        <v>21084460</v>
      </c>
      <c r="AA8" s="947"/>
      <c r="AB8" s="948"/>
      <c r="AC8" s="947"/>
      <c r="AD8" s="948"/>
      <c r="AE8" s="947"/>
      <c r="AF8" s="693"/>
      <c r="AG8" s="693"/>
      <c r="AH8" s="693"/>
      <c r="AI8" s="693"/>
      <c r="AJ8" s="693"/>
      <c r="AK8" s="693"/>
    </row>
    <row r="9" spans="1:37" s="694" customFormat="1" ht="38.25" customHeight="1">
      <c r="A9" s="687" t="s">
        <v>471</v>
      </c>
      <c r="B9" s="688" t="s">
        <v>1165</v>
      </c>
      <c r="C9" s="87">
        <v>43446340</v>
      </c>
      <c r="D9" s="87"/>
      <c r="E9" s="87"/>
      <c r="F9" s="87"/>
      <c r="G9" s="87"/>
      <c r="H9" s="87">
        <v>0</v>
      </c>
      <c r="I9" s="87"/>
      <c r="J9" s="87"/>
      <c r="K9" s="87"/>
      <c r="L9" s="87"/>
      <c r="M9" s="87"/>
      <c r="N9" s="87"/>
      <c r="O9" s="87"/>
      <c r="P9" s="87"/>
      <c r="Q9" s="87"/>
      <c r="R9" s="87"/>
      <c r="S9" s="689">
        <f t="shared" si="0"/>
        <v>43446340</v>
      </c>
      <c r="T9" s="689">
        <f t="shared" si="1"/>
        <v>43446340</v>
      </c>
      <c r="U9" s="689">
        <f t="shared" si="2"/>
        <v>0</v>
      </c>
      <c r="V9" s="690">
        <v>0</v>
      </c>
      <c r="W9" s="691">
        <f>+C9</f>
        <v>43446340</v>
      </c>
      <c r="X9" s="689">
        <f t="shared" si="3"/>
        <v>0</v>
      </c>
      <c r="Y9" s="895">
        <f>+D9</f>
        <v>0</v>
      </c>
      <c r="Z9" s="691">
        <f>+Y9*V9</f>
        <v>0</v>
      </c>
      <c r="AA9" s="947"/>
      <c r="AB9" s="948"/>
      <c r="AC9" s="947"/>
      <c r="AD9" s="948"/>
      <c r="AE9" s="947"/>
      <c r="AF9" s="693"/>
      <c r="AG9" s="693"/>
      <c r="AH9" s="693"/>
      <c r="AI9" s="693"/>
      <c r="AJ9" s="693"/>
      <c r="AK9" s="693"/>
    </row>
    <row r="10" spans="1:37" s="694" customFormat="1" ht="38.25" customHeight="1">
      <c r="A10" s="687" t="s">
        <v>398</v>
      </c>
      <c r="B10" s="688" t="s">
        <v>399</v>
      </c>
      <c r="C10" s="137">
        <f t="shared" ref="C10:Q10" si="4">SUM(C11:C14)</f>
        <v>187988332</v>
      </c>
      <c r="D10" s="137">
        <f t="shared" si="4"/>
        <v>186649157</v>
      </c>
      <c r="E10" s="137">
        <f>SUM(E11:E14)</f>
        <v>0</v>
      </c>
      <c r="F10" s="137">
        <f>SUM(F11:F14)</f>
        <v>0</v>
      </c>
      <c r="G10" s="137">
        <f t="shared" si="4"/>
        <v>0</v>
      </c>
      <c r="H10" s="137">
        <f t="shared" si="4"/>
        <v>0</v>
      </c>
      <c r="I10" s="137">
        <f t="shared" si="4"/>
        <v>250000000</v>
      </c>
      <c r="J10" s="137">
        <f t="shared" si="4"/>
        <v>0</v>
      </c>
      <c r="K10" s="137">
        <f t="shared" si="4"/>
        <v>0</v>
      </c>
      <c r="L10" s="137">
        <f t="shared" si="4"/>
        <v>0</v>
      </c>
      <c r="M10" s="137">
        <f t="shared" si="4"/>
        <v>0</v>
      </c>
      <c r="N10" s="137">
        <f t="shared" si="4"/>
        <v>0</v>
      </c>
      <c r="O10" s="137">
        <f t="shared" si="4"/>
        <v>11250000</v>
      </c>
      <c r="P10" s="137">
        <f t="shared" si="4"/>
        <v>0</v>
      </c>
      <c r="Q10" s="137">
        <f t="shared" si="4"/>
        <v>4300000</v>
      </c>
      <c r="R10" s="137">
        <f>SUM(R11:R14)</f>
        <v>0</v>
      </c>
      <c r="S10" s="689">
        <f t="shared" si="0"/>
        <v>453538332</v>
      </c>
      <c r="T10" s="689">
        <f t="shared" si="1"/>
        <v>266889175</v>
      </c>
      <c r="U10" s="689">
        <f t="shared" si="2"/>
        <v>186649157</v>
      </c>
      <c r="V10" s="690"/>
      <c r="W10" s="691"/>
      <c r="X10" s="689">
        <f t="shared" si="3"/>
        <v>0</v>
      </c>
      <c r="Y10" s="895"/>
      <c r="Z10" s="691"/>
      <c r="AA10" s="947"/>
      <c r="AB10" s="948"/>
      <c r="AC10" s="947"/>
      <c r="AD10" s="948"/>
      <c r="AE10" s="947"/>
      <c r="AF10" s="693"/>
      <c r="AG10" s="693"/>
      <c r="AH10" s="693"/>
      <c r="AI10" s="693"/>
      <c r="AJ10" s="693"/>
      <c r="AK10" s="693"/>
    </row>
    <row r="11" spans="1:37" s="694" customFormat="1" ht="45" customHeight="1">
      <c r="A11" s="687" t="s">
        <v>476</v>
      </c>
      <c r="B11" s="688" t="s">
        <v>120</v>
      </c>
      <c r="C11" s="87">
        <v>168384887</v>
      </c>
      <c r="D11" s="87">
        <v>168384887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689">
        <f t="shared" si="0"/>
        <v>168384887</v>
      </c>
      <c r="T11" s="689">
        <f t="shared" si="1"/>
        <v>0</v>
      </c>
      <c r="U11" s="689">
        <f t="shared" si="2"/>
        <v>168384887</v>
      </c>
      <c r="V11" s="690">
        <v>1</v>
      </c>
      <c r="W11" s="691">
        <f>+C11+E11+G11</f>
        <v>168384887</v>
      </c>
      <c r="X11" s="692">
        <f t="shared" si="3"/>
        <v>168384887</v>
      </c>
      <c r="Y11" s="895">
        <f>+D11+F11+H11</f>
        <v>168384887</v>
      </c>
      <c r="Z11" s="692">
        <f t="shared" ref="Z11:Z37" si="5">+Y11*V11</f>
        <v>168384887</v>
      </c>
      <c r="AA11" s="947"/>
      <c r="AB11" s="948"/>
      <c r="AC11" s="947"/>
      <c r="AD11" s="948"/>
      <c r="AE11" s="947"/>
      <c r="AF11" s="693"/>
      <c r="AG11" s="693"/>
      <c r="AH11" s="693"/>
      <c r="AI11" s="693"/>
      <c r="AJ11" s="693"/>
      <c r="AK11" s="693"/>
    </row>
    <row r="12" spans="1:37" s="694" customFormat="1" ht="38.25" customHeight="1">
      <c r="A12" s="687" t="s">
        <v>478</v>
      </c>
      <c r="B12" s="688" t="s">
        <v>945</v>
      </c>
      <c r="C12" s="87">
        <v>428886</v>
      </c>
      <c r="D12" s="87">
        <v>255389</v>
      </c>
      <c r="E12" s="87"/>
      <c r="F12" s="87"/>
      <c r="G12" s="87">
        <v>0</v>
      </c>
      <c r="H12" s="87"/>
      <c r="I12" s="87">
        <v>250000000</v>
      </c>
      <c r="J12" s="87"/>
      <c r="K12" s="87"/>
      <c r="L12" s="87"/>
      <c r="M12" s="87"/>
      <c r="N12" s="87"/>
      <c r="O12" s="87">
        <v>11250000</v>
      </c>
      <c r="P12" s="87"/>
      <c r="Q12" s="87">
        <v>4300000</v>
      </c>
      <c r="R12" s="87"/>
      <c r="S12" s="689">
        <f t="shared" si="0"/>
        <v>265978886</v>
      </c>
      <c r="T12" s="689">
        <f t="shared" si="1"/>
        <v>265723497</v>
      </c>
      <c r="U12" s="689">
        <f t="shared" si="2"/>
        <v>255389</v>
      </c>
      <c r="V12" s="690">
        <v>1</v>
      </c>
      <c r="W12" s="691">
        <f>+C12+E12+G12</f>
        <v>428886</v>
      </c>
      <c r="X12" s="689">
        <f t="shared" si="3"/>
        <v>428886</v>
      </c>
      <c r="Y12" s="895">
        <f>+D12+F12+H12</f>
        <v>255389</v>
      </c>
      <c r="Z12" s="691">
        <f t="shared" si="5"/>
        <v>255389</v>
      </c>
      <c r="AA12" s="947"/>
      <c r="AB12" s="948"/>
      <c r="AC12" s="947"/>
      <c r="AD12" s="948"/>
      <c r="AE12" s="947"/>
      <c r="AF12" s="693"/>
      <c r="AG12" s="693"/>
      <c r="AH12" s="693"/>
      <c r="AI12" s="693"/>
      <c r="AJ12" s="693"/>
      <c r="AK12" s="693"/>
    </row>
    <row r="13" spans="1:37" s="694" customFormat="1" ht="38.25" customHeight="1">
      <c r="A13" s="687" t="s">
        <v>45</v>
      </c>
      <c r="B13" s="688" t="s">
        <v>46</v>
      </c>
      <c r="C13" s="87">
        <v>1165678</v>
      </c>
      <c r="D13" s="87">
        <v>0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689">
        <f t="shared" si="0"/>
        <v>1165678</v>
      </c>
      <c r="T13" s="689">
        <f t="shared" si="1"/>
        <v>1165678</v>
      </c>
      <c r="U13" s="689">
        <f t="shared" si="2"/>
        <v>0</v>
      </c>
      <c r="V13" s="690">
        <v>0.5</v>
      </c>
      <c r="W13" s="691">
        <f>+C13+E13+G13</f>
        <v>1165678</v>
      </c>
      <c r="X13" s="689">
        <f t="shared" si="3"/>
        <v>582839</v>
      </c>
      <c r="Y13" s="895">
        <f>+D13+F13+H13</f>
        <v>0</v>
      </c>
      <c r="Z13" s="691">
        <f t="shared" si="5"/>
        <v>0</v>
      </c>
      <c r="AA13" s="947"/>
      <c r="AB13" s="948"/>
      <c r="AC13" s="947"/>
      <c r="AD13" s="948"/>
      <c r="AE13" s="947"/>
      <c r="AF13" s="693"/>
      <c r="AG13" s="693"/>
      <c r="AH13" s="693"/>
      <c r="AI13" s="693"/>
      <c r="AJ13" s="693"/>
      <c r="AK13" s="693"/>
    </row>
    <row r="14" spans="1:37" s="694" customFormat="1" ht="38.25" customHeight="1">
      <c r="A14" s="687" t="s">
        <v>946</v>
      </c>
      <c r="B14" s="688" t="s">
        <v>69</v>
      </c>
      <c r="C14" s="87">
        <v>18008881</v>
      </c>
      <c r="D14" s="87">
        <v>18008881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689">
        <f t="shared" si="0"/>
        <v>18008881</v>
      </c>
      <c r="T14" s="689">
        <f t="shared" si="1"/>
        <v>0</v>
      </c>
      <c r="U14" s="689">
        <f t="shared" si="2"/>
        <v>18008881</v>
      </c>
      <c r="V14" s="690">
        <v>0.3</v>
      </c>
      <c r="W14" s="691">
        <f>+C14+E14+G14</f>
        <v>18008881</v>
      </c>
      <c r="X14" s="689">
        <f>+W14*V14</f>
        <v>5402664.2999999998</v>
      </c>
      <c r="Y14" s="895">
        <f>+D14+F14+H14</f>
        <v>18008881</v>
      </c>
      <c r="Z14" s="691">
        <f t="shared" si="5"/>
        <v>5402664.2999999998</v>
      </c>
      <c r="AA14" s="947"/>
      <c r="AB14" s="948"/>
      <c r="AC14" s="947"/>
      <c r="AD14" s="948"/>
      <c r="AE14" s="947"/>
      <c r="AF14" s="693"/>
      <c r="AG14" s="693"/>
      <c r="AH14" s="693"/>
      <c r="AI14" s="693"/>
      <c r="AJ14" s="693"/>
      <c r="AK14" s="693"/>
    </row>
    <row r="15" spans="1:37" s="694" customFormat="1" ht="38.25" customHeight="1">
      <c r="A15" s="687" t="s">
        <v>400</v>
      </c>
      <c r="B15" s="688" t="s">
        <v>401</v>
      </c>
      <c r="C15" s="137">
        <f t="shared" ref="C15:P15" si="6">+C16+C17+C18+C19</f>
        <v>10403002</v>
      </c>
      <c r="D15" s="137">
        <f t="shared" si="6"/>
        <v>0</v>
      </c>
      <c r="E15" s="137">
        <f>+E16+E17+E18+E19</f>
        <v>0</v>
      </c>
      <c r="F15" s="137">
        <f>+F16+F17+F18+F19</f>
        <v>0</v>
      </c>
      <c r="G15" s="137">
        <f t="shared" si="6"/>
        <v>0</v>
      </c>
      <c r="H15" s="137">
        <f t="shared" si="6"/>
        <v>0</v>
      </c>
      <c r="I15" s="137">
        <f t="shared" si="6"/>
        <v>22174000</v>
      </c>
      <c r="J15" s="137">
        <f t="shared" si="6"/>
        <v>0</v>
      </c>
      <c r="K15" s="137">
        <f t="shared" si="6"/>
        <v>0</v>
      </c>
      <c r="L15" s="137">
        <f t="shared" si="6"/>
        <v>0</v>
      </c>
      <c r="M15" s="137">
        <f t="shared" si="6"/>
        <v>0</v>
      </c>
      <c r="N15" s="137">
        <f t="shared" si="6"/>
        <v>0</v>
      </c>
      <c r="O15" s="137">
        <f t="shared" si="6"/>
        <v>87000000</v>
      </c>
      <c r="P15" s="137">
        <f t="shared" si="6"/>
        <v>0</v>
      </c>
      <c r="Q15" s="137">
        <f>+Q16+Q17+Q18+Q19</f>
        <v>0</v>
      </c>
      <c r="R15" s="137">
        <f>+R16+R17+R18+R19</f>
        <v>0</v>
      </c>
      <c r="S15" s="689">
        <f t="shared" si="0"/>
        <v>119577002</v>
      </c>
      <c r="T15" s="689">
        <f t="shared" si="1"/>
        <v>119577002</v>
      </c>
      <c r="U15" s="689">
        <f t="shared" si="2"/>
        <v>0</v>
      </c>
      <c r="V15" s="690"/>
      <c r="W15" s="691"/>
      <c r="X15" s="689">
        <f t="shared" si="3"/>
        <v>0</v>
      </c>
      <c r="Y15" s="895"/>
      <c r="Z15" s="691">
        <f t="shared" si="5"/>
        <v>0</v>
      </c>
      <c r="AA15" s="947"/>
      <c r="AB15" s="948"/>
      <c r="AC15" s="947"/>
      <c r="AD15" s="948"/>
      <c r="AE15" s="947"/>
      <c r="AF15" s="693"/>
      <c r="AG15" s="693"/>
      <c r="AH15" s="693"/>
      <c r="AI15" s="693"/>
      <c r="AJ15" s="693"/>
      <c r="AK15" s="693"/>
    </row>
    <row r="16" spans="1:37" s="694" customFormat="1" ht="38.25" customHeight="1">
      <c r="A16" s="687" t="s">
        <v>480</v>
      </c>
      <c r="B16" s="688" t="s">
        <v>47</v>
      </c>
      <c r="C16" s="87"/>
      <c r="D16" s="87"/>
      <c r="E16" s="87"/>
      <c r="F16" s="87"/>
      <c r="G16" s="87"/>
      <c r="H16" s="87"/>
      <c r="I16" s="87">
        <v>22174000</v>
      </c>
      <c r="J16" s="87"/>
      <c r="K16" s="87"/>
      <c r="L16" s="87"/>
      <c r="M16" s="87"/>
      <c r="N16" s="87"/>
      <c r="O16" s="87">
        <v>87000000</v>
      </c>
      <c r="P16" s="87"/>
      <c r="Q16" s="87"/>
      <c r="R16" s="87"/>
      <c r="S16" s="689">
        <f>+C16+E16+G16+I16+K16+M16+O16+Q16</f>
        <v>109174000</v>
      </c>
      <c r="T16" s="689">
        <f t="shared" si="1"/>
        <v>109174000</v>
      </c>
      <c r="U16" s="689">
        <f t="shared" si="2"/>
        <v>0</v>
      </c>
      <c r="V16" s="690">
        <v>1</v>
      </c>
      <c r="W16" s="691">
        <f>+C16+E16+G16+I16+K16+M16+O16+Q16</f>
        <v>109174000</v>
      </c>
      <c r="X16" s="692">
        <f t="shared" si="3"/>
        <v>109174000</v>
      </c>
      <c r="Y16" s="895">
        <f>+D16+F16+H16+J16+L16+N16+P16+R16</f>
        <v>0</v>
      </c>
      <c r="Z16" s="692">
        <f t="shared" si="5"/>
        <v>0</v>
      </c>
      <c r="AA16" s="947"/>
      <c r="AB16" s="948"/>
      <c r="AC16" s="947"/>
      <c r="AD16" s="948"/>
      <c r="AE16" s="947"/>
      <c r="AF16" s="693"/>
      <c r="AG16" s="693"/>
      <c r="AH16" s="693"/>
      <c r="AI16" s="693"/>
      <c r="AJ16" s="693"/>
      <c r="AK16" s="693"/>
    </row>
    <row r="17" spans="1:37" s="694" customFormat="1" ht="38.25" customHeight="1">
      <c r="A17" s="687" t="s">
        <v>67</v>
      </c>
      <c r="B17" s="688" t="s">
        <v>106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689">
        <f t="shared" si="0"/>
        <v>0</v>
      </c>
      <c r="T17" s="689">
        <f t="shared" si="1"/>
        <v>0</v>
      </c>
      <c r="U17" s="689">
        <f t="shared" si="2"/>
        <v>0</v>
      </c>
      <c r="V17" s="690">
        <v>1</v>
      </c>
      <c r="W17" s="691">
        <f t="shared" ref="W17:W27" si="7">+C17+E17+G17</f>
        <v>0</v>
      </c>
      <c r="X17" s="692">
        <f t="shared" si="3"/>
        <v>0</v>
      </c>
      <c r="Y17" s="895">
        <f t="shared" ref="Y17:Y27" si="8">+D17+F17+H17</f>
        <v>0</v>
      </c>
      <c r="Z17" s="692">
        <f t="shared" si="5"/>
        <v>0</v>
      </c>
      <c r="AA17" s="947"/>
      <c r="AB17" s="948"/>
      <c r="AC17" s="947"/>
      <c r="AD17" s="948"/>
      <c r="AE17" s="947"/>
      <c r="AF17" s="693"/>
      <c r="AG17" s="693"/>
      <c r="AH17" s="693"/>
      <c r="AI17" s="693"/>
      <c r="AJ17" s="693"/>
      <c r="AK17" s="693"/>
    </row>
    <row r="18" spans="1:37" s="694" customFormat="1" ht="45" customHeight="1">
      <c r="A18" s="687" t="s">
        <v>68</v>
      </c>
      <c r="B18" s="688" t="s">
        <v>105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689">
        <f t="shared" si="0"/>
        <v>0</v>
      </c>
      <c r="T18" s="689">
        <f t="shared" si="1"/>
        <v>0</v>
      </c>
      <c r="U18" s="689">
        <f t="shared" si="2"/>
        <v>0</v>
      </c>
      <c r="V18" s="690">
        <v>1</v>
      </c>
      <c r="W18" s="691">
        <f t="shared" si="7"/>
        <v>0</v>
      </c>
      <c r="X18" s="692">
        <f t="shared" si="3"/>
        <v>0</v>
      </c>
      <c r="Y18" s="895">
        <f t="shared" si="8"/>
        <v>0</v>
      </c>
      <c r="Z18" s="692">
        <f t="shared" si="5"/>
        <v>0</v>
      </c>
      <c r="AA18" s="947"/>
      <c r="AB18" s="948"/>
      <c r="AC18" s="947"/>
      <c r="AD18" s="948"/>
      <c r="AE18" s="947"/>
      <c r="AF18" s="693"/>
      <c r="AG18" s="693"/>
      <c r="AH18" s="693"/>
      <c r="AI18" s="693"/>
      <c r="AJ18" s="693"/>
      <c r="AK18" s="693"/>
    </row>
    <row r="19" spans="1:37" s="694" customFormat="1" ht="38.25" customHeight="1">
      <c r="A19" s="687" t="s">
        <v>104</v>
      </c>
      <c r="B19" s="688" t="s">
        <v>44</v>
      </c>
      <c r="C19" s="87">
        <v>10403002</v>
      </c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689">
        <f t="shared" si="0"/>
        <v>10403002</v>
      </c>
      <c r="T19" s="689">
        <f t="shared" si="1"/>
        <v>10403002</v>
      </c>
      <c r="U19" s="689">
        <f t="shared" si="2"/>
        <v>0</v>
      </c>
      <c r="V19" s="690">
        <v>0</v>
      </c>
      <c r="W19" s="691">
        <f t="shared" si="7"/>
        <v>10403002</v>
      </c>
      <c r="X19" s="689">
        <f t="shared" si="3"/>
        <v>0</v>
      </c>
      <c r="Y19" s="895">
        <f t="shared" si="8"/>
        <v>0</v>
      </c>
      <c r="Z19" s="691">
        <f t="shared" si="5"/>
        <v>0</v>
      </c>
      <c r="AA19" s="947"/>
      <c r="AB19" s="948"/>
      <c r="AC19" s="947"/>
      <c r="AD19" s="948"/>
      <c r="AE19" s="947"/>
      <c r="AF19" s="693"/>
      <c r="AG19" s="693"/>
      <c r="AH19" s="693"/>
      <c r="AI19" s="693"/>
      <c r="AJ19" s="693"/>
      <c r="AK19" s="693"/>
    </row>
    <row r="20" spans="1:37" s="694" customFormat="1" ht="38.25" customHeight="1">
      <c r="A20" s="687" t="s">
        <v>402</v>
      </c>
      <c r="B20" s="688" t="s">
        <v>403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689">
        <f t="shared" si="0"/>
        <v>0</v>
      </c>
      <c r="T20" s="689">
        <f t="shared" si="1"/>
        <v>0</v>
      </c>
      <c r="U20" s="689">
        <f t="shared" si="2"/>
        <v>0</v>
      </c>
      <c r="V20" s="690">
        <v>0.3</v>
      </c>
      <c r="W20" s="691">
        <f t="shared" si="7"/>
        <v>0</v>
      </c>
      <c r="X20" s="689">
        <f t="shared" si="3"/>
        <v>0</v>
      </c>
      <c r="Y20" s="895">
        <f t="shared" si="8"/>
        <v>0</v>
      </c>
      <c r="Z20" s="691">
        <f t="shared" si="5"/>
        <v>0</v>
      </c>
      <c r="AA20" s="947"/>
      <c r="AB20" s="948"/>
      <c r="AC20" s="947"/>
      <c r="AD20" s="948"/>
      <c r="AE20" s="947"/>
      <c r="AF20" s="693"/>
      <c r="AG20" s="693"/>
      <c r="AH20" s="693"/>
      <c r="AI20" s="693"/>
      <c r="AJ20" s="693"/>
      <c r="AK20" s="693"/>
    </row>
    <row r="21" spans="1:37" s="694" customFormat="1" ht="45" customHeight="1">
      <c r="A21" s="687" t="s">
        <v>404</v>
      </c>
      <c r="B21" s="688" t="s">
        <v>405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689">
        <f t="shared" si="0"/>
        <v>0</v>
      </c>
      <c r="T21" s="689">
        <f t="shared" si="1"/>
        <v>0</v>
      </c>
      <c r="U21" s="689">
        <f t="shared" si="2"/>
        <v>0</v>
      </c>
      <c r="V21" s="690">
        <v>0.3</v>
      </c>
      <c r="W21" s="691">
        <f t="shared" si="7"/>
        <v>0</v>
      </c>
      <c r="X21" s="689">
        <f t="shared" si="3"/>
        <v>0</v>
      </c>
      <c r="Y21" s="895">
        <f t="shared" si="8"/>
        <v>0</v>
      </c>
      <c r="Z21" s="691">
        <f t="shared" si="5"/>
        <v>0</v>
      </c>
      <c r="AA21" s="947"/>
      <c r="AB21" s="948"/>
      <c r="AC21" s="947"/>
      <c r="AD21" s="948"/>
      <c r="AE21" s="947"/>
      <c r="AF21" s="693"/>
      <c r="AG21" s="693"/>
      <c r="AH21" s="693"/>
      <c r="AI21" s="693"/>
      <c r="AJ21" s="693"/>
      <c r="AK21" s="693"/>
    </row>
    <row r="22" spans="1:37" s="694" customFormat="1" ht="38.25" customHeight="1">
      <c r="A22" s="687" t="s">
        <v>406</v>
      </c>
      <c r="B22" s="688" t="s">
        <v>407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689">
        <f t="shared" si="0"/>
        <v>0</v>
      </c>
      <c r="T22" s="689">
        <f t="shared" si="1"/>
        <v>0</v>
      </c>
      <c r="U22" s="689">
        <f t="shared" si="2"/>
        <v>0</v>
      </c>
      <c r="V22" s="690">
        <v>0.3</v>
      </c>
      <c r="W22" s="691">
        <f t="shared" si="7"/>
        <v>0</v>
      </c>
      <c r="X22" s="689">
        <f t="shared" si="3"/>
        <v>0</v>
      </c>
      <c r="Y22" s="895">
        <f t="shared" si="8"/>
        <v>0</v>
      </c>
      <c r="Z22" s="691">
        <f t="shared" si="5"/>
        <v>0</v>
      </c>
      <c r="AA22" s="947"/>
      <c r="AB22" s="948"/>
      <c r="AC22" s="947"/>
      <c r="AD22" s="948"/>
      <c r="AE22" s="947"/>
      <c r="AF22" s="693"/>
      <c r="AG22" s="693"/>
      <c r="AH22" s="693"/>
      <c r="AI22" s="693"/>
      <c r="AJ22" s="693"/>
      <c r="AK22" s="693"/>
    </row>
    <row r="23" spans="1:37" s="694" customFormat="1" ht="38.25" customHeight="1">
      <c r="A23" s="687" t="s">
        <v>408</v>
      </c>
      <c r="B23" s="688" t="s">
        <v>409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689">
        <f t="shared" si="0"/>
        <v>0</v>
      </c>
      <c r="T23" s="689">
        <f t="shared" si="1"/>
        <v>0</v>
      </c>
      <c r="U23" s="689">
        <f t="shared" si="2"/>
        <v>0</v>
      </c>
      <c r="V23" s="690">
        <v>1</v>
      </c>
      <c r="W23" s="691">
        <f t="shared" si="7"/>
        <v>0</v>
      </c>
      <c r="X23" s="689">
        <f t="shared" si="3"/>
        <v>0</v>
      </c>
      <c r="Y23" s="895">
        <f t="shared" si="8"/>
        <v>0</v>
      </c>
      <c r="Z23" s="691">
        <f t="shared" si="5"/>
        <v>0</v>
      </c>
      <c r="AA23" s="947"/>
      <c r="AB23" s="948"/>
      <c r="AC23" s="947"/>
      <c r="AD23" s="948"/>
      <c r="AE23" s="947"/>
      <c r="AF23" s="693"/>
      <c r="AG23" s="693"/>
      <c r="AH23" s="693"/>
      <c r="AI23" s="693"/>
      <c r="AJ23" s="693"/>
      <c r="AK23" s="693"/>
    </row>
    <row r="24" spans="1:37" s="694" customFormat="1" ht="38.25" customHeight="1">
      <c r="A24" s="687" t="s">
        <v>410</v>
      </c>
      <c r="B24" s="688" t="s">
        <v>411</v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689">
        <f t="shared" si="0"/>
        <v>0</v>
      </c>
      <c r="T24" s="689">
        <f t="shared" si="1"/>
        <v>0</v>
      </c>
      <c r="U24" s="689">
        <f t="shared" si="2"/>
        <v>0</v>
      </c>
      <c r="V24" s="690">
        <v>0.5</v>
      </c>
      <c r="W24" s="691">
        <f t="shared" si="7"/>
        <v>0</v>
      </c>
      <c r="X24" s="689">
        <f t="shared" si="3"/>
        <v>0</v>
      </c>
      <c r="Y24" s="895">
        <f t="shared" si="8"/>
        <v>0</v>
      </c>
      <c r="Z24" s="691">
        <f t="shared" si="5"/>
        <v>0</v>
      </c>
      <c r="AA24" s="947"/>
      <c r="AB24" s="948"/>
      <c r="AC24" s="947"/>
      <c r="AD24" s="948"/>
      <c r="AE24" s="947"/>
      <c r="AF24" s="693"/>
      <c r="AG24" s="693"/>
      <c r="AH24" s="693"/>
      <c r="AI24" s="693"/>
      <c r="AJ24" s="693"/>
      <c r="AK24" s="693"/>
    </row>
    <row r="25" spans="1:37" s="694" customFormat="1" ht="38.25" customHeight="1">
      <c r="A25" s="687">
        <v>10</v>
      </c>
      <c r="B25" s="688" t="s">
        <v>412</v>
      </c>
      <c r="C25" s="87">
        <v>25522506</v>
      </c>
      <c r="D25" s="87">
        <v>2296929</v>
      </c>
      <c r="E25" s="87">
        <v>49142260</v>
      </c>
      <c r="F25" s="87">
        <v>1105250</v>
      </c>
      <c r="G25" s="87">
        <v>58524584</v>
      </c>
      <c r="H25" s="87">
        <v>2088467</v>
      </c>
      <c r="I25" s="87">
        <v>299929961</v>
      </c>
      <c r="J25" s="87">
        <v>46988108</v>
      </c>
      <c r="K25" s="87">
        <v>467046178</v>
      </c>
      <c r="L25" s="87">
        <v>92296824</v>
      </c>
      <c r="M25" s="87">
        <v>879525725</v>
      </c>
      <c r="N25" s="87">
        <v>215751354</v>
      </c>
      <c r="O25" s="87">
        <v>1293596512</v>
      </c>
      <c r="P25" s="87">
        <v>435986816</v>
      </c>
      <c r="Q25" s="87">
        <v>1570600757</v>
      </c>
      <c r="R25" s="87">
        <v>763144799</v>
      </c>
      <c r="S25" s="689">
        <f t="shared" si="0"/>
        <v>4643888483</v>
      </c>
      <c r="T25" s="689">
        <f t="shared" si="1"/>
        <v>3084229936</v>
      </c>
      <c r="U25" s="689">
        <f t="shared" si="2"/>
        <v>1559658547</v>
      </c>
      <c r="V25" s="690">
        <v>0.3</v>
      </c>
      <c r="W25" s="691">
        <f t="shared" si="7"/>
        <v>133189350</v>
      </c>
      <c r="X25" s="689">
        <f t="shared" si="3"/>
        <v>39956805</v>
      </c>
      <c r="Y25" s="895">
        <f t="shared" si="8"/>
        <v>5490646</v>
      </c>
      <c r="Z25" s="691">
        <f t="shared" si="5"/>
        <v>1647193.8</v>
      </c>
      <c r="AA25" s="947"/>
      <c r="AB25" s="948"/>
      <c r="AC25" s="947"/>
      <c r="AD25" s="948"/>
      <c r="AE25" s="947"/>
      <c r="AF25" s="693"/>
      <c r="AG25" s="693"/>
      <c r="AH25" s="693"/>
      <c r="AI25" s="693"/>
      <c r="AJ25" s="693"/>
      <c r="AK25" s="693"/>
    </row>
    <row r="26" spans="1:37" s="694" customFormat="1" ht="38.25" customHeight="1">
      <c r="A26" s="687">
        <v>11</v>
      </c>
      <c r="B26" s="688" t="s">
        <v>413</v>
      </c>
      <c r="C26" s="87">
        <v>8560497</v>
      </c>
      <c r="D26" s="87">
        <v>0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689">
        <f t="shared" si="0"/>
        <v>8560497</v>
      </c>
      <c r="T26" s="689">
        <f t="shared" si="1"/>
        <v>8560497</v>
      </c>
      <c r="U26" s="689">
        <f t="shared" si="2"/>
        <v>0</v>
      </c>
      <c r="V26" s="690">
        <v>0</v>
      </c>
      <c r="W26" s="691">
        <f t="shared" si="7"/>
        <v>8560497</v>
      </c>
      <c r="X26" s="689">
        <f t="shared" si="3"/>
        <v>0</v>
      </c>
      <c r="Y26" s="895">
        <f t="shared" si="8"/>
        <v>0</v>
      </c>
      <c r="Z26" s="691">
        <f t="shared" si="5"/>
        <v>0</v>
      </c>
      <c r="AA26" s="947"/>
      <c r="AB26" s="948"/>
      <c r="AC26" s="947"/>
      <c r="AD26" s="948"/>
      <c r="AE26" s="947"/>
      <c r="AF26" s="693"/>
      <c r="AG26" s="693"/>
      <c r="AH26" s="693"/>
      <c r="AI26" s="693"/>
      <c r="AJ26" s="693"/>
      <c r="AK26" s="693"/>
    </row>
    <row r="27" spans="1:37" s="694" customFormat="1" ht="38.25" customHeight="1">
      <c r="A27" s="687" t="s">
        <v>414</v>
      </c>
      <c r="B27" s="688" t="s">
        <v>415</v>
      </c>
      <c r="C27" s="87">
        <v>70220</v>
      </c>
      <c r="D27" s="87">
        <v>0</v>
      </c>
      <c r="E27" s="87"/>
      <c r="F27" s="87"/>
      <c r="G27" s="87"/>
      <c r="H27" s="87"/>
      <c r="I27" s="87"/>
      <c r="J27" s="87"/>
      <c r="K27" s="87">
        <v>6600000</v>
      </c>
      <c r="L27" s="87"/>
      <c r="M27" s="87"/>
      <c r="N27" s="87"/>
      <c r="O27" s="87"/>
      <c r="P27" s="87"/>
      <c r="Q27" s="87"/>
      <c r="R27" s="87"/>
      <c r="S27" s="689">
        <f t="shared" si="0"/>
        <v>6670220</v>
      </c>
      <c r="T27" s="689">
        <f t="shared" si="1"/>
        <v>6670220</v>
      </c>
      <c r="U27" s="689">
        <f t="shared" si="2"/>
        <v>0</v>
      </c>
      <c r="V27" s="690">
        <v>0</v>
      </c>
      <c r="W27" s="691">
        <f t="shared" si="7"/>
        <v>70220</v>
      </c>
      <c r="X27" s="689">
        <f t="shared" si="3"/>
        <v>0</v>
      </c>
      <c r="Y27" s="895">
        <f t="shared" si="8"/>
        <v>0</v>
      </c>
      <c r="Z27" s="691">
        <f t="shared" si="5"/>
        <v>0</v>
      </c>
      <c r="AA27" s="947"/>
      <c r="AB27" s="948"/>
      <c r="AC27" s="947"/>
      <c r="AD27" s="948"/>
      <c r="AE27" s="947"/>
      <c r="AF27" s="693"/>
      <c r="AG27" s="693"/>
      <c r="AH27" s="693"/>
      <c r="AI27" s="693"/>
      <c r="AJ27" s="693"/>
      <c r="AK27" s="693"/>
    </row>
    <row r="28" spans="1:37" s="694" customFormat="1" ht="38.25" customHeight="1">
      <c r="A28" s="687" t="s">
        <v>416</v>
      </c>
      <c r="B28" s="688" t="s">
        <v>417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689">
        <f t="shared" si="0"/>
        <v>0</v>
      </c>
      <c r="T28" s="689">
        <f t="shared" si="1"/>
        <v>0</v>
      </c>
      <c r="U28" s="689">
        <f t="shared" si="2"/>
        <v>0</v>
      </c>
      <c r="V28" s="690"/>
      <c r="W28" s="691"/>
      <c r="X28" s="689">
        <f t="shared" si="3"/>
        <v>0</v>
      </c>
      <c r="Y28" s="895"/>
      <c r="Z28" s="691">
        <f t="shared" si="5"/>
        <v>0</v>
      </c>
      <c r="AA28" s="947"/>
      <c r="AB28" s="948"/>
      <c r="AC28" s="947"/>
      <c r="AD28" s="948"/>
      <c r="AE28" s="947"/>
      <c r="AF28" s="693"/>
      <c r="AG28" s="693"/>
      <c r="AH28" s="693"/>
      <c r="AI28" s="693"/>
      <c r="AJ28" s="693"/>
      <c r="AK28" s="693"/>
    </row>
    <row r="29" spans="1:37" s="694" customFormat="1" ht="45" customHeight="1">
      <c r="A29" s="687" t="s">
        <v>48</v>
      </c>
      <c r="B29" s="688" t="s">
        <v>58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689">
        <f t="shared" si="0"/>
        <v>0</v>
      </c>
      <c r="T29" s="689">
        <f t="shared" si="1"/>
        <v>0</v>
      </c>
      <c r="U29" s="689">
        <f t="shared" si="2"/>
        <v>0</v>
      </c>
      <c r="V29" s="690">
        <v>0.3</v>
      </c>
      <c r="W29" s="691">
        <f t="shared" ref="W29:W37" si="9">+C29+E29+G29</f>
        <v>0</v>
      </c>
      <c r="X29" s="692">
        <f t="shared" si="3"/>
        <v>0</v>
      </c>
      <c r="Y29" s="895">
        <f t="shared" ref="Y29:Y37" si="10">+D29+F29+H29</f>
        <v>0</v>
      </c>
      <c r="Z29" s="692">
        <f t="shared" si="5"/>
        <v>0</v>
      </c>
      <c r="AA29" s="947"/>
      <c r="AB29" s="948"/>
      <c r="AC29" s="947"/>
      <c r="AD29" s="948"/>
      <c r="AE29" s="947"/>
      <c r="AF29" s="693"/>
      <c r="AG29" s="693"/>
      <c r="AH29" s="693"/>
      <c r="AI29" s="693"/>
      <c r="AJ29" s="693"/>
      <c r="AK29" s="693"/>
    </row>
    <row r="30" spans="1:37" s="694" customFormat="1" ht="38.25" customHeight="1">
      <c r="A30" s="687" t="s">
        <v>49</v>
      </c>
      <c r="B30" s="688" t="s">
        <v>56</v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689">
        <f t="shared" si="0"/>
        <v>0</v>
      </c>
      <c r="T30" s="689">
        <f t="shared" si="1"/>
        <v>0</v>
      </c>
      <c r="U30" s="689">
        <f t="shared" si="2"/>
        <v>0</v>
      </c>
      <c r="V30" s="690">
        <v>0</v>
      </c>
      <c r="W30" s="691">
        <f t="shared" si="9"/>
        <v>0</v>
      </c>
      <c r="X30" s="689">
        <f t="shared" si="3"/>
        <v>0</v>
      </c>
      <c r="Y30" s="895">
        <f t="shared" si="10"/>
        <v>0</v>
      </c>
      <c r="Z30" s="691">
        <f t="shared" si="5"/>
        <v>0</v>
      </c>
      <c r="AA30" s="947"/>
      <c r="AB30" s="948"/>
      <c r="AC30" s="947"/>
      <c r="AD30" s="948"/>
      <c r="AE30" s="947"/>
      <c r="AF30" s="693"/>
      <c r="AG30" s="693"/>
      <c r="AH30" s="693"/>
      <c r="AI30" s="693"/>
      <c r="AJ30" s="693"/>
      <c r="AK30" s="693"/>
    </row>
    <row r="31" spans="1:37" s="694" customFormat="1" ht="38.25" customHeight="1">
      <c r="A31" s="687" t="s">
        <v>418</v>
      </c>
      <c r="B31" s="688" t="s">
        <v>1006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>
        <v>149099836</v>
      </c>
      <c r="R31" s="87">
        <v>0</v>
      </c>
      <c r="S31" s="689">
        <f t="shared" si="0"/>
        <v>149099836</v>
      </c>
      <c r="T31" s="689">
        <f t="shared" si="1"/>
        <v>149099836</v>
      </c>
      <c r="U31" s="689">
        <f t="shared" si="2"/>
        <v>0</v>
      </c>
      <c r="V31" s="690">
        <v>0</v>
      </c>
      <c r="W31" s="691">
        <f t="shared" si="9"/>
        <v>0</v>
      </c>
      <c r="X31" s="689">
        <f t="shared" si="3"/>
        <v>0</v>
      </c>
      <c r="Y31" s="895">
        <f t="shared" si="10"/>
        <v>0</v>
      </c>
      <c r="Z31" s="691">
        <f t="shared" si="5"/>
        <v>0</v>
      </c>
      <c r="AA31" s="947"/>
      <c r="AB31" s="948"/>
      <c r="AC31" s="947"/>
      <c r="AD31" s="948"/>
      <c r="AE31" s="947"/>
      <c r="AF31" s="693"/>
      <c r="AG31" s="693"/>
      <c r="AH31" s="693"/>
      <c r="AI31" s="693"/>
      <c r="AJ31" s="693"/>
      <c r="AK31" s="693"/>
    </row>
    <row r="32" spans="1:37" s="694" customFormat="1" ht="38.25" customHeight="1">
      <c r="A32" s="687" t="s">
        <v>420</v>
      </c>
      <c r="B32" s="688" t="s">
        <v>1007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689">
        <f t="shared" si="0"/>
        <v>0</v>
      </c>
      <c r="T32" s="689">
        <f t="shared" si="1"/>
        <v>0</v>
      </c>
      <c r="U32" s="689">
        <f t="shared" si="2"/>
        <v>0</v>
      </c>
      <c r="V32" s="690">
        <v>0</v>
      </c>
      <c r="W32" s="691">
        <f t="shared" si="9"/>
        <v>0</v>
      </c>
      <c r="X32" s="689">
        <f t="shared" si="3"/>
        <v>0</v>
      </c>
      <c r="Y32" s="895">
        <f t="shared" si="10"/>
        <v>0</v>
      </c>
      <c r="Z32" s="691">
        <f t="shared" si="5"/>
        <v>0</v>
      </c>
      <c r="AA32" s="947"/>
      <c r="AB32" s="948"/>
      <c r="AC32" s="947"/>
      <c r="AD32" s="948"/>
      <c r="AE32" s="947"/>
      <c r="AF32" s="693"/>
      <c r="AG32" s="693"/>
      <c r="AH32" s="693"/>
      <c r="AI32" s="693"/>
      <c r="AJ32" s="693"/>
      <c r="AK32" s="693"/>
    </row>
    <row r="33" spans="1:37" s="694" customFormat="1" ht="38.25" customHeight="1">
      <c r="A33" s="687" t="s">
        <v>421</v>
      </c>
      <c r="B33" s="688" t="s">
        <v>422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689">
        <f t="shared" si="0"/>
        <v>0</v>
      </c>
      <c r="T33" s="689">
        <f t="shared" si="1"/>
        <v>0</v>
      </c>
      <c r="U33" s="689">
        <f t="shared" si="2"/>
        <v>0</v>
      </c>
      <c r="V33" s="690">
        <v>0</v>
      </c>
      <c r="W33" s="691">
        <f t="shared" si="9"/>
        <v>0</v>
      </c>
      <c r="X33" s="689">
        <f t="shared" si="3"/>
        <v>0</v>
      </c>
      <c r="Y33" s="895">
        <f t="shared" si="10"/>
        <v>0</v>
      </c>
      <c r="Z33" s="691">
        <f t="shared" si="5"/>
        <v>0</v>
      </c>
      <c r="AA33" s="947"/>
      <c r="AB33" s="948"/>
      <c r="AC33" s="947"/>
      <c r="AD33" s="948"/>
      <c r="AE33" s="947"/>
      <c r="AF33" s="693"/>
      <c r="AG33" s="693"/>
      <c r="AH33" s="693"/>
      <c r="AI33" s="693"/>
      <c r="AJ33" s="693"/>
      <c r="AK33" s="693"/>
    </row>
    <row r="34" spans="1:37" s="694" customFormat="1" ht="38.25" customHeight="1">
      <c r="A34" s="687" t="s">
        <v>423</v>
      </c>
      <c r="B34" s="688" t="s">
        <v>424</v>
      </c>
      <c r="C34" s="87">
        <v>0</v>
      </c>
      <c r="D34" s="87">
        <v>-70081723</v>
      </c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689">
        <f t="shared" si="0"/>
        <v>0</v>
      </c>
      <c r="T34" s="689">
        <f t="shared" si="1"/>
        <v>70081723</v>
      </c>
      <c r="U34" s="689">
        <f t="shared" si="2"/>
        <v>-70081723</v>
      </c>
      <c r="V34" s="690">
        <v>0</v>
      </c>
      <c r="W34" s="691">
        <f t="shared" si="9"/>
        <v>0</v>
      </c>
      <c r="X34" s="689">
        <f t="shared" si="3"/>
        <v>0</v>
      </c>
      <c r="Y34" s="895">
        <f t="shared" si="10"/>
        <v>-70081723</v>
      </c>
      <c r="Z34" s="691">
        <f t="shared" si="5"/>
        <v>0</v>
      </c>
      <c r="AA34" s="947"/>
      <c r="AB34" s="948"/>
      <c r="AC34" s="947"/>
      <c r="AD34" s="948"/>
      <c r="AE34" s="947"/>
      <c r="AF34" s="693"/>
      <c r="AG34" s="693"/>
      <c r="AH34" s="693"/>
      <c r="AI34" s="693"/>
      <c r="AJ34" s="693"/>
      <c r="AK34" s="693"/>
    </row>
    <row r="35" spans="1:37" s="694" customFormat="1" ht="38.25" customHeight="1">
      <c r="A35" s="687" t="s">
        <v>425</v>
      </c>
      <c r="B35" s="688" t="s">
        <v>426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689">
        <f t="shared" si="0"/>
        <v>0</v>
      </c>
      <c r="T35" s="689">
        <f t="shared" si="1"/>
        <v>0</v>
      </c>
      <c r="U35" s="689">
        <f t="shared" si="2"/>
        <v>0</v>
      </c>
      <c r="V35" s="690">
        <v>0</v>
      </c>
      <c r="W35" s="691">
        <f t="shared" si="9"/>
        <v>0</v>
      </c>
      <c r="X35" s="689">
        <f t="shared" si="3"/>
        <v>0</v>
      </c>
      <c r="Y35" s="895">
        <f t="shared" si="10"/>
        <v>0</v>
      </c>
      <c r="Z35" s="691">
        <f t="shared" si="5"/>
        <v>0</v>
      </c>
      <c r="AA35" s="947"/>
      <c r="AB35" s="948"/>
      <c r="AC35" s="947"/>
      <c r="AD35" s="948"/>
      <c r="AE35" s="947"/>
      <c r="AF35" s="693"/>
      <c r="AG35" s="693"/>
      <c r="AH35" s="693"/>
      <c r="AI35" s="693"/>
      <c r="AJ35" s="693"/>
      <c r="AK35" s="693"/>
    </row>
    <row r="36" spans="1:37" s="694" customFormat="1" ht="38.25" customHeight="1">
      <c r="A36" s="687" t="s">
        <v>427</v>
      </c>
      <c r="B36" s="688" t="s">
        <v>428</v>
      </c>
      <c r="C36" s="87">
        <v>35343476</v>
      </c>
      <c r="D36" s="87">
        <v>7966064</v>
      </c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689">
        <f t="shared" si="0"/>
        <v>35343476</v>
      </c>
      <c r="T36" s="689">
        <f t="shared" si="1"/>
        <v>27377412</v>
      </c>
      <c r="U36" s="689">
        <f t="shared" si="2"/>
        <v>7966064</v>
      </c>
      <c r="V36" s="690">
        <v>0.3</v>
      </c>
      <c r="W36" s="691">
        <f t="shared" si="9"/>
        <v>35343476</v>
      </c>
      <c r="X36" s="689">
        <f t="shared" si="3"/>
        <v>10603042.799999999</v>
      </c>
      <c r="Y36" s="895">
        <f t="shared" si="10"/>
        <v>7966064</v>
      </c>
      <c r="Z36" s="691">
        <f t="shared" si="5"/>
        <v>2389819.1999999997</v>
      </c>
      <c r="AA36" s="947"/>
      <c r="AB36" s="948"/>
      <c r="AC36" s="947"/>
      <c r="AD36" s="948"/>
      <c r="AE36" s="947"/>
      <c r="AF36" s="693"/>
      <c r="AG36" s="693"/>
      <c r="AH36" s="693"/>
      <c r="AI36" s="693"/>
      <c r="AJ36" s="693"/>
      <c r="AK36" s="693"/>
    </row>
    <row r="37" spans="1:37" s="694" customFormat="1" ht="38.25" customHeight="1">
      <c r="A37" s="687" t="s">
        <v>429</v>
      </c>
      <c r="B37" s="688" t="s">
        <v>430</v>
      </c>
      <c r="C37" s="87">
        <v>159805202</v>
      </c>
      <c r="D37" s="87">
        <v>142457490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689">
        <f t="shared" si="0"/>
        <v>159805202</v>
      </c>
      <c r="T37" s="689">
        <f t="shared" si="1"/>
        <v>17347712</v>
      </c>
      <c r="U37" s="689">
        <f t="shared" si="2"/>
        <v>142457490</v>
      </c>
      <c r="V37" s="690">
        <v>0</v>
      </c>
      <c r="W37" s="691">
        <f t="shared" si="9"/>
        <v>159805202</v>
      </c>
      <c r="X37" s="689">
        <f t="shared" si="3"/>
        <v>0</v>
      </c>
      <c r="Y37" s="895">
        <f t="shared" si="10"/>
        <v>142457490</v>
      </c>
      <c r="Z37" s="691">
        <f t="shared" si="5"/>
        <v>0</v>
      </c>
      <c r="AA37" s="947"/>
      <c r="AB37" s="948"/>
      <c r="AC37" s="947"/>
      <c r="AD37" s="948"/>
      <c r="AE37" s="947"/>
      <c r="AF37" s="693"/>
      <c r="AG37" s="693"/>
      <c r="AH37" s="693"/>
      <c r="AI37" s="693"/>
      <c r="AJ37" s="693"/>
      <c r="AK37" s="693"/>
    </row>
    <row r="38" spans="1:37" s="693" customFormat="1" ht="45" customHeight="1">
      <c r="A38" s="695" t="s">
        <v>431</v>
      </c>
      <c r="B38" s="696" t="s">
        <v>432</v>
      </c>
      <c r="C38" s="780">
        <f t="shared" ref="C38:R38" si="11">SUM(C7:C37)-C10-C15-C28</f>
        <v>741482592</v>
      </c>
      <c r="D38" s="780">
        <f t="shared" si="11"/>
        <v>372694362</v>
      </c>
      <c r="E38" s="780">
        <f>SUM(E7:E37)-E10-E15-E28</f>
        <v>49142260</v>
      </c>
      <c r="F38" s="780">
        <f>SUM(F7:F37)-F10-F15-F28</f>
        <v>22189710</v>
      </c>
      <c r="G38" s="780">
        <f t="shared" si="11"/>
        <v>58524584</v>
      </c>
      <c r="H38" s="780">
        <f t="shared" si="11"/>
        <v>2088467</v>
      </c>
      <c r="I38" s="780">
        <f t="shared" si="11"/>
        <v>572103961</v>
      </c>
      <c r="J38" s="780">
        <f t="shared" si="11"/>
        <v>46988108</v>
      </c>
      <c r="K38" s="780">
        <f t="shared" si="11"/>
        <v>473646178</v>
      </c>
      <c r="L38" s="780">
        <f t="shared" si="11"/>
        <v>92296824</v>
      </c>
      <c r="M38" s="780">
        <f t="shared" si="11"/>
        <v>879525725</v>
      </c>
      <c r="N38" s="780">
        <f t="shared" si="11"/>
        <v>215751354</v>
      </c>
      <c r="O38" s="780">
        <f t="shared" si="11"/>
        <v>1391846512</v>
      </c>
      <c r="P38" s="780">
        <f t="shared" si="11"/>
        <v>435986816</v>
      </c>
      <c r="Q38" s="780">
        <f t="shared" si="11"/>
        <v>1724000593</v>
      </c>
      <c r="R38" s="780">
        <f t="shared" si="11"/>
        <v>763144799</v>
      </c>
      <c r="S38" s="780">
        <f t="shared" si="0"/>
        <v>5890272405</v>
      </c>
      <c r="T38" s="780">
        <f t="shared" si="1"/>
        <v>3939131965</v>
      </c>
      <c r="U38" s="780">
        <f t="shared" si="2"/>
        <v>1951140440</v>
      </c>
      <c r="V38" s="780"/>
      <c r="W38" s="780"/>
      <c r="X38" s="780">
        <f>SUM(X7:X37)-X10-X28</f>
        <v>604876141.0999999</v>
      </c>
      <c r="Y38" s="896"/>
      <c r="Z38" s="780">
        <f>SUM(Z7:Z37)-Z10-Z28</f>
        <v>302570858.30000001</v>
      </c>
      <c r="AA38" s="949">
        <f>+Balance!C44</f>
        <v>5890272405</v>
      </c>
      <c r="AB38" s="949">
        <f>+Balance!D44</f>
        <v>3939131965</v>
      </c>
      <c r="AC38" s="949">
        <f>+Balance!E44</f>
        <v>1951140440</v>
      </c>
      <c r="AD38" s="948"/>
      <c r="AE38" s="947"/>
    </row>
    <row r="39" spans="1:37" s="33" customFormat="1" ht="10.5" customHeight="1">
      <c r="A39" s="81"/>
      <c r="B39" s="82"/>
      <c r="C39" s="83">
        <f>+C38-C26-C7-C8-C10-C15-C24</f>
        <v>264187744</v>
      </c>
      <c r="D39" s="83"/>
      <c r="E39" s="83">
        <f>+E38-E26-E7-E8-E10-E15-E24</f>
        <v>49142260</v>
      </c>
      <c r="F39" s="83"/>
      <c r="G39" s="83">
        <f>+G38-G26-G7-G8-G10-G15-G24</f>
        <v>58524584</v>
      </c>
      <c r="H39" s="83"/>
      <c r="I39" s="83"/>
      <c r="J39" s="83"/>
      <c r="K39" s="83">
        <f>+K38-K26-K7-K8-K10-K15-K24</f>
        <v>473646178</v>
      </c>
      <c r="L39" s="83"/>
      <c r="M39" s="83">
        <f>+M38-M26-M7-M8-M10-M15-M24</f>
        <v>879525725</v>
      </c>
      <c r="N39" s="83"/>
      <c r="O39" s="83"/>
      <c r="P39" s="83"/>
      <c r="Q39" s="82"/>
      <c r="R39" s="82"/>
      <c r="S39" s="82"/>
      <c r="T39" s="82"/>
      <c r="U39" s="82"/>
      <c r="V39" s="84"/>
      <c r="W39" s="85"/>
      <c r="X39" s="86"/>
      <c r="Y39" s="897"/>
      <c r="Z39" s="1003"/>
      <c r="AA39" s="950"/>
      <c r="AB39" s="951"/>
      <c r="AC39" s="952"/>
      <c r="AD39" s="953"/>
      <c r="AE39" s="952"/>
      <c r="AF39" s="902"/>
      <c r="AG39" s="902"/>
    </row>
    <row r="40" spans="1:37" s="33" customFormat="1">
      <c r="A40" s="57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59"/>
      <c r="W40" s="65"/>
      <c r="X40" s="66"/>
      <c r="Y40" s="898"/>
      <c r="Z40" s="892"/>
      <c r="AA40" s="954" t="s">
        <v>1177</v>
      </c>
      <c r="AB40" s="955">
        <f>+X38-AB41</f>
        <v>56974237.099999905</v>
      </c>
      <c r="AC40" s="954" t="s">
        <v>1177</v>
      </c>
      <c r="AD40" s="955">
        <f>+Z38-AD41</f>
        <v>9695066.3000000119</v>
      </c>
      <c r="AE40" s="956"/>
      <c r="AF40" s="902"/>
      <c r="AG40" s="902"/>
    </row>
    <row r="41" spans="1:37" s="33" customFormat="1">
      <c r="A41" s="57"/>
      <c r="B41" s="8" t="s">
        <v>4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59"/>
      <c r="W41" s="65"/>
      <c r="X41" s="66"/>
      <c r="Y41" s="898"/>
      <c r="Z41" s="892"/>
      <c r="AA41" s="954" t="s">
        <v>59</v>
      </c>
      <c r="AB41" s="955">
        <f>+X7+X8+X11+X16+X17+X18+X29</f>
        <v>547901904</v>
      </c>
      <c r="AC41" s="954" t="s">
        <v>59</v>
      </c>
      <c r="AD41" s="955">
        <f>+Z7+Z8+Z11+Z16+Z17+Z18+Z29</f>
        <v>292875792</v>
      </c>
      <c r="AE41" s="956"/>
      <c r="AF41" s="902"/>
      <c r="AG41" s="902"/>
    </row>
    <row r="42" spans="1:37" s="33" customFormat="1">
      <c r="A42" s="57"/>
      <c r="B42" s="8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59"/>
      <c r="W42" s="65"/>
      <c r="X42" s="66"/>
      <c r="Y42" s="898"/>
      <c r="Z42" s="892"/>
      <c r="AA42" s="954" t="s">
        <v>1178</v>
      </c>
      <c r="AB42" s="955">
        <f>+AB44-AB45</f>
        <v>605088215.4000001</v>
      </c>
      <c r="AC42" s="954" t="s">
        <v>1178</v>
      </c>
      <c r="AD42" s="955">
        <f>+AD44-AD45</f>
        <v>391136906.19999999</v>
      </c>
      <c r="AE42" s="956"/>
      <c r="AF42" s="902"/>
      <c r="AG42" s="902"/>
    </row>
    <row r="43" spans="1:37" ht="20.25" customHeight="1">
      <c r="B43" s="8" t="s">
        <v>5</v>
      </c>
      <c r="AA43" s="957"/>
      <c r="AB43" s="958"/>
      <c r="AC43" s="957"/>
      <c r="AD43" s="958"/>
      <c r="AE43" s="952"/>
    </row>
    <row r="44" spans="1:37">
      <c r="AA44" s="959" t="s">
        <v>1179</v>
      </c>
      <c r="AB44" s="960">
        <f>+'Bank Liabilities Analysis'!X38</f>
        <v>662062452.5</v>
      </c>
      <c r="AC44" s="959" t="s">
        <v>1179</v>
      </c>
      <c r="AD44" s="960">
        <f>+'Bank Liabilities Analysis'!Z38</f>
        <v>400831972.5</v>
      </c>
    </row>
    <row r="45" spans="1:37">
      <c r="AA45" s="941" t="s">
        <v>1180</v>
      </c>
      <c r="AB45" s="961">
        <f>IF(AB40&gt;(AB44*0.75),AB44*0.75,AB40)</f>
        <v>56974237.099999905</v>
      </c>
      <c r="AC45" s="941" t="s">
        <v>1180</v>
      </c>
      <c r="AD45" s="961">
        <f>IF(AD40&gt;(AD44*0.75),AD44*0.75,AD40)</f>
        <v>9695066.3000000119</v>
      </c>
    </row>
    <row r="46" spans="1:37">
      <c r="AB46" s="962"/>
    </row>
  </sheetData>
  <sheetProtection password="CA76" sheet="1" objects="1" scenarios="1"/>
  <mergeCells count="19">
    <mergeCell ref="A3:A5"/>
    <mergeCell ref="B3:B5"/>
    <mergeCell ref="V3:V5"/>
    <mergeCell ref="W3:W5"/>
    <mergeCell ref="C4:D4"/>
    <mergeCell ref="G4:H4"/>
    <mergeCell ref="K4:L4"/>
    <mergeCell ref="M4:N4"/>
    <mergeCell ref="Q4:R4"/>
    <mergeCell ref="C3:R3"/>
    <mergeCell ref="I4:J4"/>
    <mergeCell ref="O4:P4"/>
    <mergeCell ref="E4:F4"/>
    <mergeCell ref="Z3:Z5"/>
    <mergeCell ref="X1:Z1"/>
    <mergeCell ref="S3:S5"/>
    <mergeCell ref="X3:X5"/>
    <mergeCell ref="T3:U4"/>
    <mergeCell ref="Y3:Y5"/>
  </mergeCells>
  <phoneticPr fontId="18" type="noConversion"/>
  <conditionalFormatting sqref="S38">
    <cfRule type="cellIs" dxfId="179" priority="25" operator="notEqual">
      <formula>$AA$38</formula>
    </cfRule>
  </conditionalFormatting>
  <conditionalFormatting sqref="T38">
    <cfRule type="cellIs" dxfId="178" priority="24" operator="notEqual">
      <formula>$AB$38</formula>
    </cfRule>
  </conditionalFormatting>
  <conditionalFormatting sqref="U38">
    <cfRule type="cellIs" dxfId="177" priority="23" operator="notEqual">
      <formula>$AC$38</formula>
    </cfRule>
  </conditionalFormatting>
  <conditionalFormatting sqref="C7">
    <cfRule type="cellIs" dxfId="176" priority="19" operator="greaterThan">
      <formula>$C$7</formula>
    </cfRule>
  </conditionalFormatting>
  <conditionalFormatting sqref="D7 F7">
    <cfRule type="cellIs" dxfId="175" priority="18" operator="greaterThan">
      <formula>C7</formula>
    </cfRule>
  </conditionalFormatting>
  <conditionalFormatting sqref="D35:D37 D7:D33 F7 F9:F37">
    <cfRule type="cellIs" dxfId="174" priority="17" operator="greaterThan">
      <formula>C7</formula>
    </cfRule>
  </conditionalFormatting>
  <conditionalFormatting sqref="H7">
    <cfRule type="cellIs" dxfId="173" priority="16" operator="greaterThan">
      <formula>G7</formula>
    </cfRule>
  </conditionalFormatting>
  <conditionalFormatting sqref="H7:H37">
    <cfRule type="cellIs" dxfId="172" priority="15" operator="greaterThan">
      <formula>G7</formula>
    </cfRule>
  </conditionalFormatting>
  <conditionalFormatting sqref="J7">
    <cfRule type="cellIs" dxfId="171" priority="14" operator="greaterThan">
      <formula>I7</formula>
    </cfRule>
  </conditionalFormatting>
  <conditionalFormatting sqref="J7:J37">
    <cfRule type="cellIs" dxfId="170" priority="13" operator="greaterThan">
      <formula>I7</formula>
    </cfRule>
  </conditionalFormatting>
  <conditionalFormatting sqref="L7">
    <cfRule type="cellIs" dxfId="169" priority="12" operator="greaterThan">
      <formula>K7</formula>
    </cfRule>
  </conditionalFormatting>
  <conditionalFormatting sqref="L7:L37">
    <cfRule type="cellIs" dxfId="168" priority="11" operator="greaterThan">
      <formula>K7</formula>
    </cfRule>
  </conditionalFormatting>
  <conditionalFormatting sqref="N7">
    <cfRule type="cellIs" dxfId="167" priority="10" operator="greaterThan">
      <formula>M7</formula>
    </cfRule>
  </conditionalFormatting>
  <conditionalFormatting sqref="N7:N37">
    <cfRule type="cellIs" dxfId="166" priority="9" operator="greaterThan">
      <formula>M7</formula>
    </cfRule>
  </conditionalFormatting>
  <conditionalFormatting sqref="P7">
    <cfRule type="cellIs" dxfId="165" priority="8" operator="greaterThan">
      <formula>O7</formula>
    </cfRule>
  </conditionalFormatting>
  <conditionalFormatting sqref="P7:P37">
    <cfRule type="cellIs" dxfId="164" priority="7" operator="greaterThan">
      <formula>O7</formula>
    </cfRule>
  </conditionalFormatting>
  <conditionalFormatting sqref="R7">
    <cfRule type="cellIs" dxfId="163" priority="6" operator="greaterThan">
      <formula>Q7</formula>
    </cfRule>
  </conditionalFormatting>
  <conditionalFormatting sqref="R7:R37">
    <cfRule type="cellIs" dxfId="162" priority="5" operator="greaterThan">
      <formula>Q7</formula>
    </cfRule>
  </conditionalFormatting>
  <conditionalFormatting sqref="H11 J11 L11 N11 P11 R11 D11 F11">
    <cfRule type="cellIs" dxfId="161" priority="4" operator="greaterThan">
      <formula>C11</formula>
    </cfRule>
  </conditionalFormatting>
  <conditionalFormatting sqref="F7">
    <cfRule type="cellIs" dxfId="160" priority="3" operator="greaterThan">
      <formula>E7</formula>
    </cfRule>
  </conditionalFormatting>
  <conditionalFormatting sqref="F7 F9:F37">
    <cfRule type="cellIs" dxfId="159" priority="2" operator="greaterThan">
      <formula>E7</formula>
    </cfRule>
  </conditionalFormatting>
  <conditionalFormatting sqref="H7:H37 J7:J37 L7:L37 D35:D37 P7:P37 R7:R37 N7:N37 D7:D33 F7 F9:F37">
    <cfRule type="cellIs" dxfId="158" priority="1" operator="greaterThan">
      <formula>C7</formula>
    </cfRule>
  </conditionalFormatting>
  <dataValidations count="2">
    <dataValidation type="whole" operator="notEqual" allowBlank="1" showErrorMessage="1" error="Введите как целое число." sqref="Q31:R32 E31:P33 C34:R37 C6:D33 E6:R30" xr:uid="{00000000-0002-0000-14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1400-000001000000}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3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Y45"/>
  <sheetViews>
    <sheetView zoomScale="70" zoomScaleNormal="70" zoomScaleSheetLayoutView="55" workbookViewId="0">
      <pane xSplit="2" ySplit="5" topLeftCell="C24" activePane="bottomRight" state="frozen"/>
      <selection activeCell="B32" sqref="B32"/>
      <selection pane="topRight" activeCell="B32" sqref="B32"/>
      <selection pane="bottomLeft" activeCell="B32" sqref="B32"/>
      <selection pane="bottomRight" activeCell="A34" sqref="A34"/>
    </sheetView>
  </sheetViews>
  <sheetFormatPr defaultRowHeight="12.75"/>
  <cols>
    <col min="1" max="1" width="5.5703125" style="57" customWidth="1"/>
    <col min="2" max="2" width="80.42578125" style="20" customWidth="1"/>
    <col min="3" max="11" width="22.140625" style="20" customWidth="1"/>
    <col min="12" max="12" width="12.140625" style="59" customWidth="1"/>
    <col min="13" max="13" width="19.42578125" style="65" customWidth="1"/>
    <col min="14" max="14" width="18" style="66" customWidth="1"/>
    <col min="15" max="15" width="15.140625" style="631" customWidth="1"/>
    <col min="16" max="16" width="17.5703125" style="631" customWidth="1"/>
    <col min="17" max="19" width="15.140625" style="631" customWidth="1"/>
    <col min="20" max="20" width="12.7109375" style="20" bestFit="1" customWidth="1"/>
    <col min="21" max="21" width="13.85546875" style="20" bestFit="1" customWidth="1"/>
    <col min="22" max="22" width="11.7109375" style="20" bestFit="1" customWidth="1"/>
    <col min="23" max="23" width="14.42578125" style="20" bestFit="1" customWidth="1"/>
    <col min="24" max="16384" width="9.140625" style="20"/>
  </cols>
  <sheetData>
    <row r="1" spans="1:25" s="624" customFormat="1" ht="26.25" customHeight="1">
      <c r="A1" s="621" t="s">
        <v>1217</v>
      </c>
      <c r="B1" s="622"/>
      <c r="C1" s="622"/>
      <c r="D1" s="623"/>
      <c r="E1" s="623"/>
      <c r="F1" s="623"/>
      <c r="G1" s="623"/>
      <c r="H1" s="623"/>
      <c r="I1" s="623"/>
      <c r="K1" s="881"/>
      <c r="L1" s="1311" t="s">
        <v>1204</v>
      </c>
      <c r="M1" s="1311"/>
      <c r="N1" s="1311"/>
      <c r="O1" s="673"/>
      <c r="P1" s="673"/>
      <c r="Q1" s="673"/>
      <c r="R1" s="673"/>
      <c r="S1" s="673"/>
    </row>
    <row r="2" spans="1:25" ht="15.75">
      <c r="A2" s="75"/>
      <c r="B2" s="451" t="str">
        <f>Balance!B3</f>
        <v>АКБ "Микрокредитбанк"</v>
      </c>
      <c r="C2" s="369"/>
      <c r="D2" s="25"/>
      <c r="E2" s="25"/>
      <c r="F2" s="25"/>
      <c r="G2" s="25"/>
      <c r="H2" s="25"/>
      <c r="I2" s="25"/>
      <c r="J2" s="483" t="str">
        <f>+Balance!B2</f>
        <v xml:space="preserve"> 30 Декабрь, 2019</v>
      </c>
      <c r="L2" s="20"/>
      <c r="M2" s="25"/>
      <c r="N2" s="66" t="str">
        <f>+Balance!E3</f>
        <v>тыс. сум</v>
      </c>
    </row>
    <row r="3" spans="1:25" s="258" customFormat="1" ht="25.5" customHeight="1">
      <c r="A3" s="1309" t="s">
        <v>161</v>
      </c>
      <c r="B3" s="1309" t="s">
        <v>131</v>
      </c>
      <c r="C3" s="1316" t="s">
        <v>434</v>
      </c>
      <c r="D3" s="1318"/>
      <c r="E3" s="1318"/>
      <c r="F3" s="1318"/>
      <c r="G3" s="1318"/>
      <c r="H3" s="1318"/>
      <c r="I3" s="1318"/>
      <c r="J3" s="1318"/>
      <c r="K3" s="1309" t="s">
        <v>394</v>
      </c>
      <c r="L3" s="1309" t="s">
        <v>72</v>
      </c>
      <c r="M3" s="1309" t="s">
        <v>95</v>
      </c>
      <c r="N3" s="1309" t="s">
        <v>59</v>
      </c>
      <c r="O3" s="674"/>
      <c r="P3" s="674"/>
      <c r="Q3" s="674"/>
      <c r="R3" s="674"/>
      <c r="S3" s="674"/>
    </row>
    <row r="4" spans="1:25" s="258" customFormat="1" ht="34.5" customHeight="1">
      <c r="A4" s="1310"/>
      <c r="B4" s="1310"/>
      <c r="C4" s="865" t="s">
        <v>395</v>
      </c>
      <c r="D4" s="865" t="s">
        <v>1189</v>
      </c>
      <c r="E4" s="865" t="s">
        <v>1190</v>
      </c>
      <c r="F4" s="865" t="s">
        <v>943</v>
      </c>
      <c r="G4" s="865" t="s">
        <v>944</v>
      </c>
      <c r="H4" s="865" t="s">
        <v>1108</v>
      </c>
      <c r="I4" s="865" t="s">
        <v>1109</v>
      </c>
      <c r="J4" s="865" t="s">
        <v>285</v>
      </c>
      <c r="K4" s="1310"/>
      <c r="L4" s="1310"/>
      <c r="M4" s="1310"/>
      <c r="N4" s="1310"/>
      <c r="O4" s="674"/>
      <c r="P4" s="674"/>
      <c r="Q4" s="674"/>
      <c r="R4" s="674"/>
      <c r="S4" s="674"/>
    </row>
    <row r="5" spans="1:25" s="429" customFormat="1" ht="21" customHeight="1">
      <c r="A5" s="620"/>
      <c r="B5" s="879" t="s">
        <v>0</v>
      </c>
      <c r="C5" s="137"/>
      <c r="D5" s="137"/>
      <c r="E5" s="137"/>
      <c r="F5" s="137"/>
      <c r="G5" s="137"/>
      <c r="H5" s="137"/>
      <c r="I5" s="137"/>
      <c r="J5" s="137"/>
      <c r="K5" s="137"/>
      <c r="L5" s="245"/>
      <c r="M5" s="244"/>
      <c r="N5" s="137"/>
      <c r="O5" s="675"/>
      <c r="P5" s="675"/>
      <c r="Q5" s="675"/>
      <c r="R5" s="675"/>
      <c r="S5" s="675"/>
      <c r="T5" s="428"/>
      <c r="U5" s="428"/>
      <c r="V5" s="428"/>
      <c r="W5" s="428"/>
      <c r="X5" s="428"/>
      <c r="Y5" s="428"/>
    </row>
    <row r="6" spans="1:25" s="874" customFormat="1" ht="33.75" customHeight="1">
      <c r="A6" s="866" t="s">
        <v>166</v>
      </c>
      <c r="B6" s="867" t="s">
        <v>396</v>
      </c>
      <c r="C6" s="868">
        <f>+'Bank Assets Analysis'!C7-'Bank Assets Analysis'!D7</f>
        <v>69805132</v>
      </c>
      <c r="D6" s="868">
        <f>+'Bank Assets Analysis'!E7-'Bank Assets Analysis'!F7</f>
        <v>0</v>
      </c>
      <c r="E6" s="868">
        <f>+'Bank Assets Analysis'!G7-'Bank Assets Analysis'!H7</f>
        <v>0</v>
      </c>
      <c r="F6" s="868">
        <f>+'Bank Assets Analysis'!I7-'Bank Assets Analysis'!J7</f>
        <v>0</v>
      </c>
      <c r="G6" s="868">
        <f>+'Bank Assets Analysis'!K7-'Bank Assets Analysis'!L7</f>
        <v>0</v>
      </c>
      <c r="H6" s="868">
        <f>+'Bank Assets Analysis'!M7-'Bank Assets Analysis'!N7</f>
        <v>0</v>
      </c>
      <c r="I6" s="868">
        <f>+'Bank Assets Analysis'!O7-'Bank Assets Analysis'!P7</f>
        <v>0</v>
      </c>
      <c r="J6" s="868">
        <f>+'Bank Assets Analysis'!Q7-'Bank Assets Analysis'!R7</f>
        <v>0</v>
      </c>
      <c r="K6" s="868">
        <f t="shared" ref="K6:K37" si="0">+C6+D6+E6+F6+G6+H6+I6+J6</f>
        <v>69805132</v>
      </c>
      <c r="L6" s="869">
        <v>1</v>
      </c>
      <c r="M6" s="870">
        <f>+C6</f>
        <v>69805132</v>
      </c>
      <c r="N6" s="871">
        <f>+M6*L6</f>
        <v>69805132</v>
      </c>
      <c r="O6" s="872"/>
      <c r="P6" s="872"/>
      <c r="Q6" s="872"/>
      <c r="R6" s="872"/>
      <c r="S6" s="872"/>
      <c r="T6" s="873"/>
      <c r="U6" s="873"/>
      <c r="V6" s="873"/>
      <c r="W6" s="873"/>
      <c r="X6" s="873"/>
      <c r="Y6" s="873"/>
    </row>
    <row r="7" spans="1:25" s="874" customFormat="1" ht="33.75" customHeight="1">
      <c r="A7" s="866" t="s">
        <v>397</v>
      </c>
      <c r="B7" s="867" t="s">
        <v>1166</v>
      </c>
      <c r="C7" s="868">
        <f>+'Bank Assets Analysis'!C8-'Bank Assets Analysis'!D8</f>
        <v>97131440</v>
      </c>
      <c r="D7" s="868">
        <f>+'Bank Assets Analysis'!E8-'Bank Assets Analysis'!F8</f>
        <v>-21084460</v>
      </c>
      <c r="E7" s="868">
        <f>+'Bank Assets Analysis'!G8-'Bank Assets Analysis'!H8</f>
        <v>0</v>
      </c>
      <c r="F7" s="868">
        <f>+'Bank Assets Analysis'!I8-'Bank Assets Analysis'!J8</f>
        <v>0</v>
      </c>
      <c r="G7" s="868">
        <f>+'Bank Assets Analysis'!K8-'Bank Assets Analysis'!L8</f>
        <v>0</v>
      </c>
      <c r="H7" s="868">
        <f>+'Bank Assets Analysis'!M8-'Bank Assets Analysis'!N8</f>
        <v>0</v>
      </c>
      <c r="I7" s="868">
        <f>+'Bank Assets Analysis'!O8-'Bank Assets Analysis'!P8</f>
        <v>0</v>
      </c>
      <c r="J7" s="868">
        <f>+'Bank Assets Analysis'!Q8-'Bank Assets Analysis'!R8</f>
        <v>0</v>
      </c>
      <c r="K7" s="868">
        <f t="shared" si="0"/>
        <v>76046980</v>
      </c>
      <c r="L7" s="869">
        <v>1</v>
      </c>
      <c r="M7" s="870">
        <f>+C7+D7+E7</f>
        <v>76046980</v>
      </c>
      <c r="N7" s="871">
        <f t="shared" ref="N7:N36" si="1">+M7*L7</f>
        <v>76046980</v>
      </c>
      <c r="O7" s="872"/>
      <c r="P7" s="872"/>
      <c r="Q7" s="872"/>
      <c r="R7" s="872"/>
      <c r="S7" s="872"/>
      <c r="T7" s="873"/>
      <c r="U7" s="873"/>
      <c r="V7" s="873"/>
      <c r="W7" s="873"/>
      <c r="X7" s="873"/>
      <c r="Y7" s="873"/>
    </row>
    <row r="8" spans="1:25" s="874" customFormat="1" ht="33.75" customHeight="1">
      <c r="A8" s="866" t="s">
        <v>471</v>
      </c>
      <c r="B8" s="867" t="s">
        <v>1165</v>
      </c>
      <c r="C8" s="868">
        <f>+'Bank Assets Analysis'!C9-'Bank Assets Analysis'!D9</f>
        <v>43446340</v>
      </c>
      <c r="D8" s="868">
        <f>+'Bank Assets Analysis'!E9-'Bank Assets Analysis'!F9</f>
        <v>0</v>
      </c>
      <c r="E8" s="868">
        <f>+'Bank Assets Analysis'!G9-'Bank Assets Analysis'!H9</f>
        <v>0</v>
      </c>
      <c r="F8" s="868">
        <f>+'Bank Assets Analysis'!I9-'Bank Assets Analysis'!J9</f>
        <v>0</v>
      </c>
      <c r="G8" s="868">
        <f>+'Bank Assets Analysis'!K9-'Bank Assets Analysis'!L9</f>
        <v>0</v>
      </c>
      <c r="H8" s="868">
        <f>+'Bank Assets Analysis'!M9-'Bank Assets Analysis'!N9</f>
        <v>0</v>
      </c>
      <c r="I8" s="868">
        <f>+'Bank Assets Analysis'!O9-'Bank Assets Analysis'!P9</f>
        <v>0</v>
      </c>
      <c r="J8" s="868">
        <f>+'Bank Assets Analysis'!Q9-'Bank Assets Analysis'!R9</f>
        <v>0</v>
      </c>
      <c r="K8" s="868">
        <f t="shared" si="0"/>
        <v>43446340</v>
      </c>
      <c r="L8" s="869">
        <v>0</v>
      </c>
      <c r="M8" s="870">
        <f>+C8</f>
        <v>43446340</v>
      </c>
      <c r="N8" s="868">
        <f t="shared" si="1"/>
        <v>0</v>
      </c>
      <c r="O8" s="872"/>
      <c r="P8" s="872"/>
      <c r="Q8" s="872"/>
      <c r="R8" s="872"/>
      <c r="S8" s="872"/>
      <c r="T8" s="873"/>
      <c r="U8" s="873"/>
      <c r="V8" s="873"/>
      <c r="W8" s="873"/>
      <c r="X8" s="873"/>
      <c r="Y8" s="873"/>
    </row>
    <row r="9" spans="1:25" s="874" customFormat="1" ht="33.75" customHeight="1">
      <c r="A9" s="866" t="s">
        <v>398</v>
      </c>
      <c r="B9" s="867" t="s">
        <v>399</v>
      </c>
      <c r="C9" s="868">
        <f t="shared" ref="C9:J9" si="2">SUM(C10:C13)</f>
        <v>1339175</v>
      </c>
      <c r="D9" s="868">
        <f>SUM(D10:D13)</f>
        <v>0</v>
      </c>
      <c r="E9" s="868">
        <f t="shared" si="2"/>
        <v>0</v>
      </c>
      <c r="F9" s="868">
        <f t="shared" si="2"/>
        <v>250000000</v>
      </c>
      <c r="G9" s="868">
        <f t="shared" si="2"/>
        <v>0</v>
      </c>
      <c r="H9" s="868">
        <f t="shared" si="2"/>
        <v>0</v>
      </c>
      <c r="I9" s="868">
        <f t="shared" si="2"/>
        <v>11250000</v>
      </c>
      <c r="J9" s="868">
        <f t="shared" si="2"/>
        <v>4300000</v>
      </c>
      <c r="K9" s="868">
        <f t="shared" si="0"/>
        <v>266889175</v>
      </c>
      <c r="L9" s="869"/>
      <c r="M9" s="870"/>
      <c r="N9" s="868">
        <f t="shared" si="1"/>
        <v>0</v>
      </c>
      <c r="O9" s="872"/>
      <c r="P9" s="872"/>
      <c r="Q9" s="872"/>
      <c r="R9" s="872"/>
      <c r="S9" s="872"/>
      <c r="T9" s="873"/>
      <c r="U9" s="873"/>
      <c r="V9" s="873"/>
      <c r="W9" s="873"/>
      <c r="X9" s="873"/>
      <c r="Y9" s="873"/>
    </row>
    <row r="10" spans="1:25" s="874" customFormat="1" ht="33.75" customHeight="1">
      <c r="A10" s="866" t="s">
        <v>476</v>
      </c>
      <c r="B10" s="867" t="s">
        <v>120</v>
      </c>
      <c r="C10" s="868">
        <f>+'Bank Assets Analysis'!C11-'Bank Assets Analysis'!D11</f>
        <v>0</v>
      </c>
      <c r="D10" s="868">
        <f>+'Bank Assets Analysis'!E11-'Bank Assets Analysis'!F11</f>
        <v>0</v>
      </c>
      <c r="E10" s="868">
        <f>+'Bank Assets Analysis'!G11-'Bank Assets Analysis'!H11</f>
        <v>0</v>
      </c>
      <c r="F10" s="868">
        <f>+'Bank Assets Analysis'!I11-'Bank Assets Analysis'!J11</f>
        <v>0</v>
      </c>
      <c r="G10" s="868">
        <f>+'Bank Assets Analysis'!K11-'Bank Assets Analysis'!L11</f>
        <v>0</v>
      </c>
      <c r="H10" s="868">
        <f>+'Bank Assets Analysis'!M11-'Bank Assets Analysis'!N11</f>
        <v>0</v>
      </c>
      <c r="I10" s="868">
        <f>+'Bank Assets Analysis'!O11-'Bank Assets Analysis'!P11</f>
        <v>0</v>
      </c>
      <c r="J10" s="868">
        <f>+'Bank Assets Analysis'!Q11-'Bank Assets Analysis'!R11</f>
        <v>0</v>
      </c>
      <c r="K10" s="868">
        <f t="shared" si="0"/>
        <v>0</v>
      </c>
      <c r="L10" s="869">
        <v>1</v>
      </c>
      <c r="M10" s="870">
        <f>+C10+D10+E10</f>
        <v>0</v>
      </c>
      <c r="N10" s="871">
        <f t="shared" si="1"/>
        <v>0</v>
      </c>
      <c r="O10" s="872"/>
      <c r="P10" s="872"/>
      <c r="Q10" s="872"/>
      <c r="R10" s="872"/>
      <c r="S10" s="872"/>
      <c r="T10" s="873"/>
      <c r="U10" s="873"/>
      <c r="V10" s="873"/>
      <c r="W10" s="873"/>
      <c r="X10" s="873"/>
      <c r="Y10" s="873"/>
    </row>
    <row r="11" spans="1:25" s="874" customFormat="1" ht="33.75" customHeight="1">
      <c r="A11" s="866" t="s">
        <v>478</v>
      </c>
      <c r="B11" s="867" t="s">
        <v>945</v>
      </c>
      <c r="C11" s="868">
        <f>+'Bank Assets Analysis'!C12-'Bank Assets Analysis'!D12</f>
        <v>173497</v>
      </c>
      <c r="D11" s="868">
        <f>+'Bank Assets Analysis'!E12-'Bank Assets Analysis'!F12</f>
        <v>0</v>
      </c>
      <c r="E11" s="868">
        <f>+'Bank Assets Analysis'!G12-'Bank Assets Analysis'!H12</f>
        <v>0</v>
      </c>
      <c r="F11" s="868">
        <f>+'Bank Assets Analysis'!I12-'Bank Assets Analysis'!J12</f>
        <v>250000000</v>
      </c>
      <c r="G11" s="868">
        <f>+'Bank Assets Analysis'!K12-'Bank Assets Analysis'!L12</f>
        <v>0</v>
      </c>
      <c r="H11" s="868">
        <f>+'Bank Assets Analysis'!M12-'Bank Assets Analysis'!N12</f>
        <v>0</v>
      </c>
      <c r="I11" s="868">
        <f>+'Bank Assets Analysis'!O12-'Bank Assets Analysis'!P12</f>
        <v>11250000</v>
      </c>
      <c r="J11" s="868">
        <f>+'Bank Assets Analysis'!Q12-'Bank Assets Analysis'!R12</f>
        <v>4300000</v>
      </c>
      <c r="K11" s="868">
        <f t="shared" si="0"/>
        <v>265723497</v>
      </c>
      <c r="L11" s="869">
        <v>1</v>
      </c>
      <c r="M11" s="870">
        <f>+C11+D11+E11</f>
        <v>173497</v>
      </c>
      <c r="N11" s="868">
        <f t="shared" si="1"/>
        <v>173497</v>
      </c>
      <c r="O11" s="872"/>
      <c r="P11" s="872"/>
      <c r="Q11" s="872"/>
      <c r="R11" s="872"/>
      <c r="S11" s="872"/>
      <c r="T11" s="873"/>
      <c r="U11" s="873"/>
      <c r="V11" s="873"/>
      <c r="W11" s="873"/>
      <c r="X11" s="873"/>
      <c r="Y11" s="873"/>
    </row>
    <row r="12" spans="1:25" s="874" customFormat="1" ht="33.75" customHeight="1">
      <c r="A12" s="866" t="s">
        <v>45</v>
      </c>
      <c r="B12" s="867" t="s">
        <v>46</v>
      </c>
      <c r="C12" s="868">
        <f>+'Bank Assets Analysis'!C13-'Bank Assets Analysis'!D13</f>
        <v>1165678</v>
      </c>
      <c r="D12" s="868">
        <f>+'Bank Assets Analysis'!E13-'Bank Assets Analysis'!F13</f>
        <v>0</v>
      </c>
      <c r="E12" s="868">
        <f>+'Bank Assets Analysis'!G13-'Bank Assets Analysis'!H13</f>
        <v>0</v>
      </c>
      <c r="F12" s="868">
        <f>+'Bank Assets Analysis'!I13-'Bank Assets Analysis'!J13</f>
        <v>0</v>
      </c>
      <c r="G12" s="868">
        <f>+'Bank Assets Analysis'!K13-'Bank Assets Analysis'!L13</f>
        <v>0</v>
      </c>
      <c r="H12" s="868">
        <f>+'Bank Assets Analysis'!M13-'Bank Assets Analysis'!N13</f>
        <v>0</v>
      </c>
      <c r="I12" s="868">
        <f>+'Bank Assets Analysis'!O13-'Bank Assets Analysis'!P13</f>
        <v>0</v>
      </c>
      <c r="J12" s="868">
        <f>+'Bank Assets Analysis'!Q13-'Bank Assets Analysis'!R13</f>
        <v>0</v>
      </c>
      <c r="K12" s="868">
        <f t="shared" si="0"/>
        <v>1165678</v>
      </c>
      <c r="L12" s="869">
        <v>0.5</v>
      </c>
      <c r="M12" s="870">
        <f>+C12+D12+E12</f>
        <v>1165678</v>
      </c>
      <c r="N12" s="868">
        <f t="shared" si="1"/>
        <v>582839</v>
      </c>
      <c r="O12" s="872"/>
      <c r="P12" s="872"/>
      <c r="Q12" s="872"/>
      <c r="R12" s="872"/>
      <c r="S12" s="872"/>
      <c r="T12" s="873"/>
      <c r="U12" s="873"/>
      <c r="V12" s="873"/>
      <c r="W12" s="873"/>
      <c r="X12" s="873"/>
      <c r="Y12" s="873"/>
    </row>
    <row r="13" spans="1:25" s="874" customFormat="1" ht="33.75" customHeight="1">
      <c r="A13" s="866" t="s">
        <v>946</v>
      </c>
      <c r="B13" s="867" t="s">
        <v>69</v>
      </c>
      <c r="C13" s="868">
        <f>+'Bank Assets Analysis'!C14-'Bank Assets Analysis'!D14</f>
        <v>0</v>
      </c>
      <c r="D13" s="868">
        <f>+'Bank Assets Analysis'!E14-'Bank Assets Analysis'!F14</f>
        <v>0</v>
      </c>
      <c r="E13" s="868">
        <f>+'Bank Assets Analysis'!G14-'Bank Assets Analysis'!H14</f>
        <v>0</v>
      </c>
      <c r="F13" s="868">
        <f>+'Bank Assets Analysis'!I14-'Bank Assets Analysis'!J14</f>
        <v>0</v>
      </c>
      <c r="G13" s="868">
        <f>+'Bank Assets Analysis'!K14-'Bank Assets Analysis'!L14</f>
        <v>0</v>
      </c>
      <c r="H13" s="868">
        <f>+'Bank Assets Analysis'!M14-'Bank Assets Analysis'!N14</f>
        <v>0</v>
      </c>
      <c r="I13" s="868">
        <f>+'Bank Assets Analysis'!O14-'Bank Assets Analysis'!P14</f>
        <v>0</v>
      </c>
      <c r="J13" s="868">
        <f>+'Bank Assets Analysis'!Q14-'Bank Assets Analysis'!R14</f>
        <v>0</v>
      </c>
      <c r="K13" s="868">
        <f t="shared" si="0"/>
        <v>0</v>
      </c>
      <c r="L13" s="869">
        <v>0.3</v>
      </c>
      <c r="M13" s="870">
        <f>+C13+D13+E13</f>
        <v>0</v>
      </c>
      <c r="N13" s="868">
        <f>+M13*L13</f>
        <v>0</v>
      </c>
      <c r="O13" s="872"/>
      <c r="P13" s="872"/>
      <c r="Q13" s="872"/>
      <c r="R13" s="872"/>
      <c r="S13" s="872"/>
      <c r="T13" s="873"/>
      <c r="U13" s="873"/>
      <c r="V13" s="873"/>
      <c r="W13" s="873"/>
      <c r="X13" s="873"/>
      <c r="Y13" s="873"/>
    </row>
    <row r="14" spans="1:25" s="874" customFormat="1" ht="33.75" customHeight="1">
      <c r="A14" s="866" t="s">
        <v>400</v>
      </c>
      <c r="B14" s="867" t="s">
        <v>401</v>
      </c>
      <c r="C14" s="868">
        <f t="shared" ref="C14:I14" si="3">+C15+C16+C17+C18</f>
        <v>10403002</v>
      </c>
      <c r="D14" s="868">
        <f t="shared" si="3"/>
        <v>0</v>
      </c>
      <c r="E14" s="868">
        <f t="shared" si="3"/>
        <v>0</v>
      </c>
      <c r="F14" s="868">
        <f t="shared" si="3"/>
        <v>22174000</v>
      </c>
      <c r="G14" s="868">
        <f t="shared" si="3"/>
        <v>0</v>
      </c>
      <c r="H14" s="868">
        <f t="shared" si="3"/>
        <v>0</v>
      </c>
      <c r="I14" s="868">
        <f t="shared" si="3"/>
        <v>87000000</v>
      </c>
      <c r="J14" s="868">
        <f>+J15+J16+J17+J18</f>
        <v>0</v>
      </c>
      <c r="K14" s="868">
        <f t="shared" si="0"/>
        <v>119577002</v>
      </c>
      <c r="L14" s="869"/>
      <c r="M14" s="870"/>
      <c r="N14" s="868">
        <f t="shared" si="1"/>
        <v>0</v>
      </c>
      <c r="O14" s="872"/>
      <c r="P14" s="872"/>
      <c r="Q14" s="872"/>
      <c r="R14" s="872"/>
      <c r="S14" s="872"/>
      <c r="T14" s="873"/>
      <c r="U14" s="873"/>
      <c r="V14" s="873"/>
      <c r="W14" s="873"/>
      <c r="X14" s="873"/>
      <c r="Y14" s="873"/>
    </row>
    <row r="15" spans="1:25" s="874" customFormat="1" ht="33.75" customHeight="1">
      <c r="A15" s="866" t="s">
        <v>480</v>
      </c>
      <c r="B15" s="867" t="s">
        <v>47</v>
      </c>
      <c r="C15" s="868">
        <f>+'Bank Assets Analysis'!C16-'Bank Assets Analysis'!D16</f>
        <v>0</v>
      </c>
      <c r="D15" s="868">
        <f>+'Bank Assets Analysis'!E16-'Bank Assets Analysis'!F16</f>
        <v>0</v>
      </c>
      <c r="E15" s="868">
        <f>+'Bank Assets Analysis'!G16-'Bank Assets Analysis'!H16</f>
        <v>0</v>
      </c>
      <c r="F15" s="868">
        <f>+'Bank Assets Analysis'!I16-'Bank Assets Analysis'!J16</f>
        <v>22174000</v>
      </c>
      <c r="G15" s="868">
        <f>+'Bank Assets Analysis'!K16-'Bank Assets Analysis'!L16</f>
        <v>0</v>
      </c>
      <c r="H15" s="868">
        <f>+'Bank Assets Analysis'!M16-'Bank Assets Analysis'!N16</f>
        <v>0</v>
      </c>
      <c r="I15" s="868">
        <f>+'Bank Assets Analysis'!O16-'Bank Assets Analysis'!P16</f>
        <v>87000000</v>
      </c>
      <c r="J15" s="868">
        <f>+'Bank Assets Analysis'!Q16-'Bank Assets Analysis'!R16</f>
        <v>0</v>
      </c>
      <c r="K15" s="868">
        <f t="shared" si="0"/>
        <v>109174000</v>
      </c>
      <c r="L15" s="869">
        <v>1</v>
      </c>
      <c r="M15" s="870">
        <f>+C15+D15+E15+F15+G15+H15+I15+J15</f>
        <v>109174000</v>
      </c>
      <c r="N15" s="871">
        <f t="shared" si="1"/>
        <v>109174000</v>
      </c>
      <c r="O15" s="872"/>
      <c r="P15" s="872"/>
      <c r="Q15" s="872"/>
      <c r="R15" s="872"/>
      <c r="S15" s="872"/>
      <c r="T15" s="873"/>
      <c r="U15" s="873"/>
      <c r="V15" s="873"/>
      <c r="W15" s="873"/>
      <c r="X15" s="873"/>
      <c r="Y15" s="873"/>
    </row>
    <row r="16" spans="1:25" s="874" customFormat="1" ht="33.75" customHeight="1">
      <c r="A16" s="866" t="s">
        <v>67</v>
      </c>
      <c r="B16" s="867" t="s">
        <v>106</v>
      </c>
      <c r="C16" s="868">
        <f>+'Bank Assets Analysis'!C17-'Bank Assets Analysis'!D17</f>
        <v>0</v>
      </c>
      <c r="D16" s="868">
        <f>+'Bank Assets Analysis'!E17-'Bank Assets Analysis'!F17</f>
        <v>0</v>
      </c>
      <c r="E16" s="868">
        <f>+'Bank Assets Analysis'!G17-'Bank Assets Analysis'!H17</f>
        <v>0</v>
      </c>
      <c r="F16" s="868">
        <f>+'Bank Assets Analysis'!I17-'Bank Assets Analysis'!J17</f>
        <v>0</v>
      </c>
      <c r="G16" s="868">
        <f>+'Bank Assets Analysis'!K17-'Bank Assets Analysis'!L17</f>
        <v>0</v>
      </c>
      <c r="H16" s="868">
        <f>+'Bank Assets Analysis'!M17-'Bank Assets Analysis'!N17</f>
        <v>0</v>
      </c>
      <c r="I16" s="868">
        <f>+'Bank Assets Analysis'!O17-'Bank Assets Analysis'!P17</f>
        <v>0</v>
      </c>
      <c r="J16" s="868">
        <f>+'Bank Assets Analysis'!Q17-'Bank Assets Analysis'!R17</f>
        <v>0</v>
      </c>
      <c r="K16" s="868">
        <f t="shared" si="0"/>
        <v>0</v>
      </c>
      <c r="L16" s="869">
        <v>1</v>
      </c>
      <c r="M16" s="870">
        <f t="shared" ref="M16:M26" si="4">+C16+D16+E16</f>
        <v>0</v>
      </c>
      <c r="N16" s="871">
        <f t="shared" si="1"/>
        <v>0</v>
      </c>
      <c r="O16" s="872"/>
      <c r="P16" s="872"/>
      <c r="Q16" s="872"/>
      <c r="R16" s="872"/>
      <c r="S16" s="872"/>
      <c r="T16" s="873"/>
      <c r="U16" s="873"/>
      <c r="V16" s="873"/>
      <c r="W16" s="873"/>
      <c r="X16" s="873"/>
      <c r="Y16" s="873"/>
    </row>
    <row r="17" spans="1:25" s="874" customFormat="1" ht="33.75" customHeight="1">
      <c r="A17" s="866" t="s">
        <v>68</v>
      </c>
      <c r="B17" s="867" t="s">
        <v>105</v>
      </c>
      <c r="C17" s="868">
        <f>+'Bank Assets Analysis'!C18-'Bank Assets Analysis'!D18</f>
        <v>0</v>
      </c>
      <c r="D17" s="868">
        <f>+'Bank Assets Analysis'!E18-'Bank Assets Analysis'!F18</f>
        <v>0</v>
      </c>
      <c r="E17" s="868">
        <f>+'Bank Assets Analysis'!G18-'Bank Assets Analysis'!H18</f>
        <v>0</v>
      </c>
      <c r="F17" s="868">
        <f>+'Bank Assets Analysis'!I18-'Bank Assets Analysis'!J18</f>
        <v>0</v>
      </c>
      <c r="G17" s="868">
        <f>+'Bank Assets Analysis'!K18-'Bank Assets Analysis'!L18</f>
        <v>0</v>
      </c>
      <c r="H17" s="868">
        <f>+'Bank Assets Analysis'!M18-'Bank Assets Analysis'!N18</f>
        <v>0</v>
      </c>
      <c r="I17" s="868">
        <f>+'Bank Assets Analysis'!O18-'Bank Assets Analysis'!P18</f>
        <v>0</v>
      </c>
      <c r="J17" s="868">
        <f>+'Bank Assets Analysis'!Q18-'Bank Assets Analysis'!R18</f>
        <v>0</v>
      </c>
      <c r="K17" s="868">
        <f t="shared" si="0"/>
        <v>0</v>
      </c>
      <c r="L17" s="869">
        <v>1</v>
      </c>
      <c r="M17" s="870">
        <f t="shared" si="4"/>
        <v>0</v>
      </c>
      <c r="N17" s="871">
        <f t="shared" si="1"/>
        <v>0</v>
      </c>
      <c r="O17" s="872"/>
      <c r="P17" s="872"/>
      <c r="Q17" s="872"/>
      <c r="R17" s="872"/>
      <c r="S17" s="872"/>
      <c r="T17" s="873"/>
      <c r="U17" s="873"/>
      <c r="V17" s="873"/>
      <c r="W17" s="873"/>
      <c r="X17" s="873"/>
      <c r="Y17" s="873"/>
    </row>
    <row r="18" spans="1:25" s="874" customFormat="1" ht="33.75" customHeight="1">
      <c r="A18" s="866" t="s">
        <v>104</v>
      </c>
      <c r="B18" s="867" t="s">
        <v>44</v>
      </c>
      <c r="C18" s="868">
        <f>+'Bank Assets Analysis'!C19-'Bank Assets Analysis'!D19</f>
        <v>10403002</v>
      </c>
      <c r="D18" s="868">
        <f>+'Bank Assets Analysis'!E19-'Bank Assets Analysis'!F19</f>
        <v>0</v>
      </c>
      <c r="E18" s="868">
        <f>+'Bank Assets Analysis'!G19-'Bank Assets Analysis'!H19</f>
        <v>0</v>
      </c>
      <c r="F18" s="868">
        <f>+'Bank Assets Analysis'!I19-'Bank Assets Analysis'!J19</f>
        <v>0</v>
      </c>
      <c r="G18" s="868">
        <f>+'Bank Assets Analysis'!K19-'Bank Assets Analysis'!L19</f>
        <v>0</v>
      </c>
      <c r="H18" s="868">
        <f>+'Bank Assets Analysis'!M19-'Bank Assets Analysis'!N19</f>
        <v>0</v>
      </c>
      <c r="I18" s="868">
        <f>+'Bank Assets Analysis'!O19-'Bank Assets Analysis'!P19</f>
        <v>0</v>
      </c>
      <c r="J18" s="868">
        <f>+'Bank Assets Analysis'!Q19-'Bank Assets Analysis'!R19</f>
        <v>0</v>
      </c>
      <c r="K18" s="868">
        <f t="shared" si="0"/>
        <v>10403002</v>
      </c>
      <c r="L18" s="869">
        <v>0</v>
      </c>
      <c r="M18" s="870">
        <f t="shared" si="4"/>
        <v>10403002</v>
      </c>
      <c r="N18" s="868">
        <f t="shared" si="1"/>
        <v>0</v>
      </c>
      <c r="O18" s="872"/>
      <c r="P18" s="872"/>
      <c r="Q18" s="872"/>
      <c r="R18" s="872"/>
      <c r="S18" s="872"/>
      <c r="T18" s="873"/>
      <c r="U18" s="873"/>
      <c r="V18" s="873"/>
      <c r="W18" s="873"/>
      <c r="X18" s="873"/>
      <c r="Y18" s="873"/>
    </row>
    <row r="19" spans="1:25" s="874" customFormat="1" ht="33.75" customHeight="1">
      <c r="A19" s="866" t="s">
        <v>402</v>
      </c>
      <c r="B19" s="867" t="s">
        <v>403</v>
      </c>
      <c r="C19" s="868">
        <f>+'Bank Assets Analysis'!C20-'Bank Assets Analysis'!D20</f>
        <v>0</v>
      </c>
      <c r="D19" s="868">
        <f>+'Bank Assets Analysis'!E20-'Bank Assets Analysis'!F20</f>
        <v>0</v>
      </c>
      <c r="E19" s="868">
        <f>+'Bank Assets Analysis'!G20-'Bank Assets Analysis'!H20</f>
        <v>0</v>
      </c>
      <c r="F19" s="868">
        <f>+'Bank Assets Analysis'!I20-'Bank Assets Analysis'!J20</f>
        <v>0</v>
      </c>
      <c r="G19" s="868">
        <f>+'Bank Assets Analysis'!K20-'Bank Assets Analysis'!L20</f>
        <v>0</v>
      </c>
      <c r="H19" s="868">
        <f>+'Bank Assets Analysis'!M20-'Bank Assets Analysis'!N20</f>
        <v>0</v>
      </c>
      <c r="I19" s="868">
        <f>+'Bank Assets Analysis'!O20-'Bank Assets Analysis'!P20</f>
        <v>0</v>
      </c>
      <c r="J19" s="868">
        <f>+'Bank Assets Analysis'!Q20-'Bank Assets Analysis'!R20</f>
        <v>0</v>
      </c>
      <c r="K19" s="868">
        <f t="shared" si="0"/>
        <v>0</v>
      </c>
      <c r="L19" s="869">
        <v>0.3</v>
      </c>
      <c r="M19" s="870">
        <f t="shared" si="4"/>
        <v>0</v>
      </c>
      <c r="N19" s="868">
        <f t="shared" si="1"/>
        <v>0</v>
      </c>
      <c r="O19" s="872"/>
      <c r="P19" s="872"/>
      <c r="Q19" s="872"/>
      <c r="R19" s="872"/>
      <c r="S19" s="872"/>
      <c r="T19" s="873"/>
      <c r="U19" s="873"/>
      <c r="V19" s="873"/>
      <c r="W19" s="873"/>
      <c r="X19" s="873"/>
      <c r="Y19" s="873"/>
    </row>
    <row r="20" spans="1:25" s="874" customFormat="1" ht="33.75" customHeight="1">
      <c r="A20" s="866" t="s">
        <v>404</v>
      </c>
      <c r="B20" s="867" t="s">
        <v>405</v>
      </c>
      <c r="C20" s="868">
        <f>+'Bank Assets Analysis'!C21-'Bank Assets Analysis'!D21</f>
        <v>0</v>
      </c>
      <c r="D20" s="868">
        <f>+'Bank Assets Analysis'!E21-'Bank Assets Analysis'!F21</f>
        <v>0</v>
      </c>
      <c r="E20" s="868">
        <f>+'Bank Assets Analysis'!G21-'Bank Assets Analysis'!H21</f>
        <v>0</v>
      </c>
      <c r="F20" s="868">
        <f>+'Bank Assets Analysis'!I21-'Bank Assets Analysis'!J21</f>
        <v>0</v>
      </c>
      <c r="G20" s="868">
        <f>+'Bank Assets Analysis'!K21-'Bank Assets Analysis'!L21</f>
        <v>0</v>
      </c>
      <c r="H20" s="868">
        <f>+'Bank Assets Analysis'!M21-'Bank Assets Analysis'!N21</f>
        <v>0</v>
      </c>
      <c r="I20" s="868">
        <f>+'Bank Assets Analysis'!O21-'Bank Assets Analysis'!P21</f>
        <v>0</v>
      </c>
      <c r="J20" s="868">
        <f>+'Bank Assets Analysis'!Q21-'Bank Assets Analysis'!R21</f>
        <v>0</v>
      </c>
      <c r="K20" s="868">
        <f t="shared" si="0"/>
        <v>0</v>
      </c>
      <c r="L20" s="869">
        <v>0.3</v>
      </c>
      <c r="M20" s="870">
        <f t="shared" si="4"/>
        <v>0</v>
      </c>
      <c r="N20" s="868">
        <f t="shared" si="1"/>
        <v>0</v>
      </c>
      <c r="O20" s="872"/>
      <c r="P20" s="872"/>
      <c r="Q20" s="872"/>
      <c r="R20" s="872"/>
      <c r="S20" s="872"/>
      <c r="T20" s="873"/>
      <c r="U20" s="873"/>
      <c r="V20" s="873"/>
      <c r="W20" s="873"/>
      <c r="X20" s="873"/>
      <c r="Y20" s="873"/>
    </row>
    <row r="21" spans="1:25" s="874" customFormat="1" ht="33.75" customHeight="1">
      <c r="A21" s="866" t="s">
        <v>406</v>
      </c>
      <c r="B21" s="867" t="s">
        <v>407</v>
      </c>
      <c r="C21" s="868">
        <f>+'Bank Assets Analysis'!C22-'Bank Assets Analysis'!D22</f>
        <v>0</v>
      </c>
      <c r="D21" s="868">
        <f>+'Bank Assets Analysis'!E22-'Bank Assets Analysis'!F22</f>
        <v>0</v>
      </c>
      <c r="E21" s="868">
        <f>+'Bank Assets Analysis'!G22-'Bank Assets Analysis'!H22</f>
        <v>0</v>
      </c>
      <c r="F21" s="868">
        <f>+'Bank Assets Analysis'!I22-'Bank Assets Analysis'!J22</f>
        <v>0</v>
      </c>
      <c r="G21" s="868">
        <f>+'Bank Assets Analysis'!K22-'Bank Assets Analysis'!L22</f>
        <v>0</v>
      </c>
      <c r="H21" s="868">
        <f>+'Bank Assets Analysis'!M22-'Bank Assets Analysis'!N22</f>
        <v>0</v>
      </c>
      <c r="I21" s="868">
        <f>+'Bank Assets Analysis'!O22-'Bank Assets Analysis'!P22</f>
        <v>0</v>
      </c>
      <c r="J21" s="868">
        <f>+'Bank Assets Analysis'!Q22-'Bank Assets Analysis'!R22</f>
        <v>0</v>
      </c>
      <c r="K21" s="868">
        <f t="shared" si="0"/>
        <v>0</v>
      </c>
      <c r="L21" s="869">
        <v>0.3</v>
      </c>
      <c r="M21" s="870">
        <f t="shared" si="4"/>
        <v>0</v>
      </c>
      <c r="N21" s="868">
        <f t="shared" si="1"/>
        <v>0</v>
      </c>
      <c r="O21" s="872"/>
      <c r="P21" s="872"/>
      <c r="Q21" s="872"/>
      <c r="R21" s="872"/>
      <c r="S21" s="872"/>
      <c r="T21" s="873"/>
      <c r="U21" s="873"/>
      <c r="V21" s="873"/>
      <c r="W21" s="873"/>
      <c r="X21" s="873"/>
      <c r="Y21" s="873"/>
    </row>
    <row r="22" spans="1:25" s="874" customFormat="1" ht="33.75" customHeight="1">
      <c r="A22" s="866" t="s">
        <v>408</v>
      </c>
      <c r="B22" s="867" t="s">
        <v>409</v>
      </c>
      <c r="C22" s="868">
        <f>+'Bank Assets Analysis'!C23-'Bank Assets Analysis'!D23</f>
        <v>0</v>
      </c>
      <c r="D22" s="868">
        <f>+'Bank Assets Analysis'!E23-'Bank Assets Analysis'!F23</f>
        <v>0</v>
      </c>
      <c r="E22" s="868">
        <f>+'Bank Assets Analysis'!G23-'Bank Assets Analysis'!H23</f>
        <v>0</v>
      </c>
      <c r="F22" s="868">
        <f>+'Bank Assets Analysis'!I23-'Bank Assets Analysis'!J23</f>
        <v>0</v>
      </c>
      <c r="G22" s="868">
        <f>+'Bank Assets Analysis'!K23-'Bank Assets Analysis'!L23</f>
        <v>0</v>
      </c>
      <c r="H22" s="868">
        <f>+'Bank Assets Analysis'!M23-'Bank Assets Analysis'!N23</f>
        <v>0</v>
      </c>
      <c r="I22" s="868">
        <f>+'Bank Assets Analysis'!O23-'Bank Assets Analysis'!P23</f>
        <v>0</v>
      </c>
      <c r="J22" s="868">
        <f>+'Bank Assets Analysis'!Q23-'Bank Assets Analysis'!R23</f>
        <v>0</v>
      </c>
      <c r="K22" s="868">
        <f t="shared" si="0"/>
        <v>0</v>
      </c>
      <c r="L22" s="869">
        <v>1</v>
      </c>
      <c r="M22" s="870">
        <f t="shared" si="4"/>
        <v>0</v>
      </c>
      <c r="N22" s="868">
        <f t="shared" si="1"/>
        <v>0</v>
      </c>
      <c r="O22" s="872"/>
      <c r="P22" s="872"/>
      <c r="Q22" s="872"/>
      <c r="R22" s="872"/>
      <c r="S22" s="872"/>
      <c r="T22" s="873"/>
      <c r="U22" s="873"/>
      <c r="V22" s="873"/>
      <c r="W22" s="873"/>
      <c r="X22" s="873"/>
      <c r="Y22" s="873"/>
    </row>
    <row r="23" spans="1:25" s="874" customFormat="1" ht="33.75" customHeight="1">
      <c r="A23" s="866" t="s">
        <v>410</v>
      </c>
      <c r="B23" s="867" t="s">
        <v>411</v>
      </c>
      <c r="C23" s="868">
        <f>+'Bank Assets Analysis'!C24-'Bank Assets Analysis'!D24</f>
        <v>0</v>
      </c>
      <c r="D23" s="868">
        <f>+'Bank Assets Analysis'!E24-'Bank Assets Analysis'!F24</f>
        <v>0</v>
      </c>
      <c r="E23" s="868">
        <f>+'Bank Assets Analysis'!G24-'Bank Assets Analysis'!H24</f>
        <v>0</v>
      </c>
      <c r="F23" s="868">
        <f>+'Bank Assets Analysis'!I24-'Bank Assets Analysis'!J24</f>
        <v>0</v>
      </c>
      <c r="G23" s="868">
        <f>+'Bank Assets Analysis'!K24-'Bank Assets Analysis'!L24</f>
        <v>0</v>
      </c>
      <c r="H23" s="868">
        <f>+'Bank Assets Analysis'!M24-'Bank Assets Analysis'!N24</f>
        <v>0</v>
      </c>
      <c r="I23" s="868">
        <f>+'Bank Assets Analysis'!O24-'Bank Assets Analysis'!P24</f>
        <v>0</v>
      </c>
      <c r="J23" s="868">
        <f>+'Bank Assets Analysis'!Q24-'Bank Assets Analysis'!R24</f>
        <v>0</v>
      </c>
      <c r="K23" s="868">
        <f t="shared" si="0"/>
        <v>0</v>
      </c>
      <c r="L23" s="869">
        <v>0.5</v>
      </c>
      <c r="M23" s="870">
        <f t="shared" si="4"/>
        <v>0</v>
      </c>
      <c r="N23" s="868">
        <f t="shared" si="1"/>
        <v>0</v>
      </c>
      <c r="O23" s="872"/>
      <c r="P23" s="872"/>
      <c r="Q23" s="872"/>
      <c r="R23" s="872"/>
      <c r="S23" s="872"/>
      <c r="T23" s="873"/>
      <c r="U23" s="873"/>
      <c r="V23" s="873"/>
      <c r="W23" s="873"/>
      <c r="X23" s="873"/>
      <c r="Y23" s="873"/>
    </row>
    <row r="24" spans="1:25" s="874" customFormat="1" ht="33.75" customHeight="1">
      <c r="A24" s="866">
        <v>10</v>
      </c>
      <c r="B24" s="867" t="s">
        <v>412</v>
      </c>
      <c r="C24" s="868">
        <f>+'Bank Assets Analysis'!C25-'Bank Assets Analysis'!D25</f>
        <v>23225577</v>
      </c>
      <c r="D24" s="868">
        <f>+'Bank Assets Analysis'!E25-'Bank Assets Analysis'!F25</f>
        <v>48037010</v>
      </c>
      <c r="E24" s="868">
        <f>+'Bank Assets Analysis'!G25-'Bank Assets Analysis'!H25</f>
        <v>56436117</v>
      </c>
      <c r="F24" s="868">
        <f>+'Bank Assets Analysis'!I25-'Bank Assets Analysis'!J25</f>
        <v>252941853</v>
      </c>
      <c r="G24" s="868">
        <f>+'Bank Assets Analysis'!K25-'Bank Assets Analysis'!L25</f>
        <v>374749354</v>
      </c>
      <c r="H24" s="868">
        <f>+'Bank Assets Analysis'!M25-'Bank Assets Analysis'!N25</f>
        <v>663774371</v>
      </c>
      <c r="I24" s="868">
        <f>+'Bank Assets Analysis'!O25-'Bank Assets Analysis'!P25</f>
        <v>857609696</v>
      </c>
      <c r="J24" s="868">
        <f>+'Bank Assets Analysis'!Q25-'Bank Assets Analysis'!R25</f>
        <v>807455958</v>
      </c>
      <c r="K24" s="868">
        <f t="shared" si="0"/>
        <v>3084229936</v>
      </c>
      <c r="L24" s="869">
        <v>0.3</v>
      </c>
      <c r="M24" s="870">
        <f t="shared" si="4"/>
        <v>127698704</v>
      </c>
      <c r="N24" s="868">
        <f t="shared" si="1"/>
        <v>38309611.199999996</v>
      </c>
      <c r="O24" s="872"/>
      <c r="P24" s="872"/>
      <c r="Q24" s="872"/>
      <c r="R24" s="872"/>
      <c r="S24" s="872"/>
      <c r="T24" s="873"/>
      <c r="U24" s="873"/>
      <c r="V24" s="873"/>
      <c r="W24" s="873"/>
      <c r="X24" s="873"/>
      <c r="Y24" s="873"/>
    </row>
    <row r="25" spans="1:25" s="874" customFormat="1" ht="33.75" customHeight="1">
      <c r="A25" s="866">
        <v>11</v>
      </c>
      <c r="B25" s="867" t="s">
        <v>413</v>
      </c>
      <c r="C25" s="868">
        <f>+'Bank Assets Analysis'!C26-'Bank Assets Analysis'!D26</f>
        <v>8560497</v>
      </c>
      <c r="D25" s="868">
        <f>+'Bank Assets Analysis'!E26-'Bank Assets Analysis'!F26</f>
        <v>0</v>
      </c>
      <c r="E25" s="868">
        <f>+'Bank Assets Analysis'!G26-'Bank Assets Analysis'!H26</f>
        <v>0</v>
      </c>
      <c r="F25" s="868">
        <f>+'Bank Assets Analysis'!I26-'Bank Assets Analysis'!J26</f>
        <v>0</v>
      </c>
      <c r="G25" s="868">
        <f>+'Bank Assets Analysis'!K26-'Bank Assets Analysis'!L26</f>
        <v>0</v>
      </c>
      <c r="H25" s="868">
        <f>+'Bank Assets Analysis'!M26-'Bank Assets Analysis'!N26</f>
        <v>0</v>
      </c>
      <c r="I25" s="868">
        <f>+'Bank Assets Analysis'!O26-'Bank Assets Analysis'!P26</f>
        <v>0</v>
      </c>
      <c r="J25" s="868">
        <f>+'Bank Assets Analysis'!Q26-'Bank Assets Analysis'!R26</f>
        <v>0</v>
      </c>
      <c r="K25" s="868">
        <f t="shared" si="0"/>
        <v>8560497</v>
      </c>
      <c r="L25" s="869">
        <v>0</v>
      </c>
      <c r="M25" s="870">
        <f t="shared" si="4"/>
        <v>8560497</v>
      </c>
      <c r="N25" s="868">
        <f t="shared" si="1"/>
        <v>0</v>
      </c>
      <c r="O25" s="872"/>
      <c r="P25" s="872"/>
      <c r="Q25" s="872"/>
      <c r="R25" s="872"/>
      <c r="S25" s="872"/>
      <c r="T25" s="873"/>
      <c r="U25" s="873"/>
      <c r="V25" s="873"/>
      <c r="W25" s="873"/>
      <c r="X25" s="873"/>
      <c r="Y25" s="873"/>
    </row>
    <row r="26" spans="1:25" s="874" customFormat="1" ht="33.75" customHeight="1">
      <c r="A26" s="866" t="s">
        <v>414</v>
      </c>
      <c r="B26" s="867" t="s">
        <v>415</v>
      </c>
      <c r="C26" s="868">
        <f>+'Bank Assets Analysis'!C27-'Bank Assets Analysis'!D27</f>
        <v>70220</v>
      </c>
      <c r="D26" s="868">
        <f>+'Bank Assets Analysis'!E27-'Bank Assets Analysis'!F27</f>
        <v>0</v>
      </c>
      <c r="E26" s="868">
        <f>+'Bank Assets Analysis'!G27-'Bank Assets Analysis'!H27</f>
        <v>0</v>
      </c>
      <c r="F26" s="868">
        <f>+'Bank Assets Analysis'!I27-'Bank Assets Analysis'!J27</f>
        <v>0</v>
      </c>
      <c r="G26" s="868">
        <f>+'Bank Assets Analysis'!K27-'Bank Assets Analysis'!L27</f>
        <v>6600000</v>
      </c>
      <c r="H26" s="868">
        <f>+'Bank Assets Analysis'!M27-'Bank Assets Analysis'!N27</f>
        <v>0</v>
      </c>
      <c r="I26" s="868">
        <f>+'Bank Assets Analysis'!O27-'Bank Assets Analysis'!P27</f>
        <v>0</v>
      </c>
      <c r="J26" s="868">
        <f>+'Bank Assets Analysis'!Q27-'Bank Assets Analysis'!R27</f>
        <v>0</v>
      </c>
      <c r="K26" s="868">
        <f t="shared" si="0"/>
        <v>6670220</v>
      </c>
      <c r="L26" s="869">
        <v>0</v>
      </c>
      <c r="M26" s="870">
        <f t="shared" si="4"/>
        <v>70220</v>
      </c>
      <c r="N26" s="868">
        <f t="shared" si="1"/>
        <v>0</v>
      </c>
      <c r="O26" s="872"/>
      <c r="P26" s="872"/>
      <c r="Q26" s="872"/>
      <c r="R26" s="872"/>
      <c r="S26" s="872"/>
      <c r="T26" s="873"/>
      <c r="U26" s="873"/>
      <c r="V26" s="873"/>
      <c r="W26" s="873"/>
      <c r="X26" s="873"/>
      <c r="Y26" s="873"/>
    </row>
    <row r="27" spans="1:25" s="874" customFormat="1" ht="33.75" customHeight="1">
      <c r="A27" s="866" t="s">
        <v>416</v>
      </c>
      <c r="B27" s="867" t="s">
        <v>417</v>
      </c>
      <c r="C27" s="868">
        <f t="shared" ref="C27:J27" si="5">+C28+C29</f>
        <v>0</v>
      </c>
      <c r="D27" s="868">
        <f t="shared" si="5"/>
        <v>0</v>
      </c>
      <c r="E27" s="868">
        <f t="shared" si="5"/>
        <v>0</v>
      </c>
      <c r="F27" s="868">
        <f t="shared" si="5"/>
        <v>0</v>
      </c>
      <c r="G27" s="868">
        <f t="shared" si="5"/>
        <v>0</v>
      </c>
      <c r="H27" s="868">
        <f t="shared" si="5"/>
        <v>0</v>
      </c>
      <c r="I27" s="868">
        <f t="shared" si="5"/>
        <v>0</v>
      </c>
      <c r="J27" s="868">
        <f t="shared" si="5"/>
        <v>0</v>
      </c>
      <c r="K27" s="868">
        <f t="shared" si="0"/>
        <v>0</v>
      </c>
      <c r="L27" s="869"/>
      <c r="M27" s="870"/>
      <c r="N27" s="868">
        <f t="shared" si="1"/>
        <v>0</v>
      </c>
      <c r="O27" s="872"/>
      <c r="P27" s="872"/>
      <c r="Q27" s="872"/>
      <c r="R27" s="872"/>
      <c r="S27" s="872"/>
      <c r="T27" s="873"/>
      <c r="U27" s="873"/>
      <c r="V27" s="873"/>
      <c r="W27" s="873"/>
      <c r="X27" s="873"/>
      <c r="Y27" s="873"/>
    </row>
    <row r="28" spans="1:25" s="874" customFormat="1" ht="33.75" customHeight="1">
      <c r="A28" s="866" t="s">
        <v>48</v>
      </c>
      <c r="B28" s="867" t="s">
        <v>58</v>
      </c>
      <c r="C28" s="868">
        <f>+'Bank Assets Analysis'!C29-'Bank Assets Analysis'!D29</f>
        <v>0</v>
      </c>
      <c r="D28" s="868">
        <f>+'Bank Assets Analysis'!E29-'Bank Assets Analysis'!F29</f>
        <v>0</v>
      </c>
      <c r="E28" s="868">
        <f>+'Bank Assets Analysis'!G29-'Bank Assets Analysis'!H29</f>
        <v>0</v>
      </c>
      <c r="F28" s="868">
        <f>+'Bank Assets Analysis'!I29-'Bank Assets Analysis'!J29</f>
        <v>0</v>
      </c>
      <c r="G28" s="868">
        <f>+'Bank Assets Analysis'!K29-'Bank Assets Analysis'!L29</f>
        <v>0</v>
      </c>
      <c r="H28" s="868">
        <f>+'Bank Assets Analysis'!M29-'Bank Assets Analysis'!N29</f>
        <v>0</v>
      </c>
      <c r="I28" s="868">
        <f>+'Bank Assets Analysis'!O29-'Bank Assets Analysis'!P29</f>
        <v>0</v>
      </c>
      <c r="J28" s="868">
        <f>+'Bank Assets Analysis'!Q29-'Bank Assets Analysis'!R29</f>
        <v>0</v>
      </c>
      <c r="K28" s="868">
        <f t="shared" si="0"/>
        <v>0</v>
      </c>
      <c r="L28" s="869">
        <v>0.3</v>
      </c>
      <c r="M28" s="870">
        <f t="shared" ref="M28:M36" si="6">+C28+D28+E28</f>
        <v>0</v>
      </c>
      <c r="N28" s="871">
        <f t="shared" si="1"/>
        <v>0</v>
      </c>
      <c r="O28" s="872"/>
      <c r="P28" s="872"/>
      <c r="Q28" s="872"/>
      <c r="R28" s="872"/>
      <c r="S28" s="872"/>
      <c r="T28" s="873"/>
      <c r="U28" s="873"/>
      <c r="V28" s="873"/>
      <c r="W28" s="873"/>
      <c r="X28" s="873"/>
      <c r="Y28" s="873"/>
    </row>
    <row r="29" spans="1:25" s="874" customFormat="1" ht="33.75" customHeight="1">
      <c r="A29" s="866" t="s">
        <v>49</v>
      </c>
      <c r="B29" s="867" t="s">
        <v>56</v>
      </c>
      <c r="C29" s="868">
        <f>+'Bank Assets Analysis'!C30-'Bank Assets Analysis'!D30</f>
        <v>0</v>
      </c>
      <c r="D29" s="868">
        <f>+'Bank Assets Analysis'!E30-'Bank Assets Analysis'!F30</f>
        <v>0</v>
      </c>
      <c r="E29" s="868">
        <f>+'Bank Assets Analysis'!G30-'Bank Assets Analysis'!H30</f>
        <v>0</v>
      </c>
      <c r="F29" s="868">
        <f>+'Bank Assets Analysis'!I30-'Bank Assets Analysis'!J30</f>
        <v>0</v>
      </c>
      <c r="G29" s="868">
        <f>+'Bank Assets Analysis'!K30-'Bank Assets Analysis'!L30</f>
        <v>0</v>
      </c>
      <c r="H29" s="868">
        <f>+'Bank Assets Analysis'!M30-'Bank Assets Analysis'!N30</f>
        <v>0</v>
      </c>
      <c r="I29" s="868">
        <f>+'Bank Assets Analysis'!O30-'Bank Assets Analysis'!P30</f>
        <v>0</v>
      </c>
      <c r="J29" s="868">
        <f>+'Bank Assets Analysis'!Q30-'Bank Assets Analysis'!R30</f>
        <v>0</v>
      </c>
      <c r="K29" s="868">
        <f t="shared" si="0"/>
        <v>0</v>
      </c>
      <c r="L29" s="869">
        <v>0</v>
      </c>
      <c r="M29" s="870">
        <f t="shared" si="6"/>
        <v>0</v>
      </c>
      <c r="N29" s="868">
        <f t="shared" si="1"/>
        <v>0</v>
      </c>
      <c r="O29" s="872"/>
      <c r="P29" s="872"/>
      <c r="Q29" s="872"/>
      <c r="R29" s="872"/>
      <c r="S29" s="872"/>
      <c r="T29" s="873"/>
      <c r="U29" s="873"/>
      <c r="V29" s="873"/>
      <c r="W29" s="873"/>
      <c r="X29" s="873"/>
      <c r="Y29" s="873"/>
    </row>
    <row r="30" spans="1:25" s="874" customFormat="1" ht="33.75" customHeight="1">
      <c r="A30" s="866" t="s">
        <v>418</v>
      </c>
      <c r="B30" s="867" t="s">
        <v>1006</v>
      </c>
      <c r="C30" s="868">
        <f>+'Bank Assets Analysis'!C31-'Bank Assets Analysis'!D31</f>
        <v>0</v>
      </c>
      <c r="D30" s="868">
        <f>+'Bank Assets Analysis'!E31-'Bank Assets Analysis'!F31</f>
        <v>0</v>
      </c>
      <c r="E30" s="868">
        <f>+'Bank Assets Analysis'!G31-'Bank Assets Analysis'!H31</f>
        <v>0</v>
      </c>
      <c r="F30" s="868">
        <f>+'Bank Assets Analysis'!I31-'Bank Assets Analysis'!J31</f>
        <v>0</v>
      </c>
      <c r="G30" s="868">
        <f>+'Bank Assets Analysis'!K31-'Bank Assets Analysis'!L31</f>
        <v>0</v>
      </c>
      <c r="H30" s="868">
        <f>+'Bank Assets Analysis'!M31-'Bank Assets Analysis'!N31</f>
        <v>0</v>
      </c>
      <c r="I30" s="868">
        <f>+'Bank Assets Analysis'!O31-'Bank Assets Analysis'!P31</f>
        <v>0</v>
      </c>
      <c r="J30" s="868">
        <f>+'Bank Assets Analysis'!Q31-'Bank Assets Analysis'!R31</f>
        <v>149099836</v>
      </c>
      <c r="K30" s="868">
        <f t="shared" si="0"/>
        <v>149099836</v>
      </c>
      <c r="L30" s="869">
        <v>0</v>
      </c>
      <c r="M30" s="870">
        <f t="shared" si="6"/>
        <v>0</v>
      </c>
      <c r="N30" s="868">
        <f t="shared" si="1"/>
        <v>0</v>
      </c>
      <c r="O30" s="872"/>
      <c r="P30" s="872"/>
      <c r="Q30" s="872"/>
      <c r="R30" s="872"/>
      <c r="S30" s="872"/>
      <c r="T30" s="873"/>
      <c r="U30" s="873"/>
      <c r="V30" s="873"/>
      <c r="W30" s="873"/>
      <c r="X30" s="873"/>
      <c r="Y30" s="873"/>
    </row>
    <row r="31" spans="1:25" s="874" customFormat="1" ht="33.75" customHeight="1">
      <c r="A31" s="866" t="s">
        <v>420</v>
      </c>
      <c r="B31" s="867" t="s">
        <v>1007</v>
      </c>
      <c r="C31" s="868">
        <f>+'Bank Assets Analysis'!C32-'Bank Assets Analysis'!D32</f>
        <v>0</v>
      </c>
      <c r="D31" s="868">
        <f>+'Bank Assets Analysis'!E32-'Bank Assets Analysis'!F32</f>
        <v>0</v>
      </c>
      <c r="E31" s="868">
        <f>+'Bank Assets Analysis'!G32-'Bank Assets Analysis'!H32</f>
        <v>0</v>
      </c>
      <c r="F31" s="868">
        <f>+'Bank Assets Analysis'!I32-'Bank Assets Analysis'!J32</f>
        <v>0</v>
      </c>
      <c r="G31" s="868">
        <f>+'Bank Assets Analysis'!K32-'Bank Assets Analysis'!L32</f>
        <v>0</v>
      </c>
      <c r="H31" s="868">
        <f>+'Bank Assets Analysis'!M32-'Bank Assets Analysis'!N32</f>
        <v>0</v>
      </c>
      <c r="I31" s="868">
        <f>+'Bank Assets Analysis'!O32-'Bank Assets Analysis'!P32</f>
        <v>0</v>
      </c>
      <c r="J31" s="868">
        <f>+'Bank Assets Analysis'!Q32-'Bank Assets Analysis'!R32</f>
        <v>0</v>
      </c>
      <c r="K31" s="868">
        <f t="shared" si="0"/>
        <v>0</v>
      </c>
      <c r="L31" s="869">
        <v>0</v>
      </c>
      <c r="M31" s="870">
        <f t="shared" si="6"/>
        <v>0</v>
      </c>
      <c r="N31" s="868">
        <f t="shared" si="1"/>
        <v>0</v>
      </c>
      <c r="O31" s="872"/>
      <c r="P31" s="872"/>
      <c r="Q31" s="872"/>
      <c r="R31" s="872"/>
      <c r="S31" s="872"/>
      <c r="T31" s="873"/>
      <c r="U31" s="873"/>
      <c r="V31" s="873"/>
      <c r="W31" s="873"/>
      <c r="X31" s="873"/>
      <c r="Y31" s="873"/>
    </row>
    <row r="32" spans="1:25" s="874" customFormat="1" ht="33.75" customHeight="1">
      <c r="A32" s="866" t="s">
        <v>421</v>
      </c>
      <c r="B32" s="867" t="s">
        <v>422</v>
      </c>
      <c r="C32" s="868">
        <f>+'Bank Assets Analysis'!C33-'Bank Assets Analysis'!D33</f>
        <v>0</v>
      </c>
      <c r="D32" s="868">
        <f>+'Bank Assets Analysis'!E33-'Bank Assets Analysis'!F33</f>
        <v>0</v>
      </c>
      <c r="E32" s="868">
        <f>+'Bank Assets Analysis'!G33-'Bank Assets Analysis'!H33</f>
        <v>0</v>
      </c>
      <c r="F32" s="868">
        <f>+'Bank Assets Analysis'!I33-'Bank Assets Analysis'!J33</f>
        <v>0</v>
      </c>
      <c r="G32" s="868">
        <f>+'Bank Assets Analysis'!K33-'Bank Assets Analysis'!L33</f>
        <v>0</v>
      </c>
      <c r="H32" s="868">
        <f>+'Bank Assets Analysis'!M33-'Bank Assets Analysis'!N33</f>
        <v>0</v>
      </c>
      <c r="I32" s="868">
        <f>+'Bank Assets Analysis'!O33-'Bank Assets Analysis'!P33</f>
        <v>0</v>
      </c>
      <c r="J32" s="868">
        <f>+'Bank Assets Analysis'!Q33-'Bank Assets Analysis'!R33</f>
        <v>0</v>
      </c>
      <c r="K32" s="868">
        <f t="shared" si="0"/>
        <v>0</v>
      </c>
      <c r="L32" s="869">
        <v>0</v>
      </c>
      <c r="M32" s="870">
        <f t="shared" si="6"/>
        <v>0</v>
      </c>
      <c r="N32" s="868">
        <f t="shared" si="1"/>
        <v>0</v>
      </c>
      <c r="O32" s="872"/>
      <c r="P32" s="872"/>
      <c r="Q32" s="872"/>
      <c r="R32" s="872"/>
      <c r="S32" s="872"/>
      <c r="T32" s="873"/>
      <c r="U32" s="873"/>
      <c r="V32" s="873"/>
      <c r="W32" s="873"/>
      <c r="X32" s="873"/>
      <c r="Y32" s="873"/>
    </row>
    <row r="33" spans="1:25" s="874" customFormat="1" ht="33.75" customHeight="1">
      <c r="A33" s="866" t="s">
        <v>423</v>
      </c>
      <c r="B33" s="867" t="s">
        <v>424</v>
      </c>
      <c r="C33" s="868">
        <f>+'Bank Assets Analysis'!C34-'Bank Assets Analysis'!D34</f>
        <v>70081723</v>
      </c>
      <c r="D33" s="868">
        <f>+'Bank Assets Analysis'!E34-'Bank Assets Analysis'!F34</f>
        <v>0</v>
      </c>
      <c r="E33" s="868">
        <f>+'Bank Assets Analysis'!G34-'Bank Assets Analysis'!H34</f>
        <v>0</v>
      </c>
      <c r="F33" s="868">
        <f>+'Bank Assets Analysis'!I34-'Bank Assets Analysis'!J34</f>
        <v>0</v>
      </c>
      <c r="G33" s="868">
        <f>+'Bank Assets Analysis'!K34-'Bank Assets Analysis'!L34</f>
        <v>0</v>
      </c>
      <c r="H33" s="868">
        <f>+'Bank Assets Analysis'!M34-'Bank Assets Analysis'!N34</f>
        <v>0</v>
      </c>
      <c r="I33" s="868">
        <f>+'Bank Assets Analysis'!O34-'Bank Assets Analysis'!P34</f>
        <v>0</v>
      </c>
      <c r="J33" s="868">
        <f>+'Bank Assets Analysis'!Q34-'Bank Assets Analysis'!R34</f>
        <v>0</v>
      </c>
      <c r="K33" s="868">
        <f t="shared" si="0"/>
        <v>70081723</v>
      </c>
      <c r="L33" s="869">
        <v>0</v>
      </c>
      <c r="M33" s="870">
        <f t="shared" si="6"/>
        <v>70081723</v>
      </c>
      <c r="N33" s="868">
        <f t="shared" si="1"/>
        <v>0</v>
      </c>
      <c r="O33" s="872"/>
      <c r="P33" s="872"/>
      <c r="Q33" s="872"/>
      <c r="R33" s="872"/>
      <c r="S33" s="872"/>
      <c r="T33" s="873"/>
      <c r="U33" s="873"/>
      <c r="V33" s="873"/>
      <c r="W33" s="873"/>
      <c r="X33" s="873"/>
      <c r="Y33" s="873"/>
    </row>
    <row r="34" spans="1:25" s="874" customFormat="1" ht="33.75" customHeight="1">
      <c r="A34" s="866" t="s">
        <v>425</v>
      </c>
      <c r="B34" s="867" t="s">
        <v>426</v>
      </c>
      <c r="C34" s="868">
        <f>+'Bank Assets Analysis'!C35-'Bank Assets Analysis'!D35</f>
        <v>0</v>
      </c>
      <c r="D34" s="868">
        <f>+'Bank Assets Analysis'!E35-'Bank Assets Analysis'!F35</f>
        <v>0</v>
      </c>
      <c r="E34" s="868">
        <f>+'Bank Assets Analysis'!G35-'Bank Assets Analysis'!H35</f>
        <v>0</v>
      </c>
      <c r="F34" s="868">
        <f>+'Bank Assets Analysis'!I35-'Bank Assets Analysis'!J35</f>
        <v>0</v>
      </c>
      <c r="G34" s="868">
        <f>+'Bank Assets Analysis'!K35-'Bank Assets Analysis'!L35</f>
        <v>0</v>
      </c>
      <c r="H34" s="868">
        <f>+'Bank Assets Analysis'!M35-'Bank Assets Analysis'!N35</f>
        <v>0</v>
      </c>
      <c r="I34" s="868">
        <f>+'Bank Assets Analysis'!O35-'Bank Assets Analysis'!P35</f>
        <v>0</v>
      </c>
      <c r="J34" s="868">
        <f>+'Bank Assets Analysis'!Q35-'Bank Assets Analysis'!R35</f>
        <v>0</v>
      </c>
      <c r="K34" s="868">
        <f t="shared" si="0"/>
        <v>0</v>
      </c>
      <c r="L34" s="869">
        <v>0</v>
      </c>
      <c r="M34" s="870">
        <f t="shared" si="6"/>
        <v>0</v>
      </c>
      <c r="N34" s="868">
        <f t="shared" si="1"/>
        <v>0</v>
      </c>
      <c r="O34" s="872"/>
      <c r="P34" s="872"/>
      <c r="Q34" s="872"/>
      <c r="R34" s="872"/>
      <c r="S34" s="872"/>
      <c r="T34" s="873"/>
      <c r="U34" s="873"/>
      <c r="V34" s="873"/>
      <c r="W34" s="873"/>
      <c r="X34" s="873"/>
      <c r="Y34" s="873"/>
    </row>
    <row r="35" spans="1:25" s="874" customFormat="1" ht="33.75" customHeight="1">
      <c r="A35" s="866" t="s">
        <v>427</v>
      </c>
      <c r="B35" s="867" t="s">
        <v>428</v>
      </c>
      <c r="C35" s="868">
        <f>+'Bank Assets Analysis'!C36-'Bank Assets Analysis'!D36</f>
        <v>27377412</v>
      </c>
      <c r="D35" s="868">
        <f>+'Bank Assets Analysis'!E36-'Bank Assets Analysis'!F36</f>
        <v>0</v>
      </c>
      <c r="E35" s="868">
        <f>+'Bank Assets Analysis'!G36-'Bank Assets Analysis'!H36</f>
        <v>0</v>
      </c>
      <c r="F35" s="868">
        <f>+'Bank Assets Analysis'!I36-'Bank Assets Analysis'!J36</f>
        <v>0</v>
      </c>
      <c r="G35" s="868">
        <f>+'Bank Assets Analysis'!K36-'Bank Assets Analysis'!L36</f>
        <v>0</v>
      </c>
      <c r="H35" s="868">
        <f>+'Bank Assets Analysis'!M36-'Bank Assets Analysis'!N36</f>
        <v>0</v>
      </c>
      <c r="I35" s="868">
        <f>+'Bank Assets Analysis'!O36-'Bank Assets Analysis'!P36</f>
        <v>0</v>
      </c>
      <c r="J35" s="868">
        <f>+'Bank Assets Analysis'!Q36-'Bank Assets Analysis'!R36</f>
        <v>0</v>
      </c>
      <c r="K35" s="868">
        <f t="shared" si="0"/>
        <v>27377412</v>
      </c>
      <c r="L35" s="869">
        <v>0.3</v>
      </c>
      <c r="M35" s="870">
        <f t="shared" si="6"/>
        <v>27377412</v>
      </c>
      <c r="N35" s="868">
        <f t="shared" si="1"/>
        <v>8213223.5999999996</v>
      </c>
      <c r="O35" s="872"/>
      <c r="P35" s="872"/>
      <c r="Q35" s="872"/>
      <c r="R35" s="872"/>
      <c r="S35" s="872"/>
      <c r="T35" s="873"/>
      <c r="U35" s="873"/>
      <c r="V35" s="873"/>
      <c r="W35" s="873"/>
      <c r="X35" s="873"/>
      <c r="Y35" s="873"/>
    </row>
    <row r="36" spans="1:25" s="874" customFormat="1" ht="33.75" customHeight="1">
      <c r="A36" s="866" t="s">
        <v>429</v>
      </c>
      <c r="B36" s="867" t="s">
        <v>430</v>
      </c>
      <c r="C36" s="868">
        <f>+'Bank Assets Analysis'!C37-'Bank Assets Analysis'!D37</f>
        <v>17347712</v>
      </c>
      <c r="D36" s="868">
        <f>+'Bank Assets Analysis'!E37-'Bank Assets Analysis'!F37</f>
        <v>0</v>
      </c>
      <c r="E36" s="868">
        <f>+'Bank Assets Analysis'!G37-'Bank Assets Analysis'!H37</f>
        <v>0</v>
      </c>
      <c r="F36" s="868">
        <f>+'Bank Assets Analysis'!I37-'Bank Assets Analysis'!J37</f>
        <v>0</v>
      </c>
      <c r="G36" s="868">
        <f>+'Bank Assets Analysis'!K37-'Bank Assets Analysis'!L37</f>
        <v>0</v>
      </c>
      <c r="H36" s="868">
        <f>+'Bank Assets Analysis'!M37-'Bank Assets Analysis'!N37</f>
        <v>0</v>
      </c>
      <c r="I36" s="868">
        <f>+'Bank Assets Analysis'!O37-'Bank Assets Analysis'!P37</f>
        <v>0</v>
      </c>
      <c r="J36" s="868">
        <f>+'Bank Assets Analysis'!Q37-'Bank Assets Analysis'!R37</f>
        <v>0</v>
      </c>
      <c r="K36" s="868">
        <f t="shared" si="0"/>
        <v>17347712</v>
      </c>
      <c r="L36" s="869">
        <v>0</v>
      </c>
      <c r="M36" s="870">
        <f t="shared" si="6"/>
        <v>17347712</v>
      </c>
      <c r="N36" s="868">
        <f t="shared" si="1"/>
        <v>0</v>
      </c>
      <c r="O36" s="872"/>
      <c r="P36" s="872"/>
      <c r="Q36" s="872"/>
      <c r="R36" s="872"/>
      <c r="S36" s="872"/>
      <c r="T36" s="873"/>
      <c r="U36" s="873"/>
      <c r="V36" s="873"/>
      <c r="W36" s="873"/>
      <c r="X36" s="873"/>
      <c r="Y36" s="873"/>
    </row>
    <row r="37" spans="1:25" s="873" customFormat="1" ht="33.75" customHeight="1">
      <c r="A37" s="875" t="s">
        <v>431</v>
      </c>
      <c r="B37" s="876" t="s">
        <v>432</v>
      </c>
      <c r="C37" s="877">
        <f t="shared" ref="C37:J37" si="7">SUM(C6:C36)-C9-C14-C27</f>
        <v>368788230</v>
      </c>
      <c r="D37" s="877">
        <f>SUM(D6:D36)-D9-D14-D27</f>
        <v>26952550</v>
      </c>
      <c r="E37" s="877">
        <f t="shared" si="7"/>
        <v>56436117</v>
      </c>
      <c r="F37" s="877">
        <f t="shared" si="7"/>
        <v>525115853</v>
      </c>
      <c r="G37" s="877">
        <f t="shared" si="7"/>
        <v>381349354</v>
      </c>
      <c r="H37" s="877">
        <f t="shared" si="7"/>
        <v>663774371</v>
      </c>
      <c r="I37" s="877">
        <f t="shared" si="7"/>
        <v>955859696</v>
      </c>
      <c r="J37" s="877">
        <f t="shared" si="7"/>
        <v>960855794</v>
      </c>
      <c r="K37" s="877">
        <f t="shared" si="0"/>
        <v>3939131965</v>
      </c>
      <c r="L37" s="877"/>
      <c r="M37" s="877"/>
      <c r="N37" s="877">
        <f>SUM(N6:N36)-N9-N27</f>
        <v>302305282.80000001</v>
      </c>
      <c r="O37" s="880">
        <f>+Balance!D44</f>
        <v>3939131965</v>
      </c>
      <c r="P37" s="880">
        <f>+K37-O37</f>
        <v>0</v>
      </c>
      <c r="Q37" s="878">
        <f>+Balance!E44</f>
        <v>1951140440</v>
      </c>
      <c r="S37" s="872"/>
    </row>
    <row r="38" spans="1:25" s="33" customFormat="1" ht="10.5" customHeight="1">
      <c r="A38" s="81"/>
      <c r="B38" s="82"/>
      <c r="C38" s="83">
        <f>+C37-C25-C6-C7-C9-C14-C23</f>
        <v>181548984</v>
      </c>
      <c r="D38" s="83">
        <f>+D37-D25-D6-D7-D9-D14-D23</f>
        <v>48037010</v>
      </c>
      <c r="E38" s="83">
        <f>+E37-E25-E6-E7-E9-E14-E23</f>
        <v>56436117</v>
      </c>
      <c r="F38" s="83"/>
      <c r="G38" s="83">
        <f>+G37-G25-G6-G7-G9-G14-G23</f>
        <v>381349354</v>
      </c>
      <c r="H38" s="83">
        <f>+H37-H25-H6-H7-H9-H14-H23</f>
        <v>663774371</v>
      </c>
      <c r="I38" s="83"/>
      <c r="J38" s="82"/>
      <c r="K38" s="82"/>
      <c r="L38" s="84" t="s">
        <v>70</v>
      </c>
      <c r="M38" s="85"/>
      <c r="N38" s="86" t="e">
        <f>+N37-#REF!</f>
        <v>#REF!</v>
      </c>
      <c r="O38" s="792"/>
      <c r="P38" s="792"/>
      <c r="Q38" s="793"/>
      <c r="R38" s="793"/>
      <c r="S38" s="676"/>
    </row>
    <row r="39" spans="1:25" s="33" customFormat="1">
      <c r="A39" s="57"/>
      <c r="C39" s="20"/>
      <c r="D39" s="20"/>
      <c r="E39" s="20"/>
      <c r="F39" s="20"/>
      <c r="G39" s="20"/>
      <c r="H39" s="20"/>
      <c r="I39" s="20"/>
      <c r="J39" s="20"/>
      <c r="K39" s="20"/>
      <c r="L39" s="59"/>
      <c r="M39" s="65"/>
      <c r="N39" s="66"/>
      <c r="O39" s="794" t="s">
        <v>1177</v>
      </c>
      <c r="P39" s="819">
        <f>+N37-P40</f>
        <v>47279170.800000012</v>
      </c>
      <c r="Q39" s="504"/>
      <c r="R39" s="793"/>
      <c r="S39" s="677"/>
    </row>
    <row r="40" spans="1:25" s="33" customFormat="1">
      <c r="A40" s="57"/>
      <c r="B40" s="8" t="s">
        <v>4</v>
      </c>
      <c r="C40" s="20"/>
      <c r="D40" s="20"/>
      <c r="E40" s="20"/>
      <c r="F40" s="20"/>
      <c r="G40" s="20"/>
      <c r="H40" s="20"/>
      <c r="I40" s="20"/>
      <c r="J40" s="20"/>
      <c r="K40" s="20"/>
      <c r="L40" s="59"/>
      <c r="M40" s="65"/>
      <c r="N40" s="66"/>
      <c r="O40" s="794" t="s">
        <v>59</v>
      </c>
      <c r="P40" s="819">
        <f>+N6+N7+N10+N15+N16+N17+N28</f>
        <v>255026112</v>
      </c>
      <c r="Q40" s="793"/>
      <c r="R40" s="793"/>
      <c r="S40" s="677"/>
    </row>
    <row r="41" spans="1:25" s="33" customFormat="1">
      <c r="A41" s="57"/>
      <c r="B41" s="8"/>
      <c r="C41" s="20"/>
      <c r="D41" s="20"/>
      <c r="E41" s="20"/>
      <c r="F41" s="20"/>
      <c r="G41" s="20"/>
      <c r="H41" s="20"/>
      <c r="I41" s="20"/>
      <c r="J41" s="20"/>
      <c r="K41" s="20"/>
      <c r="L41" s="59"/>
      <c r="M41" s="65"/>
      <c r="N41" s="66"/>
      <c r="O41" s="794" t="s">
        <v>1178</v>
      </c>
      <c r="P41" s="819">
        <f>+P43-P44</f>
        <v>213951309.19999999</v>
      </c>
      <c r="Q41" s="795"/>
      <c r="R41" s="793"/>
      <c r="S41" s="677"/>
    </row>
    <row r="42" spans="1:25" ht="20.25" customHeight="1">
      <c r="B42" s="8" t="s">
        <v>5</v>
      </c>
      <c r="O42" s="796"/>
      <c r="P42" s="820"/>
      <c r="Q42" s="793"/>
      <c r="R42" s="793"/>
      <c r="S42" s="676"/>
    </row>
    <row r="43" spans="1:25">
      <c r="O43" s="797" t="s">
        <v>1179</v>
      </c>
      <c r="P43" s="821">
        <f>'Bank Liabilities Analysis (нац)'!N37</f>
        <v>261230480</v>
      </c>
      <c r="R43" s="798"/>
    </row>
    <row r="44" spans="1:25">
      <c r="O44" s="799" t="s">
        <v>1180</v>
      </c>
      <c r="P44" s="822">
        <f>IF(P39&gt;(P43*0.75),P43*0.75,P39)</f>
        <v>47279170.800000012</v>
      </c>
      <c r="R44" s="798"/>
    </row>
    <row r="45" spans="1:25">
      <c r="O45" s="798"/>
      <c r="P45" s="818"/>
      <c r="Q45" s="798"/>
      <c r="R45" s="798"/>
    </row>
  </sheetData>
  <sheetProtection password="CA76" sheet="1" objects="1" scenarios="1"/>
  <mergeCells count="8">
    <mergeCell ref="L1:N1"/>
    <mergeCell ref="A3:A4"/>
    <mergeCell ref="B3:B4"/>
    <mergeCell ref="C3:J3"/>
    <mergeCell ref="K3:K4"/>
    <mergeCell ref="L3:L4"/>
    <mergeCell ref="M3:M4"/>
    <mergeCell ref="N3:N4"/>
  </mergeCells>
  <conditionalFormatting sqref="K37">
    <cfRule type="cellIs" dxfId="157" priority="267" operator="notEqual">
      <formula>$O$37</formula>
    </cfRule>
  </conditionalFormatting>
  <dataValidations count="1">
    <dataValidation type="whole" operator="notEqual" allowBlank="1" showErrorMessage="1" error="Введите как целое число." sqref="J30:J31 D5:J29 D30:I32 D33:J36 C5:C36" xr:uid="{00000000-0002-0000-1500-000000000000}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42" orientation="landscape" r:id="rId1"/>
  <headerFooter alignWithMargins="0"/>
  <ignoredErrors>
    <ignoredError sqref="C6:J37" unlocked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18">
    <pageSetUpPr fitToPage="1"/>
  </sheetPr>
  <dimension ref="A1:AG59"/>
  <sheetViews>
    <sheetView zoomScale="70" zoomScaleNormal="70" zoomScaleSheetLayoutView="55" workbookViewId="0">
      <pane xSplit="2" ySplit="5" topLeftCell="C33" activePane="bottomRight" state="frozen"/>
      <selection activeCell="B32" sqref="B32"/>
      <selection pane="topRight" activeCell="B32" sqref="B32"/>
      <selection pane="bottomLeft" activeCell="B32" sqref="B32"/>
      <selection pane="bottomRight" activeCell="G44" sqref="G44"/>
    </sheetView>
  </sheetViews>
  <sheetFormatPr defaultRowHeight="12.75"/>
  <cols>
    <col min="1" max="1" width="6.28515625" style="57" customWidth="1"/>
    <col min="2" max="2" width="53.28515625" style="93" customWidth="1"/>
    <col min="3" max="18" width="14.7109375" style="1" customWidth="1"/>
    <col min="19" max="21" width="15.85546875" style="1" customWidth="1"/>
    <col min="22" max="22" width="8.28515625" style="59" customWidth="1"/>
    <col min="23" max="23" width="14.140625" style="65" customWidth="1"/>
    <col min="24" max="24" width="15.28515625" style="1" customWidth="1"/>
    <col min="25" max="25" width="14.140625" style="898" customWidth="1"/>
    <col min="26" max="26" width="15.28515625" style="888" customWidth="1"/>
    <col min="27" max="28" width="17.5703125" style="965" customWidth="1"/>
    <col min="29" max="30" width="17.5703125" style="966" customWidth="1"/>
    <col min="31" max="31" width="18.42578125" style="966" bestFit="1" customWidth="1"/>
    <col min="32" max="32" width="16.7109375" style="216" bestFit="1" customWidth="1"/>
    <col min="33" max="16384" width="9.140625" style="1"/>
  </cols>
  <sheetData>
    <row r="1" spans="1:33" s="31" customFormat="1" ht="30" customHeight="1">
      <c r="A1" s="594" t="s">
        <v>433</v>
      </c>
      <c r="B1" s="164"/>
      <c r="C1" s="595"/>
      <c r="D1" s="595"/>
      <c r="E1" s="596"/>
      <c r="F1" s="596"/>
      <c r="G1" s="596"/>
      <c r="H1" s="596"/>
      <c r="I1" s="596"/>
      <c r="J1" s="596"/>
      <c r="K1" s="596"/>
      <c r="L1" s="596"/>
      <c r="M1" s="596"/>
      <c r="N1" s="596"/>
      <c r="O1" s="597"/>
      <c r="P1" s="597"/>
      <c r="Q1" s="597"/>
      <c r="R1" s="597"/>
      <c r="S1" s="597"/>
      <c r="T1" s="597"/>
      <c r="U1" s="597"/>
      <c r="V1" s="597"/>
      <c r="W1" s="597"/>
      <c r="X1" s="1289" t="s">
        <v>1041</v>
      </c>
      <c r="Y1" s="1289"/>
      <c r="Z1" s="1289"/>
      <c r="AA1" s="963"/>
      <c r="AB1" s="963"/>
      <c r="AC1" s="963"/>
      <c r="AD1" s="964"/>
      <c r="AE1" s="964"/>
      <c r="AF1" s="217"/>
    </row>
    <row r="2" spans="1:33" ht="23.25" customHeight="1">
      <c r="B2" s="451" t="str">
        <f>Balance!B3</f>
        <v>АКБ "Микрокредитбанк"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1324" t="str">
        <f>+Balance!B2</f>
        <v xml:space="preserve"> 30 Декабрь, 2019</v>
      </c>
      <c r="U2" s="1324"/>
      <c r="V2" s="1"/>
      <c r="W2" s="59"/>
      <c r="X2" s="65"/>
      <c r="Y2" s="903"/>
      <c r="Z2" s="898" t="s">
        <v>7</v>
      </c>
      <c r="AA2" s="941"/>
      <c r="AC2" s="965"/>
      <c r="AG2" s="216"/>
    </row>
    <row r="3" spans="1:33" s="31" customFormat="1" ht="21.75" customHeight="1">
      <c r="A3" s="1319" t="s">
        <v>161</v>
      </c>
      <c r="B3" s="1319" t="s">
        <v>131</v>
      </c>
      <c r="C3" s="1321" t="s">
        <v>434</v>
      </c>
      <c r="D3" s="1323"/>
      <c r="E3" s="1323"/>
      <c r="F3" s="1323"/>
      <c r="G3" s="1323"/>
      <c r="H3" s="1323"/>
      <c r="I3" s="1323"/>
      <c r="J3" s="1323"/>
      <c r="K3" s="1323"/>
      <c r="L3" s="1323"/>
      <c r="M3" s="1323"/>
      <c r="N3" s="1323"/>
      <c r="O3" s="1323"/>
      <c r="P3" s="1323"/>
      <c r="Q3" s="1323"/>
      <c r="R3" s="1322"/>
      <c r="S3" s="1319" t="s">
        <v>394</v>
      </c>
      <c r="T3" s="1325" t="s">
        <v>217</v>
      </c>
      <c r="U3" s="1326"/>
      <c r="V3" s="1319" t="s">
        <v>72</v>
      </c>
      <c r="W3" s="1319" t="s">
        <v>77</v>
      </c>
      <c r="X3" s="1319" t="s">
        <v>71</v>
      </c>
      <c r="Y3" s="1319" t="s">
        <v>1215</v>
      </c>
      <c r="Z3" s="1319" t="s">
        <v>1216</v>
      </c>
      <c r="AA3" s="963"/>
      <c r="AB3" s="963"/>
      <c r="AC3" s="964"/>
      <c r="AD3" s="964"/>
      <c r="AE3" s="964"/>
      <c r="AF3" s="217"/>
    </row>
    <row r="4" spans="1:33" s="31" customFormat="1" ht="21" customHeight="1">
      <c r="A4" s="1320"/>
      <c r="B4" s="1320"/>
      <c r="C4" s="1321" t="s">
        <v>395</v>
      </c>
      <c r="D4" s="1322"/>
      <c r="E4" s="1321" t="s">
        <v>1189</v>
      </c>
      <c r="F4" s="1322"/>
      <c r="G4" s="1321" t="s">
        <v>1190</v>
      </c>
      <c r="H4" s="1322"/>
      <c r="I4" s="1321" t="s">
        <v>943</v>
      </c>
      <c r="J4" s="1322"/>
      <c r="K4" s="1321" t="s">
        <v>944</v>
      </c>
      <c r="L4" s="1322"/>
      <c r="M4" s="1321" t="s">
        <v>1108</v>
      </c>
      <c r="N4" s="1322"/>
      <c r="O4" s="1321" t="s">
        <v>1109</v>
      </c>
      <c r="P4" s="1322"/>
      <c r="Q4" s="1321" t="s">
        <v>285</v>
      </c>
      <c r="R4" s="1322"/>
      <c r="S4" s="1320"/>
      <c r="T4" s="1327"/>
      <c r="U4" s="1328"/>
      <c r="V4" s="1320"/>
      <c r="W4" s="1320"/>
      <c r="X4" s="1320"/>
      <c r="Y4" s="1320"/>
      <c r="Z4" s="1320"/>
      <c r="AA4" s="963"/>
      <c r="AB4" s="963"/>
      <c r="AC4" s="964"/>
      <c r="AD4" s="964"/>
      <c r="AE4" s="964"/>
      <c r="AF4" s="217"/>
    </row>
    <row r="5" spans="1:33" s="31" customFormat="1" ht="138" customHeight="1">
      <c r="A5" s="1320"/>
      <c r="B5" s="1320"/>
      <c r="C5" s="619" t="s">
        <v>916</v>
      </c>
      <c r="D5" s="619" t="s">
        <v>917</v>
      </c>
      <c r="E5" s="619" t="s">
        <v>916</v>
      </c>
      <c r="F5" s="619" t="s">
        <v>917</v>
      </c>
      <c r="G5" s="619" t="s">
        <v>916</v>
      </c>
      <c r="H5" s="619" t="s">
        <v>917</v>
      </c>
      <c r="I5" s="619" t="s">
        <v>916</v>
      </c>
      <c r="J5" s="619" t="s">
        <v>917</v>
      </c>
      <c r="K5" s="619" t="s">
        <v>916</v>
      </c>
      <c r="L5" s="619" t="s">
        <v>917</v>
      </c>
      <c r="M5" s="619" t="s">
        <v>916</v>
      </c>
      <c r="N5" s="619" t="s">
        <v>917</v>
      </c>
      <c r="O5" s="619" t="s">
        <v>916</v>
      </c>
      <c r="P5" s="619" t="s">
        <v>917</v>
      </c>
      <c r="Q5" s="619" t="s">
        <v>916</v>
      </c>
      <c r="R5" s="619" t="s">
        <v>917</v>
      </c>
      <c r="S5" s="1320"/>
      <c r="T5" s="619" t="s">
        <v>916</v>
      </c>
      <c r="U5" s="619" t="s">
        <v>917</v>
      </c>
      <c r="V5" s="1320"/>
      <c r="W5" s="1320"/>
      <c r="X5" s="1320"/>
      <c r="Y5" s="1320"/>
      <c r="Z5" s="1320"/>
      <c r="AA5" s="963"/>
      <c r="AB5" s="963"/>
      <c r="AC5" s="964"/>
      <c r="AD5" s="964"/>
      <c r="AE5" s="964"/>
      <c r="AF5" s="217"/>
    </row>
    <row r="6" spans="1:33" s="46" customFormat="1" ht="17.25" customHeight="1">
      <c r="A6" s="598"/>
      <c r="B6" s="599" t="s">
        <v>2</v>
      </c>
      <c r="C6" s="600"/>
      <c r="D6" s="600"/>
      <c r="E6" s="600"/>
      <c r="F6" s="600"/>
      <c r="G6" s="600"/>
      <c r="H6" s="600"/>
      <c r="I6" s="600"/>
      <c r="J6" s="600"/>
      <c r="K6" s="600"/>
      <c r="L6" s="600"/>
      <c r="M6" s="600"/>
      <c r="N6" s="600"/>
      <c r="O6" s="600"/>
      <c r="P6" s="600"/>
      <c r="Q6" s="600"/>
      <c r="R6" s="600"/>
      <c r="S6" s="600"/>
      <c r="T6" s="600"/>
      <c r="U6" s="600"/>
      <c r="V6" s="601"/>
      <c r="W6" s="602"/>
      <c r="X6" s="600"/>
      <c r="Y6" s="602"/>
      <c r="Z6" s="600"/>
      <c r="AA6" s="967"/>
      <c r="AB6" s="967"/>
      <c r="AC6" s="968"/>
      <c r="AD6" s="968"/>
      <c r="AE6" s="968"/>
      <c r="AF6" s="603"/>
    </row>
    <row r="7" spans="1:33" s="31" customFormat="1" ht="25.5" customHeight="1">
      <c r="A7" s="496" t="s">
        <v>166</v>
      </c>
      <c r="B7" s="248" t="s">
        <v>435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243"/>
      <c r="W7" s="244"/>
      <c r="X7" s="136"/>
      <c r="Y7" s="904"/>
      <c r="Z7" s="905"/>
      <c r="AA7" s="963"/>
      <c r="AB7" s="963"/>
      <c r="AC7" s="964"/>
      <c r="AD7" s="964"/>
      <c r="AE7" s="964"/>
      <c r="AF7" s="217"/>
    </row>
    <row r="8" spans="1:33" s="31" customFormat="1" ht="25.5" customHeight="1">
      <c r="A8" s="496" t="s">
        <v>436</v>
      </c>
      <c r="B8" s="249" t="s">
        <v>437</v>
      </c>
      <c r="C8" s="136">
        <f>SUM(C9:C12)</f>
        <v>243090220</v>
      </c>
      <c r="D8" s="137">
        <f t="shared" ref="D8:R8" si="0">SUM(D9:D12)</f>
        <v>21684898</v>
      </c>
      <c r="E8" s="136">
        <f>SUM(E9:E12)</f>
        <v>0</v>
      </c>
      <c r="F8" s="137">
        <f>SUM(F9:F12)</f>
        <v>0</v>
      </c>
      <c r="G8" s="136">
        <f t="shared" si="0"/>
        <v>0</v>
      </c>
      <c r="H8" s="137">
        <f t="shared" si="0"/>
        <v>0</v>
      </c>
      <c r="I8" s="136">
        <f>SUM(I9:I12)</f>
        <v>0</v>
      </c>
      <c r="J8" s="137">
        <f>SUM(J9:J12)</f>
        <v>0</v>
      </c>
      <c r="K8" s="136">
        <f t="shared" si="0"/>
        <v>0</v>
      </c>
      <c r="L8" s="137">
        <f t="shared" si="0"/>
        <v>0</v>
      </c>
      <c r="M8" s="136">
        <f t="shared" si="0"/>
        <v>0</v>
      </c>
      <c r="N8" s="137">
        <f t="shared" si="0"/>
        <v>0</v>
      </c>
      <c r="O8" s="136">
        <f>SUM(O9:O12)</f>
        <v>0</v>
      </c>
      <c r="P8" s="137">
        <f>SUM(P9:P12)</f>
        <v>0</v>
      </c>
      <c r="Q8" s="136">
        <f t="shared" si="0"/>
        <v>0</v>
      </c>
      <c r="R8" s="137">
        <f t="shared" si="0"/>
        <v>0</v>
      </c>
      <c r="S8" s="136">
        <f>+C8+E8+G8+I8+K8+M8+O8+Q8</f>
        <v>243090220</v>
      </c>
      <c r="T8" s="136">
        <f>+S8-U8</f>
        <v>221405322</v>
      </c>
      <c r="U8" s="136">
        <f>+D8+F8+H8+J8+L8+N8+P8+R8</f>
        <v>21684898</v>
      </c>
      <c r="V8" s="243"/>
      <c r="W8" s="246"/>
      <c r="X8" s="136"/>
      <c r="Y8" s="906"/>
      <c r="Z8" s="905"/>
      <c r="AA8" s="963"/>
      <c r="AB8" s="963"/>
      <c r="AC8" s="964"/>
      <c r="AD8" s="964"/>
      <c r="AE8" s="964"/>
      <c r="AF8" s="217"/>
    </row>
    <row r="9" spans="1:33" s="202" customFormat="1" ht="25.5" customHeight="1">
      <c r="A9" s="497" t="s">
        <v>918</v>
      </c>
      <c r="B9" s="250" t="s">
        <v>919</v>
      </c>
      <c r="C9" s="87">
        <v>14911749</v>
      </c>
      <c r="D9" s="87">
        <v>2252971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136">
        <f t="shared" ref="S9:S54" si="1">+C9+E9+G9+I9+K9+M9+O9+Q9</f>
        <v>14911749</v>
      </c>
      <c r="T9" s="136">
        <f t="shared" ref="T9:T54" si="2">+S9-U9</f>
        <v>12658778</v>
      </c>
      <c r="U9" s="136">
        <f t="shared" ref="U9:U54" si="3">+D9+F9+H9+J9+L9+N9+P9+R9</f>
        <v>2252971</v>
      </c>
      <c r="V9" s="245">
        <v>0.1</v>
      </c>
      <c r="W9" s="246">
        <f>+C9+E9+G9</f>
        <v>14911749</v>
      </c>
      <c r="X9" s="137">
        <f>+W9*V9</f>
        <v>1491174.9000000001</v>
      </c>
      <c r="Y9" s="906">
        <f>+D9+F9+H9</f>
        <v>2252971</v>
      </c>
      <c r="Z9" s="894">
        <f>+Y9*V9</f>
        <v>225297.1</v>
      </c>
      <c r="AA9" s="969"/>
      <c r="AB9" s="969"/>
      <c r="AC9" s="970"/>
      <c r="AD9" s="970"/>
      <c r="AE9" s="970"/>
      <c r="AF9" s="247"/>
    </row>
    <row r="10" spans="1:33" s="202" customFormat="1" ht="25.5" customHeight="1">
      <c r="A10" s="497" t="s">
        <v>920</v>
      </c>
      <c r="B10" s="604" t="s">
        <v>924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136">
        <f t="shared" si="1"/>
        <v>0</v>
      </c>
      <c r="T10" s="136">
        <f t="shared" si="2"/>
        <v>0</v>
      </c>
      <c r="U10" s="136">
        <f t="shared" si="3"/>
        <v>0</v>
      </c>
      <c r="V10" s="245">
        <v>0</v>
      </c>
      <c r="W10" s="246">
        <f>+C10+E10+G10</f>
        <v>0</v>
      </c>
      <c r="X10" s="137">
        <f t="shared" ref="X10:X37" si="4">+W10*V10</f>
        <v>0</v>
      </c>
      <c r="Y10" s="906">
        <f t="shared" ref="Y10:Y37" si="5">+D10+F10+H10</f>
        <v>0</v>
      </c>
      <c r="Z10" s="894">
        <f t="shared" ref="Z10:Z37" si="6">+Y10*V10</f>
        <v>0</v>
      </c>
      <c r="AA10" s="969"/>
      <c r="AB10" s="969"/>
      <c r="AC10" s="970"/>
      <c r="AD10" s="970"/>
      <c r="AE10" s="970"/>
      <c r="AF10" s="247"/>
    </row>
    <row r="11" spans="1:33" s="202" customFormat="1" ht="25.5" customHeight="1">
      <c r="A11" s="497" t="s">
        <v>921</v>
      </c>
      <c r="B11" s="250" t="s">
        <v>922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136">
        <f t="shared" si="1"/>
        <v>0</v>
      </c>
      <c r="T11" s="136">
        <f t="shared" si="2"/>
        <v>0</v>
      </c>
      <c r="U11" s="136">
        <f t="shared" si="3"/>
        <v>0</v>
      </c>
      <c r="V11" s="245">
        <v>0</v>
      </c>
      <c r="W11" s="246">
        <f>+C11+E11+G11</f>
        <v>0</v>
      </c>
      <c r="X11" s="137">
        <f t="shared" si="4"/>
        <v>0</v>
      </c>
      <c r="Y11" s="906">
        <f t="shared" si="5"/>
        <v>0</v>
      </c>
      <c r="Z11" s="894">
        <f t="shared" si="6"/>
        <v>0</v>
      </c>
      <c r="AA11" s="969"/>
      <c r="AB11" s="969"/>
      <c r="AC11" s="970"/>
      <c r="AD11" s="970"/>
      <c r="AE11" s="970"/>
      <c r="AF11" s="247"/>
    </row>
    <row r="12" spans="1:33" s="202" customFormat="1" ht="25.5" customHeight="1">
      <c r="A12" s="497" t="s">
        <v>923</v>
      </c>
      <c r="B12" s="250" t="s">
        <v>76</v>
      </c>
      <c r="C12" s="87">
        <v>228178471</v>
      </c>
      <c r="D12" s="87">
        <v>19431927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136">
        <f t="shared" si="1"/>
        <v>228178471</v>
      </c>
      <c r="T12" s="136">
        <f t="shared" si="2"/>
        <v>208746544</v>
      </c>
      <c r="U12" s="136">
        <f t="shared" si="3"/>
        <v>19431927</v>
      </c>
      <c r="V12" s="245">
        <v>0.3</v>
      </c>
      <c r="W12" s="246">
        <f>+C12+E12+G12</f>
        <v>228178471</v>
      </c>
      <c r="X12" s="137">
        <f t="shared" si="4"/>
        <v>68453541.299999997</v>
      </c>
      <c r="Y12" s="906">
        <f t="shared" si="5"/>
        <v>19431927</v>
      </c>
      <c r="Z12" s="894">
        <f t="shared" si="6"/>
        <v>5829578.0999999996</v>
      </c>
      <c r="AA12" s="969"/>
      <c r="AB12" s="969"/>
      <c r="AC12" s="970"/>
      <c r="AD12" s="970"/>
      <c r="AE12" s="970"/>
      <c r="AF12" s="247"/>
    </row>
    <row r="13" spans="1:33" s="202" customFormat="1" ht="25.5" customHeight="1">
      <c r="A13" s="497" t="s">
        <v>438</v>
      </c>
      <c r="B13" s="592" t="s">
        <v>1170</v>
      </c>
      <c r="C13" s="87">
        <v>17015185</v>
      </c>
      <c r="D13" s="87">
        <v>0</v>
      </c>
      <c r="E13" s="87">
        <v>31435698</v>
      </c>
      <c r="F13" s="87">
        <v>9588</v>
      </c>
      <c r="G13" s="87">
        <v>29403627</v>
      </c>
      <c r="H13" s="87">
        <v>122778</v>
      </c>
      <c r="I13" s="87">
        <v>140098342</v>
      </c>
      <c r="J13" s="87">
        <v>1610836</v>
      </c>
      <c r="K13" s="87">
        <v>69085021</v>
      </c>
      <c r="L13" s="87">
        <v>757179</v>
      </c>
      <c r="M13" s="87">
        <v>296217789</v>
      </c>
      <c r="N13" s="87">
        <v>4309056</v>
      </c>
      <c r="O13" s="87">
        <v>189750743</v>
      </c>
      <c r="P13" s="87">
        <v>101245401</v>
      </c>
      <c r="Q13" s="87">
        <v>207512447</v>
      </c>
      <c r="R13" s="87">
        <v>152291295</v>
      </c>
      <c r="S13" s="136">
        <f t="shared" si="1"/>
        <v>980518852</v>
      </c>
      <c r="T13" s="136">
        <f t="shared" si="2"/>
        <v>720172719</v>
      </c>
      <c r="U13" s="136">
        <f t="shared" si="3"/>
        <v>260346133</v>
      </c>
      <c r="V13" s="245">
        <v>1</v>
      </c>
      <c r="W13" s="246">
        <f>+C13+E13+G13</f>
        <v>77854510</v>
      </c>
      <c r="X13" s="137">
        <f t="shared" si="4"/>
        <v>77854510</v>
      </c>
      <c r="Y13" s="906">
        <f t="shared" si="5"/>
        <v>132366</v>
      </c>
      <c r="Z13" s="894">
        <f t="shared" si="6"/>
        <v>132366</v>
      </c>
      <c r="AA13" s="969"/>
      <c r="AB13" s="969"/>
      <c r="AC13" s="970"/>
      <c r="AD13" s="970"/>
      <c r="AE13" s="970"/>
      <c r="AF13" s="247"/>
    </row>
    <row r="14" spans="1:33" s="202" customFormat="1" ht="25.5" customHeight="1">
      <c r="A14" s="497" t="s">
        <v>1168</v>
      </c>
      <c r="B14" s="605" t="s">
        <v>919</v>
      </c>
      <c r="C14" s="87"/>
      <c r="D14" s="87"/>
      <c r="E14" s="87">
        <v>4269341</v>
      </c>
      <c r="F14" s="87">
        <v>9588</v>
      </c>
      <c r="G14" s="87">
        <v>11094970</v>
      </c>
      <c r="H14" s="87">
        <v>122778</v>
      </c>
      <c r="I14" s="87">
        <v>51400540</v>
      </c>
      <c r="J14" s="87">
        <v>1610836</v>
      </c>
      <c r="K14" s="87">
        <v>42560638</v>
      </c>
      <c r="L14" s="87">
        <v>757179</v>
      </c>
      <c r="M14" s="87">
        <v>82236564</v>
      </c>
      <c r="N14" s="87">
        <v>1038128</v>
      </c>
      <c r="O14" s="87">
        <v>13591475</v>
      </c>
      <c r="P14" s="87">
        <v>1323516</v>
      </c>
      <c r="Q14" s="87">
        <v>6445835</v>
      </c>
      <c r="R14" s="87">
        <v>0</v>
      </c>
      <c r="S14" s="136">
        <f t="shared" si="1"/>
        <v>211599363</v>
      </c>
      <c r="T14" s="136">
        <f t="shared" si="2"/>
        <v>206737338</v>
      </c>
      <c r="U14" s="136">
        <f t="shared" si="3"/>
        <v>4862025</v>
      </c>
      <c r="V14" s="245">
        <v>0</v>
      </c>
      <c r="W14" s="246"/>
      <c r="X14" s="137"/>
      <c r="Y14" s="906"/>
      <c r="Z14" s="894"/>
      <c r="AA14" s="969"/>
      <c r="AB14" s="969"/>
      <c r="AC14" s="970"/>
      <c r="AD14" s="970"/>
      <c r="AE14" s="970"/>
      <c r="AF14" s="247"/>
    </row>
    <row r="15" spans="1:33" s="202" customFormat="1" ht="25.5" customHeight="1">
      <c r="A15" s="497" t="s">
        <v>1169</v>
      </c>
      <c r="B15" s="593" t="s">
        <v>1167</v>
      </c>
      <c r="C15" s="87">
        <v>0</v>
      </c>
      <c r="D15" s="87">
        <v>0</v>
      </c>
      <c r="E15" s="87">
        <v>20300000</v>
      </c>
      <c r="F15" s="87">
        <v>0</v>
      </c>
      <c r="G15" s="87">
        <v>200000</v>
      </c>
      <c r="H15" s="87">
        <v>0</v>
      </c>
      <c r="I15" s="87">
        <v>33300000</v>
      </c>
      <c r="J15" s="87">
        <v>0</v>
      </c>
      <c r="K15" s="87">
        <v>2100000</v>
      </c>
      <c r="L15" s="87">
        <v>0</v>
      </c>
      <c r="M15" s="87">
        <v>14400000</v>
      </c>
      <c r="N15" s="87">
        <v>0</v>
      </c>
      <c r="O15" s="87">
        <v>35600000</v>
      </c>
      <c r="P15" s="87">
        <v>0</v>
      </c>
      <c r="Q15" s="87">
        <v>0</v>
      </c>
      <c r="R15" s="87">
        <v>0</v>
      </c>
      <c r="S15" s="136">
        <f t="shared" si="1"/>
        <v>105900000</v>
      </c>
      <c r="T15" s="136">
        <f t="shared" si="2"/>
        <v>105900000</v>
      </c>
      <c r="U15" s="136">
        <f t="shared" si="3"/>
        <v>0</v>
      </c>
      <c r="V15" s="245">
        <v>0</v>
      </c>
      <c r="W15" s="246"/>
      <c r="X15" s="137"/>
      <c r="Y15" s="906"/>
      <c r="Z15" s="894"/>
      <c r="AA15" s="969"/>
      <c r="AB15" s="969"/>
      <c r="AC15" s="970"/>
      <c r="AD15" s="970"/>
      <c r="AE15" s="970"/>
      <c r="AF15" s="247"/>
    </row>
    <row r="16" spans="1:33" s="202" customFormat="1" ht="25.5" customHeight="1">
      <c r="A16" s="497" t="s">
        <v>439</v>
      </c>
      <c r="B16" s="250" t="s">
        <v>449</v>
      </c>
      <c r="C16" s="136">
        <f>SUM(C17:C21)</f>
        <v>168829534</v>
      </c>
      <c r="D16" s="137">
        <f t="shared" ref="D16:R16" si="7">SUM(D17:D21)</f>
        <v>13692514</v>
      </c>
      <c r="E16" s="136">
        <f>SUM(E17:E21)</f>
        <v>0</v>
      </c>
      <c r="F16" s="137">
        <f>SUM(F17:F21)</f>
        <v>0</v>
      </c>
      <c r="G16" s="136">
        <f t="shared" si="7"/>
        <v>0</v>
      </c>
      <c r="H16" s="137">
        <f t="shared" si="7"/>
        <v>0</v>
      </c>
      <c r="I16" s="136">
        <f t="shared" si="7"/>
        <v>0</v>
      </c>
      <c r="J16" s="137">
        <f t="shared" si="7"/>
        <v>0</v>
      </c>
      <c r="K16" s="136">
        <f t="shared" si="7"/>
        <v>0</v>
      </c>
      <c r="L16" s="137">
        <f t="shared" si="7"/>
        <v>0</v>
      </c>
      <c r="M16" s="136">
        <f t="shared" si="7"/>
        <v>0</v>
      </c>
      <c r="N16" s="137">
        <f t="shared" si="7"/>
        <v>0</v>
      </c>
      <c r="O16" s="136">
        <f t="shared" si="7"/>
        <v>0</v>
      </c>
      <c r="P16" s="137">
        <f t="shared" si="7"/>
        <v>0</v>
      </c>
      <c r="Q16" s="136">
        <f t="shared" si="7"/>
        <v>0</v>
      </c>
      <c r="R16" s="137">
        <f t="shared" si="7"/>
        <v>0</v>
      </c>
      <c r="S16" s="136">
        <f t="shared" si="1"/>
        <v>168829534</v>
      </c>
      <c r="T16" s="136">
        <f t="shared" si="2"/>
        <v>155137020</v>
      </c>
      <c r="U16" s="136">
        <f t="shared" si="3"/>
        <v>13692514</v>
      </c>
      <c r="V16" s="245"/>
      <c r="W16" s="246"/>
      <c r="X16" s="137"/>
      <c r="Y16" s="906"/>
      <c r="Z16" s="894"/>
      <c r="AA16" s="969"/>
      <c r="AB16" s="969"/>
      <c r="AC16" s="970"/>
      <c r="AD16" s="970"/>
      <c r="AE16" s="970"/>
      <c r="AF16" s="247"/>
    </row>
    <row r="17" spans="1:32" s="202" customFormat="1" ht="28.5" customHeight="1">
      <c r="A17" s="497" t="s">
        <v>925</v>
      </c>
      <c r="B17" s="250" t="s">
        <v>928</v>
      </c>
      <c r="C17" s="87">
        <v>123935862</v>
      </c>
      <c r="D17" s="87">
        <v>5419815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136">
        <f t="shared" si="1"/>
        <v>123935862</v>
      </c>
      <c r="T17" s="136">
        <f t="shared" si="2"/>
        <v>118516047</v>
      </c>
      <c r="U17" s="136">
        <f t="shared" si="3"/>
        <v>5419815</v>
      </c>
      <c r="V17" s="245">
        <v>0.1</v>
      </c>
      <c r="W17" s="246">
        <f>+C17+E17+G17</f>
        <v>123935862</v>
      </c>
      <c r="X17" s="137">
        <f>+W17*V17</f>
        <v>12393586.200000001</v>
      </c>
      <c r="Y17" s="906">
        <f t="shared" si="5"/>
        <v>5419815</v>
      </c>
      <c r="Z17" s="894">
        <f t="shared" si="6"/>
        <v>541981.5</v>
      </c>
      <c r="AA17" s="969"/>
      <c r="AB17" s="969"/>
      <c r="AC17" s="970"/>
      <c r="AD17" s="970"/>
      <c r="AE17" s="970"/>
      <c r="AF17" s="247"/>
    </row>
    <row r="18" spans="1:32" s="202" customFormat="1" ht="28.5" customHeight="1">
      <c r="A18" s="497" t="s">
        <v>926</v>
      </c>
      <c r="B18" s="250" t="s">
        <v>929</v>
      </c>
      <c r="C18" s="87">
        <v>18225928</v>
      </c>
      <c r="D18" s="87">
        <v>35325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136">
        <f t="shared" si="1"/>
        <v>18225928</v>
      </c>
      <c r="T18" s="136">
        <f t="shared" si="2"/>
        <v>18190603</v>
      </c>
      <c r="U18" s="136">
        <f t="shared" si="3"/>
        <v>35325</v>
      </c>
      <c r="V18" s="245">
        <v>0.1</v>
      </c>
      <c r="W18" s="246">
        <f>+C18+E18+G18</f>
        <v>18225928</v>
      </c>
      <c r="X18" s="137">
        <f>+W18*V18</f>
        <v>1822592.8</v>
      </c>
      <c r="Y18" s="906">
        <f t="shared" si="5"/>
        <v>35325</v>
      </c>
      <c r="Z18" s="894">
        <f t="shared" si="6"/>
        <v>3532.5</v>
      </c>
      <c r="AA18" s="969"/>
      <c r="AB18" s="969"/>
      <c r="AC18" s="970"/>
      <c r="AD18" s="970"/>
      <c r="AE18" s="970"/>
      <c r="AF18" s="247"/>
    </row>
    <row r="19" spans="1:32" s="202" customFormat="1" ht="25.5" customHeight="1">
      <c r="A19" s="497" t="s">
        <v>927</v>
      </c>
      <c r="B19" s="250" t="s">
        <v>930</v>
      </c>
      <c r="C19" s="87">
        <v>6946950</v>
      </c>
      <c r="D19" s="87">
        <v>6946950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136">
        <f t="shared" si="1"/>
        <v>6946950</v>
      </c>
      <c r="T19" s="136">
        <f t="shared" si="2"/>
        <v>0</v>
      </c>
      <c r="U19" s="136">
        <f t="shared" si="3"/>
        <v>6946950</v>
      </c>
      <c r="V19" s="245">
        <v>0.3</v>
      </c>
      <c r="W19" s="246">
        <f>+C19+E19+G19</f>
        <v>6946950</v>
      </c>
      <c r="X19" s="137">
        <f>+W19*V19</f>
        <v>2084085</v>
      </c>
      <c r="Y19" s="906">
        <f t="shared" si="5"/>
        <v>6946950</v>
      </c>
      <c r="Z19" s="894">
        <f t="shared" si="6"/>
        <v>2084085</v>
      </c>
      <c r="AA19" s="969"/>
      <c r="AB19" s="969"/>
      <c r="AC19" s="970"/>
      <c r="AD19" s="970"/>
      <c r="AE19" s="970"/>
      <c r="AF19" s="247"/>
    </row>
    <row r="20" spans="1:32" s="202" customFormat="1" ht="25.5">
      <c r="A20" s="497" t="s">
        <v>931</v>
      </c>
      <c r="B20" s="250" t="s">
        <v>932</v>
      </c>
      <c r="C20" s="87">
        <v>11166113</v>
      </c>
      <c r="D20" s="87">
        <v>0</v>
      </c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136">
        <f t="shared" si="1"/>
        <v>11166113</v>
      </c>
      <c r="T20" s="136">
        <f t="shared" si="2"/>
        <v>11166113</v>
      </c>
      <c r="U20" s="136">
        <f t="shared" si="3"/>
        <v>0</v>
      </c>
      <c r="V20" s="245">
        <v>1</v>
      </c>
      <c r="W20" s="246">
        <f>+C20+E20+G20</f>
        <v>11166113</v>
      </c>
      <c r="X20" s="137">
        <f>+W20*V20</f>
        <v>11166113</v>
      </c>
      <c r="Y20" s="906">
        <f t="shared" si="5"/>
        <v>0</v>
      </c>
      <c r="Z20" s="894">
        <f t="shared" si="6"/>
        <v>0</v>
      </c>
      <c r="AA20" s="969"/>
      <c r="AB20" s="969"/>
      <c r="AC20" s="970"/>
      <c r="AD20" s="970"/>
      <c r="AE20" s="970"/>
      <c r="AF20" s="247"/>
    </row>
    <row r="21" spans="1:32" s="202" customFormat="1" ht="25.5" customHeight="1">
      <c r="A21" s="497" t="s">
        <v>933</v>
      </c>
      <c r="B21" s="250" t="s">
        <v>44</v>
      </c>
      <c r="C21" s="87">
        <v>8554681</v>
      </c>
      <c r="D21" s="87">
        <v>1290424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136">
        <f t="shared" si="1"/>
        <v>8554681</v>
      </c>
      <c r="T21" s="136">
        <f t="shared" si="2"/>
        <v>7264257</v>
      </c>
      <c r="U21" s="136">
        <f t="shared" si="3"/>
        <v>1290424</v>
      </c>
      <c r="V21" s="245">
        <v>0.3</v>
      </c>
      <c r="W21" s="246">
        <f>+C21+E21+G21</f>
        <v>8554681</v>
      </c>
      <c r="X21" s="137">
        <f>+W21*V21</f>
        <v>2566404.2999999998</v>
      </c>
      <c r="Y21" s="906">
        <f t="shared" si="5"/>
        <v>1290424</v>
      </c>
      <c r="Z21" s="894">
        <f t="shared" si="6"/>
        <v>387127.2</v>
      </c>
      <c r="AA21" s="969"/>
      <c r="AB21" s="969"/>
      <c r="AC21" s="970"/>
      <c r="AD21" s="970"/>
      <c r="AE21" s="970"/>
      <c r="AF21" s="247"/>
    </row>
    <row r="22" spans="1:32" s="202" customFormat="1" ht="25.5" customHeight="1">
      <c r="A22" s="497" t="s">
        <v>441</v>
      </c>
      <c r="B22" s="251" t="s">
        <v>442</v>
      </c>
      <c r="C22" s="137">
        <f t="shared" ref="C22:R22" si="8">+C8+C13+C16</f>
        <v>428934939</v>
      </c>
      <c r="D22" s="137">
        <f t="shared" si="8"/>
        <v>35377412</v>
      </c>
      <c r="E22" s="137">
        <f>+E8+E13+E16</f>
        <v>31435698</v>
      </c>
      <c r="F22" s="137">
        <f>+F8+F13+F16</f>
        <v>9588</v>
      </c>
      <c r="G22" s="137">
        <f t="shared" si="8"/>
        <v>29403627</v>
      </c>
      <c r="H22" s="137">
        <f t="shared" si="8"/>
        <v>122778</v>
      </c>
      <c r="I22" s="137">
        <f t="shared" si="8"/>
        <v>140098342</v>
      </c>
      <c r="J22" s="137">
        <f t="shared" si="8"/>
        <v>1610836</v>
      </c>
      <c r="K22" s="137">
        <f t="shared" si="8"/>
        <v>69085021</v>
      </c>
      <c r="L22" s="137">
        <f t="shared" si="8"/>
        <v>757179</v>
      </c>
      <c r="M22" s="137">
        <f t="shared" si="8"/>
        <v>296217789</v>
      </c>
      <c r="N22" s="137">
        <f t="shared" si="8"/>
        <v>4309056</v>
      </c>
      <c r="O22" s="137">
        <f t="shared" si="8"/>
        <v>189750743</v>
      </c>
      <c r="P22" s="137">
        <f t="shared" si="8"/>
        <v>101245401</v>
      </c>
      <c r="Q22" s="137">
        <f t="shared" si="8"/>
        <v>207512447</v>
      </c>
      <c r="R22" s="137">
        <f t="shared" si="8"/>
        <v>152291295</v>
      </c>
      <c r="S22" s="136">
        <f t="shared" si="1"/>
        <v>1392438606</v>
      </c>
      <c r="T22" s="136">
        <f t="shared" si="2"/>
        <v>1096715061</v>
      </c>
      <c r="U22" s="136">
        <f t="shared" si="3"/>
        <v>295723545</v>
      </c>
      <c r="V22" s="245"/>
      <c r="W22" s="246"/>
      <c r="X22" s="137"/>
      <c r="Y22" s="906">
        <f t="shared" si="5"/>
        <v>35509778</v>
      </c>
      <c r="Z22" s="894">
        <f t="shared" si="6"/>
        <v>0</v>
      </c>
      <c r="AA22" s="969"/>
      <c r="AB22" s="969"/>
      <c r="AC22" s="970"/>
      <c r="AD22" s="970"/>
      <c r="AE22" s="970"/>
      <c r="AF22" s="247"/>
    </row>
    <row r="23" spans="1:32" s="202" customFormat="1" ht="25.5" customHeight="1">
      <c r="A23" s="497" t="s">
        <v>397</v>
      </c>
      <c r="B23" s="250" t="s">
        <v>443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136">
        <f t="shared" si="1"/>
        <v>0</v>
      </c>
      <c r="T23" s="136">
        <f t="shared" si="2"/>
        <v>0</v>
      </c>
      <c r="U23" s="136">
        <f t="shared" si="3"/>
        <v>0</v>
      </c>
      <c r="V23" s="245">
        <v>1</v>
      </c>
      <c r="W23" s="246">
        <f>+C23+E23+G23</f>
        <v>0</v>
      </c>
      <c r="X23" s="137">
        <f t="shared" si="4"/>
        <v>0</v>
      </c>
      <c r="Y23" s="906">
        <f t="shared" si="5"/>
        <v>0</v>
      </c>
      <c r="Z23" s="894">
        <f t="shared" si="6"/>
        <v>0</v>
      </c>
      <c r="AA23" s="969"/>
      <c r="AB23" s="969"/>
      <c r="AC23" s="970"/>
      <c r="AD23" s="970"/>
      <c r="AE23" s="970"/>
      <c r="AF23" s="247"/>
    </row>
    <row r="24" spans="1:32" s="202" customFormat="1" ht="25.5" customHeight="1">
      <c r="A24" s="497" t="s">
        <v>398</v>
      </c>
      <c r="B24" s="250" t="s">
        <v>444</v>
      </c>
      <c r="C24" s="137">
        <f>SUM(C25:C27)</f>
        <v>1068247</v>
      </c>
      <c r="D24" s="137">
        <f t="shared" ref="D24:R24" si="9">SUM(D25:D27)</f>
        <v>0</v>
      </c>
      <c r="E24" s="137">
        <f>SUM(E25:E27)</f>
        <v>0</v>
      </c>
      <c r="F24" s="137">
        <f>SUM(F25:F27)</f>
        <v>0</v>
      </c>
      <c r="G24" s="137">
        <f t="shared" si="9"/>
        <v>339110910</v>
      </c>
      <c r="H24" s="137">
        <f t="shared" si="9"/>
        <v>299110910</v>
      </c>
      <c r="I24" s="137">
        <f t="shared" si="9"/>
        <v>567496744</v>
      </c>
      <c r="J24" s="137">
        <f t="shared" si="9"/>
        <v>497496744</v>
      </c>
      <c r="K24" s="137">
        <f t="shared" si="9"/>
        <v>19032740</v>
      </c>
      <c r="L24" s="137">
        <f t="shared" si="9"/>
        <v>19032740</v>
      </c>
      <c r="M24" s="137">
        <f t="shared" si="9"/>
        <v>0</v>
      </c>
      <c r="N24" s="137">
        <f t="shared" si="9"/>
        <v>0</v>
      </c>
      <c r="O24" s="137">
        <f t="shared" si="9"/>
        <v>195000000</v>
      </c>
      <c r="P24" s="137">
        <f t="shared" si="9"/>
        <v>0</v>
      </c>
      <c r="Q24" s="137">
        <f t="shared" si="9"/>
        <v>133352242</v>
      </c>
      <c r="R24" s="137">
        <f t="shared" si="9"/>
        <v>95163700</v>
      </c>
      <c r="S24" s="136">
        <f t="shared" si="1"/>
        <v>1255060883</v>
      </c>
      <c r="T24" s="136">
        <f t="shared" si="2"/>
        <v>344256789</v>
      </c>
      <c r="U24" s="136">
        <f t="shared" si="3"/>
        <v>910804094</v>
      </c>
      <c r="V24" s="245"/>
      <c r="W24" s="246"/>
      <c r="X24" s="137"/>
      <c r="Y24" s="906"/>
      <c r="Z24" s="894"/>
      <c r="AA24" s="969"/>
      <c r="AB24" s="969"/>
      <c r="AC24" s="970"/>
      <c r="AD24" s="970"/>
      <c r="AE24" s="970"/>
      <c r="AF24" s="247"/>
    </row>
    <row r="25" spans="1:32" s="202" customFormat="1" ht="25.5" customHeight="1">
      <c r="A25" s="497" t="s">
        <v>476</v>
      </c>
      <c r="B25" s="250" t="s">
        <v>934</v>
      </c>
      <c r="C25" s="87"/>
      <c r="D25" s="87"/>
      <c r="E25" s="87"/>
      <c r="F25" s="87"/>
      <c r="G25" s="87">
        <v>339110910</v>
      </c>
      <c r="H25" s="87">
        <v>299110910</v>
      </c>
      <c r="I25" s="87">
        <v>567496744</v>
      </c>
      <c r="J25" s="87">
        <v>497496744</v>
      </c>
      <c r="K25" s="87">
        <v>19032740</v>
      </c>
      <c r="L25" s="87">
        <v>19032740</v>
      </c>
      <c r="M25" s="87">
        <v>0</v>
      </c>
      <c r="N25" s="87">
        <v>0</v>
      </c>
      <c r="O25" s="87">
        <v>195000000</v>
      </c>
      <c r="P25" s="87">
        <v>0</v>
      </c>
      <c r="Q25" s="87">
        <v>133352242</v>
      </c>
      <c r="R25" s="87">
        <v>95163700</v>
      </c>
      <c r="S25" s="136">
        <f t="shared" si="1"/>
        <v>1253992636</v>
      </c>
      <c r="T25" s="136">
        <f t="shared" si="2"/>
        <v>343188542</v>
      </c>
      <c r="U25" s="136">
        <f t="shared" si="3"/>
        <v>910804094</v>
      </c>
      <c r="V25" s="245">
        <v>1</v>
      </c>
      <c r="W25" s="246">
        <f t="shared" ref="W25:W37" si="10">+C25+E25+G25</f>
        <v>339110910</v>
      </c>
      <c r="X25" s="137">
        <f t="shared" si="4"/>
        <v>339110910</v>
      </c>
      <c r="Y25" s="906">
        <f t="shared" si="5"/>
        <v>299110910</v>
      </c>
      <c r="Z25" s="894">
        <f t="shared" si="6"/>
        <v>299110910</v>
      </c>
      <c r="AA25" s="969"/>
      <c r="AB25" s="969"/>
      <c r="AC25" s="970"/>
      <c r="AD25" s="970"/>
      <c r="AE25" s="970"/>
      <c r="AF25" s="247"/>
    </row>
    <row r="26" spans="1:32" s="202" customFormat="1" ht="25.5" customHeight="1">
      <c r="A26" s="497" t="s">
        <v>478</v>
      </c>
      <c r="B26" s="250" t="s">
        <v>935</v>
      </c>
      <c r="C26" s="87">
        <v>1068247</v>
      </c>
      <c r="D26" s="87">
        <v>0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136">
        <f t="shared" si="1"/>
        <v>1068247</v>
      </c>
      <c r="T26" s="136">
        <f t="shared" si="2"/>
        <v>1068247</v>
      </c>
      <c r="U26" s="136">
        <f t="shared" si="3"/>
        <v>0</v>
      </c>
      <c r="V26" s="245">
        <v>0.5</v>
      </c>
      <c r="W26" s="246">
        <f t="shared" si="10"/>
        <v>1068247</v>
      </c>
      <c r="X26" s="137">
        <f t="shared" si="4"/>
        <v>534123.5</v>
      </c>
      <c r="Y26" s="906">
        <f t="shared" si="5"/>
        <v>0</v>
      </c>
      <c r="Z26" s="894">
        <f t="shared" si="6"/>
        <v>0</v>
      </c>
      <c r="AA26" s="969"/>
      <c r="AB26" s="969"/>
      <c r="AC26" s="970"/>
      <c r="AD26" s="970"/>
      <c r="AE26" s="970"/>
      <c r="AF26" s="247"/>
    </row>
    <row r="27" spans="1:32" s="202" customFormat="1" ht="25.5" customHeight="1">
      <c r="A27" s="497" t="s">
        <v>45</v>
      </c>
      <c r="B27" s="250" t="s">
        <v>69</v>
      </c>
      <c r="C27" s="87">
        <v>0</v>
      </c>
      <c r="D27" s="87">
        <v>0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136">
        <f t="shared" si="1"/>
        <v>0</v>
      </c>
      <c r="T27" s="136">
        <f t="shared" si="2"/>
        <v>0</v>
      </c>
      <c r="U27" s="136">
        <f t="shared" si="3"/>
        <v>0</v>
      </c>
      <c r="V27" s="245">
        <v>0.3</v>
      </c>
      <c r="W27" s="246">
        <f t="shared" si="10"/>
        <v>0</v>
      </c>
      <c r="X27" s="137">
        <f t="shared" si="4"/>
        <v>0</v>
      </c>
      <c r="Y27" s="906">
        <f t="shared" si="5"/>
        <v>0</v>
      </c>
      <c r="Z27" s="894">
        <f t="shared" si="6"/>
        <v>0</v>
      </c>
      <c r="AA27" s="969"/>
      <c r="AB27" s="969"/>
      <c r="AC27" s="970"/>
      <c r="AD27" s="970"/>
      <c r="AE27" s="970"/>
      <c r="AF27" s="247"/>
    </row>
    <row r="28" spans="1:32" s="202" customFormat="1" ht="25.5" customHeight="1">
      <c r="A28" s="497" t="s">
        <v>400</v>
      </c>
      <c r="B28" s="250" t="s">
        <v>445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136">
        <f t="shared" si="1"/>
        <v>0</v>
      </c>
      <c r="T28" s="136">
        <f t="shared" si="2"/>
        <v>0</v>
      </c>
      <c r="U28" s="136">
        <f t="shared" si="3"/>
        <v>0</v>
      </c>
      <c r="V28" s="245">
        <v>1</v>
      </c>
      <c r="W28" s="246">
        <f t="shared" si="10"/>
        <v>0</v>
      </c>
      <c r="X28" s="137">
        <f t="shared" si="4"/>
        <v>0</v>
      </c>
      <c r="Y28" s="906">
        <f t="shared" si="5"/>
        <v>0</v>
      </c>
      <c r="Z28" s="894">
        <f t="shared" si="6"/>
        <v>0</v>
      </c>
      <c r="AA28" s="969"/>
      <c r="AB28" s="969"/>
      <c r="AC28" s="970"/>
      <c r="AD28" s="970"/>
      <c r="AE28" s="970"/>
      <c r="AF28" s="247"/>
    </row>
    <row r="29" spans="1:32" s="202" customFormat="1" ht="25.5">
      <c r="A29" s="497" t="s">
        <v>402</v>
      </c>
      <c r="B29" s="250" t="s">
        <v>446</v>
      </c>
      <c r="C29" s="87">
        <v>341543</v>
      </c>
      <c r="D29" s="87">
        <v>341543</v>
      </c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136">
        <f t="shared" si="1"/>
        <v>341543</v>
      </c>
      <c r="T29" s="136">
        <f t="shared" si="2"/>
        <v>0</v>
      </c>
      <c r="U29" s="136">
        <f t="shared" si="3"/>
        <v>341543</v>
      </c>
      <c r="V29" s="245">
        <v>1</v>
      </c>
      <c r="W29" s="246">
        <f t="shared" si="10"/>
        <v>341543</v>
      </c>
      <c r="X29" s="137">
        <f t="shared" si="4"/>
        <v>341543</v>
      </c>
      <c r="Y29" s="906">
        <f t="shared" si="5"/>
        <v>341543</v>
      </c>
      <c r="Z29" s="894">
        <f t="shared" si="6"/>
        <v>341543</v>
      </c>
      <c r="AA29" s="969"/>
      <c r="AB29" s="969"/>
      <c r="AC29" s="970"/>
      <c r="AD29" s="970"/>
      <c r="AE29" s="970"/>
      <c r="AF29" s="247"/>
    </row>
    <row r="30" spans="1:32" s="202" customFormat="1" ht="25.5" customHeight="1">
      <c r="A30" s="497" t="s">
        <v>404</v>
      </c>
      <c r="B30" s="250" t="s">
        <v>447</v>
      </c>
      <c r="C30" s="87">
        <v>36</v>
      </c>
      <c r="D30" s="87">
        <v>0</v>
      </c>
      <c r="E30" s="87">
        <v>21084460</v>
      </c>
      <c r="F30" s="87">
        <v>0</v>
      </c>
      <c r="G30" s="87">
        <v>11252447</v>
      </c>
      <c r="H30" s="87">
        <v>4758185</v>
      </c>
      <c r="I30" s="87">
        <v>14117556</v>
      </c>
      <c r="J30" s="87">
        <v>0</v>
      </c>
      <c r="K30" s="87">
        <v>90092337</v>
      </c>
      <c r="L30" s="87">
        <v>75039718</v>
      </c>
      <c r="M30" s="87">
        <v>298758052</v>
      </c>
      <c r="N30" s="87">
        <v>245243137</v>
      </c>
      <c r="O30" s="87">
        <v>144147239</v>
      </c>
      <c r="P30" s="87">
        <v>78383065</v>
      </c>
      <c r="Q30" s="87">
        <v>709447938</v>
      </c>
      <c r="R30" s="87">
        <v>66799631</v>
      </c>
      <c r="S30" s="136">
        <f t="shared" si="1"/>
        <v>1288900065</v>
      </c>
      <c r="T30" s="136">
        <f t="shared" si="2"/>
        <v>818676329</v>
      </c>
      <c r="U30" s="136">
        <f t="shared" si="3"/>
        <v>470223736</v>
      </c>
      <c r="V30" s="245">
        <v>1</v>
      </c>
      <c r="W30" s="246">
        <f t="shared" si="10"/>
        <v>32336943</v>
      </c>
      <c r="X30" s="137">
        <f t="shared" si="4"/>
        <v>32336943</v>
      </c>
      <c r="Y30" s="906">
        <f t="shared" si="5"/>
        <v>4758185</v>
      </c>
      <c r="Z30" s="894">
        <f t="shared" si="6"/>
        <v>4758185</v>
      </c>
      <c r="AA30" s="969"/>
      <c r="AB30" s="969"/>
      <c r="AC30" s="970"/>
      <c r="AD30" s="970"/>
      <c r="AE30" s="970"/>
      <c r="AF30" s="247"/>
    </row>
    <row r="31" spans="1:32" s="202" customFormat="1" ht="25.5" customHeight="1">
      <c r="A31" s="497" t="s">
        <v>406</v>
      </c>
      <c r="B31" s="250" t="s">
        <v>1090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137">
        <f t="shared" si="1"/>
        <v>0</v>
      </c>
      <c r="T31" s="137">
        <f t="shared" si="2"/>
        <v>0</v>
      </c>
      <c r="U31" s="137">
        <f t="shared" si="3"/>
        <v>0</v>
      </c>
      <c r="V31" s="245">
        <v>1</v>
      </c>
      <c r="W31" s="246">
        <f t="shared" si="10"/>
        <v>0</v>
      </c>
      <c r="X31" s="137">
        <f>+W31*V31</f>
        <v>0</v>
      </c>
      <c r="Y31" s="906">
        <f t="shared" si="5"/>
        <v>0</v>
      </c>
      <c r="Z31" s="894">
        <f t="shared" si="6"/>
        <v>0</v>
      </c>
      <c r="AA31" s="969"/>
      <c r="AB31" s="969"/>
      <c r="AC31" s="970"/>
      <c r="AD31" s="970"/>
      <c r="AE31" s="970"/>
      <c r="AF31" s="247"/>
    </row>
    <row r="32" spans="1:32" s="202" customFormat="1" ht="25.5" customHeight="1">
      <c r="A32" s="497" t="s">
        <v>1191</v>
      </c>
      <c r="B32" s="250" t="s">
        <v>1012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137">
        <f t="shared" si="1"/>
        <v>0</v>
      </c>
      <c r="T32" s="137">
        <f t="shared" si="2"/>
        <v>0</v>
      </c>
      <c r="U32" s="137">
        <f t="shared" si="3"/>
        <v>0</v>
      </c>
      <c r="V32" s="245">
        <v>1</v>
      </c>
      <c r="W32" s="246">
        <f t="shared" si="10"/>
        <v>0</v>
      </c>
      <c r="X32" s="137">
        <f>+W32*V32</f>
        <v>0</v>
      </c>
      <c r="Y32" s="906">
        <f t="shared" si="5"/>
        <v>0</v>
      </c>
      <c r="Z32" s="894">
        <f t="shared" si="6"/>
        <v>0</v>
      </c>
      <c r="AA32" s="969"/>
      <c r="AB32" s="969"/>
      <c r="AC32" s="970"/>
      <c r="AD32" s="970"/>
      <c r="AE32" s="970"/>
      <c r="AF32" s="247"/>
    </row>
    <row r="33" spans="1:32" s="202" customFormat="1" ht="25.5">
      <c r="A33" s="497" t="s">
        <v>408</v>
      </c>
      <c r="B33" s="252" t="s">
        <v>448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136">
        <f t="shared" si="1"/>
        <v>0</v>
      </c>
      <c r="T33" s="136">
        <f t="shared" si="2"/>
        <v>0</v>
      </c>
      <c r="U33" s="136">
        <f t="shared" si="3"/>
        <v>0</v>
      </c>
      <c r="V33" s="245">
        <v>1</v>
      </c>
      <c r="W33" s="246">
        <f t="shared" si="10"/>
        <v>0</v>
      </c>
      <c r="X33" s="137">
        <f t="shared" si="4"/>
        <v>0</v>
      </c>
      <c r="Y33" s="906">
        <f t="shared" si="5"/>
        <v>0</v>
      </c>
      <c r="Z33" s="894">
        <f t="shared" si="6"/>
        <v>0</v>
      </c>
      <c r="AA33" s="969"/>
      <c r="AB33" s="969"/>
      <c r="AC33" s="970"/>
      <c r="AD33" s="970"/>
      <c r="AE33" s="970"/>
      <c r="AF33" s="247"/>
    </row>
    <row r="34" spans="1:32" s="202" customFormat="1" ht="29.25" customHeight="1">
      <c r="A34" s="497" t="s">
        <v>410</v>
      </c>
      <c r="B34" s="250" t="s">
        <v>450</v>
      </c>
      <c r="C34" s="87">
        <v>7741</v>
      </c>
      <c r="D34" s="87">
        <v>0</v>
      </c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136">
        <f t="shared" si="1"/>
        <v>7741</v>
      </c>
      <c r="T34" s="136">
        <f t="shared" si="2"/>
        <v>7741</v>
      </c>
      <c r="U34" s="136">
        <f t="shared" si="3"/>
        <v>0</v>
      </c>
      <c r="V34" s="245">
        <v>1</v>
      </c>
      <c r="W34" s="246">
        <f t="shared" si="10"/>
        <v>7741</v>
      </c>
      <c r="X34" s="137">
        <f t="shared" si="4"/>
        <v>7741</v>
      </c>
      <c r="Y34" s="906">
        <f t="shared" si="5"/>
        <v>0</v>
      </c>
      <c r="Z34" s="894">
        <f t="shared" si="6"/>
        <v>0</v>
      </c>
      <c r="AA34" s="969"/>
      <c r="AB34" s="969"/>
      <c r="AC34" s="970"/>
      <c r="AD34" s="970"/>
      <c r="AE34" s="970"/>
      <c r="AF34" s="247"/>
    </row>
    <row r="35" spans="1:32" s="202" customFormat="1" ht="25.5" customHeight="1">
      <c r="A35" s="497" t="s">
        <v>451</v>
      </c>
      <c r="B35" s="250" t="s">
        <v>452</v>
      </c>
      <c r="C35" s="87">
        <v>1615392</v>
      </c>
      <c r="D35" s="87">
        <v>167378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136">
        <f t="shared" si="1"/>
        <v>1615392</v>
      </c>
      <c r="T35" s="136">
        <f t="shared" si="2"/>
        <v>1448014</v>
      </c>
      <c r="U35" s="136">
        <f t="shared" si="3"/>
        <v>167378</v>
      </c>
      <c r="V35" s="245">
        <v>1</v>
      </c>
      <c r="W35" s="246">
        <f t="shared" si="10"/>
        <v>1615392</v>
      </c>
      <c r="X35" s="137">
        <f t="shared" si="4"/>
        <v>1615392</v>
      </c>
      <c r="Y35" s="906">
        <f t="shared" si="5"/>
        <v>167378</v>
      </c>
      <c r="Z35" s="894">
        <f t="shared" si="6"/>
        <v>167378</v>
      </c>
      <c r="AA35" s="969"/>
      <c r="AB35" s="969"/>
      <c r="AC35" s="970"/>
      <c r="AD35" s="970"/>
      <c r="AE35" s="970"/>
      <c r="AF35" s="247"/>
    </row>
    <row r="36" spans="1:32" s="202" customFormat="1" ht="25.5" customHeight="1">
      <c r="A36" s="497" t="s">
        <v>453</v>
      </c>
      <c r="B36" s="250" t="s">
        <v>428</v>
      </c>
      <c r="C36" s="87">
        <v>17489975</v>
      </c>
      <c r="D36" s="87">
        <v>7265637</v>
      </c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136">
        <f t="shared" si="1"/>
        <v>17489975</v>
      </c>
      <c r="T36" s="136">
        <f t="shared" si="2"/>
        <v>10224338</v>
      </c>
      <c r="U36" s="136">
        <f t="shared" si="3"/>
        <v>7265637</v>
      </c>
      <c r="V36" s="245">
        <v>1</v>
      </c>
      <c r="W36" s="246">
        <f t="shared" si="10"/>
        <v>17489975</v>
      </c>
      <c r="X36" s="137">
        <f t="shared" si="4"/>
        <v>17489975</v>
      </c>
      <c r="Y36" s="906">
        <f t="shared" si="5"/>
        <v>7265637</v>
      </c>
      <c r="Z36" s="894">
        <f t="shared" si="6"/>
        <v>7265637</v>
      </c>
      <c r="AA36" s="969"/>
      <c r="AB36" s="969"/>
      <c r="AC36" s="970"/>
      <c r="AD36" s="970"/>
      <c r="AE36" s="970"/>
      <c r="AF36" s="247"/>
    </row>
    <row r="37" spans="1:32" s="202" customFormat="1" ht="25.5" customHeight="1">
      <c r="A37" s="497" t="s">
        <v>414</v>
      </c>
      <c r="B37" s="250" t="s">
        <v>454</v>
      </c>
      <c r="C37" s="87">
        <v>309312725</v>
      </c>
      <c r="D37" s="87">
        <v>266614507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>
        <v>0</v>
      </c>
      <c r="R37" s="87">
        <v>0</v>
      </c>
      <c r="S37" s="136">
        <f t="shared" si="1"/>
        <v>309312725</v>
      </c>
      <c r="T37" s="136">
        <f t="shared" si="2"/>
        <v>42698218</v>
      </c>
      <c r="U37" s="136">
        <f t="shared" si="3"/>
        <v>266614507</v>
      </c>
      <c r="V37" s="245">
        <v>0.3</v>
      </c>
      <c r="W37" s="246">
        <f t="shared" si="10"/>
        <v>309312725</v>
      </c>
      <c r="X37" s="137">
        <f t="shared" si="4"/>
        <v>92793817.5</v>
      </c>
      <c r="Y37" s="906">
        <f t="shared" si="5"/>
        <v>266614507</v>
      </c>
      <c r="Z37" s="894">
        <f t="shared" si="6"/>
        <v>79984352.099999994</v>
      </c>
      <c r="AA37" s="969"/>
      <c r="AB37" s="969"/>
      <c r="AC37" s="970"/>
      <c r="AD37" s="970"/>
      <c r="AE37" s="970"/>
      <c r="AF37" s="247"/>
    </row>
    <row r="38" spans="1:32" s="544" customFormat="1" ht="24.75" customHeight="1">
      <c r="A38" s="498" t="s">
        <v>416</v>
      </c>
      <c r="B38" s="254" t="s">
        <v>455</v>
      </c>
      <c r="C38" s="499">
        <f>+C22+C28+C29+C30+C31+C32+C33+C34+C35+C36+C37+C23+C24</f>
        <v>758770598</v>
      </c>
      <c r="D38" s="499">
        <f t="shared" ref="D38:R38" si="11">+D22+D28+D29+D30+D31+D32+D33+D34+D35+D36+D37+D23+D24</f>
        <v>309766477</v>
      </c>
      <c r="E38" s="499">
        <f t="shared" si="11"/>
        <v>52520158</v>
      </c>
      <c r="F38" s="499">
        <f t="shared" si="11"/>
        <v>9588</v>
      </c>
      <c r="G38" s="499">
        <f t="shared" si="11"/>
        <v>379766984</v>
      </c>
      <c r="H38" s="499">
        <f t="shared" si="11"/>
        <v>303991873</v>
      </c>
      <c r="I38" s="499">
        <f t="shared" si="11"/>
        <v>721712642</v>
      </c>
      <c r="J38" s="499">
        <f t="shared" si="11"/>
        <v>499107580</v>
      </c>
      <c r="K38" s="499">
        <f t="shared" si="11"/>
        <v>178210098</v>
      </c>
      <c r="L38" s="499">
        <f t="shared" si="11"/>
        <v>94829637</v>
      </c>
      <c r="M38" s="499">
        <f t="shared" si="11"/>
        <v>594975841</v>
      </c>
      <c r="N38" s="499">
        <f t="shared" si="11"/>
        <v>249552193</v>
      </c>
      <c r="O38" s="499">
        <f t="shared" si="11"/>
        <v>528897982</v>
      </c>
      <c r="P38" s="499">
        <f t="shared" si="11"/>
        <v>179628466</v>
      </c>
      <c r="Q38" s="499">
        <f t="shared" si="11"/>
        <v>1050312627</v>
      </c>
      <c r="R38" s="499">
        <f t="shared" si="11"/>
        <v>314254626</v>
      </c>
      <c r="S38" s="499">
        <f>+S22+S23+S24+S28+S29+S30+S31+S32+S33+S34+S35+S36+S37</f>
        <v>4265166930</v>
      </c>
      <c r="T38" s="499">
        <f>+T22+T23+T24+T28+T29+T30+T31+T32+T33+T34+T35+T36+T37</f>
        <v>2314026490</v>
      </c>
      <c r="U38" s="499">
        <f>+U22+U23+U24+U28+U29+U30+U31+U32+U33+U34+U35+U36+U37</f>
        <v>1951140440</v>
      </c>
      <c r="V38" s="743" t="s">
        <v>57</v>
      </c>
      <c r="W38" s="255"/>
      <c r="X38" s="499">
        <f>SUM(X9:X37)</f>
        <v>662062452.5</v>
      </c>
      <c r="Y38" s="255"/>
      <c r="Z38" s="499">
        <f>SUM(Z9:Z37)</f>
        <v>400831972.5</v>
      </c>
      <c r="AA38" s="971">
        <f>+Balance!C61</f>
        <v>4265166930</v>
      </c>
      <c r="AB38" s="971">
        <f>+Balance!D61</f>
        <v>2314026490</v>
      </c>
      <c r="AC38" s="971">
        <f>+Balance!E61</f>
        <v>1951140440</v>
      </c>
      <c r="AD38" s="972"/>
      <c r="AE38" s="972"/>
      <c r="AF38" s="545"/>
    </row>
    <row r="39" spans="1:32" s="202" customFormat="1">
      <c r="A39" s="497"/>
      <c r="B39" s="253" t="s">
        <v>936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137">
        <f t="shared" si="1"/>
        <v>0</v>
      </c>
      <c r="T39" s="137">
        <f t="shared" si="2"/>
        <v>0</v>
      </c>
      <c r="U39" s="137">
        <f t="shared" si="3"/>
        <v>0</v>
      </c>
      <c r="V39" s="245"/>
      <c r="W39" s="246"/>
      <c r="X39" s="137"/>
      <c r="Y39" s="906"/>
      <c r="Z39" s="894"/>
      <c r="AA39" s="969"/>
      <c r="AB39" s="969"/>
      <c r="AC39" s="970"/>
      <c r="AD39" s="970"/>
      <c r="AE39" s="970"/>
      <c r="AF39" s="247"/>
    </row>
    <row r="40" spans="1:32" s="202" customFormat="1" ht="25.5">
      <c r="A40" s="497"/>
      <c r="B40" s="167" t="s">
        <v>937</v>
      </c>
      <c r="C40" s="137">
        <f t="shared" ref="C40:R40" si="12">+C41+C42</f>
        <v>0</v>
      </c>
      <c r="D40" s="137">
        <f t="shared" si="12"/>
        <v>0</v>
      </c>
      <c r="E40" s="137">
        <f t="shared" si="12"/>
        <v>0</v>
      </c>
      <c r="F40" s="137">
        <f t="shared" si="12"/>
        <v>0</v>
      </c>
      <c r="G40" s="137">
        <f t="shared" si="12"/>
        <v>0</v>
      </c>
      <c r="H40" s="137">
        <f t="shared" si="12"/>
        <v>0</v>
      </c>
      <c r="I40" s="137">
        <f t="shared" si="12"/>
        <v>0</v>
      </c>
      <c r="J40" s="137">
        <f t="shared" si="12"/>
        <v>0</v>
      </c>
      <c r="K40" s="137">
        <f t="shared" si="12"/>
        <v>0</v>
      </c>
      <c r="L40" s="137">
        <f t="shared" si="12"/>
        <v>0</v>
      </c>
      <c r="M40" s="137">
        <f t="shared" si="12"/>
        <v>0</v>
      </c>
      <c r="N40" s="137">
        <f t="shared" si="12"/>
        <v>0</v>
      </c>
      <c r="O40" s="137">
        <f t="shared" si="12"/>
        <v>0</v>
      </c>
      <c r="P40" s="137">
        <f t="shared" si="12"/>
        <v>0</v>
      </c>
      <c r="Q40" s="137">
        <f t="shared" si="12"/>
        <v>0</v>
      </c>
      <c r="R40" s="137">
        <f t="shared" si="12"/>
        <v>0</v>
      </c>
      <c r="S40" s="137">
        <f t="shared" si="1"/>
        <v>0</v>
      </c>
      <c r="T40" s="137">
        <f t="shared" si="2"/>
        <v>0</v>
      </c>
      <c r="U40" s="137">
        <f t="shared" si="3"/>
        <v>0</v>
      </c>
      <c r="V40" s="245"/>
      <c r="W40" s="246"/>
      <c r="X40" s="137"/>
      <c r="Y40" s="906"/>
      <c r="Z40" s="894"/>
      <c r="AA40" s="969"/>
      <c r="AB40" s="969"/>
      <c r="AC40" s="970"/>
      <c r="AD40" s="970"/>
      <c r="AE40" s="970"/>
      <c r="AF40" s="247"/>
    </row>
    <row r="41" spans="1:32" s="202" customFormat="1" ht="20.25" customHeight="1">
      <c r="A41" s="497"/>
      <c r="B41" s="168" t="s">
        <v>860</v>
      </c>
      <c r="C41" s="87">
        <v>0</v>
      </c>
      <c r="D41" s="87">
        <v>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7">
        <v>0</v>
      </c>
      <c r="P41" s="87">
        <v>0</v>
      </c>
      <c r="Q41" s="87">
        <v>0</v>
      </c>
      <c r="R41" s="87">
        <v>0</v>
      </c>
      <c r="S41" s="137">
        <f t="shared" si="1"/>
        <v>0</v>
      </c>
      <c r="T41" s="137">
        <f t="shared" si="2"/>
        <v>0</v>
      </c>
      <c r="U41" s="137">
        <f t="shared" si="3"/>
        <v>0</v>
      </c>
      <c r="V41" s="245"/>
      <c r="W41" s="246"/>
      <c r="X41" s="137"/>
      <c r="Y41" s="906"/>
      <c r="Z41" s="894"/>
      <c r="AA41" s="969"/>
      <c r="AB41" s="969"/>
      <c r="AC41" s="970"/>
      <c r="AD41" s="970"/>
      <c r="AE41" s="970"/>
      <c r="AF41" s="247"/>
    </row>
    <row r="42" spans="1:32" s="202" customFormat="1" ht="20.25" customHeight="1">
      <c r="A42" s="497"/>
      <c r="B42" s="168" t="s">
        <v>938</v>
      </c>
      <c r="C42" s="87">
        <v>0</v>
      </c>
      <c r="D42" s="87">
        <v>0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137">
        <f t="shared" si="1"/>
        <v>0</v>
      </c>
      <c r="T42" s="137">
        <f t="shared" si="2"/>
        <v>0</v>
      </c>
      <c r="U42" s="137">
        <f t="shared" si="3"/>
        <v>0</v>
      </c>
      <c r="V42" s="245"/>
      <c r="W42" s="246"/>
      <c r="X42" s="137"/>
      <c r="Y42" s="906"/>
      <c r="Z42" s="894"/>
      <c r="AA42" s="969"/>
      <c r="AB42" s="969"/>
      <c r="AC42" s="970"/>
      <c r="AD42" s="970"/>
      <c r="AE42" s="970"/>
      <c r="AF42" s="247"/>
    </row>
    <row r="43" spans="1:32" s="202" customFormat="1" ht="20.25" customHeight="1">
      <c r="A43" s="497"/>
      <c r="B43" s="167" t="s">
        <v>939</v>
      </c>
      <c r="C43" s="137">
        <f t="shared" ref="C43:R43" si="13">+C44+C45</f>
        <v>0</v>
      </c>
      <c r="D43" s="137">
        <f t="shared" si="13"/>
        <v>0</v>
      </c>
      <c r="E43" s="137">
        <f t="shared" si="13"/>
        <v>0</v>
      </c>
      <c r="F43" s="137">
        <f t="shared" si="13"/>
        <v>0</v>
      </c>
      <c r="G43" s="137">
        <f t="shared" si="13"/>
        <v>3480898</v>
      </c>
      <c r="H43" s="137">
        <f t="shared" si="13"/>
        <v>0</v>
      </c>
      <c r="I43" s="137">
        <f t="shared" si="13"/>
        <v>14381087</v>
      </c>
      <c r="J43" s="137">
        <f t="shared" si="13"/>
        <v>0</v>
      </c>
      <c r="K43" s="137">
        <f t="shared" si="13"/>
        <v>9264946</v>
      </c>
      <c r="L43" s="137">
        <f t="shared" si="13"/>
        <v>0</v>
      </c>
      <c r="M43" s="137">
        <f t="shared" si="13"/>
        <v>32977607</v>
      </c>
      <c r="N43" s="137">
        <f t="shared" si="13"/>
        <v>0</v>
      </c>
      <c r="O43" s="137">
        <f t="shared" si="13"/>
        <v>86025208</v>
      </c>
      <c r="P43" s="137">
        <f t="shared" si="13"/>
        <v>0</v>
      </c>
      <c r="Q43" s="137">
        <f t="shared" si="13"/>
        <v>43183835</v>
      </c>
      <c r="R43" s="137">
        <f t="shared" si="13"/>
        <v>0</v>
      </c>
      <c r="S43" s="137">
        <f t="shared" si="1"/>
        <v>189313581</v>
      </c>
      <c r="T43" s="137">
        <f t="shared" si="2"/>
        <v>189313581</v>
      </c>
      <c r="U43" s="137">
        <f t="shared" si="3"/>
        <v>0</v>
      </c>
      <c r="V43" s="245"/>
      <c r="W43" s="246"/>
      <c r="X43" s="137"/>
      <c r="Y43" s="906"/>
      <c r="Z43" s="894"/>
      <c r="AA43" s="969"/>
      <c r="AB43" s="969"/>
      <c r="AC43" s="970"/>
      <c r="AD43" s="970"/>
      <c r="AE43" s="970"/>
      <c r="AF43" s="247"/>
    </row>
    <row r="44" spans="1:32" s="202" customFormat="1" ht="20.25" customHeight="1">
      <c r="A44" s="497"/>
      <c r="B44" s="168" t="s">
        <v>860</v>
      </c>
      <c r="C44" s="87"/>
      <c r="D44" s="87"/>
      <c r="E44" s="87"/>
      <c r="F44" s="87"/>
      <c r="G44" s="87">
        <v>3480898</v>
      </c>
      <c r="H44" s="87">
        <v>0</v>
      </c>
      <c r="I44" s="87">
        <v>7123087</v>
      </c>
      <c r="J44" s="87">
        <v>0</v>
      </c>
      <c r="K44" s="87">
        <v>8939364</v>
      </c>
      <c r="L44" s="87">
        <v>0</v>
      </c>
      <c r="M44" s="87">
        <v>31977607</v>
      </c>
      <c r="N44" s="87">
        <v>0</v>
      </c>
      <c r="O44" s="87">
        <v>51111511</v>
      </c>
      <c r="P44" s="87">
        <v>0</v>
      </c>
      <c r="Q44" s="87">
        <v>15061716</v>
      </c>
      <c r="R44" s="87">
        <v>0</v>
      </c>
      <c r="S44" s="137">
        <f t="shared" si="1"/>
        <v>117694183</v>
      </c>
      <c r="T44" s="137">
        <f t="shared" si="2"/>
        <v>117694183</v>
      </c>
      <c r="U44" s="137">
        <f t="shared" si="3"/>
        <v>0</v>
      </c>
      <c r="V44" s="245"/>
      <c r="W44" s="246"/>
      <c r="X44" s="137"/>
      <c r="Y44" s="906"/>
      <c r="Z44" s="894"/>
      <c r="AA44" s="969"/>
      <c r="AB44" s="969"/>
      <c r="AC44" s="970"/>
      <c r="AD44" s="970"/>
      <c r="AE44" s="970"/>
      <c r="AF44" s="247"/>
    </row>
    <row r="45" spans="1:32" s="202" customFormat="1" ht="20.25" customHeight="1">
      <c r="A45" s="500"/>
      <c r="B45" s="168" t="s">
        <v>938</v>
      </c>
      <c r="C45" s="87"/>
      <c r="D45" s="87"/>
      <c r="E45" s="87"/>
      <c r="F45" s="87"/>
      <c r="G45" s="87">
        <v>0</v>
      </c>
      <c r="H45" s="87">
        <v>0</v>
      </c>
      <c r="I45" s="87">
        <v>7258000</v>
      </c>
      <c r="J45" s="87">
        <v>0</v>
      </c>
      <c r="K45" s="87">
        <v>325582</v>
      </c>
      <c r="L45" s="87">
        <v>0</v>
      </c>
      <c r="M45" s="87">
        <v>1000000</v>
      </c>
      <c r="N45" s="87">
        <v>0</v>
      </c>
      <c r="O45" s="87">
        <v>34913697</v>
      </c>
      <c r="P45" s="87">
        <v>0</v>
      </c>
      <c r="Q45" s="87">
        <v>28122119</v>
      </c>
      <c r="R45" s="87">
        <v>0</v>
      </c>
      <c r="S45" s="137">
        <f t="shared" si="1"/>
        <v>71619398</v>
      </c>
      <c r="T45" s="137">
        <f t="shared" si="2"/>
        <v>71619398</v>
      </c>
      <c r="U45" s="137">
        <f t="shared" si="3"/>
        <v>0</v>
      </c>
      <c r="V45" s="245"/>
      <c r="W45" s="246"/>
      <c r="X45" s="137"/>
      <c r="Y45" s="906"/>
      <c r="Z45" s="894"/>
      <c r="AA45" s="969"/>
      <c r="AB45" s="969"/>
      <c r="AC45" s="970"/>
      <c r="AD45" s="970"/>
      <c r="AE45" s="970"/>
      <c r="AF45" s="247"/>
    </row>
    <row r="46" spans="1:32" s="202" customFormat="1" ht="25.5">
      <c r="A46" s="500"/>
      <c r="B46" s="167" t="s">
        <v>940</v>
      </c>
      <c r="C46" s="137">
        <f t="shared" ref="C46:R46" si="14">+C47+C48</f>
        <v>0</v>
      </c>
      <c r="D46" s="137">
        <f t="shared" si="14"/>
        <v>0</v>
      </c>
      <c r="E46" s="137">
        <f t="shared" si="14"/>
        <v>0</v>
      </c>
      <c r="F46" s="137">
        <f t="shared" si="14"/>
        <v>0</v>
      </c>
      <c r="G46" s="137">
        <f t="shared" si="14"/>
        <v>0</v>
      </c>
      <c r="H46" s="137">
        <f t="shared" si="14"/>
        <v>0</v>
      </c>
      <c r="I46" s="137">
        <f t="shared" si="14"/>
        <v>0</v>
      </c>
      <c r="J46" s="137">
        <f t="shared" si="14"/>
        <v>0</v>
      </c>
      <c r="K46" s="137">
        <f t="shared" si="14"/>
        <v>0</v>
      </c>
      <c r="L46" s="137">
        <f t="shared" si="14"/>
        <v>0</v>
      </c>
      <c r="M46" s="137">
        <f t="shared" si="14"/>
        <v>0</v>
      </c>
      <c r="N46" s="137">
        <f t="shared" si="14"/>
        <v>0</v>
      </c>
      <c r="O46" s="137">
        <f t="shared" si="14"/>
        <v>0</v>
      </c>
      <c r="P46" s="137">
        <f t="shared" si="14"/>
        <v>0</v>
      </c>
      <c r="Q46" s="137">
        <f t="shared" si="14"/>
        <v>0</v>
      </c>
      <c r="R46" s="137">
        <f t="shared" si="14"/>
        <v>0</v>
      </c>
      <c r="S46" s="137">
        <f t="shared" si="1"/>
        <v>0</v>
      </c>
      <c r="T46" s="137">
        <f t="shared" si="2"/>
        <v>0</v>
      </c>
      <c r="U46" s="137">
        <f t="shared" si="3"/>
        <v>0</v>
      </c>
      <c r="V46" s="245"/>
      <c r="W46" s="246"/>
      <c r="X46" s="137"/>
      <c r="Y46" s="906"/>
      <c r="Z46" s="894"/>
      <c r="AA46" s="969"/>
      <c r="AB46" s="969"/>
      <c r="AC46" s="970"/>
      <c r="AD46" s="970"/>
      <c r="AE46" s="970"/>
      <c r="AF46" s="247"/>
    </row>
    <row r="47" spans="1:32" s="202" customFormat="1" ht="20.25" customHeight="1">
      <c r="A47" s="500"/>
      <c r="B47" s="168" t="s">
        <v>860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137">
        <f t="shared" si="1"/>
        <v>0</v>
      </c>
      <c r="T47" s="137">
        <f t="shared" si="2"/>
        <v>0</v>
      </c>
      <c r="U47" s="137">
        <f t="shared" si="3"/>
        <v>0</v>
      </c>
      <c r="V47" s="245"/>
      <c r="W47" s="246"/>
      <c r="X47" s="137"/>
      <c r="Y47" s="906"/>
      <c r="Z47" s="894"/>
      <c r="AA47" s="969"/>
      <c r="AB47" s="969"/>
      <c r="AC47" s="970"/>
      <c r="AD47" s="970"/>
      <c r="AE47" s="970"/>
      <c r="AF47" s="247"/>
    </row>
    <row r="48" spans="1:32" s="202" customFormat="1" ht="20.25" customHeight="1">
      <c r="A48" s="500"/>
      <c r="B48" s="168" t="s">
        <v>938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137">
        <f t="shared" si="1"/>
        <v>0</v>
      </c>
      <c r="T48" s="137">
        <f t="shared" si="2"/>
        <v>0</v>
      </c>
      <c r="U48" s="137">
        <f t="shared" si="3"/>
        <v>0</v>
      </c>
      <c r="V48" s="245"/>
      <c r="W48" s="246"/>
      <c r="X48" s="137"/>
      <c r="Y48" s="906"/>
      <c r="Z48" s="894"/>
      <c r="AA48" s="969"/>
      <c r="AB48" s="969"/>
      <c r="AC48" s="970"/>
      <c r="AD48" s="970"/>
      <c r="AE48" s="970"/>
      <c r="AF48" s="247"/>
    </row>
    <row r="49" spans="1:32" s="202" customFormat="1" ht="20.25" customHeight="1">
      <c r="A49" s="500"/>
      <c r="B49" s="167" t="s">
        <v>941</v>
      </c>
      <c r="C49" s="137">
        <f t="shared" ref="C49:R49" si="15">+C50+C51</f>
        <v>0</v>
      </c>
      <c r="D49" s="137">
        <f t="shared" si="15"/>
        <v>0</v>
      </c>
      <c r="E49" s="137">
        <f t="shared" si="15"/>
        <v>0</v>
      </c>
      <c r="F49" s="137">
        <f t="shared" si="15"/>
        <v>0</v>
      </c>
      <c r="G49" s="137">
        <f t="shared" si="15"/>
        <v>3797872</v>
      </c>
      <c r="H49" s="137">
        <f t="shared" si="15"/>
        <v>3797872</v>
      </c>
      <c r="I49" s="137">
        <f t="shared" si="15"/>
        <v>3797872</v>
      </c>
      <c r="J49" s="137">
        <f t="shared" si="15"/>
        <v>3797872</v>
      </c>
      <c r="K49" s="137">
        <f t="shared" si="15"/>
        <v>3797872</v>
      </c>
      <c r="L49" s="137">
        <f t="shared" si="15"/>
        <v>3797872</v>
      </c>
      <c r="M49" s="137">
        <f t="shared" si="15"/>
        <v>7595744</v>
      </c>
      <c r="N49" s="137">
        <f t="shared" si="15"/>
        <v>7595744</v>
      </c>
      <c r="O49" s="137">
        <f t="shared" si="15"/>
        <v>26374111</v>
      </c>
      <c r="P49" s="137">
        <f t="shared" si="15"/>
        <v>26374111</v>
      </c>
      <c r="Q49" s="137">
        <f t="shared" si="15"/>
        <v>68572689</v>
      </c>
      <c r="R49" s="137">
        <f t="shared" si="15"/>
        <v>68572689</v>
      </c>
      <c r="S49" s="137">
        <f t="shared" si="1"/>
        <v>113936160</v>
      </c>
      <c r="T49" s="137">
        <f t="shared" si="2"/>
        <v>0</v>
      </c>
      <c r="U49" s="137">
        <f t="shared" si="3"/>
        <v>113936160</v>
      </c>
      <c r="V49" s="245"/>
      <c r="W49" s="246"/>
      <c r="X49" s="137"/>
      <c r="Y49" s="906"/>
      <c r="Z49" s="894"/>
      <c r="AA49" s="969"/>
      <c r="AB49" s="969"/>
      <c r="AC49" s="970"/>
      <c r="AD49" s="970"/>
      <c r="AE49" s="970"/>
      <c r="AF49" s="247"/>
    </row>
    <row r="50" spans="1:32" s="202" customFormat="1" ht="20.25" customHeight="1">
      <c r="A50" s="500"/>
      <c r="B50" s="168" t="s">
        <v>860</v>
      </c>
      <c r="C50" s="87">
        <v>0</v>
      </c>
      <c r="D50" s="87">
        <v>0</v>
      </c>
      <c r="E50" s="87">
        <v>0</v>
      </c>
      <c r="F50" s="87">
        <v>0</v>
      </c>
      <c r="G50" s="87">
        <v>3797872</v>
      </c>
      <c r="H50" s="87">
        <v>3797872</v>
      </c>
      <c r="I50" s="87">
        <v>3797872</v>
      </c>
      <c r="J50" s="87">
        <v>3797872</v>
      </c>
      <c r="K50" s="87">
        <v>3797872</v>
      </c>
      <c r="L50" s="87">
        <v>3797872</v>
      </c>
      <c r="M50" s="87">
        <v>7595744</v>
      </c>
      <c r="N50" s="87">
        <v>7595744</v>
      </c>
      <c r="O50" s="87">
        <v>26374111</v>
      </c>
      <c r="P50" s="87">
        <v>26374111</v>
      </c>
      <c r="Q50" s="87">
        <v>68572689</v>
      </c>
      <c r="R50" s="87">
        <v>68572689</v>
      </c>
      <c r="S50" s="137">
        <f t="shared" si="1"/>
        <v>113936160</v>
      </c>
      <c r="T50" s="137">
        <f t="shared" si="2"/>
        <v>0</v>
      </c>
      <c r="U50" s="137">
        <f t="shared" si="3"/>
        <v>113936160</v>
      </c>
      <c r="V50" s="245"/>
      <c r="W50" s="246"/>
      <c r="X50" s="137"/>
      <c r="Y50" s="906"/>
      <c r="Z50" s="894"/>
      <c r="AA50" s="969"/>
      <c r="AB50" s="969"/>
      <c r="AC50" s="970"/>
      <c r="AD50" s="970"/>
      <c r="AE50" s="970"/>
      <c r="AF50" s="247"/>
    </row>
    <row r="51" spans="1:32" s="202" customFormat="1" ht="20.25" customHeight="1">
      <c r="A51" s="500"/>
      <c r="B51" s="168" t="s">
        <v>938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137">
        <f t="shared" si="1"/>
        <v>0</v>
      </c>
      <c r="T51" s="137">
        <f t="shared" si="2"/>
        <v>0</v>
      </c>
      <c r="U51" s="137">
        <f t="shared" si="3"/>
        <v>0</v>
      </c>
      <c r="V51" s="245"/>
      <c r="W51" s="246"/>
      <c r="X51" s="137"/>
      <c r="Y51" s="906"/>
      <c r="Z51" s="894"/>
      <c r="AA51" s="969"/>
      <c r="AB51" s="969"/>
      <c r="AC51" s="970"/>
      <c r="AD51" s="970"/>
      <c r="AE51" s="970"/>
      <c r="AF51" s="247"/>
    </row>
    <row r="52" spans="1:32" s="202" customFormat="1" ht="20.25" customHeight="1">
      <c r="A52" s="500"/>
      <c r="B52" s="167" t="s">
        <v>942</v>
      </c>
      <c r="C52" s="137">
        <f t="shared" ref="C52:R52" si="16">+C53+C54</f>
        <v>0</v>
      </c>
      <c r="D52" s="137">
        <f t="shared" si="16"/>
        <v>0</v>
      </c>
      <c r="E52" s="137">
        <f t="shared" si="16"/>
        <v>0</v>
      </c>
      <c r="F52" s="137">
        <f t="shared" si="16"/>
        <v>0</v>
      </c>
      <c r="G52" s="137">
        <f t="shared" si="16"/>
        <v>0</v>
      </c>
      <c r="H52" s="137">
        <f t="shared" si="16"/>
        <v>0</v>
      </c>
      <c r="I52" s="137">
        <f t="shared" si="16"/>
        <v>0</v>
      </c>
      <c r="J52" s="137">
        <f t="shared" si="16"/>
        <v>0</v>
      </c>
      <c r="K52" s="137">
        <f t="shared" si="16"/>
        <v>0</v>
      </c>
      <c r="L52" s="137">
        <f t="shared" si="16"/>
        <v>0</v>
      </c>
      <c r="M52" s="137">
        <f t="shared" si="16"/>
        <v>0</v>
      </c>
      <c r="N52" s="137">
        <f t="shared" si="16"/>
        <v>0</v>
      </c>
      <c r="O52" s="137">
        <f t="shared" si="16"/>
        <v>0</v>
      </c>
      <c r="P52" s="137">
        <f t="shared" si="16"/>
        <v>0</v>
      </c>
      <c r="Q52" s="137">
        <f t="shared" si="16"/>
        <v>0</v>
      </c>
      <c r="R52" s="137">
        <f t="shared" si="16"/>
        <v>0</v>
      </c>
      <c r="S52" s="137">
        <f t="shared" si="1"/>
        <v>0</v>
      </c>
      <c r="T52" s="137">
        <f t="shared" si="2"/>
        <v>0</v>
      </c>
      <c r="U52" s="137">
        <f t="shared" si="3"/>
        <v>0</v>
      </c>
      <c r="V52" s="245"/>
      <c r="W52" s="246"/>
      <c r="X52" s="137"/>
      <c r="Y52" s="906"/>
      <c r="Z52" s="894"/>
      <c r="AA52" s="969"/>
      <c r="AB52" s="969"/>
      <c r="AC52" s="970"/>
      <c r="AD52" s="970"/>
      <c r="AE52" s="970"/>
      <c r="AF52" s="247"/>
    </row>
    <row r="53" spans="1:32" s="202" customFormat="1" ht="20.25" customHeight="1">
      <c r="A53" s="500"/>
      <c r="B53" s="168" t="s">
        <v>860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137">
        <f t="shared" si="1"/>
        <v>0</v>
      </c>
      <c r="T53" s="137">
        <f t="shared" si="2"/>
        <v>0</v>
      </c>
      <c r="U53" s="137">
        <f t="shared" si="3"/>
        <v>0</v>
      </c>
      <c r="V53" s="245"/>
      <c r="W53" s="246"/>
      <c r="X53" s="137"/>
      <c r="Y53" s="906"/>
      <c r="Z53" s="894"/>
      <c r="AA53" s="969"/>
      <c r="AB53" s="969"/>
      <c r="AC53" s="970"/>
      <c r="AD53" s="970"/>
      <c r="AE53" s="970"/>
      <c r="AF53" s="247"/>
    </row>
    <row r="54" spans="1:32" s="202" customFormat="1" ht="20.25" customHeight="1">
      <c r="A54" s="500"/>
      <c r="B54" s="168" t="s">
        <v>938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137">
        <f t="shared" si="1"/>
        <v>0</v>
      </c>
      <c r="T54" s="137">
        <f t="shared" si="2"/>
        <v>0</v>
      </c>
      <c r="U54" s="137">
        <f t="shared" si="3"/>
        <v>0</v>
      </c>
      <c r="V54" s="245"/>
      <c r="W54" s="246"/>
      <c r="X54" s="137"/>
      <c r="Y54" s="906"/>
      <c r="Z54" s="894"/>
      <c r="AA54" s="969"/>
      <c r="AB54" s="969"/>
      <c r="AC54" s="970"/>
      <c r="AD54" s="970"/>
      <c r="AE54" s="970"/>
      <c r="AF54" s="247"/>
    </row>
    <row r="55" spans="1:32" s="21" customFormat="1">
      <c r="A55" s="72"/>
      <c r="B55" s="165"/>
      <c r="V55" s="73"/>
      <c r="W55" s="74"/>
      <c r="Y55" s="907"/>
      <c r="Z55" s="901"/>
      <c r="AA55" s="952"/>
      <c r="AB55" s="952"/>
      <c r="AC55" s="973"/>
      <c r="AD55" s="973"/>
      <c r="AE55" s="973"/>
      <c r="AF55" s="218"/>
    </row>
    <row r="56" spans="1:32" s="21" customFormat="1">
      <c r="A56" s="72"/>
      <c r="B56" s="166" t="s">
        <v>4</v>
      </c>
      <c r="V56" s="73"/>
      <c r="W56" s="74"/>
      <c r="Y56" s="907"/>
      <c r="Z56" s="901"/>
      <c r="AA56" s="952"/>
      <c r="AB56" s="952"/>
      <c r="AC56" s="973"/>
      <c r="AD56" s="973"/>
      <c r="AE56" s="973"/>
      <c r="AF56" s="218"/>
    </row>
    <row r="57" spans="1:32" s="21" customFormat="1">
      <c r="A57" s="72"/>
      <c r="B57" s="166"/>
      <c r="V57" s="73"/>
      <c r="W57" s="74"/>
      <c r="Y57" s="907"/>
      <c r="Z57" s="901"/>
      <c r="AA57" s="952"/>
      <c r="AB57" s="952"/>
      <c r="AC57" s="973"/>
      <c r="AD57" s="973"/>
      <c r="AE57" s="973"/>
      <c r="AF57" s="218"/>
    </row>
    <row r="58" spans="1:32" s="21" customFormat="1">
      <c r="A58" s="72"/>
      <c r="B58" s="166" t="s">
        <v>5</v>
      </c>
      <c r="V58" s="73"/>
      <c r="W58" s="74"/>
      <c r="Y58" s="907"/>
      <c r="Z58" s="901"/>
      <c r="AA58" s="952"/>
      <c r="AB58" s="952"/>
      <c r="AC58" s="973"/>
      <c r="AD58" s="973"/>
      <c r="AE58" s="973"/>
      <c r="AF58" s="218"/>
    </row>
    <row r="59" spans="1:32" s="21" customFormat="1">
      <c r="A59" s="72"/>
      <c r="B59" s="165"/>
      <c r="V59" s="73"/>
      <c r="W59" s="74"/>
      <c r="Y59" s="907"/>
      <c r="Z59" s="901"/>
      <c r="AA59" s="952"/>
      <c r="AB59" s="952"/>
      <c r="AC59" s="966"/>
      <c r="AD59" s="966"/>
      <c r="AE59" s="973"/>
      <c r="AF59" s="218"/>
    </row>
  </sheetData>
  <sheetProtection password="CA76" sheet="1" objects="1" scenarios="1"/>
  <mergeCells count="20">
    <mergeCell ref="V3:V5"/>
    <mergeCell ref="W3:W5"/>
    <mergeCell ref="X3:X5"/>
    <mergeCell ref="B3:B5"/>
    <mergeCell ref="A3:A5"/>
    <mergeCell ref="I4:J4"/>
    <mergeCell ref="O4:P4"/>
    <mergeCell ref="X1:Z1"/>
    <mergeCell ref="C3:R3"/>
    <mergeCell ref="C4:D4"/>
    <mergeCell ref="G4:H4"/>
    <mergeCell ref="K4:L4"/>
    <mergeCell ref="M4:N4"/>
    <mergeCell ref="E4:F4"/>
    <mergeCell ref="T2:U2"/>
    <mergeCell ref="Y3:Y5"/>
    <mergeCell ref="Z3:Z5"/>
    <mergeCell ref="Q4:R4"/>
    <mergeCell ref="S3:S5"/>
    <mergeCell ref="T3:U4"/>
  </mergeCells>
  <phoneticPr fontId="18" type="noConversion"/>
  <conditionalFormatting sqref="AB38">
    <cfRule type="cellIs" dxfId="156" priority="35" operator="notEqual">
      <formula>$T$38</formula>
    </cfRule>
  </conditionalFormatting>
  <conditionalFormatting sqref="H9:H37 J9:J37 L9:L37 N9:N37 P9:P37 R9:R37 D8:D37 F8:F37">
    <cfRule type="cellIs" dxfId="155" priority="34" operator="greaterThan">
      <formula>C8</formula>
    </cfRule>
  </conditionalFormatting>
  <conditionalFormatting sqref="D40:D54 F40:F54">
    <cfRule type="cellIs" dxfId="154" priority="32" operator="greaterThan">
      <formula>C40</formula>
    </cfRule>
  </conditionalFormatting>
  <conditionalFormatting sqref="H8">
    <cfRule type="cellIs" dxfId="153" priority="31" operator="greaterThan">
      <formula>G8</formula>
    </cfRule>
  </conditionalFormatting>
  <conditionalFormatting sqref="H40:H43 H46:H54">
    <cfRule type="cellIs" dxfId="152" priority="29" operator="greaterThan">
      <formula>G40</formula>
    </cfRule>
  </conditionalFormatting>
  <conditionalFormatting sqref="J8">
    <cfRule type="cellIs" dxfId="151" priority="28" operator="greaterThan">
      <formula>I8</formula>
    </cfRule>
  </conditionalFormatting>
  <conditionalFormatting sqref="J40 J46:J54 J43">
    <cfRule type="cellIs" dxfId="150" priority="26" operator="greaterThan">
      <formula>I40</formula>
    </cfRule>
  </conditionalFormatting>
  <conditionalFormatting sqref="L8">
    <cfRule type="cellIs" dxfId="149" priority="25" operator="greaterThan">
      <formula>K8</formula>
    </cfRule>
  </conditionalFormatting>
  <conditionalFormatting sqref="L40 L46:L54 L43">
    <cfRule type="cellIs" dxfId="148" priority="23" operator="greaterThan">
      <formula>K40</formula>
    </cfRule>
  </conditionalFormatting>
  <conditionalFormatting sqref="N8">
    <cfRule type="cellIs" dxfId="147" priority="22" operator="greaterThan">
      <formula>M8</formula>
    </cfRule>
  </conditionalFormatting>
  <conditionalFormatting sqref="N40 N46:N54 N43">
    <cfRule type="cellIs" dxfId="146" priority="20" operator="greaterThan">
      <formula>M40</formula>
    </cfRule>
  </conditionalFormatting>
  <conditionalFormatting sqref="P8">
    <cfRule type="cellIs" dxfId="145" priority="19" operator="greaterThan">
      <formula>O8</formula>
    </cfRule>
  </conditionalFormatting>
  <conditionalFormatting sqref="P40 P46:P54 P43">
    <cfRule type="cellIs" dxfId="144" priority="17" operator="greaterThan">
      <formula>O40</formula>
    </cfRule>
  </conditionalFormatting>
  <conditionalFormatting sqref="R8">
    <cfRule type="cellIs" dxfId="143" priority="16" operator="greaterThan">
      <formula>Q8</formula>
    </cfRule>
  </conditionalFormatting>
  <conditionalFormatting sqref="R40 R46:R54 R42:R43">
    <cfRule type="cellIs" dxfId="142" priority="14" operator="greaterThan">
      <formula>Q40</formula>
    </cfRule>
  </conditionalFormatting>
  <conditionalFormatting sqref="F8">
    <cfRule type="cellIs" dxfId="141" priority="11" operator="greaterThan">
      <formula>E8</formula>
    </cfRule>
  </conditionalFormatting>
  <conditionalFormatting sqref="F40:F54">
    <cfRule type="cellIs" dxfId="140" priority="10" operator="greaterThan">
      <formula>E40</formula>
    </cfRule>
  </conditionalFormatting>
  <conditionalFormatting sqref="AC38">
    <cfRule type="cellIs" dxfId="139" priority="9" operator="notEqual">
      <formula>$U$38</formula>
    </cfRule>
  </conditionalFormatting>
  <conditionalFormatting sqref="AA38">
    <cfRule type="cellIs" dxfId="138" priority="8" operator="notEqual">
      <formula>$S$38</formula>
    </cfRule>
  </conditionalFormatting>
  <conditionalFormatting sqref="H44:H45">
    <cfRule type="cellIs" dxfId="137" priority="7" operator="greaterThan">
      <formula>G44</formula>
    </cfRule>
  </conditionalFormatting>
  <conditionalFormatting sqref="J44:J45">
    <cfRule type="cellIs" dxfId="136" priority="6" operator="greaterThan">
      <formula>I44</formula>
    </cfRule>
  </conditionalFormatting>
  <conditionalFormatting sqref="L44:L45">
    <cfRule type="cellIs" dxfId="135" priority="5" operator="greaterThan">
      <formula>K44</formula>
    </cfRule>
  </conditionalFormatting>
  <conditionalFormatting sqref="N44:N45">
    <cfRule type="cellIs" dxfId="134" priority="4" operator="greaterThan">
      <formula>M44</formula>
    </cfRule>
  </conditionalFormatting>
  <conditionalFormatting sqref="P44:P45">
    <cfRule type="cellIs" dxfId="133" priority="3" operator="greaterThan">
      <formula>O44</formula>
    </cfRule>
  </conditionalFormatting>
  <conditionalFormatting sqref="R44:R45">
    <cfRule type="cellIs" dxfId="132" priority="2" operator="greaterThan">
      <formula>Q44</formula>
    </cfRule>
  </conditionalFormatting>
  <conditionalFormatting sqref="I41:R41">
    <cfRule type="cellIs" dxfId="131" priority="1" operator="greaterThan">
      <formula>H41</formula>
    </cfRule>
  </conditionalFormatting>
  <dataValidations count="3">
    <dataValidation type="whole" operator="notEqual" allowBlank="1" showErrorMessage="1" error="Введите как целое число." sqref="C23:R37 C39:R54 C16:R21 C9:R13" xr:uid="{00000000-0002-0000-16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1600-000001000000}"/>
    <dataValidation type="whole" operator="greaterThanOrEqual" allowBlank="1" showErrorMessage="1" error="Введите как целое положительное число." sqref="C14:R15 C8:R8" xr:uid="{00000000-0002-0000-1600-000002000000}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D57"/>
  <sheetViews>
    <sheetView zoomScale="70" zoomScaleNormal="70" zoomScaleSheetLayoutView="70" workbookViewId="0">
      <pane xSplit="2" ySplit="5" topLeftCell="E30" activePane="bottomRight" state="frozen"/>
      <selection activeCell="B32" sqref="B32"/>
      <selection pane="topRight" activeCell="B32" sqref="B32"/>
      <selection pane="bottomLeft" activeCell="B32" sqref="B32"/>
      <selection pane="bottomRight" activeCell="P1" sqref="P1:Q65536"/>
    </sheetView>
  </sheetViews>
  <sheetFormatPr defaultRowHeight="12.75"/>
  <cols>
    <col min="1" max="1" width="6.42578125" style="57" customWidth="1"/>
    <col min="2" max="2" width="80.42578125" style="20" customWidth="1"/>
    <col min="3" max="10" width="22.140625" style="20" customWidth="1"/>
    <col min="11" max="11" width="20.28515625" style="20" customWidth="1"/>
    <col min="12" max="12" width="12.140625" style="59" customWidth="1"/>
    <col min="13" max="13" width="19.42578125" style="65" customWidth="1"/>
    <col min="14" max="14" width="18" style="66" customWidth="1"/>
    <col min="15" max="19" width="15.140625" style="631" customWidth="1"/>
    <col min="20" max="20" width="12.7109375" style="20" bestFit="1" customWidth="1"/>
    <col min="21" max="21" width="13.85546875" style="20" bestFit="1" customWidth="1"/>
    <col min="22" max="22" width="11.7109375" style="20" bestFit="1" customWidth="1"/>
    <col min="23" max="23" width="14.42578125" style="20" bestFit="1" customWidth="1"/>
    <col min="24" max="16384" width="9.140625" style="20"/>
  </cols>
  <sheetData>
    <row r="1" spans="1:25" s="624" customFormat="1" ht="26.25" customHeight="1">
      <c r="A1" s="621" t="s">
        <v>1218</v>
      </c>
      <c r="B1" s="622"/>
      <c r="C1" s="622"/>
      <c r="D1" s="623"/>
      <c r="E1" s="623"/>
      <c r="F1" s="623"/>
      <c r="G1" s="623"/>
      <c r="H1" s="623"/>
      <c r="I1" s="623"/>
      <c r="L1" s="1311" t="s">
        <v>1205</v>
      </c>
      <c r="M1" s="1311"/>
      <c r="N1" s="1311"/>
      <c r="O1" s="673"/>
      <c r="P1" s="673"/>
      <c r="Q1" s="673"/>
      <c r="R1" s="673"/>
      <c r="S1" s="673"/>
    </row>
    <row r="2" spans="1:25" ht="15.75">
      <c r="A2" s="75"/>
      <c r="B2" s="451" t="str">
        <f>Balance!B3</f>
        <v>АКБ "Микрокредитбанк"</v>
      </c>
      <c r="C2" s="369"/>
      <c r="D2" s="25"/>
      <c r="E2" s="25"/>
      <c r="F2" s="25"/>
      <c r="G2" s="25"/>
      <c r="H2" s="25"/>
      <c r="I2" s="25"/>
      <c r="J2" s="483" t="str">
        <f>+Balance!B2</f>
        <v xml:space="preserve"> 30 Декабрь, 2019</v>
      </c>
      <c r="L2" s="20"/>
      <c r="M2" s="25"/>
      <c r="N2" s="66" t="str">
        <f>+Balance!E3</f>
        <v>тыс. сум</v>
      </c>
    </row>
    <row r="3" spans="1:25" s="258" customFormat="1" ht="25.5" customHeight="1">
      <c r="A3" s="1309" t="s">
        <v>161</v>
      </c>
      <c r="B3" s="1309" t="s">
        <v>131</v>
      </c>
      <c r="C3" s="1316" t="s">
        <v>434</v>
      </c>
      <c r="D3" s="1318"/>
      <c r="E3" s="1318"/>
      <c r="F3" s="1318"/>
      <c r="G3" s="1318"/>
      <c r="H3" s="1318"/>
      <c r="I3" s="1318"/>
      <c r="J3" s="1318"/>
      <c r="K3" s="1309" t="s">
        <v>394</v>
      </c>
      <c r="L3" s="1309" t="s">
        <v>72</v>
      </c>
      <c r="M3" s="1309" t="s">
        <v>77</v>
      </c>
      <c r="N3" s="1309" t="s">
        <v>71</v>
      </c>
      <c r="O3" s="674"/>
      <c r="P3" s="674"/>
      <c r="Q3" s="674"/>
      <c r="R3" s="674"/>
      <c r="S3" s="674"/>
    </row>
    <row r="4" spans="1:25" s="258" customFormat="1" ht="34.5" customHeight="1">
      <c r="A4" s="1310"/>
      <c r="B4" s="1310"/>
      <c r="C4" s="865" t="s">
        <v>395</v>
      </c>
      <c r="D4" s="865" t="s">
        <v>1189</v>
      </c>
      <c r="E4" s="865" t="s">
        <v>1190</v>
      </c>
      <c r="F4" s="865" t="s">
        <v>943</v>
      </c>
      <c r="G4" s="865" t="s">
        <v>944</v>
      </c>
      <c r="H4" s="865" t="s">
        <v>1108</v>
      </c>
      <c r="I4" s="865" t="s">
        <v>1109</v>
      </c>
      <c r="J4" s="865" t="s">
        <v>285</v>
      </c>
      <c r="K4" s="1310"/>
      <c r="L4" s="1310"/>
      <c r="M4" s="1310"/>
      <c r="N4" s="1310"/>
      <c r="O4" s="674"/>
      <c r="P4" s="674"/>
      <c r="Q4" s="674"/>
      <c r="R4" s="674"/>
      <c r="S4" s="674"/>
    </row>
    <row r="5" spans="1:25" s="429" customFormat="1" ht="21" customHeight="1">
      <c r="A5" s="620"/>
      <c r="B5" s="879" t="s">
        <v>2</v>
      </c>
      <c r="C5" s="137"/>
      <c r="D5" s="137"/>
      <c r="E5" s="137"/>
      <c r="F5" s="137"/>
      <c r="G5" s="137"/>
      <c r="H5" s="137"/>
      <c r="I5" s="137"/>
      <c r="J5" s="137"/>
      <c r="K5" s="137"/>
      <c r="L5" s="245"/>
      <c r="M5" s="244"/>
      <c r="N5" s="137"/>
      <c r="O5" s="675"/>
      <c r="P5" s="675"/>
      <c r="Q5" s="675"/>
      <c r="R5" s="675"/>
      <c r="S5" s="675"/>
      <c r="T5" s="428"/>
      <c r="U5" s="428"/>
      <c r="V5" s="428"/>
      <c r="W5" s="428"/>
      <c r="X5" s="428"/>
      <c r="Y5" s="428"/>
    </row>
    <row r="6" spans="1:25" s="874" customFormat="1" ht="20.25" customHeight="1">
      <c r="A6" s="866" t="s">
        <v>166</v>
      </c>
      <c r="B6" s="867" t="s">
        <v>435</v>
      </c>
      <c r="C6" s="137"/>
      <c r="D6" s="137"/>
      <c r="E6" s="137"/>
      <c r="F6" s="137"/>
      <c r="G6" s="137"/>
      <c r="H6" s="137"/>
      <c r="I6" s="137"/>
      <c r="J6" s="137"/>
      <c r="K6" s="137"/>
      <c r="L6" s="869"/>
      <c r="M6" s="870"/>
      <c r="N6" s="868"/>
      <c r="O6" s="872"/>
      <c r="P6" s="872"/>
      <c r="Q6" s="872"/>
      <c r="R6" s="872"/>
      <c r="S6" s="872"/>
      <c r="T6" s="873"/>
      <c r="U6" s="873"/>
      <c r="V6" s="873"/>
      <c r="W6" s="873"/>
      <c r="X6" s="873"/>
      <c r="Y6" s="873"/>
    </row>
    <row r="7" spans="1:25" s="874" customFormat="1" ht="25.5" customHeight="1">
      <c r="A7" s="866" t="s">
        <v>436</v>
      </c>
      <c r="B7" s="867" t="s">
        <v>437</v>
      </c>
      <c r="C7" s="868">
        <f>SUM(C8:C11)</f>
        <v>221405322</v>
      </c>
      <c r="D7" s="868">
        <f t="shared" ref="D7:J7" si="0">SUM(D8:D11)</f>
        <v>0</v>
      </c>
      <c r="E7" s="868">
        <f t="shared" si="0"/>
        <v>0</v>
      </c>
      <c r="F7" s="868">
        <f t="shared" si="0"/>
        <v>0</v>
      </c>
      <c r="G7" s="868">
        <f t="shared" si="0"/>
        <v>0</v>
      </c>
      <c r="H7" s="868">
        <f t="shared" si="0"/>
        <v>0</v>
      </c>
      <c r="I7" s="868">
        <f t="shared" si="0"/>
        <v>0</v>
      </c>
      <c r="J7" s="868">
        <f t="shared" si="0"/>
        <v>0</v>
      </c>
      <c r="K7" s="868">
        <f t="shared" ref="K7:K36" si="1">+C7+D7+E7+F7+G7+H7+I7+J7</f>
        <v>221405322</v>
      </c>
      <c r="L7" s="869"/>
      <c r="M7" s="870"/>
      <c r="N7" s="868"/>
      <c r="O7" s="872"/>
      <c r="P7" s="872"/>
      <c r="Q7" s="872"/>
      <c r="R7" s="872"/>
      <c r="S7" s="872"/>
      <c r="T7" s="873"/>
      <c r="U7" s="873"/>
      <c r="V7" s="873"/>
      <c r="W7" s="873"/>
      <c r="X7" s="873"/>
      <c r="Y7" s="873"/>
    </row>
    <row r="8" spans="1:25" s="874" customFormat="1" ht="25.5" customHeight="1">
      <c r="A8" s="866" t="s">
        <v>918</v>
      </c>
      <c r="B8" s="867" t="s">
        <v>919</v>
      </c>
      <c r="C8" s="868">
        <f>+'Bank Liabilities Analysis'!C9-'Bank Liabilities Analysis'!D9</f>
        <v>12658778</v>
      </c>
      <c r="D8" s="868">
        <f>+'Bank Liabilities Analysis'!E9-'Bank Liabilities Analysis'!F9</f>
        <v>0</v>
      </c>
      <c r="E8" s="868">
        <f>+'Bank Liabilities Analysis'!G9-'Bank Liabilities Analysis'!H9</f>
        <v>0</v>
      </c>
      <c r="F8" s="868">
        <f>+'Bank Liabilities Analysis'!I9-'Bank Liabilities Analysis'!J9</f>
        <v>0</v>
      </c>
      <c r="G8" s="868">
        <f>+'Bank Liabilities Analysis'!K9-'Bank Liabilities Analysis'!L9</f>
        <v>0</v>
      </c>
      <c r="H8" s="868">
        <f>+'Bank Liabilities Analysis'!M9-'Bank Liabilities Analysis'!N9</f>
        <v>0</v>
      </c>
      <c r="I8" s="868">
        <f>+'Bank Liabilities Analysis'!O9-'Bank Liabilities Analysis'!P9</f>
        <v>0</v>
      </c>
      <c r="J8" s="868">
        <f>+'Bank Liabilities Analysis'!Q9-'Bank Liabilities Analysis'!R9</f>
        <v>0</v>
      </c>
      <c r="K8" s="868">
        <f t="shared" si="1"/>
        <v>12658778</v>
      </c>
      <c r="L8" s="869">
        <v>0.1</v>
      </c>
      <c r="M8" s="870">
        <f>+C8+D8+E8</f>
        <v>12658778</v>
      </c>
      <c r="N8" s="868">
        <f>+M8*L8</f>
        <v>1265877.8</v>
      </c>
      <c r="O8" s="872"/>
      <c r="P8" s="872"/>
      <c r="Q8" s="872"/>
      <c r="R8" s="872"/>
      <c r="S8" s="872"/>
      <c r="T8" s="873"/>
      <c r="U8" s="873"/>
      <c r="V8" s="873"/>
      <c r="W8" s="873"/>
      <c r="X8" s="873"/>
      <c r="Y8" s="873"/>
    </row>
    <row r="9" spans="1:25" s="874" customFormat="1" ht="25.5" customHeight="1">
      <c r="A9" s="866" t="s">
        <v>920</v>
      </c>
      <c r="B9" s="867" t="s">
        <v>924</v>
      </c>
      <c r="C9" s="868">
        <f>+'Bank Liabilities Analysis'!C10-'Bank Liabilities Analysis'!D10</f>
        <v>0</v>
      </c>
      <c r="D9" s="868">
        <f>+'Bank Liabilities Analysis'!E10-'Bank Liabilities Analysis'!F10</f>
        <v>0</v>
      </c>
      <c r="E9" s="868">
        <f>+'Bank Liabilities Analysis'!G10-'Bank Liabilities Analysis'!H10</f>
        <v>0</v>
      </c>
      <c r="F9" s="868">
        <f>+'Bank Liabilities Analysis'!I10-'Bank Liabilities Analysis'!J10</f>
        <v>0</v>
      </c>
      <c r="G9" s="868">
        <f>+'Bank Liabilities Analysis'!K10-'Bank Liabilities Analysis'!L10</f>
        <v>0</v>
      </c>
      <c r="H9" s="868">
        <f>+'Bank Liabilities Analysis'!M10-'Bank Liabilities Analysis'!N10</f>
        <v>0</v>
      </c>
      <c r="I9" s="868">
        <f>+'Bank Liabilities Analysis'!O10-'Bank Liabilities Analysis'!P10</f>
        <v>0</v>
      </c>
      <c r="J9" s="868">
        <f>+'Bank Liabilities Analysis'!Q10-'Bank Liabilities Analysis'!R10</f>
        <v>0</v>
      </c>
      <c r="K9" s="868">
        <f t="shared" si="1"/>
        <v>0</v>
      </c>
      <c r="L9" s="869">
        <v>0</v>
      </c>
      <c r="M9" s="870">
        <f>+C9+D9+E9</f>
        <v>0</v>
      </c>
      <c r="N9" s="868">
        <f t="shared" ref="N9:N36" si="2">+M9*L9</f>
        <v>0</v>
      </c>
      <c r="O9" s="872"/>
      <c r="P9" s="872"/>
      <c r="Q9" s="872"/>
      <c r="R9" s="872"/>
      <c r="S9" s="872"/>
      <c r="T9" s="873"/>
      <c r="U9" s="873"/>
      <c r="V9" s="873"/>
      <c r="W9" s="873"/>
      <c r="X9" s="873"/>
      <c r="Y9" s="873"/>
    </row>
    <row r="10" spans="1:25" s="874" customFormat="1" ht="33.75" customHeight="1">
      <c r="A10" s="866" t="s">
        <v>921</v>
      </c>
      <c r="B10" s="867" t="s">
        <v>922</v>
      </c>
      <c r="C10" s="868">
        <f>+'Bank Liabilities Analysis'!C11-'Bank Liabilities Analysis'!D11</f>
        <v>0</v>
      </c>
      <c r="D10" s="868">
        <f>+'Bank Liabilities Analysis'!E11-'Bank Liabilities Analysis'!F11</f>
        <v>0</v>
      </c>
      <c r="E10" s="868">
        <f>+'Bank Liabilities Analysis'!G11-'Bank Liabilities Analysis'!H11</f>
        <v>0</v>
      </c>
      <c r="F10" s="868">
        <f>+'Bank Liabilities Analysis'!I11-'Bank Liabilities Analysis'!J11</f>
        <v>0</v>
      </c>
      <c r="G10" s="868">
        <f>+'Bank Liabilities Analysis'!K11-'Bank Liabilities Analysis'!L11</f>
        <v>0</v>
      </c>
      <c r="H10" s="868">
        <f>+'Bank Liabilities Analysis'!M11-'Bank Liabilities Analysis'!N11</f>
        <v>0</v>
      </c>
      <c r="I10" s="868">
        <f>+'Bank Liabilities Analysis'!O11-'Bank Liabilities Analysis'!P11</f>
        <v>0</v>
      </c>
      <c r="J10" s="868">
        <f>+'Bank Liabilities Analysis'!Q11-'Bank Liabilities Analysis'!R11</f>
        <v>0</v>
      </c>
      <c r="K10" s="868">
        <f t="shared" si="1"/>
        <v>0</v>
      </c>
      <c r="L10" s="869">
        <v>0</v>
      </c>
      <c r="M10" s="870">
        <f>+C10+D10+E10</f>
        <v>0</v>
      </c>
      <c r="N10" s="868">
        <f t="shared" si="2"/>
        <v>0</v>
      </c>
      <c r="O10" s="872"/>
      <c r="P10" s="872"/>
      <c r="Q10" s="872"/>
      <c r="R10" s="872"/>
      <c r="S10" s="872"/>
      <c r="T10" s="873"/>
      <c r="U10" s="873"/>
      <c r="V10" s="873"/>
      <c r="W10" s="873"/>
      <c r="X10" s="873"/>
      <c r="Y10" s="873"/>
    </row>
    <row r="11" spans="1:25" s="874" customFormat="1" ht="25.5" customHeight="1">
      <c r="A11" s="866" t="s">
        <v>923</v>
      </c>
      <c r="B11" s="867" t="s">
        <v>76</v>
      </c>
      <c r="C11" s="868">
        <f>+'Bank Liabilities Analysis'!C12-'Bank Liabilities Analysis'!D12</f>
        <v>208746544</v>
      </c>
      <c r="D11" s="868">
        <f>+'Bank Liabilities Analysis'!E12-'Bank Liabilities Analysis'!F12</f>
        <v>0</v>
      </c>
      <c r="E11" s="868">
        <f>+'Bank Liabilities Analysis'!G12-'Bank Liabilities Analysis'!H12</f>
        <v>0</v>
      </c>
      <c r="F11" s="868">
        <f>+'Bank Liabilities Analysis'!I12-'Bank Liabilities Analysis'!J12</f>
        <v>0</v>
      </c>
      <c r="G11" s="868">
        <f>+'Bank Liabilities Analysis'!K12-'Bank Liabilities Analysis'!L12</f>
        <v>0</v>
      </c>
      <c r="H11" s="868">
        <f>+'Bank Liabilities Analysis'!M12-'Bank Liabilities Analysis'!N12</f>
        <v>0</v>
      </c>
      <c r="I11" s="868">
        <f>+'Bank Liabilities Analysis'!O12-'Bank Liabilities Analysis'!P12</f>
        <v>0</v>
      </c>
      <c r="J11" s="868">
        <f>+'Bank Liabilities Analysis'!Q12-'Bank Liabilities Analysis'!R12</f>
        <v>0</v>
      </c>
      <c r="K11" s="868">
        <f t="shared" si="1"/>
        <v>208746544</v>
      </c>
      <c r="L11" s="869">
        <v>0.3</v>
      </c>
      <c r="M11" s="870">
        <f>+C11+D11+E11</f>
        <v>208746544</v>
      </c>
      <c r="N11" s="868">
        <f t="shared" si="2"/>
        <v>62623963.199999996</v>
      </c>
      <c r="O11" s="872"/>
      <c r="P11" s="872"/>
      <c r="Q11" s="872"/>
      <c r="R11" s="872"/>
      <c r="S11" s="872"/>
      <c r="T11" s="873"/>
      <c r="U11" s="873"/>
      <c r="V11" s="873"/>
      <c r="W11" s="873"/>
      <c r="X11" s="873"/>
      <c r="Y11" s="873"/>
    </row>
    <row r="12" spans="1:25" s="874" customFormat="1" ht="25.5" customHeight="1">
      <c r="A12" s="866" t="s">
        <v>438</v>
      </c>
      <c r="B12" s="867" t="s">
        <v>1170</v>
      </c>
      <c r="C12" s="868">
        <f>+'Bank Liabilities Analysis'!C13-'Bank Liabilities Analysis'!D13</f>
        <v>17015185</v>
      </c>
      <c r="D12" s="868">
        <f>+'Bank Liabilities Analysis'!E13-'Bank Liabilities Analysis'!F13</f>
        <v>31426110</v>
      </c>
      <c r="E12" s="868">
        <f>+'Bank Liabilities Analysis'!G13-'Bank Liabilities Analysis'!H13</f>
        <v>29280849</v>
      </c>
      <c r="F12" s="868">
        <f>+'Bank Liabilities Analysis'!I13-'Bank Liabilities Analysis'!J13</f>
        <v>138487506</v>
      </c>
      <c r="G12" s="868">
        <f>+'Bank Liabilities Analysis'!K13-'Bank Liabilities Analysis'!L13</f>
        <v>68327842</v>
      </c>
      <c r="H12" s="868">
        <f>+'Bank Liabilities Analysis'!M13-'Bank Liabilities Analysis'!N13</f>
        <v>291908733</v>
      </c>
      <c r="I12" s="868">
        <f>+'Bank Liabilities Analysis'!O13-'Bank Liabilities Analysis'!P13</f>
        <v>88505342</v>
      </c>
      <c r="J12" s="868">
        <f>+'Bank Liabilities Analysis'!Q13-'Bank Liabilities Analysis'!R13</f>
        <v>55221152</v>
      </c>
      <c r="K12" s="868">
        <f t="shared" si="1"/>
        <v>720172719</v>
      </c>
      <c r="L12" s="869">
        <v>1</v>
      </c>
      <c r="M12" s="870">
        <f>+C12+D12+E12</f>
        <v>77722144</v>
      </c>
      <c r="N12" s="868">
        <f t="shared" si="2"/>
        <v>77722144</v>
      </c>
      <c r="O12" s="872"/>
      <c r="P12" s="872"/>
      <c r="Q12" s="872"/>
      <c r="R12" s="872"/>
      <c r="S12" s="872"/>
      <c r="T12" s="873"/>
      <c r="U12" s="873"/>
      <c r="V12" s="873"/>
      <c r="W12" s="873"/>
      <c r="X12" s="873"/>
      <c r="Y12" s="873"/>
    </row>
    <row r="13" spans="1:25" s="874" customFormat="1" ht="25.5" customHeight="1">
      <c r="A13" s="866" t="s">
        <v>1168</v>
      </c>
      <c r="B13" s="867" t="s">
        <v>919</v>
      </c>
      <c r="C13" s="868">
        <f>+'Bank Liabilities Analysis'!C14-'Bank Liabilities Analysis'!D14</f>
        <v>0</v>
      </c>
      <c r="D13" s="868">
        <f>+'Bank Liabilities Analysis'!E14-'Bank Liabilities Analysis'!F14</f>
        <v>4259753</v>
      </c>
      <c r="E13" s="868">
        <f>+'Bank Liabilities Analysis'!G14-'Bank Liabilities Analysis'!H14</f>
        <v>10972192</v>
      </c>
      <c r="F13" s="868">
        <f>+'Bank Liabilities Analysis'!I14-'Bank Liabilities Analysis'!J14</f>
        <v>49789704</v>
      </c>
      <c r="G13" s="868">
        <f>+'Bank Liabilities Analysis'!K14-'Bank Liabilities Analysis'!L14</f>
        <v>41803459</v>
      </c>
      <c r="H13" s="868">
        <f>+'Bank Liabilities Analysis'!M14-'Bank Liabilities Analysis'!N14</f>
        <v>81198436</v>
      </c>
      <c r="I13" s="868">
        <f>+'Bank Liabilities Analysis'!O14-'Bank Liabilities Analysis'!P14</f>
        <v>12267959</v>
      </c>
      <c r="J13" s="868">
        <f>+'Bank Liabilities Analysis'!Q14-'Bank Liabilities Analysis'!R14</f>
        <v>6445835</v>
      </c>
      <c r="K13" s="868">
        <f t="shared" si="1"/>
        <v>206737338</v>
      </c>
      <c r="L13" s="869">
        <v>0</v>
      </c>
      <c r="M13" s="870"/>
      <c r="N13" s="868"/>
      <c r="O13" s="872"/>
      <c r="P13" s="872"/>
      <c r="Q13" s="872"/>
      <c r="R13" s="872"/>
      <c r="S13" s="872"/>
      <c r="T13" s="873"/>
      <c r="U13" s="873"/>
      <c r="V13" s="873"/>
      <c r="W13" s="873"/>
      <c r="X13" s="873"/>
      <c r="Y13" s="873"/>
    </row>
    <row r="14" spans="1:25" s="874" customFormat="1" ht="25.5" customHeight="1">
      <c r="A14" s="866" t="s">
        <v>1169</v>
      </c>
      <c r="B14" s="867" t="s">
        <v>1167</v>
      </c>
      <c r="C14" s="868">
        <f>+'Bank Liabilities Analysis'!C15-'Bank Liabilities Analysis'!D15</f>
        <v>0</v>
      </c>
      <c r="D14" s="868">
        <f>+'Bank Liabilities Analysis'!E15-'Bank Liabilities Analysis'!F15</f>
        <v>20300000</v>
      </c>
      <c r="E14" s="868">
        <f>+'Bank Liabilities Analysis'!G15-'Bank Liabilities Analysis'!H15</f>
        <v>200000</v>
      </c>
      <c r="F14" s="868">
        <f>+'Bank Liabilities Analysis'!I15-'Bank Liabilities Analysis'!J15</f>
        <v>33300000</v>
      </c>
      <c r="G14" s="868">
        <f>+'Bank Liabilities Analysis'!K15-'Bank Liabilities Analysis'!L15</f>
        <v>2100000</v>
      </c>
      <c r="H14" s="868">
        <f>+'Bank Liabilities Analysis'!M15-'Bank Liabilities Analysis'!N15</f>
        <v>14400000</v>
      </c>
      <c r="I14" s="868">
        <f>+'Bank Liabilities Analysis'!O15-'Bank Liabilities Analysis'!P15</f>
        <v>35600000</v>
      </c>
      <c r="J14" s="868">
        <f>+'Bank Liabilities Analysis'!Q15-'Bank Liabilities Analysis'!R15</f>
        <v>0</v>
      </c>
      <c r="K14" s="868">
        <f t="shared" si="1"/>
        <v>105900000</v>
      </c>
      <c r="L14" s="869">
        <v>0</v>
      </c>
      <c r="M14" s="870"/>
      <c r="N14" s="868"/>
      <c r="O14" s="872"/>
      <c r="P14" s="872"/>
      <c r="Q14" s="872"/>
      <c r="R14" s="872"/>
      <c r="S14" s="872"/>
      <c r="T14" s="873"/>
      <c r="U14" s="873"/>
      <c r="V14" s="873"/>
      <c r="W14" s="873"/>
      <c r="X14" s="873"/>
      <c r="Y14" s="873"/>
    </row>
    <row r="15" spans="1:25" s="874" customFormat="1" ht="25.5" customHeight="1">
      <c r="A15" s="866" t="s">
        <v>439</v>
      </c>
      <c r="B15" s="867" t="s">
        <v>449</v>
      </c>
      <c r="C15" s="868">
        <f>SUM(C16:C20)</f>
        <v>155137020</v>
      </c>
      <c r="D15" s="868">
        <f t="shared" ref="D15:J15" si="3">SUM(D16:D20)</f>
        <v>0</v>
      </c>
      <c r="E15" s="868">
        <f t="shared" si="3"/>
        <v>0</v>
      </c>
      <c r="F15" s="868">
        <f t="shared" si="3"/>
        <v>0</v>
      </c>
      <c r="G15" s="868">
        <f t="shared" si="3"/>
        <v>0</v>
      </c>
      <c r="H15" s="868">
        <f t="shared" si="3"/>
        <v>0</v>
      </c>
      <c r="I15" s="868">
        <f t="shared" si="3"/>
        <v>0</v>
      </c>
      <c r="J15" s="868">
        <f t="shared" si="3"/>
        <v>0</v>
      </c>
      <c r="K15" s="868">
        <f t="shared" si="1"/>
        <v>155137020</v>
      </c>
      <c r="L15" s="869"/>
      <c r="M15" s="870"/>
      <c r="N15" s="868"/>
      <c r="O15" s="872"/>
      <c r="P15" s="872"/>
      <c r="Q15" s="872"/>
      <c r="R15" s="872"/>
      <c r="S15" s="872"/>
      <c r="T15" s="873"/>
      <c r="U15" s="873"/>
      <c r="V15" s="873"/>
      <c r="W15" s="873"/>
      <c r="X15" s="873"/>
      <c r="Y15" s="873"/>
    </row>
    <row r="16" spans="1:25" s="874" customFormat="1" ht="25.5" customHeight="1">
      <c r="A16" s="866" t="s">
        <v>925</v>
      </c>
      <c r="B16" s="867" t="s">
        <v>928</v>
      </c>
      <c r="C16" s="868">
        <f>+'Bank Liabilities Analysis'!C17-'Bank Liabilities Analysis'!D17</f>
        <v>118516047</v>
      </c>
      <c r="D16" s="868">
        <f>+'Bank Liabilities Analysis'!E17-'Bank Liabilities Analysis'!F17</f>
        <v>0</v>
      </c>
      <c r="E16" s="868">
        <f>+'Bank Liabilities Analysis'!G17-'Bank Liabilities Analysis'!H17</f>
        <v>0</v>
      </c>
      <c r="F16" s="868">
        <f>+'Bank Liabilities Analysis'!I17-'Bank Liabilities Analysis'!J17</f>
        <v>0</v>
      </c>
      <c r="G16" s="868">
        <f>+'Bank Liabilities Analysis'!K17-'Bank Liabilities Analysis'!L17</f>
        <v>0</v>
      </c>
      <c r="H16" s="868">
        <f>+'Bank Liabilities Analysis'!M17-'Bank Liabilities Analysis'!N17</f>
        <v>0</v>
      </c>
      <c r="I16" s="868">
        <f>+'Bank Liabilities Analysis'!O17-'Bank Liabilities Analysis'!P17</f>
        <v>0</v>
      </c>
      <c r="J16" s="868">
        <f>+'Bank Liabilities Analysis'!Q17-'Bank Liabilities Analysis'!R17</f>
        <v>0</v>
      </c>
      <c r="K16" s="868">
        <f t="shared" si="1"/>
        <v>118516047</v>
      </c>
      <c r="L16" s="869">
        <v>0.1</v>
      </c>
      <c r="M16" s="870">
        <f>+C16+D16+E16</f>
        <v>118516047</v>
      </c>
      <c r="N16" s="868">
        <f>+M16*L16</f>
        <v>11851604.700000001</v>
      </c>
      <c r="O16" s="872"/>
      <c r="P16" s="872"/>
      <c r="Q16" s="872"/>
      <c r="R16" s="872"/>
      <c r="S16" s="872"/>
      <c r="T16" s="873"/>
      <c r="U16" s="873"/>
      <c r="V16" s="873"/>
      <c r="W16" s="873"/>
      <c r="X16" s="873"/>
      <c r="Y16" s="873"/>
    </row>
    <row r="17" spans="1:25" s="874" customFormat="1" ht="25.5" customHeight="1">
      <c r="A17" s="866" t="s">
        <v>926</v>
      </c>
      <c r="B17" s="867" t="s">
        <v>929</v>
      </c>
      <c r="C17" s="868">
        <f>+'Bank Liabilities Analysis'!C18-'Bank Liabilities Analysis'!D18</f>
        <v>18190603</v>
      </c>
      <c r="D17" s="868">
        <f>+'Bank Liabilities Analysis'!E18-'Bank Liabilities Analysis'!F18</f>
        <v>0</v>
      </c>
      <c r="E17" s="868">
        <f>+'Bank Liabilities Analysis'!G18-'Bank Liabilities Analysis'!H18</f>
        <v>0</v>
      </c>
      <c r="F17" s="868">
        <f>+'Bank Liabilities Analysis'!I18-'Bank Liabilities Analysis'!J18</f>
        <v>0</v>
      </c>
      <c r="G17" s="868">
        <f>+'Bank Liabilities Analysis'!K18-'Bank Liabilities Analysis'!L18</f>
        <v>0</v>
      </c>
      <c r="H17" s="868">
        <f>+'Bank Liabilities Analysis'!M18-'Bank Liabilities Analysis'!N18</f>
        <v>0</v>
      </c>
      <c r="I17" s="868">
        <f>+'Bank Liabilities Analysis'!O18-'Bank Liabilities Analysis'!P18</f>
        <v>0</v>
      </c>
      <c r="J17" s="868">
        <f>+'Bank Liabilities Analysis'!Q18-'Bank Liabilities Analysis'!R18</f>
        <v>0</v>
      </c>
      <c r="K17" s="868">
        <f t="shared" si="1"/>
        <v>18190603</v>
      </c>
      <c r="L17" s="869">
        <v>0.1</v>
      </c>
      <c r="M17" s="870">
        <f>+C17+D17+E17</f>
        <v>18190603</v>
      </c>
      <c r="N17" s="868">
        <f>+M17*L17</f>
        <v>1819060.3</v>
      </c>
      <c r="O17" s="872"/>
      <c r="P17" s="872"/>
      <c r="Q17" s="872"/>
      <c r="R17" s="872"/>
      <c r="S17" s="872"/>
      <c r="T17" s="873"/>
      <c r="U17" s="873"/>
      <c r="V17" s="873"/>
      <c r="W17" s="873"/>
      <c r="X17" s="873"/>
      <c r="Y17" s="873"/>
    </row>
    <row r="18" spans="1:25" s="874" customFormat="1" ht="25.5" customHeight="1">
      <c r="A18" s="866" t="s">
        <v>927</v>
      </c>
      <c r="B18" s="867" t="s">
        <v>930</v>
      </c>
      <c r="C18" s="868">
        <f>+'Bank Liabilities Analysis'!C19-'Bank Liabilities Analysis'!D19</f>
        <v>0</v>
      </c>
      <c r="D18" s="868">
        <f>+'Bank Liabilities Analysis'!E19-'Bank Liabilities Analysis'!F19</f>
        <v>0</v>
      </c>
      <c r="E18" s="868">
        <f>+'Bank Liabilities Analysis'!G19-'Bank Liabilities Analysis'!H19</f>
        <v>0</v>
      </c>
      <c r="F18" s="868">
        <f>+'Bank Liabilities Analysis'!I19-'Bank Liabilities Analysis'!J19</f>
        <v>0</v>
      </c>
      <c r="G18" s="868">
        <f>+'Bank Liabilities Analysis'!K19-'Bank Liabilities Analysis'!L19</f>
        <v>0</v>
      </c>
      <c r="H18" s="868">
        <f>+'Bank Liabilities Analysis'!M19-'Bank Liabilities Analysis'!N19</f>
        <v>0</v>
      </c>
      <c r="I18" s="868">
        <f>+'Bank Liabilities Analysis'!O19-'Bank Liabilities Analysis'!P19</f>
        <v>0</v>
      </c>
      <c r="J18" s="868">
        <f>+'Bank Liabilities Analysis'!Q19-'Bank Liabilities Analysis'!R19</f>
        <v>0</v>
      </c>
      <c r="K18" s="868">
        <f t="shared" si="1"/>
        <v>0</v>
      </c>
      <c r="L18" s="869">
        <v>0.3</v>
      </c>
      <c r="M18" s="870">
        <f>+C18+D18+E18</f>
        <v>0</v>
      </c>
      <c r="N18" s="868">
        <f>+M18*L18</f>
        <v>0</v>
      </c>
      <c r="O18" s="872"/>
      <c r="P18" s="872"/>
      <c r="Q18" s="872"/>
      <c r="R18" s="872"/>
      <c r="S18" s="872"/>
      <c r="T18" s="873"/>
      <c r="U18" s="873"/>
      <c r="V18" s="873"/>
      <c r="W18" s="873"/>
      <c r="X18" s="873"/>
      <c r="Y18" s="873"/>
    </row>
    <row r="19" spans="1:25" s="874" customFormat="1" ht="33.75" customHeight="1">
      <c r="A19" s="866" t="s">
        <v>931</v>
      </c>
      <c r="B19" s="867" t="s">
        <v>932</v>
      </c>
      <c r="C19" s="868">
        <f>+'Bank Liabilities Analysis'!C20-'Bank Liabilities Analysis'!D20</f>
        <v>11166113</v>
      </c>
      <c r="D19" s="868">
        <f>+'Bank Liabilities Analysis'!E20-'Bank Liabilities Analysis'!F20</f>
        <v>0</v>
      </c>
      <c r="E19" s="868">
        <f>+'Bank Liabilities Analysis'!G20-'Bank Liabilities Analysis'!H20</f>
        <v>0</v>
      </c>
      <c r="F19" s="868">
        <f>+'Bank Liabilities Analysis'!I20-'Bank Liabilities Analysis'!J20</f>
        <v>0</v>
      </c>
      <c r="G19" s="868">
        <f>+'Bank Liabilities Analysis'!K20-'Bank Liabilities Analysis'!L20</f>
        <v>0</v>
      </c>
      <c r="H19" s="868">
        <f>+'Bank Liabilities Analysis'!M20-'Bank Liabilities Analysis'!N20</f>
        <v>0</v>
      </c>
      <c r="I19" s="868">
        <f>+'Bank Liabilities Analysis'!O20-'Bank Liabilities Analysis'!P20</f>
        <v>0</v>
      </c>
      <c r="J19" s="868">
        <f>+'Bank Liabilities Analysis'!Q20-'Bank Liabilities Analysis'!R20</f>
        <v>0</v>
      </c>
      <c r="K19" s="868">
        <f t="shared" si="1"/>
        <v>11166113</v>
      </c>
      <c r="L19" s="869">
        <v>1</v>
      </c>
      <c r="M19" s="870">
        <f>+C19+D19+E19</f>
        <v>11166113</v>
      </c>
      <c r="N19" s="868">
        <f>+M19*L19</f>
        <v>11166113</v>
      </c>
      <c r="O19" s="872"/>
      <c r="P19" s="872"/>
      <c r="Q19" s="872"/>
      <c r="R19" s="872"/>
      <c r="S19" s="872"/>
      <c r="T19" s="873"/>
      <c r="U19" s="873"/>
      <c r="V19" s="873"/>
      <c r="W19" s="873"/>
      <c r="X19" s="873"/>
      <c r="Y19" s="873"/>
    </row>
    <row r="20" spans="1:25" s="874" customFormat="1" ht="25.5" customHeight="1">
      <c r="A20" s="866" t="s">
        <v>933</v>
      </c>
      <c r="B20" s="867" t="s">
        <v>44</v>
      </c>
      <c r="C20" s="868">
        <f>+'Bank Liabilities Analysis'!C21-'Bank Liabilities Analysis'!D21</f>
        <v>7264257</v>
      </c>
      <c r="D20" s="868">
        <f>+'Bank Liabilities Analysis'!E21-'Bank Liabilities Analysis'!F21</f>
        <v>0</v>
      </c>
      <c r="E20" s="868">
        <f>+'Bank Liabilities Analysis'!G21-'Bank Liabilities Analysis'!H21</f>
        <v>0</v>
      </c>
      <c r="F20" s="868">
        <f>+'Bank Liabilities Analysis'!I21-'Bank Liabilities Analysis'!J21</f>
        <v>0</v>
      </c>
      <c r="G20" s="868">
        <f>+'Bank Liabilities Analysis'!K21-'Bank Liabilities Analysis'!L21</f>
        <v>0</v>
      </c>
      <c r="H20" s="868">
        <f>+'Bank Liabilities Analysis'!M21-'Bank Liabilities Analysis'!N21</f>
        <v>0</v>
      </c>
      <c r="I20" s="868">
        <f>+'Bank Liabilities Analysis'!O21-'Bank Liabilities Analysis'!P21</f>
        <v>0</v>
      </c>
      <c r="J20" s="868">
        <f>+'Bank Liabilities Analysis'!Q21-'Bank Liabilities Analysis'!R21</f>
        <v>0</v>
      </c>
      <c r="K20" s="868">
        <f t="shared" si="1"/>
        <v>7264257</v>
      </c>
      <c r="L20" s="869">
        <v>0.3</v>
      </c>
      <c r="M20" s="870">
        <f>+C20+D20+E20</f>
        <v>7264257</v>
      </c>
      <c r="N20" s="868">
        <f>+M20*L20</f>
        <v>2179277.1</v>
      </c>
      <c r="O20" s="872"/>
      <c r="P20" s="872"/>
      <c r="Q20" s="872"/>
      <c r="R20" s="872"/>
      <c r="S20" s="872"/>
      <c r="T20" s="873"/>
      <c r="U20" s="873"/>
      <c r="V20" s="873"/>
      <c r="W20" s="873"/>
      <c r="X20" s="873"/>
      <c r="Y20" s="873"/>
    </row>
    <row r="21" spans="1:25" s="874" customFormat="1" ht="25.5" customHeight="1">
      <c r="A21" s="866" t="s">
        <v>441</v>
      </c>
      <c r="B21" s="867" t="s">
        <v>442</v>
      </c>
      <c r="C21" s="868">
        <f t="shared" ref="C21:J21" si="4">+C7+C12+C15</f>
        <v>393557527</v>
      </c>
      <c r="D21" s="868">
        <f t="shared" si="4"/>
        <v>31426110</v>
      </c>
      <c r="E21" s="868">
        <f t="shared" si="4"/>
        <v>29280849</v>
      </c>
      <c r="F21" s="868">
        <f t="shared" si="4"/>
        <v>138487506</v>
      </c>
      <c r="G21" s="868">
        <f t="shared" si="4"/>
        <v>68327842</v>
      </c>
      <c r="H21" s="868">
        <f t="shared" si="4"/>
        <v>291908733</v>
      </c>
      <c r="I21" s="868">
        <f t="shared" si="4"/>
        <v>88505342</v>
      </c>
      <c r="J21" s="868">
        <f t="shared" si="4"/>
        <v>55221152</v>
      </c>
      <c r="K21" s="868">
        <f t="shared" si="1"/>
        <v>1096715061</v>
      </c>
      <c r="L21" s="869"/>
      <c r="M21" s="870"/>
      <c r="N21" s="868"/>
      <c r="O21" s="872"/>
      <c r="P21" s="872"/>
      <c r="Q21" s="872"/>
      <c r="R21" s="872"/>
      <c r="S21" s="872"/>
      <c r="T21" s="873"/>
      <c r="U21" s="873"/>
      <c r="V21" s="873"/>
      <c r="W21" s="873"/>
      <c r="X21" s="873"/>
      <c r="Y21" s="873"/>
    </row>
    <row r="22" spans="1:25" s="874" customFormat="1" ht="25.5" customHeight="1">
      <c r="A22" s="866" t="s">
        <v>397</v>
      </c>
      <c r="B22" s="867" t="s">
        <v>443</v>
      </c>
      <c r="C22" s="868">
        <f>+'Bank Liabilities Analysis'!C23-'Bank Liabilities Analysis'!D23</f>
        <v>0</v>
      </c>
      <c r="D22" s="868">
        <f>+'Bank Liabilities Analysis'!E23-'Bank Liabilities Analysis'!F23</f>
        <v>0</v>
      </c>
      <c r="E22" s="868">
        <f>+'Bank Liabilities Analysis'!G23-'Bank Liabilities Analysis'!H23</f>
        <v>0</v>
      </c>
      <c r="F22" s="868">
        <f>+'Bank Liabilities Analysis'!I23-'Bank Liabilities Analysis'!J23</f>
        <v>0</v>
      </c>
      <c r="G22" s="868">
        <f>+'Bank Liabilities Analysis'!K23-'Bank Liabilities Analysis'!L23</f>
        <v>0</v>
      </c>
      <c r="H22" s="868">
        <f>+'Bank Liabilities Analysis'!M23-'Bank Liabilities Analysis'!N23</f>
        <v>0</v>
      </c>
      <c r="I22" s="868">
        <f>+'Bank Liabilities Analysis'!O23-'Bank Liabilities Analysis'!P23</f>
        <v>0</v>
      </c>
      <c r="J22" s="868">
        <f>+'Bank Liabilities Analysis'!Q23-'Bank Liabilities Analysis'!R23</f>
        <v>0</v>
      </c>
      <c r="K22" s="868">
        <f t="shared" si="1"/>
        <v>0</v>
      </c>
      <c r="L22" s="869">
        <v>1</v>
      </c>
      <c r="M22" s="870">
        <f>+C22+D22+E22</f>
        <v>0</v>
      </c>
      <c r="N22" s="868">
        <f t="shared" si="2"/>
        <v>0</v>
      </c>
      <c r="O22" s="872"/>
      <c r="P22" s="872"/>
      <c r="Q22" s="872"/>
      <c r="R22" s="872"/>
      <c r="S22" s="872"/>
      <c r="T22" s="873"/>
      <c r="U22" s="873"/>
      <c r="V22" s="873"/>
      <c r="W22" s="873"/>
      <c r="X22" s="873"/>
      <c r="Y22" s="873"/>
    </row>
    <row r="23" spans="1:25" s="874" customFormat="1" ht="25.5" customHeight="1">
      <c r="A23" s="866" t="s">
        <v>398</v>
      </c>
      <c r="B23" s="867" t="s">
        <v>444</v>
      </c>
      <c r="C23" s="868">
        <f>SUM(C24:C26)</f>
        <v>1068247</v>
      </c>
      <c r="D23" s="868">
        <f t="shared" ref="D23:J23" si="5">SUM(D24:D26)</f>
        <v>0</v>
      </c>
      <c r="E23" s="868">
        <f t="shared" si="5"/>
        <v>40000000</v>
      </c>
      <c r="F23" s="868">
        <f t="shared" si="5"/>
        <v>70000000</v>
      </c>
      <c r="G23" s="868">
        <f t="shared" si="5"/>
        <v>0</v>
      </c>
      <c r="H23" s="868">
        <f t="shared" si="5"/>
        <v>0</v>
      </c>
      <c r="I23" s="868">
        <f t="shared" si="5"/>
        <v>195000000</v>
      </c>
      <c r="J23" s="868">
        <f t="shared" si="5"/>
        <v>38188542</v>
      </c>
      <c r="K23" s="868">
        <f t="shared" si="1"/>
        <v>344256789</v>
      </c>
      <c r="L23" s="869"/>
      <c r="M23" s="870"/>
      <c r="N23" s="868"/>
      <c r="O23" s="872"/>
      <c r="P23" s="872"/>
      <c r="Q23" s="872"/>
      <c r="R23" s="872"/>
      <c r="S23" s="872"/>
      <c r="T23" s="873"/>
      <c r="U23" s="873"/>
      <c r="V23" s="873"/>
      <c r="W23" s="873"/>
      <c r="X23" s="873"/>
      <c r="Y23" s="873"/>
    </row>
    <row r="24" spans="1:25" s="874" customFormat="1" ht="25.5" customHeight="1">
      <c r="A24" s="866" t="s">
        <v>476</v>
      </c>
      <c r="B24" s="867" t="s">
        <v>934</v>
      </c>
      <c r="C24" s="868">
        <f>+'Bank Liabilities Analysis'!C25-'Bank Liabilities Analysis'!D25</f>
        <v>0</v>
      </c>
      <c r="D24" s="868">
        <f>+'Bank Liabilities Analysis'!E25-'Bank Liabilities Analysis'!F25</f>
        <v>0</v>
      </c>
      <c r="E24" s="868">
        <f>+'Bank Liabilities Analysis'!G25-'Bank Liabilities Analysis'!H25</f>
        <v>40000000</v>
      </c>
      <c r="F24" s="868">
        <f>+'Bank Liabilities Analysis'!I25-'Bank Liabilities Analysis'!J25</f>
        <v>70000000</v>
      </c>
      <c r="G24" s="868">
        <f>+'Bank Liabilities Analysis'!K25-'Bank Liabilities Analysis'!L25</f>
        <v>0</v>
      </c>
      <c r="H24" s="868">
        <f>+'Bank Liabilities Analysis'!M25-'Bank Liabilities Analysis'!N25</f>
        <v>0</v>
      </c>
      <c r="I24" s="868">
        <f>+'Bank Liabilities Analysis'!O25-'Bank Liabilities Analysis'!P25</f>
        <v>195000000</v>
      </c>
      <c r="J24" s="868">
        <f>+'Bank Liabilities Analysis'!Q25-'Bank Liabilities Analysis'!R25</f>
        <v>38188542</v>
      </c>
      <c r="K24" s="868">
        <f t="shared" si="1"/>
        <v>343188542</v>
      </c>
      <c r="L24" s="869">
        <v>1</v>
      </c>
      <c r="M24" s="870">
        <f t="shared" ref="M24:M36" si="6">+C24+D24+E24</f>
        <v>40000000</v>
      </c>
      <c r="N24" s="868">
        <f t="shared" si="2"/>
        <v>40000000</v>
      </c>
      <c r="O24" s="872"/>
      <c r="P24" s="872"/>
      <c r="Q24" s="872"/>
      <c r="R24" s="872"/>
      <c r="S24" s="872"/>
      <c r="T24" s="873"/>
      <c r="U24" s="873"/>
      <c r="V24" s="873"/>
      <c r="W24" s="873"/>
      <c r="X24" s="873"/>
      <c r="Y24" s="873"/>
    </row>
    <row r="25" spans="1:25" s="874" customFormat="1" ht="25.5" customHeight="1">
      <c r="A25" s="866" t="s">
        <v>478</v>
      </c>
      <c r="B25" s="867" t="s">
        <v>935</v>
      </c>
      <c r="C25" s="868">
        <f>+'Bank Liabilities Analysis'!C26-'Bank Liabilities Analysis'!D26</f>
        <v>1068247</v>
      </c>
      <c r="D25" s="868">
        <f>+'Bank Liabilities Analysis'!E26-'Bank Liabilities Analysis'!F26</f>
        <v>0</v>
      </c>
      <c r="E25" s="868">
        <f>+'Bank Liabilities Analysis'!G26-'Bank Liabilities Analysis'!H26</f>
        <v>0</v>
      </c>
      <c r="F25" s="868">
        <f>+'Bank Liabilities Analysis'!I26-'Bank Liabilities Analysis'!J26</f>
        <v>0</v>
      </c>
      <c r="G25" s="868">
        <f>+'Bank Liabilities Analysis'!K26-'Bank Liabilities Analysis'!L26</f>
        <v>0</v>
      </c>
      <c r="H25" s="868">
        <f>+'Bank Liabilities Analysis'!M26-'Bank Liabilities Analysis'!N26</f>
        <v>0</v>
      </c>
      <c r="I25" s="868">
        <f>+'Bank Liabilities Analysis'!O26-'Bank Liabilities Analysis'!P26</f>
        <v>0</v>
      </c>
      <c r="J25" s="868">
        <f>+'Bank Liabilities Analysis'!Q26-'Bank Liabilities Analysis'!R26</f>
        <v>0</v>
      </c>
      <c r="K25" s="868">
        <f t="shared" si="1"/>
        <v>1068247</v>
      </c>
      <c r="L25" s="869">
        <v>0.5</v>
      </c>
      <c r="M25" s="870">
        <f t="shared" si="6"/>
        <v>1068247</v>
      </c>
      <c r="N25" s="868">
        <f t="shared" si="2"/>
        <v>534123.5</v>
      </c>
      <c r="O25" s="872"/>
      <c r="P25" s="872"/>
      <c r="Q25" s="872"/>
      <c r="R25" s="872"/>
      <c r="S25" s="872"/>
      <c r="T25" s="873"/>
      <c r="U25" s="873"/>
      <c r="V25" s="873"/>
      <c r="W25" s="873"/>
      <c r="X25" s="873"/>
      <c r="Y25" s="873"/>
    </row>
    <row r="26" spans="1:25" s="874" customFormat="1" ht="25.5" customHeight="1">
      <c r="A26" s="866" t="s">
        <v>45</v>
      </c>
      <c r="B26" s="867" t="s">
        <v>69</v>
      </c>
      <c r="C26" s="868">
        <f>+'Bank Liabilities Analysis'!C27-'Bank Liabilities Analysis'!D27</f>
        <v>0</v>
      </c>
      <c r="D26" s="868">
        <f>+'Bank Liabilities Analysis'!E27-'Bank Liabilities Analysis'!F27</f>
        <v>0</v>
      </c>
      <c r="E26" s="868">
        <f>+'Bank Liabilities Analysis'!G27-'Bank Liabilities Analysis'!H27</f>
        <v>0</v>
      </c>
      <c r="F26" s="868">
        <f>+'Bank Liabilities Analysis'!I27-'Bank Liabilities Analysis'!J27</f>
        <v>0</v>
      </c>
      <c r="G26" s="868">
        <f>+'Bank Liabilities Analysis'!K27-'Bank Liabilities Analysis'!L27</f>
        <v>0</v>
      </c>
      <c r="H26" s="868">
        <f>+'Bank Liabilities Analysis'!M27-'Bank Liabilities Analysis'!N27</f>
        <v>0</v>
      </c>
      <c r="I26" s="868">
        <f>+'Bank Liabilities Analysis'!O27-'Bank Liabilities Analysis'!P27</f>
        <v>0</v>
      </c>
      <c r="J26" s="868">
        <f>+'Bank Liabilities Analysis'!Q27-'Bank Liabilities Analysis'!R27</f>
        <v>0</v>
      </c>
      <c r="K26" s="868">
        <f t="shared" si="1"/>
        <v>0</v>
      </c>
      <c r="L26" s="869">
        <v>0.3</v>
      </c>
      <c r="M26" s="870">
        <f t="shared" si="6"/>
        <v>0</v>
      </c>
      <c r="N26" s="868">
        <f t="shared" si="2"/>
        <v>0</v>
      </c>
      <c r="O26" s="872"/>
      <c r="P26" s="872"/>
      <c r="Q26" s="872"/>
      <c r="R26" s="872"/>
      <c r="S26" s="872"/>
      <c r="T26" s="873"/>
      <c r="U26" s="873"/>
      <c r="V26" s="873"/>
      <c r="W26" s="873"/>
      <c r="X26" s="873"/>
      <c r="Y26" s="873"/>
    </row>
    <row r="27" spans="1:25" s="874" customFormat="1" ht="25.5" customHeight="1">
      <c r="A27" s="866" t="s">
        <v>400</v>
      </c>
      <c r="B27" s="867" t="s">
        <v>445</v>
      </c>
      <c r="C27" s="868">
        <f>+'Bank Liabilities Analysis'!C28-'Bank Liabilities Analysis'!D28</f>
        <v>0</v>
      </c>
      <c r="D27" s="868">
        <f>+'Bank Liabilities Analysis'!E28-'Bank Liabilities Analysis'!F28</f>
        <v>0</v>
      </c>
      <c r="E27" s="868">
        <f>+'Bank Liabilities Analysis'!G28-'Bank Liabilities Analysis'!H28</f>
        <v>0</v>
      </c>
      <c r="F27" s="868">
        <f>+'Bank Liabilities Analysis'!I28-'Bank Liabilities Analysis'!J28</f>
        <v>0</v>
      </c>
      <c r="G27" s="868">
        <f>+'Bank Liabilities Analysis'!K28-'Bank Liabilities Analysis'!L28</f>
        <v>0</v>
      </c>
      <c r="H27" s="868">
        <f>+'Bank Liabilities Analysis'!M28-'Bank Liabilities Analysis'!N28</f>
        <v>0</v>
      </c>
      <c r="I27" s="868">
        <f>+'Bank Liabilities Analysis'!O28-'Bank Liabilities Analysis'!P28</f>
        <v>0</v>
      </c>
      <c r="J27" s="868">
        <f>+'Bank Liabilities Analysis'!Q28-'Bank Liabilities Analysis'!R28</f>
        <v>0</v>
      </c>
      <c r="K27" s="868">
        <f t="shared" si="1"/>
        <v>0</v>
      </c>
      <c r="L27" s="869">
        <v>1</v>
      </c>
      <c r="M27" s="870">
        <f t="shared" si="6"/>
        <v>0</v>
      </c>
      <c r="N27" s="868">
        <f t="shared" si="2"/>
        <v>0</v>
      </c>
      <c r="O27" s="872"/>
      <c r="P27" s="872"/>
      <c r="Q27" s="872"/>
      <c r="R27" s="872"/>
      <c r="S27" s="872"/>
      <c r="T27" s="873"/>
      <c r="U27" s="873"/>
      <c r="V27" s="873"/>
      <c r="W27" s="873"/>
      <c r="X27" s="873"/>
      <c r="Y27" s="873"/>
    </row>
    <row r="28" spans="1:25" s="874" customFormat="1" ht="33.75" customHeight="1">
      <c r="A28" s="866" t="s">
        <v>402</v>
      </c>
      <c r="B28" s="867" t="s">
        <v>446</v>
      </c>
      <c r="C28" s="868">
        <f>+'Bank Liabilities Analysis'!C29-'Bank Liabilities Analysis'!D29</f>
        <v>0</v>
      </c>
      <c r="D28" s="868">
        <f>+'Bank Liabilities Analysis'!E29-'Bank Liabilities Analysis'!F29</f>
        <v>0</v>
      </c>
      <c r="E28" s="868">
        <f>+'Bank Liabilities Analysis'!G29-'Bank Liabilities Analysis'!H29</f>
        <v>0</v>
      </c>
      <c r="F28" s="868">
        <f>+'Bank Liabilities Analysis'!I29-'Bank Liabilities Analysis'!J29</f>
        <v>0</v>
      </c>
      <c r="G28" s="868">
        <f>+'Bank Liabilities Analysis'!K29-'Bank Liabilities Analysis'!L29</f>
        <v>0</v>
      </c>
      <c r="H28" s="868">
        <f>+'Bank Liabilities Analysis'!M29-'Bank Liabilities Analysis'!N29</f>
        <v>0</v>
      </c>
      <c r="I28" s="868">
        <f>+'Bank Liabilities Analysis'!O29-'Bank Liabilities Analysis'!P29</f>
        <v>0</v>
      </c>
      <c r="J28" s="868">
        <f>+'Bank Liabilities Analysis'!Q29-'Bank Liabilities Analysis'!R29</f>
        <v>0</v>
      </c>
      <c r="K28" s="868">
        <f t="shared" si="1"/>
        <v>0</v>
      </c>
      <c r="L28" s="869">
        <v>1</v>
      </c>
      <c r="M28" s="870">
        <f t="shared" si="6"/>
        <v>0</v>
      </c>
      <c r="N28" s="868">
        <f t="shared" si="2"/>
        <v>0</v>
      </c>
      <c r="O28" s="872"/>
      <c r="P28" s="872"/>
      <c r="Q28" s="872"/>
      <c r="R28" s="872"/>
      <c r="S28" s="872"/>
      <c r="T28" s="873"/>
      <c r="U28" s="873"/>
      <c r="V28" s="873"/>
      <c r="W28" s="873"/>
      <c r="X28" s="873"/>
      <c r="Y28" s="873"/>
    </row>
    <row r="29" spans="1:25" s="874" customFormat="1" ht="25.5" customHeight="1">
      <c r="A29" s="866" t="s">
        <v>404</v>
      </c>
      <c r="B29" s="867" t="s">
        <v>447</v>
      </c>
      <c r="C29" s="868">
        <f>+'Bank Liabilities Analysis'!C30-'Bank Liabilities Analysis'!D30</f>
        <v>36</v>
      </c>
      <c r="D29" s="868">
        <f>+'Bank Liabilities Analysis'!E30-'Bank Liabilities Analysis'!F30</f>
        <v>21084460</v>
      </c>
      <c r="E29" s="868">
        <f>+'Bank Liabilities Analysis'!G30-'Bank Liabilities Analysis'!H30</f>
        <v>6494262</v>
      </c>
      <c r="F29" s="868">
        <f>+'Bank Liabilities Analysis'!I30-'Bank Liabilities Analysis'!J30</f>
        <v>14117556</v>
      </c>
      <c r="G29" s="868">
        <f>+'Bank Liabilities Analysis'!K30-'Bank Liabilities Analysis'!L30</f>
        <v>15052619</v>
      </c>
      <c r="H29" s="868">
        <f>+'Bank Liabilities Analysis'!M30-'Bank Liabilities Analysis'!N30</f>
        <v>53514915</v>
      </c>
      <c r="I29" s="868">
        <f>+'Bank Liabilities Analysis'!O30-'Bank Liabilities Analysis'!P30</f>
        <v>65764174</v>
      </c>
      <c r="J29" s="868">
        <f>+'Bank Liabilities Analysis'!Q30-'Bank Liabilities Analysis'!R30</f>
        <v>642648307</v>
      </c>
      <c r="K29" s="868">
        <f t="shared" si="1"/>
        <v>818676329</v>
      </c>
      <c r="L29" s="869">
        <v>1</v>
      </c>
      <c r="M29" s="870">
        <f t="shared" si="6"/>
        <v>27578758</v>
      </c>
      <c r="N29" s="868">
        <f t="shared" si="2"/>
        <v>27578758</v>
      </c>
      <c r="O29" s="872"/>
      <c r="P29" s="872"/>
      <c r="Q29" s="872"/>
      <c r="R29" s="872"/>
      <c r="S29" s="872"/>
      <c r="T29" s="873"/>
      <c r="U29" s="873"/>
      <c r="V29" s="873"/>
      <c r="W29" s="873"/>
      <c r="X29" s="873"/>
      <c r="Y29" s="873"/>
    </row>
    <row r="30" spans="1:25" s="874" customFormat="1" ht="25.5" customHeight="1">
      <c r="A30" s="866" t="s">
        <v>406</v>
      </c>
      <c r="B30" s="867" t="s">
        <v>1090</v>
      </c>
      <c r="C30" s="868">
        <f>+'Bank Liabilities Analysis'!C31-'Bank Liabilities Analysis'!D31</f>
        <v>0</v>
      </c>
      <c r="D30" s="868">
        <f>+'Bank Liabilities Analysis'!E31-'Bank Liabilities Analysis'!F31</f>
        <v>0</v>
      </c>
      <c r="E30" s="868">
        <f>+'Bank Liabilities Analysis'!G31-'Bank Liabilities Analysis'!H31</f>
        <v>0</v>
      </c>
      <c r="F30" s="868">
        <f>+'Bank Liabilities Analysis'!I31-'Bank Liabilities Analysis'!J31</f>
        <v>0</v>
      </c>
      <c r="G30" s="868">
        <f>+'Bank Liabilities Analysis'!K31-'Bank Liabilities Analysis'!L31</f>
        <v>0</v>
      </c>
      <c r="H30" s="868">
        <f>+'Bank Liabilities Analysis'!M31-'Bank Liabilities Analysis'!N31</f>
        <v>0</v>
      </c>
      <c r="I30" s="868">
        <f>+'Bank Liabilities Analysis'!O31-'Bank Liabilities Analysis'!P31</f>
        <v>0</v>
      </c>
      <c r="J30" s="868">
        <f>+'Bank Liabilities Analysis'!Q31-'Bank Liabilities Analysis'!R31</f>
        <v>0</v>
      </c>
      <c r="K30" s="868">
        <f t="shared" si="1"/>
        <v>0</v>
      </c>
      <c r="L30" s="869">
        <v>1</v>
      </c>
      <c r="M30" s="870">
        <f t="shared" si="6"/>
        <v>0</v>
      </c>
      <c r="N30" s="868">
        <f t="shared" si="2"/>
        <v>0</v>
      </c>
      <c r="O30" s="872"/>
      <c r="P30" s="872"/>
      <c r="Q30" s="872"/>
      <c r="R30" s="872"/>
      <c r="S30" s="872"/>
      <c r="T30" s="873"/>
      <c r="U30" s="873"/>
      <c r="V30" s="873"/>
      <c r="W30" s="873"/>
      <c r="X30" s="873"/>
      <c r="Y30" s="873"/>
    </row>
    <row r="31" spans="1:25" s="874" customFormat="1" ht="25.5" customHeight="1">
      <c r="A31" s="866" t="s">
        <v>1191</v>
      </c>
      <c r="B31" s="867" t="s">
        <v>1012</v>
      </c>
      <c r="C31" s="868">
        <f>+'Bank Liabilities Analysis'!C32-'Bank Liabilities Analysis'!D32</f>
        <v>0</v>
      </c>
      <c r="D31" s="868">
        <f>+'Bank Liabilities Analysis'!E32-'Bank Liabilities Analysis'!F32</f>
        <v>0</v>
      </c>
      <c r="E31" s="868">
        <f>+'Bank Liabilities Analysis'!G32-'Bank Liabilities Analysis'!H32</f>
        <v>0</v>
      </c>
      <c r="F31" s="868">
        <f>+'Bank Liabilities Analysis'!I32-'Bank Liabilities Analysis'!J32</f>
        <v>0</v>
      </c>
      <c r="G31" s="868">
        <f>+'Bank Liabilities Analysis'!K32-'Bank Liabilities Analysis'!L32</f>
        <v>0</v>
      </c>
      <c r="H31" s="868">
        <f>+'Bank Liabilities Analysis'!M32-'Bank Liabilities Analysis'!N32</f>
        <v>0</v>
      </c>
      <c r="I31" s="868">
        <f>+'Bank Liabilities Analysis'!O32-'Bank Liabilities Analysis'!P32</f>
        <v>0</v>
      </c>
      <c r="J31" s="868">
        <f>+'Bank Liabilities Analysis'!Q32-'Bank Liabilities Analysis'!R32</f>
        <v>0</v>
      </c>
      <c r="K31" s="868">
        <f t="shared" si="1"/>
        <v>0</v>
      </c>
      <c r="L31" s="869">
        <v>1</v>
      </c>
      <c r="M31" s="870">
        <f t="shared" si="6"/>
        <v>0</v>
      </c>
      <c r="N31" s="868">
        <f t="shared" si="2"/>
        <v>0</v>
      </c>
      <c r="O31" s="872"/>
      <c r="P31" s="872"/>
      <c r="Q31" s="872"/>
      <c r="R31" s="872"/>
      <c r="S31" s="872"/>
      <c r="T31" s="873"/>
      <c r="U31" s="873"/>
      <c r="V31" s="873"/>
      <c r="W31" s="873"/>
      <c r="X31" s="873"/>
      <c r="Y31" s="873"/>
    </row>
    <row r="32" spans="1:25" s="874" customFormat="1" ht="25.5" customHeight="1">
      <c r="A32" s="866" t="s">
        <v>408</v>
      </c>
      <c r="B32" s="867" t="s">
        <v>448</v>
      </c>
      <c r="C32" s="868">
        <f>+'Bank Liabilities Analysis'!C33-'Bank Liabilities Analysis'!D33</f>
        <v>0</v>
      </c>
      <c r="D32" s="868">
        <f>+'Bank Liabilities Analysis'!E33-'Bank Liabilities Analysis'!F33</f>
        <v>0</v>
      </c>
      <c r="E32" s="868">
        <f>+'Bank Liabilities Analysis'!G33-'Bank Liabilities Analysis'!H33</f>
        <v>0</v>
      </c>
      <c r="F32" s="868">
        <f>+'Bank Liabilities Analysis'!I33-'Bank Liabilities Analysis'!J33</f>
        <v>0</v>
      </c>
      <c r="G32" s="868">
        <f>+'Bank Liabilities Analysis'!K33-'Bank Liabilities Analysis'!L33</f>
        <v>0</v>
      </c>
      <c r="H32" s="868">
        <f>+'Bank Liabilities Analysis'!M33-'Bank Liabilities Analysis'!N33</f>
        <v>0</v>
      </c>
      <c r="I32" s="868">
        <f>+'Bank Liabilities Analysis'!O33-'Bank Liabilities Analysis'!P33</f>
        <v>0</v>
      </c>
      <c r="J32" s="868">
        <f>+'Bank Liabilities Analysis'!Q33-'Bank Liabilities Analysis'!R33</f>
        <v>0</v>
      </c>
      <c r="K32" s="868">
        <f t="shared" si="1"/>
        <v>0</v>
      </c>
      <c r="L32" s="869">
        <v>1</v>
      </c>
      <c r="M32" s="870">
        <f t="shared" si="6"/>
        <v>0</v>
      </c>
      <c r="N32" s="868">
        <f t="shared" si="2"/>
        <v>0</v>
      </c>
      <c r="O32" s="872"/>
      <c r="P32" s="872"/>
      <c r="Q32" s="872"/>
      <c r="R32" s="872"/>
      <c r="S32" s="872"/>
      <c r="T32" s="873"/>
      <c r="U32" s="873"/>
      <c r="V32" s="873"/>
      <c r="W32" s="873"/>
      <c r="X32" s="873"/>
      <c r="Y32" s="873"/>
    </row>
    <row r="33" spans="1:30" s="874" customFormat="1" ht="33.75" customHeight="1">
      <c r="A33" s="866" t="s">
        <v>410</v>
      </c>
      <c r="B33" s="867" t="s">
        <v>450</v>
      </c>
      <c r="C33" s="868">
        <f>+'Bank Liabilities Analysis'!C34-'Bank Liabilities Analysis'!D34</f>
        <v>7741</v>
      </c>
      <c r="D33" s="868">
        <f>+'Bank Liabilities Analysis'!E34-'Bank Liabilities Analysis'!F34</f>
        <v>0</v>
      </c>
      <c r="E33" s="868">
        <f>+'Bank Liabilities Analysis'!G34-'Bank Liabilities Analysis'!H34</f>
        <v>0</v>
      </c>
      <c r="F33" s="868">
        <f>+'Bank Liabilities Analysis'!I34-'Bank Liabilities Analysis'!J34</f>
        <v>0</v>
      </c>
      <c r="G33" s="868">
        <f>+'Bank Liabilities Analysis'!K34-'Bank Liabilities Analysis'!L34</f>
        <v>0</v>
      </c>
      <c r="H33" s="868">
        <f>+'Bank Liabilities Analysis'!M34-'Bank Liabilities Analysis'!N34</f>
        <v>0</v>
      </c>
      <c r="I33" s="868">
        <f>+'Bank Liabilities Analysis'!O34-'Bank Liabilities Analysis'!P34</f>
        <v>0</v>
      </c>
      <c r="J33" s="868">
        <f>+'Bank Liabilities Analysis'!Q34-'Bank Liabilities Analysis'!R34</f>
        <v>0</v>
      </c>
      <c r="K33" s="868">
        <f t="shared" si="1"/>
        <v>7741</v>
      </c>
      <c r="L33" s="869">
        <v>1</v>
      </c>
      <c r="M33" s="870">
        <f t="shared" si="6"/>
        <v>7741</v>
      </c>
      <c r="N33" s="868">
        <f t="shared" si="2"/>
        <v>7741</v>
      </c>
      <c r="O33" s="872"/>
      <c r="P33" s="872"/>
      <c r="Q33" s="872"/>
      <c r="R33" s="872"/>
      <c r="S33" s="872"/>
      <c r="T33" s="873"/>
      <c r="U33" s="873"/>
      <c r="V33" s="873"/>
      <c r="W33" s="873"/>
      <c r="X33" s="873"/>
      <c r="Y33" s="873"/>
    </row>
    <row r="34" spans="1:30" s="874" customFormat="1" ht="25.5" customHeight="1">
      <c r="A34" s="866" t="s">
        <v>451</v>
      </c>
      <c r="B34" s="867" t="s">
        <v>452</v>
      </c>
      <c r="C34" s="868">
        <f>+'Bank Liabilities Analysis'!C35-'Bank Liabilities Analysis'!D35</f>
        <v>1448014</v>
      </c>
      <c r="D34" s="868">
        <f>+'Bank Liabilities Analysis'!E35-'Bank Liabilities Analysis'!F35</f>
        <v>0</v>
      </c>
      <c r="E34" s="868">
        <f>+'Bank Liabilities Analysis'!G35-'Bank Liabilities Analysis'!H35</f>
        <v>0</v>
      </c>
      <c r="F34" s="868">
        <f>+'Bank Liabilities Analysis'!I35-'Bank Liabilities Analysis'!J35</f>
        <v>0</v>
      </c>
      <c r="G34" s="868">
        <f>+'Bank Liabilities Analysis'!K35-'Bank Liabilities Analysis'!L35</f>
        <v>0</v>
      </c>
      <c r="H34" s="868">
        <f>+'Bank Liabilities Analysis'!M35-'Bank Liabilities Analysis'!N35</f>
        <v>0</v>
      </c>
      <c r="I34" s="868">
        <f>+'Bank Liabilities Analysis'!O35-'Bank Liabilities Analysis'!P35</f>
        <v>0</v>
      </c>
      <c r="J34" s="868">
        <f>+'Bank Liabilities Analysis'!Q35-'Bank Liabilities Analysis'!R35</f>
        <v>0</v>
      </c>
      <c r="K34" s="868">
        <f t="shared" si="1"/>
        <v>1448014</v>
      </c>
      <c r="L34" s="869">
        <v>1</v>
      </c>
      <c r="M34" s="870">
        <f t="shared" si="6"/>
        <v>1448014</v>
      </c>
      <c r="N34" s="868">
        <f t="shared" si="2"/>
        <v>1448014</v>
      </c>
      <c r="O34" s="872"/>
      <c r="P34" s="872"/>
      <c r="Q34" s="872"/>
      <c r="R34" s="872"/>
      <c r="S34" s="872"/>
      <c r="T34" s="873"/>
      <c r="U34" s="873"/>
      <c r="V34" s="873"/>
      <c r="W34" s="873"/>
      <c r="X34" s="873"/>
      <c r="Y34" s="873"/>
    </row>
    <row r="35" spans="1:30" s="874" customFormat="1" ht="25.5" customHeight="1">
      <c r="A35" s="866" t="s">
        <v>453</v>
      </c>
      <c r="B35" s="867" t="s">
        <v>428</v>
      </c>
      <c r="C35" s="868">
        <f>+'Bank Liabilities Analysis'!C36-'Bank Liabilities Analysis'!D36</f>
        <v>10224338</v>
      </c>
      <c r="D35" s="868">
        <f>+'Bank Liabilities Analysis'!E36-'Bank Liabilities Analysis'!F36</f>
        <v>0</v>
      </c>
      <c r="E35" s="868">
        <f>+'Bank Liabilities Analysis'!G36-'Bank Liabilities Analysis'!H36</f>
        <v>0</v>
      </c>
      <c r="F35" s="868">
        <f>+'Bank Liabilities Analysis'!I36-'Bank Liabilities Analysis'!J36</f>
        <v>0</v>
      </c>
      <c r="G35" s="868">
        <f>+'Bank Liabilities Analysis'!K36-'Bank Liabilities Analysis'!L36</f>
        <v>0</v>
      </c>
      <c r="H35" s="868">
        <f>+'Bank Liabilities Analysis'!M36-'Bank Liabilities Analysis'!N36</f>
        <v>0</v>
      </c>
      <c r="I35" s="868">
        <f>+'Bank Liabilities Analysis'!O36-'Bank Liabilities Analysis'!P36</f>
        <v>0</v>
      </c>
      <c r="J35" s="868">
        <f>+'Bank Liabilities Analysis'!Q36-'Bank Liabilities Analysis'!R36</f>
        <v>0</v>
      </c>
      <c r="K35" s="868">
        <f t="shared" si="1"/>
        <v>10224338</v>
      </c>
      <c r="L35" s="869">
        <v>1</v>
      </c>
      <c r="M35" s="870">
        <f t="shared" si="6"/>
        <v>10224338</v>
      </c>
      <c r="N35" s="868">
        <f t="shared" si="2"/>
        <v>10224338</v>
      </c>
      <c r="O35" s="872"/>
      <c r="P35" s="872"/>
      <c r="Q35" s="872"/>
      <c r="R35" s="872"/>
      <c r="S35" s="872"/>
      <c r="T35" s="873"/>
      <c r="U35" s="873"/>
      <c r="V35" s="873"/>
      <c r="W35" s="873"/>
      <c r="X35" s="873"/>
      <c r="Y35" s="873"/>
    </row>
    <row r="36" spans="1:30" s="874" customFormat="1" ht="25.5" customHeight="1">
      <c r="A36" s="866" t="s">
        <v>414</v>
      </c>
      <c r="B36" s="867" t="s">
        <v>454</v>
      </c>
      <c r="C36" s="868">
        <f>+'Bank Liabilities Analysis'!C37-'Bank Liabilities Analysis'!D37</f>
        <v>42698218</v>
      </c>
      <c r="D36" s="868">
        <f>+'Bank Liabilities Analysis'!E37-'Bank Liabilities Analysis'!F37</f>
        <v>0</v>
      </c>
      <c r="E36" s="868">
        <f>+'Bank Liabilities Analysis'!G37-'Bank Liabilities Analysis'!H37</f>
        <v>0</v>
      </c>
      <c r="F36" s="868">
        <f>+'Bank Liabilities Analysis'!I37-'Bank Liabilities Analysis'!J37</f>
        <v>0</v>
      </c>
      <c r="G36" s="868">
        <f>+'Bank Liabilities Analysis'!K37-'Bank Liabilities Analysis'!L37</f>
        <v>0</v>
      </c>
      <c r="H36" s="868">
        <f>+'Bank Liabilities Analysis'!M37-'Bank Liabilities Analysis'!N37</f>
        <v>0</v>
      </c>
      <c r="I36" s="868">
        <f>+'Bank Liabilities Analysis'!O37-'Bank Liabilities Analysis'!P37</f>
        <v>0</v>
      </c>
      <c r="J36" s="868">
        <f>+'Bank Liabilities Analysis'!Q37-'Bank Liabilities Analysis'!R37</f>
        <v>0</v>
      </c>
      <c r="K36" s="868">
        <f t="shared" si="1"/>
        <v>42698218</v>
      </c>
      <c r="L36" s="869">
        <v>0.3</v>
      </c>
      <c r="M36" s="870">
        <f t="shared" si="6"/>
        <v>42698218</v>
      </c>
      <c r="N36" s="868">
        <f t="shared" si="2"/>
        <v>12809465.4</v>
      </c>
      <c r="O36" s="872"/>
      <c r="P36" s="872"/>
      <c r="Q36" s="872"/>
      <c r="R36" s="872"/>
      <c r="S36" s="872"/>
      <c r="T36" s="873"/>
      <c r="U36" s="873"/>
      <c r="V36" s="873"/>
      <c r="W36" s="873"/>
      <c r="X36" s="873"/>
      <c r="Y36" s="873"/>
    </row>
    <row r="37" spans="1:30" s="873" customFormat="1" ht="25.5" customHeight="1">
      <c r="A37" s="875" t="s">
        <v>416</v>
      </c>
      <c r="B37" s="876" t="s">
        <v>455</v>
      </c>
      <c r="C37" s="877">
        <f>+C21+C27+C28+C29+C30+C31+C32+C33+C34+C35+C36+C22+C23</f>
        <v>449004121</v>
      </c>
      <c r="D37" s="877">
        <f t="shared" ref="D37:K37" si="7">+D21+D27+D28+D29+D30+D31+D32+D33+D34+D35+D36+D22+D23</f>
        <v>52510570</v>
      </c>
      <c r="E37" s="877">
        <f t="shared" si="7"/>
        <v>75775111</v>
      </c>
      <c r="F37" s="877">
        <f t="shared" si="7"/>
        <v>222605062</v>
      </c>
      <c r="G37" s="877">
        <f t="shared" si="7"/>
        <v>83380461</v>
      </c>
      <c r="H37" s="877">
        <f t="shared" si="7"/>
        <v>345423648</v>
      </c>
      <c r="I37" s="877">
        <f t="shared" si="7"/>
        <v>349269516</v>
      </c>
      <c r="J37" s="877">
        <f t="shared" si="7"/>
        <v>736058001</v>
      </c>
      <c r="K37" s="877">
        <f t="shared" si="7"/>
        <v>2314026490</v>
      </c>
      <c r="L37" s="877" t="s">
        <v>57</v>
      </c>
      <c r="M37" s="877"/>
      <c r="N37" s="877">
        <f>SUM(N8:N36)</f>
        <v>261230480</v>
      </c>
      <c r="O37" s="880">
        <f>+Balance!D61</f>
        <v>2314026490</v>
      </c>
      <c r="P37" s="880">
        <f>+K37-O37</f>
        <v>0</v>
      </c>
      <c r="Q37" s="880">
        <f>+Balance!E61</f>
        <v>1951140440</v>
      </c>
      <c r="S37" s="872"/>
    </row>
    <row r="38" spans="1:30" s="202" customFormat="1" ht="15.75">
      <c r="A38" s="497"/>
      <c r="B38" s="253" t="s">
        <v>936</v>
      </c>
      <c r="C38" s="137"/>
      <c r="D38" s="137"/>
      <c r="E38" s="137"/>
      <c r="F38" s="137"/>
      <c r="G38" s="137"/>
      <c r="H38" s="137"/>
      <c r="I38" s="137"/>
      <c r="J38" s="137"/>
      <c r="K38" s="137">
        <f t="shared" ref="K38:K53" si="8">+C38+D38+E38+F38+G38+H38+I38+J38</f>
        <v>0</v>
      </c>
      <c r="L38" s="87"/>
      <c r="M38" s="87"/>
      <c r="N38" s="87"/>
      <c r="O38" s="878">
        <f>+Balance!C62</f>
        <v>0</v>
      </c>
      <c r="P38" s="878">
        <f>+Balance!D62</f>
        <v>0</v>
      </c>
      <c r="Q38" s="878">
        <f>+Balance!E62</f>
        <v>0</v>
      </c>
      <c r="R38" s="873"/>
      <c r="S38" s="872"/>
      <c r="T38" s="873"/>
      <c r="U38" s="873"/>
      <c r="V38" s="873"/>
      <c r="W38" s="873"/>
      <c r="X38" s="873"/>
      <c r="Y38" s="835"/>
      <c r="Z38" s="835"/>
      <c r="AA38" s="836"/>
      <c r="AB38" s="836"/>
      <c r="AC38" s="836"/>
      <c r="AD38" s="247"/>
    </row>
    <row r="39" spans="1:30" s="202" customFormat="1" ht="15.75">
      <c r="A39" s="497"/>
      <c r="B39" s="167" t="s">
        <v>937</v>
      </c>
      <c r="C39" s="137">
        <f>+C40+C41</f>
        <v>0</v>
      </c>
      <c r="D39" s="137">
        <f t="shared" ref="D39:J39" si="9">+D40+D41</f>
        <v>0</v>
      </c>
      <c r="E39" s="137">
        <f t="shared" si="9"/>
        <v>0</v>
      </c>
      <c r="F39" s="137">
        <f t="shared" si="9"/>
        <v>0</v>
      </c>
      <c r="G39" s="137">
        <f t="shared" si="9"/>
        <v>0</v>
      </c>
      <c r="H39" s="137">
        <f t="shared" si="9"/>
        <v>0</v>
      </c>
      <c r="I39" s="137">
        <f t="shared" si="9"/>
        <v>0</v>
      </c>
      <c r="J39" s="137">
        <f t="shared" si="9"/>
        <v>0</v>
      </c>
      <c r="K39" s="137">
        <f t="shared" si="8"/>
        <v>0</v>
      </c>
      <c r="L39" s="137"/>
      <c r="M39" s="137"/>
      <c r="N39" s="137"/>
      <c r="O39" s="878"/>
      <c r="P39" s="878"/>
      <c r="Q39" s="878"/>
      <c r="R39" s="873"/>
      <c r="S39" s="872"/>
      <c r="T39" s="873"/>
      <c r="U39" s="873"/>
      <c r="V39" s="873"/>
      <c r="W39" s="873"/>
      <c r="X39" s="873"/>
      <c r="Y39" s="835"/>
      <c r="Z39" s="835"/>
      <c r="AA39" s="836"/>
      <c r="AB39" s="836"/>
      <c r="AC39" s="836"/>
      <c r="AD39" s="247"/>
    </row>
    <row r="40" spans="1:30" s="202" customFormat="1" ht="15.75" customHeight="1">
      <c r="A40" s="497"/>
      <c r="B40" s="168" t="s">
        <v>860</v>
      </c>
      <c r="C40" s="137">
        <f>+'Bank Liabilities Analysis'!C41-'Bank Liabilities Analysis'!D41</f>
        <v>0</v>
      </c>
      <c r="D40" s="137">
        <f>+'Bank Liabilities Analysis'!E41-'Bank Liabilities Analysis'!F41</f>
        <v>0</v>
      </c>
      <c r="E40" s="137">
        <f>+'Bank Liabilities Analysis'!G41-'Bank Liabilities Analysis'!H41</f>
        <v>0</v>
      </c>
      <c r="F40" s="137">
        <f>+'Bank Liabilities Analysis'!I41-'Bank Liabilities Analysis'!J41</f>
        <v>0</v>
      </c>
      <c r="G40" s="137">
        <f>+'Bank Liabilities Analysis'!K41-'Bank Liabilities Analysis'!L41</f>
        <v>0</v>
      </c>
      <c r="H40" s="137">
        <f>+'Bank Liabilities Analysis'!M41-'Bank Liabilities Analysis'!N41</f>
        <v>0</v>
      </c>
      <c r="I40" s="137">
        <f>+'Bank Liabilities Analysis'!O41-'Bank Liabilities Analysis'!P41</f>
        <v>0</v>
      </c>
      <c r="J40" s="137">
        <f>+'Bank Liabilities Analysis'!Q41-'Bank Liabilities Analysis'!R41</f>
        <v>0</v>
      </c>
      <c r="K40" s="137">
        <f t="shared" si="8"/>
        <v>0</v>
      </c>
      <c r="L40" s="87"/>
      <c r="M40" s="87"/>
      <c r="N40" s="87"/>
      <c r="O40" s="878"/>
      <c r="P40" s="878"/>
      <c r="Q40" s="878"/>
      <c r="R40" s="873"/>
      <c r="S40" s="872"/>
      <c r="T40" s="873"/>
      <c r="U40" s="873"/>
      <c r="V40" s="873"/>
      <c r="W40" s="873"/>
      <c r="X40" s="873"/>
      <c r="Y40" s="835"/>
      <c r="Z40" s="835"/>
      <c r="AA40" s="836"/>
      <c r="AB40" s="836"/>
      <c r="AC40" s="836"/>
      <c r="AD40" s="247"/>
    </row>
    <row r="41" spans="1:30" s="202" customFormat="1" ht="15.75" customHeight="1">
      <c r="A41" s="497"/>
      <c r="B41" s="168" t="s">
        <v>938</v>
      </c>
      <c r="C41" s="137">
        <f>+'Bank Liabilities Analysis'!C42-'Bank Liabilities Analysis'!D42</f>
        <v>0</v>
      </c>
      <c r="D41" s="137">
        <f>+'Bank Liabilities Analysis'!E42-'Bank Liabilities Analysis'!F42</f>
        <v>0</v>
      </c>
      <c r="E41" s="137">
        <f>+'Bank Liabilities Analysis'!G42-'Bank Liabilities Analysis'!H42</f>
        <v>0</v>
      </c>
      <c r="F41" s="137">
        <f>+'Bank Liabilities Analysis'!I42-'Bank Liabilities Analysis'!J42</f>
        <v>0</v>
      </c>
      <c r="G41" s="137">
        <f>+'Bank Liabilities Analysis'!K42-'Bank Liabilities Analysis'!L42</f>
        <v>0</v>
      </c>
      <c r="H41" s="137">
        <f>+'Bank Liabilities Analysis'!M42-'Bank Liabilities Analysis'!N42</f>
        <v>0</v>
      </c>
      <c r="I41" s="137">
        <f>+'Bank Liabilities Analysis'!O42-'Bank Liabilities Analysis'!P42</f>
        <v>0</v>
      </c>
      <c r="J41" s="137">
        <f>+'Bank Liabilities Analysis'!Q42-'Bank Liabilities Analysis'!R42</f>
        <v>0</v>
      </c>
      <c r="K41" s="137">
        <f t="shared" si="8"/>
        <v>0</v>
      </c>
      <c r="L41" s="87"/>
      <c r="M41" s="87"/>
      <c r="N41" s="87"/>
      <c r="O41" s="878"/>
      <c r="P41" s="878"/>
      <c r="Q41" s="878"/>
      <c r="R41" s="873"/>
      <c r="S41" s="872"/>
      <c r="T41" s="873"/>
      <c r="U41" s="873"/>
      <c r="V41" s="873"/>
      <c r="W41" s="873"/>
      <c r="X41" s="873"/>
      <c r="Y41" s="835"/>
      <c r="Z41" s="835"/>
      <c r="AA41" s="836"/>
      <c r="AB41" s="836"/>
      <c r="AC41" s="836"/>
      <c r="AD41" s="247"/>
    </row>
    <row r="42" spans="1:30" s="202" customFormat="1" ht="15.75" customHeight="1">
      <c r="A42" s="497"/>
      <c r="B42" s="167" t="s">
        <v>939</v>
      </c>
      <c r="C42" s="137">
        <f>+C43+C44</f>
        <v>0</v>
      </c>
      <c r="D42" s="137">
        <f t="shared" ref="D42:J42" si="10">+D43+D44</f>
        <v>0</v>
      </c>
      <c r="E42" s="137">
        <f t="shared" si="10"/>
        <v>3480898</v>
      </c>
      <c r="F42" s="137">
        <f t="shared" si="10"/>
        <v>14381087</v>
      </c>
      <c r="G42" s="137">
        <f t="shared" si="10"/>
        <v>9264946</v>
      </c>
      <c r="H42" s="137">
        <f t="shared" si="10"/>
        <v>32977607</v>
      </c>
      <c r="I42" s="137">
        <f t="shared" si="10"/>
        <v>86025208</v>
      </c>
      <c r="J42" s="137">
        <f t="shared" si="10"/>
        <v>43183835</v>
      </c>
      <c r="K42" s="137">
        <f t="shared" si="8"/>
        <v>189313581</v>
      </c>
      <c r="L42" s="137"/>
      <c r="M42" s="137"/>
      <c r="N42" s="137"/>
      <c r="O42" s="878"/>
      <c r="P42" s="878"/>
      <c r="Q42" s="878"/>
      <c r="R42" s="873"/>
      <c r="S42" s="872"/>
      <c r="T42" s="873"/>
      <c r="U42" s="873"/>
      <c r="V42" s="873"/>
      <c r="W42" s="873"/>
      <c r="X42" s="873"/>
      <c r="Y42" s="835"/>
      <c r="Z42" s="835"/>
      <c r="AA42" s="836"/>
      <c r="AB42" s="836"/>
      <c r="AC42" s="836"/>
      <c r="AD42" s="247"/>
    </row>
    <row r="43" spans="1:30" s="202" customFormat="1" ht="15.75" customHeight="1">
      <c r="A43" s="497"/>
      <c r="B43" s="168" t="s">
        <v>860</v>
      </c>
      <c r="C43" s="137">
        <f>+'Bank Liabilities Analysis'!C44-'Bank Liabilities Analysis'!D44</f>
        <v>0</v>
      </c>
      <c r="D43" s="137">
        <f>+'Bank Liabilities Analysis'!E44-'Bank Liabilities Analysis'!F44</f>
        <v>0</v>
      </c>
      <c r="E43" s="137">
        <f>+'Bank Liabilities Analysis'!G44-'Bank Liabilities Analysis'!H44</f>
        <v>3480898</v>
      </c>
      <c r="F43" s="137">
        <f>+'Bank Liabilities Analysis'!I44-'Bank Liabilities Analysis'!J44</f>
        <v>7123087</v>
      </c>
      <c r="G43" s="137">
        <f>+'Bank Liabilities Analysis'!K44-'Bank Liabilities Analysis'!L44</f>
        <v>8939364</v>
      </c>
      <c r="H43" s="137">
        <f>+'Bank Liabilities Analysis'!M44-'Bank Liabilities Analysis'!N44</f>
        <v>31977607</v>
      </c>
      <c r="I43" s="137">
        <f>+'Bank Liabilities Analysis'!O44-'Bank Liabilities Analysis'!P44</f>
        <v>51111511</v>
      </c>
      <c r="J43" s="137">
        <f>+'Bank Liabilities Analysis'!Q44-'Bank Liabilities Analysis'!R44</f>
        <v>15061716</v>
      </c>
      <c r="K43" s="137">
        <f t="shared" si="8"/>
        <v>117694183</v>
      </c>
      <c r="L43" s="87"/>
      <c r="M43" s="87"/>
      <c r="N43" s="87"/>
      <c r="O43" s="878"/>
      <c r="P43" s="878"/>
      <c r="Q43" s="878"/>
      <c r="R43" s="873"/>
      <c r="S43" s="872"/>
      <c r="T43" s="873"/>
      <c r="U43" s="873"/>
      <c r="V43" s="873"/>
      <c r="W43" s="873"/>
      <c r="X43" s="873"/>
      <c r="Y43" s="835"/>
      <c r="Z43" s="835"/>
      <c r="AA43" s="836"/>
      <c r="AB43" s="836"/>
      <c r="AC43" s="836"/>
      <c r="AD43" s="247"/>
    </row>
    <row r="44" spans="1:30" s="202" customFormat="1" ht="15.75" customHeight="1">
      <c r="A44" s="500"/>
      <c r="B44" s="168" t="s">
        <v>938</v>
      </c>
      <c r="C44" s="137">
        <f>+'Bank Liabilities Analysis'!C45-'Bank Liabilities Analysis'!D45</f>
        <v>0</v>
      </c>
      <c r="D44" s="137">
        <f>+'Bank Liabilities Analysis'!E45-'Bank Liabilities Analysis'!F45</f>
        <v>0</v>
      </c>
      <c r="E44" s="137">
        <f>+'Bank Liabilities Analysis'!G45-'Bank Liabilities Analysis'!H45</f>
        <v>0</v>
      </c>
      <c r="F44" s="137">
        <f>+'Bank Liabilities Analysis'!I45-'Bank Liabilities Analysis'!J45</f>
        <v>7258000</v>
      </c>
      <c r="G44" s="137">
        <f>+'Bank Liabilities Analysis'!K45-'Bank Liabilities Analysis'!L45</f>
        <v>325582</v>
      </c>
      <c r="H44" s="137">
        <f>+'Bank Liabilities Analysis'!M45-'Bank Liabilities Analysis'!N45</f>
        <v>1000000</v>
      </c>
      <c r="I44" s="137">
        <f>+'Bank Liabilities Analysis'!O45-'Bank Liabilities Analysis'!P45</f>
        <v>34913697</v>
      </c>
      <c r="J44" s="137">
        <f>+'Bank Liabilities Analysis'!Q45-'Bank Liabilities Analysis'!R45</f>
        <v>28122119</v>
      </c>
      <c r="K44" s="137">
        <f t="shared" si="8"/>
        <v>71619398</v>
      </c>
      <c r="L44" s="87"/>
      <c r="M44" s="87"/>
      <c r="N44" s="87"/>
      <c r="O44" s="878"/>
      <c r="P44" s="878"/>
      <c r="Q44" s="878"/>
      <c r="R44" s="873"/>
      <c r="S44" s="872"/>
      <c r="T44" s="873"/>
      <c r="U44" s="873"/>
      <c r="V44" s="873"/>
      <c r="W44" s="873"/>
      <c r="X44" s="873"/>
      <c r="Y44" s="835"/>
      <c r="Z44" s="835"/>
      <c r="AA44" s="836"/>
      <c r="AB44" s="836"/>
      <c r="AC44" s="836"/>
      <c r="AD44" s="247"/>
    </row>
    <row r="45" spans="1:30" s="202" customFormat="1" ht="15.75">
      <c r="A45" s="500"/>
      <c r="B45" s="167" t="s">
        <v>940</v>
      </c>
      <c r="C45" s="137">
        <f>+C46+C47</f>
        <v>0</v>
      </c>
      <c r="D45" s="137">
        <f t="shared" ref="D45:J45" si="11">+D46+D47</f>
        <v>0</v>
      </c>
      <c r="E45" s="137">
        <f t="shared" si="11"/>
        <v>0</v>
      </c>
      <c r="F45" s="137">
        <f t="shared" si="11"/>
        <v>0</v>
      </c>
      <c r="G45" s="137">
        <f t="shared" si="11"/>
        <v>0</v>
      </c>
      <c r="H45" s="137">
        <f t="shared" si="11"/>
        <v>0</v>
      </c>
      <c r="I45" s="137">
        <f t="shared" si="11"/>
        <v>0</v>
      </c>
      <c r="J45" s="137">
        <f t="shared" si="11"/>
        <v>0</v>
      </c>
      <c r="K45" s="137">
        <f t="shared" si="8"/>
        <v>0</v>
      </c>
      <c r="L45" s="137"/>
      <c r="M45" s="137"/>
      <c r="N45" s="137"/>
      <c r="O45" s="878"/>
      <c r="P45" s="878"/>
      <c r="Q45" s="878"/>
      <c r="R45" s="873"/>
      <c r="S45" s="872"/>
      <c r="T45" s="873"/>
      <c r="U45" s="873"/>
      <c r="V45" s="873"/>
      <c r="W45" s="873"/>
      <c r="X45" s="873"/>
      <c r="Y45" s="835"/>
      <c r="Z45" s="835"/>
      <c r="AA45" s="836"/>
      <c r="AB45" s="836"/>
      <c r="AC45" s="836"/>
      <c r="AD45" s="247"/>
    </row>
    <row r="46" spans="1:30" s="202" customFormat="1" ht="15.75" customHeight="1">
      <c r="A46" s="500"/>
      <c r="B46" s="168" t="s">
        <v>860</v>
      </c>
      <c r="C46" s="137">
        <f>+'Bank Liabilities Analysis'!C47-'Bank Liabilities Analysis'!D47</f>
        <v>0</v>
      </c>
      <c r="D46" s="137">
        <f>+'Bank Liabilities Analysis'!E47-'Bank Liabilities Analysis'!F47</f>
        <v>0</v>
      </c>
      <c r="E46" s="137">
        <f>+'Bank Liabilities Analysis'!G47-'Bank Liabilities Analysis'!H47</f>
        <v>0</v>
      </c>
      <c r="F46" s="137">
        <f>+'Bank Liabilities Analysis'!I47-'Bank Liabilities Analysis'!J47</f>
        <v>0</v>
      </c>
      <c r="G46" s="137">
        <f>+'Bank Liabilities Analysis'!K47-'Bank Liabilities Analysis'!L47</f>
        <v>0</v>
      </c>
      <c r="H46" s="137">
        <f>+'Bank Liabilities Analysis'!M47-'Bank Liabilities Analysis'!N47</f>
        <v>0</v>
      </c>
      <c r="I46" s="137">
        <f>+'Bank Liabilities Analysis'!O47-'Bank Liabilities Analysis'!P47</f>
        <v>0</v>
      </c>
      <c r="J46" s="137">
        <f>+'Bank Liabilities Analysis'!Q47-'Bank Liabilities Analysis'!R47</f>
        <v>0</v>
      </c>
      <c r="K46" s="137">
        <f t="shared" si="8"/>
        <v>0</v>
      </c>
      <c r="L46" s="87"/>
      <c r="M46" s="87"/>
      <c r="N46" s="87"/>
      <c r="O46" s="878"/>
      <c r="P46" s="878"/>
      <c r="Q46" s="878"/>
      <c r="R46" s="873"/>
      <c r="S46" s="872"/>
      <c r="T46" s="873"/>
      <c r="U46" s="873"/>
      <c r="V46" s="873"/>
      <c r="W46" s="873"/>
      <c r="X46" s="873"/>
      <c r="Y46" s="835"/>
      <c r="Z46" s="835"/>
      <c r="AA46" s="836"/>
      <c r="AB46" s="836"/>
      <c r="AC46" s="836"/>
      <c r="AD46" s="247"/>
    </row>
    <row r="47" spans="1:30" s="202" customFormat="1" ht="15.75" customHeight="1">
      <c r="A47" s="500"/>
      <c r="B47" s="168" t="s">
        <v>938</v>
      </c>
      <c r="C47" s="137">
        <f>+'Bank Liabilities Analysis'!C48-'Bank Liabilities Analysis'!D48</f>
        <v>0</v>
      </c>
      <c r="D47" s="137">
        <f>+'Bank Liabilities Analysis'!E48-'Bank Liabilities Analysis'!F48</f>
        <v>0</v>
      </c>
      <c r="E47" s="137">
        <f>+'Bank Liabilities Analysis'!G48-'Bank Liabilities Analysis'!H48</f>
        <v>0</v>
      </c>
      <c r="F47" s="137">
        <f>+'Bank Liabilities Analysis'!I48-'Bank Liabilities Analysis'!J48</f>
        <v>0</v>
      </c>
      <c r="G47" s="137">
        <f>+'Bank Liabilities Analysis'!K48-'Bank Liabilities Analysis'!L48</f>
        <v>0</v>
      </c>
      <c r="H47" s="137">
        <f>+'Bank Liabilities Analysis'!M48-'Bank Liabilities Analysis'!N48</f>
        <v>0</v>
      </c>
      <c r="I47" s="137">
        <f>+'Bank Liabilities Analysis'!O48-'Bank Liabilities Analysis'!P48</f>
        <v>0</v>
      </c>
      <c r="J47" s="137">
        <f>+'Bank Liabilities Analysis'!Q48-'Bank Liabilities Analysis'!R48</f>
        <v>0</v>
      </c>
      <c r="K47" s="137">
        <f t="shared" si="8"/>
        <v>0</v>
      </c>
      <c r="L47" s="87"/>
      <c r="M47" s="87"/>
      <c r="N47" s="87"/>
      <c r="O47" s="878"/>
      <c r="P47" s="878"/>
      <c r="Q47" s="878"/>
      <c r="R47" s="873"/>
      <c r="S47" s="872"/>
      <c r="T47" s="873"/>
      <c r="U47" s="873"/>
      <c r="V47" s="873"/>
      <c r="W47" s="873"/>
      <c r="X47" s="873"/>
      <c r="Y47" s="835"/>
      <c r="Z47" s="835"/>
      <c r="AA47" s="836"/>
      <c r="AB47" s="836"/>
      <c r="AC47" s="836"/>
      <c r="AD47" s="247"/>
    </row>
    <row r="48" spans="1:30" s="202" customFormat="1" ht="15.75" customHeight="1">
      <c r="A48" s="500"/>
      <c r="B48" s="167" t="s">
        <v>941</v>
      </c>
      <c r="C48" s="137">
        <f>+C49+C50</f>
        <v>0</v>
      </c>
      <c r="D48" s="137">
        <f t="shared" ref="D48:J48" si="12">+D49+D50</f>
        <v>0</v>
      </c>
      <c r="E48" s="137">
        <f t="shared" si="12"/>
        <v>0</v>
      </c>
      <c r="F48" s="137">
        <f t="shared" si="12"/>
        <v>0</v>
      </c>
      <c r="G48" s="137">
        <f t="shared" si="12"/>
        <v>0</v>
      </c>
      <c r="H48" s="137">
        <f t="shared" si="12"/>
        <v>0</v>
      </c>
      <c r="I48" s="137">
        <f t="shared" si="12"/>
        <v>0</v>
      </c>
      <c r="J48" s="137">
        <f t="shared" si="12"/>
        <v>0</v>
      </c>
      <c r="K48" s="137">
        <f t="shared" si="8"/>
        <v>0</v>
      </c>
      <c r="L48" s="137"/>
      <c r="M48" s="137"/>
      <c r="N48" s="137"/>
      <c r="O48" s="878"/>
      <c r="P48" s="878"/>
      <c r="Q48" s="878"/>
      <c r="R48" s="873"/>
      <c r="S48" s="872"/>
      <c r="T48" s="873"/>
      <c r="U48" s="873"/>
      <c r="V48" s="873"/>
      <c r="W48" s="873"/>
      <c r="X48" s="873"/>
      <c r="Y48" s="835"/>
      <c r="Z48" s="835"/>
      <c r="AA48" s="836"/>
      <c r="AB48" s="836"/>
      <c r="AC48" s="836"/>
      <c r="AD48" s="247"/>
    </row>
    <row r="49" spans="1:30" s="202" customFormat="1" ht="15.75" customHeight="1">
      <c r="A49" s="500"/>
      <c r="B49" s="168" t="s">
        <v>860</v>
      </c>
      <c r="C49" s="137">
        <f>+'Bank Liabilities Analysis'!C50-'Bank Liabilities Analysis'!D50</f>
        <v>0</v>
      </c>
      <c r="D49" s="137">
        <f>+'Bank Liabilities Analysis'!E50-'Bank Liabilities Analysis'!F50</f>
        <v>0</v>
      </c>
      <c r="E49" s="137">
        <f>+'Bank Liabilities Analysis'!G50-'Bank Liabilities Analysis'!H50</f>
        <v>0</v>
      </c>
      <c r="F49" s="137">
        <f>+'Bank Liabilities Analysis'!I50-'Bank Liabilities Analysis'!J50</f>
        <v>0</v>
      </c>
      <c r="G49" s="137">
        <f>+'Bank Liabilities Analysis'!K50-'Bank Liabilities Analysis'!L50</f>
        <v>0</v>
      </c>
      <c r="H49" s="137">
        <f>+'Bank Liabilities Analysis'!M50-'Bank Liabilities Analysis'!N50</f>
        <v>0</v>
      </c>
      <c r="I49" s="137">
        <f>+'Bank Liabilities Analysis'!O50-'Bank Liabilities Analysis'!P50</f>
        <v>0</v>
      </c>
      <c r="J49" s="137">
        <f>+'Bank Liabilities Analysis'!Q50-'Bank Liabilities Analysis'!R50</f>
        <v>0</v>
      </c>
      <c r="K49" s="137">
        <f t="shared" si="8"/>
        <v>0</v>
      </c>
      <c r="L49" s="87"/>
      <c r="M49" s="87"/>
      <c r="N49" s="87"/>
      <c r="O49" s="878"/>
      <c r="P49" s="878"/>
      <c r="Q49" s="878"/>
      <c r="R49" s="873"/>
      <c r="S49" s="872"/>
      <c r="T49" s="873"/>
      <c r="U49" s="873"/>
      <c r="V49" s="873"/>
      <c r="W49" s="873"/>
      <c r="X49" s="873"/>
      <c r="Y49" s="835"/>
      <c r="Z49" s="835"/>
      <c r="AA49" s="836"/>
      <c r="AB49" s="836"/>
      <c r="AC49" s="836"/>
      <c r="AD49" s="247"/>
    </row>
    <row r="50" spans="1:30" s="202" customFormat="1" ht="15.75" customHeight="1">
      <c r="A50" s="500"/>
      <c r="B50" s="168" t="s">
        <v>938</v>
      </c>
      <c r="C50" s="137">
        <f>+'Bank Liabilities Analysis'!C51-'Bank Liabilities Analysis'!D51</f>
        <v>0</v>
      </c>
      <c r="D50" s="137">
        <f>+'Bank Liabilities Analysis'!E51-'Bank Liabilities Analysis'!F51</f>
        <v>0</v>
      </c>
      <c r="E50" s="137">
        <f>+'Bank Liabilities Analysis'!G51-'Bank Liabilities Analysis'!H51</f>
        <v>0</v>
      </c>
      <c r="F50" s="137">
        <f>+'Bank Liabilities Analysis'!I51-'Bank Liabilities Analysis'!J51</f>
        <v>0</v>
      </c>
      <c r="G50" s="137">
        <f>+'Bank Liabilities Analysis'!K51-'Bank Liabilities Analysis'!L51</f>
        <v>0</v>
      </c>
      <c r="H50" s="137">
        <f>+'Bank Liabilities Analysis'!M51-'Bank Liabilities Analysis'!N51</f>
        <v>0</v>
      </c>
      <c r="I50" s="137">
        <f>+'Bank Liabilities Analysis'!O51-'Bank Liabilities Analysis'!P51</f>
        <v>0</v>
      </c>
      <c r="J50" s="137">
        <f>+'Bank Liabilities Analysis'!Q51-'Bank Liabilities Analysis'!R51</f>
        <v>0</v>
      </c>
      <c r="K50" s="137">
        <f t="shared" si="8"/>
        <v>0</v>
      </c>
      <c r="L50" s="87"/>
      <c r="M50" s="87"/>
      <c r="N50" s="87"/>
      <c r="O50" s="878"/>
      <c r="P50" s="878"/>
      <c r="Q50" s="878"/>
      <c r="R50" s="873"/>
      <c r="S50" s="872"/>
      <c r="T50" s="873"/>
      <c r="U50" s="873"/>
      <c r="V50" s="873"/>
      <c r="W50" s="873"/>
      <c r="X50" s="873"/>
      <c r="Y50" s="835"/>
      <c r="Z50" s="835"/>
      <c r="AA50" s="836"/>
      <c r="AB50" s="836"/>
      <c r="AC50" s="836"/>
      <c r="AD50" s="247"/>
    </row>
    <row r="51" spans="1:30" s="202" customFormat="1" ht="15.75" customHeight="1">
      <c r="A51" s="500"/>
      <c r="B51" s="167" t="s">
        <v>942</v>
      </c>
      <c r="C51" s="137">
        <f>+C52+C53</f>
        <v>0</v>
      </c>
      <c r="D51" s="137">
        <f t="shared" ref="D51:J51" si="13">+D52+D53</f>
        <v>0</v>
      </c>
      <c r="E51" s="137">
        <f t="shared" si="13"/>
        <v>0</v>
      </c>
      <c r="F51" s="137">
        <f t="shared" si="13"/>
        <v>0</v>
      </c>
      <c r="G51" s="137">
        <f t="shared" si="13"/>
        <v>0</v>
      </c>
      <c r="H51" s="137">
        <f t="shared" si="13"/>
        <v>0</v>
      </c>
      <c r="I51" s="137">
        <f t="shared" si="13"/>
        <v>0</v>
      </c>
      <c r="J51" s="137">
        <f t="shared" si="13"/>
        <v>0</v>
      </c>
      <c r="K51" s="137">
        <f t="shared" si="8"/>
        <v>0</v>
      </c>
      <c r="L51" s="137"/>
      <c r="M51" s="137"/>
      <c r="N51" s="137"/>
      <c r="O51" s="878"/>
      <c r="P51" s="878"/>
      <c r="Q51" s="878"/>
      <c r="R51" s="873"/>
      <c r="S51" s="872"/>
      <c r="T51" s="873"/>
      <c r="U51" s="873"/>
      <c r="V51" s="873"/>
      <c r="W51" s="873"/>
      <c r="X51" s="873"/>
      <c r="Y51" s="835"/>
      <c r="Z51" s="835"/>
      <c r="AA51" s="836"/>
      <c r="AB51" s="836"/>
      <c r="AC51" s="836"/>
      <c r="AD51" s="247"/>
    </row>
    <row r="52" spans="1:30" s="202" customFormat="1" ht="15.75" customHeight="1">
      <c r="A52" s="500"/>
      <c r="B52" s="168" t="s">
        <v>860</v>
      </c>
      <c r="C52" s="137">
        <f>+'Bank Liabilities Analysis'!C53-'Bank Liabilities Analysis'!D53</f>
        <v>0</v>
      </c>
      <c r="D52" s="137">
        <f>+'Bank Liabilities Analysis'!E53-'Bank Liabilities Analysis'!F53</f>
        <v>0</v>
      </c>
      <c r="E52" s="137">
        <f>+'Bank Liabilities Analysis'!G53-'Bank Liabilities Analysis'!H53</f>
        <v>0</v>
      </c>
      <c r="F52" s="137">
        <f>+'Bank Liabilities Analysis'!I53-'Bank Liabilities Analysis'!J53</f>
        <v>0</v>
      </c>
      <c r="G52" s="137">
        <f>+'Bank Liabilities Analysis'!K53-'Bank Liabilities Analysis'!L53</f>
        <v>0</v>
      </c>
      <c r="H52" s="137">
        <f>+'Bank Liabilities Analysis'!M53-'Bank Liabilities Analysis'!N53</f>
        <v>0</v>
      </c>
      <c r="I52" s="137">
        <f>+'Bank Liabilities Analysis'!O53-'Bank Liabilities Analysis'!P53</f>
        <v>0</v>
      </c>
      <c r="J52" s="137">
        <f>+'Bank Liabilities Analysis'!Q53-'Bank Liabilities Analysis'!R53</f>
        <v>0</v>
      </c>
      <c r="K52" s="137">
        <f t="shared" si="8"/>
        <v>0</v>
      </c>
      <c r="L52" s="87"/>
      <c r="M52" s="87"/>
      <c r="N52" s="87"/>
      <c r="O52" s="878"/>
      <c r="P52" s="878"/>
      <c r="Q52" s="878"/>
      <c r="R52" s="873"/>
      <c r="S52" s="872"/>
      <c r="T52" s="873"/>
      <c r="U52" s="873"/>
      <c r="V52" s="873"/>
      <c r="W52" s="873"/>
      <c r="X52" s="873"/>
      <c r="Y52" s="835"/>
      <c r="Z52" s="835"/>
      <c r="AA52" s="836"/>
      <c r="AB52" s="836"/>
      <c r="AC52" s="836"/>
      <c r="AD52" s="247"/>
    </row>
    <row r="53" spans="1:30" s="202" customFormat="1" ht="15.75" customHeight="1">
      <c r="A53" s="500"/>
      <c r="B53" s="168" t="s">
        <v>938</v>
      </c>
      <c r="C53" s="137">
        <f>+'Bank Liabilities Analysis'!C54-'Bank Liabilities Analysis'!D54</f>
        <v>0</v>
      </c>
      <c r="D53" s="137">
        <f>+'Bank Liabilities Analysis'!E54-'Bank Liabilities Analysis'!F54</f>
        <v>0</v>
      </c>
      <c r="E53" s="137">
        <f>+'Bank Liabilities Analysis'!G54-'Bank Liabilities Analysis'!H54</f>
        <v>0</v>
      </c>
      <c r="F53" s="137">
        <f>+'Bank Liabilities Analysis'!I54-'Bank Liabilities Analysis'!J54</f>
        <v>0</v>
      </c>
      <c r="G53" s="137">
        <f>+'Bank Liabilities Analysis'!K54-'Bank Liabilities Analysis'!L54</f>
        <v>0</v>
      </c>
      <c r="H53" s="137">
        <f>+'Bank Liabilities Analysis'!M54-'Bank Liabilities Analysis'!N54</f>
        <v>0</v>
      </c>
      <c r="I53" s="137">
        <f>+'Bank Liabilities Analysis'!O54-'Bank Liabilities Analysis'!P54</f>
        <v>0</v>
      </c>
      <c r="J53" s="137">
        <f>+'Bank Liabilities Analysis'!Q54-'Bank Liabilities Analysis'!R54</f>
        <v>0</v>
      </c>
      <c r="K53" s="137">
        <f t="shared" si="8"/>
        <v>0</v>
      </c>
      <c r="L53" s="87"/>
      <c r="M53" s="87"/>
      <c r="N53" s="87"/>
      <c r="O53" s="878"/>
      <c r="P53" s="878"/>
      <c r="Q53" s="878"/>
      <c r="R53" s="873"/>
      <c r="S53" s="872"/>
      <c r="T53" s="873"/>
      <c r="U53" s="873"/>
      <c r="V53" s="873"/>
      <c r="W53" s="873"/>
      <c r="X53" s="873"/>
      <c r="Y53" s="835"/>
      <c r="Z53" s="835"/>
      <c r="AA53" s="836"/>
      <c r="AB53" s="836"/>
      <c r="AC53" s="836"/>
      <c r="AD53" s="247"/>
    </row>
    <row r="54" spans="1:30" ht="15.75">
      <c r="O54" s="878"/>
      <c r="P54" s="878"/>
      <c r="Q54" s="878"/>
      <c r="R54" s="873"/>
      <c r="S54" s="872"/>
      <c r="T54" s="873"/>
      <c r="U54" s="873"/>
      <c r="V54" s="873"/>
      <c r="W54" s="873"/>
      <c r="X54" s="873"/>
    </row>
    <row r="55" spans="1:30">
      <c r="B55" s="20" t="s">
        <v>4</v>
      </c>
    </row>
    <row r="57" spans="1:30">
      <c r="B57" s="20" t="s">
        <v>5</v>
      </c>
    </row>
  </sheetData>
  <sheetProtection password="CA76" sheet="1" objects="1" scenarios="1"/>
  <mergeCells count="8">
    <mergeCell ref="L1:N1"/>
    <mergeCell ref="A3:A4"/>
    <mergeCell ref="B3:B4"/>
    <mergeCell ref="C3:J3"/>
    <mergeCell ref="K3:K4"/>
    <mergeCell ref="L3:L4"/>
    <mergeCell ref="M3:M4"/>
    <mergeCell ref="N3:N4"/>
  </mergeCells>
  <conditionalFormatting sqref="K37">
    <cfRule type="cellIs" dxfId="130" priority="47" operator="notEqual">
      <formula>$O$37</formula>
    </cfRule>
  </conditionalFormatting>
  <conditionalFormatting sqref="K37">
    <cfRule type="cellIs" dxfId="129" priority="17" operator="notEqual">
      <formula>$O$37</formula>
    </cfRule>
  </conditionalFormatting>
  <conditionalFormatting sqref="L39:L53">
    <cfRule type="cellIs" dxfId="128" priority="13" operator="greaterThan">
      <formula>K39</formula>
    </cfRule>
  </conditionalFormatting>
  <conditionalFormatting sqref="N39:N53">
    <cfRule type="cellIs" dxfId="127" priority="12" operator="greaterThan">
      <formula>M39</formula>
    </cfRule>
  </conditionalFormatting>
  <conditionalFormatting sqref="R39:R53">
    <cfRule type="cellIs" dxfId="126" priority="10" operator="greaterThan">
      <formula>Q39</formula>
    </cfRule>
  </conditionalFormatting>
  <conditionalFormatting sqref="L39:L53">
    <cfRule type="cellIs" dxfId="125" priority="5" operator="greaterThan">
      <formula>K39</formula>
    </cfRule>
  </conditionalFormatting>
  <conditionalFormatting sqref="N39:N53">
    <cfRule type="cellIs" dxfId="124" priority="4" operator="greaterThan">
      <formula>M39</formula>
    </cfRule>
  </conditionalFormatting>
  <conditionalFormatting sqref="R39:R53">
    <cfRule type="cellIs" dxfId="123" priority="2" operator="greaterThan">
      <formula>Q39</formula>
    </cfRule>
  </conditionalFormatting>
  <dataValidations disablePrompts="1" count="2">
    <dataValidation type="whole" operator="greaterThanOrEqual" allowBlank="1" showErrorMessage="1" error="Введите как целое положительное число." sqref="C7:J7 C13:J14" xr:uid="{00000000-0002-0000-1700-000000000000}">
      <formula1>0</formula1>
    </dataValidation>
    <dataValidation type="whole" operator="notEqual" allowBlank="1" showErrorMessage="1" error="Введите как целое число." sqref="C8:J12 C22:J36 C38:J53 C15:J20" xr:uid="{00000000-0002-0000-1700-000001000000}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2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19">
    <pageSetUpPr fitToPage="1"/>
  </sheetPr>
  <dimension ref="A1:G37"/>
  <sheetViews>
    <sheetView view="pageBreakPreview" zoomScaleSheetLayoutView="100" workbookViewId="0">
      <selection activeCell="G27" sqref="G27"/>
    </sheetView>
  </sheetViews>
  <sheetFormatPr defaultRowHeight="12.75"/>
  <cols>
    <col min="1" max="1" width="5.85546875" style="230" customWidth="1"/>
    <col min="2" max="2" width="88.28515625" style="221" customWidth="1"/>
    <col min="3" max="4" width="17.7109375" style="221" customWidth="1"/>
    <col min="5" max="5" width="18.5703125" style="221" customWidth="1"/>
    <col min="6" max="6" width="6.42578125" style="221" customWidth="1"/>
    <col min="7" max="7" width="90.7109375" style="221" customWidth="1"/>
    <col min="8" max="9" width="6.42578125" style="221" customWidth="1"/>
    <col min="10" max="16" width="5.42578125" style="221" customWidth="1"/>
    <col min="17" max="16384" width="9.140625" style="221"/>
  </cols>
  <sheetData>
    <row r="1" spans="1:7" s="220" customFormat="1" ht="32.25" customHeight="1">
      <c r="A1" s="1303" t="s">
        <v>456</v>
      </c>
      <c r="B1" s="1303"/>
      <c r="C1" s="1303"/>
      <c r="D1" s="1303"/>
      <c r="E1" s="219" t="s">
        <v>915</v>
      </c>
    </row>
    <row r="2" spans="1:7" ht="15.75">
      <c r="A2" s="219"/>
      <c r="B2" s="215" t="str">
        <f>Balance!B3</f>
        <v>АКБ "Микрокредитбанк"</v>
      </c>
      <c r="C2" s="1329" t="str">
        <f>+Balance!B2</f>
        <v xml:space="preserve"> 30 Декабрь, 2019</v>
      </c>
      <c r="D2" s="1329"/>
      <c r="E2" s="484" t="str">
        <f>+Balance!E3</f>
        <v>тыс. сум</v>
      </c>
    </row>
    <row r="3" spans="1:7" s="220" customFormat="1" ht="53.25" customHeight="1">
      <c r="A3" s="616" t="s">
        <v>161</v>
      </c>
      <c r="B3" s="616" t="s">
        <v>6</v>
      </c>
      <c r="C3" s="616" t="s">
        <v>531</v>
      </c>
      <c r="D3" s="616" t="s">
        <v>532</v>
      </c>
      <c r="E3" s="616" t="s">
        <v>533</v>
      </c>
    </row>
    <row r="4" spans="1:7" s="220" customFormat="1" ht="22.5" customHeight="1">
      <c r="A4" s="613" t="s">
        <v>555</v>
      </c>
      <c r="B4" s="240" t="s">
        <v>1286</v>
      </c>
      <c r="C4" s="614">
        <f>SUM('Calculation of Risk Weighted As'!F58:I59)</f>
        <v>730696477</v>
      </c>
      <c r="D4" s="615">
        <v>202970378</v>
      </c>
      <c r="E4" s="615">
        <v>527726099</v>
      </c>
    </row>
    <row r="5" spans="1:7" s="1063" customFormat="1" ht="22.5" customHeight="1">
      <c r="A5" s="277" t="s">
        <v>1257</v>
      </c>
      <c r="B5" s="1061" t="s">
        <v>1292</v>
      </c>
      <c r="C5" s="1047">
        <f>+D5+E5</f>
        <v>0</v>
      </c>
      <c r="D5" s="1062"/>
      <c r="E5" s="1062"/>
    </row>
    <row r="6" spans="1:7" s="1063" customFormat="1" ht="14.25" customHeight="1">
      <c r="A6" s="277"/>
      <c r="B6" s="1064"/>
      <c r="C6" s="137"/>
      <c r="D6" s="137"/>
      <c r="E6" s="137"/>
    </row>
    <row r="7" spans="1:7" s="1063" customFormat="1" ht="22.5" customHeight="1">
      <c r="A7" s="1065" t="s">
        <v>567</v>
      </c>
      <c r="B7" s="1061" t="s">
        <v>902</v>
      </c>
      <c r="C7" s="499">
        <f>+'Calculation of Risk Weighted As'!F61+'Calculation of Risk Weighted As'!I61</f>
        <v>114164587</v>
      </c>
      <c r="D7" s="1066">
        <v>1364025</v>
      </c>
      <c r="E7" s="1066">
        <v>112800562</v>
      </c>
    </row>
    <row r="8" spans="1:7" s="1063" customFormat="1" ht="22.5" customHeight="1">
      <c r="A8" s="277" t="s">
        <v>954</v>
      </c>
      <c r="B8" s="1061" t="s">
        <v>1290</v>
      </c>
      <c r="C8" s="1047">
        <f>+D8+E8</f>
        <v>0</v>
      </c>
      <c r="D8" s="1066"/>
      <c r="E8" s="1066"/>
    </row>
    <row r="9" spans="1:7" s="220" customFormat="1" ht="14.25" customHeight="1">
      <c r="A9" s="224"/>
      <c r="B9" s="223"/>
      <c r="C9" s="136"/>
      <c r="D9" s="136"/>
      <c r="E9" s="136"/>
    </row>
    <row r="10" spans="1:7" s="220" customFormat="1" ht="29.25" customHeight="1">
      <c r="A10" s="239" t="s">
        <v>789</v>
      </c>
      <c r="B10" s="240" t="s">
        <v>903</v>
      </c>
      <c r="C10" s="241">
        <f>SUM('Calculation of Risk Weighted As'!F63:I66)</f>
        <v>11705135</v>
      </c>
      <c r="D10" s="241">
        <f>SUM(D11:D14)</f>
        <v>0</v>
      </c>
      <c r="E10" s="241">
        <f>SUM(E11:E14)</f>
        <v>11705135</v>
      </c>
      <c r="G10" s="1025"/>
    </row>
    <row r="11" spans="1:7" s="220" customFormat="1" ht="22.5" customHeight="1">
      <c r="A11" s="224" t="s">
        <v>893</v>
      </c>
      <c r="B11" s="225" t="s">
        <v>904</v>
      </c>
      <c r="C11" s="136">
        <f>+D11+E11</f>
        <v>6946950</v>
      </c>
      <c r="D11" s="150">
        <v>0</v>
      </c>
      <c r="E11" s="150">
        <v>6946950</v>
      </c>
    </row>
    <row r="12" spans="1:7" s="220" customFormat="1" ht="22.5" customHeight="1">
      <c r="A12" s="224" t="s">
        <v>894</v>
      </c>
      <c r="B12" s="225" t="s">
        <v>905</v>
      </c>
      <c r="C12" s="136">
        <f>+D12+E12</f>
        <v>4758185</v>
      </c>
      <c r="D12" s="134">
        <v>0</v>
      </c>
      <c r="E12" s="134">
        <v>4758185</v>
      </c>
    </row>
    <row r="13" spans="1:7" s="220" customFormat="1" ht="22.5" customHeight="1">
      <c r="A13" s="224" t="s">
        <v>895</v>
      </c>
      <c r="B13" s="225" t="s">
        <v>906</v>
      </c>
      <c r="C13" s="136">
        <f>+D13+E13</f>
        <v>0</v>
      </c>
      <c r="D13" s="134"/>
      <c r="E13" s="134"/>
    </row>
    <row r="14" spans="1:7" s="220" customFormat="1" ht="22.5" customHeight="1">
      <c r="A14" s="224" t="s">
        <v>896</v>
      </c>
      <c r="B14" s="225" t="s">
        <v>785</v>
      </c>
      <c r="C14" s="136">
        <f>+D14+E14</f>
        <v>0</v>
      </c>
      <c r="D14" s="150"/>
      <c r="E14" s="150">
        <v>0</v>
      </c>
    </row>
    <row r="15" spans="1:7" s="220" customFormat="1" ht="14.25" customHeight="1">
      <c r="A15" s="224"/>
      <c r="B15" s="223"/>
      <c r="C15" s="136"/>
      <c r="D15" s="136"/>
      <c r="E15" s="136"/>
    </row>
    <row r="16" spans="1:7" s="220" customFormat="1" ht="22.5" customHeight="1">
      <c r="A16" s="239" t="s">
        <v>579</v>
      </c>
      <c r="B16" s="240" t="s">
        <v>907</v>
      </c>
      <c r="C16" s="241">
        <f>+D16+E16</f>
        <v>631190</v>
      </c>
      <c r="D16" s="242">
        <v>631190</v>
      </c>
      <c r="E16" s="242">
        <v>0</v>
      </c>
    </row>
    <row r="17" spans="1:5" s="220" customFormat="1" ht="14.25" customHeight="1">
      <c r="A17" s="224"/>
      <c r="B17" s="223"/>
      <c r="C17" s="136"/>
      <c r="D17" s="136"/>
      <c r="E17" s="136"/>
    </row>
    <row r="18" spans="1:5" s="220" customFormat="1" ht="22.5" customHeight="1">
      <c r="A18" s="239" t="s">
        <v>586</v>
      </c>
      <c r="B18" s="240" t="s">
        <v>908</v>
      </c>
      <c r="C18" s="241">
        <f t="shared" ref="C18:C23" si="0">+D18+E18</f>
        <v>25586443</v>
      </c>
      <c r="D18" s="241">
        <f>SUM(D19:D23)</f>
        <v>23577141</v>
      </c>
      <c r="E18" s="241">
        <f>SUM(E19:E23)</f>
        <v>2009302</v>
      </c>
    </row>
    <row r="19" spans="1:5" s="220" customFormat="1" ht="22.5" customHeight="1">
      <c r="A19" s="222" t="s">
        <v>897</v>
      </c>
      <c r="B19" s="225" t="s">
        <v>909</v>
      </c>
      <c r="C19" s="136">
        <f t="shared" si="0"/>
        <v>0</v>
      </c>
      <c r="D19" s="150">
        <v>0</v>
      </c>
      <c r="E19" s="150"/>
    </row>
    <row r="20" spans="1:5" s="220" customFormat="1" ht="22.5" customHeight="1">
      <c r="A20" s="222" t="s">
        <v>898</v>
      </c>
      <c r="B20" s="225" t="s">
        <v>910</v>
      </c>
      <c r="C20" s="136">
        <f t="shared" si="0"/>
        <v>0</v>
      </c>
      <c r="D20" s="134">
        <v>0</v>
      </c>
      <c r="E20" s="134"/>
    </row>
    <row r="21" spans="1:5" s="220" customFormat="1" ht="22.5" customHeight="1">
      <c r="A21" s="222" t="s">
        <v>899</v>
      </c>
      <c r="B21" s="225" t="s">
        <v>911</v>
      </c>
      <c r="C21" s="136">
        <f t="shared" si="0"/>
        <v>0</v>
      </c>
      <c r="D21" s="134">
        <v>0</v>
      </c>
      <c r="E21" s="134"/>
    </row>
    <row r="22" spans="1:5" s="220" customFormat="1" ht="22.5" customHeight="1">
      <c r="A22" s="222" t="s">
        <v>900</v>
      </c>
      <c r="B22" s="225" t="s">
        <v>912</v>
      </c>
      <c r="C22" s="136">
        <f t="shared" si="0"/>
        <v>0</v>
      </c>
      <c r="D22" s="150">
        <v>0</v>
      </c>
      <c r="E22" s="150"/>
    </row>
    <row r="23" spans="1:5" s="220" customFormat="1" ht="22.5" customHeight="1">
      <c r="A23" s="222" t="s">
        <v>901</v>
      </c>
      <c r="B23" s="225" t="s">
        <v>913</v>
      </c>
      <c r="C23" s="136">
        <f t="shared" si="0"/>
        <v>25586443</v>
      </c>
      <c r="D23" s="150">
        <f>25586443-2009302</f>
        <v>23577141</v>
      </c>
      <c r="E23" s="134">
        <v>2009302</v>
      </c>
    </row>
    <row r="24" spans="1:5" s="220" customFormat="1" ht="14.25" customHeight="1">
      <c r="A24" s="224"/>
      <c r="B24" s="223"/>
      <c r="C24" s="136"/>
      <c r="D24" s="136"/>
      <c r="E24" s="136"/>
    </row>
    <row r="25" spans="1:5" s="220" customFormat="1" ht="22.5" customHeight="1">
      <c r="A25" s="239" t="s">
        <v>790</v>
      </c>
      <c r="B25" s="240" t="s">
        <v>914</v>
      </c>
      <c r="C25" s="241">
        <f>+C4+C7+C10+C16+C18</f>
        <v>882783832</v>
      </c>
      <c r="D25" s="241">
        <f>+D4+D7+D10+D16+D18</f>
        <v>228542734</v>
      </c>
      <c r="E25" s="241">
        <f>+E4+E7+E10+E16+E18</f>
        <v>654241098</v>
      </c>
    </row>
    <row r="26" spans="1:5">
      <c r="A26" s="226"/>
      <c r="B26" s="227"/>
      <c r="C26" s="228"/>
      <c r="D26" s="228"/>
      <c r="E26" s="228"/>
    </row>
    <row r="27" spans="1:5">
      <c r="A27" s="226"/>
      <c r="B27" s="227"/>
      <c r="C27" s="228"/>
      <c r="D27" s="228"/>
      <c r="E27" s="228"/>
    </row>
    <row r="28" spans="1:5">
      <c r="A28" s="229"/>
      <c r="B28" s="15" t="s">
        <v>4</v>
      </c>
      <c r="C28" s="228"/>
      <c r="D28" s="228"/>
      <c r="E28" s="228"/>
    </row>
    <row r="29" spans="1:5">
      <c r="B29" s="15"/>
      <c r="C29" s="228"/>
      <c r="D29" s="228"/>
      <c r="E29" s="228"/>
    </row>
    <row r="30" spans="1:5">
      <c r="A30" s="229"/>
      <c r="B30" s="15" t="s">
        <v>5</v>
      </c>
      <c r="C30" s="228"/>
      <c r="D30" s="228"/>
      <c r="E30" s="228"/>
    </row>
    <row r="31" spans="1:5">
      <c r="A31" s="229"/>
    </row>
    <row r="32" spans="1:5">
      <c r="A32" s="229"/>
    </row>
    <row r="34" spans="1:2">
      <c r="A34" s="231"/>
    </row>
    <row r="35" spans="1:2">
      <c r="A35" s="232"/>
      <c r="B35" s="233"/>
    </row>
    <row r="37" spans="1:2">
      <c r="A37" s="234"/>
    </row>
  </sheetData>
  <sheetProtection password="CA76" sheet="1" objects="1" scenarios="1"/>
  <mergeCells count="2">
    <mergeCell ref="A1:D1"/>
    <mergeCell ref="C2:D2"/>
  </mergeCells>
  <phoneticPr fontId="18" type="noConversion"/>
  <conditionalFormatting sqref="C7">
    <cfRule type="cellIs" dxfId="122" priority="9" operator="notEqual">
      <formula>$D$7+$E$7</formula>
    </cfRule>
  </conditionalFormatting>
  <conditionalFormatting sqref="C4">
    <cfRule type="cellIs" dxfId="121" priority="8" operator="notEqual">
      <formula>$D$4+$E$4</formula>
    </cfRule>
  </conditionalFormatting>
  <conditionalFormatting sqref="C10">
    <cfRule type="cellIs" dxfId="120" priority="7" operator="notEqual">
      <formula>$D$10+$E$10</formula>
    </cfRule>
  </conditionalFormatting>
  <conditionalFormatting sqref="D10">
    <cfRule type="cellIs" dxfId="119" priority="3" operator="notEqual">
      <formula>$D$11+$D$12+$D$13+$D$14</formula>
    </cfRule>
  </conditionalFormatting>
  <conditionalFormatting sqref="E10">
    <cfRule type="cellIs" dxfId="118" priority="2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D23 D16 D20:D21 C25:E25 D14 D11 D7:D8 C4:C14" xr:uid="{00000000-0002-0000-1800-000000000000}">
      <formula1>0</formula1>
    </dataValidation>
    <dataValidation type="whole" operator="greaterThanOrEqual" allowBlank="1" showInputMessage="1" showErrorMessage="1" sqref="C24 C15" xr:uid="{00000000-0002-0000-1800-000001000000}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2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3">
    <pageSetUpPr fitToPage="1"/>
  </sheetPr>
  <dimension ref="A1:J59"/>
  <sheetViews>
    <sheetView zoomScaleSheetLayoutView="70" workbookViewId="0">
      <pane xSplit="2" ySplit="7" topLeftCell="C8" activePane="bottomRight" state="frozen"/>
      <selection activeCell="B32" sqref="B32"/>
      <selection pane="topRight" activeCell="B32" sqref="B32"/>
      <selection pane="bottomLeft" activeCell="B32" sqref="B32"/>
      <selection pane="bottomRight" activeCell="E40" sqref="E40"/>
    </sheetView>
  </sheetViews>
  <sheetFormatPr defaultRowHeight="15.75"/>
  <cols>
    <col min="1" max="1" width="10.140625" style="372" customWidth="1"/>
    <col min="2" max="2" width="52" style="372" customWidth="1"/>
    <col min="3" max="3" width="18.5703125" style="372" customWidth="1"/>
    <col min="4" max="4" width="20.42578125" style="558" customWidth="1"/>
    <col min="5" max="5" width="18.5703125" style="372" customWidth="1"/>
    <col min="6" max="6" width="20.42578125" style="372" customWidth="1"/>
    <col min="7" max="7" width="18.5703125" style="372" customWidth="1"/>
    <col min="8" max="8" width="20.42578125" style="372" customWidth="1"/>
    <col min="9" max="16384" width="9.140625" style="372"/>
  </cols>
  <sheetData>
    <row r="1" spans="1:8" s="377" customFormat="1" ht="37.5" customHeight="1">
      <c r="A1" s="1330" t="s">
        <v>1089</v>
      </c>
      <c r="B1" s="1330"/>
      <c r="C1" s="1330"/>
      <c r="D1" s="1330"/>
      <c r="E1" s="1330"/>
      <c r="F1" s="1330"/>
      <c r="G1" s="1330"/>
      <c r="H1" s="219" t="s">
        <v>1040</v>
      </c>
    </row>
    <row r="2" spans="1:8" ht="19.5" customHeight="1">
      <c r="B2" s="1332"/>
      <c r="C2" s="1332"/>
      <c r="D2" s="1332"/>
      <c r="E2" s="1332"/>
      <c r="F2" s="1332"/>
      <c r="G2" s="1332"/>
      <c r="H2" s="1332"/>
    </row>
    <row r="3" spans="1:8" ht="19.5" customHeight="1">
      <c r="B3" s="485" t="str">
        <f>+Balance!B3</f>
        <v>АКБ "Микрокредитбанк"</v>
      </c>
      <c r="C3" s="526"/>
      <c r="D3" s="556"/>
      <c r="F3" s="1333">
        <f>+Balance!C3</f>
        <v>43829</v>
      </c>
      <c r="G3" s="1333"/>
      <c r="H3" s="486" t="str">
        <f>+Balance!E3</f>
        <v>тыс. сум</v>
      </c>
    </row>
    <row r="4" spans="1:8" s="373" customFormat="1" ht="29.25" customHeight="1">
      <c r="A4" s="1309" t="s">
        <v>161</v>
      </c>
      <c r="B4" s="1309" t="s">
        <v>1073</v>
      </c>
      <c r="C4" s="1312" t="s">
        <v>1058</v>
      </c>
      <c r="D4" s="1313"/>
      <c r="E4" s="1316" t="s">
        <v>1059</v>
      </c>
      <c r="F4" s="1318"/>
      <c r="G4" s="1318"/>
      <c r="H4" s="1317"/>
    </row>
    <row r="5" spans="1:8" s="373" customFormat="1" ht="30" customHeight="1">
      <c r="A5" s="1310"/>
      <c r="B5" s="1310"/>
      <c r="C5" s="1314"/>
      <c r="D5" s="1315"/>
      <c r="E5" s="1316" t="s">
        <v>1075</v>
      </c>
      <c r="F5" s="1317"/>
      <c r="G5" s="1316" t="s">
        <v>332</v>
      </c>
      <c r="H5" s="1317"/>
    </row>
    <row r="6" spans="1:8" s="373" customFormat="1" ht="55.5" customHeight="1">
      <c r="A6" s="1310"/>
      <c r="B6" s="1331"/>
      <c r="C6" s="612" t="s">
        <v>1072</v>
      </c>
      <c r="D6" s="612" t="s">
        <v>1062</v>
      </c>
      <c r="E6" s="612" t="s">
        <v>1072</v>
      </c>
      <c r="F6" s="612" t="s">
        <v>1062</v>
      </c>
      <c r="G6" s="612" t="s">
        <v>1072</v>
      </c>
      <c r="H6" s="612" t="s">
        <v>1062</v>
      </c>
    </row>
    <row r="7" spans="1:8" s="373" customFormat="1">
      <c r="A7" s="1331"/>
      <c r="B7" s="612" t="s">
        <v>309</v>
      </c>
      <c r="C7" s="612" t="s">
        <v>310</v>
      </c>
      <c r="D7" s="612" t="s">
        <v>327</v>
      </c>
      <c r="E7" s="612" t="s">
        <v>311</v>
      </c>
      <c r="F7" s="612" t="s">
        <v>312</v>
      </c>
      <c r="G7" s="612" t="s">
        <v>328</v>
      </c>
      <c r="H7" s="612" t="s">
        <v>313</v>
      </c>
    </row>
    <row r="8" spans="1:8" s="373" customFormat="1" ht="24" customHeight="1">
      <c r="A8" s="450">
        <v>1</v>
      </c>
      <c r="B8" s="625" t="s">
        <v>1137</v>
      </c>
      <c r="C8" s="778">
        <f>SUM(C10:C14)</f>
        <v>785729563</v>
      </c>
      <c r="D8" s="779">
        <f>IFERROR(((C10*D10)/C8)+((C11*D11)/C8)+((C12*D12)/C8)+((C13*D13)/C8)+((C14*D14)/C8),0)</f>
        <v>8.5094269982338558E-2</v>
      </c>
      <c r="E8" s="778">
        <f>SUM(E10:E14)</f>
        <v>785729563</v>
      </c>
      <c r="F8" s="779">
        <f>IFERROR(((E10*F10)/E8)+((E11*F11)/E8)+((E12*F12)/E8)+((E13*F13)/E8)+((E14*F14)/E8),0)</f>
        <v>8.5094269982338558E-2</v>
      </c>
      <c r="G8" s="778">
        <f>SUM(G10:G14)</f>
        <v>0</v>
      </c>
      <c r="H8" s="779">
        <f>IFERROR(((G10*H10)/G8)+(([3]Лист1!F26*H11)/G8)+((G12*H12)/G8)+((G13*H13)/G8)+((G14*H14)/G8),0)</f>
        <v>0</v>
      </c>
    </row>
    <row r="9" spans="1:8" s="373" customFormat="1" ht="17.25" customHeight="1">
      <c r="A9" s="450"/>
      <c r="B9" s="626" t="s">
        <v>1074</v>
      </c>
      <c r="C9" s="776"/>
      <c r="D9" s="527"/>
      <c r="E9" s="776"/>
      <c r="F9" s="527"/>
      <c r="G9" s="776"/>
      <c r="H9" s="527"/>
    </row>
    <row r="10" spans="1:8" s="373" customFormat="1" ht="24" customHeight="1">
      <c r="A10" s="376" t="s">
        <v>494</v>
      </c>
      <c r="B10" s="627" t="s">
        <v>1060</v>
      </c>
      <c r="C10" s="776">
        <f>+E10+G10</f>
        <v>60611559</v>
      </c>
      <c r="D10" s="570">
        <v>0.14333466536222617</v>
      </c>
      <c r="E10" s="777">
        <v>60611559</v>
      </c>
      <c r="F10" s="570">
        <v>0.14333466536222617</v>
      </c>
      <c r="G10" s="777"/>
      <c r="H10" s="570"/>
    </row>
    <row r="11" spans="1:8" s="373" customFormat="1" ht="24" customHeight="1">
      <c r="A11" s="376" t="s">
        <v>495</v>
      </c>
      <c r="B11" s="627" t="s">
        <v>1061</v>
      </c>
      <c r="C11" s="776">
        <f>+E11+G11</f>
        <v>151029</v>
      </c>
      <c r="D11" s="570">
        <v>0.14132331876513698</v>
      </c>
      <c r="E11" s="777">
        <v>151029</v>
      </c>
      <c r="F11" s="570">
        <v>0.14132331876513698</v>
      </c>
      <c r="G11" s="1189"/>
      <c r="H11" s="570"/>
    </row>
    <row r="12" spans="1:8" s="373" customFormat="1" ht="24" customHeight="1">
      <c r="A12" s="376" t="s">
        <v>496</v>
      </c>
      <c r="B12" s="627" t="s">
        <v>1298</v>
      </c>
      <c r="C12" s="776">
        <f>+E12+G12</f>
        <v>0</v>
      </c>
      <c r="D12" s="570"/>
      <c r="E12" s="777"/>
      <c r="F12" s="570"/>
      <c r="G12" s="777"/>
      <c r="H12" s="570"/>
    </row>
    <row r="13" spans="1:8" s="373" customFormat="1" ht="24" customHeight="1">
      <c r="A13" s="376" t="s">
        <v>500</v>
      </c>
      <c r="B13" s="627" t="s">
        <v>1083</v>
      </c>
      <c r="C13" s="776">
        <f>+E13+G13</f>
        <v>8876343</v>
      </c>
      <c r="D13" s="570">
        <v>9.5110376867027252E-2</v>
      </c>
      <c r="E13" s="777">
        <v>8876343</v>
      </c>
      <c r="F13" s="570">
        <v>9.5110376867027252E-2</v>
      </c>
      <c r="G13" s="777"/>
      <c r="H13" s="570"/>
    </row>
    <row r="14" spans="1:8" s="373" customFormat="1" ht="24" customHeight="1">
      <c r="A14" s="376" t="s">
        <v>501</v>
      </c>
      <c r="B14" s="627" t="s">
        <v>1071</v>
      </c>
      <c r="C14" s="776">
        <f>+E14+G14</f>
        <v>716090632</v>
      </c>
      <c r="D14" s="570">
        <v>8.0028654519862907E-2</v>
      </c>
      <c r="E14" s="777">
        <v>716090632</v>
      </c>
      <c r="F14" s="570">
        <v>8.0028654519862907E-2</v>
      </c>
      <c r="G14" s="777"/>
      <c r="H14" s="570"/>
    </row>
    <row r="15" spans="1:8" s="373" customFormat="1">
      <c r="A15" s="374"/>
      <c r="B15" s="628"/>
      <c r="C15" s="776"/>
      <c r="D15" s="557"/>
      <c r="E15" s="776"/>
      <c r="F15" s="559"/>
      <c r="G15" s="776"/>
      <c r="H15" s="559"/>
    </row>
    <row r="16" spans="1:8" s="373" customFormat="1" ht="24" customHeight="1">
      <c r="A16" s="446">
        <v>2</v>
      </c>
      <c r="B16" s="625" t="s">
        <v>1139</v>
      </c>
      <c r="C16" s="778">
        <f>SUM(C18:C22)</f>
        <v>674493661</v>
      </c>
      <c r="D16" s="779">
        <f>IFERROR(((C18*D18)/C16)+((C19*D19)/C16)+((C20*D20)/C16)+((C21*D21)/C16)+((C22*D22)/C16),0)</f>
        <v>0.2494415541760861</v>
      </c>
      <c r="E16" s="778">
        <f>SUM(E18:E22)</f>
        <v>674493661</v>
      </c>
      <c r="F16" s="779">
        <f>IFERROR(((E18*F18)/E16)+((E19*F19)/E16)+((E20*F20)/E16)+((E21*F21)/E16)+((E22*F22)/E16),0)</f>
        <v>0.2494415541760861</v>
      </c>
      <c r="G16" s="778">
        <f>SUM(G18:G22)</f>
        <v>0</v>
      </c>
      <c r="H16" s="779">
        <f>IFERROR(((G18*H18)/G16)+((G19*H19)/G16)+(([3]Лист1!F28*H20)/G16)+((G21*H21)/G16)+((G22*H22)/G16),0)</f>
        <v>0</v>
      </c>
    </row>
    <row r="17" spans="1:8" s="373" customFormat="1" ht="17.25" customHeight="1">
      <c r="A17" s="375"/>
      <c r="B17" s="626" t="s">
        <v>1074</v>
      </c>
      <c r="C17" s="776"/>
      <c r="D17" s="527"/>
      <c r="E17" s="776"/>
      <c r="F17" s="527"/>
      <c r="G17" s="776"/>
      <c r="H17" s="527"/>
    </row>
    <row r="18" spans="1:8" s="373" customFormat="1" ht="24" customHeight="1">
      <c r="A18" s="376" t="s">
        <v>507</v>
      </c>
      <c r="B18" s="627" t="s">
        <v>1060</v>
      </c>
      <c r="C18" s="776">
        <f>+E18+G18</f>
        <v>66101576</v>
      </c>
      <c r="D18" s="570">
        <v>0.18952041782572565</v>
      </c>
      <c r="E18" s="777">
        <v>66101576</v>
      </c>
      <c r="F18" s="570">
        <v>0.18952041782572565</v>
      </c>
      <c r="G18" s="777"/>
      <c r="H18" s="570"/>
    </row>
    <row r="19" spans="1:8" s="373" customFormat="1" ht="24" customHeight="1">
      <c r="A19" s="376" t="s">
        <v>508</v>
      </c>
      <c r="B19" s="627" t="s">
        <v>1061</v>
      </c>
      <c r="C19" s="776">
        <f>+E19+G19</f>
        <v>102434392</v>
      </c>
      <c r="D19" s="570">
        <v>0.28256973658090195</v>
      </c>
      <c r="E19" s="777">
        <v>102434392</v>
      </c>
      <c r="F19" s="570">
        <v>0.28256973658090195</v>
      </c>
      <c r="G19" s="777"/>
      <c r="H19" s="570"/>
    </row>
    <row r="20" spans="1:8" s="373" customFormat="1" ht="24" customHeight="1">
      <c r="A20" s="376" t="s">
        <v>510</v>
      </c>
      <c r="B20" s="627" t="s">
        <v>1298</v>
      </c>
      <c r="C20" s="776">
        <f>+E20+G20</f>
        <v>35168447</v>
      </c>
      <c r="D20" s="570">
        <v>0.3200265975381873</v>
      </c>
      <c r="E20" s="777">
        <v>35168447</v>
      </c>
      <c r="F20" s="570">
        <v>0.3200265975381873</v>
      </c>
      <c r="G20" s="1189"/>
      <c r="H20" s="570"/>
    </row>
    <row r="21" spans="1:8" s="373" customFormat="1" ht="24" customHeight="1">
      <c r="A21" s="376" t="s">
        <v>512</v>
      </c>
      <c r="B21" s="627" t="s">
        <v>1083</v>
      </c>
      <c r="C21" s="776">
        <f>+E21+G21</f>
        <v>315363179</v>
      </c>
      <c r="D21" s="570">
        <v>0.26937791132981914</v>
      </c>
      <c r="E21" s="777">
        <v>315363179</v>
      </c>
      <c r="F21" s="570">
        <v>0.26937791132981914</v>
      </c>
      <c r="G21" s="777"/>
      <c r="H21" s="570"/>
    </row>
    <row r="22" spans="1:8" s="373" customFormat="1" ht="24" customHeight="1">
      <c r="A22" s="376" t="s">
        <v>1077</v>
      </c>
      <c r="B22" s="627" t="s">
        <v>1071</v>
      </c>
      <c r="C22" s="776">
        <f>+E22+G22</f>
        <v>155426067</v>
      </c>
      <c r="D22" s="570">
        <v>0.19666956323079565</v>
      </c>
      <c r="E22" s="777">
        <v>155426067</v>
      </c>
      <c r="F22" s="570">
        <v>0.19666956323079565</v>
      </c>
      <c r="G22" s="777"/>
      <c r="H22" s="570"/>
    </row>
    <row r="23" spans="1:8" s="373" customFormat="1">
      <c r="A23" s="374"/>
      <c r="B23" s="628"/>
      <c r="C23" s="776"/>
      <c r="D23" s="557"/>
      <c r="E23" s="776"/>
      <c r="F23" s="559"/>
      <c r="G23" s="776"/>
      <c r="H23" s="559"/>
    </row>
    <row r="24" spans="1:8" s="373" customFormat="1" ht="36.75" customHeight="1">
      <c r="A24" s="446">
        <v>3</v>
      </c>
      <c r="B24" s="625" t="s">
        <v>1138</v>
      </c>
      <c r="C24" s="778">
        <f>SUM(C26:C31)</f>
        <v>2391477191</v>
      </c>
      <c r="D24" s="779">
        <f>IFERROR(((C26*D26)/C24)+((C27*D27)/C24)+((C28*D28)/C24)+((C29*D29)/C24)+((C30*D30)/C24)+((C31*D31)/C24),0)</f>
        <v>9.6377514966588307E-2</v>
      </c>
      <c r="E24" s="778">
        <f>SUM(E26:E31)</f>
        <v>813174866</v>
      </c>
      <c r="F24" s="779">
        <f>IFERROR(((E26*F26)/E24)+((E27*F27)/E24)+((E28*F28)/E24)+((E29*F29)/E24)+((E30*F30)/E24)+((E31*F31)/E24),0)</f>
        <v>8.6890177401729857E-2</v>
      </c>
      <c r="G24" s="778">
        <f>SUM(G26:G31)</f>
        <v>1578302325</v>
      </c>
      <c r="H24" s="779">
        <f>IFERROR(((G26*H26)/G24)+((G27*H27)/G24)+((G28*H28)/G24)+((G29*H29)/G24)+((G30*H30)/G24)+((G31*H31)/G24),0)</f>
        <v>0.10126559270216867</v>
      </c>
    </row>
    <row r="25" spans="1:8" s="373" customFormat="1">
      <c r="A25" s="375"/>
      <c r="B25" s="626" t="s">
        <v>1074</v>
      </c>
      <c r="C25" s="776"/>
      <c r="D25" s="559"/>
      <c r="E25" s="776"/>
      <c r="F25" s="559"/>
      <c r="G25" s="776"/>
      <c r="H25" s="559"/>
    </row>
    <row r="26" spans="1:8" s="373" customFormat="1" ht="24" customHeight="1">
      <c r="A26" s="376" t="s">
        <v>515</v>
      </c>
      <c r="B26" s="628" t="s">
        <v>1084</v>
      </c>
      <c r="C26" s="776">
        <f t="shared" ref="C26:C31" si="0">+E26+G26</f>
        <v>241177220</v>
      </c>
      <c r="D26" s="570">
        <v>8.2661462352200815E-2</v>
      </c>
      <c r="E26" s="777">
        <v>239932178</v>
      </c>
      <c r="F26" s="570">
        <v>8.2723262920766052E-2</v>
      </c>
      <c r="G26" s="777">
        <v>1245042</v>
      </c>
      <c r="H26" s="570">
        <v>7.0751867285751738E-2</v>
      </c>
    </row>
    <row r="27" spans="1:8" s="373" customFormat="1" ht="24" customHeight="1">
      <c r="A27" s="376" t="s">
        <v>516</v>
      </c>
      <c r="B27" s="628" t="s">
        <v>1085</v>
      </c>
      <c r="C27" s="776">
        <f t="shared" si="0"/>
        <v>0</v>
      </c>
      <c r="D27" s="570"/>
      <c r="E27" s="777"/>
      <c r="F27" s="570"/>
      <c r="G27" s="777"/>
      <c r="H27" s="570"/>
    </row>
    <row r="28" spans="1:8" s="373" customFormat="1" ht="24" customHeight="1">
      <c r="A28" s="376" t="s">
        <v>517</v>
      </c>
      <c r="B28" s="628" t="s">
        <v>1086</v>
      </c>
      <c r="C28" s="776">
        <f t="shared" si="0"/>
        <v>3256078</v>
      </c>
      <c r="D28" s="570">
        <v>0.1131708080304047</v>
      </c>
      <c r="E28" s="777">
        <v>1009243</v>
      </c>
      <c r="F28" s="570">
        <v>0.14249242009188223</v>
      </c>
      <c r="G28" s="777">
        <v>2246835</v>
      </c>
      <c r="H28" s="570">
        <v>0.10000000000000002</v>
      </c>
    </row>
    <row r="29" spans="1:8" s="373" customFormat="1" ht="32.25" customHeight="1">
      <c r="A29" s="376" t="s">
        <v>518</v>
      </c>
      <c r="B29" s="628" t="s">
        <v>1087</v>
      </c>
      <c r="C29" s="776">
        <f t="shared" si="0"/>
        <v>7804598</v>
      </c>
      <c r="D29" s="570">
        <v>0.12658222377819095</v>
      </c>
      <c r="E29" s="777">
        <v>7804598</v>
      </c>
      <c r="F29" s="570">
        <v>0.12658222377819095</v>
      </c>
      <c r="G29" s="777"/>
      <c r="H29" s="570"/>
    </row>
    <row r="30" spans="1:8" s="373" customFormat="1" ht="32.25" customHeight="1">
      <c r="A30" s="376" t="s">
        <v>520</v>
      </c>
      <c r="B30" s="628" t="s">
        <v>1088</v>
      </c>
      <c r="C30" s="776">
        <f t="shared" si="0"/>
        <v>0</v>
      </c>
      <c r="D30" s="570"/>
      <c r="E30" s="777"/>
      <c r="F30" s="570"/>
      <c r="G30" s="777"/>
      <c r="H30" s="570"/>
    </row>
    <row r="31" spans="1:8" s="373" customFormat="1" ht="32.25" customHeight="1">
      <c r="A31" s="376" t="s">
        <v>521</v>
      </c>
      <c r="B31" s="627" t="s">
        <v>1076</v>
      </c>
      <c r="C31" s="776">
        <f t="shared" si="0"/>
        <v>2139239295</v>
      </c>
      <c r="D31" s="570">
        <v>9.7788102161714352E-2</v>
      </c>
      <c r="E31" s="777">
        <v>564428847</v>
      </c>
      <c r="F31" s="570">
        <v>8.8013224585341304E-2</v>
      </c>
      <c r="G31" s="777">
        <v>1574810448</v>
      </c>
      <c r="H31" s="570">
        <v>0.10129152245628653</v>
      </c>
    </row>
    <row r="32" spans="1:8" s="373" customFormat="1">
      <c r="A32" s="374"/>
      <c r="B32" s="628"/>
      <c r="C32" s="776"/>
      <c r="D32" s="557"/>
      <c r="E32" s="776"/>
      <c r="F32" s="559"/>
      <c r="G32" s="776"/>
      <c r="H32" s="559"/>
    </row>
    <row r="33" spans="1:10" s="373" customFormat="1" ht="36.75" customHeight="1">
      <c r="A33" s="446">
        <v>4</v>
      </c>
      <c r="B33" s="625" t="s">
        <v>1140</v>
      </c>
      <c r="C33" s="778">
        <f>SUM(C35:C40)</f>
        <v>920674263</v>
      </c>
      <c r="D33" s="779">
        <f>IFERROR(((C35*D35)/C33)+((C36*D36)/C33)+((C37*D37)/C33)+((C38*D38)/C33)+((C39*D39)/C33)+((C40*D40)/C33),0)</f>
        <v>0.23977928291950262</v>
      </c>
      <c r="E33" s="778">
        <f>SUM(E35:E40)</f>
        <v>920674263</v>
      </c>
      <c r="F33" s="779">
        <f>IFERROR(((E35*F35)/E33)+((E36*F36)/E33)+((E37*F37)/E33)+((E38*F38)/E33)+((E39*F39)/E33)+((E40*F40)/E33),0)</f>
        <v>0.23977928291950262</v>
      </c>
      <c r="G33" s="778">
        <f>SUM(G35:G40)</f>
        <v>0</v>
      </c>
      <c r="H33" s="779">
        <f>IFERROR(((G35*H35)/G33)+((G36*H36)/G33)+((G37*H37)/G33)+((G38*H38)/G33)+((G39*H39)/G33)+((G40*H40)/G33),0)</f>
        <v>0</v>
      </c>
    </row>
    <row r="34" spans="1:10" s="373" customFormat="1">
      <c r="A34" s="375"/>
      <c r="B34" s="626" t="s">
        <v>1074</v>
      </c>
      <c r="C34" s="776"/>
      <c r="D34" s="559"/>
      <c r="E34" s="776"/>
      <c r="F34" s="559"/>
      <c r="G34" s="776"/>
      <c r="H34" s="559"/>
    </row>
    <row r="35" spans="1:10" s="373" customFormat="1" ht="24" customHeight="1">
      <c r="A35" s="376" t="s">
        <v>818</v>
      </c>
      <c r="B35" s="628" t="s">
        <v>1084</v>
      </c>
      <c r="C35" s="776">
        <f t="shared" ref="C35:C40" si="1">+E35+G35</f>
        <v>180427150</v>
      </c>
      <c r="D35" s="570">
        <v>0.26261462446080996</v>
      </c>
      <c r="E35" s="777">
        <v>180427150</v>
      </c>
      <c r="F35" s="570">
        <v>0.26261462446080996</v>
      </c>
      <c r="G35" s="777"/>
      <c r="H35" s="570"/>
    </row>
    <row r="36" spans="1:10" s="373" customFormat="1" ht="24" customHeight="1">
      <c r="A36" s="376" t="s">
        <v>819</v>
      </c>
      <c r="B36" s="628" t="s">
        <v>1085</v>
      </c>
      <c r="C36" s="776">
        <f t="shared" si="1"/>
        <v>0</v>
      </c>
      <c r="D36" s="570"/>
      <c r="E36" s="777"/>
      <c r="F36" s="570"/>
      <c r="G36" s="777"/>
      <c r="H36" s="570"/>
    </row>
    <row r="37" spans="1:10" s="373" customFormat="1" ht="24" customHeight="1">
      <c r="A37" s="376" t="s">
        <v>1141</v>
      </c>
      <c r="B37" s="628" t="s">
        <v>1086</v>
      </c>
      <c r="C37" s="776">
        <f t="shared" si="1"/>
        <v>1542144</v>
      </c>
      <c r="D37" s="570">
        <v>0.18815807117114147</v>
      </c>
      <c r="E37" s="777">
        <v>1542144</v>
      </c>
      <c r="F37" s="570">
        <v>0.18815807117114147</v>
      </c>
      <c r="G37" s="777"/>
      <c r="H37" s="570"/>
    </row>
    <row r="38" spans="1:10" s="373" customFormat="1" ht="32.25" customHeight="1">
      <c r="A38" s="376" t="s">
        <v>1142</v>
      </c>
      <c r="B38" s="628" t="s">
        <v>1087</v>
      </c>
      <c r="C38" s="776">
        <f t="shared" si="1"/>
        <v>0</v>
      </c>
      <c r="D38" s="570"/>
      <c r="E38" s="777"/>
      <c r="F38" s="570"/>
      <c r="G38" s="777"/>
      <c r="H38" s="570"/>
    </row>
    <row r="39" spans="1:10" s="373" customFormat="1" ht="32.25" customHeight="1">
      <c r="A39" s="376" t="s">
        <v>1143</v>
      </c>
      <c r="B39" s="628" t="s">
        <v>1088</v>
      </c>
      <c r="C39" s="776">
        <f t="shared" si="1"/>
        <v>0</v>
      </c>
      <c r="D39" s="570"/>
      <c r="E39" s="777"/>
      <c r="F39" s="570"/>
      <c r="G39" s="777"/>
      <c r="H39" s="570"/>
    </row>
    <row r="40" spans="1:10" s="373" customFormat="1" ht="32.25" customHeight="1">
      <c r="A40" s="376" t="s">
        <v>1144</v>
      </c>
      <c r="B40" s="627" t="s">
        <v>1076</v>
      </c>
      <c r="C40" s="776">
        <f t="shared" si="1"/>
        <v>738704969</v>
      </c>
      <c r="D40" s="570">
        <v>0.23430956439699974</v>
      </c>
      <c r="E40" s="777">
        <v>738704969</v>
      </c>
      <c r="F40" s="570">
        <v>0.23430956439699974</v>
      </c>
      <c r="G40" s="777"/>
      <c r="H40" s="570"/>
    </row>
    <row r="41" spans="1:10" s="31" customFormat="1" ht="12" customHeight="1">
      <c r="B41" s="93"/>
      <c r="C41" s="220"/>
    </row>
    <row r="42" spans="1:10" s="31" customFormat="1" ht="12.75">
      <c r="B42" s="93"/>
      <c r="C42" s="220"/>
    </row>
    <row r="43" spans="1:10" s="35" customFormat="1">
      <c r="A43" s="258"/>
      <c r="B43" s="268" t="s">
        <v>4</v>
      </c>
      <c r="C43" s="829"/>
      <c r="J43" s="258"/>
    </row>
    <row r="44" spans="1:10" s="35" customFormat="1">
      <c r="A44" s="258"/>
      <c r="B44" s="268"/>
      <c r="C44" s="829"/>
      <c r="J44" s="258"/>
    </row>
    <row r="45" spans="1:10" s="35" customFormat="1">
      <c r="A45" s="258"/>
      <c r="B45" s="268" t="s">
        <v>5</v>
      </c>
      <c r="C45" s="829"/>
      <c r="J45" s="258"/>
    </row>
    <row r="46" spans="1:10" s="35" customFormat="1">
      <c r="A46" s="258"/>
      <c r="B46" s="268"/>
      <c r="J46" s="258"/>
    </row>
    <row r="47" spans="1:10">
      <c r="A47" s="823"/>
      <c r="B47" s="823" t="s">
        <v>279</v>
      </c>
      <c r="C47" s="828">
        <f>+C8+C16+C24+C33</f>
        <v>4772374678</v>
      </c>
      <c r="D47" s="828"/>
      <c r="E47" s="828">
        <f>+E8+E16+E24+E33</f>
        <v>3194072353</v>
      </c>
      <c r="F47" s="828"/>
      <c r="G47" s="828">
        <f>+G8+G16+G24+G33</f>
        <v>1578302325</v>
      </c>
      <c r="H47" s="824"/>
    </row>
    <row r="48" spans="1:10">
      <c r="A48" s="823"/>
      <c r="B48" s="824"/>
      <c r="C48" s="828">
        <f>+C50+C54</f>
        <v>4772374677</v>
      </c>
      <c r="D48" s="828"/>
      <c r="E48" s="828">
        <f>+E9+E17+E25+E34</f>
        <v>0</v>
      </c>
      <c r="F48" s="828"/>
      <c r="G48" s="828">
        <f>+G50+G54</f>
        <v>1578302325</v>
      </c>
      <c r="H48" s="824"/>
    </row>
    <row r="49" spans="1:8">
      <c r="A49" s="823"/>
      <c r="B49" s="823"/>
      <c r="C49" s="828"/>
      <c r="D49" s="828"/>
      <c r="E49" s="828"/>
      <c r="F49" s="828"/>
      <c r="G49" s="828"/>
      <c r="H49" s="824"/>
    </row>
    <row r="50" spans="1:8">
      <c r="A50" s="824"/>
      <c r="B50" s="823" t="s">
        <v>1185</v>
      </c>
      <c r="C50" s="828">
        <f>+'Asset Classification'!C12</f>
        <v>1460223224</v>
      </c>
      <c r="D50" s="828"/>
      <c r="E50" s="828"/>
      <c r="F50" s="828"/>
      <c r="G50" s="828">
        <f>+'Asset Classification'!D12</f>
        <v>0</v>
      </c>
      <c r="H50" s="825"/>
    </row>
    <row r="51" spans="1:8">
      <c r="A51" s="824"/>
      <c r="B51" s="823"/>
      <c r="C51" s="828">
        <f>C8+C16</f>
        <v>1460223224</v>
      </c>
      <c r="D51" s="828"/>
      <c r="E51" s="828"/>
      <c r="F51" s="828"/>
      <c r="G51" s="828">
        <f>G8+G16</f>
        <v>0</v>
      </c>
      <c r="H51" s="825"/>
    </row>
    <row r="52" spans="1:8">
      <c r="A52" s="824"/>
      <c r="B52" s="823"/>
      <c r="C52" s="828">
        <f>+C50-C51</f>
        <v>0</v>
      </c>
      <c r="D52" s="828"/>
      <c r="E52" s="828"/>
      <c r="F52" s="828"/>
      <c r="G52" s="828">
        <f>+G50-G51</f>
        <v>0</v>
      </c>
      <c r="H52" s="825"/>
    </row>
    <row r="53" spans="1:8">
      <c r="A53" s="824"/>
      <c r="B53" s="823"/>
      <c r="C53" s="827"/>
      <c r="D53" s="827"/>
      <c r="E53" s="827"/>
      <c r="F53" s="827"/>
      <c r="G53" s="827"/>
      <c r="H53" s="825"/>
    </row>
    <row r="54" spans="1:8">
      <c r="A54" s="824"/>
      <c r="B54" s="823" t="s">
        <v>1186</v>
      </c>
      <c r="C54" s="828">
        <f>+'Asset Classification'!C30-'Asset Classification'!C12</f>
        <v>3312151453</v>
      </c>
      <c r="D54" s="828"/>
      <c r="E54" s="828"/>
      <c r="F54" s="828"/>
      <c r="G54" s="828">
        <f>+'Asset Classification'!D30-'Asset Classification'!D12</f>
        <v>1578302325</v>
      </c>
      <c r="H54" s="825"/>
    </row>
    <row r="55" spans="1:8">
      <c r="A55" s="824"/>
      <c r="B55" s="823"/>
      <c r="C55" s="828">
        <f>C24+C33</f>
        <v>3312151454</v>
      </c>
      <c r="D55" s="828"/>
      <c r="E55" s="828"/>
      <c r="F55" s="828"/>
      <c r="G55" s="828">
        <f>G24+G33</f>
        <v>1578302325</v>
      </c>
      <c r="H55" s="825"/>
    </row>
    <row r="56" spans="1:8">
      <c r="A56" s="824"/>
      <c r="B56" s="823"/>
      <c r="C56" s="828">
        <f>+C54-C55</f>
        <v>-1</v>
      </c>
      <c r="D56" s="828"/>
      <c r="E56" s="828"/>
      <c r="F56" s="828"/>
      <c r="G56" s="828">
        <f>+G54-G55</f>
        <v>0</v>
      </c>
      <c r="H56" s="825"/>
    </row>
    <row r="57" spans="1:8">
      <c r="A57" s="824"/>
      <c r="B57" s="823"/>
      <c r="C57" s="825"/>
      <c r="D57" s="825"/>
      <c r="E57" s="825"/>
      <c r="F57" s="825"/>
      <c r="G57" s="825"/>
      <c r="H57" s="825"/>
    </row>
    <row r="58" spans="1:8">
      <c r="A58" s="824"/>
      <c r="B58" s="823"/>
      <c r="C58" s="825"/>
      <c r="D58" s="825"/>
      <c r="E58" s="825"/>
      <c r="F58" s="825"/>
      <c r="G58" s="825"/>
      <c r="H58" s="825"/>
    </row>
    <row r="59" spans="1:8">
      <c r="B59" s="823"/>
    </row>
  </sheetData>
  <sheetProtection password="CA76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117" priority="2" operator="notEqual">
      <formula>$C$54-$C$24</formula>
    </cfRule>
  </conditionalFormatting>
  <conditionalFormatting sqref="C16">
    <cfRule type="cellIs" dxfId="116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F48"/>
  <sheetViews>
    <sheetView view="pageBreakPreview" zoomScale="40" zoomScaleNormal="70" zoomScaleSheetLayoutView="40" workbookViewId="0">
      <pane xSplit="2" ySplit="7" topLeftCell="D32" activePane="bottomRight" state="frozen"/>
      <selection pane="topRight" activeCell="C1" sqref="C1"/>
      <selection pane="bottomLeft" activeCell="A8" sqref="A8"/>
      <selection pane="bottomRight" activeCell="E32" sqref="E32"/>
    </sheetView>
  </sheetViews>
  <sheetFormatPr defaultRowHeight="18.75"/>
  <cols>
    <col min="1" max="1" width="9.5703125" style="1008" customWidth="1"/>
    <col min="2" max="2" width="61.7109375" style="1008" customWidth="1"/>
    <col min="3" max="3" width="21.42578125" style="1008" customWidth="1"/>
    <col min="4" max="4" width="13.7109375" style="1009" customWidth="1"/>
    <col min="5" max="5" width="21.42578125" style="1008" customWidth="1"/>
    <col min="6" max="6" width="13.7109375" style="1008" customWidth="1"/>
    <col min="7" max="7" width="21.42578125" style="1008" customWidth="1"/>
    <col min="8" max="8" width="13.7109375" style="1008" customWidth="1"/>
    <col min="9" max="25" width="18.85546875" style="1008" customWidth="1"/>
    <col min="26" max="26" width="21.7109375" style="1008" customWidth="1"/>
    <col min="27" max="27" width="27.42578125" style="1008" customWidth="1"/>
    <col min="28" max="30" width="24.140625" style="1087" bestFit="1" customWidth="1"/>
    <col min="31" max="32" width="20.85546875" style="1087" bestFit="1" customWidth="1"/>
    <col min="33" max="16384" width="9.140625" style="1008"/>
  </cols>
  <sheetData>
    <row r="1" spans="1:32">
      <c r="Z1" s="219" t="s">
        <v>1258</v>
      </c>
    </row>
    <row r="2" spans="1:32" s="1010" customFormat="1" ht="50.25" customHeight="1">
      <c r="A2" s="1335" t="s">
        <v>1304</v>
      </c>
      <c r="B2" s="1335"/>
      <c r="C2" s="1335"/>
      <c r="D2" s="1335"/>
      <c r="E2" s="1335"/>
      <c r="F2" s="1335"/>
      <c r="G2" s="1335"/>
      <c r="H2" s="1335"/>
      <c r="I2" s="1335"/>
      <c r="J2" s="1335"/>
      <c r="K2" s="1335"/>
      <c r="L2" s="1335"/>
      <c r="M2" s="1335"/>
      <c r="N2" s="1335"/>
      <c r="O2" s="1335"/>
      <c r="P2" s="1335"/>
      <c r="Q2" s="1335"/>
      <c r="R2" s="1335"/>
      <c r="S2" s="1335"/>
      <c r="T2" s="1335"/>
      <c r="U2" s="1335"/>
      <c r="V2" s="1335"/>
      <c r="W2" s="1335"/>
      <c r="X2" s="1335"/>
      <c r="Y2" s="1335"/>
      <c r="Z2" s="1335"/>
      <c r="AB2" s="1088"/>
      <c r="AC2" s="1088"/>
      <c r="AD2" s="1088"/>
      <c r="AE2" s="1088"/>
      <c r="AF2" s="1088"/>
    </row>
    <row r="3" spans="1:32" ht="19.5" customHeight="1">
      <c r="B3" s="1187" t="str">
        <f>+Balance!B3</f>
        <v>АКБ "Микрокредитбанк"</v>
      </c>
      <c r="C3" s="1011"/>
      <c r="D3" s="1011"/>
      <c r="E3" s="1011"/>
      <c r="F3" s="1011"/>
      <c r="G3" s="1011"/>
      <c r="H3" s="1011"/>
      <c r="I3" s="1011"/>
      <c r="J3" s="1011"/>
      <c r="K3" s="1011"/>
      <c r="L3" s="1011"/>
      <c r="M3" s="1011"/>
      <c r="V3" s="1345">
        <f>+Balance!C3</f>
        <v>43829</v>
      </c>
      <c r="W3" s="1345"/>
      <c r="Z3" s="455" t="s">
        <v>635</v>
      </c>
    </row>
    <row r="4" spans="1:32" s="1012" customFormat="1" ht="18.75" customHeight="1">
      <c r="A4" s="1336" t="s">
        <v>161</v>
      </c>
      <c r="B4" s="1336" t="s">
        <v>1073</v>
      </c>
      <c r="C4" s="1339" t="s">
        <v>1058</v>
      </c>
      <c r="D4" s="1340"/>
      <c r="E4" s="1340"/>
      <c r="F4" s="1340"/>
      <c r="G4" s="1340"/>
      <c r="H4" s="1341"/>
      <c r="I4" s="1339" t="s">
        <v>1259</v>
      </c>
      <c r="J4" s="1340"/>
      <c r="K4" s="1340"/>
      <c r="L4" s="1340"/>
      <c r="M4" s="1341"/>
      <c r="N4" s="1334" t="s">
        <v>638</v>
      </c>
      <c r="O4" s="1334"/>
      <c r="P4" s="1334"/>
      <c r="Q4" s="1334"/>
      <c r="R4" s="1334"/>
      <c r="S4" s="1334" t="s">
        <v>640</v>
      </c>
      <c r="T4" s="1334"/>
      <c r="U4" s="1334"/>
      <c r="V4" s="1334"/>
      <c r="W4" s="1334"/>
      <c r="X4" s="1334"/>
      <c r="Y4" s="1336" t="s">
        <v>1260</v>
      </c>
      <c r="Z4" s="1336" t="s">
        <v>1261</v>
      </c>
      <c r="AB4" s="1089"/>
      <c r="AC4" s="1089"/>
      <c r="AD4" s="1089"/>
      <c r="AE4" s="1089"/>
      <c r="AF4" s="1089"/>
    </row>
    <row r="5" spans="1:32" s="1012" customFormat="1" ht="26.25" customHeight="1">
      <c r="A5" s="1337"/>
      <c r="B5" s="1337"/>
      <c r="C5" s="1342"/>
      <c r="D5" s="1343"/>
      <c r="E5" s="1343"/>
      <c r="F5" s="1343"/>
      <c r="G5" s="1343"/>
      <c r="H5" s="1344"/>
      <c r="I5" s="1334" t="s">
        <v>1262</v>
      </c>
      <c r="J5" s="1334" t="s">
        <v>1263</v>
      </c>
      <c r="K5" s="1334" t="s">
        <v>1264</v>
      </c>
      <c r="L5" s="1334" t="s">
        <v>1265</v>
      </c>
      <c r="M5" s="1334" t="s">
        <v>1266</v>
      </c>
      <c r="N5" s="1334"/>
      <c r="O5" s="1334"/>
      <c r="P5" s="1334"/>
      <c r="Q5" s="1334"/>
      <c r="R5" s="1334"/>
      <c r="S5" s="1334" t="s">
        <v>641</v>
      </c>
      <c r="T5" s="1334" t="s">
        <v>647</v>
      </c>
      <c r="U5" s="1334"/>
      <c r="V5" s="1334"/>
      <c r="W5" s="1334"/>
      <c r="X5" s="1334"/>
      <c r="Y5" s="1337"/>
      <c r="Z5" s="1337"/>
      <c r="AB5" s="1089"/>
      <c r="AC5" s="1089"/>
      <c r="AD5" s="1089"/>
      <c r="AE5" s="1089"/>
      <c r="AF5" s="1089"/>
    </row>
    <row r="6" spans="1:32" s="1012" customFormat="1" ht="63" customHeight="1">
      <c r="A6" s="1337"/>
      <c r="B6" s="1338"/>
      <c r="C6" s="1043" t="s">
        <v>1267</v>
      </c>
      <c r="D6" s="1042" t="s">
        <v>1268</v>
      </c>
      <c r="E6" s="1043" t="s">
        <v>1269</v>
      </c>
      <c r="F6" s="1042" t="s">
        <v>1268</v>
      </c>
      <c r="G6" s="1043" t="s">
        <v>1270</v>
      </c>
      <c r="H6" s="1042" t="s">
        <v>1268</v>
      </c>
      <c r="I6" s="1334"/>
      <c r="J6" s="1334"/>
      <c r="K6" s="1334"/>
      <c r="L6" s="1334"/>
      <c r="M6" s="1334"/>
      <c r="N6" s="1044" t="s">
        <v>504</v>
      </c>
      <c r="O6" s="1044" t="s">
        <v>152</v>
      </c>
      <c r="P6" s="1044" t="s">
        <v>154</v>
      </c>
      <c r="Q6" s="1044" t="s">
        <v>155</v>
      </c>
      <c r="R6" s="1044" t="s">
        <v>158</v>
      </c>
      <c r="S6" s="1334"/>
      <c r="T6" s="1044" t="s">
        <v>504</v>
      </c>
      <c r="U6" s="1044" t="s">
        <v>152</v>
      </c>
      <c r="V6" s="1044" t="s">
        <v>154</v>
      </c>
      <c r="W6" s="1044" t="s">
        <v>155</v>
      </c>
      <c r="X6" s="1044" t="s">
        <v>158</v>
      </c>
      <c r="Y6" s="1338"/>
      <c r="Z6" s="1338"/>
      <c r="AA6" s="1075"/>
      <c r="AB6" s="1090" t="s">
        <v>504</v>
      </c>
      <c r="AC6" s="1090" t="s">
        <v>152</v>
      </c>
      <c r="AD6" s="1090" t="s">
        <v>154</v>
      </c>
      <c r="AE6" s="1090" t="s">
        <v>155</v>
      </c>
      <c r="AF6" s="1090" t="s">
        <v>158</v>
      </c>
    </row>
    <row r="7" spans="1:32" s="1012" customFormat="1">
      <c r="A7" s="1338"/>
      <c r="B7" s="612" t="s">
        <v>309</v>
      </c>
      <c r="C7" s="612" t="s">
        <v>310</v>
      </c>
      <c r="D7" s="612" t="s">
        <v>327</v>
      </c>
      <c r="E7" s="612" t="s">
        <v>311</v>
      </c>
      <c r="F7" s="612" t="s">
        <v>312</v>
      </c>
      <c r="G7" s="612" t="s">
        <v>328</v>
      </c>
      <c r="H7" s="612" t="s">
        <v>313</v>
      </c>
      <c r="I7" s="612" t="s">
        <v>314</v>
      </c>
      <c r="J7" s="612" t="s">
        <v>315</v>
      </c>
      <c r="K7" s="612" t="s">
        <v>316</v>
      </c>
      <c r="L7" s="612" t="s">
        <v>317</v>
      </c>
      <c r="M7" s="612" t="s">
        <v>318</v>
      </c>
      <c r="N7" s="612" t="s">
        <v>319</v>
      </c>
      <c r="O7" s="612" t="s">
        <v>648</v>
      </c>
      <c r="P7" s="612" t="s">
        <v>649</v>
      </c>
      <c r="Q7" s="612" t="s">
        <v>650</v>
      </c>
      <c r="R7" s="612" t="s">
        <v>651</v>
      </c>
      <c r="S7" s="612" t="s">
        <v>1117</v>
      </c>
      <c r="T7" s="612" t="s">
        <v>1176</v>
      </c>
      <c r="U7" s="612" t="s">
        <v>1271</v>
      </c>
      <c r="V7" s="612" t="s">
        <v>1272</v>
      </c>
      <c r="W7" s="612" t="s">
        <v>1273</v>
      </c>
      <c r="X7" s="612" t="s">
        <v>1274</v>
      </c>
      <c r="Y7" s="612" t="s">
        <v>1275</v>
      </c>
      <c r="Z7" s="612" t="s">
        <v>1276</v>
      </c>
      <c r="AA7" s="1075"/>
      <c r="AB7" s="1089"/>
      <c r="AC7" s="1089"/>
      <c r="AD7" s="1089"/>
      <c r="AE7" s="1089"/>
      <c r="AF7" s="1089"/>
    </row>
    <row r="8" spans="1:32" s="1012" customFormat="1" ht="49.5" customHeight="1">
      <c r="A8" s="1013"/>
      <c r="B8" s="1014" t="s">
        <v>394</v>
      </c>
      <c r="C8" s="1015">
        <f>+C9+C25</f>
        <v>4772374677</v>
      </c>
      <c r="D8" s="1016">
        <f>IFERROR(((C9*D9)/C8)+((C25*D25)/C8),0)</f>
        <v>0.13528238645499424</v>
      </c>
      <c r="E8" s="1015">
        <f>+E9+E25</f>
        <v>3194072352</v>
      </c>
      <c r="F8" s="1016">
        <f>IFERROR(((E9*F9)/E8)+((E25*F25)/E8),0)</f>
        <v>0.15209126827749228</v>
      </c>
      <c r="G8" s="1015">
        <f>+G9+G25</f>
        <v>1578302325</v>
      </c>
      <c r="H8" s="1016">
        <f>IFERROR(((G9*H9)/G8)+((G25*H25)/G8),0)</f>
        <v>0.10126559270216867</v>
      </c>
      <c r="I8" s="1015">
        <f t="shared" ref="I8:Z8" si="0">+I9+I25</f>
        <v>229541544</v>
      </c>
      <c r="J8" s="1015">
        <f t="shared" si="0"/>
        <v>3952335683</v>
      </c>
      <c r="K8" s="1015">
        <f t="shared" si="0"/>
        <v>400652165</v>
      </c>
      <c r="L8" s="1015">
        <f t="shared" si="0"/>
        <v>178010161</v>
      </c>
      <c r="M8" s="1015">
        <f t="shared" si="0"/>
        <v>11835124</v>
      </c>
      <c r="N8" s="1015">
        <f t="shared" si="0"/>
        <v>4002830821</v>
      </c>
      <c r="O8" s="1015">
        <f t="shared" si="0"/>
        <v>741934626</v>
      </c>
      <c r="P8" s="1015">
        <f t="shared" si="0"/>
        <v>9977568</v>
      </c>
      <c r="Q8" s="1015">
        <f t="shared" si="0"/>
        <v>3530535</v>
      </c>
      <c r="R8" s="1015">
        <f t="shared" si="0"/>
        <v>14101127</v>
      </c>
      <c r="S8" s="1015">
        <f t="shared" si="0"/>
        <v>0</v>
      </c>
      <c r="T8" s="1015">
        <f t="shared" si="0"/>
        <v>0</v>
      </c>
      <c r="U8" s="1015">
        <f t="shared" si="0"/>
        <v>110124747</v>
      </c>
      <c r="V8" s="1015">
        <f t="shared" si="0"/>
        <v>2493866</v>
      </c>
      <c r="W8" s="1015">
        <f t="shared" si="0"/>
        <v>1766454</v>
      </c>
      <c r="X8" s="1015">
        <f t="shared" si="0"/>
        <v>5540630</v>
      </c>
      <c r="Y8" s="1015">
        <f t="shared" si="0"/>
        <v>0</v>
      </c>
      <c r="Z8" s="1015">
        <f t="shared" si="0"/>
        <v>0</v>
      </c>
      <c r="AA8" s="1075">
        <f>+'Loans Receivable'!C92</f>
        <v>4772374677</v>
      </c>
      <c r="AB8" s="1091">
        <f>+'Asset Classification'!G30</f>
        <v>0</v>
      </c>
      <c r="AC8" s="1091">
        <f>+'Asset Classification'!K30</f>
        <v>110124747</v>
      </c>
      <c r="AD8" s="1091">
        <f>+'Asset Classification'!O50</f>
        <v>2493866</v>
      </c>
      <c r="AE8" s="1091">
        <f>+'Asset Classification'!S50</f>
        <v>1766454</v>
      </c>
      <c r="AF8" s="1091">
        <f>+'Asset Classification'!W50</f>
        <v>5540630</v>
      </c>
    </row>
    <row r="9" spans="1:32" s="1034" customFormat="1" ht="49.5" customHeight="1">
      <c r="A9" s="1014" t="s">
        <v>504</v>
      </c>
      <c r="B9" s="1014" t="s">
        <v>1277</v>
      </c>
      <c r="C9" s="1015">
        <f>+C11+C16+C21+C22+C24</f>
        <v>1460223223</v>
      </c>
      <c r="D9" s="1016">
        <f>IFERROR(((C11*D11)/C9)+((C16*D16)/C9)+((C21*D21)/C9)+((C22*D22)/C9)+((C24*D24)/C9),0)</f>
        <v>0.13311320432200241</v>
      </c>
      <c r="E9" s="1015">
        <f>+E11+E16+E21+E22+E24</f>
        <v>1460223223</v>
      </c>
      <c r="F9" s="1016">
        <f>IFERROR(((E11*F11)/E9)+((E16*F16)/E9)+((E21*F21)/E9)+((E22*F22)/E9)+((E24*F24)/E9),0)</f>
        <v>0.13311320432200241</v>
      </c>
      <c r="G9" s="1015">
        <f>+G11+G16+G21+G22+G24</f>
        <v>0</v>
      </c>
      <c r="H9" s="1016">
        <f>IFERROR(((G11*H11)/G9)+((G16*H16)/G9)+((G21*H21)/G9)+((G22*H22)/G9)+((G24*H24)/G9),0)</f>
        <v>0</v>
      </c>
      <c r="I9" s="1015">
        <f t="shared" ref="I9:Z9" si="1">+I11+I16+I21+I22+I24</f>
        <v>34596772</v>
      </c>
      <c r="J9" s="1015">
        <f t="shared" si="1"/>
        <v>1298196958</v>
      </c>
      <c r="K9" s="1015">
        <f t="shared" si="1"/>
        <v>40684873</v>
      </c>
      <c r="L9" s="1015">
        <f t="shared" si="1"/>
        <v>74909496</v>
      </c>
      <c r="M9" s="1015">
        <f t="shared" si="1"/>
        <v>11835124</v>
      </c>
      <c r="N9" s="1015">
        <f t="shared" si="1"/>
        <v>1440604883</v>
      </c>
      <c r="O9" s="1015">
        <f t="shared" si="1"/>
        <v>19180910</v>
      </c>
      <c r="P9" s="1015">
        <f t="shared" si="1"/>
        <v>402692</v>
      </c>
      <c r="Q9" s="1015">
        <f t="shared" si="1"/>
        <v>30218</v>
      </c>
      <c r="R9" s="1015">
        <f t="shared" si="1"/>
        <v>4520</v>
      </c>
      <c r="S9" s="1015">
        <f t="shared" si="1"/>
        <v>0</v>
      </c>
      <c r="T9" s="1015">
        <f t="shared" si="1"/>
        <v>0</v>
      </c>
      <c r="U9" s="1015">
        <f t="shared" si="1"/>
        <v>3239869</v>
      </c>
      <c r="V9" s="1015">
        <f t="shared" si="1"/>
        <v>436829</v>
      </c>
      <c r="W9" s="1015">
        <f t="shared" si="1"/>
        <v>0</v>
      </c>
      <c r="X9" s="1015">
        <f t="shared" si="1"/>
        <v>2540</v>
      </c>
      <c r="Y9" s="1015">
        <f t="shared" si="1"/>
        <v>0</v>
      </c>
      <c r="Z9" s="1015">
        <f t="shared" si="1"/>
        <v>0</v>
      </c>
      <c r="AA9" s="1091">
        <f>'Loans Receivable'!C80</f>
        <v>1460223224</v>
      </c>
      <c r="AB9" s="1185">
        <f>'Asset Classification'!E30</f>
        <v>4002830821</v>
      </c>
      <c r="AC9" s="1185">
        <f>'Asset Classification'!I30</f>
        <v>741934626</v>
      </c>
      <c r="AD9" s="1185">
        <f>'Asset Classification'!M30</f>
        <v>9977568</v>
      </c>
      <c r="AE9" s="1185">
        <f>'Asset Classification'!Q30</f>
        <v>3530535</v>
      </c>
      <c r="AF9" s="1185">
        <f>'Asset Classification'!U30</f>
        <v>14101127</v>
      </c>
    </row>
    <row r="10" spans="1:32" s="1012" customFormat="1" ht="33.75" customHeight="1">
      <c r="A10" s="1013"/>
      <c r="B10" s="1014" t="s">
        <v>1074</v>
      </c>
      <c r="C10" s="1015"/>
      <c r="D10" s="1015"/>
      <c r="E10" s="1015"/>
      <c r="F10" s="1015"/>
      <c r="G10" s="1015"/>
      <c r="H10" s="1015"/>
      <c r="I10" s="1015"/>
      <c r="J10" s="1015"/>
      <c r="K10" s="1015"/>
      <c r="L10" s="1015"/>
      <c r="M10" s="1015"/>
      <c r="N10" s="1015"/>
      <c r="O10" s="1015"/>
      <c r="P10" s="1015"/>
      <c r="Q10" s="1015"/>
      <c r="R10" s="1015"/>
      <c r="S10" s="1015"/>
      <c r="T10" s="1015"/>
      <c r="U10" s="1015"/>
      <c r="V10" s="1015"/>
      <c r="W10" s="1015"/>
      <c r="X10" s="1015"/>
      <c r="Y10" s="1015"/>
      <c r="Z10" s="1015"/>
      <c r="AA10" s="1091"/>
      <c r="AB10" s="1186">
        <f>+N8-AB9</f>
        <v>0</v>
      </c>
      <c r="AC10" s="1186">
        <f>+O8-AC9</f>
        <v>0</v>
      </c>
      <c r="AD10" s="1186">
        <f>+P8-AD9</f>
        <v>0</v>
      </c>
      <c r="AE10" s="1186">
        <f>+Q8-AE9</f>
        <v>0</v>
      </c>
      <c r="AF10" s="1186">
        <f>+R8-AF9</f>
        <v>0</v>
      </c>
    </row>
    <row r="11" spans="1:32" s="1012" customFormat="1" ht="49.5" customHeight="1">
      <c r="A11" s="1017">
        <v>1</v>
      </c>
      <c r="B11" s="1018" t="s">
        <v>1278</v>
      </c>
      <c r="C11" s="1074">
        <f>SUM(C12:C15)</f>
        <v>60611559</v>
      </c>
      <c r="D11" s="1076">
        <f>IFERROR(((C12*D12)/C11)+((C13*D13)/C11)+((C14*D14)/C11)+((C15*D15)/C11),0)</f>
        <v>0.14333466536222617</v>
      </c>
      <c r="E11" s="1074">
        <f>SUM(E12:E15)</f>
        <v>60611559</v>
      </c>
      <c r="F11" s="1076">
        <f>IFERROR(((E12*F12)/E11)+((E13*F13)/E11)+((E14*F14)/E11)+((E15*F15)/E11),0)</f>
        <v>0.14333466536222617</v>
      </c>
      <c r="G11" s="1074">
        <f>SUM(G12:G15)</f>
        <v>0</v>
      </c>
      <c r="H11" s="1076">
        <f>IFERROR(((G12*H12)/G11)+((G13*H13)/G11)+((G14*H14)/G11)+((G15*H15)/G11),0)</f>
        <v>0</v>
      </c>
      <c r="I11" s="1074">
        <f t="shared" ref="I11:Z11" si="2">SUM(I12:I15)</f>
        <v>0</v>
      </c>
      <c r="J11" s="1074">
        <f t="shared" si="2"/>
        <v>0</v>
      </c>
      <c r="K11" s="1074">
        <f t="shared" si="2"/>
        <v>23720587</v>
      </c>
      <c r="L11" s="1074">
        <f t="shared" si="2"/>
        <v>25055848</v>
      </c>
      <c r="M11" s="1074">
        <f t="shared" si="2"/>
        <v>11835124</v>
      </c>
      <c r="N11" s="1074">
        <f t="shared" si="2"/>
        <v>60581341</v>
      </c>
      <c r="O11" s="1074">
        <f t="shared" si="2"/>
        <v>0</v>
      </c>
      <c r="P11" s="1074">
        <f t="shared" si="2"/>
        <v>0</v>
      </c>
      <c r="Q11" s="1074">
        <f t="shared" si="2"/>
        <v>30218</v>
      </c>
      <c r="R11" s="1074">
        <f t="shared" si="2"/>
        <v>0</v>
      </c>
      <c r="S11" s="1074">
        <f t="shared" si="2"/>
        <v>0</v>
      </c>
      <c r="T11" s="1074">
        <f t="shared" si="2"/>
        <v>0</v>
      </c>
      <c r="U11" s="1074">
        <f t="shared" si="2"/>
        <v>318532</v>
      </c>
      <c r="V11" s="1074">
        <f t="shared" si="2"/>
        <v>375785</v>
      </c>
      <c r="W11" s="1074">
        <f t="shared" si="2"/>
        <v>0</v>
      </c>
      <c r="X11" s="1074">
        <f t="shared" si="2"/>
        <v>0</v>
      </c>
      <c r="Y11" s="1074">
        <f t="shared" si="2"/>
        <v>0</v>
      </c>
      <c r="Z11" s="1074">
        <f t="shared" si="2"/>
        <v>0</v>
      </c>
      <c r="AA11" s="1091">
        <f>'loans_av rate'!C10</f>
        <v>60611559</v>
      </c>
      <c r="AB11" s="1089">
        <f>'loans_av rate'!E10</f>
        <v>60611559</v>
      </c>
      <c r="AC11" s="1089">
        <f>'loans_av rate'!G10</f>
        <v>0</v>
      </c>
      <c r="AD11" s="1089"/>
      <c r="AE11" s="1089"/>
      <c r="AF11" s="1089"/>
    </row>
    <row r="12" spans="1:32" s="1012" customFormat="1" ht="49.5" customHeight="1">
      <c r="A12" s="1023" t="s">
        <v>494</v>
      </c>
      <c r="B12" s="1071" t="s">
        <v>1279</v>
      </c>
      <c r="C12" s="1072">
        <f>+E12+G12</f>
        <v>60611559</v>
      </c>
      <c r="D12" s="1019">
        <v>0.14333466536222617</v>
      </c>
      <c r="E12" s="1073">
        <v>60611559</v>
      </c>
      <c r="F12" s="1019">
        <v>0.14333466536222617</v>
      </c>
      <c r="G12" s="1073"/>
      <c r="H12" s="1019"/>
      <c r="I12" s="1073">
        <v>0</v>
      </c>
      <c r="J12" s="1073">
        <v>0</v>
      </c>
      <c r="K12" s="1073">
        <v>23720587</v>
      </c>
      <c r="L12" s="1073">
        <v>25055848</v>
      </c>
      <c r="M12" s="1073">
        <v>11835124</v>
      </c>
      <c r="N12" s="1073">
        <v>60581341</v>
      </c>
      <c r="O12" s="1073">
        <v>0</v>
      </c>
      <c r="P12" s="1073">
        <v>0</v>
      </c>
      <c r="Q12" s="1073">
        <v>30218</v>
      </c>
      <c r="R12" s="1073">
        <v>0</v>
      </c>
      <c r="S12" s="1072"/>
      <c r="T12" s="1073">
        <v>0</v>
      </c>
      <c r="U12" s="1073">
        <v>318532</v>
      </c>
      <c r="V12" s="1073">
        <v>375785</v>
      </c>
      <c r="W12" s="1073"/>
      <c r="X12" s="1073">
        <v>0</v>
      </c>
      <c r="Y12" s="1073">
        <v>0</v>
      </c>
      <c r="Z12" s="1073"/>
      <c r="AA12" s="1091"/>
      <c r="AB12" s="1089"/>
      <c r="AC12" s="1089"/>
      <c r="AD12" s="1089"/>
      <c r="AE12" s="1089"/>
      <c r="AF12" s="1089"/>
    </row>
    <row r="13" spans="1:32" s="1012" customFormat="1" ht="49.5" customHeight="1">
      <c r="A13" s="1023" t="s">
        <v>495</v>
      </c>
      <c r="B13" s="1071" t="s">
        <v>1280</v>
      </c>
      <c r="C13" s="1072">
        <f>+E13+G13</f>
        <v>0</v>
      </c>
      <c r="D13" s="1019"/>
      <c r="E13" s="1073"/>
      <c r="F13" s="1019"/>
      <c r="G13" s="1073"/>
      <c r="H13" s="1019"/>
      <c r="I13" s="1073"/>
      <c r="J13" s="1073"/>
      <c r="K13" s="1073"/>
      <c r="L13" s="1073"/>
      <c r="M13" s="1073"/>
      <c r="N13" s="1073"/>
      <c r="O13" s="1073"/>
      <c r="P13" s="1073"/>
      <c r="Q13" s="1073"/>
      <c r="R13" s="1073"/>
      <c r="S13" s="1072"/>
      <c r="T13" s="1073"/>
      <c r="U13" s="1073"/>
      <c r="V13" s="1073"/>
      <c r="W13" s="1073"/>
      <c r="X13" s="1073"/>
      <c r="Y13" s="1073"/>
      <c r="Z13" s="1073"/>
      <c r="AA13" s="1091"/>
      <c r="AB13" s="1089"/>
      <c r="AC13" s="1089"/>
      <c r="AD13" s="1089"/>
      <c r="AE13" s="1089"/>
      <c r="AF13" s="1089"/>
    </row>
    <row r="14" spans="1:32" s="1012" customFormat="1" ht="49.5" customHeight="1">
      <c r="A14" s="1023" t="s">
        <v>496</v>
      </c>
      <c r="B14" s="1071" t="s">
        <v>1287</v>
      </c>
      <c r="C14" s="1072">
        <f>+E14+G14</f>
        <v>0</v>
      </c>
      <c r="D14" s="1019"/>
      <c r="E14" s="1073"/>
      <c r="F14" s="1019"/>
      <c r="G14" s="1073"/>
      <c r="H14" s="1019"/>
      <c r="I14" s="1073"/>
      <c r="J14" s="1073"/>
      <c r="K14" s="1073"/>
      <c r="L14" s="1073"/>
      <c r="M14" s="1073"/>
      <c r="N14" s="1073"/>
      <c r="O14" s="1073"/>
      <c r="P14" s="1073"/>
      <c r="Q14" s="1073"/>
      <c r="R14" s="1073"/>
      <c r="S14" s="1072"/>
      <c r="T14" s="1073"/>
      <c r="U14" s="1073"/>
      <c r="V14" s="1073"/>
      <c r="W14" s="1073"/>
      <c r="X14" s="1073"/>
      <c r="Y14" s="1073"/>
      <c r="Z14" s="1073"/>
      <c r="AA14" s="1091"/>
      <c r="AB14" s="1089"/>
      <c r="AC14" s="1089"/>
      <c r="AD14" s="1089"/>
      <c r="AE14" s="1089"/>
      <c r="AF14" s="1089"/>
    </row>
    <row r="15" spans="1:32" s="1012" customFormat="1" ht="49.5" customHeight="1">
      <c r="A15" s="1023" t="s">
        <v>500</v>
      </c>
      <c r="B15" s="1071" t="s">
        <v>1281</v>
      </c>
      <c r="C15" s="1072">
        <f>+E15+G15</f>
        <v>0</v>
      </c>
      <c r="D15" s="1019"/>
      <c r="E15" s="1073"/>
      <c r="F15" s="1019"/>
      <c r="G15" s="1073"/>
      <c r="H15" s="1019"/>
      <c r="I15" s="1073"/>
      <c r="J15" s="1073"/>
      <c r="K15" s="1073"/>
      <c r="L15" s="1073"/>
      <c r="M15" s="1073"/>
      <c r="N15" s="1073"/>
      <c r="O15" s="1073"/>
      <c r="P15" s="1073"/>
      <c r="Q15" s="1073"/>
      <c r="R15" s="1073"/>
      <c r="S15" s="1072"/>
      <c r="T15" s="1073"/>
      <c r="U15" s="1073"/>
      <c r="V15" s="1073"/>
      <c r="W15" s="1073"/>
      <c r="X15" s="1073"/>
      <c r="Y15" s="1073"/>
      <c r="Z15" s="1073"/>
      <c r="AA15" s="1091"/>
      <c r="AB15" s="1089"/>
      <c r="AC15" s="1089"/>
      <c r="AD15" s="1089"/>
      <c r="AE15" s="1089"/>
      <c r="AF15" s="1089"/>
    </row>
    <row r="16" spans="1:32" s="1012" customFormat="1" ht="49.5" customHeight="1">
      <c r="A16" s="1017">
        <v>2</v>
      </c>
      <c r="B16" s="1018" t="s">
        <v>1282</v>
      </c>
      <c r="C16" s="1074">
        <f>SUM(C17:C20)</f>
        <v>66101576</v>
      </c>
      <c r="D16" s="1076">
        <f>IFERROR(((C17*D17)/C16)+((C18*D18)/C16)+((C19*D19)/C16)+((C20*D20)/C16),0)</f>
        <v>0.18952041782572565</v>
      </c>
      <c r="E16" s="1074">
        <f>SUM(E17:E20)</f>
        <v>66101576</v>
      </c>
      <c r="F16" s="1076">
        <f>IFERROR(((E17*F17)/E16)+((E18*F18)/E16)+((E19*F19)/E16)+((E20*F20)/E16),0)</f>
        <v>0.18952041782572565</v>
      </c>
      <c r="G16" s="1074">
        <f>SUM(G17:G20)</f>
        <v>0</v>
      </c>
      <c r="H16" s="1076">
        <f>IFERROR(((G17*H17)/G16)+((G18*H18)/G16)+((G19*H19)/G16)+((G20*H20)/G16),0)</f>
        <v>0</v>
      </c>
      <c r="I16" s="1074">
        <f>SUM(I17:I20)</f>
        <v>0</v>
      </c>
      <c r="J16" s="1074">
        <f t="shared" ref="J16:Z16" si="3">SUM(J17:J20)</f>
        <v>204742</v>
      </c>
      <c r="K16" s="1074">
        <f t="shared" si="3"/>
        <v>16088116</v>
      </c>
      <c r="L16" s="1074">
        <f t="shared" si="3"/>
        <v>49808718</v>
      </c>
      <c r="M16" s="1074">
        <f t="shared" si="3"/>
        <v>0</v>
      </c>
      <c r="N16" s="1074">
        <f t="shared" si="3"/>
        <v>46920656</v>
      </c>
      <c r="O16" s="1074">
        <f t="shared" si="3"/>
        <v>19180910</v>
      </c>
      <c r="P16" s="1074">
        <f t="shared" si="3"/>
        <v>10</v>
      </c>
      <c r="Q16" s="1074">
        <f t="shared" si="3"/>
        <v>0</v>
      </c>
      <c r="R16" s="1074">
        <f t="shared" si="3"/>
        <v>0</v>
      </c>
      <c r="S16" s="1074">
        <f t="shared" si="3"/>
        <v>0</v>
      </c>
      <c r="T16" s="1074">
        <f t="shared" si="3"/>
        <v>0</v>
      </c>
      <c r="U16" s="1074">
        <f t="shared" si="3"/>
        <v>1484410</v>
      </c>
      <c r="V16" s="1074">
        <f t="shared" si="3"/>
        <v>0</v>
      </c>
      <c r="W16" s="1074">
        <f t="shared" si="3"/>
        <v>0</v>
      </c>
      <c r="X16" s="1074">
        <f t="shared" si="3"/>
        <v>0</v>
      </c>
      <c r="Y16" s="1074">
        <f t="shared" si="3"/>
        <v>0</v>
      </c>
      <c r="Z16" s="1074">
        <f t="shared" si="3"/>
        <v>0</v>
      </c>
      <c r="AA16" s="1091">
        <f>'loans_av rate'!C18</f>
        <v>66101576</v>
      </c>
      <c r="AB16" s="1089">
        <f>'loans_av rate'!E18</f>
        <v>66101576</v>
      </c>
      <c r="AC16" s="1089">
        <f>'loans_av rate'!G18</f>
        <v>0</v>
      </c>
      <c r="AD16" s="1089"/>
      <c r="AE16" s="1089"/>
      <c r="AF16" s="1089"/>
    </row>
    <row r="17" spans="1:32" s="1022" customFormat="1" ht="49.5" customHeight="1">
      <c r="A17" s="1020" t="s">
        <v>494</v>
      </c>
      <c r="B17" s="1021" t="s">
        <v>1279</v>
      </c>
      <c r="C17" s="1072">
        <f t="shared" ref="C17:C24" si="4">+E17+G17</f>
        <v>66101576</v>
      </c>
      <c r="D17" s="1019">
        <v>0.18952041782572565</v>
      </c>
      <c r="E17" s="1073">
        <v>66101576</v>
      </c>
      <c r="F17" s="1019">
        <v>0.18952041782572565</v>
      </c>
      <c r="G17" s="1073"/>
      <c r="H17" s="1019"/>
      <c r="I17" s="1073">
        <v>0</v>
      </c>
      <c r="J17" s="1073">
        <v>204742</v>
      </c>
      <c r="K17" s="1073">
        <v>16088116</v>
      </c>
      <c r="L17" s="1073">
        <v>49808718</v>
      </c>
      <c r="M17" s="1073"/>
      <c r="N17" s="1073">
        <v>46920656</v>
      </c>
      <c r="O17" s="1073">
        <v>19180910</v>
      </c>
      <c r="P17" s="1073">
        <v>10</v>
      </c>
      <c r="Q17" s="1073">
        <v>0</v>
      </c>
      <c r="R17" s="1073">
        <v>0</v>
      </c>
      <c r="S17" s="1072"/>
      <c r="T17" s="1073">
        <v>0</v>
      </c>
      <c r="U17" s="1073">
        <v>1484410</v>
      </c>
      <c r="V17" s="1073"/>
      <c r="W17" s="1073">
        <v>0</v>
      </c>
      <c r="X17" s="1073">
        <v>0</v>
      </c>
      <c r="Y17" s="1073">
        <v>0</v>
      </c>
      <c r="Z17" s="1073"/>
      <c r="AA17" s="1091"/>
      <c r="AB17" s="1093"/>
      <c r="AC17" s="1093"/>
      <c r="AD17" s="1093"/>
      <c r="AE17" s="1093"/>
      <c r="AF17" s="1093"/>
    </row>
    <row r="18" spans="1:32" s="1022" customFormat="1" ht="49.5" customHeight="1">
      <c r="A18" s="1020" t="s">
        <v>495</v>
      </c>
      <c r="B18" s="1021" t="s">
        <v>1280</v>
      </c>
      <c r="C18" s="1072">
        <f t="shared" si="4"/>
        <v>0</v>
      </c>
      <c r="D18" s="1019"/>
      <c r="E18" s="1073"/>
      <c r="F18" s="1019"/>
      <c r="G18" s="1073"/>
      <c r="H18" s="1019"/>
      <c r="I18" s="1073"/>
      <c r="J18" s="1073"/>
      <c r="K18" s="1073"/>
      <c r="L18" s="1073"/>
      <c r="M18" s="1073"/>
      <c r="N18" s="1073"/>
      <c r="O18" s="1073"/>
      <c r="P18" s="1073"/>
      <c r="Q18" s="1073"/>
      <c r="R18" s="1073"/>
      <c r="S18" s="1072"/>
      <c r="T18" s="1073"/>
      <c r="U18" s="1073"/>
      <c r="V18" s="1073"/>
      <c r="W18" s="1073"/>
      <c r="X18" s="1073"/>
      <c r="Y18" s="1073"/>
      <c r="Z18" s="1073"/>
      <c r="AA18" s="1091"/>
      <c r="AB18" s="1093"/>
      <c r="AC18" s="1093"/>
      <c r="AD18" s="1093"/>
      <c r="AE18" s="1093"/>
      <c r="AF18" s="1093"/>
    </row>
    <row r="19" spans="1:32" s="1022" customFormat="1" ht="49.5" customHeight="1">
      <c r="A19" s="1020" t="s">
        <v>496</v>
      </c>
      <c r="B19" s="1021" t="s">
        <v>1287</v>
      </c>
      <c r="C19" s="1072">
        <f t="shared" si="4"/>
        <v>0</v>
      </c>
      <c r="D19" s="1019"/>
      <c r="E19" s="1073"/>
      <c r="F19" s="1019"/>
      <c r="G19" s="1073"/>
      <c r="H19" s="1019"/>
      <c r="I19" s="1073"/>
      <c r="J19" s="1073"/>
      <c r="K19" s="1073"/>
      <c r="L19" s="1073"/>
      <c r="M19" s="1073"/>
      <c r="N19" s="1073"/>
      <c r="O19" s="1073"/>
      <c r="P19" s="1073"/>
      <c r="Q19" s="1073"/>
      <c r="R19" s="1073"/>
      <c r="S19" s="1072"/>
      <c r="T19" s="1073"/>
      <c r="U19" s="1073"/>
      <c r="V19" s="1073"/>
      <c r="W19" s="1073"/>
      <c r="X19" s="1073"/>
      <c r="Y19" s="1073"/>
      <c r="Z19" s="1073"/>
      <c r="AA19" s="1091"/>
      <c r="AB19" s="1093"/>
      <c r="AC19" s="1093"/>
      <c r="AD19" s="1093"/>
      <c r="AE19" s="1093"/>
      <c r="AF19" s="1093"/>
    </row>
    <row r="20" spans="1:32" s="1022" customFormat="1" ht="49.5" customHeight="1">
      <c r="A20" s="1020" t="s">
        <v>500</v>
      </c>
      <c r="B20" s="1021" t="s">
        <v>1281</v>
      </c>
      <c r="C20" s="1072">
        <f t="shared" si="4"/>
        <v>0</v>
      </c>
      <c r="D20" s="1019"/>
      <c r="E20" s="1073"/>
      <c r="F20" s="1019"/>
      <c r="G20" s="1073"/>
      <c r="H20" s="1019"/>
      <c r="I20" s="1073"/>
      <c r="J20" s="1073"/>
      <c r="K20" s="1073"/>
      <c r="L20" s="1073"/>
      <c r="M20" s="1073"/>
      <c r="N20" s="1073"/>
      <c r="O20" s="1073"/>
      <c r="P20" s="1073"/>
      <c r="Q20" s="1073"/>
      <c r="R20" s="1073"/>
      <c r="S20" s="1072"/>
      <c r="T20" s="1073"/>
      <c r="U20" s="1073"/>
      <c r="V20" s="1073"/>
      <c r="W20" s="1073"/>
      <c r="X20" s="1073"/>
      <c r="Y20" s="1073"/>
      <c r="Z20" s="1073"/>
      <c r="AA20" s="1091"/>
      <c r="AB20" s="1093"/>
      <c r="AC20" s="1093"/>
      <c r="AD20" s="1093"/>
      <c r="AE20" s="1093"/>
      <c r="AF20" s="1093"/>
    </row>
    <row r="21" spans="1:32" s="1012" customFormat="1" ht="49.5" customHeight="1">
      <c r="A21" s="1023">
        <v>3</v>
      </c>
      <c r="B21" s="1024" t="s">
        <v>1298</v>
      </c>
      <c r="C21" s="1072">
        <f t="shared" si="4"/>
        <v>35168447</v>
      </c>
      <c r="D21" s="1019">
        <v>0.3200265975381873</v>
      </c>
      <c r="E21" s="1073">
        <v>35168447</v>
      </c>
      <c r="F21" s="1019">
        <v>0.3200265975381873</v>
      </c>
      <c r="G21" s="1073"/>
      <c r="H21" s="1019"/>
      <c r="I21" s="1073">
        <v>21784912</v>
      </c>
      <c r="J21" s="1073">
        <v>13383535</v>
      </c>
      <c r="K21" s="1073">
        <v>0</v>
      </c>
      <c r="L21" s="1073">
        <v>0</v>
      </c>
      <c r="M21" s="1073"/>
      <c r="N21" s="1073">
        <v>35168447</v>
      </c>
      <c r="O21" s="1073">
        <v>0</v>
      </c>
      <c r="P21" s="1073"/>
      <c r="Q21" s="1073"/>
      <c r="R21" s="1073"/>
      <c r="S21" s="1072"/>
      <c r="T21" s="1073"/>
      <c r="U21" s="1073">
        <v>104187</v>
      </c>
      <c r="V21" s="1073"/>
      <c r="W21" s="1073"/>
      <c r="X21" s="1073"/>
      <c r="Y21" s="1073"/>
      <c r="Z21" s="1073"/>
      <c r="AA21" s="1091">
        <f>'loans_av rate'!C12+'loans_av rate'!C20</f>
        <v>35168447</v>
      </c>
      <c r="AB21" s="1091">
        <f>'loans_av rate'!E12+'loans_av rate'!E20</f>
        <v>35168447</v>
      </c>
      <c r="AC21" s="1091">
        <f>'loans_av rate'!G12+[3]Лист1!F28</f>
        <v>6159259</v>
      </c>
      <c r="AE21" s="1089"/>
      <c r="AF21" s="1089"/>
    </row>
    <row r="22" spans="1:32" s="1012" customFormat="1" ht="49.5" customHeight="1">
      <c r="A22" s="1023">
        <v>4</v>
      </c>
      <c r="B22" s="1024" t="s">
        <v>1083</v>
      </c>
      <c r="C22" s="1072">
        <f t="shared" si="4"/>
        <v>303619648</v>
      </c>
      <c r="D22" s="1019">
        <v>0.27065060828231158</v>
      </c>
      <c r="E22" s="1073">
        <v>303619648</v>
      </c>
      <c r="F22" s="1019">
        <v>0.27065060828231158</v>
      </c>
      <c r="G22" s="1073"/>
      <c r="H22" s="1019"/>
      <c r="I22" s="1073">
        <v>9546712</v>
      </c>
      <c r="J22" s="1073">
        <v>293989899</v>
      </c>
      <c r="K22" s="1073">
        <v>83037</v>
      </c>
      <c r="L22" s="1073">
        <v>0</v>
      </c>
      <c r="M22" s="1073"/>
      <c r="N22" s="1073">
        <v>303606075</v>
      </c>
      <c r="O22" s="1073">
        <v>0</v>
      </c>
      <c r="P22" s="1073">
        <v>13573</v>
      </c>
      <c r="Q22" s="1073"/>
      <c r="R22" s="1073"/>
      <c r="S22" s="1072"/>
      <c r="T22" s="1073"/>
      <c r="U22" s="1073">
        <v>594224</v>
      </c>
      <c r="V22" s="1073">
        <v>1199</v>
      </c>
      <c r="W22" s="1073"/>
      <c r="X22" s="1073"/>
      <c r="Y22" s="1073"/>
      <c r="Z22" s="1073"/>
      <c r="AA22" s="1091"/>
      <c r="AB22" s="1089"/>
      <c r="AC22" s="1089"/>
      <c r="AE22" s="1089"/>
      <c r="AF22" s="1089"/>
    </row>
    <row r="23" spans="1:32" s="1012" customFormat="1" ht="49.5" customHeight="1">
      <c r="A23" s="1023" t="s">
        <v>818</v>
      </c>
      <c r="B23" s="1024" t="s">
        <v>1288</v>
      </c>
      <c r="C23" s="1072">
        <f t="shared" si="4"/>
        <v>102585421</v>
      </c>
      <c r="D23" s="1019">
        <v>0.28244137656626056</v>
      </c>
      <c r="E23" s="1073">
        <v>102585421</v>
      </c>
      <c r="F23" s="1019">
        <v>0.28244137656626056</v>
      </c>
      <c r="G23" s="1073"/>
      <c r="H23" s="1019"/>
      <c r="I23" s="1188"/>
      <c r="J23" s="1073">
        <v>102585421</v>
      </c>
      <c r="K23" s="1073"/>
      <c r="L23" s="1073"/>
      <c r="M23" s="1073"/>
      <c r="N23" s="1073">
        <v>102585421</v>
      </c>
      <c r="O23" s="1073">
        <v>0</v>
      </c>
      <c r="P23" s="1073"/>
      <c r="Q23" s="1073"/>
      <c r="R23" s="1073"/>
      <c r="S23" s="1072"/>
      <c r="T23" s="1073"/>
      <c r="U23" s="1073">
        <v>68395</v>
      </c>
      <c r="V23" s="1073"/>
      <c r="W23" s="1073"/>
      <c r="X23" s="1073"/>
      <c r="Y23" s="1073"/>
      <c r="Z23" s="1073"/>
      <c r="AA23" s="1091">
        <f>'loans_av rate'!C11+'loans_av rate'!C19</f>
        <v>102585421</v>
      </c>
      <c r="AB23" s="1091">
        <f>'loans_av rate'!E11+'loans_av rate'!E19</f>
        <v>102585421</v>
      </c>
      <c r="AC23" s="1091">
        <f>[3]Лист1!F26+'loans_av rate'!G19</f>
        <v>39508622</v>
      </c>
      <c r="AE23" s="1089"/>
      <c r="AF23" s="1089"/>
    </row>
    <row r="24" spans="1:32" s="1012" customFormat="1" ht="49.5" customHeight="1">
      <c r="A24" s="1023">
        <v>5</v>
      </c>
      <c r="B24" s="1024" t="s">
        <v>1071</v>
      </c>
      <c r="C24" s="1072">
        <f t="shared" si="4"/>
        <v>994721993</v>
      </c>
      <c r="D24" s="1019">
        <v>8.0153023778928037E-2</v>
      </c>
      <c r="E24" s="1073">
        <v>994721993</v>
      </c>
      <c r="F24" s="1019">
        <v>8.0153023778928037E-2</v>
      </c>
      <c r="G24" s="1073"/>
      <c r="H24" s="1019"/>
      <c r="I24" s="1073">
        <v>3265148</v>
      </c>
      <c r="J24" s="1073">
        <v>990618782</v>
      </c>
      <c r="K24" s="1073">
        <v>793133</v>
      </c>
      <c r="L24" s="1073">
        <v>44930</v>
      </c>
      <c r="M24" s="1073"/>
      <c r="N24" s="1073">
        <v>994328364</v>
      </c>
      <c r="O24" s="1073">
        <v>0</v>
      </c>
      <c r="P24" s="1073">
        <v>389109</v>
      </c>
      <c r="Q24" s="1073"/>
      <c r="R24" s="1073">
        <v>4520</v>
      </c>
      <c r="S24" s="1072"/>
      <c r="T24" s="1073"/>
      <c r="U24" s="1073">
        <v>738516</v>
      </c>
      <c r="V24" s="1073">
        <v>59845</v>
      </c>
      <c r="W24" s="1073"/>
      <c r="X24" s="1073">
        <v>2540</v>
      </c>
      <c r="Y24" s="1073"/>
      <c r="Z24" s="1073"/>
      <c r="AA24" s="1091"/>
      <c r="AB24" s="1089"/>
      <c r="AC24" s="1089"/>
      <c r="AE24" s="1089"/>
      <c r="AF24" s="1089"/>
    </row>
    <row r="25" spans="1:32" s="1034" customFormat="1" ht="49.5" customHeight="1">
      <c r="A25" s="1014" t="s">
        <v>152</v>
      </c>
      <c r="B25" s="1014" t="s">
        <v>1283</v>
      </c>
      <c r="C25" s="1015">
        <f>+C26</f>
        <v>3312151454</v>
      </c>
      <c r="D25" s="1016">
        <f>IFERROR(((C27*D27)/C25)+((C28*D28)/C25)+((C29*D29)/C25)+((C30*D30)/C25)+((C31*D31)/C25)+((C32*D32)/C25),0)</f>
        <v>0.1362387105148998</v>
      </c>
      <c r="E25" s="1015">
        <f t="shared" ref="E25:Z25" si="5">+E26</f>
        <v>1733849129</v>
      </c>
      <c r="F25" s="1016">
        <f>IFERROR(((E27*F27)/E25)+((E28*F28)/E25)+((E29*F29)/E25)+((E30*F30)/E25)+((E31*F31)/E25)+((E32*F32)/E25),0)</f>
        <v>0.16807432542582018</v>
      </c>
      <c r="G25" s="1015">
        <f t="shared" si="5"/>
        <v>1578302325</v>
      </c>
      <c r="H25" s="1016">
        <f>IFERROR(((G27*H27)/G25)+((G28*H28)/G25)+((G29*H29)/G25)+((G30*H30)/G25)+((G31*I31)/G25)+((G32*H32)/G25),0)</f>
        <v>0.10126559270216867</v>
      </c>
      <c r="I25" s="1015">
        <f t="shared" si="5"/>
        <v>194944772</v>
      </c>
      <c r="J25" s="1015">
        <f t="shared" si="5"/>
        <v>2654138725</v>
      </c>
      <c r="K25" s="1015">
        <f t="shared" si="5"/>
        <v>359967292</v>
      </c>
      <c r="L25" s="1015">
        <f t="shared" si="5"/>
        <v>103100665</v>
      </c>
      <c r="M25" s="1015">
        <f t="shared" si="5"/>
        <v>0</v>
      </c>
      <c r="N25" s="1015">
        <f t="shared" si="5"/>
        <v>2562225938</v>
      </c>
      <c r="O25" s="1015">
        <f t="shared" si="5"/>
        <v>722753716</v>
      </c>
      <c r="P25" s="1015">
        <f t="shared" si="5"/>
        <v>9574876</v>
      </c>
      <c r="Q25" s="1015">
        <f t="shared" si="5"/>
        <v>3500317</v>
      </c>
      <c r="R25" s="1015">
        <f t="shared" si="5"/>
        <v>14096607</v>
      </c>
      <c r="S25" s="1015">
        <f t="shared" si="5"/>
        <v>0</v>
      </c>
      <c r="T25" s="1015">
        <f t="shared" si="5"/>
        <v>0</v>
      </c>
      <c r="U25" s="1015">
        <f t="shared" si="5"/>
        <v>106884878</v>
      </c>
      <c r="V25" s="1015">
        <f t="shared" si="5"/>
        <v>2057037</v>
      </c>
      <c r="W25" s="1015">
        <f t="shared" si="5"/>
        <v>1766454</v>
      </c>
      <c r="X25" s="1015">
        <f t="shared" si="5"/>
        <v>5538090</v>
      </c>
      <c r="Y25" s="1015">
        <f t="shared" si="5"/>
        <v>0</v>
      </c>
      <c r="Z25" s="1015">
        <f t="shared" si="5"/>
        <v>0</v>
      </c>
      <c r="AA25" s="1091">
        <f>+AA8-AA9</f>
        <v>3312151453</v>
      </c>
      <c r="AB25" s="1091">
        <f>+AC8-AC9</f>
        <v>-631809879</v>
      </c>
      <c r="AC25" s="1091">
        <f>+AE8-AE9</f>
        <v>-1764081</v>
      </c>
      <c r="AE25" s="1092"/>
      <c r="AF25" s="1092"/>
    </row>
    <row r="26" spans="1:32" s="1034" customFormat="1" ht="33.75" customHeight="1">
      <c r="A26" s="1014"/>
      <c r="B26" s="1014" t="s">
        <v>1299</v>
      </c>
      <c r="C26" s="1015">
        <f>SUM(C27:C32)</f>
        <v>3312151454</v>
      </c>
      <c r="D26" s="1016">
        <f>IFERROR(((C28*D28)/C26)+((C29*D29)/C26)+((C30*D30)/C26)+((C31*D31)/C26)+((C32*D32)/C26),0)</f>
        <v>0.11591389422190992</v>
      </c>
      <c r="E26" s="1015">
        <f t="shared" ref="E26:Z26" si="6">SUM(E27:E32)</f>
        <v>1733849129</v>
      </c>
      <c r="F26" s="1016">
        <f>IFERROR(((E28*F28)/E26)+((E29*F29)/E26)+((E30*F30)/E26)+((E31*F31)/E26)+((E32*F32)/E26),0)</f>
        <v>0.12929887509468088</v>
      </c>
      <c r="G26" s="1015">
        <f t="shared" si="6"/>
        <v>1578302325</v>
      </c>
      <c r="H26" s="1016">
        <f>IFERROR(((G28*H28)/G26)+((G29*H29)/G26)+((G30*H30)/G26)+((G31*I31)/G26)+((G32*H32)/G26),0)</f>
        <v>0.10120978017186071</v>
      </c>
      <c r="I26" s="1015">
        <f t="shared" si="6"/>
        <v>194944772</v>
      </c>
      <c r="J26" s="1015">
        <f t="shared" si="6"/>
        <v>2654138725</v>
      </c>
      <c r="K26" s="1015">
        <f t="shared" si="6"/>
        <v>359967292</v>
      </c>
      <c r="L26" s="1015">
        <f t="shared" si="6"/>
        <v>103100665</v>
      </c>
      <c r="M26" s="1015">
        <f t="shared" si="6"/>
        <v>0</v>
      </c>
      <c r="N26" s="1015">
        <f t="shared" si="6"/>
        <v>2562225938</v>
      </c>
      <c r="O26" s="1015">
        <f t="shared" si="6"/>
        <v>722753716</v>
      </c>
      <c r="P26" s="1015">
        <f t="shared" si="6"/>
        <v>9574876</v>
      </c>
      <c r="Q26" s="1015">
        <f t="shared" si="6"/>
        <v>3500317</v>
      </c>
      <c r="R26" s="1015">
        <f t="shared" si="6"/>
        <v>14096607</v>
      </c>
      <c r="S26" s="1015">
        <f t="shared" si="6"/>
        <v>0</v>
      </c>
      <c r="T26" s="1015">
        <f t="shared" si="6"/>
        <v>0</v>
      </c>
      <c r="U26" s="1015">
        <f t="shared" si="6"/>
        <v>106884878</v>
      </c>
      <c r="V26" s="1015">
        <f t="shared" si="6"/>
        <v>2057037</v>
      </c>
      <c r="W26" s="1015">
        <f t="shared" si="6"/>
        <v>1766454</v>
      </c>
      <c r="X26" s="1015">
        <f t="shared" si="6"/>
        <v>5538090</v>
      </c>
      <c r="Y26" s="1015">
        <f t="shared" si="6"/>
        <v>0</v>
      </c>
      <c r="Z26" s="1015">
        <f t="shared" si="6"/>
        <v>0</v>
      </c>
      <c r="AA26" s="1091"/>
      <c r="AB26" s="1091"/>
      <c r="AC26" s="1091"/>
      <c r="AE26" s="1092"/>
      <c r="AF26" s="1092"/>
    </row>
    <row r="27" spans="1:32" s="1012" customFormat="1" ht="49.5" customHeight="1">
      <c r="A27" s="1023">
        <v>1</v>
      </c>
      <c r="B27" s="1024" t="s">
        <v>1084</v>
      </c>
      <c r="C27" s="1072">
        <f t="shared" ref="C27:C32" si="7">+E27+G27</f>
        <v>421604370</v>
      </c>
      <c r="D27" s="1019">
        <v>0.15967308364737617</v>
      </c>
      <c r="E27" s="1073">
        <v>420359328</v>
      </c>
      <c r="F27" s="1019">
        <v>0.15993645508736901</v>
      </c>
      <c r="G27" s="1073">
        <v>1245042</v>
      </c>
      <c r="H27" s="1019">
        <v>7.0751867285751738E-2</v>
      </c>
      <c r="I27" s="1073">
        <v>54282186</v>
      </c>
      <c r="J27" s="1073">
        <v>366137985</v>
      </c>
      <c r="K27" s="1073">
        <v>213698</v>
      </c>
      <c r="L27" s="1073">
        <v>970501</v>
      </c>
      <c r="M27" s="1073"/>
      <c r="N27" s="1073">
        <v>245424817</v>
      </c>
      <c r="O27" s="1073">
        <v>174647945</v>
      </c>
      <c r="P27" s="1073">
        <v>690648</v>
      </c>
      <c r="Q27" s="1073">
        <v>27778</v>
      </c>
      <c r="R27" s="1073">
        <v>813182</v>
      </c>
      <c r="S27" s="1072">
        <v>0</v>
      </c>
      <c r="T27" s="1073"/>
      <c r="U27" s="1073">
        <v>4798662</v>
      </c>
      <c r="V27" s="1073">
        <v>313112</v>
      </c>
      <c r="W27" s="1073">
        <v>0</v>
      </c>
      <c r="X27" s="1073">
        <v>422373</v>
      </c>
      <c r="Y27" s="1073"/>
      <c r="Z27" s="1073"/>
      <c r="AA27" s="1091">
        <f>'loans_av rate'!C26+'loans_av rate'!C35</f>
        <v>421604370</v>
      </c>
      <c r="AB27" s="1091">
        <f>'loans_av rate'!E26+'loans_av rate'!E35</f>
        <v>420359328</v>
      </c>
      <c r="AC27" s="1091">
        <f>'loans_av rate'!G26+'loans_av rate'!G35</f>
        <v>1245042</v>
      </c>
      <c r="AE27" s="1089"/>
      <c r="AF27" s="1089"/>
    </row>
    <row r="28" spans="1:32" s="1012" customFormat="1" ht="49.5" customHeight="1">
      <c r="A28" s="1023">
        <v>2</v>
      </c>
      <c r="B28" s="1024" t="s">
        <v>1085</v>
      </c>
      <c r="C28" s="1072">
        <f t="shared" si="7"/>
        <v>0</v>
      </c>
      <c r="D28" s="1019"/>
      <c r="E28" s="1073"/>
      <c r="F28" s="1019"/>
      <c r="G28" s="1073"/>
      <c r="H28" s="1019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2"/>
      <c r="T28" s="1073"/>
      <c r="U28" s="1073"/>
      <c r="V28" s="1073"/>
      <c r="W28" s="1073"/>
      <c r="X28" s="1073"/>
      <c r="Y28" s="1073"/>
      <c r="Z28" s="1073"/>
      <c r="AA28" s="1091">
        <f>'loans_av rate'!C27+'loans_av rate'!C36</f>
        <v>0</v>
      </c>
      <c r="AB28" s="1091">
        <f>'loans_av rate'!E27+'loans_av rate'!E36</f>
        <v>0</v>
      </c>
      <c r="AC28" s="1091">
        <f>'loans_av rate'!G27+'loans_av rate'!G36</f>
        <v>0</v>
      </c>
      <c r="AE28" s="1089"/>
      <c r="AF28" s="1089"/>
    </row>
    <row r="29" spans="1:32" s="1012" customFormat="1" ht="49.5" customHeight="1">
      <c r="A29" s="1023">
        <v>3</v>
      </c>
      <c r="B29" s="1024" t="s">
        <v>1086</v>
      </c>
      <c r="C29" s="1072">
        <f t="shared" si="7"/>
        <v>4798222</v>
      </c>
      <c r="D29" s="1019">
        <v>0.13727163938688031</v>
      </c>
      <c r="E29" s="1073">
        <v>2551387</v>
      </c>
      <c r="F29" s="1019">
        <v>0.170094270654357</v>
      </c>
      <c r="G29" s="1073">
        <v>2246835</v>
      </c>
      <c r="H29" s="1019">
        <v>0.10000000000000002</v>
      </c>
      <c r="I29" s="1073">
        <v>0</v>
      </c>
      <c r="J29" s="1073">
        <v>4665235</v>
      </c>
      <c r="K29" s="1073">
        <v>132987</v>
      </c>
      <c r="L29" s="1073">
        <v>0</v>
      </c>
      <c r="M29" s="1073"/>
      <c r="N29" s="1073">
        <v>3215822</v>
      </c>
      <c r="O29" s="1073">
        <v>801097</v>
      </c>
      <c r="P29" s="1073">
        <v>781303</v>
      </c>
      <c r="Q29" s="1073"/>
      <c r="R29" s="1073"/>
      <c r="S29" s="1072"/>
      <c r="T29" s="1073"/>
      <c r="U29" s="1073">
        <v>104491</v>
      </c>
      <c r="V29" s="1073">
        <v>338972</v>
      </c>
      <c r="W29" s="1073"/>
      <c r="X29" s="1073"/>
      <c r="Y29" s="1073"/>
      <c r="Z29" s="1073"/>
      <c r="AA29" s="1091">
        <f>'loans_av rate'!C28+'loans_av rate'!C37</f>
        <v>4798222</v>
      </c>
      <c r="AB29" s="1091">
        <f>'loans_av rate'!E28+'loans_av rate'!E37</f>
        <v>2551387</v>
      </c>
      <c r="AC29" s="1091">
        <f>'loans_av rate'!G28+'loans_av rate'!G37</f>
        <v>2246835</v>
      </c>
      <c r="AE29" s="1089"/>
      <c r="AF29" s="1089"/>
    </row>
    <row r="30" spans="1:32" s="1012" customFormat="1" ht="49.5" customHeight="1">
      <c r="A30" s="1023">
        <v>4</v>
      </c>
      <c r="B30" s="1024" t="s">
        <v>1087</v>
      </c>
      <c r="C30" s="1072">
        <f t="shared" si="7"/>
        <v>7804598</v>
      </c>
      <c r="D30" s="1019">
        <v>0.12658222377819095</v>
      </c>
      <c r="E30" s="1073">
        <v>7804598</v>
      </c>
      <c r="F30" s="1019">
        <v>0.12658222377819095</v>
      </c>
      <c r="G30" s="1073"/>
      <c r="H30" s="1019"/>
      <c r="I30" s="1073">
        <v>7804598</v>
      </c>
      <c r="J30" s="1073">
        <v>0</v>
      </c>
      <c r="K30" s="1073">
        <v>0</v>
      </c>
      <c r="L30" s="1073">
        <v>0</v>
      </c>
      <c r="M30" s="1073"/>
      <c r="N30" s="1073">
        <v>7174760</v>
      </c>
      <c r="O30" s="1073">
        <v>629838</v>
      </c>
      <c r="P30" s="1073"/>
      <c r="Q30" s="1073"/>
      <c r="R30" s="1073"/>
      <c r="S30" s="1072"/>
      <c r="T30" s="1073"/>
      <c r="U30" s="1073">
        <v>1493578.2416300001</v>
      </c>
      <c r="V30" s="1073"/>
      <c r="W30" s="1073"/>
      <c r="X30" s="1073"/>
      <c r="Y30" s="1073"/>
      <c r="Z30" s="1073"/>
      <c r="AA30" s="1091">
        <f>'loans_av rate'!C29+'loans_av rate'!C38</f>
        <v>7804598</v>
      </c>
      <c r="AB30" s="1091">
        <f>'loans_av rate'!E29+'loans_av rate'!E38</f>
        <v>7804598</v>
      </c>
      <c r="AC30" s="1091">
        <f>'loans_av rate'!G29+'loans_av rate'!G38</f>
        <v>0</v>
      </c>
      <c r="AE30" s="1089"/>
      <c r="AF30" s="1089"/>
    </row>
    <row r="31" spans="1:32" s="1012" customFormat="1" ht="49.5" customHeight="1">
      <c r="A31" s="1023">
        <v>5</v>
      </c>
      <c r="B31" s="1024" t="s">
        <v>1088</v>
      </c>
      <c r="C31" s="1072">
        <f>+E31+G31</f>
        <v>0</v>
      </c>
      <c r="D31" s="1019"/>
      <c r="E31" s="1073"/>
      <c r="F31" s="1019"/>
      <c r="G31" s="1073"/>
      <c r="H31" s="1188"/>
      <c r="I31" s="1019"/>
      <c r="J31" s="1073"/>
      <c r="K31" s="1073"/>
      <c r="L31" s="1073"/>
      <c r="M31" s="1073"/>
      <c r="N31" s="1073"/>
      <c r="O31" s="1073"/>
      <c r="P31" s="1073"/>
      <c r="Q31" s="1073"/>
      <c r="R31" s="1073"/>
      <c r="S31" s="1072"/>
      <c r="T31" s="1073"/>
      <c r="U31" s="1073"/>
      <c r="V31" s="1073"/>
      <c r="W31" s="1073"/>
      <c r="X31" s="1073"/>
      <c r="Y31" s="1073"/>
      <c r="Z31" s="1073"/>
      <c r="AA31" s="1091">
        <f>'loans_av rate'!C30+'loans_av rate'!C39</f>
        <v>0</v>
      </c>
      <c r="AB31" s="1091">
        <f>'loans_av rate'!E30+'loans_av rate'!E39</f>
        <v>0</v>
      </c>
      <c r="AC31" s="1091">
        <f>'loans_av rate'!G30+'loans_av rate'!G39</f>
        <v>0</v>
      </c>
      <c r="AE31" s="1089"/>
      <c r="AF31" s="1089"/>
    </row>
    <row r="32" spans="1:32" s="1012" customFormat="1" ht="49.5" customHeight="1">
      <c r="A32" s="1023">
        <v>6</v>
      </c>
      <c r="B32" s="1024" t="s">
        <v>1300</v>
      </c>
      <c r="C32" s="1072">
        <f t="shared" si="7"/>
        <v>2877944264</v>
      </c>
      <c r="D32" s="1019">
        <v>0.13283015758754255</v>
      </c>
      <c r="E32" s="1073">
        <v>1303133816</v>
      </c>
      <c r="F32" s="1019">
        <v>0.17094395030428355</v>
      </c>
      <c r="G32" s="1073">
        <v>1574810448</v>
      </c>
      <c r="H32" s="1019">
        <v>0.10129152245628653</v>
      </c>
      <c r="I32" s="1073">
        <v>132857988</v>
      </c>
      <c r="J32" s="1073">
        <v>2283335505</v>
      </c>
      <c r="K32" s="1073">
        <v>359620607</v>
      </c>
      <c r="L32" s="1073">
        <v>102130164</v>
      </c>
      <c r="M32" s="1073"/>
      <c r="N32" s="1073">
        <v>2306410539</v>
      </c>
      <c r="O32" s="1073">
        <v>546674836</v>
      </c>
      <c r="P32" s="1073">
        <v>8102925</v>
      </c>
      <c r="Q32" s="1073">
        <v>3472539</v>
      </c>
      <c r="R32" s="1073">
        <v>13283425</v>
      </c>
      <c r="S32" s="1072"/>
      <c r="T32" s="1073"/>
      <c r="U32" s="1073">
        <v>100488146.75837</v>
      </c>
      <c r="V32" s="1073">
        <v>1404953</v>
      </c>
      <c r="W32" s="1073">
        <v>1766454</v>
      </c>
      <c r="X32" s="1073">
        <v>5115717</v>
      </c>
      <c r="Y32" s="1073"/>
      <c r="Z32" s="1073"/>
      <c r="AA32" s="1091">
        <f>'loans_av rate'!C31+'loans_av rate'!C40</f>
        <v>2877944264</v>
      </c>
      <c r="AB32" s="1091">
        <f>'loans_av rate'!E31+'loans_av rate'!E40</f>
        <v>1303133816</v>
      </c>
      <c r="AC32" s="1091">
        <f>'loans_av rate'!G31+'loans_av rate'!G40</f>
        <v>1574810448</v>
      </c>
      <c r="AE32" s="1089"/>
      <c r="AF32" s="1089"/>
    </row>
    <row r="33" spans="1:32" s="1034" customFormat="1" ht="33.75" customHeight="1">
      <c r="A33" s="1014"/>
      <c r="B33" s="1014" t="s">
        <v>1301</v>
      </c>
      <c r="C33" s="1015">
        <f>SUM(C34:C39)</f>
        <v>3312151454</v>
      </c>
      <c r="D33" s="1016">
        <f>IFERROR(((C35*D35)/C33)+((C36*D36)/C33)+((C37*D37)/C33)+((C38*D38)/C33)+((C39*D39)/C33),0)</f>
        <v>0.13127165891332401</v>
      </c>
      <c r="E33" s="1015">
        <f t="shared" ref="E33:Z33" si="8">SUM(E34:E39)</f>
        <v>1733849129</v>
      </c>
      <c r="F33" s="1016">
        <f>IFERROR(((E35*F35)/E33)+((E36*F36)/E33)+((E37*F37)/E33)+((E38*F38)/E33)+((E39*F39)/E33),0)</f>
        <v>0.14638231195904858</v>
      </c>
      <c r="G33" s="1015">
        <f t="shared" si="8"/>
        <v>1578302325</v>
      </c>
      <c r="H33" s="1016">
        <f>IFERROR(((G35*H35)/G33)+((G36*H36)/G33)+((G37*H37)/G33)+((G38*H38)/G33)+((G39*H39)/G33),0)</f>
        <v>0.1012655927035559</v>
      </c>
      <c r="I33" s="1015">
        <f t="shared" si="8"/>
        <v>194944772</v>
      </c>
      <c r="J33" s="1015">
        <f t="shared" si="8"/>
        <v>2654138725</v>
      </c>
      <c r="K33" s="1015">
        <f t="shared" si="8"/>
        <v>359967292</v>
      </c>
      <c r="L33" s="1015">
        <f t="shared" si="8"/>
        <v>103100665</v>
      </c>
      <c r="M33" s="1015">
        <f t="shared" si="8"/>
        <v>0</v>
      </c>
      <c r="N33" s="1015">
        <f t="shared" si="8"/>
        <v>2562225938</v>
      </c>
      <c r="O33" s="1015">
        <f t="shared" si="8"/>
        <v>722753716</v>
      </c>
      <c r="P33" s="1015">
        <f t="shared" si="8"/>
        <v>9574876</v>
      </c>
      <c r="Q33" s="1015">
        <f t="shared" si="8"/>
        <v>3500317</v>
      </c>
      <c r="R33" s="1015">
        <f t="shared" si="8"/>
        <v>14096607</v>
      </c>
      <c r="S33" s="1015">
        <f t="shared" si="8"/>
        <v>0</v>
      </c>
      <c r="T33" s="1015">
        <f t="shared" si="8"/>
        <v>0</v>
      </c>
      <c r="U33" s="1015">
        <f t="shared" si="8"/>
        <v>106884878</v>
      </c>
      <c r="V33" s="1015">
        <f t="shared" si="8"/>
        <v>2057037</v>
      </c>
      <c r="W33" s="1015">
        <f t="shared" si="8"/>
        <v>1766454</v>
      </c>
      <c r="X33" s="1015">
        <f t="shared" si="8"/>
        <v>5538090</v>
      </c>
      <c r="Y33" s="1015">
        <f t="shared" si="8"/>
        <v>0</v>
      </c>
      <c r="Z33" s="1015">
        <f t="shared" si="8"/>
        <v>0</v>
      </c>
      <c r="AA33" s="1091"/>
      <c r="AB33" s="1092"/>
      <c r="AC33" s="1092"/>
      <c r="AD33" s="1092"/>
      <c r="AE33" s="1092"/>
      <c r="AF33" s="1092"/>
    </row>
    <row r="34" spans="1:32" s="1012" customFormat="1" ht="49.5" customHeight="1">
      <c r="A34" s="1023">
        <v>1</v>
      </c>
      <c r="B34" s="1024" t="s">
        <v>1293</v>
      </c>
      <c r="C34" s="1072">
        <f t="shared" ref="C34:C39" si="9">+E34+G34</f>
        <v>413668743</v>
      </c>
      <c r="D34" s="1019">
        <v>6.6147697823866369E-2</v>
      </c>
      <c r="E34" s="1073">
        <v>413668743</v>
      </c>
      <c r="F34" s="1019">
        <v>6.6147697823866369E-2</v>
      </c>
      <c r="G34" s="1073"/>
      <c r="H34" s="1019"/>
      <c r="I34" s="1073">
        <v>105051</v>
      </c>
      <c r="J34" s="1073">
        <v>309056652</v>
      </c>
      <c r="K34" s="1073">
        <v>1406375</v>
      </c>
      <c r="L34" s="1073">
        <v>103100665</v>
      </c>
      <c r="M34" s="1073">
        <v>0</v>
      </c>
      <c r="N34" s="1073">
        <v>248049286</v>
      </c>
      <c r="O34" s="1073">
        <v>165615067</v>
      </c>
      <c r="P34" s="1073"/>
      <c r="Q34" s="1073"/>
      <c r="R34" s="1073">
        <v>4390</v>
      </c>
      <c r="S34" s="1072"/>
      <c r="T34" s="1073"/>
      <c r="U34" s="1073">
        <v>13646609</v>
      </c>
      <c r="V34" s="1073">
        <v>4844</v>
      </c>
      <c r="W34" s="1073"/>
      <c r="X34" s="1073">
        <v>4388</v>
      </c>
      <c r="Y34" s="1073"/>
      <c r="Z34" s="1073"/>
      <c r="AB34" s="1089"/>
      <c r="AC34" s="1089"/>
      <c r="AD34" s="1089"/>
      <c r="AE34" s="1089"/>
      <c r="AF34" s="1089"/>
    </row>
    <row r="35" spans="1:32" s="1012" customFormat="1" ht="49.5" customHeight="1">
      <c r="A35" s="1023">
        <v>2</v>
      </c>
      <c r="B35" s="1024" t="s">
        <v>1294</v>
      </c>
      <c r="C35" s="1072">
        <f t="shared" si="9"/>
        <v>566185988</v>
      </c>
      <c r="D35" s="1019">
        <v>0.17839344415383682</v>
      </c>
      <c r="E35" s="1073">
        <v>263627069</v>
      </c>
      <c r="F35" s="1019">
        <v>0.26027347416768776</v>
      </c>
      <c r="G35" s="1073">
        <v>302558919</v>
      </c>
      <c r="H35" s="1019">
        <v>0.10690061435568532</v>
      </c>
      <c r="I35" s="1073">
        <v>177247458</v>
      </c>
      <c r="J35" s="1073">
        <v>388938530</v>
      </c>
      <c r="K35" s="1073">
        <v>0</v>
      </c>
      <c r="L35" s="1073">
        <v>0</v>
      </c>
      <c r="M35" s="1073">
        <v>0</v>
      </c>
      <c r="N35" s="1073">
        <v>476704651</v>
      </c>
      <c r="O35" s="1073">
        <v>84969677</v>
      </c>
      <c r="P35" s="1073"/>
      <c r="Q35" s="1073">
        <v>27778</v>
      </c>
      <c r="R35" s="1073">
        <v>4483882</v>
      </c>
      <c r="S35" s="1072"/>
      <c r="T35" s="1073"/>
      <c r="U35" s="1073">
        <v>12537127</v>
      </c>
      <c r="V35" s="1073">
        <v>49700</v>
      </c>
      <c r="W35" s="1073">
        <v>0</v>
      </c>
      <c r="X35" s="1073">
        <v>1166255</v>
      </c>
      <c r="Y35" s="1073"/>
      <c r="Z35" s="1073"/>
      <c r="AB35" s="1089"/>
      <c r="AC35" s="1089"/>
      <c r="AD35" s="1089"/>
      <c r="AE35" s="1089"/>
      <c r="AF35" s="1089"/>
    </row>
    <row r="36" spans="1:32" s="1012" customFormat="1" ht="58.5" customHeight="1">
      <c r="A36" s="1023">
        <v>3</v>
      </c>
      <c r="B36" s="1024" t="s">
        <v>1295</v>
      </c>
      <c r="C36" s="1072">
        <f t="shared" si="9"/>
        <v>1296948826</v>
      </c>
      <c r="D36" s="1019">
        <v>0.12956064931986694</v>
      </c>
      <c r="E36" s="1073">
        <v>493020064</v>
      </c>
      <c r="F36" s="1019">
        <v>0.17678928946359254</v>
      </c>
      <c r="G36" s="1073">
        <v>803928762</v>
      </c>
      <c r="H36" s="1019">
        <v>9.9641571346259616E-2</v>
      </c>
      <c r="I36" s="1073">
        <v>350240</v>
      </c>
      <c r="J36" s="1073">
        <v>1094550115</v>
      </c>
      <c r="K36" s="1073">
        <v>202048471</v>
      </c>
      <c r="L36" s="1073">
        <v>0</v>
      </c>
      <c r="M36" s="1073">
        <v>0</v>
      </c>
      <c r="N36" s="1073">
        <v>1036922352</v>
      </c>
      <c r="O36" s="1073">
        <v>259469547</v>
      </c>
      <c r="P36" s="1073"/>
      <c r="Q36" s="1073"/>
      <c r="R36" s="1073">
        <v>556927</v>
      </c>
      <c r="S36" s="1072"/>
      <c r="T36" s="1073"/>
      <c r="U36" s="1073">
        <v>50390728</v>
      </c>
      <c r="V36" s="1073">
        <v>899969</v>
      </c>
      <c r="W36" s="1073"/>
      <c r="X36" s="1073">
        <v>492511</v>
      </c>
      <c r="Y36" s="1073"/>
      <c r="Z36" s="1073"/>
      <c r="AB36" s="1089"/>
      <c r="AC36" s="1089"/>
      <c r="AD36" s="1089"/>
      <c r="AE36" s="1089"/>
      <c r="AF36" s="1089"/>
    </row>
    <row r="37" spans="1:32" s="1012" customFormat="1" ht="49.5" customHeight="1">
      <c r="A37" s="1023">
        <v>4</v>
      </c>
      <c r="B37" s="1024" t="s">
        <v>1296</v>
      </c>
      <c r="C37" s="1072">
        <f t="shared" si="9"/>
        <v>0</v>
      </c>
      <c r="D37" s="1019"/>
      <c r="E37" s="1073"/>
      <c r="F37" s="1019"/>
      <c r="G37" s="1073"/>
      <c r="H37" s="1019"/>
      <c r="I37" s="1073">
        <v>0</v>
      </c>
      <c r="J37" s="1073">
        <v>0</v>
      </c>
      <c r="K37" s="1073">
        <v>0</v>
      </c>
      <c r="L37" s="1073">
        <v>0</v>
      </c>
      <c r="M37" s="1073">
        <v>0</v>
      </c>
      <c r="N37" s="1073"/>
      <c r="O37" s="1073"/>
      <c r="P37" s="1073"/>
      <c r="Q37" s="1073"/>
      <c r="R37" s="1073"/>
      <c r="S37" s="1072"/>
      <c r="T37" s="1073"/>
      <c r="U37" s="1073"/>
      <c r="V37" s="1073"/>
      <c r="W37" s="1073"/>
      <c r="X37" s="1073"/>
      <c r="Y37" s="1073"/>
      <c r="Z37" s="1073"/>
      <c r="AB37" s="1089"/>
      <c r="AC37" s="1089"/>
      <c r="AD37" s="1089"/>
      <c r="AE37" s="1089"/>
      <c r="AF37" s="1089"/>
    </row>
    <row r="38" spans="1:32" s="1012" customFormat="1" ht="49.5" customHeight="1">
      <c r="A38" s="1023">
        <v>5</v>
      </c>
      <c r="B38" s="1024" t="s">
        <v>1297</v>
      </c>
      <c r="C38" s="1072">
        <f t="shared" si="9"/>
        <v>9900000</v>
      </c>
      <c r="D38" s="1019">
        <v>0.16</v>
      </c>
      <c r="E38" s="1073">
        <v>9900000</v>
      </c>
      <c r="F38" s="1019">
        <v>0.16</v>
      </c>
      <c r="G38" s="1073"/>
      <c r="H38" s="1019"/>
      <c r="I38" s="1073">
        <v>0</v>
      </c>
      <c r="J38" s="1073">
        <v>0</v>
      </c>
      <c r="K38" s="1073">
        <v>9900000</v>
      </c>
      <c r="L38" s="1073">
        <v>0</v>
      </c>
      <c r="M38" s="1073">
        <v>0</v>
      </c>
      <c r="N38" s="1073">
        <v>9900000</v>
      </c>
      <c r="O38" s="1073"/>
      <c r="P38" s="1073"/>
      <c r="Q38" s="1073"/>
      <c r="R38" s="1073"/>
      <c r="S38" s="1072"/>
      <c r="T38" s="1073"/>
      <c r="U38" s="1073"/>
      <c r="V38" s="1073"/>
      <c r="W38" s="1073"/>
      <c r="X38" s="1073"/>
      <c r="Y38" s="1073"/>
      <c r="Z38" s="1073"/>
      <c r="AB38" s="1089"/>
      <c r="AC38" s="1089"/>
      <c r="AD38" s="1089"/>
      <c r="AE38" s="1089"/>
      <c r="AF38" s="1089"/>
    </row>
    <row r="39" spans="1:32" s="1012" customFormat="1" ht="49.5" customHeight="1">
      <c r="A39" s="1023">
        <v>6</v>
      </c>
      <c r="B39" s="1024" t="s">
        <v>1302</v>
      </c>
      <c r="C39" s="1072">
        <f t="shared" si="9"/>
        <v>1025447897</v>
      </c>
      <c r="D39" s="1019">
        <v>0.1600961062545298</v>
      </c>
      <c r="E39" s="1073">
        <v>553633253</v>
      </c>
      <c r="F39" s="1019">
        <v>0.17420384998455468</v>
      </c>
      <c r="G39" s="1073">
        <v>471814644</v>
      </c>
      <c r="H39" s="1019">
        <v>0.10041922520425223</v>
      </c>
      <c r="I39" s="1073">
        <v>17242023</v>
      </c>
      <c r="J39" s="1073">
        <v>861593428</v>
      </c>
      <c r="K39" s="1073">
        <v>146612446</v>
      </c>
      <c r="L39" s="1073"/>
      <c r="M39" s="1073"/>
      <c r="N39" s="1073">
        <v>790649649</v>
      </c>
      <c r="O39" s="1073">
        <v>212699425</v>
      </c>
      <c r="P39" s="1073">
        <v>9574876</v>
      </c>
      <c r="Q39" s="1073">
        <v>3472539</v>
      </c>
      <c r="R39" s="1073">
        <v>9051408</v>
      </c>
      <c r="S39" s="1072"/>
      <c r="T39" s="1073"/>
      <c r="U39" s="1073">
        <v>30310414</v>
      </c>
      <c r="V39" s="1073">
        <v>1102524</v>
      </c>
      <c r="W39" s="1073">
        <v>1766454</v>
      </c>
      <c r="X39" s="1073">
        <v>3874936</v>
      </c>
      <c r="Y39" s="1073"/>
      <c r="Z39" s="1073"/>
      <c r="AB39" s="1089"/>
      <c r="AC39" s="1089"/>
      <c r="AD39" s="1089"/>
      <c r="AE39" s="1089"/>
      <c r="AF39" s="1089"/>
    </row>
    <row r="40" spans="1:32" s="1012" customFormat="1" ht="37.5" customHeight="1">
      <c r="A40" s="1035"/>
      <c r="B40" s="1036"/>
      <c r="C40" s="1037"/>
      <c r="D40" s="1077"/>
      <c r="E40" s="1037"/>
      <c r="F40" s="1037"/>
      <c r="G40" s="1037"/>
      <c r="H40" s="1037"/>
      <c r="I40" s="1036"/>
      <c r="J40" s="1036"/>
      <c r="K40" s="1036"/>
      <c r="L40" s="1036"/>
      <c r="M40" s="1036"/>
      <c r="N40" s="1077"/>
      <c r="O40" s="1077"/>
      <c r="P40" s="1077"/>
      <c r="Q40" s="1077"/>
      <c r="R40" s="1077"/>
      <c r="S40" s="1077"/>
      <c r="T40" s="1077"/>
      <c r="U40" s="1077"/>
      <c r="V40" s="1077"/>
      <c r="W40" s="1077"/>
      <c r="X40" s="1077"/>
      <c r="Y40" s="1077"/>
      <c r="Z40" s="1077"/>
      <c r="AB40" s="1089"/>
      <c r="AC40" s="1089"/>
      <c r="AD40" s="1089"/>
      <c r="AE40" s="1089"/>
      <c r="AF40" s="1089"/>
    </row>
    <row r="41" spans="1:32" s="1082" customFormat="1" ht="15.75">
      <c r="A41" s="1080"/>
      <c r="B41" s="1081" t="s">
        <v>4</v>
      </c>
      <c r="J41" s="1080"/>
      <c r="AB41" s="1094"/>
      <c r="AC41" s="1094"/>
      <c r="AD41" s="1094"/>
      <c r="AE41" s="1094"/>
      <c r="AF41" s="1094"/>
    </row>
    <row r="42" spans="1:32" s="1082" customFormat="1" ht="15.75">
      <c r="A42" s="1080"/>
      <c r="B42" s="1081"/>
      <c r="J42" s="1080"/>
      <c r="AB42" s="1094"/>
      <c r="AC42" s="1094"/>
      <c r="AD42" s="1094"/>
      <c r="AE42" s="1094"/>
      <c r="AF42" s="1094"/>
    </row>
    <row r="43" spans="1:32" s="1082" customFormat="1" ht="15.75">
      <c r="A43" s="1080"/>
      <c r="B43" s="1081" t="s">
        <v>5</v>
      </c>
      <c r="J43" s="1080"/>
      <c r="AB43" s="1094"/>
      <c r="AC43" s="1094"/>
      <c r="AD43" s="1094"/>
      <c r="AE43" s="1094"/>
      <c r="AF43" s="1094"/>
    </row>
    <row r="44" spans="1:32" s="372" customFormat="1" ht="15.75">
      <c r="A44" s="454"/>
      <c r="AB44" s="1095"/>
      <c r="AC44" s="1095"/>
      <c r="AD44" s="1095"/>
      <c r="AE44" s="1095"/>
      <c r="AF44" s="1095"/>
    </row>
    <row r="45" spans="1:32" s="829" customFormat="1" ht="15.75">
      <c r="A45" s="1078"/>
      <c r="B45" s="1079"/>
      <c r="J45" s="1078"/>
      <c r="AB45" s="1096"/>
      <c r="AC45" s="1096"/>
      <c r="AD45" s="1096"/>
      <c r="AE45" s="1096"/>
      <c r="AF45" s="1096"/>
    </row>
    <row r="46" spans="1:32" s="829" customFormat="1" ht="15.75">
      <c r="A46" s="1078"/>
      <c r="B46" s="1079"/>
      <c r="J46" s="1078"/>
      <c r="AB46" s="1096"/>
      <c r="AC46" s="1096"/>
      <c r="AD46" s="1096"/>
      <c r="AE46" s="1096"/>
      <c r="AF46" s="1096"/>
    </row>
    <row r="47" spans="1:32" s="829" customFormat="1" ht="15.75">
      <c r="A47" s="1078"/>
      <c r="B47" s="1079"/>
      <c r="J47" s="1078"/>
      <c r="AB47" s="1096"/>
      <c r="AC47" s="1096"/>
      <c r="AD47" s="1096"/>
      <c r="AE47" s="1096"/>
      <c r="AF47" s="1096"/>
    </row>
    <row r="48" spans="1:32" s="1039" customFormat="1" ht="15.75">
      <c r="A48" s="1038"/>
      <c r="AB48" s="1097"/>
      <c r="AC48" s="1097"/>
      <c r="AD48" s="1097"/>
      <c r="AE48" s="1097"/>
      <c r="AF48" s="1097"/>
    </row>
  </sheetData>
  <sheetProtection password="CA76" sheet="1" objects="1" scenarios="1"/>
  <mergeCells count="17"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  <mergeCell ref="M5:M6"/>
    <mergeCell ref="S5:S6"/>
  </mergeCells>
  <conditionalFormatting sqref="C8">
    <cfRule type="cellIs" dxfId="115" priority="119" operator="notEqual">
      <formula>$AA$8</formula>
    </cfRule>
  </conditionalFormatting>
  <conditionalFormatting sqref="C11">
    <cfRule type="cellIs" dxfId="114" priority="116" operator="notEqual">
      <formula>$AA$11</formula>
    </cfRule>
    <cfRule type="cellIs" dxfId="113" priority="117" operator="notEqual">
      <formula>N11+O11+P11+Q11+R11</formula>
    </cfRule>
    <cfRule type="cellIs" dxfId="112" priority="118" operator="notEqual">
      <formula>I11+J11+K11+L11+M11</formula>
    </cfRule>
  </conditionalFormatting>
  <conditionalFormatting sqref="C16">
    <cfRule type="cellIs" dxfId="111" priority="113" operator="notEqual">
      <formula>$AA$16</formula>
    </cfRule>
    <cfRule type="cellIs" dxfId="110" priority="114" operator="notEqual">
      <formula>N16+O16+P16+Q16+R16</formula>
    </cfRule>
    <cfRule type="cellIs" dxfId="109" priority="115" operator="notEqual">
      <formula>I16+J16+K16+L16+M16</formula>
    </cfRule>
  </conditionalFormatting>
  <conditionalFormatting sqref="C25">
    <cfRule type="cellIs" dxfId="108" priority="111" operator="notEqual">
      <formula>N25+O25+P25+Q25+R25</formula>
    </cfRule>
    <cfRule type="cellIs" dxfId="107" priority="112" operator="notEqual">
      <formula>I25+J25+K25+L25+M25</formula>
    </cfRule>
  </conditionalFormatting>
  <conditionalFormatting sqref="C26">
    <cfRule type="cellIs" dxfId="106" priority="109" operator="notEqual">
      <formula>N26+O26+P26+Q26+R26</formula>
    </cfRule>
    <cfRule type="cellIs" dxfId="105" priority="110" operator="notEqual">
      <formula>I26+J26+K26+L26+M26</formula>
    </cfRule>
  </conditionalFormatting>
  <conditionalFormatting sqref="C33">
    <cfRule type="cellIs" dxfId="104" priority="106" operator="notEqual">
      <formula>$C$26</formula>
    </cfRule>
    <cfRule type="cellIs" dxfId="103" priority="107" operator="notEqual">
      <formula>N33+O33+P33+Q33+R33</formula>
    </cfRule>
    <cfRule type="cellIs" dxfId="102" priority="108" operator="notEqual">
      <formula>I33+J33+K33+L33+M33</formula>
    </cfRule>
  </conditionalFormatting>
  <conditionalFormatting sqref="C12">
    <cfRule type="cellIs" dxfId="101" priority="104" operator="notEqual">
      <formula>N12+O12+P12+Q12+R12</formula>
    </cfRule>
    <cfRule type="cellIs" dxfId="100" priority="105" operator="notEqual">
      <formula>I12+J12+K12+L12+M12</formula>
    </cfRule>
  </conditionalFormatting>
  <conditionalFormatting sqref="C13">
    <cfRule type="cellIs" dxfId="99" priority="102" operator="notEqual">
      <formula>N13+O13+P13+Q13+R13</formula>
    </cfRule>
    <cfRule type="cellIs" dxfId="98" priority="103" operator="notEqual">
      <formula>I13+J13+K13+L13+M13</formula>
    </cfRule>
  </conditionalFormatting>
  <conditionalFormatting sqref="C14">
    <cfRule type="cellIs" dxfId="97" priority="100" operator="notEqual">
      <formula>N14+O14+P14+Q14+R14</formula>
    </cfRule>
    <cfRule type="cellIs" dxfId="96" priority="101" operator="notEqual">
      <formula>I14+J14+K14+L14+M14</formula>
    </cfRule>
  </conditionalFormatting>
  <conditionalFormatting sqref="C15">
    <cfRule type="cellIs" dxfId="95" priority="98" operator="notEqual">
      <formula>N15+O15+P15+Q15+R15</formula>
    </cfRule>
    <cfRule type="cellIs" dxfId="94" priority="99" operator="notEqual">
      <formula>I15+J15+K15+L15+M15</formula>
    </cfRule>
  </conditionalFormatting>
  <conditionalFormatting sqref="C17">
    <cfRule type="cellIs" dxfId="93" priority="96" operator="notEqual">
      <formula>N17+O17+P17+Q17+R17</formula>
    </cfRule>
    <cfRule type="cellIs" dxfId="92" priority="97" operator="notEqual">
      <formula>I17+J17+K17+L17+M17</formula>
    </cfRule>
  </conditionalFormatting>
  <conditionalFormatting sqref="C18">
    <cfRule type="cellIs" dxfId="91" priority="94" operator="notEqual">
      <formula>N18+O18+P18+Q18+R18</formula>
    </cfRule>
    <cfRule type="cellIs" dxfId="90" priority="95" operator="notEqual">
      <formula>I18+J18+K18+L18+M18</formula>
    </cfRule>
  </conditionalFormatting>
  <conditionalFormatting sqref="C19">
    <cfRule type="cellIs" dxfId="89" priority="92" operator="notEqual">
      <formula>N19+O19+P19+Q19+R19</formula>
    </cfRule>
    <cfRule type="cellIs" dxfId="88" priority="93" operator="notEqual">
      <formula>I19+J19+K19+L19+M19</formula>
    </cfRule>
  </conditionalFormatting>
  <conditionalFormatting sqref="C20">
    <cfRule type="cellIs" dxfId="87" priority="90" operator="notEqual">
      <formula>N20+O20+P20+Q20+R20</formula>
    </cfRule>
    <cfRule type="cellIs" dxfId="86" priority="91" operator="notEqual">
      <formula>I20+J20+K20+L20+M20</formula>
    </cfRule>
  </conditionalFormatting>
  <conditionalFormatting sqref="C21">
    <cfRule type="cellIs" dxfId="85" priority="87" operator="notEqual">
      <formula>$AA$21</formula>
    </cfRule>
    <cfRule type="cellIs" dxfId="84" priority="88" operator="notEqual">
      <formula>N21+O21+P21+Q21+R21</formula>
    </cfRule>
    <cfRule type="cellIs" dxfId="83" priority="89" operator="notEqual">
      <formula>I21+J21+K21+L21+M21</formula>
    </cfRule>
  </conditionalFormatting>
  <conditionalFormatting sqref="C22">
    <cfRule type="cellIs" dxfId="82" priority="85" operator="notEqual">
      <formula>N22+O22+P22+Q22+R22</formula>
    </cfRule>
    <cfRule type="cellIs" dxfId="81" priority="86" operator="notEqual">
      <formula>I22+J22+K22+L22+M22</formula>
    </cfRule>
  </conditionalFormatting>
  <conditionalFormatting sqref="C24">
    <cfRule type="cellIs" dxfId="80" priority="80" operator="notEqual">
      <formula>N24+O24+P24+Q24+R24</formula>
    </cfRule>
    <cfRule type="cellIs" dxfId="79" priority="81" operator="notEqual">
      <formula>I24+J24+K24+L24+M24</formula>
    </cfRule>
  </conditionalFormatting>
  <conditionalFormatting sqref="C27">
    <cfRule type="cellIs" dxfId="78" priority="77" operator="notEqual">
      <formula>$AA$27</formula>
    </cfRule>
    <cfRule type="cellIs" dxfId="77" priority="78" operator="notEqual">
      <formula>N27+O27+P27+Q27+R27</formula>
    </cfRule>
    <cfRule type="cellIs" dxfId="76" priority="79" operator="notEqual">
      <formula>I27+J27+K27+L27+M27</formula>
    </cfRule>
  </conditionalFormatting>
  <conditionalFormatting sqref="C28">
    <cfRule type="cellIs" dxfId="75" priority="74" operator="notEqual">
      <formula>$AA$28</formula>
    </cfRule>
    <cfRule type="cellIs" dxfId="74" priority="75" operator="notEqual">
      <formula>N28+O28+P28+Q28+R28</formula>
    </cfRule>
    <cfRule type="cellIs" dxfId="73" priority="76" operator="notEqual">
      <formula>I28+J28+K28+L28+M28</formula>
    </cfRule>
  </conditionalFormatting>
  <conditionalFormatting sqref="C29">
    <cfRule type="cellIs" dxfId="72" priority="71" operator="notEqual">
      <formula>$AA$29</formula>
    </cfRule>
    <cfRule type="cellIs" dxfId="71" priority="72" operator="notEqual">
      <formula>N29+O29+P29+Q29+R29</formula>
    </cfRule>
    <cfRule type="cellIs" dxfId="70" priority="73" operator="notEqual">
      <formula>I29+J29+K29+L29+M29</formula>
    </cfRule>
  </conditionalFormatting>
  <conditionalFormatting sqref="C30">
    <cfRule type="cellIs" dxfId="69" priority="68" operator="notEqual">
      <formula>$AA$30</formula>
    </cfRule>
    <cfRule type="cellIs" dxfId="68" priority="69" operator="notEqual">
      <formula>N30+O30+P30+Q30+R30</formula>
    </cfRule>
    <cfRule type="cellIs" dxfId="67" priority="70" operator="notEqual">
      <formula>I30+J30+K30+L30+M30</formula>
    </cfRule>
  </conditionalFormatting>
  <conditionalFormatting sqref="C32">
    <cfRule type="cellIs" dxfId="66" priority="62" operator="notEqual">
      <formula>$AA$32</formula>
    </cfRule>
    <cfRule type="cellIs" dxfId="65" priority="63" operator="notEqual">
      <formula>N32+O32+P32+Q32+R32</formula>
    </cfRule>
    <cfRule type="cellIs" dxfId="64" priority="64" operator="notEqual">
      <formula>I32+J32+K32+L32+M32</formula>
    </cfRule>
  </conditionalFormatting>
  <conditionalFormatting sqref="C34">
    <cfRule type="cellIs" dxfId="63" priority="60" operator="notEqual">
      <formula>N34+O34+P34+Q34+R34</formula>
    </cfRule>
    <cfRule type="cellIs" dxfId="62" priority="61" operator="notEqual">
      <formula>I34+J34+K34+L34+M34</formula>
    </cfRule>
  </conditionalFormatting>
  <conditionalFormatting sqref="C35">
    <cfRule type="cellIs" dxfId="61" priority="58" operator="notEqual">
      <formula>N35+O35+P35+Q35+R35</formula>
    </cfRule>
    <cfRule type="cellIs" dxfId="60" priority="59" operator="notEqual">
      <formula>I35+J35+K35+L35+M35</formula>
    </cfRule>
  </conditionalFormatting>
  <conditionalFormatting sqref="C36">
    <cfRule type="cellIs" dxfId="59" priority="56" operator="notEqual">
      <formula>N36+O36+P36+Q36+R36</formula>
    </cfRule>
    <cfRule type="cellIs" dxfId="58" priority="57" operator="notEqual">
      <formula>I36+J36+K36+L36+M36</formula>
    </cfRule>
  </conditionalFormatting>
  <conditionalFormatting sqref="C37">
    <cfRule type="cellIs" dxfId="57" priority="54" operator="notEqual">
      <formula>N37+O37+P37+Q37+R37</formula>
    </cfRule>
    <cfRule type="cellIs" dxfId="56" priority="55" operator="notEqual">
      <formula>I37+J37+K37+L37+M37</formula>
    </cfRule>
  </conditionalFormatting>
  <conditionalFormatting sqref="C38">
    <cfRule type="cellIs" dxfId="55" priority="52" operator="notEqual">
      <formula>N38+O38+P38+Q38+R38</formula>
    </cfRule>
    <cfRule type="cellIs" dxfId="54" priority="53" operator="notEqual">
      <formula>I38+J38+K38+L38+M38</formula>
    </cfRule>
  </conditionalFormatting>
  <conditionalFormatting sqref="C39">
    <cfRule type="cellIs" dxfId="53" priority="50" operator="notEqual">
      <formula>N39+O39+P39+Q39+R39</formula>
    </cfRule>
    <cfRule type="cellIs" dxfId="52" priority="51" operator="notEqual">
      <formula>I39+J39+K39+L39+M39</formula>
    </cfRule>
  </conditionalFormatting>
  <conditionalFormatting sqref="T8">
    <cfRule type="cellIs" dxfId="51" priority="49" operator="notEqual">
      <formula>$AB$8</formula>
    </cfRule>
  </conditionalFormatting>
  <conditionalFormatting sqref="U8">
    <cfRule type="cellIs" dxfId="50" priority="48" operator="notEqual">
      <formula>$AC$8</formula>
    </cfRule>
  </conditionalFormatting>
  <conditionalFormatting sqref="V8">
    <cfRule type="cellIs" dxfId="49" priority="47" operator="notEqual">
      <formula>$AD$8</formula>
    </cfRule>
  </conditionalFormatting>
  <conditionalFormatting sqref="W8">
    <cfRule type="cellIs" dxfId="48" priority="46" operator="notEqual">
      <formula>$AE$8</formula>
    </cfRule>
  </conditionalFormatting>
  <conditionalFormatting sqref="X8">
    <cfRule type="cellIs" dxfId="47" priority="45" operator="notEqual">
      <formula>$AF$8</formula>
    </cfRule>
  </conditionalFormatting>
  <conditionalFormatting sqref="N8">
    <cfRule type="cellIs" dxfId="46" priority="44" operator="notEqual">
      <formula>$AB$9</formula>
    </cfRule>
  </conditionalFormatting>
  <conditionalFormatting sqref="O8">
    <cfRule type="cellIs" dxfId="45" priority="43" operator="notEqual">
      <formula>$AC$9</formula>
    </cfRule>
  </conditionalFormatting>
  <conditionalFormatting sqref="P8">
    <cfRule type="cellIs" dxfId="44" priority="42" operator="notEqual">
      <formula>$AD$9</formula>
    </cfRule>
  </conditionalFormatting>
  <conditionalFormatting sqref="Q8">
    <cfRule type="cellIs" dxfId="43" priority="41" operator="notEqual">
      <formula>$AE$9</formula>
    </cfRule>
  </conditionalFormatting>
  <conditionalFormatting sqref="R8">
    <cfRule type="cellIs" dxfId="42" priority="40" operator="notEqual">
      <formula>$AF$9</formula>
    </cfRule>
  </conditionalFormatting>
  <conditionalFormatting sqref="E33">
    <cfRule type="cellIs" dxfId="41" priority="39" operator="notEqual">
      <formula>$E$26</formula>
    </cfRule>
  </conditionalFormatting>
  <conditionalFormatting sqref="G33">
    <cfRule type="cellIs" dxfId="40" priority="38" operator="notEqual">
      <formula>$G$26</formula>
    </cfRule>
  </conditionalFormatting>
  <conditionalFormatting sqref="J33">
    <cfRule type="cellIs" dxfId="39" priority="37" operator="notEqual">
      <formula>$J$26</formula>
    </cfRule>
  </conditionalFormatting>
  <conditionalFormatting sqref="K33">
    <cfRule type="cellIs" dxfId="38" priority="36" operator="notEqual">
      <formula>$K$26</formula>
    </cfRule>
  </conditionalFormatting>
  <conditionalFormatting sqref="L33">
    <cfRule type="cellIs" dxfId="37" priority="35" operator="notEqual">
      <formula>$L$26</formula>
    </cfRule>
  </conditionalFormatting>
  <conditionalFormatting sqref="M33">
    <cfRule type="cellIs" dxfId="36" priority="34" operator="notEqual">
      <formula>$M$26</formula>
    </cfRule>
  </conditionalFormatting>
  <conditionalFormatting sqref="N33">
    <cfRule type="cellIs" dxfId="35" priority="33" operator="notEqual">
      <formula>$N$26</formula>
    </cfRule>
  </conditionalFormatting>
  <conditionalFormatting sqref="O33">
    <cfRule type="cellIs" dxfId="34" priority="32" operator="notEqual">
      <formula>$O$26</formula>
    </cfRule>
  </conditionalFormatting>
  <conditionalFormatting sqref="P33">
    <cfRule type="cellIs" dxfId="33" priority="31" operator="notEqual">
      <formula>$P$26</formula>
    </cfRule>
  </conditionalFormatting>
  <conditionalFormatting sqref="Q33">
    <cfRule type="cellIs" dxfId="32" priority="30" operator="notEqual">
      <formula>$Q$26</formula>
    </cfRule>
  </conditionalFormatting>
  <conditionalFormatting sqref="R33">
    <cfRule type="cellIs" dxfId="31" priority="29" operator="notEqual">
      <formula>$R$26</formula>
    </cfRule>
  </conditionalFormatting>
  <conditionalFormatting sqref="S33">
    <cfRule type="cellIs" dxfId="30" priority="28" operator="notEqual">
      <formula>$S$26</formula>
    </cfRule>
  </conditionalFormatting>
  <conditionalFormatting sqref="T33">
    <cfRule type="cellIs" dxfId="29" priority="27" operator="notEqual">
      <formula>$T$26</formula>
    </cfRule>
  </conditionalFormatting>
  <conditionalFormatting sqref="U33">
    <cfRule type="cellIs" dxfId="28" priority="26" operator="notEqual">
      <formula>$U$26</formula>
    </cfRule>
  </conditionalFormatting>
  <conditionalFormatting sqref="V33">
    <cfRule type="cellIs" dxfId="27" priority="25" operator="notEqual">
      <formula>$V$26</formula>
    </cfRule>
  </conditionalFormatting>
  <conditionalFormatting sqref="W33">
    <cfRule type="cellIs" dxfId="26" priority="24" operator="notEqual">
      <formula>$W$26</formula>
    </cfRule>
  </conditionalFormatting>
  <conditionalFormatting sqref="X33">
    <cfRule type="cellIs" dxfId="25" priority="23" operator="notEqual">
      <formula>$X$26</formula>
    </cfRule>
  </conditionalFormatting>
  <conditionalFormatting sqref="Y33">
    <cfRule type="cellIs" dxfId="24" priority="22" operator="notEqual">
      <formula>$Y$26</formula>
    </cfRule>
  </conditionalFormatting>
  <conditionalFormatting sqref="Z33">
    <cfRule type="cellIs" dxfId="23" priority="21" operator="notEqual">
      <formula>$Z$26</formula>
    </cfRule>
  </conditionalFormatting>
  <conditionalFormatting sqref="E21">
    <cfRule type="cellIs" dxfId="22" priority="20" operator="notEqual">
      <formula>$AB$21</formula>
    </cfRule>
  </conditionalFormatting>
  <conditionalFormatting sqref="G27">
    <cfRule type="cellIs" dxfId="21" priority="16" operator="notEqual">
      <formula>$AC$27</formula>
    </cfRule>
  </conditionalFormatting>
  <conditionalFormatting sqref="G28">
    <cfRule type="cellIs" dxfId="20" priority="15" operator="notEqual">
      <formula>$AC$28</formula>
    </cfRule>
  </conditionalFormatting>
  <conditionalFormatting sqref="G29">
    <cfRule type="cellIs" dxfId="19" priority="14" operator="notEqual">
      <formula>$AC$29</formula>
    </cfRule>
  </conditionalFormatting>
  <conditionalFormatting sqref="G30">
    <cfRule type="cellIs" dxfId="18" priority="13" operator="notEqual">
      <formula>$AC$30</formula>
    </cfRule>
  </conditionalFormatting>
  <conditionalFormatting sqref="G31">
    <cfRule type="cellIs" dxfId="17" priority="12" operator="notEqual">
      <formula>$AC$31</formula>
    </cfRule>
  </conditionalFormatting>
  <conditionalFormatting sqref="G32">
    <cfRule type="cellIs" dxfId="16" priority="11" operator="notEqual">
      <formula>$AC$32</formula>
    </cfRule>
  </conditionalFormatting>
  <conditionalFormatting sqref="E27">
    <cfRule type="cellIs" dxfId="15" priority="10" operator="notEqual">
      <formula>$AB$27</formula>
    </cfRule>
  </conditionalFormatting>
  <conditionalFormatting sqref="E28">
    <cfRule type="cellIs" dxfId="14" priority="9" operator="notEqual">
      <formula>$AB$28</formula>
    </cfRule>
  </conditionalFormatting>
  <conditionalFormatting sqref="E29">
    <cfRule type="cellIs" dxfId="13" priority="8" operator="notEqual">
      <formula>$AB$29</formula>
    </cfRule>
  </conditionalFormatting>
  <conditionalFormatting sqref="E30">
    <cfRule type="cellIs" dxfId="12" priority="7" operator="notEqual">
      <formula>$AB$30</formula>
    </cfRule>
  </conditionalFormatting>
  <conditionalFormatting sqref="E31">
    <cfRule type="cellIs" dxfId="11" priority="6" operator="notEqual">
      <formula>$AB$31</formula>
    </cfRule>
  </conditionalFormatting>
  <conditionalFormatting sqref="E32">
    <cfRule type="cellIs" dxfId="10" priority="5" operator="notEqual">
      <formula>$AB$32</formula>
    </cfRule>
  </conditionalFormatting>
  <conditionalFormatting sqref="E11">
    <cfRule type="cellIs" dxfId="9" priority="4" operator="notEqual">
      <formula>$AB$11</formula>
    </cfRule>
  </conditionalFormatting>
  <conditionalFormatting sqref="G11">
    <cfRule type="cellIs" dxfId="8" priority="3" operator="notEqual">
      <formula>$AC$11</formula>
    </cfRule>
  </conditionalFormatting>
  <conditionalFormatting sqref="E16">
    <cfRule type="cellIs" dxfId="7" priority="2" operator="notEqual">
      <formula>$AB$16</formula>
    </cfRule>
  </conditionalFormatting>
  <conditionalFormatting sqref="G16">
    <cfRule type="cellIs" dxfId="6" priority="1" operator="notEqual">
      <formula>$AC$16</formula>
    </cfRule>
  </conditionalFormatting>
  <conditionalFormatting sqref="C23">
    <cfRule type="cellIs" dxfId="5" priority="121" operator="notEqual">
      <formula>$AA$23</formula>
    </cfRule>
    <cfRule type="cellIs" dxfId="4" priority="122" operator="notEqual">
      <formula>N23+O23+P23+Q23+R23</formula>
    </cfRule>
    <cfRule type="cellIs" dxfId="3" priority="123" operator="notEqual">
      <formula>J23+#REF!+K23+L23+M23</formula>
    </cfRule>
  </conditionalFormatting>
  <conditionalFormatting sqref="C31">
    <cfRule type="cellIs" dxfId="2" priority="125" operator="notEqual">
      <formula>$AA$31</formula>
    </cfRule>
    <cfRule type="cellIs" dxfId="1" priority="126" operator="notEqual">
      <formula>N31+O31+P31+Q31+R31</formula>
    </cfRule>
    <cfRule type="cellIs" dxfId="0" priority="127" operator="notEqual">
      <formula>#REF!+J31+K31+L31+M31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4">
    <pageSetUpPr fitToPage="1"/>
  </sheetPr>
  <dimension ref="A1:Z31"/>
  <sheetViews>
    <sheetView view="pageBreakPreview" zoomScale="80" zoomScaleSheetLayoutView="80" workbookViewId="0">
      <pane xSplit="2" ySplit="7" topLeftCell="G23" activePane="bottomRight" state="frozen"/>
      <selection activeCell="B32" sqref="B32"/>
      <selection pane="topRight" activeCell="B32" sqref="B32"/>
      <selection pane="bottomLeft" activeCell="B32" sqref="B32"/>
      <selection pane="bottomRight" sqref="A1:M1"/>
    </sheetView>
  </sheetViews>
  <sheetFormatPr defaultRowHeight="15.75"/>
  <cols>
    <col min="1" max="1" width="9.7109375" style="454" customWidth="1"/>
    <col min="2" max="2" width="31.140625" style="372" customWidth="1"/>
    <col min="3" max="3" width="17.140625" style="372" customWidth="1"/>
    <col min="4" max="4" width="16.5703125" style="372" customWidth="1"/>
    <col min="5" max="5" width="17.140625" style="372" customWidth="1"/>
    <col min="6" max="6" width="16.5703125" style="372" customWidth="1"/>
    <col min="7" max="7" width="17.140625" style="372" customWidth="1"/>
    <col min="8" max="8" width="16.5703125" style="372" customWidth="1"/>
    <col min="9" max="9" width="17.140625" style="372" customWidth="1"/>
    <col min="10" max="10" width="16.5703125" style="372" customWidth="1"/>
    <col min="11" max="11" width="17.140625" style="372" customWidth="1"/>
    <col min="12" max="12" width="16.5703125" style="372" customWidth="1"/>
    <col min="13" max="13" width="17.140625" style="372" customWidth="1"/>
    <col min="14" max="14" width="16.5703125" style="372" customWidth="1"/>
    <col min="15" max="15" width="9.140625" style="372"/>
    <col min="16" max="16" width="26" style="372" customWidth="1"/>
    <col min="17" max="16384" width="9.140625" style="372"/>
  </cols>
  <sheetData>
    <row r="1" spans="1:26" s="377" customFormat="1" ht="48.75" customHeight="1">
      <c r="A1" s="1348" t="s">
        <v>1103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219" t="s">
        <v>1102</v>
      </c>
    </row>
    <row r="2" spans="1:26" ht="18.75">
      <c r="B2" s="485" t="str">
        <f>+Balance!B3</f>
        <v>АКБ "Микрокредитбанк"</v>
      </c>
      <c r="K2" s="1347">
        <f>+'loans_av rate'!F3</f>
        <v>43829</v>
      </c>
      <c r="L2" s="1347"/>
      <c r="N2" s="455" t="str">
        <f>+Balance!E3</f>
        <v>тыс. сум</v>
      </c>
    </row>
    <row r="3" spans="1:26" s="373" customFormat="1" ht="38.25" customHeight="1">
      <c r="A3" s="1346" t="s">
        <v>161</v>
      </c>
      <c r="B3" s="1309" t="s">
        <v>1188</v>
      </c>
      <c r="C3" s="1346" t="s">
        <v>1063</v>
      </c>
      <c r="D3" s="1346"/>
      <c r="E3" s="1346"/>
      <c r="F3" s="1346"/>
      <c r="G3" s="1346"/>
      <c r="H3" s="1346"/>
      <c r="I3" s="1346" t="s">
        <v>1064</v>
      </c>
      <c r="J3" s="1346"/>
      <c r="K3" s="1346"/>
      <c r="L3" s="1346"/>
      <c r="M3" s="1346"/>
      <c r="N3" s="1346"/>
    </row>
    <row r="4" spans="1:26" s="373" customFormat="1" ht="24" customHeight="1">
      <c r="A4" s="1346"/>
      <c r="B4" s="1310"/>
      <c r="C4" s="1346" t="s">
        <v>1065</v>
      </c>
      <c r="D4" s="1346" t="s">
        <v>1062</v>
      </c>
      <c r="E4" s="1346" t="s">
        <v>1074</v>
      </c>
      <c r="F4" s="1346"/>
      <c r="G4" s="1346"/>
      <c r="H4" s="1346"/>
      <c r="I4" s="1346" t="s">
        <v>1065</v>
      </c>
      <c r="J4" s="1346" t="s">
        <v>1062</v>
      </c>
      <c r="K4" s="1346" t="s">
        <v>1074</v>
      </c>
      <c r="L4" s="1346"/>
      <c r="M4" s="1346"/>
      <c r="N4" s="1346"/>
    </row>
    <row r="5" spans="1:26" s="373" customFormat="1" ht="54.75" customHeight="1">
      <c r="A5" s="1346"/>
      <c r="B5" s="1310"/>
      <c r="C5" s="1346"/>
      <c r="D5" s="1346"/>
      <c r="E5" s="1346" t="s">
        <v>1075</v>
      </c>
      <c r="F5" s="1346"/>
      <c r="G5" s="1346" t="s">
        <v>332</v>
      </c>
      <c r="H5" s="1346"/>
      <c r="I5" s="1346"/>
      <c r="J5" s="1346"/>
      <c r="K5" s="1346" t="s">
        <v>1075</v>
      </c>
      <c r="L5" s="1346"/>
      <c r="M5" s="1346" t="s">
        <v>332</v>
      </c>
      <c r="N5" s="1346"/>
    </row>
    <row r="6" spans="1:26" s="373" customFormat="1" ht="54.75" customHeight="1">
      <c r="A6" s="1346"/>
      <c r="B6" s="1331"/>
      <c r="C6" s="1346"/>
      <c r="D6" s="1346"/>
      <c r="E6" s="801" t="s">
        <v>1072</v>
      </c>
      <c r="F6" s="801" t="s">
        <v>1062</v>
      </c>
      <c r="G6" s="801" t="s">
        <v>1072</v>
      </c>
      <c r="H6" s="801" t="s">
        <v>1062</v>
      </c>
      <c r="I6" s="1346"/>
      <c r="J6" s="1346"/>
      <c r="K6" s="801" t="s">
        <v>1072</v>
      </c>
      <c r="L6" s="801" t="s">
        <v>1062</v>
      </c>
      <c r="M6" s="801" t="s">
        <v>1072</v>
      </c>
      <c r="N6" s="801" t="s">
        <v>1062</v>
      </c>
    </row>
    <row r="7" spans="1:26" s="373" customFormat="1" ht="22.5" customHeight="1">
      <c r="A7" s="1346"/>
      <c r="B7" s="801" t="s">
        <v>309</v>
      </c>
      <c r="C7" s="801" t="s">
        <v>310</v>
      </c>
      <c r="D7" s="801" t="s">
        <v>327</v>
      </c>
      <c r="E7" s="801" t="s">
        <v>311</v>
      </c>
      <c r="F7" s="801" t="s">
        <v>312</v>
      </c>
      <c r="G7" s="801" t="s">
        <v>328</v>
      </c>
      <c r="H7" s="801" t="s">
        <v>313</v>
      </c>
      <c r="I7" s="801" t="s">
        <v>314</v>
      </c>
      <c r="J7" s="801" t="s">
        <v>315</v>
      </c>
      <c r="K7" s="801" t="s">
        <v>316</v>
      </c>
      <c r="L7" s="801" t="s">
        <v>317</v>
      </c>
      <c r="M7" s="801" t="s">
        <v>318</v>
      </c>
      <c r="N7" s="801" t="s">
        <v>319</v>
      </c>
    </row>
    <row r="8" spans="1:26" s="774" customFormat="1" ht="41.25" customHeight="1">
      <c r="A8" s="770">
        <v>1</v>
      </c>
      <c r="B8" s="771" t="s">
        <v>395</v>
      </c>
      <c r="C8" s="831">
        <f>+E8+G8</f>
        <v>138847611</v>
      </c>
      <c r="D8" s="772">
        <v>1.7732049505898115E-3</v>
      </c>
      <c r="E8" s="808">
        <v>131174825</v>
      </c>
      <c r="F8" s="772">
        <v>1.8743390209881214E-3</v>
      </c>
      <c r="G8" s="808">
        <v>7672786</v>
      </c>
      <c r="H8" s="772">
        <v>4.4205272103091518E-5</v>
      </c>
      <c r="I8" s="831">
        <f>+K8+M8</f>
        <v>290087328</v>
      </c>
      <c r="J8" s="772">
        <v>0</v>
      </c>
      <c r="K8" s="808">
        <v>262382702</v>
      </c>
      <c r="L8" s="772">
        <v>0</v>
      </c>
      <c r="M8" s="808">
        <v>27704626</v>
      </c>
      <c r="N8" s="772">
        <v>0</v>
      </c>
      <c r="O8" s="773"/>
      <c r="P8" s="832">
        <f>+'Bank Liabilities Analysis'!C22</f>
        <v>428934939</v>
      </c>
      <c r="Q8" s="832">
        <f t="shared" ref="Q8:Q15" si="0">+P8-C8-I8</f>
        <v>0</v>
      </c>
      <c r="R8" s="773"/>
      <c r="S8" s="773"/>
      <c r="T8" s="773"/>
      <c r="U8" s="773"/>
      <c r="V8" s="773"/>
      <c r="W8" s="773"/>
      <c r="X8" s="773"/>
      <c r="Y8" s="773"/>
      <c r="Z8" s="773"/>
    </row>
    <row r="9" spans="1:26" s="774" customFormat="1" ht="41.25" customHeight="1">
      <c r="A9" s="770">
        <v>2</v>
      </c>
      <c r="B9" s="771" t="s">
        <v>1189</v>
      </c>
      <c r="C9" s="831">
        <f>+E9+G9</f>
        <v>4269341</v>
      </c>
      <c r="D9" s="772">
        <v>0.1702700448198578</v>
      </c>
      <c r="E9" s="808">
        <v>4259753</v>
      </c>
      <c r="F9" s="772">
        <v>0.17058575790390576</v>
      </c>
      <c r="G9" s="808">
        <v>9588</v>
      </c>
      <c r="H9" s="772">
        <v>0.03</v>
      </c>
      <c r="I9" s="831">
        <f>+K9+M9</f>
        <v>27166357</v>
      </c>
      <c r="J9" s="772">
        <v>0.1428971955100603</v>
      </c>
      <c r="K9" s="808">
        <v>27166357</v>
      </c>
      <c r="L9" s="772">
        <v>0.1428971955100603</v>
      </c>
      <c r="M9" s="808"/>
      <c r="N9" s="772"/>
      <c r="O9" s="773"/>
      <c r="P9" s="832">
        <f>+'Bank Liabilities Analysis'!E22</f>
        <v>31435698</v>
      </c>
      <c r="Q9" s="832">
        <f t="shared" si="0"/>
        <v>0</v>
      </c>
      <c r="R9" s="773"/>
      <c r="S9" s="773"/>
      <c r="T9" s="773"/>
      <c r="U9" s="773"/>
      <c r="V9" s="773"/>
      <c r="W9" s="773"/>
      <c r="X9" s="773"/>
      <c r="Y9" s="773"/>
      <c r="Z9" s="773"/>
    </row>
    <row r="10" spans="1:26" s="774" customFormat="1" ht="41.25" customHeight="1">
      <c r="A10" s="770">
        <v>3</v>
      </c>
      <c r="B10" s="771" t="s">
        <v>1190</v>
      </c>
      <c r="C10" s="831">
        <f t="shared" ref="C10:C15" si="1">+E10+G10</f>
        <v>11094970</v>
      </c>
      <c r="D10" s="772">
        <v>0.17375124712345816</v>
      </c>
      <c r="E10" s="808">
        <v>10972192</v>
      </c>
      <c r="F10" s="772">
        <v>0.17535981549963986</v>
      </c>
      <c r="G10" s="808">
        <v>122778</v>
      </c>
      <c r="H10" s="772">
        <v>0.03</v>
      </c>
      <c r="I10" s="831">
        <f t="shared" ref="I10:I15" si="2">+K10+M10</f>
        <v>18308657</v>
      </c>
      <c r="J10" s="772">
        <v>0.17783024217773089</v>
      </c>
      <c r="K10" s="808">
        <v>18308657</v>
      </c>
      <c r="L10" s="772">
        <v>0.17783024217773089</v>
      </c>
      <c r="M10" s="808"/>
      <c r="N10" s="772"/>
      <c r="O10" s="773"/>
      <c r="P10" s="832">
        <f>+'Bank Liabilities Analysis'!G22</f>
        <v>29403627</v>
      </c>
      <c r="Q10" s="832">
        <f t="shared" si="0"/>
        <v>0</v>
      </c>
      <c r="R10" s="773"/>
      <c r="S10" s="773"/>
      <c r="T10" s="773"/>
      <c r="U10" s="773"/>
      <c r="V10" s="773"/>
      <c r="W10" s="773"/>
      <c r="X10" s="773"/>
      <c r="Y10" s="773"/>
      <c r="Z10" s="773"/>
    </row>
    <row r="11" spans="1:26" s="774" customFormat="1" ht="41.25" customHeight="1">
      <c r="A11" s="770">
        <v>4</v>
      </c>
      <c r="B11" s="771" t="s">
        <v>943</v>
      </c>
      <c r="C11" s="831">
        <f t="shared" si="1"/>
        <v>51400540</v>
      </c>
      <c r="D11" s="772">
        <v>0.18508071843745807</v>
      </c>
      <c r="E11" s="808">
        <v>49789704</v>
      </c>
      <c r="F11" s="772">
        <v>0.19009801182458336</v>
      </c>
      <c r="G11" s="808">
        <v>1610836</v>
      </c>
      <c r="H11" s="772">
        <v>0.03</v>
      </c>
      <c r="I11" s="831">
        <f t="shared" si="2"/>
        <v>88697802</v>
      </c>
      <c r="J11" s="772">
        <v>0.15328818542406539</v>
      </c>
      <c r="K11" s="808">
        <v>88697802</v>
      </c>
      <c r="L11" s="772">
        <v>0.15328818542406539</v>
      </c>
      <c r="M11" s="808"/>
      <c r="N11" s="772"/>
      <c r="O11" s="773"/>
      <c r="P11" s="832">
        <f>+'Bank Liabilities Analysis'!I22</f>
        <v>140098342</v>
      </c>
      <c r="Q11" s="832">
        <f t="shared" si="0"/>
        <v>0</v>
      </c>
      <c r="R11" s="773"/>
      <c r="S11" s="773"/>
      <c r="T11" s="773"/>
      <c r="U11" s="773"/>
      <c r="V11" s="773"/>
      <c r="W11" s="773"/>
      <c r="X11" s="773"/>
      <c r="Y11" s="773"/>
      <c r="Z11" s="773"/>
    </row>
    <row r="12" spans="1:26" s="774" customFormat="1" ht="41.25" customHeight="1">
      <c r="A12" s="770">
        <v>5</v>
      </c>
      <c r="B12" s="771" t="s">
        <v>944</v>
      </c>
      <c r="C12" s="831">
        <f t="shared" si="1"/>
        <v>42560638</v>
      </c>
      <c r="D12" s="772">
        <v>0.19442211991042019</v>
      </c>
      <c r="E12" s="808">
        <v>41803459</v>
      </c>
      <c r="F12" s="772">
        <v>0.19718555548656905</v>
      </c>
      <c r="G12" s="808">
        <v>757179</v>
      </c>
      <c r="H12" s="772">
        <v>4.1854301070644306E-2</v>
      </c>
      <c r="I12" s="831">
        <f t="shared" si="2"/>
        <v>26524383</v>
      </c>
      <c r="J12" s="772">
        <v>0.15279975108539876</v>
      </c>
      <c r="K12" s="808">
        <v>26524383</v>
      </c>
      <c r="L12" s="772">
        <v>0.15279975108539876</v>
      </c>
      <c r="M12" s="808"/>
      <c r="N12" s="772"/>
      <c r="O12" s="773"/>
      <c r="P12" s="832">
        <f>+'Bank Liabilities Analysis'!K22</f>
        <v>69085021</v>
      </c>
      <c r="Q12" s="832">
        <f t="shared" si="0"/>
        <v>0</v>
      </c>
      <c r="R12" s="773"/>
      <c r="S12" s="773"/>
      <c r="T12" s="773"/>
      <c r="U12" s="773"/>
      <c r="V12" s="773"/>
      <c r="W12" s="773"/>
      <c r="X12" s="773"/>
      <c r="Y12" s="773"/>
      <c r="Z12" s="773"/>
    </row>
    <row r="13" spans="1:26" s="774" customFormat="1" ht="41.25" customHeight="1">
      <c r="A13" s="770">
        <v>6</v>
      </c>
      <c r="B13" s="771" t="s">
        <v>1108</v>
      </c>
      <c r="C13" s="831">
        <f t="shared" si="1"/>
        <v>82236564</v>
      </c>
      <c r="D13" s="772">
        <v>0.20909493953370775</v>
      </c>
      <c r="E13" s="808">
        <v>81198436</v>
      </c>
      <c r="F13" s="772">
        <v>0.21112898017984033</v>
      </c>
      <c r="G13" s="808">
        <v>1038128</v>
      </c>
      <c r="H13" s="772">
        <v>4.9999999999999989E-2</v>
      </c>
      <c r="I13" s="831">
        <f t="shared" si="2"/>
        <v>213981225</v>
      </c>
      <c r="J13" s="772">
        <v>0.13833062401550922</v>
      </c>
      <c r="K13" s="808">
        <v>210710297</v>
      </c>
      <c r="L13" s="772">
        <v>0.13932643670763226</v>
      </c>
      <c r="M13" s="808">
        <v>3270928</v>
      </c>
      <c r="N13" s="772">
        <v>7.4181240819882407E-2</v>
      </c>
      <c r="O13" s="773"/>
      <c r="P13" s="832">
        <f>+'Bank Liabilities Analysis'!M22</f>
        <v>296217789</v>
      </c>
      <c r="Q13" s="832">
        <f t="shared" si="0"/>
        <v>0</v>
      </c>
      <c r="R13" s="773"/>
      <c r="S13" s="773"/>
      <c r="T13" s="773"/>
      <c r="U13" s="773"/>
      <c r="V13" s="773"/>
      <c r="W13" s="773"/>
      <c r="X13" s="773"/>
      <c r="Y13" s="773"/>
      <c r="Z13" s="773"/>
    </row>
    <row r="14" spans="1:26" s="774" customFormat="1" ht="41.25" customHeight="1">
      <c r="A14" s="770">
        <v>7</v>
      </c>
      <c r="B14" s="771" t="s">
        <v>1109</v>
      </c>
      <c r="C14" s="831">
        <f t="shared" si="1"/>
        <v>13591474</v>
      </c>
      <c r="D14" s="772">
        <v>0.18996422594114706</v>
      </c>
      <c r="E14" s="808">
        <v>12267958</v>
      </c>
      <c r="F14" s="772">
        <v>0.2040827355087563</v>
      </c>
      <c r="G14" s="808">
        <v>1323516</v>
      </c>
      <c r="H14" s="772">
        <v>5.9096719888820398E-2</v>
      </c>
      <c r="I14" s="831">
        <f t="shared" si="2"/>
        <v>176159269</v>
      </c>
      <c r="J14" s="772">
        <v>8.0146479924464983E-2</v>
      </c>
      <c r="K14" s="808">
        <v>76237384</v>
      </c>
      <c r="L14" s="772">
        <v>0.11903437344589608</v>
      </c>
      <c r="M14" s="808">
        <v>99921885</v>
      </c>
      <c r="N14" s="772">
        <v>5.0476190476190473E-2</v>
      </c>
      <c r="O14" s="773"/>
      <c r="P14" s="832">
        <f>+'Bank Liabilities Analysis'!O22</f>
        <v>189750743</v>
      </c>
      <c r="Q14" s="832">
        <f t="shared" si="0"/>
        <v>0</v>
      </c>
      <c r="R14" s="773"/>
      <c r="S14" s="773"/>
      <c r="T14" s="773"/>
      <c r="U14" s="773"/>
      <c r="V14" s="773"/>
      <c r="W14" s="773"/>
      <c r="X14" s="773"/>
      <c r="Y14" s="773"/>
      <c r="Z14" s="773"/>
    </row>
    <row r="15" spans="1:26" s="774" customFormat="1" ht="41.25" customHeight="1">
      <c r="A15" s="770">
        <v>8</v>
      </c>
      <c r="B15" s="771" t="s">
        <v>285</v>
      </c>
      <c r="C15" s="831">
        <f t="shared" si="1"/>
        <v>6445835</v>
      </c>
      <c r="D15" s="772">
        <v>0.19713628747190395</v>
      </c>
      <c r="E15" s="808">
        <v>6445835</v>
      </c>
      <c r="F15" s="772">
        <v>0.19713628747190395</v>
      </c>
      <c r="G15" s="808">
        <v>0</v>
      </c>
      <c r="H15" s="772">
        <v>0</v>
      </c>
      <c r="I15" s="831">
        <f t="shared" si="2"/>
        <v>201066612</v>
      </c>
      <c r="J15" s="772">
        <v>7.2776147378361203E-2</v>
      </c>
      <c r="K15" s="808">
        <v>48775317</v>
      </c>
      <c r="L15" s="772">
        <v>0.12465353858183839</v>
      </c>
      <c r="M15" s="808">
        <v>152291295</v>
      </c>
      <c r="N15" s="772">
        <v>5.6161040166427388E-2</v>
      </c>
      <c r="O15" s="773"/>
      <c r="P15" s="832">
        <f>+'Bank Liabilities Analysis'!Q22</f>
        <v>207512447</v>
      </c>
      <c r="Q15" s="832">
        <f t="shared" si="0"/>
        <v>0</v>
      </c>
      <c r="R15" s="773"/>
      <c r="S15" s="773"/>
      <c r="T15" s="773"/>
      <c r="U15" s="773"/>
      <c r="V15" s="773"/>
      <c r="W15" s="773"/>
      <c r="X15" s="773"/>
      <c r="Y15" s="773"/>
      <c r="Z15" s="773"/>
    </row>
    <row r="16" spans="1:26" s="774" customFormat="1" ht="41.25" customHeight="1">
      <c r="A16" s="770">
        <v>9</v>
      </c>
      <c r="B16" s="775" t="s">
        <v>1195</v>
      </c>
      <c r="C16" s="809">
        <f>SUM(C8:C15)</f>
        <v>350446973</v>
      </c>
      <c r="D16" s="810">
        <f>IFERROR(((C8*D8)/C16)+((C9*D9)/C16)+((C10*D10)/C16)+((C11*D11)/C16)+((C12*D12)/C16)+((C13*D13)/C16)+((C14*D14)/C16)+((C15*D15)/C16),0)</f>
        <v>0.11909573709258503</v>
      </c>
      <c r="E16" s="809">
        <f t="shared" ref="E16:M16" si="3">SUM(E8:E15)</f>
        <v>337912162</v>
      </c>
      <c r="F16" s="810">
        <f>IFERROR(((E8*F8)/E16)+((E9*F9)/E16)+((E10*F10)/E16)+((E11*F11)/E16)+((E12*F12)/E16)+((E13*F13)/E16)+((E14*F14)/E16)+((E15*F15)/E16),0)</f>
        <v>0.12287895180847144</v>
      </c>
      <c r="G16" s="809">
        <f t="shared" si="3"/>
        <v>12534811</v>
      </c>
      <c r="H16" s="810">
        <f>IFERROR(((G8*H8)/G16)+((G9*H9)/G16)+((G10*H10)/G16)+((G11*H11)/G16)+((G12*H12)/G16)+((G13*H13)/G16)+((G14*H14)/G16)+((G15*H15)/G16),0)</f>
        <v>1.7108218843001316E-2</v>
      </c>
      <c r="I16" s="809">
        <f t="shared" si="3"/>
        <v>1041991633</v>
      </c>
      <c r="J16" s="810">
        <f>IFERROR(((I8*J8)/I16)+((I9*J9)/I16)+((I10*J10)/I16)+((I11*J11)/I16)+((I12*J12)/I16)+((I13*J13)/I16)+((I14*J14)/I16)+((I15*J15)/I16),0)</f>
        <v>7.9788191986000997E-2</v>
      </c>
      <c r="K16" s="809">
        <f t="shared" si="3"/>
        <v>758802899</v>
      </c>
      <c r="L16" s="810">
        <f>IFERROR(((K8*L8)/K16)+((K9*L9)/K16)+((K10*L10)/K16)+((K11*L11)/K16)+((K12*L12)/K16)+((K13*L13)/K16)+((K14*L14)/K16)+((K15*L15)/K16),0)</f>
        <v>9.1327370286276285E-2</v>
      </c>
      <c r="M16" s="809">
        <f t="shared" si="3"/>
        <v>283188734</v>
      </c>
      <c r="N16" s="810">
        <f>IFERROR(((M8*N8)/M16)+((M9*N9)/M16)+((M10*N10)/M16)+((M11*N11)/M16)+((M12*N12)/M16)+((M13*N13)/M16)+((M14*N14)/M16)+((M15*N15)/M16),0)</f>
        <v>4.8869017272292828E-2</v>
      </c>
      <c r="O16" s="773"/>
      <c r="P16" s="833">
        <f>+'Bank Liabilities Analysis'!S22</f>
        <v>1392438606</v>
      </c>
      <c r="Q16" s="832">
        <f>+P16-C16-I16</f>
        <v>0</v>
      </c>
      <c r="R16" s="773"/>
      <c r="S16" s="773"/>
      <c r="T16" s="773"/>
      <c r="U16" s="773"/>
      <c r="V16" s="773"/>
      <c r="W16" s="773"/>
      <c r="X16" s="773"/>
      <c r="Y16" s="773"/>
      <c r="Z16" s="773"/>
    </row>
    <row r="17" spans="1:26" s="31" customFormat="1" ht="12" customHeight="1">
      <c r="B17" s="93"/>
      <c r="C17" s="220"/>
      <c r="I17" s="220"/>
      <c r="P17" s="773"/>
      <c r="Q17" s="773"/>
      <c r="R17" s="773"/>
      <c r="S17" s="773"/>
      <c r="T17" s="773"/>
      <c r="U17" s="773"/>
      <c r="V17" s="773"/>
      <c r="W17" s="773"/>
      <c r="X17" s="773"/>
      <c r="Y17" s="773"/>
      <c r="Z17" s="773"/>
    </row>
    <row r="18" spans="1:26" s="31" customFormat="1" ht="12.75">
      <c r="B18" s="93"/>
      <c r="C18" s="220"/>
      <c r="I18" s="220"/>
    </row>
    <row r="19" spans="1:26" s="35" customFormat="1">
      <c r="A19" s="258"/>
      <c r="B19" s="268" t="s">
        <v>4</v>
      </c>
      <c r="C19" s="829"/>
      <c r="J19" s="258"/>
    </row>
    <row r="20" spans="1:26" s="35" customFormat="1">
      <c r="A20" s="258"/>
      <c r="B20" s="268"/>
      <c r="J20" s="258"/>
    </row>
    <row r="21" spans="1:26" s="35" customFormat="1">
      <c r="A21" s="258"/>
      <c r="B21" s="268" t="s">
        <v>5</v>
      </c>
      <c r="J21" s="258"/>
    </row>
    <row r="24" spans="1:26" s="824" customFormat="1">
      <c r="A24" s="823"/>
      <c r="B24" s="824" t="s">
        <v>1185</v>
      </c>
      <c r="C24" s="828">
        <f>+'Deposits by Client'!C6+'Deposits by Client'!C15</f>
        <v>350446973</v>
      </c>
      <c r="D24" s="828"/>
      <c r="E24" s="828"/>
      <c r="F24" s="828"/>
      <c r="G24" s="828">
        <f>+'Deposits by Client'!D6+'Deposits by Client'!D15</f>
        <v>12534811</v>
      </c>
      <c r="H24" s="828"/>
      <c r="I24" s="828"/>
      <c r="J24" s="828"/>
      <c r="K24" s="828"/>
      <c r="L24" s="828"/>
      <c r="M24" s="828"/>
      <c r="N24" s="826"/>
    </row>
    <row r="25" spans="1:26" s="824" customFormat="1">
      <c r="A25" s="823"/>
      <c r="C25" s="828">
        <f>+C16</f>
        <v>350446973</v>
      </c>
      <c r="D25" s="828"/>
      <c r="E25" s="828"/>
      <c r="F25" s="828"/>
      <c r="G25" s="828">
        <f>+G16</f>
        <v>12534811</v>
      </c>
      <c r="H25" s="828"/>
      <c r="I25" s="830"/>
      <c r="J25" s="830"/>
      <c r="K25" s="830"/>
      <c r="L25" s="830"/>
      <c r="M25" s="830"/>
      <c r="N25" s="826"/>
    </row>
    <row r="26" spans="1:26" s="824" customFormat="1">
      <c r="A26" s="823"/>
      <c r="C26" s="828">
        <f>+C24-C25</f>
        <v>0</v>
      </c>
      <c r="D26" s="828"/>
      <c r="E26" s="828"/>
      <c r="F26" s="828"/>
      <c r="G26" s="828">
        <f>+G24-G25</f>
        <v>0</v>
      </c>
      <c r="H26" s="828"/>
      <c r="I26" s="830"/>
      <c r="J26" s="830"/>
      <c r="K26" s="830"/>
      <c r="L26" s="830"/>
      <c r="M26" s="830"/>
      <c r="N26" s="826"/>
    </row>
    <row r="27" spans="1:26" s="824" customFormat="1">
      <c r="A27" s="823"/>
      <c r="B27" s="824" t="s">
        <v>1186</v>
      </c>
      <c r="C27" s="830"/>
      <c r="D27" s="830"/>
      <c r="E27" s="830"/>
      <c r="F27" s="830"/>
      <c r="G27" s="830"/>
      <c r="H27" s="830"/>
      <c r="I27" s="828">
        <f>+('Deposits by Client'!C22-'Deposits by Client'!C6-'Deposits by Client'!C15)</f>
        <v>1041991633</v>
      </c>
      <c r="J27" s="828"/>
      <c r="K27" s="828"/>
      <c r="L27" s="828"/>
      <c r="M27" s="828">
        <f>+('Deposits by Client'!D22-'Deposits by Client'!D6-'Deposits by Client'!D15)</f>
        <v>283188734</v>
      </c>
    </row>
    <row r="28" spans="1:26" s="824" customFormat="1">
      <c r="A28" s="823"/>
      <c r="C28" s="830"/>
      <c r="D28" s="830"/>
      <c r="E28" s="830"/>
      <c r="F28" s="830"/>
      <c r="G28" s="830"/>
      <c r="H28" s="830"/>
      <c r="I28" s="828">
        <f>+I16</f>
        <v>1041991633</v>
      </c>
      <c r="J28" s="828"/>
      <c r="K28" s="828"/>
      <c r="L28" s="828"/>
      <c r="M28" s="828">
        <f>+M16</f>
        <v>283188734</v>
      </c>
    </row>
    <row r="29" spans="1:26" s="824" customFormat="1">
      <c r="A29" s="823"/>
      <c r="C29" s="830"/>
      <c r="D29" s="830"/>
      <c r="E29" s="830"/>
      <c r="F29" s="830"/>
      <c r="G29" s="830"/>
      <c r="H29" s="830"/>
      <c r="I29" s="828">
        <f>+I27-I28</f>
        <v>0</v>
      </c>
      <c r="J29" s="830"/>
      <c r="K29" s="830"/>
      <c r="L29" s="830"/>
      <c r="M29" s="828">
        <f>+M27-M28</f>
        <v>0</v>
      </c>
    </row>
    <row r="30" spans="1:26" s="824" customFormat="1">
      <c r="A30" s="823"/>
    </row>
    <row r="31" spans="1:26" s="824" customFormat="1">
      <c r="A31" s="823"/>
    </row>
  </sheetData>
  <sheetProtection password="CA76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20">
    <pageSetUpPr fitToPage="1"/>
  </sheetPr>
  <dimension ref="A1:K46"/>
  <sheetViews>
    <sheetView view="pageBreakPreview" topLeftCell="A19" zoomScaleSheetLayoutView="100" workbookViewId="0">
      <selection activeCell="F33" sqref="F33:H33"/>
    </sheetView>
  </sheetViews>
  <sheetFormatPr defaultColWidth="9" defaultRowHeight="12.75"/>
  <cols>
    <col min="1" max="1" width="5" style="31" customWidth="1"/>
    <col min="2" max="3" width="9" style="1" customWidth="1"/>
    <col min="4" max="4" width="25.42578125" style="1" customWidth="1"/>
    <col min="5" max="5" width="42.140625" style="1" customWidth="1"/>
    <col min="6" max="6" width="15.42578125" style="1" bestFit="1" customWidth="1"/>
    <col min="7" max="7" width="9" style="1" customWidth="1"/>
    <col min="8" max="8" width="36.28515625" style="1" customWidth="1"/>
    <col min="9" max="9" width="15" style="1" customWidth="1"/>
    <col min="10" max="10" width="15" style="31" customWidth="1"/>
    <col min="11" max="11" width="15.5703125" style="1" customWidth="1"/>
    <col min="12" max="16384" width="9" style="1"/>
  </cols>
  <sheetData>
    <row r="1" spans="1:11" s="21" customFormat="1" ht="27" customHeight="1">
      <c r="A1" s="1373" t="s">
        <v>1291</v>
      </c>
      <c r="B1" s="1373"/>
      <c r="C1" s="1373"/>
      <c r="D1" s="1373"/>
      <c r="E1" s="1373"/>
      <c r="F1" s="1373"/>
      <c r="G1" s="1373"/>
      <c r="H1" s="1373"/>
      <c r="I1" s="1374" t="s">
        <v>1104</v>
      </c>
      <c r="J1" s="1374"/>
      <c r="K1" s="1374"/>
    </row>
    <row r="2" spans="1:11" ht="21" customHeight="1">
      <c r="A2" s="77"/>
      <c r="B2" s="1363" t="str">
        <f>Balance!B3</f>
        <v>АКБ "Микрокредитбанк"</v>
      </c>
      <c r="C2" s="1363"/>
      <c r="D2" s="1363"/>
      <c r="E2" s="50"/>
      <c r="F2" s="50"/>
      <c r="G2" s="50"/>
      <c r="H2" s="50"/>
      <c r="I2" s="487" t="str">
        <f>+Balance!B2</f>
        <v xml:space="preserve"> 30 Декабрь, 2019</v>
      </c>
      <c r="J2" s="511"/>
      <c r="K2" s="51"/>
    </row>
    <row r="3" spans="1:11" ht="6.75" customHeight="1">
      <c r="A3" s="1375"/>
      <c r="B3" s="1376"/>
      <c r="C3" s="1376"/>
      <c r="D3" s="1376"/>
      <c r="E3" s="1376"/>
      <c r="F3" s="1376"/>
      <c r="G3" s="1376"/>
      <c r="H3" s="1376"/>
      <c r="I3" s="1376"/>
      <c r="J3" s="1376"/>
      <c r="K3" s="1377"/>
    </row>
    <row r="4" spans="1:11" s="52" customFormat="1" ht="41.25" customHeight="1">
      <c r="A4" s="1364" t="s">
        <v>161</v>
      </c>
      <c r="B4" s="1364" t="s">
        <v>457</v>
      </c>
      <c r="C4" s="1364"/>
      <c r="D4" s="1364"/>
      <c r="E4" s="1364"/>
      <c r="F4" s="1364" t="s">
        <v>458</v>
      </c>
      <c r="G4" s="1364"/>
      <c r="H4" s="1364"/>
      <c r="I4" s="617" t="s">
        <v>459</v>
      </c>
      <c r="J4" s="617" t="s">
        <v>460</v>
      </c>
      <c r="K4" s="617" t="s">
        <v>461</v>
      </c>
    </row>
    <row r="5" spans="1:11" s="52" customFormat="1" ht="14.25">
      <c r="A5" s="1364"/>
      <c r="B5" s="1364" t="s">
        <v>462</v>
      </c>
      <c r="C5" s="1364"/>
      <c r="D5" s="1364"/>
      <c r="E5" s="1364"/>
      <c r="F5" s="1364" t="s">
        <v>310</v>
      </c>
      <c r="G5" s="1364"/>
      <c r="H5" s="1364"/>
      <c r="I5" s="617" t="s">
        <v>327</v>
      </c>
      <c r="J5" s="617" t="s">
        <v>311</v>
      </c>
      <c r="K5" s="617" t="s">
        <v>312</v>
      </c>
    </row>
    <row r="6" spans="1:11" s="39" customFormat="1">
      <c r="A6" s="618">
        <v>1</v>
      </c>
      <c r="B6" s="1380" t="s">
        <v>463</v>
      </c>
      <c r="C6" s="1381"/>
      <c r="D6" s="1381"/>
      <c r="E6" s="1381"/>
      <c r="F6" s="1381"/>
      <c r="G6" s="1381"/>
      <c r="H6" s="1381"/>
      <c r="I6" s="1381"/>
      <c r="J6" s="1381"/>
      <c r="K6" s="1382"/>
    </row>
    <row r="7" spans="1:11" ht="24" customHeight="1">
      <c r="A7" s="1352" t="s">
        <v>436</v>
      </c>
      <c r="B7" s="1354" t="s">
        <v>464</v>
      </c>
      <c r="C7" s="1355"/>
      <c r="D7" s="1355"/>
      <c r="E7" s="1356"/>
      <c r="F7" s="1370" t="s">
        <v>465</v>
      </c>
      <c r="G7" s="1371"/>
      <c r="H7" s="1372"/>
      <c r="I7" s="1365">
        <f>IFERROR((+'Bank Capital Calc'!C49),0)</f>
        <v>0.23726898669107263</v>
      </c>
      <c r="J7" s="509" t="s">
        <v>466</v>
      </c>
      <c r="K7" s="1383" t="str">
        <f>IF(I7="",0-J8,(IF((I7-J8)&gt;0,"",I7-J8)))</f>
        <v/>
      </c>
    </row>
    <row r="8" spans="1:11">
      <c r="A8" s="1353"/>
      <c r="B8" s="1367"/>
      <c r="C8" s="1368"/>
      <c r="D8" s="1368"/>
      <c r="E8" s="1369"/>
      <c r="F8" s="1354" t="s">
        <v>467</v>
      </c>
      <c r="G8" s="1378"/>
      <c r="H8" s="1379"/>
      <c r="I8" s="1366"/>
      <c r="J8" s="510">
        <f>+'Calculation of Risk'!C28/100</f>
        <v>0.13</v>
      </c>
      <c r="K8" s="1384"/>
    </row>
    <row r="9" spans="1:11">
      <c r="A9" s="1352" t="s">
        <v>438</v>
      </c>
      <c r="B9" s="1354" t="s">
        <v>468</v>
      </c>
      <c r="C9" s="1355"/>
      <c r="D9" s="1355"/>
      <c r="E9" s="1356"/>
      <c r="F9" s="1349" t="s">
        <v>469</v>
      </c>
      <c r="G9" s="1350"/>
      <c r="H9" s="1351"/>
      <c r="I9" s="1365">
        <f>IFERROR((+'Bank Capital Calc'!C48),0)</f>
        <v>0.2359089080068773</v>
      </c>
      <c r="J9" s="509" t="s">
        <v>466</v>
      </c>
      <c r="K9" s="1383" t="str">
        <f>IF(I9="",0-J10,(IF((I9-J10)&gt;0,"",I9-J10)))</f>
        <v/>
      </c>
    </row>
    <row r="10" spans="1:11">
      <c r="A10" s="1353"/>
      <c r="B10" s="1357"/>
      <c r="C10" s="1358"/>
      <c r="D10" s="1358"/>
      <c r="E10" s="1359"/>
      <c r="F10" s="1414" t="s">
        <v>467</v>
      </c>
      <c r="G10" s="1415"/>
      <c r="H10" s="1416"/>
      <c r="I10" s="1366"/>
      <c r="J10" s="510">
        <f>+'Calculation of Risk'!G11/100</f>
        <v>0.1</v>
      </c>
      <c r="K10" s="1384"/>
    </row>
    <row r="11" spans="1:11">
      <c r="A11" s="1410">
        <v>1.3</v>
      </c>
      <c r="B11" s="1411" t="s">
        <v>884</v>
      </c>
      <c r="C11" s="1412"/>
      <c r="D11" s="1412"/>
      <c r="E11" s="1413"/>
      <c r="F11" s="1349" t="s">
        <v>885</v>
      </c>
      <c r="G11" s="1350"/>
      <c r="H11" s="1351"/>
      <c r="I11" s="1365">
        <f>IFERROR((+'Bank Capital Calc'!C47),0)</f>
        <v>0.23588772838975017</v>
      </c>
      <c r="J11" s="509" t="s">
        <v>466</v>
      </c>
      <c r="K11" s="1383" t="str">
        <f>IF(I11="",0-J12,(IF((I11-J12)&gt;0,"",I11-J12)))</f>
        <v/>
      </c>
    </row>
    <row r="12" spans="1:11" ht="24.75" customHeight="1">
      <c r="A12" s="1353"/>
      <c r="B12" s="1367"/>
      <c r="C12" s="1368"/>
      <c r="D12" s="1368"/>
      <c r="E12" s="1369"/>
      <c r="F12" s="1370" t="s">
        <v>467</v>
      </c>
      <c r="G12" s="1371"/>
      <c r="H12" s="1372"/>
      <c r="I12" s="1366"/>
      <c r="J12" s="510">
        <f>+'Calculation of Risk'!G10/100</f>
        <v>0.08</v>
      </c>
      <c r="K12" s="1384"/>
    </row>
    <row r="13" spans="1:11">
      <c r="A13" s="1410">
        <v>1.4</v>
      </c>
      <c r="B13" s="1411" t="s">
        <v>470</v>
      </c>
      <c r="C13" s="1412"/>
      <c r="D13" s="1412"/>
      <c r="E13" s="1413"/>
      <c r="F13" s="1360" t="s">
        <v>469</v>
      </c>
      <c r="G13" s="1361"/>
      <c r="H13" s="1362"/>
      <c r="I13" s="1365">
        <f>IFERROR((+'Bank Capital Calc'!C55),0)</f>
        <v>0.23827474722679653</v>
      </c>
      <c r="J13" s="509" t="s">
        <v>466</v>
      </c>
      <c r="K13" s="1383" t="str">
        <f>IF(I13="",0-J14,(IF((I13-J14)&gt;0,"",I13-J14)))</f>
        <v/>
      </c>
    </row>
    <row r="14" spans="1:11" ht="24.75" customHeight="1">
      <c r="A14" s="1353"/>
      <c r="B14" s="1367"/>
      <c r="C14" s="1368"/>
      <c r="D14" s="1368"/>
      <c r="E14" s="1369"/>
      <c r="F14" s="1370" t="s">
        <v>1125</v>
      </c>
      <c r="G14" s="1371"/>
      <c r="H14" s="1372"/>
      <c r="I14" s="1366"/>
      <c r="J14" s="510">
        <v>0.06</v>
      </c>
      <c r="K14" s="1384"/>
    </row>
    <row r="15" spans="1:11" s="39" customFormat="1">
      <c r="A15" s="618">
        <v>2</v>
      </c>
      <c r="B15" s="1409" t="s">
        <v>1114</v>
      </c>
      <c r="C15" s="1381"/>
      <c r="D15" s="1381"/>
      <c r="E15" s="1381"/>
      <c r="F15" s="1381"/>
      <c r="G15" s="1381"/>
      <c r="H15" s="1381"/>
      <c r="I15" s="1381"/>
      <c r="J15" s="1381"/>
      <c r="K15" s="1382"/>
    </row>
    <row r="16" spans="1:11" ht="24" customHeight="1">
      <c r="A16" s="1352" t="s">
        <v>471</v>
      </c>
      <c r="B16" s="1398" t="s">
        <v>472</v>
      </c>
      <c r="C16" s="1399"/>
      <c r="D16" s="1399"/>
      <c r="E16" s="1400"/>
      <c r="F16" s="1404" t="s">
        <v>473</v>
      </c>
      <c r="G16" s="1405"/>
      <c r="H16" s="1406"/>
      <c r="I16" s="1407">
        <f>IFERROR((+'Liquidity Analysis'!C32),0)</f>
        <v>0.61193935167306135</v>
      </c>
      <c r="J16" s="512" t="s">
        <v>466</v>
      </c>
      <c r="K16" s="1383" t="str">
        <f>IF(I16="",0-J17,(IF((I16-J17)&gt;0,"",I16-J17)))</f>
        <v/>
      </c>
    </row>
    <row r="17" spans="1:11" s="21" customFormat="1">
      <c r="A17" s="1353"/>
      <c r="B17" s="1401"/>
      <c r="C17" s="1402"/>
      <c r="D17" s="1402"/>
      <c r="E17" s="1403"/>
      <c r="F17" s="741" t="s">
        <v>474</v>
      </c>
      <c r="G17" s="741"/>
      <c r="H17" s="742"/>
      <c r="I17" s="1408"/>
      <c r="J17" s="513">
        <v>0.3</v>
      </c>
      <c r="K17" s="1384"/>
    </row>
    <row r="18" spans="1:11" s="21" customFormat="1" ht="15.75" customHeight="1">
      <c r="A18" s="1424" t="s">
        <v>125</v>
      </c>
      <c r="B18" s="1398" t="s">
        <v>114</v>
      </c>
      <c r="C18" s="1435"/>
      <c r="D18" s="1435"/>
      <c r="E18" s="1069" t="s">
        <v>279</v>
      </c>
      <c r="F18" s="1440" t="s">
        <v>115</v>
      </c>
      <c r="G18" s="1441"/>
      <c r="H18" s="1442"/>
      <c r="I18" s="1040">
        <f>IFERROR((+'Liquidity Analysis'!C38),0)</f>
        <v>0.90549095165868254</v>
      </c>
      <c r="J18" s="1456" t="s">
        <v>466</v>
      </c>
      <c r="K18" s="1041">
        <f>IF(I18="",0-$J$20,(IF((I18-$J$20)&gt;0,"",I18-$J$20)))</f>
        <v>-9.4509048341317459E-2</v>
      </c>
    </row>
    <row r="19" spans="1:11" s="21" customFormat="1" ht="15.75" customHeight="1">
      <c r="A19" s="1425"/>
      <c r="B19" s="1436"/>
      <c r="C19" s="1437"/>
      <c r="D19" s="1437"/>
      <c r="E19" s="1070" t="s">
        <v>532</v>
      </c>
      <c r="F19" s="1443"/>
      <c r="G19" s="1444"/>
      <c r="H19" s="1445"/>
      <c r="I19" s="1040">
        <f>IFERROR((+'Liquidity Analysis'!D38),0)</f>
        <v>1.1919820119520914</v>
      </c>
      <c r="J19" s="1457"/>
      <c r="K19" s="1041" t="str">
        <f>IF(I19="",0-$J$20,(IF((I19-$J$20)&gt;0,"",I19-$J$20)))</f>
        <v/>
      </c>
    </row>
    <row r="20" spans="1:11" s="21" customFormat="1" ht="15.75" customHeight="1">
      <c r="A20" s="1426"/>
      <c r="B20" s="1438"/>
      <c r="C20" s="1439"/>
      <c r="D20" s="1439"/>
      <c r="E20" s="1070" t="s">
        <v>332</v>
      </c>
      <c r="F20" s="1427" t="s">
        <v>116</v>
      </c>
      <c r="G20" s="1427"/>
      <c r="H20" s="1427"/>
      <c r="I20" s="1040">
        <f>IFERROR((+'Liquidity Analysis'!E38),0)</f>
        <v>0.74878076539840466</v>
      </c>
      <c r="J20" s="515">
        <f>+'Calculation of Risk'!G12/100</f>
        <v>1</v>
      </c>
      <c r="K20" s="1041">
        <f>IF(I20="",0-$J$20,(IF((I20-$J$20)&gt;0,"",I20-$J$20)))</f>
        <v>-0.25121923460159534</v>
      </c>
    </row>
    <row r="21" spans="1:11" s="21" customFormat="1" ht="15" customHeight="1">
      <c r="A21" s="1424" t="s">
        <v>126</v>
      </c>
      <c r="B21" s="1398" t="s">
        <v>119</v>
      </c>
      <c r="C21" s="1435"/>
      <c r="D21" s="1435"/>
      <c r="E21" s="1069" t="s">
        <v>279</v>
      </c>
      <c r="F21" s="1450" t="s">
        <v>118</v>
      </c>
      <c r="G21" s="1451"/>
      <c r="H21" s="1452"/>
      <c r="I21" s="1040">
        <f>IFERROR((+'Liquidity Analysis'!C41),0)</f>
        <v>1.0220018307122698</v>
      </c>
      <c r="J21" s="1456" t="s">
        <v>466</v>
      </c>
      <c r="K21" s="1041" t="str">
        <f>IF(I21="",0-$J$23,(IF((I21-$J$23)&gt;0,"",I21-$J$23)))</f>
        <v/>
      </c>
    </row>
    <row r="22" spans="1:11" s="21" customFormat="1" ht="15" customHeight="1">
      <c r="A22" s="1425"/>
      <c r="B22" s="1436"/>
      <c r="C22" s="1437"/>
      <c r="D22" s="1437"/>
      <c r="E22" s="1070" t="s">
        <v>532</v>
      </c>
      <c r="F22" s="1453"/>
      <c r="G22" s="1454"/>
      <c r="H22" s="1455"/>
      <c r="I22" s="1040">
        <f>IFERROR((+'Liquidity Analysis'!D41),0)</f>
        <v>1.245471820661961</v>
      </c>
      <c r="J22" s="1457"/>
      <c r="K22" s="1041" t="str">
        <f>IF(I22="",0-$J$23,(IF((I22-$J$23)&gt;0,"",I22-$J$23)))</f>
        <v/>
      </c>
    </row>
    <row r="23" spans="1:11" s="21" customFormat="1" ht="15" customHeight="1">
      <c r="A23" s="1426"/>
      <c r="B23" s="1438"/>
      <c r="C23" s="1439"/>
      <c r="D23" s="1439"/>
      <c r="E23" s="1070" t="s">
        <v>332</v>
      </c>
      <c r="F23" s="1449" t="s">
        <v>117</v>
      </c>
      <c r="G23" s="1449"/>
      <c r="H23" s="1449"/>
      <c r="I23" s="1040">
        <f>IFERROR((+'Liquidity Analysis'!E41),0)</f>
        <v>0.64141029132523275</v>
      </c>
      <c r="J23" s="512">
        <f>+'Calculation of Risk'!G13/100</f>
        <v>1</v>
      </c>
      <c r="K23" s="1041">
        <f>IF(I23="",0-$J$23,(IF((I23-$J$23)&gt;0,"",I23-$J$23)))</f>
        <v>-0.35858970867476725</v>
      </c>
    </row>
    <row r="24" spans="1:11" s="39" customFormat="1">
      <c r="A24" s="618">
        <v>3</v>
      </c>
      <c r="B24" s="1446" t="s">
        <v>475</v>
      </c>
      <c r="C24" s="1447"/>
      <c r="D24" s="1447"/>
      <c r="E24" s="1447"/>
      <c r="F24" s="1447"/>
      <c r="G24" s="1447"/>
      <c r="H24" s="1447"/>
      <c r="I24" s="1447"/>
      <c r="J24" s="1447"/>
      <c r="K24" s="1448"/>
    </row>
    <row r="25" spans="1:11" ht="24">
      <c r="A25" s="1352" t="s">
        <v>476</v>
      </c>
      <c r="B25" s="1385" t="s">
        <v>886</v>
      </c>
      <c r="C25" s="1386"/>
      <c r="D25" s="1386"/>
      <c r="E25" s="1387"/>
      <c r="F25" s="735" t="s">
        <v>886</v>
      </c>
      <c r="G25" s="736"/>
      <c r="H25" s="737"/>
      <c r="I25" s="1391">
        <f>IFERROR((+' Largest risk'!G68/'Bank Capital Calc'!C32),0)</f>
        <v>0.24958793196372489</v>
      </c>
      <c r="J25" s="514" t="s">
        <v>477</v>
      </c>
      <c r="K25" s="1393" t="str">
        <f>IF(I25="","",IF(I25&lt;0,"ОТР",IF((I25-J26)&lt;0,"",I25-J26)))</f>
        <v/>
      </c>
    </row>
    <row r="26" spans="1:11">
      <c r="A26" s="1353"/>
      <c r="B26" s="1388"/>
      <c r="C26" s="1389"/>
      <c r="D26" s="1389"/>
      <c r="E26" s="1390"/>
      <c r="F26" s="1395" t="s">
        <v>469</v>
      </c>
      <c r="G26" s="1396"/>
      <c r="H26" s="1397"/>
      <c r="I26" s="1392"/>
      <c r="J26" s="515">
        <v>0.25</v>
      </c>
      <c r="K26" s="1394"/>
    </row>
    <row r="27" spans="1:11" ht="24">
      <c r="A27" s="1352" t="s">
        <v>478</v>
      </c>
      <c r="B27" s="1385" t="s">
        <v>887</v>
      </c>
      <c r="C27" s="1386"/>
      <c r="D27" s="1386"/>
      <c r="E27" s="1387"/>
      <c r="F27" s="735" t="s">
        <v>887</v>
      </c>
      <c r="G27" s="736"/>
      <c r="H27" s="737"/>
      <c r="I27" s="1391"/>
      <c r="J27" s="514" t="s">
        <v>477</v>
      </c>
      <c r="K27" s="1383" t="str">
        <f>IF(I27&lt;0,"ОТР",IF((I27-J28)&lt;0,"",I27-J28))</f>
        <v/>
      </c>
    </row>
    <row r="28" spans="1:11">
      <c r="A28" s="1353"/>
      <c r="B28" s="1431"/>
      <c r="C28" s="1432"/>
      <c r="D28" s="1432"/>
      <c r="E28" s="1433"/>
      <c r="F28" s="1395" t="s">
        <v>469</v>
      </c>
      <c r="G28" s="1396"/>
      <c r="H28" s="1397"/>
      <c r="I28" s="1392"/>
      <c r="J28" s="515">
        <v>0.05</v>
      </c>
      <c r="K28" s="1384"/>
    </row>
    <row r="29" spans="1:11" ht="14.25" customHeight="1">
      <c r="A29" s="1410">
        <v>3.3</v>
      </c>
      <c r="B29" s="1428" t="s">
        <v>888</v>
      </c>
      <c r="C29" s="1429"/>
      <c r="D29" s="1429"/>
      <c r="E29" s="1430"/>
      <c r="F29" s="738" t="s">
        <v>889</v>
      </c>
      <c r="G29" s="739"/>
      <c r="H29" s="740"/>
      <c r="I29" s="1365">
        <f>IFERROR((+' Largest risk'!G67/'Bank Capital Calc'!C32),0)</f>
        <v>0.42439624374743912</v>
      </c>
      <c r="J29" s="512" t="s">
        <v>477</v>
      </c>
      <c r="K29" s="1383" t="str">
        <f>IF(I29="","",IF(I29&lt;0,"ОТР",IF((I29-J30)&lt;0,"",I29-J30)))</f>
        <v/>
      </c>
    </row>
    <row r="30" spans="1:11">
      <c r="A30" s="1353"/>
      <c r="B30" s="1431"/>
      <c r="C30" s="1432"/>
      <c r="D30" s="1432"/>
      <c r="E30" s="1433"/>
      <c r="F30" s="1395" t="s">
        <v>469</v>
      </c>
      <c r="G30" s="1396"/>
      <c r="H30" s="1397"/>
      <c r="I30" s="1434"/>
      <c r="J30" s="512">
        <v>8</v>
      </c>
      <c r="K30" s="1384"/>
    </row>
    <row r="31" spans="1:11" s="39" customFormat="1">
      <c r="A31" s="618">
        <v>4</v>
      </c>
      <c r="B31" s="1380" t="s">
        <v>479</v>
      </c>
      <c r="C31" s="1381"/>
      <c r="D31" s="1381"/>
      <c r="E31" s="1381"/>
      <c r="F31" s="1381"/>
      <c r="G31" s="1381"/>
      <c r="H31" s="1381"/>
      <c r="I31" s="1381"/>
      <c r="J31" s="1381"/>
      <c r="K31" s="1382"/>
    </row>
    <row r="32" spans="1:11">
      <c r="A32" s="1352" t="s">
        <v>480</v>
      </c>
      <c r="B32" s="1417" t="s">
        <v>481</v>
      </c>
      <c r="C32" s="1418"/>
      <c r="D32" s="1418"/>
      <c r="E32" s="1419"/>
      <c r="F32" s="732" t="s">
        <v>482</v>
      </c>
      <c r="G32" s="733"/>
      <c r="H32" s="734"/>
      <c r="I32" s="1391"/>
      <c r="J32" s="509" t="s">
        <v>477</v>
      </c>
      <c r="K32" s="1383" t="str">
        <f>IF(I32&lt;0,"ОТР",IF((I32-J33)&lt;0,"",I32-J33))</f>
        <v/>
      </c>
    </row>
    <row r="33" spans="1:11">
      <c r="A33" s="1353"/>
      <c r="B33" s="1420"/>
      <c r="C33" s="1420"/>
      <c r="D33" s="1420"/>
      <c r="E33" s="1421"/>
      <c r="F33" s="1360" t="s">
        <v>469</v>
      </c>
      <c r="G33" s="1361"/>
      <c r="H33" s="1362"/>
      <c r="I33" s="1392"/>
      <c r="J33" s="516">
        <v>0.15</v>
      </c>
      <c r="K33" s="1384"/>
    </row>
    <row r="34" spans="1:11" ht="24.75" customHeight="1">
      <c r="A34" s="1352">
        <v>4.2</v>
      </c>
      <c r="B34" s="1417" t="s">
        <v>483</v>
      </c>
      <c r="C34" s="1418"/>
      <c r="D34" s="1418"/>
      <c r="E34" s="1419"/>
      <c r="F34" s="1370" t="s">
        <v>484</v>
      </c>
      <c r="G34" s="1422"/>
      <c r="H34" s="1423"/>
      <c r="I34" s="1407">
        <f>IFERROR((+('Investment Securities'!B28-'Investment Securities'!B19-'Investment Securities'!B20-'Investment Securities'!B21)/'Bank Capital Calc'!C32),0)</f>
        <v>0</v>
      </c>
      <c r="J34" s="509" t="s">
        <v>477</v>
      </c>
      <c r="K34" s="1383" t="str">
        <f>IF(I34="","",IF(I34&lt;0,"ОТР",IF((I34-J35)&lt;0,"",I34-J35)))</f>
        <v/>
      </c>
    </row>
    <row r="35" spans="1:11">
      <c r="A35" s="1353"/>
      <c r="B35" s="1420"/>
      <c r="C35" s="1420"/>
      <c r="D35" s="1420"/>
      <c r="E35" s="1421"/>
      <c r="F35" s="1360" t="s">
        <v>469</v>
      </c>
      <c r="G35" s="1361"/>
      <c r="H35" s="1362"/>
      <c r="I35" s="1408"/>
      <c r="J35" s="516">
        <v>0.25</v>
      </c>
      <c r="K35" s="1384"/>
    </row>
    <row r="36" spans="1:11" ht="36" customHeight="1">
      <c r="A36" s="1410">
        <v>4.3</v>
      </c>
      <c r="B36" s="1417" t="s">
        <v>485</v>
      </c>
      <c r="C36" s="1418"/>
      <c r="D36" s="1418"/>
      <c r="E36" s="1419"/>
      <c r="F36" s="1370" t="s">
        <v>486</v>
      </c>
      <c r="G36" s="1422"/>
      <c r="H36" s="1423"/>
      <c r="I36" s="1365">
        <f>IFERROR((+('Investment Securities'!B15-'Investment Securities'!B6-'Investment Securities'!B7-'Investment Securities'!B8+'Investment Securities'!B28-'Investment Securities'!B19-'Investment Securities'!B20-'Investment Securities'!B21)/'Bank Capital Calc'!C32),0)</f>
        <v>4.153449186483766E-3</v>
      </c>
      <c r="J36" s="517" t="s">
        <v>477</v>
      </c>
      <c r="K36" s="1383" t="str">
        <f>IF(I36="","",IF(I36&lt;0,"ОТР",IF((I36-J37)&lt;0,"",I36-J37)))</f>
        <v/>
      </c>
    </row>
    <row r="37" spans="1:11">
      <c r="A37" s="1353"/>
      <c r="B37" s="1420"/>
      <c r="C37" s="1420"/>
      <c r="D37" s="1420"/>
      <c r="E37" s="1421"/>
      <c r="F37" s="1349" t="s">
        <v>469</v>
      </c>
      <c r="G37" s="1350"/>
      <c r="H37" s="1351"/>
      <c r="I37" s="1434"/>
      <c r="J37" s="517">
        <v>0.5</v>
      </c>
      <c r="K37" s="1384"/>
    </row>
    <row r="38" spans="1:11" s="39" customFormat="1">
      <c r="A38" s="618">
        <v>5</v>
      </c>
      <c r="B38" s="1463" t="s">
        <v>487</v>
      </c>
      <c r="C38" s="1464"/>
      <c r="D38" s="1464"/>
      <c r="E38" s="1464"/>
      <c r="F38" s="1464"/>
      <c r="G38" s="1464"/>
      <c r="H38" s="1464"/>
      <c r="I38" s="1464"/>
      <c r="J38" s="1464"/>
      <c r="K38" s="1465"/>
    </row>
    <row r="39" spans="1:11" ht="23.25" customHeight="1">
      <c r="A39" s="1352" t="s">
        <v>488</v>
      </c>
      <c r="B39" s="1411" t="s">
        <v>1129</v>
      </c>
      <c r="C39" s="1418"/>
      <c r="D39" s="1418"/>
      <c r="E39" s="1419"/>
      <c r="F39" s="1370" t="s">
        <v>891</v>
      </c>
      <c r="G39" s="1371"/>
      <c r="H39" s="1372"/>
      <c r="I39" s="1391">
        <f>IFERROR((+'Loans to Affiliated P.'!G40/'Bank Capital Calc'!C32),0)</f>
        <v>2.4232988813782766E-4</v>
      </c>
      <c r="J39" s="509" t="s">
        <v>477</v>
      </c>
      <c r="K39" s="1383" t="str">
        <f>IF(I39="","",IF(I39&lt;0,"ОТР",IF((I39-J40)&lt;0,"",I39-J40)))</f>
        <v/>
      </c>
    </row>
    <row r="40" spans="1:11">
      <c r="A40" s="1353"/>
      <c r="B40" s="1466"/>
      <c r="C40" s="1420"/>
      <c r="D40" s="1420"/>
      <c r="E40" s="1421"/>
      <c r="F40" s="1360" t="s">
        <v>469</v>
      </c>
      <c r="G40" s="1361"/>
      <c r="H40" s="1362"/>
      <c r="I40" s="1392"/>
      <c r="J40" s="516">
        <v>0.25</v>
      </c>
      <c r="K40" s="1384"/>
    </row>
    <row r="41" spans="1:11" ht="23.25" customHeight="1">
      <c r="A41" s="1410">
        <v>5.2</v>
      </c>
      <c r="B41" s="1458" t="s">
        <v>890</v>
      </c>
      <c r="C41" s="1459"/>
      <c r="D41" s="1459"/>
      <c r="E41" s="1459"/>
      <c r="F41" s="1460" t="s">
        <v>892</v>
      </c>
      <c r="G41" s="1461"/>
      <c r="H41" s="1462"/>
      <c r="I41" s="1365">
        <f>IFERROR((+'Loans to Affiliated P.'!G39/'Bank Capital Calc'!C32),0)</f>
        <v>7.1212400303492427E-4</v>
      </c>
      <c r="J41" s="517" t="s">
        <v>477</v>
      </c>
      <c r="K41" s="1383" t="str">
        <f>IF(I41="","",IF(I41&lt;0,"ОТР",IF((I41-J42)&lt;0,"",I41-J42)))</f>
        <v/>
      </c>
    </row>
    <row r="42" spans="1:11">
      <c r="A42" s="1353"/>
      <c r="B42" s="1459"/>
      <c r="C42" s="1459"/>
      <c r="D42" s="1459"/>
      <c r="E42" s="1459"/>
      <c r="F42" s="1360" t="s">
        <v>469</v>
      </c>
      <c r="G42" s="1361"/>
      <c r="H42" s="1362"/>
      <c r="I42" s="1434"/>
      <c r="J42" s="516">
        <v>1</v>
      </c>
      <c r="K42" s="1384"/>
    </row>
    <row r="44" spans="1:11">
      <c r="D44" s="8" t="s">
        <v>4</v>
      </c>
    </row>
    <row r="45" spans="1:11">
      <c r="D45" s="8"/>
    </row>
    <row r="46" spans="1:11">
      <c r="D46" s="8" t="s">
        <v>5</v>
      </c>
    </row>
  </sheetData>
  <sheetProtection password="CA76" sheet="1" objects="1" scenarios="1"/>
  <mergeCells count="101"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A36:A37"/>
    <mergeCell ref="B36:E37"/>
    <mergeCell ref="F39:H39"/>
    <mergeCell ref="I39:I40"/>
    <mergeCell ref="F40:H40"/>
    <mergeCell ref="B27:E28"/>
    <mergeCell ref="I27:I28"/>
    <mergeCell ref="B21:D23"/>
    <mergeCell ref="B31:E31"/>
    <mergeCell ref="F31:K31"/>
    <mergeCell ref="B32:E33"/>
    <mergeCell ref="I32:I33"/>
    <mergeCell ref="K34:K35"/>
    <mergeCell ref="F35:H35"/>
    <mergeCell ref="K32:K33"/>
    <mergeCell ref="F33:H33"/>
    <mergeCell ref="F30:H30"/>
    <mergeCell ref="K27:K28"/>
    <mergeCell ref="F28:H28"/>
    <mergeCell ref="A32:A33"/>
    <mergeCell ref="A34:A35"/>
    <mergeCell ref="B34:E35"/>
    <mergeCell ref="K36:K37"/>
    <mergeCell ref="F37:H37"/>
    <mergeCell ref="F36:H36"/>
    <mergeCell ref="I34:I35"/>
    <mergeCell ref="F34:H34"/>
    <mergeCell ref="A18:A20"/>
    <mergeCell ref="F20:H20"/>
    <mergeCell ref="B29:E30"/>
    <mergeCell ref="I29:I30"/>
    <mergeCell ref="K29:K30"/>
    <mergeCell ref="B18:D20"/>
    <mergeCell ref="F18:H19"/>
    <mergeCell ref="A27:A28"/>
    <mergeCell ref="B24:E24"/>
    <mergeCell ref="F24:K24"/>
    <mergeCell ref="F23:H23"/>
    <mergeCell ref="F21:H22"/>
    <mergeCell ref="J18:J19"/>
    <mergeCell ref="J21:J22"/>
    <mergeCell ref="A21:A23"/>
    <mergeCell ref="A29:A30"/>
    <mergeCell ref="A25:A26"/>
    <mergeCell ref="B25:E26"/>
    <mergeCell ref="I25:I26"/>
    <mergeCell ref="K25:K26"/>
    <mergeCell ref="F26:H26"/>
    <mergeCell ref="I13:I14"/>
    <mergeCell ref="K9:K10"/>
    <mergeCell ref="K13:K14"/>
    <mergeCell ref="F14:H14"/>
    <mergeCell ref="I11:I12"/>
    <mergeCell ref="K11:K12"/>
    <mergeCell ref="F12:H12"/>
    <mergeCell ref="A16:A17"/>
    <mergeCell ref="B16:E17"/>
    <mergeCell ref="F16:H16"/>
    <mergeCell ref="K16:K17"/>
    <mergeCell ref="I16:I17"/>
    <mergeCell ref="B15:E15"/>
    <mergeCell ref="F15:K15"/>
    <mergeCell ref="A13:A14"/>
    <mergeCell ref="B13:E14"/>
    <mergeCell ref="F10:H10"/>
    <mergeCell ref="A11:A12"/>
    <mergeCell ref="B11:E12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11:H11"/>
    <mergeCell ref="A9:A10"/>
    <mergeCell ref="B9:E10"/>
    <mergeCell ref="F13:H13"/>
    <mergeCell ref="B2:D2"/>
    <mergeCell ref="A4:A5"/>
    <mergeCell ref="F9:H9"/>
    <mergeCell ref="I9:I10"/>
    <mergeCell ref="F4:H4"/>
    <mergeCell ref="B5:E5"/>
    <mergeCell ref="F5:H5"/>
    <mergeCell ref="A7:A8"/>
    <mergeCell ref="B7:E8"/>
    <mergeCell ref="F7:H7"/>
  </mergeCells>
  <phoneticPr fontId="18" type="noConversion"/>
  <dataValidations xWindow="800" yWindow="714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6 I16:I23 I29:I30 I39:I42 I7:I14" xr:uid="{00000000-0002-0000-1C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5 I27:I28" xr:uid="{00000000-0002-0000-1C00-000001000000}"/>
  </dataValidations>
  <printOptions horizontalCentered="1" verticalCentered="1"/>
  <pageMargins left="0.16" right="0.18" top="0.22" bottom="0.15" header="0.51181102362204722" footer="0.51181102362204722"/>
  <pageSetup paperSize="9" scale="74" orientation="landscape" r:id="rId1"/>
  <headerFooter alignWithMargins="0"/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21">
    <pageSetUpPr fitToPage="1"/>
  </sheetPr>
  <dimension ref="A1:C30"/>
  <sheetViews>
    <sheetView view="pageBreakPreview" zoomScale="85" zoomScaleSheetLayoutView="85" workbookViewId="0">
      <selection activeCell="B4" sqref="B4"/>
    </sheetView>
  </sheetViews>
  <sheetFormatPr defaultRowHeight="12.75"/>
  <cols>
    <col min="1" max="1" width="7.28515625" style="1" customWidth="1"/>
    <col min="2" max="2" width="82.7109375" style="34" customWidth="1"/>
    <col min="3" max="3" width="23.28515625" style="1" customWidth="1"/>
    <col min="4" max="16384" width="9.140625" style="1"/>
  </cols>
  <sheetData>
    <row r="1" spans="1:3" s="31" customFormat="1" ht="39.75" customHeight="1">
      <c r="B1" s="140" t="s">
        <v>489</v>
      </c>
      <c r="C1" s="141" t="s">
        <v>1105</v>
      </c>
    </row>
    <row r="2" spans="1:3" s="31" customFormat="1" ht="21.75" customHeight="1">
      <c r="A2" s="811"/>
      <c r="B2" s="812" t="str">
        <f>Balance!B3</f>
        <v>АКБ "Микрокредитбанк"</v>
      </c>
      <c r="C2" s="813" t="str">
        <f>+Balance!B2</f>
        <v xml:space="preserve"> 30 Декабрь, 2019</v>
      </c>
    </row>
    <row r="3" spans="1:3" s="31" customFormat="1" ht="32.25" customHeight="1">
      <c r="A3" s="125" t="s">
        <v>866</v>
      </c>
      <c r="B3" s="158" t="s">
        <v>881</v>
      </c>
      <c r="C3" s="152" t="s">
        <v>17</v>
      </c>
    </row>
    <row r="4" spans="1:3" s="31" customFormat="1" ht="42.75" customHeight="1">
      <c r="A4" s="125" t="s">
        <v>732</v>
      </c>
      <c r="B4" s="158" t="s">
        <v>882</v>
      </c>
      <c r="C4" s="153" t="s">
        <v>351</v>
      </c>
    </row>
    <row r="5" spans="1:3" s="31" customFormat="1" ht="32.25" customHeight="1">
      <c r="A5" s="125" t="s">
        <v>733</v>
      </c>
      <c r="B5" s="158" t="s">
        <v>883</v>
      </c>
      <c r="C5" s="152" t="s">
        <v>17</v>
      </c>
    </row>
    <row r="6" spans="1:3" s="31" customFormat="1" ht="32.25" customHeight="1">
      <c r="A6" s="125" t="s">
        <v>734</v>
      </c>
      <c r="B6" s="158" t="s">
        <v>868</v>
      </c>
      <c r="C6" s="152" t="s">
        <v>351</v>
      </c>
    </row>
    <row r="7" spans="1:3" s="31" customFormat="1" ht="32.25" customHeight="1">
      <c r="A7" s="125" t="s">
        <v>735</v>
      </c>
      <c r="B7" s="158" t="s">
        <v>880</v>
      </c>
      <c r="C7" s="155"/>
    </row>
    <row r="8" spans="1:3" s="156" customFormat="1" ht="30" customHeight="1">
      <c r="A8" s="154" t="s">
        <v>143</v>
      </c>
      <c r="B8" s="160" t="s">
        <v>869</v>
      </c>
      <c r="C8" s="155">
        <v>3004</v>
      </c>
    </row>
    <row r="9" spans="1:3" s="156" customFormat="1" ht="30" customHeight="1">
      <c r="A9" s="154" t="s">
        <v>139</v>
      </c>
      <c r="B9" s="160" t="s">
        <v>870</v>
      </c>
      <c r="C9" s="155">
        <v>1</v>
      </c>
    </row>
    <row r="10" spans="1:3" s="31" customFormat="1" ht="32.25" customHeight="1">
      <c r="A10" s="125" t="s">
        <v>790</v>
      </c>
      <c r="B10" s="158" t="s">
        <v>878</v>
      </c>
      <c r="C10" s="152" t="s">
        <v>1307</v>
      </c>
    </row>
    <row r="11" spans="1:3" s="31" customFormat="1">
      <c r="A11" s="125"/>
      <c r="B11" s="159" t="s">
        <v>879</v>
      </c>
      <c r="C11" s="153"/>
    </row>
    <row r="12" spans="1:3" s="156" customFormat="1" ht="30" customHeight="1">
      <c r="A12" s="154" t="s">
        <v>143</v>
      </c>
      <c r="B12" s="160" t="s">
        <v>872</v>
      </c>
      <c r="C12" s="155">
        <v>71</v>
      </c>
    </row>
    <row r="13" spans="1:3" s="156" customFormat="1" ht="30" customHeight="1">
      <c r="A13" s="154" t="s">
        <v>139</v>
      </c>
      <c r="B13" s="160" t="s">
        <v>873</v>
      </c>
      <c r="C13" s="155">
        <v>66</v>
      </c>
    </row>
    <row r="14" spans="1:3" s="156" customFormat="1" ht="30" customHeight="1">
      <c r="A14" s="154" t="s">
        <v>141</v>
      </c>
      <c r="B14" s="160" t="s">
        <v>1132</v>
      </c>
      <c r="C14" s="155">
        <v>44</v>
      </c>
    </row>
    <row r="15" spans="1:3" s="31" customFormat="1" ht="30" customHeight="1">
      <c r="A15" s="125" t="s">
        <v>867</v>
      </c>
      <c r="B15" s="159" t="s">
        <v>874</v>
      </c>
      <c r="C15" s="153">
        <f>+C17+C18+C19+C20+C22</f>
        <v>1263754</v>
      </c>
    </row>
    <row r="16" spans="1:3" s="31" customFormat="1">
      <c r="A16" s="125"/>
      <c r="B16" s="159" t="s">
        <v>879</v>
      </c>
      <c r="C16" s="153"/>
    </row>
    <row r="17" spans="1:3" s="156" customFormat="1" ht="30" customHeight="1">
      <c r="A17" s="154" t="s">
        <v>143</v>
      </c>
      <c r="B17" s="160" t="s">
        <v>291</v>
      </c>
      <c r="C17" s="155">
        <v>6799</v>
      </c>
    </row>
    <row r="18" spans="1:3" s="156" customFormat="1" ht="30" customHeight="1">
      <c r="A18" s="154" t="s">
        <v>139</v>
      </c>
      <c r="B18" s="160" t="s">
        <v>292</v>
      </c>
      <c r="C18" s="155">
        <v>131</v>
      </c>
    </row>
    <row r="19" spans="1:3" s="156" customFormat="1" ht="30" customHeight="1">
      <c r="A19" s="154" t="s">
        <v>141</v>
      </c>
      <c r="B19" s="160" t="s">
        <v>294</v>
      </c>
      <c r="C19" s="155">
        <v>101432</v>
      </c>
    </row>
    <row r="20" spans="1:3" s="156" customFormat="1" ht="30" customHeight="1">
      <c r="A20" s="154" t="s">
        <v>150</v>
      </c>
      <c r="B20" s="160" t="s">
        <v>295</v>
      </c>
      <c r="C20" s="155">
        <v>4002</v>
      </c>
    </row>
    <row r="21" spans="1:3" s="156" customFormat="1" ht="30" customHeight="1">
      <c r="A21" s="154" t="s">
        <v>17</v>
      </c>
      <c r="B21" s="160" t="s">
        <v>290</v>
      </c>
      <c r="C21" s="155">
        <v>0</v>
      </c>
    </row>
    <row r="22" spans="1:3" s="156" customFormat="1" ht="30" customHeight="1">
      <c r="A22" s="154" t="s">
        <v>871</v>
      </c>
      <c r="B22" s="160" t="s">
        <v>299</v>
      </c>
      <c r="C22" s="155">
        <v>1151390</v>
      </c>
    </row>
    <row r="23" spans="1:3" s="31" customFormat="1" ht="51" customHeight="1">
      <c r="A23" s="125" t="s">
        <v>596</v>
      </c>
      <c r="B23" s="157" t="s">
        <v>875</v>
      </c>
      <c r="C23" s="1004"/>
    </row>
    <row r="24" spans="1:3" s="156" customFormat="1" ht="51" customHeight="1">
      <c r="A24" s="154" t="s">
        <v>143</v>
      </c>
      <c r="B24" s="160" t="s">
        <v>876</v>
      </c>
      <c r="C24" s="1005" t="s">
        <v>1308</v>
      </c>
    </row>
    <row r="25" spans="1:3" s="156" customFormat="1" ht="51" customHeight="1">
      <c r="A25" s="154" t="s">
        <v>139</v>
      </c>
      <c r="B25" s="160" t="s">
        <v>877</v>
      </c>
      <c r="C25" s="1005" t="s">
        <v>1309</v>
      </c>
    </row>
    <row r="26" spans="1:3" s="31" customFormat="1" ht="12" customHeight="1">
      <c r="B26" s="93"/>
    </row>
    <row r="27" spans="1:3" s="31" customFormat="1">
      <c r="B27" s="93"/>
    </row>
    <row r="28" spans="1:3">
      <c r="A28" s="31"/>
      <c r="B28" s="8" t="s">
        <v>4</v>
      </c>
    </row>
    <row r="29" spans="1:3">
      <c r="A29" s="31"/>
      <c r="B29" s="8"/>
    </row>
    <row r="30" spans="1:3">
      <c r="A30" s="31"/>
      <c r="B30" s="8" t="s">
        <v>5</v>
      </c>
    </row>
  </sheetData>
  <sheetProtection password="CA76" sheet="1" objects="1" scenarios="1"/>
  <phoneticPr fontId="18" type="noConversion"/>
  <dataValidations count="2">
    <dataValidation type="whole" operator="greaterThanOrEqual" allowBlank="1" showErrorMessage="1" error="Введите как целое положительное число." sqref="C12 C8:C9" xr:uid="{00000000-0002-0000-1D00-000000000000}">
      <formula1>0</formula1>
    </dataValidation>
    <dataValidation type="textLength" operator="equal" allowBlank="1" showInputMessage="1" showErrorMessage="1" prompt="Если &quot;Да&quot;,  введите Д._x000a_Если &quot;Нет&quot;, введите Н." sqref="C3:C6" xr:uid="{00000000-0002-0000-1D00-000001000000}">
      <formula1>1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31</vt:i4>
      </vt:variant>
    </vt:vector>
  </HeadingPairs>
  <TitlesOfParts>
    <vt:vector size="61" baseType="lpstr">
      <vt:lpstr>Balance</vt:lpstr>
      <vt:lpstr>Asset quality</vt:lpstr>
      <vt:lpstr>Income </vt:lpstr>
      <vt:lpstr>Analysis of Interest</vt:lpstr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Changes in Equity</vt:lpstr>
      <vt:lpstr>Loans Receivable</vt:lpstr>
      <vt:lpstr>Aging Analysis</vt:lpstr>
      <vt:lpstr>Asset Classification</vt:lpstr>
      <vt:lpstr>Loans to Affiliated P.</vt:lpstr>
      <vt:lpstr> Largest risk</vt:lpstr>
      <vt:lpstr>Charge-offs and Recoveries</vt:lpstr>
      <vt:lpstr>Deposits by Client</vt:lpstr>
      <vt:lpstr>Investment Securities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loans_av rate</vt:lpstr>
      <vt:lpstr>loans type</vt:lpstr>
      <vt:lpstr>Deposits_av rate</vt:lpstr>
      <vt:lpstr>Economic Normatives</vt:lpstr>
      <vt:lpstr>Miscellaneous</vt:lpstr>
      <vt:lpstr>Balance!OLE_LINK19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Balance!Область_печати</vt:lpstr>
      <vt:lpstr>'Bank Assets Analysis'!Область_печати</vt:lpstr>
      <vt:lpstr>'Bank Assets Analysis (нац)'!Область_печати</vt:lpstr>
      <vt:lpstr>'Bank Capital Calc'!Область_печати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  <vt:lpstr>'Changes in Equity'!Область_печати</vt:lpstr>
      <vt:lpstr>'Charge-offs and Recoveries'!Область_печати</vt:lpstr>
      <vt:lpstr>Commitments!Область_печати</vt:lpstr>
      <vt:lpstr>'Deposits by Client'!Область_печати</vt:lpstr>
      <vt:lpstr>'Deposits_av rate'!Область_печати</vt:lpstr>
      <vt:lpstr>'Economic Normatives'!Область_печати</vt:lpstr>
      <vt:lpstr>'Income '!Область_печати</vt:lpstr>
      <vt:lpstr>'Investment Securities'!Область_печати</vt:lpstr>
      <vt:lpstr>'Liquidity Analysis'!Область_печати</vt:lpstr>
      <vt:lpstr>'Loans Receivable'!Область_печати</vt:lpstr>
      <vt:lpstr>'Loans to Affiliated P.'!Область_печати</vt:lpstr>
      <vt:lpstr>'loans type'!Область_печати</vt:lpstr>
      <vt:lpstr>'loans_av rate'!Область_печати</vt:lpstr>
      <vt:lpstr>Miscellaneous!Область_печати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Пользователь</cp:lastModifiedBy>
  <cp:lastPrinted>2020-01-29T09:29:32Z</cp:lastPrinted>
  <dcterms:created xsi:type="dcterms:W3CDTF">2014-01-27T05:06:32Z</dcterms:created>
  <dcterms:modified xsi:type="dcterms:W3CDTF">2024-12-08T10:58:46Z</dcterms:modified>
</cp:coreProperties>
</file>