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14 Budjet-kontrolling va hisobotlar departamenti\00. Hisobotlar\02. Норматив тегинма\01.2025\"/>
    </mc:Choice>
  </mc:AlternateContent>
  <bookViews>
    <workbookView xWindow="0" yWindow="0" windowWidth="38400" windowHeight="17745" tabRatio="922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Analysis'!$A$1:$Z$59</definedName>
    <definedName name="_xlnm.Print_Area" localSheetId="4">'Bank Assets Analysis (нац)'!$A$1:$N$54</definedName>
    <definedName name="_xlnm.Print_Area" localSheetId="1">'Bank Capital Calc (2)'!$A$1:$C$55</definedName>
    <definedName name="_xlnm.Print_Area" localSheetId="5">'Bank Liabilities Analysis'!$A$1:$X$64</definedName>
    <definedName name="_xlnm.Print_Area" localSheetId="6">'Bank Liabilities Analysis (нац)'!$A$1:$M$59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Securities'!$A$1:$E$44</definedName>
    <definedName name="_xlnm.Print_Area" localSheetId="2">'Liquidity Analysis'!$A$1:$E$41</definedName>
  </definedNames>
  <calcPr calcId="162913"/>
</workbook>
</file>

<file path=xl/calcChain.xml><?xml version="1.0" encoding="utf-8"?>
<calcChain xmlns="http://schemas.openxmlformats.org/spreadsheetml/2006/main">
  <c r="U40" i="18" l="1"/>
  <c r="S40" i="18"/>
  <c r="J43" i="37"/>
  <c r="I43" i="37"/>
  <c r="H43" i="37"/>
  <c r="R62" i="18"/>
  <c r="Q62" i="18"/>
  <c r="P62" i="18"/>
  <c r="O62" i="18"/>
  <c r="N62" i="18"/>
  <c r="M62" i="18"/>
  <c r="R61" i="18"/>
  <c r="R63" i="18" s="1"/>
  <c r="Q61" i="18"/>
  <c r="Q63" i="18" s="1"/>
  <c r="P61" i="18"/>
  <c r="P63" i="18" s="1"/>
  <c r="O61" i="18"/>
  <c r="O63" i="18" s="1"/>
  <c r="N61" i="18"/>
  <c r="M61" i="18"/>
  <c r="M63" i="18" s="1"/>
  <c r="L61" i="18"/>
  <c r="K61" i="18"/>
  <c r="J61" i="18"/>
  <c r="I61" i="18"/>
  <c r="H61" i="18"/>
  <c r="G61" i="18"/>
  <c r="F61" i="18"/>
  <c r="E61" i="18"/>
  <c r="D61" i="18"/>
  <c r="C61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R42" i="18"/>
  <c r="Q42" i="18"/>
  <c r="P42" i="18"/>
  <c r="O42" i="18"/>
  <c r="N42" i="18"/>
  <c r="M42" i="18"/>
  <c r="L42" i="18"/>
  <c r="L62" i="18" s="1"/>
  <c r="K42" i="18"/>
  <c r="K62" i="18" s="1"/>
  <c r="K63" i="18" s="1"/>
  <c r="J42" i="18"/>
  <c r="J62" i="18" s="1"/>
  <c r="I42" i="18"/>
  <c r="I62" i="18" s="1"/>
  <c r="H42" i="18"/>
  <c r="H62" i="18" s="1"/>
  <c r="G42" i="18"/>
  <c r="G62" i="18" s="1"/>
  <c r="F42" i="18"/>
  <c r="F62" i="18" s="1"/>
  <c r="E42" i="18"/>
  <c r="E62" i="18" s="1"/>
  <c r="D42" i="18"/>
  <c r="D62" i="18" s="1"/>
  <c r="C42" i="18"/>
  <c r="C62" i="18" s="1"/>
  <c r="U44" i="17"/>
  <c r="S44" i="17"/>
  <c r="T44" i="17" s="1"/>
  <c r="U43" i="17"/>
  <c r="T43" i="17"/>
  <c r="S43" i="17"/>
  <c r="E37" i="16"/>
  <c r="C37" i="16"/>
  <c r="D37" i="16"/>
  <c r="G63" i="18" l="1"/>
  <c r="F63" i="18"/>
  <c r="H63" i="18"/>
  <c r="L63" i="18"/>
  <c r="J63" i="18"/>
  <c r="D63" i="18"/>
  <c r="D64" i="18" s="1"/>
  <c r="F64" i="18" s="1"/>
  <c r="H64" i="18" s="1"/>
  <c r="J64" i="18" s="1"/>
  <c r="L64" i="18" s="1"/>
  <c r="N63" i="18"/>
  <c r="C63" i="18"/>
  <c r="C64" i="18" s="1"/>
  <c r="E63" i="18"/>
  <c r="I63" i="18"/>
  <c r="T40" i="18"/>
  <c r="C41" i="18"/>
  <c r="E64" i="18" l="1"/>
  <c r="G64" i="18" s="1"/>
  <c r="I64" i="18" s="1"/>
  <c r="K64" i="18" s="1"/>
  <c r="M64" i="18" s="1"/>
  <c r="O64" i="18" s="1"/>
  <c r="Q64" i="18" s="1"/>
  <c r="N64" i="18"/>
  <c r="P64" i="18" s="1"/>
  <c r="R64" i="18" s="1"/>
  <c r="D62" i="1"/>
  <c r="E9" i="15" l="1"/>
  <c r="E21" i="15" l="1"/>
  <c r="E24" i="15"/>
  <c r="E20" i="15"/>
  <c r="C9" i="17" l="1"/>
  <c r="W39" i="18" l="1"/>
  <c r="X39" i="18"/>
  <c r="W40" i="18"/>
  <c r="X40" i="18"/>
  <c r="J44" i="36"/>
  <c r="I44" i="36"/>
  <c r="H44" i="36"/>
  <c r="G44" i="36"/>
  <c r="F44" i="36"/>
  <c r="E44" i="36"/>
  <c r="D44" i="36"/>
  <c r="C44" i="36"/>
  <c r="J41" i="37"/>
  <c r="I41" i="37"/>
  <c r="H41" i="37"/>
  <c r="G41" i="37"/>
  <c r="F41" i="37"/>
  <c r="E41" i="37"/>
  <c r="D41" i="37"/>
  <c r="C41" i="37"/>
  <c r="W44" i="17"/>
  <c r="X44" i="17" s="1"/>
  <c r="W43" i="17"/>
  <c r="X43" i="17" s="1"/>
  <c r="Y44" i="17"/>
  <c r="Z44" i="17" s="1"/>
  <c r="M44" i="36" l="1"/>
  <c r="N44" i="36" s="1"/>
  <c r="K44" i="36"/>
  <c r="K41" i="37"/>
  <c r="M41" i="37"/>
  <c r="W38" i="18"/>
  <c r="X38" i="18"/>
  <c r="Y43" i="17" l="1"/>
  <c r="Z43" i="17" s="1"/>
  <c r="J40" i="37" l="1"/>
  <c r="I40" i="37"/>
  <c r="H40" i="37"/>
  <c r="G40" i="37"/>
  <c r="F40" i="37"/>
  <c r="E40" i="37"/>
  <c r="D40" i="37"/>
  <c r="C40" i="37"/>
  <c r="U39" i="18"/>
  <c r="S39" i="18"/>
  <c r="J43" i="36"/>
  <c r="I43" i="36"/>
  <c r="H43" i="36"/>
  <c r="G43" i="36"/>
  <c r="F43" i="36"/>
  <c r="E43" i="36"/>
  <c r="D43" i="36"/>
  <c r="C43" i="36"/>
  <c r="M43" i="36" l="1"/>
  <c r="N43" i="36" s="1"/>
  <c r="M40" i="37"/>
  <c r="K43" i="36"/>
  <c r="T39" i="18"/>
  <c r="K40" i="37"/>
  <c r="G54" i="16" l="1"/>
  <c r="H54" i="16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E36" i="15" l="1"/>
  <c r="E35" i="15"/>
  <c r="E34" i="15"/>
  <c r="J23" i="36" l="1"/>
  <c r="I23" i="36"/>
  <c r="H23" i="36"/>
  <c r="G23" i="36"/>
  <c r="F23" i="36"/>
  <c r="E23" i="36"/>
  <c r="D23" i="36"/>
  <c r="C23" i="36"/>
  <c r="U23" i="17"/>
  <c r="S23" i="17"/>
  <c r="M23" i="36" l="1"/>
  <c r="N23" i="36" s="1"/>
  <c r="Y23" i="17"/>
  <c r="Z23" i="17" s="1"/>
  <c r="W23" i="17"/>
  <c r="X23" i="17" s="1"/>
  <c r="K23" i="36"/>
  <c r="T23" i="17"/>
  <c r="E55" i="16" l="1"/>
  <c r="D55" i="16"/>
  <c r="E71" i="1" l="1"/>
  <c r="D71" i="1"/>
  <c r="S50" i="17" l="1"/>
  <c r="F5" i="19" s="1"/>
  <c r="AC52" i="17"/>
  <c r="AB52" i="17"/>
  <c r="AC50" i="17"/>
  <c r="AB50" i="17"/>
  <c r="D49" i="36"/>
  <c r="D46" i="36"/>
  <c r="H47" i="37"/>
  <c r="H35" i="37"/>
  <c r="AB49" i="17"/>
  <c r="AC49" i="17"/>
  <c r="X41" i="18" l="1"/>
  <c r="W41" i="18"/>
  <c r="Y46" i="17" l="1"/>
  <c r="W46" i="17"/>
  <c r="Y14" i="17"/>
  <c r="W14" i="17"/>
  <c r="W13" i="17" l="1"/>
  <c r="W25" i="17" l="1"/>
  <c r="X25" i="17" s="1"/>
  <c r="Y25" i="17"/>
  <c r="Z25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51" i="17" l="1"/>
  <c r="AC51" i="17"/>
  <c r="C32" i="1" l="1"/>
  <c r="E19" i="1" l="1"/>
  <c r="D19" i="1"/>
  <c r="F54" i="16"/>
  <c r="C19" i="1" l="1"/>
  <c r="J19" i="1" s="1"/>
  <c r="Y33" i="17" l="1"/>
  <c r="Z33" i="17" s="1"/>
  <c r="W33" i="17"/>
  <c r="X33" i="17" s="1"/>
  <c r="Y32" i="17"/>
  <c r="Z32" i="17" s="1"/>
  <c r="W32" i="17"/>
  <c r="X32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52" i="17" s="1"/>
  <c r="C7" i="19"/>
  <c r="C5" i="19"/>
  <c r="AA50" i="17" s="1"/>
  <c r="C4" i="19"/>
  <c r="AA51" i="17" l="1"/>
  <c r="AA49" i="17"/>
  <c r="AC53" i="17"/>
  <c r="E26" i="19"/>
  <c r="B13" i="15"/>
  <c r="C61" i="1" l="1"/>
  <c r="J61" i="1" s="1"/>
  <c r="J24" i="36" l="1"/>
  <c r="I24" i="36"/>
  <c r="H24" i="36"/>
  <c r="G24" i="36"/>
  <c r="F24" i="36"/>
  <c r="E24" i="36"/>
  <c r="D24" i="36"/>
  <c r="C24" i="36"/>
  <c r="U24" i="17"/>
  <c r="S24" i="17"/>
  <c r="W24" i="17" l="1"/>
  <c r="X24" i="17" s="1"/>
  <c r="C13" i="16"/>
  <c r="Y24" i="17"/>
  <c r="Z24" i="17" s="1"/>
  <c r="E13" i="16"/>
  <c r="M24" i="36"/>
  <c r="N24" i="36" s="1"/>
  <c r="K24" i="36"/>
  <c r="T24" i="17"/>
  <c r="D13" i="16" s="1"/>
  <c r="C12" i="16"/>
  <c r="E39" i="1"/>
  <c r="D39" i="1"/>
  <c r="D43" i="1" s="1"/>
  <c r="C41" i="1"/>
  <c r="J41" i="1" s="1"/>
  <c r="D18" i="19" l="1"/>
  <c r="C18" i="19" s="1"/>
  <c r="U46" i="17" l="1"/>
  <c r="Z46" i="17" s="1"/>
  <c r="S46" i="17"/>
  <c r="T46" i="17" l="1"/>
  <c r="X46" i="17"/>
  <c r="B36" i="15"/>
  <c r="B35" i="15"/>
  <c r="B34" i="15"/>
  <c r="B28" i="15"/>
  <c r="B27" i="15"/>
  <c r="E27" i="15" s="1"/>
  <c r="B25" i="15"/>
  <c r="B24" i="15"/>
  <c r="B23" i="15"/>
  <c r="B22" i="15"/>
  <c r="B21" i="15"/>
  <c r="B20" i="15"/>
  <c r="B19" i="15"/>
  <c r="B11" i="15"/>
  <c r="B10" i="15"/>
  <c r="B9" i="15"/>
  <c r="B8" i="15"/>
  <c r="B7" i="15"/>
  <c r="J49" i="36"/>
  <c r="I49" i="36"/>
  <c r="H49" i="36"/>
  <c r="G49" i="36"/>
  <c r="F49" i="36"/>
  <c r="E49" i="36"/>
  <c r="C49" i="36"/>
  <c r="J50" i="36"/>
  <c r="I50" i="36"/>
  <c r="H50" i="36"/>
  <c r="G50" i="36"/>
  <c r="F50" i="36"/>
  <c r="E50" i="36"/>
  <c r="D50" i="36"/>
  <c r="C50" i="36"/>
  <c r="J51" i="36"/>
  <c r="I51" i="36"/>
  <c r="H51" i="36"/>
  <c r="G51" i="36"/>
  <c r="F51" i="36"/>
  <c r="E51" i="36"/>
  <c r="D51" i="36"/>
  <c r="C51" i="36"/>
  <c r="K51" i="36" l="1"/>
  <c r="K50" i="36"/>
  <c r="K49" i="36"/>
  <c r="J46" i="36" l="1"/>
  <c r="I46" i="36"/>
  <c r="H46" i="36"/>
  <c r="G46" i="36"/>
  <c r="F46" i="36"/>
  <c r="E46" i="36"/>
  <c r="C46" i="36"/>
  <c r="U54" i="17"/>
  <c r="S54" i="17"/>
  <c r="U53" i="17"/>
  <c r="AF53" i="17" s="1"/>
  <c r="S53" i="17"/>
  <c r="U52" i="17"/>
  <c r="H8" i="19" s="1"/>
  <c r="S52" i="17"/>
  <c r="F8" i="19" s="1"/>
  <c r="U51" i="17"/>
  <c r="S51" i="17"/>
  <c r="U50" i="17"/>
  <c r="H5" i="19" s="1"/>
  <c r="M46" i="36" l="1"/>
  <c r="AD51" i="17"/>
  <c r="F7" i="19"/>
  <c r="AF51" i="17"/>
  <c r="H7" i="19"/>
  <c r="T50" i="17"/>
  <c r="G5" i="19" s="1"/>
  <c r="T54" i="17"/>
  <c r="T53" i="17"/>
  <c r="T51" i="17"/>
  <c r="T52" i="17"/>
  <c r="G8" i="19" s="1"/>
  <c r="K46" i="36"/>
  <c r="N46" i="36" s="1"/>
  <c r="AE51" i="17" l="1"/>
  <c r="G7" i="19"/>
  <c r="J54" i="36"/>
  <c r="I54" i="36"/>
  <c r="H54" i="36"/>
  <c r="G54" i="36"/>
  <c r="F54" i="36"/>
  <c r="E54" i="36"/>
  <c r="D54" i="36"/>
  <c r="C54" i="36"/>
  <c r="J53" i="36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E13" i="1"/>
  <c r="E12" i="1"/>
  <c r="D13" i="1"/>
  <c r="D12" i="1"/>
  <c r="C12" i="1" l="1"/>
  <c r="J12" i="1" s="1"/>
  <c r="C13" i="1"/>
  <c r="K54" i="36"/>
  <c r="K53" i="36"/>
  <c r="K52" i="36"/>
  <c r="J31" i="36"/>
  <c r="I31" i="36"/>
  <c r="H31" i="36"/>
  <c r="G31" i="36"/>
  <c r="F31" i="36"/>
  <c r="E31" i="36"/>
  <c r="D31" i="36"/>
  <c r="C31" i="36"/>
  <c r="J18" i="36"/>
  <c r="I18" i="36"/>
  <c r="H18" i="36"/>
  <c r="G18" i="36"/>
  <c r="F18" i="36"/>
  <c r="E18" i="36"/>
  <c r="D18" i="36"/>
  <c r="C18" i="36"/>
  <c r="U49" i="17"/>
  <c r="S49" i="17"/>
  <c r="Y31" i="17"/>
  <c r="Z31" i="17" s="1"/>
  <c r="W31" i="17"/>
  <c r="X31" i="17" s="1"/>
  <c r="U31" i="17"/>
  <c r="S31" i="17"/>
  <c r="Y18" i="17"/>
  <c r="Z18" i="17" s="1"/>
  <c r="W18" i="17"/>
  <c r="X18" i="17" s="1"/>
  <c r="U18" i="17"/>
  <c r="E15" i="16" s="1"/>
  <c r="S18" i="17"/>
  <c r="C15" i="16" s="1"/>
  <c r="AF49" i="17" l="1"/>
  <c r="H4" i="19"/>
  <c r="AD49" i="17"/>
  <c r="F4" i="19"/>
  <c r="M31" i="36"/>
  <c r="N31" i="36" s="1"/>
  <c r="T49" i="17"/>
  <c r="T31" i="17"/>
  <c r="T18" i="17"/>
  <c r="D15" i="16" s="1"/>
  <c r="K31" i="36"/>
  <c r="M18" i="36"/>
  <c r="K18" i="36"/>
  <c r="N18" i="36" l="1"/>
  <c r="AE49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Y42" i="17" l="1"/>
  <c r="W42" i="17"/>
  <c r="X42" i="17" s="1"/>
  <c r="Z42" i="17" l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Z47" i="17" l="1"/>
  <c r="Z63" i="17" s="1"/>
  <c r="X47" i="17"/>
  <c r="X63" i="17" s="1"/>
  <c r="J25" i="37"/>
  <c r="I25" i="37"/>
  <c r="H25" i="37"/>
  <c r="G25" i="37"/>
  <c r="F25" i="37"/>
  <c r="E25" i="37"/>
  <c r="D25" i="37"/>
  <c r="C25" i="37"/>
  <c r="M25" i="37" l="1"/>
  <c r="N36" i="36"/>
  <c r="N37" i="36"/>
  <c r="N38" i="36"/>
  <c r="N39" i="36"/>
  <c r="N40" i="36"/>
  <c r="N41" i="36"/>
  <c r="N45" i="36"/>
  <c r="E8" i="16" l="1"/>
  <c r="E9" i="16"/>
  <c r="X32" i="18" l="1"/>
  <c r="X31" i="18"/>
  <c r="X29" i="18"/>
  <c r="X28" i="18"/>
  <c r="X27" i="18"/>
  <c r="X26" i="18"/>
  <c r="R9" i="17" l="1"/>
  <c r="R47" i="17" s="1"/>
  <c r="Q9" i="17"/>
  <c r="Q47" i="17" s="1"/>
  <c r="P9" i="17"/>
  <c r="P47" i="17" s="1"/>
  <c r="O9" i="17"/>
  <c r="O47" i="17" s="1"/>
  <c r="N9" i="17"/>
  <c r="N47" i="17" s="1"/>
  <c r="M9" i="17"/>
  <c r="M47" i="17" s="1"/>
  <c r="L9" i="17"/>
  <c r="L47" i="17" s="1"/>
  <c r="K9" i="17"/>
  <c r="K47" i="17" s="1"/>
  <c r="J9" i="17"/>
  <c r="J47" i="17" s="1"/>
  <c r="I9" i="17"/>
  <c r="I47" i="17" s="1"/>
  <c r="H9" i="17"/>
  <c r="H47" i="17" s="1"/>
  <c r="G9" i="17"/>
  <c r="G47" i="17" s="1"/>
  <c r="F9" i="17"/>
  <c r="F47" i="17" s="1"/>
  <c r="E9" i="17"/>
  <c r="E47" i="17" s="1"/>
  <c r="D9" i="17"/>
  <c r="D47" i="17" s="1"/>
  <c r="C47" i="17"/>
  <c r="U24" i="18" l="1"/>
  <c r="X24" i="18" s="1"/>
  <c r="W24" i="18" s="1"/>
  <c r="S24" i="18"/>
  <c r="W32" i="18" l="1"/>
  <c r="W31" i="18"/>
  <c r="W29" i="18"/>
  <c r="W28" i="18"/>
  <c r="W27" i="18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9" i="37" l="1"/>
  <c r="I59" i="37"/>
  <c r="H59" i="37"/>
  <c r="G59" i="37"/>
  <c r="F59" i="37"/>
  <c r="E59" i="37"/>
  <c r="D59" i="37"/>
  <c r="C59" i="37"/>
  <c r="J58" i="37"/>
  <c r="I58" i="37"/>
  <c r="H58" i="37"/>
  <c r="G58" i="37"/>
  <c r="F58" i="37"/>
  <c r="E58" i="37"/>
  <c r="D58" i="37"/>
  <c r="C58" i="37"/>
  <c r="C57" i="37" s="1"/>
  <c r="J56" i="37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J48" i="37" s="1"/>
  <c r="I49" i="37"/>
  <c r="H49" i="37"/>
  <c r="H48" i="37" s="1"/>
  <c r="G49" i="37"/>
  <c r="F49" i="37"/>
  <c r="E49" i="37"/>
  <c r="D49" i="37"/>
  <c r="C49" i="37"/>
  <c r="J47" i="37"/>
  <c r="I47" i="37"/>
  <c r="G47" i="37"/>
  <c r="F47" i="37"/>
  <c r="E47" i="37"/>
  <c r="D47" i="37"/>
  <c r="C47" i="37"/>
  <c r="J46" i="37"/>
  <c r="I46" i="37"/>
  <c r="H46" i="37"/>
  <c r="H45" i="37" s="1"/>
  <c r="G46" i="37"/>
  <c r="F46" i="37"/>
  <c r="E46" i="37"/>
  <c r="D46" i="37"/>
  <c r="C46" i="37"/>
  <c r="J42" i="37"/>
  <c r="I42" i="37"/>
  <c r="H42" i="37"/>
  <c r="G42" i="37"/>
  <c r="F42" i="37"/>
  <c r="E42" i="37"/>
  <c r="D42" i="37"/>
  <c r="C42" i="37"/>
  <c r="J39" i="37"/>
  <c r="I39" i="37"/>
  <c r="H39" i="37"/>
  <c r="G39" i="37"/>
  <c r="G43" i="37" s="1"/>
  <c r="F39" i="37"/>
  <c r="F43" i="37" s="1"/>
  <c r="E39" i="37"/>
  <c r="E43" i="37" s="1"/>
  <c r="D39" i="37"/>
  <c r="D43" i="37" s="1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5" i="36"/>
  <c r="I45" i="36"/>
  <c r="H45" i="36"/>
  <c r="G45" i="36"/>
  <c r="F45" i="36"/>
  <c r="E45" i="36"/>
  <c r="D45" i="36"/>
  <c r="C45" i="36"/>
  <c r="J42" i="36"/>
  <c r="I42" i="36"/>
  <c r="H42" i="36"/>
  <c r="G42" i="36"/>
  <c r="F42" i="36"/>
  <c r="E42" i="36"/>
  <c r="D42" i="36"/>
  <c r="M42" i="36" s="1"/>
  <c r="N42" i="36" s="1"/>
  <c r="C42" i="36"/>
  <c r="J41" i="36"/>
  <c r="I41" i="36"/>
  <c r="H41" i="36"/>
  <c r="G41" i="36"/>
  <c r="F41" i="36"/>
  <c r="E41" i="36"/>
  <c r="D41" i="36"/>
  <c r="C41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D34" i="36" s="1"/>
  <c r="C35" i="36"/>
  <c r="C34" i="36" s="1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4" i="37"/>
  <c r="M3" i="37"/>
  <c r="B3" i="37"/>
  <c r="B3" i="36"/>
  <c r="S19" i="17"/>
  <c r="W19" i="17" s="1"/>
  <c r="D16" i="1"/>
  <c r="M39" i="37" l="1"/>
  <c r="C43" i="37"/>
  <c r="D54" i="37"/>
  <c r="E54" i="37"/>
  <c r="D45" i="37"/>
  <c r="C45" i="37"/>
  <c r="D24" i="37"/>
  <c r="H24" i="37"/>
  <c r="I24" i="37"/>
  <c r="D51" i="37"/>
  <c r="H54" i="37"/>
  <c r="F51" i="37"/>
  <c r="J54" i="37"/>
  <c r="C51" i="37"/>
  <c r="C48" i="37"/>
  <c r="D48" i="37"/>
  <c r="E48" i="37"/>
  <c r="I51" i="37"/>
  <c r="F48" i="37"/>
  <c r="J51" i="37"/>
  <c r="F24" i="37"/>
  <c r="G24" i="37"/>
  <c r="J45" i="37"/>
  <c r="I45" i="37"/>
  <c r="F45" i="37"/>
  <c r="C54" i="37"/>
  <c r="M22" i="37"/>
  <c r="J24" i="37"/>
  <c r="C24" i="37"/>
  <c r="M14" i="36"/>
  <c r="N14" i="36" s="1"/>
  <c r="M42" i="37"/>
  <c r="M25" i="36"/>
  <c r="N25" i="36" s="1"/>
  <c r="E24" i="37"/>
  <c r="H34" i="36"/>
  <c r="I54" i="37"/>
  <c r="C7" i="16"/>
  <c r="M32" i="36"/>
  <c r="N32" i="36" s="1"/>
  <c r="M33" i="36"/>
  <c r="N33" i="36" s="1"/>
  <c r="E8" i="37"/>
  <c r="I8" i="37"/>
  <c r="G45" i="37"/>
  <c r="G48" i="37"/>
  <c r="G51" i="37"/>
  <c r="G54" i="37"/>
  <c r="F9" i="36"/>
  <c r="I16" i="37"/>
  <c r="G16" i="37"/>
  <c r="E9" i="36"/>
  <c r="F54" i="37"/>
  <c r="G8" i="37"/>
  <c r="X19" i="17"/>
  <c r="G9" i="36"/>
  <c r="G47" i="36" s="1"/>
  <c r="I9" i="36"/>
  <c r="J9" i="36"/>
  <c r="J47" i="36" s="1"/>
  <c r="H57" i="37"/>
  <c r="H9" i="36"/>
  <c r="D9" i="36"/>
  <c r="M10" i="36"/>
  <c r="N10" i="36" s="1"/>
  <c r="C9" i="36"/>
  <c r="C47" i="36" s="1"/>
  <c r="C8" i="37"/>
  <c r="M27" i="36"/>
  <c r="N27" i="36" s="1"/>
  <c r="M22" i="36"/>
  <c r="N22" i="36" s="1"/>
  <c r="M26" i="36"/>
  <c r="N26" i="36" s="1"/>
  <c r="M29" i="36"/>
  <c r="N29" i="36" s="1"/>
  <c r="M30" i="36"/>
  <c r="N30" i="36" s="1"/>
  <c r="H51" i="37"/>
  <c r="D57" i="37"/>
  <c r="M27" i="37"/>
  <c r="M28" i="37"/>
  <c r="M29" i="37"/>
  <c r="M30" i="37"/>
  <c r="M32" i="37"/>
  <c r="M33" i="37"/>
  <c r="F57" i="37"/>
  <c r="C16" i="37"/>
  <c r="M15" i="36"/>
  <c r="N15" i="36" s="1"/>
  <c r="D38" i="16"/>
  <c r="M28" i="36"/>
  <c r="N28" i="36" s="1"/>
  <c r="M16" i="36"/>
  <c r="N16" i="36" s="1"/>
  <c r="I48" i="37"/>
  <c r="G57" i="37"/>
  <c r="E51" i="37"/>
  <c r="I57" i="37"/>
  <c r="J57" i="37"/>
  <c r="K10" i="37"/>
  <c r="K14" i="37"/>
  <c r="K17" i="37"/>
  <c r="K30" i="37"/>
  <c r="K32" i="37"/>
  <c r="K37" i="37"/>
  <c r="M37" i="37" s="1"/>
  <c r="K39" i="37"/>
  <c r="K43" i="37" s="1"/>
  <c r="K46" i="37"/>
  <c r="K47" i="37"/>
  <c r="K58" i="37"/>
  <c r="E45" i="37"/>
  <c r="K59" i="37"/>
  <c r="E57" i="37"/>
  <c r="K28" i="37"/>
  <c r="K52" i="37"/>
  <c r="K29" i="37"/>
  <c r="K31" i="37"/>
  <c r="M31" i="37" s="1"/>
  <c r="K33" i="37"/>
  <c r="K38" i="37"/>
  <c r="M38" i="37" s="1"/>
  <c r="E34" i="36"/>
  <c r="M34" i="36" s="1"/>
  <c r="K55" i="37"/>
  <c r="K34" i="37"/>
  <c r="K40" i="36"/>
  <c r="K22" i="37"/>
  <c r="K18" i="37"/>
  <c r="K19" i="37"/>
  <c r="K42" i="36"/>
  <c r="K35" i="36"/>
  <c r="E16" i="37"/>
  <c r="K20" i="37"/>
  <c r="K12" i="37"/>
  <c r="K13" i="37"/>
  <c r="K11" i="37"/>
  <c r="K9" i="37"/>
  <c r="K26" i="36"/>
  <c r="K50" i="37"/>
  <c r="K53" i="37"/>
  <c r="K56" i="37"/>
  <c r="K33" i="36"/>
  <c r="K6" i="36"/>
  <c r="M6" i="36" s="1"/>
  <c r="K25" i="36"/>
  <c r="K20" i="36"/>
  <c r="K22" i="36"/>
  <c r="K36" i="36"/>
  <c r="K38" i="36"/>
  <c r="K41" i="36"/>
  <c r="K32" i="36"/>
  <c r="K37" i="36"/>
  <c r="K39" i="36"/>
  <c r="K19" i="36"/>
  <c r="M19" i="36" s="1"/>
  <c r="K10" i="36"/>
  <c r="G34" i="36"/>
  <c r="K45" i="36"/>
  <c r="K28" i="36"/>
  <c r="K29" i="36"/>
  <c r="K30" i="36"/>
  <c r="K16" i="36"/>
  <c r="K8" i="36"/>
  <c r="K14" i="36"/>
  <c r="K15" i="36"/>
  <c r="K27" i="36"/>
  <c r="F34" i="36"/>
  <c r="J34" i="36"/>
  <c r="I34" i="36"/>
  <c r="K27" i="37"/>
  <c r="F16" i="37"/>
  <c r="H16" i="37"/>
  <c r="J16" i="37"/>
  <c r="K49" i="37"/>
  <c r="K15" i="37"/>
  <c r="D16" i="37"/>
  <c r="K42" i="37"/>
  <c r="F8" i="37"/>
  <c r="H8" i="37"/>
  <c r="J8" i="37"/>
  <c r="D8" i="37"/>
  <c r="C53" i="18"/>
  <c r="N47" i="36" l="1"/>
  <c r="P59" i="36" s="1"/>
  <c r="I47" i="36"/>
  <c r="F47" i="36"/>
  <c r="H47" i="36"/>
  <c r="I21" i="37"/>
  <c r="N34" i="36"/>
  <c r="K48" i="37"/>
  <c r="E21" i="37"/>
  <c r="K54" i="37"/>
  <c r="K45" i="37"/>
  <c r="K51" i="37"/>
  <c r="G21" i="37"/>
  <c r="N19" i="36"/>
  <c r="C21" i="37"/>
  <c r="N6" i="36"/>
  <c r="M20" i="36"/>
  <c r="N20" i="36" s="1"/>
  <c r="M35" i="36"/>
  <c r="N35" i="36" s="1"/>
  <c r="K57" i="37"/>
  <c r="K24" i="37"/>
  <c r="K17" i="36"/>
  <c r="K16" i="37"/>
  <c r="K34" i="36"/>
  <c r="K9" i="36"/>
  <c r="J21" i="37"/>
  <c r="F21" i="37"/>
  <c r="H21" i="37"/>
  <c r="D21" i="37"/>
  <c r="K8" i="37"/>
  <c r="U58" i="18"/>
  <c r="S58" i="18"/>
  <c r="U57" i="18"/>
  <c r="S57" i="18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1" i="18"/>
  <c r="S41" i="18"/>
  <c r="U38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U11" i="18"/>
  <c r="S11" i="18"/>
  <c r="U10" i="18"/>
  <c r="S10" i="18"/>
  <c r="U9" i="18"/>
  <c r="S9" i="18"/>
  <c r="U8" i="18"/>
  <c r="S8" i="18"/>
  <c r="U45" i="17"/>
  <c r="S45" i="17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E14" i="16" s="1"/>
  <c r="S35" i="17"/>
  <c r="C14" i="16" s="1"/>
  <c r="U33" i="17"/>
  <c r="S33" i="17"/>
  <c r="U32" i="17"/>
  <c r="S32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6" i="17"/>
  <c r="S6" i="17"/>
  <c r="U42" i="18" l="1"/>
  <c r="E58" i="1"/>
  <c r="C58" i="1"/>
  <c r="S42" i="18"/>
  <c r="E20" i="14"/>
  <c r="E7" i="16"/>
  <c r="D32" i="16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5" i="17"/>
  <c r="Z35" i="17" s="1"/>
  <c r="W22" i="17"/>
  <c r="X22" i="17" s="1"/>
  <c r="W35" i="17"/>
  <c r="X35" i="17" s="1"/>
  <c r="T19" i="17"/>
  <c r="D7" i="16" s="1"/>
  <c r="C11" i="16"/>
  <c r="E11" i="16"/>
  <c r="T54" i="18"/>
  <c r="T49" i="18"/>
  <c r="T51" i="18"/>
  <c r="T57" i="18"/>
  <c r="T45" i="18"/>
  <c r="T48" i="18"/>
  <c r="T43" i="18"/>
  <c r="T46" i="18"/>
  <c r="D33" i="16"/>
  <c r="T45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6" i="17"/>
  <c r="T38" i="17"/>
  <c r="T40" i="17"/>
  <c r="T42" i="17"/>
  <c r="T20" i="17"/>
  <c r="D11" i="16" s="1"/>
  <c r="T25" i="17"/>
  <c r="T29" i="17"/>
  <c r="T16" i="17"/>
  <c r="T19" i="18"/>
  <c r="T11" i="18"/>
  <c r="T13" i="18"/>
  <c r="T41" i="18"/>
  <c r="D34" i="16"/>
  <c r="K21" i="37"/>
  <c r="T55" i="18"/>
  <c r="T22" i="17"/>
  <c r="T27" i="17"/>
  <c r="T28" i="17"/>
  <c r="T12" i="18"/>
  <c r="T10" i="18"/>
  <c r="T8" i="18"/>
  <c r="T39" i="17"/>
  <c r="T9" i="18"/>
  <c r="T17" i="18"/>
  <c r="T14" i="17"/>
  <c r="T35" i="17"/>
  <c r="D14" i="16" s="1"/>
  <c r="T32" i="18"/>
  <c r="T52" i="18"/>
  <c r="T58" i="18"/>
  <c r="T15" i="17"/>
  <c r="T26" i="17"/>
  <c r="T30" i="17"/>
  <c r="T32" i="17"/>
  <c r="T33" i="17"/>
  <c r="T37" i="17"/>
  <c r="T41" i="17"/>
  <c r="T10" i="17"/>
  <c r="F56" i="18"/>
  <c r="E56" i="18"/>
  <c r="F53" i="18"/>
  <c r="E53" i="18"/>
  <c r="F50" i="18"/>
  <c r="E50" i="18"/>
  <c r="F47" i="18"/>
  <c r="E47" i="18"/>
  <c r="F44" i="18"/>
  <c r="E44" i="18"/>
  <c r="F15" i="18"/>
  <c r="E15" i="18"/>
  <c r="F7" i="18"/>
  <c r="E7" i="18"/>
  <c r="T42" i="18" l="1"/>
  <c r="D58" i="1"/>
  <c r="F20" i="14"/>
  <c r="D51" i="1"/>
  <c r="M21" i="37"/>
  <c r="M43" i="37" s="1"/>
  <c r="D27" i="1"/>
  <c r="F20" i="18"/>
  <c r="E20" i="18"/>
  <c r="R44" i="18" l="1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C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D56" i="18"/>
  <c r="C56" i="18"/>
  <c r="S53" i="18" l="1"/>
  <c r="U56" i="18"/>
  <c r="U50" i="18"/>
  <c r="U44" i="18"/>
  <c r="S47" i="18"/>
  <c r="S56" i="18"/>
  <c r="S50" i="18"/>
  <c r="S44" i="18"/>
  <c r="U53" i="18"/>
  <c r="U47" i="18"/>
  <c r="C56" i="1"/>
  <c r="T53" i="18" l="1"/>
  <c r="T44" i="18"/>
  <c r="T56" i="18"/>
  <c r="T47" i="18"/>
  <c r="T50" i="18"/>
  <c r="E41" i="16"/>
  <c r="D10" i="19"/>
  <c r="AB53" i="17" l="1"/>
  <c r="AE53" i="17" s="1"/>
  <c r="D41" i="16"/>
  <c r="C10" i="19"/>
  <c r="D26" i="19"/>
  <c r="C41" i="16" l="1"/>
  <c r="C26" i="19"/>
  <c r="AA53" i="17"/>
  <c r="AD53" i="17" s="1"/>
  <c r="Y34" i="17"/>
  <c r="Z34" i="17" s="1"/>
  <c r="P64" i="36"/>
  <c r="P63" i="36" s="1"/>
  <c r="D27" i="16" s="1"/>
  <c r="J56" i="1" l="1"/>
  <c r="C8" i="1"/>
  <c r="J67" i="1"/>
  <c r="U23" i="18" l="1"/>
  <c r="S23" i="18"/>
  <c r="T23" i="18" l="1"/>
  <c r="W34" i="17"/>
  <c r="X34" i="17" s="1"/>
  <c r="E60" i="1" l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T6" i="17" l="1"/>
  <c r="D5" i="16" l="1"/>
  <c r="J73" i="1"/>
  <c r="J70" i="1"/>
  <c r="J69" i="1"/>
  <c r="E20" i="1"/>
  <c r="D20" i="1"/>
  <c r="E16" i="1"/>
  <c r="S9" i="17" l="1"/>
  <c r="U9" i="17"/>
  <c r="E35" i="1"/>
  <c r="E30" i="1"/>
  <c r="E54" i="1"/>
  <c r="D54" i="1"/>
  <c r="E52" i="1"/>
  <c r="D52" i="1"/>
  <c r="E7" i="36" l="1"/>
  <c r="E47" i="36" s="1"/>
  <c r="S7" i="17"/>
  <c r="D7" i="36"/>
  <c r="D47" i="36" s="1"/>
  <c r="U7" i="17"/>
  <c r="E7" i="1"/>
  <c r="T9" i="17"/>
  <c r="D7" i="1" s="1"/>
  <c r="J52" i="1"/>
  <c r="C7" i="1"/>
  <c r="J54" i="1"/>
  <c r="J53" i="1"/>
  <c r="J27" i="1"/>
  <c r="D35" i="1"/>
  <c r="J35" i="1" s="1"/>
  <c r="E24" i="1"/>
  <c r="D24" i="1"/>
  <c r="D30" i="1"/>
  <c r="J30" i="1" s="1"/>
  <c r="W7" i="17" l="1"/>
  <c r="X7" i="17" s="1"/>
  <c r="X64" i="17" s="1"/>
  <c r="C52" i="16"/>
  <c r="C6" i="16"/>
  <c r="C16" i="16" s="1"/>
  <c r="E6" i="16"/>
  <c r="E16" i="16" s="1"/>
  <c r="T7" i="17"/>
  <c r="E52" i="16"/>
  <c r="Y7" i="17"/>
  <c r="Z7" i="17" s="1"/>
  <c r="Z64" i="17" s="1"/>
  <c r="E6" i="1"/>
  <c r="K7" i="36"/>
  <c r="M7" i="36" s="1"/>
  <c r="M47" i="36" s="1"/>
  <c r="K47" i="36"/>
  <c r="J24" i="1"/>
  <c r="B38" i="15"/>
  <c r="B14" i="15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6" i="1"/>
  <c r="C36" i="16" l="1"/>
  <c r="E36" i="16"/>
  <c r="C25" i="16"/>
  <c r="C19" i="16"/>
  <c r="C22" i="16"/>
  <c r="N7" i="36"/>
  <c r="P60" i="36" s="1"/>
  <c r="D52" i="16"/>
  <c r="D6" i="16"/>
  <c r="D16" i="16" s="1"/>
  <c r="D6" i="1"/>
  <c r="E19" i="16"/>
  <c r="E25" i="16"/>
  <c r="E22" i="16"/>
  <c r="J76" i="1"/>
  <c r="S47" i="17"/>
  <c r="Z68" i="17"/>
  <c r="U15" i="18"/>
  <c r="S15" i="18"/>
  <c r="U17" i="17"/>
  <c r="S34" i="17"/>
  <c r="U34" i="17"/>
  <c r="E21" i="1" s="1"/>
  <c r="D36" i="16" l="1"/>
  <c r="D25" i="16"/>
  <c r="D22" i="16"/>
  <c r="D19" i="16"/>
  <c r="X68" i="17"/>
  <c r="T15" i="18"/>
  <c r="T34" i="17"/>
  <c r="U47" i="17"/>
  <c r="C37" i="15"/>
  <c r="B6" i="15"/>
  <c r="B5" i="15"/>
  <c r="C26" i="15"/>
  <c r="C29" i="15" s="1"/>
  <c r="D10" i="1" s="1"/>
  <c r="H47" i="1" l="1"/>
  <c r="C39" i="15"/>
  <c r="C55" i="16"/>
  <c r="D18" i="1"/>
  <c r="D11" i="1"/>
  <c r="D17" i="1"/>
  <c r="D51" i="16"/>
  <c r="D15" i="1"/>
  <c r="D58" i="16" l="1"/>
  <c r="D40" i="16" s="1"/>
  <c r="D14" i="1"/>
  <c r="D31" i="16" l="1"/>
  <c r="E31" i="16" l="1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D26" i="15"/>
  <c r="D12" i="15"/>
  <c r="P7" i="18"/>
  <c r="P20" i="18" s="1"/>
  <c r="O7" i="18"/>
  <c r="O20" i="18" s="1"/>
  <c r="J7" i="18"/>
  <c r="J20" i="18" s="1"/>
  <c r="I7" i="18"/>
  <c r="I20" i="18" s="1"/>
  <c r="E15" i="1" l="1"/>
  <c r="D39" i="15"/>
  <c r="B39" i="15" s="1"/>
  <c r="B37" i="15"/>
  <c r="E18" i="1"/>
  <c r="D15" i="15"/>
  <c r="B15" i="15" s="1"/>
  <c r="D29" i="15"/>
  <c r="E11" i="1"/>
  <c r="C11" i="1" s="1"/>
  <c r="J11" i="1" s="1"/>
  <c r="E5" i="1"/>
  <c r="B12" i="15"/>
  <c r="D5" i="1"/>
  <c r="B26" i="15"/>
  <c r="D22" i="14"/>
  <c r="R7" i="18"/>
  <c r="R20" i="18" s="1"/>
  <c r="Q7" i="18"/>
  <c r="Q20" i="18" s="1"/>
  <c r="N7" i="18"/>
  <c r="N20" i="18" s="1"/>
  <c r="M7" i="18"/>
  <c r="L7" i="18"/>
  <c r="K7" i="18"/>
  <c r="K20" i="18" s="1"/>
  <c r="H7" i="18"/>
  <c r="H20" i="18" s="1"/>
  <c r="G7" i="18"/>
  <c r="D7" i="18"/>
  <c r="E51" i="16" l="1"/>
  <c r="E58" i="16" s="1"/>
  <c r="AA20" i="18"/>
  <c r="E10" i="1"/>
  <c r="B29" i="15"/>
  <c r="E32" i="16"/>
  <c r="C32" i="16"/>
  <c r="E17" i="1"/>
  <c r="U7" i="18"/>
  <c r="G11" i="14" s="1"/>
  <c r="G13" i="14" s="1"/>
  <c r="D20" i="18"/>
  <c r="C51" i="16"/>
  <c r="E14" i="1"/>
  <c r="L20" i="18"/>
  <c r="G20" i="18"/>
  <c r="M20" i="18"/>
  <c r="E40" i="16" l="1"/>
  <c r="E35" i="16" s="1"/>
  <c r="E23" i="16"/>
  <c r="E21" i="16" s="1"/>
  <c r="E47" i="1"/>
  <c r="C10" i="1"/>
  <c r="J10" i="1" s="1"/>
  <c r="C58" i="16"/>
  <c r="C17" i="1"/>
  <c r="J17" i="1" s="1"/>
  <c r="E34" i="16"/>
  <c r="U20" i="18"/>
  <c r="X20" i="18" s="1"/>
  <c r="E50" i="1"/>
  <c r="E63" i="1" s="1"/>
  <c r="C75" i="1"/>
  <c r="J75" i="1" s="1"/>
  <c r="C74" i="1"/>
  <c r="J74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W20" i="18" l="1"/>
  <c r="W42" i="18" s="1"/>
  <c r="X42" i="18"/>
  <c r="C40" i="16"/>
  <c r="C71" i="1"/>
  <c r="E20" i="16"/>
  <c r="E18" i="16" s="1"/>
  <c r="AC47" i="17"/>
  <c r="AC48" i="17" s="1"/>
  <c r="H63" i="1"/>
  <c r="G22" i="14"/>
  <c r="G23" i="14" s="1"/>
  <c r="AA21" i="18"/>
  <c r="E78" i="1"/>
  <c r="AA42" i="18"/>
  <c r="J72" i="1"/>
  <c r="C34" i="16"/>
  <c r="Y61" i="17"/>
  <c r="E33" i="16"/>
  <c r="E30" i="16" s="1"/>
  <c r="J43" i="1"/>
  <c r="J45" i="1"/>
  <c r="AA43" i="18" l="1"/>
  <c r="C77" i="1"/>
  <c r="J71" i="1"/>
  <c r="Z67" i="17"/>
  <c r="E27" i="16" s="1"/>
  <c r="E29" i="16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7" i="1" l="1"/>
  <c r="C51" i="1"/>
  <c r="J51" i="1" s="1"/>
  <c r="E21" i="14"/>
  <c r="C50" i="1"/>
  <c r="Z70" i="17"/>
  <c r="C53" i="41"/>
  <c r="S7" i="18"/>
  <c r="J7" i="1"/>
  <c r="J9" i="1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D18" i="16" s="1"/>
  <c r="T7" i="18"/>
  <c r="E11" i="14"/>
  <c r="E13" i="14" s="1"/>
  <c r="O47" i="36"/>
  <c r="R47" i="36" s="1"/>
  <c r="S47" i="36" s="1"/>
  <c r="AB47" i="17"/>
  <c r="Y20" i="18"/>
  <c r="J39" i="1"/>
  <c r="C47" i="1"/>
  <c r="Z65" i="17"/>
  <c r="E26" i="16" s="1"/>
  <c r="E24" i="16" s="1"/>
  <c r="E28" i="16"/>
  <c r="X61" i="17"/>
  <c r="F47" i="1"/>
  <c r="J21" i="1"/>
  <c r="C14" i="1"/>
  <c r="J14" i="1" s="1"/>
  <c r="J15" i="1"/>
  <c r="J26" i="1"/>
  <c r="F11" i="14" l="1"/>
  <c r="D50" i="1"/>
  <c r="D63" i="1" s="1"/>
  <c r="N43" i="37" s="1"/>
  <c r="N44" i="37" s="1"/>
  <c r="C20" i="16"/>
  <c r="AA47" i="17"/>
  <c r="AA48" i="17" s="1"/>
  <c r="Z20" i="18"/>
  <c r="E46" i="41"/>
  <c r="C45" i="41"/>
  <c r="C44" i="41"/>
  <c r="D52" i="41"/>
  <c r="C31" i="16"/>
  <c r="T47" i="17"/>
  <c r="G47" i="1" s="1"/>
  <c r="C6" i="1"/>
  <c r="J6" i="1" s="1"/>
  <c r="J50" i="1" l="1"/>
  <c r="AB48" i="17"/>
  <c r="D78" i="1"/>
  <c r="C78" i="1" s="1"/>
  <c r="J78" i="1" s="1"/>
  <c r="Z42" i="18"/>
  <c r="P47" i="36"/>
  <c r="C46" i="41"/>
  <c r="C43" i="41" s="1"/>
  <c r="C35" i="41" s="1"/>
  <c r="C40" i="41" s="1"/>
  <c r="C35" i="16"/>
  <c r="D35" i="16"/>
  <c r="C63" i="1"/>
  <c r="Y42" i="18" s="1"/>
  <c r="C86" i="1" l="1"/>
  <c r="C18" i="16"/>
  <c r="P65" i="36"/>
  <c r="W61" i="17"/>
  <c r="C51" i="41"/>
  <c r="J63" i="1"/>
  <c r="J47" i="1"/>
  <c r="D28" i="16" l="1"/>
  <c r="P61" i="36"/>
  <c r="C20" i="18"/>
  <c r="D26" i="16" l="1"/>
  <c r="S20" i="18"/>
  <c r="C23" i="16" l="1"/>
  <c r="E22" i="14"/>
  <c r="E23" i="14" s="1"/>
  <c r="Y21" i="18"/>
  <c r="T20" i="18"/>
  <c r="C33" i="16"/>
  <c r="G63" i="1" l="1"/>
  <c r="F22" i="14"/>
  <c r="Z21" i="18"/>
  <c r="F63" i="1"/>
  <c r="Y43" i="18"/>
  <c r="X67" i="17"/>
  <c r="C27" i="16" s="1"/>
  <c r="D23" i="16"/>
  <c r="D21" i="16" s="1"/>
  <c r="C21" i="16"/>
  <c r="C30" i="16"/>
  <c r="D30" i="16"/>
  <c r="Z43" i="18" l="1"/>
  <c r="X70" i="17"/>
  <c r="C28" i="16" s="1"/>
  <c r="C29" i="16"/>
  <c r="D29" i="16"/>
  <c r="D24" i="16"/>
  <c r="X65" i="17" l="1"/>
  <c r="C26" i="16" l="1"/>
  <c r="C24" i="16" l="1"/>
</calcChain>
</file>

<file path=xl/sharedStrings.xml><?xml version="1.0" encoding="utf-8"?>
<sst xmlns="http://schemas.openxmlformats.org/spreadsheetml/2006/main" count="1010" uniqueCount="579">
  <si>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</si>
  <si>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</si>
  <si>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</si>
  <si>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</si>
  <si>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</si>
  <si>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</si>
  <si>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</si>
  <si>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</si>
  <si>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</si>
  <si>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</si>
  <si>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</si>
  <si>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</si>
  <si>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</si>
  <si>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</si>
  <si>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</si>
  <si>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</si>
  <si>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</si>
  <si>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</si>
  <si>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</si>
  <si>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</si>
  <si>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</si>
  <si>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</si>
  <si>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</si>
  <si>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</si>
  <si>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</si>
  <si>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</si>
  <si>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</si>
  <si>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</si>
  <si>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</si>
  <si>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</si>
  <si>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</si>
  <si>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</si>
  <si>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</si>
  <si>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</si>
  <si>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</si>
  <si>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</si>
  <si>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</si>
  <si>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</si>
  <si>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</si>
  <si>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</si>
  <si>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</si>
  <si>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</si>
  <si>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</si>
  <si>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</si>
  <si>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</si>
  <si>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</si>
  <si>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</si>
  <si>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</si>
  <si>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</si>
  <si>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</si>
  <si>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</si>
  <si>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</si>
  <si>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</si>
  <si>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</si>
  <si>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</si>
  <si>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</si>
  <si>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</si>
  <si>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</si>
  <si>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</si>
  <si>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</si>
  <si>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</si>
  <si>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</si>
  <si>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</si>
  <si>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</si>
  <si>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</si>
  <si>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</si>
  <si>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</si>
  <si>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</si>
  <si>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</si>
  <si>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</si>
  <si>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</si>
  <si>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</si>
  <si>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</si>
  <si>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</si>
  <si>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</si>
  <si>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</si>
  <si>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</si>
  <si>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</si>
  <si>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</si>
  <si>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</si>
  <si>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</si>
  <si>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</si>
  <si>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</si>
  <si>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</si>
  <si>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</si>
  <si>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</si>
  <si>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</si>
  <si>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</si>
  <si>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</si>
  <si>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</si>
  <si>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</si>
  <si>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</si>
  <si>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</si>
  <si>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</si>
  <si>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</si>
  <si>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</si>
  <si>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</si>
  <si>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</si>
  <si>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</si>
  <si>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</si>
  <si>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</si>
  <si>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</si>
  <si>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</si>
  <si>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</si>
  <si>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</si>
  <si>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</si>
  <si>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</si>
  <si>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</si>
  <si>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</si>
  <si>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</si>
  <si>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</si>
  <si>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</si>
  <si>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</si>
  <si>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</si>
  <si>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</si>
  <si>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</si>
  <si>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</si>
  <si>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</si>
  <si>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</si>
  <si>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</si>
  <si>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</si>
  <si>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</si>
  <si>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</si>
  <si>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</si>
  <si>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</si>
  <si>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</si>
  <si>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</si>
  <si>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</si>
  <si>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</si>
  <si>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</si>
  <si>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</si>
  <si>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</si>
  <si>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</si>
  <si>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</si>
  <si>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</si>
  <si>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</si>
  <si>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</si>
  <si>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</si>
  <si>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</si>
  <si>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</si>
  <si>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</si>
  <si>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</si>
  <si>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</si>
  <si>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</si>
  <si>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</si>
  <si>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</si>
  <si>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</si>
  <si>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</si>
  <si>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</si>
  <si>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</si>
  <si>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</si>
  <si>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</si>
  <si>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</si>
  <si>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</si>
  <si>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</si>
  <si>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</si>
  <si>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</si>
  <si>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</si>
  <si>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</si>
  <si>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</si>
  <si>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</si>
  <si>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</si>
  <si>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</si>
  <si>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</si>
  <si>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</si>
  <si>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</si>
  <si>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</si>
  <si>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</si>
  <si>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</si>
  <si>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</si>
  <si>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</si>
  <si>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</si>
  <si>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</si>
  <si>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</si>
  <si>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</si>
  <si>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</si>
  <si>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</si>
  <si>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</si>
  <si>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</si>
  <si>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</si>
  <si>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</si>
  <si>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</si>
  <si>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</si>
  <si>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</si>
  <si>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</si>
  <si>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</si>
  <si>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</si>
  <si>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</si>
  <si>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</si>
  <si>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</si>
  <si>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</si>
  <si>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</si>
  <si>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</si>
  <si>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</si>
  <si>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</si>
  <si>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</si>
  <si>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</si>
  <si>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</si>
  <si>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</si>
  <si>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</si>
  <si>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</si>
  <si>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</si>
  <si>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</si>
  <si>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</si>
  <si>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</si>
  <si>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</si>
  <si>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</si>
  <si>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</si>
  <si>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</si>
  <si>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</si>
  <si>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</si>
  <si>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</si>
  <si>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</si>
  <si>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</si>
  <si>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</si>
  <si>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</si>
  <si>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</si>
  <si>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</si>
  <si>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</si>
  <si>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</si>
  <si>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</si>
  <si>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</si>
  <si>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</si>
  <si>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</si>
  <si>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</si>
  <si>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</si>
  <si>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</si>
  <si>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</si>
  <si>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</si>
  <si>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</si>
  <si>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</si>
  <si>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</si>
  <si>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</si>
  <si>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</si>
  <si>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</si>
  <si>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</si>
  <si>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</si>
  <si>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</si>
  <si>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</si>
  <si>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</si>
  <si>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</si>
  <si>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</si>
  <si>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</si>
  <si>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</si>
  <si>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</si>
  <si>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</si>
  <si>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</si>
  <si>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</si>
  <si>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</si>
  <si>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</si>
  <si>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</si>
  <si>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</si>
  <si>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</si>
  <si>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</si>
  <si>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</si>
  <si>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</si>
  <si>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</si>
  <si>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</si>
  <si>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</si>
  <si>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</si>
  <si>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</si>
  <si>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</si>
  <si>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</si>
  <si>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</si>
  <si>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</si>
  <si>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</si>
  <si>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</si>
  <si>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</si>
  <si>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</si>
  <si>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</si>
  <si>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</si>
  <si>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</si>
  <si>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</si>
  <si>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</si>
  <si>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</si>
  <si>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</si>
  <si>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</si>
  <si>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</si>
  <si>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</si>
  <si>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</si>
  <si>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</si>
  <si>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</si>
  <si>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</si>
  <si>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</si>
  <si>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</si>
  <si>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</si>
  <si>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</si>
  <si>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</si>
  <si>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</si>
  <si>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</si>
  <si>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</si>
  <si>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</si>
  <si>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</si>
  <si>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</si>
  <si>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</si>
  <si>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</si>
  <si>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</si>
  <si>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</si>
  <si>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</si>
  <si>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</si>
  <si>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</si>
  <si>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</si>
  <si>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</si>
  <si>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</si>
  <si>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</si>
  <si>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</si>
  <si>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</si>
  <si>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</si>
  <si>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</si>
  <si>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</si>
  <si>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</si>
  <si>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</si>
  <si>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</si>
  <si>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</si>
  <si>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</si>
  <si>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</si>
  <si>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</si>
  <si>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</si>
  <si>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</si>
  <si>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</si>
  <si>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</si>
  <si>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</si>
  <si>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</si>
  <si>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</si>
  <si>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</si>
  <si>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</si>
  <si>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</si>
  <si>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</si>
  <si>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</si>
  <si>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</si>
  <si>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</si>
  <si>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</si>
  <si>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</si>
  <si>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</si>
  <si>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</si>
  <si>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</si>
  <si>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</si>
  <si>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</si>
  <si>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</si>
  <si>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</si>
  <si>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</si>
  <si>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</si>
  <si>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</si>
  <si>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</si>
  <si>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</si>
  <si>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</si>
  <si>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</si>
  <si>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</si>
  <si>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</si>
  <si>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</si>
  <si>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</si>
  <si>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</si>
  <si>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</si>
  <si>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</si>
  <si>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</si>
  <si>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</si>
  <si>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</si>
  <si>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</si>
  <si>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</si>
  <si>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</si>
  <si>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</si>
  <si>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</si>
  <si>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</si>
  <si>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</si>
  <si>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</si>
  <si>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</si>
  <si>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</si>
  <si>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</si>
  <si>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</si>
  <si>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</si>
  <si>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</si>
  <si>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</si>
  <si>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</si>
  <si>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</si>
  <si>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</si>
  <si>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</si>
  <si>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</si>
  <si>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</si>
  <si>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</si>
  <si>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</si>
  <si>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</si>
  <si>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</si>
  <si>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</si>
  <si>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</si>
  <si>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</si>
  <si>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</si>
  <si>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</si>
  <si>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</si>
  <si>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</si>
  <si>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</si>
  <si>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</si>
  <si>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</si>
  <si>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</si>
  <si>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</si>
  <si>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</si>
  <si>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</si>
  <si>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</si>
  <si>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</si>
  <si>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</si>
  <si>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</si>
  <si>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</si>
  <si>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</si>
  <si>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</si>
  <si>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</si>
  <si>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</si>
  <si>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</si>
  <si>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</si>
  <si>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</si>
  <si>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</si>
  <si>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</si>
  <si>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</si>
  <si>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</si>
  <si>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</si>
  <si>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</si>
  <si>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</si>
  <si>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</si>
  <si>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</si>
  <si>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</si>
  <si>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</si>
  <si>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</si>
  <si>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</si>
  <si>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</si>
  <si>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</si>
  <si>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</si>
  <si>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</si>
  <si>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</si>
  <si>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</si>
  <si>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</si>
  <si>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</si>
  <si>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</si>
  <si>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</si>
  <si>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</si>
  <si>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</si>
  <si>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</si>
  <si>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</si>
  <si>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</si>
  <si>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</si>
  <si>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</si>
  <si>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</si>
  <si>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</si>
  <si>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</si>
  <si>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</si>
  <si>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</si>
  <si>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</si>
  <si>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</si>
  <si>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</si>
  <si>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</si>
  <si>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</si>
  <si>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</si>
  <si>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</si>
  <si>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</si>
  <si>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</si>
  <si>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</si>
  <si>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</si>
  <si>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</si>
  <si>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</si>
  <si>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</si>
  <si>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</si>
  <si>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</si>
  <si>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</si>
  <si>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</si>
  <si>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</si>
  <si>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</si>
  <si>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</si>
  <si>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</si>
  <si>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</si>
  <si>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</si>
  <si>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</si>
  <si>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</si>
  <si>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</si>
  <si>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</si>
  <si>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</si>
  <si>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</si>
  <si>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</si>
  <si>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</si>
  <si>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</si>
  <si>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</si>
  <si>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</si>
  <si>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</si>
  <si>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</si>
  <si>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</si>
  <si>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</si>
  <si>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</si>
  <si>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</si>
  <si>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</si>
  <si>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</si>
  <si>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</si>
  <si>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</si>
  <si>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</si>
  <si>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</si>
  <si>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</si>
  <si>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</si>
  <si>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</si>
  <si>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</si>
  <si>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</si>
  <si>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</si>
  <si>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</si>
  <si>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</si>
  <si>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</si>
  <si>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</si>
  <si>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</si>
  <si>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</si>
  <si>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</si>
  <si>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</si>
  <si>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</si>
  <si>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</si>
  <si>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</si>
  <si>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</si>
  <si>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</si>
  <si>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</si>
  <si>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</si>
  <si>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</si>
  <si>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</si>
  <si>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</si>
  <si>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</si>
  <si>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</si>
  <si>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</si>
  <si>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</si>
  <si>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</si>
  <si>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</si>
  <si>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</si>
  <si>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</si>
  <si>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</si>
  <si>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</si>
  <si>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</si>
  <si>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</si>
  <si>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</si>
  <si>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</si>
  <si>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</si>
  <si>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</si>
  <si>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</si>
  <si>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</si>
  <si>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</si>
  <si>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</si>
  <si>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</si>
  <si>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</si>
  <si>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</si>
  <si>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</si>
  <si>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</si>
  <si>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</si>
  <si>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</si>
  <si>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</si>
  <si>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</si>
  <si>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</si>
  <si>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</si>
  <si>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</si>
  <si>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</si>
  <si>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</si>
  <si>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</si>
  <si>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</si>
  <si>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</si>
  <si>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</si>
  <si>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</si>
  <si>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</si>
  <si>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</si>
  <si>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</si>
  <si>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4.7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</si>
  <si>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</si>
  <si>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</si>
  <si>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>Ипотекани қайта молиялаштириш ташкилотлари томонидан чиқарилган корпоратив облигациялар ва таъминланган қарз муносабатларини тасдиқловчи бошқа қимматли қоғозлар</t>
  </si>
  <si>
    <t>Ўзбекистон Республикаси Ҳукумати ва Марказий банки томонидан чиқарилган қимматли қоғозлар</t>
  </si>
  <si>
    <t>Таваккалчилик даражаси паст бўлган мамлакатлар ҳукуматлари ва Марказий банклари томонидан чиқарилган қимматли қоғозлар</t>
  </si>
  <si>
    <t>ХВФ, Жаҳон банки гуруҳи, Осиё тараққиёт банки, Осиё инфратузилма ва инвестиция банки, ЕТTБ,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</si>
  <si>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Қайтариш муддати бир йилдан ортиқ бўлган номолиявий активлар (ер участкалари, бинолар, мебель, компьютерлар ва автомашиналар)</t>
  </si>
  <si>
    <t>18.1</t>
  </si>
  <si>
    <t>Бошқа банклардан олиниши лозим бўлган ҳисобланган фоизлар</t>
  </si>
  <si>
    <t>18.2</t>
  </si>
  <si>
    <t>Бошқа банкларга тўланиши лозим бўлган ҳисобланган фоизлар</t>
  </si>
  <si>
    <t>Активы</t>
  </si>
  <si>
    <t>Внебаланс</t>
  </si>
  <si>
    <t>Мажбурият</t>
  </si>
  <si>
    <t>GAP</t>
  </si>
  <si>
    <t>кум Gap</t>
  </si>
  <si>
    <t>20202, 20402, 20602</t>
  </si>
  <si>
    <t>Активлар ва мажбуриятлар муддатлари мувофиқлиги таҳлили</t>
  </si>
  <si>
    <t>"MKBANK"</t>
  </si>
  <si>
    <t>№1</t>
  </si>
  <si>
    <t>Бош офис/филиалдан олиниши лозим бўлган ҳисобланган фоизлар</t>
  </si>
  <si>
    <t>Бош банк/филиалдан олинган ресурслар бўйича тўланиши лозим бўлган ҳисобланган фоизлар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</si>
</sst>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04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color theme="0" tint="-0.249977111117893"/>
      <name val="Arial Cyr"/>
      <family val="2"/>
      <charset val="204"/>
    </font>
    <font>
      <sz val="8"/>
      <name val="Times New Roman"/>
      <family val="1"/>
      <charset val="204"/>
    </font>
    <font>
      <sz val="8"/>
      <color theme="0" tint="-0.499984740745262"/>
      <name val="Times New Roman"/>
      <family val="1"/>
      <charset val="204"/>
    </font>
    <font>
      <sz val="8"/>
      <color theme="0" tint="-0.499984740745262"/>
      <name val="Arial Cyr"/>
      <family val="2"/>
      <charset val="204"/>
    </font>
    <font>
      <b/>
      <sz val="16"/>
      <color rgb="FF00B0F0"/>
      <name val="Times New Roman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1" fillId="0" borderId="15">
      <protection locked="0"/>
    </xf>
    <xf numFmtId="172" fontId="43" fillId="0" borderId="0">
      <protection locked="0"/>
    </xf>
    <xf numFmtId="173" fontId="43" fillId="0" borderId="15">
      <protection locked="0"/>
    </xf>
    <xf numFmtId="174" fontId="43" fillId="0" borderId="0">
      <protection locked="0"/>
    </xf>
    <xf numFmtId="4" fontId="43" fillId="0" borderId="0">
      <protection locked="0"/>
    </xf>
    <xf numFmtId="175" fontId="43" fillId="0" borderId="0">
      <protection locked="0"/>
    </xf>
    <xf numFmtId="173" fontId="44" fillId="0" borderId="0">
      <protection locked="0"/>
    </xf>
    <xf numFmtId="173" fontId="45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6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47" fillId="0" borderId="0"/>
    <xf numFmtId="0" fontId="25" fillId="0" borderId="0"/>
    <xf numFmtId="9" fontId="27" fillId="0" borderId="0" applyFont="0" applyFill="0" applyBorder="0" applyAlignment="0" applyProtection="0"/>
    <xf numFmtId="0" fontId="4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0" fontId="50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5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9" fillId="0" borderId="0"/>
    <xf numFmtId="0" fontId="48" fillId="0" borderId="0"/>
    <xf numFmtId="0" fontId="1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9" fillId="0" borderId="0"/>
    <xf numFmtId="0" fontId="25" fillId="0" borderId="0"/>
    <xf numFmtId="0" fontId="48" fillId="0" borderId="0"/>
    <xf numFmtId="0" fontId="25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0" fillId="0" borderId="0"/>
    <xf numFmtId="0" fontId="1" fillId="0" borderId="0"/>
    <xf numFmtId="0" fontId="48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50" fillId="0" borderId="0"/>
    <xf numFmtId="0" fontId="48" fillId="0" borderId="0"/>
    <xf numFmtId="0" fontId="53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1" fillId="0" borderId="0"/>
    <xf numFmtId="0" fontId="1" fillId="0" borderId="0"/>
    <xf numFmtId="0" fontId="54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5" fillId="0" borderId="0"/>
    <xf numFmtId="0" fontId="27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7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50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25" fillId="0" borderId="0"/>
    <xf numFmtId="0" fontId="48" fillId="0" borderId="0"/>
    <xf numFmtId="0" fontId="48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7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1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50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1" fillId="0" borderId="0">
      <protection locked="0"/>
    </xf>
    <xf numFmtId="0" fontId="7" fillId="0" borderId="0">
      <alignment vertical="top"/>
    </xf>
    <xf numFmtId="181" fontId="62" fillId="0" borderId="0" applyFont="0" applyFill="0" applyBorder="0" applyAlignment="0" applyProtection="0"/>
    <xf numFmtId="182" fontId="62" fillId="0" borderId="0" applyFont="0" applyFill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183" fontId="62" fillId="0" borderId="0" applyFont="0" applyFill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3" borderId="0" applyNumberFormat="0" applyBorder="0" applyAlignment="0" applyProtection="0"/>
    <xf numFmtId="0" fontId="52" fillId="26" borderId="0" applyNumberFormat="0" applyBorder="0" applyAlignment="0" applyProtection="0"/>
    <xf numFmtId="0" fontId="52" fillId="29" borderId="0" applyNumberFormat="0" applyBorder="0" applyAlignment="0" applyProtection="0"/>
    <xf numFmtId="0" fontId="63" fillId="30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7" borderId="0" applyNumberFormat="0" applyBorder="0" applyAlignment="0" applyProtection="0"/>
    <xf numFmtId="0" fontId="64" fillId="21" borderId="0" applyNumberFormat="0" applyBorder="0" applyAlignment="0" applyProtection="0"/>
    <xf numFmtId="0" fontId="65" fillId="38" borderId="16" applyNumberFormat="0" applyAlignment="0" applyProtection="0"/>
    <xf numFmtId="0" fontId="66" fillId="39" borderId="17" applyNumberFormat="0" applyAlignment="0" applyProtection="0"/>
    <xf numFmtId="176" fontId="67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68" fillId="0" borderId="0"/>
    <xf numFmtId="0" fontId="69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0" fillId="22" borderId="0" applyNumberFormat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18" applyNumberFormat="0" applyFill="0" applyAlignment="0" applyProtection="0"/>
    <xf numFmtId="0" fontId="73" fillId="0" borderId="0" applyNumberFormat="0" applyFill="0" applyBorder="0" applyAlignment="0" applyProtection="0"/>
    <xf numFmtId="171" fontId="62" fillId="0" borderId="0" applyFont="0" applyFill="0" applyBorder="0" applyAlignment="0" applyProtection="0"/>
    <xf numFmtId="0" fontId="74" fillId="25" borderId="16" applyNumberFormat="0" applyAlignment="0" applyProtection="0"/>
    <xf numFmtId="0" fontId="75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76" fillId="0" borderId="0" applyFill="0" applyBorder="0"/>
    <xf numFmtId="0" fontId="77" fillId="40" borderId="0" applyNumberFormat="0" applyBorder="0" applyAlignment="0" applyProtection="0"/>
    <xf numFmtId="0" fontId="76" fillId="0" borderId="0"/>
    <xf numFmtId="0" fontId="27" fillId="41" borderId="20" applyNumberFormat="0" applyFont="0" applyAlignment="0" applyProtection="0"/>
    <xf numFmtId="0" fontId="78" fillId="38" borderId="21" applyNumberFormat="0" applyAlignment="0" applyProtection="0"/>
    <xf numFmtId="9" fontId="25" fillId="0" borderId="0" applyFont="0" applyFill="0" applyBorder="0" applyAlignment="0" applyProtection="0"/>
    <xf numFmtId="191" fontId="6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0" fillId="0" borderId="0" applyNumberFormat="0" applyFill="0" applyBorder="0" applyAlignment="0" applyProtection="0"/>
  </cellStyleXfs>
  <cellXfs count="562">
    <xf numFmtId="0" fontId="0" fillId="0" borderId="0" xfId="0"/>
    <xf numFmtId="0" fontId="3" fillId="0" borderId="0" xfId="0" applyFont="1"/>
    <xf numFmtId="0" fontId="6" fillId="0" borderId="0" xfId="0" applyFont="1" applyBorder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4" fillId="0" borderId="1" xfId="0" applyNumberFormat="1" applyFont="1" applyBorder="1" applyAlignment="1" applyProtection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3" fontId="7" fillId="0" borderId="1" xfId="0" applyNumberFormat="1" applyFont="1" applyBorder="1" applyAlignment="1" applyProtection="1">
      <alignment horizontal="right" wrapText="1"/>
    </xf>
    <xf numFmtId="3" fontId="15" fillId="0" borderId="1" xfId="0" applyNumberFormat="1" applyFont="1" applyBorder="1" applyAlignment="1" applyProtection="1">
      <alignment horizontal="right"/>
    </xf>
    <xf numFmtId="3" fontId="15" fillId="2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 applyProtection="1"/>
    <xf numFmtId="0" fontId="17" fillId="0" borderId="0" xfId="0" applyFont="1" applyBorder="1" applyAlignment="1" applyProtection="1">
      <alignment wrapText="1"/>
    </xf>
    <xf numFmtId="0" fontId="17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wrapText="1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 indent="2"/>
    </xf>
    <xf numFmtId="0" fontId="21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16" fillId="0" borderId="1" xfId="0" applyFont="1" applyFill="1" applyBorder="1" applyAlignment="1" applyProtection="1">
      <alignment horizontal="left" vertical="center" indent="2"/>
    </xf>
    <xf numFmtId="0" fontId="17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wrapText="1"/>
    </xf>
    <xf numFmtId="0" fontId="23" fillId="0" borderId="0" xfId="0" applyFont="1" applyProtection="1"/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indent="2"/>
    </xf>
    <xf numFmtId="0" fontId="16" fillId="0" borderId="1" xfId="0" applyFont="1" applyBorder="1" applyAlignment="1" applyProtection="1">
      <alignment horizontal="left" vertical="center" wrapText="1" indent="2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vertical="center"/>
    </xf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Fill="1" applyAlignment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0" fontId="26" fillId="0" borderId="0" xfId="0" applyFont="1" applyAlignment="1" applyProtection="1">
      <alignment vertical="center"/>
    </xf>
    <xf numFmtId="0" fontId="16" fillId="0" borderId="0" xfId="0" applyFont="1" applyBorder="1" applyProtection="1"/>
    <xf numFmtId="168" fontId="17" fillId="0" borderId="0" xfId="4" applyNumberFormat="1" applyFont="1" applyProtection="1"/>
    <xf numFmtId="0" fontId="16" fillId="0" borderId="0" xfId="0" applyFont="1" applyFill="1" applyBorder="1" applyAlignment="1" applyProtection="1">
      <alignment horizontal="right"/>
    </xf>
    <xf numFmtId="169" fontId="17" fillId="0" borderId="0" xfId="0" applyNumberFormat="1" applyFont="1" applyBorder="1" applyAlignment="1" applyProtection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Border="1" applyAlignment="1" applyProtection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 applyProtection="1"/>
    <xf numFmtId="169" fontId="33" fillId="0" borderId="0" xfId="0" applyNumberFormat="1" applyFont="1" applyBorder="1" applyAlignment="1" applyProtection="1">
      <alignment horizontal="center"/>
    </xf>
    <xf numFmtId="0" fontId="30" fillId="0" borderId="0" xfId="0" applyFont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0" fillId="0" borderId="1" xfId="0" applyFont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69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3" fontId="24" fillId="0" borderId="1" xfId="0" applyNumberFormat="1" applyFont="1" applyFill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wrapText="1"/>
    </xf>
    <xf numFmtId="0" fontId="24" fillId="0" borderId="0" xfId="0" applyFont="1" applyFill="1" applyAlignment="1" applyProtection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Fill="1" applyBorder="1" applyAlignment="1" applyProtection="1">
      <alignment horizontal="left" vertical="center" wrapText="1" indent="1"/>
    </xf>
    <xf numFmtId="0" fontId="26" fillId="0" borderId="1" xfId="0" applyFont="1" applyFill="1" applyBorder="1" applyAlignment="1" applyProtection="1">
      <alignment horizontal="left" vertical="center" indent="1"/>
    </xf>
    <xf numFmtId="0" fontId="17" fillId="0" borderId="1" xfId="0" applyFont="1" applyBorder="1" applyAlignment="1" applyProtection="1">
      <alignment horizontal="left" vertical="center" wrapText="1" indent="1"/>
    </xf>
    <xf numFmtId="0" fontId="17" fillId="0" borderId="1" xfId="0" applyFont="1" applyFill="1" applyBorder="1" applyAlignment="1" applyProtection="1">
      <alignment horizontal="left" vertical="center" wrapText="1" indent="1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24" fillId="3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3" fontId="32" fillId="3" borderId="1" xfId="0" applyNumberFormat="1" applyFont="1" applyFill="1" applyBorder="1" applyAlignment="1" applyProtection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vertical="center"/>
    </xf>
    <xf numFmtId="0" fontId="37" fillId="0" borderId="0" xfId="0" applyFont="1" applyProtection="1"/>
    <xf numFmtId="167" fontId="37" fillId="0" borderId="0" xfId="4" applyFont="1" applyBorder="1" applyProtection="1"/>
    <xf numFmtId="0" fontId="37" fillId="0" borderId="0" xfId="0" applyFont="1" applyAlignment="1" applyProtection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3" fontId="38" fillId="0" borderId="0" xfId="0" applyNumberFormat="1" applyFont="1" applyProtection="1"/>
    <xf numFmtId="167" fontId="38" fillId="0" borderId="0" xfId="4" applyFont="1" applyBorder="1" applyProtection="1"/>
    <xf numFmtId="0" fontId="38" fillId="0" borderId="0" xfId="0" applyFont="1" applyProtection="1"/>
    <xf numFmtId="0" fontId="38" fillId="0" borderId="0" xfId="0" applyFont="1" applyAlignment="1" applyProtection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167" fontId="37" fillId="0" borderId="0" xfId="4" applyFont="1" applyFill="1" applyBorder="1" applyAlignment="1" applyProtection="1">
      <alignment vertical="center"/>
    </xf>
    <xf numFmtId="3" fontId="37" fillId="0" borderId="0" xfId="0" applyNumberFormat="1" applyFont="1" applyFill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Fill="1" applyBorder="1" applyAlignment="1" applyProtection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0" fontId="12" fillId="0" borderId="0" xfId="0" applyFont="1" applyFill="1"/>
    <xf numFmtId="0" fontId="40" fillId="0" borderId="0" xfId="0" applyFont="1" applyAlignment="1" applyProtection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1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Protection="1">
      <protection hidden="1"/>
    </xf>
    <xf numFmtId="0" fontId="14" fillId="0" borderId="0" xfId="0" applyFont="1" applyFill="1"/>
    <xf numFmtId="0" fontId="14" fillId="0" borderId="0" xfId="0" applyFont="1" applyBorder="1" applyProtection="1"/>
    <xf numFmtId="0" fontId="40" fillId="19" borderId="1" xfId="0" applyFont="1" applyFill="1" applyBorder="1" applyAlignment="1" applyProtection="1">
      <alignment horizontal="left" vertical="center" wrapText="1" indent="1"/>
    </xf>
    <xf numFmtId="0" fontId="26" fillId="19" borderId="1" xfId="0" applyFont="1" applyFill="1" applyBorder="1" applyAlignment="1" applyProtection="1">
      <alignment horizontal="left" vertical="center" wrapText="1" indent="1"/>
    </xf>
    <xf numFmtId="3" fontId="24" fillId="0" borderId="3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3" fontId="12" fillId="0" borderId="1" xfId="3" applyNumberFormat="1" applyFont="1" applyFill="1" applyBorder="1" applyAlignment="1" applyProtection="1">
      <alignment vertical="center"/>
    </xf>
    <xf numFmtId="0" fontId="61" fillId="0" borderId="0" xfId="0" applyFont="1" applyFill="1" applyProtection="1"/>
    <xf numFmtId="0" fontId="61" fillId="0" borderId="0" xfId="0" applyFont="1" applyFill="1" applyAlignment="1" applyProtection="1">
      <alignment wrapText="1"/>
    </xf>
    <xf numFmtId="0" fontId="61" fillId="0" borderId="0" xfId="0" applyFont="1" applyFill="1" applyAlignment="1" applyProtection="1">
      <alignment horizontal="center"/>
    </xf>
    <xf numFmtId="0" fontId="14" fillId="0" borderId="0" xfId="0" applyFont="1" applyFill="1" applyProtection="1"/>
    <xf numFmtId="0" fontId="14" fillId="0" borderId="0" xfId="0" applyFont="1" applyFill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/>
    </xf>
    <xf numFmtId="169" fontId="5" fillId="0" borderId="0" xfId="0" applyNumberFormat="1" applyFont="1" applyFill="1" applyAlignment="1">
      <alignment horizontal="centerContinuous"/>
    </xf>
    <xf numFmtId="49" fontId="2" fillId="0" borderId="0" xfId="0" applyNumberFormat="1" applyFont="1" applyFill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169" fontId="5" fillId="0" borderId="0" xfId="0" applyNumberFormat="1" applyFont="1" applyAlignment="1">
      <alignment horizontal="centerContinuous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167" fontId="2" fillId="0" borderId="0" xfId="4" applyFont="1" applyBorder="1" applyProtection="1"/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</xf>
    <xf numFmtId="167" fontId="2" fillId="0" borderId="0" xfId="4" applyFont="1" applyFill="1" applyAlignment="1">
      <alignment vertical="center"/>
    </xf>
    <xf numFmtId="0" fontId="82" fillId="0" borderId="0" xfId="0" applyFont="1" applyFill="1" applyAlignment="1" applyProtection="1">
      <alignment horizontal="center"/>
    </xf>
    <xf numFmtId="0" fontId="82" fillId="0" borderId="0" xfId="0" applyFont="1" applyFill="1" applyAlignment="1" applyProtection="1">
      <alignment horizontal="center"/>
      <protection hidden="1"/>
    </xf>
    <xf numFmtId="0" fontId="82" fillId="0" borderId="0" xfId="0" applyFont="1" applyFill="1" applyProtection="1">
      <protection hidden="1"/>
    </xf>
    <xf numFmtId="0" fontId="82" fillId="0" borderId="0" xfId="0" applyFont="1" applyFill="1"/>
    <xf numFmtId="0" fontId="0" fillId="0" borderId="0" xfId="0" applyFont="1" applyFill="1"/>
    <xf numFmtId="0" fontId="14" fillId="0" borderId="0" xfId="0" applyFont="1" applyProtection="1"/>
    <xf numFmtId="3" fontId="8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Protection="1"/>
    <xf numFmtId="167" fontId="14" fillId="0" borderId="0" xfId="4" applyFont="1" applyBorder="1" applyProtection="1"/>
    <xf numFmtId="167" fontId="2" fillId="0" borderId="0" xfId="4" applyFont="1" applyProtection="1"/>
    <xf numFmtId="0" fontId="83" fillId="0" borderId="0" xfId="0" applyFont="1" applyProtection="1"/>
    <xf numFmtId="0" fontId="2" fillId="0" borderId="0" xfId="0" applyFont="1" applyAlignment="1" applyProtection="1">
      <alignment vertical="center"/>
    </xf>
    <xf numFmtId="0" fontId="83" fillId="0" borderId="0" xfId="0" applyFont="1" applyAlignment="1" applyProtection="1">
      <alignment vertical="center"/>
    </xf>
    <xf numFmtId="0" fontId="83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83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83" fillId="0" borderId="0" xfId="0" applyFont="1" applyBorder="1" applyProtection="1"/>
    <xf numFmtId="0" fontId="83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0" fontId="24" fillId="0" borderId="0" xfId="0" applyFont="1" applyFill="1" applyAlignment="1" applyProtection="1">
      <alignment horizontal="center"/>
    </xf>
    <xf numFmtId="0" fontId="30" fillId="0" borderId="0" xfId="0" applyFont="1" applyAlignment="1"/>
    <xf numFmtId="3" fontId="7" fillId="0" borderId="3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 wrapText="1"/>
    </xf>
    <xf numFmtId="15" fontId="0" fillId="0" borderId="0" xfId="0" applyNumberFormat="1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0" fontId="35" fillId="0" borderId="0" xfId="0" applyFont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4" fillId="0" borderId="1" xfId="0" applyFont="1" applyFill="1" applyBorder="1" applyAlignment="1">
      <alignment horizontal="left" vertical="center" indent="1"/>
    </xf>
    <xf numFmtId="4" fontId="0" fillId="0" borderId="0" xfId="0" applyNumberFormat="1" applyFont="1" applyFill="1" applyBorder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1"/>
    </xf>
    <xf numFmtId="3" fontId="0" fillId="0" borderId="1" xfId="0" applyNumberFormat="1" applyFont="1" applyBorder="1" applyAlignment="1" applyProtection="1">
      <alignment vertical="center"/>
    </xf>
    <xf numFmtId="0" fontId="24" fillId="0" borderId="1" xfId="0" applyFont="1" applyFill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Protection="1"/>
    <xf numFmtId="0" fontId="2" fillId="0" borderId="0" xfId="0" applyFont="1" applyProtection="1">
      <protection hidden="1"/>
    </xf>
    <xf numFmtId="49" fontId="11" fillId="0" borderId="0" xfId="0" applyNumberFormat="1" applyFont="1" applyFill="1" applyBorder="1" applyAlignment="1">
      <alignment horizontal="centerContinuous" vertical="center"/>
    </xf>
    <xf numFmtId="3" fontId="84" fillId="3" borderId="5" xfId="0" applyNumberFormat="1" applyFont="1" applyFill="1" applyBorder="1" applyAlignment="1" applyProtection="1">
      <alignment horizontal="center" vertical="center" textRotation="90" wrapText="1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left" vertical="center" wrapText="1" indent="1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85" fillId="0" borderId="1" xfId="0" quotePrefix="1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15" fontId="2" fillId="0" borderId="0" xfId="0" applyNumberFormat="1" applyFont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30" fillId="0" borderId="0" xfId="0" applyFont="1" applyAlignment="1" applyProtection="1">
      <alignment horizontal="center"/>
    </xf>
    <xf numFmtId="0" fontId="86" fillId="0" borderId="0" xfId="0" applyFont="1" applyProtection="1"/>
    <xf numFmtId="0" fontId="84" fillId="0" borderId="0" xfId="0" quotePrefix="1" applyFont="1" applyAlignment="1" applyProtection="1">
      <alignment horizontal="left" indent="6"/>
    </xf>
    <xf numFmtId="0" fontId="86" fillId="0" borderId="0" xfId="0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left" vertical="center" wrapText="1" indent="2"/>
    </xf>
    <xf numFmtId="0" fontId="24" fillId="0" borderId="4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 indent="4"/>
    </xf>
    <xf numFmtId="0" fontId="0" fillId="0" borderId="4" xfId="0" applyFont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87" fillId="0" borderId="1" xfId="0" quotePrefix="1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3" fontId="0" fillId="0" borderId="1" xfId="0" quotePrefix="1" applyNumberFormat="1" applyFont="1" applyFill="1" applyBorder="1" applyAlignment="1" applyProtection="1">
      <alignment horizontal="left" vertical="center" wrapText="1" indent="2"/>
    </xf>
    <xf numFmtId="3" fontId="0" fillId="0" borderId="1" xfId="0" quotePrefix="1" applyNumberFormat="1" applyFont="1" applyFill="1" applyBorder="1" applyAlignment="1" applyProtection="1">
      <alignment horizontal="left" vertical="center" wrapText="1" indent="4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Border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4" applyFont="1" applyAlignment="1">
      <alignment vertical="center"/>
    </xf>
    <xf numFmtId="49" fontId="5" fillId="0" borderId="1" xfId="0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3" fontId="5" fillId="0" borderId="1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 applyProtection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2"/>
    </xf>
    <xf numFmtId="3" fontId="2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0" xfId="0" applyFont="1" applyFill="1" applyAlignment="1">
      <alignment vertical="center" wrapText="1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2" fillId="0" borderId="0" xfId="0" applyFont="1" applyAlignment="1">
      <alignment vertical="center" wrapText="1"/>
    </xf>
    <xf numFmtId="0" fontId="89" fillId="0" borderId="1" xfId="0" applyFont="1" applyFill="1" applyBorder="1" applyAlignment="1" applyProtection="1">
      <alignment horizontal="center" vertical="center" wrapText="1"/>
    </xf>
    <xf numFmtId="0" fontId="61" fillId="0" borderId="0" xfId="0" applyFont="1" applyFill="1" applyAlignment="1" applyProtection="1">
      <alignment horizontal="left"/>
    </xf>
    <xf numFmtId="0" fontId="14" fillId="0" borderId="0" xfId="0" applyFont="1" applyFill="1" applyAlignment="1" applyProtection="1">
      <alignment horizontal="left"/>
      <protection hidden="1"/>
    </xf>
    <xf numFmtId="0" fontId="3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left" vertical="center" wrapText="1" indent="4"/>
    </xf>
    <xf numFmtId="0" fontId="5" fillId="0" borderId="1" xfId="0" applyFont="1" applyFill="1" applyBorder="1" applyAlignment="1" applyProtection="1">
      <alignment vertical="center" wrapText="1"/>
    </xf>
    <xf numFmtId="0" fontId="5" fillId="0" borderId="1" xfId="0" quotePrefix="1" applyFont="1" applyFill="1" applyBorder="1" applyAlignment="1" applyProtection="1">
      <alignment horizontal="left" vertical="center" wrapText="1"/>
    </xf>
    <xf numFmtId="3" fontId="15" fillId="0" borderId="3" xfId="0" applyNumberFormat="1" applyFont="1" applyFill="1" applyBorder="1" applyAlignment="1" applyProtection="1">
      <alignment horizontal="right"/>
    </xf>
    <xf numFmtId="3" fontId="18" fillId="0" borderId="3" xfId="0" applyNumberFormat="1" applyFont="1" applyBorder="1" applyAlignment="1" applyProtection="1">
      <alignment horizontal="right"/>
    </xf>
    <xf numFmtId="0" fontId="24" fillId="0" borderId="4" xfId="0" applyFont="1" applyBorder="1" applyAlignment="1" applyProtection="1">
      <alignment horizontal="center" vertical="center"/>
    </xf>
    <xf numFmtId="0" fontId="24" fillId="0" borderId="23" xfId="0" applyFont="1" applyFill="1" applyBorder="1" applyAlignment="1">
      <alignment horizontal="center" wrapText="1"/>
    </xf>
    <xf numFmtId="0" fontId="9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 wrapText="1" indent="2"/>
    </xf>
    <xf numFmtId="0" fontId="0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left" vertical="center" wrapText="1" indent="1"/>
    </xf>
    <xf numFmtId="0" fontId="2" fillId="0" borderId="2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left" vertical="center" wrapText="1" indent="3"/>
    </xf>
    <xf numFmtId="0" fontId="2" fillId="0" borderId="2" xfId="0" applyFont="1" applyFill="1" applyBorder="1" applyAlignment="1" applyProtection="1">
      <alignment horizontal="left" vertical="center" indent="2"/>
    </xf>
    <xf numFmtId="0" fontId="14" fillId="0" borderId="0" xfId="0" applyFont="1" applyFill="1" applyBorder="1" applyProtection="1"/>
    <xf numFmtId="0" fontId="2" fillId="0" borderId="0" xfId="0" applyFont="1" applyFill="1" applyBorder="1" applyProtection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Protection="1"/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indent="1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1"/>
    </xf>
    <xf numFmtId="3" fontId="28" fillId="0" borderId="0" xfId="0" applyNumberFormat="1" applyFont="1" applyFill="1" applyBorder="1" applyAlignment="1">
      <alignment horizontal="centerContinuous" vertical="center"/>
    </xf>
    <xf numFmtId="3" fontId="11" fillId="0" borderId="0" xfId="0" applyNumberFormat="1" applyFont="1" applyFill="1" applyBorder="1" applyAlignment="1">
      <alignment horizontal="centerContinuous" vertical="center"/>
    </xf>
    <xf numFmtId="3" fontId="4" fillId="0" borderId="1" xfId="0" applyNumberFormat="1" applyFont="1" applyFill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30" fillId="0" borderId="1" xfId="0" applyFont="1" applyFill="1" applyBorder="1" applyAlignment="1" applyProtection="1">
      <alignment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left" vertical="center" wrapText="1" indent="2" shrinkToFit="1"/>
    </xf>
    <xf numFmtId="0" fontId="2" fillId="0" borderId="1" xfId="0" quotePrefix="1" applyFont="1" applyFill="1" applyBorder="1" applyAlignment="1" applyProtection="1">
      <alignment horizontal="left" vertical="center" wrapText="1"/>
    </xf>
    <xf numFmtId="3" fontId="91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left" indent="4"/>
    </xf>
    <xf numFmtId="0" fontId="10" fillId="0" borderId="0" xfId="0" applyFont="1" applyBorder="1" applyProtection="1"/>
    <xf numFmtId="0" fontId="11" fillId="0" borderId="0" xfId="0" applyFont="1" applyBorder="1" applyProtection="1"/>
    <xf numFmtId="3" fontId="2" fillId="0" borderId="0" xfId="0" applyNumberFormat="1" applyFont="1" applyFill="1" applyAlignment="1">
      <alignment vertical="center"/>
    </xf>
    <xf numFmtId="167" fontId="86" fillId="0" borderId="0" xfId="4" applyFont="1" applyAlignment="1" applyProtection="1">
      <alignment vertical="center"/>
    </xf>
    <xf numFmtId="3" fontId="92" fillId="0" borderId="0" xfId="0" applyNumberFormat="1" applyFont="1" applyAlignment="1" applyProtection="1">
      <alignment vertical="center"/>
    </xf>
    <xf numFmtId="0" fontId="93" fillId="0" borderId="0" xfId="0" applyFont="1" applyAlignment="1" applyProtection="1">
      <alignment vertical="center"/>
    </xf>
    <xf numFmtId="167" fontId="94" fillId="0" borderId="0" xfId="4" applyFont="1" applyAlignment="1" applyProtection="1">
      <alignment vertical="center"/>
    </xf>
    <xf numFmtId="0" fontId="94" fillId="0" borderId="0" xfId="0" applyFont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 applyBorder="1" applyProtection="1"/>
    <xf numFmtId="192" fontId="18" fillId="0" borderId="9" xfId="5" applyNumberFormat="1" applyFont="1" applyFill="1" applyBorder="1" applyAlignment="1" applyProtection="1">
      <alignment horizont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0" fontId="95" fillId="0" borderId="0" xfId="0" quotePrefix="1" applyNumberFormat="1" applyFont="1" applyFill="1" applyBorder="1" applyAlignment="1" applyProtection="1">
      <alignment horizontal="left"/>
    </xf>
    <xf numFmtId="49" fontId="96" fillId="0" borderId="1" xfId="0" applyNumberFormat="1" applyFont="1" applyFill="1" applyBorder="1" applyAlignment="1" applyProtection="1">
      <alignment horizontal="center" vertical="center"/>
    </xf>
    <xf numFmtId="49" fontId="97" fillId="0" borderId="1" xfId="0" applyNumberFormat="1" applyFont="1" applyFill="1" applyBorder="1" applyAlignment="1" applyProtection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96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0" xfId="0" applyNumberFormat="1" applyFont="1" applyFill="1"/>
    <xf numFmtId="0" fontId="8" fillId="0" borderId="0" xfId="0" applyFont="1" applyFill="1" applyAlignment="1" applyProtection="1">
      <alignment vertical="center"/>
    </xf>
    <xf numFmtId="49" fontId="8" fillId="0" borderId="0" xfId="0" applyNumberFormat="1" applyFont="1" applyProtection="1"/>
    <xf numFmtId="3" fontId="8" fillId="0" borderId="0" xfId="0" applyNumberFormat="1" applyFont="1" applyProtection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Fill="1" applyBorder="1" applyProtection="1">
      <protection hidden="1"/>
    </xf>
    <xf numFmtId="3" fontId="8" fillId="0" borderId="0" xfId="0" applyNumberFormat="1" applyFont="1" applyFill="1" applyBorder="1"/>
    <xf numFmtId="0" fontId="8" fillId="0" borderId="0" xfId="0" applyFont="1" applyFill="1"/>
    <xf numFmtId="3" fontId="8" fillId="0" borderId="0" xfId="0" applyNumberFormat="1" applyFont="1" applyBorder="1"/>
    <xf numFmtId="0" fontId="8" fillId="0" borderId="0" xfId="0" applyFont="1" applyBorder="1" applyProtection="1"/>
    <xf numFmtId="0" fontId="4" fillId="0" borderId="0" xfId="0" applyFont="1" applyBorder="1" applyProtection="1"/>
    <xf numFmtId="0" fontId="8" fillId="0" borderId="0" xfId="0" applyFont="1" applyProtection="1"/>
    <xf numFmtId="49" fontId="8" fillId="0" borderId="0" xfId="0" applyNumberFormat="1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Fill="1" applyBorder="1" applyProtection="1"/>
    <xf numFmtId="0" fontId="4" fillId="0" borderId="0" xfId="0" applyFont="1" applyBorder="1"/>
    <xf numFmtId="0" fontId="8" fillId="0" borderId="0" xfId="0" applyFont="1" applyFill="1" applyProtection="1"/>
    <xf numFmtId="3" fontId="8" fillId="0" borderId="1" xfId="0" applyNumberFormat="1" applyFont="1" applyBorder="1" applyProtection="1"/>
    <xf numFmtId="3" fontId="8" fillId="0" borderId="0" xfId="0" applyNumberFormat="1" applyFont="1" applyAlignment="1">
      <alignment wrapText="1"/>
    </xf>
    <xf numFmtId="3" fontId="8" fillId="0" borderId="0" xfId="0" applyNumberFormat="1" applyFont="1" applyProtection="1">
      <protection hidden="1"/>
    </xf>
    <xf numFmtId="3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84" fillId="3" borderId="5" xfId="0" applyNumberFormat="1" applyFont="1" applyFill="1" applyBorder="1" applyAlignment="1" applyProtection="1">
      <alignment horizontal="center" vertical="center" wrapText="1"/>
    </xf>
    <xf numFmtId="3" fontId="88" fillId="3" borderId="5" xfId="0" applyNumberFormat="1" applyFont="1" applyFill="1" applyBorder="1" applyAlignment="1" applyProtection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8" fillId="0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1"/>
    </xf>
    <xf numFmtId="3" fontId="2" fillId="0" borderId="1" xfId="0" quotePrefix="1" applyNumberFormat="1" applyFont="1" applyFill="1" applyBorder="1" applyAlignment="1" applyProtection="1">
      <alignment horizontal="left" vertical="top" wrapText="1" indent="1"/>
    </xf>
    <xf numFmtId="4" fontId="0" fillId="0" borderId="24" xfId="0" applyNumberFormat="1" applyFont="1" applyFill="1" applyBorder="1" applyProtection="1">
      <protection locked="0"/>
    </xf>
    <xf numFmtId="3" fontId="0" fillId="0" borderId="1" xfId="0" applyNumberFormat="1" applyFont="1" applyFill="1" applyBorder="1" applyAlignment="1" applyProtection="1">
      <alignment vertical="center"/>
    </xf>
    <xf numFmtId="0" fontId="4" fillId="0" borderId="0" xfId="0" quotePrefix="1" applyFont="1" applyBorder="1" applyAlignment="1" applyProtection="1">
      <alignment horizontal="center"/>
      <protection locked="0"/>
    </xf>
    <xf numFmtId="3" fontId="2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3" fontId="8" fillId="0" borderId="0" xfId="0" applyNumberFormat="1" applyFont="1" applyFill="1" applyBorder="1" applyAlignment="1">
      <alignment wrapText="1"/>
    </xf>
    <xf numFmtId="0" fontId="8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vertical="center"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Fill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Fill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</xf>
    <xf numFmtId="3" fontId="98" fillId="0" borderId="0" xfId="0" applyNumberFormat="1" applyFont="1" applyFill="1" applyAlignment="1" applyProtection="1">
      <alignment vertical="center"/>
    </xf>
    <xf numFmtId="0" fontId="98" fillId="0" borderId="0" xfId="0" applyFont="1" applyFill="1" applyAlignment="1" applyProtection="1">
      <alignment vertical="center"/>
    </xf>
    <xf numFmtId="3" fontId="0" fillId="0" borderId="1" xfId="0" quotePrefix="1" applyNumberFormat="1" applyFont="1" applyFill="1" applyBorder="1" applyAlignment="1">
      <alignment vertical="center" wrapText="1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99" fillId="0" borderId="0" xfId="4" applyNumberFormat="1" applyFont="1" applyBorder="1" applyProtection="1"/>
    <xf numFmtId="0" fontId="12" fillId="0" borderId="0" xfId="0" applyFont="1" applyAlignment="1">
      <alignment vertical="center"/>
    </xf>
    <xf numFmtId="3" fontId="88" fillId="3" borderId="5" xfId="0" applyNumberFormat="1" applyFont="1" applyFill="1" applyBorder="1" applyAlignment="1" applyProtection="1">
      <alignment horizontal="center" vertical="center" textRotation="90" wrapText="1"/>
    </xf>
    <xf numFmtId="3" fontId="10" fillId="0" borderId="1" xfId="0" applyNumberFormat="1" applyFont="1" applyFill="1" applyBorder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12" fillId="0" borderId="0" xfId="0" applyFont="1" applyFill="1" applyAlignment="1">
      <alignment vertical="center"/>
    </xf>
    <xf numFmtId="167" fontId="12" fillId="0" borderId="0" xfId="4" applyFont="1" applyFill="1" applyAlignment="1">
      <alignment vertical="center"/>
    </xf>
    <xf numFmtId="0" fontId="4" fillId="0" borderId="0" xfId="0" applyFont="1" applyBorder="1" applyAlignment="1" applyProtection="1">
      <alignment horizontal="center"/>
    </xf>
    <xf numFmtId="3" fontId="88" fillId="3" borderId="5" xfId="0" applyNumberFormat="1" applyFont="1" applyFill="1" applyBorder="1" applyAlignment="1" applyProtection="1">
      <alignment horizontal="center" vertical="center" wrapText="1"/>
    </xf>
    <xf numFmtId="3" fontId="84" fillId="3" borderId="4" xfId="0" applyNumberFormat="1" applyFont="1" applyFill="1" applyBorder="1" applyAlignment="1" applyProtection="1">
      <alignment horizontal="center" vertical="center" wrapText="1"/>
    </xf>
    <xf numFmtId="3" fontId="84" fillId="3" borderId="5" xfId="0" applyNumberFormat="1" applyFont="1" applyFill="1" applyBorder="1" applyAlignment="1" applyProtection="1">
      <alignment horizontal="center" vertical="center" wrapText="1"/>
    </xf>
    <xf numFmtId="3" fontId="90" fillId="0" borderId="0" xfId="0" applyNumberFormat="1" applyFont="1" applyBorder="1" applyAlignment="1">
      <alignment vertical="center"/>
    </xf>
    <xf numFmtId="167" fontId="97" fillId="0" borderId="0" xfId="4" applyFont="1" applyBorder="1" applyAlignment="1">
      <alignment vertical="center"/>
    </xf>
    <xf numFmtId="0" fontId="97" fillId="0" borderId="0" xfId="0" applyFont="1" applyFill="1" applyAlignment="1" applyProtection="1">
      <alignment vertical="center"/>
    </xf>
    <xf numFmtId="168" fontId="97" fillId="0" borderId="0" xfId="4" applyNumberFormat="1" applyFont="1" applyFill="1" applyAlignment="1">
      <alignment vertical="center"/>
    </xf>
    <xf numFmtId="0" fontId="97" fillId="0" borderId="0" xfId="0" applyFont="1" applyFill="1" applyAlignment="1">
      <alignment vertical="center"/>
    </xf>
    <xf numFmtId="0" fontId="96" fillId="0" borderId="1" xfId="0" applyFont="1" applyFill="1" applyBorder="1" applyAlignment="1" applyProtection="1">
      <alignment horizontal="left" vertical="center" wrapText="1" indent="1"/>
    </xf>
    <xf numFmtId="9" fontId="96" fillId="0" borderId="1" xfId="3" applyFont="1" applyFill="1" applyBorder="1" applyAlignment="1" applyProtection="1">
      <alignment vertical="center"/>
    </xf>
    <xf numFmtId="0" fontId="14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/>
      <protection hidden="1"/>
    </xf>
    <xf numFmtId="0" fontId="14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Alignment="1" applyProtection="1">
      <alignment horizontal="center"/>
    </xf>
    <xf numFmtId="0" fontId="100" fillId="0" borderId="0" xfId="0" applyFont="1" applyAlignment="1">
      <alignment vertical="center"/>
    </xf>
    <xf numFmtId="3" fontId="14" fillId="0" borderId="0" xfId="0" applyNumberFormat="1" applyFont="1" applyFill="1" applyProtection="1"/>
    <xf numFmtId="3" fontId="14" fillId="0" borderId="0" xfId="0" applyNumberFormat="1" applyFont="1" applyFill="1" applyProtection="1">
      <protection hidden="1"/>
    </xf>
    <xf numFmtId="0" fontId="14" fillId="0" borderId="0" xfId="0" applyFont="1" applyFill="1" applyAlignment="1">
      <alignment horizontal="center"/>
    </xf>
    <xf numFmtId="0" fontId="101" fillId="0" borderId="0" xfId="0" applyFont="1" applyAlignment="1">
      <alignment vertical="center"/>
    </xf>
    <xf numFmtId="168" fontId="14" fillId="0" borderId="0" xfId="4" applyNumberFormat="1" applyFont="1" applyAlignment="1" applyProtection="1">
      <alignment horizontal="center" vertical="center"/>
    </xf>
    <xf numFmtId="168" fontId="14" fillId="0" borderId="0" xfId="4" applyNumberFormat="1" applyFont="1" applyBorder="1" applyAlignment="1" applyProtection="1">
      <alignment horizontal="center" vertical="center"/>
    </xf>
    <xf numFmtId="168" fontId="14" fillId="0" borderId="0" xfId="4" applyNumberFormat="1" applyFont="1" applyFill="1" applyBorder="1" applyAlignment="1" applyProtection="1">
      <alignment horizontal="center" vertical="center"/>
    </xf>
    <xf numFmtId="168" fontId="14" fillId="0" borderId="0" xfId="4" applyNumberFormat="1" applyFont="1" applyFill="1" applyAlignment="1" applyProtection="1">
      <alignment horizontal="center" vertical="center"/>
    </xf>
    <xf numFmtId="3" fontId="0" fillId="0" borderId="3" xfId="0" applyNumberFormat="1" applyFont="1" applyFill="1" applyBorder="1" applyAlignment="1" applyProtection="1">
      <alignment horizontal="center" vertical="center"/>
    </xf>
    <xf numFmtId="3" fontId="0" fillId="0" borderId="3" xfId="0" applyNumberFormat="1" applyFont="1" applyFill="1" applyBorder="1" applyAlignment="1" applyProtection="1">
      <alignment horizontal="center" vertical="center"/>
      <protection locked="0"/>
    </xf>
    <xf numFmtId="3" fontId="24" fillId="0" borderId="1" xfId="0" applyNumberFormat="1" applyFont="1" applyFill="1" applyBorder="1" applyAlignment="1" applyProtection="1">
      <alignment horizontal="center" vertical="center"/>
    </xf>
    <xf numFmtId="3" fontId="5" fillId="0" borderId="1" xfId="3" applyNumberFormat="1" applyFont="1" applyFill="1" applyBorder="1" applyAlignment="1" applyProtection="1">
      <alignment vertical="center"/>
    </xf>
    <xf numFmtId="3" fontId="24" fillId="0" borderId="1" xfId="3" applyNumberFormat="1" applyFont="1" applyFill="1" applyBorder="1" applyAlignment="1" applyProtection="1">
      <alignment vertical="center"/>
    </xf>
    <xf numFmtId="0" fontId="5" fillId="0" borderId="1" xfId="0" applyFont="1" applyBorder="1" applyAlignment="1" applyProtection="1">
      <alignment vertical="center"/>
    </xf>
    <xf numFmtId="167" fontId="102" fillId="0" borderId="0" xfId="4" applyFont="1" applyFill="1" applyAlignment="1" applyProtection="1">
      <alignment horizontal="center" vertical="center"/>
    </xf>
    <xf numFmtId="194" fontId="4" fillId="0" borderId="1" xfId="0" applyNumberFormat="1" applyFont="1" applyFill="1" applyBorder="1" applyAlignment="1" applyProtection="1">
      <alignment vertical="center"/>
    </xf>
    <xf numFmtId="194" fontId="2" fillId="0" borderId="0" xfId="0" applyNumberFormat="1" applyFont="1"/>
    <xf numFmtId="194" fontId="2" fillId="0" borderId="1" xfId="0" applyNumberFormat="1" applyFont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  <protection locked="0"/>
    </xf>
    <xf numFmtId="194" fontId="24" fillId="0" borderId="1" xfId="0" applyNumberFormat="1" applyFont="1" applyFill="1" applyBorder="1" applyAlignment="1" applyProtection="1">
      <alignment vertical="center"/>
    </xf>
    <xf numFmtId="194" fontId="2" fillId="0" borderId="0" xfId="0" applyNumberFormat="1" applyFont="1" applyFill="1"/>
    <xf numFmtId="3" fontId="8" fillId="0" borderId="0" xfId="0" applyNumberFormat="1" applyFont="1" applyBorder="1" applyProtection="1"/>
    <xf numFmtId="194" fontId="12" fillId="0" borderId="1" xfId="0" applyNumberFormat="1" applyFont="1" applyFill="1" applyBorder="1" applyAlignment="1" applyProtection="1">
      <alignment vertical="center"/>
      <protection locked="0"/>
    </xf>
    <xf numFmtId="194" fontId="12" fillId="0" borderId="1" xfId="0" applyNumberFormat="1" applyFont="1" applyFill="1" applyBorder="1" applyAlignment="1" applyProtection="1">
      <alignment vertical="center"/>
    </xf>
    <xf numFmtId="194" fontId="12" fillId="0" borderId="1" xfId="0" applyNumberFormat="1" applyFont="1" applyBorder="1" applyAlignment="1" applyProtection="1">
      <alignment vertical="center"/>
      <protection locked="0"/>
    </xf>
    <xf numFmtId="194" fontId="10" fillId="0" borderId="1" xfId="0" applyNumberFormat="1" applyFont="1" applyFill="1" applyBorder="1" applyAlignment="1" applyProtection="1">
      <alignment vertical="center"/>
    </xf>
    <xf numFmtId="194" fontId="2" fillId="0" borderId="0" xfId="0" applyNumberFormat="1" applyFont="1" applyProtection="1"/>
    <xf numFmtId="194" fontId="2" fillId="0" borderId="0" xfId="0" applyNumberFormat="1" applyFont="1" applyBorder="1" applyProtection="1"/>
    <xf numFmtId="194" fontId="14" fillId="0" borderId="0" xfId="0" applyNumberFormat="1" applyFont="1" applyBorder="1" applyProtection="1"/>
    <xf numFmtId="194" fontId="96" fillId="0" borderId="1" xfId="0" applyNumberFormat="1" applyFont="1" applyFill="1" applyBorder="1" applyAlignment="1" applyProtection="1">
      <alignment vertical="center"/>
    </xf>
    <xf numFmtId="194" fontId="8" fillId="0" borderId="1" xfId="3" applyNumberFormat="1" applyFont="1" applyBorder="1" applyAlignment="1" applyProtection="1">
      <alignment vertical="center"/>
    </xf>
    <xf numFmtId="194" fontId="8" fillId="5" borderId="1" xfId="0" applyNumberFormat="1" applyFont="1" applyFill="1" applyBorder="1" applyAlignment="1" applyProtection="1">
      <alignment vertical="center"/>
    </xf>
    <xf numFmtId="194" fontId="8" fillId="0" borderId="1" xfId="3" applyNumberFormat="1" applyFont="1" applyFill="1" applyBorder="1" applyAlignment="1" applyProtection="1">
      <alignment vertical="center"/>
    </xf>
    <xf numFmtId="194" fontId="2" fillId="0" borderId="1" xfId="3" applyNumberFormat="1" applyFont="1" applyFill="1" applyBorder="1" applyAlignment="1" applyProtection="1">
      <alignment vertical="center"/>
    </xf>
    <xf numFmtId="3" fontId="27" fillId="0" borderId="1" xfId="3" applyNumberFormat="1" applyFont="1" applyFill="1" applyBorder="1" applyAlignment="1" applyProtection="1">
      <alignment vertical="center"/>
    </xf>
    <xf numFmtId="3" fontId="27" fillId="0" borderId="1" xfId="0" applyNumberFormat="1" applyFont="1" applyFill="1" applyBorder="1" applyAlignment="1" applyProtection="1">
      <alignment vertical="center"/>
    </xf>
    <xf numFmtId="3" fontId="27" fillId="0" borderId="3" xfId="0" applyNumberFormat="1" applyFont="1" applyBorder="1" applyAlignment="1" applyProtection="1">
      <alignment vertical="center"/>
    </xf>
    <xf numFmtId="3" fontId="27" fillId="0" borderId="3" xfId="0" applyNumberFormat="1" applyFont="1" applyBorder="1" applyAlignment="1" applyProtection="1">
      <alignment vertical="center"/>
      <protection locked="0"/>
    </xf>
    <xf numFmtId="194" fontId="2" fillId="0" borderId="1" xfId="0" applyNumberFormat="1" applyFont="1" applyBorder="1" applyAlignment="1" applyProtection="1">
      <alignment vertical="center"/>
      <protection locked="0"/>
    </xf>
    <xf numFmtId="3" fontId="24" fillId="0" borderId="1" xfId="0" quotePrefix="1" applyNumberFormat="1" applyFont="1" applyFill="1" applyBorder="1" applyAlignment="1" applyProtection="1">
      <alignment horizontal="left" vertical="center" wrapText="1" indent="4"/>
    </xf>
    <xf numFmtId="168" fontId="97" fillId="0" borderId="0" xfId="4" applyNumberFormat="1" applyFont="1" applyBorder="1" applyAlignment="1">
      <alignment vertical="center"/>
    </xf>
    <xf numFmtId="194" fontId="35" fillId="0" borderId="1" xfId="0" applyNumberFormat="1" applyFont="1" applyFill="1" applyBorder="1" applyAlignment="1" applyProtection="1">
      <alignment vertical="center"/>
    </xf>
    <xf numFmtId="194" fontId="5" fillId="0" borderId="1" xfId="0" applyNumberFormat="1" applyFont="1" applyFill="1" applyBorder="1" applyAlignment="1" applyProtection="1">
      <alignment vertical="center"/>
    </xf>
    <xf numFmtId="168" fontId="103" fillId="0" borderId="0" xfId="4" applyNumberFormat="1" applyFont="1" applyFill="1" applyAlignment="1" applyProtection="1">
      <alignment horizontal="center" vertical="center"/>
    </xf>
    <xf numFmtId="194" fontId="2" fillId="0" borderId="0" xfId="0" applyNumberFormat="1" applyFont="1" applyFill="1" applyProtection="1"/>
    <xf numFmtId="0" fontId="4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Border="1" applyAlignment="1">
      <alignment horizontal="center" vertical="center" shrinkToFit="1"/>
    </xf>
    <xf numFmtId="3" fontId="88" fillId="3" borderId="4" xfId="0" applyNumberFormat="1" applyFont="1" applyFill="1" applyBorder="1" applyAlignment="1" applyProtection="1">
      <alignment horizontal="center" vertical="center" wrapText="1"/>
    </xf>
    <xf numFmtId="3" fontId="88" fillId="3" borderId="6" xfId="0" applyNumberFormat="1" applyFont="1" applyFill="1" applyBorder="1" applyAlignment="1" applyProtection="1">
      <alignment horizontal="center" vertical="center" wrapText="1"/>
    </xf>
    <xf numFmtId="3" fontId="88" fillId="3" borderId="8" xfId="0" applyNumberFormat="1" applyFont="1" applyFill="1" applyBorder="1" applyAlignment="1" applyProtection="1">
      <alignment horizontal="center" vertical="center" wrapText="1"/>
    </xf>
    <xf numFmtId="3" fontId="88" fillId="3" borderId="5" xfId="0" applyNumberFormat="1" applyFont="1" applyFill="1" applyBorder="1" applyAlignment="1" applyProtection="1">
      <alignment horizontal="center" vertical="center" wrapText="1"/>
    </xf>
    <xf numFmtId="3" fontId="88" fillId="3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88" fillId="3" borderId="7" xfId="0" applyNumberFormat="1" applyFont="1" applyFill="1" applyBorder="1" applyAlignment="1" applyProtection="1">
      <alignment horizontal="center" vertical="center" wrapText="1"/>
    </xf>
    <xf numFmtId="3" fontId="88" fillId="3" borderId="13" xfId="0" applyNumberFormat="1" applyFont="1" applyFill="1" applyBorder="1" applyAlignment="1" applyProtection="1">
      <alignment horizontal="center" vertical="center" wrapText="1"/>
    </xf>
    <xf numFmtId="3" fontId="88" fillId="3" borderId="2" xfId="0" applyNumberFormat="1" applyFont="1" applyFill="1" applyBorder="1" applyAlignment="1" applyProtection="1">
      <alignment horizontal="center" vertical="center" wrapText="1"/>
    </xf>
    <xf numFmtId="3" fontId="88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88" fillId="3" borderId="10" xfId="0" applyNumberFormat="1" applyFont="1" applyFill="1" applyBorder="1" applyAlignment="1" applyProtection="1">
      <alignment horizontal="center" vertical="center" wrapText="1"/>
    </xf>
    <xf numFmtId="3" fontId="88" fillId="3" borderId="9" xfId="0" applyNumberFormat="1" applyFont="1" applyFill="1" applyBorder="1" applyAlignment="1" applyProtection="1">
      <alignment horizontal="center" vertical="center" wrapText="1"/>
    </xf>
    <xf numFmtId="3" fontId="84" fillId="3" borderId="4" xfId="0" applyNumberFormat="1" applyFont="1" applyFill="1" applyBorder="1" applyAlignment="1" applyProtection="1">
      <alignment horizontal="center" vertical="center" wrapText="1"/>
    </xf>
    <xf numFmtId="3" fontId="84" fillId="3" borderId="8" xfId="0" applyNumberFormat="1" applyFont="1" applyFill="1" applyBorder="1" applyAlignment="1" applyProtection="1">
      <alignment horizontal="center" vertical="center" wrapText="1"/>
    </xf>
    <xf numFmtId="3" fontId="84" fillId="3" borderId="6" xfId="0" applyNumberFormat="1" applyFont="1" applyFill="1" applyBorder="1" applyAlignment="1" applyProtection="1">
      <alignment horizontal="center" vertical="center" wrapText="1"/>
    </xf>
    <xf numFmtId="3" fontId="84" fillId="3" borderId="5" xfId="0" applyNumberFormat="1" applyFont="1" applyFill="1" applyBorder="1" applyAlignment="1" applyProtection="1">
      <alignment horizontal="center" vertical="center" wrapText="1"/>
    </xf>
    <xf numFmtId="3" fontId="84" fillId="3" borderId="3" xfId="0" applyNumberFormat="1" applyFont="1" applyFill="1" applyBorder="1" applyAlignment="1" applyProtection="1">
      <alignment horizontal="center" vertic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3" fontId="84" fillId="3" borderId="7" xfId="0" applyNumberFormat="1" applyFont="1" applyFill="1" applyBorder="1" applyAlignment="1" applyProtection="1">
      <alignment horizontal="center" vertical="center" wrapText="1"/>
    </xf>
    <xf numFmtId="3" fontId="84" fillId="3" borderId="13" xfId="0" applyNumberFormat="1" applyFont="1" applyFill="1" applyBorder="1" applyAlignment="1" applyProtection="1">
      <alignment horizontal="center" vertical="center" wrapText="1"/>
    </xf>
    <xf numFmtId="3" fontId="84" fillId="3" borderId="2" xfId="0" applyNumberFormat="1" applyFont="1" applyFill="1" applyBorder="1" applyAlignment="1" applyProtection="1">
      <alignment horizontal="center" vertical="center" wrapText="1"/>
    </xf>
    <xf numFmtId="3" fontId="84" fillId="3" borderId="12" xfId="0" applyNumberFormat="1" applyFont="1" applyFill="1" applyBorder="1" applyAlignment="1" applyProtection="1">
      <alignment horizontal="center" vertical="center" wrapText="1"/>
    </xf>
    <xf numFmtId="3" fontId="84" fillId="3" borderId="1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3" fillId="0" borderId="0" xfId="0" applyFont="1" applyBorder="1" applyAlignment="1" applyProtection="1">
      <alignment horizontal="center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573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9933FF"/>
      <color rgb="FF749B51"/>
      <color rgb="FF9F9F4D"/>
      <color rgb="FF5F648D"/>
      <color rgb="FF3EABAE"/>
      <color rgb="FFFF00FF"/>
      <color rgb="FFB408B8"/>
      <color rgb="FFBA9806"/>
      <color rgb="FF6D7749"/>
      <color rgb="FF5058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Пост по регион (2)"/>
      <sheetName val="TAB158"/>
      <sheetName val="ЭСЛАТМА!!"/>
      <sheetName val="Лист1"/>
      <sheetName val="Тегишилмасин"/>
      <sheetName val="Лист2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EV92"/>
  <sheetViews>
    <sheetView tabSelected="1" view="pageBreakPreview" zoomScaleNormal="75" zoomScaleSheetLayoutView="100" workbookViewId="0">
      <pane xSplit="2" ySplit="4" topLeftCell="C5" activePane="bottomRight" state="frozen"/>
      <selection activeCell="C11" sqref="C11"/>
      <selection pane="topRight" activeCell="C11" sqref="C11"/>
      <selection pane="bottomLeft" activeCell="C11" sqref="C11"/>
      <selection pane="bottomRight" activeCell="C18" sqref="C18"/>
    </sheetView>
  </sheetViews>
  <sheetFormatPr defaultRowHeight="15" customHeight="1"/>
  <cols>
    <col min="1" max="1" width="7" style="20" customWidth="1"/>
    <col min="2" max="2" width="85.42578125" style="24" customWidth="1"/>
    <col min="3" max="5" width="17.28515625" style="24" customWidth="1"/>
    <col min="6" max="8" width="16.42578125" style="480" customWidth="1"/>
    <col min="9" max="9" width="5.85546875" style="480" customWidth="1"/>
    <col min="10" max="10" width="13.28515625" style="480" customWidth="1"/>
    <col min="11" max="12" width="6.140625" style="223" customWidth="1"/>
    <col min="13" max="14" width="6.140625" style="24" customWidth="1"/>
    <col min="15" max="16384" width="9.140625" style="24"/>
  </cols>
  <sheetData>
    <row r="1" spans="1:15 16376:16376" ht="20.25">
      <c r="A1" s="521" t="s">
        <v>508</v>
      </c>
      <c r="B1" s="521"/>
      <c r="C1" s="521"/>
      <c r="D1" s="521"/>
      <c r="E1" s="248" t="s">
        <v>173</v>
      </c>
      <c r="G1" s="519" t="s">
        <v>576</v>
      </c>
    </row>
    <row r="2" spans="1:15 16376:16376" ht="15" customHeight="1">
      <c r="B2" s="393" t="str">
        <f>IF(D3&gt;0," "&amp;TEXT(D3,"д ММММ, гггг"),"Число,Месяц,Год")</f>
        <v xml:space="preserve"> 31 Декабрь, 2024</v>
      </c>
      <c r="C2" s="14"/>
      <c r="D2" s="224"/>
      <c r="E2" s="14"/>
    </row>
    <row r="3" spans="1:15 16376:16376" ht="15" customHeight="1">
      <c r="B3" s="434" t="s">
        <v>575</v>
      </c>
      <c r="D3" s="452">
        <v>45657</v>
      </c>
      <c r="E3" s="249" t="s">
        <v>174</v>
      </c>
    </row>
    <row r="4" spans="1:15 16376:16376" ht="43.5" customHeight="1">
      <c r="A4" s="108" t="s">
        <v>54</v>
      </c>
      <c r="B4" s="108" t="s">
        <v>175</v>
      </c>
      <c r="C4" s="108" t="s">
        <v>176</v>
      </c>
      <c r="D4" s="108" t="s">
        <v>177</v>
      </c>
      <c r="E4" s="108" t="s">
        <v>178</v>
      </c>
      <c r="F4" s="481"/>
      <c r="G4" s="481"/>
      <c r="H4" s="481"/>
      <c r="I4" s="481"/>
      <c r="J4" s="481"/>
      <c r="K4" s="173"/>
      <c r="L4" s="173"/>
      <c r="M4" s="23"/>
      <c r="N4" s="23"/>
      <c r="O4" s="23"/>
    </row>
    <row r="5" spans="1:15 16376:16376" ht="15" customHeight="1">
      <c r="A5" s="21">
        <v>1</v>
      </c>
      <c r="B5" s="250" t="s">
        <v>285</v>
      </c>
      <c r="C5" s="5">
        <f>+D5+E5</f>
        <v>874095566</v>
      </c>
      <c r="D5" s="5">
        <f>+'Bank Assets Analysis'!T6</f>
        <v>661579127</v>
      </c>
      <c r="E5" s="5">
        <f>+'Bank Assets Analysis'!U6</f>
        <v>212516439</v>
      </c>
      <c r="F5" s="481"/>
      <c r="G5" s="481"/>
      <c r="I5" s="481"/>
      <c r="J5" s="481">
        <f t="shared" ref="J5:J47" si="0">+C5-D5-E5</f>
        <v>0</v>
      </c>
      <c r="K5" s="173"/>
      <c r="L5" s="173"/>
      <c r="M5" s="23"/>
      <c r="N5" s="23"/>
      <c r="O5" s="23"/>
    </row>
    <row r="6" spans="1:15 16376:16376" ht="15" customHeight="1">
      <c r="A6" s="21">
        <v>2</v>
      </c>
      <c r="B6" s="250" t="s">
        <v>507</v>
      </c>
      <c r="C6" s="22">
        <f t="shared" ref="C6:C76" si="1">+D6+E6</f>
        <v>496195792</v>
      </c>
      <c r="D6" s="5">
        <f>+'Bank Assets Analysis'!T7+'Bank Assets Analysis'!T8</f>
        <v>496195792</v>
      </c>
      <c r="E6" s="5">
        <f>+'Bank Assets Analysis'!U7+'Bank Assets Analysis'!U8</f>
        <v>0</v>
      </c>
      <c r="F6" s="481"/>
      <c r="G6" s="481"/>
      <c r="I6" s="481"/>
      <c r="J6" s="481">
        <f t="shared" si="0"/>
        <v>0</v>
      </c>
      <c r="K6" s="173"/>
      <c r="L6" s="173"/>
      <c r="M6" s="23"/>
      <c r="N6" s="23"/>
      <c r="O6" s="23"/>
    </row>
    <row r="7" spans="1:15 16376:16376" ht="15" customHeight="1">
      <c r="A7" s="21">
        <v>3</v>
      </c>
      <c r="B7" s="348" t="s">
        <v>180</v>
      </c>
      <c r="C7" s="5">
        <f>+'Bank Assets Analysis'!S9</f>
        <v>1530859823</v>
      </c>
      <c r="D7" s="5">
        <f>+'Bank Assets Analysis'!T9</f>
        <v>75605011</v>
      </c>
      <c r="E7" s="5">
        <f>+'Bank Assets Analysis'!U9</f>
        <v>1455254812</v>
      </c>
      <c r="F7" s="481"/>
      <c r="G7" s="481"/>
      <c r="I7" s="481"/>
      <c r="J7" s="481">
        <f t="shared" si="0"/>
        <v>0</v>
      </c>
      <c r="K7" s="173"/>
      <c r="L7" s="173"/>
      <c r="M7" s="23"/>
      <c r="N7" s="23"/>
      <c r="O7" s="23"/>
    </row>
    <row r="8" spans="1:15 16376:16376" ht="15" customHeight="1">
      <c r="A8" s="21" t="s">
        <v>74</v>
      </c>
      <c r="B8" s="10" t="s">
        <v>181</v>
      </c>
      <c r="C8" s="5">
        <f t="shared" ref="C8" si="2">+D8+E8</f>
        <v>1530859823</v>
      </c>
      <c r="D8" s="3">
        <v>75605011</v>
      </c>
      <c r="E8" s="3">
        <v>1455254812</v>
      </c>
      <c r="F8" s="481"/>
      <c r="G8" s="481"/>
      <c r="I8" s="481"/>
      <c r="J8" s="481">
        <f t="shared" si="0"/>
        <v>0</v>
      </c>
      <c r="K8" s="173"/>
      <c r="L8" s="173"/>
      <c r="M8" s="23"/>
      <c r="N8" s="23"/>
      <c r="O8" s="23"/>
    </row>
    <row r="9" spans="1:15 16376:16376" ht="15" customHeight="1">
      <c r="A9" s="21" t="s">
        <v>75</v>
      </c>
      <c r="B9" s="10" t="s">
        <v>182</v>
      </c>
      <c r="C9" s="5">
        <f t="shared" si="1"/>
        <v>0</v>
      </c>
      <c r="D9" s="3">
        <v>0</v>
      </c>
      <c r="E9" s="3">
        <v>0</v>
      </c>
      <c r="F9" s="481"/>
      <c r="G9" s="481"/>
      <c r="I9" s="481"/>
      <c r="J9" s="481">
        <f t="shared" si="0"/>
        <v>0</v>
      </c>
      <c r="K9" s="173"/>
      <c r="L9" s="173"/>
      <c r="M9" s="23"/>
      <c r="N9" s="23"/>
      <c r="O9" s="23"/>
      <c r="XEV9" s="3"/>
    </row>
    <row r="10" spans="1:15 16376:16376" ht="15" customHeight="1">
      <c r="A10" s="21">
        <v>4</v>
      </c>
      <c r="B10" s="250" t="s">
        <v>183</v>
      </c>
      <c r="C10" s="5">
        <f>+D10+E10</f>
        <v>211358447</v>
      </c>
      <c r="D10" s="5">
        <f>+'Investment Securities'!C29</f>
        <v>211358447</v>
      </c>
      <c r="E10" s="5">
        <f>+'Investment Securities'!D29</f>
        <v>0</v>
      </c>
      <c r="F10" s="481"/>
      <c r="I10" s="481"/>
      <c r="J10" s="481">
        <f t="shared" si="0"/>
        <v>0</v>
      </c>
      <c r="K10" s="173"/>
      <c r="L10" s="173"/>
      <c r="M10" s="23"/>
      <c r="N10" s="23"/>
      <c r="O10" s="23"/>
    </row>
    <row r="11" spans="1:15 16376:16376" ht="15" customHeight="1">
      <c r="A11" s="21" t="s">
        <v>76</v>
      </c>
      <c r="B11" s="349" t="s">
        <v>184</v>
      </c>
      <c r="C11" s="5">
        <f t="shared" ref="C11:C13" si="3">+D11+E11</f>
        <v>217000000</v>
      </c>
      <c r="D11" s="5">
        <f>+'Investment Securities'!C26</f>
        <v>217000000</v>
      </c>
      <c r="E11" s="5">
        <f>+'Investment Securities'!D26</f>
        <v>0</v>
      </c>
      <c r="F11" s="481"/>
      <c r="G11" s="481"/>
      <c r="I11" s="481"/>
      <c r="J11" s="481">
        <f t="shared" si="0"/>
        <v>0</v>
      </c>
      <c r="K11" s="173"/>
      <c r="L11" s="173"/>
      <c r="M11" s="23"/>
      <c r="N11" s="23"/>
      <c r="O11" s="23"/>
    </row>
    <row r="12" spans="1:15 16376:16376" ht="25.5">
      <c r="A12" s="21" t="s">
        <v>20</v>
      </c>
      <c r="B12" s="10" t="s">
        <v>512</v>
      </c>
      <c r="C12" s="5">
        <f t="shared" si="3"/>
        <v>-5641553</v>
      </c>
      <c r="D12" s="5">
        <f>+'Investment Securities'!C27</f>
        <v>-5641553</v>
      </c>
      <c r="E12" s="5">
        <f>+'Investment Securities'!D27</f>
        <v>0</v>
      </c>
      <c r="F12" s="481"/>
      <c r="G12" s="481"/>
      <c r="I12" s="481"/>
      <c r="J12" s="481">
        <f t="shared" si="0"/>
        <v>0</v>
      </c>
      <c r="K12" s="173"/>
      <c r="L12" s="173"/>
      <c r="M12" s="23"/>
      <c r="N12" s="23"/>
      <c r="O12" s="23"/>
    </row>
    <row r="13" spans="1:15 16376:16376" ht="15" customHeight="1">
      <c r="A13" s="21" t="s">
        <v>21</v>
      </c>
      <c r="B13" s="349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F13" s="481"/>
      <c r="G13" s="481"/>
      <c r="I13" s="481"/>
      <c r="J13" s="481">
        <f t="shared" si="0"/>
        <v>0</v>
      </c>
      <c r="K13" s="173"/>
      <c r="L13" s="173"/>
      <c r="M13" s="23"/>
      <c r="N13" s="23"/>
      <c r="O13" s="23"/>
    </row>
    <row r="14" spans="1:15 16376:16376" ht="15" customHeight="1">
      <c r="A14" s="21">
        <v>5</v>
      </c>
      <c r="B14" s="250" t="s">
        <v>186</v>
      </c>
      <c r="C14" s="5">
        <f>+C15-C16</f>
        <v>175</v>
      </c>
      <c r="D14" s="5">
        <f>+'Investment Securities'!C39</f>
        <v>175</v>
      </c>
      <c r="E14" s="5">
        <f>+'Investment Securities'!D39</f>
        <v>0</v>
      </c>
      <c r="F14" s="481"/>
      <c r="G14" s="481"/>
      <c r="I14" s="481"/>
      <c r="J14" s="481">
        <f t="shared" si="0"/>
        <v>0</v>
      </c>
      <c r="K14" s="173"/>
      <c r="L14" s="173"/>
      <c r="M14" s="23"/>
      <c r="N14" s="23"/>
      <c r="O14" s="23"/>
    </row>
    <row r="15" spans="1:15 16376:16376" ht="15" customHeight="1">
      <c r="A15" s="21" t="s">
        <v>187</v>
      </c>
      <c r="B15" s="349" t="s">
        <v>188</v>
      </c>
      <c r="C15" s="5">
        <f t="shared" si="1"/>
        <v>175</v>
      </c>
      <c r="D15" s="5">
        <f>+'Investment Securities'!C37</f>
        <v>175</v>
      </c>
      <c r="E15" s="5">
        <f>+'Investment Securities'!D37</f>
        <v>0</v>
      </c>
      <c r="F15" s="481"/>
      <c r="G15" s="481"/>
      <c r="I15" s="481"/>
      <c r="J15" s="481">
        <f t="shared" si="0"/>
        <v>0</v>
      </c>
      <c r="K15" s="173"/>
      <c r="L15" s="173"/>
      <c r="M15" s="23"/>
      <c r="N15" s="23"/>
      <c r="O15" s="23"/>
    </row>
    <row r="16" spans="1:15 16376:16376" ht="15" customHeight="1">
      <c r="A16" s="21" t="s">
        <v>189</v>
      </c>
      <c r="B16" s="349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F16" s="481"/>
      <c r="G16" s="481"/>
      <c r="I16" s="481"/>
      <c r="J16" s="481">
        <f t="shared" si="0"/>
        <v>0</v>
      </c>
      <c r="K16" s="173"/>
      <c r="L16" s="173"/>
      <c r="M16" s="23"/>
      <c r="N16" s="23"/>
      <c r="O16" s="23"/>
    </row>
    <row r="17" spans="1:15" ht="15" customHeight="1">
      <c r="A17" s="21">
        <v>6</v>
      </c>
      <c r="B17" s="250" t="s">
        <v>190</v>
      </c>
      <c r="C17" s="5">
        <f>+'Investment Securities'!B15</f>
        <v>171402110</v>
      </c>
      <c r="D17" s="5">
        <f>+'Investment Securities'!C15</f>
        <v>171402110</v>
      </c>
      <c r="E17" s="5">
        <f>+'Investment Securities'!D15</f>
        <v>0</v>
      </c>
      <c r="F17" s="481"/>
      <c r="G17" s="481"/>
      <c r="I17" s="481"/>
      <c r="J17" s="481">
        <f t="shared" si="0"/>
        <v>0</v>
      </c>
      <c r="K17" s="173"/>
      <c r="L17" s="173"/>
      <c r="M17" s="23"/>
      <c r="N17" s="23"/>
      <c r="O17" s="23"/>
    </row>
    <row r="18" spans="1:15" ht="15" customHeight="1">
      <c r="A18" s="21" t="s">
        <v>191</v>
      </c>
      <c r="B18" s="349" t="s">
        <v>192</v>
      </c>
      <c r="C18" s="5">
        <f t="shared" si="1"/>
        <v>171417220</v>
      </c>
      <c r="D18" s="5">
        <f>+'Investment Securities'!C12</f>
        <v>171417220</v>
      </c>
      <c r="E18" s="5">
        <f>+'Investment Securities'!D12</f>
        <v>0</v>
      </c>
      <c r="F18" s="481"/>
      <c r="G18" s="481"/>
      <c r="I18" s="481"/>
      <c r="J18" s="481">
        <f t="shared" si="0"/>
        <v>0</v>
      </c>
      <c r="K18" s="173"/>
      <c r="L18" s="173"/>
      <c r="M18" s="23"/>
      <c r="N18" s="23"/>
      <c r="O18" s="23"/>
    </row>
    <row r="19" spans="1:15" ht="15" customHeight="1">
      <c r="A19" s="21" t="s">
        <v>193</v>
      </c>
      <c r="B19" s="10" t="s">
        <v>511</v>
      </c>
      <c r="C19" s="5">
        <f t="shared" si="1"/>
        <v>0</v>
      </c>
      <c r="D19" s="5">
        <f>+'Investment Securities'!C13</f>
        <v>0</v>
      </c>
      <c r="E19" s="5">
        <f>+'Investment Securities'!D13</f>
        <v>0</v>
      </c>
      <c r="F19" s="481"/>
      <c r="G19" s="481"/>
      <c r="I19" s="481"/>
      <c r="J19" s="481">
        <f t="shared" si="0"/>
        <v>0</v>
      </c>
      <c r="K19" s="173"/>
      <c r="L19" s="173"/>
      <c r="M19" s="23"/>
      <c r="N19" s="23"/>
      <c r="O19" s="23"/>
    </row>
    <row r="20" spans="1:15" ht="15" customHeight="1">
      <c r="A20" s="21" t="s">
        <v>510</v>
      </c>
      <c r="B20" s="349" t="s">
        <v>182</v>
      </c>
      <c r="C20" s="5">
        <f t="shared" si="1"/>
        <v>15110</v>
      </c>
      <c r="D20" s="5">
        <f>+'Investment Securities'!C14</f>
        <v>15110</v>
      </c>
      <c r="E20" s="5">
        <f>+'Investment Securities'!D14</f>
        <v>0</v>
      </c>
      <c r="F20" s="481"/>
      <c r="G20" s="481"/>
      <c r="I20" s="481"/>
      <c r="J20" s="481">
        <f t="shared" si="0"/>
        <v>0</v>
      </c>
      <c r="K20" s="173"/>
      <c r="L20" s="173"/>
      <c r="M20" s="23"/>
      <c r="N20" s="23"/>
      <c r="O20" s="23"/>
    </row>
    <row r="21" spans="1:15" ht="15" customHeight="1">
      <c r="A21" s="21">
        <v>7</v>
      </c>
      <c r="B21" s="250" t="s">
        <v>194</v>
      </c>
      <c r="C21" s="5">
        <f>+'Bank Assets Analysis'!S34</f>
        <v>0</v>
      </c>
      <c r="D21" s="5">
        <f>+'Bank Assets Analysis'!T34</f>
        <v>0</v>
      </c>
      <c r="E21" s="5">
        <f>+'Bank Assets Analysis'!U34</f>
        <v>0</v>
      </c>
      <c r="F21" s="481"/>
      <c r="G21" s="481"/>
      <c r="I21" s="481"/>
      <c r="J21" s="481">
        <f t="shared" si="0"/>
        <v>0</v>
      </c>
      <c r="K21" s="173"/>
      <c r="L21" s="173"/>
      <c r="M21" s="23"/>
      <c r="N21" s="23"/>
      <c r="O21" s="23"/>
    </row>
    <row r="22" spans="1:15" ht="15" customHeight="1">
      <c r="A22" s="21" t="s">
        <v>195</v>
      </c>
      <c r="B22" s="349" t="s">
        <v>196</v>
      </c>
      <c r="C22" s="5">
        <f t="shared" si="1"/>
        <v>0</v>
      </c>
      <c r="D22" s="3">
        <v>0</v>
      </c>
      <c r="E22" s="3">
        <v>0</v>
      </c>
      <c r="F22" s="481"/>
      <c r="G22" s="481"/>
      <c r="I22" s="481"/>
      <c r="J22" s="481">
        <f t="shared" si="0"/>
        <v>0</v>
      </c>
      <c r="K22" s="173"/>
      <c r="L22" s="173"/>
      <c r="M22" s="23"/>
      <c r="N22" s="23"/>
      <c r="O22" s="23"/>
    </row>
    <row r="23" spans="1:15" ht="15" customHeight="1">
      <c r="A23" s="21" t="s">
        <v>197</v>
      </c>
      <c r="B23" s="349" t="s">
        <v>185</v>
      </c>
      <c r="C23" s="5">
        <f t="shared" si="1"/>
        <v>0</v>
      </c>
      <c r="D23" s="3">
        <v>0</v>
      </c>
      <c r="E23" s="3">
        <v>0</v>
      </c>
      <c r="F23" s="481"/>
      <c r="G23" s="481"/>
      <c r="I23" s="481"/>
      <c r="J23" s="481">
        <f t="shared" si="0"/>
        <v>0</v>
      </c>
      <c r="K23" s="173"/>
      <c r="L23" s="173"/>
      <c r="M23" s="23"/>
      <c r="N23" s="23"/>
      <c r="O23" s="23"/>
    </row>
    <row r="24" spans="1:15" ht="15" customHeight="1">
      <c r="A24" s="21">
        <v>8</v>
      </c>
      <c r="B24" s="250" t="s">
        <v>198</v>
      </c>
      <c r="C24" s="5">
        <f>+'Bank Assets Analysis'!S29+'Bank Assets Analysis'!S30+'Bank Assets Analysis'!S32</f>
        <v>16924606170</v>
      </c>
      <c r="D24" s="5">
        <f>+'Bank Assets Analysis'!T29+'Bank Assets Analysis'!T30+'Bank Assets Analysis'!T32</f>
        <v>13221996067</v>
      </c>
      <c r="E24" s="5">
        <f>+'Bank Assets Analysis'!U29+'Bank Assets Analysis'!U30+'Bank Assets Analysis'!U32</f>
        <v>3702610103</v>
      </c>
      <c r="G24" s="481"/>
      <c r="I24" s="481"/>
      <c r="J24" s="481">
        <f t="shared" si="0"/>
        <v>0</v>
      </c>
      <c r="K24" s="173"/>
      <c r="L24" s="173"/>
      <c r="M24" s="23"/>
      <c r="N24" s="23"/>
      <c r="O24" s="23"/>
    </row>
    <row r="25" spans="1:15" ht="12.75">
      <c r="A25" s="21" t="s">
        <v>199</v>
      </c>
      <c r="B25" s="349" t="s">
        <v>200</v>
      </c>
      <c r="C25" s="5">
        <f t="shared" ref="C25:C26" si="4">+D25+E25</f>
        <v>17416357689</v>
      </c>
      <c r="D25" s="3">
        <v>13567075694</v>
      </c>
      <c r="E25" s="3">
        <v>3849281995</v>
      </c>
      <c r="F25" s="481"/>
      <c r="G25" s="481"/>
      <c r="I25" s="481"/>
      <c r="J25" s="481">
        <f t="shared" si="0"/>
        <v>0</v>
      </c>
      <c r="K25" s="173"/>
      <c r="L25" s="173"/>
      <c r="M25" s="23"/>
      <c r="N25" s="23"/>
      <c r="O25" s="23"/>
    </row>
    <row r="26" spans="1:15" ht="15" customHeight="1">
      <c r="A26" s="21" t="s">
        <v>201</v>
      </c>
      <c r="B26" s="349" t="s">
        <v>182</v>
      </c>
      <c r="C26" s="5">
        <f t="shared" si="4"/>
        <v>491751519</v>
      </c>
      <c r="D26" s="3">
        <v>345079627</v>
      </c>
      <c r="E26" s="3">
        <v>146671892</v>
      </c>
      <c r="F26" s="481"/>
      <c r="G26" s="481"/>
      <c r="I26" s="481"/>
      <c r="J26" s="481">
        <f t="shared" si="0"/>
        <v>0</v>
      </c>
      <c r="K26" s="173"/>
      <c r="L26" s="173"/>
      <c r="M26" s="23"/>
      <c r="N26" s="23"/>
      <c r="O26" s="23"/>
    </row>
    <row r="27" spans="1:15" ht="15" customHeight="1">
      <c r="A27" s="21">
        <v>9</v>
      </c>
      <c r="B27" s="250" t="s">
        <v>202</v>
      </c>
      <c r="C27" s="243">
        <f>+'Bank Assets Analysis'!S26+'Bank Assets Analysis'!S27</f>
        <v>30025798</v>
      </c>
      <c r="D27" s="243">
        <f>+'Bank Assets Analysis'!T26+'Bank Assets Analysis'!T27</f>
        <v>1400024</v>
      </c>
      <c r="E27" s="243">
        <f>+'Bank Assets Analysis'!U26+'Bank Assets Analysis'!U27</f>
        <v>28625774</v>
      </c>
      <c r="F27" s="481"/>
      <c r="G27" s="481"/>
      <c r="I27" s="481"/>
      <c r="J27" s="481">
        <f t="shared" si="0"/>
        <v>0</v>
      </c>
      <c r="K27" s="173"/>
      <c r="L27" s="173"/>
      <c r="M27" s="23"/>
      <c r="N27" s="23"/>
      <c r="O27" s="23"/>
    </row>
    <row r="28" spans="1:15" ht="15" customHeight="1">
      <c r="A28" s="21" t="s">
        <v>203</v>
      </c>
      <c r="B28" s="349" t="s">
        <v>204</v>
      </c>
      <c r="C28" s="5">
        <f t="shared" si="1"/>
        <v>30025798</v>
      </c>
      <c r="D28" s="3">
        <v>1400024</v>
      </c>
      <c r="E28" s="3">
        <v>28625774</v>
      </c>
      <c r="F28" s="481"/>
      <c r="G28" s="481"/>
      <c r="I28" s="481"/>
      <c r="J28" s="481">
        <f t="shared" si="0"/>
        <v>0</v>
      </c>
      <c r="K28" s="173"/>
      <c r="L28" s="173"/>
      <c r="M28" s="23"/>
      <c r="N28" s="23"/>
      <c r="O28" s="23"/>
    </row>
    <row r="29" spans="1:15" ht="15" customHeight="1">
      <c r="A29" s="21" t="s">
        <v>205</v>
      </c>
      <c r="B29" s="349" t="s">
        <v>182</v>
      </c>
      <c r="C29" s="5">
        <f t="shared" si="1"/>
        <v>0</v>
      </c>
      <c r="D29" s="3">
        <v>0</v>
      </c>
      <c r="E29" s="3">
        <v>0</v>
      </c>
      <c r="F29" s="481"/>
      <c r="G29" s="481"/>
      <c r="I29" s="481"/>
      <c r="J29" s="481">
        <f t="shared" si="0"/>
        <v>0</v>
      </c>
      <c r="K29" s="173"/>
      <c r="L29" s="173"/>
      <c r="M29" s="23"/>
      <c r="N29" s="23"/>
      <c r="O29" s="23"/>
    </row>
    <row r="30" spans="1:15" ht="15" customHeight="1">
      <c r="A30" s="21">
        <v>10</v>
      </c>
      <c r="B30" s="349" t="s">
        <v>206</v>
      </c>
      <c r="C30" s="5">
        <f>+'Bank Assets Analysis'!S37</f>
        <v>929814271</v>
      </c>
      <c r="D30" s="5">
        <f>+'Bank Assets Analysis'!T37</f>
        <v>929814271</v>
      </c>
      <c r="E30" s="5">
        <f>+'Bank Assets Analysis'!U37</f>
        <v>0</v>
      </c>
      <c r="F30" s="481"/>
      <c r="G30" s="481"/>
      <c r="I30" s="481"/>
      <c r="J30" s="481">
        <f t="shared" si="0"/>
        <v>0</v>
      </c>
      <c r="K30" s="173"/>
      <c r="L30" s="173"/>
      <c r="M30" s="23"/>
      <c r="N30" s="23"/>
      <c r="O30" s="23"/>
    </row>
    <row r="31" spans="1:15" ht="15" customHeight="1">
      <c r="A31" s="21">
        <v>11</v>
      </c>
      <c r="B31" s="349" t="s">
        <v>207</v>
      </c>
      <c r="C31" s="5">
        <f>+C32+C33-C34</f>
        <v>1529592132</v>
      </c>
      <c r="D31" s="5">
        <f>+D32+D33-D34</f>
        <v>1121196872</v>
      </c>
      <c r="E31" s="5">
        <f>+E32+E33-E34</f>
        <v>408395260</v>
      </c>
      <c r="F31" s="481"/>
      <c r="G31" s="481"/>
      <c r="I31" s="481"/>
      <c r="J31" s="481">
        <f t="shared" si="0"/>
        <v>0</v>
      </c>
      <c r="K31" s="173"/>
      <c r="L31" s="173"/>
      <c r="M31" s="23"/>
      <c r="N31" s="23"/>
      <c r="O31" s="23"/>
    </row>
    <row r="32" spans="1:15" ht="15" customHeight="1">
      <c r="A32" s="21" t="s">
        <v>208</v>
      </c>
      <c r="B32" s="349" t="s">
        <v>209</v>
      </c>
      <c r="C32" s="5">
        <f t="shared" ref="C32:C34" si="5">+D32+E32</f>
        <v>1536769538</v>
      </c>
      <c r="D32" s="3">
        <v>1128374278</v>
      </c>
      <c r="E32" s="3">
        <v>408395260</v>
      </c>
      <c r="F32" s="481"/>
      <c r="G32" s="481"/>
      <c r="I32" s="481"/>
      <c r="J32" s="481">
        <f t="shared" si="0"/>
        <v>0</v>
      </c>
      <c r="K32" s="173"/>
      <c r="L32" s="173"/>
      <c r="M32" s="23"/>
      <c r="N32" s="23"/>
      <c r="O32" s="23"/>
    </row>
    <row r="33" spans="1:15" ht="18" customHeight="1">
      <c r="A33" s="21" t="s">
        <v>210</v>
      </c>
      <c r="B33" s="349" t="s">
        <v>211</v>
      </c>
      <c r="C33" s="5">
        <f t="shared" si="5"/>
        <v>9666</v>
      </c>
      <c r="D33" s="3">
        <v>9666</v>
      </c>
      <c r="E33" s="3">
        <v>0</v>
      </c>
      <c r="F33" s="481"/>
      <c r="G33" s="481"/>
      <c r="I33" s="481"/>
      <c r="J33" s="481">
        <f t="shared" si="0"/>
        <v>0</v>
      </c>
      <c r="K33" s="173"/>
      <c r="L33" s="173"/>
      <c r="M33" s="23"/>
      <c r="N33" s="23"/>
      <c r="O33" s="23"/>
    </row>
    <row r="34" spans="1:15" ht="18" customHeight="1">
      <c r="A34" s="21" t="s">
        <v>212</v>
      </c>
      <c r="B34" s="349" t="s">
        <v>182</v>
      </c>
      <c r="C34" s="5">
        <f t="shared" si="5"/>
        <v>7187072</v>
      </c>
      <c r="D34" s="3">
        <v>7187072</v>
      </c>
      <c r="E34" s="3">
        <v>0</v>
      </c>
      <c r="F34" s="481"/>
      <c r="G34" s="481"/>
      <c r="I34" s="481"/>
      <c r="J34" s="481">
        <f t="shared" si="0"/>
        <v>0</v>
      </c>
      <c r="K34" s="173"/>
      <c r="L34" s="173"/>
      <c r="M34" s="23"/>
      <c r="N34" s="23"/>
      <c r="O34" s="23"/>
    </row>
    <row r="35" spans="1:15" ht="18" customHeight="1">
      <c r="A35" s="21">
        <v>12</v>
      </c>
      <c r="B35" s="250" t="s">
        <v>213</v>
      </c>
      <c r="C35" s="5">
        <f>+'Bank Assets Analysis'!S38</f>
        <v>408190381</v>
      </c>
      <c r="D35" s="5">
        <f>+'Bank Assets Analysis'!T38</f>
        <v>408190381</v>
      </c>
      <c r="E35" s="5">
        <f>+'Bank Assets Analysis'!U38</f>
        <v>0</v>
      </c>
      <c r="F35" s="481"/>
      <c r="G35" s="481"/>
      <c r="I35" s="481"/>
      <c r="J35" s="481">
        <f t="shared" si="0"/>
        <v>0</v>
      </c>
      <c r="K35" s="173"/>
      <c r="L35" s="173"/>
      <c r="M35" s="23"/>
      <c r="N35" s="23"/>
      <c r="O35" s="23"/>
    </row>
    <row r="36" spans="1:15" ht="18" customHeight="1">
      <c r="A36" s="21" t="s">
        <v>214</v>
      </c>
      <c r="B36" s="349" t="s">
        <v>215</v>
      </c>
      <c r="C36" s="5">
        <f t="shared" ref="C36:C38" si="6">+D36+E36</f>
        <v>493820560</v>
      </c>
      <c r="D36" s="3">
        <v>493820560</v>
      </c>
      <c r="E36" s="3">
        <v>0</v>
      </c>
      <c r="F36" s="481"/>
      <c r="G36" s="481"/>
      <c r="I36" s="481"/>
      <c r="J36" s="481">
        <f t="shared" si="0"/>
        <v>0</v>
      </c>
      <c r="K36" s="173"/>
      <c r="L36" s="173"/>
      <c r="M36" s="23"/>
      <c r="N36" s="23"/>
      <c r="O36" s="23"/>
    </row>
    <row r="37" spans="1:15" ht="18" customHeight="1">
      <c r="A37" s="21" t="s">
        <v>216</v>
      </c>
      <c r="B37" s="349" t="s">
        <v>217</v>
      </c>
      <c r="C37" s="5">
        <f t="shared" si="6"/>
        <v>0</v>
      </c>
      <c r="D37" s="3">
        <v>0</v>
      </c>
      <c r="E37" s="3">
        <v>0</v>
      </c>
      <c r="F37" s="481"/>
      <c r="G37" s="481"/>
      <c r="I37" s="481"/>
      <c r="J37" s="481">
        <f t="shared" si="0"/>
        <v>0</v>
      </c>
      <c r="K37" s="173"/>
      <c r="L37" s="173"/>
      <c r="M37" s="23"/>
      <c r="N37" s="23"/>
      <c r="O37" s="23"/>
    </row>
    <row r="38" spans="1:15" ht="25.5">
      <c r="A38" s="21" t="s">
        <v>218</v>
      </c>
      <c r="B38" s="350" t="s">
        <v>513</v>
      </c>
      <c r="C38" s="5">
        <f t="shared" si="6"/>
        <v>85630179</v>
      </c>
      <c r="D38" s="3">
        <v>85630179</v>
      </c>
      <c r="E38" s="3">
        <v>0</v>
      </c>
      <c r="F38" s="481"/>
      <c r="G38" s="481"/>
      <c r="I38" s="481"/>
      <c r="J38" s="481">
        <f t="shared" si="0"/>
        <v>0</v>
      </c>
      <c r="K38" s="173"/>
      <c r="L38" s="173"/>
      <c r="M38" s="23"/>
      <c r="N38" s="23"/>
      <c r="O38" s="23"/>
    </row>
    <row r="39" spans="1:15" s="20" customFormat="1" ht="15" customHeight="1">
      <c r="A39" s="21">
        <v>13</v>
      </c>
      <c r="B39" s="351" t="s">
        <v>519</v>
      </c>
      <c r="C39" s="243">
        <f>+D39+E39</f>
        <v>123714035</v>
      </c>
      <c r="D39" s="243">
        <f>+D40+D41+D42</f>
        <v>123714035</v>
      </c>
      <c r="E39" s="243">
        <f>+E40+E41+E42</f>
        <v>0</v>
      </c>
      <c r="F39" s="482"/>
      <c r="G39" s="482"/>
      <c r="H39" s="483"/>
      <c r="I39" s="482"/>
      <c r="J39" s="482">
        <f>+C39-D39-E39</f>
        <v>0</v>
      </c>
      <c r="K39" s="352"/>
      <c r="L39" s="352"/>
      <c r="M39" s="353"/>
      <c r="N39" s="353"/>
      <c r="O39" s="353"/>
    </row>
    <row r="40" spans="1:15" s="20" customFormat="1" ht="15" customHeight="1">
      <c r="A40" s="21" t="s">
        <v>16</v>
      </c>
      <c r="B40" s="351" t="s">
        <v>520</v>
      </c>
      <c r="C40" s="243">
        <f>+D40+E40</f>
        <v>123714035</v>
      </c>
      <c r="D40" s="28">
        <v>123714035</v>
      </c>
      <c r="E40" s="28">
        <v>0</v>
      </c>
      <c r="F40" s="482"/>
      <c r="G40" s="482"/>
      <c r="H40" s="483"/>
      <c r="I40" s="482"/>
      <c r="J40" s="482">
        <f>+C40-D40-E40</f>
        <v>0</v>
      </c>
      <c r="K40" s="352"/>
      <c r="L40" s="352"/>
      <c r="M40" s="353"/>
      <c r="N40" s="353"/>
      <c r="O40" s="353"/>
    </row>
    <row r="41" spans="1:15" s="20" customFormat="1" ht="15" customHeight="1">
      <c r="A41" s="21" t="s">
        <v>172</v>
      </c>
      <c r="B41" s="351" t="s">
        <v>521</v>
      </c>
      <c r="C41" s="243">
        <f>+D41+E41</f>
        <v>0</v>
      </c>
      <c r="D41" s="28">
        <v>0</v>
      </c>
      <c r="E41" s="28">
        <v>0</v>
      </c>
      <c r="F41" s="482"/>
      <c r="G41" s="482"/>
      <c r="H41" s="483"/>
      <c r="I41" s="482"/>
      <c r="J41" s="482">
        <f>+C41-D41-E41</f>
        <v>0</v>
      </c>
      <c r="K41" s="352"/>
      <c r="L41" s="352"/>
      <c r="M41" s="353"/>
      <c r="N41" s="353"/>
      <c r="O41" s="353"/>
    </row>
    <row r="42" spans="1:15" s="20" customFormat="1" ht="20.25" customHeight="1">
      <c r="A42" s="21" t="s">
        <v>219</v>
      </c>
      <c r="B42" s="351" t="s">
        <v>522</v>
      </c>
      <c r="C42" s="243">
        <f>+D42+E42</f>
        <v>0</v>
      </c>
      <c r="D42" s="28">
        <v>0</v>
      </c>
      <c r="E42" s="28">
        <v>0</v>
      </c>
      <c r="F42" s="482"/>
      <c r="G42" s="482"/>
      <c r="H42" s="483"/>
      <c r="I42" s="482"/>
      <c r="J42" s="482">
        <f>+C42-D42-E42</f>
        <v>0</v>
      </c>
      <c r="K42" s="352"/>
      <c r="L42" s="352"/>
      <c r="M42" s="353"/>
      <c r="N42" s="353"/>
      <c r="O42" s="353"/>
    </row>
    <row r="43" spans="1:15" ht="18" customHeight="1">
      <c r="A43" s="21">
        <v>14</v>
      </c>
      <c r="B43" s="250" t="s">
        <v>220</v>
      </c>
      <c r="C43" s="5">
        <f>+C44-C45+C46</f>
        <v>560100294</v>
      </c>
      <c r="D43" s="5">
        <f>+D44-D45+D46</f>
        <v>528538874</v>
      </c>
      <c r="E43" s="5">
        <f>+E44-E45+E46</f>
        <v>31561420</v>
      </c>
      <c r="F43" s="481"/>
      <c r="G43" s="481"/>
      <c r="I43" s="481"/>
      <c r="J43" s="481">
        <f t="shared" si="0"/>
        <v>0</v>
      </c>
      <c r="K43" s="173"/>
      <c r="L43" s="173"/>
      <c r="M43" s="23"/>
      <c r="N43" s="23"/>
      <c r="O43" s="23"/>
    </row>
    <row r="44" spans="1:15" ht="18" customHeight="1">
      <c r="A44" s="21" t="s">
        <v>221</v>
      </c>
      <c r="B44" s="349" t="s">
        <v>222</v>
      </c>
      <c r="C44" s="25">
        <f t="shared" si="1"/>
        <v>592274972</v>
      </c>
      <c r="D44" s="3">
        <v>560713552</v>
      </c>
      <c r="E44" s="3">
        <v>31561420</v>
      </c>
      <c r="F44" s="481"/>
      <c r="G44" s="481"/>
      <c r="H44" s="481"/>
      <c r="I44" s="481"/>
      <c r="J44" s="481">
        <f t="shared" si="0"/>
        <v>0</v>
      </c>
      <c r="K44" s="173"/>
      <c r="L44" s="173"/>
      <c r="M44" s="23"/>
      <c r="N44" s="23"/>
      <c r="O44" s="23"/>
    </row>
    <row r="45" spans="1:15" ht="15" customHeight="1">
      <c r="A45" s="21" t="s">
        <v>223</v>
      </c>
      <c r="B45" s="349" t="s">
        <v>182</v>
      </c>
      <c r="C45" s="25">
        <f t="shared" si="1"/>
        <v>32174678</v>
      </c>
      <c r="D45" s="3">
        <v>32174678</v>
      </c>
      <c r="E45" s="3">
        <v>0</v>
      </c>
      <c r="F45" s="481"/>
      <c r="G45" s="481"/>
      <c r="H45" s="481"/>
      <c r="I45" s="481"/>
      <c r="J45" s="481">
        <f t="shared" si="0"/>
        <v>0</v>
      </c>
      <c r="K45" s="173"/>
      <c r="L45" s="173"/>
      <c r="M45" s="23"/>
      <c r="N45" s="23"/>
      <c r="O45" s="23"/>
    </row>
    <row r="46" spans="1:15" ht="15" customHeight="1">
      <c r="A46" s="21" t="s">
        <v>224</v>
      </c>
      <c r="B46" s="349" t="s">
        <v>225</v>
      </c>
      <c r="C46" s="214">
        <v>0</v>
      </c>
      <c r="D46" s="5"/>
      <c r="E46" s="5"/>
      <c r="F46" s="481"/>
      <c r="G46" s="481"/>
      <c r="H46" s="481"/>
      <c r="I46" s="481"/>
      <c r="J46" s="481">
        <f>+C46-D46-E46</f>
        <v>0</v>
      </c>
      <c r="K46" s="173"/>
      <c r="L46" s="173"/>
      <c r="M46" s="23"/>
      <c r="N46" s="23"/>
      <c r="O46" s="23"/>
    </row>
    <row r="47" spans="1:15" ht="15" customHeight="1">
      <c r="A47" s="354" t="s">
        <v>226</v>
      </c>
      <c r="B47" s="355" t="s">
        <v>227</v>
      </c>
      <c r="C47" s="26">
        <f>+D47+E47</f>
        <v>23542526924</v>
      </c>
      <c r="D47" s="26">
        <f>+D5+D6+D7+D10+D14+D17+D21+D24+D27+D30+D31+D35-D39+D43</f>
        <v>17703563116</v>
      </c>
      <c r="E47" s="26">
        <f>+E5+E6+E7+E10+E14+E17+E21+E24+E27+E30+E31+E35-E39+E43</f>
        <v>5838963808</v>
      </c>
      <c r="F47" s="481">
        <f>+'Bank Assets Analysis'!S47</f>
        <v>23542526924</v>
      </c>
      <c r="G47" s="481">
        <f>+'Bank Assets Analysis'!T47</f>
        <v>17703563116</v>
      </c>
      <c r="H47" s="481">
        <f>+'Bank Assets Analysis'!U47</f>
        <v>5838963808</v>
      </c>
      <c r="I47" s="481"/>
      <c r="J47" s="481">
        <f t="shared" si="0"/>
        <v>0</v>
      </c>
      <c r="K47" s="173"/>
      <c r="L47" s="173"/>
      <c r="M47" s="23"/>
      <c r="N47" s="23"/>
      <c r="O47" s="23"/>
    </row>
    <row r="48" spans="1:15" ht="15" customHeight="1">
      <c r="A48" s="21"/>
      <c r="B48" s="356"/>
      <c r="C48" s="5"/>
      <c r="D48" s="5"/>
      <c r="E48" s="5"/>
      <c r="F48" s="481"/>
      <c r="G48" s="481"/>
      <c r="H48" s="481"/>
      <c r="I48" s="481"/>
      <c r="J48" s="481"/>
      <c r="K48" s="173"/>
      <c r="L48" s="173"/>
      <c r="M48" s="23"/>
      <c r="N48" s="23"/>
      <c r="O48" s="23"/>
    </row>
    <row r="49" spans="1:15" ht="15" customHeight="1">
      <c r="A49" s="21"/>
      <c r="B49" s="357" t="s">
        <v>228</v>
      </c>
      <c r="C49" s="5"/>
      <c r="D49" s="5"/>
      <c r="E49" s="5"/>
      <c r="F49" s="481"/>
      <c r="G49" s="481"/>
      <c r="H49" s="481"/>
      <c r="I49" s="481"/>
      <c r="J49" s="481"/>
      <c r="K49" s="173"/>
      <c r="L49" s="173"/>
      <c r="M49" s="23"/>
      <c r="N49" s="23"/>
      <c r="O49" s="23"/>
    </row>
    <row r="50" spans="1:15" ht="16.5" customHeight="1">
      <c r="A50" s="21" t="s">
        <v>229</v>
      </c>
      <c r="B50" s="250" t="s">
        <v>230</v>
      </c>
      <c r="C50" s="6">
        <f>+'Deposits by Client'!C11</f>
        <v>1285696444</v>
      </c>
      <c r="D50" s="29">
        <f>+'Bank Liabilities Analysis'!T15+'Bank Liabilities Analysis'!T7</f>
        <v>1226371112</v>
      </c>
      <c r="E50" s="6">
        <f>+'Bank Liabilities Analysis'!U15+'Bank Liabilities Analysis'!U7</f>
        <v>59325332</v>
      </c>
      <c r="F50" s="481"/>
      <c r="G50" s="481"/>
      <c r="H50" s="481"/>
      <c r="I50" s="481"/>
      <c r="J50" s="481">
        <f t="shared" ref="J50:J78" si="7">+C50-D50-E50</f>
        <v>0</v>
      </c>
      <c r="K50" s="173"/>
      <c r="L50" s="173"/>
      <c r="M50" s="23"/>
      <c r="N50" s="23"/>
      <c r="O50" s="23"/>
    </row>
    <row r="51" spans="1:15" ht="16.5" customHeight="1">
      <c r="A51" s="21" t="s">
        <v>231</v>
      </c>
      <c r="B51" s="250" t="s">
        <v>232</v>
      </c>
      <c r="C51" s="6">
        <f>+'Deposits by Client'!C20</f>
        <v>6546231387</v>
      </c>
      <c r="D51" s="29">
        <f>+'Bank Liabilities Analysis'!T12</f>
        <v>5716628500</v>
      </c>
      <c r="E51" s="6">
        <f>+'Bank Liabilities Analysis'!U12</f>
        <v>829602887</v>
      </c>
      <c r="F51" s="481"/>
      <c r="G51" s="481"/>
      <c r="H51" s="481"/>
      <c r="I51" s="481"/>
      <c r="J51" s="481">
        <f t="shared" si="7"/>
        <v>0</v>
      </c>
      <c r="K51" s="173"/>
      <c r="L51" s="173"/>
      <c r="M51" s="23"/>
      <c r="N51" s="23"/>
      <c r="O51" s="23"/>
    </row>
    <row r="52" spans="1:15" ht="16.5" customHeight="1">
      <c r="A52" s="21" t="s">
        <v>233</v>
      </c>
      <c r="B52" s="250" t="s">
        <v>234</v>
      </c>
      <c r="C52" s="6">
        <f>+'Bank Liabilities Analysis'!S21</f>
        <v>189146</v>
      </c>
      <c r="D52" s="5">
        <f>+'Bank Liabilities Analysis'!T21</f>
        <v>189146</v>
      </c>
      <c r="E52" s="5">
        <f>+'Bank Liabilities Analysis'!U21</f>
        <v>0</v>
      </c>
      <c r="F52" s="481"/>
      <c r="G52" s="481"/>
      <c r="H52" s="481"/>
      <c r="I52" s="481"/>
      <c r="J52" s="481">
        <f t="shared" si="7"/>
        <v>0</v>
      </c>
      <c r="K52" s="173"/>
      <c r="L52" s="173"/>
      <c r="M52" s="23"/>
      <c r="N52" s="23"/>
      <c r="O52" s="23"/>
    </row>
    <row r="53" spans="1:15" ht="16.5" customHeight="1">
      <c r="A53" s="21" t="s">
        <v>235</v>
      </c>
      <c r="B53" s="250" t="s">
        <v>236</v>
      </c>
      <c r="C53" s="6">
        <f>+'Bank Liabilities Analysis'!S23</f>
        <v>1608892614</v>
      </c>
      <c r="D53" s="5">
        <f>+'Bank Liabilities Analysis'!T23</f>
        <v>1541712564</v>
      </c>
      <c r="E53" s="5">
        <f>+'Bank Liabilities Analysis'!U23</f>
        <v>67180050</v>
      </c>
      <c r="F53" s="481"/>
      <c r="G53" s="481"/>
      <c r="H53" s="481"/>
      <c r="I53" s="481"/>
      <c r="J53" s="481">
        <f t="shared" si="7"/>
        <v>0</v>
      </c>
      <c r="K53" s="173"/>
      <c r="L53" s="173"/>
      <c r="M53" s="23"/>
      <c r="N53" s="23"/>
      <c r="O53" s="23"/>
    </row>
    <row r="54" spans="1:15" ht="16.5" customHeight="1">
      <c r="A54" s="21" t="s">
        <v>237</v>
      </c>
      <c r="B54" s="348" t="s">
        <v>238</v>
      </c>
      <c r="C54" s="6">
        <f>+'Bank Liabilities Analysis'!S33</f>
        <v>0</v>
      </c>
      <c r="D54" s="5">
        <f>+'Bank Liabilities Analysis'!T33</f>
        <v>0</v>
      </c>
      <c r="E54" s="5">
        <f>+'Bank Liabilities Analysis'!U33</f>
        <v>0</v>
      </c>
      <c r="F54" s="481"/>
      <c r="G54" s="481"/>
      <c r="H54" s="481"/>
      <c r="I54" s="481"/>
      <c r="J54" s="481">
        <f t="shared" si="7"/>
        <v>0</v>
      </c>
      <c r="K54" s="173"/>
      <c r="L54" s="173"/>
      <c r="M54" s="23"/>
      <c r="N54" s="23"/>
      <c r="O54" s="23"/>
    </row>
    <row r="55" spans="1:15" ht="16.5" customHeight="1">
      <c r="A55" s="21" t="s">
        <v>239</v>
      </c>
      <c r="B55" s="250" t="s">
        <v>240</v>
      </c>
      <c r="C55" s="6">
        <f t="shared" si="1"/>
        <v>9083115850</v>
      </c>
      <c r="D55" s="3">
        <v>4178534103</v>
      </c>
      <c r="E55" s="3">
        <v>4904581747</v>
      </c>
      <c r="F55" s="481"/>
      <c r="G55" s="481"/>
      <c r="H55" s="481"/>
      <c r="I55" s="481"/>
      <c r="J55" s="481">
        <f t="shared" si="7"/>
        <v>0</v>
      </c>
      <c r="K55" s="173"/>
      <c r="L55" s="173"/>
      <c r="M55" s="23"/>
      <c r="N55" s="23"/>
      <c r="O55" s="23"/>
    </row>
    <row r="56" spans="1:15" ht="16.5" customHeight="1">
      <c r="A56" s="21" t="s">
        <v>241</v>
      </c>
      <c r="B56" s="250" t="s">
        <v>242</v>
      </c>
      <c r="C56" s="6">
        <f t="shared" si="1"/>
        <v>0</v>
      </c>
      <c r="D56" s="3">
        <v>0</v>
      </c>
      <c r="E56" s="3">
        <v>0</v>
      </c>
      <c r="F56" s="481"/>
      <c r="G56" s="481"/>
      <c r="H56" s="481"/>
      <c r="I56" s="481"/>
      <c r="J56" s="481">
        <f t="shared" si="7"/>
        <v>0</v>
      </c>
      <c r="K56" s="173"/>
      <c r="L56" s="173"/>
      <c r="M56" s="23"/>
      <c r="N56" s="23"/>
      <c r="O56" s="23"/>
    </row>
    <row r="57" spans="1:15" ht="16.5" customHeight="1">
      <c r="A57" s="21" t="s">
        <v>243</v>
      </c>
      <c r="B57" s="358" t="s">
        <v>514</v>
      </c>
      <c r="C57" s="6">
        <f t="shared" si="1"/>
        <v>689295951</v>
      </c>
      <c r="D57" s="3">
        <v>689295951</v>
      </c>
      <c r="E57" s="3">
        <v>0</v>
      </c>
      <c r="F57" s="481"/>
      <c r="G57" s="481"/>
      <c r="H57" s="481"/>
      <c r="I57" s="481"/>
      <c r="J57" s="481">
        <f t="shared" si="7"/>
        <v>0</v>
      </c>
      <c r="K57" s="173"/>
      <c r="L57" s="173"/>
      <c r="M57" s="23"/>
      <c r="N57" s="23"/>
      <c r="O57" s="23"/>
    </row>
    <row r="58" spans="1:15" ht="16.5" customHeight="1">
      <c r="A58" s="21" t="s">
        <v>245</v>
      </c>
      <c r="B58" s="250" t="s">
        <v>246</v>
      </c>
      <c r="C58" s="6">
        <f>+'Bank Liabilities Analysis'!S38+'Bank Liabilities Analysis'!S39+'Bank Liabilities Analysis'!S40</f>
        <v>189165603</v>
      </c>
      <c r="D58" s="6">
        <f>+'Bank Liabilities Analysis'!T38+'Bank Liabilities Analysis'!T39+'Bank Liabilities Analysis'!T40</f>
        <v>122272764</v>
      </c>
      <c r="E58" s="6">
        <f>+'Bank Liabilities Analysis'!U38+'Bank Liabilities Analysis'!U39+'Bank Liabilities Analysis'!U40</f>
        <v>66892839</v>
      </c>
      <c r="F58" s="481"/>
      <c r="G58" s="481"/>
      <c r="H58" s="481"/>
      <c r="I58" s="481"/>
      <c r="J58" s="481">
        <f t="shared" si="7"/>
        <v>0</v>
      </c>
      <c r="K58" s="173"/>
      <c r="L58" s="173"/>
      <c r="M58" s="23"/>
      <c r="N58" s="23"/>
      <c r="O58" s="23"/>
    </row>
    <row r="59" spans="1:15" ht="16.5" customHeight="1">
      <c r="A59" s="21" t="s">
        <v>247</v>
      </c>
      <c r="B59" s="250" t="s">
        <v>248</v>
      </c>
      <c r="C59" s="6">
        <f t="shared" si="1"/>
        <v>28963183</v>
      </c>
      <c r="D59" s="3">
        <v>28963183</v>
      </c>
      <c r="E59" s="3">
        <v>0</v>
      </c>
      <c r="F59" s="481"/>
      <c r="G59" s="481"/>
      <c r="H59" s="481"/>
      <c r="I59" s="481"/>
      <c r="J59" s="481">
        <f t="shared" si="7"/>
        <v>0</v>
      </c>
      <c r="K59" s="173"/>
      <c r="L59" s="173"/>
      <c r="M59" s="23"/>
      <c r="N59" s="23"/>
      <c r="O59" s="23"/>
    </row>
    <row r="60" spans="1:15" ht="16.5" customHeight="1">
      <c r="A60" s="21" t="s">
        <v>249</v>
      </c>
      <c r="B60" s="250" t="s">
        <v>250</v>
      </c>
      <c r="C60" s="6">
        <f>+'Bank Liabilities Analysis'!S37</f>
        <v>7186322</v>
      </c>
      <c r="D60" s="5">
        <f>+'Bank Liabilities Analysis'!T37</f>
        <v>7186322</v>
      </c>
      <c r="E60" s="5">
        <f>+'Bank Liabilities Analysis'!U37</f>
        <v>0</v>
      </c>
      <c r="F60" s="481"/>
      <c r="G60" s="481"/>
      <c r="H60" s="481"/>
      <c r="I60" s="481"/>
      <c r="J60" s="481">
        <f t="shared" si="7"/>
        <v>0</v>
      </c>
      <c r="K60" s="173"/>
      <c r="L60" s="173"/>
      <c r="M60" s="23"/>
      <c r="N60" s="23"/>
      <c r="O60" s="23"/>
    </row>
    <row r="61" spans="1:15" ht="17.25" customHeight="1">
      <c r="A61" s="21" t="s">
        <v>251</v>
      </c>
      <c r="B61" s="348" t="s">
        <v>252</v>
      </c>
      <c r="C61" s="6">
        <f t="shared" si="1"/>
        <v>0</v>
      </c>
      <c r="D61" s="3">
        <v>0</v>
      </c>
      <c r="E61" s="3">
        <v>0</v>
      </c>
      <c r="F61" s="481"/>
      <c r="G61" s="481"/>
      <c r="H61" s="481"/>
      <c r="I61" s="481"/>
      <c r="J61" s="481">
        <f t="shared" si="7"/>
        <v>0</v>
      </c>
      <c r="K61" s="173"/>
      <c r="L61" s="173"/>
      <c r="M61" s="23"/>
      <c r="N61" s="23"/>
      <c r="O61" s="23"/>
    </row>
    <row r="62" spans="1:15" ht="16.5" customHeight="1">
      <c r="A62" s="21" t="s">
        <v>253</v>
      </c>
      <c r="B62" s="250" t="s">
        <v>254</v>
      </c>
      <c r="C62" s="6">
        <f t="shared" si="1"/>
        <v>553176700</v>
      </c>
      <c r="D62" s="3">
        <f>459739789+133545</f>
        <v>459873334</v>
      </c>
      <c r="E62" s="3">
        <v>93303366</v>
      </c>
      <c r="F62" s="481"/>
      <c r="G62" s="481"/>
      <c r="H62" s="481"/>
      <c r="I62" s="481"/>
      <c r="J62" s="481">
        <f t="shared" si="7"/>
        <v>0</v>
      </c>
      <c r="K62" s="173"/>
      <c r="L62" s="173"/>
      <c r="M62" s="23"/>
      <c r="N62" s="23"/>
      <c r="O62" s="23"/>
    </row>
    <row r="63" spans="1:15" ht="16.5" customHeight="1">
      <c r="A63" s="359" t="s">
        <v>255</v>
      </c>
      <c r="B63" s="360" t="s">
        <v>256</v>
      </c>
      <c r="C63" s="27">
        <f t="shared" si="1"/>
        <v>19991913200</v>
      </c>
      <c r="D63" s="27">
        <f>SUM(D50:D62)</f>
        <v>13971026979</v>
      </c>
      <c r="E63" s="27">
        <f>SUM(E50:E62)</f>
        <v>6020886221</v>
      </c>
      <c r="F63" s="480">
        <f>+'Bank Liabilities Analysis'!S42</f>
        <v>19991913200</v>
      </c>
      <c r="G63" s="480">
        <f>+'Bank Liabilities Analysis'!T42</f>
        <v>13971026979</v>
      </c>
      <c r="H63" s="480">
        <f>+'Bank Liabilities Analysis'!U42</f>
        <v>6020886221</v>
      </c>
      <c r="I63" s="481"/>
      <c r="J63" s="481">
        <f t="shared" si="7"/>
        <v>0</v>
      </c>
      <c r="K63" s="173"/>
      <c r="L63" s="173"/>
      <c r="M63" s="23"/>
      <c r="N63" s="23"/>
      <c r="O63" s="23"/>
    </row>
    <row r="64" spans="1:15" ht="6.75" customHeight="1">
      <c r="A64" s="21"/>
      <c r="B64" s="361"/>
      <c r="C64" s="6"/>
      <c r="D64" s="6"/>
      <c r="E64" s="6"/>
      <c r="F64" s="481"/>
      <c r="G64" s="481"/>
      <c r="H64" s="481"/>
      <c r="I64" s="481"/>
      <c r="J64" s="481"/>
      <c r="K64" s="173"/>
      <c r="L64" s="173"/>
      <c r="M64" s="23"/>
      <c r="N64" s="23"/>
      <c r="O64" s="23"/>
    </row>
    <row r="65" spans="1:30" ht="15" customHeight="1">
      <c r="A65" s="362"/>
      <c r="B65" s="357" t="s">
        <v>257</v>
      </c>
      <c r="C65" s="5"/>
      <c r="D65" s="5"/>
      <c r="E65" s="5"/>
      <c r="F65" s="481"/>
      <c r="G65" s="481"/>
      <c r="H65" s="481"/>
      <c r="I65" s="481"/>
      <c r="J65" s="481"/>
      <c r="K65" s="173"/>
      <c r="L65" s="173"/>
      <c r="M65" s="23"/>
      <c r="N65" s="23"/>
      <c r="O65" s="23"/>
    </row>
    <row r="66" spans="1:30" ht="6.75" customHeight="1">
      <c r="A66" s="21"/>
      <c r="B66" s="361"/>
      <c r="C66" s="6"/>
      <c r="D66" s="6"/>
      <c r="E66" s="6"/>
      <c r="F66" s="481"/>
      <c r="G66" s="481"/>
      <c r="H66" s="481"/>
      <c r="I66" s="481"/>
      <c r="J66" s="481"/>
      <c r="K66" s="173"/>
      <c r="L66" s="173"/>
      <c r="M66" s="23"/>
      <c r="N66" s="23"/>
      <c r="O66" s="23"/>
    </row>
    <row r="67" spans="1:30" ht="15" customHeight="1">
      <c r="A67" s="359" t="s">
        <v>258</v>
      </c>
      <c r="B67" s="250" t="s">
        <v>259</v>
      </c>
      <c r="C67" s="338">
        <f>+C68+C69</f>
        <v>5117484735</v>
      </c>
      <c r="D67" s="338">
        <f t="shared" ref="D67:E67" si="8">+D68+D69</f>
        <v>5117484735</v>
      </c>
      <c r="E67" s="338">
        <f t="shared" si="8"/>
        <v>0</v>
      </c>
      <c r="F67" s="481"/>
      <c r="G67" s="481"/>
      <c r="H67" s="481"/>
      <c r="I67" s="481"/>
      <c r="J67" s="481">
        <f t="shared" si="7"/>
        <v>0</v>
      </c>
      <c r="K67" s="173"/>
      <c r="L67" s="173"/>
      <c r="M67" s="23"/>
      <c r="N67" s="23"/>
      <c r="O67" s="23"/>
    </row>
    <row r="68" spans="1:30" ht="15" customHeight="1">
      <c r="A68" s="362" t="s">
        <v>260</v>
      </c>
      <c r="B68" s="349" t="s">
        <v>261</v>
      </c>
      <c r="C68" s="5">
        <f t="shared" ref="C68:C70" si="9">+D68+E68</f>
        <v>5117340555</v>
      </c>
      <c r="D68" s="28">
        <v>5117340555</v>
      </c>
      <c r="E68" s="28">
        <v>0</v>
      </c>
      <c r="F68" s="481"/>
      <c r="G68" s="481"/>
      <c r="H68" s="481"/>
      <c r="I68" s="481"/>
      <c r="J68" s="481">
        <f t="shared" si="7"/>
        <v>0</v>
      </c>
      <c r="K68" s="173"/>
      <c r="L68" s="173"/>
      <c r="M68" s="23"/>
      <c r="N68" s="23"/>
      <c r="O68" s="23"/>
    </row>
    <row r="69" spans="1:30" ht="15" customHeight="1">
      <c r="A69" s="21" t="s">
        <v>262</v>
      </c>
      <c r="B69" s="349" t="s">
        <v>263</v>
      </c>
      <c r="C69" s="5">
        <f t="shared" si="9"/>
        <v>144180</v>
      </c>
      <c r="D69" s="3">
        <v>144180</v>
      </c>
      <c r="E69" s="3">
        <v>0</v>
      </c>
      <c r="F69" s="481"/>
      <c r="G69" s="481"/>
      <c r="H69" s="481"/>
      <c r="I69" s="481"/>
      <c r="J69" s="481">
        <f t="shared" si="7"/>
        <v>0</v>
      </c>
      <c r="K69" s="173"/>
      <c r="L69" s="173"/>
      <c r="M69" s="23"/>
      <c r="N69" s="23"/>
      <c r="O69" s="23"/>
    </row>
    <row r="70" spans="1:30" ht="15" customHeight="1">
      <c r="A70" s="21" t="s">
        <v>264</v>
      </c>
      <c r="B70" s="250" t="s">
        <v>517</v>
      </c>
      <c r="C70" s="5">
        <f t="shared" si="9"/>
        <v>0</v>
      </c>
      <c r="D70" s="3">
        <v>0</v>
      </c>
      <c r="E70" s="3">
        <v>0</v>
      </c>
      <c r="F70" s="481"/>
      <c r="G70" s="481"/>
      <c r="H70" s="481"/>
      <c r="I70" s="481"/>
      <c r="J70" s="481">
        <f t="shared" si="7"/>
        <v>0</v>
      </c>
      <c r="K70" s="173"/>
      <c r="L70" s="173"/>
      <c r="M70" s="23"/>
      <c r="N70" s="23"/>
      <c r="O70" s="23"/>
    </row>
    <row r="71" spans="1:30" ht="15" customHeight="1">
      <c r="A71" s="21" t="s">
        <v>265</v>
      </c>
      <c r="B71" s="363" t="s">
        <v>266</v>
      </c>
      <c r="C71" s="338">
        <f>+C72+C73+C74</f>
        <v>33074689</v>
      </c>
      <c r="D71" s="338">
        <f>+D72+D73+D74</f>
        <v>33074689</v>
      </c>
      <c r="E71" s="338">
        <f>+E72+E73+E74</f>
        <v>0</v>
      </c>
      <c r="F71" s="481"/>
      <c r="G71" s="481"/>
      <c r="H71" s="481"/>
      <c r="I71" s="481"/>
      <c r="J71" s="481">
        <f t="shared" si="7"/>
        <v>0</v>
      </c>
      <c r="K71" s="173"/>
      <c r="L71" s="173"/>
      <c r="M71" s="23"/>
      <c r="N71" s="23"/>
      <c r="O71" s="23"/>
    </row>
    <row r="72" spans="1:30" ht="15" customHeight="1">
      <c r="A72" s="21" t="s">
        <v>267</v>
      </c>
      <c r="B72" s="364" t="s">
        <v>268</v>
      </c>
      <c r="C72" s="6">
        <f t="shared" si="1"/>
        <v>27856391</v>
      </c>
      <c r="D72" s="3">
        <v>27856391</v>
      </c>
      <c r="E72" s="3">
        <v>0</v>
      </c>
      <c r="F72" s="481"/>
      <c r="G72" s="481"/>
      <c r="H72" s="481"/>
      <c r="I72" s="481"/>
      <c r="J72" s="481">
        <f t="shared" si="7"/>
        <v>0</v>
      </c>
      <c r="K72" s="173"/>
      <c r="L72" s="173"/>
      <c r="M72" s="23"/>
      <c r="N72" s="23"/>
      <c r="O72" s="23"/>
    </row>
    <row r="73" spans="1:30" ht="15" customHeight="1">
      <c r="A73" s="21" t="s">
        <v>269</v>
      </c>
      <c r="B73" s="364" t="s">
        <v>271</v>
      </c>
      <c r="C73" s="5">
        <f t="shared" si="1"/>
        <v>0</v>
      </c>
      <c r="D73" s="3">
        <v>0</v>
      </c>
      <c r="E73" s="3">
        <v>0</v>
      </c>
      <c r="F73" s="481"/>
      <c r="G73" s="481"/>
      <c r="H73" s="481"/>
      <c r="I73" s="481"/>
      <c r="J73" s="481">
        <f t="shared" si="7"/>
        <v>0</v>
      </c>
      <c r="K73" s="173"/>
      <c r="L73" s="173"/>
      <c r="M73" s="23"/>
      <c r="N73" s="23"/>
      <c r="O73" s="23"/>
    </row>
    <row r="74" spans="1:30" ht="15" customHeight="1">
      <c r="A74" s="21" t="s">
        <v>270</v>
      </c>
      <c r="B74" s="364" t="s">
        <v>515</v>
      </c>
      <c r="C74" s="6">
        <f t="shared" si="1"/>
        <v>5218298</v>
      </c>
      <c r="D74" s="3">
        <v>5218298</v>
      </c>
      <c r="E74" s="3">
        <v>0</v>
      </c>
      <c r="F74" s="481"/>
      <c r="G74" s="481"/>
      <c r="H74" s="481"/>
      <c r="I74" s="481"/>
      <c r="J74" s="481">
        <f t="shared" si="7"/>
        <v>0</v>
      </c>
      <c r="K74" s="173"/>
      <c r="L74" s="173"/>
      <c r="M74" s="23"/>
      <c r="N74" s="23"/>
      <c r="O74" s="23"/>
    </row>
    <row r="75" spans="1:30" ht="15" customHeight="1">
      <c r="A75" s="21" t="s">
        <v>272</v>
      </c>
      <c r="B75" s="363" t="s">
        <v>273</v>
      </c>
      <c r="C75" s="6">
        <f t="shared" si="1"/>
        <v>-1599945700</v>
      </c>
      <c r="D75" s="3">
        <v>-1599945700</v>
      </c>
      <c r="E75" s="3">
        <v>0</v>
      </c>
      <c r="F75" s="481"/>
      <c r="G75" s="481"/>
      <c r="H75" s="481"/>
      <c r="I75" s="481"/>
      <c r="J75" s="481">
        <f t="shared" si="7"/>
        <v>0</v>
      </c>
      <c r="K75" s="173"/>
      <c r="L75" s="173"/>
      <c r="M75" s="23"/>
      <c r="N75" s="23"/>
      <c r="O75" s="23"/>
    </row>
    <row r="76" spans="1:30" ht="15" customHeight="1">
      <c r="A76" s="21" t="s">
        <v>274</v>
      </c>
      <c r="B76" s="364" t="s">
        <v>516</v>
      </c>
      <c r="C76" s="6">
        <f t="shared" si="1"/>
        <v>-1703797521</v>
      </c>
      <c r="D76" s="3">
        <v>-1703797521</v>
      </c>
      <c r="E76" s="3">
        <v>0</v>
      </c>
      <c r="F76" s="481"/>
      <c r="G76" s="481"/>
      <c r="H76" s="481"/>
      <c r="I76" s="481"/>
      <c r="J76" s="481">
        <f t="shared" si="7"/>
        <v>0</v>
      </c>
      <c r="K76" s="173"/>
      <c r="L76" s="173"/>
      <c r="M76" s="23"/>
      <c r="N76" s="23"/>
      <c r="O76" s="23"/>
    </row>
    <row r="77" spans="1:30" ht="15" customHeight="1">
      <c r="A77" s="365" t="s">
        <v>275</v>
      </c>
      <c r="B77" s="360" t="s">
        <v>276</v>
      </c>
      <c r="C77" s="337">
        <f>+C67+C70+C71+C75</f>
        <v>3550613724</v>
      </c>
      <c r="D77" s="337">
        <f>+D67+D70+D71+D75</f>
        <v>3550613724</v>
      </c>
      <c r="E77" s="337">
        <f>+E67+E70+E71+E75</f>
        <v>0</v>
      </c>
      <c r="F77" s="481"/>
      <c r="G77" s="481"/>
      <c r="H77" s="481"/>
      <c r="I77" s="481"/>
      <c r="J77" s="481">
        <f t="shared" si="7"/>
        <v>0</v>
      </c>
      <c r="K77" s="173"/>
      <c r="L77" s="173"/>
      <c r="M77" s="23"/>
      <c r="N77" s="23"/>
      <c r="O77" s="23"/>
    </row>
    <row r="78" spans="1:30" ht="15" customHeight="1">
      <c r="A78" s="365" t="s">
        <v>277</v>
      </c>
      <c r="B78" s="366" t="s">
        <v>278</v>
      </c>
      <c r="C78" s="26">
        <f>+D78+E78</f>
        <v>23542526924</v>
      </c>
      <c r="D78" s="26">
        <f>+D63+D77</f>
        <v>17521640703</v>
      </c>
      <c r="E78" s="26">
        <f>+E63+E77</f>
        <v>6020886221</v>
      </c>
      <c r="F78" s="481"/>
      <c r="G78" s="481"/>
      <c r="H78" s="481"/>
      <c r="I78" s="481"/>
      <c r="J78" s="481">
        <f t="shared" si="7"/>
        <v>0</v>
      </c>
      <c r="K78" s="173"/>
      <c r="L78" s="173"/>
      <c r="M78" s="23"/>
      <c r="N78" s="23"/>
      <c r="O78" s="23"/>
    </row>
    <row r="79" spans="1:30" ht="15" customHeight="1">
      <c r="A79" s="23"/>
      <c r="B79" s="23"/>
      <c r="C79" s="23"/>
      <c r="D79" s="23"/>
      <c r="E79" s="23"/>
      <c r="F79" s="481"/>
      <c r="G79" s="481"/>
      <c r="H79" s="481"/>
      <c r="I79" s="481"/>
      <c r="J79" s="481"/>
      <c r="K79" s="173"/>
      <c r="L79" s="173"/>
      <c r="M79" s="23"/>
      <c r="N79" s="23"/>
      <c r="O79" s="23"/>
    </row>
    <row r="80" spans="1:30" ht="15" customHeight="1">
      <c r="A80" s="23"/>
      <c r="B80" s="225" t="s">
        <v>536</v>
      </c>
      <c r="C80" s="23"/>
      <c r="D80" s="23"/>
      <c r="E80" s="23"/>
      <c r="F80" s="481"/>
      <c r="G80" s="481"/>
      <c r="H80" s="481"/>
      <c r="I80" s="481"/>
      <c r="J80" s="481"/>
      <c r="K80" s="173"/>
      <c r="L80" s="173"/>
      <c r="M80" s="17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ht="11.25" customHeight="1">
      <c r="A81" s="23"/>
      <c r="B81" s="225"/>
      <c r="C81" s="23"/>
      <c r="D81" s="23"/>
      <c r="E81" s="23"/>
      <c r="F81" s="481"/>
      <c r="G81" s="481"/>
      <c r="H81" s="481"/>
      <c r="I81" s="481"/>
      <c r="J81" s="481"/>
      <c r="K81" s="173"/>
      <c r="L81" s="173"/>
      <c r="M81" s="17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spans="1:30" ht="15" customHeight="1">
      <c r="A82" s="23"/>
      <c r="B82" s="225" t="s">
        <v>535</v>
      </c>
      <c r="C82" s="23"/>
      <c r="D82" s="23"/>
      <c r="E82" s="23"/>
      <c r="F82" s="481"/>
      <c r="G82" s="481"/>
      <c r="H82" s="481"/>
      <c r="I82" s="481"/>
      <c r="J82" s="481"/>
      <c r="K82" s="173"/>
      <c r="L82" s="173"/>
      <c r="M82" s="17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spans="1:30" ht="11.25" customHeight="1">
      <c r="A83" s="23"/>
      <c r="B83" s="225"/>
      <c r="C83" s="23"/>
      <c r="D83" s="23"/>
      <c r="E83" s="23"/>
      <c r="F83" s="481"/>
      <c r="G83" s="481"/>
      <c r="H83" s="481"/>
      <c r="I83" s="481"/>
      <c r="J83" s="481"/>
      <c r="K83" s="173"/>
      <c r="L83" s="17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1:30" ht="15" customHeight="1">
      <c r="A84" s="23"/>
      <c r="B84" s="225"/>
      <c r="C84" s="23"/>
      <c r="D84" s="23"/>
      <c r="E84" s="23"/>
      <c r="F84" s="481"/>
      <c r="G84" s="481"/>
      <c r="H84" s="481"/>
      <c r="I84" s="481"/>
      <c r="J84" s="481"/>
      <c r="K84" s="173"/>
      <c r="L84" s="17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1:30" ht="15" customHeight="1">
      <c r="A85" s="23"/>
      <c r="B85" s="23"/>
      <c r="C85" s="23"/>
      <c r="D85" s="23"/>
      <c r="E85" s="23"/>
      <c r="F85" s="481"/>
      <c r="G85" s="481"/>
      <c r="H85" s="481"/>
      <c r="I85" s="481"/>
      <c r="J85" s="481"/>
      <c r="K85" s="173"/>
      <c r="L85" s="17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spans="1:30" s="227" customFormat="1" ht="15" customHeight="1">
      <c r="A86" s="212"/>
      <c r="B86" s="212"/>
      <c r="C86" s="453">
        <f>+C47-C78</f>
        <v>0</v>
      </c>
      <c r="D86" s="212"/>
      <c r="E86" s="212"/>
      <c r="F86" s="481"/>
      <c r="G86" s="481"/>
      <c r="H86" s="481"/>
      <c r="I86" s="481"/>
      <c r="J86" s="481"/>
      <c r="K86" s="226"/>
      <c r="L86" s="226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</row>
    <row r="87" spans="1:30" s="227" customFormat="1" ht="15" customHeight="1">
      <c r="A87" s="212"/>
      <c r="B87" s="212"/>
      <c r="C87" s="212"/>
      <c r="D87" s="212"/>
      <c r="E87" s="212"/>
      <c r="F87" s="481"/>
      <c r="G87" s="481"/>
      <c r="H87" s="481"/>
      <c r="I87" s="481"/>
      <c r="J87" s="481"/>
      <c r="K87" s="226"/>
      <c r="L87" s="226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</row>
    <row r="88" spans="1:30" s="227" customFormat="1" ht="15" customHeight="1">
      <c r="A88" s="212"/>
      <c r="B88" s="212"/>
      <c r="C88" s="212"/>
      <c r="D88" s="212"/>
      <c r="E88" s="212"/>
      <c r="F88" s="481"/>
      <c r="G88" s="481"/>
      <c r="H88" s="481"/>
      <c r="I88" s="481"/>
      <c r="J88" s="481"/>
      <c r="K88" s="226"/>
      <c r="L88" s="226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</row>
    <row r="89" spans="1:30" ht="15" customHeight="1">
      <c r="A89" s="23"/>
      <c r="B89" s="23"/>
      <c r="C89" s="23"/>
      <c r="D89" s="23"/>
      <c r="E89" s="23"/>
      <c r="F89" s="481"/>
      <c r="G89" s="481"/>
      <c r="H89" s="481"/>
      <c r="I89" s="481"/>
      <c r="J89" s="481"/>
      <c r="K89" s="173"/>
      <c r="L89" s="17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 spans="1:30" ht="15" customHeight="1">
      <c r="A90" s="23"/>
      <c r="B90" s="23"/>
      <c r="C90" s="23"/>
      <c r="D90" s="23"/>
      <c r="E90" s="23"/>
      <c r="F90" s="481"/>
      <c r="G90" s="481"/>
      <c r="H90" s="481"/>
      <c r="I90" s="481"/>
      <c r="J90" s="481"/>
      <c r="K90" s="173"/>
      <c r="L90" s="17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 spans="1:30" ht="15" customHeight="1">
      <c r="A91" s="23"/>
      <c r="G91" s="481"/>
      <c r="H91" s="481"/>
      <c r="I91" s="481"/>
      <c r="J91" s="481"/>
      <c r="K91" s="173"/>
      <c r="L91" s="17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 spans="1:30" ht="15" customHeight="1">
      <c r="A92" s="23"/>
    </row>
  </sheetData>
  <sheetProtection password="CACA" sheet="1" objects="1" scenarios="1"/>
  <mergeCells count="1">
    <mergeCell ref="A1:D1"/>
  </mergeCells>
  <phoneticPr fontId="14" type="noConversion"/>
  <conditionalFormatting sqref="C63">
    <cfRule type="cellIs" dxfId="572" priority="71" operator="notEqual">
      <formula>$F$63</formula>
    </cfRule>
    <cfRule type="cellIs" dxfId="571" priority="106" operator="notEqual">
      <formula>$D$63+$E$63</formula>
    </cfRule>
  </conditionalFormatting>
  <conditionalFormatting sqref="C78">
    <cfRule type="cellIs" dxfId="570" priority="70" operator="notEqual">
      <formula>$C$47</formula>
    </cfRule>
    <cfRule type="cellIs" dxfId="569" priority="103" operator="notEqual">
      <formula>$C$47</formula>
    </cfRule>
  </conditionalFormatting>
  <conditionalFormatting sqref="C51">
    <cfRule type="cellIs" dxfId="568" priority="95" operator="notEqual">
      <formula>$D$51+$E$51</formula>
    </cfRule>
  </conditionalFormatting>
  <conditionalFormatting sqref="D63">
    <cfRule type="cellIs" dxfId="567" priority="72" operator="notEqual">
      <formula>$G$63</formula>
    </cfRule>
  </conditionalFormatting>
  <conditionalFormatting sqref="E63">
    <cfRule type="cellIs" dxfId="566" priority="190" operator="notEqual">
      <formula>$H$63</formula>
    </cfRule>
  </conditionalFormatting>
  <conditionalFormatting sqref="C21:D21">
    <cfRule type="cellIs" dxfId="565" priority="62" operator="notEqual">
      <formula>$D$22-$D$23</formula>
    </cfRule>
  </conditionalFormatting>
  <conditionalFormatting sqref="E21">
    <cfRule type="cellIs" dxfId="564" priority="61" operator="notEqual">
      <formula>$E$22-$E$23</formula>
    </cfRule>
  </conditionalFormatting>
  <conditionalFormatting sqref="C62 C59 C50:C55 C57">
    <cfRule type="cellIs" dxfId="563" priority="56" operator="notEqual">
      <formula>D50+E50</formula>
    </cfRule>
  </conditionalFormatting>
  <conditionalFormatting sqref="C47">
    <cfRule type="cellIs" dxfId="562" priority="47" operator="notEqual">
      <formula>$F$47</formula>
    </cfRule>
  </conditionalFormatting>
  <conditionalFormatting sqref="C7">
    <cfRule type="cellIs" dxfId="561" priority="44" operator="notEqual">
      <formula>+$D$7+$E$7</formula>
    </cfRule>
  </conditionalFormatting>
  <conditionalFormatting sqref="C35">
    <cfRule type="cellIs" dxfId="560" priority="38" operator="notEqual">
      <formula>$C$36+$C$37-$C$38</formula>
    </cfRule>
  </conditionalFormatting>
  <conditionalFormatting sqref="D35">
    <cfRule type="cellIs" dxfId="559" priority="37" operator="notEqual">
      <formula>$D$36+$D$37-$D$38</formula>
    </cfRule>
  </conditionalFormatting>
  <conditionalFormatting sqref="E35">
    <cfRule type="cellIs" dxfId="558" priority="35" operator="notEqual">
      <formula>$E$36+$E$37-$E$38</formula>
    </cfRule>
  </conditionalFormatting>
  <conditionalFormatting sqref="E43">
    <cfRule type="cellIs" dxfId="557" priority="34" operator="notEqual">
      <formula>$E$44-$E$45+$E$46</formula>
    </cfRule>
  </conditionalFormatting>
  <conditionalFormatting sqref="C24">
    <cfRule type="cellIs" dxfId="556" priority="31" operator="notEqual">
      <formula>C25-C26</formula>
    </cfRule>
  </conditionalFormatting>
  <conditionalFormatting sqref="D24:E24">
    <cfRule type="cellIs" dxfId="555" priority="30" operator="notEqual">
      <formula>D25-D26</formula>
    </cfRule>
  </conditionalFormatting>
  <conditionalFormatting sqref="C27">
    <cfRule type="cellIs" dxfId="554" priority="29" operator="notEqual">
      <formula>C28-C29</formula>
    </cfRule>
  </conditionalFormatting>
  <conditionalFormatting sqref="C39">
    <cfRule type="cellIs" dxfId="553" priority="27" operator="notEqual">
      <formula>C40+C41+C42</formula>
    </cfRule>
  </conditionalFormatting>
  <conditionalFormatting sqref="D39">
    <cfRule type="cellIs" dxfId="552" priority="26" operator="notEqual">
      <formula>D40+D41+D42</formula>
    </cfRule>
  </conditionalFormatting>
  <conditionalFormatting sqref="C43">
    <cfRule type="cellIs" dxfId="551" priority="25" operator="notEqual">
      <formula>C44-C45+C46</formula>
    </cfRule>
  </conditionalFormatting>
  <conditionalFormatting sqref="C17">
    <cfRule type="cellIs" dxfId="550" priority="23" operator="notEqual">
      <formula>C18+C19-C20</formula>
    </cfRule>
  </conditionalFormatting>
  <conditionalFormatting sqref="C14">
    <cfRule type="cellIs" dxfId="549" priority="21" operator="notEqual">
      <formula>C15-C16</formula>
    </cfRule>
  </conditionalFormatting>
  <conditionalFormatting sqref="D14:E14">
    <cfRule type="cellIs" dxfId="548" priority="20" operator="notEqual">
      <formula>D15-D16</formula>
    </cfRule>
  </conditionalFormatting>
  <conditionalFormatting sqref="C7">
    <cfRule type="cellIs" dxfId="547" priority="17" operator="notEqual">
      <formula>C8-C9</formula>
    </cfRule>
  </conditionalFormatting>
  <conditionalFormatting sqref="E7">
    <cfRule type="cellIs" dxfId="546" priority="16" operator="notEqual">
      <formula>E8-E9</formula>
    </cfRule>
  </conditionalFormatting>
  <conditionalFormatting sqref="C56">
    <cfRule type="cellIs" dxfId="545" priority="13" operator="notEqual">
      <formula>D56+E56</formula>
    </cfRule>
  </conditionalFormatting>
  <conditionalFormatting sqref="D47">
    <cfRule type="cellIs" dxfId="544" priority="5" operator="notEqual">
      <formula>$G$47</formula>
    </cfRule>
  </conditionalFormatting>
  <conditionalFormatting sqref="D27">
    <cfRule type="cellIs" dxfId="543" priority="4" operator="notEqual">
      <formula>D28-D29</formula>
    </cfRule>
  </conditionalFormatting>
  <conditionalFormatting sqref="E27">
    <cfRule type="cellIs" dxfId="542" priority="3" operator="notEqual">
      <formula>E28-E29</formula>
    </cfRule>
  </conditionalFormatting>
  <conditionalFormatting sqref="C61">
    <cfRule type="cellIs" dxfId="541" priority="2" operator="notEqual">
      <formula>D61+E61</formula>
    </cfRule>
  </conditionalFormatting>
  <conditionalFormatting sqref="E47">
    <cfRule type="cellIs" dxfId="540" priority="1" operator="notEqual">
      <formula>$H$47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D72:D76 D55:D62 E58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46 D28 D36:D38"/>
    <dataValidation type="date" operator="greaterThan" allowBlank="1" showInputMessage="1" showErrorMessage="1" prompt="Введите дату в формате ЧЧ.ММ.ГГГГ" sqref="D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2" orientation="portrait" r:id="rId1"/>
  <headerFooter alignWithMargins="0"/>
  <ignoredErrors>
    <ignoredError sqref="C60 C43:C45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1" customWidth="1"/>
    <col min="2" max="2" width="105.140625" style="31" customWidth="1"/>
    <col min="3" max="3" width="19.7109375" style="64" customWidth="1"/>
    <col min="4" max="4" width="10.28515625" style="116" bestFit="1" customWidth="1"/>
    <col min="5" max="5" width="19.42578125" style="117" bestFit="1" customWidth="1"/>
    <col min="6" max="6" width="9.28515625" style="116" bestFit="1" customWidth="1"/>
    <col min="7" max="7" width="9.140625" style="116"/>
    <col min="8" max="8" width="17.42578125" style="116" bestFit="1" customWidth="1"/>
    <col min="9" max="16384" width="9.140625" style="31"/>
  </cols>
  <sheetData>
    <row r="1" spans="1:8" ht="23.25" customHeight="1">
      <c r="A1" s="522" t="s">
        <v>152</v>
      </c>
      <c r="B1" s="523"/>
      <c r="C1" s="30" t="s">
        <v>151</v>
      </c>
    </row>
    <row r="2" spans="1:8">
      <c r="A2" s="66"/>
      <c r="B2" s="66"/>
      <c r="C2" s="66"/>
    </row>
    <row r="3" spans="1:8" ht="15.75">
      <c r="A3" s="32"/>
      <c r="B3" s="83" t="str">
        <f>Balance!B3</f>
        <v>"MKBANK"</v>
      </c>
      <c r="C3" s="82">
        <f>+Balance!D3</f>
        <v>45657</v>
      </c>
    </row>
    <row r="4" spans="1:8" s="33" customFormat="1" ht="43.5" customHeight="1">
      <c r="A4" s="108" t="s">
        <v>54</v>
      </c>
      <c r="B4" s="108" t="s">
        <v>31</v>
      </c>
      <c r="C4" s="108" t="s">
        <v>2</v>
      </c>
      <c r="D4" s="118"/>
      <c r="E4" s="119"/>
      <c r="F4" s="118"/>
      <c r="G4" s="118"/>
      <c r="H4" s="118"/>
    </row>
    <row r="5" spans="1:8" ht="12.75" customHeight="1">
      <c r="A5" s="99" t="s">
        <v>32</v>
      </c>
      <c r="B5" s="35" t="s">
        <v>77</v>
      </c>
      <c r="C5" s="36"/>
    </row>
    <row r="6" spans="1:8" ht="12.75" customHeight="1">
      <c r="A6" s="34">
        <v>1</v>
      </c>
      <c r="B6" s="35" t="s">
        <v>78</v>
      </c>
      <c r="C6" s="37"/>
    </row>
    <row r="7" spans="1:8" s="44" customFormat="1" ht="18" customHeight="1">
      <c r="A7" s="41" t="s">
        <v>81</v>
      </c>
      <c r="B7" s="42" t="s">
        <v>79</v>
      </c>
      <c r="C7" s="72" t="s">
        <v>72</v>
      </c>
      <c r="D7" s="120"/>
      <c r="E7" s="79"/>
      <c r="F7" s="120"/>
      <c r="G7" s="120"/>
      <c r="H7" s="120"/>
    </row>
    <row r="8" spans="1:8" s="33" customFormat="1" ht="18" customHeight="1">
      <c r="A8" s="51" t="s">
        <v>33</v>
      </c>
      <c r="B8" s="105" t="s">
        <v>34</v>
      </c>
      <c r="C8" s="67"/>
      <c r="D8" s="118"/>
      <c r="E8" s="119"/>
      <c r="F8" s="118"/>
      <c r="G8" s="118"/>
      <c r="H8" s="118"/>
    </row>
    <row r="9" spans="1:8" s="33" customFormat="1" ht="18" customHeight="1">
      <c r="A9" s="51" t="s">
        <v>35</v>
      </c>
      <c r="B9" s="105" t="s">
        <v>36</v>
      </c>
      <c r="C9" s="68"/>
      <c r="D9" s="118"/>
      <c r="E9" s="119"/>
      <c r="F9" s="118"/>
      <c r="G9" s="118"/>
      <c r="H9" s="118"/>
    </row>
    <row r="10" spans="1:8" s="44" customFormat="1" ht="18" customHeight="1">
      <c r="A10" s="41" t="s">
        <v>82</v>
      </c>
      <c r="B10" s="42" t="s">
        <v>80</v>
      </c>
      <c r="C10" s="76">
        <v>0</v>
      </c>
      <c r="D10" s="120"/>
      <c r="E10" s="79"/>
      <c r="F10" s="120"/>
      <c r="G10" s="120"/>
      <c r="H10" s="120"/>
    </row>
    <row r="11" spans="1:8" s="33" customFormat="1" ht="18" customHeight="1">
      <c r="A11" s="51" t="s">
        <v>83</v>
      </c>
      <c r="B11" s="105" t="s">
        <v>84</v>
      </c>
      <c r="C11" s="72" t="s">
        <v>72</v>
      </c>
      <c r="D11" s="118"/>
      <c r="E11" s="119"/>
      <c r="F11" s="118"/>
      <c r="G11" s="118"/>
      <c r="H11" s="118"/>
    </row>
    <row r="12" spans="1:8" s="33" customFormat="1" ht="18" customHeight="1">
      <c r="A12" s="51" t="s">
        <v>39</v>
      </c>
      <c r="B12" s="105" t="s">
        <v>42</v>
      </c>
      <c r="C12" s="78"/>
      <c r="D12" s="118"/>
      <c r="E12" s="119"/>
      <c r="F12" s="118"/>
      <c r="G12" s="118"/>
      <c r="H12" s="118"/>
    </row>
    <row r="13" spans="1:8" s="33" customFormat="1" ht="18" customHeight="1">
      <c r="A13" s="46" t="s">
        <v>35</v>
      </c>
      <c r="B13" s="106" t="s">
        <v>43</v>
      </c>
      <c r="C13" s="78"/>
      <c r="D13" s="118"/>
      <c r="E13" s="119"/>
      <c r="F13" s="118"/>
      <c r="G13" s="118"/>
      <c r="H13" s="118"/>
    </row>
    <row r="14" spans="1:8" s="44" customFormat="1" ht="18" customHeight="1">
      <c r="A14" s="56" t="s">
        <v>37</v>
      </c>
      <c r="B14" s="103" t="s">
        <v>85</v>
      </c>
      <c r="C14" s="75"/>
      <c r="D14" s="120"/>
      <c r="E14" s="79"/>
      <c r="F14" s="120"/>
      <c r="G14" s="120"/>
      <c r="H14" s="120"/>
    </row>
    <row r="15" spans="1:8" s="44" customFormat="1" ht="18" customHeight="1">
      <c r="A15" s="56" t="s">
        <v>44</v>
      </c>
      <c r="B15" s="103" t="s">
        <v>86</v>
      </c>
      <c r="C15" s="75"/>
      <c r="D15" s="120"/>
      <c r="E15" s="79"/>
      <c r="F15" s="120"/>
      <c r="G15" s="120"/>
      <c r="H15" s="120"/>
    </row>
    <row r="16" spans="1:8" s="33" customFormat="1" ht="18" customHeight="1">
      <c r="A16" s="46" t="s">
        <v>87</v>
      </c>
      <c r="B16" s="106" t="s">
        <v>45</v>
      </c>
      <c r="C16" s="76"/>
      <c r="D16" s="118"/>
      <c r="E16" s="119"/>
      <c r="F16" s="118"/>
      <c r="G16" s="118"/>
      <c r="H16" s="118"/>
    </row>
    <row r="17" spans="1:8" s="33" customFormat="1" ht="18" customHeight="1">
      <c r="A17" s="46" t="s">
        <v>88</v>
      </c>
      <c r="B17" s="106" t="s">
        <v>3</v>
      </c>
      <c r="C17" s="76"/>
      <c r="D17" s="118"/>
      <c r="E17" s="119"/>
      <c r="F17" s="118"/>
      <c r="G17" s="118"/>
      <c r="H17" s="118"/>
    </row>
    <row r="18" spans="1:8" s="33" customFormat="1" ht="18" customHeight="1">
      <c r="A18" s="46"/>
      <c r="B18" s="106" t="s">
        <v>89</v>
      </c>
      <c r="C18" s="72" t="s">
        <v>72</v>
      </c>
      <c r="D18" s="118"/>
      <c r="E18" s="119"/>
      <c r="F18" s="118"/>
      <c r="G18" s="118"/>
      <c r="H18" s="118"/>
    </row>
    <row r="19" spans="1:8" s="33" customFormat="1" ht="18" customHeight="1">
      <c r="A19" s="46" t="s">
        <v>117</v>
      </c>
      <c r="B19" s="106" t="s">
        <v>90</v>
      </c>
      <c r="C19" s="72" t="s">
        <v>72</v>
      </c>
      <c r="D19" s="118"/>
      <c r="E19" s="119"/>
      <c r="F19" s="118"/>
      <c r="G19" s="118"/>
      <c r="H19" s="118"/>
    </row>
    <row r="20" spans="1:8" s="44" customFormat="1" ht="18" customHeight="1">
      <c r="A20" s="98" t="s">
        <v>39</v>
      </c>
      <c r="B20" s="175" t="s">
        <v>47</v>
      </c>
      <c r="C20" s="75"/>
      <c r="D20" s="120"/>
      <c r="E20" s="79"/>
      <c r="F20" s="120"/>
      <c r="G20" s="120"/>
      <c r="H20" s="120"/>
    </row>
    <row r="21" spans="1:8" s="43" customFormat="1" ht="25.5">
      <c r="A21" s="98" t="s">
        <v>35</v>
      </c>
      <c r="B21" s="103" t="s">
        <v>12</v>
      </c>
      <c r="C21" s="75"/>
      <c r="D21" s="120"/>
      <c r="E21" s="79"/>
      <c r="F21" s="120"/>
      <c r="G21" s="120"/>
      <c r="H21" s="120"/>
    </row>
    <row r="22" spans="1:8" s="44" customFormat="1" ht="18" customHeight="1">
      <c r="A22" s="98" t="s">
        <v>37</v>
      </c>
      <c r="B22" s="103" t="s">
        <v>4</v>
      </c>
      <c r="C22" s="75"/>
      <c r="D22" s="120"/>
      <c r="E22" s="79"/>
      <c r="F22" s="120"/>
      <c r="G22" s="120"/>
      <c r="H22" s="120"/>
    </row>
    <row r="23" spans="1:8" s="44" customFormat="1" ht="15" customHeight="1">
      <c r="A23" s="41" t="s">
        <v>91</v>
      </c>
      <c r="B23" s="42" t="s">
        <v>92</v>
      </c>
      <c r="C23" s="72" t="s">
        <v>72</v>
      </c>
      <c r="D23" s="120"/>
      <c r="E23" s="79"/>
      <c r="F23" s="120"/>
      <c r="G23" s="120"/>
      <c r="H23" s="120"/>
    </row>
    <row r="24" spans="1:8" ht="16.5" customHeight="1">
      <c r="A24" s="38">
        <v>2</v>
      </c>
      <c r="B24" s="45" t="s">
        <v>93</v>
      </c>
      <c r="C24" s="39"/>
    </row>
    <row r="25" spans="1:8" s="44" customFormat="1" ht="18" customHeight="1">
      <c r="A25" s="56" t="s">
        <v>94</v>
      </c>
      <c r="B25" s="103" t="s">
        <v>38</v>
      </c>
      <c r="C25" s="101">
        <f>+C26+C27</f>
        <v>0</v>
      </c>
      <c r="D25" s="120"/>
      <c r="E25" s="79"/>
      <c r="F25" s="120"/>
      <c r="G25" s="120"/>
      <c r="H25" s="120"/>
    </row>
    <row r="26" spans="1:8" s="44" customFormat="1" ht="18" customHeight="1">
      <c r="A26" s="56" t="s">
        <v>39</v>
      </c>
      <c r="B26" s="103" t="s">
        <v>40</v>
      </c>
      <c r="C26" s="75"/>
      <c r="D26" s="120"/>
      <c r="E26" s="79"/>
      <c r="F26" s="120"/>
      <c r="G26" s="120"/>
      <c r="H26" s="120"/>
    </row>
    <row r="27" spans="1:8" s="44" customFormat="1" ht="18" customHeight="1">
      <c r="A27" s="56" t="s">
        <v>35</v>
      </c>
      <c r="B27" s="103" t="s">
        <v>41</v>
      </c>
      <c r="C27" s="75"/>
      <c r="D27" s="120"/>
      <c r="E27" s="79"/>
      <c r="F27" s="120"/>
      <c r="G27" s="120"/>
      <c r="H27" s="120"/>
    </row>
    <row r="28" spans="1:8" s="44" customFormat="1" ht="18" customHeight="1">
      <c r="A28" s="56" t="s">
        <v>95</v>
      </c>
      <c r="B28" s="103" t="s">
        <v>96</v>
      </c>
      <c r="C28" s="75">
        <v>0</v>
      </c>
      <c r="D28" s="120"/>
      <c r="E28" s="79"/>
      <c r="F28" s="120"/>
      <c r="G28" s="120"/>
      <c r="H28" s="120"/>
    </row>
    <row r="29" spans="1:8">
      <c r="A29" s="46" t="s">
        <v>97</v>
      </c>
      <c r="B29" s="104" t="s">
        <v>98</v>
      </c>
      <c r="C29" s="69">
        <v>0</v>
      </c>
    </row>
    <row r="30" spans="1:8" s="44" customFormat="1" ht="29.25" customHeight="1">
      <c r="A30" s="56" t="s">
        <v>99</v>
      </c>
      <c r="B30" s="103" t="s">
        <v>11</v>
      </c>
      <c r="C30" s="75">
        <v>0</v>
      </c>
      <c r="D30" s="120"/>
      <c r="E30" s="79"/>
      <c r="F30" s="120"/>
      <c r="G30" s="120"/>
      <c r="H30" s="120"/>
    </row>
    <row r="31" spans="1:8" s="48" customFormat="1">
      <c r="A31" s="47" t="s">
        <v>46</v>
      </c>
      <c r="B31" s="80" t="s">
        <v>100</v>
      </c>
      <c r="C31" s="77">
        <f>+C25+C28+C29+C30</f>
        <v>0</v>
      </c>
      <c r="D31" s="121"/>
      <c r="E31" s="122"/>
      <c r="F31" s="123"/>
      <c r="G31" s="123"/>
      <c r="H31" s="123"/>
    </row>
    <row r="32" spans="1:8" s="48" customFormat="1" ht="16.5" customHeight="1">
      <c r="A32" s="47" t="s">
        <v>48</v>
      </c>
      <c r="B32" s="109" t="s">
        <v>101</v>
      </c>
      <c r="C32" s="72" t="s">
        <v>72</v>
      </c>
      <c r="D32" s="123"/>
      <c r="E32" s="122"/>
      <c r="F32" s="123"/>
      <c r="G32" s="123"/>
      <c r="H32" s="123"/>
    </row>
    <row r="33" spans="1:8" s="50" customFormat="1" ht="13.5" customHeight="1">
      <c r="A33" s="49"/>
      <c r="B33" s="49" t="s">
        <v>50</v>
      </c>
      <c r="C33" s="40"/>
      <c r="D33" s="124"/>
      <c r="E33" s="125"/>
      <c r="F33" s="124"/>
      <c r="G33" s="124"/>
      <c r="H33" s="126"/>
    </row>
    <row r="34" spans="1:8" s="44" customFormat="1" ht="18" customHeight="1">
      <c r="A34" s="56" t="s">
        <v>102</v>
      </c>
      <c r="B34" s="174" t="s">
        <v>160</v>
      </c>
      <c r="C34" s="75"/>
      <c r="D34" s="120"/>
      <c r="E34" s="79"/>
      <c r="F34" s="120"/>
      <c r="G34" s="120"/>
      <c r="H34" s="120"/>
    </row>
    <row r="35" spans="1:8" s="44" customFormat="1" ht="25.5">
      <c r="A35" s="56" t="s">
        <v>103</v>
      </c>
      <c r="B35" s="103" t="s">
        <v>13</v>
      </c>
      <c r="C35" s="148" t="e">
        <f>IF(Balance!#REF!&lt;(C43*1.25%),Balance!#REF!,(C43*1.25%))</f>
        <v>#REF!</v>
      </c>
      <c r="D35" s="120"/>
      <c r="E35" s="79"/>
      <c r="F35" s="120"/>
      <c r="G35" s="120"/>
      <c r="H35" s="120"/>
    </row>
    <row r="36" spans="1:8" s="44" customFormat="1" ht="18" customHeight="1">
      <c r="A36" s="56" t="s">
        <v>104</v>
      </c>
      <c r="B36" s="103" t="s">
        <v>5</v>
      </c>
      <c r="C36" s="75"/>
      <c r="D36" s="120"/>
      <c r="E36" s="79"/>
      <c r="F36" s="120"/>
      <c r="G36" s="120"/>
      <c r="H36" s="120"/>
    </row>
    <row r="37" spans="1:8" s="44" customFormat="1" ht="18" customHeight="1">
      <c r="A37" s="56" t="s">
        <v>105</v>
      </c>
      <c r="B37" s="103" t="s">
        <v>106</v>
      </c>
      <c r="C37" s="75"/>
      <c r="D37" s="120"/>
      <c r="E37" s="79"/>
      <c r="F37" s="120"/>
      <c r="G37" s="120"/>
      <c r="H37" s="120"/>
    </row>
    <row r="38" spans="1:8" s="44" customFormat="1" ht="18" customHeight="1">
      <c r="A38" s="56" t="s">
        <v>107</v>
      </c>
      <c r="B38" s="103" t="s">
        <v>6</v>
      </c>
      <c r="C38" s="75"/>
      <c r="D38" s="120"/>
      <c r="E38" s="79"/>
      <c r="F38" s="120"/>
      <c r="G38" s="120"/>
      <c r="H38" s="120"/>
    </row>
    <row r="39" spans="1:8" s="44" customFormat="1" ht="18" customHeight="1">
      <c r="A39" s="56" t="s">
        <v>108</v>
      </c>
      <c r="B39" s="103" t="s">
        <v>51</v>
      </c>
      <c r="C39" s="72" t="s">
        <v>72</v>
      </c>
      <c r="D39" s="120"/>
      <c r="E39" s="79"/>
      <c r="F39" s="120"/>
      <c r="G39" s="120"/>
      <c r="H39" s="120"/>
    </row>
    <row r="40" spans="1:8" ht="18.75" customHeight="1">
      <c r="A40" s="51"/>
      <c r="B40" s="52" t="s">
        <v>23</v>
      </c>
      <c r="C40" s="40" t="e">
        <f>SUM(C34:C38)</f>
        <v>#REF!</v>
      </c>
      <c r="D40" s="121"/>
    </row>
    <row r="41" spans="1:8" s="33" customFormat="1" ht="22.5" customHeight="1">
      <c r="A41" s="70" t="s">
        <v>49</v>
      </c>
      <c r="B41" s="53" t="s">
        <v>24</v>
      </c>
      <c r="C41" s="72" t="s">
        <v>72</v>
      </c>
      <c r="D41" s="127"/>
      <c r="E41" s="119"/>
      <c r="F41" s="118"/>
      <c r="G41" s="118"/>
      <c r="H41" s="118"/>
    </row>
    <row r="42" spans="1:8" s="33" customFormat="1" ht="15.75" customHeight="1">
      <c r="A42" s="49" t="s">
        <v>52</v>
      </c>
      <c r="B42" s="53" t="s">
        <v>109</v>
      </c>
      <c r="C42" s="72" t="s">
        <v>72</v>
      </c>
      <c r="D42" s="127"/>
      <c r="E42" s="119"/>
      <c r="F42" s="118"/>
      <c r="G42" s="118"/>
      <c r="H42" s="118"/>
    </row>
    <row r="43" spans="1:8" s="33" customFormat="1" ht="21.75" customHeight="1">
      <c r="A43" s="49" t="s">
        <v>9</v>
      </c>
      <c r="B43" s="42" t="s">
        <v>110</v>
      </c>
      <c r="C43" s="54" t="e">
        <f>+C44+C45+C46</f>
        <v>#REF!</v>
      </c>
      <c r="D43" s="118"/>
      <c r="E43" s="119"/>
      <c r="F43" s="118"/>
      <c r="G43" s="118"/>
      <c r="H43" s="118"/>
    </row>
    <row r="44" spans="1:8" s="44" customFormat="1" ht="18" customHeight="1">
      <c r="A44" s="56" t="s">
        <v>39</v>
      </c>
      <c r="B44" s="103" t="s">
        <v>14</v>
      </c>
      <c r="C44" s="101" t="e">
        <f>+#REF!</f>
        <v>#REF!</v>
      </c>
      <c r="D44" s="120"/>
      <c r="E44" s="79"/>
      <c r="F44" s="120"/>
      <c r="G44" s="120"/>
      <c r="H44" s="120"/>
    </row>
    <row r="45" spans="1:8" s="44" customFormat="1" ht="18" customHeight="1">
      <c r="A45" s="56" t="s">
        <v>35</v>
      </c>
      <c r="B45" s="103" t="s">
        <v>7</v>
      </c>
      <c r="C45" s="101" t="e">
        <f>+#REF!</f>
        <v>#REF!</v>
      </c>
      <c r="D45" s="120"/>
      <c r="E45" s="79"/>
      <c r="F45" s="120"/>
      <c r="G45" s="120"/>
      <c r="H45" s="120"/>
    </row>
    <row r="46" spans="1:8" s="44" customFormat="1" ht="18" customHeight="1">
      <c r="A46" s="56" t="s">
        <v>37</v>
      </c>
      <c r="B46" s="103" t="s">
        <v>8</v>
      </c>
      <c r="C46" s="101" t="e">
        <f>+#REF!</f>
        <v>#REF!</v>
      </c>
      <c r="D46" s="120"/>
      <c r="E46" s="79" t="e">
        <f>+#REF!</f>
        <v>#REF!</v>
      </c>
      <c r="F46" s="120"/>
      <c r="G46" s="120"/>
      <c r="H46" s="120"/>
    </row>
    <row r="47" spans="1:8" s="50" customFormat="1" ht="21.75" customHeight="1">
      <c r="A47" s="70" t="s">
        <v>10</v>
      </c>
      <c r="B47" s="71" t="s">
        <v>111</v>
      </c>
      <c r="C47" s="72" t="s">
        <v>72</v>
      </c>
      <c r="D47" s="124"/>
      <c r="E47" s="125"/>
      <c r="F47" s="124"/>
      <c r="G47" s="124"/>
      <c r="H47" s="124"/>
    </row>
    <row r="48" spans="1:8" s="50" customFormat="1" ht="21.75" customHeight="1">
      <c r="A48" s="70" t="s">
        <v>53</v>
      </c>
      <c r="B48" s="71" t="s">
        <v>112</v>
      </c>
      <c r="C48" s="72" t="s">
        <v>72</v>
      </c>
      <c r="D48" s="124"/>
      <c r="E48" s="125"/>
      <c r="F48" s="124"/>
      <c r="G48" s="124"/>
      <c r="H48" s="124"/>
    </row>
    <row r="49" spans="1:8" s="50" customFormat="1" ht="21.75" customHeight="1">
      <c r="A49" s="70" t="s">
        <v>25</v>
      </c>
      <c r="B49" s="71" t="s">
        <v>113</v>
      </c>
      <c r="C49" s="72" t="s">
        <v>72</v>
      </c>
      <c r="D49" s="124"/>
      <c r="E49" s="125"/>
      <c r="F49" s="124"/>
      <c r="G49" s="124"/>
      <c r="H49" s="124"/>
    </row>
    <row r="50" spans="1:8" s="55" customFormat="1" ht="21.75" customHeight="1">
      <c r="A50" s="49" t="s">
        <v>26</v>
      </c>
      <c r="B50" s="42" t="s">
        <v>19</v>
      </c>
      <c r="C50" s="72" t="s">
        <v>72</v>
      </c>
      <c r="D50" s="128"/>
      <c r="E50" s="129"/>
      <c r="F50" s="130"/>
      <c r="G50" s="128"/>
      <c r="H50" s="128"/>
    </row>
    <row r="51" spans="1:8" s="59" customFormat="1" ht="21.75" customHeight="1">
      <c r="A51" s="56" t="s">
        <v>39</v>
      </c>
      <c r="B51" s="57" t="s">
        <v>29</v>
      </c>
      <c r="C51" s="58">
        <f>+Balance!C47</f>
        <v>23542526924</v>
      </c>
      <c r="D51" s="131"/>
      <c r="E51" s="132"/>
      <c r="F51" s="133"/>
      <c r="G51" s="131"/>
      <c r="H51" s="131"/>
    </row>
    <row r="52" spans="1:8" s="59" customFormat="1" ht="21.75" customHeight="1">
      <c r="A52" s="56" t="s">
        <v>35</v>
      </c>
      <c r="B52" s="57" t="s">
        <v>114</v>
      </c>
      <c r="C52" s="144" t="e">
        <f>SUM(#REF!)</f>
        <v>#REF!</v>
      </c>
      <c r="D52" s="133" t="e">
        <f>+#REF!</f>
        <v>#REF!</v>
      </c>
      <c r="E52" s="132"/>
      <c r="F52" s="133"/>
      <c r="G52" s="131"/>
      <c r="H52" s="131"/>
    </row>
    <row r="53" spans="1:8" s="62" customFormat="1" ht="21.75" customHeight="1">
      <c r="A53" s="60" t="s">
        <v>37</v>
      </c>
      <c r="B53" s="61" t="s">
        <v>115</v>
      </c>
      <c r="C53" s="146" t="e">
        <f>SUM(#REF!)</f>
        <v>#REF!</v>
      </c>
      <c r="D53" s="143"/>
      <c r="E53" s="145"/>
      <c r="F53" s="134"/>
      <c r="G53" s="134"/>
      <c r="H53" s="134"/>
    </row>
    <row r="54" spans="1:8" s="62" customFormat="1" ht="21.75" customHeight="1">
      <c r="A54" s="60" t="s">
        <v>44</v>
      </c>
      <c r="B54" s="61" t="s">
        <v>116</v>
      </c>
      <c r="C54" s="81" t="str">
        <f>+C19</f>
        <v>Формула</v>
      </c>
      <c r="D54" s="134"/>
      <c r="E54" s="135"/>
      <c r="F54" s="134"/>
      <c r="G54" s="134"/>
      <c r="H54" s="134"/>
    </row>
    <row r="55" spans="1:8" s="50" customFormat="1" ht="21.75" customHeight="1">
      <c r="A55" s="70" t="s">
        <v>27</v>
      </c>
      <c r="B55" s="71" t="s">
        <v>30</v>
      </c>
      <c r="C55" s="72" t="s">
        <v>72</v>
      </c>
      <c r="D55" s="124"/>
      <c r="E55" s="125"/>
      <c r="F55" s="124"/>
      <c r="G55" s="124"/>
      <c r="H55" s="124"/>
    </row>
    <row r="56" spans="1:8">
      <c r="B56" s="63"/>
    </row>
    <row r="57" spans="1:8" s="1" customFormat="1">
      <c r="A57" s="7"/>
      <c r="B57" s="2" t="s">
        <v>0</v>
      </c>
      <c r="D57" s="19"/>
      <c r="E57" s="19"/>
      <c r="F57" s="19"/>
      <c r="G57" s="19"/>
      <c r="H57" s="19"/>
    </row>
    <row r="58" spans="1:8" s="1" customFormat="1">
      <c r="A58" s="7"/>
      <c r="B58" s="2"/>
      <c r="D58" s="19"/>
      <c r="E58" s="19"/>
      <c r="F58" s="19"/>
      <c r="G58" s="19"/>
      <c r="H58" s="19"/>
    </row>
    <row r="59" spans="1:8" s="1" customFormat="1">
      <c r="A59" s="7"/>
      <c r="B59" s="2" t="s">
        <v>1</v>
      </c>
      <c r="D59" s="19"/>
      <c r="E59" s="19"/>
      <c r="F59" s="19"/>
      <c r="G59" s="19"/>
      <c r="H59" s="19"/>
    </row>
    <row r="60" spans="1:8">
      <c r="B60" s="65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D75"/>
  <sheetViews>
    <sheetView view="pageBreakPreview" zoomScaleNormal="100" zoomScaleSheetLayoutView="100" workbookViewId="0">
      <pane xSplit="2" ySplit="3" topLeftCell="C4" activePane="bottomRight" state="frozen"/>
      <selection activeCell="C11" sqref="C11"/>
      <selection pane="topRight" activeCell="C11" sqref="C11"/>
      <selection pane="bottomLeft" activeCell="C11" sqref="C11"/>
      <selection pane="bottomRight" activeCell="C18" sqref="C18"/>
    </sheetView>
  </sheetViews>
  <sheetFormatPr defaultRowHeight="12.75"/>
  <cols>
    <col min="1" max="1" width="7.42578125" style="155" customWidth="1"/>
    <col min="2" max="2" width="61.7109375" style="155" customWidth="1"/>
    <col min="3" max="3" width="17.42578125" style="24" customWidth="1"/>
    <col min="4" max="4" width="19.140625" style="268" customWidth="1"/>
    <col min="5" max="5" width="17.42578125" style="24" customWidth="1"/>
    <col min="6" max="8" width="15.140625" style="183" customWidth="1"/>
    <col min="9" max="9" width="14.28515625" style="478" customWidth="1"/>
    <col min="10" max="11" width="6.42578125" style="172" customWidth="1"/>
    <col min="12" max="12" width="9.140625" style="172"/>
    <col min="13" max="14" width="11.7109375" style="161" bestFit="1" customWidth="1"/>
    <col min="15" max="16384" width="9.140625" style="161"/>
  </cols>
  <sheetData>
    <row r="1" spans="1:17" s="170" customFormat="1" ht="34.5" customHeight="1">
      <c r="A1" s="528" t="s">
        <v>279</v>
      </c>
      <c r="B1" s="528"/>
      <c r="C1" s="528"/>
      <c r="D1" s="528"/>
      <c r="E1" s="251" t="s">
        <v>280</v>
      </c>
      <c r="F1" s="471"/>
      <c r="G1" s="471"/>
      <c r="H1" s="471"/>
      <c r="I1" s="472"/>
      <c r="J1" s="168"/>
      <c r="K1" s="168"/>
      <c r="L1" s="169"/>
    </row>
    <row r="2" spans="1:17" ht="20.25" customHeight="1">
      <c r="B2" s="94" t="str">
        <f>Balance!B3</f>
        <v>"MKBANK"</v>
      </c>
      <c r="D2" s="388">
        <f>+Balance!D3</f>
        <v>45657</v>
      </c>
      <c r="E2" s="92" t="s">
        <v>174</v>
      </c>
      <c r="I2" s="473"/>
      <c r="J2" s="171"/>
      <c r="K2" s="171"/>
    </row>
    <row r="3" spans="1:17" s="142" customFormat="1" ht="36.75" customHeight="1">
      <c r="A3" s="107" t="s">
        <v>54</v>
      </c>
      <c r="B3" s="107" t="s">
        <v>281</v>
      </c>
      <c r="C3" s="107" t="s">
        <v>176</v>
      </c>
      <c r="D3" s="107" t="s">
        <v>177</v>
      </c>
      <c r="E3" s="107" t="s">
        <v>282</v>
      </c>
      <c r="F3" s="183"/>
      <c r="G3" s="183"/>
      <c r="H3" s="183"/>
      <c r="I3" s="473"/>
      <c r="J3" s="171"/>
      <c r="K3" s="171"/>
      <c r="L3" s="172"/>
    </row>
    <row r="4" spans="1:17" s="142" customFormat="1" ht="17.25" customHeight="1">
      <c r="A4" s="186"/>
      <c r="B4" s="186" t="s">
        <v>283</v>
      </c>
      <c r="C4" s="524" t="s">
        <v>284</v>
      </c>
      <c r="D4" s="525"/>
      <c r="E4" s="526"/>
      <c r="F4" s="241"/>
      <c r="G4" s="241"/>
      <c r="H4" s="218"/>
      <c r="I4" s="219"/>
      <c r="J4" s="171"/>
      <c r="K4" s="171"/>
      <c r="L4" s="172"/>
    </row>
    <row r="5" spans="1:17" ht="16.5" customHeight="1">
      <c r="A5" s="252" t="s">
        <v>66</v>
      </c>
      <c r="B5" s="253" t="s">
        <v>285</v>
      </c>
      <c r="C5" s="265">
        <f>+'Bank Assets Analysis'!S6</f>
        <v>874095566</v>
      </c>
      <c r="D5" s="265">
        <f>+'Bank Assets Analysis'!T6</f>
        <v>661579127</v>
      </c>
      <c r="E5" s="265">
        <f>+'Bank Assets Analysis'!U6</f>
        <v>212516439</v>
      </c>
      <c r="F5" s="474"/>
      <c r="G5" s="241"/>
      <c r="H5" s="218"/>
      <c r="I5" s="219"/>
      <c r="J5" s="171"/>
      <c r="K5" s="171"/>
    </row>
    <row r="6" spans="1:17" ht="16.5" customHeight="1">
      <c r="A6" s="252" t="s">
        <v>67</v>
      </c>
      <c r="B6" s="253" t="s">
        <v>286</v>
      </c>
      <c r="C6" s="265">
        <f>+'Bank Assets Analysis'!S7</f>
        <v>496195792</v>
      </c>
      <c r="D6" s="265">
        <f>+'Bank Assets Analysis'!T7</f>
        <v>496195792</v>
      </c>
      <c r="E6" s="451">
        <f>+'Bank Assets Analysis'!U7</f>
        <v>0</v>
      </c>
      <c r="F6" s="474"/>
      <c r="G6" s="241"/>
      <c r="H6" s="218"/>
      <c r="I6" s="219"/>
      <c r="J6" s="171"/>
      <c r="K6" s="171"/>
    </row>
    <row r="7" spans="1:17" ht="25.5">
      <c r="A7" s="252" t="s">
        <v>68</v>
      </c>
      <c r="B7" s="253" t="s">
        <v>560</v>
      </c>
      <c r="C7" s="265">
        <f>+'Bank Assets Analysis'!S19</f>
        <v>201358446</v>
      </c>
      <c r="D7" s="265">
        <f>+'Bank Assets Analysis'!T19</f>
        <v>201358446</v>
      </c>
      <c r="E7" s="451">
        <f>+'Bank Assets Analysis'!U19</f>
        <v>0</v>
      </c>
      <c r="F7" s="474"/>
      <c r="G7" s="241"/>
      <c r="H7" s="218"/>
      <c r="I7" s="219"/>
      <c r="J7" s="171"/>
      <c r="K7" s="171"/>
    </row>
    <row r="8" spans="1:17" ht="39" customHeight="1">
      <c r="A8" s="252" t="s">
        <v>69</v>
      </c>
      <c r="B8" s="253" t="s">
        <v>287</v>
      </c>
      <c r="C8" s="265">
        <f>+E8</f>
        <v>1361192858</v>
      </c>
      <c r="D8" s="188"/>
      <c r="E8" s="451">
        <f>+'Bank Assets Analysis'!D10+'Bank Assets Analysis'!D11</f>
        <v>1361192858</v>
      </c>
      <c r="F8" s="474"/>
      <c r="G8" s="241"/>
      <c r="H8" s="218"/>
      <c r="I8" s="219"/>
      <c r="J8" s="171"/>
      <c r="K8" s="171"/>
    </row>
    <row r="9" spans="1:17" ht="38.25">
      <c r="A9" s="252" t="s">
        <v>487</v>
      </c>
      <c r="B9" s="253" t="s">
        <v>288</v>
      </c>
      <c r="C9" s="265">
        <f>+E9</f>
        <v>0</v>
      </c>
      <c r="D9" s="188"/>
      <c r="E9" s="451">
        <f>+'Bank Assets Analysis'!F13</f>
        <v>0</v>
      </c>
      <c r="F9" s="474"/>
      <c r="G9" s="241"/>
      <c r="H9" s="218"/>
      <c r="I9" s="219"/>
      <c r="J9" s="171"/>
      <c r="K9" s="171"/>
    </row>
    <row r="10" spans="1:17" ht="67.5" customHeight="1">
      <c r="A10" s="252" t="s">
        <v>488</v>
      </c>
      <c r="B10" s="253" t="s">
        <v>562</v>
      </c>
      <c r="C10" s="265">
        <f>+'Bank Assets Analysis'!S21</f>
        <v>0</v>
      </c>
      <c r="D10" s="265">
        <f>+'Bank Assets Analysis'!T21</f>
        <v>0</v>
      </c>
      <c r="E10" s="265">
        <f>+'Bank Assets Analysis'!U21</f>
        <v>0</v>
      </c>
      <c r="F10" s="474"/>
      <c r="G10" s="241"/>
      <c r="H10" s="218"/>
      <c r="I10" s="219"/>
      <c r="J10" s="171"/>
      <c r="K10" s="171"/>
    </row>
    <row r="11" spans="1:17" ht="28.5" customHeight="1">
      <c r="A11" s="252" t="s">
        <v>289</v>
      </c>
      <c r="B11" s="253" t="s">
        <v>561</v>
      </c>
      <c r="C11" s="265">
        <f>+'Bank Assets Analysis'!S20</f>
        <v>0</v>
      </c>
      <c r="D11" s="265">
        <f>+'Bank Assets Analysis'!T20</f>
        <v>0</v>
      </c>
      <c r="E11" s="265">
        <f>+'Bank Assets Analysis'!U20</f>
        <v>0</v>
      </c>
      <c r="F11" s="474"/>
      <c r="G11" s="241"/>
      <c r="H11" s="218"/>
      <c r="I11" s="219"/>
      <c r="J11" s="171"/>
      <c r="K11" s="171"/>
    </row>
    <row r="12" spans="1:17" s="222" customFormat="1" ht="19.5" customHeight="1">
      <c r="A12" s="252" t="s">
        <v>483</v>
      </c>
      <c r="B12" s="253" t="s">
        <v>290</v>
      </c>
      <c r="C12" s="265">
        <f>+D12</f>
        <v>0</v>
      </c>
      <c r="D12" s="265">
        <v>0</v>
      </c>
      <c r="E12" s="265"/>
      <c r="F12" s="474"/>
      <c r="G12" s="479" t="s">
        <v>534</v>
      </c>
      <c r="H12" s="242"/>
      <c r="I12" s="242"/>
      <c r="J12" s="242"/>
      <c r="K12" s="242"/>
      <c r="L12" s="242"/>
      <c r="M12" s="242"/>
      <c r="N12" s="242"/>
      <c r="O12" s="242"/>
      <c r="P12" s="242"/>
      <c r="Q12" s="242"/>
    </row>
    <row r="13" spans="1:17" s="222" customFormat="1" ht="41.25" customHeight="1">
      <c r="A13" s="252" t="s">
        <v>489</v>
      </c>
      <c r="B13" s="253" t="s">
        <v>559</v>
      </c>
      <c r="C13" s="265">
        <f>+'Bank Assets Analysis'!S24+('Bank Assets Analysis'!S23*0.8)</f>
        <v>8000000</v>
      </c>
      <c r="D13" s="265">
        <f>+'Bank Assets Analysis'!T24+('Bank Assets Analysis'!T23*0.8)</f>
        <v>8000000</v>
      </c>
      <c r="E13" s="265">
        <f>+'Bank Assets Analysis'!U24+('Bank Assets Analysis'!U23*0.8)</f>
        <v>0</v>
      </c>
      <c r="F13" s="474"/>
      <c r="G13" s="475"/>
      <c r="H13" s="242"/>
      <c r="I13" s="242"/>
      <c r="J13" s="242"/>
      <c r="K13" s="242"/>
      <c r="L13" s="242"/>
      <c r="M13" s="242"/>
      <c r="N13" s="242"/>
      <c r="O13" s="242"/>
      <c r="P13" s="242"/>
      <c r="Q13" s="242"/>
    </row>
    <row r="14" spans="1:17" s="222" customFormat="1" ht="25.5">
      <c r="A14" s="252" t="s">
        <v>291</v>
      </c>
      <c r="B14" s="253" t="s">
        <v>539</v>
      </c>
      <c r="C14" s="265">
        <f>+'Bank Assets Analysis'!S35</f>
        <v>0</v>
      </c>
      <c r="D14" s="265">
        <f>+'Bank Assets Analysis'!T35</f>
        <v>0</v>
      </c>
      <c r="E14" s="265">
        <f>+'Bank Assets Analysis'!U35</f>
        <v>0</v>
      </c>
      <c r="F14" s="474"/>
      <c r="G14" s="475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17" s="222" customFormat="1" ht="18.75" customHeight="1">
      <c r="A15" s="252" t="s">
        <v>293</v>
      </c>
      <c r="B15" s="253" t="s">
        <v>292</v>
      </c>
      <c r="C15" s="265">
        <f>+'Bank Assets Analysis'!S18+'Bank Assets Analysis'!S46</f>
        <v>0</v>
      </c>
      <c r="D15" s="265">
        <f>+'Bank Assets Analysis'!T18+'Bank Assets Analysis'!T46</f>
        <v>0</v>
      </c>
      <c r="E15" s="265">
        <f>+'Bank Assets Analysis'!U18+'Bank Assets Analysis'!U46</f>
        <v>0</v>
      </c>
      <c r="F15" s="474"/>
      <c r="G15" s="527"/>
      <c r="H15" s="527"/>
      <c r="I15" s="527"/>
      <c r="J15" s="527"/>
      <c r="K15" s="527"/>
      <c r="L15" s="527"/>
      <c r="M15" s="527"/>
      <c r="N15" s="527"/>
      <c r="O15" s="527"/>
      <c r="P15" s="527"/>
      <c r="Q15" s="527"/>
    </row>
    <row r="16" spans="1:17" s="222" customFormat="1" ht="19.5" customHeight="1">
      <c r="A16" s="252" t="s">
        <v>542</v>
      </c>
      <c r="B16" s="254" t="s">
        <v>294</v>
      </c>
      <c r="C16" s="96">
        <f>SUM(C5:C14)-'Bank Liabilities Analysis'!S22-'Bank Liabilities Analysis'!T25-C15</f>
        <v>2940653516</v>
      </c>
      <c r="D16" s="96">
        <f>SUM(D5:D14)-'Bank Liabilities Analysis'!T22-'Bank Liabilities Analysis'!T25-D15</f>
        <v>1366944219</v>
      </c>
      <c r="E16" s="96">
        <f>SUM(E5:E14)-'Bank Liabilities Analysis'!U22-E15</f>
        <v>1573709297</v>
      </c>
      <c r="F16" s="474"/>
      <c r="G16" s="241"/>
      <c r="H16" s="218"/>
      <c r="I16" s="219"/>
      <c r="J16" s="220"/>
      <c r="K16" s="220"/>
      <c r="L16" s="221"/>
    </row>
    <row r="17" spans="1:14" ht="13.5" customHeight="1">
      <c r="A17" s="340"/>
      <c r="B17" s="341" t="s">
        <v>295</v>
      </c>
      <c r="C17" s="255"/>
      <c r="D17" s="255"/>
      <c r="E17" s="432"/>
      <c r="F17" s="474"/>
      <c r="G17" s="241"/>
      <c r="H17" s="218"/>
      <c r="I17" s="219"/>
      <c r="J17" s="171"/>
      <c r="K17" s="171"/>
      <c r="M17" s="476"/>
      <c r="N17" s="477"/>
    </row>
    <row r="18" spans="1:14" ht="24.75" customHeight="1">
      <c r="A18" s="257" t="s">
        <v>73</v>
      </c>
      <c r="B18" s="258" t="s">
        <v>296</v>
      </c>
      <c r="C18" s="256">
        <f>IFERROR((+C19/C20),0)</f>
        <v>0.12490815134216558</v>
      </c>
      <c r="D18" s="256">
        <f>IFERROR((+D19/D20),0)</f>
        <v>7.721294352121652E-2</v>
      </c>
      <c r="E18" s="256">
        <f>IFERROR((+E19/E20),0)</f>
        <v>0.26951859075472456</v>
      </c>
      <c r="F18" s="474"/>
      <c r="G18" s="241"/>
      <c r="H18" s="218"/>
      <c r="I18" s="219"/>
      <c r="J18" s="171"/>
      <c r="K18" s="182"/>
    </row>
    <row r="19" spans="1:14" ht="15" customHeight="1">
      <c r="A19" s="259" t="s">
        <v>297</v>
      </c>
      <c r="B19" s="260" t="s">
        <v>298</v>
      </c>
      <c r="C19" s="433">
        <f>+C16</f>
        <v>2940653516</v>
      </c>
      <c r="D19" s="433">
        <f>+D16</f>
        <v>1366944219</v>
      </c>
      <c r="E19" s="433">
        <f>+E16</f>
        <v>1573709297</v>
      </c>
      <c r="F19" s="474"/>
      <c r="G19" s="241"/>
      <c r="H19" s="218"/>
      <c r="I19" s="219"/>
      <c r="J19" s="171"/>
      <c r="K19" s="171"/>
    </row>
    <row r="20" spans="1:14" ht="15" customHeight="1">
      <c r="A20" s="259" t="s">
        <v>299</v>
      </c>
      <c r="B20" s="260" t="s">
        <v>543</v>
      </c>
      <c r="C20" s="433">
        <f>Balance!C47-'Bank Liabilities Analysis'!S34</f>
        <v>23542526924</v>
      </c>
      <c r="D20" s="433">
        <f>Balance!D47-'Bank Liabilities Analysis'!T34</f>
        <v>17703563116</v>
      </c>
      <c r="E20" s="433">
        <f>Balance!E47-'Bank Liabilities Analysis'!U34</f>
        <v>5838963808</v>
      </c>
      <c r="F20" s="474"/>
      <c r="G20" s="241"/>
      <c r="H20" s="218"/>
      <c r="I20" s="219"/>
      <c r="J20" s="171"/>
      <c r="K20" s="171"/>
    </row>
    <row r="21" spans="1:14" ht="24.75" customHeight="1">
      <c r="A21" s="257" t="s">
        <v>300</v>
      </c>
      <c r="B21" s="258" t="s">
        <v>301</v>
      </c>
      <c r="C21" s="256">
        <f>IFERROR((+C22/C23),0)</f>
        <v>0.36160850870846073</v>
      </c>
      <c r="D21" s="256">
        <f>IFERROR((+D22/D23),0)</f>
        <v>0.22837124158970729</v>
      </c>
      <c r="E21" s="256">
        <f>IFERROR((+E22/E23),0)</f>
        <v>0.73314324277928877</v>
      </c>
      <c r="F21" s="474"/>
      <c r="G21" s="241"/>
      <c r="H21" s="218"/>
      <c r="I21" s="219"/>
      <c r="J21" s="171"/>
      <c r="K21" s="182"/>
    </row>
    <row r="22" spans="1:14" ht="15" customHeight="1">
      <c r="A22" s="259" t="s">
        <v>302</v>
      </c>
      <c r="B22" s="260" t="s">
        <v>298</v>
      </c>
      <c r="C22" s="433">
        <f>+C16</f>
        <v>2940653516</v>
      </c>
      <c r="D22" s="433">
        <f>+D16</f>
        <v>1366944219</v>
      </c>
      <c r="E22" s="433">
        <f>+E16</f>
        <v>1573709297</v>
      </c>
      <c r="F22" s="474"/>
      <c r="G22" s="241"/>
      <c r="H22" s="218"/>
      <c r="I22" s="219"/>
      <c r="J22" s="171"/>
      <c r="K22" s="171"/>
    </row>
    <row r="23" spans="1:14" ht="15" customHeight="1">
      <c r="A23" s="259" t="s">
        <v>303</v>
      </c>
      <c r="B23" s="260" t="s">
        <v>544</v>
      </c>
      <c r="C23" s="433">
        <f>+'Bank Liabilities Analysis'!C42+'Bank Liabilities Analysis'!E42+'Bank Liabilities Analysis'!G42+'Bank Liabilities Analysis'!I42+'Bank Liabilities Analysis'!K42+'Bank Liabilities Analysis'!M42-'Bank Liabilities Analysis'!C34-'Bank Liabilities Analysis'!E34-'Bank Liabilities Analysis'!G34-'Bank Liabilities Analysis'!I34-'Bank Liabilities Analysis'!K34-'Bank Liabilities Analysis'!M34</f>
        <v>8132146908</v>
      </c>
      <c r="D23" s="433">
        <f>+C23-E23</f>
        <v>5985623275</v>
      </c>
      <c r="E23" s="433">
        <f>+'Bank Liabilities Analysis'!D42+'Bank Liabilities Analysis'!F42+'Bank Liabilities Analysis'!H42+'Bank Liabilities Analysis'!J42+'Bank Liabilities Analysis'!L42+'Bank Liabilities Analysis'!N42-'Bank Liabilities Analysis'!D34-'Bank Liabilities Analysis'!F34-'Bank Liabilities Analysis'!H34-'Bank Liabilities Analysis'!J34-'Bank Liabilities Analysis'!L34-'Bank Liabilities Analysis'!N34</f>
        <v>2146523633</v>
      </c>
      <c r="F23" s="474"/>
      <c r="G23" s="241"/>
      <c r="H23" s="218"/>
      <c r="I23" s="219"/>
      <c r="J23" s="171"/>
      <c r="K23" s="171"/>
    </row>
    <row r="24" spans="1:14" ht="28.5" customHeight="1">
      <c r="A24" s="257" t="s">
        <v>304</v>
      </c>
      <c r="B24" s="258" t="s">
        <v>305</v>
      </c>
      <c r="C24" s="187">
        <f>IFERROR((+C25/C26),0)</f>
        <v>1.6895583661924649</v>
      </c>
      <c r="D24" s="256">
        <f>IFERROR((+D25/D26),0)</f>
        <v>1.0269709994190261</v>
      </c>
      <c r="E24" s="187">
        <f>IFERROR((+E25/E26),0)</f>
        <v>3.8435474780050027</v>
      </c>
      <c r="F24" s="474"/>
      <c r="G24" s="241"/>
      <c r="H24" s="218"/>
      <c r="I24" s="219"/>
      <c r="J24" s="171"/>
      <c r="K24" s="171"/>
    </row>
    <row r="25" spans="1:14" ht="19.5" customHeight="1">
      <c r="A25" s="259" t="s">
        <v>306</v>
      </c>
      <c r="B25" s="260" t="s">
        <v>298</v>
      </c>
      <c r="C25" s="158">
        <f>+C16</f>
        <v>2940653516</v>
      </c>
      <c r="D25" s="158">
        <f>+D16</f>
        <v>1366944219</v>
      </c>
      <c r="E25" s="158">
        <f>+E16</f>
        <v>1573709297</v>
      </c>
      <c r="F25" s="474"/>
      <c r="G25" s="241"/>
      <c r="H25" s="218"/>
      <c r="I25" s="219"/>
      <c r="J25" s="171"/>
      <c r="K25" s="171"/>
    </row>
    <row r="26" spans="1:14" ht="18.75" customHeight="1">
      <c r="A26" s="259" t="s">
        <v>307</v>
      </c>
      <c r="B26" s="260" t="s">
        <v>308</v>
      </c>
      <c r="C26" s="158">
        <f>+'Bank Assets Analysis'!X65</f>
        <v>1740486493.2999997</v>
      </c>
      <c r="D26" s="158">
        <f>+'Bank Assets Analysis (нац)'!P61</f>
        <v>1331044615.45</v>
      </c>
      <c r="E26" s="158">
        <f>+'Bank Assets Analysis'!Z65</f>
        <v>409441877.85000002</v>
      </c>
      <c r="F26" s="474"/>
      <c r="G26" s="241"/>
      <c r="H26" s="218"/>
      <c r="I26" s="219"/>
      <c r="J26" s="171"/>
      <c r="K26" s="171"/>
    </row>
    <row r="27" spans="1:14" ht="15" customHeight="1">
      <c r="A27" s="259"/>
      <c r="B27" s="260" t="s">
        <v>309</v>
      </c>
      <c r="C27" s="165">
        <f>+'Bank Assets Analysis'!X67</f>
        <v>2365735237.2999997</v>
      </c>
      <c r="D27" s="261">
        <f>+'Bank Assets Analysis (нац)'!P63</f>
        <v>1727636170.95</v>
      </c>
      <c r="E27" s="165">
        <f>+'Bank Assets Analysis'!Z67</f>
        <v>638099066.35000002</v>
      </c>
      <c r="F27" s="474"/>
      <c r="G27" s="241"/>
      <c r="H27" s="218"/>
      <c r="I27" s="219"/>
      <c r="J27" s="171"/>
      <c r="K27" s="171"/>
    </row>
    <row r="28" spans="1:14" ht="15" customHeight="1">
      <c r="A28" s="259"/>
      <c r="B28" s="260" t="s">
        <v>310</v>
      </c>
      <c r="C28" s="165">
        <f>+'Bank Assets Analysis'!X70</f>
        <v>625248744</v>
      </c>
      <c r="D28" s="261">
        <f>+'Bank Assets Analysis (нац)'!P65</f>
        <v>396591555.5</v>
      </c>
      <c r="E28" s="165">
        <f>+'Bank Assets Analysis'!Z70</f>
        <v>228657188.5</v>
      </c>
      <c r="F28" s="474"/>
      <c r="G28" s="241"/>
      <c r="H28" s="218"/>
      <c r="I28" s="219"/>
      <c r="J28" s="171"/>
      <c r="K28" s="171"/>
    </row>
    <row r="29" spans="1:14" ht="15" customHeight="1">
      <c r="A29" s="257" t="s">
        <v>311</v>
      </c>
      <c r="B29" s="262" t="s">
        <v>312</v>
      </c>
      <c r="C29" s="102">
        <f>IFERROR((C30/C35),0)</f>
        <v>1.1308614147817435</v>
      </c>
      <c r="D29" s="263">
        <f>IFERROR((D30/D35),0)</f>
        <v>1.0664486709744903</v>
      </c>
      <c r="E29" s="102">
        <f>IFERROR((E30/E35),0)</f>
        <v>1.3843182465967214</v>
      </c>
      <c r="F29" s="474"/>
      <c r="G29" s="171"/>
      <c r="H29" s="171"/>
      <c r="I29" s="171"/>
      <c r="J29" s="171"/>
      <c r="K29" s="171"/>
    </row>
    <row r="30" spans="1:14" ht="15" customHeight="1">
      <c r="A30" s="257" t="s">
        <v>313</v>
      </c>
      <c r="B30" s="262" t="s">
        <v>314</v>
      </c>
      <c r="C30" s="147">
        <f>SUM(C31:C34)</f>
        <v>17850024088.400002</v>
      </c>
      <c r="D30" s="96">
        <f>SUM(D31:D34)</f>
        <v>13331704410.5</v>
      </c>
      <c r="E30" s="147">
        <f>SUM(E31:E34)</f>
        <v>4518319677.8999996</v>
      </c>
      <c r="F30" s="474"/>
      <c r="G30" s="171"/>
      <c r="H30" s="171"/>
      <c r="I30" s="171"/>
      <c r="J30" s="171"/>
      <c r="K30" s="171"/>
    </row>
    <row r="31" spans="1:14" ht="15" customHeight="1">
      <c r="A31" s="259" t="s">
        <v>315</v>
      </c>
      <c r="B31" s="342" t="s">
        <v>316</v>
      </c>
      <c r="C31" s="433">
        <f>Balance!C77</f>
        <v>3550613724</v>
      </c>
      <c r="D31" s="433">
        <f>Balance!D77</f>
        <v>3550613724</v>
      </c>
      <c r="E31" s="433">
        <f>Balance!E77</f>
        <v>0</v>
      </c>
      <c r="F31" s="474"/>
      <c r="G31" s="171"/>
      <c r="H31" s="171"/>
      <c r="I31" s="171"/>
      <c r="J31" s="171"/>
      <c r="K31" s="171"/>
    </row>
    <row r="32" spans="1:14" ht="15" customHeight="1">
      <c r="A32" s="264" t="s">
        <v>317</v>
      </c>
      <c r="B32" s="265" t="s">
        <v>490</v>
      </c>
      <c r="C32" s="433">
        <f>'Bank Liabilities Analysis'!O42+'Bank Liabilities Analysis'!Q42</f>
        <v>11859766292</v>
      </c>
      <c r="D32" s="433">
        <f>+'Bank Liabilities Analysis (нац)'!I43+'Bank Liabilities Analysis (нац)'!J43</f>
        <v>7985403704</v>
      </c>
      <c r="E32" s="433">
        <f>'Bank Liabilities Analysis'!P42+'Bank Liabilities Analysis'!R42</f>
        <v>3874362588</v>
      </c>
      <c r="F32" s="474"/>
      <c r="G32" s="171"/>
      <c r="H32" s="171"/>
      <c r="I32" s="171"/>
      <c r="J32" s="171"/>
      <c r="K32" s="171"/>
    </row>
    <row r="33" spans="1:30" ht="15" customHeight="1">
      <c r="A33" s="264" t="s">
        <v>318</v>
      </c>
      <c r="B33" s="265" t="s">
        <v>319</v>
      </c>
      <c r="C33" s="433">
        <f>+('Bank Liabilities Analysis'!C42)*0.3</f>
        <v>349321806.59999996</v>
      </c>
      <c r="D33" s="433">
        <f>+('Bank Liabilities Analysis (нац)'!C43)*0.3</f>
        <v>302975390.69999999</v>
      </c>
      <c r="E33" s="433">
        <f>+('Bank Liabilities Analysis'!D42)*0.3</f>
        <v>46346415.899999999</v>
      </c>
      <c r="F33" s="474"/>
      <c r="G33" s="171"/>
      <c r="H33" s="171"/>
      <c r="I33" s="171"/>
      <c r="J33" s="171"/>
      <c r="K33" s="171"/>
    </row>
    <row r="34" spans="1:30" ht="15" customHeight="1">
      <c r="A34" s="264" t="s">
        <v>320</v>
      </c>
      <c r="B34" s="265" t="s">
        <v>491</v>
      </c>
      <c r="C34" s="433">
        <f>+('Bank Liabilities Analysis'!E42+'Bank Liabilities Analysis'!G42+'Bank Liabilities Analysis'!I42+'Bank Liabilities Analysis'!K42+'Bank Liabilities Analysis'!M42)*0.3</f>
        <v>2090322265.8</v>
      </c>
      <c r="D34" s="433">
        <f>+('Bank Liabilities Analysis (нац)'!D43+'Bank Liabilities Analysis (нац)'!E43+'Bank Liabilities Analysis (нац)'!F43+'Bank Liabilities Analysis (нац)'!G43+'Bank Liabilities Analysis (нац)'!H43)*0.3</f>
        <v>1492711591.8</v>
      </c>
      <c r="E34" s="433">
        <f>+('Bank Liabilities Analysis'!F42+'Bank Liabilities Analysis'!H42+'Bank Liabilities Analysis'!J42+'Bank Liabilities Analysis'!L42+'Bank Liabilities Analysis'!N42)*0.3</f>
        <v>597610674</v>
      </c>
      <c r="F34" s="474"/>
      <c r="G34" s="171"/>
      <c r="H34" s="171"/>
      <c r="I34" s="171"/>
      <c r="J34" s="171"/>
      <c r="K34" s="171"/>
    </row>
    <row r="35" spans="1:30" ht="15" customHeight="1">
      <c r="A35" s="257" t="s">
        <v>321</v>
      </c>
      <c r="B35" s="262" t="s">
        <v>492</v>
      </c>
      <c r="C35" s="487">
        <f>SUM(C36:C41)</f>
        <v>15784448788.4</v>
      </c>
      <c r="D35" s="488">
        <f>SUM(D36:D41)</f>
        <v>12501027731.9</v>
      </c>
      <c r="E35" s="487">
        <f>SUM(E36:E41)</f>
        <v>3263931317.0999999</v>
      </c>
      <c r="F35" s="474"/>
      <c r="G35" s="171"/>
      <c r="H35" s="171"/>
      <c r="I35" s="171"/>
      <c r="J35" s="171"/>
      <c r="K35" s="171"/>
    </row>
    <row r="36" spans="1:30" ht="15" customHeight="1">
      <c r="A36" s="259" t="s">
        <v>322</v>
      </c>
      <c r="B36" s="265" t="s">
        <v>323</v>
      </c>
      <c r="C36" s="510">
        <f>+'Bank Assets Analysis'!O47-'Bank Assets Analysis'!O37+'Bank Assets Analysis'!Q47-'Bank Assets Analysis'!Q37-'Bank Assets Analysis'!O19-'Bank Assets Analysis'!Q19</f>
        <v>11334872669</v>
      </c>
      <c r="D36" s="510">
        <f>+C36-E36</f>
        <v>9214081795</v>
      </c>
      <c r="E36" s="510">
        <f>+'Bank Assets Analysis'!P47-'Bank Assets Analysis'!P40-'Bank Assets Analysis'!P37+'Bank Assets Analysis'!R47-'Bank Assets Analysis'!R40-'Bank Assets Analysis'!R37-'Bank Assets Analysis'!P19-'Bank Assets Analysis'!R19</f>
        <v>2120790874</v>
      </c>
      <c r="F36" s="474"/>
      <c r="G36" s="171"/>
      <c r="H36" s="171"/>
      <c r="I36" s="171"/>
      <c r="J36" s="171"/>
      <c r="K36" s="171"/>
    </row>
    <row r="37" spans="1:30" ht="30" customHeight="1">
      <c r="A37" s="264" t="s">
        <v>324</v>
      </c>
      <c r="B37" s="266" t="s">
        <v>563</v>
      </c>
      <c r="C37" s="511">
        <f>+'Bank Assets Analysis'!O37+'Bank Assets Analysis'!O38+'Bank Assets Analysis'!Q37+'Bank Assets Analysis'!Q38</f>
        <v>929814271</v>
      </c>
      <c r="D37" s="511">
        <f>+C37-E37</f>
        <v>929814271</v>
      </c>
      <c r="E37" s="511">
        <f>+'Bank Assets Analysis'!P37+'Bank Assets Analysis'!P38+'Bank Assets Analysis'!R37+'Bank Assets Analysis'!R38</f>
        <v>0</v>
      </c>
      <c r="F37" s="474"/>
      <c r="G37" s="171"/>
      <c r="H37" s="171"/>
      <c r="I37" s="171"/>
      <c r="J37" s="171"/>
      <c r="K37" s="171"/>
    </row>
    <row r="38" spans="1:30" ht="26.25" customHeight="1">
      <c r="A38" s="264" t="s">
        <v>325</v>
      </c>
      <c r="B38" s="266" t="s">
        <v>493</v>
      </c>
      <c r="C38" s="511">
        <f>+'Bank Assets Analysis'!C28+'Bank Assets Analysis'!C29+'Bank Assets Analysis'!C30+'Bank Assets Analysis'!C32</f>
        <v>809913491</v>
      </c>
      <c r="D38" s="511">
        <f>+'Bank Assets Analysis (нац)'!C28+'Bank Assets Analysis (нац)'!C29+'Bank Assets Analysis (нац)'!C30+'Bank Assets Analysis (нац)'!C32</f>
        <v>436377233</v>
      </c>
      <c r="E38" s="511">
        <f>+'Bank Assets Analysis'!D28+'Bank Assets Analysis'!D29+'Bank Assets Analysis'!D30+'Bank Assets Analysis'!D32</f>
        <v>373536258</v>
      </c>
      <c r="F38" s="474"/>
      <c r="G38" s="171"/>
      <c r="H38" s="171"/>
      <c r="I38" s="171"/>
      <c r="J38" s="171"/>
      <c r="K38" s="171"/>
    </row>
    <row r="39" spans="1:30" ht="26.25" customHeight="1">
      <c r="A39" s="264" t="s">
        <v>326</v>
      </c>
      <c r="B39" s="266" t="s">
        <v>327</v>
      </c>
      <c r="C39" s="512">
        <f>+D39+E39</f>
        <v>0</v>
      </c>
      <c r="D39" s="513">
        <v>0</v>
      </c>
      <c r="E39" s="513">
        <v>0</v>
      </c>
      <c r="F39" s="474"/>
      <c r="G39" s="171"/>
      <c r="H39" s="171"/>
      <c r="I39" s="171"/>
      <c r="J39" s="171"/>
      <c r="K39" s="171"/>
    </row>
    <row r="40" spans="1:30" ht="38.25">
      <c r="A40" s="259" t="s">
        <v>328</v>
      </c>
      <c r="B40" s="266" t="s">
        <v>329</v>
      </c>
      <c r="C40" s="511">
        <f>((+'Bank Assets Analysis'!S47-'Bank Assets Analysis'!O47-'Bank Assets Analysis'!Q47-('Liquidity Analysis'!C58-'Bank Assets Analysis'!O19-'Bank Assets Analysis'!Q19))*0.3)</f>
        <v>2493899780.4000001</v>
      </c>
      <c r="D40" s="511">
        <f>('Bank Assets Analysis (нац)'!K47-'Bank Assets Analysis (нац)'!I47-'Bank Assets Analysis (нац)'!J47-('Liquidity Analysis'!D58-'Bank Assets Analysis (нац)'!I19-'Bank Assets Analysis (нац)'!J19))*0.3</f>
        <v>1850779002.8999999</v>
      </c>
      <c r="E40" s="511">
        <f>(('Bank Assets Analysis'!U47-'Bank Assets Analysis'!P47-'Bank Assets Analysis'!R47-('Liquidity Analysis'!E58-'Bank Assets Analysis'!P19-'Bank Assets Analysis'!R19))*0.3)</f>
        <v>623631038.10000002</v>
      </c>
      <c r="F40" s="474"/>
      <c r="G40" s="171"/>
      <c r="H40" s="171"/>
      <c r="I40" s="171"/>
      <c r="J40" s="171"/>
      <c r="K40" s="171"/>
    </row>
    <row r="41" spans="1:30" ht="15" customHeight="1">
      <c r="A41" s="267" t="s">
        <v>330</v>
      </c>
      <c r="B41" s="343" t="s">
        <v>494</v>
      </c>
      <c r="C41" s="433">
        <f>+ROUND(SUM(Commitments!C4-Commitments!C5+Commitments!C7-Commitments!C8+Commitments!C10-'Bank Liabilities Analysis'!S18)*15%,0)</f>
        <v>215948577</v>
      </c>
      <c r="D41" s="433">
        <f>+ROUND(SUM(Commitments!D4-Commitments!D5+Commitments!D7-Commitments!D8+Commitments!D10-'Bank Liabilities Analysis'!T18)*15%,0)</f>
        <v>69975430</v>
      </c>
      <c r="E41" s="433">
        <f>+ROUND(SUM(Commitments!E4-Commitments!E5+Commitments!E7-Commitments!E8+Commitments!E10-'Bank Liabilities Analysis'!U18)*15%,0)</f>
        <v>145973147</v>
      </c>
      <c r="F41" s="474"/>
      <c r="G41" s="171"/>
      <c r="H41" s="171"/>
      <c r="I41" s="171"/>
      <c r="J41" s="171"/>
      <c r="K41" s="171"/>
    </row>
    <row r="42" spans="1:30" ht="17.25" customHeight="1">
      <c r="G42" s="241"/>
      <c r="H42" s="218"/>
      <c r="I42" s="219"/>
      <c r="J42" s="171"/>
      <c r="K42" s="171"/>
    </row>
    <row r="43" spans="1:30" s="24" customFormat="1" ht="15" customHeight="1">
      <c r="A43" s="23"/>
      <c r="B43" s="225" t="s">
        <v>536</v>
      </c>
      <c r="C43" s="23"/>
      <c r="D43" s="23"/>
      <c r="E43" s="23"/>
      <c r="F43" s="173"/>
      <c r="G43" s="241"/>
      <c r="H43" s="218"/>
      <c r="I43" s="219"/>
      <c r="J43" s="173"/>
      <c r="K43" s="173"/>
      <c r="L43" s="173"/>
      <c r="M43" s="17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s="24" customFormat="1" ht="11.25" customHeight="1">
      <c r="A44" s="23"/>
      <c r="B44" s="225"/>
      <c r="C44" s="23"/>
      <c r="D44" s="23"/>
      <c r="E44" s="23"/>
      <c r="F44" s="173"/>
      <c r="G44" s="241"/>
      <c r="H44" s="218"/>
      <c r="I44" s="219"/>
      <c r="J44" s="173"/>
      <c r="K44" s="173"/>
      <c r="L44" s="173"/>
      <c r="M44" s="17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s="24" customFormat="1" ht="15" customHeight="1">
      <c r="A45" s="23"/>
      <c r="B45" s="225" t="s">
        <v>535</v>
      </c>
      <c r="C45" s="23"/>
      <c r="D45" s="23"/>
      <c r="E45" s="23"/>
      <c r="F45" s="173"/>
      <c r="G45" s="241"/>
      <c r="H45" s="218"/>
      <c r="I45" s="219"/>
      <c r="J45" s="173"/>
      <c r="K45" s="173"/>
      <c r="L45" s="173"/>
      <c r="M45" s="17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>
      <c r="B46" s="4"/>
      <c r="G46" s="241"/>
      <c r="H46" s="218"/>
      <c r="I46" s="219"/>
      <c r="J46" s="171"/>
      <c r="K46" s="171"/>
    </row>
    <row r="47" spans="1:30">
      <c r="B47" s="4"/>
      <c r="G47" s="241"/>
      <c r="H47" s="218"/>
      <c r="I47" s="219"/>
      <c r="J47" s="171"/>
      <c r="K47" s="171"/>
    </row>
    <row r="48" spans="1:30">
      <c r="B48" s="4"/>
      <c r="I48" s="473"/>
      <c r="J48" s="171"/>
      <c r="K48" s="171"/>
    </row>
    <row r="49" spans="1:13">
      <c r="B49" s="269"/>
      <c r="I49" s="473"/>
      <c r="J49" s="171"/>
      <c r="K49" s="171"/>
    </row>
    <row r="50" spans="1:13" ht="31.5">
      <c r="A50" s="107" t="s">
        <v>54</v>
      </c>
      <c r="B50" s="107" t="s">
        <v>482</v>
      </c>
      <c r="C50" s="107" t="s">
        <v>176</v>
      </c>
      <c r="D50" s="107" t="s">
        <v>177</v>
      </c>
      <c r="E50" s="107" t="s">
        <v>282</v>
      </c>
      <c r="G50" s="181"/>
      <c r="H50" s="181"/>
      <c r="I50" s="179"/>
      <c r="J50" s="179"/>
      <c r="K50" s="171"/>
    </row>
    <row r="51" spans="1:13" ht="25.5">
      <c r="A51" s="344" t="s">
        <v>118</v>
      </c>
      <c r="B51" s="345" t="s">
        <v>475</v>
      </c>
      <c r="C51" s="484">
        <f>+'Bank Assets Analysis'!S6+'Investment Securities'!B39</f>
        <v>874095741</v>
      </c>
      <c r="D51" s="484">
        <f>+'Bank Assets Analysis'!T6+'Investment Securities'!C39</f>
        <v>661579302</v>
      </c>
      <c r="E51" s="484">
        <f>+'Bank Assets Analysis'!U6+'Investment Securities'!D39</f>
        <v>212516439</v>
      </c>
      <c r="I51" s="183"/>
      <c r="J51" s="183"/>
      <c r="K51" s="183"/>
      <c r="L51" s="183"/>
      <c r="M51" s="183"/>
    </row>
    <row r="52" spans="1:13">
      <c r="A52" s="346" t="s">
        <v>119</v>
      </c>
      <c r="B52" s="345" t="s">
        <v>179</v>
      </c>
      <c r="C52" s="484">
        <f>+'Bank Assets Analysis'!S7+'Bank Assets Analysis'!S8</f>
        <v>496195792</v>
      </c>
      <c r="D52" s="484">
        <f>+'Bank Assets Analysis'!T7+'Bank Assets Analysis'!T8</f>
        <v>496195792</v>
      </c>
      <c r="E52" s="484">
        <f>+'Bank Assets Analysis'!U7+'Bank Assets Analysis'!U8</f>
        <v>0</v>
      </c>
      <c r="I52" s="183"/>
      <c r="J52" s="183"/>
      <c r="K52" s="183"/>
      <c r="L52" s="183"/>
      <c r="M52" s="183"/>
    </row>
    <row r="53" spans="1:13" ht="25.5">
      <c r="A53" s="346" t="s">
        <v>129</v>
      </c>
      <c r="B53" s="345" t="s">
        <v>476</v>
      </c>
      <c r="C53" s="484">
        <f>'Bank Assets Analysis'!C10+'Bank Assets Analysis'!C11+'Bank Assets Analysis'!C12+'Bank Assets Analysis'!C15+'Bank Assets Analysis'!C16+'Bank Assets Analysis'!E16+'Bank Assets Analysis'!G16</f>
        <v>1377549183</v>
      </c>
      <c r="D53" s="484">
        <f>+C53-E53</f>
        <v>15628613</v>
      </c>
      <c r="E53" s="484">
        <f>'Bank Assets Analysis'!D10+'Bank Assets Analysis'!D11+'Bank Assets Analysis'!D15+'Bank Assets Analysis'!D16+'Bank Assets Analysis'!F16+'Bank Assets Analysis'!H16</f>
        <v>1361920570</v>
      </c>
      <c r="I53" s="183"/>
      <c r="J53" s="183"/>
      <c r="K53" s="183"/>
      <c r="L53" s="183"/>
      <c r="M53" s="183"/>
    </row>
    <row r="54" spans="1:13" ht="25.5">
      <c r="A54" s="346" t="s">
        <v>131</v>
      </c>
      <c r="B54" s="345" t="s">
        <v>477</v>
      </c>
      <c r="C54" s="484">
        <f>IF(F54&gt;0,F54,0)</f>
        <v>0</v>
      </c>
      <c r="D54" s="484">
        <f>IF(G54&gt;0,G54,0)</f>
        <v>0</v>
      </c>
      <c r="E54" s="484">
        <f>IF(H54&gt;0,H54,0)</f>
        <v>64965798</v>
      </c>
      <c r="F54" s="490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-143046845</v>
      </c>
      <c r="G54" s="490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-208012643</v>
      </c>
      <c r="H54" s="490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64965798</v>
      </c>
      <c r="I54" s="183"/>
      <c r="J54" s="183"/>
      <c r="K54" s="183"/>
      <c r="L54" s="183"/>
      <c r="M54" s="183"/>
    </row>
    <row r="55" spans="1:13" ht="38.25">
      <c r="A55" s="346" t="s">
        <v>120</v>
      </c>
      <c r="B55" s="345" t="s">
        <v>478</v>
      </c>
      <c r="C55" s="484">
        <f>+'Investment Securities'!B5+'Investment Securities'!B6+'Investment Securities'!B19+'Investment Securities'!B20+'Investment Securities'!B21</f>
        <v>217000000</v>
      </c>
      <c r="D55" s="484">
        <f>+'Investment Securities'!C5+'Investment Securities'!C6+'Investment Securities'!C19+'Investment Securities'!C20+'Investment Securities'!C21</f>
        <v>217000000</v>
      </c>
      <c r="E55" s="484">
        <f>+'Investment Securities'!D5+'Investment Securities'!D6+'Investment Securities'!D19+'Investment Securities'!D20+'Investment Securities'!D21</f>
        <v>0</v>
      </c>
      <c r="I55" s="183"/>
      <c r="J55" s="183"/>
      <c r="K55" s="183"/>
      <c r="L55" s="183"/>
      <c r="M55" s="183"/>
    </row>
    <row r="56" spans="1:13" ht="25.5">
      <c r="A56" s="344" t="s">
        <v>127</v>
      </c>
      <c r="B56" s="345" t="s">
        <v>479</v>
      </c>
      <c r="C56" s="485"/>
      <c r="D56" s="485"/>
      <c r="E56" s="485"/>
      <c r="I56" s="183"/>
      <c r="J56" s="183"/>
      <c r="K56" s="183"/>
      <c r="L56" s="183"/>
      <c r="M56" s="183"/>
    </row>
    <row r="57" spans="1:13">
      <c r="A57" s="344" t="s">
        <v>130</v>
      </c>
      <c r="B57" s="345" t="s">
        <v>480</v>
      </c>
      <c r="C57" s="485"/>
      <c r="D57" s="485"/>
      <c r="E57" s="485"/>
      <c r="I57" s="183"/>
      <c r="J57" s="183"/>
      <c r="K57" s="183"/>
      <c r="L57" s="183"/>
      <c r="M57" s="183"/>
    </row>
    <row r="58" spans="1:13">
      <c r="A58" s="185" t="s">
        <v>128</v>
      </c>
      <c r="B58" s="347" t="s">
        <v>481</v>
      </c>
      <c r="C58" s="486">
        <f>SUM(C51:C57)</f>
        <v>2964840716</v>
      </c>
      <c r="D58" s="486">
        <f>SUM(D51:D57)</f>
        <v>1390403707</v>
      </c>
      <c r="E58" s="486">
        <f>SUM(E51:E57)</f>
        <v>1639402807</v>
      </c>
      <c r="I58" s="183"/>
      <c r="J58" s="183"/>
      <c r="K58" s="183"/>
      <c r="L58" s="183"/>
      <c r="M58" s="183"/>
    </row>
    <row r="59" spans="1:13" ht="18.75">
      <c r="B59" s="180"/>
      <c r="C59" s="181"/>
      <c r="D59" s="179"/>
      <c r="E59" s="179"/>
      <c r="F59" s="181"/>
      <c r="G59" s="181"/>
      <c r="H59" s="181"/>
      <c r="I59" s="330"/>
      <c r="J59" s="330"/>
      <c r="K59" s="171"/>
    </row>
    <row r="60" spans="1:13">
      <c r="I60" s="331"/>
      <c r="J60" s="331"/>
      <c r="K60" s="171"/>
    </row>
    <row r="61" spans="1:13">
      <c r="I61" s="331"/>
      <c r="J61" s="331"/>
      <c r="K61" s="171"/>
    </row>
    <row r="62" spans="1:13">
      <c r="I62" s="473"/>
      <c r="J62" s="171"/>
      <c r="K62" s="171"/>
    </row>
    <row r="63" spans="1:13">
      <c r="I63" s="473"/>
      <c r="J63" s="171"/>
      <c r="K63" s="171"/>
    </row>
    <row r="64" spans="1:13">
      <c r="I64" s="473"/>
      <c r="J64" s="171"/>
      <c r="K64" s="171"/>
    </row>
    <row r="65" spans="9:11" s="161" customFormat="1">
      <c r="I65" s="473"/>
      <c r="J65" s="171"/>
      <c r="K65" s="171"/>
    </row>
    <row r="66" spans="9:11" s="161" customFormat="1">
      <c r="I66" s="473"/>
      <c r="J66" s="171"/>
      <c r="K66" s="171"/>
    </row>
    <row r="67" spans="9:11" s="161" customFormat="1">
      <c r="I67" s="473"/>
      <c r="J67" s="171"/>
      <c r="K67" s="171"/>
    </row>
    <row r="68" spans="9:11" s="161" customFormat="1">
      <c r="I68" s="473"/>
      <c r="J68" s="171"/>
      <c r="K68" s="171"/>
    </row>
    <row r="69" spans="9:11" s="161" customFormat="1">
      <c r="I69" s="473"/>
      <c r="J69" s="171"/>
      <c r="K69" s="171"/>
    </row>
    <row r="70" spans="9:11" s="161" customFormat="1">
      <c r="I70" s="473"/>
      <c r="J70" s="171"/>
      <c r="K70" s="171"/>
    </row>
    <row r="71" spans="9:11" s="161" customFormat="1">
      <c r="I71" s="473"/>
      <c r="J71" s="171"/>
      <c r="K71" s="171"/>
    </row>
    <row r="72" spans="9:11" s="161" customFormat="1">
      <c r="I72" s="473"/>
      <c r="J72" s="171"/>
      <c r="K72" s="171"/>
    </row>
    <row r="73" spans="9:11" s="161" customFormat="1">
      <c r="I73" s="473"/>
      <c r="J73" s="171"/>
      <c r="K73" s="171"/>
    </row>
    <row r="74" spans="9:11" s="161" customFormat="1">
      <c r="I74" s="473"/>
      <c r="J74" s="171"/>
      <c r="K74" s="171"/>
    </row>
    <row r="75" spans="9:11" s="161" customFormat="1">
      <c r="I75" s="473"/>
      <c r="J75" s="171"/>
      <c r="K75" s="171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19:E28">
    <cfRule type="cellIs" dxfId="539" priority="19" stopIfTrue="1" operator="notBetween">
      <formula>TOTASS/4</formula>
      <formula>TOTASS*4</formula>
    </cfRule>
  </conditionalFormatting>
  <conditionalFormatting sqref="C38">
    <cfRule type="cellIs" dxfId="538" priority="12" operator="notEqual">
      <formula>$D$38+$E$38</formula>
    </cfRule>
  </conditionalFormatting>
  <conditionalFormatting sqref="C39">
    <cfRule type="cellIs" dxfId="537" priority="11" operator="notEqual">
      <formula>$D$39+$E$39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>
      <formula1>-1E+22</formula1>
      <formula2>1E+22</formula2>
    </dataValidation>
    <dataValidation allowBlank="1" showErrorMessage="1" prompt="Введите самостоятельно рассчитанный коэффициент" sqref="C3:E3 A50:E50"/>
    <dataValidation type="whole" operator="greaterThanOrEqual" allowBlank="1" showErrorMessage="1" error="Введите как целое число." sqref="C55:E57">
      <formula1>0</formula1>
    </dataValidation>
    <dataValidation allowBlank="1" showErrorMessage="1" sqref="G29:I41 C18:E41"/>
    <dataValidation type="date" operator="greaterThan" allowBlank="1" showInputMessage="1" showErrorMessage="1" prompt="Введите дату в формате ЧЧ.ММ.ГГГГ" sqref="D2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4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73"/>
  <sheetViews>
    <sheetView view="pageBreakPreview" zoomScale="55" zoomScaleNormal="55" zoomScaleSheetLayoutView="55" workbookViewId="0">
      <selection activeCell="D24" sqref="D24"/>
    </sheetView>
  </sheetViews>
  <sheetFormatPr defaultRowHeight="12.75"/>
  <cols>
    <col min="1" max="1" width="6.5703125" style="191" customWidth="1"/>
    <col min="2" max="2" width="78.5703125" style="157" customWidth="1"/>
    <col min="3" max="14" width="15.85546875" style="160" customWidth="1"/>
    <col min="15" max="15" width="16.5703125" style="160" customWidth="1"/>
    <col min="16" max="16" width="15.85546875" style="160" customWidth="1"/>
    <col min="17" max="18" width="17.140625" style="160" customWidth="1"/>
    <col min="19" max="21" width="18.28515625" style="160" customWidth="1"/>
    <col min="22" max="22" width="9" style="163" customWidth="1"/>
    <col min="23" max="23" width="18.7109375" style="159" customWidth="1"/>
    <col min="24" max="24" width="20.42578125" style="157" customWidth="1"/>
    <col min="25" max="25" width="18.7109375" style="159" customWidth="1"/>
    <col min="26" max="26" width="18.7109375" style="157" customWidth="1"/>
    <col min="27" max="29" width="20.5703125" style="160" customWidth="1"/>
    <col min="30" max="32" width="10.85546875" style="160" customWidth="1"/>
    <col min="33" max="16384" width="9.140625" style="160"/>
  </cols>
  <sheetData>
    <row r="1" spans="1:26" s="115" customFormat="1" ht="32.25" customHeight="1">
      <c r="A1" s="270" t="s">
        <v>331</v>
      </c>
      <c r="B1" s="270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539" t="s">
        <v>332</v>
      </c>
      <c r="Y1" s="539"/>
      <c r="Z1" s="539"/>
    </row>
    <row r="2" spans="1:26" ht="15.75">
      <c r="A2" s="190"/>
      <c r="B2" s="189" t="str">
        <f>Balance!B3</f>
        <v>"MKBANK"</v>
      </c>
      <c r="C2" s="73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T2" s="246"/>
      <c r="V2" s="160"/>
      <c r="W2" s="156"/>
      <c r="X2" s="388">
        <f>+Balance!D3</f>
        <v>45657</v>
      </c>
      <c r="Y2" s="156"/>
      <c r="Z2" s="92" t="s">
        <v>174</v>
      </c>
    </row>
    <row r="3" spans="1:26" s="454" customFormat="1" ht="29.25" customHeight="1">
      <c r="A3" s="532" t="s">
        <v>54</v>
      </c>
      <c r="B3" s="532" t="s">
        <v>333</v>
      </c>
      <c r="C3" s="529" t="s">
        <v>334</v>
      </c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0"/>
      <c r="S3" s="532" t="s">
        <v>176</v>
      </c>
      <c r="T3" s="535" t="s">
        <v>335</v>
      </c>
      <c r="U3" s="536"/>
      <c r="V3" s="535" t="s">
        <v>336</v>
      </c>
      <c r="W3" s="540"/>
      <c r="X3" s="540"/>
      <c r="Y3" s="540"/>
      <c r="Z3" s="540"/>
    </row>
    <row r="4" spans="1:26" s="454" customFormat="1" ht="29.25" customHeight="1">
      <c r="A4" s="533"/>
      <c r="B4" s="533"/>
      <c r="C4" s="529" t="s">
        <v>337</v>
      </c>
      <c r="D4" s="530"/>
      <c r="E4" s="529" t="s">
        <v>338</v>
      </c>
      <c r="F4" s="530"/>
      <c r="G4" s="529" t="s">
        <v>339</v>
      </c>
      <c r="H4" s="530"/>
      <c r="I4" s="529" t="s">
        <v>340</v>
      </c>
      <c r="J4" s="530"/>
      <c r="K4" s="529" t="s">
        <v>341</v>
      </c>
      <c r="L4" s="530"/>
      <c r="M4" s="529" t="s">
        <v>342</v>
      </c>
      <c r="N4" s="530"/>
      <c r="O4" s="529" t="s">
        <v>343</v>
      </c>
      <c r="P4" s="530"/>
      <c r="Q4" s="529" t="s">
        <v>344</v>
      </c>
      <c r="R4" s="530"/>
      <c r="S4" s="533"/>
      <c r="T4" s="537"/>
      <c r="U4" s="538"/>
      <c r="V4" s="537"/>
      <c r="W4" s="541"/>
      <c r="X4" s="541"/>
      <c r="Y4" s="541"/>
      <c r="Z4" s="541"/>
    </row>
    <row r="5" spans="1:26" s="454" customFormat="1" ht="110.25" customHeight="1">
      <c r="A5" s="533"/>
      <c r="B5" s="533"/>
      <c r="C5" s="455" t="s">
        <v>140</v>
      </c>
      <c r="D5" s="455" t="s">
        <v>345</v>
      </c>
      <c r="E5" s="455" t="s">
        <v>140</v>
      </c>
      <c r="F5" s="455" t="s">
        <v>345</v>
      </c>
      <c r="G5" s="455" t="s">
        <v>140</v>
      </c>
      <c r="H5" s="455" t="s">
        <v>345</v>
      </c>
      <c r="I5" s="455" t="s">
        <v>140</v>
      </c>
      <c r="J5" s="455" t="s">
        <v>345</v>
      </c>
      <c r="K5" s="455" t="s">
        <v>140</v>
      </c>
      <c r="L5" s="455" t="s">
        <v>345</v>
      </c>
      <c r="M5" s="455" t="s">
        <v>140</v>
      </c>
      <c r="N5" s="455" t="s">
        <v>345</v>
      </c>
      <c r="O5" s="455" t="s">
        <v>140</v>
      </c>
      <c r="P5" s="455" t="s">
        <v>345</v>
      </c>
      <c r="Q5" s="455" t="s">
        <v>140</v>
      </c>
      <c r="R5" s="455" t="s">
        <v>345</v>
      </c>
      <c r="S5" s="533"/>
      <c r="T5" s="455" t="s">
        <v>346</v>
      </c>
      <c r="U5" s="455" t="s">
        <v>347</v>
      </c>
      <c r="V5" s="461" t="s">
        <v>22</v>
      </c>
      <c r="W5" s="461" t="s">
        <v>348</v>
      </c>
      <c r="X5" s="461" t="s">
        <v>349</v>
      </c>
      <c r="Y5" s="461" t="s">
        <v>350</v>
      </c>
      <c r="Z5" s="461" t="s">
        <v>351</v>
      </c>
    </row>
    <row r="6" spans="1:26" s="141" customFormat="1" ht="38.25" customHeight="1">
      <c r="A6" s="395" t="s">
        <v>352</v>
      </c>
      <c r="B6" s="273" t="s">
        <v>285</v>
      </c>
      <c r="C6" s="498">
        <v>874095566</v>
      </c>
      <c r="D6" s="498">
        <v>212516439</v>
      </c>
      <c r="E6" s="498">
        <v>0</v>
      </c>
      <c r="F6" s="498">
        <v>0</v>
      </c>
      <c r="G6" s="498">
        <v>0</v>
      </c>
      <c r="H6" s="498">
        <v>0</v>
      </c>
      <c r="I6" s="498">
        <v>0</v>
      </c>
      <c r="J6" s="498">
        <v>0</v>
      </c>
      <c r="K6" s="498">
        <v>0</v>
      </c>
      <c r="L6" s="498">
        <v>0</v>
      </c>
      <c r="M6" s="498">
        <v>0</v>
      </c>
      <c r="N6" s="498">
        <v>0</v>
      </c>
      <c r="O6" s="498">
        <v>0</v>
      </c>
      <c r="P6" s="498">
        <v>0</v>
      </c>
      <c r="Q6" s="498">
        <v>0</v>
      </c>
      <c r="R6" s="498">
        <v>0</v>
      </c>
      <c r="S6" s="499">
        <f>+C6+E6+G6+I6+K6+M6+O6+Q6</f>
        <v>874095566</v>
      </c>
      <c r="T6" s="499">
        <f>+S6-U6</f>
        <v>661579127</v>
      </c>
      <c r="U6" s="499">
        <f>+D6+F6+H6+J6+L6+N6+P6+R6</f>
        <v>212516439</v>
      </c>
      <c r="V6" s="137">
        <v>1</v>
      </c>
      <c r="W6" s="138">
        <f>+S6</f>
        <v>874095566</v>
      </c>
      <c r="X6" s="139">
        <f>+W6*V6</f>
        <v>874095566</v>
      </c>
      <c r="Y6" s="138">
        <f>+U6</f>
        <v>212516439</v>
      </c>
      <c r="Z6" s="139">
        <f>+Y6*V6</f>
        <v>212516439</v>
      </c>
    </row>
    <row r="7" spans="1:26" s="141" customFormat="1" ht="38.25" customHeight="1">
      <c r="A7" s="395" t="s">
        <v>353</v>
      </c>
      <c r="B7" s="273" t="s">
        <v>518</v>
      </c>
      <c r="C7" s="498">
        <v>246195792</v>
      </c>
      <c r="D7" s="498">
        <v>0</v>
      </c>
      <c r="E7" s="498">
        <v>250000000</v>
      </c>
      <c r="F7" s="498">
        <v>0</v>
      </c>
      <c r="G7" s="498">
        <v>0</v>
      </c>
      <c r="H7" s="498">
        <v>0</v>
      </c>
      <c r="I7" s="498">
        <v>0</v>
      </c>
      <c r="J7" s="498">
        <v>0</v>
      </c>
      <c r="K7" s="498">
        <v>0</v>
      </c>
      <c r="L7" s="498">
        <v>0</v>
      </c>
      <c r="M7" s="498">
        <v>0</v>
      </c>
      <c r="N7" s="498">
        <v>0</v>
      </c>
      <c r="O7" s="498">
        <v>0</v>
      </c>
      <c r="P7" s="498">
        <v>0</v>
      </c>
      <c r="Q7" s="498">
        <v>0</v>
      </c>
      <c r="R7" s="498">
        <v>0</v>
      </c>
      <c r="S7" s="499">
        <f t="shared" ref="S7:S45" si="0">+C7+E7+G7+I7+K7+M7+O7+Q7</f>
        <v>496195792</v>
      </c>
      <c r="T7" s="499">
        <f t="shared" ref="T7:T47" si="1">+S7-U7</f>
        <v>496195792</v>
      </c>
      <c r="U7" s="499">
        <f t="shared" ref="U7:U47" si="2">+D7+F7+H7+J7+L7+N7+P7+R7</f>
        <v>0</v>
      </c>
      <c r="V7" s="137">
        <v>1</v>
      </c>
      <c r="W7" s="138">
        <f>S7</f>
        <v>496195792</v>
      </c>
      <c r="X7" s="139">
        <f t="shared" ref="X7:X35" si="3">+W7*V7</f>
        <v>496195792</v>
      </c>
      <c r="Y7" s="138">
        <f>+U7</f>
        <v>0</v>
      </c>
      <c r="Z7" s="139">
        <f>+Y7*V7</f>
        <v>0</v>
      </c>
    </row>
    <row r="8" spans="1:26" s="141" customFormat="1" ht="38.25" customHeight="1">
      <c r="A8" s="395" t="s">
        <v>73</v>
      </c>
      <c r="B8" s="273" t="s">
        <v>354</v>
      </c>
      <c r="C8" s="498">
        <v>0</v>
      </c>
      <c r="D8" s="498">
        <v>0</v>
      </c>
      <c r="E8" s="498">
        <v>0</v>
      </c>
      <c r="F8" s="498">
        <v>0</v>
      </c>
      <c r="G8" s="498">
        <v>0</v>
      </c>
      <c r="H8" s="498">
        <v>0</v>
      </c>
      <c r="I8" s="498">
        <v>0</v>
      </c>
      <c r="J8" s="498">
        <v>0</v>
      </c>
      <c r="K8" s="498">
        <v>0</v>
      </c>
      <c r="L8" s="498">
        <v>0</v>
      </c>
      <c r="M8" s="498">
        <v>0</v>
      </c>
      <c r="N8" s="498">
        <v>0</v>
      </c>
      <c r="O8" s="498">
        <v>0</v>
      </c>
      <c r="P8" s="498">
        <v>0</v>
      </c>
      <c r="Q8" s="498">
        <v>0</v>
      </c>
      <c r="R8" s="498">
        <v>0</v>
      </c>
      <c r="S8" s="499">
        <f t="shared" si="0"/>
        <v>0</v>
      </c>
      <c r="T8" s="499">
        <f t="shared" si="1"/>
        <v>0</v>
      </c>
      <c r="U8" s="499">
        <f t="shared" si="2"/>
        <v>0</v>
      </c>
      <c r="V8" s="137">
        <v>0</v>
      </c>
      <c r="W8" s="138"/>
      <c r="X8" s="136"/>
      <c r="Y8" s="138"/>
      <c r="Z8" s="138"/>
    </row>
    <row r="9" spans="1:26" s="141" customFormat="1" ht="38.25" customHeight="1">
      <c r="A9" s="395" t="s">
        <v>355</v>
      </c>
      <c r="B9" s="273" t="s">
        <v>476</v>
      </c>
      <c r="C9" s="499">
        <f>SUM(C10:C16)-C13</f>
        <v>1378527034</v>
      </c>
      <c r="D9" s="499">
        <f t="shared" ref="D9:R9" si="4">SUM(D10:D16)-D13</f>
        <v>1362283968</v>
      </c>
      <c r="E9" s="499">
        <f t="shared" si="4"/>
        <v>0</v>
      </c>
      <c r="F9" s="499">
        <f t="shared" si="4"/>
        <v>0</v>
      </c>
      <c r="G9" s="499">
        <f t="shared" si="4"/>
        <v>64602400</v>
      </c>
      <c r="H9" s="499">
        <f t="shared" si="4"/>
        <v>64602400</v>
      </c>
      <c r="I9" s="499">
        <f t="shared" si="4"/>
        <v>10465589</v>
      </c>
      <c r="J9" s="499">
        <f t="shared" si="4"/>
        <v>10465589</v>
      </c>
      <c r="K9" s="499">
        <f t="shared" si="4"/>
        <v>8116975</v>
      </c>
      <c r="L9" s="499">
        <f t="shared" si="4"/>
        <v>3236580</v>
      </c>
      <c r="M9" s="499">
        <f t="shared" si="4"/>
        <v>5505394</v>
      </c>
      <c r="N9" s="499">
        <f t="shared" si="4"/>
        <v>0</v>
      </c>
      <c r="O9" s="499">
        <f t="shared" si="4"/>
        <v>14342260</v>
      </c>
      <c r="P9" s="499">
        <f t="shared" si="4"/>
        <v>0</v>
      </c>
      <c r="Q9" s="499">
        <f t="shared" si="4"/>
        <v>49300171</v>
      </c>
      <c r="R9" s="499">
        <f t="shared" si="4"/>
        <v>14666275</v>
      </c>
      <c r="S9" s="499">
        <f t="shared" si="0"/>
        <v>1530859823</v>
      </c>
      <c r="T9" s="499">
        <f t="shared" si="1"/>
        <v>75605011</v>
      </c>
      <c r="U9" s="499">
        <f t="shared" si="2"/>
        <v>1455254812</v>
      </c>
      <c r="V9" s="137"/>
      <c r="W9" s="138"/>
      <c r="X9" s="136"/>
      <c r="Y9" s="138"/>
      <c r="Z9" s="138"/>
    </row>
    <row r="10" spans="1:26" s="141" customFormat="1" ht="45" customHeight="1">
      <c r="A10" s="395" t="s">
        <v>74</v>
      </c>
      <c r="B10" s="273" t="s">
        <v>356</v>
      </c>
      <c r="C10" s="500">
        <v>586152820</v>
      </c>
      <c r="D10" s="498">
        <v>586152820</v>
      </c>
      <c r="E10" s="498">
        <v>0</v>
      </c>
      <c r="F10" s="498">
        <v>0</v>
      </c>
      <c r="G10" s="498">
        <v>0</v>
      </c>
      <c r="H10" s="498">
        <v>0</v>
      </c>
      <c r="I10" s="498">
        <v>0</v>
      </c>
      <c r="J10" s="498">
        <v>0</v>
      </c>
      <c r="K10" s="498">
        <v>0</v>
      </c>
      <c r="L10" s="498">
        <v>0</v>
      </c>
      <c r="M10" s="498">
        <v>0</v>
      </c>
      <c r="N10" s="498">
        <v>0</v>
      </c>
      <c r="O10" s="498">
        <v>0</v>
      </c>
      <c r="P10" s="498">
        <v>0</v>
      </c>
      <c r="Q10" s="498">
        <v>0</v>
      </c>
      <c r="R10" s="498">
        <v>0</v>
      </c>
      <c r="S10" s="499">
        <f t="shared" si="0"/>
        <v>586152820</v>
      </c>
      <c r="T10" s="499">
        <f t="shared" si="1"/>
        <v>0</v>
      </c>
      <c r="U10" s="499">
        <f t="shared" si="2"/>
        <v>586152820</v>
      </c>
      <c r="V10" s="137">
        <v>1</v>
      </c>
      <c r="W10" s="138">
        <f>+C10</f>
        <v>586152820</v>
      </c>
      <c r="X10" s="139">
        <f t="shared" si="3"/>
        <v>586152820</v>
      </c>
      <c r="Y10" s="138">
        <f>+D10</f>
        <v>586152820</v>
      </c>
      <c r="Z10" s="139">
        <f>+Y10*V10</f>
        <v>586152820</v>
      </c>
    </row>
    <row r="11" spans="1:26" s="141" customFormat="1" ht="45" customHeight="1">
      <c r="A11" s="395" t="s">
        <v>75</v>
      </c>
      <c r="B11" s="273" t="s">
        <v>357</v>
      </c>
      <c r="C11" s="498">
        <v>775040043</v>
      </c>
      <c r="D11" s="498">
        <v>775040038</v>
      </c>
      <c r="E11" s="499"/>
      <c r="F11" s="499"/>
      <c r="G11" s="499"/>
      <c r="H11" s="499"/>
      <c r="I11" s="499"/>
      <c r="J11" s="499"/>
      <c r="K11" s="499"/>
      <c r="L11" s="499"/>
      <c r="M11" s="499"/>
      <c r="N11" s="499"/>
      <c r="O11" s="499"/>
      <c r="P11" s="499"/>
      <c r="Q11" s="499"/>
      <c r="R11" s="499"/>
      <c r="S11" s="499">
        <f>+C11</f>
        <v>775040043</v>
      </c>
      <c r="T11" s="499">
        <f t="shared" ref="T11:T13" si="5">+S11-U11</f>
        <v>5</v>
      </c>
      <c r="U11" s="499">
        <f>+D11</f>
        <v>775040038</v>
      </c>
      <c r="V11" s="137">
        <v>1</v>
      </c>
      <c r="W11" s="138">
        <f>+C11</f>
        <v>775040043</v>
      </c>
      <c r="X11" s="139">
        <f t="shared" si="3"/>
        <v>775040043</v>
      </c>
      <c r="Y11" s="138">
        <f>+D11</f>
        <v>775040038</v>
      </c>
      <c r="Z11" s="139">
        <f t="shared" ref="Z11:Z35" si="6">+Y11*V11</f>
        <v>775040038</v>
      </c>
    </row>
    <row r="12" spans="1:26" s="141" customFormat="1" ht="45" customHeight="1">
      <c r="A12" s="395" t="s">
        <v>15</v>
      </c>
      <c r="B12" s="273" t="s">
        <v>358</v>
      </c>
      <c r="C12" s="499"/>
      <c r="D12" s="499"/>
      <c r="E12" s="498">
        <v>0</v>
      </c>
      <c r="F12" s="498">
        <v>0</v>
      </c>
      <c r="G12" s="499"/>
      <c r="H12" s="499"/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>
        <f>+E12</f>
        <v>0</v>
      </c>
      <c r="T12" s="499">
        <f t="shared" si="5"/>
        <v>0</v>
      </c>
      <c r="U12" s="499">
        <f>+F12</f>
        <v>0</v>
      </c>
      <c r="V12" s="137">
        <v>1</v>
      </c>
      <c r="W12" s="138">
        <f>+E12-E13</f>
        <v>0</v>
      </c>
      <c r="X12" s="136">
        <f t="shared" si="3"/>
        <v>0</v>
      </c>
      <c r="Y12" s="178">
        <f>+F12-F13</f>
        <v>0</v>
      </c>
      <c r="Z12" s="136">
        <f t="shared" si="6"/>
        <v>0</v>
      </c>
    </row>
    <row r="13" spans="1:26" s="141" customFormat="1" ht="45" customHeight="1">
      <c r="A13" s="395" t="s">
        <v>165</v>
      </c>
      <c r="B13" s="273" t="s">
        <v>359</v>
      </c>
      <c r="C13" s="499"/>
      <c r="D13" s="499"/>
      <c r="E13" s="498">
        <v>0</v>
      </c>
      <c r="F13" s="498">
        <v>0</v>
      </c>
      <c r="G13" s="499"/>
      <c r="H13" s="499"/>
      <c r="I13" s="499"/>
      <c r="J13" s="499"/>
      <c r="K13" s="499"/>
      <c r="L13" s="499"/>
      <c r="M13" s="499"/>
      <c r="N13" s="499"/>
      <c r="O13" s="499"/>
      <c r="P13" s="499"/>
      <c r="Q13" s="499"/>
      <c r="R13" s="499"/>
      <c r="S13" s="499">
        <f>+E13</f>
        <v>0</v>
      </c>
      <c r="T13" s="499">
        <f t="shared" si="5"/>
        <v>0</v>
      </c>
      <c r="U13" s="499">
        <f>+F13</f>
        <v>0</v>
      </c>
      <c r="V13" s="137">
        <v>1</v>
      </c>
      <c r="W13" s="138">
        <f>+F13</f>
        <v>0</v>
      </c>
      <c r="X13" s="139">
        <f t="shared" si="3"/>
        <v>0</v>
      </c>
      <c r="Y13" s="138">
        <f>+F13</f>
        <v>0</v>
      </c>
      <c r="Z13" s="139">
        <f t="shared" si="6"/>
        <v>0</v>
      </c>
    </row>
    <row r="14" spans="1:26" s="141" customFormat="1" ht="38.25" customHeight="1">
      <c r="A14" s="395" t="s">
        <v>149</v>
      </c>
      <c r="B14" s="273" t="s">
        <v>523</v>
      </c>
      <c r="C14" s="500">
        <v>977851</v>
      </c>
      <c r="D14" s="500">
        <v>363398</v>
      </c>
      <c r="E14" s="498">
        <v>0</v>
      </c>
      <c r="F14" s="498">
        <v>0</v>
      </c>
      <c r="G14" s="498">
        <v>64602400</v>
      </c>
      <c r="H14" s="498">
        <v>64602400</v>
      </c>
      <c r="I14" s="498">
        <v>10465589</v>
      </c>
      <c r="J14" s="498">
        <v>10465589</v>
      </c>
      <c r="K14" s="498">
        <v>8116975</v>
      </c>
      <c r="L14" s="498">
        <v>3236580</v>
      </c>
      <c r="M14" s="498">
        <v>5505394</v>
      </c>
      <c r="N14" s="498">
        <v>0</v>
      </c>
      <c r="O14" s="498">
        <v>14342260</v>
      </c>
      <c r="P14" s="498">
        <v>0</v>
      </c>
      <c r="Q14" s="498">
        <v>49300171</v>
      </c>
      <c r="R14" s="498">
        <v>14666275</v>
      </c>
      <c r="S14" s="499">
        <f t="shared" si="0"/>
        <v>153310640</v>
      </c>
      <c r="T14" s="499">
        <f t="shared" si="1"/>
        <v>59976398</v>
      </c>
      <c r="U14" s="499">
        <f t="shared" si="2"/>
        <v>93334242</v>
      </c>
      <c r="V14" s="137">
        <v>1</v>
      </c>
      <c r="W14" s="138">
        <f>+C14+E14+G14+E10+G10+E11+G11</f>
        <v>65580251</v>
      </c>
      <c r="X14" s="136">
        <f>+W14*V14</f>
        <v>65580251</v>
      </c>
      <c r="Y14" s="138">
        <f>+D14+F14+H14+F10+H10+F11+H11</f>
        <v>64965798</v>
      </c>
      <c r="Z14" s="138">
        <f t="shared" si="6"/>
        <v>64965798</v>
      </c>
    </row>
    <row r="15" spans="1:26" s="141" customFormat="1" ht="38.25" customHeight="1">
      <c r="A15" s="395" t="s">
        <v>162</v>
      </c>
      <c r="B15" s="273" t="s">
        <v>360</v>
      </c>
      <c r="C15" s="498">
        <v>16356320</v>
      </c>
      <c r="D15" s="498">
        <v>727712</v>
      </c>
      <c r="E15" s="498">
        <v>0</v>
      </c>
      <c r="F15" s="498">
        <v>0</v>
      </c>
      <c r="G15" s="498">
        <v>0</v>
      </c>
      <c r="H15" s="498">
        <v>0</v>
      </c>
      <c r="I15" s="498">
        <v>0</v>
      </c>
      <c r="J15" s="498">
        <v>0</v>
      </c>
      <c r="K15" s="498">
        <v>0</v>
      </c>
      <c r="L15" s="498">
        <v>0</v>
      </c>
      <c r="M15" s="498">
        <v>0</v>
      </c>
      <c r="N15" s="498">
        <v>0</v>
      </c>
      <c r="O15" s="498">
        <v>0</v>
      </c>
      <c r="P15" s="498">
        <v>0</v>
      </c>
      <c r="Q15" s="498">
        <v>0</v>
      </c>
      <c r="R15" s="498">
        <v>0</v>
      </c>
      <c r="S15" s="499">
        <f t="shared" si="0"/>
        <v>16356320</v>
      </c>
      <c r="T15" s="499">
        <f t="shared" si="1"/>
        <v>15628608</v>
      </c>
      <c r="U15" s="499">
        <f t="shared" si="2"/>
        <v>727712</v>
      </c>
      <c r="V15" s="137">
        <v>1</v>
      </c>
      <c r="W15" s="138">
        <f>+C15+E15+G15</f>
        <v>16356320</v>
      </c>
      <c r="X15" s="136">
        <f t="shared" si="3"/>
        <v>16356320</v>
      </c>
      <c r="Y15" s="138">
        <f>+D15+F15+H15</f>
        <v>727712</v>
      </c>
      <c r="Z15" s="138">
        <f t="shared" si="6"/>
        <v>727712</v>
      </c>
    </row>
    <row r="16" spans="1:26" s="141" customFormat="1" ht="38.25" customHeight="1">
      <c r="A16" s="395" t="s">
        <v>163</v>
      </c>
      <c r="B16" s="273" t="s">
        <v>361</v>
      </c>
      <c r="C16" s="498"/>
      <c r="D16" s="498"/>
      <c r="E16" s="498"/>
      <c r="F16" s="498"/>
      <c r="G16" s="498"/>
      <c r="H16" s="498"/>
      <c r="I16" s="498"/>
      <c r="J16" s="498"/>
      <c r="K16" s="498"/>
      <c r="L16" s="498"/>
      <c r="M16" s="498"/>
      <c r="N16" s="498"/>
      <c r="O16" s="498"/>
      <c r="P16" s="498"/>
      <c r="Q16" s="498"/>
      <c r="R16" s="498"/>
      <c r="S16" s="499">
        <f t="shared" si="0"/>
        <v>0</v>
      </c>
      <c r="T16" s="499">
        <f t="shared" si="1"/>
        <v>0</v>
      </c>
      <c r="U16" s="499">
        <f t="shared" si="2"/>
        <v>0</v>
      </c>
      <c r="V16" s="137">
        <v>1</v>
      </c>
      <c r="W16" s="138">
        <f>+C16+E16+G16</f>
        <v>0</v>
      </c>
      <c r="X16" s="136">
        <f>+W16*V16</f>
        <v>0</v>
      </c>
      <c r="Y16" s="138">
        <f>+D16+F16+H16</f>
        <v>0</v>
      </c>
      <c r="Z16" s="138">
        <f t="shared" si="6"/>
        <v>0</v>
      </c>
    </row>
    <row r="17" spans="1:26" s="141" customFormat="1" ht="38.25" customHeight="1">
      <c r="A17" s="395" t="s">
        <v>362</v>
      </c>
      <c r="B17" s="273" t="s">
        <v>183</v>
      </c>
      <c r="C17" s="499">
        <f t="shared" ref="C17:R17" si="7">SUM(C19:C25)</f>
        <v>175</v>
      </c>
      <c r="D17" s="499">
        <f t="shared" si="7"/>
        <v>0</v>
      </c>
      <c r="E17" s="499">
        <f t="shared" si="7"/>
        <v>0</v>
      </c>
      <c r="F17" s="499">
        <f t="shared" si="7"/>
        <v>0</v>
      </c>
      <c r="G17" s="499">
        <f t="shared" si="7"/>
        <v>103422526</v>
      </c>
      <c r="H17" s="499">
        <f t="shared" si="7"/>
        <v>0</v>
      </c>
      <c r="I17" s="499">
        <f t="shared" si="7"/>
        <v>52056510</v>
      </c>
      <c r="J17" s="499">
        <f t="shared" si="7"/>
        <v>0</v>
      </c>
      <c r="K17" s="499">
        <f t="shared" si="7"/>
        <v>0</v>
      </c>
      <c r="L17" s="499">
        <f t="shared" si="7"/>
        <v>0</v>
      </c>
      <c r="M17" s="499">
        <f t="shared" si="7"/>
        <v>45879410</v>
      </c>
      <c r="N17" s="499">
        <f t="shared" si="7"/>
        <v>0</v>
      </c>
      <c r="O17" s="499">
        <f t="shared" si="7"/>
        <v>10000000</v>
      </c>
      <c r="P17" s="499">
        <f t="shared" si="7"/>
        <v>0</v>
      </c>
      <c r="Q17" s="499">
        <f t="shared" si="7"/>
        <v>0</v>
      </c>
      <c r="R17" s="499">
        <f t="shared" si="7"/>
        <v>0</v>
      </c>
      <c r="S17" s="499">
        <f t="shared" si="0"/>
        <v>211358621</v>
      </c>
      <c r="T17" s="499">
        <f t="shared" si="1"/>
        <v>211358621</v>
      </c>
      <c r="U17" s="499">
        <f t="shared" si="2"/>
        <v>0</v>
      </c>
      <c r="V17" s="137"/>
      <c r="W17" s="138"/>
      <c r="X17" s="136"/>
      <c r="Y17" s="138"/>
      <c r="Z17" s="138"/>
    </row>
    <row r="18" spans="1:26" s="141" customFormat="1" ht="38.25" customHeight="1">
      <c r="A18" s="395" t="s">
        <v>549</v>
      </c>
      <c r="B18" s="273" t="s">
        <v>548</v>
      </c>
      <c r="C18" s="499">
        <f>+'Bank Liabilities Analysis'!C34</f>
        <v>0</v>
      </c>
      <c r="D18" s="499">
        <f>+'Bank Liabilities Analysis'!D34</f>
        <v>0</v>
      </c>
      <c r="E18" s="499">
        <f>+'Bank Liabilities Analysis'!E34</f>
        <v>0</v>
      </c>
      <c r="F18" s="499">
        <f>+'Bank Liabilities Analysis'!F34</f>
        <v>0</v>
      </c>
      <c r="G18" s="499">
        <f>+'Bank Liabilities Analysis'!G34</f>
        <v>0</v>
      </c>
      <c r="H18" s="499">
        <f>+'Bank Liabilities Analysis'!H34</f>
        <v>0</v>
      </c>
      <c r="I18" s="499">
        <f>+'Bank Liabilities Analysis'!I34</f>
        <v>0</v>
      </c>
      <c r="J18" s="499">
        <f>+'Bank Liabilities Analysis'!J34</f>
        <v>0</v>
      </c>
      <c r="K18" s="499">
        <f>+'Bank Liabilities Analysis'!K34</f>
        <v>0</v>
      </c>
      <c r="L18" s="499">
        <f>+'Bank Liabilities Analysis'!L34</f>
        <v>0</v>
      </c>
      <c r="M18" s="499">
        <f>+'Bank Liabilities Analysis'!M34</f>
        <v>0</v>
      </c>
      <c r="N18" s="499">
        <f>+'Bank Liabilities Analysis'!N34</f>
        <v>0</v>
      </c>
      <c r="O18" s="499">
        <f>+'Bank Liabilities Analysis'!O34</f>
        <v>0</v>
      </c>
      <c r="P18" s="499">
        <f>+'Bank Liabilities Analysis'!P34</f>
        <v>0</v>
      </c>
      <c r="Q18" s="499">
        <f>+'Bank Liabilities Analysis'!Q34</f>
        <v>0</v>
      </c>
      <c r="R18" s="499">
        <f>+'Bank Liabilities Analysis'!R34</f>
        <v>0</v>
      </c>
      <c r="S18" s="499">
        <f>+C18+E18+G18+I18+K18+M18+O18+Q18</f>
        <v>0</v>
      </c>
      <c r="T18" s="499">
        <f>+S18-U18</f>
        <v>0</v>
      </c>
      <c r="U18" s="499">
        <f>+D18+F18+H18+J18+L18+N18+P18+R18</f>
        <v>0</v>
      </c>
      <c r="V18" s="137">
        <v>1</v>
      </c>
      <c r="W18" s="138">
        <f>+C18+E18+G18</f>
        <v>0</v>
      </c>
      <c r="X18" s="136">
        <f>+W18*V18</f>
        <v>0</v>
      </c>
      <c r="Y18" s="138">
        <f>+D18+F18+H18</f>
        <v>0</v>
      </c>
      <c r="Z18" s="138">
        <f>+Y18*V18</f>
        <v>0</v>
      </c>
    </row>
    <row r="19" spans="1:26" s="141" customFormat="1" ht="42.75">
      <c r="A19" s="395" t="s">
        <v>76</v>
      </c>
      <c r="B19" s="273" t="s">
        <v>363</v>
      </c>
      <c r="C19" s="500">
        <v>0</v>
      </c>
      <c r="D19" s="498">
        <v>0</v>
      </c>
      <c r="E19" s="498">
        <v>0</v>
      </c>
      <c r="F19" s="498">
        <v>0</v>
      </c>
      <c r="G19" s="498">
        <v>103422526</v>
      </c>
      <c r="H19" s="498">
        <v>0</v>
      </c>
      <c r="I19" s="498">
        <v>52056510</v>
      </c>
      <c r="J19" s="498">
        <v>0</v>
      </c>
      <c r="K19" s="498">
        <v>0</v>
      </c>
      <c r="L19" s="498">
        <v>0</v>
      </c>
      <c r="M19" s="498">
        <v>45879410</v>
      </c>
      <c r="N19" s="498">
        <v>0</v>
      </c>
      <c r="O19" s="498">
        <v>0</v>
      </c>
      <c r="P19" s="498">
        <v>0</v>
      </c>
      <c r="Q19" s="498">
        <v>0</v>
      </c>
      <c r="R19" s="498">
        <v>0</v>
      </c>
      <c r="S19" s="499">
        <f>+C19+E19+G19+I19+K19+M19+O19+Q19</f>
        <v>201358446</v>
      </c>
      <c r="T19" s="499">
        <f t="shared" si="1"/>
        <v>201358446</v>
      </c>
      <c r="U19" s="499">
        <f t="shared" si="2"/>
        <v>0</v>
      </c>
      <c r="V19" s="137">
        <v>1</v>
      </c>
      <c r="W19" s="178">
        <f t="shared" ref="W19:W24" si="8">+S19</f>
        <v>201358446</v>
      </c>
      <c r="X19" s="139">
        <f t="shared" si="3"/>
        <v>201358446</v>
      </c>
      <c r="Y19" s="178">
        <f t="shared" ref="Y19:Y24" si="9">+U19</f>
        <v>0</v>
      </c>
      <c r="Z19" s="139">
        <f t="shared" si="6"/>
        <v>0</v>
      </c>
    </row>
    <row r="20" spans="1:26" s="141" customFormat="1" ht="38.25" customHeight="1">
      <c r="A20" s="395" t="s">
        <v>20</v>
      </c>
      <c r="B20" s="273" t="s">
        <v>364</v>
      </c>
      <c r="C20" s="500">
        <v>0</v>
      </c>
      <c r="D20" s="500">
        <v>0</v>
      </c>
      <c r="E20" s="500">
        <v>0</v>
      </c>
      <c r="F20" s="500">
        <v>0</v>
      </c>
      <c r="G20" s="500">
        <v>0</v>
      </c>
      <c r="H20" s="500">
        <v>0</v>
      </c>
      <c r="I20" s="500">
        <v>0</v>
      </c>
      <c r="J20" s="500">
        <v>0</v>
      </c>
      <c r="K20" s="500">
        <v>0</v>
      </c>
      <c r="L20" s="500">
        <v>0</v>
      </c>
      <c r="M20" s="500">
        <v>0</v>
      </c>
      <c r="N20" s="500">
        <v>0</v>
      </c>
      <c r="O20" s="500">
        <v>0</v>
      </c>
      <c r="P20" s="500">
        <v>0</v>
      </c>
      <c r="Q20" s="500">
        <v>0</v>
      </c>
      <c r="R20" s="500">
        <v>0</v>
      </c>
      <c r="S20" s="499">
        <f t="shared" si="0"/>
        <v>0</v>
      </c>
      <c r="T20" s="499">
        <f t="shared" si="1"/>
        <v>0</v>
      </c>
      <c r="U20" s="499">
        <f t="shared" si="2"/>
        <v>0</v>
      </c>
      <c r="V20" s="137">
        <v>1</v>
      </c>
      <c r="W20" s="138">
        <f t="shared" si="8"/>
        <v>0</v>
      </c>
      <c r="X20" s="139">
        <f t="shared" si="3"/>
        <v>0</v>
      </c>
      <c r="Y20" s="138">
        <f t="shared" si="9"/>
        <v>0</v>
      </c>
      <c r="Z20" s="139">
        <f t="shared" si="6"/>
        <v>0</v>
      </c>
    </row>
    <row r="21" spans="1:26" s="141" customFormat="1" ht="61.5" customHeight="1">
      <c r="A21" s="395" t="s">
        <v>21</v>
      </c>
      <c r="B21" s="273" t="s">
        <v>365</v>
      </c>
      <c r="C21" s="500">
        <v>0</v>
      </c>
      <c r="D21" s="500">
        <v>0</v>
      </c>
      <c r="E21" s="500">
        <v>0</v>
      </c>
      <c r="F21" s="500">
        <v>0</v>
      </c>
      <c r="G21" s="500">
        <v>0</v>
      </c>
      <c r="H21" s="500">
        <v>0</v>
      </c>
      <c r="I21" s="500">
        <v>0</v>
      </c>
      <c r="J21" s="500">
        <v>0</v>
      </c>
      <c r="K21" s="500">
        <v>0</v>
      </c>
      <c r="L21" s="500">
        <v>0</v>
      </c>
      <c r="M21" s="500">
        <v>0</v>
      </c>
      <c r="N21" s="500">
        <v>0</v>
      </c>
      <c r="O21" s="500">
        <v>0</v>
      </c>
      <c r="P21" s="500">
        <v>0</v>
      </c>
      <c r="Q21" s="500">
        <v>0</v>
      </c>
      <c r="R21" s="500">
        <v>0</v>
      </c>
      <c r="S21" s="499">
        <f t="shared" ref="S21" si="10">+C21+E21+G21+I21+K21+M21+O21+Q21</f>
        <v>0</v>
      </c>
      <c r="T21" s="499">
        <f t="shared" ref="T21" si="11">+S21-U21</f>
        <v>0</v>
      </c>
      <c r="U21" s="499">
        <f t="shared" ref="U21" si="12">+D21+F21+H21+J21+L21+N21+P21+R21</f>
        <v>0</v>
      </c>
      <c r="V21" s="137">
        <v>1</v>
      </c>
      <c r="W21" s="138">
        <f t="shared" si="8"/>
        <v>0</v>
      </c>
      <c r="X21" s="139">
        <f t="shared" si="3"/>
        <v>0</v>
      </c>
      <c r="Y21" s="138">
        <f t="shared" si="9"/>
        <v>0</v>
      </c>
      <c r="Z21" s="139">
        <f t="shared" si="6"/>
        <v>0</v>
      </c>
    </row>
    <row r="22" spans="1:26" s="141" customFormat="1" ht="45" customHeight="1">
      <c r="A22" s="395" t="s">
        <v>28</v>
      </c>
      <c r="B22" s="273" t="s">
        <v>366</v>
      </c>
      <c r="C22" s="500">
        <v>0</v>
      </c>
      <c r="D22" s="500">
        <v>0</v>
      </c>
      <c r="E22" s="500">
        <v>0</v>
      </c>
      <c r="F22" s="500">
        <v>0</v>
      </c>
      <c r="G22" s="500">
        <v>0</v>
      </c>
      <c r="H22" s="500">
        <v>0</v>
      </c>
      <c r="I22" s="500">
        <v>0</v>
      </c>
      <c r="J22" s="500">
        <v>0</v>
      </c>
      <c r="K22" s="500">
        <v>0</v>
      </c>
      <c r="L22" s="500">
        <v>0</v>
      </c>
      <c r="M22" s="500">
        <v>0</v>
      </c>
      <c r="N22" s="500">
        <v>0</v>
      </c>
      <c r="O22" s="500">
        <v>0</v>
      </c>
      <c r="P22" s="500">
        <v>0</v>
      </c>
      <c r="Q22" s="500">
        <v>0</v>
      </c>
      <c r="R22" s="500">
        <v>0</v>
      </c>
      <c r="S22" s="499">
        <f t="shared" si="0"/>
        <v>0</v>
      </c>
      <c r="T22" s="499">
        <f t="shared" si="1"/>
        <v>0</v>
      </c>
      <c r="U22" s="499">
        <f t="shared" si="2"/>
        <v>0</v>
      </c>
      <c r="V22" s="137">
        <v>1</v>
      </c>
      <c r="W22" s="138">
        <f t="shared" si="8"/>
        <v>0</v>
      </c>
      <c r="X22" s="139">
        <f t="shared" si="3"/>
        <v>0</v>
      </c>
      <c r="Y22" s="138">
        <f t="shared" si="9"/>
        <v>0</v>
      </c>
      <c r="Z22" s="139">
        <f t="shared" si="6"/>
        <v>0</v>
      </c>
    </row>
    <row r="23" spans="1:26" s="141" customFormat="1" ht="45" customHeight="1">
      <c r="A23" s="395" t="s">
        <v>164</v>
      </c>
      <c r="B23" s="273" t="s">
        <v>557</v>
      </c>
      <c r="C23" s="500">
        <v>0</v>
      </c>
      <c r="D23" s="498">
        <v>0</v>
      </c>
      <c r="E23" s="500">
        <v>0</v>
      </c>
      <c r="F23" s="498">
        <v>0</v>
      </c>
      <c r="G23" s="500">
        <v>0</v>
      </c>
      <c r="H23" s="498">
        <v>0</v>
      </c>
      <c r="I23" s="500">
        <v>0</v>
      </c>
      <c r="J23" s="498">
        <v>0</v>
      </c>
      <c r="K23" s="500">
        <v>0</v>
      </c>
      <c r="L23" s="498">
        <v>0</v>
      </c>
      <c r="M23" s="500">
        <v>0</v>
      </c>
      <c r="N23" s="498">
        <v>0</v>
      </c>
      <c r="O23" s="500">
        <v>10000000</v>
      </c>
      <c r="P23" s="498">
        <v>0</v>
      </c>
      <c r="Q23" s="500">
        <v>0</v>
      </c>
      <c r="R23" s="498">
        <v>0</v>
      </c>
      <c r="S23" s="499">
        <f t="shared" ref="S23" si="13">+C23+E23+G23+I23+K23+M23+O23+Q23</f>
        <v>10000000</v>
      </c>
      <c r="T23" s="499">
        <f t="shared" ref="T23" si="14">+S23-U23</f>
        <v>10000000</v>
      </c>
      <c r="U23" s="499">
        <f t="shared" ref="U23" si="15">+D23+F23+H23+J23+L23+N23+P23+R23</f>
        <v>0</v>
      </c>
      <c r="V23" s="137">
        <v>0.8</v>
      </c>
      <c r="W23" s="138">
        <f>+S23</f>
        <v>10000000</v>
      </c>
      <c r="X23" s="139">
        <f t="shared" ref="X23" si="16">+W23*V23</f>
        <v>8000000</v>
      </c>
      <c r="Y23" s="138">
        <f>+U23</f>
        <v>0</v>
      </c>
      <c r="Z23" s="139">
        <f t="shared" ref="Z23" si="17">+Y23*V23</f>
        <v>0</v>
      </c>
    </row>
    <row r="24" spans="1:26" s="141" customFormat="1" ht="45" customHeight="1">
      <c r="A24" s="395" t="s">
        <v>367</v>
      </c>
      <c r="B24" s="273" t="s">
        <v>558</v>
      </c>
      <c r="C24" s="500">
        <v>0</v>
      </c>
      <c r="D24" s="498">
        <v>0</v>
      </c>
      <c r="E24" s="500">
        <v>0</v>
      </c>
      <c r="F24" s="498">
        <v>0</v>
      </c>
      <c r="G24" s="500">
        <v>0</v>
      </c>
      <c r="H24" s="498">
        <v>0</v>
      </c>
      <c r="I24" s="500">
        <v>0</v>
      </c>
      <c r="J24" s="498">
        <v>0</v>
      </c>
      <c r="K24" s="500">
        <v>0</v>
      </c>
      <c r="L24" s="498">
        <v>0</v>
      </c>
      <c r="M24" s="500">
        <v>0</v>
      </c>
      <c r="N24" s="498">
        <v>0</v>
      </c>
      <c r="O24" s="500">
        <v>0</v>
      </c>
      <c r="P24" s="498">
        <v>0</v>
      </c>
      <c r="Q24" s="500">
        <v>0</v>
      </c>
      <c r="R24" s="498">
        <v>0</v>
      </c>
      <c r="S24" s="499">
        <f t="shared" ref="S24" si="18">+C24+E24+G24+I24+K24+M24+O24+Q24</f>
        <v>0</v>
      </c>
      <c r="T24" s="499">
        <f t="shared" ref="T24" si="19">+S24-U24</f>
        <v>0</v>
      </c>
      <c r="U24" s="499">
        <f t="shared" ref="U24" si="20">+D24+F24+H24+J24+L24+N24+P24+R24</f>
        <v>0</v>
      </c>
      <c r="V24" s="137">
        <v>1</v>
      </c>
      <c r="W24" s="138">
        <f t="shared" si="8"/>
        <v>0</v>
      </c>
      <c r="X24" s="139">
        <f t="shared" ref="X24" si="21">+W24*V24</f>
        <v>0</v>
      </c>
      <c r="Y24" s="138">
        <f t="shared" si="9"/>
        <v>0</v>
      </c>
      <c r="Z24" s="139">
        <f t="shared" ref="Z24" si="22">+Y24*V24</f>
        <v>0</v>
      </c>
    </row>
    <row r="25" spans="1:26" s="141" customFormat="1" ht="45" customHeight="1">
      <c r="A25" s="395" t="s">
        <v>556</v>
      </c>
      <c r="B25" s="273" t="s">
        <v>368</v>
      </c>
      <c r="C25" s="500">
        <v>175</v>
      </c>
      <c r="D25" s="498">
        <v>0</v>
      </c>
      <c r="E25" s="500">
        <v>0</v>
      </c>
      <c r="F25" s="498">
        <v>0</v>
      </c>
      <c r="G25" s="500">
        <v>0</v>
      </c>
      <c r="H25" s="498">
        <v>0</v>
      </c>
      <c r="I25" s="500">
        <v>0</v>
      </c>
      <c r="J25" s="498">
        <v>0</v>
      </c>
      <c r="K25" s="500">
        <v>0</v>
      </c>
      <c r="L25" s="498">
        <v>0</v>
      </c>
      <c r="M25" s="500">
        <v>0</v>
      </c>
      <c r="N25" s="498">
        <v>0</v>
      </c>
      <c r="O25" s="500">
        <v>0</v>
      </c>
      <c r="P25" s="498">
        <v>0</v>
      </c>
      <c r="Q25" s="500">
        <v>0</v>
      </c>
      <c r="R25" s="498">
        <v>0</v>
      </c>
      <c r="S25" s="499">
        <f t="shared" si="0"/>
        <v>175</v>
      </c>
      <c r="T25" s="499">
        <f t="shared" si="1"/>
        <v>175</v>
      </c>
      <c r="U25" s="499">
        <f t="shared" si="2"/>
        <v>0</v>
      </c>
      <c r="V25" s="137">
        <v>1</v>
      </c>
      <c r="W25" s="138">
        <f>+C25+E25+G25</f>
        <v>175</v>
      </c>
      <c r="X25" s="139">
        <f>+W25*V25</f>
        <v>175</v>
      </c>
      <c r="Y25" s="138">
        <f>+D25+F25+H25</f>
        <v>0</v>
      </c>
      <c r="Z25" s="139">
        <f>+Y25*V25</f>
        <v>0</v>
      </c>
    </row>
    <row r="26" spans="1:26" s="141" customFormat="1" ht="45" customHeight="1">
      <c r="A26" s="395" t="s">
        <v>369</v>
      </c>
      <c r="B26" s="273" t="s">
        <v>370</v>
      </c>
      <c r="C26" s="500">
        <v>30025798</v>
      </c>
      <c r="D26" s="498">
        <v>28625774</v>
      </c>
      <c r="E26" s="500">
        <v>0</v>
      </c>
      <c r="F26" s="498">
        <v>0</v>
      </c>
      <c r="G26" s="500">
        <v>0</v>
      </c>
      <c r="H26" s="498">
        <v>0</v>
      </c>
      <c r="I26" s="500">
        <v>0</v>
      </c>
      <c r="J26" s="498">
        <v>0</v>
      </c>
      <c r="K26" s="500">
        <v>0</v>
      </c>
      <c r="L26" s="498">
        <v>0</v>
      </c>
      <c r="M26" s="500">
        <v>0</v>
      </c>
      <c r="N26" s="498">
        <v>0</v>
      </c>
      <c r="O26" s="500">
        <v>0</v>
      </c>
      <c r="P26" s="498">
        <v>0</v>
      </c>
      <c r="Q26" s="500">
        <v>0</v>
      </c>
      <c r="R26" s="498">
        <v>0</v>
      </c>
      <c r="S26" s="499">
        <f t="shared" si="0"/>
        <v>30025798</v>
      </c>
      <c r="T26" s="499">
        <f t="shared" si="1"/>
        <v>1400024</v>
      </c>
      <c r="U26" s="499">
        <f t="shared" si="2"/>
        <v>28625774</v>
      </c>
      <c r="V26" s="137">
        <v>0.5</v>
      </c>
      <c r="W26" s="138">
        <f>+E26+G26</f>
        <v>0</v>
      </c>
      <c r="X26" s="136">
        <f t="shared" si="3"/>
        <v>0</v>
      </c>
      <c r="Y26" s="138">
        <f>+F26+H26</f>
        <v>0</v>
      </c>
      <c r="Z26" s="138">
        <f t="shared" si="6"/>
        <v>0</v>
      </c>
    </row>
    <row r="27" spans="1:26" s="141" customFormat="1" ht="38.25" customHeight="1">
      <c r="A27" s="395" t="s">
        <v>371</v>
      </c>
      <c r="B27" s="273" t="s">
        <v>372</v>
      </c>
      <c r="C27" s="500">
        <v>0</v>
      </c>
      <c r="D27" s="500">
        <v>0</v>
      </c>
      <c r="E27" s="500">
        <v>0</v>
      </c>
      <c r="F27" s="500">
        <v>0</v>
      </c>
      <c r="G27" s="500">
        <v>0</v>
      </c>
      <c r="H27" s="500">
        <v>0</v>
      </c>
      <c r="I27" s="500">
        <v>0</v>
      </c>
      <c r="J27" s="500">
        <v>0</v>
      </c>
      <c r="K27" s="500">
        <v>0</v>
      </c>
      <c r="L27" s="500">
        <v>0</v>
      </c>
      <c r="M27" s="500">
        <v>0</v>
      </c>
      <c r="N27" s="500">
        <v>0</v>
      </c>
      <c r="O27" s="500">
        <v>0</v>
      </c>
      <c r="P27" s="500">
        <v>0</v>
      </c>
      <c r="Q27" s="500">
        <v>0</v>
      </c>
      <c r="R27" s="500">
        <v>0</v>
      </c>
      <c r="S27" s="499">
        <f t="shared" si="0"/>
        <v>0</v>
      </c>
      <c r="T27" s="499">
        <f t="shared" si="1"/>
        <v>0</v>
      </c>
      <c r="U27" s="499">
        <f t="shared" si="2"/>
        <v>0</v>
      </c>
      <c r="V27" s="137">
        <v>0.5</v>
      </c>
      <c r="W27" s="138">
        <f>+E27+G27</f>
        <v>0</v>
      </c>
      <c r="X27" s="136">
        <f t="shared" si="3"/>
        <v>0</v>
      </c>
      <c r="Y27" s="138">
        <f>+F27+H27</f>
        <v>0</v>
      </c>
      <c r="Z27" s="138">
        <f t="shared" si="6"/>
        <v>0</v>
      </c>
    </row>
    <row r="28" spans="1:26" s="141" customFormat="1" ht="38.25" customHeight="1">
      <c r="A28" s="395" t="s">
        <v>373</v>
      </c>
      <c r="B28" s="273" t="s">
        <v>374</v>
      </c>
      <c r="C28" s="500">
        <v>0</v>
      </c>
      <c r="D28" s="500">
        <v>0</v>
      </c>
      <c r="E28" s="500">
        <v>0</v>
      </c>
      <c r="F28" s="500">
        <v>0</v>
      </c>
      <c r="G28" s="500">
        <v>0</v>
      </c>
      <c r="H28" s="500">
        <v>0</v>
      </c>
      <c r="I28" s="500">
        <v>0</v>
      </c>
      <c r="J28" s="500">
        <v>0</v>
      </c>
      <c r="K28" s="500">
        <v>0</v>
      </c>
      <c r="L28" s="500">
        <v>0</v>
      </c>
      <c r="M28" s="500">
        <v>0</v>
      </c>
      <c r="N28" s="500">
        <v>0</v>
      </c>
      <c r="O28" s="500">
        <v>0</v>
      </c>
      <c r="P28" s="500">
        <v>0</v>
      </c>
      <c r="Q28" s="500">
        <v>0</v>
      </c>
      <c r="R28" s="500">
        <v>0</v>
      </c>
      <c r="S28" s="499">
        <f t="shared" si="0"/>
        <v>0</v>
      </c>
      <c r="T28" s="499">
        <f t="shared" si="1"/>
        <v>0</v>
      </c>
      <c r="U28" s="499">
        <f t="shared" si="2"/>
        <v>0</v>
      </c>
      <c r="V28" s="137">
        <v>1</v>
      </c>
      <c r="W28" s="138">
        <f>+C28+E28+G28</f>
        <v>0</v>
      </c>
      <c r="X28" s="136">
        <f t="shared" si="3"/>
        <v>0</v>
      </c>
      <c r="Y28" s="138">
        <f>+D28+F28+H28</f>
        <v>0</v>
      </c>
      <c r="Z28" s="138">
        <f t="shared" si="6"/>
        <v>0</v>
      </c>
    </row>
    <row r="29" spans="1:26" s="141" customFormat="1" ht="38.25" customHeight="1">
      <c r="A29" s="395" t="s">
        <v>375</v>
      </c>
      <c r="B29" s="273" t="s">
        <v>376</v>
      </c>
      <c r="C29" s="500">
        <v>0</v>
      </c>
      <c r="D29" s="500">
        <v>0</v>
      </c>
      <c r="E29" s="500">
        <v>0</v>
      </c>
      <c r="F29" s="500">
        <v>0</v>
      </c>
      <c r="G29" s="500">
        <v>0</v>
      </c>
      <c r="H29" s="500">
        <v>0</v>
      </c>
      <c r="I29" s="500">
        <v>0</v>
      </c>
      <c r="J29" s="500">
        <v>0</v>
      </c>
      <c r="K29" s="500">
        <v>0</v>
      </c>
      <c r="L29" s="500">
        <v>0</v>
      </c>
      <c r="M29" s="500">
        <v>0</v>
      </c>
      <c r="N29" s="500">
        <v>0</v>
      </c>
      <c r="O29" s="500">
        <v>0</v>
      </c>
      <c r="P29" s="500">
        <v>0</v>
      </c>
      <c r="Q29" s="500">
        <v>0</v>
      </c>
      <c r="R29" s="500">
        <v>0</v>
      </c>
      <c r="S29" s="499">
        <f t="shared" si="0"/>
        <v>0</v>
      </c>
      <c r="T29" s="499">
        <f t="shared" si="1"/>
        <v>0</v>
      </c>
      <c r="U29" s="499">
        <f t="shared" si="2"/>
        <v>0</v>
      </c>
      <c r="V29" s="137">
        <v>0.5</v>
      </c>
      <c r="W29" s="138">
        <f>+E29+G29</f>
        <v>0</v>
      </c>
      <c r="X29" s="136">
        <f t="shared" si="3"/>
        <v>0</v>
      </c>
      <c r="Y29" s="138">
        <f>+F29+H29</f>
        <v>0</v>
      </c>
      <c r="Z29" s="138">
        <f t="shared" si="6"/>
        <v>0</v>
      </c>
    </row>
    <row r="30" spans="1:26" s="141" customFormat="1" ht="39" customHeight="1">
      <c r="A30" s="395" t="s">
        <v>377</v>
      </c>
      <c r="B30" s="273" t="s">
        <v>524</v>
      </c>
      <c r="C30" s="500">
        <v>789012665</v>
      </c>
      <c r="D30" s="498">
        <v>373074797</v>
      </c>
      <c r="E30" s="498">
        <v>419150948</v>
      </c>
      <c r="F30" s="498">
        <v>185707333</v>
      </c>
      <c r="G30" s="498">
        <v>35459625</v>
      </c>
      <c r="H30" s="498">
        <v>15710599</v>
      </c>
      <c r="I30" s="498">
        <v>1008786882</v>
      </c>
      <c r="J30" s="498">
        <v>425881352</v>
      </c>
      <c r="K30" s="498">
        <v>1212869437</v>
      </c>
      <c r="L30" s="498">
        <v>233315051</v>
      </c>
      <c r="M30" s="498">
        <v>2177195549</v>
      </c>
      <c r="N30" s="498">
        <v>362334911</v>
      </c>
      <c r="O30" s="498">
        <v>3315476688</v>
      </c>
      <c r="P30" s="498">
        <v>653786610</v>
      </c>
      <c r="Q30" s="498">
        <v>7945753550</v>
      </c>
      <c r="R30" s="498">
        <v>1452337989</v>
      </c>
      <c r="S30" s="499">
        <f t="shared" si="0"/>
        <v>16903705344</v>
      </c>
      <c r="T30" s="499">
        <f t="shared" si="1"/>
        <v>13201556702</v>
      </c>
      <c r="U30" s="499">
        <f t="shared" si="2"/>
        <v>3702148642</v>
      </c>
      <c r="V30" s="137">
        <v>0.5</v>
      </c>
      <c r="W30" s="138">
        <f>+E30+G30</f>
        <v>454610573</v>
      </c>
      <c r="X30" s="136">
        <f t="shared" si="3"/>
        <v>227305286.5</v>
      </c>
      <c r="Y30" s="138">
        <f>+F30+H30</f>
        <v>201417932</v>
      </c>
      <c r="Z30" s="138">
        <f t="shared" si="6"/>
        <v>100708966</v>
      </c>
    </row>
    <row r="31" spans="1:26" s="141" customFormat="1" ht="39" customHeight="1">
      <c r="A31" s="395" t="s">
        <v>203</v>
      </c>
      <c r="B31" s="273" t="s">
        <v>378</v>
      </c>
      <c r="C31" s="500">
        <v>217619303</v>
      </c>
      <c r="D31" s="498">
        <v>0</v>
      </c>
      <c r="E31" s="498">
        <v>152010825</v>
      </c>
      <c r="F31" s="498">
        <v>0</v>
      </c>
      <c r="G31" s="498">
        <v>6004586</v>
      </c>
      <c r="H31" s="498">
        <v>0</v>
      </c>
      <c r="I31" s="498">
        <v>338488547</v>
      </c>
      <c r="J31" s="498">
        <v>0</v>
      </c>
      <c r="K31" s="498">
        <v>512116570</v>
      </c>
      <c r="L31" s="498">
        <v>0</v>
      </c>
      <c r="M31" s="498">
        <v>972815556</v>
      </c>
      <c r="N31" s="498">
        <v>0</v>
      </c>
      <c r="O31" s="498">
        <v>1391014546</v>
      </c>
      <c r="P31" s="498">
        <v>0</v>
      </c>
      <c r="Q31" s="498">
        <v>3359108523</v>
      </c>
      <c r="R31" s="498">
        <v>0</v>
      </c>
      <c r="S31" s="499">
        <f t="shared" si="0"/>
        <v>6949178456</v>
      </c>
      <c r="T31" s="499">
        <f t="shared" si="1"/>
        <v>6949178456</v>
      </c>
      <c r="U31" s="499">
        <f t="shared" si="2"/>
        <v>0</v>
      </c>
      <c r="V31" s="137">
        <v>0</v>
      </c>
      <c r="W31" s="138">
        <f>+E31+G31</f>
        <v>158015411</v>
      </c>
      <c r="X31" s="136">
        <f t="shared" si="3"/>
        <v>0</v>
      </c>
      <c r="Y31" s="138">
        <f>+F31+H31</f>
        <v>0</v>
      </c>
      <c r="Z31" s="138">
        <f t="shared" si="6"/>
        <v>0</v>
      </c>
    </row>
    <row r="32" spans="1:26" s="141" customFormat="1" ht="38.25" customHeight="1">
      <c r="A32" s="395" t="s">
        <v>379</v>
      </c>
      <c r="B32" s="273" t="s">
        <v>380</v>
      </c>
      <c r="C32" s="500">
        <v>20900826</v>
      </c>
      <c r="D32" s="498">
        <v>461461</v>
      </c>
      <c r="E32" s="499"/>
      <c r="F32" s="499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R32" s="499"/>
      <c r="S32" s="499">
        <f t="shared" si="0"/>
        <v>20900826</v>
      </c>
      <c r="T32" s="499">
        <f t="shared" si="1"/>
        <v>20439365</v>
      </c>
      <c r="U32" s="499">
        <f t="shared" si="2"/>
        <v>461461</v>
      </c>
      <c r="V32" s="137">
        <v>0</v>
      </c>
      <c r="W32" s="138">
        <f t="shared" ref="W32:W33" si="23">+E32+G32</f>
        <v>0</v>
      </c>
      <c r="X32" s="136">
        <f t="shared" ref="X32:X33" si="24">+W32*V32</f>
        <v>0</v>
      </c>
      <c r="Y32" s="138">
        <f t="shared" ref="Y32:Y34" si="25">+F32+H32</f>
        <v>0</v>
      </c>
      <c r="Z32" s="138">
        <f t="shared" ref="Z32:Z34" si="26">+Y32*V32</f>
        <v>0</v>
      </c>
    </row>
    <row r="33" spans="1:32" s="141" customFormat="1" ht="38.25" customHeight="1">
      <c r="A33" s="395">
        <v>11</v>
      </c>
      <c r="B33" s="273" t="s">
        <v>190</v>
      </c>
      <c r="C33" s="498">
        <v>171402110</v>
      </c>
      <c r="D33" s="498">
        <v>0</v>
      </c>
      <c r="E33" s="498">
        <v>0</v>
      </c>
      <c r="F33" s="498">
        <v>0</v>
      </c>
      <c r="G33" s="498">
        <v>0</v>
      </c>
      <c r="H33" s="498">
        <v>0</v>
      </c>
      <c r="I33" s="498">
        <v>0</v>
      </c>
      <c r="J33" s="498">
        <v>0</v>
      </c>
      <c r="K33" s="498">
        <v>0</v>
      </c>
      <c r="L33" s="498">
        <v>0</v>
      </c>
      <c r="M33" s="498">
        <v>0</v>
      </c>
      <c r="N33" s="498">
        <v>0</v>
      </c>
      <c r="O33" s="498">
        <v>0</v>
      </c>
      <c r="P33" s="498">
        <v>0</v>
      </c>
      <c r="Q33" s="498">
        <v>0</v>
      </c>
      <c r="R33" s="498">
        <v>0</v>
      </c>
      <c r="S33" s="499">
        <f t="shared" si="0"/>
        <v>171402110</v>
      </c>
      <c r="T33" s="499">
        <f t="shared" si="1"/>
        <v>171402110</v>
      </c>
      <c r="U33" s="499">
        <f t="shared" si="2"/>
        <v>0</v>
      </c>
      <c r="V33" s="137">
        <v>0</v>
      </c>
      <c r="W33" s="138">
        <f t="shared" si="23"/>
        <v>0</v>
      </c>
      <c r="X33" s="136">
        <f t="shared" si="24"/>
        <v>0</v>
      </c>
      <c r="Y33" s="138">
        <f t="shared" si="25"/>
        <v>0</v>
      </c>
      <c r="Z33" s="138">
        <f t="shared" si="26"/>
        <v>0</v>
      </c>
    </row>
    <row r="34" spans="1:32" s="141" customFormat="1" ht="38.25" customHeight="1">
      <c r="A34" s="395" t="s">
        <v>381</v>
      </c>
      <c r="B34" s="273" t="s">
        <v>547</v>
      </c>
      <c r="C34" s="499">
        <f>+C35+C36</f>
        <v>0</v>
      </c>
      <c r="D34" s="499">
        <f t="shared" ref="D34:R34" si="27">+D35+D36</f>
        <v>0</v>
      </c>
      <c r="E34" s="499">
        <f t="shared" si="27"/>
        <v>0</v>
      </c>
      <c r="F34" s="499">
        <f t="shared" si="27"/>
        <v>0</v>
      </c>
      <c r="G34" s="499">
        <f t="shared" si="27"/>
        <v>0</v>
      </c>
      <c r="H34" s="499">
        <f t="shared" si="27"/>
        <v>0</v>
      </c>
      <c r="I34" s="499">
        <f t="shared" si="27"/>
        <v>0</v>
      </c>
      <c r="J34" s="499">
        <f t="shared" si="27"/>
        <v>0</v>
      </c>
      <c r="K34" s="499">
        <f t="shared" si="27"/>
        <v>0</v>
      </c>
      <c r="L34" s="499">
        <f t="shared" si="27"/>
        <v>0</v>
      </c>
      <c r="M34" s="499">
        <f t="shared" si="27"/>
        <v>0</v>
      </c>
      <c r="N34" s="499">
        <f t="shared" si="27"/>
        <v>0</v>
      </c>
      <c r="O34" s="499">
        <f t="shared" si="27"/>
        <v>0</v>
      </c>
      <c r="P34" s="499">
        <f t="shared" si="27"/>
        <v>0</v>
      </c>
      <c r="Q34" s="499">
        <f t="shared" si="27"/>
        <v>0</v>
      </c>
      <c r="R34" s="499">
        <f t="shared" si="27"/>
        <v>0</v>
      </c>
      <c r="S34" s="499">
        <f t="shared" si="0"/>
        <v>0</v>
      </c>
      <c r="T34" s="499">
        <f t="shared" si="1"/>
        <v>0</v>
      </c>
      <c r="U34" s="499">
        <f t="shared" si="2"/>
        <v>0</v>
      </c>
      <c r="V34" s="137">
        <v>0</v>
      </c>
      <c r="W34" s="138">
        <f>+E34+G34</f>
        <v>0</v>
      </c>
      <c r="X34" s="136">
        <f>+W34*V34</f>
        <v>0</v>
      </c>
      <c r="Y34" s="138">
        <f t="shared" si="25"/>
        <v>0</v>
      </c>
      <c r="Z34" s="138">
        <f t="shared" si="26"/>
        <v>0</v>
      </c>
    </row>
    <row r="35" spans="1:32" s="141" customFormat="1" ht="45" customHeight="1">
      <c r="A35" s="395" t="s">
        <v>214</v>
      </c>
      <c r="B35" s="273" t="s">
        <v>539</v>
      </c>
      <c r="C35" s="500">
        <v>0</v>
      </c>
      <c r="D35" s="500">
        <v>0</v>
      </c>
      <c r="E35" s="500">
        <v>0</v>
      </c>
      <c r="F35" s="500">
        <v>0</v>
      </c>
      <c r="G35" s="500">
        <v>0</v>
      </c>
      <c r="H35" s="500">
        <v>0</v>
      </c>
      <c r="I35" s="500">
        <v>0</v>
      </c>
      <c r="J35" s="500">
        <v>0</v>
      </c>
      <c r="K35" s="500">
        <v>0</v>
      </c>
      <c r="L35" s="500">
        <v>0</v>
      </c>
      <c r="M35" s="500">
        <v>0</v>
      </c>
      <c r="N35" s="500">
        <v>0</v>
      </c>
      <c r="O35" s="500">
        <v>0</v>
      </c>
      <c r="P35" s="500">
        <v>0</v>
      </c>
      <c r="Q35" s="500">
        <v>0</v>
      </c>
      <c r="R35" s="500">
        <v>0</v>
      </c>
      <c r="S35" s="499">
        <f t="shared" si="0"/>
        <v>0</v>
      </c>
      <c r="T35" s="499">
        <f t="shared" si="1"/>
        <v>0</v>
      </c>
      <c r="U35" s="499">
        <f t="shared" si="2"/>
        <v>0</v>
      </c>
      <c r="V35" s="137">
        <v>1</v>
      </c>
      <c r="W35" s="138">
        <f>+S35</f>
        <v>0</v>
      </c>
      <c r="X35" s="139">
        <f t="shared" si="3"/>
        <v>0</v>
      </c>
      <c r="Y35" s="138">
        <f>+U35</f>
        <v>0</v>
      </c>
      <c r="Z35" s="139">
        <f t="shared" si="6"/>
        <v>0</v>
      </c>
    </row>
    <row r="36" spans="1:32" s="141" customFormat="1" ht="38.25" customHeight="1">
      <c r="A36" s="395" t="s">
        <v>216</v>
      </c>
      <c r="B36" s="273" t="s">
        <v>538</v>
      </c>
      <c r="C36" s="500">
        <v>0</v>
      </c>
      <c r="D36" s="500">
        <v>0</v>
      </c>
      <c r="E36" s="500">
        <v>0</v>
      </c>
      <c r="F36" s="500">
        <v>0</v>
      </c>
      <c r="G36" s="500">
        <v>0</v>
      </c>
      <c r="H36" s="500">
        <v>0</v>
      </c>
      <c r="I36" s="500">
        <v>0</v>
      </c>
      <c r="J36" s="500">
        <v>0</v>
      </c>
      <c r="K36" s="500">
        <v>0</v>
      </c>
      <c r="L36" s="500">
        <v>0</v>
      </c>
      <c r="M36" s="500">
        <v>0</v>
      </c>
      <c r="N36" s="500">
        <v>0</v>
      </c>
      <c r="O36" s="500">
        <v>0</v>
      </c>
      <c r="P36" s="500">
        <v>0</v>
      </c>
      <c r="Q36" s="500">
        <v>0</v>
      </c>
      <c r="R36" s="500">
        <v>0</v>
      </c>
      <c r="S36" s="499">
        <f t="shared" si="0"/>
        <v>0</v>
      </c>
      <c r="T36" s="499">
        <f t="shared" si="1"/>
        <v>0</v>
      </c>
      <c r="U36" s="499">
        <f t="shared" si="2"/>
        <v>0</v>
      </c>
      <c r="V36" s="137">
        <v>0</v>
      </c>
      <c r="W36" s="138"/>
      <c r="X36" s="136"/>
      <c r="Y36" s="138"/>
      <c r="Z36" s="138"/>
    </row>
    <row r="37" spans="1:32" s="141" customFormat="1" ht="38.25" customHeight="1">
      <c r="A37" s="395" t="s">
        <v>382</v>
      </c>
      <c r="B37" s="273" t="s">
        <v>383</v>
      </c>
      <c r="C37" s="500">
        <v>0</v>
      </c>
      <c r="D37" s="498">
        <v>0</v>
      </c>
      <c r="E37" s="498">
        <v>0</v>
      </c>
      <c r="F37" s="498">
        <v>0</v>
      </c>
      <c r="G37" s="498">
        <v>0</v>
      </c>
      <c r="H37" s="498">
        <v>0</v>
      </c>
      <c r="I37" s="498">
        <v>0</v>
      </c>
      <c r="J37" s="498">
        <v>0</v>
      </c>
      <c r="K37" s="498">
        <v>0</v>
      </c>
      <c r="L37" s="498">
        <v>0</v>
      </c>
      <c r="M37" s="498">
        <v>0</v>
      </c>
      <c r="N37" s="498">
        <v>0</v>
      </c>
      <c r="O37" s="498">
        <v>0</v>
      </c>
      <c r="P37" s="498">
        <v>0</v>
      </c>
      <c r="Q37" s="498">
        <v>929814271</v>
      </c>
      <c r="R37" s="498">
        <v>0</v>
      </c>
      <c r="S37" s="499">
        <f t="shared" si="0"/>
        <v>929814271</v>
      </c>
      <c r="T37" s="499">
        <f t="shared" si="1"/>
        <v>929814271</v>
      </c>
      <c r="U37" s="499">
        <f t="shared" si="2"/>
        <v>0</v>
      </c>
      <c r="V37" s="137">
        <v>0</v>
      </c>
      <c r="W37" s="138"/>
      <c r="X37" s="136"/>
      <c r="Y37" s="138"/>
      <c r="Z37" s="138"/>
    </row>
    <row r="38" spans="1:32" s="141" customFormat="1" ht="38.25" customHeight="1">
      <c r="A38" s="395" t="s">
        <v>384</v>
      </c>
      <c r="B38" s="273" t="s">
        <v>213</v>
      </c>
      <c r="C38" s="500">
        <v>408190381</v>
      </c>
      <c r="D38" s="498">
        <v>0</v>
      </c>
      <c r="E38" s="498">
        <v>0</v>
      </c>
      <c r="F38" s="498">
        <v>0</v>
      </c>
      <c r="G38" s="498">
        <v>0</v>
      </c>
      <c r="H38" s="498">
        <v>0</v>
      </c>
      <c r="I38" s="498">
        <v>0</v>
      </c>
      <c r="J38" s="498">
        <v>0</v>
      </c>
      <c r="K38" s="498">
        <v>0</v>
      </c>
      <c r="L38" s="498">
        <v>0</v>
      </c>
      <c r="M38" s="498">
        <v>0</v>
      </c>
      <c r="N38" s="498">
        <v>0</v>
      </c>
      <c r="O38" s="498">
        <v>0</v>
      </c>
      <c r="P38" s="498">
        <v>0</v>
      </c>
      <c r="Q38" s="498">
        <v>0</v>
      </c>
      <c r="R38" s="498">
        <v>0</v>
      </c>
      <c r="S38" s="499">
        <f t="shared" si="0"/>
        <v>408190381</v>
      </c>
      <c r="T38" s="499">
        <f t="shared" si="1"/>
        <v>408190381</v>
      </c>
      <c r="U38" s="499">
        <f t="shared" si="2"/>
        <v>0</v>
      </c>
      <c r="V38" s="137">
        <v>0</v>
      </c>
      <c r="W38" s="138"/>
      <c r="X38" s="136"/>
      <c r="Y38" s="138"/>
      <c r="Z38" s="138"/>
    </row>
    <row r="39" spans="1:32" s="141" customFormat="1" ht="38.25" customHeight="1">
      <c r="A39" s="395" t="s">
        <v>226</v>
      </c>
      <c r="B39" s="273" t="s">
        <v>385</v>
      </c>
      <c r="C39" s="500">
        <v>0</v>
      </c>
      <c r="D39" s="500">
        <v>0</v>
      </c>
      <c r="E39" s="500">
        <v>0</v>
      </c>
      <c r="F39" s="500">
        <v>0</v>
      </c>
      <c r="G39" s="500">
        <v>0</v>
      </c>
      <c r="H39" s="500">
        <v>0</v>
      </c>
      <c r="I39" s="500">
        <v>0</v>
      </c>
      <c r="J39" s="500">
        <v>0</v>
      </c>
      <c r="K39" s="500">
        <v>0</v>
      </c>
      <c r="L39" s="500">
        <v>0</v>
      </c>
      <c r="M39" s="500">
        <v>0</v>
      </c>
      <c r="N39" s="500">
        <v>0</v>
      </c>
      <c r="O39" s="500">
        <v>0</v>
      </c>
      <c r="P39" s="500">
        <v>0</v>
      </c>
      <c r="Q39" s="500">
        <v>0</v>
      </c>
      <c r="R39" s="500">
        <v>0</v>
      </c>
      <c r="S39" s="499">
        <f t="shared" si="0"/>
        <v>0</v>
      </c>
      <c r="T39" s="499">
        <f t="shared" si="1"/>
        <v>0</v>
      </c>
      <c r="U39" s="499">
        <f t="shared" si="2"/>
        <v>0</v>
      </c>
      <c r="V39" s="137">
        <v>0</v>
      </c>
      <c r="W39" s="138"/>
      <c r="X39" s="136"/>
      <c r="Y39" s="138"/>
      <c r="Z39" s="138"/>
    </row>
    <row r="40" spans="1:32" s="141" customFormat="1" ht="38.25" customHeight="1">
      <c r="A40" s="395" t="s">
        <v>229</v>
      </c>
      <c r="B40" s="273" t="s">
        <v>386</v>
      </c>
      <c r="C40" s="500">
        <v>0</v>
      </c>
      <c r="D40" s="499"/>
      <c r="E40" s="498">
        <v>0</v>
      </c>
      <c r="F40" s="499"/>
      <c r="G40" s="498">
        <v>0</v>
      </c>
      <c r="H40" s="499"/>
      <c r="I40" s="498">
        <v>0</v>
      </c>
      <c r="J40" s="499"/>
      <c r="K40" s="498">
        <v>0</v>
      </c>
      <c r="L40" s="499"/>
      <c r="M40" s="498">
        <v>0</v>
      </c>
      <c r="N40" s="499"/>
      <c r="O40" s="498">
        <v>0</v>
      </c>
      <c r="P40" s="499"/>
      <c r="Q40" s="498">
        <v>0</v>
      </c>
      <c r="R40" s="499"/>
      <c r="S40" s="499">
        <f t="shared" si="0"/>
        <v>0</v>
      </c>
      <c r="T40" s="499">
        <f t="shared" si="1"/>
        <v>0</v>
      </c>
      <c r="U40" s="499">
        <f t="shared" si="2"/>
        <v>0</v>
      </c>
      <c r="V40" s="137">
        <v>0</v>
      </c>
      <c r="W40" s="138"/>
      <c r="X40" s="136"/>
      <c r="Y40" s="138"/>
      <c r="Z40" s="138"/>
    </row>
    <row r="41" spans="1:32" s="141" customFormat="1" ht="38.25" customHeight="1">
      <c r="A41" s="395" t="s">
        <v>231</v>
      </c>
      <c r="B41" s="273" t="s">
        <v>387</v>
      </c>
      <c r="C41" s="500">
        <v>0</v>
      </c>
      <c r="D41" s="498">
        <v>0</v>
      </c>
      <c r="E41" s="498">
        <v>0</v>
      </c>
      <c r="F41" s="498">
        <v>0</v>
      </c>
      <c r="G41" s="498">
        <v>0</v>
      </c>
      <c r="H41" s="498">
        <v>0</v>
      </c>
      <c r="I41" s="498">
        <v>0</v>
      </c>
      <c r="J41" s="498">
        <v>0</v>
      </c>
      <c r="K41" s="498">
        <v>0</v>
      </c>
      <c r="L41" s="498">
        <v>0</v>
      </c>
      <c r="M41" s="498">
        <v>0</v>
      </c>
      <c r="N41" s="498">
        <v>0</v>
      </c>
      <c r="O41" s="498">
        <v>0</v>
      </c>
      <c r="P41" s="498">
        <v>0</v>
      </c>
      <c r="Q41" s="498">
        <v>0</v>
      </c>
      <c r="R41" s="498">
        <v>0</v>
      </c>
      <c r="S41" s="499">
        <f t="shared" si="0"/>
        <v>0</v>
      </c>
      <c r="T41" s="499">
        <f t="shared" si="1"/>
        <v>0</v>
      </c>
      <c r="U41" s="499">
        <f t="shared" si="2"/>
        <v>0</v>
      </c>
      <c r="V41" s="137">
        <v>0</v>
      </c>
      <c r="W41" s="138"/>
      <c r="X41" s="136"/>
      <c r="Y41" s="138"/>
      <c r="Z41" s="138"/>
    </row>
    <row r="42" spans="1:32" s="141" customFormat="1" ht="38.25" customHeight="1">
      <c r="A42" s="395" t="s">
        <v>233</v>
      </c>
      <c r="B42" s="273" t="s">
        <v>388</v>
      </c>
      <c r="C42" s="500">
        <v>901055201</v>
      </c>
      <c r="D42" s="498">
        <v>283533115</v>
      </c>
      <c r="E42" s="498">
        <v>0</v>
      </c>
      <c r="F42" s="498">
        <v>0</v>
      </c>
      <c r="G42" s="498">
        <v>628013423</v>
      </c>
      <c r="H42" s="498">
        <v>124509425</v>
      </c>
      <c r="I42" s="498">
        <v>0</v>
      </c>
      <c r="J42" s="498">
        <v>0</v>
      </c>
      <c r="K42" s="498">
        <v>0</v>
      </c>
      <c r="L42" s="498">
        <v>0</v>
      </c>
      <c r="M42" s="498">
        <v>0</v>
      </c>
      <c r="N42" s="498">
        <v>0</v>
      </c>
      <c r="O42" s="498">
        <v>0</v>
      </c>
      <c r="P42" s="498">
        <v>0</v>
      </c>
      <c r="Q42" s="498">
        <v>0</v>
      </c>
      <c r="R42" s="498">
        <v>0</v>
      </c>
      <c r="S42" s="499">
        <f t="shared" si="0"/>
        <v>1529068624</v>
      </c>
      <c r="T42" s="499">
        <f t="shared" si="1"/>
        <v>1121026084</v>
      </c>
      <c r="U42" s="499">
        <f t="shared" si="2"/>
        <v>408042540</v>
      </c>
      <c r="V42" s="137">
        <v>0.5</v>
      </c>
      <c r="W42" s="178">
        <f>+E42+G42</f>
        <v>628013423</v>
      </c>
      <c r="X42" s="136">
        <f>+W42*V42</f>
        <v>314006711.5</v>
      </c>
      <c r="Y42" s="178">
        <f>+F42+H42</f>
        <v>124509425</v>
      </c>
      <c r="Z42" s="178">
        <f>+Y42*V42</f>
        <v>62254712.5</v>
      </c>
    </row>
    <row r="43" spans="1:32" s="141" customFormat="1" ht="38.25" customHeight="1">
      <c r="A43" s="395" t="s">
        <v>564</v>
      </c>
      <c r="B43" s="273" t="s">
        <v>577</v>
      </c>
      <c r="C43" s="500">
        <v>2</v>
      </c>
      <c r="D43" s="498">
        <v>2</v>
      </c>
      <c r="E43" s="498">
        <v>0</v>
      </c>
      <c r="F43" s="498">
        <v>0</v>
      </c>
      <c r="G43" s="498">
        <v>0</v>
      </c>
      <c r="H43" s="498">
        <v>0</v>
      </c>
      <c r="I43" s="498">
        <v>0</v>
      </c>
      <c r="J43" s="498">
        <v>0</v>
      </c>
      <c r="K43" s="498">
        <v>0</v>
      </c>
      <c r="L43" s="498">
        <v>0</v>
      </c>
      <c r="M43" s="498">
        <v>0</v>
      </c>
      <c r="N43" s="498">
        <v>0</v>
      </c>
      <c r="O43" s="498">
        <v>0</v>
      </c>
      <c r="P43" s="498">
        <v>0</v>
      </c>
      <c r="Q43" s="498">
        <v>0</v>
      </c>
      <c r="R43" s="498">
        <v>0</v>
      </c>
      <c r="S43" s="499">
        <f t="shared" ref="S43:S44" si="28">+C43+E43+G43+I43+K43+M43+O43+Q43</f>
        <v>2</v>
      </c>
      <c r="T43" s="499">
        <f t="shared" ref="T43:T44" si="29">+S43-U43</f>
        <v>0</v>
      </c>
      <c r="U43" s="499">
        <f t="shared" ref="U43:U44" si="30">+D43+F43+H43+J43+L43+N43+P43+R43</f>
        <v>2</v>
      </c>
      <c r="V43" s="137">
        <v>1</v>
      </c>
      <c r="W43" s="178">
        <f>+E43+G43</f>
        <v>0</v>
      </c>
      <c r="X43" s="136">
        <f>+W43*V43</f>
        <v>0</v>
      </c>
      <c r="Y43" s="178">
        <f>+F43+H43</f>
        <v>0</v>
      </c>
      <c r="Z43" s="178">
        <f>+Y43*V43</f>
        <v>0</v>
      </c>
    </row>
    <row r="44" spans="1:32" s="141" customFormat="1" ht="38.25" customHeight="1">
      <c r="A44" s="395" t="s">
        <v>566</v>
      </c>
      <c r="B44" s="273" t="s">
        <v>565</v>
      </c>
      <c r="C44" s="500">
        <v>513842</v>
      </c>
      <c r="D44" s="498">
        <v>352718</v>
      </c>
      <c r="E44" s="498">
        <v>0</v>
      </c>
      <c r="F44" s="498">
        <v>0</v>
      </c>
      <c r="G44" s="498">
        <v>0</v>
      </c>
      <c r="H44" s="498">
        <v>0</v>
      </c>
      <c r="I44" s="498">
        <v>0</v>
      </c>
      <c r="J44" s="498">
        <v>0</v>
      </c>
      <c r="K44" s="498">
        <v>0</v>
      </c>
      <c r="L44" s="498">
        <v>0</v>
      </c>
      <c r="M44" s="498">
        <v>0</v>
      </c>
      <c r="N44" s="498">
        <v>0</v>
      </c>
      <c r="O44" s="498">
        <v>0</v>
      </c>
      <c r="P44" s="498">
        <v>0</v>
      </c>
      <c r="Q44" s="498">
        <v>0</v>
      </c>
      <c r="R44" s="498">
        <v>0</v>
      </c>
      <c r="S44" s="499">
        <f t="shared" si="28"/>
        <v>513842</v>
      </c>
      <c r="T44" s="499">
        <f t="shared" si="29"/>
        <v>161124</v>
      </c>
      <c r="U44" s="499">
        <f t="shared" si="30"/>
        <v>352718</v>
      </c>
      <c r="V44" s="137">
        <v>1</v>
      </c>
      <c r="W44" s="178">
        <f>+E44+G44</f>
        <v>0</v>
      </c>
      <c r="X44" s="136">
        <f>+W44*V44</f>
        <v>0</v>
      </c>
      <c r="Y44" s="178">
        <f>+F44+H44</f>
        <v>0</v>
      </c>
      <c r="Z44" s="178">
        <f>+Y44*V44</f>
        <v>0</v>
      </c>
    </row>
    <row r="45" spans="1:32" s="141" customFormat="1" ht="38.25" customHeight="1">
      <c r="A45" s="395" t="s">
        <v>235</v>
      </c>
      <c r="B45" s="273" t="s">
        <v>389</v>
      </c>
      <c r="C45" s="500">
        <v>436395924</v>
      </c>
      <c r="D45" s="498">
        <v>31561420</v>
      </c>
      <c r="E45" s="498">
        <v>0</v>
      </c>
      <c r="F45" s="498">
        <v>0</v>
      </c>
      <c r="G45" s="498">
        <v>0</v>
      </c>
      <c r="H45" s="498">
        <v>0</v>
      </c>
      <c r="I45" s="498">
        <v>0</v>
      </c>
      <c r="J45" s="498">
        <v>0</v>
      </c>
      <c r="K45" s="498">
        <v>0</v>
      </c>
      <c r="L45" s="498">
        <v>0</v>
      </c>
      <c r="M45" s="498">
        <v>0</v>
      </c>
      <c r="N45" s="498">
        <v>0</v>
      </c>
      <c r="O45" s="498">
        <v>0</v>
      </c>
      <c r="P45" s="498">
        <v>0</v>
      </c>
      <c r="Q45" s="498">
        <v>0</v>
      </c>
      <c r="R45" s="498">
        <v>0</v>
      </c>
      <c r="S45" s="499">
        <f t="shared" si="0"/>
        <v>436395924</v>
      </c>
      <c r="T45" s="499">
        <f t="shared" si="1"/>
        <v>404834504</v>
      </c>
      <c r="U45" s="499">
        <f t="shared" si="2"/>
        <v>31561420</v>
      </c>
      <c r="V45" s="137">
        <v>0</v>
      </c>
      <c r="W45" s="178"/>
      <c r="X45" s="136"/>
      <c r="Y45" s="178"/>
      <c r="Z45" s="178"/>
    </row>
    <row r="46" spans="1:32" s="141" customFormat="1" ht="38.25" customHeight="1">
      <c r="A46" s="395" t="s">
        <v>237</v>
      </c>
      <c r="B46" s="273" t="s">
        <v>550</v>
      </c>
      <c r="C46" s="498">
        <v>0</v>
      </c>
      <c r="D46" s="498">
        <v>0</v>
      </c>
      <c r="E46" s="498">
        <v>0</v>
      </c>
      <c r="F46" s="498">
        <v>0</v>
      </c>
      <c r="G46" s="498">
        <v>0</v>
      </c>
      <c r="H46" s="498">
        <v>0</v>
      </c>
      <c r="I46" s="498">
        <v>0</v>
      </c>
      <c r="J46" s="498">
        <v>0</v>
      </c>
      <c r="K46" s="498">
        <v>0</v>
      </c>
      <c r="L46" s="498">
        <v>0</v>
      </c>
      <c r="M46" s="498">
        <v>0</v>
      </c>
      <c r="N46" s="498">
        <v>0</v>
      </c>
      <c r="O46" s="498">
        <v>0</v>
      </c>
      <c r="P46" s="498">
        <v>0</v>
      </c>
      <c r="Q46" s="498">
        <v>0</v>
      </c>
      <c r="R46" s="498">
        <v>0</v>
      </c>
      <c r="S46" s="499">
        <f t="shared" ref="S46" si="31">+C46+E46+G46+I46+K46+M46+O46+Q46</f>
        <v>0</v>
      </c>
      <c r="T46" s="499">
        <f t="shared" ref="T46" si="32">+S46-U46</f>
        <v>0</v>
      </c>
      <c r="U46" s="499">
        <f t="shared" ref="U46" si="33">+D46+F46+H46+J46+L46+N46+P46+R46</f>
        <v>0</v>
      </c>
      <c r="V46" s="137">
        <v>1</v>
      </c>
      <c r="W46" s="178">
        <f>+C46+E46+G46</f>
        <v>0</v>
      </c>
      <c r="X46" s="136">
        <f>+W46*V46</f>
        <v>0</v>
      </c>
      <c r="Y46" s="178">
        <f>+D46+F46+H46</f>
        <v>0</v>
      </c>
      <c r="Z46" s="178">
        <f>+Y46*V46</f>
        <v>0</v>
      </c>
    </row>
    <row r="47" spans="1:32" s="140" customFormat="1" ht="32.25" customHeight="1">
      <c r="A47" s="274" t="s">
        <v>239</v>
      </c>
      <c r="B47" s="275" t="s">
        <v>391</v>
      </c>
      <c r="C47" s="501">
        <f t="shared" ref="C47:R47" si="34">SUM(C6:C45)-C9-C13-C17-C18-C31-C34</f>
        <v>5256315316</v>
      </c>
      <c r="D47" s="501">
        <f t="shared" si="34"/>
        <v>2292409694</v>
      </c>
      <c r="E47" s="501">
        <f t="shared" si="34"/>
        <v>669150948</v>
      </c>
      <c r="F47" s="501">
        <f t="shared" si="34"/>
        <v>185707333</v>
      </c>
      <c r="G47" s="501">
        <f t="shared" si="34"/>
        <v>831497974</v>
      </c>
      <c r="H47" s="501">
        <f t="shared" si="34"/>
        <v>204822424</v>
      </c>
      <c r="I47" s="501">
        <f t="shared" si="34"/>
        <v>1071308981</v>
      </c>
      <c r="J47" s="501">
        <f t="shared" si="34"/>
        <v>436346941</v>
      </c>
      <c r="K47" s="501">
        <f t="shared" si="34"/>
        <v>1220986412</v>
      </c>
      <c r="L47" s="501">
        <f t="shared" si="34"/>
        <v>236551631</v>
      </c>
      <c r="M47" s="501">
        <f t="shared" si="34"/>
        <v>2228580353</v>
      </c>
      <c r="N47" s="501">
        <f t="shared" si="34"/>
        <v>362334911</v>
      </c>
      <c r="O47" s="501">
        <f t="shared" si="34"/>
        <v>3339818948</v>
      </c>
      <c r="P47" s="501">
        <f t="shared" si="34"/>
        <v>653786610</v>
      </c>
      <c r="Q47" s="501">
        <f t="shared" si="34"/>
        <v>8924867992</v>
      </c>
      <c r="R47" s="501">
        <f t="shared" si="34"/>
        <v>1467004264</v>
      </c>
      <c r="S47" s="501">
        <f>+C47+E47+G47+I47+K47+M47+O47+Q47</f>
        <v>23542526924</v>
      </c>
      <c r="T47" s="501">
        <f t="shared" si="1"/>
        <v>17703563116</v>
      </c>
      <c r="U47" s="501">
        <f t="shared" si="2"/>
        <v>5838963808</v>
      </c>
      <c r="V47" s="456"/>
      <c r="W47" s="456"/>
      <c r="X47" s="456">
        <f>+X12+X14+X15+X16+X18+X25+X26+X27+X28+X29+X30+X42+X46+(T23*0.2)+X43+X44</f>
        <v>625248744</v>
      </c>
      <c r="Y47" s="456"/>
      <c r="Z47" s="456">
        <f>+Z12+Z14+Z15+Z16+Z18+Z25+Z26+Z27+Z28+Z29+Z30+Z42+Z46+(U23*0.2)+Z43+Z44</f>
        <v>228657188.5</v>
      </c>
      <c r="AA47" s="464">
        <f>+Balance!C47</f>
        <v>23542526924</v>
      </c>
      <c r="AB47" s="464">
        <f>+Balance!D47</f>
        <v>17703563116</v>
      </c>
      <c r="AC47" s="464">
        <f>+Balance!E47</f>
        <v>5838963808</v>
      </c>
      <c r="AD47" s="464"/>
      <c r="AE47" s="464"/>
      <c r="AF47" s="464"/>
    </row>
    <row r="48" spans="1:32" s="457" customFormat="1" ht="15">
      <c r="A48" s="272"/>
      <c r="B48" s="277" t="s">
        <v>392</v>
      </c>
      <c r="C48" s="499"/>
      <c r="D48" s="499"/>
      <c r="E48" s="499"/>
      <c r="F48" s="499"/>
      <c r="G48" s="499"/>
      <c r="H48" s="499"/>
      <c r="I48" s="499"/>
      <c r="J48" s="499"/>
      <c r="K48" s="499"/>
      <c r="L48" s="499"/>
      <c r="M48" s="499"/>
      <c r="N48" s="499"/>
      <c r="O48" s="499"/>
      <c r="P48" s="499"/>
      <c r="Q48" s="499"/>
      <c r="R48" s="499"/>
      <c r="S48" s="499"/>
      <c r="T48" s="499"/>
      <c r="U48" s="499"/>
      <c r="V48" s="137"/>
      <c r="W48" s="178"/>
      <c r="X48" s="178"/>
      <c r="Y48" s="178"/>
      <c r="Z48" s="178"/>
      <c r="AA48" s="516">
        <f>+AA47-S47</f>
        <v>0</v>
      </c>
      <c r="AB48" s="516">
        <f>+AB47-T47</f>
        <v>0</v>
      </c>
      <c r="AC48" s="516">
        <f>+AC47-U47</f>
        <v>0</v>
      </c>
      <c r="AD48" s="466"/>
      <c r="AE48" s="466"/>
      <c r="AF48" s="466"/>
    </row>
    <row r="49" spans="1:32" s="458" customFormat="1" ht="25.5" customHeight="1">
      <c r="A49" s="272">
        <v>1</v>
      </c>
      <c r="B49" s="273" t="s">
        <v>393</v>
      </c>
      <c r="C49" s="500">
        <v>1107222501</v>
      </c>
      <c r="D49" s="498">
        <v>565317059</v>
      </c>
      <c r="E49" s="500">
        <v>0</v>
      </c>
      <c r="F49" s="498">
        <v>0</v>
      </c>
      <c r="G49" s="500">
        <v>0</v>
      </c>
      <c r="H49" s="498">
        <v>0</v>
      </c>
      <c r="I49" s="500">
        <v>0</v>
      </c>
      <c r="J49" s="498">
        <v>0</v>
      </c>
      <c r="K49" s="500">
        <v>0</v>
      </c>
      <c r="L49" s="498">
        <v>0</v>
      </c>
      <c r="M49" s="500">
        <v>0</v>
      </c>
      <c r="N49" s="498">
        <v>0</v>
      </c>
      <c r="O49" s="500">
        <v>0</v>
      </c>
      <c r="P49" s="498">
        <v>0</v>
      </c>
      <c r="Q49" s="500">
        <v>0</v>
      </c>
      <c r="R49" s="498">
        <v>0</v>
      </c>
      <c r="S49" s="499">
        <f t="shared" ref="S49" si="35">+C49+E49+G49+I49+K49+M49+O49+Q49</f>
        <v>1107222501</v>
      </c>
      <c r="T49" s="499">
        <f t="shared" ref="T49" si="36">+S49-U49</f>
        <v>541905442</v>
      </c>
      <c r="U49" s="499">
        <f t="shared" ref="U49" si="37">+D49+F49+H49+J49+L49+N49+P49+R49</f>
        <v>565317059</v>
      </c>
      <c r="V49" s="137"/>
      <c r="W49" s="178"/>
      <c r="X49" s="178"/>
      <c r="Y49" s="178"/>
      <c r="Z49" s="178"/>
      <c r="AA49" s="467">
        <f>+Commitments!C4</f>
        <v>1107222501</v>
      </c>
      <c r="AB49" s="467">
        <f>+Commitments!D4</f>
        <v>541905442</v>
      </c>
      <c r="AC49" s="467">
        <f>+Commitments!E4</f>
        <v>565317059</v>
      </c>
      <c r="AD49" s="465">
        <f>+AA49-S49</f>
        <v>0</v>
      </c>
      <c r="AE49" s="465">
        <f>+AB49-T49</f>
        <v>0</v>
      </c>
      <c r="AF49" s="465">
        <f>+AC49-U49</f>
        <v>0</v>
      </c>
    </row>
    <row r="50" spans="1:32" s="458" customFormat="1" ht="31.5" customHeight="1">
      <c r="A50" s="272"/>
      <c r="B50" s="273" t="s">
        <v>394</v>
      </c>
      <c r="C50" s="498">
        <v>203092974</v>
      </c>
      <c r="D50" s="498">
        <v>96228817</v>
      </c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9">
        <f t="shared" ref="S50:S54" si="38">+C50+E50+G50+I50+K50+M50+O50+Q50</f>
        <v>203092974</v>
      </c>
      <c r="T50" s="499">
        <f t="shared" ref="T50:T54" si="39">+S50-U50</f>
        <v>106864157</v>
      </c>
      <c r="U50" s="499">
        <f t="shared" ref="U50:U54" si="40">+D50+F50+H50+J50+L50+N50+P50+R50</f>
        <v>96228817</v>
      </c>
      <c r="V50" s="137"/>
      <c r="W50" s="178"/>
      <c r="X50" s="178"/>
      <c r="Y50" s="178"/>
      <c r="Z50" s="178"/>
      <c r="AA50" s="467">
        <f>+Commitments!C5</f>
        <v>203092974</v>
      </c>
      <c r="AB50" s="467">
        <f>+Commitments!D5</f>
        <v>106864157</v>
      </c>
      <c r="AC50" s="467">
        <f>+Commitments!E5</f>
        <v>96228817</v>
      </c>
      <c r="AD50" s="468"/>
      <c r="AE50" s="468"/>
      <c r="AF50" s="468"/>
    </row>
    <row r="51" spans="1:32" s="458" customFormat="1" ht="25.5" customHeight="1">
      <c r="A51" s="272">
        <v>2</v>
      </c>
      <c r="B51" s="273" t="s">
        <v>395</v>
      </c>
      <c r="C51" s="498">
        <v>609646854</v>
      </c>
      <c r="D51" s="498">
        <v>578185272</v>
      </c>
      <c r="E51" s="498">
        <v>0</v>
      </c>
      <c r="F51" s="498">
        <v>0</v>
      </c>
      <c r="G51" s="498">
        <v>0</v>
      </c>
      <c r="H51" s="498">
        <v>0</v>
      </c>
      <c r="I51" s="498">
        <v>0</v>
      </c>
      <c r="J51" s="498">
        <v>0</v>
      </c>
      <c r="K51" s="498">
        <v>0</v>
      </c>
      <c r="L51" s="498">
        <v>0</v>
      </c>
      <c r="M51" s="498">
        <v>0</v>
      </c>
      <c r="N51" s="498">
        <v>0</v>
      </c>
      <c r="O51" s="498">
        <v>0</v>
      </c>
      <c r="P51" s="498">
        <v>0</v>
      </c>
      <c r="Q51" s="498">
        <v>0</v>
      </c>
      <c r="R51" s="498">
        <v>0</v>
      </c>
      <c r="S51" s="499">
        <f t="shared" si="38"/>
        <v>609646854</v>
      </c>
      <c r="T51" s="499">
        <f t="shared" si="39"/>
        <v>31461582</v>
      </c>
      <c r="U51" s="499">
        <f t="shared" si="40"/>
        <v>578185272</v>
      </c>
      <c r="V51" s="137"/>
      <c r="W51" s="178"/>
      <c r="X51" s="178"/>
      <c r="Y51" s="178"/>
      <c r="Z51" s="178"/>
      <c r="AA51" s="467">
        <f>+Commitments!C7</f>
        <v>609646854</v>
      </c>
      <c r="AB51" s="467">
        <f>+Commitments!D7</f>
        <v>31461582</v>
      </c>
      <c r="AC51" s="467">
        <f>+Commitments!E7</f>
        <v>578185272</v>
      </c>
      <c r="AD51" s="465">
        <f>+AA51-S51</f>
        <v>0</v>
      </c>
      <c r="AE51" s="465">
        <f>+AB51-T51</f>
        <v>0</v>
      </c>
      <c r="AF51" s="465">
        <f>+AC51-U51</f>
        <v>0</v>
      </c>
    </row>
    <row r="52" spans="1:32" s="458" customFormat="1" ht="28.5">
      <c r="A52" s="272"/>
      <c r="B52" s="273" t="s">
        <v>396</v>
      </c>
      <c r="C52" s="498">
        <v>391831644.67199999</v>
      </c>
      <c r="D52" s="498">
        <v>391831644.67199999</v>
      </c>
      <c r="E52" s="498"/>
      <c r="F52" s="498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9">
        <f t="shared" si="38"/>
        <v>391831644.67199999</v>
      </c>
      <c r="T52" s="499">
        <f t="shared" si="39"/>
        <v>0</v>
      </c>
      <c r="U52" s="499">
        <f t="shared" si="40"/>
        <v>391831644.67199999</v>
      </c>
      <c r="V52" s="137"/>
      <c r="W52" s="178"/>
      <c r="X52" s="178"/>
      <c r="Y52" s="178"/>
      <c r="Z52" s="178"/>
      <c r="AA52" s="467">
        <f>+Commitments!C8</f>
        <v>391831644.67199999</v>
      </c>
      <c r="AB52" s="467">
        <f>+Commitments!D8</f>
        <v>0</v>
      </c>
      <c r="AC52" s="467">
        <f>+Commitments!E8</f>
        <v>391831644.67199999</v>
      </c>
      <c r="AD52" s="468"/>
      <c r="AE52" s="468"/>
      <c r="AF52" s="468"/>
    </row>
    <row r="53" spans="1:32" s="458" customFormat="1" ht="25.5" customHeight="1">
      <c r="A53" s="272">
        <v>3</v>
      </c>
      <c r="B53" s="273" t="s">
        <v>397</v>
      </c>
      <c r="C53" s="498">
        <v>326811988</v>
      </c>
      <c r="D53" s="498">
        <v>326811988</v>
      </c>
      <c r="E53" s="498">
        <v>0</v>
      </c>
      <c r="F53" s="498">
        <v>0</v>
      </c>
      <c r="G53" s="498">
        <v>0</v>
      </c>
      <c r="H53" s="498">
        <v>0</v>
      </c>
      <c r="I53" s="498">
        <v>0</v>
      </c>
      <c r="J53" s="498">
        <v>0</v>
      </c>
      <c r="K53" s="498">
        <v>0</v>
      </c>
      <c r="L53" s="498">
        <v>0</v>
      </c>
      <c r="M53" s="498">
        <v>0</v>
      </c>
      <c r="N53" s="498">
        <v>0</v>
      </c>
      <c r="O53" s="498">
        <v>0</v>
      </c>
      <c r="P53" s="498">
        <v>0</v>
      </c>
      <c r="Q53" s="498">
        <v>0</v>
      </c>
      <c r="R53" s="498">
        <v>0</v>
      </c>
      <c r="S53" s="499">
        <f t="shared" si="38"/>
        <v>326811988</v>
      </c>
      <c r="T53" s="499">
        <f t="shared" si="39"/>
        <v>0</v>
      </c>
      <c r="U53" s="499">
        <f t="shared" si="40"/>
        <v>326811988</v>
      </c>
      <c r="V53" s="137"/>
      <c r="W53" s="178"/>
      <c r="X53" s="178"/>
      <c r="Y53" s="178"/>
      <c r="Z53" s="178"/>
      <c r="AA53" s="467">
        <f>+Commitments!C10</f>
        <v>326811988</v>
      </c>
      <c r="AB53" s="467">
        <f>+Commitments!D10</f>
        <v>0</v>
      </c>
      <c r="AC53" s="467">
        <f>+Commitments!E10</f>
        <v>326811988</v>
      </c>
      <c r="AD53" s="465">
        <f>+AA53-S53</f>
        <v>0</v>
      </c>
      <c r="AE53" s="465">
        <f>+AB53-T53</f>
        <v>0</v>
      </c>
      <c r="AF53" s="465">
        <f>+AC53-U53</f>
        <v>0</v>
      </c>
    </row>
    <row r="54" spans="1:32" s="458" customFormat="1" ht="28.5">
      <c r="A54" s="272"/>
      <c r="B54" s="273" t="s">
        <v>398</v>
      </c>
      <c r="C54" s="498">
        <v>0</v>
      </c>
      <c r="D54" s="498">
        <v>0</v>
      </c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9">
        <f t="shared" si="38"/>
        <v>0</v>
      </c>
      <c r="T54" s="499">
        <f t="shared" si="39"/>
        <v>0</v>
      </c>
      <c r="U54" s="499">
        <f t="shared" si="40"/>
        <v>0</v>
      </c>
      <c r="V54" s="137"/>
      <c r="W54" s="178"/>
      <c r="X54" s="178"/>
      <c r="Y54" s="178"/>
      <c r="Z54" s="178"/>
      <c r="AA54" s="459"/>
      <c r="AB54" s="459"/>
      <c r="AC54" s="459"/>
    </row>
    <row r="55" spans="1:32" s="162" customFormat="1" ht="29.25" customHeight="1">
      <c r="A55" s="278"/>
      <c r="B55" s="279"/>
      <c r="C55" s="502"/>
      <c r="D55" s="502"/>
      <c r="E55" s="502"/>
      <c r="F55" s="502"/>
      <c r="G55" s="502"/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  <c r="T55" s="502"/>
      <c r="U55" s="502"/>
      <c r="V55" s="194"/>
      <c r="W55" s="195"/>
      <c r="X55" s="196"/>
      <c r="Y55" s="195"/>
      <c r="Z55" s="196"/>
    </row>
    <row r="56" spans="1:32" s="24" customFormat="1" ht="17.25" customHeight="1">
      <c r="A56" s="23"/>
      <c r="B56" s="380" t="s">
        <v>536</v>
      </c>
      <c r="C56" s="503"/>
      <c r="D56" s="503"/>
      <c r="E56" s="503"/>
      <c r="F56" s="504"/>
      <c r="G56" s="504"/>
      <c r="H56" s="504"/>
      <c r="I56" s="504"/>
      <c r="J56" s="504"/>
      <c r="K56" s="504"/>
      <c r="L56" s="504"/>
      <c r="M56" s="504"/>
      <c r="N56" s="503"/>
      <c r="O56" s="503"/>
      <c r="P56" s="503"/>
      <c r="Q56" s="503"/>
      <c r="R56" s="503"/>
      <c r="S56" s="503"/>
      <c r="T56" s="503"/>
      <c r="U56" s="503"/>
      <c r="V56" s="23"/>
      <c r="W56" s="23"/>
      <c r="X56" s="23"/>
      <c r="Y56" s="23"/>
      <c r="Z56" s="23"/>
      <c r="AA56" s="23"/>
      <c r="AB56" s="23"/>
      <c r="AC56" s="23"/>
      <c r="AD56" s="23"/>
    </row>
    <row r="57" spans="1:32" s="24" customFormat="1" ht="17.25" customHeight="1">
      <c r="A57" s="23"/>
      <c r="B57" s="380"/>
      <c r="C57" s="503"/>
      <c r="D57" s="503"/>
      <c r="E57" s="503"/>
      <c r="F57" s="504"/>
      <c r="G57" s="504"/>
      <c r="H57" s="504"/>
      <c r="I57" s="504"/>
      <c r="J57" s="504"/>
      <c r="K57" s="504"/>
      <c r="L57" s="504"/>
      <c r="M57" s="504"/>
      <c r="N57" s="503"/>
      <c r="O57" s="503"/>
      <c r="P57" s="503"/>
      <c r="Q57" s="503"/>
      <c r="R57" s="503"/>
      <c r="S57" s="503"/>
      <c r="T57" s="503"/>
      <c r="U57" s="503"/>
      <c r="V57" s="23"/>
      <c r="W57" s="23"/>
      <c r="X57" s="23"/>
      <c r="Y57" s="23"/>
      <c r="Z57" s="23"/>
      <c r="AA57" s="23"/>
      <c r="AB57" s="23"/>
      <c r="AC57" s="23"/>
      <c r="AD57" s="23"/>
    </row>
    <row r="58" spans="1:32" s="24" customFormat="1" ht="17.25" customHeight="1">
      <c r="A58" s="23"/>
      <c r="B58" s="380" t="s">
        <v>535</v>
      </c>
      <c r="C58" s="23"/>
      <c r="D58" s="23"/>
      <c r="E58" s="23"/>
      <c r="F58" s="173"/>
      <c r="G58" s="173"/>
      <c r="H58" s="173"/>
      <c r="I58" s="173"/>
      <c r="J58" s="173"/>
      <c r="K58" s="173"/>
      <c r="L58" s="173"/>
      <c r="M58" s="17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2" ht="20.25" customHeight="1">
      <c r="B59" s="192"/>
      <c r="V59" s="199"/>
      <c r="W59" s="197"/>
      <c r="X59" s="198"/>
      <c r="Y59" s="197"/>
      <c r="Z59" s="198"/>
    </row>
    <row r="60" spans="1:32" ht="12.75" customHeight="1">
      <c r="V60" s="199"/>
      <c r="W60" s="534" t="s">
        <v>168</v>
      </c>
      <c r="X60" s="534"/>
      <c r="Y60" s="534"/>
      <c r="Z60" s="534"/>
    </row>
    <row r="61" spans="1:32" ht="14.25">
      <c r="V61" s="199"/>
      <c r="W61" s="200">
        <f>+Balance!C47</f>
        <v>23542526924</v>
      </c>
      <c r="X61" s="200">
        <f>+Balance!D47</f>
        <v>17703563116</v>
      </c>
      <c r="Y61" s="197">
        <f>+Balance!E47</f>
        <v>5838963808</v>
      </c>
      <c r="Z61" s="198"/>
    </row>
    <row r="62" spans="1:32">
      <c r="V62" s="199"/>
      <c r="W62" s="201" t="s">
        <v>56</v>
      </c>
      <c r="X62" s="201"/>
      <c r="Y62" s="202" t="s">
        <v>167</v>
      </c>
      <c r="Z62" s="203"/>
    </row>
    <row r="63" spans="1:32">
      <c r="V63" s="199"/>
      <c r="W63" s="204" t="s">
        <v>166</v>
      </c>
      <c r="X63" s="205">
        <f>+X47</f>
        <v>625248744</v>
      </c>
      <c r="Y63" s="204" t="s">
        <v>166</v>
      </c>
      <c r="Z63" s="205">
        <f>+Z47</f>
        <v>228657188.5</v>
      </c>
      <c r="AB63" s="445"/>
    </row>
    <row r="64" spans="1:32" ht="25.5">
      <c r="V64" s="199"/>
      <c r="W64" s="204" t="s">
        <v>18</v>
      </c>
      <c r="X64" s="205">
        <f>+X6+X7+X10+X11+X13+X19+X20+X21+X22+X24+X35-X46-X18</f>
        <v>2932842667</v>
      </c>
      <c r="Y64" s="204" t="s">
        <v>18</v>
      </c>
      <c r="Z64" s="205">
        <f>+Z6+Z7+Z10+Z11+Z13+Z19+Z20+Z21+Z22+Z24+Z35-Z46-Z18</f>
        <v>1573709297</v>
      </c>
      <c r="AB64" s="445"/>
    </row>
    <row r="65" spans="1:28" ht="25.5">
      <c r="V65" s="199"/>
      <c r="W65" s="204" t="s">
        <v>157</v>
      </c>
      <c r="X65" s="205">
        <f>+X67-X70</f>
        <v>1740486493.2999997</v>
      </c>
      <c r="Y65" s="204" t="s">
        <v>157</v>
      </c>
      <c r="Z65" s="205">
        <f>+Z67-Z70</f>
        <v>409441877.85000002</v>
      </c>
      <c r="AB65" s="445"/>
    </row>
    <row r="66" spans="1:28">
      <c r="A66" s="160"/>
      <c r="B66" s="160"/>
      <c r="V66" s="206"/>
      <c r="W66" s="207"/>
      <c r="X66" s="206"/>
      <c r="Y66" s="207"/>
      <c r="Z66" s="206"/>
      <c r="AB66" s="445"/>
    </row>
    <row r="67" spans="1:28">
      <c r="A67" s="160"/>
      <c r="B67" s="160"/>
      <c r="V67" s="206"/>
      <c r="W67" s="208" t="s">
        <v>169</v>
      </c>
      <c r="X67" s="205">
        <f>+'Bank Liabilities Analysis'!W42+'Liquidity Analysis'!C41</f>
        <v>2365735237.2999997</v>
      </c>
      <c r="Y67" s="208" t="s">
        <v>158</v>
      </c>
      <c r="Z67" s="205">
        <f>+'Bank Liabilities Analysis'!X42+'Liquidity Analysis'!E41</f>
        <v>638099066.35000002</v>
      </c>
      <c r="AB67" s="445"/>
    </row>
    <row r="68" spans="1:28" ht="25.5">
      <c r="A68" s="160"/>
      <c r="B68" s="160"/>
      <c r="V68" s="206"/>
      <c r="W68" s="208" t="s">
        <v>170</v>
      </c>
      <c r="X68" s="205">
        <f>+'Liquidity Analysis'!C41</f>
        <v>215948577</v>
      </c>
      <c r="Y68" s="208" t="s">
        <v>170</v>
      </c>
      <c r="Z68" s="205">
        <f>+'Liquidity Analysis'!E41</f>
        <v>145973147</v>
      </c>
      <c r="AB68" s="445"/>
    </row>
    <row r="69" spans="1:28">
      <c r="A69" s="160"/>
      <c r="B69" s="160"/>
      <c r="V69" s="206"/>
      <c r="W69" s="208"/>
      <c r="X69" s="205"/>
      <c r="Y69" s="208"/>
      <c r="Z69" s="205"/>
      <c r="AB69" s="445"/>
    </row>
    <row r="70" spans="1:28" ht="25.5">
      <c r="A70" s="160"/>
      <c r="B70" s="160"/>
      <c r="V70" s="206"/>
      <c r="W70" s="208" t="s">
        <v>159</v>
      </c>
      <c r="X70" s="205">
        <f>IF(X63&gt;(X67*0.75),X67*0.75,X63)</f>
        <v>625248744</v>
      </c>
      <c r="Y70" s="208" t="s">
        <v>159</v>
      </c>
      <c r="Z70" s="205">
        <f>IF(Z63&gt;(Z67*0.75),Z67*0.75,Z63)</f>
        <v>228657188.5</v>
      </c>
      <c r="AB70" s="445"/>
    </row>
    <row r="71" spans="1:28">
      <c r="A71" s="160"/>
      <c r="B71" s="160"/>
      <c r="V71" s="199"/>
      <c r="W71" s="197"/>
      <c r="X71" s="198"/>
      <c r="Y71" s="197"/>
      <c r="Z71" s="198"/>
    </row>
    <row r="72" spans="1:28">
      <c r="A72" s="160"/>
      <c r="B72" s="160"/>
      <c r="V72" s="199"/>
      <c r="W72" s="197"/>
      <c r="X72" s="198"/>
      <c r="Y72" s="197"/>
      <c r="Z72" s="198"/>
    </row>
    <row r="73" spans="1:28">
      <c r="A73" s="160"/>
      <c r="B73" s="160"/>
      <c r="V73" s="199"/>
      <c r="W73" s="197"/>
      <c r="X73" s="198"/>
      <c r="Y73" s="197"/>
      <c r="Z73" s="198"/>
    </row>
  </sheetData>
  <sheetProtection password="CACA" sheet="1" objects="1" scenarios="1"/>
  <mergeCells count="16">
    <mergeCell ref="W60:Z60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D6 D35:D36 H17 J17 D17 L17 N17 P17 R17 F17 H9 J9 L9 F9 P9 R9 N9 N11:N13 R11:R13 P11:P13 F11:F13 L11:L13 J11:J13 H11:H13">
    <cfRule type="cellIs" dxfId="536" priority="298" operator="greaterThan">
      <formula>C6</formula>
    </cfRule>
  </conditionalFormatting>
  <conditionalFormatting sqref="H11:H13 J11:J13 L11:L13 N11:N13 P11:P13 R11:R13 F11:F13">
    <cfRule type="cellIs" dxfId="535" priority="284" operator="greaterThan">
      <formula>E11</formula>
    </cfRule>
  </conditionalFormatting>
  <conditionalFormatting sqref="C6">
    <cfRule type="cellIs" dxfId="534" priority="263" operator="greaterThan">
      <formula>$C$6</formula>
    </cfRule>
  </conditionalFormatting>
  <conditionalFormatting sqref="D7">
    <cfRule type="cellIs" dxfId="533" priority="257" operator="greaterThan">
      <formula>C7</formula>
    </cfRule>
  </conditionalFormatting>
  <conditionalFormatting sqref="D7">
    <cfRule type="cellIs" dxfId="532" priority="256" operator="greaterThan">
      <formula>C7</formula>
    </cfRule>
  </conditionalFormatting>
  <conditionalFormatting sqref="D7">
    <cfRule type="cellIs" dxfId="531" priority="255" operator="greaterThan">
      <formula>C7</formula>
    </cfRule>
  </conditionalFormatting>
  <conditionalFormatting sqref="F16 H16 J16 L16 P16 R16 N16">
    <cfRule type="cellIs" dxfId="530" priority="246" operator="greaterThan">
      <formula>E16</formula>
    </cfRule>
  </conditionalFormatting>
  <conditionalFormatting sqref="H16 J16 L16 N16 P16 R16">
    <cfRule type="cellIs" dxfId="529" priority="231" operator="greaterThan">
      <formula>G16</formula>
    </cfRule>
  </conditionalFormatting>
  <conditionalFormatting sqref="F16">
    <cfRule type="cellIs" dxfId="528" priority="230" operator="greaterThan">
      <formula>E16</formula>
    </cfRule>
  </conditionalFormatting>
  <conditionalFormatting sqref="F16">
    <cfRule type="cellIs" dxfId="527" priority="229" operator="greaterThan">
      <formula>E16</formula>
    </cfRule>
  </conditionalFormatting>
  <conditionalFormatting sqref="F16">
    <cfRule type="cellIs" dxfId="526" priority="228" operator="greaterThan">
      <formula>E16</formula>
    </cfRule>
  </conditionalFormatting>
  <conditionalFormatting sqref="F16">
    <cfRule type="cellIs" dxfId="525" priority="227" operator="greaterThan">
      <formula>E16</formula>
    </cfRule>
  </conditionalFormatting>
  <conditionalFormatting sqref="D20">
    <cfRule type="cellIs" dxfId="524" priority="226" operator="greaterThan">
      <formula>C20</formula>
    </cfRule>
  </conditionalFormatting>
  <conditionalFormatting sqref="F32 H32 J32 L32 P32 R32 N32">
    <cfRule type="cellIs" dxfId="523" priority="214" operator="greaterThan">
      <formula>E32</formula>
    </cfRule>
  </conditionalFormatting>
  <conditionalFormatting sqref="H32 J32 L32 N32 P32 R32">
    <cfRule type="cellIs" dxfId="522" priority="213" operator="greaterThan">
      <formula>G32</formula>
    </cfRule>
  </conditionalFormatting>
  <conditionalFormatting sqref="F32">
    <cfRule type="cellIs" dxfId="521" priority="212" operator="greaterThan">
      <formula>E32</formula>
    </cfRule>
  </conditionalFormatting>
  <conditionalFormatting sqref="F32">
    <cfRule type="cellIs" dxfId="520" priority="211" operator="greaterThan">
      <formula>E32</formula>
    </cfRule>
  </conditionalFormatting>
  <conditionalFormatting sqref="F32">
    <cfRule type="cellIs" dxfId="519" priority="210" operator="greaterThan">
      <formula>E32</formula>
    </cfRule>
  </conditionalFormatting>
  <conditionalFormatting sqref="F32">
    <cfRule type="cellIs" dxfId="518" priority="209" operator="greaterThan">
      <formula>E32</formula>
    </cfRule>
  </conditionalFormatting>
  <conditionalFormatting sqref="T47">
    <cfRule type="cellIs" dxfId="517" priority="471" operator="notEqual">
      <formula>$AB$47</formula>
    </cfRule>
  </conditionalFormatting>
  <conditionalFormatting sqref="U47">
    <cfRule type="cellIs" dxfId="516" priority="472" operator="notEqual">
      <formula>$AC$47</formula>
    </cfRule>
  </conditionalFormatting>
  <conditionalFormatting sqref="S47">
    <cfRule type="cellIs" dxfId="515" priority="473" operator="notEqual">
      <formula>$AA$47</formula>
    </cfRule>
  </conditionalFormatting>
  <conditionalFormatting sqref="S49">
    <cfRule type="cellIs" dxfId="514" priority="140" operator="notEqual">
      <formula>$AA$49</formula>
    </cfRule>
    <cfRule type="cellIs" dxfId="513" priority="157" operator="notEqual">
      <formula>AA49</formula>
    </cfRule>
  </conditionalFormatting>
  <conditionalFormatting sqref="S51">
    <cfRule type="cellIs" dxfId="512" priority="156" operator="notEqual">
      <formula>AA51</formula>
    </cfRule>
  </conditionalFormatting>
  <conditionalFormatting sqref="S53">
    <cfRule type="cellIs" dxfId="511" priority="155" operator="notEqual">
      <formula>AA53</formula>
    </cfRule>
  </conditionalFormatting>
  <conditionalFormatting sqref="T49">
    <cfRule type="cellIs" dxfId="510" priority="139" operator="notEqual">
      <formula>$AB$49</formula>
    </cfRule>
  </conditionalFormatting>
  <conditionalFormatting sqref="U49">
    <cfRule type="cellIs" dxfId="509" priority="153" operator="notEqual">
      <formula>AC49</formula>
    </cfRule>
  </conditionalFormatting>
  <conditionalFormatting sqref="T51">
    <cfRule type="cellIs" dxfId="508" priority="152" operator="notEqual">
      <formula>AB51</formula>
    </cfRule>
  </conditionalFormatting>
  <conditionalFormatting sqref="U51">
    <cfRule type="cellIs" dxfId="507" priority="151" operator="notEqual">
      <formula>AC51</formula>
    </cfRule>
  </conditionalFormatting>
  <conditionalFormatting sqref="T53">
    <cfRule type="cellIs" dxfId="506" priority="150" operator="notEqual">
      <formula>AB53</formula>
    </cfRule>
  </conditionalFormatting>
  <conditionalFormatting sqref="U53">
    <cfRule type="cellIs" dxfId="505" priority="149" operator="notEqual">
      <formula>AC53</formula>
    </cfRule>
  </conditionalFormatting>
  <conditionalFormatting sqref="H18 J18 D18 L18 N18 P18 R18 F18">
    <cfRule type="cellIs" dxfId="504" priority="147" operator="greaterThan">
      <formula>C18</formula>
    </cfRule>
  </conditionalFormatting>
  <conditionalFormatting sqref="N46 R46 P46 L46 J46 H46 F46">
    <cfRule type="cellIs" dxfId="503" priority="146" operator="greaterThan">
      <formula>E46</formula>
    </cfRule>
  </conditionalFormatting>
  <conditionalFormatting sqref="H46 J46 L46 N46 P46 R46">
    <cfRule type="cellIs" dxfId="502" priority="145" operator="greaterThan">
      <formula>G46</formula>
    </cfRule>
  </conditionalFormatting>
  <conditionalFormatting sqref="F46">
    <cfRule type="cellIs" dxfId="501" priority="144" operator="greaterThan">
      <formula>E46</formula>
    </cfRule>
  </conditionalFormatting>
  <conditionalFormatting sqref="F46">
    <cfRule type="cellIs" dxfId="500" priority="143" operator="greaterThan">
      <formula>E46</formula>
    </cfRule>
  </conditionalFormatting>
  <conditionalFormatting sqref="F46">
    <cfRule type="cellIs" dxfId="499" priority="142" operator="greaterThan">
      <formula>E46</formula>
    </cfRule>
  </conditionalFormatting>
  <conditionalFormatting sqref="F46">
    <cfRule type="cellIs" dxfId="498" priority="141" operator="greaterThan">
      <formula>E46</formula>
    </cfRule>
  </conditionalFormatting>
  <conditionalFormatting sqref="S50">
    <cfRule type="cellIs" dxfId="497" priority="138" operator="notEqual">
      <formula>AA50</formula>
    </cfRule>
  </conditionalFormatting>
  <conditionalFormatting sqref="T50">
    <cfRule type="cellIs" dxfId="496" priority="137" operator="notEqual">
      <formula>$AB$50</formula>
    </cfRule>
  </conditionalFormatting>
  <conditionalFormatting sqref="U50">
    <cfRule type="cellIs" dxfId="495" priority="136" operator="notEqual">
      <formula>$AC$50</formula>
    </cfRule>
  </conditionalFormatting>
  <conditionalFormatting sqref="S52">
    <cfRule type="cellIs" dxfId="494" priority="135" operator="notEqual">
      <formula>$AA$52</formula>
    </cfRule>
  </conditionalFormatting>
  <conditionalFormatting sqref="T52">
    <cfRule type="cellIs" dxfId="493" priority="134" operator="notEqual">
      <formula>$AB$52</formula>
    </cfRule>
  </conditionalFormatting>
  <conditionalFormatting sqref="U52">
    <cfRule type="cellIs" dxfId="492" priority="133" operator="notEqual">
      <formula>$AC$52</formula>
    </cfRule>
  </conditionalFormatting>
  <conditionalFormatting sqref="D8">
    <cfRule type="cellIs" dxfId="491" priority="130" operator="greaterThan">
      <formula>C8</formula>
    </cfRule>
  </conditionalFormatting>
  <conditionalFormatting sqref="C8:R8">
    <cfRule type="cellIs" dxfId="490" priority="129" operator="greaterThan">
      <formula>$C$6</formula>
    </cfRule>
  </conditionalFormatting>
  <conditionalFormatting sqref="N10 R10 P10 F10 L10 J10 H10 D10">
    <cfRule type="cellIs" dxfId="489" priority="128" operator="greaterThan">
      <formula>C10</formula>
    </cfRule>
  </conditionalFormatting>
  <conditionalFormatting sqref="N14 R14 P14 F14 L14 J14 H14">
    <cfRule type="cellIs" dxfId="488" priority="126" operator="greaterThan">
      <formula>E14</formula>
    </cfRule>
  </conditionalFormatting>
  <conditionalFormatting sqref="N31 R31 P31 F31 L31 J31 H31 D31">
    <cfRule type="cellIs" dxfId="487" priority="122" operator="greaterThan">
      <formula>C31</formula>
    </cfRule>
  </conditionalFormatting>
  <conditionalFormatting sqref="N30 R30 P30 F30 L30 J30 H30 D30">
    <cfRule type="cellIs" dxfId="486" priority="120" operator="greaterThan">
      <formula>C30</formula>
    </cfRule>
  </conditionalFormatting>
  <conditionalFormatting sqref="R33">
    <cfRule type="cellIs" dxfId="485" priority="116" operator="greaterThan">
      <formula>Q33</formula>
    </cfRule>
  </conditionalFormatting>
  <conditionalFormatting sqref="N38 R38 P38 F38 L38 J38 H38 D38">
    <cfRule type="cellIs" dxfId="484" priority="114" operator="greaterThan">
      <formula>C38</formula>
    </cfRule>
  </conditionalFormatting>
  <conditionalFormatting sqref="N41 R41 P41 F41 L41 J41 H41 D41">
    <cfRule type="cellIs" dxfId="483" priority="112" operator="greaterThan">
      <formula>C41</formula>
    </cfRule>
  </conditionalFormatting>
  <conditionalFormatting sqref="N42 R42 P42 F42 L42 J42 H42 D42">
    <cfRule type="cellIs" dxfId="482" priority="110" operator="greaterThan">
      <formula>C42</formula>
    </cfRule>
  </conditionalFormatting>
  <conditionalFormatting sqref="N45 R45 P45 F45 L45 J45">
    <cfRule type="cellIs" dxfId="481" priority="108" operator="greaterThan">
      <formula>E45</formula>
    </cfRule>
  </conditionalFormatting>
  <conditionalFormatting sqref="R49">
    <cfRule type="cellIs" dxfId="480" priority="106" operator="greaterThan">
      <formula>Q49</formula>
    </cfRule>
  </conditionalFormatting>
  <conditionalFormatting sqref="N51 R51 P51 F51 L51 J51 H51">
    <cfRule type="cellIs" dxfId="479" priority="104" operator="greaterThan">
      <formula>E51</formula>
    </cfRule>
  </conditionalFormatting>
  <conditionalFormatting sqref="C51 E51 G51 I51 K51 M51 O51 Q51">
    <cfRule type="cellIs" dxfId="478" priority="103" operator="greaterThan">
      <formula>$C$6</formula>
    </cfRule>
  </conditionalFormatting>
  <conditionalFormatting sqref="N52 R52 P52 F52 L52 J52 H52">
    <cfRule type="cellIs" dxfId="477" priority="102" operator="greaterThan">
      <formula>E52</formula>
    </cfRule>
  </conditionalFormatting>
  <conditionalFormatting sqref="C52 E52 G52 I52 K52 M52 O52 Q52">
    <cfRule type="cellIs" dxfId="476" priority="101" operator="greaterThan">
      <formula>$C$6</formula>
    </cfRule>
  </conditionalFormatting>
  <conditionalFormatting sqref="N53 R53 P53 F53 L53 J53 H53">
    <cfRule type="cellIs" dxfId="475" priority="100" operator="greaterThan">
      <formula>E53</formula>
    </cfRule>
  </conditionalFormatting>
  <conditionalFormatting sqref="C53 E53 G53 I53 K53 M53 O53 Q53">
    <cfRule type="cellIs" dxfId="474" priority="99" operator="greaterThan">
      <formula>$C$6</formula>
    </cfRule>
  </conditionalFormatting>
  <conditionalFormatting sqref="R37 D37:P37">
    <cfRule type="cellIs" dxfId="473" priority="98" operator="greaterThan">
      <formula>C37</formula>
    </cfRule>
  </conditionalFormatting>
  <conditionalFormatting sqref="D45">
    <cfRule type="cellIs" dxfId="472" priority="95" operator="greaterThan">
      <formula>$C$6</formula>
    </cfRule>
  </conditionalFormatting>
  <conditionalFormatting sqref="N19 R19 P19 F19 L19 J19 H19 D19">
    <cfRule type="cellIs" dxfId="471" priority="93" operator="greaterThan">
      <formula>C19</formula>
    </cfRule>
  </conditionalFormatting>
  <conditionalFormatting sqref="F20">
    <cfRule type="cellIs" dxfId="470" priority="92" operator="greaterThan">
      <formula>E20</formula>
    </cfRule>
  </conditionalFormatting>
  <conditionalFormatting sqref="H20">
    <cfRule type="cellIs" dxfId="469" priority="91" operator="greaterThan">
      <formula>G20</formula>
    </cfRule>
  </conditionalFormatting>
  <conditionalFormatting sqref="J20">
    <cfRule type="cellIs" dxfId="468" priority="90" operator="greaterThan">
      <formula>I20</formula>
    </cfRule>
  </conditionalFormatting>
  <conditionalFormatting sqref="L20">
    <cfRule type="cellIs" dxfId="467" priority="89" operator="greaterThan">
      <formula>K20</formula>
    </cfRule>
  </conditionalFormatting>
  <conditionalFormatting sqref="N20">
    <cfRule type="cellIs" dxfId="466" priority="88" operator="greaterThan">
      <formula>M20</formula>
    </cfRule>
  </conditionalFormatting>
  <conditionalFormatting sqref="P20">
    <cfRule type="cellIs" dxfId="465" priority="87" operator="greaterThan">
      <formula>O20</formula>
    </cfRule>
  </conditionalFormatting>
  <conditionalFormatting sqref="R20">
    <cfRule type="cellIs" dxfId="464" priority="86" operator="greaterThan">
      <formula>Q20</formula>
    </cfRule>
  </conditionalFormatting>
  <conditionalFormatting sqref="D21">
    <cfRule type="cellIs" dxfId="463" priority="85" operator="greaterThan">
      <formula>C21</formula>
    </cfRule>
  </conditionalFormatting>
  <conditionalFormatting sqref="F21">
    <cfRule type="cellIs" dxfId="462" priority="84" operator="greaterThan">
      <formula>E21</formula>
    </cfRule>
  </conditionalFormatting>
  <conditionalFormatting sqref="H21">
    <cfRule type="cellIs" dxfId="461" priority="83" operator="greaterThan">
      <formula>G21</formula>
    </cfRule>
  </conditionalFormatting>
  <conditionalFormatting sqref="J21">
    <cfRule type="cellIs" dxfId="460" priority="82" operator="greaterThan">
      <formula>I21</formula>
    </cfRule>
  </conditionalFormatting>
  <conditionalFormatting sqref="L21">
    <cfRule type="cellIs" dxfId="459" priority="81" operator="greaterThan">
      <formula>K21</formula>
    </cfRule>
  </conditionalFormatting>
  <conditionalFormatting sqref="N21">
    <cfRule type="cellIs" dxfId="458" priority="80" operator="greaterThan">
      <formula>M21</formula>
    </cfRule>
  </conditionalFormatting>
  <conditionalFormatting sqref="P21">
    <cfRule type="cellIs" dxfId="457" priority="79" operator="greaterThan">
      <formula>O21</formula>
    </cfRule>
  </conditionalFormatting>
  <conditionalFormatting sqref="R21">
    <cfRule type="cellIs" dxfId="456" priority="78" operator="greaterThan">
      <formula>Q21</formula>
    </cfRule>
  </conditionalFormatting>
  <conditionalFormatting sqref="D22">
    <cfRule type="cellIs" dxfId="455" priority="77" operator="greaterThan">
      <formula>C22</formula>
    </cfRule>
  </conditionalFormatting>
  <conditionalFormatting sqref="F22">
    <cfRule type="cellIs" dxfId="454" priority="76" operator="greaterThan">
      <formula>E22</formula>
    </cfRule>
  </conditionalFormatting>
  <conditionalFormatting sqref="H22">
    <cfRule type="cellIs" dxfId="453" priority="75" operator="greaterThan">
      <formula>G22</formula>
    </cfRule>
  </conditionalFormatting>
  <conditionalFormatting sqref="J22">
    <cfRule type="cellIs" dxfId="452" priority="74" operator="greaterThan">
      <formula>I22</formula>
    </cfRule>
  </conditionalFormatting>
  <conditionalFormatting sqref="L22">
    <cfRule type="cellIs" dxfId="451" priority="73" operator="greaterThan">
      <formula>K22</formula>
    </cfRule>
  </conditionalFormatting>
  <conditionalFormatting sqref="N22">
    <cfRule type="cellIs" dxfId="450" priority="72" operator="greaterThan">
      <formula>M22</formula>
    </cfRule>
  </conditionalFormatting>
  <conditionalFormatting sqref="P22">
    <cfRule type="cellIs" dxfId="449" priority="71" operator="greaterThan">
      <formula>O22</formula>
    </cfRule>
  </conditionalFormatting>
  <conditionalFormatting sqref="R22">
    <cfRule type="cellIs" dxfId="448" priority="70" operator="greaterThan">
      <formula>Q22</formula>
    </cfRule>
  </conditionalFormatting>
  <conditionalFormatting sqref="D23">
    <cfRule type="cellIs" dxfId="447" priority="69" operator="greaterThan">
      <formula>C23</formula>
    </cfRule>
  </conditionalFormatting>
  <conditionalFormatting sqref="F23">
    <cfRule type="cellIs" dxfId="446" priority="68" operator="greaterThan">
      <formula>E23</formula>
    </cfRule>
  </conditionalFormatting>
  <conditionalFormatting sqref="H23">
    <cfRule type="cellIs" dxfId="445" priority="67" operator="greaterThan">
      <formula>G23</formula>
    </cfRule>
  </conditionalFormatting>
  <conditionalFormatting sqref="J23">
    <cfRule type="cellIs" dxfId="444" priority="66" operator="greaterThan">
      <formula>I23</formula>
    </cfRule>
  </conditionalFormatting>
  <conditionalFormatting sqref="L23">
    <cfRule type="cellIs" dxfId="443" priority="65" operator="greaterThan">
      <formula>K23</formula>
    </cfRule>
  </conditionalFormatting>
  <conditionalFormatting sqref="N23">
    <cfRule type="cellIs" dxfId="442" priority="64" operator="greaterThan">
      <formula>M23</formula>
    </cfRule>
  </conditionalFormatting>
  <conditionalFormatting sqref="P23">
    <cfRule type="cellIs" dxfId="441" priority="63" operator="greaterThan">
      <formula>O23</formula>
    </cfRule>
  </conditionalFormatting>
  <conditionalFormatting sqref="R23">
    <cfRule type="cellIs" dxfId="440" priority="62" operator="greaterThan">
      <formula>Q23</formula>
    </cfRule>
  </conditionalFormatting>
  <conditionalFormatting sqref="D24">
    <cfRule type="cellIs" dxfId="439" priority="61" operator="greaterThan">
      <formula>C24</formula>
    </cfRule>
  </conditionalFormatting>
  <conditionalFormatting sqref="F24">
    <cfRule type="cellIs" dxfId="438" priority="60" operator="greaterThan">
      <formula>E24</formula>
    </cfRule>
  </conditionalFormatting>
  <conditionalFormatting sqref="H24">
    <cfRule type="cellIs" dxfId="437" priority="59" operator="greaterThan">
      <formula>G24</formula>
    </cfRule>
  </conditionalFormatting>
  <conditionalFormatting sqref="J24">
    <cfRule type="cellIs" dxfId="436" priority="58" operator="greaterThan">
      <formula>I24</formula>
    </cfRule>
  </conditionalFormatting>
  <conditionalFormatting sqref="L24">
    <cfRule type="cellIs" dxfId="435" priority="57" operator="greaterThan">
      <formula>K24</formula>
    </cfRule>
  </conditionalFormatting>
  <conditionalFormatting sqref="N24">
    <cfRule type="cellIs" dxfId="434" priority="56" operator="greaterThan">
      <formula>M24</formula>
    </cfRule>
  </conditionalFormatting>
  <conditionalFormatting sqref="P24">
    <cfRule type="cellIs" dxfId="433" priority="55" operator="greaterThan">
      <formula>O24</formula>
    </cfRule>
  </conditionalFormatting>
  <conditionalFormatting sqref="R24">
    <cfRule type="cellIs" dxfId="432" priority="54" operator="greaterThan">
      <formula>Q24</formula>
    </cfRule>
  </conditionalFormatting>
  <conditionalFormatting sqref="D25">
    <cfRule type="cellIs" dxfId="431" priority="53" operator="greaterThan">
      <formula>C25</formula>
    </cfRule>
  </conditionalFormatting>
  <conditionalFormatting sqref="F25">
    <cfRule type="cellIs" dxfId="430" priority="52" operator="greaterThan">
      <formula>E25</formula>
    </cfRule>
  </conditionalFormatting>
  <conditionalFormatting sqref="H25">
    <cfRule type="cellIs" dxfId="429" priority="51" operator="greaterThan">
      <formula>G25</formula>
    </cfRule>
  </conditionalFormatting>
  <conditionalFormatting sqref="J25">
    <cfRule type="cellIs" dxfId="428" priority="50" operator="greaterThan">
      <formula>I25</formula>
    </cfRule>
  </conditionalFormatting>
  <conditionalFormatting sqref="L25">
    <cfRule type="cellIs" dxfId="427" priority="49" operator="greaterThan">
      <formula>K25</formula>
    </cfRule>
  </conditionalFormatting>
  <conditionalFormatting sqref="N25">
    <cfRule type="cellIs" dxfId="426" priority="48" operator="greaterThan">
      <formula>M25</formula>
    </cfRule>
  </conditionalFormatting>
  <conditionalFormatting sqref="P25">
    <cfRule type="cellIs" dxfId="425" priority="47" operator="greaterThan">
      <formula>O25</formula>
    </cfRule>
  </conditionalFormatting>
  <conditionalFormatting sqref="R25">
    <cfRule type="cellIs" dxfId="424" priority="46" operator="greaterThan">
      <formula>Q25</formula>
    </cfRule>
  </conditionalFormatting>
  <conditionalFormatting sqref="D26">
    <cfRule type="cellIs" dxfId="423" priority="45" operator="greaterThan">
      <formula>C26</formula>
    </cfRule>
  </conditionalFormatting>
  <conditionalFormatting sqref="F26">
    <cfRule type="cellIs" dxfId="422" priority="44" operator="greaterThan">
      <formula>E26</formula>
    </cfRule>
  </conditionalFormatting>
  <conditionalFormatting sqref="H26">
    <cfRule type="cellIs" dxfId="421" priority="43" operator="greaterThan">
      <formula>G26</formula>
    </cfRule>
  </conditionalFormatting>
  <conditionalFormatting sqref="J26">
    <cfRule type="cellIs" dxfId="420" priority="42" operator="greaterThan">
      <formula>I26</formula>
    </cfRule>
  </conditionalFormatting>
  <conditionalFormatting sqref="L26">
    <cfRule type="cellIs" dxfId="419" priority="41" operator="greaterThan">
      <formula>K26</formula>
    </cfRule>
  </conditionalFormatting>
  <conditionalFormatting sqref="N26">
    <cfRule type="cellIs" dxfId="418" priority="40" operator="greaterThan">
      <formula>M26</formula>
    </cfRule>
  </conditionalFormatting>
  <conditionalFormatting sqref="P26">
    <cfRule type="cellIs" dxfId="417" priority="39" operator="greaterThan">
      <formula>O26</formula>
    </cfRule>
  </conditionalFormatting>
  <conditionalFormatting sqref="R26">
    <cfRule type="cellIs" dxfId="416" priority="38" operator="greaterThan">
      <formula>Q26</formula>
    </cfRule>
  </conditionalFormatting>
  <conditionalFormatting sqref="D27">
    <cfRule type="cellIs" dxfId="415" priority="37" operator="greaterThan">
      <formula>C27</formula>
    </cfRule>
  </conditionalFormatting>
  <conditionalFormatting sqref="F27">
    <cfRule type="cellIs" dxfId="414" priority="36" operator="greaterThan">
      <formula>E27</formula>
    </cfRule>
  </conditionalFormatting>
  <conditionalFormatting sqref="H27">
    <cfRule type="cellIs" dxfId="413" priority="35" operator="greaterThan">
      <formula>G27</formula>
    </cfRule>
  </conditionalFormatting>
  <conditionalFormatting sqref="J27">
    <cfRule type="cellIs" dxfId="412" priority="34" operator="greaterThan">
      <formula>I27</formula>
    </cfRule>
  </conditionalFormatting>
  <conditionalFormatting sqref="L27">
    <cfRule type="cellIs" dxfId="411" priority="33" operator="greaterThan">
      <formula>K27</formula>
    </cfRule>
  </conditionalFormatting>
  <conditionalFormatting sqref="N27">
    <cfRule type="cellIs" dxfId="410" priority="32" operator="greaterThan">
      <formula>M27</formula>
    </cfRule>
  </conditionalFormatting>
  <conditionalFormatting sqref="P27">
    <cfRule type="cellIs" dxfId="409" priority="31" operator="greaterThan">
      <formula>O27</formula>
    </cfRule>
  </conditionalFormatting>
  <conditionalFormatting sqref="R27">
    <cfRule type="cellIs" dxfId="408" priority="30" operator="greaterThan">
      <formula>Q27</formula>
    </cfRule>
  </conditionalFormatting>
  <conditionalFormatting sqref="D28">
    <cfRule type="cellIs" dxfId="407" priority="29" operator="greaterThan">
      <formula>C28</formula>
    </cfRule>
  </conditionalFormatting>
  <conditionalFormatting sqref="F28">
    <cfRule type="cellIs" dxfId="406" priority="28" operator="greaterThan">
      <formula>E28</formula>
    </cfRule>
  </conditionalFormatting>
  <conditionalFormatting sqref="H28">
    <cfRule type="cellIs" dxfId="405" priority="27" operator="greaterThan">
      <formula>G28</formula>
    </cfRule>
  </conditionalFormatting>
  <conditionalFormatting sqref="J28">
    <cfRule type="cellIs" dxfId="404" priority="26" operator="greaterThan">
      <formula>I28</formula>
    </cfRule>
  </conditionalFormatting>
  <conditionalFormatting sqref="L28">
    <cfRule type="cellIs" dxfId="403" priority="25" operator="greaterThan">
      <formula>K28</formula>
    </cfRule>
  </conditionalFormatting>
  <conditionalFormatting sqref="N28">
    <cfRule type="cellIs" dxfId="402" priority="24" operator="greaterThan">
      <formula>M28</formula>
    </cfRule>
  </conditionalFormatting>
  <conditionalFormatting sqref="P28">
    <cfRule type="cellIs" dxfId="401" priority="23" operator="greaterThan">
      <formula>O28</formula>
    </cfRule>
  </conditionalFormatting>
  <conditionalFormatting sqref="R28">
    <cfRule type="cellIs" dxfId="400" priority="22" operator="greaterThan">
      <formula>Q28</formula>
    </cfRule>
  </conditionalFormatting>
  <conditionalFormatting sqref="D29">
    <cfRule type="cellIs" dxfId="399" priority="21" operator="greaterThan">
      <formula>C29</formula>
    </cfRule>
  </conditionalFormatting>
  <conditionalFormatting sqref="F29">
    <cfRule type="cellIs" dxfId="398" priority="20" operator="greaterThan">
      <formula>E29</formula>
    </cfRule>
  </conditionalFormatting>
  <conditionalFormatting sqref="H29">
    <cfRule type="cellIs" dxfId="397" priority="19" operator="greaterThan">
      <formula>G29</formula>
    </cfRule>
  </conditionalFormatting>
  <conditionalFormatting sqref="J29">
    <cfRule type="cellIs" dxfId="396" priority="18" operator="greaterThan">
      <formula>I29</formula>
    </cfRule>
  </conditionalFormatting>
  <conditionalFormatting sqref="L29">
    <cfRule type="cellIs" dxfId="395" priority="17" operator="greaterThan">
      <formula>K29</formula>
    </cfRule>
  </conditionalFormatting>
  <conditionalFormatting sqref="N29">
    <cfRule type="cellIs" dxfId="394" priority="16" operator="greaterThan">
      <formula>M29</formula>
    </cfRule>
  </conditionalFormatting>
  <conditionalFormatting sqref="P29">
    <cfRule type="cellIs" dxfId="393" priority="15" operator="greaterThan">
      <formula>O29</formula>
    </cfRule>
  </conditionalFormatting>
  <conditionalFormatting sqref="R29">
    <cfRule type="cellIs" dxfId="392" priority="14" operator="greaterThan">
      <formula>Q29</formula>
    </cfRule>
  </conditionalFormatting>
  <conditionalFormatting sqref="C33:P33">
    <cfRule type="cellIs" dxfId="391" priority="13" operator="greaterThan">
      <formula>B33</formula>
    </cfRule>
  </conditionalFormatting>
  <conditionalFormatting sqref="N43 R43 P43 F43 L43 J43 H43 D43">
    <cfRule type="cellIs" dxfId="390" priority="8" operator="greaterThan">
      <formula>C43</formula>
    </cfRule>
  </conditionalFormatting>
  <conditionalFormatting sqref="N44 R44 P44 F44 L44 J44 H44 D44">
    <cfRule type="cellIs" dxfId="389" priority="7" operator="greaterThan">
      <formula>C44</formula>
    </cfRule>
  </conditionalFormatting>
  <conditionalFormatting sqref="N49 P49 F49 L49 J49 H49">
    <cfRule type="cellIs" dxfId="388" priority="4" operator="greaterThan">
      <formula>E49</formula>
    </cfRule>
  </conditionalFormatting>
  <conditionalFormatting sqref="D49:D54 F49:F54 H49:H54 J49:J54 L49:L54 N49:N54 P49:P54 R49:R54">
    <cfRule type="cellIs" dxfId="387" priority="1" operator="greaterThan">
      <formula>C49</formula>
    </cfRule>
  </conditionalFormatting>
  <dataValidations count="3">
    <dataValidation type="whole" operator="notEqual" allowBlank="1" showErrorMessage="1" error="Введите как целое число." sqref="Q37:R38 E37:P39 C48:R54 E35:R36 E40:R40 C35:D40 C6:R34 C41:R46">
      <formula1>-1E+28</formula1>
    </dataValidation>
    <dataValidation allowBlank="1" showErrorMessage="1" prompt="Введите самостоятельно рассчитанный коэффициент" sqref="C5:R5 T5:U5"/>
    <dataValidation type="date" operator="greaterThan" allowBlank="1" showInputMessage="1" showErrorMessage="1" prompt="Введите дату в формате ЧЧ.ММ.ГГГГ" sqref="X2">
      <formula1>DATE(96,1,1)</formula1>
    </dataValidation>
  </dataValidations>
  <printOptions horizontalCentered="1"/>
  <pageMargins left="0" right="0" top="0.21" bottom="0.21" header="0" footer="0"/>
  <pageSetup paperSize="9" scale="26" orientation="landscape" r:id="rId1"/>
  <headerFooter alignWithMargins="0"/>
  <ignoredErrors>
    <ignoredError sqref="A6:B6 A8:B13 A7 A14 A26:A34 A15:B15 A45:A54 A17:B17 A16 A20:B22 B47:B54 B32:B33 B45 B37 B25:B29 A19 B39:B41 A37:A41" numberStoredAsText="1"/>
    <ignoredError sqref="F40 E32:S32 S45:S46 D48:S48 S14:S17 S10 C34:R34 E11:S11 D13 H40 J40 L40 N40 P40 R40:S40 S19:S22 S24:S31 S33:S39 S41:S42 D12 G12:S12 G13:S13" unlockedFormula="1"/>
    <ignoredError sqref="X19 X35:Z36 W28:Z34 X6:Z13 X24:Z24 X26:Z27 Z19 X15:Z17 X14 Z14 X20:Z22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AD66"/>
  <sheetViews>
    <sheetView view="pageBreakPreview" zoomScale="55" zoomScaleNormal="55" zoomScaleSheetLayoutView="55" workbookViewId="0">
      <pane xSplit="2" ySplit="5" topLeftCell="C6" activePane="bottomRight" state="frozen"/>
      <selection activeCell="C11" sqref="C11"/>
      <selection pane="topRight" activeCell="C11" sqref="C11"/>
      <selection pane="bottomLeft" activeCell="C11" sqref="C11"/>
      <selection pane="bottomRight" activeCell="A11" sqref="A11"/>
    </sheetView>
  </sheetViews>
  <sheetFormatPr defaultRowHeight="15"/>
  <cols>
    <col min="1" max="1" width="8.140625" style="414" customWidth="1"/>
    <col min="2" max="2" width="105.42578125" style="400" customWidth="1"/>
    <col min="3" max="10" width="20.5703125" style="400" customWidth="1"/>
    <col min="11" max="11" width="21.5703125" style="400" customWidth="1"/>
    <col min="12" max="12" width="15.5703125" style="415" customWidth="1"/>
    <col min="13" max="13" width="19.42578125" style="416" customWidth="1"/>
    <col min="14" max="14" width="23.28515625" style="401" customWidth="1"/>
    <col min="15" max="15" width="23.7109375" style="421" customWidth="1"/>
    <col min="16" max="16" width="17.5703125" style="400" customWidth="1"/>
    <col min="17" max="17" width="15.140625" style="400" customWidth="1"/>
    <col min="18" max="18" width="23.85546875" style="400" customWidth="1"/>
    <col min="19" max="19" width="16" style="400" bestFit="1" customWidth="1"/>
    <col min="20" max="16384" width="9.140625" style="400"/>
  </cols>
  <sheetData>
    <row r="2" spans="1:19" s="115" customFormat="1" ht="26.25" customHeight="1">
      <c r="A2" s="270" t="s">
        <v>537</v>
      </c>
      <c r="B2" s="367"/>
      <c r="C2" s="367"/>
      <c r="D2" s="368"/>
      <c r="E2" s="368"/>
      <c r="F2" s="368"/>
      <c r="G2" s="114"/>
      <c r="H2" s="114"/>
      <c r="I2" s="114"/>
      <c r="K2" s="423"/>
      <c r="L2" s="539" t="s">
        <v>554</v>
      </c>
      <c r="M2" s="539"/>
      <c r="N2" s="539"/>
      <c r="O2" s="435"/>
    </row>
    <row r="3" spans="1:19" ht="15.75">
      <c r="A3" s="396"/>
      <c r="B3" s="460" t="str">
        <f>Balance!B3</f>
        <v>"MKBANK"</v>
      </c>
      <c r="C3" s="397"/>
      <c r="D3" s="398"/>
      <c r="E3" s="398"/>
      <c r="F3" s="398"/>
      <c r="G3" s="398"/>
      <c r="H3" s="398"/>
      <c r="I3" s="398"/>
      <c r="J3" s="399"/>
      <c r="K3" s="547">
        <f>+Balance!D3</f>
        <v>45657</v>
      </c>
      <c r="L3" s="547"/>
      <c r="M3" s="398"/>
      <c r="N3" s="401" t="str">
        <f>+Balance!E3</f>
        <v>минг сўмда</v>
      </c>
    </row>
    <row r="4" spans="1:19" s="18" customFormat="1" ht="37.5" customHeight="1">
      <c r="A4" s="545" t="s">
        <v>54</v>
      </c>
      <c r="B4" s="545" t="s">
        <v>333</v>
      </c>
      <c r="C4" s="542" t="s">
        <v>334</v>
      </c>
      <c r="D4" s="543"/>
      <c r="E4" s="543"/>
      <c r="F4" s="543"/>
      <c r="G4" s="543"/>
      <c r="H4" s="543"/>
      <c r="I4" s="543"/>
      <c r="J4" s="544"/>
      <c r="K4" s="545" t="s">
        <v>176</v>
      </c>
      <c r="L4" s="542" t="s">
        <v>336</v>
      </c>
      <c r="M4" s="543"/>
      <c r="N4" s="544"/>
      <c r="O4" s="436"/>
    </row>
    <row r="5" spans="1:19" s="18" customFormat="1" ht="42.75" customHeight="1">
      <c r="A5" s="546"/>
      <c r="B5" s="546"/>
      <c r="C5" s="462" t="s">
        <v>337</v>
      </c>
      <c r="D5" s="462" t="s">
        <v>338</v>
      </c>
      <c r="E5" s="462" t="s">
        <v>339</v>
      </c>
      <c r="F5" s="462" t="s">
        <v>340</v>
      </c>
      <c r="G5" s="462" t="s">
        <v>341</v>
      </c>
      <c r="H5" s="462" t="s">
        <v>342</v>
      </c>
      <c r="I5" s="462" t="s">
        <v>343</v>
      </c>
      <c r="J5" s="462" t="s">
        <v>344</v>
      </c>
      <c r="K5" s="546"/>
      <c r="L5" s="463" t="s">
        <v>22</v>
      </c>
      <c r="M5" s="463" t="s">
        <v>399</v>
      </c>
      <c r="N5" s="463" t="s">
        <v>349</v>
      </c>
      <c r="O5" s="436"/>
    </row>
    <row r="6" spans="1:19" s="153" customFormat="1" ht="27" customHeight="1">
      <c r="A6" s="394" t="s">
        <v>352</v>
      </c>
      <c r="B6" s="298" t="s">
        <v>285</v>
      </c>
      <c r="C6" s="447">
        <f>+'Bank Assets Analysis'!C6-'Bank Assets Analysis'!D6</f>
        <v>661579127</v>
      </c>
      <c r="D6" s="447">
        <f>+'Bank Assets Analysis'!E6-'Bank Assets Analysis'!F6</f>
        <v>0</v>
      </c>
      <c r="E6" s="447">
        <f>+'Bank Assets Analysis'!G6-'Bank Assets Analysis'!H6</f>
        <v>0</v>
      </c>
      <c r="F6" s="447">
        <f>+'Bank Assets Analysis'!I6-'Bank Assets Analysis'!J6</f>
        <v>0</v>
      </c>
      <c r="G6" s="447">
        <f>+'Bank Assets Analysis'!K6-'Bank Assets Analysis'!L6</f>
        <v>0</v>
      </c>
      <c r="H6" s="447">
        <f>+'Bank Assets Analysis'!M6-'Bank Assets Analysis'!N6</f>
        <v>0</v>
      </c>
      <c r="I6" s="447">
        <f>+'Bank Assets Analysis'!O6-'Bank Assets Analysis'!P6</f>
        <v>0</v>
      </c>
      <c r="J6" s="447">
        <f>+'Bank Assets Analysis'!Q6-'Bank Assets Analysis'!R6</f>
        <v>0</v>
      </c>
      <c r="K6" s="447">
        <f t="shared" ref="K6:K45" si="0">+C6+D6+E6+F6+G6+H6+I6+J6</f>
        <v>661579127</v>
      </c>
      <c r="L6" s="150">
        <v>1</v>
      </c>
      <c r="M6" s="506">
        <f>+K6</f>
        <v>661579127</v>
      </c>
      <c r="N6" s="507">
        <f>+M6*L6</f>
        <v>661579127</v>
      </c>
      <c r="O6" s="436"/>
      <c r="P6" s="18"/>
      <c r="Q6" s="152"/>
      <c r="R6" s="152"/>
      <c r="S6" s="152"/>
    </row>
    <row r="7" spans="1:19" s="153" customFormat="1" ht="27" customHeight="1">
      <c r="A7" s="394" t="s">
        <v>353</v>
      </c>
      <c r="B7" s="298" t="s">
        <v>518</v>
      </c>
      <c r="C7" s="447">
        <f>+'Bank Assets Analysis'!C7-'Bank Assets Analysis'!D7</f>
        <v>246195792</v>
      </c>
      <c r="D7" s="447">
        <f>+'Bank Assets Analysis'!E7-'Bank Assets Analysis'!F7</f>
        <v>250000000</v>
      </c>
      <c r="E7" s="447">
        <f>+'Bank Assets Analysis'!G7-'Bank Assets Analysis'!H7</f>
        <v>0</v>
      </c>
      <c r="F7" s="447">
        <f>+'Bank Assets Analysis'!I7-'Bank Assets Analysis'!J7</f>
        <v>0</v>
      </c>
      <c r="G7" s="447">
        <f>+'Bank Assets Analysis'!K7-'Bank Assets Analysis'!L7</f>
        <v>0</v>
      </c>
      <c r="H7" s="447">
        <f>+'Bank Assets Analysis'!M7-'Bank Assets Analysis'!N7</f>
        <v>0</v>
      </c>
      <c r="I7" s="447">
        <f>+'Bank Assets Analysis'!O7-'Bank Assets Analysis'!P7</f>
        <v>0</v>
      </c>
      <c r="J7" s="447">
        <f>+'Bank Assets Analysis'!Q7-'Bank Assets Analysis'!R7</f>
        <v>0</v>
      </c>
      <c r="K7" s="447">
        <f t="shared" si="0"/>
        <v>496195792</v>
      </c>
      <c r="L7" s="150">
        <v>1</v>
      </c>
      <c r="M7" s="506">
        <f>+K7</f>
        <v>496195792</v>
      </c>
      <c r="N7" s="507">
        <f t="shared" ref="N7:N15" si="1">+M7*L7</f>
        <v>496195792</v>
      </c>
      <c r="O7" s="436"/>
      <c r="P7" s="18"/>
      <c r="Q7" s="152"/>
      <c r="R7" s="152"/>
      <c r="S7" s="152"/>
    </row>
    <row r="8" spans="1:19" s="153" customFormat="1" ht="27" customHeight="1">
      <c r="A8" s="394" t="s">
        <v>73</v>
      </c>
      <c r="B8" s="298" t="s">
        <v>354</v>
      </c>
      <c r="C8" s="447">
        <f>+'Bank Assets Analysis'!C8-'Bank Assets Analysis'!D8</f>
        <v>0</v>
      </c>
      <c r="D8" s="447">
        <f>+'Bank Assets Analysis'!E8-'Bank Assets Analysis'!F8</f>
        <v>0</v>
      </c>
      <c r="E8" s="447">
        <f>+'Bank Assets Analysis'!G8-'Bank Assets Analysis'!H8</f>
        <v>0</v>
      </c>
      <c r="F8" s="447">
        <f>+'Bank Assets Analysis'!I8-'Bank Assets Analysis'!J8</f>
        <v>0</v>
      </c>
      <c r="G8" s="447">
        <f>+'Bank Assets Analysis'!K8-'Bank Assets Analysis'!L8</f>
        <v>0</v>
      </c>
      <c r="H8" s="447">
        <f>+'Bank Assets Analysis'!M8-'Bank Assets Analysis'!N8</f>
        <v>0</v>
      </c>
      <c r="I8" s="447">
        <f>+'Bank Assets Analysis'!O8-'Bank Assets Analysis'!P8</f>
        <v>0</v>
      </c>
      <c r="J8" s="447">
        <f>+'Bank Assets Analysis'!Q8-'Bank Assets Analysis'!R8</f>
        <v>0</v>
      </c>
      <c r="K8" s="447">
        <f t="shared" si="0"/>
        <v>0</v>
      </c>
      <c r="L8" s="150">
        <v>0</v>
      </c>
      <c r="M8" s="506"/>
      <c r="N8" s="447">
        <f t="shared" si="1"/>
        <v>0</v>
      </c>
      <c r="O8" s="436"/>
      <c r="P8" s="18"/>
      <c r="Q8" s="152"/>
      <c r="R8" s="152"/>
      <c r="S8" s="152"/>
    </row>
    <row r="9" spans="1:19" s="153" customFormat="1" ht="27" customHeight="1">
      <c r="A9" s="394" t="s">
        <v>355</v>
      </c>
      <c r="B9" s="298" t="s">
        <v>476</v>
      </c>
      <c r="C9" s="447">
        <f>SUM(C10:C16)-C13</f>
        <v>16243066</v>
      </c>
      <c r="D9" s="447">
        <f t="shared" ref="D9:J9" si="2">SUM(D10:D16)-D13</f>
        <v>0</v>
      </c>
      <c r="E9" s="447">
        <f t="shared" si="2"/>
        <v>0</v>
      </c>
      <c r="F9" s="447">
        <f t="shared" si="2"/>
        <v>0</v>
      </c>
      <c r="G9" s="447">
        <f t="shared" si="2"/>
        <v>4880395</v>
      </c>
      <c r="H9" s="447">
        <f t="shared" si="2"/>
        <v>5505394</v>
      </c>
      <c r="I9" s="447">
        <f t="shared" si="2"/>
        <v>14342260</v>
      </c>
      <c r="J9" s="447">
        <f t="shared" si="2"/>
        <v>34633896</v>
      </c>
      <c r="K9" s="447">
        <f t="shared" si="0"/>
        <v>75605011</v>
      </c>
      <c r="L9" s="150"/>
      <c r="M9" s="506"/>
      <c r="N9" s="447">
        <f t="shared" si="1"/>
        <v>0</v>
      </c>
      <c r="O9" s="436"/>
      <c r="P9" s="18"/>
      <c r="Q9" s="152"/>
      <c r="R9" s="152"/>
      <c r="S9" s="152"/>
    </row>
    <row r="10" spans="1:19" s="153" customFormat="1" ht="27" customHeight="1">
      <c r="A10" s="394" t="s">
        <v>74</v>
      </c>
      <c r="B10" s="298" t="s">
        <v>356</v>
      </c>
      <c r="C10" s="447">
        <f>+'Bank Assets Analysis'!C10-'Bank Assets Analysis'!D10</f>
        <v>0</v>
      </c>
      <c r="D10" s="447">
        <f>+'Bank Assets Analysis'!E10-'Bank Assets Analysis'!F10</f>
        <v>0</v>
      </c>
      <c r="E10" s="447">
        <f>+'Bank Assets Analysis'!G10-'Bank Assets Analysis'!H10</f>
        <v>0</v>
      </c>
      <c r="F10" s="447">
        <f>+'Bank Assets Analysis'!I10-'Bank Assets Analysis'!J10</f>
        <v>0</v>
      </c>
      <c r="G10" s="447">
        <f>+'Bank Assets Analysis'!K10-'Bank Assets Analysis'!L10</f>
        <v>0</v>
      </c>
      <c r="H10" s="447">
        <f>+'Bank Assets Analysis'!M10-'Bank Assets Analysis'!N10</f>
        <v>0</v>
      </c>
      <c r="I10" s="447">
        <f>+'Bank Assets Analysis'!O10-'Bank Assets Analysis'!P10</f>
        <v>0</v>
      </c>
      <c r="J10" s="447">
        <f>+'Bank Assets Analysis'!Q10-'Bank Assets Analysis'!R10</f>
        <v>0</v>
      </c>
      <c r="K10" s="447">
        <f t="shared" si="0"/>
        <v>0</v>
      </c>
      <c r="L10" s="150">
        <v>1</v>
      </c>
      <c r="M10" s="506">
        <f>+C10</f>
        <v>0</v>
      </c>
      <c r="N10" s="507">
        <f t="shared" si="1"/>
        <v>0</v>
      </c>
      <c r="O10" s="436"/>
      <c r="P10" s="18"/>
      <c r="Q10" s="152"/>
      <c r="R10" s="152"/>
      <c r="S10" s="152"/>
    </row>
    <row r="11" spans="1:19" s="153" customFormat="1" ht="27" customHeight="1">
      <c r="A11" s="394" t="s">
        <v>75</v>
      </c>
      <c r="B11" s="298" t="s">
        <v>357</v>
      </c>
      <c r="C11" s="447">
        <f>+'Bank Assets Analysis'!C11-'Bank Assets Analysis'!D11</f>
        <v>5</v>
      </c>
      <c r="D11" s="447">
        <f>+'Bank Assets Analysis'!E11-'Bank Assets Analysis'!F11</f>
        <v>0</v>
      </c>
      <c r="E11" s="447">
        <f>+'Bank Assets Analysis'!G11-'Bank Assets Analysis'!H11</f>
        <v>0</v>
      </c>
      <c r="F11" s="447">
        <f>+'Bank Assets Analysis'!I11-'Bank Assets Analysis'!J11</f>
        <v>0</v>
      </c>
      <c r="G11" s="447">
        <f>+'Bank Assets Analysis'!K11-'Bank Assets Analysis'!L11</f>
        <v>0</v>
      </c>
      <c r="H11" s="447">
        <f>+'Bank Assets Analysis'!M11-'Bank Assets Analysis'!N11</f>
        <v>0</v>
      </c>
      <c r="I11" s="447">
        <f>+'Bank Assets Analysis'!O11-'Bank Assets Analysis'!P11</f>
        <v>0</v>
      </c>
      <c r="J11" s="447">
        <f>+'Bank Assets Analysis'!Q11-'Bank Assets Analysis'!R11</f>
        <v>0</v>
      </c>
      <c r="K11" s="447">
        <f t="shared" ref="K11:K13" si="3">+C11+D11+E11+F11+G11+H11+I11+J11</f>
        <v>5</v>
      </c>
      <c r="L11" s="150">
        <v>1</v>
      </c>
      <c r="M11" s="506">
        <f>+C11</f>
        <v>5</v>
      </c>
      <c r="N11" s="507">
        <f t="shared" si="1"/>
        <v>5</v>
      </c>
      <c r="O11" s="436"/>
      <c r="P11" s="18"/>
      <c r="Q11" s="152"/>
      <c r="R11" s="152"/>
      <c r="S11" s="152"/>
    </row>
    <row r="12" spans="1:19" s="153" customFormat="1" ht="27" customHeight="1">
      <c r="A12" s="394" t="s">
        <v>15</v>
      </c>
      <c r="B12" s="298" t="s">
        <v>358</v>
      </c>
      <c r="C12" s="447">
        <f>+'Bank Assets Analysis'!C12-'Bank Assets Analysis'!D12</f>
        <v>0</v>
      </c>
      <c r="D12" s="447">
        <f>+'Bank Assets Analysis'!E12-'Bank Assets Analysis'!F12</f>
        <v>0</v>
      </c>
      <c r="E12" s="447">
        <f>+'Bank Assets Analysis'!G12-'Bank Assets Analysis'!H12</f>
        <v>0</v>
      </c>
      <c r="F12" s="447">
        <f>+'Bank Assets Analysis'!I12-'Bank Assets Analysis'!J12</f>
        <v>0</v>
      </c>
      <c r="G12" s="447">
        <f>+'Bank Assets Analysis'!K12-'Bank Assets Analysis'!L12</f>
        <v>0</v>
      </c>
      <c r="H12" s="447">
        <f>+'Bank Assets Analysis'!M12-'Bank Assets Analysis'!N12</f>
        <v>0</v>
      </c>
      <c r="I12" s="447">
        <f>+'Bank Assets Analysis'!O12-'Bank Assets Analysis'!P12</f>
        <v>0</v>
      </c>
      <c r="J12" s="447">
        <f>+'Bank Assets Analysis'!Q12-'Bank Assets Analysis'!R12</f>
        <v>0</v>
      </c>
      <c r="K12" s="447">
        <f t="shared" si="3"/>
        <v>0</v>
      </c>
      <c r="L12" s="150">
        <v>1</v>
      </c>
      <c r="M12" s="508">
        <f>+D12-D13</f>
        <v>0</v>
      </c>
      <c r="N12" s="447">
        <f t="shared" si="1"/>
        <v>0</v>
      </c>
      <c r="O12" s="436"/>
      <c r="P12" s="18"/>
      <c r="Q12" s="152"/>
      <c r="R12" s="152"/>
      <c r="S12" s="152"/>
    </row>
    <row r="13" spans="1:19" s="153" customFormat="1" ht="33.75" customHeight="1">
      <c r="A13" s="394" t="s">
        <v>165</v>
      </c>
      <c r="B13" s="298" t="s">
        <v>359</v>
      </c>
      <c r="C13" s="447">
        <f>+'Bank Assets Analysis'!C13-'Bank Assets Analysis'!D13</f>
        <v>0</v>
      </c>
      <c r="D13" s="447">
        <f>+'Bank Assets Analysis'!E13-'Bank Assets Analysis'!F13</f>
        <v>0</v>
      </c>
      <c r="E13" s="447">
        <f>+'Bank Assets Analysis'!G13-'Bank Assets Analysis'!H13</f>
        <v>0</v>
      </c>
      <c r="F13" s="447">
        <f>+'Bank Assets Analysis'!I13-'Bank Assets Analysis'!J13</f>
        <v>0</v>
      </c>
      <c r="G13" s="447">
        <f>+'Bank Assets Analysis'!K13-'Bank Assets Analysis'!L13</f>
        <v>0</v>
      </c>
      <c r="H13" s="447">
        <f>+'Bank Assets Analysis'!M13-'Bank Assets Analysis'!N13</f>
        <v>0</v>
      </c>
      <c r="I13" s="447">
        <f>+'Bank Assets Analysis'!O13-'Bank Assets Analysis'!P13</f>
        <v>0</v>
      </c>
      <c r="J13" s="447">
        <f>+'Bank Assets Analysis'!Q13-'Bank Assets Analysis'!R13</f>
        <v>0</v>
      </c>
      <c r="K13" s="447">
        <f t="shared" si="3"/>
        <v>0</v>
      </c>
      <c r="L13" s="150">
        <v>1</v>
      </c>
      <c r="M13" s="506">
        <f>+D13</f>
        <v>0</v>
      </c>
      <c r="N13" s="447">
        <f t="shared" si="1"/>
        <v>0</v>
      </c>
      <c r="O13" s="436"/>
      <c r="P13" s="18"/>
      <c r="Q13" s="152"/>
      <c r="R13" s="152"/>
      <c r="S13" s="152"/>
    </row>
    <row r="14" spans="1:19" s="153" customFormat="1" ht="33.75" customHeight="1">
      <c r="A14" s="394" t="s">
        <v>149</v>
      </c>
      <c r="B14" s="298" t="s">
        <v>523</v>
      </c>
      <c r="C14" s="447">
        <f>+'Bank Assets Analysis'!C14-'Bank Assets Analysis'!D14</f>
        <v>614453</v>
      </c>
      <c r="D14" s="447">
        <f>+'Bank Assets Analysis'!E14-'Bank Assets Analysis'!F14</f>
        <v>0</v>
      </c>
      <c r="E14" s="447">
        <f>+'Bank Assets Analysis'!G14-'Bank Assets Analysis'!H14</f>
        <v>0</v>
      </c>
      <c r="F14" s="447">
        <f>+'Bank Assets Analysis'!I14-'Bank Assets Analysis'!J14</f>
        <v>0</v>
      </c>
      <c r="G14" s="447">
        <f>+'Bank Assets Analysis'!K14-'Bank Assets Analysis'!L14</f>
        <v>4880395</v>
      </c>
      <c r="H14" s="447">
        <f>+'Bank Assets Analysis'!M14-'Bank Assets Analysis'!N14</f>
        <v>5505394</v>
      </c>
      <c r="I14" s="447">
        <f>+'Bank Assets Analysis'!O14-'Bank Assets Analysis'!P14</f>
        <v>14342260</v>
      </c>
      <c r="J14" s="447">
        <f>+'Bank Assets Analysis'!Q14-'Bank Assets Analysis'!R14</f>
        <v>34633896</v>
      </c>
      <c r="K14" s="447">
        <f t="shared" si="0"/>
        <v>59976398</v>
      </c>
      <c r="L14" s="150">
        <v>1</v>
      </c>
      <c r="M14" s="506">
        <f>+C14+D14+E14+D10+D11</f>
        <v>614453</v>
      </c>
      <c r="N14" s="447">
        <f t="shared" si="1"/>
        <v>614453</v>
      </c>
      <c r="O14" s="436"/>
      <c r="P14" s="18"/>
      <c r="Q14" s="152"/>
      <c r="R14" s="152"/>
      <c r="S14" s="152"/>
    </row>
    <row r="15" spans="1:19" s="153" customFormat="1" ht="33.75" customHeight="1">
      <c r="A15" s="394" t="s">
        <v>162</v>
      </c>
      <c r="B15" s="298" t="s">
        <v>360</v>
      </c>
      <c r="C15" s="447">
        <f>+'Bank Assets Analysis'!C15-'Bank Assets Analysis'!D15</f>
        <v>15628608</v>
      </c>
      <c r="D15" s="447">
        <f>+'Bank Assets Analysis'!E15-'Bank Assets Analysis'!F15</f>
        <v>0</v>
      </c>
      <c r="E15" s="447">
        <f>+'Bank Assets Analysis'!G15-'Bank Assets Analysis'!H15</f>
        <v>0</v>
      </c>
      <c r="F15" s="447">
        <f>+'Bank Assets Analysis'!I15-'Bank Assets Analysis'!J15</f>
        <v>0</v>
      </c>
      <c r="G15" s="447">
        <f>+'Bank Assets Analysis'!K15-'Bank Assets Analysis'!L15</f>
        <v>0</v>
      </c>
      <c r="H15" s="447">
        <f>+'Bank Assets Analysis'!M15-'Bank Assets Analysis'!N15</f>
        <v>0</v>
      </c>
      <c r="I15" s="447">
        <f>+'Bank Assets Analysis'!O15-'Bank Assets Analysis'!P15</f>
        <v>0</v>
      </c>
      <c r="J15" s="447">
        <f>+'Bank Assets Analysis'!Q15-'Bank Assets Analysis'!R15</f>
        <v>0</v>
      </c>
      <c r="K15" s="447">
        <f t="shared" si="0"/>
        <v>15628608</v>
      </c>
      <c r="L15" s="150">
        <v>1</v>
      </c>
      <c r="M15" s="506">
        <f>+C15+D15+E15</f>
        <v>15628608</v>
      </c>
      <c r="N15" s="447">
        <f t="shared" si="1"/>
        <v>15628608</v>
      </c>
      <c r="O15" s="436"/>
      <c r="P15" s="18"/>
      <c r="Q15" s="152"/>
      <c r="R15" s="152"/>
      <c r="S15" s="152"/>
    </row>
    <row r="16" spans="1:19" s="153" customFormat="1" ht="27" customHeight="1">
      <c r="A16" s="394" t="s">
        <v>163</v>
      </c>
      <c r="B16" s="298" t="s">
        <v>361</v>
      </c>
      <c r="C16" s="447">
        <f>+'Bank Assets Analysis'!C16-'Bank Assets Analysis'!D16</f>
        <v>0</v>
      </c>
      <c r="D16" s="447">
        <f>+'Bank Assets Analysis'!E16-'Bank Assets Analysis'!F16</f>
        <v>0</v>
      </c>
      <c r="E16" s="447">
        <f>+'Bank Assets Analysis'!G16-'Bank Assets Analysis'!H16</f>
        <v>0</v>
      </c>
      <c r="F16" s="447">
        <f>+'Bank Assets Analysis'!I16-'Bank Assets Analysis'!J16</f>
        <v>0</v>
      </c>
      <c r="G16" s="447">
        <f>+'Bank Assets Analysis'!K16-'Bank Assets Analysis'!L16</f>
        <v>0</v>
      </c>
      <c r="H16" s="447">
        <f>+'Bank Assets Analysis'!M16-'Bank Assets Analysis'!N16</f>
        <v>0</v>
      </c>
      <c r="I16" s="447">
        <f>+'Bank Assets Analysis'!O16-'Bank Assets Analysis'!P16</f>
        <v>0</v>
      </c>
      <c r="J16" s="447">
        <f>+'Bank Assets Analysis'!Q16-'Bank Assets Analysis'!R16</f>
        <v>0</v>
      </c>
      <c r="K16" s="447">
        <f t="shared" si="0"/>
        <v>0</v>
      </c>
      <c r="L16" s="150">
        <v>1</v>
      </c>
      <c r="M16" s="506">
        <f>+C16+D16+E16</f>
        <v>0</v>
      </c>
      <c r="N16" s="447">
        <f>+M16*L16</f>
        <v>0</v>
      </c>
      <c r="O16" s="436"/>
      <c r="P16" s="18"/>
      <c r="Q16" s="152"/>
      <c r="R16" s="152"/>
      <c r="S16" s="152"/>
    </row>
    <row r="17" spans="1:19" s="153" customFormat="1" ht="27" customHeight="1">
      <c r="A17" s="394" t="s">
        <v>362</v>
      </c>
      <c r="B17" s="298" t="s">
        <v>183</v>
      </c>
      <c r="C17" s="447">
        <f>+'Bank Assets Analysis'!C17-'Bank Assets Analysis'!D17</f>
        <v>175</v>
      </c>
      <c r="D17" s="447">
        <f>+'Bank Assets Analysis'!E17-'Bank Assets Analysis'!F17</f>
        <v>0</v>
      </c>
      <c r="E17" s="447">
        <f>+'Bank Assets Analysis'!G17-'Bank Assets Analysis'!H17</f>
        <v>103422526</v>
      </c>
      <c r="F17" s="447">
        <f>+'Bank Assets Analysis'!I17-'Bank Assets Analysis'!J17</f>
        <v>52056510</v>
      </c>
      <c r="G17" s="447">
        <f>+'Bank Assets Analysis'!K17-'Bank Assets Analysis'!L17</f>
        <v>0</v>
      </c>
      <c r="H17" s="447">
        <f>+'Bank Assets Analysis'!M17-'Bank Assets Analysis'!N17</f>
        <v>45879410</v>
      </c>
      <c r="I17" s="447">
        <f>+'Bank Assets Analysis'!O17-'Bank Assets Analysis'!P17</f>
        <v>10000000</v>
      </c>
      <c r="J17" s="447">
        <f>+'Bank Assets Analysis'!Q17-'Bank Assets Analysis'!R17</f>
        <v>0</v>
      </c>
      <c r="K17" s="447">
        <f t="shared" si="0"/>
        <v>211358621</v>
      </c>
      <c r="L17" s="150"/>
      <c r="M17" s="506"/>
      <c r="N17" s="447">
        <f t="shared" ref="N17:N45" si="4">+M17*L17</f>
        <v>0</v>
      </c>
      <c r="O17" s="436"/>
      <c r="P17" s="18"/>
      <c r="Q17" s="152"/>
      <c r="R17" s="152"/>
      <c r="S17" s="152"/>
    </row>
    <row r="18" spans="1:19" s="153" customFormat="1" ht="27" customHeight="1">
      <c r="A18" s="394" t="s">
        <v>549</v>
      </c>
      <c r="B18" s="298" t="s">
        <v>548</v>
      </c>
      <c r="C18" s="447">
        <f>+'Bank Assets Analysis'!C18-'Bank Assets Analysis'!D18</f>
        <v>0</v>
      </c>
      <c r="D18" s="447">
        <f>+'Bank Assets Analysis'!E18-'Bank Assets Analysis'!F18</f>
        <v>0</v>
      </c>
      <c r="E18" s="447">
        <f>+'Bank Assets Analysis'!G18-'Bank Assets Analysis'!H18</f>
        <v>0</v>
      </c>
      <c r="F18" s="447">
        <f>+'Bank Assets Analysis'!I18-'Bank Assets Analysis'!J18</f>
        <v>0</v>
      </c>
      <c r="G18" s="447">
        <f>+'Bank Assets Analysis'!K18-'Bank Assets Analysis'!L18</f>
        <v>0</v>
      </c>
      <c r="H18" s="447">
        <f>+'Bank Assets Analysis'!M18-'Bank Assets Analysis'!N18</f>
        <v>0</v>
      </c>
      <c r="I18" s="447">
        <f>+'Bank Assets Analysis'!O18-'Bank Assets Analysis'!P18</f>
        <v>0</v>
      </c>
      <c r="J18" s="447">
        <f>+'Bank Assets Analysis'!Q18-'Bank Assets Analysis'!R18</f>
        <v>0</v>
      </c>
      <c r="K18" s="447">
        <f>+C18+D18+E18+F18+G18+H18+I18+J18</f>
        <v>0</v>
      </c>
      <c r="L18" s="150">
        <v>1</v>
      </c>
      <c r="M18" s="506">
        <f>SUM(C18:E18)</f>
        <v>0</v>
      </c>
      <c r="N18" s="447">
        <f>+M18*L18</f>
        <v>0</v>
      </c>
      <c r="O18" s="436"/>
      <c r="P18" s="18"/>
      <c r="Q18" s="152"/>
      <c r="R18" s="152"/>
      <c r="S18" s="152"/>
    </row>
    <row r="19" spans="1:19" s="153" customFormat="1" ht="30">
      <c r="A19" s="394" t="s">
        <v>76</v>
      </c>
      <c r="B19" s="298" t="s">
        <v>363</v>
      </c>
      <c r="C19" s="447">
        <f>+'Bank Assets Analysis'!C19-'Bank Assets Analysis'!D19</f>
        <v>0</v>
      </c>
      <c r="D19" s="447">
        <f>+'Bank Assets Analysis'!E19-'Bank Assets Analysis'!F19</f>
        <v>0</v>
      </c>
      <c r="E19" s="447">
        <f>+'Bank Assets Analysis'!G19-'Bank Assets Analysis'!H19</f>
        <v>103422526</v>
      </c>
      <c r="F19" s="447">
        <f>+'Bank Assets Analysis'!I19-'Bank Assets Analysis'!J19</f>
        <v>52056510</v>
      </c>
      <c r="G19" s="447">
        <f>+'Bank Assets Analysis'!K19-'Bank Assets Analysis'!L19</f>
        <v>0</v>
      </c>
      <c r="H19" s="447">
        <f>+'Bank Assets Analysis'!M19-'Bank Assets Analysis'!N19</f>
        <v>45879410</v>
      </c>
      <c r="I19" s="447">
        <f>+'Bank Assets Analysis'!O19-'Bank Assets Analysis'!P19</f>
        <v>0</v>
      </c>
      <c r="J19" s="447">
        <f>+'Bank Assets Analysis'!Q19-'Bank Assets Analysis'!R19</f>
        <v>0</v>
      </c>
      <c r="K19" s="447">
        <f t="shared" si="0"/>
        <v>201358446</v>
      </c>
      <c r="L19" s="150">
        <v>1</v>
      </c>
      <c r="M19" s="508">
        <f>+K19</f>
        <v>201358446</v>
      </c>
      <c r="N19" s="507">
        <f t="shared" si="4"/>
        <v>201358446</v>
      </c>
      <c r="O19" s="436"/>
      <c r="P19" s="18"/>
      <c r="Q19" s="152"/>
      <c r="R19" s="152"/>
      <c r="S19" s="152"/>
    </row>
    <row r="20" spans="1:19" s="153" customFormat="1" ht="27" customHeight="1">
      <c r="A20" s="394" t="s">
        <v>20</v>
      </c>
      <c r="B20" s="298" t="s">
        <v>364</v>
      </c>
      <c r="C20" s="447">
        <f>+'Bank Assets Analysis'!C20-'Bank Assets Analysis'!D20</f>
        <v>0</v>
      </c>
      <c r="D20" s="447">
        <f>+'Bank Assets Analysis'!E20-'Bank Assets Analysis'!F20</f>
        <v>0</v>
      </c>
      <c r="E20" s="447">
        <f>+'Bank Assets Analysis'!G20-'Bank Assets Analysis'!H20</f>
        <v>0</v>
      </c>
      <c r="F20" s="447">
        <f>+'Bank Assets Analysis'!I20-'Bank Assets Analysis'!J20</f>
        <v>0</v>
      </c>
      <c r="G20" s="447">
        <f>+'Bank Assets Analysis'!K20-'Bank Assets Analysis'!L20</f>
        <v>0</v>
      </c>
      <c r="H20" s="447">
        <f>+'Bank Assets Analysis'!M20-'Bank Assets Analysis'!N20</f>
        <v>0</v>
      </c>
      <c r="I20" s="447">
        <f>+'Bank Assets Analysis'!O20-'Bank Assets Analysis'!P20</f>
        <v>0</v>
      </c>
      <c r="J20" s="447">
        <f>+'Bank Assets Analysis'!Q20-'Bank Assets Analysis'!R20</f>
        <v>0</v>
      </c>
      <c r="K20" s="447">
        <f t="shared" si="0"/>
        <v>0</v>
      </c>
      <c r="L20" s="150">
        <v>1</v>
      </c>
      <c r="M20" s="506">
        <f>+K20</f>
        <v>0</v>
      </c>
      <c r="N20" s="507">
        <f t="shared" si="4"/>
        <v>0</v>
      </c>
      <c r="O20" s="436"/>
      <c r="P20" s="18"/>
      <c r="Q20" s="152"/>
      <c r="R20" s="152"/>
      <c r="S20" s="152"/>
    </row>
    <row r="21" spans="1:19" s="153" customFormat="1" ht="45">
      <c r="A21" s="394" t="s">
        <v>21</v>
      </c>
      <c r="B21" s="298" t="s">
        <v>365</v>
      </c>
      <c r="C21" s="447">
        <f>+'Bank Assets Analysis'!C21-'Bank Assets Analysis'!D21</f>
        <v>0</v>
      </c>
      <c r="D21" s="447">
        <f>+'Bank Assets Analysis'!E21-'Bank Assets Analysis'!F21</f>
        <v>0</v>
      </c>
      <c r="E21" s="447">
        <f>+'Bank Assets Analysis'!G21-'Bank Assets Analysis'!H21</f>
        <v>0</v>
      </c>
      <c r="F21" s="447">
        <f>+'Bank Assets Analysis'!I21-'Bank Assets Analysis'!J21</f>
        <v>0</v>
      </c>
      <c r="G21" s="447">
        <f>+'Bank Assets Analysis'!K21-'Bank Assets Analysis'!L21</f>
        <v>0</v>
      </c>
      <c r="H21" s="447">
        <f>+'Bank Assets Analysis'!M21-'Bank Assets Analysis'!N21</f>
        <v>0</v>
      </c>
      <c r="I21" s="447">
        <f>+'Bank Assets Analysis'!O21-'Bank Assets Analysis'!P21</f>
        <v>0</v>
      </c>
      <c r="J21" s="447">
        <f>+'Bank Assets Analysis'!Q21-'Bank Assets Analysis'!R21</f>
        <v>0</v>
      </c>
      <c r="K21" s="447">
        <f t="shared" ref="K21" si="5">+C21+D21+E21+F21+G21+H21+I21+J21</f>
        <v>0</v>
      </c>
      <c r="L21" s="150">
        <v>1</v>
      </c>
      <c r="M21" s="506">
        <f>+K21</f>
        <v>0</v>
      </c>
      <c r="N21" s="507">
        <f t="shared" si="4"/>
        <v>0</v>
      </c>
      <c r="O21" s="436"/>
      <c r="P21" s="18"/>
      <c r="Q21" s="152"/>
      <c r="R21" s="152"/>
      <c r="S21" s="152"/>
    </row>
    <row r="22" spans="1:19" s="153" customFormat="1" ht="33.75" customHeight="1">
      <c r="A22" s="394" t="s">
        <v>28</v>
      </c>
      <c r="B22" s="298" t="s">
        <v>366</v>
      </c>
      <c r="C22" s="447">
        <f>+'Bank Assets Analysis'!C22-'Bank Assets Analysis'!D22</f>
        <v>0</v>
      </c>
      <c r="D22" s="447">
        <f>+'Bank Assets Analysis'!E22-'Bank Assets Analysis'!F22</f>
        <v>0</v>
      </c>
      <c r="E22" s="447">
        <f>+'Bank Assets Analysis'!G22-'Bank Assets Analysis'!H22</f>
        <v>0</v>
      </c>
      <c r="F22" s="447">
        <f>+'Bank Assets Analysis'!I22-'Bank Assets Analysis'!J22</f>
        <v>0</v>
      </c>
      <c r="G22" s="447">
        <f>+'Bank Assets Analysis'!K22-'Bank Assets Analysis'!L22</f>
        <v>0</v>
      </c>
      <c r="H22" s="447">
        <f>+'Bank Assets Analysis'!M22-'Bank Assets Analysis'!N22</f>
        <v>0</v>
      </c>
      <c r="I22" s="447">
        <f>+'Bank Assets Analysis'!O22-'Bank Assets Analysis'!P22</f>
        <v>0</v>
      </c>
      <c r="J22" s="447">
        <f>+'Bank Assets Analysis'!Q22-'Bank Assets Analysis'!R22</f>
        <v>0</v>
      </c>
      <c r="K22" s="447">
        <f t="shared" si="0"/>
        <v>0</v>
      </c>
      <c r="L22" s="150">
        <v>1</v>
      </c>
      <c r="M22" s="506">
        <f>+D22+E22</f>
        <v>0</v>
      </c>
      <c r="N22" s="507">
        <f t="shared" si="4"/>
        <v>0</v>
      </c>
      <c r="O22" s="436"/>
      <c r="P22" s="18"/>
      <c r="Q22" s="152"/>
      <c r="R22" s="152"/>
      <c r="S22" s="152"/>
    </row>
    <row r="23" spans="1:19" s="153" customFormat="1" ht="35.25" customHeight="1">
      <c r="A23" s="394" t="s">
        <v>164</v>
      </c>
      <c r="B23" s="469" t="s">
        <v>557</v>
      </c>
      <c r="C23" s="505">
        <f>+'Bank Assets Analysis'!C23-'Bank Assets Analysis'!D23</f>
        <v>0</v>
      </c>
      <c r="D23" s="505">
        <f>+'Bank Assets Analysis'!E23-'Bank Assets Analysis'!F23</f>
        <v>0</v>
      </c>
      <c r="E23" s="505">
        <f>+'Bank Assets Analysis'!G23-'Bank Assets Analysis'!H23</f>
        <v>0</v>
      </c>
      <c r="F23" s="505">
        <f>+'Bank Assets Analysis'!I23-'Bank Assets Analysis'!J23</f>
        <v>0</v>
      </c>
      <c r="G23" s="505">
        <f>+'Bank Assets Analysis'!K23-'Bank Assets Analysis'!L23</f>
        <v>0</v>
      </c>
      <c r="H23" s="505">
        <f>+'Bank Assets Analysis'!M23-'Bank Assets Analysis'!N23</f>
        <v>0</v>
      </c>
      <c r="I23" s="505">
        <f>+'Bank Assets Analysis'!O23-'Bank Assets Analysis'!P23</f>
        <v>10000000</v>
      </c>
      <c r="J23" s="505">
        <f>+'Bank Assets Analysis'!Q23-'Bank Assets Analysis'!R23</f>
        <v>0</v>
      </c>
      <c r="K23" s="505">
        <f>+C23+D23+E23+F23+G23+H23+I23+J23</f>
        <v>10000000</v>
      </c>
      <c r="L23" s="470">
        <v>0.8</v>
      </c>
      <c r="M23" s="508">
        <f>+C23+D23+E23</f>
        <v>0</v>
      </c>
      <c r="N23" s="447">
        <f t="shared" ref="N23" si="6">+M23*L23</f>
        <v>0</v>
      </c>
      <c r="O23" s="436"/>
      <c r="P23" s="18"/>
      <c r="Q23" s="152"/>
      <c r="R23" s="152"/>
      <c r="S23" s="152"/>
    </row>
    <row r="24" spans="1:19" s="153" customFormat="1" ht="39" customHeight="1">
      <c r="A24" s="394" t="s">
        <v>367</v>
      </c>
      <c r="B24" s="469" t="s">
        <v>558</v>
      </c>
      <c r="C24" s="505">
        <f>+'Bank Assets Analysis'!C24-'Bank Assets Analysis'!D24</f>
        <v>0</v>
      </c>
      <c r="D24" s="505">
        <f>+'Bank Assets Analysis'!E24-'Bank Assets Analysis'!F24</f>
        <v>0</v>
      </c>
      <c r="E24" s="505">
        <f>+'Bank Assets Analysis'!G24-'Bank Assets Analysis'!H24</f>
        <v>0</v>
      </c>
      <c r="F24" s="505">
        <f>+'Bank Assets Analysis'!I24-'Bank Assets Analysis'!J24</f>
        <v>0</v>
      </c>
      <c r="G24" s="505">
        <f>+'Bank Assets Analysis'!K24-'Bank Assets Analysis'!L24</f>
        <v>0</v>
      </c>
      <c r="H24" s="505">
        <f>+'Bank Assets Analysis'!M24-'Bank Assets Analysis'!N24</f>
        <v>0</v>
      </c>
      <c r="I24" s="505">
        <f>+'Bank Assets Analysis'!O24-'Bank Assets Analysis'!P24</f>
        <v>0</v>
      </c>
      <c r="J24" s="505">
        <f>+'Bank Assets Analysis'!Q24-'Bank Assets Analysis'!R24</f>
        <v>0</v>
      </c>
      <c r="K24" s="505">
        <f t="shared" ref="K24" si="7">+C24+D24+E24+F24+G24+H24+I24+J24</f>
        <v>0</v>
      </c>
      <c r="L24" s="470">
        <v>1</v>
      </c>
      <c r="M24" s="506">
        <f>+D24+E24</f>
        <v>0</v>
      </c>
      <c r="N24" s="507">
        <f t="shared" ref="N24:N25" si="8">+M24*L24</f>
        <v>0</v>
      </c>
      <c r="O24" s="436"/>
      <c r="P24" s="18"/>
      <c r="Q24" s="152"/>
      <c r="R24" s="152"/>
      <c r="S24" s="152"/>
    </row>
    <row r="25" spans="1:19" s="153" customFormat="1" ht="27" customHeight="1">
      <c r="A25" s="394" t="s">
        <v>556</v>
      </c>
      <c r="B25" s="469" t="s">
        <v>368</v>
      </c>
      <c r="C25" s="505">
        <f>+'Bank Assets Analysis'!C25-'Bank Assets Analysis'!D25</f>
        <v>175</v>
      </c>
      <c r="D25" s="505">
        <f>+'Bank Assets Analysis'!E25-'Bank Assets Analysis'!F25</f>
        <v>0</v>
      </c>
      <c r="E25" s="505">
        <f>+'Bank Assets Analysis'!G25-'Bank Assets Analysis'!H25</f>
        <v>0</v>
      </c>
      <c r="F25" s="505">
        <f>+'Bank Assets Analysis'!I25-'Bank Assets Analysis'!J25</f>
        <v>0</v>
      </c>
      <c r="G25" s="505">
        <f>+'Bank Assets Analysis'!K25-'Bank Assets Analysis'!L25</f>
        <v>0</v>
      </c>
      <c r="H25" s="505">
        <f>+'Bank Assets Analysis'!M25-'Bank Assets Analysis'!N25</f>
        <v>0</v>
      </c>
      <c r="I25" s="505">
        <f>+'Bank Assets Analysis'!O25-'Bank Assets Analysis'!P25</f>
        <v>0</v>
      </c>
      <c r="J25" s="505">
        <f>+'Bank Assets Analysis'!Q25-'Bank Assets Analysis'!R25</f>
        <v>0</v>
      </c>
      <c r="K25" s="505">
        <f t="shared" si="0"/>
        <v>175</v>
      </c>
      <c r="L25" s="470">
        <v>1</v>
      </c>
      <c r="M25" s="508">
        <f>+C25+D25+E25</f>
        <v>175</v>
      </c>
      <c r="N25" s="447">
        <f t="shared" si="8"/>
        <v>175</v>
      </c>
      <c r="O25" s="436"/>
      <c r="P25" s="18"/>
      <c r="Q25" s="152"/>
      <c r="R25" s="152"/>
      <c r="S25" s="152"/>
    </row>
    <row r="26" spans="1:19" s="153" customFormat="1" ht="33.75" customHeight="1">
      <c r="A26" s="394" t="s">
        <v>369</v>
      </c>
      <c r="B26" s="298" t="s">
        <v>370</v>
      </c>
      <c r="C26" s="447">
        <f>+'Bank Assets Analysis'!C26-'Bank Assets Analysis'!D26</f>
        <v>1400024</v>
      </c>
      <c r="D26" s="447">
        <f>+'Bank Assets Analysis'!E26-'Bank Assets Analysis'!F26</f>
        <v>0</v>
      </c>
      <c r="E26" s="447">
        <f>+'Bank Assets Analysis'!G26-'Bank Assets Analysis'!H26</f>
        <v>0</v>
      </c>
      <c r="F26" s="447">
        <f>+'Bank Assets Analysis'!I26-'Bank Assets Analysis'!J26</f>
        <v>0</v>
      </c>
      <c r="G26" s="447">
        <f>+'Bank Assets Analysis'!K26-'Bank Assets Analysis'!L26</f>
        <v>0</v>
      </c>
      <c r="H26" s="447">
        <f>+'Bank Assets Analysis'!M26-'Bank Assets Analysis'!N26</f>
        <v>0</v>
      </c>
      <c r="I26" s="447">
        <f>+'Bank Assets Analysis'!O26-'Bank Assets Analysis'!P26</f>
        <v>0</v>
      </c>
      <c r="J26" s="447">
        <f>+'Bank Assets Analysis'!Q26-'Bank Assets Analysis'!R26</f>
        <v>0</v>
      </c>
      <c r="K26" s="447">
        <f t="shared" si="0"/>
        <v>1400024</v>
      </c>
      <c r="L26" s="150">
        <v>0.5</v>
      </c>
      <c r="M26" s="506">
        <f>+D26+E26</f>
        <v>0</v>
      </c>
      <c r="N26" s="447">
        <f t="shared" si="4"/>
        <v>0</v>
      </c>
      <c r="O26" s="436"/>
      <c r="P26" s="18"/>
      <c r="Q26" s="152"/>
      <c r="R26" s="152"/>
      <c r="S26" s="152"/>
    </row>
    <row r="27" spans="1:19" s="153" customFormat="1" ht="27" customHeight="1">
      <c r="A27" s="394" t="s">
        <v>371</v>
      </c>
      <c r="B27" s="298" t="s">
        <v>372</v>
      </c>
      <c r="C27" s="447">
        <f>+'Bank Assets Analysis'!C27-'Bank Assets Analysis'!D27</f>
        <v>0</v>
      </c>
      <c r="D27" s="447">
        <f>+'Bank Assets Analysis'!E27-'Bank Assets Analysis'!F27</f>
        <v>0</v>
      </c>
      <c r="E27" s="447">
        <f>+'Bank Assets Analysis'!G27-'Bank Assets Analysis'!H27</f>
        <v>0</v>
      </c>
      <c r="F27" s="447">
        <f>+'Bank Assets Analysis'!I27-'Bank Assets Analysis'!J27</f>
        <v>0</v>
      </c>
      <c r="G27" s="447">
        <f>+'Bank Assets Analysis'!K27-'Bank Assets Analysis'!L27</f>
        <v>0</v>
      </c>
      <c r="H27" s="447">
        <f>+'Bank Assets Analysis'!M27-'Bank Assets Analysis'!N27</f>
        <v>0</v>
      </c>
      <c r="I27" s="447">
        <f>+'Bank Assets Analysis'!O27-'Bank Assets Analysis'!P27</f>
        <v>0</v>
      </c>
      <c r="J27" s="447">
        <f>+'Bank Assets Analysis'!Q27-'Bank Assets Analysis'!R27</f>
        <v>0</v>
      </c>
      <c r="K27" s="447">
        <f t="shared" si="0"/>
        <v>0</v>
      </c>
      <c r="L27" s="150">
        <v>0.5</v>
      </c>
      <c r="M27" s="506">
        <f>+D27+E27</f>
        <v>0</v>
      </c>
      <c r="N27" s="447">
        <f t="shared" si="4"/>
        <v>0</v>
      </c>
      <c r="O27" s="436"/>
      <c r="P27" s="18"/>
      <c r="Q27" s="152"/>
      <c r="R27" s="152"/>
      <c r="S27" s="152"/>
    </row>
    <row r="28" spans="1:19" s="153" customFormat="1" ht="27" customHeight="1">
      <c r="A28" s="394" t="s">
        <v>373</v>
      </c>
      <c r="B28" s="298" t="s">
        <v>374</v>
      </c>
      <c r="C28" s="447">
        <f>+'Bank Assets Analysis'!C28-'Bank Assets Analysis'!D28</f>
        <v>0</v>
      </c>
      <c r="D28" s="447">
        <f>+'Bank Assets Analysis'!E28-'Bank Assets Analysis'!F28</f>
        <v>0</v>
      </c>
      <c r="E28" s="447">
        <f>+'Bank Assets Analysis'!G28-'Bank Assets Analysis'!H28</f>
        <v>0</v>
      </c>
      <c r="F28" s="447">
        <f>+'Bank Assets Analysis'!I28-'Bank Assets Analysis'!J28</f>
        <v>0</v>
      </c>
      <c r="G28" s="447">
        <f>+'Bank Assets Analysis'!K28-'Bank Assets Analysis'!L28</f>
        <v>0</v>
      </c>
      <c r="H28" s="447">
        <f>+'Bank Assets Analysis'!M28-'Bank Assets Analysis'!N28</f>
        <v>0</v>
      </c>
      <c r="I28" s="447">
        <f>+'Bank Assets Analysis'!O28-'Bank Assets Analysis'!P28</f>
        <v>0</v>
      </c>
      <c r="J28" s="447">
        <f>+'Bank Assets Analysis'!Q28-'Bank Assets Analysis'!R28</f>
        <v>0</v>
      </c>
      <c r="K28" s="447">
        <f t="shared" si="0"/>
        <v>0</v>
      </c>
      <c r="L28" s="150">
        <v>1</v>
      </c>
      <c r="M28" s="506">
        <f>C28+D28+E28</f>
        <v>0</v>
      </c>
      <c r="N28" s="447">
        <f t="shared" si="4"/>
        <v>0</v>
      </c>
      <c r="O28" s="436"/>
      <c r="P28" s="18"/>
      <c r="Q28" s="152"/>
      <c r="R28" s="152"/>
      <c r="S28" s="152"/>
    </row>
    <row r="29" spans="1:19" s="153" customFormat="1" ht="27" customHeight="1">
      <c r="A29" s="394" t="s">
        <v>375</v>
      </c>
      <c r="B29" s="298" t="s">
        <v>376</v>
      </c>
      <c r="C29" s="447">
        <f>+'Bank Assets Analysis'!C29-'Bank Assets Analysis'!D29</f>
        <v>0</v>
      </c>
      <c r="D29" s="447">
        <f>+'Bank Assets Analysis'!E29-'Bank Assets Analysis'!F29</f>
        <v>0</v>
      </c>
      <c r="E29" s="447">
        <f>+'Bank Assets Analysis'!G29-'Bank Assets Analysis'!H29</f>
        <v>0</v>
      </c>
      <c r="F29" s="447">
        <f>+'Bank Assets Analysis'!I29-'Bank Assets Analysis'!J29</f>
        <v>0</v>
      </c>
      <c r="G29" s="447">
        <f>+'Bank Assets Analysis'!K29-'Bank Assets Analysis'!L29</f>
        <v>0</v>
      </c>
      <c r="H29" s="447">
        <f>+'Bank Assets Analysis'!M29-'Bank Assets Analysis'!N29</f>
        <v>0</v>
      </c>
      <c r="I29" s="447">
        <f>+'Bank Assets Analysis'!O29-'Bank Assets Analysis'!P29</f>
        <v>0</v>
      </c>
      <c r="J29" s="447">
        <f>+'Bank Assets Analysis'!Q29-'Bank Assets Analysis'!R29</f>
        <v>0</v>
      </c>
      <c r="K29" s="447">
        <f t="shared" si="0"/>
        <v>0</v>
      </c>
      <c r="L29" s="150">
        <v>0.5</v>
      </c>
      <c r="M29" s="506">
        <f>+D29+E29</f>
        <v>0</v>
      </c>
      <c r="N29" s="447">
        <f t="shared" si="4"/>
        <v>0</v>
      </c>
      <c r="O29" s="436"/>
      <c r="P29" s="18"/>
      <c r="Q29" s="152"/>
      <c r="R29" s="152"/>
      <c r="S29" s="152"/>
    </row>
    <row r="30" spans="1:19" s="153" customFormat="1" ht="27" customHeight="1">
      <c r="A30" s="394" t="s">
        <v>377</v>
      </c>
      <c r="B30" s="298" t="s">
        <v>524</v>
      </c>
      <c r="C30" s="447">
        <f>+'Bank Assets Analysis'!C30-'Bank Assets Analysis'!D30</f>
        <v>415937868</v>
      </c>
      <c r="D30" s="447">
        <f>+'Bank Assets Analysis'!E30-'Bank Assets Analysis'!F30</f>
        <v>233443615</v>
      </c>
      <c r="E30" s="447">
        <f>+'Bank Assets Analysis'!G30-'Bank Assets Analysis'!H30</f>
        <v>19749026</v>
      </c>
      <c r="F30" s="447">
        <f>+'Bank Assets Analysis'!I30-'Bank Assets Analysis'!J30</f>
        <v>582905530</v>
      </c>
      <c r="G30" s="447">
        <f>+'Bank Assets Analysis'!K30-'Bank Assets Analysis'!L30</f>
        <v>979554386</v>
      </c>
      <c r="H30" s="447">
        <f>+'Bank Assets Analysis'!M30-'Bank Assets Analysis'!N30</f>
        <v>1814860638</v>
      </c>
      <c r="I30" s="447">
        <f>+'Bank Assets Analysis'!O30-'Bank Assets Analysis'!P30</f>
        <v>2661690078</v>
      </c>
      <c r="J30" s="447">
        <f>+'Bank Assets Analysis'!Q30-'Bank Assets Analysis'!R30</f>
        <v>6493415561</v>
      </c>
      <c r="K30" s="447">
        <f t="shared" si="0"/>
        <v>13201556702</v>
      </c>
      <c r="L30" s="150">
        <v>0.5</v>
      </c>
      <c r="M30" s="506">
        <f>+D30+E30</f>
        <v>253192641</v>
      </c>
      <c r="N30" s="447">
        <f t="shared" si="4"/>
        <v>126596320.5</v>
      </c>
      <c r="O30" s="436"/>
      <c r="P30" s="18"/>
      <c r="Q30" s="152"/>
      <c r="R30" s="152"/>
      <c r="S30" s="152"/>
    </row>
    <row r="31" spans="1:19" s="153" customFormat="1" ht="27" customHeight="1">
      <c r="A31" s="394" t="s">
        <v>203</v>
      </c>
      <c r="B31" s="298" t="s">
        <v>378</v>
      </c>
      <c r="C31" s="447">
        <f>+'Bank Assets Analysis'!C31-'Bank Assets Analysis'!D31</f>
        <v>217619303</v>
      </c>
      <c r="D31" s="447">
        <f>+'Bank Assets Analysis'!E31-'Bank Assets Analysis'!F31</f>
        <v>152010825</v>
      </c>
      <c r="E31" s="447">
        <f>+'Bank Assets Analysis'!G31-'Bank Assets Analysis'!H31</f>
        <v>6004586</v>
      </c>
      <c r="F31" s="447">
        <f>+'Bank Assets Analysis'!I31-'Bank Assets Analysis'!J31</f>
        <v>338488547</v>
      </c>
      <c r="G31" s="447">
        <f>+'Bank Assets Analysis'!K31-'Bank Assets Analysis'!L31</f>
        <v>512116570</v>
      </c>
      <c r="H31" s="447">
        <f>+'Bank Assets Analysis'!M31-'Bank Assets Analysis'!N31</f>
        <v>972815556</v>
      </c>
      <c r="I31" s="447">
        <f>+'Bank Assets Analysis'!O31-'Bank Assets Analysis'!P31</f>
        <v>1391014546</v>
      </c>
      <c r="J31" s="447">
        <f>+'Bank Assets Analysis'!Q31-'Bank Assets Analysis'!R31</f>
        <v>3359108523</v>
      </c>
      <c r="K31" s="447">
        <f t="shared" si="0"/>
        <v>6949178456</v>
      </c>
      <c r="L31" s="150">
        <v>0</v>
      </c>
      <c r="M31" s="506">
        <f t="shared" ref="M31:M34" si="9">+D31+E31</f>
        <v>158015411</v>
      </c>
      <c r="N31" s="447">
        <f t="shared" ref="N31:N34" si="10">+M31*L31</f>
        <v>0</v>
      </c>
      <c r="O31" s="436"/>
      <c r="P31" s="18"/>
      <c r="Q31" s="152"/>
      <c r="R31" s="152"/>
      <c r="S31" s="152"/>
    </row>
    <row r="32" spans="1:19" s="153" customFormat="1" ht="27" customHeight="1">
      <c r="A32" s="394" t="s">
        <v>379</v>
      </c>
      <c r="B32" s="298" t="s">
        <v>380</v>
      </c>
      <c r="C32" s="447">
        <f>+'Bank Assets Analysis'!C32-'Bank Assets Analysis'!D32</f>
        <v>20439365</v>
      </c>
      <c r="D32" s="447">
        <f>+'Bank Assets Analysis'!E32-'Bank Assets Analysis'!F32</f>
        <v>0</v>
      </c>
      <c r="E32" s="447">
        <f>+'Bank Assets Analysis'!G32-'Bank Assets Analysis'!H32</f>
        <v>0</v>
      </c>
      <c r="F32" s="447">
        <f>+'Bank Assets Analysis'!I32-'Bank Assets Analysis'!J32</f>
        <v>0</v>
      </c>
      <c r="G32" s="447">
        <f>+'Bank Assets Analysis'!K32-'Bank Assets Analysis'!L32</f>
        <v>0</v>
      </c>
      <c r="H32" s="447">
        <f>+'Bank Assets Analysis'!M32-'Bank Assets Analysis'!N32</f>
        <v>0</v>
      </c>
      <c r="I32" s="447">
        <f>+'Bank Assets Analysis'!O32-'Bank Assets Analysis'!P32</f>
        <v>0</v>
      </c>
      <c r="J32" s="447">
        <f>+'Bank Assets Analysis'!Q32-'Bank Assets Analysis'!R32</f>
        <v>0</v>
      </c>
      <c r="K32" s="447">
        <f t="shared" si="0"/>
        <v>20439365</v>
      </c>
      <c r="L32" s="150">
        <v>0</v>
      </c>
      <c r="M32" s="506">
        <f t="shared" si="9"/>
        <v>0</v>
      </c>
      <c r="N32" s="447">
        <f t="shared" si="10"/>
        <v>0</v>
      </c>
      <c r="O32" s="436"/>
      <c r="P32" s="18"/>
      <c r="Q32" s="152"/>
      <c r="R32" s="152"/>
      <c r="S32" s="152"/>
    </row>
    <row r="33" spans="1:19" s="153" customFormat="1" ht="27" customHeight="1">
      <c r="A33" s="394">
        <v>11</v>
      </c>
      <c r="B33" s="298" t="s">
        <v>190</v>
      </c>
      <c r="C33" s="447">
        <f>+'Bank Assets Analysis'!C33-'Bank Assets Analysis'!D33</f>
        <v>171402110</v>
      </c>
      <c r="D33" s="447">
        <f>+'Bank Assets Analysis'!E33-'Bank Assets Analysis'!F33</f>
        <v>0</v>
      </c>
      <c r="E33" s="447">
        <f>+'Bank Assets Analysis'!G33-'Bank Assets Analysis'!H33</f>
        <v>0</v>
      </c>
      <c r="F33" s="447">
        <f>+'Bank Assets Analysis'!I33-'Bank Assets Analysis'!J33</f>
        <v>0</v>
      </c>
      <c r="G33" s="447">
        <f>+'Bank Assets Analysis'!K33-'Bank Assets Analysis'!L33</f>
        <v>0</v>
      </c>
      <c r="H33" s="447">
        <f>+'Bank Assets Analysis'!M33-'Bank Assets Analysis'!N33</f>
        <v>0</v>
      </c>
      <c r="I33" s="447">
        <f>+'Bank Assets Analysis'!O33-'Bank Assets Analysis'!P33</f>
        <v>0</v>
      </c>
      <c r="J33" s="447">
        <f>+'Bank Assets Analysis'!Q33-'Bank Assets Analysis'!R33</f>
        <v>0</v>
      </c>
      <c r="K33" s="447">
        <f t="shared" si="0"/>
        <v>171402110</v>
      </c>
      <c r="L33" s="150">
        <v>0</v>
      </c>
      <c r="M33" s="506">
        <f t="shared" si="9"/>
        <v>0</v>
      </c>
      <c r="N33" s="447">
        <f t="shared" si="10"/>
        <v>0</v>
      </c>
      <c r="O33" s="436"/>
      <c r="P33" s="18"/>
      <c r="Q33" s="152"/>
      <c r="R33" s="152"/>
      <c r="S33" s="152"/>
    </row>
    <row r="34" spans="1:19" s="153" customFormat="1" ht="33.75" customHeight="1">
      <c r="A34" s="394" t="s">
        <v>381</v>
      </c>
      <c r="B34" s="298" t="s">
        <v>547</v>
      </c>
      <c r="C34" s="447">
        <f t="shared" ref="C34:J34" si="11">+C35+C36</f>
        <v>0</v>
      </c>
      <c r="D34" s="447">
        <f t="shared" si="11"/>
        <v>0</v>
      </c>
      <c r="E34" s="447">
        <f t="shared" si="11"/>
        <v>0</v>
      </c>
      <c r="F34" s="447">
        <f t="shared" si="11"/>
        <v>0</v>
      </c>
      <c r="G34" s="447">
        <f t="shared" si="11"/>
        <v>0</v>
      </c>
      <c r="H34" s="447">
        <f t="shared" si="11"/>
        <v>0</v>
      </c>
      <c r="I34" s="447">
        <f t="shared" si="11"/>
        <v>0</v>
      </c>
      <c r="J34" s="447">
        <f t="shared" si="11"/>
        <v>0</v>
      </c>
      <c r="K34" s="447">
        <f t="shared" si="0"/>
        <v>0</v>
      </c>
      <c r="L34" s="150">
        <v>0</v>
      </c>
      <c r="M34" s="506">
        <f t="shared" si="9"/>
        <v>0</v>
      </c>
      <c r="N34" s="447">
        <f t="shared" si="10"/>
        <v>0</v>
      </c>
      <c r="O34" s="436"/>
      <c r="P34" s="18"/>
      <c r="Q34" s="152"/>
      <c r="R34" s="152"/>
      <c r="S34" s="152"/>
    </row>
    <row r="35" spans="1:19" s="153" customFormat="1" ht="36.75" customHeight="1">
      <c r="A35" s="394" t="s">
        <v>214</v>
      </c>
      <c r="B35" s="298" t="s">
        <v>539</v>
      </c>
      <c r="C35" s="447">
        <f>+'Bank Assets Analysis'!C35-'Bank Assets Analysis'!D35</f>
        <v>0</v>
      </c>
      <c r="D35" s="447">
        <f>+'Bank Assets Analysis'!E35-'Bank Assets Analysis'!F35</f>
        <v>0</v>
      </c>
      <c r="E35" s="447">
        <f>+'Bank Assets Analysis'!G35-'Bank Assets Analysis'!H35</f>
        <v>0</v>
      </c>
      <c r="F35" s="447">
        <f>+'Bank Assets Analysis'!I35-'Bank Assets Analysis'!J35</f>
        <v>0</v>
      </c>
      <c r="G35" s="447">
        <f>+'Bank Assets Analysis'!K35-'Bank Assets Analysis'!L35</f>
        <v>0</v>
      </c>
      <c r="H35" s="447">
        <f>+'Bank Assets Analysis'!M35-'Bank Assets Analysis'!N35</f>
        <v>0</v>
      </c>
      <c r="I35" s="447">
        <f>+'Bank Assets Analysis'!O35-'Bank Assets Analysis'!P35</f>
        <v>0</v>
      </c>
      <c r="J35" s="447">
        <f>+'Bank Assets Analysis'!Q35-'Bank Assets Analysis'!R35</f>
        <v>0</v>
      </c>
      <c r="K35" s="447">
        <f t="shared" si="0"/>
        <v>0</v>
      </c>
      <c r="L35" s="150">
        <v>1</v>
      </c>
      <c r="M35" s="506">
        <f>+K35</f>
        <v>0</v>
      </c>
      <c r="N35" s="507">
        <f t="shared" si="4"/>
        <v>0</v>
      </c>
      <c r="O35" s="436"/>
      <c r="P35" s="18"/>
      <c r="Q35" s="152"/>
      <c r="R35" s="152"/>
      <c r="S35" s="152"/>
    </row>
    <row r="36" spans="1:19" s="153" customFormat="1" ht="27" customHeight="1">
      <c r="A36" s="394" t="s">
        <v>216</v>
      </c>
      <c r="B36" s="298" t="s">
        <v>538</v>
      </c>
      <c r="C36" s="447">
        <f>+'Bank Assets Analysis'!C36-'Bank Assets Analysis'!D36</f>
        <v>0</v>
      </c>
      <c r="D36" s="447">
        <f>+'Bank Assets Analysis'!E36-'Bank Assets Analysis'!F36</f>
        <v>0</v>
      </c>
      <c r="E36" s="447">
        <f>+'Bank Assets Analysis'!G36-'Bank Assets Analysis'!H36</f>
        <v>0</v>
      </c>
      <c r="F36" s="447">
        <f>+'Bank Assets Analysis'!I36-'Bank Assets Analysis'!J36</f>
        <v>0</v>
      </c>
      <c r="G36" s="447">
        <f>+'Bank Assets Analysis'!K36-'Bank Assets Analysis'!L36</f>
        <v>0</v>
      </c>
      <c r="H36" s="447">
        <f>+'Bank Assets Analysis'!M36-'Bank Assets Analysis'!N36</f>
        <v>0</v>
      </c>
      <c r="I36" s="447">
        <f>+'Bank Assets Analysis'!O36-'Bank Assets Analysis'!P36</f>
        <v>0</v>
      </c>
      <c r="J36" s="447">
        <f>+'Bank Assets Analysis'!Q36-'Bank Assets Analysis'!R36</f>
        <v>0</v>
      </c>
      <c r="K36" s="447">
        <f t="shared" si="0"/>
        <v>0</v>
      </c>
      <c r="L36" s="150">
        <v>0</v>
      </c>
      <c r="M36" s="506"/>
      <c r="N36" s="447">
        <f t="shared" si="4"/>
        <v>0</v>
      </c>
      <c r="O36" s="436"/>
      <c r="P36" s="18"/>
      <c r="Q36" s="152"/>
      <c r="R36" s="152"/>
      <c r="S36" s="152"/>
    </row>
    <row r="37" spans="1:19" s="153" customFormat="1" ht="27" customHeight="1">
      <c r="A37" s="394" t="s">
        <v>382</v>
      </c>
      <c r="B37" s="298" t="s">
        <v>383</v>
      </c>
      <c r="C37" s="447">
        <f>+'Bank Assets Analysis'!C37-'Bank Assets Analysis'!D37</f>
        <v>0</v>
      </c>
      <c r="D37" s="447">
        <f>+'Bank Assets Analysis'!E37-'Bank Assets Analysis'!F37</f>
        <v>0</v>
      </c>
      <c r="E37" s="447">
        <f>+'Bank Assets Analysis'!G37-'Bank Assets Analysis'!H37</f>
        <v>0</v>
      </c>
      <c r="F37" s="447">
        <f>+'Bank Assets Analysis'!I37-'Bank Assets Analysis'!J37</f>
        <v>0</v>
      </c>
      <c r="G37" s="447">
        <f>+'Bank Assets Analysis'!K37-'Bank Assets Analysis'!L37</f>
        <v>0</v>
      </c>
      <c r="H37" s="447">
        <f>+'Bank Assets Analysis'!M37-'Bank Assets Analysis'!N37</f>
        <v>0</v>
      </c>
      <c r="I37" s="447">
        <f>+'Bank Assets Analysis'!O37-'Bank Assets Analysis'!P37</f>
        <v>0</v>
      </c>
      <c r="J37" s="447">
        <f>+'Bank Assets Analysis'!Q37-'Bank Assets Analysis'!R37</f>
        <v>929814271</v>
      </c>
      <c r="K37" s="447">
        <f t="shared" si="0"/>
        <v>929814271</v>
      </c>
      <c r="L37" s="150">
        <v>0</v>
      </c>
      <c r="M37" s="506"/>
      <c r="N37" s="447">
        <f t="shared" si="4"/>
        <v>0</v>
      </c>
      <c r="O37" s="436"/>
      <c r="P37" s="18"/>
      <c r="Q37" s="152"/>
      <c r="R37" s="152"/>
      <c r="S37" s="152"/>
    </row>
    <row r="38" spans="1:19" s="153" customFormat="1" ht="27" customHeight="1">
      <c r="A38" s="394" t="s">
        <v>384</v>
      </c>
      <c r="B38" s="298" t="s">
        <v>213</v>
      </c>
      <c r="C38" s="447">
        <f>+'Bank Assets Analysis'!C38-'Bank Assets Analysis'!D38</f>
        <v>408190381</v>
      </c>
      <c r="D38" s="447">
        <f>+'Bank Assets Analysis'!E38-'Bank Assets Analysis'!F38</f>
        <v>0</v>
      </c>
      <c r="E38" s="447">
        <f>+'Bank Assets Analysis'!G38-'Bank Assets Analysis'!H38</f>
        <v>0</v>
      </c>
      <c r="F38" s="447">
        <f>+'Bank Assets Analysis'!I38-'Bank Assets Analysis'!J38</f>
        <v>0</v>
      </c>
      <c r="G38" s="447">
        <f>+'Bank Assets Analysis'!K38-'Bank Assets Analysis'!L38</f>
        <v>0</v>
      </c>
      <c r="H38" s="447">
        <f>+'Bank Assets Analysis'!M38-'Bank Assets Analysis'!N38</f>
        <v>0</v>
      </c>
      <c r="I38" s="447">
        <f>+'Bank Assets Analysis'!O38-'Bank Assets Analysis'!P38</f>
        <v>0</v>
      </c>
      <c r="J38" s="447">
        <f>+'Bank Assets Analysis'!Q38-'Bank Assets Analysis'!R38</f>
        <v>0</v>
      </c>
      <c r="K38" s="447">
        <f t="shared" si="0"/>
        <v>408190381</v>
      </c>
      <c r="L38" s="150">
        <v>0</v>
      </c>
      <c r="M38" s="506"/>
      <c r="N38" s="447">
        <f t="shared" si="4"/>
        <v>0</v>
      </c>
      <c r="O38" s="436"/>
      <c r="P38" s="18"/>
      <c r="Q38" s="152"/>
      <c r="R38" s="152"/>
      <c r="S38" s="152"/>
    </row>
    <row r="39" spans="1:19" s="153" customFormat="1" ht="27" customHeight="1">
      <c r="A39" s="394" t="s">
        <v>226</v>
      </c>
      <c r="B39" s="298" t="s">
        <v>385</v>
      </c>
      <c r="C39" s="447">
        <f>+'Bank Assets Analysis'!C39-'Bank Assets Analysis'!D39</f>
        <v>0</v>
      </c>
      <c r="D39" s="447">
        <f>+'Bank Assets Analysis'!E39-'Bank Assets Analysis'!F39</f>
        <v>0</v>
      </c>
      <c r="E39" s="447">
        <f>+'Bank Assets Analysis'!G39-'Bank Assets Analysis'!H39</f>
        <v>0</v>
      </c>
      <c r="F39" s="447">
        <f>+'Bank Assets Analysis'!I39-'Bank Assets Analysis'!J39</f>
        <v>0</v>
      </c>
      <c r="G39" s="447">
        <f>+'Bank Assets Analysis'!K39-'Bank Assets Analysis'!L39</f>
        <v>0</v>
      </c>
      <c r="H39" s="447">
        <f>+'Bank Assets Analysis'!M39-'Bank Assets Analysis'!N39</f>
        <v>0</v>
      </c>
      <c r="I39" s="447">
        <f>+'Bank Assets Analysis'!O39-'Bank Assets Analysis'!P39</f>
        <v>0</v>
      </c>
      <c r="J39" s="447">
        <f>+'Bank Assets Analysis'!Q39-'Bank Assets Analysis'!R39</f>
        <v>0</v>
      </c>
      <c r="K39" s="447">
        <f t="shared" si="0"/>
        <v>0</v>
      </c>
      <c r="L39" s="150">
        <v>0</v>
      </c>
      <c r="M39" s="506"/>
      <c r="N39" s="447">
        <f t="shared" si="4"/>
        <v>0</v>
      </c>
      <c r="O39" s="436"/>
      <c r="P39" s="18"/>
      <c r="Q39" s="152"/>
      <c r="R39" s="152"/>
      <c r="S39" s="152"/>
    </row>
    <row r="40" spans="1:19" s="153" customFormat="1" ht="27" customHeight="1">
      <c r="A40" s="394" t="s">
        <v>229</v>
      </c>
      <c r="B40" s="298" t="s">
        <v>386</v>
      </c>
      <c r="C40" s="447"/>
      <c r="D40" s="447"/>
      <c r="E40" s="447"/>
      <c r="F40" s="447"/>
      <c r="G40" s="447"/>
      <c r="H40" s="447"/>
      <c r="I40" s="447"/>
      <c r="J40" s="447"/>
      <c r="K40" s="447">
        <f t="shared" si="0"/>
        <v>0</v>
      </c>
      <c r="L40" s="150">
        <v>0</v>
      </c>
      <c r="M40" s="506"/>
      <c r="N40" s="447">
        <f t="shared" si="4"/>
        <v>0</v>
      </c>
      <c r="O40" s="436"/>
      <c r="P40" s="18"/>
      <c r="Q40" s="152"/>
      <c r="R40" s="152"/>
      <c r="S40" s="152"/>
    </row>
    <row r="41" spans="1:19" s="153" customFormat="1" ht="27" customHeight="1">
      <c r="A41" s="394" t="s">
        <v>231</v>
      </c>
      <c r="B41" s="298" t="s">
        <v>387</v>
      </c>
      <c r="C41" s="447">
        <f>+'Bank Assets Analysis'!C41-'Bank Assets Analysis'!D41</f>
        <v>0</v>
      </c>
      <c r="D41" s="447">
        <f>+'Bank Assets Analysis'!E41-'Bank Assets Analysis'!F41</f>
        <v>0</v>
      </c>
      <c r="E41" s="447">
        <f>+'Bank Assets Analysis'!G41-'Bank Assets Analysis'!H41</f>
        <v>0</v>
      </c>
      <c r="F41" s="447">
        <f>+'Bank Assets Analysis'!I41-'Bank Assets Analysis'!J41</f>
        <v>0</v>
      </c>
      <c r="G41" s="447">
        <f>+'Bank Assets Analysis'!K41-'Bank Assets Analysis'!L41</f>
        <v>0</v>
      </c>
      <c r="H41" s="447">
        <f>+'Bank Assets Analysis'!M41-'Bank Assets Analysis'!N41</f>
        <v>0</v>
      </c>
      <c r="I41" s="447">
        <f>+'Bank Assets Analysis'!O41-'Bank Assets Analysis'!P41</f>
        <v>0</v>
      </c>
      <c r="J41" s="447">
        <f>+'Bank Assets Analysis'!Q41-'Bank Assets Analysis'!R41</f>
        <v>0</v>
      </c>
      <c r="K41" s="447">
        <f t="shared" si="0"/>
        <v>0</v>
      </c>
      <c r="L41" s="150">
        <v>0</v>
      </c>
      <c r="M41" s="506"/>
      <c r="N41" s="447">
        <f t="shared" si="4"/>
        <v>0</v>
      </c>
      <c r="O41" s="436"/>
      <c r="P41" s="18"/>
      <c r="Q41" s="152"/>
      <c r="R41" s="152"/>
      <c r="S41" s="152"/>
    </row>
    <row r="42" spans="1:19" s="153" customFormat="1" ht="27" customHeight="1">
      <c r="A42" s="394" t="s">
        <v>233</v>
      </c>
      <c r="B42" s="298" t="s">
        <v>388</v>
      </c>
      <c r="C42" s="447">
        <f>+'Bank Assets Analysis'!C42-'Bank Assets Analysis'!D42</f>
        <v>617522086</v>
      </c>
      <c r="D42" s="447">
        <f>+'Bank Assets Analysis'!E42-'Bank Assets Analysis'!F42</f>
        <v>0</v>
      </c>
      <c r="E42" s="447">
        <f>+'Bank Assets Analysis'!G42-'Bank Assets Analysis'!H42</f>
        <v>503503998</v>
      </c>
      <c r="F42" s="447">
        <f>+'Bank Assets Analysis'!I42-'Bank Assets Analysis'!J42</f>
        <v>0</v>
      </c>
      <c r="G42" s="447">
        <f>+'Bank Assets Analysis'!K42-'Bank Assets Analysis'!L42</f>
        <v>0</v>
      </c>
      <c r="H42" s="447">
        <f>+'Bank Assets Analysis'!M42-'Bank Assets Analysis'!N42</f>
        <v>0</v>
      </c>
      <c r="I42" s="447">
        <f>+'Bank Assets Analysis'!O42-'Bank Assets Analysis'!P42</f>
        <v>0</v>
      </c>
      <c r="J42" s="447">
        <f>+'Bank Assets Analysis'!Q42-'Bank Assets Analysis'!R42</f>
        <v>0</v>
      </c>
      <c r="K42" s="447">
        <f t="shared" si="0"/>
        <v>1121026084</v>
      </c>
      <c r="L42" s="150">
        <v>0.5</v>
      </c>
      <c r="M42" s="508">
        <f>+D42+E42</f>
        <v>503503998</v>
      </c>
      <c r="N42" s="447">
        <f>+M42*L42</f>
        <v>251751999</v>
      </c>
      <c r="O42" s="436"/>
      <c r="P42" s="18"/>
      <c r="Q42" s="152"/>
      <c r="R42" s="152"/>
      <c r="S42" s="152"/>
    </row>
    <row r="43" spans="1:19" s="153" customFormat="1" ht="27" customHeight="1">
      <c r="A43" s="394" t="s">
        <v>564</v>
      </c>
      <c r="B43" s="298" t="s">
        <v>577</v>
      </c>
      <c r="C43" s="447">
        <f>+'Bank Assets Analysis'!C43-'Bank Assets Analysis'!D43</f>
        <v>0</v>
      </c>
      <c r="D43" s="447">
        <f>+'Bank Assets Analysis'!E43-'Bank Assets Analysis'!F43</f>
        <v>0</v>
      </c>
      <c r="E43" s="447">
        <f>+'Bank Assets Analysis'!G43-'Bank Assets Analysis'!H43</f>
        <v>0</v>
      </c>
      <c r="F43" s="447">
        <f>+'Bank Assets Analysis'!I43-'Bank Assets Analysis'!J43</f>
        <v>0</v>
      </c>
      <c r="G43" s="447">
        <f>+'Bank Assets Analysis'!K43-'Bank Assets Analysis'!L43</f>
        <v>0</v>
      </c>
      <c r="H43" s="447">
        <f>+'Bank Assets Analysis'!M43-'Bank Assets Analysis'!N43</f>
        <v>0</v>
      </c>
      <c r="I43" s="447">
        <f>+'Bank Assets Analysis'!O43-'Bank Assets Analysis'!P43</f>
        <v>0</v>
      </c>
      <c r="J43" s="447">
        <f>+'Bank Assets Analysis'!Q43-'Bank Assets Analysis'!R43</f>
        <v>0</v>
      </c>
      <c r="K43" s="447">
        <f t="shared" ref="K43" si="12">+C43+D43+E43+F43+G43+H43+I43+J43</f>
        <v>0</v>
      </c>
      <c r="L43" s="150">
        <v>1</v>
      </c>
      <c r="M43" s="508">
        <f>+D43+E43</f>
        <v>0</v>
      </c>
      <c r="N43" s="447">
        <f>+M43*L43</f>
        <v>0</v>
      </c>
      <c r="O43" s="436"/>
      <c r="P43" s="18"/>
      <c r="Q43" s="152"/>
      <c r="R43" s="152"/>
      <c r="S43" s="152"/>
    </row>
    <row r="44" spans="1:19" s="153" customFormat="1" ht="27" customHeight="1">
      <c r="A44" s="394" t="s">
        <v>566</v>
      </c>
      <c r="B44" s="298" t="s">
        <v>565</v>
      </c>
      <c r="C44" s="447">
        <f>+'Bank Assets Analysis'!C44-'Bank Assets Analysis'!D44</f>
        <v>161124</v>
      </c>
      <c r="D44" s="447">
        <f>+'Bank Assets Analysis'!E44-'Bank Assets Analysis'!F44</f>
        <v>0</v>
      </c>
      <c r="E44" s="447">
        <f>+'Bank Assets Analysis'!G44-'Bank Assets Analysis'!H44</f>
        <v>0</v>
      </c>
      <c r="F44" s="447">
        <f>+'Bank Assets Analysis'!I44-'Bank Assets Analysis'!J44</f>
        <v>0</v>
      </c>
      <c r="G44" s="447">
        <f>+'Bank Assets Analysis'!K44-'Bank Assets Analysis'!L44</f>
        <v>0</v>
      </c>
      <c r="H44" s="447">
        <f>+'Bank Assets Analysis'!M44-'Bank Assets Analysis'!N44</f>
        <v>0</v>
      </c>
      <c r="I44" s="447">
        <f>+'Bank Assets Analysis'!O44-'Bank Assets Analysis'!P44</f>
        <v>0</v>
      </c>
      <c r="J44" s="447">
        <f>+'Bank Assets Analysis'!Q44-'Bank Assets Analysis'!R44</f>
        <v>0</v>
      </c>
      <c r="K44" s="447">
        <f t="shared" ref="K44" si="13">+C44+D44+E44+F44+G44+H44+I44+J44</f>
        <v>161124</v>
      </c>
      <c r="L44" s="150">
        <v>1</v>
      </c>
      <c r="M44" s="508">
        <f>+D44+E44</f>
        <v>0</v>
      </c>
      <c r="N44" s="447">
        <f t="shared" ref="N44" si="14">+M44*L44</f>
        <v>0</v>
      </c>
      <c r="O44" s="436"/>
      <c r="P44" s="18"/>
      <c r="Q44" s="152"/>
      <c r="R44" s="152"/>
      <c r="S44" s="152"/>
    </row>
    <row r="45" spans="1:19" s="153" customFormat="1" ht="27" customHeight="1">
      <c r="A45" s="394" t="s">
        <v>235</v>
      </c>
      <c r="B45" s="298" t="s">
        <v>389</v>
      </c>
      <c r="C45" s="447">
        <f>+'Bank Assets Analysis'!C45-'Bank Assets Analysis'!D45</f>
        <v>404834504</v>
      </c>
      <c r="D45" s="447">
        <f>+'Bank Assets Analysis'!E45-'Bank Assets Analysis'!F45</f>
        <v>0</v>
      </c>
      <c r="E45" s="447">
        <f>+'Bank Assets Analysis'!G45-'Bank Assets Analysis'!H45</f>
        <v>0</v>
      </c>
      <c r="F45" s="447">
        <f>+'Bank Assets Analysis'!I45-'Bank Assets Analysis'!J45</f>
        <v>0</v>
      </c>
      <c r="G45" s="447">
        <f>+'Bank Assets Analysis'!K45-'Bank Assets Analysis'!L45</f>
        <v>0</v>
      </c>
      <c r="H45" s="447">
        <f>+'Bank Assets Analysis'!M45-'Bank Assets Analysis'!N45</f>
        <v>0</v>
      </c>
      <c r="I45" s="447">
        <f>+'Bank Assets Analysis'!O45-'Bank Assets Analysis'!P45</f>
        <v>0</v>
      </c>
      <c r="J45" s="447">
        <f>+'Bank Assets Analysis'!Q45-'Bank Assets Analysis'!R45</f>
        <v>0</v>
      </c>
      <c r="K45" s="447">
        <f t="shared" si="0"/>
        <v>404834504</v>
      </c>
      <c r="L45" s="150">
        <v>0</v>
      </c>
      <c r="M45" s="508"/>
      <c r="N45" s="447">
        <f t="shared" si="4"/>
        <v>0</v>
      </c>
      <c r="O45" s="436"/>
      <c r="P45" s="18"/>
      <c r="Q45" s="152"/>
      <c r="R45" s="152"/>
      <c r="S45" s="152"/>
    </row>
    <row r="46" spans="1:19" s="153" customFormat="1" ht="27" customHeight="1">
      <c r="A46" s="394" t="s">
        <v>237</v>
      </c>
      <c r="B46" s="298" t="s">
        <v>390</v>
      </c>
      <c r="C46" s="447">
        <f>+'Bank Assets Analysis'!C46-'Bank Assets Analysis'!D46</f>
        <v>0</v>
      </c>
      <c r="D46" s="447">
        <f>+'Bank Assets Analysis'!E46-'Bank Assets Analysis'!F46</f>
        <v>0</v>
      </c>
      <c r="E46" s="447">
        <f>+'Bank Assets Analysis'!G46-'Bank Assets Analysis'!H46</f>
        <v>0</v>
      </c>
      <c r="F46" s="447">
        <f>+'Bank Assets Analysis'!I46-'Bank Assets Analysis'!J46</f>
        <v>0</v>
      </c>
      <c r="G46" s="447">
        <f>+'Bank Assets Analysis'!K46-'Bank Assets Analysis'!L46</f>
        <v>0</v>
      </c>
      <c r="H46" s="447">
        <f>+'Bank Assets Analysis'!M46-'Bank Assets Analysis'!N46</f>
        <v>0</v>
      </c>
      <c r="I46" s="447">
        <f>+'Bank Assets Analysis'!O46-'Bank Assets Analysis'!P46</f>
        <v>0</v>
      </c>
      <c r="J46" s="447">
        <f>+'Bank Assets Analysis'!Q46-'Bank Assets Analysis'!R46</f>
        <v>0</v>
      </c>
      <c r="K46" s="447">
        <f t="shared" ref="K46" si="15">+C46+D46+E46+F46+G46+H46+I46+J46</f>
        <v>0</v>
      </c>
      <c r="L46" s="150">
        <v>1</v>
      </c>
      <c r="M46" s="508">
        <f>+C46+D46+E46</f>
        <v>0</v>
      </c>
      <c r="N46" s="447">
        <f t="shared" ref="N46" si="16">+M46*L46</f>
        <v>0</v>
      </c>
      <c r="O46" s="436"/>
      <c r="P46" s="18"/>
      <c r="Q46" s="152"/>
      <c r="R46" s="152"/>
      <c r="S46" s="152"/>
    </row>
    <row r="47" spans="1:19" s="152" customFormat="1" ht="33.75" customHeight="1">
      <c r="A47" s="299" t="s">
        <v>239</v>
      </c>
      <c r="B47" s="300" t="s">
        <v>391</v>
      </c>
      <c r="C47" s="491">
        <f>SUM(C6:C45)-C9-C13-C17-C18-C31-C34</f>
        <v>2963905622</v>
      </c>
      <c r="D47" s="491">
        <f t="shared" ref="D47:J47" si="17">SUM(D6:D45)-D9-D13-D17-D18-D31-D34</f>
        <v>483443615</v>
      </c>
      <c r="E47" s="491">
        <f t="shared" si="17"/>
        <v>626675550</v>
      </c>
      <c r="F47" s="491">
        <f t="shared" si="17"/>
        <v>634962040</v>
      </c>
      <c r="G47" s="491">
        <f t="shared" si="17"/>
        <v>984434781</v>
      </c>
      <c r="H47" s="491">
        <f t="shared" si="17"/>
        <v>1866245442</v>
      </c>
      <c r="I47" s="491">
        <f t="shared" si="17"/>
        <v>2686032338</v>
      </c>
      <c r="J47" s="491">
        <f t="shared" si="17"/>
        <v>7457863728</v>
      </c>
      <c r="K47" s="491">
        <f>SUM(C47:J47)</f>
        <v>17703563116</v>
      </c>
      <c r="L47" s="154"/>
      <c r="M47" s="517">
        <f>SUM(M6:M45)-M9-M34</f>
        <v>2290088656</v>
      </c>
      <c r="N47" s="517">
        <f>+N12+N13+N14+N15+N16+N18+N26+N27+N28+N29+N30+N42+N46+N25+(K23*0.2)+N43+N44</f>
        <v>396591555.5</v>
      </c>
      <c r="O47" s="437">
        <f>+Balance!D47</f>
        <v>17703563116</v>
      </c>
      <c r="P47" s="302">
        <f>+K47-O47</f>
        <v>0</v>
      </c>
      <c r="Q47" s="302"/>
      <c r="R47" s="302">
        <f>+O47</f>
        <v>17703563116</v>
      </c>
      <c r="S47" s="302">
        <f>+K47-R47</f>
        <v>0</v>
      </c>
    </row>
    <row r="48" spans="1:19" s="402" customFormat="1" ht="21" customHeight="1">
      <c r="A48" s="297"/>
      <c r="B48" s="329" t="s">
        <v>392</v>
      </c>
      <c r="C48" s="447"/>
      <c r="D48" s="447"/>
      <c r="E48" s="447"/>
      <c r="F48" s="447"/>
      <c r="G48" s="447"/>
      <c r="H48" s="447"/>
      <c r="I48" s="447"/>
      <c r="J48" s="447"/>
      <c r="K48" s="447"/>
      <c r="L48" s="149"/>
      <c r="M48" s="447"/>
      <c r="N48" s="447"/>
      <c r="O48" s="438"/>
    </row>
    <row r="49" spans="1:30" s="402" customFormat="1" ht="25.5" customHeight="1">
      <c r="A49" s="297">
        <v>1</v>
      </c>
      <c r="B49" s="298" t="s">
        <v>393</v>
      </c>
      <c r="C49" s="447">
        <f>+'Bank Assets Analysis'!C49-'Bank Assets Analysis'!D49</f>
        <v>541905442</v>
      </c>
      <c r="D49" s="447">
        <f>+'Bank Assets Analysis'!E49-'Bank Assets Analysis'!F49</f>
        <v>0</v>
      </c>
      <c r="E49" s="447">
        <f>+'Bank Assets Analysis'!G49-'Bank Assets Analysis'!H49</f>
        <v>0</v>
      </c>
      <c r="F49" s="447">
        <f>+'Bank Assets Analysis'!I49-'Bank Assets Analysis'!J49</f>
        <v>0</v>
      </c>
      <c r="G49" s="447">
        <f>+'Bank Assets Analysis'!K49-'Bank Assets Analysis'!L49</f>
        <v>0</v>
      </c>
      <c r="H49" s="447">
        <f>+'Bank Assets Analysis'!M49-'Bank Assets Analysis'!N49</f>
        <v>0</v>
      </c>
      <c r="I49" s="447">
        <f>+'Bank Assets Analysis'!O49-'Bank Assets Analysis'!P49</f>
        <v>0</v>
      </c>
      <c r="J49" s="447">
        <f>+'Bank Assets Analysis'!Q49-'Bank Assets Analysis'!R49</f>
        <v>0</v>
      </c>
      <c r="K49" s="447">
        <f t="shared" ref="K49" si="18">+C49+D49+E49+F49+G49+H49+I49+J49</f>
        <v>541905442</v>
      </c>
      <c r="L49" s="149"/>
      <c r="M49" s="447"/>
      <c r="N49" s="447"/>
      <c r="O49" s="438"/>
    </row>
    <row r="50" spans="1:30" s="402" customFormat="1" ht="37.5" customHeight="1">
      <c r="A50" s="297"/>
      <c r="B50" s="298" t="s">
        <v>394</v>
      </c>
      <c r="C50" s="447">
        <f>+'Bank Assets Analysis'!C50-'Bank Assets Analysis'!D50</f>
        <v>106864157</v>
      </c>
      <c r="D50" s="447">
        <f>+'Bank Assets Analysis'!E50-'Bank Assets Analysis'!F50</f>
        <v>0</v>
      </c>
      <c r="E50" s="447">
        <f>+'Bank Assets Analysis'!G50-'Bank Assets Analysis'!H50</f>
        <v>0</v>
      </c>
      <c r="F50" s="447">
        <f>+'Bank Assets Analysis'!I50-'Bank Assets Analysis'!J50</f>
        <v>0</v>
      </c>
      <c r="G50" s="447">
        <f>+'Bank Assets Analysis'!K50-'Bank Assets Analysis'!L50</f>
        <v>0</v>
      </c>
      <c r="H50" s="447">
        <f>+'Bank Assets Analysis'!M50-'Bank Assets Analysis'!N50</f>
        <v>0</v>
      </c>
      <c r="I50" s="447">
        <f>+'Bank Assets Analysis'!O50-'Bank Assets Analysis'!P50</f>
        <v>0</v>
      </c>
      <c r="J50" s="447">
        <f>+'Bank Assets Analysis'!Q50-'Bank Assets Analysis'!R50</f>
        <v>0</v>
      </c>
      <c r="K50" s="447">
        <f t="shared" ref="K50" si="19">+C50+D50+E50+F50+G50+H50+I50+J50</f>
        <v>106864157</v>
      </c>
      <c r="L50" s="149"/>
      <c r="M50" s="447"/>
      <c r="N50" s="447"/>
      <c r="O50" s="438"/>
    </row>
    <row r="51" spans="1:30" s="402" customFormat="1" ht="25.5" customHeight="1">
      <c r="A51" s="297">
        <v>2</v>
      </c>
      <c r="B51" s="298" t="s">
        <v>395</v>
      </c>
      <c r="C51" s="447">
        <f>+'Bank Assets Analysis'!C51-'Bank Assets Analysis'!D51</f>
        <v>31461582</v>
      </c>
      <c r="D51" s="447">
        <f>+'Bank Assets Analysis'!E51-'Bank Assets Analysis'!F51</f>
        <v>0</v>
      </c>
      <c r="E51" s="447">
        <f>+'Bank Assets Analysis'!G51-'Bank Assets Analysis'!H51</f>
        <v>0</v>
      </c>
      <c r="F51" s="447">
        <f>+'Bank Assets Analysis'!I51-'Bank Assets Analysis'!J51</f>
        <v>0</v>
      </c>
      <c r="G51" s="447">
        <f>+'Bank Assets Analysis'!K51-'Bank Assets Analysis'!L51</f>
        <v>0</v>
      </c>
      <c r="H51" s="447">
        <f>+'Bank Assets Analysis'!M51-'Bank Assets Analysis'!N51</f>
        <v>0</v>
      </c>
      <c r="I51" s="447">
        <f>+'Bank Assets Analysis'!O51-'Bank Assets Analysis'!P51</f>
        <v>0</v>
      </c>
      <c r="J51" s="447">
        <f>+'Bank Assets Analysis'!Q51-'Bank Assets Analysis'!R51</f>
        <v>0</v>
      </c>
      <c r="K51" s="447">
        <f t="shared" ref="K51" si="20">+C51+D51+E51+F51+G51+H51+I51+J51</f>
        <v>31461582</v>
      </c>
      <c r="L51" s="149"/>
      <c r="M51" s="447"/>
      <c r="N51" s="447"/>
      <c r="O51" s="438"/>
    </row>
    <row r="52" spans="1:30" s="402" customFormat="1" ht="37.5" customHeight="1">
      <c r="A52" s="297"/>
      <c r="B52" s="298" t="s">
        <v>396</v>
      </c>
      <c r="C52" s="447">
        <f>+'Bank Assets Analysis'!C52-'Bank Assets Analysis'!D52</f>
        <v>0</v>
      </c>
      <c r="D52" s="447">
        <f>+'Bank Assets Analysis'!E52-'Bank Assets Analysis'!F52</f>
        <v>0</v>
      </c>
      <c r="E52" s="447">
        <f>+'Bank Assets Analysis'!G52-'Bank Assets Analysis'!H52</f>
        <v>0</v>
      </c>
      <c r="F52" s="447">
        <f>+'Bank Assets Analysis'!I52-'Bank Assets Analysis'!J52</f>
        <v>0</v>
      </c>
      <c r="G52" s="447">
        <f>+'Bank Assets Analysis'!K52-'Bank Assets Analysis'!L52</f>
        <v>0</v>
      </c>
      <c r="H52" s="447">
        <f>+'Bank Assets Analysis'!M52-'Bank Assets Analysis'!N52</f>
        <v>0</v>
      </c>
      <c r="I52" s="447">
        <f>+'Bank Assets Analysis'!O52-'Bank Assets Analysis'!P52</f>
        <v>0</v>
      </c>
      <c r="J52" s="447">
        <f>+'Bank Assets Analysis'!Q52-'Bank Assets Analysis'!R52</f>
        <v>0</v>
      </c>
      <c r="K52" s="447">
        <f t="shared" ref="K52:K54" si="21">+C52+D52+E52+F52+G52+H52+I52+J52</f>
        <v>0</v>
      </c>
      <c r="L52" s="149"/>
      <c r="M52" s="447"/>
      <c r="N52" s="447"/>
      <c r="O52" s="438"/>
    </row>
    <row r="53" spans="1:30" s="402" customFormat="1" ht="25.5" customHeight="1">
      <c r="A53" s="297">
        <v>3</v>
      </c>
      <c r="B53" s="298" t="s">
        <v>397</v>
      </c>
      <c r="C53" s="447">
        <f>+'Bank Assets Analysis'!C53-'Bank Assets Analysis'!D53</f>
        <v>0</v>
      </c>
      <c r="D53" s="447">
        <f>+'Bank Assets Analysis'!E53-'Bank Assets Analysis'!F53</f>
        <v>0</v>
      </c>
      <c r="E53" s="447">
        <f>+'Bank Assets Analysis'!G53-'Bank Assets Analysis'!H53</f>
        <v>0</v>
      </c>
      <c r="F53" s="447">
        <f>+'Bank Assets Analysis'!I53-'Bank Assets Analysis'!J53</f>
        <v>0</v>
      </c>
      <c r="G53" s="447">
        <f>+'Bank Assets Analysis'!K53-'Bank Assets Analysis'!L53</f>
        <v>0</v>
      </c>
      <c r="H53" s="447">
        <f>+'Bank Assets Analysis'!M53-'Bank Assets Analysis'!N53</f>
        <v>0</v>
      </c>
      <c r="I53" s="447">
        <f>+'Bank Assets Analysis'!O53-'Bank Assets Analysis'!P53</f>
        <v>0</v>
      </c>
      <c r="J53" s="447">
        <f>+'Bank Assets Analysis'!Q53-'Bank Assets Analysis'!R53</f>
        <v>0</v>
      </c>
      <c r="K53" s="447">
        <f t="shared" si="21"/>
        <v>0</v>
      </c>
      <c r="L53" s="149"/>
      <c r="M53" s="447"/>
      <c r="N53" s="447"/>
      <c r="O53" s="438"/>
    </row>
    <row r="54" spans="1:30" s="402" customFormat="1" ht="32.25" customHeight="1">
      <c r="A54" s="297"/>
      <c r="B54" s="298" t="s">
        <v>398</v>
      </c>
      <c r="C54" s="447">
        <f>+'Bank Assets Analysis'!C54-'Bank Assets Analysis'!D54</f>
        <v>0</v>
      </c>
      <c r="D54" s="447">
        <f>+'Bank Assets Analysis'!E54-'Bank Assets Analysis'!F54</f>
        <v>0</v>
      </c>
      <c r="E54" s="447">
        <f>+'Bank Assets Analysis'!G54-'Bank Assets Analysis'!H54</f>
        <v>0</v>
      </c>
      <c r="F54" s="447">
        <f>+'Bank Assets Analysis'!I54-'Bank Assets Analysis'!J54</f>
        <v>0</v>
      </c>
      <c r="G54" s="447">
        <f>+'Bank Assets Analysis'!K54-'Bank Assets Analysis'!L54</f>
        <v>0</v>
      </c>
      <c r="H54" s="447">
        <f>+'Bank Assets Analysis'!M54-'Bank Assets Analysis'!N54</f>
        <v>0</v>
      </c>
      <c r="I54" s="447">
        <f>+'Bank Assets Analysis'!O54-'Bank Assets Analysis'!P54</f>
        <v>0</v>
      </c>
      <c r="J54" s="447">
        <f>+'Bank Assets Analysis'!Q54-'Bank Assets Analysis'!R54</f>
        <v>0</v>
      </c>
      <c r="K54" s="447">
        <f t="shared" si="21"/>
        <v>0</v>
      </c>
      <c r="L54" s="149"/>
      <c r="M54" s="447"/>
      <c r="N54" s="447"/>
      <c r="O54" s="438"/>
    </row>
    <row r="55" spans="1:30" s="410" customFormat="1" ht="27" customHeight="1">
      <c r="A55" s="403"/>
      <c r="B55" s="404"/>
      <c r="C55" s="404"/>
      <c r="D55" s="404"/>
      <c r="E55" s="404"/>
      <c r="F55" s="404"/>
      <c r="G55" s="404"/>
      <c r="H55" s="404"/>
      <c r="I55" s="404"/>
      <c r="J55" s="404"/>
      <c r="K55" s="404"/>
      <c r="L55" s="405"/>
      <c r="M55" s="406"/>
      <c r="N55" s="407"/>
      <c r="O55" s="439"/>
      <c r="P55" s="408"/>
      <c r="Q55" s="409"/>
      <c r="R55" s="408"/>
      <c r="S55" s="408"/>
    </row>
    <row r="56" spans="1:30" s="413" customFormat="1" ht="15" customHeight="1">
      <c r="A56" s="411"/>
      <c r="B56" s="412" t="s">
        <v>536</v>
      </c>
      <c r="C56" s="497"/>
      <c r="D56" s="497"/>
      <c r="E56" s="497"/>
      <c r="F56" s="497"/>
      <c r="G56" s="497"/>
      <c r="H56" s="497"/>
      <c r="I56" s="497"/>
      <c r="J56" s="497"/>
      <c r="K56" s="497"/>
      <c r="L56" s="411"/>
      <c r="M56" s="411"/>
      <c r="N56" s="411"/>
      <c r="O56" s="440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  <c r="AA56" s="411"/>
      <c r="AB56" s="411"/>
      <c r="AC56" s="411"/>
      <c r="AD56" s="411"/>
    </row>
    <row r="57" spans="1:30" s="413" customFormat="1" ht="14.25" customHeight="1">
      <c r="A57" s="411"/>
      <c r="B57" s="412"/>
      <c r="C57" s="497"/>
      <c r="D57" s="497"/>
      <c r="E57" s="497"/>
      <c r="F57" s="497"/>
      <c r="G57" s="497"/>
      <c r="H57" s="497"/>
      <c r="I57" s="497"/>
      <c r="J57" s="497"/>
      <c r="K57" s="497"/>
      <c r="L57" s="411"/>
      <c r="M57" s="411"/>
      <c r="N57" s="411"/>
      <c r="O57" s="440"/>
      <c r="P57" s="411"/>
      <c r="Q57" s="411"/>
      <c r="R57" s="411"/>
      <c r="S57" s="411"/>
      <c r="T57" s="411"/>
      <c r="U57" s="411"/>
      <c r="V57" s="411"/>
      <c r="W57" s="411"/>
      <c r="X57" s="411"/>
      <c r="Y57" s="411"/>
      <c r="Z57" s="411"/>
      <c r="AA57" s="411"/>
      <c r="AB57" s="411"/>
      <c r="AC57" s="411"/>
      <c r="AD57" s="411"/>
    </row>
    <row r="58" spans="1:30" s="413" customFormat="1" ht="15" customHeight="1">
      <c r="A58" s="411"/>
      <c r="B58" s="412" t="s">
        <v>535</v>
      </c>
      <c r="C58" s="497"/>
      <c r="D58" s="497"/>
      <c r="E58" s="497"/>
      <c r="F58" s="497"/>
      <c r="G58" s="497"/>
      <c r="H58" s="497"/>
      <c r="I58" s="497"/>
      <c r="J58" s="497"/>
      <c r="K58" s="497"/>
      <c r="L58" s="411"/>
      <c r="M58" s="411"/>
      <c r="N58" s="411"/>
      <c r="O58" s="441"/>
      <c r="P58" s="411"/>
      <c r="Q58" s="411"/>
      <c r="R58" s="411"/>
      <c r="S58" s="411"/>
      <c r="T58" s="411"/>
      <c r="U58" s="411"/>
      <c r="V58" s="411"/>
      <c r="W58" s="411"/>
      <c r="X58" s="411"/>
      <c r="Y58" s="411"/>
      <c r="Z58" s="411"/>
      <c r="AA58" s="411"/>
      <c r="AB58" s="411"/>
      <c r="AC58" s="411"/>
      <c r="AD58" s="411"/>
    </row>
    <row r="59" spans="1:30" s="410" customFormat="1">
      <c r="A59" s="414"/>
      <c r="C59" s="400"/>
      <c r="D59" s="400"/>
      <c r="E59" s="400"/>
      <c r="F59" s="400"/>
      <c r="G59" s="400"/>
      <c r="H59" s="400"/>
      <c r="I59" s="400"/>
      <c r="J59" s="400"/>
      <c r="K59" s="400"/>
      <c r="L59" s="415"/>
      <c r="M59" s="416"/>
      <c r="N59" s="401"/>
      <c r="O59" s="442" t="s">
        <v>156</v>
      </c>
      <c r="P59" s="417">
        <f>+N47</f>
        <v>396591555.5</v>
      </c>
    </row>
    <row r="60" spans="1:30" s="410" customFormat="1" ht="30">
      <c r="A60" s="414"/>
      <c r="B60" s="418"/>
      <c r="C60" s="400"/>
      <c r="D60" s="400"/>
      <c r="E60" s="400"/>
      <c r="F60" s="400"/>
      <c r="G60" s="400"/>
      <c r="H60" s="400"/>
      <c r="I60" s="400"/>
      <c r="J60" s="400"/>
      <c r="K60" s="400"/>
      <c r="L60" s="415"/>
      <c r="M60" s="416"/>
      <c r="N60" s="401"/>
      <c r="O60" s="442" t="s">
        <v>18</v>
      </c>
      <c r="P60" s="417">
        <f>+N6+N7+N10+N11+N19+N20+N21+N22+N24+N35-N46-N18</f>
        <v>1359133370</v>
      </c>
      <c r="Q60" s="409"/>
    </row>
    <row r="61" spans="1:30" s="410" customFormat="1" ht="30">
      <c r="A61" s="414"/>
      <c r="B61" s="418"/>
      <c r="C61" s="400"/>
      <c r="D61" s="400"/>
      <c r="E61" s="400"/>
      <c r="F61" s="400"/>
      <c r="G61" s="400"/>
      <c r="H61" s="400"/>
      <c r="I61" s="400"/>
      <c r="J61" s="400"/>
      <c r="K61" s="400"/>
      <c r="L61" s="415"/>
      <c r="M61" s="416"/>
      <c r="N61" s="401"/>
      <c r="O61" s="442" t="s">
        <v>157</v>
      </c>
      <c r="P61" s="417">
        <f>+P63-P65</f>
        <v>1331044615.45</v>
      </c>
      <c r="Q61" s="401"/>
    </row>
    <row r="62" spans="1:30" ht="20.25" customHeight="1">
      <c r="B62" s="418"/>
      <c r="O62" s="443"/>
      <c r="P62" s="419"/>
      <c r="Q62" s="409"/>
    </row>
    <row r="63" spans="1:30">
      <c r="O63" s="444" t="s">
        <v>171</v>
      </c>
      <c r="P63" s="420">
        <f>'Bank Liabilities Analysis (нац)'!M43+P64</f>
        <v>1727636170.95</v>
      </c>
    </row>
    <row r="64" spans="1:30" ht="34.5" customHeight="1">
      <c r="O64" s="444" t="s">
        <v>170</v>
      </c>
      <c r="P64" s="420">
        <f>+'Liquidity Analysis'!D41</f>
        <v>69975430</v>
      </c>
      <c r="Q64" s="421"/>
    </row>
    <row r="65" spans="15:16" ht="30">
      <c r="O65" s="444" t="s">
        <v>159</v>
      </c>
      <c r="P65" s="420">
        <f>IF(P59&gt;(P63*0.75),P63*0.75,P59)</f>
        <v>396591555.5</v>
      </c>
    </row>
    <row r="66" spans="15:16">
      <c r="P66" s="422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K47">
    <cfRule type="cellIs" dxfId="386" priority="281" operator="notEqual">
      <formula>$O$47</formula>
    </cfRule>
  </conditionalFormatting>
  <conditionalFormatting sqref="M54">
    <cfRule type="cellIs" dxfId="385" priority="14" operator="greaterThan">
      <formula>L54</formula>
    </cfRule>
  </conditionalFormatting>
  <conditionalFormatting sqref="M49:M53">
    <cfRule type="cellIs" dxfId="384" priority="13" operator="greaterThan">
      <formula>L49</formula>
    </cfRule>
  </conditionalFormatting>
  <conditionalFormatting sqref="C12:J22 C26:J42 C46:J46 C49:J54 D24:J24">
    <cfRule type="cellIs" dxfId="383" priority="12" operator="lessThan">
      <formula>0</formula>
    </cfRule>
  </conditionalFormatting>
  <conditionalFormatting sqref="C26:J42 C46:J46 C49:J54 C6:J22 D24:J24">
    <cfRule type="cellIs" dxfId="382" priority="11" operator="lessThan">
      <formula>0</formula>
    </cfRule>
  </conditionalFormatting>
  <conditionalFormatting sqref="C24">
    <cfRule type="cellIs" dxfId="381" priority="10" operator="lessThan">
      <formula>0</formula>
    </cfRule>
  </conditionalFormatting>
  <conditionalFormatting sqref="C24">
    <cfRule type="cellIs" dxfId="380" priority="9" operator="lessThan">
      <formula>0</formula>
    </cfRule>
  </conditionalFormatting>
  <conditionalFormatting sqref="D23:J23">
    <cfRule type="cellIs" dxfId="379" priority="8" operator="lessThan">
      <formula>0</formula>
    </cfRule>
  </conditionalFormatting>
  <conditionalFormatting sqref="D23:J23">
    <cfRule type="cellIs" dxfId="378" priority="7" operator="lessThan">
      <formula>0</formula>
    </cfRule>
  </conditionalFormatting>
  <conditionalFormatting sqref="C23">
    <cfRule type="cellIs" dxfId="377" priority="6" operator="lessThan">
      <formula>0</formula>
    </cfRule>
  </conditionalFormatting>
  <conditionalFormatting sqref="C23">
    <cfRule type="cellIs" dxfId="376" priority="5" operator="lessThan">
      <formula>0</formula>
    </cfRule>
  </conditionalFormatting>
  <conditionalFormatting sqref="C43:J43">
    <cfRule type="cellIs" dxfId="375" priority="4" operator="lessThan">
      <formula>0</formula>
    </cfRule>
  </conditionalFormatting>
  <conditionalFormatting sqref="C43:J43">
    <cfRule type="cellIs" dxfId="374" priority="3" operator="lessThan">
      <formula>0</formula>
    </cfRule>
  </conditionalFormatting>
  <conditionalFormatting sqref="C44:J44">
    <cfRule type="cellIs" dxfId="373" priority="2" operator="lessThan">
      <formula>0</formula>
    </cfRule>
  </conditionalFormatting>
  <conditionalFormatting sqref="C44:J44">
    <cfRule type="cellIs" dxfId="372" priority="1" operator="lessThan">
      <formula>0</formula>
    </cfRule>
  </conditionalFormatting>
  <dataValidations count="2">
    <dataValidation type="whole" operator="notEqual" allowBlank="1" showErrorMessage="1" error="Введите как целое число." sqref="J37:J38 D37:I39 K48 L48:N54 C48:J54 C6:J24 D25:J36 D40:J46 C25:C46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5" orientation="landscape" r:id="rId1"/>
  <headerFooter alignWithMargins="0"/>
  <ignoredErrors>
    <ignoredError sqref="C6:J8 C14:J16 C10:J10 C19:J20 C45:J45 C25:J30 C22:J22 C32:J39 C41:J42" unlockedFormula="1"/>
    <ignoredError sqref="L12:M12 L13 M28" formula="1"/>
    <ignoredError sqref="A6:A16 A26:A34 A17:B17 A19:B22 B31:B33 A45:B54 B25:B29 A37:B4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D74"/>
  <sheetViews>
    <sheetView view="pageBreakPreview" zoomScale="70" zoomScaleNormal="70" zoomScaleSheetLayoutView="70" workbookViewId="0">
      <selection activeCell="E27" sqref="E27"/>
    </sheetView>
  </sheetViews>
  <sheetFormatPr defaultRowHeight="12.75"/>
  <cols>
    <col min="1" max="1" width="6.28515625" style="211" customWidth="1"/>
    <col min="2" max="2" width="53.28515625" style="328" customWidth="1"/>
    <col min="3" max="10" width="18" style="155" customWidth="1"/>
    <col min="11" max="18" width="20.5703125" style="155" customWidth="1"/>
    <col min="19" max="21" width="15.85546875" style="155" customWidth="1"/>
    <col min="22" max="22" width="19.140625" style="163" customWidth="1"/>
    <col min="23" max="24" width="17.5703125" style="159" customWidth="1"/>
    <col min="25" max="25" width="19.42578125" style="155" bestFit="1" customWidth="1"/>
    <col min="26" max="26" width="20.7109375" style="155" customWidth="1"/>
    <col min="27" max="27" width="17.5703125" style="327" customWidth="1"/>
    <col min="28" max="16384" width="9.140625" style="155"/>
  </cols>
  <sheetData>
    <row r="1" spans="1:27" s="312" customFormat="1" ht="30" customHeight="1">
      <c r="A1" s="306" t="s">
        <v>401</v>
      </c>
      <c r="B1" s="307"/>
      <c r="C1" s="308"/>
      <c r="D1" s="308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10"/>
      <c r="P1" s="310"/>
      <c r="Q1" s="310"/>
      <c r="R1" s="310"/>
      <c r="S1" s="310"/>
      <c r="T1" s="310"/>
      <c r="U1" s="310"/>
      <c r="V1" s="310"/>
      <c r="W1" s="311" t="s">
        <v>402</v>
      </c>
      <c r="X1" s="311"/>
    </row>
    <row r="2" spans="1:27" ht="23.25" customHeight="1">
      <c r="B2" s="424" t="str">
        <f>Balance!B3</f>
        <v>"MKBANK"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247"/>
      <c r="U2" s="247"/>
      <c r="V2" s="389">
        <f>+Balance!D3</f>
        <v>45657</v>
      </c>
      <c r="W2" s="163"/>
      <c r="X2" s="159" t="s">
        <v>174</v>
      </c>
      <c r="Y2" s="160"/>
      <c r="AA2" s="155"/>
    </row>
    <row r="3" spans="1:27" s="312" customFormat="1" ht="21.75" customHeight="1">
      <c r="A3" s="532" t="s">
        <v>54</v>
      </c>
      <c r="B3" s="532" t="s">
        <v>333</v>
      </c>
      <c r="C3" s="542" t="s">
        <v>334</v>
      </c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4"/>
      <c r="S3" s="532" t="s">
        <v>176</v>
      </c>
      <c r="T3" s="548" t="s">
        <v>335</v>
      </c>
      <c r="U3" s="549"/>
      <c r="V3" s="535" t="s">
        <v>336</v>
      </c>
      <c r="W3" s="540"/>
      <c r="X3" s="536"/>
      <c r="AA3" s="313"/>
    </row>
    <row r="4" spans="1:27" s="312" customFormat="1" ht="21" customHeight="1">
      <c r="A4" s="533"/>
      <c r="B4" s="533"/>
      <c r="C4" s="542" t="s">
        <v>337</v>
      </c>
      <c r="D4" s="544"/>
      <c r="E4" s="542" t="s">
        <v>338</v>
      </c>
      <c r="F4" s="544"/>
      <c r="G4" s="542" t="s">
        <v>339</v>
      </c>
      <c r="H4" s="544"/>
      <c r="I4" s="542" t="s">
        <v>340</v>
      </c>
      <c r="J4" s="544"/>
      <c r="K4" s="542" t="s">
        <v>341</v>
      </c>
      <c r="L4" s="544"/>
      <c r="M4" s="542" t="s">
        <v>342</v>
      </c>
      <c r="N4" s="544"/>
      <c r="O4" s="542" t="s">
        <v>343</v>
      </c>
      <c r="P4" s="544"/>
      <c r="Q4" s="542" t="s">
        <v>344</v>
      </c>
      <c r="R4" s="544"/>
      <c r="S4" s="533"/>
      <c r="T4" s="550"/>
      <c r="U4" s="551"/>
      <c r="V4" s="537"/>
      <c r="W4" s="541"/>
      <c r="X4" s="538"/>
      <c r="AA4" s="313"/>
    </row>
    <row r="5" spans="1:27" s="312" customFormat="1" ht="102" customHeight="1">
      <c r="A5" s="533"/>
      <c r="B5" s="533"/>
      <c r="C5" s="271" t="s">
        <v>140</v>
      </c>
      <c r="D5" s="271" t="s">
        <v>345</v>
      </c>
      <c r="E5" s="271" t="s">
        <v>140</v>
      </c>
      <c r="F5" s="271" t="s">
        <v>345</v>
      </c>
      <c r="G5" s="271" t="s">
        <v>140</v>
      </c>
      <c r="H5" s="271" t="s">
        <v>345</v>
      </c>
      <c r="I5" s="271" t="s">
        <v>140</v>
      </c>
      <c r="J5" s="271" t="s">
        <v>345</v>
      </c>
      <c r="K5" s="271" t="s">
        <v>140</v>
      </c>
      <c r="L5" s="271" t="s">
        <v>345</v>
      </c>
      <c r="M5" s="271" t="s">
        <v>140</v>
      </c>
      <c r="N5" s="271" t="s">
        <v>345</v>
      </c>
      <c r="O5" s="271" t="s">
        <v>140</v>
      </c>
      <c r="P5" s="271" t="s">
        <v>345</v>
      </c>
      <c r="Q5" s="271" t="s">
        <v>140</v>
      </c>
      <c r="R5" s="271" t="s">
        <v>345</v>
      </c>
      <c r="S5" s="533"/>
      <c r="T5" s="271" t="s">
        <v>346</v>
      </c>
      <c r="U5" s="271" t="s">
        <v>347</v>
      </c>
      <c r="V5" s="426" t="s">
        <v>22</v>
      </c>
      <c r="W5" s="426" t="s">
        <v>309</v>
      </c>
      <c r="X5" s="426" t="s">
        <v>400</v>
      </c>
      <c r="AA5" s="313"/>
    </row>
    <row r="6" spans="1:27" s="312" customFormat="1" ht="25.5" customHeight="1">
      <c r="A6" s="314" t="s">
        <v>55</v>
      </c>
      <c r="B6" s="315" t="s">
        <v>403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316"/>
      <c r="W6" s="164"/>
      <c r="X6" s="164"/>
      <c r="AA6" s="313"/>
    </row>
    <row r="7" spans="1:27" s="312" customFormat="1" ht="25.5" customHeight="1">
      <c r="A7" s="314" t="s">
        <v>66</v>
      </c>
      <c r="B7" s="317" t="s">
        <v>404</v>
      </c>
      <c r="C7" s="493">
        <f>SUM(C8:C11)</f>
        <v>408681985</v>
      </c>
      <c r="D7" s="448">
        <f t="shared" ref="D7:R7" si="0">SUM(D8:D11)</f>
        <v>37236800</v>
      </c>
      <c r="E7" s="493">
        <f t="shared" ref="E7:F7" si="1">SUM(E8:E11)</f>
        <v>0</v>
      </c>
      <c r="F7" s="448">
        <f t="shared" si="1"/>
        <v>0</v>
      </c>
      <c r="G7" s="493">
        <f t="shared" si="0"/>
        <v>89537899</v>
      </c>
      <c r="H7" s="448">
        <f t="shared" si="0"/>
        <v>0</v>
      </c>
      <c r="I7" s="493">
        <f t="shared" ref="I7" si="2">SUM(I8:I11)</f>
        <v>0</v>
      </c>
      <c r="J7" s="448">
        <f t="shared" ref="J7" si="3">SUM(J8:J11)</f>
        <v>0</v>
      </c>
      <c r="K7" s="493">
        <f t="shared" si="0"/>
        <v>0</v>
      </c>
      <c r="L7" s="448">
        <f t="shared" si="0"/>
        <v>0</v>
      </c>
      <c r="M7" s="493">
        <f t="shared" si="0"/>
        <v>335434646</v>
      </c>
      <c r="N7" s="448">
        <f t="shared" si="0"/>
        <v>0</v>
      </c>
      <c r="O7" s="493">
        <f t="shared" ref="O7" si="4">SUM(O8:O11)</f>
        <v>0</v>
      </c>
      <c r="P7" s="448">
        <f t="shared" ref="P7" si="5">SUM(P8:P11)</f>
        <v>0</v>
      </c>
      <c r="Q7" s="493">
        <f t="shared" si="0"/>
        <v>0</v>
      </c>
      <c r="R7" s="448">
        <f t="shared" si="0"/>
        <v>0</v>
      </c>
      <c r="S7" s="493">
        <f>+C7+E7+G7+I7+K7+M7+O7+Q7</f>
        <v>833654530</v>
      </c>
      <c r="T7" s="493">
        <f>+S7-U7</f>
        <v>796417730</v>
      </c>
      <c r="U7" s="493">
        <f>+D7+F7+H7+J7+L7+N7+P7+R7</f>
        <v>37236800</v>
      </c>
      <c r="V7" s="316"/>
      <c r="W7" s="166"/>
      <c r="X7" s="166"/>
      <c r="AA7" s="313"/>
    </row>
    <row r="8" spans="1:27" s="170" customFormat="1" ht="25.5" customHeight="1">
      <c r="A8" s="276" t="s">
        <v>141</v>
      </c>
      <c r="B8" s="318" t="s">
        <v>405</v>
      </c>
      <c r="C8" s="494">
        <v>9078781</v>
      </c>
      <c r="D8" s="494">
        <v>3263089</v>
      </c>
      <c r="E8" s="514">
        <v>0</v>
      </c>
      <c r="F8" s="514">
        <v>0</v>
      </c>
      <c r="G8" s="514">
        <v>0</v>
      </c>
      <c r="H8" s="514">
        <v>0</v>
      </c>
      <c r="I8" s="514">
        <v>0</v>
      </c>
      <c r="J8" s="514">
        <v>0</v>
      </c>
      <c r="K8" s="514">
        <v>0</v>
      </c>
      <c r="L8" s="514">
        <v>0</v>
      </c>
      <c r="M8" s="514">
        <v>0</v>
      </c>
      <c r="N8" s="514">
        <v>0</v>
      </c>
      <c r="O8" s="514">
        <v>0</v>
      </c>
      <c r="P8" s="514">
        <v>0</v>
      </c>
      <c r="Q8" s="514">
        <v>0</v>
      </c>
      <c r="R8" s="514">
        <v>0</v>
      </c>
      <c r="S8" s="493">
        <f t="shared" ref="S8:S58" si="6">+C8+E8+G8+I8+K8+M8+O8+Q8</f>
        <v>9078781</v>
      </c>
      <c r="T8" s="493">
        <f t="shared" ref="T8:T58" si="7">+S8-U8</f>
        <v>5815692</v>
      </c>
      <c r="U8" s="493">
        <f t="shared" ref="U8:U58" si="8">+D8+F8+H8+J8+L8+N8+P8+R8</f>
        <v>3263089</v>
      </c>
      <c r="V8" s="193"/>
      <c r="W8" s="166"/>
      <c r="X8" s="166"/>
      <c r="AA8" s="217"/>
    </row>
    <row r="9" spans="1:27" s="170" customFormat="1" ht="25.5" customHeight="1">
      <c r="A9" s="276" t="s">
        <v>142</v>
      </c>
      <c r="B9" s="318" t="s">
        <v>406</v>
      </c>
      <c r="C9" s="494">
        <v>0</v>
      </c>
      <c r="D9" s="494">
        <v>0</v>
      </c>
      <c r="E9" s="494">
        <v>0</v>
      </c>
      <c r="F9" s="494">
        <v>0</v>
      </c>
      <c r="G9" s="494">
        <v>0</v>
      </c>
      <c r="H9" s="494">
        <v>0</v>
      </c>
      <c r="I9" s="494">
        <v>0</v>
      </c>
      <c r="J9" s="494">
        <v>0</v>
      </c>
      <c r="K9" s="494">
        <v>0</v>
      </c>
      <c r="L9" s="494">
        <v>0</v>
      </c>
      <c r="M9" s="494">
        <v>0</v>
      </c>
      <c r="N9" s="494">
        <v>0</v>
      </c>
      <c r="O9" s="494">
        <v>0</v>
      </c>
      <c r="P9" s="494">
        <v>0</v>
      </c>
      <c r="Q9" s="494">
        <v>0</v>
      </c>
      <c r="R9" s="494">
        <v>0</v>
      </c>
      <c r="S9" s="493">
        <f t="shared" si="6"/>
        <v>0</v>
      </c>
      <c r="T9" s="493">
        <f t="shared" si="7"/>
        <v>0</v>
      </c>
      <c r="U9" s="493">
        <f t="shared" si="8"/>
        <v>0</v>
      </c>
      <c r="V9" s="193"/>
      <c r="W9" s="166"/>
      <c r="X9" s="166"/>
      <c r="AA9" s="217"/>
    </row>
    <row r="10" spans="1:27" s="170" customFormat="1" ht="25.5" customHeight="1">
      <c r="A10" s="276" t="s">
        <v>143</v>
      </c>
      <c r="B10" s="318" t="s">
        <v>407</v>
      </c>
      <c r="C10" s="494">
        <v>0</v>
      </c>
      <c r="D10" s="494">
        <v>0</v>
      </c>
      <c r="E10" s="494">
        <v>0</v>
      </c>
      <c r="F10" s="494">
        <v>0</v>
      </c>
      <c r="G10" s="494">
        <v>0</v>
      </c>
      <c r="H10" s="494">
        <v>0</v>
      </c>
      <c r="I10" s="494">
        <v>0</v>
      </c>
      <c r="J10" s="494">
        <v>0</v>
      </c>
      <c r="K10" s="494">
        <v>0</v>
      </c>
      <c r="L10" s="494">
        <v>0</v>
      </c>
      <c r="M10" s="494">
        <v>0</v>
      </c>
      <c r="N10" s="494">
        <v>0</v>
      </c>
      <c r="O10" s="494">
        <v>0</v>
      </c>
      <c r="P10" s="494">
        <v>0</v>
      </c>
      <c r="Q10" s="494">
        <v>0</v>
      </c>
      <c r="R10" s="494">
        <v>0</v>
      </c>
      <c r="S10" s="493">
        <f t="shared" si="6"/>
        <v>0</v>
      </c>
      <c r="T10" s="493">
        <f t="shared" si="7"/>
        <v>0</v>
      </c>
      <c r="U10" s="493">
        <f t="shared" si="8"/>
        <v>0</v>
      </c>
      <c r="V10" s="193"/>
      <c r="W10" s="509"/>
      <c r="X10" s="509"/>
      <c r="AA10" s="217"/>
    </row>
    <row r="11" spans="1:27" s="170" customFormat="1" ht="25.5" customHeight="1">
      <c r="A11" s="276" t="s">
        <v>144</v>
      </c>
      <c r="B11" s="318" t="s">
        <v>408</v>
      </c>
      <c r="C11" s="494">
        <v>399603204</v>
      </c>
      <c r="D11" s="494">
        <v>33973711</v>
      </c>
      <c r="E11" s="494">
        <v>0</v>
      </c>
      <c r="F11" s="494">
        <v>0</v>
      </c>
      <c r="G11" s="494">
        <v>89537899</v>
      </c>
      <c r="H11" s="494">
        <v>0</v>
      </c>
      <c r="I11" s="494">
        <v>0</v>
      </c>
      <c r="J11" s="494">
        <v>0</v>
      </c>
      <c r="K11" s="494">
        <v>0</v>
      </c>
      <c r="L11" s="494">
        <v>0</v>
      </c>
      <c r="M11" s="494">
        <v>335434646</v>
      </c>
      <c r="N11" s="494">
        <v>0</v>
      </c>
      <c r="O11" s="494">
        <v>0</v>
      </c>
      <c r="P11" s="494">
        <v>0</v>
      </c>
      <c r="Q11" s="494">
        <v>0</v>
      </c>
      <c r="R11" s="494">
        <v>0</v>
      </c>
      <c r="S11" s="493">
        <f t="shared" si="6"/>
        <v>824575749</v>
      </c>
      <c r="T11" s="493">
        <f t="shared" si="7"/>
        <v>790602038</v>
      </c>
      <c r="U11" s="493">
        <f t="shared" si="8"/>
        <v>33973711</v>
      </c>
      <c r="V11" s="193"/>
      <c r="W11" s="509"/>
      <c r="X11" s="509"/>
      <c r="AA11" s="217"/>
    </row>
    <row r="12" spans="1:27" s="170" customFormat="1" ht="25.5" customHeight="1">
      <c r="A12" s="276" t="s">
        <v>67</v>
      </c>
      <c r="B12" s="318" t="s">
        <v>232</v>
      </c>
      <c r="C12" s="494">
        <v>15442047</v>
      </c>
      <c r="D12" s="494">
        <v>972393</v>
      </c>
      <c r="E12" s="494">
        <v>285210842</v>
      </c>
      <c r="F12" s="494">
        <v>6734</v>
      </c>
      <c r="G12" s="494">
        <v>78487702</v>
      </c>
      <c r="H12" s="494">
        <v>489466</v>
      </c>
      <c r="I12" s="494">
        <v>210126817</v>
      </c>
      <c r="J12" s="494">
        <v>1674473</v>
      </c>
      <c r="K12" s="494">
        <v>630016528</v>
      </c>
      <c r="L12" s="494">
        <v>1358967</v>
      </c>
      <c r="M12" s="494">
        <v>1395519767</v>
      </c>
      <c r="N12" s="494">
        <v>86212271</v>
      </c>
      <c r="O12" s="494">
        <v>2429191489</v>
      </c>
      <c r="P12" s="494">
        <v>583720084</v>
      </c>
      <c r="Q12" s="494">
        <v>1502236195</v>
      </c>
      <c r="R12" s="494">
        <v>155168499</v>
      </c>
      <c r="S12" s="493">
        <f t="shared" si="6"/>
        <v>6546231387</v>
      </c>
      <c r="T12" s="493">
        <f t="shared" si="7"/>
        <v>5716628500</v>
      </c>
      <c r="U12" s="493">
        <f t="shared" si="8"/>
        <v>829602887</v>
      </c>
      <c r="V12" s="193"/>
      <c r="W12" s="509"/>
      <c r="X12" s="509"/>
      <c r="AA12" s="217"/>
    </row>
    <row r="13" spans="1:27" s="170" customFormat="1" ht="25.5" customHeight="1">
      <c r="A13" s="276" t="s">
        <v>154</v>
      </c>
      <c r="B13" s="319" t="s">
        <v>409</v>
      </c>
      <c r="C13" s="494">
        <v>15316515</v>
      </c>
      <c r="D13" s="494">
        <v>972393</v>
      </c>
      <c r="E13" s="494">
        <v>6227719</v>
      </c>
      <c r="F13" s="494">
        <v>6734</v>
      </c>
      <c r="G13" s="494">
        <v>31387702</v>
      </c>
      <c r="H13" s="494">
        <v>489466</v>
      </c>
      <c r="I13" s="494">
        <v>61345216</v>
      </c>
      <c r="J13" s="494">
        <v>1674473</v>
      </c>
      <c r="K13" s="494">
        <v>67497778</v>
      </c>
      <c r="L13" s="494">
        <v>1358967</v>
      </c>
      <c r="M13" s="494">
        <v>161422930</v>
      </c>
      <c r="N13" s="494">
        <v>3973416</v>
      </c>
      <c r="O13" s="494">
        <v>1736136188</v>
      </c>
      <c r="P13" s="494">
        <v>144758783</v>
      </c>
      <c r="Q13" s="494">
        <v>92670737</v>
      </c>
      <c r="R13" s="494">
        <v>15213860</v>
      </c>
      <c r="S13" s="493">
        <f t="shared" si="6"/>
        <v>2172004785</v>
      </c>
      <c r="T13" s="493">
        <f t="shared" si="7"/>
        <v>2003556693</v>
      </c>
      <c r="U13" s="493">
        <f t="shared" si="8"/>
        <v>168448092</v>
      </c>
      <c r="V13" s="193"/>
      <c r="W13" s="509"/>
      <c r="X13" s="509"/>
      <c r="AA13" s="217"/>
    </row>
    <row r="14" spans="1:27" s="170" customFormat="1" ht="25.5" customHeight="1">
      <c r="A14" s="276" t="s">
        <v>155</v>
      </c>
      <c r="B14" s="319" t="s">
        <v>410</v>
      </c>
      <c r="C14" s="494">
        <v>0</v>
      </c>
      <c r="D14" s="494">
        <v>0</v>
      </c>
      <c r="E14" s="494">
        <v>0</v>
      </c>
      <c r="F14" s="494">
        <v>0</v>
      </c>
      <c r="G14" s="494">
        <v>0</v>
      </c>
      <c r="H14" s="494">
        <v>0</v>
      </c>
      <c r="I14" s="494">
        <v>0</v>
      </c>
      <c r="J14" s="494">
        <v>0</v>
      </c>
      <c r="K14" s="494">
        <v>0</v>
      </c>
      <c r="L14" s="494">
        <v>0</v>
      </c>
      <c r="M14" s="494">
        <v>0</v>
      </c>
      <c r="N14" s="494">
        <v>0</v>
      </c>
      <c r="O14" s="494">
        <v>0</v>
      </c>
      <c r="P14" s="494">
        <v>0</v>
      </c>
      <c r="Q14" s="494">
        <v>0</v>
      </c>
      <c r="R14" s="494">
        <v>0</v>
      </c>
      <c r="S14" s="493">
        <f t="shared" si="6"/>
        <v>0</v>
      </c>
      <c r="T14" s="493">
        <f t="shared" si="7"/>
        <v>0</v>
      </c>
      <c r="U14" s="493">
        <f t="shared" si="8"/>
        <v>0</v>
      </c>
      <c r="V14" s="193"/>
      <c r="W14" s="509"/>
      <c r="X14" s="509"/>
      <c r="AA14" s="217"/>
    </row>
    <row r="15" spans="1:27" s="170" customFormat="1" ht="25.5" customHeight="1">
      <c r="A15" s="276" t="s">
        <v>68</v>
      </c>
      <c r="B15" s="318" t="s">
        <v>411</v>
      </c>
      <c r="C15" s="493">
        <f t="shared" ref="C15:R15" si="9">SUM(C16:C19)</f>
        <v>452041914</v>
      </c>
      <c r="D15" s="448">
        <f t="shared" si="9"/>
        <v>22088532</v>
      </c>
      <c r="E15" s="493">
        <f t="shared" si="9"/>
        <v>0</v>
      </c>
      <c r="F15" s="448">
        <f t="shared" si="9"/>
        <v>0</v>
      </c>
      <c r="G15" s="493">
        <f t="shared" si="9"/>
        <v>0</v>
      </c>
      <c r="H15" s="448">
        <f t="shared" si="9"/>
        <v>0</v>
      </c>
      <c r="I15" s="493">
        <f t="shared" si="9"/>
        <v>0</v>
      </c>
      <c r="J15" s="448">
        <f t="shared" si="9"/>
        <v>0</v>
      </c>
      <c r="K15" s="493">
        <f t="shared" si="9"/>
        <v>0</v>
      </c>
      <c r="L15" s="448">
        <f t="shared" si="9"/>
        <v>0</v>
      </c>
      <c r="M15" s="493">
        <f t="shared" si="9"/>
        <v>0</v>
      </c>
      <c r="N15" s="448">
        <f t="shared" si="9"/>
        <v>0</v>
      </c>
      <c r="O15" s="493">
        <f t="shared" si="9"/>
        <v>0</v>
      </c>
      <c r="P15" s="448">
        <f t="shared" si="9"/>
        <v>0</v>
      </c>
      <c r="Q15" s="493">
        <f t="shared" si="9"/>
        <v>0</v>
      </c>
      <c r="R15" s="448">
        <f t="shared" si="9"/>
        <v>0</v>
      </c>
      <c r="S15" s="493">
        <f t="shared" si="6"/>
        <v>452041914</v>
      </c>
      <c r="T15" s="493">
        <f t="shared" si="7"/>
        <v>429953382</v>
      </c>
      <c r="U15" s="493">
        <f t="shared" si="8"/>
        <v>22088532</v>
      </c>
      <c r="V15" s="193"/>
      <c r="W15" s="509"/>
      <c r="X15" s="509"/>
      <c r="AA15" s="217"/>
    </row>
    <row r="16" spans="1:27" s="170" customFormat="1" ht="28.5" customHeight="1">
      <c r="A16" s="276" t="s">
        <v>145</v>
      </c>
      <c r="B16" s="318" t="s">
        <v>412</v>
      </c>
      <c r="C16" s="494">
        <v>383678232</v>
      </c>
      <c r="D16" s="494">
        <v>12797358</v>
      </c>
      <c r="E16" s="494">
        <v>0</v>
      </c>
      <c r="F16" s="494">
        <v>0</v>
      </c>
      <c r="G16" s="494">
        <v>0</v>
      </c>
      <c r="H16" s="494">
        <v>0</v>
      </c>
      <c r="I16" s="494">
        <v>0</v>
      </c>
      <c r="J16" s="494">
        <v>0</v>
      </c>
      <c r="K16" s="494">
        <v>0</v>
      </c>
      <c r="L16" s="494">
        <v>0</v>
      </c>
      <c r="M16" s="494">
        <v>0</v>
      </c>
      <c r="N16" s="494">
        <v>0</v>
      </c>
      <c r="O16" s="494">
        <v>0</v>
      </c>
      <c r="P16" s="494">
        <v>0</v>
      </c>
      <c r="Q16" s="494">
        <v>0</v>
      </c>
      <c r="R16" s="494">
        <v>0</v>
      </c>
      <c r="S16" s="493">
        <f t="shared" si="6"/>
        <v>383678232</v>
      </c>
      <c r="T16" s="493">
        <f t="shared" si="7"/>
        <v>370880874</v>
      </c>
      <c r="U16" s="493">
        <f t="shared" si="8"/>
        <v>12797358</v>
      </c>
      <c r="V16" s="193"/>
      <c r="W16" s="509"/>
      <c r="X16" s="509"/>
      <c r="AA16" s="217"/>
    </row>
    <row r="17" spans="1:27" s="170" customFormat="1" ht="28.5" customHeight="1">
      <c r="A17" s="276" t="s">
        <v>146</v>
      </c>
      <c r="B17" s="318" t="s">
        <v>413</v>
      </c>
      <c r="C17" s="494">
        <v>8074755</v>
      </c>
      <c r="D17" s="494">
        <v>22213</v>
      </c>
      <c r="E17" s="494">
        <v>0</v>
      </c>
      <c r="F17" s="494">
        <v>0</v>
      </c>
      <c r="G17" s="494">
        <v>0</v>
      </c>
      <c r="H17" s="494">
        <v>0</v>
      </c>
      <c r="I17" s="494">
        <v>0</v>
      </c>
      <c r="J17" s="494">
        <v>0</v>
      </c>
      <c r="K17" s="494">
        <v>0</v>
      </c>
      <c r="L17" s="494">
        <v>0</v>
      </c>
      <c r="M17" s="494">
        <v>0</v>
      </c>
      <c r="N17" s="494">
        <v>0</v>
      </c>
      <c r="O17" s="494">
        <v>0</v>
      </c>
      <c r="P17" s="494">
        <v>0</v>
      </c>
      <c r="Q17" s="494">
        <v>0</v>
      </c>
      <c r="R17" s="494">
        <v>0</v>
      </c>
      <c r="S17" s="493">
        <f t="shared" si="6"/>
        <v>8074755</v>
      </c>
      <c r="T17" s="493">
        <f t="shared" si="7"/>
        <v>8052542</v>
      </c>
      <c r="U17" s="493">
        <f t="shared" si="8"/>
        <v>22213</v>
      </c>
      <c r="V17" s="193"/>
      <c r="W17" s="509"/>
      <c r="X17" s="509"/>
      <c r="AA17" s="217"/>
    </row>
    <row r="18" spans="1:27" s="170" customFormat="1" ht="25.5" customHeight="1">
      <c r="A18" s="276" t="s">
        <v>147</v>
      </c>
      <c r="B18" s="318" t="s">
        <v>414</v>
      </c>
      <c r="C18" s="494">
        <v>9099543</v>
      </c>
      <c r="D18" s="494">
        <v>9099543</v>
      </c>
      <c r="E18" s="494">
        <v>0</v>
      </c>
      <c r="F18" s="494">
        <v>0</v>
      </c>
      <c r="G18" s="494">
        <v>0</v>
      </c>
      <c r="H18" s="494">
        <v>0</v>
      </c>
      <c r="I18" s="494">
        <v>0</v>
      </c>
      <c r="J18" s="494">
        <v>0</v>
      </c>
      <c r="K18" s="494">
        <v>0</v>
      </c>
      <c r="L18" s="494">
        <v>0</v>
      </c>
      <c r="M18" s="494">
        <v>0</v>
      </c>
      <c r="N18" s="494">
        <v>0</v>
      </c>
      <c r="O18" s="494">
        <v>0</v>
      </c>
      <c r="P18" s="494">
        <v>0</v>
      </c>
      <c r="Q18" s="494">
        <v>0</v>
      </c>
      <c r="R18" s="494">
        <v>0</v>
      </c>
      <c r="S18" s="493">
        <f t="shared" si="6"/>
        <v>9099543</v>
      </c>
      <c r="T18" s="493">
        <f t="shared" si="7"/>
        <v>0</v>
      </c>
      <c r="U18" s="493">
        <f t="shared" si="8"/>
        <v>9099543</v>
      </c>
      <c r="V18" s="193"/>
      <c r="W18" s="509"/>
      <c r="X18" s="509"/>
      <c r="AA18" s="217"/>
    </row>
    <row r="19" spans="1:27" s="170" customFormat="1" ht="25.5" customHeight="1">
      <c r="A19" s="276" t="s">
        <v>148</v>
      </c>
      <c r="B19" s="318" t="s">
        <v>368</v>
      </c>
      <c r="C19" s="494">
        <v>51189384</v>
      </c>
      <c r="D19" s="494">
        <v>169418</v>
      </c>
      <c r="E19" s="494">
        <v>0</v>
      </c>
      <c r="F19" s="494">
        <v>0</v>
      </c>
      <c r="G19" s="494">
        <v>0</v>
      </c>
      <c r="H19" s="494">
        <v>0</v>
      </c>
      <c r="I19" s="494">
        <v>0</v>
      </c>
      <c r="J19" s="494">
        <v>0</v>
      </c>
      <c r="K19" s="494">
        <v>0</v>
      </c>
      <c r="L19" s="494">
        <v>0</v>
      </c>
      <c r="M19" s="494">
        <v>0</v>
      </c>
      <c r="N19" s="494">
        <v>0</v>
      </c>
      <c r="O19" s="494">
        <v>0</v>
      </c>
      <c r="P19" s="494">
        <v>0</v>
      </c>
      <c r="Q19" s="494">
        <v>0</v>
      </c>
      <c r="R19" s="494">
        <v>0</v>
      </c>
      <c r="S19" s="493">
        <f t="shared" si="6"/>
        <v>51189384</v>
      </c>
      <c r="T19" s="493">
        <f t="shared" si="7"/>
        <v>51019966</v>
      </c>
      <c r="U19" s="493">
        <f t="shared" si="8"/>
        <v>169418</v>
      </c>
      <c r="V19" s="193"/>
      <c r="W19" s="509"/>
      <c r="X19" s="509"/>
      <c r="AA19" s="217"/>
    </row>
    <row r="20" spans="1:27" s="170" customFormat="1" ht="25.5" customHeight="1">
      <c r="A20" s="276" t="s">
        <v>69</v>
      </c>
      <c r="B20" s="320" t="s">
        <v>415</v>
      </c>
      <c r="C20" s="448">
        <f t="shared" ref="C20:R20" si="10">+C7+C12+C15</f>
        <v>876165946</v>
      </c>
      <c r="D20" s="448">
        <f t="shared" si="10"/>
        <v>60297725</v>
      </c>
      <c r="E20" s="448">
        <f t="shared" si="10"/>
        <v>285210842</v>
      </c>
      <c r="F20" s="448">
        <f t="shared" si="10"/>
        <v>6734</v>
      </c>
      <c r="G20" s="448">
        <f t="shared" si="10"/>
        <v>168025601</v>
      </c>
      <c r="H20" s="448">
        <f t="shared" si="10"/>
        <v>489466</v>
      </c>
      <c r="I20" s="448">
        <f t="shared" si="10"/>
        <v>210126817</v>
      </c>
      <c r="J20" s="448">
        <f t="shared" si="10"/>
        <v>1674473</v>
      </c>
      <c r="K20" s="448">
        <f t="shared" si="10"/>
        <v>630016528</v>
      </c>
      <c r="L20" s="448">
        <f t="shared" si="10"/>
        <v>1358967</v>
      </c>
      <c r="M20" s="448">
        <f t="shared" si="10"/>
        <v>1730954413</v>
      </c>
      <c r="N20" s="448">
        <f t="shared" si="10"/>
        <v>86212271</v>
      </c>
      <c r="O20" s="448">
        <f t="shared" si="10"/>
        <v>2429191489</v>
      </c>
      <c r="P20" s="448">
        <f t="shared" si="10"/>
        <v>583720084</v>
      </c>
      <c r="Q20" s="448">
        <f t="shared" si="10"/>
        <v>1502236195</v>
      </c>
      <c r="R20" s="448">
        <f t="shared" si="10"/>
        <v>155168499</v>
      </c>
      <c r="S20" s="493">
        <f t="shared" si="6"/>
        <v>7831927831</v>
      </c>
      <c r="T20" s="493">
        <f t="shared" si="7"/>
        <v>6942999612</v>
      </c>
      <c r="U20" s="493">
        <f t="shared" si="8"/>
        <v>888928219</v>
      </c>
      <c r="V20" s="193">
        <v>0.15</v>
      </c>
      <c r="W20" s="509">
        <f>+X20+'Bank Liabilities Analysis (нац)'!M21</f>
        <v>1165098814.6499999</v>
      </c>
      <c r="X20" s="509">
        <f>(U20-(J46+L46+N46+P46+R46))*V20</f>
        <v>123648872.84999999</v>
      </c>
      <c r="Y20" s="382">
        <f>+'Deposits by Client'!C22</f>
        <v>7831927831</v>
      </c>
      <c r="Z20" s="382">
        <f>+Y20-AA20</f>
        <v>6942999612</v>
      </c>
      <c r="AA20" s="382">
        <f>+'Deposits by Client'!D22</f>
        <v>888928219</v>
      </c>
    </row>
    <row r="21" spans="1:27" s="170" customFormat="1" ht="25.5" customHeight="1">
      <c r="A21" s="276" t="s">
        <v>57</v>
      </c>
      <c r="B21" s="318" t="s">
        <v>234</v>
      </c>
      <c r="C21" s="494">
        <v>189146</v>
      </c>
      <c r="D21" s="494">
        <v>0</v>
      </c>
      <c r="E21" s="494">
        <v>0</v>
      </c>
      <c r="F21" s="494">
        <v>0</v>
      </c>
      <c r="G21" s="494">
        <v>0</v>
      </c>
      <c r="H21" s="494">
        <v>0</v>
      </c>
      <c r="I21" s="494">
        <v>0</v>
      </c>
      <c r="J21" s="494">
        <v>0</v>
      </c>
      <c r="K21" s="494">
        <v>0</v>
      </c>
      <c r="L21" s="494">
        <v>0</v>
      </c>
      <c r="M21" s="494">
        <v>0</v>
      </c>
      <c r="N21" s="494">
        <v>0</v>
      </c>
      <c r="O21" s="494">
        <v>0</v>
      </c>
      <c r="P21" s="494">
        <v>0</v>
      </c>
      <c r="Q21" s="494">
        <v>0</v>
      </c>
      <c r="R21" s="494">
        <v>0</v>
      </c>
      <c r="S21" s="493">
        <f t="shared" si="6"/>
        <v>189146</v>
      </c>
      <c r="T21" s="493">
        <f t="shared" si="7"/>
        <v>189146</v>
      </c>
      <c r="U21" s="493">
        <f t="shared" si="8"/>
        <v>0</v>
      </c>
      <c r="V21" s="193">
        <v>1</v>
      </c>
      <c r="W21" s="509">
        <f>(C21+E21+G21-C22-E22-G22)*V21</f>
        <v>0</v>
      </c>
      <c r="X21" s="509">
        <f>(D21+F21+H21-D22-F22-H22)*V21</f>
        <v>0</v>
      </c>
      <c r="Y21" s="217">
        <f>+S20-Y20</f>
        <v>0</v>
      </c>
      <c r="Z21" s="217">
        <f>+T20-Z20</f>
        <v>0</v>
      </c>
      <c r="AA21" s="217">
        <f>+U20-AA20</f>
        <v>0</v>
      </c>
    </row>
    <row r="22" spans="1:27" s="170" customFormat="1" ht="43.5" customHeight="1">
      <c r="A22" s="276" t="s">
        <v>94</v>
      </c>
      <c r="B22" s="318" t="s">
        <v>541</v>
      </c>
      <c r="C22" s="494">
        <v>189146</v>
      </c>
      <c r="D22" s="494">
        <v>0</v>
      </c>
      <c r="E22" s="494">
        <v>0</v>
      </c>
      <c r="F22" s="494">
        <v>0</v>
      </c>
      <c r="G22" s="494">
        <v>0</v>
      </c>
      <c r="H22" s="494">
        <v>0</v>
      </c>
      <c r="I22" s="494">
        <v>0</v>
      </c>
      <c r="J22" s="494">
        <v>0</v>
      </c>
      <c r="K22" s="494">
        <v>0</v>
      </c>
      <c r="L22" s="494">
        <v>0</v>
      </c>
      <c r="M22" s="494">
        <v>0</v>
      </c>
      <c r="N22" s="494">
        <v>0</v>
      </c>
      <c r="O22" s="494">
        <v>0</v>
      </c>
      <c r="P22" s="494">
        <v>0</v>
      </c>
      <c r="Q22" s="494">
        <v>0</v>
      </c>
      <c r="R22" s="494">
        <v>0</v>
      </c>
      <c r="S22" s="448">
        <f t="shared" ref="S22" si="11">+C22+E22+G22+I22+K22+M22+O22+Q22</f>
        <v>189146</v>
      </c>
      <c r="T22" s="448">
        <f t="shared" ref="T22" si="12">+S22-U22</f>
        <v>189146</v>
      </c>
      <c r="U22" s="448">
        <f t="shared" ref="U22" si="13">+D22+F22+H22+J22+L22+N22+P22+R22</f>
        <v>0</v>
      </c>
      <c r="V22" s="193"/>
      <c r="W22" s="509"/>
      <c r="X22" s="509"/>
      <c r="Y22" s="217"/>
      <c r="Z22" s="217"/>
      <c r="AA22" s="217"/>
    </row>
    <row r="23" spans="1:27" s="170" customFormat="1" ht="25.5" customHeight="1">
      <c r="A23" s="276" t="s">
        <v>58</v>
      </c>
      <c r="B23" s="318" t="s">
        <v>416</v>
      </c>
      <c r="C23" s="448">
        <f>SUM(C24:C28)-C25</f>
        <v>20015432</v>
      </c>
      <c r="D23" s="448">
        <f t="shared" ref="D23:R23" si="14">SUM(D24:D28)-D25</f>
        <v>0</v>
      </c>
      <c r="E23" s="448">
        <f t="shared" si="14"/>
        <v>128572222</v>
      </c>
      <c r="F23" s="448">
        <f t="shared" si="14"/>
        <v>0</v>
      </c>
      <c r="G23" s="448">
        <f t="shared" si="14"/>
        <v>65054874</v>
      </c>
      <c r="H23" s="448">
        <f t="shared" si="14"/>
        <v>0</v>
      </c>
      <c r="I23" s="448">
        <f t="shared" si="14"/>
        <v>540930229</v>
      </c>
      <c r="J23" s="448">
        <f t="shared" si="14"/>
        <v>0</v>
      </c>
      <c r="K23" s="448">
        <f t="shared" si="14"/>
        <v>143737728</v>
      </c>
      <c r="L23" s="448">
        <f t="shared" si="14"/>
        <v>67180050</v>
      </c>
      <c r="M23" s="448">
        <f t="shared" si="14"/>
        <v>80315374</v>
      </c>
      <c r="N23" s="448">
        <f t="shared" si="14"/>
        <v>0</v>
      </c>
      <c r="O23" s="448">
        <f t="shared" si="14"/>
        <v>134553420</v>
      </c>
      <c r="P23" s="448">
        <f t="shared" si="14"/>
        <v>0</v>
      </c>
      <c r="Q23" s="448">
        <f t="shared" si="14"/>
        <v>495713335</v>
      </c>
      <c r="R23" s="448">
        <f t="shared" si="14"/>
        <v>0</v>
      </c>
      <c r="S23" s="448">
        <f t="shared" si="6"/>
        <v>1608892614</v>
      </c>
      <c r="T23" s="448">
        <f t="shared" si="7"/>
        <v>1541712564</v>
      </c>
      <c r="U23" s="448">
        <f t="shared" si="8"/>
        <v>67180050</v>
      </c>
      <c r="V23" s="193"/>
      <c r="W23" s="509"/>
      <c r="X23" s="509"/>
      <c r="AA23" s="217"/>
    </row>
    <row r="24" spans="1:27" s="170" customFormat="1" ht="27.75" customHeight="1">
      <c r="A24" s="276" t="s">
        <v>74</v>
      </c>
      <c r="B24" s="318" t="s">
        <v>417</v>
      </c>
      <c r="C24" s="494">
        <v>0</v>
      </c>
      <c r="D24" s="494">
        <v>0</v>
      </c>
      <c r="E24" s="448"/>
      <c r="F24" s="448"/>
      <c r="G24" s="448"/>
      <c r="H24" s="448"/>
      <c r="I24" s="448"/>
      <c r="J24" s="448"/>
      <c r="K24" s="448"/>
      <c r="L24" s="448"/>
      <c r="M24" s="448"/>
      <c r="N24" s="448"/>
      <c r="O24" s="448"/>
      <c r="P24" s="448"/>
      <c r="Q24" s="448"/>
      <c r="R24" s="448"/>
      <c r="S24" s="448">
        <f>+C24</f>
        <v>0</v>
      </c>
      <c r="T24" s="448">
        <f t="shared" ref="T24" si="15">+S24-U24</f>
        <v>0</v>
      </c>
      <c r="U24" s="448">
        <f>+D24</f>
        <v>0</v>
      </c>
      <c r="V24" s="193">
        <v>1</v>
      </c>
      <c r="W24" s="509">
        <f>X24+'Bank Liabilities Analysis (нац)'!M25</f>
        <v>0</v>
      </c>
      <c r="X24" s="509">
        <f>(U24-U25)*V24</f>
        <v>0</v>
      </c>
      <c r="AA24" s="217"/>
    </row>
    <row r="25" spans="1:27" s="170" customFormat="1" ht="27.75" customHeight="1">
      <c r="A25" s="276" t="s">
        <v>551</v>
      </c>
      <c r="B25" s="318" t="s">
        <v>552</v>
      </c>
      <c r="C25" s="494">
        <v>0</v>
      </c>
      <c r="D25" s="494">
        <v>0</v>
      </c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>
        <f>+C25</f>
        <v>0</v>
      </c>
      <c r="T25" s="448">
        <f t="shared" ref="T25" si="16">+S25-U25</f>
        <v>0</v>
      </c>
      <c r="U25" s="448">
        <f>+D25</f>
        <v>0</v>
      </c>
      <c r="V25" s="193">
        <v>1</v>
      </c>
      <c r="W25" s="509">
        <f>(U25*V25)</f>
        <v>0</v>
      </c>
      <c r="X25" s="509">
        <f>(U25*V25)</f>
        <v>0</v>
      </c>
      <c r="AA25" s="217"/>
    </row>
    <row r="26" spans="1:27" s="170" customFormat="1" ht="25.5" customHeight="1">
      <c r="A26" s="276" t="s">
        <v>75</v>
      </c>
      <c r="B26" s="318" t="s">
        <v>418</v>
      </c>
      <c r="C26" s="494">
        <v>15000000</v>
      </c>
      <c r="D26" s="494">
        <v>0</v>
      </c>
      <c r="E26" s="494">
        <v>128572222</v>
      </c>
      <c r="F26" s="494">
        <v>0</v>
      </c>
      <c r="G26" s="494">
        <v>65054874</v>
      </c>
      <c r="H26" s="494">
        <v>0</v>
      </c>
      <c r="I26" s="494">
        <v>540930229</v>
      </c>
      <c r="J26" s="494">
        <v>0</v>
      </c>
      <c r="K26" s="494">
        <v>143737728</v>
      </c>
      <c r="L26" s="494">
        <v>67180050</v>
      </c>
      <c r="M26" s="494">
        <v>80315374</v>
      </c>
      <c r="N26" s="494">
        <v>0</v>
      </c>
      <c r="O26" s="494">
        <v>134553420</v>
      </c>
      <c r="P26" s="494">
        <v>0</v>
      </c>
      <c r="Q26" s="494">
        <v>495713335</v>
      </c>
      <c r="R26" s="494">
        <v>0</v>
      </c>
      <c r="S26" s="448">
        <f t="shared" si="6"/>
        <v>1603877182</v>
      </c>
      <c r="T26" s="448">
        <f t="shared" si="7"/>
        <v>1536697132</v>
      </c>
      <c r="U26" s="448">
        <f t="shared" si="8"/>
        <v>67180050</v>
      </c>
      <c r="V26" s="193">
        <v>1</v>
      </c>
      <c r="W26" s="509">
        <f>(C26+E26+G26)*V26</f>
        <v>208627096</v>
      </c>
      <c r="X26" s="509">
        <f>(D26+F26+H26)*V26</f>
        <v>0</v>
      </c>
      <c r="AA26" s="217"/>
    </row>
    <row r="27" spans="1:27" s="170" customFormat="1" ht="25.5" customHeight="1">
      <c r="A27" s="276" t="s">
        <v>15</v>
      </c>
      <c r="B27" s="318" t="s">
        <v>495</v>
      </c>
      <c r="C27" s="494">
        <v>15432</v>
      </c>
      <c r="D27" s="494">
        <v>0</v>
      </c>
      <c r="E27" s="494">
        <v>0</v>
      </c>
      <c r="F27" s="494">
        <v>0</v>
      </c>
      <c r="G27" s="494">
        <v>0</v>
      </c>
      <c r="H27" s="494">
        <v>0</v>
      </c>
      <c r="I27" s="494">
        <v>0</v>
      </c>
      <c r="J27" s="494">
        <v>0</v>
      </c>
      <c r="K27" s="494">
        <v>0</v>
      </c>
      <c r="L27" s="494">
        <v>0</v>
      </c>
      <c r="M27" s="494">
        <v>0</v>
      </c>
      <c r="N27" s="494">
        <v>0</v>
      </c>
      <c r="O27" s="494">
        <v>0</v>
      </c>
      <c r="P27" s="494">
        <v>0</v>
      </c>
      <c r="Q27" s="494">
        <v>0</v>
      </c>
      <c r="R27" s="494">
        <v>0</v>
      </c>
      <c r="S27" s="448">
        <f t="shared" si="6"/>
        <v>15432</v>
      </c>
      <c r="T27" s="448">
        <f t="shared" si="7"/>
        <v>15432</v>
      </c>
      <c r="U27" s="448">
        <f t="shared" si="8"/>
        <v>0</v>
      </c>
      <c r="V27" s="193">
        <v>1</v>
      </c>
      <c r="W27" s="509">
        <f>(C27+E27+G27)*V27</f>
        <v>15432</v>
      </c>
      <c r="X27" s="509">
        <f>(D27+F27+H27)*V27</f>
        <v>0</v>
      </c>
      <c r="AA27" s="217"/>
    </row>
    <row r="28" spans="1:27" s="170" customFormat="1" ht="25.5" customHeight="1">
      <c r="A28" s="276" t="s">
        <v>149</v>
      </c>
      <c r="B28" s="318" t="s">
        <v>419</v>
      </c>
      <c r="C28" s="494">
        <v>5000000</v>
      </c>
      <c r="D28" s="494">
        <v>0</v>
      </c>
      <c r="E28" s="494">
        <v>0</v>
      </c>
      <c r="F28" s="494">
        <v>0</v>
      </c>
      <c r="G28" s="494">
        <v>0</v>
      </c>
      <c r="H28" s="494">
        <v>0</v>
      </c>
      <c r="I28" s="494">
        <v>0</v>
      </c>
      <c r="J28" s="494">
        <v>0</v>
      </c>
      <c r="K28" s="494">
        <v>0</v>
      </c>
      <c r="L28" s="494">
        <v>0</v>
      </c>
      <c r="M28" s="494">
        <v>0</v>
      </c>
      <c r="N28" s="494">
        <v>0</v>
      </c>
      <c r="O28" s="494">
        <v>0</v>
      </c>
      <c r="P28" s="494">
        <v>0</v>
      </c>
      <c r="Q28" s="494">
        <v>0</v>
      </c>
      <c r="R28" s="494">
        <v>0</v>
      </c>
      <c r="S28" s="448">
        <f t="shared" si="6"/>
        <v>5000000</v>
      </c>
      <c r="T28" s="448">
        <f t="shared" si="7"/>
        <v>5000000</v>
      </c>
      <c r="U28" s="448">
        <f t="shared" si="8"/>
        <v>0</v>
      </c>
      <c r="V28" s="193">
        <v>1</v>
      </c>
      <c r="W28" s="509">
        <f>(C28+E28+G28)*V28</f>
        <v>5000000</v>
      </c>
      <c r="X28" s="509">
        <f>(D28+F28+H28)*V28</f>
        <v>0</v>
      </c>
      <c r="AA28" s="217"/>
    </row>
    <row r="29" spans="1:27" s="170" customFormat="1" ht="25.5" customHeight="1">
      <c r="A29" s="276" t="s">
        <v>59</v>
      </c>
      <c r="B29" s="318" t="s">
        <v>420</v>
      </c>
      <c r="C29" s="494">
        <v>1305185</v>
      </c>
      <c r="D29" s="494">
        <v>1305185</v>
      </c>
      <c r="E29" s="494">
        <v>0</v>
      </c>
      <c r="F29" s="494">
        <v>0</v>
      </c>
      <c r="G29" s="494">
        <v>0</v>
      </c>
      <c r="H29" s="494">
        <v>0</v>
      </c>
      <c r="I29" s="494">
        <v>0</v>
      </c>
      <c r="J29" s="494">
        <v>0</v>
      </c>
      <c r="K29" s="494">
        <v>0</v>
      </c>
      <c r="L29" s="494">
        <v>0</v>
      </c>
      <c r="M29" s="494">
        <v>0</v>
      </c>
      <c r="N29" s="494">
        <v>0</v>
      </c>
      <c r="O29" s="494">
        <v>0</v>
      </c>
      <c r="P29" s="494">
        <v>0</v>
      </c>
      <c r="Q29" s="494">
        <v>0</v>
      </c>
      <c r="R29" s="494">
        <v>0</v>
      </c>
      <c r="S29" s="448">
        <f t="shared" si="6"/>
        <v>1305185</v>
      </c>
      <c r="T29" s="448">
        <f t="shared" si="7"/>
        <v>0</v>
      </c>
      <c r="U29" s="448">
        <f t="shared" si="8"/>
        <v>1305185</v>
      </c>
      <c r="V29" s="193">
        <v>1</v>
      </c>
      <c r="W29" s="509">
        <f>(C29+E29+G29)*V29</f>
        <v>1305185</v>
      </c>
      <c r="X29" s="509">
        <f>(D29+F29+H29)*V29</f>
        <v>1305185</v>
      </c>
      <c r="AA29" s="217"/>
    </row>
    <row r="30" spans="1:27" s="170" customFormat="1" ht="25.5" customHeight="1">
      <c r="A30" s="276" t="s">
        <v>60</v>
      </c>
      <c r="B30" s="318" t="s">
        <v>421</v>
      </c>
      <c r="C30" s="494">
        <v>2308034</v>
      </c>
      <c r="D30" s="494">
        <v>0</v>
      </c>
      <c r="E30" s="494">
        <v>10595725</v>
      </c>
      <c r="F30" s="494">
        <v>8216363</v>
      </c>
      <c r="G30" s="494">
        <v>286117926</v>
      </c>
      <c r="H30" s="494">
        <v>235351283</v>
      </c>
      <c r="I30" s="494">
        <v>147068635</v>
      </c>
      <c r="J30" s="494">
        <v>40484744</v>
      </c>
      <c r="K30" s="494">
        <v>437865853</v>
      </c>
      <c r="L30" s="494">
        <v>195949858</v>
      </c>
      <c r="M30" s="494">
        <v>1590383775</v>
      </c>
      <c r="N30" s="494">
        <v>1289105494</v>
      </c>
      <c r="O30" s="494">
        <v>1717240472</v>
      </c>
      <c r="P30" s="494">
        <v>1251635877</v>
      </c>
      <c r="Q30" s="494">
        <v>4891535430</v>
      </c>
      <c r="R30" s="494">
        <v>1883838128</v>
      </c>
      <c r="S30" s="448">
        <f t="shared" si="6"/>
        <v>9083115850</v>
      </c>
      <c r="T30" s="448">
        <f t="shared" si="7"/>
        <v>4178534103</v>
      </c>
      <c r="U30" s="448">
        <f t="shared" si="8"/>
        <v>4904581747</v>
      </c>
      <c r="V30" s="193">
        <v>0.05</v>
      </c>
      <c r="W30" s="509">
        <f>X30+'Bank Liabilities Analysis (нац)'!M31</f>
        <v>454012231.64999998</v>
      </c>
      <c r="X30" s="509">
        <f>(U30-(J51+L51+N51+P51+R51))*V30</f>
        <v>245085526.5</v>
      </c>
      <c r="AA30" s="217"/>
    </row>
    <row r="31" spans="1:27" s="170" customFormat="1" ht="25.5" customHeight="1">
      <c r="A31" s="276" t="s">
        <v>61</v>
      </c>
      <c r="B31" s="318" t="s">
        <v>242</v>
      </c>
      <c r="C31" s="494">
        <v>0</v>
      </c>
      <c r="D31" s="494">
        <v>0</v>
      </c>
      <c r="E31" s="494">
        <v>0</v>
      </c>
      <c r="F31" s="494">
        <v>0</v>
      </c>
      <c r="G31" s="494">
        <v>0</v>
      </c>
      <c r="H31" s="494">
        <v>0</v>
      </c>
      <c r="I31" s="494">
        <v>0</v>
      </c>
      <c r="J31" s="494">
        <v>0</v>
      </c>
      <c r="K31" s="494">
        <v>0</v>
      </c>
      <c r="L31" s="494">
        <v>0</v>
      </c>
      <c r="M31" s="494">
        <v>0</v>
      </c>
      <c r="N31" s="494">
        <v>0</v>
      </c>
      <c r="O31" s="494">
        <v>0</v>
      </c>
      <c r="P31" s="494">
        <v>0</v>
      </c>
      <c r="Q31" s="494">
        <v>0</v>
      </c>
      <c r="R31" s="494">
        <v>0</v>
      </c>
      <c r="S31" s="448">
        <f t="shared" si="6"/>
        <v>0</v>
      </c>
      <c r="T31" s="448">
        <f t="shared" si="7"/>
        <v>0</v>
      </c>
      <c r="U31" s="448">
        <f t="shared" si="8"/>
        <v>0</v>
      </c>
      <c r="V31" s="193">
        <v>1</v>
      </c>
      <c r="W31" s="509">
        <f>(C31+E31+G31)*V31</f>
        <v>0</v>
      </c>
      <c r="X31" s="509">
        <f>(D31+F31+H31)*V31</f>
        <v>0</v>
      </c>
      <c r="AA31" s="217"/>
    </row>
    <row r="32" spans="1:27" s="170" customFormat="1" ht="25.5" customHeight="1">
      <c r="A32" s="276" t="s">
        <v>62</v>
      </c>
      <c r="B32" s="318" t="s">
        <v>244</v>
      </c>
      <c r="C32" s="494">
        <v>0</v>
      </c>
      <c r="D32" s="494">
        <v>0</v>
      </c>
      <c r="E32" s="494">
        <v>0</v>
      </c>
      <c r="F32" s="494">
        <v>0</v>
      </c>
      <c r="G32" s="494">
        <v>0</v>
      </c>
      <c r="H32" s="494">
        <v>0</v>
      </c>
      <c r="I32" s="494">
        <v>0</v>
      </c>
      <c r="J32" s="494">
        <v>0</v>
      </c>
      <c r="K32" s="494">
        <v>0</v>
      </c>
      <c r="L32" s="494">
        <v>0</v>
      </c>
      <c r="M32" s="494">
        <v>0</v>
      </c>
      <c r="N32" s="494">
        <v>0</v>
      </c>
      <c r="O32" s="494">
        <v>0</v>
      </c>
      <c r="P32" s="494">
        <v>0</v>
      </c>
      <c r="Q32" s="494">
        <v>689295951</v>
      </c>
      <c r="R32" s="494">
        <v>0</v>
      </c>
      <c r="S32" s="448">
        <f t="shared" si="6"/>
        <v>689295951</v>
      </c>
      <c r="T32" s="448">
        <f t="shared" si="7"/>
        <v>689295951</v>
      </c>
      <c r="U32" s="448">
        <f t="shared" si="8"/>
        <v>0</v>
      </c>
      <c r="V32" s="193">
        <v>1</v>
      </c>
      <c r="W32" s="509">
        <f>(C32+E32+G32)*V32</f>
        <v>0</v>
      </c>
      <c r="X32" s="509">
        <f>(D32+F32+H32)*V32</f>
        <v>0</v>
      </c>
      <c r="AA32" s="217"/>
    </row>
    <row r="33" spans="1:27" s="170" customFormat="1" ht="24.75" customHeight="1">
      <c r="A33" s="276" t="s">
        <v>63</v>
      </c>
      <c r="B33" s="430" t="s">
        <v>238</v>
      </c>
      <c r="C33" s="448">
        <f>+C34+C35</f>
        <v>0</v>
      </c>
      <c r="D33" s="448">
        <f t="shared" ref="D33:R33" si="17">+D34+D35</f>
        <v>0</v>
      </c>
      <c r="E33" s="448">
        <f t="shared" si="17"/>
        <v>0</v>
      </c>
      <c r="F33" s="448">
        <f t="shared" si="17"/>
        <v>0</v>
      </c>
      <c r="G33" s="448">
        <f t="shared" si="17"/>
        <v>0</v>
      </c>
      <c r="H33" s="448">
        <f t="shared" si="17"/>
        <v>0</v>
      </c>
      <c r="I33" s="448">
        <f t="shared" si="17"/>
        <v>0</v>
      </c>
      <c r="J33" s="448">
        <f t="shared" si="17"/>
        <v>0</v>
      </c>
      <c r="K33" s="448">
        <f t="shared" si="17"/>
        <v>0</v>
      </c>
      <c r="L33" s="448">
        <f t="shared" si="17"/>
        <v>0</v>
      </c>
      <c r="M33" s="448">
        <f t="shared" si="17"/>
        <v>0</v>
      </c>
      <c r="N33" s="448">
        <f t="shared" si="17"/>
        <v>0</v>
      </c>
      <c r="O33" s="448">
        <f t="shared" si="17"/>
        <v>0</v>
      </c>
      <c r="P33" s="448">
        <f t="shared" si="17"/>
        <v>0</v>
      </c>
      <c r="Q33" s="448">
        <f t="shared" si="17"/>
        <v>0</v>
      </c>
      <c r="R33" s="448">
        <f t="shared" si="17"/>
        <v>0</v>
      </c>
      <c r="S33" s="448">
        <f t="shared" si="6"/>
        <v>0</v>
      </c>
      <c r="T33" s="448">
        <f t="shared" si="7"/>
        <v>0</v>
      </c>
      <c r="U33" s="448">
        <f t="shared" si="8"/>
        <v>0</v>
      </c>
      <c r="V33" s="193"/>
      <c r="W33" s="509"/>
      <c r="X33" s="509"/>
      <c r="AA33" s="217"/>
    </row>
    <row r="34" spans="1:27" s="170" customFormat="1" ht="27" customHeight="1">
      <c r="A34" s="276" t="s">
        <v>199</v>
      </c>
      <c r="B34" s="431" t="s">
        <v>545</v>
      </c>
      <c r="C34" s="494">
        <v>0</v>
      </c>
      <c r="D34" s="494">
        <v>0</v>
      </c>
      <c r="E34" s="494">
        <v>0</v>
      </c>
      <c r="F34" s="494">
        <v>0</v>
      </c>
      <c r="G34" s="494">
        <v>0</v>
      </c>
      <c r="H34" s="494">
        <v>0</v>
      </c>
      <c r="I34" s="494">
        <v>0</v>
      </c>
      <c r="J34" s="494">
        <v>0</v>
      </c>
      <c r="K34" s="494">
        <v>0</v>
      </c>
      <c r="L34" s="494">
        <v>0</v>
      </c>
      <c r="M34" s="494">
        <v>0</v>
      </c>
      <c r="N34" s="494">
        <v>0</v>
      </c>
      <c r="O34" s="494">
        <v>0</v>
      </c>
      <c r="P34" s="494">
        <v>0</v>
      </c>
      <c r="Q34" s="494">
        <v>0</v>
      </c>
      <c r="R34" s="494">
        <v>0</v>
      </c>
      <c r="S34" s="448">
        <f t="shared" si="6"/>
        <v>0</v>
      </c>
      <c r="T34" s="448">
        <f t="shared" si="7"/>
        <v>0</v>
      </c>
      <c r="U34" s="448">
        <f t="shared" si="8"/>
        <v>0</v>
      </c>
      <c r="V34" s="193">
        <v>1</v>
      </c>
      <c r="W34" s="509">
        <f>(C34+E34+G34)*V34</f>
        <v>0</v>
      </c>
      <c r="X34" s="509">
        <f>(D34+F34+H34)*V34</f>
        <v>0</v>
      </c>
      <c r="AA34" s="217"/>
    </row>
    <row r="35" spans="1:27" s="170" customFormat="1" ht="27" customHeight="1">
      <c r="A35" s="276" t="s">
        <v>201</v>
      </c>
      <c r="B35" s="431" t="s">
        <v>546</v>
      </c>
      <c r="C35" s="494">
        <v>0</v>
      </c>
      <c r="D35" s="494">
        <v>0</v>
      </c>
      <c r="E35" s="494">
        <v>0</v>
      </c>
      <c r="F35" s="494">
        <v>0</v>
      </c>
      <c r="G35" s="494">
        <v>0</v>
      </c>
      <c r="H35" s="494">
        <v>0</v>
      </c>
      <c r="I35" s="494">
        <v>0</v>
      </c>
      <c r="J35" s="494">
        <v>0</v>
      </c>
      <c r="K35" s="494">
        <v>0</v>
      </c>
      <c r="L35" s="494">
        <v>0</v>
      </c>
      <c r="M35" s="494">
        <v>0</v>
      </c>
      <c r="N35" s="494">
        <v>0</v>
      </c>
      <c r="O35" s="494">
        <v>0</v>
      </c>
      <c r="P35" s="494">
        <v>0</v>
      </c>
      <c r="Q35" s="494">
        <v>0</v>
      </c>
      <c r="R35" s="494">
        <v>0</v>
      </c>
      <c r="S35" s="448">
        <f t="shared" ref="S35" si="18">+C35+E35+G35+I35+K35+M35+O35+Q35</f>
        <v>0</v>
      </c>
      <c r="T35" s="448">
        <f t="shared" ref="T35" si="19">+S35-U35</f>
        <v>0</v>
      </c>
      <c r="U35" s="448">
        <f t="shared" ref="U35" si="20">+D35+F35+H35+J35+L35+N35+P35+R35</f>
        <v>0</v>
      </c>
      <c r="V35" s="193">
        <v>1</v>
      </c>
      <c r="W35" s="509">
        <f>(C35+E35+G35)*V35</f>
        <v>0</v>
      </c>
      <c r="X35" s="509">
        <f>(D35+F35+H35)*V35</f>
        <v>0</v>
      </c>
      <c r="AA35" s="217"/>
    </row>
    <row r="36" spans="1:27" s="170" customFormat="1" ht="38.25">
      <c r="A36" s="276" t="s">
        <v>64</v>
      </c>
      <c r="B36" s="318" t="s">
        <v>422</v>
      </c>
      <c r="C36" s="494">
        <v>2315</v>
      </c>
      <c r="D36" s="494">
        <v>0</v>
      </c>
      <c r="E36" s="494">
        <v>0</v>
      </c>
      <c r="F36" s="494">
        <v>0</v>
      </c>
      <c r="G36" s="494">
        <v>0</v>
      </c>
      <c r="H36" s="494">
        <v>0</v>
      </c>
      <c r="I36" s="494">
        <v>0</v>
      </c>
      <c r="J36" s="494">
        <v>0</v>
      </c>
      <c r="K36" s="494">
        <v>0</v>
      </c>
      <c r="L36" s="494">
        <v>0</v>
      </c>
      <c r="M36" s="494">
        <v>0</v>
      </c>
      <c r="N36" s="494">
        <v>0</v>
      </c>
      <c r="O36" s="494">
        <v>0</v>
      </c>
      <c r="P36" s="494">
        <v>0</v>
      </c>
      <c r="Q36" s="494">
        <v>0</v>
      </c>
      <c r="R36" s="494">
        <v>0</v>
      </c>
      <c r="S36" s="493">
        <f t="shared" si="6"/>
        <v>2315</v>
      </c>
      <c r="T36" s="493">
        <f t="shared" si="7"/>
        <v>2315</v>
      </c>
      <c r="U36" s="493">
        <f t="shared" si="8"/>
        <v>0</v>
      </c>
      <c r="V36" s="193">
        <v>1</v>
      </c>
      <c r="W36" s="509">
        <f>(S36)*V36</f>
        <v>2315</v>
      </c>
      <c r="X36" s="509">
        <f>(U36)*V36</f>
        <v>0</v>
      </c>
      <c r="AA36" s="217"/>
    </row>
    <row r="37" spans="1:27" s="170" customFormat="1" ht="25.5" customHeight="1">
      <c r="A37" s="276" t="s">
        <v>70</v>
      </c>
      <c r="B37" s="318" t="s">
        <v>250</v>
      </c>
      <c r="C37" s="494">
        <v>7186322</v>
      </c>
      <c r="D37" s="494">
        <v>0</v>
      </c>
      <c r="E37" s="494">
        <v>0</v>
      </c>
      <c r="F37" s="494">
        <v>0</v>
      </c>
      <c r="G37" s="494">
        <v>0</v>
      </c>
      <c r="H37" s="494">
        <v>0</v>
      </c>
      <c r="I37" s="494">
        <v>0</v>
      </c>
      <c r="J37" s="494">
        <v>0</v>
      </c>
      <c r="K37" s="494">
        <v>0</v>
      </c>
      <c r="L37" s="494">
        <v>0</v>
      </c>
      <c r="M37" s="494">
        <v>0</v>
      </c>
      <c r="N37" s="494">
        <v>0</v>
      </c>
      <c r="O37" s="494">
        <v>0</v>
      </c>
      <c r="P37" s="494">
        <v>0</v>
      </c>
      <c r="Q37" s="494">
        <v>0</v>
      </c>
      <c r="R37" s="494">
        <v>0</v>
      </c>
      <c r="S37" s="493">
        <f t="shared" si="6"/>
        <v>7186322</v>
      </c>
      <c r="T37" s="493">
        <f t="shared" si="7"/>
        <v>7186322</v>
      </c>
      <c r="U37" s="493">
        <f t="shared" si="8"/>
        <v>0</v>
      </c>
      <c r="V37" s="193">
        <v>1</v>
      </c>
      <c r="W37" s="509">
        <f>(S37)*V37</f>
        <v>7186322</v>
      </c>
      <c r="X37" s="509">
        <f>(U37)*V37</f>
        <v>0</v>
      </c>
      <c r="AA37" s="217"/>
    </row>
    <row r="38" spans="1:27" s="170" customFormat="1" ht="25.5" customHeight="1">
      <c r="A38" s="276" t="s">
        <v>71</v>
      </c>
      <c r="B38" s="318" t="s">
        <v>246</v>
      </c>
      <c r="C38" s="494">
        <v>26401257</v>
      </c>
      <c r="D38" s="494">
        <v>886960</v>
      </c>
      <c r="E38" s="494">
        <v>4367587</v>
      </c>
      <c r="F38" s="494">
        <v>0</v>
      </c>
      <c r="G38" s="494">
        <v>43732732</v>
      </c>
      <c r="H38" s="494">
        <v>29201192</v>
      </c>
      <c r="I38" s="494">
        <v>76311009</v>
      </c>
      <c r="J38" s="494">
        <v>24290500</v>
      </c>
      <c r="K38" s="494">
        <v>33219494</v>
      </c>
      <c r="L38" s="494">
        <v>12514185</v>
      </c>
      <c r="M38" s="494">
        <v>0</v>
      </c>
      <c r="N38" s="494">
        <v>0</v>
      </c>
      <c r="O38" s="494">
        <v>0</v>
      </c>
      <c r="P38" s="494">
        <v>0</v>
      </c>
      <c r="Q38" s="494">
        <v>0</v>
      </c>
      <c r="R38" s="494">
        <v>0</v>
      </c>
      <c r="S38" s="493">
        <f t="shared" si="6"/>
        <v>184032079</v>
      </c>
      <c r="T38" s="493">
        <f t="shared" si="7"/>
        <v>117139242</v>
      </c>
      <c r="U38" s="493">
        <f t="shared" si="8"/>
        <v>66892837</v>
      </c>
      <c r="V38" s="193"/>
      <c r="W38" s="509">
        <f>(C38+E38+G38)</f>
        <v>74501576</v>
      </c>
      <c r="X38" s="509">
        <f>D38+F38+H38</f>
        <v>30088152</v>
      </c>
      <c r="AA38" s="217"/>
    </row>
    <row r="39" spans="1:27" s="170" customFormat="1" ht="27.75" customHeight="1">
      <c r="A39" s="276" t="s">
        <v>208</v>
      </c>
      <c r="B39" s="318" t="s">
        <v>578</v>
      </c>
      <c r="C39" s="494">
        <v>2</v>
      </c>
      <c r="D39" s="494">
        <v>2</v>
      </c>
      <c r="E39" s="494">
        <v>0</v>
      </c>
      <c r="F39" s="494">
        <v>0</v>
      </c>
      <c r="G39" s="494">
        <v>0</v>
      </c>
      <c r="H39" s="494">
        <v>0</v>
      </c>
      <c r="I39" s="494">
        <v>0</v>
      </c>
      <c r="J39" s="494">
        <v>0</v>
      </c>
      <c r="K39" s="494">
        <v>0</v>
      </c>
      <c r="L39" s="494">
        <v>0</v>
      </c>
      <c r="M39" s="494">
        <v>0</v>
      </c>
      <c r="N39" s="494">
        <v>0</v>
      </c>
      <c r="O39" s="494">
        <v>0</v>
      </c>
      <c r="P39" s="494">
        <v>0</v>
      </c>
      <c r="Q39" s="494">
        <v>0</v>
      </c>
      <c r="R39" s="494">
        <v>0</v>
      </c>
      <c r="S39" s="493">
        <f t="shared" ref="S39" si="21">+C39+E39+G39+I39+K39+M39+O39+Q39</f>
        <v>2</v>
      </c>
      <c r="T39" s="493">
        <f t="shared" ref="T39" si="22">+S39-U39</f>
        <v>0</v>
      </c>
      <c r="U39" s="493">
        <f t="shared" ref="U39" si="23">+D39+F39+H39+J39+L39+N39+P39+R39</f>
        <v>2</v>
      </c>
      <c r="V39" s="193"/>
      <c r="W39" s="509">
        <f t="shared" ref="W39:W40" si="24">C39+E39+G39</f>
        <v>2</v>
      </c>
      <c r="X39" s="509">
        <f t="shared" ref="X39:X40" si="25">D39+F39+H39</f>
        <v>2</v>
      </c>
      <c r="AA39" s="217"/>
    </row>
    <row r="40" spans="1:27" s="170" customFormat="1" ht="27.75" customHeight="1">
      <c r="A40" s="276" t="s">
        <v>210</v>
      </c>
      <c r="B40" s="318" t="s">
        <v>567</v>
      </c>
      <c r="C40" s="494">
        <v>0</v>
      </c>
      <c r="D40" s="494">
        <v>0</v>
      </c>
      <c r="E40" s="494">
        <v>2534247</v>
      </c>
      <c r="F40" s="494">
        <v>0</v>
      </c>
      <c r="G40" s="494">
        <v>671056</v>
      </c>
      <c r="H40" s="494">
        <v>0</v>
      </c>
      <c r="I40" s="494">
        <v>1928219</v>
      </c>
      <c r="J40" s="494">
        <v>0</v>
      </c>
      <c r="K40" s="494">
        <v>0</v>
      </c>
      <c r="L40" s="494">
        <v>0</v>
      </c>
      <c r="M40" s="494">
        <v>0</v>
      </c>
      <c r="N40" s="494">
        <v>0</v>
      </c>
      <c r="O40" s="494">
        <v>0</v>
      </c>
      <c r="P40" s="494">
        <v>0</v>
      </c>
      <c r="Q40" s="494">
        <v>0</v>
      </c>
      <c r="R40" s="494">
        <v>0</v>
      </c>
      <c r="S40" s="493">
        <f t="shared" ref="S40" si="26">+C40+E40+G40+I40+K40+M40+O40+Q40</f>
        <v>5133522</v>
      </c>
      <c r="T40" s="493">
        <f t="shared" ref="T40" si="27">+S40-U40</f>
        <v>5133522</v>
      </c>
      <c r="U40" s="493">
        <f t="shared" ref="U40" si="28">+D40+F40+H40+J40+L40+N40+P40+R40</f>
        <v>0</v>
      </c>
      <c r="V40" s="193"/>
      <c r="W40" s="509">
        <f t="shared" si="24"/>
        <v>3205303</v>
      </c>
      <c r="X40" s="509">
        <f t="shared" si="25"/>
        <v>0</v>
      </c>
      <c r="AA40" s="217"/>
    </row>
    <row r="41" spans="1:27" s="170" customFormat="1" ht="25.5" customHeight="1">
      <c r="A41" s="276" t="s">
        <v>65</v>
      </c>
      <c r="B41" s="318" t="s">
        <v>254</v>
      </c>
      <c r="C41" s="494">
        <f>(580698838+133545)-350000000</f>
        <v>230832383</v>
      </c>
      <c r="D41" s="494">
        <v>91998181</v>
      </c>
      <c r="E41" s="494">
        <v>0</v>
      </c>
      <c r="F41" s="494">
        <v>0</v>
      </c>
      <c r="G41" s="494">
        <v>0</v>
      </c>
      <c r="H41" s="494">
        <v>0</v>
      </c>
      <c r="I41" s="494">
        <v>0</v>
      </c>
      <c r="J41" s="494">
        <v>0</v>
      </c>
      <c r="K41" s="494">
        <v>0</v>
      </c>
      <c r="L41" s="494">
        <v>0</v>
      </c>
      <c r="M41" s="494">
        <v>350000000</v>
      </c>
      <c r="N41" s="494">
        <v>0</v>
      </c>
      <c r="O41" s="494">
        <v>0</v>
      </c>
      <c r="P41" s="494">
        <v>0</v>
      </c>
      <c r="Q41" s="494">
        <v>0</v>
      </c>
      <c r="R41" s="494">
        <v>0</v>
      </c>
      <c r="S41" s="493">
        <f t="shared" si="6"/>
        <v>580832383</v>
      </c>
      <c r="T41" s="493">
        <f t="shared" si="7"/>
        <v>488834202</v>
      </c>
      <c r="U41" s="493">
        <f t="shared" si="8"/>
        <v>91998181</v>
      </c>
      <c r="V41" s="193">
        <v>1</v>
      </c>
      <c r="W41" s="509">
        <f>(C41+E41+G41)*V41</f>
        <v>230832383</v>
      </c>
      <c r="X41" s="509">
        <f>(D41+F41+H41)*V41</f>
        <v>91998181</v>
      </c>
    </row>
    <row r="42" spans="1:27" s="100" customFormat="1" ht="24.75" customHeight="1">
      <c r="A42" s="276" t="s">
        <v>382</v>
      </c>
      <c r="B42" s="320" t="s">
        <v>423</v>
      </c>
      <c r="C42" s="495">
        <f>+C20+C21+C23+C29+C30+C31+C32+C33+C36+C37+C38+C39+C40+C41</f>
        <v>1164406022</v>
      </c>
      <c r="D42" s="495">
        <f t="shared" ref="D42:U42" si="29">+D20+D21+D23+D29+D30+D31+D32+D33+D36+D37+D38+D39+D40+D41</f>
        <v>154488053</v>
      </c>
      <c r="E42" s="495">
        <f t="shared" si="29"/>
        <v>431280623</v>
      </c>
      <c r="F42" s="495">
        <f t="shared" si="29"/>
        <v>8223097</v>
      </c>
      <c r="G42" s="495">
        <f t="shared" si="29"/>
        <v>563602189</v>
      </c>
      <c r="H42" s="495">
        <f t="shared" si="29"/>
        <v>265041941</v>
      </c>
      <c r="I42" s="495">
        <f t="shared" si="29"/>
        <v>976364909</v>
      </c>
      <c r="J42" s="495">
        <f t="shared" si="29"/>
        <v>66449717</v>
      </c>
      <c r="K42" s="495">
        <f t="shared" si="29"/>
        <v>1244839603</v>
      </c>
      <c r="L42" s="495">
        <f t="shared" si="29"/>
        <v>277003060</v>
      </c>
      <c r="M42" s="495">
        <f t="shared" si="29"/>
        <v>3751653562</v>
      </c>
      <c r="N42" s="495">
        <f t="shared" si="29"/>
        <v>1375317765</v>
      </c>
      <c r="O42" s="495">
        <f t="shared" si="29"/>
        <v>4280985381</v>
      </c>
      <c r="P42" s="495">
        <f t="shared" si="29"/>
        <v>1835355961</v>
      </c>
      <c r="Q42" s="495">
        <f t="shared" si="29"/>
        <v>7578780911</v>
      </c>
      <c r="R42" s="495">
        <f t="shared" si="29"/>
        <v>2039006627</v>
      </c>
      <c r="S42" s="495">
        <f t="shared" si="29"/>
        <v>19991913200</v>
      </c>
      <c r="T42" s="495">
        <f t="shared" si="29"/>
        <v>13971026979</v>
      </c>
      <c r="U42" s="495">
        <f t="shared" si="29"/>
        <v>6020886221</v>
      </c>
      <c r="V42" s="446" t="s">
        <v>17</v>
      </c>
      <c r="W42" s="518">
        <f>SUM(W8:W41)</f>
        <v>2149786660.2999997</v>
      </c>
      <c r="X42" s="518">
        <f>SUM(X8:X41)</f>
        <v>492125919.35000002</v>
      </c>
      <c r="Y42" s="321">
        <f>+Balance!C63</f>
        <v>19991913200</v>
      </c>
      <c r="Z42" s="321">
        <f>+Balance!D63</f>
        <v>13971026979</v>
      </c>
      <c r="AA42" s="321">
        <f>+Balance!E63</f>
        <v>6020886221</v>
      </c>
    </row>
    <row r="43" spans="1:27" s="170" customFormat="1">
      <c r="A43" s="276"/>
      <c r="B43" s="301" t="s">
        <v>335</v>
      </c>
      <c r="C43" s="494"/>
      <c r="D43" s="494"/>
      <c r="E43" s="494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48">
        <f t="shared" si="6"/>
        <v>0</v>
      </c>
      <c r="T43" s="448">
        <f t="shared" si="7"/>
        <v>0</v>
      </c>
      <c r="U43" s="448">
        <f t="shared" si="8"/>
        <v>0</v>
      </c>
      <c r="V43" s="193"/>
      <c r="W43" s="509"/>
      <c r="X43" s="509"/>
      <c r="Y43" s="217">
        <f>+S42-Y42</f>
        <v>0</v>
      </c>
      <c r="Z43" s="217">
        <f t="shared" ref="Z43:AA43" si="30">+T42-Z42</f>
        <v>0</v>
      </c>
      <c r="AA43" s="217">
        <f t="shared" si="30"/>
        <v>0</v>
      </c>
    </row>
    <row r="44" spans="1:27" s="170" customFormat="1" ht="25.5">
      <c r="A44" s="276"/>
      <c r="B44" s="303" t="s">
        <v>424</v>
      </c>
      <c r="C44" s="448">
        <f>+C45+C46</f>
        <v>0</v>
      </c>
      <c r="D44" s="448">
        <f t="shared" ref="D44" si="31">+D45+D46</f>
        <v>0</v>
      </c>
      <c r="E44" s="448">
        <f t="shared" ref="E44:G44" si="32">+E45+E46</f>
        <v>0</v>
      </c>
      <c r="F44" s="448">
        <f t="shared" ref="F44:H44" si="33">+F45+F46</f>
        <v>0</v>
      </c>
      <c r="G44" s="448">
        <f t="shared" si="32"/>
        <v>767670</v>
      </c>
      <c r="H44" s="448">
        <f t="shared" si="33"/>
        <v>0</v>
      </c>
      <c r="I44" s="448">
        <f t="shared" ref="I44" si="34">+I45+I46</f>
        <v>3070468</v>
      </c>
      <c r="J44" s="448">
        <f t="shared" ref="J44" si="35">+J45+J46</f>
        <v>0</v>
      </c>
      <c r="K44" s="448">
        <f t="shared" ref="K44" si="36">+K45+K46</f>
        <v>2150696</v>
      </c>
      <c r="L44" s="448">
        <f t="shared" ref="L44" si="37">+L45+L46</f>
        <v>0</v>
      </c>
      <c r="M44" s="448">
        <f t="shared" ref="M44" si="38">+M45+M46</f>
        <v>309804692</v>
      </c>
      <c r="N44" s="448">
        <f t="shared" ref="N44" si="39">+N45+N46</f>
        <v>0</v>
      </c>
      <c r="O44" s="448">
        <f t="shared" ref="O44" si="40">+O45+O46</f>
        <v>73145378</v>
      </c>
      <c r="P44" s="448">
        <f t="shared" ref="P44" si="41">+P45+P46</f>
        <v>0</v>
      </c>
      <c r="Q44" s="448">
        <f t="shared" ref="Q44" si="42">+Q45+Q46</f>
        <v>1140858470</v>
      </c>
      <c r="R44" s="448">
        <f t="shared" ref="R44" si="43">+R45+R46</f>
        <v>64602400</v>
      </c>
      <c r="S44" s="448">
        <f t="shared" si="6"/>
        <v>1529797374</v>
      </c>
      <c r="T44" s="448">
        <f t="shared" si="7"/>
        <v>1465194974</v>
      </c>
      <c r="U44" s="448">
        <f t="shared" si="8"/>
        <v>64602400</v>
      </c>
      <c r="V44" s="193"/>
      <c r="W44" s="509"/>
      <c r="X44" s="509"/>
      <c r="AA44" s="217"/>
    </row>
    <row r="45" spans="1:27" s="170" customFormat="1" ht="20.25" customHeight="1">
      <c r="A45" s="276"/>
      <c r="B45" s="304" t="s">
        <v>425</v>
      </c>
      <c r="C45" s="494">
        <v>0</v>
      </c>
      <c r="D45" s="494">
        <v>0</v>
      </c>
      <c r="E45" s="494">
        <v>0</v>
      </c>
      <c r="F45" s="494">
        <v>0</v>
      </c>
      <c r="G45" s="494">
        <v>767670</v>
      </c>
      <c r="H45" s="494">
        <v>0</v>
      </c>
      <c r="I45" s="494">
        <v>1565379</v>
      </c>
      <c r="J45" s="494">
        <v>0</v>
      </c>
      <c r="K45" s="494">
        <v>2150696</v>
      </c>
      <c r="L45" s="494">
        <v>0</v>
      </c>
      <c r="M45" s="494">
        <v>4309792</v>
      </c>
      <c r="N45" s="494">
        <v>0</v>
      </c>
      <c r="O45" s="494">
        <v>8645378</v>
      </c>
      <c r="P45" s="494">
        <v>0</v>
      </c>
      <c r="Q45" s="494">
        <v>27645252</v>
      </c>
      <c r="R45" s="494">
        <v>0</v>
      </c>
      <c r="S45" s="448">
        <f t="shared" si="6"/>
        <v>45084167</v>
      </c>
      <c r="T45" s="448">
        <f t="shared" si="7"/>
        <v>45084167</v>
      </c>
      <c r="U45" s="448">
        <f t="shared" si="8"/>
        <v>0</v>
      </c>
      <c r="V45" s="193"/>
      <c r="W45" s="509"/>
      <c r="X45" s="509"/>
      <c r="AA45" s="217"/>
    </row>
    <row r="46" spans="1:27" s="170" customFormat="1" ht="20.25" customHeight="1">
      <c r="A46" s="276"/>
      <c r="B46" s="304" t="s">
        <v>426</v>
      </c>
      <c r="C46" s="494">
        <v>0</v>
      </c>
      <c r="D46" s="494">
        <v>0</v>
      </c>
      <c r="E46" s="494">
        <v>0</v>
      </c>
      <c r="F46" s="494">
        <v>0</v>
      </c>
      <c r="G46" s="494">
        <v>0</v>
      </c>
      <c r="H46" s="494">
        <v>0</v>
      </c>
      <c r="I46" s="494">
        <v>1505089</v>
      </c>
      <c r="J46" s="494">
        <v>0</v>
      </c>
      <c r="K46" s="494">
        <v>0</v>
      </c>
      <c r="L46" s="494">
        <v>0</v>
      </c>
      <c r="M46" s="494">
        <v>305494900</v>
      </c>
      <c r="N46" s="494">
        <v>0</v>
      </c>
      <c r="O46" s="494">
        <v>64500000</v>
      </c>
      <c r="P46" s="494">
        <v>0</v>
      </c>
      <c r="Q46" s="494">
        <v>1113213218</v>
      </c>
      <c r="R46" s="494">
        <v>64602400</v>
      </c>
      <c r="S46" s="448">
        <f t="shared" si="6"/>
        <v>1484713207</v>
      </c>
      <c r="T46" s="448">
        <f t="shared" si="7"/>
        <v>1420110807</v>
      </c>
      <c r="U46" s="448">
        <f t="shared" si="8"/>
        <v>64602400</v>
      </c>
      <c r="V46" s="193"/>
      <c r="W46" s="509"/>
      <c r="X46" s="509"/>
      <c r="Y46" s="170" t="s">
        <v>573</v>
      </c>
      <c r="AA46" s="217"/>
    </row>
    <row r="47" spans="1:27" s="170" customFormat="1" ht="25.5">
      <c r="A47" s="276"/>
      <c r="B47" s="322" t="s">
        <v>496</v>
      </c>
      <c r="C47" s="448">
        <f>+C48+C49</f>
        <v>0</v>
      </c>
      <c r="D47" s="448">
        <f t="shared" ref="D47" si="44">+D48+D49</f>
        <v>0</v>
      </c>
      <c r="E47" s="448">
        <f t="shared" ref="E47:G47" si="45">+E48+E49</f>
        <v>0</v>
      </c>
      <c r="F47" s="448">
        <f t="shared" ref="F47:H47" si="46">+F48+F49</f>
        <v>0</v>
      </c>
      <c r="G47" s="448">
        <f t="shared" si="45"/>
        <v>48357631</v>
      </c>
      <c r="H47" s="448">
        <f t="shared" si="46"/>
        <v>0</v>
      </c>
      <c r="I47" s="448">
        <f t="shared" ref="I47" si="47">+I48+I49</f>
        <v>81496929</v>
      </c>
      <c r="J47" s="448">
        <f t="shared" ref="J47" si="48">+J48+J49</f>
        <v>0</v>
      </c>
      <c r="K47" s="448">
        <f t="shared" ref="K47" si="49">+K48+K49</f>
        <v>54352512</v>
      </c>
      <c r="L47" s="448">
        <f t="shared" ref="L47" si="50">+L48+L49</f>
        <v>0</v>
      </c>
      <c r="M47" s="448">
        <f t="shared" ref="M47" si="51">+M48+M49</f>
        <v>125648148</v>
      </c>
      <c r="N47" s="448">
        <f t="shared" ref="N47" si="52">+N48+N49</f>
        <v>0</v>
      </c>
      <c r="O47" s="448">
        <f t="shared" ref="O47" si="53">+O48+O49</f>
        <v>75380958</v>
      </c>
      <c r="P47" s="448">
        <f t="shared" ref="P47" si="54">+P48+P49</f>
        <v>0</v>
      </c>
      <c r="Q47" s="448">
        <f t="shared" ref="Q47" si="55">+Q48+Q49</f>
        <v>142790152</v>
      </c>
      <c r="R47" s="448">
        <f t="shared" ref="R47" si="56">+R48+R49</f>
        <v>0</v>
      </c>
      <c r="S47" s="448">
        <f t="shared" si="6"/>
        <v>528026330</v>
      </c>
      <c r="T47" s="448">
        <f t="shared" si="7"/>
        <v>528026330</v>
      </c>
      <c r="U47" s="448">
        <f t="shared" si="8"/>
        <v>0</v>
      </c>
      <c r="V47" s="193"/>
      <c r="W47" s="509"/>
      <c r="X47" s="509"/>
      <c r="AA47" s="217"/>
    </row>
    <row r="48" spans="1:27" s="170" customFormat="1" ht="20.25" customHeight="1">
      <c r="A48" s="276"/>
      <c r="B48" s="323" t="s">
        <v>425</v>
      </c>
      <c r="C48" s="494">
        <v>0</v>
      </c>
      <c r="D48" s="494">
        <v>0</v>
      </c>
      <c r="E48" s="494">
        <v>0</v>
      </c>
      <c r="F48" s="494">
        <v>0</v>
      </c>
      <c r="G48" s="494">
        <v>8357631</v>
      </c>
      <c r="H48" s="494">
        <v>0</v>
      </c>
      <c r="I48" s="494">
        <v>16496929</v>
      </c>
      <c r="J48" s="494">
        <v>0</v>
      </c>
      <c r="K48" s="494">
        <v>26352512</v>
      </c>
      <c r="L48" s="494">
        <v>0</v>
      </c>
      <c r="M48" s="494">
        <v>45424148</v>
      </c>
      <c r="N48" s="494">
        <v>0</v>
      </c>
      <c r="O48" s="494">
        <v>75380958</v>
      </c>
      <c r="P48" s="494">
        <v>0</v>
      </c>
      <c r="Q48" s="494">
        <v>142790152</v>
      </c>
      <c r="R48" s="494">
        <v>0</v>
      </c>
      <c r="S48" s="448">
        <f t="shared" si="6"/>
        <v>314802330</v>
      </c>
      <c r="T48" s="448">
        <f t="shared" si="7"/>
        <v>314802330</v>
      </c>
      <c r="U48" s="448">
        <f t="shared" si="8"/>
        <v>0</v>
      </c>
      <c r="V48" s="193"/>
      <c r="W48" s="509"/>
      <c r="X48" s="509"/>
      <c r="AA48" s="217"/>
    </row>
    <row r="49" spans="1:27" s="170" customFormat="1" ht="20.25" customHeight="1">
      <c r="A49" s="305"/>
      <c r="B49" s="323" t="s">
        <v>426</v>
      </c>
      <c r="C49" s="494">
        <v>0</v>
      </c>
      <c r="D49" s="494">
        <v>0</v>
      </c>
      <c r="E49" s="494">
        <v>0</v>
      </c>
      <c r="F49" s="494">
        <v>0</v>
      </c>
      <c r="G49" s="494">
        <v>40000000</v>
      </c>
      <c r="H49" s="494">
        <v>0</v>
      </c>
      <c r="I49" s="494">
        <v>65000000</v>
      </c>
      <c r="J49" s="494">
        <v>0</v>
      </c>
      <c r="K49" s="494">
        <v>28000000</v>
      </c>
      <c r="L49" s="494">
        <v>0</v>
      </c>
      <c r="M49" s="494">
        <v>80224000</v>
      </c>
      <c r="N49" s="494">
        <v>0</v>
      </c>
      <c r="O49" s="494">
        <v>0</v>
      </c>
      <c r="P49" s="494">
        <v>0</v>
      </c>
      <c r="Q49" s="494">
        <v>0</v>
      </c>
      <c r="R49" s="494">
        <v>0</v>
      </c>
      <c r="S49" s="448">
        <f t="shared" si="6"/>
        <v>213224000</v>
      </c>
      <c r="T49" s="448">
        <f t="shared" si="7"/>
        <v>213224000</v>
      </c>
      <c r="U49" s="448">
        <f t="shared" si="8"/>
        <v>0</v>
      </c>
      <c r="V49" s="193"/>
      <c r="W49" s="509"/>
      <c r="X49" s="509"/>
      <c r="AA49" s="217"/>
    </row>
    <row r="50" spans="1:27" s="170" customFormat="1" ht="25.5">
      <c r="A50" s="305"/>
      <c r="B50" s="322" t="s">
        <v>427</v>
      </c>
      <c r="C50" s="448">
        <f>+C51+C52</f>
        <v>0</v>
      </c>
      <c r="D50" s="448">
        <f t="shared" ref="D50" si="57">+D51+D52</f>
        <v>0</v>
      </c>
      <c r="E50" s="448">
        <f t="shared" ref="E50:G50" si="58">+E51+E52</f>
        <v>0</v>
      </c>
      <c r="F50" s="448">
        <f t="shared" ref="F50:H50" si="59">+F51+F52</f>
        <v>0</v>
      </c>
      <c r="G50" s="448">
        <f t="shared" si="58"/>
        <v>0</v>
      </c>
      <c r="H50" s="448">
        <f t="shared" si="59"/>
        <v>0</v>
      </c>
      <c r="I50" s="448">
        <f t="shared" ref="I50" si="60">+I51+I52</f>
        <v>358902</v>
      </c>
      <c r="J50" s="448">
        <f t="shared" ref="J50" si="61">+J51+J52</f>
        <v>358902</v>
      </c>
      <c r="K50" s="448">
        <f t="shared" ref="K50" si="62">+K51+K52</f>
        <v>48630101</v>
      </c>
      <c r="L50" s="448">
        <f t="shared" ref="L50" si="63">+L51+L52</f>
        <v>0</v>
      </c>
      <c r="M50" s="448">
        <f t="shared" ref="M50" si="64">+M51+M52</f>
        <v>48989003</v>
      </c>
      <c r="N50" s="448">
        <f t="shared" ref="N50" si="65">+N51+N52</f>
        <v>358902</v>
      </c>
      <c r="O50" s="448">
        <f t="shared" ref="O50" si="66">+O51+O52</f>
        <v>223762940</v>
      </c>
      <c r="P50" s="448">
        <f t="shared" ref="P50" si="67">+P51+P52</f>
        <v>717804</v>
      </c>
      <c r="Q50" s="448">
        <f t="shared" ref="Q50" si="68">+Q51+Q52</f>
        <v>1307176174</v>
      </c>
      <c r="R50" s="448">
        <f t="shared" ref="R50" si="69">+R51+R52</f>
        <v>1435609</v>
      </c>
      <c r="S50" s="448">
        <f t="shared" si="6"/>
        <v>1628917120</v>
      </c>
      <c r="T50" s="448">
        <f t="shared" si="7"/>
        <v>1626045903</v>
      </c>
      <c r="U50" s="448">
        <f t="shared" si="8"/>
        <v>2871217</v>
      </c>
      <c r="V50" s="193"/>
      <c r="W50" s="509"/>
      <c r="X50" s="509"/>
      <c r="AA50" s="217"/>
    </row>
    <row r="51" spans="1:27" s="170" customFormat="1" ht="20.25" customHeight="1">
      <c r="A51" s="305"/>
      <c r="B51" s="323" t="s">
        <v>425</v>
      </c>
      <c r="C51" s="494">
        <v>0</v>
      </c>
      <c r="D51" s="494">
        <v>0</v>
      </c>
      <c r="E51" s="494">
        <v>0</v>
      </c>
      <c r="F51" s="494">
        <v>0</v>
      </c>
      <c r="G51" s="494">
        <v>0</v>
      </c>
      <c r="H51" s="494">
        <v>0</v>
      </c>
      <c r="I51" s="494">
        <v>358902</v>
      </c>
      <c r="J51" s="494">
        <v>358902</v>
      </c>
      <c r="K51" s="494">
        <v>48630101</v>
      </c>
      <c r="L51" s="494">
        <v>0</v>
      </c>
      <c r="M51" s="494">
        <v>48989003</v>
      </c>
      <c r="N51" s="494">
        <v>358902</v>
      </c>
      <c r="O51" s="494">
        <v>223762940</v>
      </c>
      <c r="P51" s="494">
        <v>717804</v>
      </c>
      <c r="Q51" s="494">
        <v>1307176174</v>
      </c>
      <c r="R51" s="494">
        <v>1435609</v>
      </c>
      <c r="S51" s="448">
        <f t="shared" si="6"/>
        <v>1628917120</v>
      </c>
      <c r="T51" s="448">
        <f t="shared" si="7"/>
        <v>1626045903</v>
      </c>
      <c r="U51" s="448">
        <f t="shared" si="8"/>
        <v>2871217</v>
      </c>
      <c r="V51" s="193"/>
      <c r="W51" s="509"/>
      <c r="X51" s="509"/>
      <c r="AA51" s="217"/>
    </row>
    <row r="52" spans="1:27" s="170" customFormat="1" ht="20.25" customHeight="1">
      <c r="A52" s="305"/>
      <c r="B52" s="323" t="s">
        <v>426</v>
      </c>
      <c r="C52" s="494">
        <v>0</v>
      </c>
      <c r="D52" s="494">
        <v>0</v>
      </c>
      <c r="E52" s="494">
        <v>0</v>
      </c>
      <c r="F52" s="494">
        <v>0</v>
      </c>
      <c r="G52" s="494">
        <v>0</v>
      </c>
      <c r="H52" s="494">
        <v>0</v>
      </c>
      <c r="I52" s="494">
        <v>0</v>
      </c>
      <c r="J52" s="494">
        <v>0</v>
      </c>
      <c r="K52" s="494">
        <v>0</v>
      </c>
      <c r="L52" s="494">
        <v>0</v>
      </c>
      <c r="M52" s="494">
        <v>0</v>
      </c>
      <c r="N52" s="494">
        <v>0</v>
      </c>
      <c r="O52" s="494">
        <v>0</v>
      </c>
      <c r="P52" s="494">
        <v>0</v>
      </c>
      <c r="Q52" s="494">
        <v>0</v>
      </c>
      <c r="R52" s="494">
        <v>0</v>
      </c>
      <c r="S52" s="448">
        <f t="shared" si="6"/>
        <v>0</v>
      </c>
      <c r="T52" s="448">
        <f t="shared" si="7"/>
        <v>0</v>
      </c>
      <c r="U52" s="448">
        <f t="shared" si="8"/>
        <v>0</v>
      </c>
      <c r="V52" s="193"/>
      <c r="W52" s="509"/>
      <c r="X52" s="509"/>
      <c r="AA52" s="217"/>
    </row>
    <row r="53" spans="1:27" s="170" customFormat="1" ht="20.25" customHeight="1">
      <c r="A53" s="305"/>
      <c r="B53" s="322" t="s">
        <v>428</v>
      </c>
      <c r="C53" s="448">
        <f>+C54+C55</f>
        <v>0</v>
      </c>
      <c r="D53" s="448">
        <f t="shared" ref="D53" si="70">+D54+D55</f>
        <v>0</v>
      </c>
      <c r="E53" s="448">
        <f t="shared" ref="E53:G53" si="71">+E54+E55</f>
        <v>0</v>
      </c>
      <c r="F53" s="448">
        <f t="shared" ref="F53:H53" si="72">+F54+F55</f>
        <v>0</v>
      </c>
      <c r="G53" s="448">
        <f t="shared" si="71"/>
        <v>232568640</v>
      </c>
      <c r="H53" s="448">
        <f t="shared" si="72"/>
        <v>232568640</v>
      </c>
      <c r="I53" s="448">
        <f t="shared" ref="I53" si="73">+I54+I55</f>
        <v>13311646</v>
      </c>
      <c r="J53" s="448">
        <f t="shared" ref="J53" si="74">+J54+J55</f>
        <v>13311646</v>
      </c>
      <c r="K53" s="448">
        <f t="shared" ref="K53" si="75">+K54+K55</f>
        <v>62123989</v>
      </c>
      <c r="L53" s="448">
        <f t="shared" ref="L53" si="76">+L54+L55</f>
        <v>26785065</v>
      </c>
      <c r="M53" s="448">
        <f t="shared" ref="M53" si="77">+M54+M55</f>
        <v>71689681</v>
      </c>
      <c r="N53" s="448">
        <f t="shared" ref="N53" si="78">+N54+N55</f>
        <v>33636471</v>
      </c>
      <c r="O53" s="448">
        <f t="shared" ref="O53" si="79">+O54+O55</f>
        <v>139329887</v>
      </c>
      <c r="P53" s="448">
        <f t="shared" ref="P53" si="80">+P54+P55</f>
        <v>63223467</v>
      </c>
      <c r="Q53" s="448">
        <f t="shared" ref="Q53" si="81">+Q54+Q55</f>
        <v>1452363151</v>
      </c>
      <c r="R53" s="448">
        <f t="shared" ref="R53" si="82">+R54+R55</f>
        <v>1223990680</v>
      </c>
      <c r="S53" s="448">
        <f t="shared" si="6"/>
        <v>1971386994</v>
      </c>
      <c r="T53" s="448">
        <f t="shared" si="7"/>
        <v>377871025</v>
      </c>
      <c r="U53" s="448">
        <f t="shared" si="8"/>
        <v>1593515969</v>
      </c>
      <c r="V53" s="193"/>
      <c r="W53" s="509"/>
      <c r="X53" s="509"/>
      <c r="AA53" s="217"/>
    </row>
    <row r="54" spans="1:27" s="170" customFormat="1" ht="20.25" customHeight="1">
      <c r="A54" s="305"/>
      <c r="B54" s="323" t="s">
        <v>425</v>
      </c>
      <c r="C54" s="494">
        <v>0</v>
      </c>
      <c r="D54" s="494">
        <v>0</v>
      </c>
      <c r="E54" s="494">
        <v>0</v>
      </c>
      <c r="F54" s="494">
        <v>0</v>
      </c>
      <c r="G54" s="494">
        <v>232568640</v>
      </c>
      <c r="H54" s="494">
        <v>232568640</v>
      </c>
      <c r="I54" s="494">
        <v>13311646</v>
      </c>
      <c r="J54" s="494">
        <v>13311646</v>
      </c>
      <c r="K54" s="494">
        <v>62123989</v>
      </c>
      <c r="L54" s="494">
        <v>26785065</v>
      </c>
      <c r="M54" s="494">
        <v>71689681</v>
      </c>
      <c r="N54" s="494">
        <v>33636471</v>
      </c>
      <c r="O54" s="494">
        <v>139329887</v>
      </c>
      <c r="P54" s="494">
        <v>63223467</v>
      </c>
      <c r="Q54" s="494">
        <v>1452363151</v>
      </c>
      <c r="R54" s="494">
        <v>1223990680</v>
      </c>
      <c r="S54" s="448">
        <f t="shared" si="6"/>
        <v>1971386994</v>
      </c>
      <c r="T54" s="448">
        <f t="shared" si="7"/>
        <v>377871025</v>
      </c>
      <c r="U54" s="448">
        <f t="shared" si="8"/>
        <v>1593515969</v>
      </c>
      <c r="V54" s="193"/>
      <c r="W54" s="509"/>
      <c r="X54" s="509"/>
      <c r="AA54" s="217"/>
    </row>
    <row r="55" spans="1:27" s="170" customFormat="1" ht="20.25" customHeight="1">
      <c r="A55" s="305"/>
      <c r="B55" s="323" t="s">
        <v>426</v>
      </c>
      <c r="C55" s="494">
        <v>0</v>
      </c>
      <c r="D55" s="494">
        <v>0</v>
      </c>
      <c r="E55" s="494">
        <v>0</v>
      </c>
      <c r="F55" s="494">
        <v>0</v>
      </c>
      <c r="G55" s="494">
        <v>0</v>
      </c>
      <c r="H55" s="494">
        <v>0</v>
      </c>
      <c r="I55" s="494">
        <v>0</v>
      </c>
      <c r="J55" s="494">
        <v>0</v>
      </c>
      <c r="K55" s="494">
        <v>0</v>
      </c>
      <c r="L55" s="494">
        <v>0</v>
      </c>
      <c r="M55" s="494">
        <v>0</v>
      </c>
      <c r="N55" s="494">
        <v>0</v>
      </c>
      <c r="O55" s="494">
        <v>0</v>
      </c>
      <c r="P55" s="494">
        <v>0</v>
      </c>
      <c r="Q55" s="494">
        <v>0</v>
      </c>
      <c r="R55" s="494">
        <v>0</v>
      </c>
      <c r="S55" s="448">
        <f t="shared" si="6"/>
        <v>0</v>
      </c>
      <c r="T55" s="448">
        <f t="shared" si="7"/>
        <v>0</v>
      </c>
      <c r="U55" s="448">
        <f t="shared" si="8"/>
        <v>0</v>
      </c>
      <c r="V55" s="193"/>
      <c r="W55" s="509"/>
      <c r="X55" s="509"/>
      <c r="AA55" s="217"/>
    </row>
    <row r="56" spans="1:27" s="170" customFormat="1" ht="25.5">
      <c r="A56" s="305"/>
      <c r="B56" s="322" t="s">
        <v>429</v>
      </c>
      <c r="C56" s="448">
        <f>+C57+C58</f>
        <v>0</v>
      </c>
      <c r="D56" s="448">
        <f t="shared" ref="D56" si="83">+D57+D58</f>
        <v>0</v>
      </c>
      <c r="E56" s="448">
        <f t="shared" ref="E56:G56" si="84">+E57+E58</f>
        <v>0</v>
      </c>
      <c r="F56" s="448">
        <f t="shared" ref="F56:H56" si="85">+F57+F58</f>
        <v>0</v>
      </c>
      <c r="G56" s="448">
        <f t="shared" si="84"/>
        <v>2227666</v>
      </c>
      <c r="H56" s="448">
        <f t="shared" si="85"/>
        <v>2227666</v>
      </c>
      <c r="I56" s="448">
        <f t="shared" ref="I56" si="86">+I57+I58</f>
        <v>4455332</v>
      </c>
      <c r="J56" s="448">
        <f t="shared" ref="J56" si="87">+J57+J58</f>
        <v>4455332</v>
      </c>
      <c r="K56" s="448">
        <f t="shared" ref="K56" si="88">+K57+K58</f>
        <v>141043098</v>
      </c>
      <c r="L56" s="448">
        <f t="shared" ref="L56" si="89">+L57+L58</f>
        <v>141043098</v>
      </c>
      <c r="M56" s="448">
        <f t="shared" ref="M56" si="90">+M57+M58</f>
        <v>1246581715</v>
      </c>
      <c r="N56" s="448">
        <f t="shared" ref="N56" si="91">+N57+N58</f>
        <v>1231767259</v>
      </c>
      <c r="O56" s="448">
        <f t="shared" ref="O56" si="92">+O57+O58</f>
        <v>1201868354</v>
      </c>
      <c r="P56" s="448">
        <f t="shared" ref="P56" si="93">+P57+P58</f>
        <v>1172132542</v>
      </c>
      <c r="Q56" s="448">
        <f t="shared" ref="Q56" si="94">+Q57+Q58</f>
        <v>1455205522</v>
      </c>
      <c r="R56" s="448">
        <f t="shared" ref="R56" si="95">+R57+R58</f>
        <v>490104408</v>
      </c>
      <c r="S56" s="448">
        <f t="shared" si="6"/>
        <v>4051381687</v>
      </c>
      <c r="T56" s="448">
        <f t="shared" si="7"/>
        <v>1009651382</v>
      </c>
      <c r="U56" s="448">
        <f t="shared" si="8"/>
        <v>3041730305</v>
      </c>
      <c r="V56" s="193"/>
      <c r="W56" s="509"/>
      <c r="X56" s="509"/>
      <c r="AA56" s="217"/>
    </row>
    <row r="57" spans="1:27" s="170" customFormat="1" ht="20.25" customHeight="1">
      <c r="A57" s="305"/>
      <c r="B57" s="323" t="s">
        <v>425</v>
      </c>
      <c r="C57" s="494">
        <v>0</v>
      </c>
      <c r="D57" s="494">
        <v>0</v>
      </c>
      <c r="E57" s="494">
        <v>0</v>
      </c>
      <c r="F57" s="494">
        <v>0</v>
      </c>
      <c r="G57" s="494">
        <v>2227666</v>
      </c>
      <c r="H57" s="494">
        <v>2227666</v>
      </c>
      <c r="I57" s="494">
        <v>4455332</v>
      </c>
      <c r="J57" s="494">
        <v>4455332</v>
      </c>
      <c r="K57" s="494">
        <v>141043098</v>
      </c>
      <c r="L57" s="494">
        <v>141043098</v>
      </c>
      <c r="M57" s="494">
        <v>1246581715</v>
      </c>
      <c r="N57" s="494">
        <v>1231767259</v>
      </c>
      <c r="O57" s="494">
        <v>1201868354</v>
      </c>
      <c r="P57" s="494">
        <v>1172132542</v>
      </c>
      <c r="Q57" s="494">
        <v>1455205522</v>
      </c>
      <c r="R57" s="494">
        <v>490104408</v>
      </c>
      <c r="S57" s="448">
        <f t="shared" si="6"/>
        <v>4051381687</v>
      </c>
      <c r="T57" s="448">
        <f t="shared" si="7"/>
        <v>1009651382</v>
      </c>
      <c r="U57" s="448">
        <f t="shared" si="8"/>
        <v>3041730305</v>
      </c>
      <c r="V57" s="193"/>
      <c r="W57" s="509"/>
      <c r="X57" s="509"/>
      <c r="AA57" s="217"/>
    </row>
    <row r="58" spans="1:27" s="170" customFormat="1" ht="20.25" customHeight="1">
      <c r="A58" s="305"/>
      <c r="B58" s="323" t="s">
        <v>426</v>
      </c>
      <c r="C58" s="494">
        <v>0</v>
      </c>
      <c r="D58" s="494">
        <v>0</v>
      </c>
      <c r="E58" s="494">
        <v>0</v>
      </c>
      <c r="F58" s="494">
        <v>0</v>
      </c>
      <c r="G58" s="494">
        <v>0</v>
      </c>
      <c r="H58" s="494">
        <v>0</v>
      </c>
      <c r="I58" s="494">
        <v>0</v>
      </c>
      <c r="J58" s="494">
        <v>0</v>
      </c>
      <c r="K58" s="494">
        <v>0</v>
      </c>
      <c r="L58" s="494">
        <v>0</v>
      </c>
      <c r="M58" s="494">
        <v>0</v>
      </c>
      <c r="N58" s="494">
        <v>0</v>
      </c>
      <c r="O58" s="494">
        <v>0</v>
      </c>
      <c r="P58" s="494">
        <v>0</v>
      </c>
      <c r="Q58" s="494">
        <v>0</v>
      </c>
      <c r="R58" s="494">
        <v>0</v>
      </c>
      <c r="S58" s="448">
        <f t="shared" si="6"/>
        <v>0</v>
      </c>
      <c r="T58" s="448">
        <f t="shared" si="7"/>
        <v>0</v>
      </c>
      <c r="U58" s="448">
        <f t="shared" si="8"/>
        <v>0</v>
      </c>
      <c r="V58" s="193"/>
      <c r="W58" s="166"/>
      <c r="X58" s="166"/>
      <c r="AA58" s="217"/>
    </row>
    <row r="59" spans="1:27" s="170" customFormat="1" ht="30" customHeight="1">
      <c r="A59" s="305"/>
      <c r="B59" s="515" t="s">
        <v>574</v>
      </c>
      <c r="C59" s="494"/>
      <c r="D59" s="494"/>
      <c r="E59" s="494"/>
      <c r="F59" s="494"/>
      <c r="G59" s="494"/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48"/>
      <c r="T59" s="448"/>
      <c r="U59" s="448"/>
      <c r="V59" s="193"/>
      <c r="W59" s="509"/>
      <c r="X59" s="509"/>
      <c r="AA59" s="217"/>
    </row>
    <row r="60" spans="1:27" s="170" customFormat="1" ht="20.25" customHeight="1">
      <c r="A60" s="305"/>
      <c r="B60" s="323" t="s">
        <v>568</v>
      </c>
      <c r="C60" s="448">
        <f>'Bank Assets Analysis'!C47-'Bank Assets Analysis'!C30-'Bank Assets Analysis'!C32-'Bank Assets Analysis'!C33-'Bank Assets Analysis'!C37-'Bank Assets Analysis'!C38-'Bank Assets Analysis'!C42-'Bank Assets Analysis'!C45</f>
        <v>2529358209</v>
      </c>
      <c r="D60" s="448">
        <f>'Bank Assets Analysis'!D47-'Bank Assets Analysis'!D30-'Bank Assets Analysis'!D32-'Bank Assets Analysis'!D33-'Bank Assets Analysis'!D37-'Bank Assets Analysis'!D38-'Bank Assets Analysis'!D42-'Bank Assets Analysis'!D45</f>
        <v>1603778901</v>
      </c>
      <c r="E60" s="448">
        <f>'Bank Assets Analysis'!E47</f>
        <v>669150948</v>
      </c>
      <c r="F60" s="448">
        <f>'Bank Assets Analysis'!F47</f>
        <v>185707333</v>
      </c>
      <c r="G60" s="448">
        <f>'Bank Assets Analysis'!G47</f>
        <v>831497974</v>
      </c>
      <c r="H60" s="448">
        <f>'Bank Assets Analysis'!H47</f>
        <v>204822424</v>
      </c>
      <c r="I60" s="448">
        <f>'Bank Assets Analysis'!I47</f>
        <v>1071308981</v>
      </c>
      <c r="J60" s="448">
        <f>'Bank Assets Analysis'!J47</f>
        <v>436346941</v>
      </c>
      <c r="K60" s="448">
        <f>'Bank Assets Analysis'!K47</f>
        <v>1220986412</v>
      </c>
      <c r="L60" s="448">
        <f>'Bank Assets Analysis'!L47</f>
        <v>236551631</v>
      </c>
      <c r="M60" s="448">
        <f>'Bank Assets Analysis'!M47</f>
        <v>2228580353</v>
      </c>
      <c r="N60" s="448">
        <f>'Bank Assets Analysis'!N47</f>
        <v>362334911</v>
      </c>
      <c r="O60" s="448">
        <f>'Bank Assets Analysis'!O47-'Bank Assets Analysis'!O37</f>
        <v>3339818948</v>
      </c>
      <c r="P60" s="448">
        <f>'Bank Assets Analysis'!P47-'Bank Assets Analysis'!P37</f>
        <v>653786610</v>
      </c>
      <c r="Q60" s="448">
        <f>'Bank Assets Analysis'!Q47-'Bank Assets Analysis'!Q37</f>
        <v>7995053721</v>
      </c>
      <c r="R60" s="448">
        <f>'Bank Assets Analysis'!R47-'Bank Assets Analysis'!R37</f>
        <v>1467004264</v>
      </c>
      <c r="S60" s="448"/>
      <c r="T60" s="448"/>
      <c r="U60" s="448"/>
      <c r="V60" s="193"/>
      <c r="W60" s="509"/>
      <c r="X60" s="509"/>
      <c r="AA60" s="217"/>
    </row>
    <row r="61" spans="1:27" s="170" customFormat="1" ht="20.25" customHeight="1">
      <c r="A61" s="305"/>
      <c r="B61" s="323" t="s">
        <v>569</v>
      </c>
      <c r="C61" s="448">
        <f>(+'Bank Assets Analysis'!C49-'Bank Assets Analysis'!C50)+('Bank Assets Analysis'!C51-'Bank Assets Analysis'!C52)+('Bank Assets Analysis'!C53-'Bank Assets Analysis'!C54)</f>
        <v>1448756724.3280001</v>
      </c>
      <c r="D61" s="448">
        <f>(+'Bank Assets Analysis'!D49-'Bank Assets Analysis'!D50)+('Bank Assets Analysis'!D51-'Bank Assets Analysis'!D52)+('Bank Assets Analysis'!D53-'Bank Assets Analysis'!D54)</f>
        <v>982253857.32800007</v>
      </c>
      <c r="E61" s="448">
        <f>(+'Bank Assets Analysis'!E49-'Bank Assets Analysis'!E50)+('Bank Assets Analysis'!E51-'Bank Assets Analysis'!E52)+('Bank Assets Analysis'!E53-'Bank Assets Analysis'!E54)</f>
        <v>0</v>
      </c>
      <c r="F61" s="448">
        <f>(+'Bank Assets Analysis'!F49-'Bank Assets Analysis'!F50)+('Bank Assets Analysis'!F51-'Bank Assets Analysis'!F52)+('Bank Assets Analysis'!F53-'Bank Assets Analysis'!F54)</f>
        <v>0</v>
      </c>
      <c r="G61" s="448">
        <f>(+'Bank Assets Analysis'!G49-'Bank Assets Analysis'!G50)+('Bank Assets Analysis'!G51-'Bank Assets Analysis'!G52)+('Bank Assets Analysis'!G53-'Bank Assets Analysis'!G54)</f>
        <v>0</v>
      </c>
      <c r="H61" s="448">
        <f>(+'Bank Assets Analysis'!H49-'Bank Assets Analysis'!H50)+('Bank Assets Analysis'!H51-'Bank Assets Analysis'!H52)+('Bank Assets Analysis'!H53-'Bank Assets Analysis'!H54)</f>
        <v>0</v>
      </c>
      <c r="I61" s="448">
        <f>(+'Bank Assets Analysis'!I49-'Bank Assets Analysis'!I50)+('Bank Assets Analysis'!I51-'Bank Assets Analysis'!I52)+('Bank Assets Analysis'!I53-'Bank Assets Analysis'!I54)</f>
        <v>0</v>
      </c>
      <c r="J61" s="448">
        <f>(+'Bank Assets Analysis'!J49-'Bank Assets Analysis'!J50)+('Bank Assets Analysis'!J51-'Bank Assets Analysis'!J52)+('Bank Assets Analysis'!J53-'Bank Assets Analysis'!J54)</f>
        <v>0</v>
      </c>
      <c r="K61" s="448">
        <f>(+'Bank Assets Analysis'!K49-'Bank Assets Analysis'!K50)+('Bank Assets Analysis'!K51-'Bank Assets Analysis'!K52)+('Bank Assets Analysis'!K53-'Bank Assets Analysis'!K54)</f>
        <v>0</v>
      </c>
      <c r="L61" s="448">
        <f>(+'Bank Assets Analysis'!L49-'Bank Assets Analysis'!L50)+('Bank Assets Analysis'!L51-'Bank Assets Analysis'!L52)+('Bank Assets Analysis'!L53-'Bank Assets Analysis'!L54)</f>
        <v>0</v>
      </c>
      <c r="M61" s="448">
        <f>(+'Bank Assets Analysis'!M49-'Bank Assets Analysis'!M50)+('Bank Assets Analysis'!M51-'Bank Assets Analysis'!M52)+('Bank Assets Analysis'!M53-'Bank Assets Analysis'!M54)</f>
        <v>0</v>
      </c>
      <c r="N61" s="448">
        <f>(+'Bank Assets Analysis'!N49-'Bank Assets Analysis'!N50)+('Bank Assets Analysis'!N51-'Bank Assets Analysis'!N52)+('Bank Assets Analysis'!N53-'Bank Assets Analysis'!N54)</f>
        <v>0</v>
      </c>
      <c r="O61" s="448">
        <f>(+'Bank Assets Analysis'!O49-'Bank Assets Analysis'!O50)+('Bank Assets Analysis'!O51-'Bank Assets Analysis'!O52)+('Bank Assets Analysis'!O53-'Bank Assets Analysis'!O54)</f>
        <v>0</v>
      </c>
      <c r="P61" s="448">
        <f>(+'Bank Assets Analysis'!P49-'Bank Assets Analysis'!P50)+('Bank Assets Analysis'!P51-'Bank Assets Analysis'!P52)+('Bank Assets Analysis'!P53-'Bank Assets Analysis'!P54)</f>
        <v>0</v>
      </c>
      <c r="Q61" s="448">
        <f>(+'Bank Assets Analysis'!Q49-'Bank Assets Analysis'!Q50)+('Bank Assets Analysis'!Q51-'Bank Assets Analysis'!Q52)+('Bank Assets Analysis'!Q53-'Bank Assets Analysis'!Q54)</f>
        <v>0</v>
      </c>
      <c r="R61" s="448">
        <f>(+'Bank Assets Analysis'!R49-'Bank Assets Analysis'!R50)+('Bank Assets Analysis'!R51-'Bank Assets Analysis'!R52)+('Bank Assets Analysis'!R53-'Bank Assets Analysis'!R54)</f>
        <v>0</v>
      </c>
      <c r="S61" s="448"/>
      <c r="T61" s="448"/>
      <c r="U61" s="448"/>
      <c r="V61" s="193"/>
      <c r="W61" s="509"/>
      <c r="X61" s="509"/>
      <c r="AA61" s="217"/>
    </row>
    <row r="62" spans="1:27" s="170" customFormat="1" ht="20.25" customHeight="1">
      <c r="A62" s="305"/>
      <c r="B62" s="323" t="s">
        <v>570</v>
      </c>
      <c r="C62" s="448">
        <f>'Bank Liabilities Analysis'!C42</f>
        <v>1164406022</v>
      </c>
      <c r="D62" s="448">
        <f>'Bank Liabilities Analysis'!D42</f>
        <v>154488053</v>
      </c>
      <c r="E62" s="448">
        <f>'Bank Liabilities Analysis'!E42</f>
        <v>431280623</v>
      </c>
      <c r="F62" s="448">
        <f>'Bank Liabilities Analysis'!F42</f>
        <v>8223097</v>
      </c>
      <c r="G62" s="448">
        <f>'Bank Liabilities Analysis'!G42</f>
        <v>563602189</v>
      </c>
      <c r="H62" s="448">
        <f>'Bank Liabilities Analysis'!H42</f>
        <v>265041941</v>
      </c>
      <c r="I62" s="448">
        <f>'Bank Liabilities Analysis'!I42</f>
        <v>976364909</v>
      </c>
      <c r="J62" s="448">
        <f>'Bank Liabilities Analysis'!J42</f>
        <v>66449717</v>
      </c>
      <c r="K62" s="448">
        <f>'Bank Liabilities Analysis'!K42</f>
        <v>1244839603</v>
      </c>
      <c r="L62" s="448">
        <f>'Bank Liabilities Analysis'!L42</f>
        <v>277003060</v>
      </c>
      <c r="M62" s="448">
        <f>'Bank Liabilities Analysis'!M42</f>
        <v>3751653562</v>
      </c>
      <c r="N62" s="448">
        <f>'Bank Liabilities Analysis'!N42</f>
        <v>1375317765</v>
      </c>
      <c r="O62" s="448">
        <f>'Bank Liabilities Analysis'!O42</f>
        <v>4280985381</v>
      </c>
      <c r="P62" s="448">
        <f>'Bank Liabilities Analysis'!P42</f>
        <v>1835355961</v>
      </c>
      <c r="Q62" s="448">
        <f>'Bank Liabilities Analysis'!Q42</f>
        <v>7578780911</v>
      </c>
      <c r="R62" s="448">
        <f>'Bank Liabilities Analysis'!R42</f>
        <v>2039006627</v>
      </c>
      <c r="S62" s="448"/>
      <c r="T62" s="448"/>
      <c r="U62" s="448"/>
      <c r="V62" s="193"/>
      <c r="W62" s="509"/>
      <c r="X62" s="509"/>
      <c r="AA62" s="217"/>
    </row>
    <row r="63" spans="1:27" s="170" customFormat="1" ht="20.25" customHeight="1">
      <c r="A63" s="305"/>
      <c r="B63" s="323" t="s">
        <v>571</v>
      </c>
      <c r="C63" s="448">
        <f>+C60-C62-C61</f>
        <v>-83804537.328000069</v>
      </c>
      <c r="D63" s="448">
        <f t="shared" ref="D63:Q63" si="96">+D60-D62-D61</f>
        <v>467036990.67199993</v>
      </c>
      <c r="E63" s="448">
        <f t="shared" si="96"/>
        <v>237870325</v>
      </c>
      <c r="F63" s="448">
        <f t="shared" si="96"/>
        <v>177484236</v>
      </c>
      <c r="G63" s="448">
        <f t="shared" si="96"/>
        <v>267895785</v>
      </c>
      <c r="H63" s="448">
        <f t="shared" si="96"/>
        <v>-60219517</v>
      </c>
      <c r="I63" s="448">
        <f t="shared" si="96"/>
        <v>94944072</v>
      </c>
      <c r="J63" s="448">
        <f t="shared" si="96"/>
        <v>369897224</v>
      </c>
      <c r="K63" s="448">
        <f t="shared" si="96"/>
        <v>-23853191</v>
      </c>
      <c r="L63" s="448">
        <f t="shared" si="96"/>
        <v>-40451429</v>
      </c>
      <c r="M63" s="448">
        <f t="shared" si="96"/>
        <v>-1523073209</v>
      </c>
      <c r="N63" s="448">
        <f t="shared" si="96"/>
        <v>-1012982854</v>
      </c>
      <c r="O63" s="448">
        <f t="shared" si="96"/>
        <v>-941166433</v>
      </c>
      <c r="P63" s="448">
        <f t="shared" si="96"/>
        <v>-1181569351</v>
      </c>
      <c r="Q63" s="448">
        <f t="shared" si="96"/>
        <v>416272810</v>
      </c>
      <c r="R63" s="448">
        <f>+R60-R62-R61</f>
        <v>-572002363</v>
      </c>
      <c r="S63" s="448"/>
      <c r="T63" s="448"/>
      <c r="U63" s="448"/>
      <c r="V63" s="193"/>
      <c r="W63" s="509"/>
      <c r="X63" s="509"/>
      <c r="AA63" s="217"/>
    </row>
    <row r="64" spans="1:27" s="170" customFormat="1" ht="20.25" customHeight="1">
      <c r="A64" s="305"/>
      <c r="B64" s="323" t="s">
        <v>572</v>
      </c>
      <c r="C64" s="448">
        <f>+C63</f>
        <v>-83804537.328000069</v>
      </c>
      <c r="D64" s="448">
        <f>+D63</f>
        <v>467036990.67199993</v>
      </c>
      <c r="E64" s="448">
        <f>E63+C64</f>
        <v>154065787.67199993</v>
      </c>
      <c r="F64" s="448">
        <f>+F63+D64</f>
        <v>644521226.67199993</v>
      </c>
      <c r="G64" s="448">
        <f>G63+E64</f>
        <v>421961572.67199993</v>
      </c>
      <c r="H64" s="448">
        <f>+H63+F64</f>
        <v>584301709.67199993</v>
      </c>
      <c r="I64" s="448">
        <f>I63+G64</f>
        <v>516905644.67199993</v>
      </c>
      <c r="J64" s="448">
        <f>+J63+H64</f>
        <v>954198933.67199993</v>
      </c>
      <c r="K64" s="448">
        <f>K63+I64</f>
        <v>493052453.67199993</v>
      </c>
      <c r="L64" s="448">
        <f>+L63+J64</f>
        <v>913747504.67199993</v>
      </c>
      <c r="M64" s="448">
        <f>M63+K64</f>
        <v>-1030020755.3280001</v>
      </c>
      <c r="N64" s="448">
        <f>+N63+L64</f>
        <v>-99235349.328000069</v>
      </c>
      <c r="O64" s="448">
        <f>O63+M64</f>
        <v>-1971187188.3280001</v>
      </c>
      <c r="P64" s="448">
        <f>+P63+N64</f>
        <v>-1280804700.3280001</v>
      </c>
      <c r="Q64" s="448">
        <f t="shared" ref="Q64" si="97">Q63+O64</f>
        <v>-1554914378.3280001</v>
      </c>
      <c r="R64" s="448">
        <f>+R63+P64</f>
        <v>-1852807063.3280001</v>
      </c>
      <c r="S64" s="448"/>
      <c r="T64" s="448"/>
      <c r="U64" s="448"/>
      <c r="V64" s="193"/>
      <c r="W64" s="509"/>
      <c r="X64" s="509"/>
      <c r="AA64" s="217"/>
    </row>
    <row r="65" spans="1:30" s="161" customFormat="1">
      <c r="A65" s="191"/>
      <c r="B65" s="324"/>
      <c r="C65" s="520"/>
      <c r="D65" s="520"/>
      <c r="E65" s="520"/>
      <c r="F65" s="520"/>
      <c r="G65" s="520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496"/>
      <c r="T65" s="496"/>
      <c r="U65" s="496"/>
      <c r="V65" s="325"/>
      <c r="W65" s="167"/>
      <c r="X65" s="167"/>
      <c r="AA65" s="326"/>
    </row>
    <row r="66" spans="1:30" s="24" customFormat="1" ht="15" customHeight="1">
      <c r="A66" s="23"/>
      <c r="B66" s="225" t="s">
        <v>536</v>
      </c>
      <c r="C66" s="23"/>
      <c r="D66" s="23"/>
      <c r="E66" s="23"/>
      <c r="F66" s="173"/>
      <c r="G66" s="173"/>
      <c r="H66" s="173"/>
      <c r="I66" s="173"/>
      <c r="J66" s="173"/>
      <c r="K66" s="173"/>
      <c r="L66" s="173"/>
      <c r="M66" s="17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spans="1:30" s="24" customFormat="1" ht="11.25" customHeight="1">
      <c r="A67" s="23"/>
      <c r="B67" s="225"/>
      <c r="C67" s="23"/>
      <c r="D67" s="23"/>
      <c r="E67" s="23"/>
      <c r="F67" s="173"/>
      <c r="G67" s="173"/>
      <c r="H67" s="173"/>
      <c r="I67" s="173"/>
      <c r="J67" s="173"/>
      <c r="K67" s="173"/>
      <c r="L67" s="173"/>
      <c r="M67" s="17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1:30" s="24" customFormat="1" ht="15" customHeight="1">
      <c r="A68" s="23"/>
      <c r="B68" s="225" t="s">
        <v>535</v>
      </c>
      <c r="C68" s="23"/>
      <c r="D68" s="23"/>
      <c r="E68" s="23"/>
      <c r="F68" s="173"/>
      <c r="G68" s="173"/>
      <c r="H68" s="173"/>
      <c r="I68" s="173"/>
      <c r="J68" s="173"/>
      <c r="K68" s="173"/>
      <c r="L68" s="173"/>
      <c r="M68" s="17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spans="1:30" s="161" customFormat="1">
      <c r="A69" s="191"/>
      <c r="B69" s="324"/>
      <c r="V69" s="325"/>
      <c r="W69" s="167"/>
      <c r="X69" s="167"/>
      <c r="AA69" s="327"/>
    </row>
    <row r="72" spans="1:30">
      <c r="T72" s="492"/>
    </row>
    <row r="74" spans="1:30">
      <c r="T74" s="492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Z42">
    <cfRule type="cellIs" dxfId="371" priority="812" operator="notEqual">
      <formula>$T$42</formula>
    </cfRule>
  </conditionalFormatting>
  <conditionalFormatting sqref="D7 F7 N15 R27 D15:D17 H15 J15 L15 P15 R15 F15 N18:N20 D19:D21 F19:F20 L19:L20 J19:J20 H19:H20 R18:R20 P18:P20 P23:P25 R23:R25 H23:H25 J23:J25 L23:L25 F23:F25 N23:N25 D39:D40 H39:H40 J39:J40 L39:L40 P39:P40 R39:R40 N39:N40 F39:F40 D23:D25">
    <cfRule type="cellIs" dxfId="370" priority="811" operator="greaterThan">
      <formula>C7</formula>
    </cfRule>
  </conditionalFormatting>
  <conditionalFormatting sqref="D44:D47 F44:F47 F56 D56 F53 D53 F50 D50">
    <cfRule type="cellIs" dxfId="369" priority="809" operator="greaterThan">
      <formula>C44</formula>
    </cfRule>
  </conditionalFormatting>
  <conditionalFormatting sqref="H7">
    <cfRule type="cellIs" dxfId="368" priority="808" operator="greaterThan">
      <formula>G7</formula>
    </cfRule>
  </conditionalFormatting>
  <conditionalFormatting sqref="H44:H47 H56 H53 H50">
    <cfRule type="cellIs" dxfId="367" priority="806" operator="greaterThan">
      <formula>G44</formula>
    </cfRule>
  </conditionalFormatting>
  <conditionalFormatting sqref="J7">
    <cfRule type="cellIs" dxfId="366" priority="805" operator="greaterThan">
      <formula>I7</formula>
    </cfRule>
  </conditionalFormatting>
  <conditionalFormatting sqref="J44:J47 J56 J53 J50">
    <cfRule type="cellIs" dxfId="365" priority="803" operator="greaterThan">
      <formula>I44</formula>
    </cfRule>
  </conditionalFormatting>
  <conditionalFormatting sqref="L7">
    <cfRule type="cellIs" dxfId="364" priority="802" operator="greaterThan">
      <formula>K7</formula>
    </cfRule>
  </conditionalFormatting>
  <conditionalFormatting sqref="L44:L47 L56 L53 L50">
    <cfRule type="cellIs" dxfId="363" priority="800" operator="greaterThan">
      <formula>K44</formula>
    </cfRule>
  </conditionalFormatting>
  <conditionalFormatting sqref="N7">
    <cfRule type="cellIs" dxfId="362" priority="799" operator="greaterThan">
      <formula>M7</formula>
    </cfRule>
  </conditionalFormatting>
  <conditionalFormatting sqref="N44:N47 N56 N53 N50">
    <cfRule type="cellIs" dxfId="361" priority="797" operator="greaterThan">
      <formula>M44</formula>
    </cfRule>
  </conditionalFormatting>
  <conditionalFormatting sqref="P7">
    <cfRule type="cellIs" dxfId="360" priority="796" operator="greaterThan">
      <formula>O7</formula>
    </cfRule>
  </conditionalFormatting>
  <conditionalFormatting sqref="P44 P46:P47 P56 P53 P50">
    <cfRule type="cellIs" dxfId="359" priority="794" operator="greaterThan">
      <formula>O44</formula>
    </cfRule>
  </conditionalFormatting>
  <conditionalFormatting sqref="R7">
    <cfRule type="cellIs" dxfId="358" priority="793" operator="greaterThan">
      <formula>Q7</formula>
    </cfRule>
  </conditionalFormatting>
  <conditionalFormatting sqref="R44 R46:R47 R56 R53 R50">
    <cfRule type="cellIs" dxfId="357" priority="791" operator="greaterThan">
      <formula>Q44</formula>
    </cfRule>
  </conditionalFormatting>
  <conditionalFormatting sqref="F7">
    <cfRule type="cellIs" dxfId="356" priority="788" operator="greaterThan">
      <formula>E7</formula>
    </cfRule>
  </conditionalFormatting>
  <conditionalFormatting sqref="F44:F47 F56 F53 F50">
    <cfRule type="cellIs" dxfId="355" priority="787" operator="greaterThan">
      <formula>E44</formula>
    </cfRule>
  </conditionalFormatting>
  <conditionalFormatting sqref="AA42">
    <cfRule type="cellIs" dxfId="354" priority="786" operator="notEqual">
      <formula>$U$42</formula>
    </cfRule>
  </conditionalFormatting>
  <conditionalFormatting sqref="Y42">
    <cfRule type="cellIs" dxfId="353" priority="785" operator="notEqual">
      <formula>$S$42</formula>
    </cfRule>
  </conditionalFormatting>
  <conditionalFormatting sqref="D8">
    <cfRule type="cellIs" dxfId="352" priority="784" operator="greaterThan">
      <formula>C8</formula>
    </cfRule>
  </conditionalFormatting>
  <conditionalFormatting sqref="H19">
    <cfRule type="cellIs" dxfId="351" priority="674" operator="greaterThan">
      <formula>G19</formula>
    </cfRule>
  </conditionalFormatting>
  <conditionalFormatting sqref="J19">
    <cfRule type="cellIs" dxfId="350" priority="673" operator="greaterThan">
      <formula>I19</formula>
    </cfRule>
  </conditionalFormatting>
  <conditionalFormatting sqref="L19">
    <cfRule type="cellIs" dxfId="349" priority="672" operator="greaterThan">
      <formula>K19</formula>
    </cfRule>
  </conditionalFormatting>
  <conditionalFormatting sqref="N19">
    <cfRule type="cellIs" dxfId="348" priority="671" operator="greaterThan">
      <formula>M19</formula>
    </cfRule>
  </conditionalFormatting>
  <conditionalFormatting sqref="P19">
    <cfRule type="cellIs" dxfId="347" priority="670" operator="greaterThan">
      <formula>O19</formula>
    </cfRule>
  </conditionalFormatting>
  <conditionalFormatting sqref="R19">
    <cfRule type="cellIs" dxfId="346" priority="669" operator="greaterThan">
      <formula>Q19</formula>
    </cfRule>
  </conditionalFormatting>
  <conditionalFormatting sqref="H19 J19 L19 N19 P19 R19">
    <cfRule type="cellIs" dxfId="345" priority="668" operator="greaterThan">
      <formula>G19</formula>
    </cfRule>
  </conditionalFormatting>
  <conditionalFormatting sqref="H19 J19 L19 P19 R19 N19">
    <cfRule type="cellIs" dxfId="344" priority="667" operator="greaterThan">
      <formula>G19</formula>
    </cfRule>
  </conditionalFormatting>
  <conditionalFormatting sqref="F19">
    <cfRule type="cellIs" dxfId="343" priority="666" operator="greaterThan">
      <formula>E19</formula>
    </cfRule>
  </conditionalFormatting>
  <conditionalFormatting sqref="F19">
    <cfRule type="cellIs" dxfId="342" priority="665" operator="greaterThan">
      <formula>E19</formula>
    </cfRule>
  </conditionalFormatting>
  <conditionalFormatting sqref="F19">
    <cfRule type="cellIs" dxfId="341" priority="664" operator="greaterThan">
      <formula>E19</formula>
    </cfRule>
  </conditionalFormatting>
  <conditionalFormatting sqref="F19">
    <cfRule type="cellIs" dxfId="340" priority="663" operator="greaterThan">
      <formula>E19</formula>
    </cfRule>
  </conditionalFormatting>
  <conditionalFormatting sqref="H26 J26 L26 N26 P26 R26 D26 F26">
    <cfRule type="cellIs" dxfId="339" priority="662" operator="greaterThan">
      <formula>C26</formula>
    </cfRule>
  </conditionalFormatting>
  <conditionalFormatting sqref="H26 J26 L26 N26 P26 R26 D26 F26">
    <cfRule type="cellIs" dxfId="338" priority="661" operator="greaterThan">
      <formula>C26</formula>
    </cfRule>
  </conditionalFormatting>
  <conditionalFormatting sqref="H26">
    <cfRule type="cellIs" dxfId="337" priority="660" operator="greaterThan">
      <formula>G26</formula>
    </cfRule>
  </conditionalFormatting>
  <conditionalFormatting sqref="J26">
    <cfRule type="cellIs" dxfId="336" priority="659" operator="greaterThan">
      <formula>I26</formula>
    </cfRule>
  </conditionalFormatting>
  <conditionalFormatting sqref="L26">
    <cfRule type="cellIs" dxfId="335" priority="658" operator="greaterThan">
      <formula>K26</formula>
    </cfRule>
  </conditionalFormatting>
  <conditionalFormatting sqref="N26">
    <cfRule type="cellIs" dxfId="334" priority="657" operator="greaterThan">
      <formula>M26</formula>
    </cfRule>
  </conditionalFormatting>
  <conditionalFormatting sqref="P26">
    <cfRule type="cellIs" dxfId="333" priority="656" operator="greaterThan">
      <formula>O26</formula>
    </cfRule>
  </conditionalFormatting>
  <conditionalFormatting sqref="R26">
    <cfRule type="cellIs" dxfId="332" priority="655" operator="greaterThan">
      <formula>Q26</formula>
    </cfRule>
  </conditionalFormatting>
  <conditionalFormatting sqref="H26 J26 L26 N26 P26 R26">
    <cfRule type="cellIs" dxfId="331" priority="654" operator="greaterThan">
      <formula>G26</formula>
    </cfRule>
  </conditionalFormatting>
  <conditionalFormatting sqref="H26 J26 L26 P26 R26 N26">
    <cfRule type="cellIs" dxfId="330" priority="653" operator="greaterThan">
      <formula>G26</formula>
    </cfRule>
  </conditionalFormatting>
  <conditionalFormatting sqref="F26">
    <cfRule type="cellIs" dxfId="329" priority="652" operator="greaterThan">
      <formula>E26</formula>
    </cfRule>
  </conditionalFormatting>
  <conditionalFormatting sqref="F26">
    <cfRule type="cellIs" dxfId="328" priority="651" operator="greaterThan">
      <formula>E26</formula>
    </cfRule>
  </conditionalFormatting>
  <conditionalFormatting sqref="F26">
    <cfRule type="cellIs" dxfId="327" priority="650" operator="greaterThan">
      <formula>E26</formula>
    </cfRule>
  </conditionalFormatting>
  <conditionalFormatting sqref="F26">
    <cfRule type="cellIs" dxfId="326" priority="649" operator="greaterThan">
      <formula>E26</formula>
    </cfRule>
  </conditionalFormatting>
  <conditionalFormatting sqref="F13 D13 R13 P13 N13 L13 J13 H13">
    <cfRule type="cellIs" dxfId="325" priority="566" operator="greaterThan">
      <formula>C13</formula>
    </cfRule>
  </conditionalFormatting>
  <conditionalFormatting sqref="H13">
    <cfRule type="cellIs" dxfId="324" priority="565" operator="greaterThan">
      <formula>G13</formula>
    </cfRule>
  </conditionalFormatting>
  <conditionalFormatting sqref="J13">
    <cfRule type="cellIs" dxfId="323" priority="564" operator="greaterThan">
      <formula>I13</formula>
    </cfRule>
  </conditionalFormatting>
  <conditionalFormatting sqref="L13">
    <cfRule type="cellIs" dxfId="322" priority="563" operator="greaterThan">
      <formula>K13</formula>
    </cfRule>
  </conditionalFormatting>
  <conditionalFormatting sqref="N13">
    <cfRule type="cellIs" dxfId="321" priority="562" operator="greaterThan">
      <formula>M13</formula>
    </cfRule>
  </conditionalFormatting>
  <conditionalFormatting sqref="P13">
    <cfRule type="cellIs" dxfId="320" priority="561" operator="greaterThan">
      <formula>O13</formula>
    </cfRule>
  </conditionalFormatting>
  <conditionalFormatting sqref="R13">
    <cfRule type="cellIs" dxfId="319" priority="560" operator="greaterThan">
      <formula>Q13</formula>
    </cfRule>
  </conditionalFormatting>
  <conditionalFormatting sqref="H13 J13 L13 N13 P13 R13">
    <cfRule type="cellIs" dxfId="318" priority="559" operator="greaterThan">
      <formula>G13</formula>
    </cfRule>
  </conditionalFormatting>
  <conditionalFormatting sqref="H13 J13 L13 P13 R13 N13">
    <cfRule type="cellIs" dxfId="317" priority="558" operator="greaterThan">
      <formula>G13</formula>
    </cfRule>
  </conditionalFormatting>
  <conditionalFormatting sqref="F13">
    <cfRule type="cellIs" dxfId="316" priority="557" operator="greaterThan">
      <formula>E13</formula>
    </cfRule>
  </conditionalFormatting>
  <conditionalFormatting sqref="F13">
    <cfRule type="cellIs" dxfId="315" priority="556" operator="greaterThan">
      <formula>E13</formula>
    </cfRule>
  </conditionalFormatting>
  <conditionalFormatting sqref="F13">
    <cfRule type="cellIs" dxfId="314" priority="555" operator="greaterThan">
      <formula>E13</formula>
    </cfRule>
  </conditionalFormatting>
  <conditionalFormatting sqref="F13">
    <cfRule type="cellIs" dxfId="313" priority="554" operator="greaterThan">
      <formula>E13</formula>
    </cfRule>
  </conditionalFormatting>
  <conditionalFormatting sqref="P45">
    <cfRule type="cellIs" dxfId="312" priority="500" operator="greaterThan">
      <formula>O45</formula>
    </cfRule>
  </conditionalFormatting>
  <conditionalFormatting sqref="S20">
    <cfRule type="cellIs" dxfId="311" priority="496" operator="notEqual">
      <formula>Y20</formula>
    </cfRule>
  </conditionalFormatting>
  <conditionalFormatting sqref="T20:U20">
    <cfRule type="cellIs" dxfId="310" priority="495" operator="notEqual">
      <formula>Z20</formula>
    </cfRule>
  </conditionalFormatting>
  <conditionalFormatting sqref="H30 J30 L30 N30 P30 R30 D30 F30">
    <cfRule type="cellIs" dxfId="309" priority="494" operator="greaterThan">
      <formula>C30</formula>
    </cfRule>
  </conditionalFormatting>
  <conditionalFormatting sqref="H30 J30 L30 N30 P30 R30 D30 F30">
    <cfRule type="cellIs" dxfId="308" priority="493" operator="greaterThan">
      <formula>C30</formula>
    </cfRule>
  </conditionalFormatting>
  <conditionalFormatting sqref="H30">
    <cfRule type="cellIs" dxfId="307" priority="492" operator="greaterThan">
      <formula>G30</formula>
    </cfRule>
  </conditionalFormatting>
  <conditionalFormatting sqref="J30">
    <cfRule type="cellIs" dxfId="306" priority="491" operator="greaterThan">
      <formula>I30</formula>
    </cfRule>
  </conditionalFormatting>
  <conditionalFormatting sqref="L30">
    <cfRule type="cellIs" dxfId="305" priority="490" operator="greaterThan">
      <formula>K30</formula>
    </cfRule>
  </conditionalFormatting>
  <conditionalFormatting sqref="N30">
    <cfRule type="cellIs" dxfId="304" priority="489" operator="greaterThan">
      <formula>M30</formula>
    </cfRule>
  </conditionalFormatting>
  <conditionalFormatting sqref="P30">
    <cfRule type="cellIs" dxfId="303" priority="488" operator="greaterThan">
      <formula>O30</formula>
    </cfRule>
  </conditionalFormatting>
  <conditionalFormatting sqref="R30">
    <cfRule type="cellIs" dxfId="302" priority="487" operator="greaterThan">
      <formula>Q30</formula>
    </cfRule>
  </conditionalFormatting>
  <conditionalFormatting sqref="H30 J30 L30 N30 P30 R30">
    <cfRule type="cellIs" dxfId="301" priority="486" operator="greaterThan">
      <formula>G30</formula>
    </cfRule>
  </conditionalFormatting>
  <conditionalFormatting sqref="H30 J30 L30 P30 R30 N30">
    <cfRule type="cellIs" dxfId="300" priority="485" operator="greaterThan">
      <formula>G30</formula>
    </cfRule>
  </conditionalFormatting>
  <conditionalFormatting sqref="F30">
    <cfRule type="cellIs" dxfId="299" priority="484" operator="greaterThan">
      <formula>E30</formula>
    </cfRule>
  </conditionalFormatting>
  <conditionalFormatting sqref="F30">
    <cfRule type="cellIs" dxfId="298" priority="483" operator="greaterThan">
      <formula>E30</formula>
    </cfRule>
  </conditionalFormatting>
  <conditionalFormatting sqref="F30">
    <cfRule type="cellIs" dxfId="297" priority="482" operator="greaterThan">
      <formula>E30</formula>
    </cfRule>
  </conditionalFormatting>
  <conditionalFormatting sqref="F30">
    <cfRule type="cellIs" dxfId="296" priority="481" operator="greaterThan">
      <formula>E30</formula>
    </cfRule>
  </conditionalFormatting>
  <conditionalFormatting sqref="H33 J33 L33 N33 P33 R33 D33 F33">
    <cfRule type="cellIs" dxfId="295" priority="452" operator="greaterThan">
      <formula>C33</formula>
    </cfRule>
  </conditionalFormatting>
  <conditionalFormatting sqref="H33 J33 L33 N33 P33 R33 D33 F33">
    <cfRule type="cellIs" dxfId="294" priority="451" operator="greaterThan">
      <formula>C33</formula>
    </cfRule>
  </conditionalFormatting>
  <conditionalFormatting sqref="H33">
    <cfRule type="cellIs" dxfId="293" priority="450" operator="greaterThan">
      <formula>G33</formula>
    </cfRule>
  </conditionalFormatting>
  <conditionalFormatting sqref="J33">
    <cfRule type="cellIs" dxfId="292" priority="449" operator="greaterThan">
      <formula>I33</formula>
    </cfRule>
  </conditionalFormatting>
  <conditionalFormatting sqref="L33">
    <cfRule type="cellIs" dxfId="291" priority="448" operator="greaterThan">
      <formula>K33</formula>
    </cfRule>
  </conditionalFormatting>
  <conditionalFormatting sqref="N33">
    <cfRule type="cellIs" dxfId="290" priority="447" operator="greaterThan">
      <formula>M33</formula>
    </cfRule>
  </conditionalFormatting>
  <conditionalFormatting sqref="P33">
    <cfRule type="cellIs" dxfId="289" priority="446" operator="greaterThan">
      <formula>O33</formula>
    </cfRule>
  </conditionalFormatting>
  <conditionalFormatting sqref="R33">
    <cfRule type="cellIs" dxfId="288" priority="445" operator="greaterThan">
      <formula>Q33</formula>
    </cfRule>
  </conditionalFormatting>
  <conditionalFormatting sqref="H33 J33 L33 N33 P33 R33">
    <cfRule type="cellIs" dxfId="287" priority="444" operator="greaterThan">
      <formula>G33</formula>
    </cfRule>
  </conditionalFormatting>
  <conditionalFormatting sqref="H33 J33 L33 P33 R33 N33">
    <cfRule type="cellIs" dxfId="286" priority="443" operator="greaterThan">
      <formula>G33</formula>
    </cfRule>
  </conditionalFormatting>
  <conditionalFormatting sqref="F33">
    <cfRule type="cellIs" dxfId="285" priority="442" operator="greaterThan">
      <formula>E33</formula>
    </cfRule>
  </conditionalFormatting>
  <conditionalFormatting sqref="F33">
    <cfRule type="cellIs" dxfId="284" priority="441" operator="greaterThan">
      <formula>E33</formula>
    </cfRule>
  </conditionalFormatting>
  <conditionalFormatting sqref="F33">
    <cfRule type="cellIs" dxfId="283" priority="440" operator="greaterThan">
      <formula>E33</formula>
    </cfRule>
  </conditionalFormatting>
  <conditionalFormatting sqref="F33">
    <cfRule type="cellIs" dxfId="282" priority="439" operator="greaterThan">
      <formula>E33</formula>
    </cfRule>
  </conditionalFormatting>
  <conditionalFormatting sqref="H36 J36 L36 N36 P36 R36 D36 F36">
    <cfRule type="cellIs" dxfId="281" priority="438" operator="greaterThan">
      <formula>C36</formula>
    </cfRule>
  </conditionalFormatting>
  <conditionalFormatting sqref="H36 J36 L36 N36 P36 R36 D36 F36">
    <cfRule type="cellIs" dxfId="280" priority="437" operator="greaterThan">
      <formula>C36</formula>
    </cfRule>
  </conditionalFormatting>
  <conditionalFormatting sqref="H36">
    <cfRule type="cellIs" dxfId="279" priority="436" operator="greaterThan">
      <formula>G36</formula>
    </cfRule>
  </conditionalFormatting>
  <conditionalFormatting sqref="J36">
    <cfRule type="cellIs" dxfId="278" priority="435" operator="greaterThan">
      <formula>I36</formula>
    </cfRule>
  </conditionalFormatting>
  <conditionalFormatting sqref="L36">
    <cfRule type="cellIs" dxfId="277" priority="434" operator="greaterThan">
      <formula>K36</formula>
    </cfRule>
  </conditionalFormatting>
  <conditionalFormatting sqref="N36">
    <cfRule type="cellIs" dxfId="276" priority="433" operator="greaterThan">
      <formula>M36</formula>
    </cfRule>
  </conditionalFormatting>
  <conditionalFormatting sqref="P36">
    <cfRule type="cellIs" dxfId="275" priority="432" operator="greaterThan">
      <formula>O36</formula>
    </cfRule>
  </conditionalFormatting>
  <conditionalFormatting sqref="R36">
    <cfRule type="cellIs" dxfId="274" priority="431" operator="greaterThan">
      <formula>Q36</formula>
    </cfRule>
  </conditionalFormatting>
  <conditionalFormatting sqref="H36 J36 L36 N36 P36 R36">
    <cfRule type="cellIs" dxfId="273" priority="430" operator="greaterThan">
      <formula>G36</formula>
    </cfRule>
  </conditionalFormatting>
  <conditionalFormatting sqref="H36 J36 L36 P36 R36 N36">
    <cfRule type="cellIs" dxfId="272" priority="429" operator="greaterThan">
      <formula>G36</formula>
    </cfRule>
  </conditionalFormatting>
  <conditionalFormatting sqref="F36">
    <cfRule type="cellIs" dxfId="271" priority="428" operator="greaterThan">
      <formula>E36</formula>
    </cfRule>
  </conditionalFormatting>
  <conditionalFormatting sqref="F36">
    <cfRule type="cellIs" dxfId="270" priority="427" operator="greaterThan">
      <formula>E36</formula>
    </cfRule>
  </conditionalFormatting>
  <conditionalFormatting sqref="F36">
    <cfRule type="cellIs" dxfId="269" priority="426" operator="greaterThan">
      <formula>E36</formula>
    </cfRule>
  </conditionalFormatting>
  <conditionalFormatting sqref="F36">
    <cfRule type="cellIs" dxfId="268" priority="425" operator="greaterThan">
      <formula>E36</formula>
    </cfRule>
  </conditionalFormatting>
  <conditionalFormatting sqref="H37 J37 L37 N37 P37 R37 F37">
    <cfRule type="cellIs" dxfId="267" priority="424" operator="greaterThan">
      <formula>E37</formula>
    </cfRule>
  </conditionalFormatting>
  <conditionalFormatting sqref="H37 J37 L37 N37 P37 R37 F37">
    <cfRule type="cellIs" dxfId="266" priority="423" operator="greaterThan">
      <formula>E37</formula>
    </cfRule>
  </conditionalFormatting>
  <conditionalFormatting sqref="H37">
    <cfRule type="cellIs" dxfId="265" priority="422" operator="greaterThan">
      <formula>G37</formula>
    </cfRule>
  </conditionalFormatting>
  <conditionalFormatting sqref="J37">
    <cfRule type="cellIs" dxfId="264" priority="421" operator="greaterThan">
      <formula>I37</formula>
    </cfRule>
  </conditionalFormatting>
  <conditionalFormatting sqref="L37">
    <cfRule type="cellIs" dxfId="263" priority="420" operator="greaterThan">
      <formula>K37</formula>
    </cfRule>
  </conditionalFormatting>
  <conditionalFormatting sqref="N37">
    <cfRule type="cellIs" dxfId="262" priority="419" operator="greaterThan">
      <formula>M37</formula>
    </cfRule>
  </conditionalFormatting>
  <conditionalFormatting sqref="P37">
    <cfRule type="cellIs" dxfId="261" priority="418" operator="greaterThan">
      <formula>O37</formula>
    </cfRule>
  </conditionalFormatting>
  <conditionalFormatting sqref="R37">
    <cfRule type="cellIs" dxfId="260" priority="417" operator="greaterThan">
      <formula>Q37</formula>
    </cfRule>
  </conditionalFormatting>
  <conditionalFormatting sqref="H37 J37 L37 N37 P37 R37">
    <cfRule type="cellIs" dxfId="259" priority="416" operator="greaterThan">
      <formula>G37</formula>
    </cfRule>
  </conditionalFormatting>
  <conditionalFormatting sqref="H37 J37 L37 P37 R37 N37">
    <cfRule type="cellIs" dxfId="258" priority="415" operator="greaterThan">
      <formula>G37</formula>
    </cfRule>
  </conditionalFormatting>
  <conditionalFormatting sqref="F37">
    <cfRule type="cellIs" dxfId="257" priority="414" operator="greaterThan">
      <formula>E37</formula>
    </cfRule>
  </conditionalFormatting>
  <conditionalFormatting sqref="F37">
    <cfRule type="cellIs" dxfId="256" priority="413" operator="greaterThan">
      <formula>E37</formula>
    </cfRule>
  </conditionalFormatting>
  <conditionalFormatting sqref="F37">
    <cfRule type="cellIs" dxfId="255" priority="412" operator="greaterThan">
      <formula>E37</formula>
    </cfRule>
  </conditionalFormatting>
  <conditionalFormatting sqref="F37">
    <cfRule type="cellIs" dxfId="254" priority="411" operator="greaterThan">
      <formula>E37</formula>
    </cfRule>
  </conditionalFormatting>
  <conditionalFormatting sqref="H38 J38 L38 N38 P38 R38 D38 F38">
    <cfRule type="cellIs" dxfId="253" priority="410" operator="greaterThan">
      <formula>C38</formula>
    </cfRule>
  </conditionalFormatting>
  <conditionalFormatting sqref="H38 J38 L38 N38 P38 R38 D38 F38">
    <cfRule type="cellIs" dxfId="252" priority="409" operator="greaterThan">
      <formula>C38</formula>
    </cfRule>
  </conditionalFormatting>
  <conditionalFormatting sqref="H38">
    <cfRule type="cellIs" dxfId="251" priority="408" operator="greaterThan">
      <formula>G38</formula>
    </cfRule>
  </conditionalFormatting>
  <conditionalFormatting sqref="J38">
    <cfRule type="cellIs" dxfId="250" priority="407" operator="greaterThan">
      <formula>I38</formula>
    </cfRule>
  </conditionalFormatting>
  <conditionalFormatting sqref="L38">
    <cfRule type="cellIs" dxfId="249" priority="406" operator="greaterThan">
      <formula>K38</formula>
    </cfRule>
  </conditionalFormatting>
  <conditionalFormatting sqref="N38">
    <cfRule type="cellIs" dxfId="248" priority="405" operator="greaterThan">
      <formula>M38</formula>
    </cfRule>
  </conditionalFormatting>
  <conditionalFormatting sqref="P38">
    <cfRule type="cellIs" dxfId="247" priority="404" operator="greaterThan">
      <formula>O38</formula>
    </cfRule>
  </conditionalFormatting>
  <conditionalFormatting sqref="R38">
    <cfRule type="cellIs" dxfId="246" priority="403" operator="greaterThan">
      <formula>Q38</formula>
    </cfRule>
  </conditionalFormatting>
  <conditionalFormatting sqref="H38 J38 L38 N38 P38 R38">
    <cfRule type="cellIs" dxfId="245" priority="402" operator="greaterThan">
      <formula>G38</formula>
    </cfRule>
  </conditionalFormatting>
  <conditionalFormatting sqref="H38 J38 L38 P38 R38 N38">
    <cfRule type="cellIs" dxfId="244" priority="401" operator="greaterThan">
      <formula>G38</formula>
    </cfRule>
  </conditionalFormatting>
  <conditionalFormatting sqref="F38">
    <cfRule type="cellIs" dxfId="243" priority="400" operator="greaterThan">
      <formula>E38</formula>
    </cfRule>
  </conditionalFormatting>
  <conditionalFormatting sqref="F38">
    <cfRule type="cellIs" dxfId="242" priority="399" operator="greaterThan">
      <formula>E38</formula>
    </cfRule>
  </conditionalFormatting>
  <conditionalFormatting sqref="F38">
    <cfRule type="cellIs" dxfId="241" priority="398" operator="greaterThan">
      <formula>E38</formula>
    </cfRule>
  </conditionalFormatting>
  <conditionalFormatting sqref="F38">
    <cfRule type="cellIs" dxfId="240" priority="397" operator="greaterThan">
      <formula>E38</formula>
    </cfRule>
  </conditionalFormatting>
  <conditionalFormatting sqref="H41 J41 L41 N41 P41 R41 D41 F41">
    <cfRule type="cellIs" dxfId="239" priority="396" operator="greaterThan">
      <formula>C41</formula>
    </cfRule>
  </conditionalFormatting>
  <conditionalFormatting sqref="H41 J41 L41 N41 P41 R41 D41 F41">
    <cfRule type="cellIs" dxfId="238" priority="395" operator="greaterThan">
      <formula>C41</formula>
    </cfRule>
  </conditionalFormatting>
  <conditionalFormatting sqref="H41">
    <cfRule type="cellIs" dxfId="237" priority="394" operator="greaterThan">
      <formula>G41</formula>
    </cfRule>
  </conditionalFormatting>
  <conditionalFormatting sqref="J41">
    <cfRule type="cellIs" dxfId="236" priority="393" operator="greaterThan">
      <formula>I41</formula>
    </cfRule>
  </conditionalFormatting>
  <conditionalFormatting sqref="L41">
    <cfRule type="cellIs" dxfId="235" priority="392" operator="greaterThan">
      <formula>K41</formula>
    </cfRule>
  </conditionalFormatting>
  <conditionalFormatting sqref="N41">
    <cfRule type="cellIs" dxfId="234" priority="391" operator="greaterThan">
      <formula>M41</formula>
    </cfRule>
  </conditionalFormatting>
  <conditionalFormatting sqref="P41">
    <cfRule type="cellIs" dxfId="233" priority="390" operator="greaterThan">
      <formula>O41</formula>
    </cfRule>
  </conditionalFormatting>
  <conditionalFormatting sqref="R41">
    <cfRule type="cellIs" dxfId="232" priority="389" operator="greaterThan">
      <formula>Q41</formula>
    </cfRule>
  </conditionalFormatting>
  <conditionalFormatting sqref="H41 J41 L41 N41 P41 R41">
    <cfRule type="cellIs" dxfId="231" priority="388" operator="greaterThan">
      <formula>G41</formula>
    </cfRule>
  </conditionalFormatting>
  <conditionalFormatting sqref="H41 J41 L41 P41 R41 N41">
    <cfRule type="cellIs" dxfId="230" priority="387" operator="greaterThan">
      <formula>G41</formula>
    </cfRule>
  </conditionalFormatting>
  <conditionalFormatting sqref="F41">
    <cfRule type="cellIs" dxfId="229" priority="386" operator="greaterThan">
      <formula>E41</formula>
    </cfRule>
  </conditionalFormatting>
  <conditionalFormatting sqref="F41">
    <cfRule type="cellIs" dxfId="228" priority="385" operator="greaterThan">
      <formula>E41</formula>
    </cfRule>
  </conditionalFormatting>
  <conditionalFormatting sqref="F41">
    <cfRule type="cellIs" dxfId="227" priority="384" operator="greaterThan">
      <formula>E41</formula>
    </cfRule>
  </conditionalFormatting>
  <conditionalFormatting sqref="F41">
    <cfRule type="cellIs" dxfId="226" priority="383" operator="greaterThan">
      <formula>E41</formula>
    </cfRule>
  </conditionalFormatting>
  <conditionalFormatting sqref="D37">
    <cfRule type="cellIs" dxfId="225" priority="306" operator="greaterThan">
      <formula>C37</formula>
    </cfRule>
  </conditionalFormatting>
  <conditionalFormatting sqref="D37">
    <cfRule type="cellIs" dxfId="224" priority="305" operator="greaterThan">
      <formula>C37</formula>
    </cfRule>
  </conditionalFormatting>
  <conditionalFormatting sqref="D37">
    <cfRule type="cellIs" dxfId="223" priority="304" operator="greaterThan">
      <formula>C37</formula>
    </cfRule>
  </conditionalFormatting>
  <conditionalFormatting sqref="D37">
    <cfRule type="cellIs" dxfId="222" priority="303" operator="greaterThan">
      <formula>C37</formula>
    </cfRule>
  </conditionalFormatting>
  <conditionalFormatting sqref="D37">
    <cfRule type="cellIs" dxfId="221" priority="302" operator="greaterThan">
      <formula>C37</formula>
    </cfRule>
  </conditionalFormatting>
  <conditionalFormatting sqref="C18:D18">
    <cfRule type="cellIs" dxfId="220" priority="301" operator="greaterThan">
      <formula>B18</formula>
    </cfRule>
  </conditionalFormatting>
  <conditionalFormatting sqref="D11">
    <cfRule type="cellIs" dxfId="219" priority="279" operator="greaterThan">
      <formula>C11</formula>
    </cfRule>
  </conditionalFormatting>
  <conditionalFormatting sqref="D48:D49 F49">
    <cfRule type="cellIs" dxfId="218" priority="278" operator="greaterThan">
      <formula>C48</formula>
    </cfRule>
  </conditionalFormatting>
  <conditionalFormatting sqref="H48:H49">
    <cfRule type="cellIs" dxfId="217" priority="277" operator="greaterThan">
      <formula>G48</formula>
    </cfRule>
  </conditionalFormatting>
  <conditionalFormatting sqref="J48:J49">
    <cfRule type="cellIs" dxfId="216" priority="276" operator="greaterThan">
      <formula>I48</formula>
    </cfRule>
  </conditionalFormatting>
  <conditionalFormatting sqref="L48:L49">
    <cfRule type="cellIs" dxfId="215" priority="275" operator="greaterThan">
      <formula>K48</formula>
    </cfRule>
  </conditionalFormatting>
  <conditionalFormatting sqref="N48:N49">
    <cfRule type="cellIs" dxfId="214" priority="274" operator="greaterThan">
      <formula>M48</formula>
    </cfRule>
  </conditionalFormatting>
  <conditionalFormatting sqref="P49">
    <cfRule type="cellIs" dxfId="213" priority="273" operator="greaterThan">
      <formula>O49</formula>
    </cfRule>
  </conditionalFormatting>
  <conditionalFormatting sqref="R49">
    <cfRule type="cellIs" dxfId="212" priority="272" operator="greaterThan">
      <formula>Q49</formula>
    </cfRule>
  </conditionalFormatting>
  <conditionalFormatting sqref="F49">
    <cfRule type="cellIs" dxfId="211" priority="271" operator="greaterThan">
      <formula>E49</formula>
    </cfRule>
  </conditionalFormatting>
  <conditionalFormatting sqref="P48 R48">
    <cfRule type="cellIs" dxfId="210" priority="270" operator="greaterThan">
      <formula>O48</formula>
    </cfRule>
  </conditionalFormatting>
  <conditionalFormatting sqref="D51:D52 F51:F52">
    <cfRule type="cellIs" dxfId="209" priority="269" operator="greaterThan">
      <formula>C51</formula>
    </cfRule>
  </conditionalFormatting>
  <conditionalFormatting sqref="H51:H52">
    <cfRule type="cellIs" dxfId="208" priority="268" operator="greaterThan">
      <formula>G51</formula>
    </cfRule>
  </conditionalFormatting>
  <conditionalFormatting sqref="J51:J52">
    <cfRule type="cellIs" dxfId="207" priority="267" operator="greaterThan">
      <formula>I51</formula>
    </cfRule>
  </conditionalFormatting>
  <conditionalFormatting sqref="L51:L52">
    <cfRule type="cellIs" dxfId="206" priority="266" operator="greaterThan">
      <formula>K51</formula>
    </cfRule>
  </conditionalFormatting>
  <conditionalFormatting sqref="N51:N52">
    <cfRule type="cellIs" dxfId="205" priority="265" operator="greaterThan">
      <formula>M51</formula>
    </cfRule>
  </conditionalFormatting>
  <conditionalFormatting sqref="P52">
    <cfRule type="cellIs" dxfId="204" priority="264" operator="greaterThan">
      <formula>O52</formula>
    </cfRule>
  </conditionalFormatting>
  <conditionalFormatting sqref="R52">
    <cfRule type="cellIs" dxfId="203" priority="263" operator="greaterThan">
      <formula>Q52</formula>
    </cfRule>
  </conditionalFormatting>
  <conditionalFormatting sqref="F51:F52">
    <cfRule type="cellIs" dxfId="202" priority="262" operator="greaterThan">
      <formula>E51</formula>
    </cfRule>
  </conditionalFormatting>
  <conditionalFormatting sqref="P51 R51">
    <cfRule type="cellIs" dxfId="201" priority="261" operator="greaterThan">
      <formula>O51</formula>
    </cfRule>
  </conditionalFormatting>
  <conditionalFormatting sqref="D54 F54">
    <cfRule type="cellIs" dxfId="200" priority="260" operator="greaterThan">
      <formula>C54</formula>
    </cfRule>
  </conditionalFormatting>
  <conditionalFormatting sqref="H54">
    <cfRule type="cellIs" dxfId="199" priority="259" operator="greaterThan">
      <formula>G54</formula>
    </cfRule>
  </conditionalFormatting>
  <conditionalFormatting sqref="J54">
    <cfRule type="cellIs" dxfId="198" priority="258" operator="greaterThan">
      <formula>I54</formula>
    </cfRule>
  </conditionalFormatting>
  <conditionalFormatting sqref="L54">
    <cfRule type="cellIs" dxfId="197" priority="257" operator="greaterThan">
      <formula>K54</formula>
    </cfRule>
  </conditionalFormatting>
  <conditionalFormatting sqref="N54">
    <cfRule type="cellIs" dxfId="196" priority="256" operator="greaterThan">
      <formula>M54</formula>
    </cfRule>
  </conditionalFormatting>
  <conditionalFormatting sqref="F54">
    <cfRule type="cellIs" dxfId="195" priority="253" operator="greaterThan">
      <formula>E54</formula>
    </cfRule>
  </conditionalFormatting>
  <conditionalFormatting sqref="P54 R54">
    <cfRule type="cellIs" dxfId="194" priority="252" operator="greaterThan">
      <formula>O54</formula>
    </cfRule>
  </conditionalFormatting>
  <conditionalFormatting sqref="D57 F57">
    <cfRule type="cellIs" dxfId="193" priority="251" operator="greaterThan">
      <formula>C57</formula>
    </cfRule>
  </conditionalFormatting>
  <conditionalFormatting sqref="H57">
    <cfRule type="cellIs" dxfId="192" priority="250" operator="greaterThan">
      <formula>G57</formula>
    </cfRule>
  </conditionalFormatting>
  <conditionalFormatting sqref="J57">
    <cfRule type="cellIs" dxfId="191" priority="249" operator="greaterThan">
      <formula>I57</formula>
    </cfRule>
  </conditionalFormatting>
  <conditionalFormatting sqref="L57">
    <cfRule type="cellIs" dxfId="190" priority="248" operator="greaterThan">
      <formula>K57</formula>
    </cfRule>
  </conditionalFormatting>
  <conditionalFormatting sqref="N57">
    <cfRule type="cellIs" dxfId="189" priority="247" operator="greaterThan">
      <formula>M57</formula>
    </cfRule>
  </conditionalFormatting>
  <conditionalFormatting sqref="F57">
    <cfRule type="cellIs" dxfId="188" priority="244" operator="greaterThan">
      <formula>E57</formula>
    </cfRule>
  </conditionalFormatting>
  <conditionalFormatting sqref="P57 R57">
    <cfRule type="cellIs" dxfId="187" priority="243" operator="greaterThan">
      <formula>O57</formula>
    </cfRule>
  </conditionalFormatting>
  <conditionalFormatting sqref="E18:R18">
    <cfRule type="cellIs" dxfId="186" priority="209" operator="greaterThan">
      <formula>D18</formula>
    </cfRule>
  </conditionalFormatting>
  <conditionalFormatting sqref="E17:R17">
    <cfRule type="cellIs" dxfId="185" priority="208" operator="greaterThan">
      <formula>D17</formula>
    </cfRule>
  </conditionalFormatting>
  <conditionalFormatting sqref="E16:R16">
    <cfRule type="cellIs" dxfId="184" priority="207" operator="greaterThan">
      <formula>D16</formula>
    </cfRule>
  </conditionalFormatting>
  <conditionalFormatting sqref="C14:R14">
    <cfRule type="cellIs" dxfId="183" priority="206" operator="greaterThan">
      <formula>B14</formula>
    </cfRule>
  </conditionalFormatting>
  <conditionalFormatting sqref="H27 J27 L27 N27 P27 D27 F27">
    <cfRule type="cellIs" dxfId="182" priority="204" operator="greaterThan">
      <formula>C27</formula>
    </cfRule>
  </conditionalFormatting>
  <conditionalFormatting sqref="H27 J27 L27 N27 P27 D27 F27">
    <cfRule type="cellIs" dxfId="181" priority="203" operator="greaterThan">
      <formula>C27</formula>
    </cfRule>
  </conditionalFormatting>
  <conditionalFormatting sqref="H27">
    <cfRule type="cellIs" dxfId="180" priority="202" operator="greaterThan">
      <formula>G27</formula>
    </cfRule>
  </conditionalFormatting>
  <conditionalFormatting sqref="J27">
    <cfRule type="cellIs" dxfId="179" priority="201" operator="greaterThan">
      <formula>I27</formula>
    </cfRule>
  </conditionalFormatting>
  <conditionalFormatting sqref="L27">
    <cfRule type="cellIs" dxfId="178" priority="200" operator="greaterThan">
      <formula>K27</formula>
    </cfRule>
  </conditionalFormatting>
  <conditionalFormatting sqref="N27">
    <cfRule type="cellIs" dxfId="177" priority="199" operator="greaterThan">
      <formula>M27</formula>
    </cfRule>
  </conditionalFormatting>
  <conditionalFormatting sqref="P27">
    <cfRule type="cellIs" dxfId="176" priority="198" operator="greaterThan">
      <formula>O27</formula>
    </cfRule>
  </conditionalFormatting>
  <conditionalFormatting sqref="H27 J27 L27 N27 P27">
    <cfRule type="cellIs" dxfId="175" priority="197" operator="greaterThan">
      <formula>G27</formula>
    </cfRule>
  </conditionalFormatting>
  <conditionalFormatting sqref="H27 J27 L27 P27 N27">
    <cfRule type="cellIs" dxfId="174" priority="196" operator="greaterThan">
      <formula>G27</formula>
    </cfRule>
  </conditionalFormatting>
  <conditionalFormatting sqref="F27">
    <cfRule type="cellIs" dxfId="173" priority="195" operator="greaterThan">
      <formula>E27</formula>
    </cfRule>
  </conditionalFormatting>
  <conditionalFormatting sqref="F27">
    <cfRule type="cellIs" dxfId="172" priority="194" operator="greaterThan">
      <formula>E27</formula>
    </cfRule>
  </conditionalFormatting>
  <conditionalFormatting sqref="F27">
    <cfRule type="cellIs" dxfId="171" priority="193" operator="greaterThan">
      <formula>E27</formula>
    </cfRule>
  </conditionalFormatting>
  <conditionalFormatting sqref="F27">
    <cfRule type="cellIs" dxfId="170" priority="192" operator="greaterThan">
      <formula>E27</formula>
    </cfRule>
  </conditionalFormatting>
  <conditionalFormatting sqref="R28">
    <cfRule type="cellIs" dxfId="169" priority="191" operator="greaterThan">
      <formula>Q28</formula>
    </cfRule>
  </conditionalFormatting>
  <conditionalFormatting sqref="H28 J28 L28 N28 P28 D28 F28">
    <cfRule type="cellIs" dxfId="168" priority="190" operator="greaterThan">
      <formula>C28</formula>
    </cfRule>
  </conditionalFormatting>
  <conditionalFormatting sqref="H28 J28 L28 N28 P28 D28 F28">
    <cfRule type="cellIs" dxfId="167" priority="189" operator="greaterThan">
      <formula>C28</formula>
    </cfRule>
  </conditionalFormatting>
  <conditionalFormatting sqref="H28">
    <cfRule type="cellIs" dxfId="166" priority="188" operator="greaterThan">
      <formula>G28</formula>
    </cfRule>
  </conditionalFormatting>
  <conditionalFormatting sqref="J28">
    <cfRule type="cellIs" dxfId="165" priority="187" operator="greaterThan">
      <formula>I28</formula>
    </cfRule>
  </conditionalFormatting>
  <conditionalFormatting sqref="L28">
    <cfRule type="cellIs" dxfId="164" priority="186" operator="greaterThan">
      <formula>K28</formula>
    </cfRule>
  </conditionalFormatting>
  <conditionalFormatting sqref="N28">
    <cfRule type="cellIs" dxfId="163" priority="185" operator="greaterThan">
      <formula>M28</formula>
    </cfRule>
  </conditionalFormatting>
  <conditionalFormatting sqref="P28">
    <cfRule type="cellIs" dxfId="162" priority="184" operator="greaterThan">
      <formula>O28</formula>
    </cfRule>
  </conditionalFormatting>
  <conditionalFormatting sqref="H28 J28 L28 N28 P28">
    <cfRule type="cellIs" dxfId="161" priority="183" operator="greaterThan">
      <formula>G28</formula>
    </cfRule>
  </conditionalFormatting>
  <conditionalFormatting sqref="H28 J28 L28 P28 N28">
    <cfRule type="cellIs" dxfId="160" priority="182" operator="greaterThan">
      <formula>G28</formula>
    </cfRule>
  </conditionalFormatting>
  <conditionalFormatting sqref="F28">
    <cfRule type="cellIs" dxfId="159" priority="181" operator="greaterThan">
      <formula>E28</formula>
    </cfRule>
  </conditionalFormatting>
  <conditionalFormatting sqref="F28">
    <cfRule type="cellIs" dxfId="158" priority="180" operator="greaterThan">
      <formula>E28</formula>
    </cfRule>
  </conditionalFormatting>
  <conditionalFormatting sqref="F28">
    <cfRule type="cellIs" dxfId="157" priority="179" operator="greaterThan">
      <formula>E28</formula>
    </cfRule>
  </conditionalFormatting>
  <conditionalFormatting sqref="F28">
    <cfRule type="cellIs" dxfId="156" priority="178" operator="greaterThan">
      <formula>E28</formula>
    </cfRule>
  </conditionalFormatting>
  <conditionalFormatting sqref="R29">
    <cfRule type="cellIs" dxfId="155" priority="177" operator="greaterThan">
      <formula>Q29</formula>
    </cfRule>
  </conditionalFormatting>
  <conditionalFormatting sqref="H29 J29 L29 N29 P29 F29">
    <cfRule type="cellIs" dxfId="154" priority="176" operator="greaterThan">
      <formula>E29</formula>
    </cfRule>
  </conditionalFormatting>
  <conditionalFormatting sqref="H29 J29 L29 N29 P29 F29">
    <cfRule type="cellIs" dxfId="153" priority="175" operator="greaterThan">
      <formula>E29</formula>
    </cfRule>
  </conditionalFormatting>
  <conditionalFormatting sqref="H29">
    <cfRule type="cellIs" dxfId="152" priority="174" operator="greaterThan">
      <formula>G29</formula>
    </cfRule>
  </conditionalFormatting>
  <conditionalFormatting sqref="J29">
    <cfRule type="cellIs" dxfId="151" priority="173" operator="greaterThan">
      <formula>I29</formula>
    </cfRule>
  </conditionalFormatting>
  <conditionalFormatting sqref="L29">
    <cfRule type="cellIs" dxfId="150" priority="172" operator="greaterThan">
      <formula>K29</formula>
    </cfRule>
  </conditionalFormatting>
  <conditionalFormatting sqref="N29">
    <cfRule type="cellIs" dxfId="149" priority="171" operator="greaterThan">
      <formula>M29</formula>
    </cfRule>
  </conditionalFormatting>
  <conditionalFormatting sqref="P29">
    <cfRule type="cellIs" dxfId="148" priority="170" operator="greaterThan">
      <formula>O29</formula>
    </cfRule>
  </conditionalFormatting>
  <conditionalFormatting sqref="H29 J29 L29 N29 P29">
    <cfRule type="cellIs" dxfId="147" priority="169" operator="greaterThan">
      <formula>G29</formula>
    </cfRule>
  </conditionalFormatting>
  <conditionalFormatting sqref="H29 J29 L29 P29 N29">
    <cfRule type="cellIs" dxfId="146" priority="168" operator="greaterThan">
      <formula>G29</formula>
    </cfRule>
  </conditionalFormatting>
  <conditionalFormatting sqref="F29">
    <cfRule type="cellIs" dxfId="145" priority="167" operator="greaterThan">
      <formula>E29</formula>
    </cfRule>
  </conditionalFormatting>
  <conditionalFormatting sqref="F29">
    <cfRule type="cellIs" dxfId="144" priority="166" operator="greaterThan">
      <formula>E29</formula>
    </cfRule>
  </conditionalFormatting>
  <conditionalFormatting sqref="F29">
    <cfRule type="cellIs" dxfId="143" priority="165" operator="greaterThan">
      <formula>E29</formula>
    </cfRule>
  </conditionalFormatting>
  <conditionalFormatting sqref="F29">
    <cfRule type="cellIs" dxfId="142" priority="164" operator="greaterThan">
      <formula>E29</formula>
    </cfRule>
  </conditionalFormatting>
  <conditionalFormatting sqref="R31">
    <cfRule type="cellIs" dxfId="141" priority="163" operator="greaterThan">
      <formula>Q31</formula>
    </cfRule>
  </conditionalFormatting>
  <conditionalFormatting sqref="H31 J31 L31 N31 P31 D31 F31">
    <cfRule type="cellIs" dxfId="140" priority="162" operator="greaterThan">
      <formula>C31</formula>
    </cfRule>
  </conditionalFormatting>
  <conditionalFormatting sqref="H31 J31 L31 N31 P31 D31 F31">
    <cfRule type="cellIs" dxfId="139" priority="161" operator="greaterThan">
      <formula>C31</formula>
    </cfRule>
  </conditionalFormatting>
  <conditionalFormatting sqref="H31">
    <cfRule type="cellIs" dxfId="138" priority="160" operator="greaterThan">
      <formula>G31</formula>
    </cfRule>
  </conditionalFormatting>
  <conditionalFormatting sqref="J31">
    <cfRule type="cellIs" dxfId="137" priority="159" operator="greaterThan">
      <formula>I31</formula>
    </cfRule>
  </conditionalFormatting>
  <conditionalFormatting sqref="L31">
    <cfRule type="cellIs" dxfId="136" priority="158" operator="greaterThan">
      <formula>K31</formula>
    </cfRule>
  </conditionalFormatting>
  <conditionalFormatting sqref="N31">
    <cfRule type="cellIs" dxfId="135" priority="157" operator="greaterThan">
      <formula>M31</formula>
    </cfRule>
  </conditionalFormatting>
  <conditionalFormatting sqref="P31">
    <cfRule type="cellIs" dxfId="134" priority="156" operator="greaterThan">
      <formula>O31</formula>
    </cfRule>
  </conditionalFormatting>
  <conditionalFormatting sqref="H31 J31 L31 N31 P31">
    <cfRule type="cellIs" dxfId="133" priority="155" operator="greaterThan">
      <formula>G31</formula>
    </cfRule>
  </conditionalFormatting>
  <conditionalFormatting sqref="H31 J31 L31 P31 N31">
    <cfRule type="cellIs" dxfId="132" priority="154" operator="greaterThan">
      <formula>G31</formula>
    </cfRule>
  </conditionalFormatting>
  <conditionalFormatting sqref="F31">
    <cfRule type="cellIs" dxfId="131" priority="153" operator="greaterThan">
      <formula>E31</formula>
    </cfRule>
  </conditionalFormatting>
  <conditionalFormatting sqref="F31">
    <cfRule type="cellIs" dxfId="130" priority="152" operator="greaterThan">
      <formula>E31</formula>
    </cfRule>
  </conditionalFormatting>
  <conditionalFormatting sqref="F31">
    <cfRule type="cellIs" dxfId="129" priority="151" operator="greaterThan">
      <formula>E31</formula>
    </cfRule>
  </conditionalFormatting>
  <conditionalFormatting sqref="F31">
    <cfRule type="cellIs" dxfId="128" priority="150" operator="greaterThan">
      <formula>E31</formula>
    </cfRule>
  </conditionalFormatting>
  <conditionalFormatting sqref="R32">
    <cfRule type="cellIs" dxfId="127" priority="149" operator="greaterThan">
      <formula>Q32</formula>
    </cfRule>
  </conditionalFormatting>
  <conditionalFormatting sqref="H32 J32 L32 N32 P32 D32 F32">
    <cfRule type="cellIs" dxfId="126" priority="148" operator="greaterThan">
      <formula>C32</formula>
    </cfRule>
  </conditionalFormatting>
  <conditionalFormatting sqref="H32 J32 L32 N32 P32 D32 F32">
    <cfRule type="cellIs" dxfId="125" priority="147" operator="greaterThan">
      <formula>C32</formula>
    </cfRule>
  </conditionalFormatting>
  <conditionalFormatting sqref="H32">
    <cfRule type="cellIs" dxfId="124" priority="146" operator="greaterThan">
      <formula>G32</formula>
    </cfRule>
  </conditionalFormatting>
  <conditionalFormatting sqref="J32">
    <cfRule type="cellIs" dxfId="123" priority="145" operator="greaterThan">
      <formula>I32</formula>
    </cfRule>
  </conditionalFormatting>
  <conditionalFormatting sqref="L32">
    <cfRule type="cellIs" dxfId="122" priority="144" operator="greaterThan">
      <formula>K32</formula>
    </cfRule>
  </conditionalFormatting>
  <conditionalFormatting sqref="N32">
    <cfRule type="cellIs" dxfId="121" priority="143" operator="greaterThan">
      <formula>M32</formula>
    </cfRule>
  </conditionalFormatting>
  <conditionalFormatting sqref="P32">
    <cfRule type="cellIs" dxfId="120" priority="142" operator="greaterThan">
      <formula>O32</formula>
    </cfRule>
  </conditionalFormatting>
  <conditionalFormatting sqref="H32 J32 L32 N32 P32">
    <cfRule type="cellIs" dxfId="119" priority="141" operator="greaterThan">
      <formula>G32</formula>
    </cfRule>
  </conditionalFormatting>
  <conditionalFormatting sqref="H32 J32 L32 P32 N32">
    <cfRule type="cellIs" dxfId="118" priority="140" operator="greaterThan">
      <formula>G32</formula>
    </cfRule>
  </conditionalFormatting>
  <conditionalFormatting sqref="F32">
    <cfRule type="cellIs" dxfId="117" priority="139" operator="greaterThan">
      <formula>E32</formula>
    </cfRule>
  </conditionalFormatting>
  <conditionalFormatting sqref="F32">
    <cfRule type="cellIs" dxfId="116" priority="138" operator="greaterThan">
      <formula>E32</formula>
    </cfRule>
  </conditionalFormatting>
  <conditionalFormatting sqref="F32">
    <cfRule type="cellIs" dxfId="115" priority="137" operator="greaterThan">
      <formula>E32</formula>
    </cfRule>
  </conditionalFormatting>
  <conditionalFormatting sqref="F32">
    <cfRule type="cellIs" dxfId="114" priority="136" operator="greaterThan">
      <formula>E32</formula>
    </cfRule>
  </conditionalFormatting>
  <conditionalFormatting sqref="D34">
    <cfRule type="cellIs" dxfId="113" priority="135" operator="greaterThan">
      <formula>C34</formula>
    </cfRule>
  </conditionalFormatting>
  <conditionalFormatting sqref="D34">
    <cfRule type="cellIs" dxfId="112" priority="134" operator="greaterThan">
      <formula>C34</formula>
    </cfRule>
  </conditionalFormatting>
  <conditionalFormatting sqref="D35">
    <cfRule type="cellIs" dxfId="111" priority="121" operator="greaterThan">
      <formula>C35</formula>
    </cfRule>
  </conditionalFormatting>
  <conditionalFormatting sqref="D35">
    <cfRule type="cellIs" dxfId="110" priority="120" operator="greaterThan">
      <formula>C35</formula>
    </cfRule>
  </conditionalFormatting>
  <conditionalFormatting sqref="F34">
    <cfRule type="cellIs" dxfId="109" priority="107" operator="greaterThan">
      <formula>E34</formula>
    </cfRule>
  </conditionalFormatting>
  <conditionalFormatting sqref="F34">
    <cfRule type="cellIs" dxfId="108" priority="106" operator="greaterThan">
      <formula>E34</formula>
    </cfRule>
  </conditionalFormatting>
  <conditionalFormatting sqref="F35">
    <cfRule type="cellIs" dxfId="107" priority="105" operator="greaterThan">
      <formula>E35</formula>
    </cfRule>
  </conditionalFormatting>
  <conditionalFormatting sqref="F35">
    <cfRule type="cellIs" dxfId="106" priority="104" operator="greaterThan">
      <formula>E35</formula>
    </cfRule>
  </conditionalFormatting>
  <conditionalFormatting sqref="H34">
    <cfRule type="cellIs" dxfId="105" priority="103" operator="greaterThan">
      <formula>G34</formula>
    </cfRule>
  </conditionalFormatting>
  <conditionalFormatting sqref="H34">
    <cfRule type="cellIs" dxfId="104" priority="102" operator="greaterThan">
      <formula>G34</formula>
    </cfRule>
  </conditionalFormatting>
  <conditionalFormatting sqref="H35">
    <cfRule type="cellIs" dxfId="103" priority="101" operator="greaterThan">
      <formula>G35</formula>
    </cfRule>
  </conditionalFormatting>
  <conditionalFormatting sqref="H35">
    <cfRule type="cellIs" dxfId="102" priority="100" operator="greaterThan">
      <formula>G35</formula>
    </cfRule>
  </conditionalFormatting>
  <conditionalFormatting sqref="J34">
    <cfRule type="cellIs" dxfId="101" priority="99" operator="greaterThan">
      <formula>I34</formula>
    </cfRule>
  </conditionalFormatting>
  <conditionalFormatting sqref="J34">
    <cfRule type="cellIs" dxfId="100" priority="98" operator="greaterThan">
      <formula>I34</formula>
    </cfRule>
  </conditionalFormatting>
  <conditionalFormatting sqref="J35">
    <cfRule type="cellIs" dxfId="99" priority="97" operator="greaterThan">
      <formula>I35</formula>
    </cfRule>
  </conditionalFormatting>
  <conditionalFormatting sqref="J35">
    <cfRule type="cellIs" dxfId="98" priority="96" operator="greaterThan">
      <formula>I35</formula>
    </cfRule>
  </conditionalFormatting>
  <conditionalFormatting sqref="L34">
    <cfRule type="cellIs" dxfId="97" priority="95" operator="greaterThan">
      <formula>K34</formula>
    </cfRule>
  </conditionalFormatting>
  <conditionalFormatting sqref="L34">
    <cfRule type="cellIs" dxfId="96" priority="94" operator="greaterThan">
      <formula>K34</formula>
    </cfRule>
  </conditionalFormatting>
  <conditionalFormatting sqref="L35">
    <cfRule type="cellIs" dxfId="95" priority="93" operator="greaterThan">
      <formula>K35</formula>
    </cfRule>
  </conditionalFormatting>
  <conditionalFormatting sqref="L35">
    <cfRule type="cellIs" dxfId="94" priority="92" operator="greaterThan">
      <formula>K35</formula>
    </cfRule>
  </conditionalFormatting>
  <conditionalFormatting sqref="N34">
    <cfRule type="cellIs" dxfId="93" priority="91" operator="greaterThan">
      <formula>M34</formula>
    </cfRule>
  </conditionalFormatting>
  <conditionalFormatting sqref="N34">
    <cfRule type="cellIs" dxfId="92" priority="90" operator="greaterThan">
      <formula>M34</formula>
    </cfRule>
  </conditionalFormatting>
  <conditionalFormatting sqref="N35">
    <cfRule type="cellIs" dxfId="91" priority="89" operator="greaterThan">
      <formula>M35</formula>
    </cfRule>
  </conditionalFormatting>
  <conditionalFormatting sqref="N35">
    <cfRule type="cellIs" dxfId="90" priority="88" operator="greaterThan">
      <formula>M35</formula>
    </cfRule>
  </conditionalFormatting>
  <conditionalFormatting sqref="P34">
    <cfRule type="cellIs" dxfId="89" priority="87" operator="greaterThan">
      <formula>O34</formula>
    </cfRule>
  </conditionalFormatting>
  <conditionalFormatting sqref="P34">
    <cfRule type="cellIs" dxfId="88" priority="86" operator="greaterThan">
      <formula>O34</formula>
    </cfRule>
  </conditionalFormatting>
  <conditionalFormatting sqref="P35">
    <cfRule type="cellIs" dxfId="87" priority="85" operator="greaterThan">
      <formula>O35</formula>
    </cfRule>
  </conditionalFormatting>
  <conditionalFormatting sqref="P35">
    <cfRule type="cellIs" dxfId="86" priority="84" operator="greaterThan">
      <formula>O35</formula>
    </cfRule>
  </conditionalFormatting>
  <conditionalFormatting sqref="R34">
    <cfRule type="cellIs" dxfId="85" priority="83" operator="greaterThan">
      <formula>Q34</formula>
    </cfRule>
  </conditionalFormatting>
  <conditionalFormatting sqref="R34">
    <cfRule type="cellIs" dxfId="84" priority="82" operator="greaterThan">
      <formula>Q34</formula>
    </cfRule>
  </conditionalFormatting>
  <conditionalFormatting sqref="R35">
    <cfRule type="cellIs" dxfId="83" priority="81" operator="greaterThan">
      <formula>Q35</formula>
    </cfRule>
  </conditionalFormatting>
  <conditionalFormatting sqref="R35">
    <cfRule type="cellIs" dxfId="82" priority="80" operator="greaterThan">
      <formula>Q35</formula>
    </cfRule>
  </conditionalFormatting>
  <conditionalFormatting sqref="F17">
    <cfRule type="cellIs" dxfId="81" priority="79" operator="greaterThan">
      <formula>E17</formula>
    </cfRule>
  </conditionalFormatting>
  <conditionalFormatting sqref="F16">
    <cfRule type="cellIs" dxfId="80" priority="78" operator="greaterThan">
      <formula>E16</formula>
    </cfRule>
  </conditionalFormatting>
  <conditionalFormatting sqref="G17">
    <cfRule type="cellIs" dxfId="79" priority="77" operator="greaterThan">
      <formula>F17</formula>
    </cfRule>
  </conditionalFormatting>
  <conditionalFormatting sqref="G16">
    <cfRule type="cellIs" dxfId="78" priority="76" operator="greaterThan">
      <formula>F16</formula>
    </cfRule>
  </conditionalFormatting>
  <conditionalFormatting sqref="H17">
    <cfRule type="cellIs" dxfId="77" priority="75" operator="greaterThan">
      <formula>G17</formula>
    </cfRule>
  </conditionalFormatting>
  <conditionalFormatting sqref="H16">
    <cfRule type="cellIs" dxfId="76" priority="74" operator="greaterThan">
      <formula>G16</formula>
    </cfRule>
  </conditionalFormatting>
  <conditionalFormatting sqref="I17">
    <cfRule type="cellIs" dxfId="75" priority="73" operator="greaterThan">
      <formula>H17</formula>
    </cfRule>
  </conditionalFormatting>
  <conditionalFormatting sqref="I16">
    <cfRule type="cellIs" dxfId="74" priority="72" operator="greaterThan">
      <formula>H16</formula>
    </cfRule>
  </conditionalFormatting>
  <conditionalFormatting sqref="J17">
    <cfRule type="cellIs" dxfId="73" priority="71" operator="greaterThan">
      <formula>I17</formula>
    </cfRule>
  </conditionalFormatting>
  <conditionalFormatting sqref="J16">
    <cfRule type="cellIs" dxfId="72" priority="70" operator="greaterThan">
      <formula>I16</formula>
    </cfRule>
  </conditionalFormatting>
  <conditionalFormatting sqref="K17">
    <cfRule type="cellIs" dxfId="71" priority="69" operator="greaterThan">
      <formula>J17</formula>
    </cfRule>
  </conditionalFormatting>
  <conditionalFormatting sqref="K16">
    <cfRule type="cellIs" dxfId="70" priority="68" operator="greaterThan">
      <formula>J16</formula>
    </cfRule>
  </conditionalFormatting>
  <conditionalFormatting sqref="L17">
    <cfRule type="cellIs" dxfId="69" priority="67" operator="greaterThan">
      <formula>K17</formula>
    </cfRule>
  </conditionalFormatting>
  <conditionalFormatting sqref="L16">
    <cfRule type="cellIs" dxfId="68" priority="66" operator="greaterThan">
      <formula>K16</formula>
    </cfRule>
  </conditionalFormatting>
  <conditionalFormatting sqref="M17">
    <cfRule type="cellIs" dxfId="67" priority="65" operator="greaterThan">
      <formula>L17</formula>
    </cfRule>
  </conditionalFormatting>
  <conditionalFormatting sqref="M16">
    <cfRule type="cellIs" dxfId="66" priority="64" operator="greaterThan">
      <formula>L16</formula>
    </cfRule>
  </conditionalFormatting>
  <conditionalFormatting sqref="N17">
    <cfRule type="cellIs" dxfId="65" priority="63" operator="greaterThan">
      <formula>M17</formula>
    </cfRule>
  </conditionalFormatting>
  <conditionalFormatting sqref="N16">
    <cfRule type="cellIs" dxfId="64" priority="62" operator="greaterThan">
      <formula>M16</formula>
    </cfRule>
  </conditionalFormatting>
  <conditionalFormatting sqref="O17">
    <cfRule type="cellIs" dxfId="63" priority="61" operator="greaterThan">
      <formula>N17</formula>
    </cfRule>
  </conditionalFormatting>
  <conditionalFormatting sqref="O16">
    <cfRule type="cellIs" dxfId="62" priority="60" operator="greaterThan">
      <formula>N16</formula>
    </cfRule>
  </conditionalFormatting>
  <conditionalFormatting sqref="P17">
    <cfRule type="cellIs" dxfId="61" priority="59" operator="greaterThan">
      <formula>O17</formula>
    </cfRule>
  </conditionalFormatting>
  <conditionalFormatting sqref="P16">
    <cfRule type="cellIs" dxfId="60" priority="58" operator="greaterThan">
      <formula>O16</formula>
    </cfRule>
  </conditionalFormatting>
  <conditionalFormatting sqref="Q17">
    <cfRule type="cellIs" dxfId="59" priority="57" operator="greaterThan">
      <formula>P17</formula>
    </cfRule>
  </conditionalFormatting>
  <conditionalFormatting sqref="Q16">
    <cfRule type="cellIs" dxfId="58" priority="56" operator="greaterThan">
      <formula>P16</formula>
    </cfRule>
  </conditionalFormatting>
  <conditionalFormatting sqref="R17">
    <cfRule type="cellIs" dxfId="57" priority="55" operator="greaterThan">
      <formula>Q17</formula>
    </cfRule>
  </conditionalFormatting>
  <conditionalFormatting sqref="R16">
    <cfRule type="cellIs" dxfId="56" priority="54" operator="greaterThan">
      <formula>Q16</formula>
    </cfRule>
  </conditionalFormatting>
  <conditionalFormatting sqref="E21:E22 E21:R21">
    <cfRule type="cellIs" dxfId="55" priority="53" operator="greaterThan">
      <formula>D21</formula>
    </cfRule>
  </conditionalFormatting>
  <conditionalFormatting sqref="F21:F22 F22:R22">
    <cfRule type="cellIs" dxfId="54" priority="52" operator="greaterThan">
      <formula>E21</formula>
    </cfRule>
  </conditionalFormatting>
  <conditionalFormatting sqref="G21:G22">
    <cfRule type="cellIs" dxfId="53" priority="51" operator="greaterThan">
      <formula>F21</formula>
    </cfRule>
  </conditionalFormatting>
  <conditionalFormatting sqref="H21:H22">
    <cfRule type="cellIs" dxfId="52" priority="50" operator="greaterThan">
      <formula>G21</formula>
    </cfRule>
  </conditionalFormatting>
  <conditionalFormatting sqref="I21:I22">
    <cfRule type="cellIs" dxfId="51" priority="49" operator="greaterThan">
      <formula>H21</formula>
    </cfRule>
  </conditionalFormatting>
  <conditionalFormatting sqref="J21:J22">
    <cfRule type="cellIs" dxfId="50" priority="48" operator="greaterThan">
      <formula>I21</formula>
    </cfRule>
  </conditionalFormatting>
  <conditionalFormatting sqref="K21:K22">
    <cfRule type="cellIs" dxfId="49" priority="47" operator="greaterThan">
      <formula>J21</formula>
    </cfRule>
  </conditionalFormatting>
  <conditionalFormatting sqref="L21:L22">
    <cfRule type="cellIs" dxfId="48" priority="46" operator="greaterThan">
      <formula>K21</formula>
    </cfRule>
  </conditionalFormatting>
  <conditionalFormatting sqref="M21:M22">
    <cfRule type="cellIs" dxfId="47" priority="45" operator="greaterThan">
      <formula>L21</formula>
    </cfRule>
  </conditionalFormatting>
  <conditionalFormatting sqref="N21:N22">
    <cfRule type="cellIs" dxfId="46" priority="44" operator="greaterThan">
      <formula>M21</formula>
    </cfRule>
  </conditionalFormatting>
  <conditionalFormatting sqref="O21:O22">
    <cfRule type="cellIs" dxfId="45" priority="43" operator="greaterThan">
      <formula>N21</formula>
    </cfRule>
  </conditionalFormatting>
  <conditionalFormatting sqref="P21:R22">
    <cfRule type="cellIs" dxfId="44" priority="42" operator="greaterThan">
      <formula>O21</formula>
    </cfRule>
  </conditionalFormatting>
  <conditionalFormatting sqref="D22">
    <cfRule type="cellIs" dxfId="43" priority="20" operator="greaterThan">
      <formula>C22</formula>
    </cfRule>
  </conditionalFormatting>
  <conditionalFormatting sqref="F48">
    <cfRule type="cellIs" dxfId="42" priority="19" operator="greaterThan">
      <formula>E48</formula>
    </cfRule>
  </conditionalFormatting>
  <conditionalFormatting sqref="D55 F55">
    <cfRule type="cellIs" dxfId="41" priority="18" operator="greaterThan">
      <formula>C55</formula>
    </cfRule>
  </conditionalFormatting>
  <conditionalFormatting sqref="H55">
    <cfRule type="cellIs" dxfId="40" priority="17" operator="greaterThan">
      <formula>G55</formula>
    </cfRule>
  </conditionalFormatting>
  <conditionalFormatting sqref="J55">
    <cfRule type="cellIs" dxfId="39" priority="16" operator="greaterThan">
      <formula>I55</formula>
    </cfRule>
  </conditionalFormatting>
  <conditionalFormatting sqref="L55">
    <cfRule type="cellIs" dxfId="38" priority="15" operator="greaterThan">
      <formula>K55</formula>
    </cfRule>
  </conditionalFormatting>
  <conditionalFormatting sqref="N55">
    <cfRule type="cellIs" dxfId="37" priority="14" operator="greaterThan">
      <formula>M55</formula>
    </cfRule>
  </conditionalFormatting>
  <conditionalFormatting sqref="P55">
    <cfRule type="cellIs" dxfId="36" priority="13" operator="greaterThan">
      <formula>O55</formula>
    </cfRule>
  </conditionalFormatting>
  <conditionalFormatting sqref="R55">
    <cfRule type="cellIs" dxfId="35" priority="12" operator="greaterThan">
      <formula>Q55</formula>
    </cfRule>
  </conditionalFormatting>
  <conditionalFormatting sqref="F55">
    <cfRule type="cellIs" dxfId="34" priority="11" operator="greaterThan">
      <formula>E55</formula>
    </cfRule>
  </conditionalFormatting>
  <conditionalFormatting sqref="D58 F58">
    <cfRule type="cellIs" dxfId="33" priority="10" operator="greaterThan">
      <formula>C58</formula>
    </cfRule>
  </conditionalFormatting>
  <conditionalFormatting sqref="H58">
    <cfRule type="cellIs" dxfId="32" priority="9" operator="greaterThan">
      <formula>G58</formula>
    </cfRule>
  </conditionalFormatting>
  <conditionalFormatting sqref="J58">
    <cfRule type="cellIs" dxfId="31" priority="8" operator="greaterThan">
      <formula>I58</formula>
    </cfRule>
  </conditionalFormatting>
  <conditionalFormatting sqref="L58">
    <cfRule type="cellIs" dxfId="30" priority="7" operator="greaterThan">
      <formula>K58</formula>
    </cfRule>
  </conditionalFormatting>
  <conditionalFormatting sqref="N58">
    <cfRule type="cellIs" dxfId="29" priority="6" operator="greaterThan">
      <formula>M58</formula>
    </cfRule>
  </conditionalFormatting>
  <conditionalFormatting sqref="P58">
    <cfRule type="cellIs" dxfId="28" priority="5" operator="greaterThan">
      <formula>O58</formula>
    </cfRule>
  </conditionalFormatting>
  <conditionalFormatting sqref="R58">
    <cfRule type="cellIs" dxfId="27" priority="4" operator="greaterThan">
      <formula>Q58</formula>
    </cfRule>
  </conditionalFormatting>
  <conditionalFormatting sqref="F58">
    <cfRule type="cellIs" dxfId="26" priority="3" operator="greaterThan">
      <formula>E58</formula>
    </cfRule>
  </conditionalFormatting>
  <conditionalFormatting sqref="S42">
    <cfRule type="cellIs" dxfId="25" priority="2" operator="notEqual">
      <formula>Y42</formula>
    </cfRule>
  </conditionalFormatting>
  <conditionalFormatting sqref="T42:U42">
    <cfRule type="cellIs" dxfId="24" priority="1" operator="notEqual">
      <formula>Z42</formula>
    </cfRule>
  </conditionalFormatting>
  <dataValidations count="4">
    <dataValidation type="whole" operator="notEqual" allowBlank="1" showErrorMessage="1" error="Введите как целое число." sqref="C21:R41 C8:R11 C15:R19 C43:R59">
      <formula1>-1E+28</formula1>
    </dataValidation>
    <dataValidation allowBlank="1" showErrorMessage="1" prompt="Введите самостоятельно рассчитанный коэффициент" sqref="C5:R5 T5:U5"/>
    <dataValidation type="whole" operator="greaterThanOrEqual" allowBlank="1" showErrorMessage="1" error="Введите как целое положительное число." sqref="C12:R14 C7:R7">
      <formula1>0</formula1>
    </dataValidation>
    <dataValidation type="date" operator="greaterThan" allowBlank="1" showInputMessage="1" showErrorMessage="1" prompt="Введите дату в формате ЧЧ.ММ.ГГГГ" sqref="V2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1" orientation="landscape" r:id="rId1"/>
  <headerFooter alignWithMargins="0"/>
  <ignoredErrors>
    <ignoredError sqref="S65:X65 C43:D44 C47:D47 C56:D56 C20:D20 C33:R33 C53:D53 C50:D50 C15:D15" unlockedFormula="1"/>
    <ignoredError sqref="S15:X15 S23:X23 S16:X19 S27:X29 S26:V26 S32:X32 S31:V31 E43:X44 E47:X47 S45:X45 E56:X56 S54:X54 T12:X14 S36:X37 E20:U20 V42 S33:U33 S12:S14 E24:U24 S30:U30 X26 S55:X55 W31:X31 E53:X53 S51:X51 S41:V41 S58:X58 S57:X57 S46:X46 E50:X50 S48:X49 S52:X52 S21:V21 E15:R15 S38:U38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AD63"/>
  <sheetViews>
    <sheetView view="pageBreakPreview" zoomScale="70" zoomScaleNormal="70" zoomScaleSheetLayoutView="70" workbookViewId="0">
      <pane xSplit="2" ySplit="6" topLeftCell="C7" activePane="bottomRight" state="frozen"/>
      <selection activeCell="C11" sqref="C11"/>
      <selection pane="topRight" activeCell="C11" sqref="C11"/>
      <selection pane="bottomLeft" activeCell="C11" sqref="C11"/>
      <selection pane="bottomRight" activeCell="L7" sqref="L7"/>
    </sheetView>
  </sheetViews>
  <sheetFormatPr defaultRowHeight="12.75"/>
  <cols>
    <col min="1" max="1" width="6.42578125" style="211" customWidth="1"/>
    <col min="2" max="2" width="80.42578125" style="160" customWidth="1"/>
    <col min="3" max="10" width="22.140625" style="160" customWidth="1"/>
    <col min="11" max="11" width="20.28515625" style="160" customWidth="1"/>
    <col min="12" max="12" width="18.5703125" style="163" customWidth="1"/>
    <col min="13" max="13" width="18.5703125" style="159" customWidth="1"/>
    <col min="14" max="14" width="17.28515625" style="160" bestFit="1" customWidth="1"/>
    <col min="15" max="16" width="15.140625" style="160" customWidth="1"/>
    <col min="17" max="16384" width="9.140625" style="160"/>
  </cols>
  <sheetData>
    <row r="2" spans="1:27" s="115" customFormat="1" ht="26.25" customHeight="1">
      <c r="A2" s="112" t="s">
        <v>430</v>
      </c>
      <c r="B2" s="113"/>
      <c r="C2" s="113"/>
      <c r="D2" s="114"/>
      <c r="E2" s="114"/>
      <c r="F2" s="114"/>
      <c r="G2" s="114"/>
      <c r="H2" s="114"/>
      <c r="I2" s="114"/>
      <c r="L2" s="539" t="s">
        <v>553</v>
      </c>
      <c r="M2" s="539"/>
    </row>
    <row r="3" spans="1:27" ht="15.75">
      <c r="A3" s="209"/>
      <c r="B3" s="424" t="str">
        <f>Balance!B3</f>
        <v>"MKBANK"</v>
      </c>
      <c r="C3" s="73"/>
      <c r="D3" s="156"/>
      <c r="E3" s="156"/>
      <c r="F3" s="156"/>
      <c r="G3" s="156"/>
      <c r="H3" s="156"/>
      <c r="I3" s="156"/>
      <c r="J3" s="95"/>
      <c r="K3" s="427">
        <f>+Balance!D3</f>
        <v>45657</v>
      </c>
      <c r="L3" s="160"/>
      <c r="M3" s="157" t="str">
        <f>+Balance!E3</f>
        <v>минг сўмда</v>
      </c>
    </row>
    <row r="4" spans="1:27" s="18" customFormat="1" ht="23.25" customHeight="1">
      <c r="A4" s="545" t="s">
        <v>54</v>
      </c>
      <c r="B4" s="545" t="s">
        <v>333</v>
      </c>
      <c r="C4" s="542" t="s">
        <v>334</v>
      </c>
      <c r="D4" s="543"/>
      <c r="E4" s="543"/>
      <c r="F4" s="543"/>
      <c r="G4" s="543"/>
      <c r="H4" s="543"/>
      <c r="I4" s="543"/>
      <c r="J4" s="544"/>
      <c r="K4" s="545" t="s">
        <v>176</v>
      </c>
      <c r="L4" s="548" t="s">
        <v>336</v>
      </c>
      <c r="M4" s="549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spans="1:27" s="18" customFormat="1" ht="27.75" customHeight="1">
      <c r="A5" s="552"/>
      <c r="B5" s="552"/>
      <c r="C5" s="545" t="s">
        <v>337</v>
      </c>
      <c r="D5" s="545" t="s">
        <v>338</v>
      </c>
      <c r="E5" s="545" t="s">
        <v>339</v>
      </c>
      <c r="F5" s="545" t="s">
        <v>340</v>
      </c>
      <c r="G5" s="545" t="s">
        <v>341</v>
      </c>
      <c r="H5" s="545" t="s">
        <v>342</v>
      </c>
      <c r="I5" s="545" t="s">
        <v>343</v>
      </c>
      <c r="J5" s="545" t="s">
        <v>344</v>
      </c>
      <c r="K5" s="552"/>
      <c r="L5" s="550"/>
      <c r="M5" s="551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 spans="1:27" s="18" customFormat="1" ht="34.5" customHeight="1">
      <c r="A6" s="546"/>
      <c r="B6" s="546"/>
      <c r="C6" s="546"/>
      <c r="D6" s="546"/>
      <c r="E6" s="546"/>
      <c r="F6" s="546"/>
      <c r="G6" s="546"/>
      <c r="H6" s="546"/>
      <c r="I6" s="546"/>
      <c r="J6" s="546"/>
      <c r="K6" s="546"/>
      <c r="L6" s="425" t="s">
        <v>22</v>
      </c>
      <c r="M6" s="425" t="s">
        <v>309</v>
      </c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 spans="1:27" s="153" customFormat="1" ht="20.25" customHeight="1">
      <c r="A7" s="297" t="s">
        <v>55</v>
      </c>
      <c r="B7" s="298" t="s">
        <v>403</v>
      </c>
      <c r="C7" s="448"/>
      <c r="D7" s="448"/>
      <c r="E7" s="448"/>
      <c r="F7" s="448"/>
      <c r="G7" s="448"/>
      <c r="H7" s="448"/>
      <c r="I7" s="448"/>
      <c r="J7" s="448"/>
      <c r="K7" s="448"/>
      <c r="L7" s="150"/>
      <c r="M7" s="151"/>
      <c r="N7" s="18"/>
      <c r="O7" s="152"/>
      <c r="P7" s="152"/>
    </row>
    <row r="8" spans="1:27" s="153" customFormat="1" ht="25.5" customHeight="1">
      <c r="A8" s="297" t="s">
        <v>66</v>
      </c>
      <c r="B8" s="298" t="s">
        <v>404</v>
      </c>
      <c r="C8" s="447">
        <f>SUM(C9:C12)</f>
        <v>371445185</v>
      </c>
      <c r="D8" s="447">
        <f t="shared" ref="D8:J8" si="0">SUM(D9:D12)</f>
        <v>0</v>
      </c>
      <c r="E8" s="447">
        <f t="shared" si="0"/>
        <v>89537899</v>
      </c>
      <c r="F8" s="447">
        <f t="shared" si="0"/>
        <v>0</v>
      </c>
      <c r="G8" s="447">
        <f t="shared" si="0"/>
        <v>0</v>
      </c>
      <c r="H8" s="447">
        <f t="shared" si="0"/>
        <v>335434646</v>
      </c>
      <c r="I8" s="447">
        <f t="shared" si="0"/>
        <v>0</v>
      </c>
      <c r="J8" s="447">
        <f t="shared" si="0"/>
        <v>0</v>
      </c>
      <c r="K8" s="447">
        <f t="shared" ref="K8:K42" si="1">+C8+D8+E8+F8+G8+H8+I8+J8</f>
        <v>796417730</v>
      </c>
      <c r="L8" s="150"/>
      <c r="M8" s="151"/>
      <c r="N8" s="18"/>
      <c r="O8" s="152"/>
      <c r="P8" s="152"/>
    </row>
    <row r="9" spans="1:27" s="153" customFormat="1" ht="25.5" customHeight="1">
      <c r="A9" s="297" t="s">
        <v>141</v>
      </c>
      <c r="B9" s="298" t="s">
        <v>405</v>
      </c>
      <c r="C9" s="447">
        <f>+'Bank Liabilities Analysis'!C8-'Bank Liabilities Analysis'!D8</f>
        <v>5815692</v>
      </c>
      <c r="D9" s="447">
        <f>+'Bank Liabilities Analysis'!E8-'Bank Liabilities Analysis'!F8</f>
        <v>0</v>
      </c>
      <c r="E9" s="447">
        <f>+'Bank Liabilities Analysis'!G8-'Bank Liabilities Analysis'!H8</f>
        <v>0</v>
      </c>
      <c r="F9" s="447">
        <f>+'Bank Liabilities Analysis'!I8-'Bank Liabilities Analysis'!J8</f>
        <v>0</v>
      </c>
      <c r="G9" s="447">
        <f>+'Bank Liabilities Analysis'!K8-'Bank Liabilities Analysis'!L8</f>
        <v>0</v>
      </c>
      <c r="H9" s="447">
        <f>+'Bank Liabilities Analysis'!M8-'Bank Liabilities Analysis'!N8</f>
        <v>0</v>
      </c>
      <c r="I9" s="447">
        <f>+'Bank Liabilities Analysis'!O8-'Bank Liabilities Analysis'!P8</f>
        <v>0</v>
      </c>
      <c r="J9" s="447">
        <f>+'Bank Liabilities Analysis'!Q8-'Bank Liabilities Analysis'!R8</f>
        <v>0</v>
      </c>
      <c r="K9" s="447">
        <f t="shared" si="1"/>
        <v>5815692</v>
      </c>
      <c r="L9" s="150"/>
      <c r="M9" s="151"/>
      <c r="N9" s="18"/>
      <c r="O9" s="152"/>
      <c r="P9" s="152"/>
    </row>
    <row r="10" spans="1:27" s="153" customFormat="1" ht="25.5" customHeight="1">
      <c r="A10" s="297" t="s">
        <v>142</v>
      </c>
      <c r="B10" s="298" t="s">
        <v>406</v>
      </c>
      <c r="C10" s="447">
        <f>+'Bank Liabilities Analysis'!C9-'Bank Liabilities Analysis'!D9</f>
        <v>0</v>
      </c>
      <c r="D10" s="447">
        <f>+'Bank Liabilities Analysis'!E9-'Bank Liabilities Analysis'!F9</f>
        <v>0</v>
      </c>
      <c r="E10" s="447">
        <f>+'Bank Liabilities Analysis'!G9-'Bank Liabilities Analysis'!H9</f>
        <v>0</v>
      </c>
      <c r="F10" s="447">
        <f>+'Bank Liabilities Analysis'!I9-'Bank Liabilities Analysis'!J9</f>
        <v>0</v>
      </c>
      <c r="G10" s="447">
        <f>+'Bank Liabilities Analysis'!K9-'Bank Liabilities Analysis'!L9</f>
        <v>0</v>
      </c>
      <c r="H10" s="447">
        <f>+'Bank Liabilities Analysis'!M9-'Bank Liabilities Analysis'!N9</f>
        <v>0</v>
      </c>
      <c r="I10" s="447">
        <f>+'Bank Liabilities Analysis'!O9-'Bank Liabilities Analysis'!P9</f>
        <v>0</v>
      </c>
      <c r="J10" s="447">
        <f>+'Bank Liabilities Analysis'!Q9-'Bank Liabilities Analysis'!R9</f>
        <v>0</v>
      </c>
      <c r="K10" s="447">
        <f t="shared" si="1"/>
        <v>0</v>
      </c>
      <c r="L10" s="150"/>
      <c r="M10" s="151"/>
      <c r="N10" s="18"/>
      <c r="O10" s="152"/>
      <c r="P10" s="152"/>
    </row>
    <row r="11" spans="1:27" s="153" customFormat="1" ht="33.75" customHeight="1">
      <c r="A11" s="297" t="s">
        <v>143</v>
      </c>
      <c r="B11" s="298" t="s">
        <v>407</v>
      </c>
      <c r="C11" s="447">
        <f>+'Bank Liabilities Analysis'!C10-'Bank Liabilities Analysis'!D10</f>
        <v>0</v>
      </c>
      <c r="D11" s="447">
        <f>+'Bank Liabilities Analysis'!E10-'Bank Liabilities Analysis'!F10</f>
        <v>0</v>
      </c>
      <c r="E11" s="447">
        <f>+'Bank Liabilities Analysis'!G10-'Bank Liabilities Analysis'!H10</f>
        <v>0</v>
      </c>
      <c r="F11" s="447">
        <f>+'Bank Liabilities Analysis'!I10-'Bank Liabilities Analysis'!J10</f>
        <v>0</v>
      </c>
      <c r="G11" s="447">
        <f>+'Bank Liabilities Analysis'!K10-'Bank Liabilities Analysis'!L10</f>
        <v>0</v>
      </c>
      <c r="H11" s="447">
        <f>+'Bank Liabilities Analysis'!M10-'Bank Liabilities Analysis'!N10</f>
        <v>0</v>
      </c>
      <c r="I11" s="447">
        <f>+'Bank Liabilities Analysis'!O10-'Bank Liabilities Analysis'!P10</f>
        <v>0</v>
      </c>
      <c r="J11" s="447">
        <f>+'Bank Liabilities Analysis'!Q10-'Bank Liabilities Analysis'!R10</f>
        <v>0</v>
      </c>
      <c r="K11" s="447">
        <f t="shared" si="1"/>
        <v>0</v>
      </c>
      <c r="L11" s="150"/>
      <c r="M11" s="151"/>
      <c r="N11" s="18"/>
      <c r="O11" s="152"/>
      <c r="P11" s="152"/>
    </row>
    <row r="12" spans="1:27" s="153" customFormat="1" ht="25.5" customHeight="1">
      <c r="A12" s="297" t="s">
        <v>144</v>
      </c>
      <c r="B12" s="298" t="s">
        <v>408</v>
      </c>
      <c r="C12" s="447">
        <f>+'Bank Liabilities Analysis'!C11-'Bank Liabilities Analysis'!D11</f>
        <v>365629493</v>
      </c>
      <c r="D12" s="447">
        <f>+'Bank Liabilities Analysis'!E11-'Bank Liabilities Analysis'!F11</f>
        <v>0</v>
      </c>
      <c r="E12" s="447">
        <f>+'Bank Liabilities Analysis'!G11-'Bank Liabilities Analysis'!H11</f>
        <v>89537899</v>
      </c>
      <c r="F12" s="447">
        <f>+'Bank Liabilities Analysis'!I11-'Bank Liabilities Analysis'!J11</f>
        <v>0</v>
      </c>
      <c r="G12" s="447">
        <f>+'Bank Liabilities Analysis'!K11-'Bank Liabilities Analysis'!L11</f>
        <v>0</v>
      </c>
      <c r="H12" s="447">
        <f>+'Bank Liabilities Analysis'!M11-'Bank Liabilities Analysis'!N11</f>
        <v>335434646</v>
      </c>
      <c r="I12" s="447">
        <f>+'Bank Liabilities Analysis'!O11-'Bank Liabilities Analysis'!P11</f>
        <v>0</v>
      </c>
      <c r="J12" s="447">
        <f>+'Bank Liabilities Analysis'!Q11-'Bank Liabilities Analysis'!R11</f>
        <v>0</v>
      </c>
      <c r="K12" s="447">
        <f t="shared" si="1"/>
        <v>790602038</v>
      </c>
      <c r="L12" s="150"/>
      <c r="M12" s="151"/>
      <c r="N12" s="18"/>
      <c r="O12" s="152"/>
      <c r="P12" s="152"/>
    </row>
    <row r="13" spans="1:27" s="153" customFormat="1" ht="25.5" customHeight="1">
      <c r="A13" s="297" t="s">
        <v>67</v>
      </c>
      <c r="B13" s="298" t="s">
        <v>232</v>
      </c>
      <c r="C13" s="447">
        <f>+'Bank Liabilities Analysis'!C12-'Bank Liabilities Analysis'!D12</f>
        <v>14469654</v>
      </c>
      <c r="D13" s="447">
        <f>+'Bank Liabilities Analysis'!E12-'Bank Liabilities Analysis'!F12</f>
        <v>285204108</v>
      </c>
      <c r="E13" s="447">
        <f>+'Bank Liabilities Analysis'!G12-'Bank Liabilities Analysis'!H12</f>
        <v>77998236</v>
      </c>
      <c r="F13" s="447">
        <f>+'Bank Liabilities Analysis'!I12-'Bank Liabilities Analysis'!J12</f>
        <v>208452344</v>
      </c>
      <c r="G13" s="447">
        <f>+'Bank Liabilities Analysis'!K12-'Bank Liabilities Analysis'!L12</f>
        <v>628657561</v>
      </c>
      <c r="H13" s="447">
        <f>+'Bank Liabilities Analysis'!M12-'Bank Liabilities Analysis'!N12</f>
        <v>1309307496</v>
      </c>
      <c r="I13" s="447">
        <f>+'Bank Liabilities Analysis'!O12-'Bank Liabilities Analysis'!P12</f>
        <v>1845471405</v>
      </c>
      <c r="J13" s="447">
        <f>+'Bank Liabilities Analysis'!Q12-'Bank Liabilities Analysis'!R12</f>
        <v>1347067696</v>
      </c>
      <c r="K13" s="447">
        <f t="shared" si="1"/>
        <v>5716628500</v>
      </c>
      <c r="L13" s="150"/>
      <c r="M13" s="151"/>
      <c r="N13" s="18"/>
      <c r="O13" s="152"/>
      <c r="P13" s="152"/>
    </row>
    <row r="14" spans="1:27" s="153" customFormat="1" ht="25.5" customHeight="1">
      <c r="A14" s="297" t="s">
        <v>154</v>
      </c>
      <c r="B14" s="298" t="s">
        <v>409</v>
      </c>
      <c r="C14" s="447">
        <f>+'Bank Liabilities Analysis'!C13-'Bank Liabilities Analysis'!D13</f>
        <v>14344122</v>
      </c>
      <c r="D14" s="447">
        <f>+'Bank Liabilities Analysis'!E13-'Bank Liabilities Analysis'!F13</f>
        <v>6220985</v>
      </c>
      <c r="E14" s="447">
        <f>+'Bank Liabilities Analysis'!G13-'Bank Liabilities Analysis'!H13</f>
        <v>30898236</v>
      </c>
      <c r="F14" s="447">
        <f>+'Bank Liabilities Analysis'!I13-'Bank Liabilities Analysis'!J13</f>
        <v>59670743</v>
      </c>
      <c r="G14" s="447">
        <f>+'Bank Liabilities Analysis'!K13-'Bank Liabilities Analysis'!L13</f>
        <v>66138811</v>
      </c>
      <c r="H14" s="447">
        <f>+'Bank Liabilities Analysis'!M13-'Bank Liabilities Analysis'!N13</f>
        <v>157449514</v>
      </c>
      <c r="I14" s="447">
        <f>+'Bank Liabilities Analysis'!O13-'Bank Liabilities Analysis'!P13</f>
        <v>1591377405</v>
      </c>
      <c r="J14" s="447">
        <f>+'Bank Liabilities Analysis'!Q13-'Bank Liabilities Analysis'!R13</f>
        <v>77456877</v>
      </c>
      <c r="K14" s="447">
        <f t="shared" si="1"/>
        <v>2003556693</v>
      </c>
      <c r="L14" s="150"/>
      <c r="M14" s="151"/>
      <c r="N14" s="18"/>
      <c r="O14" s="152"/>
      <c r="P14" s="152"/>
    </row>
    <row r="15" spans="1:27" s="153" customFormat="1" ht="25.5" customHeight="1">
      <c r="A15" s="297" t="s">
        <v>155</v>
      </c>
      <c r="B15" s="298" t="s">
        <v>410</v>
      </c>
      <c r="C15" s="447">
        <f>+'Bank Liabilities Analysis'!C14-'Bank Liabilities Analysis'!D14</f>
        <v>0</v>
      </c>
      <c r="D15" s="447">
        <f>+'Bank Liabilities Analysis'!E14-'Bank Liabilities Analysis'!F14</f>
        <v>0</v>
      </c>
      <c r="E15" s="447">
        <f>+'Bank Liabilities Analysis'!G14-'Bank Liabilities Analysis'!H14</f>
        <v>0</v>
      </c>
      <c r="F15" s="447">
        <f>+'Bank Liabilities Analysis'!I14-'Bank Liabilities Analysis'!J14</f>
        <v>0</v>
      </c>
      <c r="G15" s="447">
        <f>+'Bank Liabilities Analysis'!K14-'Bank Liabilities Analysis'!L14</f>
        <v>0</v>
      </c>
      <c r="H15" s="447">
        <f>+'Bank Liabilities Analysis'!M14-'Bank Liabilities Analysis'!N14</f>
        <v>0</v>
      </c>
      <c r="I15" s="447">
        <f>+'Bank Liabilities Analysis'!O14-'Bank Liabilities Analysis'!P14</f>
        <v>0</v>
      </c>
      <c r="J15" s="447">
        <f>+'Bank Liabilities Analysis'!Q14-'Bank Liabilities Analysis'!R14</f>
        <v>0</v>
      </c>
      <c r="K15" s="447">
        <f t="shared" si="1"/>
        <v>0</v>
      </c>
      <c r="L15" s="150"/>
      <c r="M15" s="151"/>
      <c r="N15" s="18"/>
      <c r="O15" s="152"/>
      <c r="P15" s="152"/>
    </row>
    <row r="16" spans="1:27" s="153" customFormat="1" ht="25.5" customHeight="1">
      <c r="A16" s="297" t="s">
        <v>68</v>
      </c>
      <c r="B16" s="298" t="s">
        <v>411</v>
      </c>
      <c r="C16" s="447">
        <f t="shared" ref="C16:J16" si="2">SUM(C17:C20)</f>
        <v>429953382</v>
      </c>
      <c r="D16" s="447">
        <f t="shared" si="2"/>
        <v>0</v>
      </c>
      <c r="E16" s="447">
        <f t="shared" si="2"/>
        <v>0</v>
      </c>
      <c r="F16" s="447">
        <f t="shared" si="2"/>
        <v>0</v>
      </c>
      <c r="G16" s="447">
        <f t="shared" si="2"/>
        <v>0</v>
      </c>
      <c r="H16" s="447">
        <f t="shared" si="2"/>
        <v>0</v>
      </c>
      <c r="I16" s="447">
        <f t="shared" si="2"/>
        <v>0</v>
      </c>
      <c r="J16" s="447">
        <f t="shared" si="2"/>
        <v>0</v>
      </c>
      <c r="K16" s="447">
        <f t="shared" si="1"/>
        <v>429953382</v>
      </c>
      <c r="L16" s="150"/>
      <c r="M16" s="151"/>
      <c r="N16" s="18"/>
      <c r="O16" s="152"/>
      <c r="P16" s="152"/>
    </row>
    <row r="17" spans="1:16" s="153" customFormat="1" ht="25.5" customHeight="1">
      <c r="A17" s="297" t="s">
        <v>145</v>
      </c>
      <c r="B17" s="298" t="s">
        <v>412</v>
      </c>
      <c r="C17" s="447">
        <f>+'Bank Liabilities Analysis'!C16-'Bank Liabilities Analysis'!D16</f>
        <v>370880874</v>
      </c>
      <c r="D17" s="447">
        <f>+'Bank Liabilities Analysis'!E16-'Bank Liabilities Analysis'!F16</f>
        <v>0</v>
      </c>
      <c r="E17" s="447">
        <f>+'Bank Liabilities Analysis'!G16-'Bank Liabilities Analysis'!H16</f>
        <v>0</v>
      </c>
      <c r="F17" s="447">
        <f>+'Bank Liabilities Analysis'!I16-'Bank Liabilities Analysis'!J16</f>
        <v>0</v>
      </c>
      <c r="G17" s="447">
        <f>+'Bank Liabilities Analysis'!K16-'Bank Liabilities Analysis'!L16</f>
        <v>0</v>
      </c>
      <c r="H17" s="447">
        <f>+'Bank Liabilities Analysis'!M16-'Bank Liabilities Analysis'!N16</f>
        <v>0</v>
      </c>
      <c r="I17" s="447">
        <f>+'Bank Liabilities Analysis'!O16-'Bank Liabilities Analysis'!P16</f>
        <v>0</v>
      </c>
      <c r="J17" s="447">
        <f>+'Bank Liabilities Analysis'!Q16-'Bank Liabilities Analysis'!R16</f>
        <v>0</v>
      </c>
      <c r="K17" s="447">
        <f t="shared" si="1"/>
        <v>370880874</v>
      </c>
      <c r="L17" s="150"/>
      <c r="M17" s="151"/>
      <c r="N17" s="18"/>
      <c r="O17" s="152"/>
      <c r="P17" s="152"/>
    </row>
    <row r="18" spans="1:16" s="153" customFormat="1" ht="25.5" customHeight="1">
      <c r="A18" s="297" t="s">
        <v>146</v>
      </c>
      <c r="B18" s="298" t="s">
        <v>413</v>
      </c>
      <c r="C18" s="447">
        <f>+'Bank Liabilities Analysis'!C17-'Bank Liabilities Analysis'!D17</f>
        <v>8052542</v>
      </c>
      <c r="D18" s="447">
        <f>+'Bank Liabilities Analysis'!E17-'Bank Liabilities Analysis'!F17</f>
        <v>0</v>
      </c>
      <c r="E18" s="447">
        <f>+'Bank Liabilities Analysis'!G17-'Bank Liabilities Analysis'!H17</f>
        <v>0</v>
      </c>
      <c r="F18" s="447">
        <f>+'Bank Liabilities Analysis'!I17-'Bank Liabilities Analysis'!J17</f>
        <v>0</v>
      </c>
      <c r="G18" s="447">
        <f>+'Bank Liabilities Analysis'!K17-'Bank Liabilities Analysis'!L17</f>
        <v>0</v>
      </c>
      <c r="H18" s="447">
        <f>+'Bank Liabilities Analysis'!M17-'Bank Liabilities Analysis'!N17</f>
        <v>0</v>
      </c>
      <c r="I18" s="447">
        <f>+'Bank Liabilities Analysis'!O17-'Bank Liabilities Analysis'!P17</f>
        <v>0</v>
      </c>
      <c r="J18" s="447">
        <f>+'Bank Liabilities Analysis'!Q17-'Bank Liabilities Analysis'!R17</f>
        <v>0</v>
      </c>
      <c r="K18" s="447">
        <f t="shared" si="1"/>
        <v>8052542</v>
      </c>
      <c r="L18" s="150"/>
      <c r="M18" s="151"/>
      <c r="N18" s="18"/>
      <c r="O18" s="152"/>
      <c r="P18" s="152"/>
    </row>
    <row r="19" spans="1:16" s="153" customFormat="1" ht="25.5" customHeight="1">
      <c r="A19" s="297" t="s">
        <v>147</v>
      </c>
      <c r="B19" s="298" t="s">
        <v>414</v>
      </c>
      <c r="C19" s="447">
        <f>+'Bank Liabilities Analysis'!C18-'Bank Liabilities Analysis'!D18</f>
        <v>0</v>
      </c>
      <c r="D19" s="447">
        <f>+'Bank Liabilities Analysis'!E18-'Bank Liabilities Analysis'!F18</f>
        <v>0</v>
      </c>
      <c r="E19" s="447">
        <f>+'Bank Liabilities Analysis'!G18-'Bank Liabilities Analysis'!H18</f>
        <v>0</v>
      </c>
      <c r="F19" s="447">
        <f>+'Bank Liabilities Analysis'!I18-'Bank Liabilities Analysis'!J18</f>
        <v>0</v>
      </c>
      <c r="G19" s="447">
        <f>+'Bank Liabilities Analysis'!K18-'Bank Liabilities Analysis'!L18</f>
        <v>0</v>
      </c>
      <c r="H19" s="447">
        <f>+'Bank Liabilities Analysis'!M18-'Bank Liabilities Analysis'!N18</f>
        <v>0</v>
      </c>
      <c r="I19" s="447">
        <f>+'Bank Liabilities Analysis'!O18-'Bank Liabilities Analysis'!P18</f>
        <v>0</v>
      </c>
      <c r="J19" s="447">
        <f>+'Bank Liabilities Analysis'!Q18-'Bank Liabilities Analysis'!R18</f>
        <v>0</v>
      </c>
      <c r="K19" s="447">
        <f t="shared" si="1"/>
        <v>0</v>
      </c>
      <c r="L19" s="150"/>
      <c r="M19" s="151"/>
      <c r="N19" s="18"/>
      <c r="O19" s="152"/>
      <c r="P19" s="152"/>
    </row>
    <row r="20" spans="1:16" s="153" customFormat="1" ht="25.5" customHeight="1">
      <c r="A20" s="297" t="s">
        <v>148</v>
      </c>
      <c r="B20" s="298" t="s">
        <v>368</v>
      </c>
      <c r="C20" s="447">
        <f>+'Bank Liabilities Analysis'!C19-'Bank Liabilities Analysis'!D19</f>
        <v>51019966</v>
      </c>
      <c r="D20" s="447">
        <f>+'Bank Liabilities Analysis'!E19-'Bank Liabilities Analysis'!F19</f>
        <v>0</v>
      </c>
      <c r="E20" s="447">
        <f>+'Bank Liabilities Analysis'!G19-'Bank Liabilities Analysis'!H19</f>
        <v>0</v>
      </c>
      <c r="F20" s="447">
        <f>+'Bank Liabilities Analysis'!I19-'Bank Liabilities Analysis'!J19</f>
        <v>0</v>
      </c>
      <c r="G20" s="447">
        <f>+'Bank Liabilities Analysis'!K19-'Bank Liabilities Analysis'!L19</f>
        <v>0</v>
      </c>
      <c r="H20" s="447">
        <f>+'Bank Liabilities Analysis'!M19-'Bank Liabilities Analysis'!N19</f>
        <v>0</v>
      </c>
      <c r="I20" s="447">
        <f>+'Bank Liabilities Analysis'!O19-'Bank Liabilities Analysis'!P19</f>
        <v>0</v>
      </c>
      <c r="J20" s="447">
        <f>+'Bank Liabilities Analysis'!Q19-'Bank Liabilities Analysis'!R19</f>
        <v>0</v>
      </c>
      <c r="K20" s="447">
        <f t="shared" si="1"/>
        <v>51019966</v>
      </c>
      <c r="L20" s="150"/>
      <c r="M20" s="151"/>
      <c r="N20" s="18"/>
      <c r="O20" s="152"/>
      <c r="P20" s="152"/>
    </row>
    <row r="21" spans="1:16" s="153" customFormat="1" ht="25.5" customHeight="1">
      <c r="A21" s="297" t="s">
        <v>69</v>
      </c>
      <c r="B21" s="298" t="s">
        <v>415</v>
      </c>
      <c r="C21" s="447">
        <f t="shared" ref="C21:J21" si="3">+C8+C13+C16</f>
        <v>815868221</v>
      </c>
      <c r="D21" s="447">
        <f t="shared" si="3"/>
        <v>285204108</v>
      </c>
      <c r="E21" s="447">
        <f t="shared" si="3"/>
        <v>167536135</v>
      </c>
      <c r="F21" s="447">
        <f t="shared" si="3"/>
        <v>208452344</v>
      </c>
      <c r="G21" s="447">
        <f t="shared" si="3"/>
        <v>628657561</v>
      </c>
      <c r="H21" s="447">
        <f t="shared" si="3"/>
        <v>1644742142</v>
      </c>
      <c r="I21" s="447">
        <f t="shared" si="3"/>
        <v>1845471405</v>
      </c>
      <c r="J21" s="447">
        <f t="shared" si="3"/>
        <v>1347067696</v>
      </c>
      <c r="K21" s="447">
        <f t="shared" si="1"/>
        <v>6942999612</v>
      </c>
      <c r="L21" s="150">
        <v>0.15</v>
      </c>
      <c r="M21" s="151">
        <f>+K21*L21</f>
        <v>1041449941.8</v>
      </c>
      <c r="N21" s="18"/>
      <c r="O21" s="152"/>
      <c r="P21" s="152"/>
    </row>
    <row r="22" spans="1:16" s="153" customFormat="1" ht="25.5" customHeight="1">
      <c r="A22" s="297" t="s">
        <v>57</v>
      </c>
      <c r="B22" s="298" t="s">
        <v>234</v>
      </c>
      <c r="C22" s="447">
        <f>+'Bank Liabilities Analysis'!C21-'Bank Liabilities Analysis'!D21</f>
        <v>189146</v>
      </c>
      <c r="D22" s="447">
        <f>+'Bank Liabilities Analysis'!E21-'Bank Liabilities Analysis'!F21</f>
        <v>0</v>
      </c>
      <c r="E22" s="447">
        <f>+'Bank Liabilities Analysis'!G21-'Bank Liabilities Analysis'!H21</f>
        <v>0</v>
      </c>
      <c r="F22" s="447">
        <f>+'Bank Liabilities Analysis'!I21-'Bank Liabilities Analysis'!J21</f>
        <v>0</v>
      </c>
      <c r="G22" s="447">
        <f>+'Bank Liabilities Analysis'!K21-'Bank Liabilities Analysis'!L21</f>
        <v>0</v>
      </c>
      <c r="H22" s="447">
        <f>+'Bank Liabilities Analysis'!M21-'Bank Liabilities Analysis'!N21</f>
        <v>0</v>
      </c>
      <c r="I22" s="447">
        <f>+'Bank Liabilities Analysis'!O21-'Bank Liabilities Analysis'!P21</f>
        <v>0</v>
      </c>
      <c r="J22" s="447">
        <f>+'Bank Liabilities Analysis'!Q21-'Bank Liabilities Analysis'!R21</f>
        <v>0</v>
      </c>
      <c r="K22" s="447">
        <f t="shared" si="1"/>
        <v>189146</v>
      </c>
      <c r="L22" s="150">
        <v>1</v>
      </c>
      <c r="M22" s="151">
        <f>(C22+D22+E22-C23-D23-E23)*L22</f>
        <v>0</v>
      </c>
      <c r="N22" s="18"/>
      <c r="O22" s="152"/>
      <c r="P22" s="152"/>
    </row>
    <row r="23" spans="1:16" s="302" customFormat="1" ht="36.75" customHeight="1">
      <c r="A23" s="297" t="s">
        <v>94</v>
      </c>
      <c r="B23" s="298" t="s">
        <v>540</v>
      </c>
      <c r="C23" s="447">
        <f>+'Bank Liabilities Analysis'!C22-'Bank Liabilities Analysis'!D22</f>
        <v>189146</v>
      </c>
      <c r="D23" s="447">
        <f>+'Bank Liabilities Analysis'!E22-'Bank Liabilities Analysis'!F22</f>
        <v>0</v>
      </c>
      <c r="E23" s="447">
        <f>+'Bank Liabilities Analysis'!G22-'Bank Liabilities Analysis'!H22</f>
        <v>0</v>
      </c>
      <c r="F23" s="447">
        <f>+'Bank Liabilities Analysis'!I22-'Bank Liabilities Analysis'!J22</f>
        <v>0</v>
      </c>
      <c r="G23" s="447">
        <f>+'Bank Liabilities Analysis'!K22-'Bank Liabilities Analysis'!L22</f>
        <v>0</v>
      </c>
      <c r="H23" s="447">
        <f>+'Bank Liabilities Analysis'!M22-'Bank Liabilities Analysis'!N22</f>
        <v>0</v>
      </c>
      <c r="I23" s="447">
        <f>+'Bank Liabilities Analysis'!O22-'Bank Liabilities Analysis'!P22</f>
        <v>0</v>
      </c>
      <c r="J23" s="447">
        <f>+'Bank Liabilities Analysis'!Q22-'Bank Liabilities Analysis'!R22</f>
        <v>0</v>
      </c>
      <c r="K23" s="447">
        <f t="shared" ref="K23" si="4">+C23+D23+E23+F23+G23+H23+I23+J23</f>
        <v>189146</v>
      </c>
      <c r="L23" s="150"/>
      <c r="M23" s="184"/>
      <c r="N23" s="428"/>
      <c r="O23" s="429"/>
      <c r="P23" s="429"/>
    </row>
    <row r="24" spans="1:16" s="153" customFormat="1" ht="30">
      <c r="A24" s="297" t="s">
        <v>58</v>
      </c>
      <c r="B24" s="298" t="s">
        <v>416</v>
      </c>
      <c r="C24" s="447">
        <f>SUM(C25:C29)-C26</f>
        <v>20015432</v>
      </c>
      <c r="D24" s="447">
        <f t="shared" ref="D24:J24" si="5">SUM(D25:D29)-D26</f>
        <v>128572222</v>
      </c>
      <c r="E24" s="447">
        <f t="shared" si="5"/>
        <v>65054874</v>
      </c>
      <c r="F24" s="447">
        <f t="shared" si="5"/>
        <v>540930229</v>
      </c>
      <c r="G24" s="447">
        <f t="shared" si="5"/>
        <v>76557678</v>
      </c>
      <c r="H24" s="447">
        <f t="shared" si="5"/>
        <v>80315374</v>
      </c>
      <c r="I24" s="447">
        <f t="shared" si="5"/>
        <v>134553420</v>
      </c>
      <c r="J24" s="447">
        <f t="shared" si="5"/>
        <v>495713335</v>
      </c>
      <c r="K24" s="447">
        <f t="shared" si="1"/>
        <v>1541712564</v>
      </c>
      <c r="L24" s="150"/>
      <c r="M24" s="151"/>
      <c r="N24" s="18"/>
      <c r="O24" s="152"/>
      <c r="P24" s="152"/>
    </row>
    <row r="25" spans="1:16" s="153" customFormat="1" ht="30">
      <c r="A25" s="297" t="s">
        <v>74</v>
      </c>
      <c r="B25" s="298" t="s">
        <v>417</v>
      </c>
      <c r="C25" s="447">
        <f>+'Bank Liabilities Analysis'!C24-'Bank Liabilities Analysis'!D24</f>
        <v>0</v>
      </c>
      <c r="D25" s="447">
        <f>+'Bank Liabilities Analysis'!E24-'Bank Liabilities Analysis'!F24</f>
        <v>0</v>
      </c>
      <c r="E25" s="447">
        <f>+'Bank Liabilities Analysis'!G24-'Bank Liabilities Analysis'!H24</f>
        <v>0</v>
      </c>
      <c r="F25" s="447">
        <f>+'Bank Liabilities Analysis'!I24-'Bank Liabilities Analysis'!J24</f>
        <v>0</v>
      </c>
      <c r="G25" s="447">
        <f>+'Bank Liabilities Analysis'!K24-'Bank Liabilities Analysis'!L24</f>
        <v>0</v>
      </c>
      <c r="H25" s="447">
        <f>+'Bank Liabilities Analysis'!M24-'Bank Liabilities Analysis'!N24</f>
        <v>0</v>
      </c>
      <c r="I25" s="447">
        <f>+'Bank Liabilities Analysis'!O24-'Bank Liabilities Analysis'!P24</f>
        <v>0</v>
      </c>
      <c r="J25" s="447">
        <f>+'Bank Liabilities Analysis'!Q24-'Bank Liabilities Analysis'!R24</f>
        <v>0</v>
      </c>
      <c r="K25" s="447">
        <f t="shared" ref="K25" si="6">+C25+D25+E25+F25+G25+H25+I25+J25</f>
        <v>0</v>
      </c>
      <c r="L25" s="150">
        <v>1</v>
      </c>
      <c r="M25" s="184">
        <f>C25*L25</f>
        <v>0</v>
      </c>
      <c r="N25" s="18"/>
      <c r="O25" s="152"/>
      <c r="P25" s="152"/>
    </row>
    <row r="26" spans="1:16" s="153" customFormat="1" ht="34.5" customHeight="1">
      <c r="A26" s="297" t="s">
        <v>551</v>
      </c>
      <c r="B26" s="298" t="s">
        <v>552</v>
      </c>
      <c r="C26" s="447">
        <f>+'Bank Liabilities Analysis'!C25-'Bank Liabilities Analysis'!D25</f>
        <v>0</v>
      </c>
      <c r="D26" s="447">
        <f>+'Bank Liabilities Analysis'!E25-'Bank Liabilities Analysis'!F25</f>
        <v>0</v>
      </c>
      <c r="E26" s="447">
        <f>+'Bank Liabilities Analysis'!G25-'Bank Liabilities Analysis'!H25</f>
        <v>0</v>
      </c>
      <c r="F26" s="447">
        <f>+'Bank Liabilities Analysis'!I25-'Bank Liabilities Analysis'!J25</f>
        <v>0</v>
      </c>
      <c r="G26" s="447">
        <f>+'Bank Liabilities Analysis'!K25-'Bank Liabilities Analysis'!L25</f>
        <v>0</v>
      </c>
      <c r="H26" s="447">
        <f>+'Bank Liabilities Analysis'!M25-'Bank Liabilities Analysis'!N25</f>
        <v>0</v>
      </c>
      <c r="I26" s="447">
        <f>+'Bank Liabilities Analysis'!O25-'Bank Liabilities Analysis'!P25</f>
        <v>0</v>
      </c>
      <c r="J26" s="447">
        <f>+'Bank Liabilities Analysis'!Q25-'Bank Liabilities Analysis'!R25</f>
        <v>0</v>
      </c>
      <c r="K26" s="447">
        <f t="shared" ref="K26" si="7">+C26+D26+E26+F26+G26+H26+I26+J26</f>
        <v>0</v>
      </c>
      <c r="L26" s="150"/>
      <c r="M26" s="151"/>
      <c r="N26" s="18"/>
      <c r="O26" s="152"/>
      <c r="P26" s="152"/>
    </row>
    <row r="27" spans="1:16" s="153" customFormat="1" ht="25.5" customHeight="1">
      <c r="A27" s="297" t="s">
        <v>75</v>
      </c>
      <c r="B27" s="298" t="s">
        <v>418</v>
      </c>
      <c r="C27" s="447">
        <f>+'Bank Liabilities Analysis'!C26-'Bank Liabilities Analysis'!D26</f>
        <v>15000000</v>
      </c>
      <c r="D27" s="447">
        <f>+'Bank Liabilities Analysis'!E26-'Bank Liabilities Analysis'!F26</f>
        <v>128572222</v>
      </c>
      <c r="E27" s="447">
        <f>+'Bank Liabilities Analysis'!G26-'Bank Liabilities Analysis'!H26</f>
        <v>65054874</v>
      </c>
      <c r="F27" s="447">
        <f>+'Bank Liabilities Analysis'!I26-'Bank Liabilities Analysis'!J26</f>
        <v>540930229</v>
      </c>
      <c r="G27" s="447">
        <f>+'Bank Liabilities Analysis'!K26-'Bank Liabilities Analysis'!L26</f>
        <v>76557678</v>
      </c>
      <c r="H27" s="447">
        <f>+'Bank Liabilities Analysis'!M26-'Bank Liabilities Analysis'!N26</f>
        <v>80315374</v>
      </c>
      <c r="I27" s="447">
        <f>+'Bank Liabilities Analysis'!O26-'Bank Liabilities Analysis'!P26</f>
        <v>134553420</v>
      </c>
      <c r="J27" s="447">
        <f>+'Bank Liabilities Analysis'!Q26-'Bank Liabilities Analysis'!R26</f>
        <v>495713335</v>
      </c>
      <c r="K27" s="447">
        <f t="shared" si="1"/>
        <v>1536697132</v>
      </c>
      <c r="L27" s="150">
        <v>1</v>
      </c>
      <c r="M27" s="184">
        <f>(C27+D27+E27)*L27</f>
        <v>208627096</v>
      </c>
      <c r="N27" s="18"/>
      <c r="O27" s="152"/>
      <c r="P27" s="152"/>
    </row>
    <row r="28" spans="1:16" s="153" customFormat="1" ht="33.75" customHeight="1">
      <c r="A28" s="297" t="s">
        <v>15</v>
      </c>
      <c r="B28" s="298" t="s">
        <v>495</v>
      </c>
      <c r="C28" s="447">
        <f>+'Bank Liabilities Analysis'!C27-'Bank Liabilities Analysis'!D27</f>
        <v>15432</v>
      </c>
      <c r="D28" s="447">
        <f>+'Bank Liabilities Analysis'!E27-'Bank Liabilities Analysis'!F27</f>
        <v>0</v>
      </c>
      <c r="E28" s="447">
        <f>+'Bank Liabilities Analysis'!G27-'Bank Liabilities Analysis'!H27</f>
        <v>0</v>
      </c>
      <c r="F28" s="447">
        <f>+'Bank Liabilities Analysis'!I27-'Bank Liabilities Analysis'!J27</f>
        <v>0</v>
      </c>
      <c r="G28" s="447">
        <f>+'Bank Liabilities Analysis'!K27-'Bank Liabilities Analysis'!L27</f>
        <v>0</v>
      </c>
      <c r="H28" s="447">
        <f>+'Bank Liabilities Analysis'!M27-'Bank Liabilities Analysis'!N27</f>
        <v>0</v>
      </c>
      <c r="I28" s="447">
        <f>+'Bank Liabilities Analysis'!O27-'Bank Liabilities Analysis'!P27</f>
        <v>0</v>
      </c>
      <c r="J28" s="447">
        <f>+'Bank Liabilities Analysis'!Q27-'Bank Liabilities Analysis'!R27</f>
        <v>0</v>
      </c>
      <c r="K28" s="447">
        <f t="shared" si="1"/>
        <v>15432</v>
      </c>
      <c r="L28" s="150">
        <v>1</v>
      </c>
      <c r="M28" s="184">
        <f>(C28+D28+E28)*L28</f>
        <v>15432</v>
      </c>
      <c r="N28" s="18"/>
      <c r="O28" s="152"/>
      <c r="P28" s="152"/>
    </row>
    <row r="29" spans="1:16" s="153" customFormat="1" ht="25.5" customHeight="1">
      <c r="A29" s="297" t="s">
        <v>149</v>
      </c>
      <c r="B29" s="298" t="s">
        <v>419</v>
      </c>
      <c r="C29" s="447">
        <f>+'Bank Liabilities Analysis'!C28-'Bank Liabilities Analysis'!D28</f>
        <v>5000000</v>
      </c>
      <c r="D29" s="447">
        <f>+'Bank Liabilities Analysis'!E28-'Bank Liabilities Analysis'!F28</f>
        <v>0</v>
      </c>
      <c r="E29" s="447">
        <f>+'Bank Liabilities Analysis'!G28-'Bank Liabilities Analysis'!H28</f>
        <v>0</v>
      </c>
      <c r="F29" s="447">
        <f>+'Bank Liabilities Analysis'!I28-'Bank Liabilities Analysis'!J28</f>
        <v>0</v>
      </c>
      <c r="G29" s="447">
        <f>+'Bank Liabilities Analysis'!K28-'Bank Liabilities Analysis'!L28</f>
        <v>0</v>
      </c>
      <c r="H29" s="447">
        <f>+'Bank Liabilities Analysis'!M28-'Bank Liabilities Analysis'!N28</f>
        <v>0</v>
      </c>
      <c r="I29" s="447">
        <f>+'Bank Liabilities Analysis'!O28-'Bank Liabilities Analysis'!P28</f>
        <v>0</v>
      </c>
      <c r="J29" s="447">
        <f>+'Bank Liabilities Analysis'!Q28-'Bank Liabilities Analysis'!R28</f>
        <v>0</v>
      </c>
      <c r="K29" s="447">
        <f t="shared" si="1"/>
        <v>5000000</v>
      </c>
      <c r="L29" s="150">
        <v>1</v>
      </c>
      <c r="M29" s="184">
        <f>(C29+D29+E29)*L29</f>
        <v>5000000</v>
      </c>
      <c r="N29" s="18"/>
      <c r="O29" s="152"/>
      <c r="P29" s="152"/>
    </row>
    <row r="30" spans="1:16" s="153" customFormat="1" ht="33.75" customHeight="1">
      <c r="A30" s="297" t="s">
        <v>59</v>
      </c>
      <c r="B30" s="298" t="s">
        <v>420</v>
      </c>
      <c r="C30" s="447">
        <f>+'Bank Liabilities Analysis'!C29-'Bank Liabilities Analysis'!D29</f>
        <v>0</v>
      </c>
      <c r="D30" s="447">
        <f>+'Bank Liabilities Analysis'!E29-'Bank Liabilities Analysis'!F29</f>
        <v>0</v>
      </c>
      <c r="E30" s="447">
        <f>+'Bank Liabilities Analysis'!G29-'Bank Liabilities Analysis'!H29</f>
        <v>0</v>
      </c>
      <c r="F30" s="447">
        <f>+'Bank Liabilities Analysis'!I29-'Bank Liabilities Analysis'!J29</f>
        <v>0</v>
      </c>
      <c r="G30" s="447">
        <f>+'Bank Liabilities Analysis'!K29-'Bank Liabilities Analysis'!L29</f>
        <v>0</v>
      </c>
      <c r="H30" s="447">
        <f>+'Bank Liabilities Analysis'!M29-'Bank Liabilities Analysis'!N29</f>
        <v>0</v>
      </c>
      <c r="I30" s="447">
        <f>+'Bank Liabilities Analysis'!O29-'Bank Liabilities Analysis'!P29</f>
        <v>0</v>
      </c>
      <c r="J30" s="447">
        <f>+'Bank Liabilities Analysis'!Q29-'Bank Liabilities Analysis'!R29</f>
        <v>0</v>
      </c>
      <c r="K30" s="447">
        <f t="shared" si="1"/>
        <v>0</v>
      </c>
      <c r="L30" s="150">
        <v>1</v>
      </c>
      <c r="M30" s="151">
        <f>(C30+D30+E30)*L30</f>
        <v>0</v>
      </c>
      <c r="N30" s="18"/>
      <c r="O30" s="152"/>
      <c r="P30" s="152"/>
    </row>
    <row r="31" spans="1:16" s="153" customFormat="1" ht="32.25" customHeight="1">
      <c r="A31" s="297" t="s">
        <v>60</v>
      </c>
      <c r="B31" s="298" t="s">
        <v>421</v>
      </c>
      <c r="C31" s="447">
        <f>+'Bank Liabilities Analysis'!C30-'Bank Liabilities Analysis'!D30</f>
        <v>2308034</v>
      </c>
      <c r="D31" s="447">
        <f>+'Bank Liabilities Analysis'!E30-'Bank Liabilities Analysis'!F30</f>
        <v>2379362</v>
      </c>
      <c r="E31" s="447">
        <f>+'Bank Liabilities Analysis'!G30-'Bank Liabilities Analysis'!H30</f>
        <v>50766643</v>
      </c>
      <c r="F31" s="447">
        <f>+'Bank Liabilities Analysis'!I30-'Bank Liabilities Analysis'!J30</f>
        <v>106583891</v>
      </c>
      <c r="G31" s="447">
        <f>+'Bank Liabilities Analysis'!K30-'Bank Liabilities Analysis'!L30</f>
        <v>241915995</v>
      </c>
      <c r="H31" s="447">
        <f>+'Bank Liabilities Analysis'!M30-'Bank Liabilities Analysis'!N30</f>
        <v>301278281</v>
      </c>
      <c r="I31" s="447">
        <f>+'Bank Liabilities Analysis'!O30-'Bank Liabilities Analysis'!P30</f>
        <v>465604595</v>
      </c>
      <c r="J31" s="447">
        <f>+'Bank Liabilities Analysis'!Q30-'Bank Liabilities Analysis'!R30</f>
        <v>3007697302</v>
      </c>
      <c r="K31" s="447">
        <f t="shared" si="1"/>
        <v>4178534103</v>
      </c>
      <c r="L31" s="150">
        <v>0.05</v>
      </c>
      <c r="M31" s="151">
        <f>+K31*L31</f>
        <v>208926705.15000001</v>
      </c>
      <c r="N31" s="18"/>
      <c r="O31" s="152"/>
      <c r="P31" s="152"/>
    </row>
    <row r="32" spans="1:16" s="153" customFormat="1" ht="25.5" customHeight="1">
      <c r="A32" s="297" t="s">
        <v>61</v>
      </c>
      <c r="B32" s="298" t="s">
        <v>242</v>
      </c>
      <c r="C32" s="447">
        <f>+'Bank Liabilities Analysis'!C31-'Bank Liabilities Analysis'!D31</f>
        <v>0</v>
      </c>
      <c r="D32" s="447">
        <f>+'Bank Liabilities Analysis'!E31-'Bank Liabilities Analysis'!F31</f>
        <v>0</v>
      </c>
      <c r="E32" s="447">
        <f>+'Bank Liabilities Analysis'!G31-'Bank Liabilities Analysis'!H31</f>
        <v>0</v>
      </c>
      <c r="F32" s="447">
        <f>+'Bank Liabilities Analysis'!I31-'Bank Liabilities Analysis'!J31</f>
        <v>0</v>
      </c>
      <c r="G32" s="447">
        <f>+'Bank Liabilities Analysis'!K31-'Bank Liabilities Analysis'!L31</f>
        <v>0</v>
      </c>
      <c r="H32" s="447">
        <f>+'Bank Liabilities Analysis'!M31-'Bank Liabilities Analysis'!N31</f>
        <v>0</v>
      </c>
      <c r="I32" s="447">
        <f>+'Bank Liabilities Analysis'!O31-'Bank Liabilities Analysis'!P31</f>
        <v>0</v>
      </c>
      <c r="J32" s="447">
        <f>+'Bank Liabilities Analysis'!Q31-'Bank Liabilities Analysis'!R31</f>
        <v>0</v>
      </c>
      <c r="K32" s="447">
        <f t="shared" si="1"/>
        <v>0</v>
      </c>
      <c r="L32" s="150">
        <v>1</v>
      </c>
      <c r="M32" s="151">
        <f>(C32+D32+E32)*L32</f>
        <v>0</v>
      </c>
      <c r="N32" s="18"/>
      <c r="O32" s="152"/>
      <c r="P32" s="152"/>
    </row>
    <row r="33" spans="1:16" s="153" customFormat="1" ht="25.5" customHeight="1">
      <c r="A33" s="297" t="s">
        <v>62</v>
      </c>
      <c r="B33" s="298" t="s">
        <v>244</v>
      </c>
      <c r="C33" s="447">
        <f>+'Bank Liabilities Analysis'!C32-'Bank Liabilities Analysis'!D32</f>
        <v>0</v>
      </c>
      <c r="D33" s="447">
        <f>+'Bank Liabilities Analysis'!E32-'Bank Liabilities Analysis'!F32</f>
        <v>0</v>
      </c>
      <c r="E33" s="447">
        <f>+'Bank Liabilities Analysis'!G32-'Bank Liabilities Analysis'!H32</f>
        <v>0</v>
      </c>
      <c r="F33" s="447">
        <f>+'Bank Liabilities Analysis'!I32-'Bank Liabilities Analysis'!J32</f>
        <v>0</v>
      </c>
      <c r="G33" s="447">
        <f>+'Bank Liabilities Analysis'!K32-'Bank Liabilities Analysis'!L32</f>
        <v>0</v>
      </c>
      <c r="H33" s="447">
        <f>+'Bank Liabilities Analysis'!M32-'Bank Liabilities Analysis'!N32</f>
        <v>0</v>
      </c>
      <c r="I33" s="447">
        <f>+'Bank Liabilities Analysis'!O32-'Bank Liabilities Analysis'!P32</f>
        <v>0</v>
      </c>
      <c r="J33" s="447">
        <f>+'Bank Liabilities Analysis'!Q32-'Bank Liabilities Analysis'!R32</f>
        <v>689295951</v>
      </c>
      <c r="K33" s="447">
        <f t="shared" si="1"/>
        <v>689295951</v>
      </c>
      <c r="L33" s="150">
        <v>1</v>
      </c>
      <c r="M33" s="151">
        <f>(C33+D33+E33)*L33</f>
        <v>0</v>
      </c>
      <c r="N33" s="18"/>
      <c r="O33" s="152"/>
      <c r="P33" s="152"/>
    </row>
    <row r="34" spans="1:16" s="153" customFormat="1" ht="25.5" customHeight="1">
      <c r="A34" s="297" t="s">
        <v>63</v>
      </c>
      <c r="B34" s="298" t="s">
        <v>238</v>
      </c>
      <c r="C34" s="447">
        <f>+'Bank Liabilities Analysis'!C33-'Bank Liabilities Analysis'!D33</f>
        <v>0</v>
      </c>
      <c r="D34" s="447">
        <f>+'Bank Liabilities Analysis'!E33-'Bank Liabilities Analysis'!F33</f>
        <v>0</v>
      </c>
      <c r="E34" s="447">
        <f>+'Bank Liabilities Analysis'!G33-'Bank Liabilities Analysis'!H33</f>
        <v>0</v>
      </c>
      <c r="F34" s="447">
        <f>+'Bank Liabilities Analysis'!I33-'Bank Liabilities Analysis'!J33</f>
        <v>0</v>
      </c>
      <c r="G34" s="447">
        <f>+'Bank Liabilities Analysis'!K33-'Bank Liabilities Analysis'!L33</f>
        <v>0</v>
      </c>
      <c r="H34" s="447">
        <f>+'Bank Liabilities Analysis'!M33-'Bank Liabilities Analysis'!N33</f>
        <v>0</v>
      </c>
      <c r="I34" s="447">
        <f>+'Bank Liabilities Analysis'!O33-'Bank Liabilities Analysis'!P33</f>
        <v>0</v>
      </c>
      <c r="J34" s="447">
        <f>+'Bank Liabilities Analysis'!Q33-'Bank Liabilities Analysis'!R33</f>
        <v>0</v>
      </c>
      <c r="K34" s="447">
        <f t="shared" si="1"/>
        <v>0</v>
      </c>
      <c r="L34" s="150"/>
      <c r="M34" s="151"/>
      <c r="N34" s="18"/>
      <c r="O34" s="152"/>
      <c r="P34" s="152"/>
    </row>
    <row r="35" spans="1:16" s="153" customFormat="1" ht="33.75" customHeight="1">
      <c r="A35" s="297" t="s">
        <v>199</v>
      </c>
      <c r="B35" s="298" t="s">
        <v>545</v>
      </c>
      <c r="C35" s="447">
        <f>+'Bank Liabilities Analysis'!C34-'Bank Liabilities Analysis'!D34</f>
        <v>0</v>
      </c>
      <c r="D35" s="447">
        <f>+'Bank Liabilities Analysis'!E34-'Bank Liabilities Analysis'!F34</f>
        <v>0</v>
      </c>
      <c r="E35" s="447">
        <f>+'Bank Liabilities Analysis'!G34-'Bank Liabilities Analysis'!H34</f>
        <v>0</v>
      </c>
      <c r="F35" s="447">
        <f>+'Bank Liabilities Analysis'!I34-'Bank Liabilities Analysis'!J34</f>
        <v>0</v>
      </c>
      <c r="G35" s="447">
        <f>+'Bank Liabilities Analysis'!K34-'Bank Liabilities Analysis'!L34</f>
        <v>0</v>
      </c>
      <c r="H35" s="447">
        <f>+'Bank Liabilities Analysis'!M34-'Bank Liabilities Analysis'!N34</f>
        <v>0</v>
      </c>
      <c r="I35" s="447">
        <f>+'Bank Liabilities Analysis'!O34-'Bank Liabilities Analysis'!P34</f>
        <v>0</v>
      </c>
      <c r="J35" s="447">
        <f>+'Bank Liabilities Analysis'!Q34-'Bank Liabilities Analysis'!R34</f>
        <v>0</v>
      </c>
      <c r="K35" s="447">
        <f t="shared" ref="K35:K36" si="8">+C35+D35+E35+F35+G35+H35+I35+J35</f>
        <v>0</v>
      </c>
      <c r="L35" s="150">
        <v>1</v>
      </c>
      <c r="M35" s="151">
        <f t="shared" ref="M35:M36" si="9">(C35+D35+E35)*L35</f>
        <v>0</v>
      </c>
      <c r="N35" s="18"/>
      <c r="O35" s="152"/>
      <c r="P35" s="152"/>
    </row>
    <row r="36" spans="1:16" s="153" customFormat="1" ht="33.75" customHeight="1">
      <c r="A36" s="297" t="s">
        <v>201</v>
      </c>
      <c r="B36" s="298" t="s">
        <v>546</v>
      </c>
      <c r="C36" s="447">
        <f>+'Bank Liabilities Analysis'!C35-'Bank Liabilities Analysis'!D35</f>
        <v>0</v>
      </c>
      <c r="D36" s="447">
        <f>+'Bank Liabilities Analysis'!E35-'Bank Liabilities Analysis'!F35</f>
        <v>0</v>
      </c>
      <c r="E36" s="447">
        <f>+'Bank Liabilities Analysis'!G35-'Bank Liabilities Analysis'!H35</f>
        <v>0</v>
      </c>
      <c r="F36" s="447">
        <f>+'Bank Liabilities Analysis'!I35-'Bank Liabilities Analysis'!J35</f>
        <v>0</v>
      </c>
      <c r="G36" s="447">
        <f>+'Bank Liabilities Analysis'!K35-'Bank Liabilities Analysis'!L35</f>
        <v>0</v>
      </c>
      <c r="H36" s="447">
        <f>+'Bank Liabilities Analysis'!M35-'Bank Liabilities Analysis'!N35</f>
        <v>0</v>
      </c>
      <c r="I36" s="447">
        <f>+'Bank Liabilities Analysis'!O35-'Bank Liabilities Analysis'!P35</f>
        <v>0</v>
      </c>
      <c r="J36" s="447">
        <f>+'Bank Liabilities Analysis'!Q35-'Bank Liabilities Analysis'!R35</f>
        <v>0</v>
      </c>
      <c r="K36" s="447">
        <f t="shared" si="8"/>
        <v>0</v>
      </c>
      <c r="L36" s="150">
        <v>1</v>
      </c>
      <c r="M36" s="151">
        <f t="shared" si="9"/>
        <v>0</v>
      </c>
      <c r="N36" s="18"/>
      <c r="O36" s="152"/>
      <c r="P36" s="152"/>
    </row>
    <row r="37" spans="1:16" s="153" customFormat="1" ht="33.75" customHeight="1">
      <c r="A37" s="297" t="s">
        <v>64</v>
      </c>
      <c r="B37" s="298" t="s">
        <v>422</v>
      </c>
      <c r="C37" s="447">
        <f>+'Bank Liabilities Analysis'!C36-'Bank Liabilities Analysis'!D36</f>
        <v>2315</v>
      </c>
      <c r="D37" s="447">
        <f>+'Bank Liabilities Analysis'!E36-'Bank Liabilities Analysis'!F36</f>
        <v>0</v>
      </c>
      <c r="E37" s="447">
        <f>+'Bank Liabilities Analysis'!G36-'Bank Liabilities Analysis'!H36</f>
        <v>0</v>
      </c>
      <c r="F37" s="447">
        <f>+'Bank Liabilities Analysis'!I36-'Bank Liabilities Analysis'!J36</f>
        <v>0</v>
      </c>
      <c r="G37" s="447">
        <f>+'Bank Liabilities Analysis'!K36-'Bank Liabilities Analysis'!L36</f>
        <v>0</v>
      </c>
      <c r="H37" s="447">
        <f>+'Bank Liabilities Analysis'!M36-'Bank Liabilities Analysis'!N36</f>
        <v>0</v>
      </c>
      <c r="I37" s="447">
        <f>+'Bank Liabilities Analysis'!O36-'Bank Liabilities Analysis'!P36</f>
        <v>0</v>
      </c>
      <c r="J37" s="447">
        <f>+'Bank Liabilities Analysis'!Q36-'Bank Liabilities Analysis'!R36</f>
        <v>0</v>
      </c>
      <c r="K37" s="447">
        <f t="shared" si="1"/>
        <v>2315</v>
      </c>
      <c r="L37" s="150">
        <v>1</v>
      </c>
      <c r="M37" s="151">
        <f>+K37*L37</f>
        <v>2315</v>
      </c>
      <c r="N37" s="18"/>
      <c r="O37" s="152"/>
      <c r="P37" s="152"/>
    </row>
    <row r="38" spans="1:16" s="153" customFormat="1" ht="25.5" customHeight="1">
      <c r="A38" s="297" t="s">
        <v>70</v>
      </c>
      <c r="B38" s="298" t="s">
        <v>250</v>
      </c>
      <c r="C38" s="447">
        <f>+'Bank Liabilities Analysis'!C37-'Bank Liabilities Analysis'!D37</f>
        <v>7186322</v>
      </c>
      <c r="D38" s="447">
        <f>+'Bank Liabilities Analysis'!E37-'Bank Liabilities Analysis'!F37</f>
        <v>0</v>
      </c>
      <c r="E38" s="447">
        <f>+'Bank Liabilities Analysis'!G37-'Bank Liabilities Analysis'!H37</f>
        <v>0</v>
      </c>
      <c r="F38" s="447">
        <f>+'Bank Liabilities Analysis'!I37-'Bank Liabilities Analysis'!J37</f>
        <v>0</v>
      </c>
      <c r="G38" s="447">
        <f>+'Bank Liabilities Analysis'!K37-'Bank Liabilities Analysis'!L37</f>
        <v>0</v>
      </c>
      <c r="H38" s="447">
        <f>+'Bank Liabilities Analysis'!M37-'Bank Liabilities Analysis'!N37</f>
        <v>0</v>
      </c>
      <c r="I38" s="447">
        <f>+'Bank Liabilities Analysis'!O37-'Bank Liabilities Analysis'!P37</f>
        <v>0</v>
      </c>
      <c r="J38" s="447">
        <f>+'Bank Liabilities Analysis'!Q37-'Bank Liabilities Analysis'!R37</f>
        <v>0</v>
      </c>
      <c r="K38" s="447">
        <f t="shared" si="1"/>
        <v>7186322</v>
      </c>
      <c r="L38" s="150">
        <v>1</v>
      </c>
      <c r="M38" s="151">
        <f>+K38*L38</f>
        <v>7186322</v>
      </c>
      <c r="N38" s="18"/>
      <c r="O38" s="152"/>
      <c r="P38" s="152"/>
    </row>
    <row r="39" spans="1:16" s="153" customFormat="1" ht="25.5" customHeight="1">
      <c r="A39" s="297" t="s">
        <v>71</v>
      </c>
      <c r="B39" s="298" t="s">
        <v>246</v>
      </c>
      <c r="C39" s="447">
        <f>+'Bank Liabilities Analysis'!C38-'Bank Liabilities Analysis'!D38</f>
        <v>25514297</v>
      </c>
      <c r="D39" s="447">
        <f>+'Bank Liabilities Analysis'!E38-'Bank Liabilities Analysis'!F38</f>
        <v>4367587</v>
      </c>
      <c r="E39" s="447">
        <f>+'Bank Liabilities Analysis'!G38-'Bank Liabilities Analysis'!H38</f>
        <v>14531540</v>
      </c>
      <c r="F39" s="447">
        <f>+'Bank Liabilities Analysis'!I38-'Bank Liabilities Analysis'!J38</f>
        <v>52020509</v>
      </c>
      <c r="G39" s="447">
        <f>+'Bank Liabilities Analysis'!K38-'Bank Liabilities Analysis'!L38</f>
        <v>20705309</v>
      </c>
      <c r="H39" s="447">
        <f>+'Bank Liabilities Analysis'!M38-'Bank Liabilities Analysis'!N38</f>
        <v>0</v>
      </c>
      <c r="I39" s="447">
        <f>+'Bank Liabilities Analysis'!O38-'Bank Liabilities Analysis'!P38</f>
        <v>0</v>
      </c>
      <c r="J39" s="447">
        <f>+'Bank Liabilities Analysis'!Q38-'Bank Liabilities Analysis'!R38</f>
        <v>0</v>
      </c>
      <c r="K39" s="447">
        <f t="shared" si="1"/>
        <v>117139242</v>
      </c>
      <c r="L39" s="150"/>
      <c r="M39" s="447">
        <f>+C39+D39+E39</f>
        <v>44413424</v>
      </c>
      <c r="N39" s="18"/>
      <c r="O39" s="152"/>
      <c r="P39" s="152"/>
    </row>
    <row r="40" spans="1:16" s="153" customFormat="1" ht="33" customHeight="1">
      <c r="A40" s="297" t="s">
        <v>208</v>
      </c>
      <c r="B40" s="298" t="s">
        <v>578</v>
      </c>
      <c r="C40" s="447">
        <f>+'Bank Liabilities Analysis'!C39-'Bank Liabilities Analysis'!D39</f>
        <v>0</v>
      </c>
      <c r="D40" s="447">
        <f>+'Bank Liabilities Analysis'!E39-'Bank Liabilities Analysis'!F39</f>
        <v>0</v>
      </c>
      <c r="E40" s="447">
        <f>+'Bank Liabilities Analysis'!G39-'Bank Liabilities Analysis'!H39</f>
        <v>0</v>
      </c>
      <c r="F40" s="447">
        <f>+'Bank Liabilities Analysis'!I39-'Bank Liabilities Analysis'!J39</f>
        <v>0</v>
      </c>
      <c r="G40" s="447">
        <f>+'Bank Liabilities Analysis'!K39-'Bank Liabilities Analysis'!L39</f>
        <v>0</v>
      </c>
      <c r="H40" s="447">
        <f>+'Bank Liabilities Analysis'!M39-'Bank Liabilities Analysis'!N39</f>
        <v>0</v>
      </c>
      <c r="I40" s="447">
        <f>+'Bank Liabilities Analysis'!O39-'Bank Liabilities Analysis'!P39</f>
        <v>0</v>
      </c>
      <c r="J40" s="447">
        <f>+'Bank Liabilities Analysis'!Q39-'Bank Liabilities Analysis'!R39</f>
        <v>0</v>
      </c>
      <c r="K40" s="447">
        <f t="shared" ref="K40" si="10">+C40+D40+E40+F40+G40+H40+I40+J40</f>
        <v>0</v>
      </c>
      <c r="L40" s="150"/>
      <c r="M40" s="447">
        <f t="shared" ref="M40:M41" si="11">+C40+D40+E40</f>
        <v>0</v>
      </c>
      <c r="N40" s="18"/>
      <c r="O40" s="152"/>
      <c r="P40" s="152"/>
    </row>
    <row r="41" spans="1:16" s="153" customFormat="1" ht="33" customHeight="1">
      <c r="A41" s="297" t="s">
        <v>210</v>
      </c>
      <c r="B41" s="298" t="s">
        <v>567</v>
      </c>
      <c r="C41" s="447">
        <f>+'Bank Liabilities Analysis'!C40-'Bank Liabilities Analysis'!D40</f>
        <v>0</v>
      </c>
      <c r="D41" s="447">
        <f>+'Bank Liabilities Analysis'!E40-'Bank Liabilities Analysis'!F40</f>
        <v>2534247</v>
      </c>
      <c r="E41" s="447">
        <f>+'Bank Liabilities Analysis'!G40-'Bank Liabilities Analysis'!H40</f>
        <v>671056</v>
      </c>
      <c r="F41" s="447">
        <f>+'Bank Liabilities Analysis'!I40-'Bank Liabilities Analysis'!J40</f>
        <v>1928219</v>
      </c>
      <c r="G41" s="447">
        <f>+'Bank Liabilities Analysis'!K40-'Bank Liabilities Analysis'!L40</f>
        <v>0</v>
      </c>
      <c r="H41" s="447">
        <f>+'Bank Liabilities Analysis'!M40-'Bank Liabilities Analysis'!N40</f>
        <v>0</v>
      </c>
      <c r="I41" s="447">
        <f>+'Bank Liabilities Analysis'!O40-'Bank Liabilities Analysis'!P40</f>
        <v>0</v>
      </c>
      <c r="J41" s="447">
        <f>+'Bank Liabilities Analysis'!Q40-'Bank Liabilities Analysis'!R40</f>
        <v>0</v>
      </c>
      <c r="K41" s="447">
        <f t="shared" ref="K41" si="12">+C41+D41+E41+F41+G41+H41+I41+J41</f>
        <v>5133522</v>
      </c>
      <c r="L41" s="150"/>
      <c r="M41" s="447">
        <f t="shared" si="11"/>
        <v>3205303</v>
      </c>
      <c r="N41" s="18"/>
      <c r="O41" s="152"/>
      <c r="P41" s="152"/>
    </row>
    <row r="42" spans="1:16" s="153" customFormat="1" ht="25.5" customHeight="1">
      <c r="A42" s="297" t="s">
        <v>65</v>
      </c>
      <c r="B42" s="298" t="s">
        <v>254</v>
      </c>
      <c r="C42" s="447">
        <f>+'Bank Liabilities Analysis'!C41-'Bank Liabilities Analysis'!D41</f>
        <v>138834202</v>
      </c>
      <c r="D42" s="447">
        <f>+'Bank Liabilities Analysis'!E41-'Bank Liabilities Analysis'!F41</f>
        <v>0</v>
      </c>
      <c r="E42" s="447">
        <f>+'Bank Liabilities Analysis'!G41-'Bank Liabilities Analysis'!H41</f>
        <v>0</v>
      </c>
      <c r="F42" s="447">
        <f>+'Bank Liabilities Analysis'!I41-'Bank Liabilities Analysis'!J41</f>
        <v>0</v>
      </c>
      <c r="G42" s="447">
        <f>+'Bank Liabilities Analysis'!K41-'Bank Liabilities Analysis'!L41</f>
        <v>0</v>
      </c>
      <c r="H42" s="447">
        <f>+'Bank Liabilities Analysis'!M41-'Bank Liabilities Analysis'!N41</f>
        <v>350000000</v>
      </c>
      <c r="I42" s="447">
        <f>+'Bank Liabilities Analysis'!O41-'Bank Liabilities Analysis'!P41</f>
        <v>0</v>
      </c>
      <c r="J42" s="447">
        <f>+'Bank Liabilities Analysis'!Q41-'Bank Liabilities Analysis'!R41</f>
        <v>0</v>
      </c>
      <c r="K42" s="447">
        <f t="shared" si="1"/>
        <v>488834202</v>
      </c>
      <c r="L42" s="150">
        <v>1</v>
      </c>
      <c r="M42" s="184">
        <f>(C42+D42+E42)*L42</f>
        <v>138834202</v>
      </c>
      <c r="N42" s="18"/>
      <c r="O42" s="152"/>
      <c r="P42" s="152"/>
    </row>
    <row r="43" spans="1:16" s="152" customFormat="1" ht="25.5" customHeight="1">
      <c r="A43" s="299" t="s">
        <v>382</v>
      </c>
      <c r="B43" s="369" t="s">
        <v>423</v>
      </c>
      <c r="C43" s="491">
        <f>+C21+C22+C24+C30+C31+C32+C33+C34+C37+C38+C39+C40+C41+C42</f>
        <v>1009917969</v>
      </c>
      <c r="D43" s="491">
        <f t="shared" ref="D43:J43" si="13">+D21+D22+D24+D30+D31+D32+D33+D34+D37+D38+D39+D40+D41+D42</f>
        <v>423057526</v>
      </c>
      <c r="E43" s="491">
        <f t="shared" si="13"/>
        <v>298560248</v>
      </c>
      <c r="F43" s="491">
        <f t="shared" si="13"/>
        <v>909915192</v>
      </c>
      <c r="G43" s="491">
        <f t="shared" si="13"/>
        <v>967836543</v>
      </c>
      <c r="H43" s="491">
        <f t="shared" si="13"/>
        <v>2376335797</v>
      </c>
      <c r="I43" s="491">
        <f t="shared" si="13"/>
        <v>2445629420</v>
      </c>
      <c r="J43" s="491">
        <f t="shared" si="13"/>
        <v>5539774284</v>
      </c>
      <c r="K43" s="491">
        <f>+K21+K22+K24+K30+K31+K32+K33+K34+K37+K38+K39+K40+K41+K42</f>
        <v>13971026979</v>
      </c>
      <c r="L43" s="154" t="s">
        <v>17</v>
      </c>
      <c r="M43" s="154">
        <f>SUM(M8:M42)</f>
        <v>1657660740.95</v>
      </c>
      <c r="N43" s="210">
        <f>+Balance!D63</f>
        <v>13971026979</v>
      </c>
    </row>
    <row r="44" spans="1:16" s="170" customFormat="1" ht="15.75">
      <c r="A44" s="276"/>
      <c r="B44" s="301" t="s">
        <v>335</v>
      </c>
      <c r="C44" s="448"/>
      <c r="D44" s="448"/>
      <c r="E44" s="448"/>
      <c r="F44" s="448"/>
      <c r="G44" s="448"/>
      <c r="H44" s="448"/>
      <c r="I44" s="448"/>
      <c r="J44" s="448"/>
      <c r="K44" s="448">
        <f t="shared" ref="K44:K59" si="14">+C44+D44+E44+F44+G44+H44+I44+J44</f>
        <v>0</v>
      </c>
      <c r="L44" s="8"/>
      <c r="M44" s="8"/>
      <c r="N44" s="210">
        <f>+K43-N43</f>
        <v>0</v>
      </c>
      <c r="O44" s="152"/>
      <c r="P44" s="152"/>
    </row>
    <row r="45" spans="1:16" s="170" customFormat="1" ht="15.75">
      <c r="A45" s="276"/>
      <c r="B45" s="303" t="s">
        <v>424</v>
      </c>
      <c r="C45" s="448">
        <f>+C46+C47</f>
        <v>0</v>
      </c>
      <c r="D45" s="448">
        <f t="shared" ref="D45:J45" si="15">+D46+D47</f>
        <v>0</v>
      </c>
      <c r="E45" s="448">
        <f t="shared" si="15"/>
        <v>767670</v>
      </c>
      <c r="F45" s="448">
        <f t="shared" si="15"/>
        <v>3070468</v>
      </c>
      <c r="G45" s="448">
        <f t="shared" si="15"/>
        <v>2150696</v>
      </c>
      <c r="H45" s="448">
        <f t="shared" si="15"/>
        <v>309804692</v>
      </c>
      <c r="I45" s="448">
        <f t="shared" si="15"/>
        <v>73145378</v>
      </c>
      <c r="J45" s="448">
        <f t="shared" si="15"/>
        <v>1076256070</v>
      </c>
      <c r="K45" s="448">
        <f t="shared" si="14"/>
        <v>1465194974</v>
      </c>
      <c r="L45" s="158"/>
      <c r="M45" s="158"/>
      <c r="N45" s="302"/>
      <c r="O45" s="152"/>
      <c r="P45" s="152"/>
    </row>
    <row r="46" spans="1:16" s="170" customFormat="1" ht="15.75" customHeight="1">
      <c r="A46" s="276"/>
      <c r="B46" s="304" t="s">
        <v>425</v>
      </c>
      <c r="C46" s="448">
        <f>+'Bank Liabilities Analysis'!C45-'Bank Liabilities Analysis'!D45</f>
        <v>0</v>
      </c>
      <c r="D46" s="448">
        <f>+'Bank Liabilities Analysis'!E45-'Bank Liabilities Analysis'!F45</f>
        <v>0</v>
      </c>
      <c r="E46" s="448">
        <f>+'Bank Liabilities Analysis'!G45-'Bank Liabilities Analysis'!H45</f>
        <v>767670</v>
      </c>
      <c r="F46" s="448">
        <f>+'Bank Liabilities Analysis'!I45-'Bank Liabilities Analysis'!J45</f>
        <v>1565379</v>
      </c>
      <c r="G46" s="448">
        <f>+'Bank Liabilities Analysis'!K45-'Bank Liabilities Analysis'!L45</f>
        <v>2150696</v>
      </c>
      <c r="H46" s="448">
        <f>+'Bank Liabilities Analysis'!M45-'Bank Liabilities Analysis'!N45</f>
        <v>4309792</v>
      </c>
      <c r="I46" s="448">
        <f>+'Bank Liabilities Analysis'!O45-'Bank Liabilities Analysis'!P45</f>
        <v>8645378</v>
      </c>
      <c r="J46" s="448">
        <f>+'Bank Liabilities Analysis'!Q45-'Bank Liabilities Analysis'!R45</f>
        <v>27645252</v>
      </c>
      <c r="K46" s="448">
        <f t="shared" si="14"/>
        <v>45084167</v>
      </c>
      <c r="L46" s="8"/>
      <c r="M46" s="8"/>
      <c r="N46" s="302"/>
      <c r="O46" s="152"/>
      <c r="P46" s="152"/>
    </row>
    <row r="47" spans="1:16" s="170" customFormat="1" ht="15.75" customHeight="1">
      <c r="A47" s="276"/>
      <c r="B47" s="304" t="s">
        <v>426</v>
      </c>
      <c r="C47" s="448">
        <f>+'Bank Liabilities Analysis'!C46-'Bank Liabilities Analysis'!D46</f>
        <v>0</v>
      </c>
      <c r="D47" s="448">
        <f>+'Bank Liabilities Analysis'!E46-'Bank Liabilities Analysis'!F46</f>
        <v>0</v>
      </c>
      <c r="E47" s="448">
        <f>+'Bank Liabilities Analysis'!G46-'Bank Liabilities Analysis'!H46</f>
        <v>0</v>
      </c>
      <c r="F47" s="448">
        <f>+'Bank Liabilities Analysis'!I46-'Bank Liabilities Analysis'!J46</f>
        <v>1505089</v>
      </c>
      <c r="G47" s="448">
        <f>+'Bank Liabilities Analysis'!K46-'Bank Liabilities Analysis'!L46</f>
        <v>0</v>
      </c>
      <c r="H47" s="448">
        <f>+'Bank Liabilities Analysis'!M46-'Bank Liabilities Analysis'!N46</f>
        <v>305494900</v>
      </c>
      <c r="I47" s="448">
        <f>+'Bank Liabilities Analysis'!O46-'Bank Liabilities Analysis'!P46</f>
        <v>64500000</v>
      </c>
      <c r="J47" s="448">
        <f>+'Bank Liabilities Analysis'!Q46-'Bank Liabilities Analysis'!R46</f>
        <v>1048610818</v>
      </c>
      <c r="K47" s="448">
        <f t="shared" si="14"/>
        <v>1420110807</v>
      </c>
      <c r="L47" s="8"/>
      <c r="M47" s="8"/>
      <c r="N47" s="302"/>
      <c r="O47" s="152"/>
      <c r="P47" s="152"/>
    </row>
    <row r="48" spans="1:16" s="170" customFormat="1" ht="15.75" customHeight="1">
      <c r="A48" s="276"/>
      <c r="B48" s="303" t="s">
        <v>496</v>
      </c>
      <c r="C48" s="448">
        <f>+C49+C50</f>
        <v>0</v>
      </c>
      <c r="D48" s="448">
        <f t="shared" ref="D48:J48" si="16">+D49+D50</f>
        <v>0</v>
      </c>
      <c r="E48" s="448">
        <f t="shared" si="16"/>
        <v>48357631</v>
      </c>
      <c r="F48" s="448">
        <f t="shared" si="16"/>
        <v>81496929</v>
      </c>
      <c r="G48" s="448">
        <f t="shared" si="16"/>
        <v>54352512</v>
      </c>
      <c r="H48" s="448">
        <f t="shared" si="16"/>
        <v>125648148</v>
      </c>
      <c r="I48" s="448">
        <f t="shared" si="16"/>
        <v>75380958</v>
      </c>
      <c r="J48" s="448">
        <f t="shared" si="16"/>
        <v>142790152</v>
      </c>
      <c r="K48" s="448">
        <f t="shared" si="14"/>
        <v>528026330</v>
      </c>
      <c r="L48" s="158"/>
      <c r="M48" s="158"/>
      <c r="N48" s="302"/>
      <c r="O48" s="152"/>
      <c r="P48" s="152"/>
    </row>
    <row r="49" spans="1:30" s="170" customFormat="1" ht="15.75" customHeight="1">
      <c r="A49" s="276"/>
      <c r="B49" s="304" t="s">
        <v>425</v>
      </c>
      <c r="C49" s="448">
        <f>+'Bank Liabilities Analysis'!C48-'Bank Liabilities Analysis'!D48</f>
        <v>0</v>
      </c>
      <c r="D49" s="448">
        <f>+'Bank Liabilities Analysis'!E48-'Bank Liabilities Analysis'!F48</f>
        <v>0</v>
      </c>
      <c r="E49" s="448">
        <f>+'Bank Liabilities Analysis'!G48-'Bank Liabilities Analysis'!H48</f>
        <v>8357631</v>
      </c>
      <c r="F49" s="448">
        <f>+'Bank Liabilities Analysis'!I48-'Bank Liabilities Analysis'!J48</f>
        <v>16496929</v>
      </c>
      <c r="G49" s="448">
        <f>+'Bank Liabilities Analysis'!K48-'Bank Liabilities Analysis'!L48</f>
        <v>26352512</v>
      </c>
      <c r="H49" s="448">
        <f>+'Bank Liabilities Analysis'!M48-'Bank Liabilities Analysis'!N48</f>
        <v>45424148</v>
      </c>
      <c r="I49" s="448">
        <f>+'Bank Liabilities Analysis'!O48-'Bank Liabilities Analysis'!P48</f>
        <v>75380958</v>
      </c>
      <c r="J49" s="448">
        <f>+'Bank Liabilities Analysis'!Q48-'Bank Liabilities Analysis'!R48</f>
        <v>142790152</v>
      </c>
      <c r="K49" s="448">
        <f t="shared" si="14"/>
        <v>314802330</v>
      </c>
      <c r="L49" s="8"/>
      <c r="M49" s="8"/>
      <c r="N49" s="302"/>
      <c r="O49" s="152"/>
      <c r="P49" s="152"/>
    </row>
    <row r="50" spans="1:30" s="170" customFormat="1" ht="15.75" customHeight="1">
      <c r="A50" s="305"/>
      <c r="B50" s="304" t="s">
        <v>426</v>
      </c>
      <c r="C50" s="448">
        <f>+'Bank Liabilities Analysis'!C49-'Bank Liabilities Analysis'!D49</f>
        <v>0</v>
      </c>
      <c r="D50" s="448">
        <f>+'Bank Liabilities Analysis'!E49-'Bank Liabilities Analysis'!F49</f>
        <v>0</v>
      </c>
      <c r="E50" s="448">
        <f>+'Bank Liabilities Analysis'!G49-'Bank Liabilities Analysis'!H49</f>
        <v>40000000</v>
      </c>
      <c r="F50" s="448">
        <f>+'Bank Liabilities Analysis'!I49-'Bank Liabilities Analysis'!J49</f>
        <v>65000000</v>
      </c>
      <c r="G50" s="448">
        <f>+'Bank Liabilities Analysis'!K49-'Bank Liabilities Analysis'!L49</f>
        <v>28000000</v>
      </c>
      <c r="H50" s="448">
        <f>+'Bank Liabilities Analysis'!M49-'Bank Liabilities Analysis'!N49</f>
        <v>80224000</v>
      </c>
      <c r="I50" s="448">
        <f>+'Bank Liabilities Analysis'!O49-'Bank Liabilities Analysis'!P49</f>
        <v>0</v>
      </c>
      <c r="J50" s="448">
        <f>+'Bank Liabilities Analysis'!Q49-'Bank Liabilities Analysis'!R49</f>
        <v>0</v>
      </c>
      <c r="K50" s="448">
        <f t="shared" si="14"/>
        <v>213224000</v>
      </c>
      <c r="L50" s="8"/>
      <c r="M50" s="8"/>
      <c r="N50" s="302"/>
      <c r="O50" s="152"/>
      <c r="P50" s="152"/>
    </row>
    <row r="51" spans="1:30" s="170" customFormat="1" ht="15.75">
      <c r="A51" s="305"/>
      <c r="B51" s="303" t="s">
        <v>427</v>
      </c>
      <c r="C51" s="448">
        <f>+C52+C53</f>
        <v>0</v>
      </c>
      <c r="D51" s="448">
        <f t="shared" ref="D51:J51" si="17">+D52+D53</f>
        <v>0</v>
      </c>
      <c r="E51" s="448">
        <f t="shared" si="17"/>
        <v>0</v>
      </c>
      <c r="F51" s="448">
        <f t="shared" si="17"/>
        <v>0</v>
      </c>
      <c r="G51" s="448">
        <f t="shared" si="17"/>
        <v>48630101</v>
      </c>
      <c r="H51" s="448">
        <f t="shared" si="17"/>
        <v>48630101</v>
      </c>
      <c r="I51" s="448">
        <f t="shared" si="17"/>
        <v>223045136</v>
      </c>
      <c r="J51" s="448">
        <f t="shared" si="17"/>
        <v>1305740565</v>
      </c>
      <c r="K51" s="448">
        <f t="shared" si="14"/>
        <v>1626045903</v>
      </c>
      <c r="L51" s="158"/>
      <c r="M51" s="158"/>
      <c r="N51" s="302"/>
      <c r="O51" s="152"/>
      <c r="P51" s="152"/>
    </row>
    <row r="52" spans="1:30" s="170" customFormat="1" ht="15.75" customHeight="1">
      <c r="A52" s="305"/>
      <c r="B52" s="304" t="s">
        <v>425</v>
      </c>
      <c r="C52" s="448">
        <f>+'Bank Liabilities Analysis'!C51-'Bank Liabilities Analysis'!D51</f>
        <v>0</v>
      </c>
      <c r="D52" s="448">
        <f>+'Bank Liabilities Analysis'!E51-'Bank Liabilities Analysis'!F51</f>
        <v>0</v>
      </c>
      <c r="E52" s="448">
        <f>+'Bank Liabilities Analysis'!G51-'Bank Liabilities Analysis'!H51</f>
        <v>0</v>
      </c>
      <c r="F52" s="448">
        <f>+'Bank Liabilities Analysis'!I51-'Bank Liabilities Analysis'!J51</f>
        <v>0</v>
      </c>
      <c r="G52" s="448">
        <f>+'Bank Liabilities Analysis'!K51-'Bank Liabilities Analysis'!L51</f>
        <v>48630101</v>
      </c>
      <c r="H52" s="448">
        <f>+'Bank Liabilities Analysis'!M51-'Bank Liabilities Analysis'!N51</f>
        <v>48630101</v>
      </c>
      <c r="I52" s="448">
        <f>+'Bank Liabilities Analysis'!O51-'Bank Liabilities Analysis'!P51</f>
        <v>223045136</v>
      </c>
      <c r="J52" s="448">
        <f>+'Bank Liabilities Analysis'!Q51-'Bank Liabilities Analysis'!R51</f>
        <v>1305740565</v>
      </c>
      <c r="K52" s="448">
        <f t="shared" si="14"/>
        <v>1626045903</v>
      </c>
      <c r="L52" s="8"/>
      <c r="M52" s="8"/>
      <c r="N52" s="302"/>
      <c r="O52" s="152"/>
      <c r="P52" s="152"/>
    </row>
    <row r="53" spans="1:30" s="170" customFormat="1" ht="15.75" customHeight="1">
      <c r="A53" s="305"/>
      <c r="B53" s="304" t="s">
        <v>426</v>
      </c>
      <c r="C53" s="448">
        <f>+'Bank Liabilities Analysis'!C52-'Bank Liabilities Analysis'!D52</f>
        <v>0</v>
      </c>
      <c r="D53" s="448">
        <f>+'Bank Liabilities Analysis'!E52-'Bank Liabilities Analysis'!F52</f>
        <v>0</v>
      </c>
      <c r="E53" s="448">
        <f>+'Bank Liabilities Analysis'!G52-'Bank Liabilities Analysis'!H52</f>
        <v>0</v>
      </c>
      <c r="F53" s="448">
        <f>+'Bank Liabilities Analysis'!I52-'Bank Liabilities Analysis'!J52</f>
        <v>0</v>
      </c>
      <c r="G53" s="448">
        <f>+'Bank Liabilities Analysis'!K52-'Bank Liabilities Analysis'!L52</f>
        <v>0</v>
      </c>
      <c r="H53" s="448">
        <f>+'Bank Liabilities Analysis'!M52-'Bank Liabilities Analysis'!N52</f>
        <v>0</v>
      </c>
      <c r="I53" s="448">
        <f>+'Bank Liabilities Analysis'!O52-'Bank Liabilities Analysis'!P52</f>
        <v>0</v>
      </c>
      <c r="J53" s="448">
        <f>+'Bank Liabilities Analysis'!Q52-'Bank Liabilities Analysis'!R52</f>
        <v>0</v>
      </c>
      <c r="K53" s="448">
        <f t="shared" si="14"/>
        <v>0</v>
      </c>
      <c r="L53" s="8"/>
      <c r="M53" s="8"/>
      <c r="N53" s="302"/>
      <c r="O53" s="152"/>
      <c r="P53" s="152"/>
    </row>
    <row r="54" spans="1:30" s="170" customFormat="1" ht="15.75" customHeight="1">
      <c r="A54" s="305"/>
      <c r="B54" s="303" t="s">
        <v>428</v>
      </c>
      <c r="C54" s="448">
        <f>+C55+C56</f>
        <v>0</v>
      </c>
      <c r="D54" s="448">
        <f t="shared" ref="D54:J54" si="18">+D55+D56</f>
        <v>0</v>
      </c>
      <c r="E54" s="448">
        <f t="shared" si="18"/>
        <v>0</v>
      </c>
      <c r="F54" s="448">
        <f t="shared" si="18"/>
        <v>0</v>
      </c>
      <c r="G54" s="448">
        <f t="shared" si="18"/>
        <v>35338924</v>
      </c>
      <c r="H54" s="448">
        <f t="shared" si="18"/>
        <v>38053210</v>
      </c>
      <c r="I54" s="448">
        <f t="shared" si="18"/>
        <v>76106420</v>
      </c>
      <c r="J54" s="448">
        <f t="shared" si="18"/>
        <v>228372471</v>
      </c>
      <c r="K54" s="448">
        <f t="shared" si="14"/>
        <v>377871025</v>
      </c>
      <c r="L54" s="158"/>
      <c r="M54" s="158"/>
      <c r="N54" s="302"/>
      <c r="O54" s="152"/>
      <c r="P54" s="152"/>
    </row>
    <row r="55" spans="1:30" s="170" customFormat="1" ht="15.75" customHeight="1">
      <c r="A55" s="305"/>
      <c r="B55" s="304" t="s">
        <v>425</v>
      </c>
      <c r="C55" s="448">
        <f>+'Bank Liabilities Analysis'!C54-'Bank Liabilities Analysis'!D54</f>
        <v>0</v>
      </c>
      <c r="D55" s="448">
        <f>+'Bank Liabilities Analysis'!E54-'Bank Liabilities Analysis'!F54</f>
        <v>0</v>
      </c>
      <c r="E55" s="448">
        <f>+'Bank Liabilities Analysis'!G54-'Bank Liabilities Analysis'!H54</f>
        <v>0</v>
      </c>
      <c r="F55" s="448">
        <f>+'Bank Liabilities Analysis'!I54-'Bank Liabilities Analysis'!J54</f>
        <v>0</v>
      </c>
      <c r="G55" s="448">
        <f>+'Bank Liabilities Analysis'!K54-'Bank Liabilities Analysis'!L54</f>
        <v>35338924</v>
      </c>
      <c r="H55" s="448">
        <f>+'Bank Liabilities Analysis'!M54-'Bank Liabilities Analysis'!N54</f>
        <v>38053210</v>
      </c>
      <c r="I55" s="448">
        <f>+'Bank Liabilities Analysis'!O54-'Bank Liabilities Analysis'!P54</f>
        <v>76106420</v>
      </c>
      <c r="J55" s="448">
        <f>+'Bank Liabilities Analysis'!Q54-'Bank Liabilities Analysis'!R54</f>
        <v>228372471</v>
      </c>
      <c r="K55" s="448">
        <f t="shared" si="14"/>
        <v>377871025</v>
      </c>
      <c r="L55" s="8"/>
      <c r="M55" s="8"/>
      <c r="N55" s="302"/>
      <c r="O55" s="152"/>
      <c r="P55" s="152"/>
    </row>
    <row r="56" spans="1:30" s="170" customFormat="1" ht="15.75" customHeight="1">
      <c r="A56" s="305"/>
      <c r="B56" s="304" t="s">
        <v>426</v>
      </c>
      <c r="C56" s="448">
        <f>+'Bank Liabilities Analysis'!C55-'Bank Liabilities Analysis'!D55</f>
        <v>0</v>
      </c>
      <c r="D56" s="448">
        <f>+'Bank Liabilities Analysis'!E55-'Bank Liabilities Analysis'!F55</f>
        <v>0</v>
      </c>
      <c r="E56" s="448">
        <f>+'Bank Liabilities Analysis'!G55-'Bank Liabilities Analysis'!H55</f>
        <v>0</v>
      </c>
      <c r="F56" s="448">
        <f>+'Bank Liabilities Analysis'!I55-'Bank Liabilities Analysis'!J55</f>
        <v>0</v>
      </c>
      <c r="G56" s="448">
        <f>+'Bank Liabilities Analysis'!K55-'Bank Liabilities Analysis'!L55</f>
        <v>0</v>
      </c>
      <c r="H56" s="448">
        <f>+'Bank Liabilities Analysis'!M55-'Bank Liabilities Analysis'!N55</f>
        <v>0</v>
      </c>
      <c r="I56" s="448">
        <f>+'Bank Liabilities Analysis'!O55-'Bank Liabilities Analysis'!P55</f>
        <v>0</v>
      </c>
      <c r="J56" s="448">
        <f>+'Bank Liabilities Analysis'!Q55-'Bank Liabilities Analysis'!R55</f>
        <v>0</v>
      </c>
      <c r="K56" s="448">
        <f t="shared" si="14"/>
        <v>0</v>
      </c>
      <c r="L56" s="8"/>
      <c r="M56" s="8"/>
      <c r="N56" s="302"/>
      <c r="O56" s="152"/>
      <c r="P56" s="152"/>
    </row>
    <row r="57" spans="1:30" s="170" customFormat="1" ht="15.75" customHeight="1">
      <c r="A57" s="305"/>
      <c r="B57" s="303" t="s">
        <v>429</v>
      </c>
      <c r="C57" s="448">
        <f>+C58+C59</f>
        <v>0</v>
      </c>
      <c r="D57" s="448">
        <f t="shared" ref="D57:J57" si="19">+D58+D59</f>
        <v>0</v>
      </c>
      <c r="E57" s="448">
        <f t="shared" si="19"/>
        <v>0</v>
      </c>
      <c r="F57" s="448">
        <f t="shared" si="19"/>
        <v>0</v>
      </c>
      <c r="G57" s="448">
        <f t="shared" si="19"/>
        <v>0</v>
      </c>
      <c r="H57" s="448">
        <f t="shared" si="19"/>
        <v>14814456</v>
      </c>
      <c r="I57" s="448">
        <f t="shared" si="19"/>
        <v>29735812</v>
      </c>
      <c r="J57" s="448">
        <f t="shared" si="19"/>
        <v>965101114</v>
      </c>
      <c r="K57" s="448">
        <f t="shared" si="14"/>
        <v>1009651382</v>
      </c>
      <c r="L57" s="158"/>
      <c r="M57" s="158"/>
      <c r="N57" s="302"/>
      <c r="O57" s="152"/>
      <c r="P57" s="152"/>
    </row>
    <row r="58" spans="1:30" s="170" customFormat="1" ht="15.75" customHeight="1">
      <c r="A58" s="305"/>
      <c r="B58" s="304" t="s">
        <v>425</v>
      </c>
      <c r="C58" s="448">
        <f>+'Bank Liabilities Analysis'!C57-'Bank Liabilities Analysis'!D57</f>
        <v>0</v>
      </c>
      <c r="D58" s="448">
        <f>+'Bank Liabilities Analysis'!E57-'Bank Liabilities Analysis'!F57</f>
        <v>0</v>
      </c>
      <c r="E58" s="448">
        <f>+'Bank Liabilities Analysis'!G57-'Bank Liabilities Analysis'!H57</f>
        <v>0</v>
      </c>
      <c r="F58" s="448">
        <f>+'Bank Liabilities Analysis'!I57-'Bank Liabilities Analysis'!J57</f>
        <v>0</v>
      </c>
      <c r="G58" s="448">
        <f>+'Bank Liabilities Analysis'!K57-'Bank Liabilities Analysis'!L57</f>
        <v>0</v>
      </c>
      <c r="H58" s="448">
        <f>+'Bank Liabilities Analysis'!M57-'Bank Liabilities Analysis'!N57</f>
        <v>14814456</v>
      </c>
      <c r="I58" s="448">
        <f>+'Bank Liabilities Analysis'!O57-'Bank Liabilities Analysis'!P57</f>
        <v>29735812</v>
      </c>
      <c r="J58" s="448">
        <f>+'Bank Liabilities Analysis'!Q57-'Bank Liabilities Analysis'!R57</f>
        <v>965101114</v>
      </c>
      <c r="K58" s="448">
        <f t="shared" si="14"/>
        <v>1009651382</v>
      </c>
      <c r="L58" s="8"/>
      <c r="M58" s="8"/>
      <c r="N58" s="302"/>
      <c r="O58" s="152"/>
      <c r="P58" s="152"/>
    </row>
    <row r="59" spans="1:30" s="170" customFormat="1" ht="15.75" customHeight="1">
      <c r="A59" s="305"/>
      <c r="B59" s="304" t="s">
        <v>426</v>
      </c>
      <c r="C59" s="448">
        <f>+'Bank Liabilities Analysis'!C58-'Bank Liabilities Analysis'!D58</f>
        <v>0</v>
      </c>
      <c r="D59" s="448">
        <f>+'Bank Liabilities Analysis'!E58-'Bank Liabilities Analysis'!F58</f>
        <v>0</v>
      </c>
      <c r="E59" s="448">
        <f>+'Bank Liabilities Analysis'!G58-'Bank Liabilities Analysis'!H58</f>
        <v>0</v>
      </c>
      <c r="F59" s="448">
        <f>+'Bank Liabilities Analysis'!I58-'Bank Liabilities Analysis'!J58</f>
        <v>0</v>
      </c>
      <c r="G59" s="448">
        <f>+'Bank Liabilities Analysis'!K58-'Bank Liabilities Analysis'!L58</f>
        <v>0</v>
      </c>
      <c r="H59" s="448">
        <f>+'Bank Liabilities Analysis'!M58-'Bank Liabilities Analysis'!N58</f>
        <v>0</v>
      </c>
      <c r="I59" s="448">
        <f>+'Bank Liabilities Analysis'!O58-'Bank Liabilities Analysis'!P58</f>
        <v>0</v>
      </c>
      <c r="J59" s="448">
        <f>+'Bank Liabilities Analysis'!Q58-'Bank Liabilities Analysis'!R58</f>
        <v>0</v>
      </c>
      <c r="K59" s="448">
        <f t="shared" si="14"/>
        <v>0</v>
      </c>
      <c r="L59" s="8"/>
      <c r="M59" s="8"/>
      <c r="N59" s="302"/>
      <c r="O59" s="152"/>
      <c r="P59" s="152"/>
    </row>
    <row r="60" spans="1:30" ht="15.75">
      <c r="C60" s="492"/>
      <c r="D60" s="492"/>
      <c r="E60" s="492"/>
      <c r="F60" s="492"/>
      <c r="G60" s="492"/>
      <c r="H60" s="492"/>
      <c r="I60" s="492"/>
      <c r="J60" s="492"/>
      <c r="K60" s="492"/>
      <c r="N60" s="302"/>
      <c r="O60" s="152"/>
      <c r="P60" s="152"/>
    </row>
    <row r="61" spans="1:30" s="24" customFormat="1" ht="15" customHeight="1">
      <c r="A61" s="23"/>
      <c r="B61" s="225" t="s">
        <v>536</v>
      </c>
      <c r="C61" s="23"/>
      <c r="D61" s="23"/>
      <c r="E61" s="23"/>
      <c r="F61" s="173"/>
      <c r="G61" s="173"/>
      <c r="H61" s="173"/>
      <c r="I61" s="173"/>
      <c r="J61" s="173"/>
      <c r="K61" s="173"/>
      <c r="L61" s="173"/>
      <c r="M61" s="17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s="24" customFormat="1" ht="11.25" customHeight="1">
      <c r="A62" s="23"/>
      <c r="B62" s="225"/>
      <c r="C62" s="23"/>
      <c r="D62" s="23"/>
      <c r="E62" s="23"/>
      <c r="F62" s="173"/>
      <c r="G62" s="173"/>
      <c r="H62" s="173"/>
      <c r="I62" s="173"/>
      <c r="J62" s="173"/>
      <c r="K62" s="173"/>
      <c r="L62" s="173"/>
      <c r="M62" s="17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s="24" customFormat="1" ht="15" customHeight="1">
      <c r="A63" s="23"/>
      <c r="B63" s="225" t="s">
        <v>535</v>
      </c>
      <c r="C63" s="23"/>
      <c r="D63" s="23"/>
      <c r="E63" s="23"/>
      <c r="F63" s="173"/>
      <c r="G63" s="173"/>
      <c r="H63" s="173"/>
      <c r="I63" s="173"/>
      <c r="J63" s="173"/>
      <c r="K63" s="173"/>
      <c r="L63" s="173"/>
      <c r="M63" s="17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L45:M59">
    <cfRule type="cellIs" dxfId="23" priority="9" operator="greaterThan">
      <formula>#REF!</formula>
    </cfRule>
  </conditionalFormatting>
  <conditionalFormatting sqref="C8:J39 C45:J58 C42:J42">
    <cfRule type="cellIs" dxfId="22" priority="7" operator="lessThan">
      <formula>0</formula>
    </cfRule>
  </conditionalFormatting>
  <conditionalFormatting sqref="C40:J40">
    <cfRule type="cellIs" dxfId="21" priority="6" operator="lessThan">
      <formula>0</formula>
    </cfRule>
  </conditionalFormatting>
  <conditionalFormatting sqref="C41:J41">
    <cfRule type="cellIs" dxfId="20" priority="5" operator="lessThan">
      <formula>0</formula>
    </cfRule>
  </conditionalFormatting>
  <conditionalFormatting sqref="M39:M41">
    <cfRule type="cellIs" dxfId="19" priority="4" operator="lessThan">
      <formula>0</formula>
    </cfRule>
  </conditionalFormatting>
  <conditionalFormatting sqref="K43">
    <cfRule type="cellIs" dxfId="18" priority="1" operator="notEqual">
      <formula>$N$43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>
      <formula1>0</formula1>
    </dataValidation>
    <dataValidation type="whole" operator="notEqual" allowBlank="1" showErrorMessage="1" error="Введите как целое число." sqref="C9:J13 C44:J59 C16:J20 C22:J42 M39:M41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9" orientation="landscape" r:id="rId1"/>
  <headerFooter alignWithMargins="0"/>
  <ignoredErrors>
    <ignoredError sqref="M37:M38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D35"/>
  <sheetViews>
    <sheetView view="pageBreakPreview" zoomScale="90" zoomScaleNormal="75" zoomScaleSheetLayoutView="90" workbookViewId="0">
      <pane xSplit="2" ySplit="3" topLeftCell="C4" activePane="bottomRight" state="frozen"/>
      <selection activeCell="C11" sqref="C11"/>
      <selection pane="topRight" activeCell="C11" sqref="C11"/>
      <selection pane="bottomLeft" activeCell="C11" sqref="C11"/>
      <selection pane="bottomRight" activeCell="C4" sqref="C4"/>
    </sheetView>
  </sheetViews>
  <sheetFormatPr defaultRowHeight="12.75"/>
  <cols>
    <col min="1" max="1" width="5.85546875" style="15" customWidth="1"/>
    <col min="2" max="2" width="88.28515625" style="24" customWidth="1"/>
    <col min="3" max="4" width="17.7109375" style="24" customWidth="1"/>
    <col min="5" max="5" width="18.5703125" style="24" customWidth="1"/>
    <col min="6" max="8" width="20.42578125" style="24" customWidth="1"/>
    <col min="9" max="9" width="9.140625" style="24"/>
    <col min="10" max="10" width="11" style="24" bestFit="1" customWidth="1"/>
    <col min="11" max="16384" width="9.140625" style="24"/>
  </cols>
  <sheetData>
    <row r="1" spans="1:8" s="229" customFormat="1" ht="32.25" customHeight="1">
      <c r="A1" s="553" t="s">
        <v>497</v>
      </c>
      <c r="B1" s="553"/>
      <c r="C1" s="553"/>
      <c r="D1" s="553"/>
      <c r="E1" s="216" t="s">
        <v>431</v>
      </c>
    </row>
    <row r="2" spans="1:8" ht="15.75">
      <c r="A2" s="216"/>
      <c r="B2" s="14" t="str">
        <f>Balance!B3</f>
        <v>"MKBANK"</v>
      </c>
      <c r="C2" s="391">
        <f>+Balance!D3</f>
        <v>45657</v>
      </c>
      <c r="E2" s="390" t="str">
        <f>+Balance!E3</f>
        <v>минг сўмда</v>
      </c>
    </row>
    <row r="3" spans="1:8" s="229" customFormat="1" ht="53.25" customHeight="1">
      <c r="A3" s="288" t="s">
        <v>54</v>
      </c>
      <c r="B3" s="288" t="s">
        <v>333</v>
      </c>
      <c r="C3" s="288" t="s">
        <v>176</v>
      </c>
      <c r="D3" s="288" t="s">
        <v>346</v>
      </c>
      <c r="E3" s="288" t="s">
        <v>347</v>
      </c>
    </row>
    <row r="4" spans="1:8" s="229" customFormat="1" ht="22.5" customHeight="1">
      <c r="A4" s="289" t="s">
        <v>118</v>
      </c>
      <c r="B4" s="290" t="s">
        <v>432</v>
      </c>
      <c r="C4" s="176">
        <f>+D4+E4</f>
        <v>1107222501</v>
      </c>
      <c r="D4" s="111">
        <v>541905442</v>
      </c>
      <c r="E4" s="111">
        <v>565317059</v>
      </c>
      <c r="F4" s="449">
        <f>+'Bank Assets Analysis'!S49</f>
        <v>1107222501</v>
      </c>
      <c r="G4" s="449">
        <f>+'Bank Assets Analysis'!T49</f>
        <v>541905442</v>
      </c>
      <c r="H4" s="449">
        <f>+'Bank Assets Analysis'!U49</f>
        <v>565317059</v>
      </c>
    </row>
    <row r="5" spans="1:8" s="213" customFormat="1" ht="22.5" customHeight="1">
      <c r="A5" s="291" t="s">
        <v>161</v>
      </c>
      <c r="B5" s="333" t="s">
        <v>433</v>
      </c>
      <c r="C5" s="176">
        <f>+D5+E5</f>
        <v>203092974</v>
      </c>
      <c r="D5" s="9">
        <v>106864157</v>
      </c>
      <c r="E5" s="9">
        <v>96228817</v>
      </c>
      <c r="F5" s="449">
        <f>+'Bank Assets Analysis'!S50</f>
        <v>203092974</v>
      </c>
      <c r="G5" s="449">
        <f>+'Bank Assets Analysis'!T50</f>
        <v>106864157</v>
      </c>
      <c r="H5" s="449">
        <f>+'Bank Assets Analysis'!U50</f>
        <v>96228817</v>
      </c>
    </row>
    <row r="6" spans="1:8" s="213" customFormat="1" ht="5.25" customHeight="1">
      <c r="A6" s="21"/>
      <c r="B6" s="177"/>
      <c r="C6" s="158"/>
      <c r="D6" s="158"/>
      <c r="E6" s="158"/>
      <c r="F6" s="450"/>
      <c r="G6" s="450"/>
      <c r="H6" s="450"/>
    </row>
    <row r="7" spans="1:8" s="213" customFormat="1" ht="22.5" customHeight="1">
      <c r="A7" s="293" t="s">
        <v>119</v>
      </c>
      <c r="B7" s="292" t="s">
        <v>434</v>
      </c>
      <c r="C7" s="176">
        <f>+D7+E7</f>
        <v>609646854</v>
      </c>
      <c r="D7" s="111">
        <v>31461582</v>
      </c>
      <c r="E7" s="111">
        <v>578185272</v>
      </c>
      <c r="F7" s="449">
        <f>+'Bank Assets Analysis'!S51</f>
        <v>609646854</v>
      </c>
      <c r="G7" s="449">
        <f>+'Bank Assets Analysis'!T51</f>
        <v>31461582</v>
      </c>
      <c r="H7" s="449">
        <f>+'Bank Assets Analysis'!U51</f>
        <v>578185272</v>
      </c>
    </row>
    <row r="8" spans="1:8" s="213" customFormat="1" ht="22.5" customHeight="1">
      <c r="A8" s="291" t="s">
        <v>150</v>
      </c>
      <c r="B8" s="333" t="s">
        <v>435</v>
      </c>
      <c r="C8" s="176">
        <f>+D8+E8</f>
        <v>391831644.67199999</v>
      </c>
      <c r="D8" s="9">
        <v>0</v>
      </c>
      <c r="E8" s="9">
        <v>391831644.67199999</v>
      </c>
      <c r="F8" s="449">
        <f>+'Bank Assets Analysis'!S52</f>
        <v>391831644.67199999</v>
      </c>
      <c r="G8" s="449">
        <f>+'Bank Assets Analysis'!T52</f>
        <v>0</v>
      </c>
      <c r="H8" s="449">
        <f>+'Bank Assets Analysis'!U52</f>
        <v>391831644.67199999</v>
      </c>
    </row>
    <row r="9" spans="1:8" s="229" customFormat="1" ht="5.25" customHeight="1">
      <c r="A9" s="11"/>
      <c r="B9" s="10"/>
      <c r="C9" s="158"/>
      <c r="D9" s="165"/>
      <c r="E9" s="165"/>
    </row>
    <row r="10" spans="1:8" s="229" customFormat="1" ht="29.25" customHeight="1">
      <c r="A10" s="339" t="s">
        <v>129</v>
      </c>
      <c r="B10" s="290" t="s">
        <v>436</v>
      </c>
      <c r="C10" s="176">
        <f>+D10+E10</f>
        <v>326811988</v>
      </c>
      <c r="D10" s="16">
        <f>SUM(D11:D14)</f>
        <v>0</v>
      </c>
      <c r="E10" s="16">
        <f>SUM(E11:E14)</f>
        <v>326811988</v>
      </c>
    </row>
    <row r="11" spans="1:8" s="213" customFormat="1" ht="22.5" customHeight="1">
      <c r="A11" s="291" t="s">
        <v>131</v>
      </c>
      <c r="B11" s="295" t="s">
        <v>498</v>
      </c>
      <c r="C11" s="158">
        <f>+D11+E11</f>
        <v>9099538</v>
      </c>
      <c r="D11" s="215">
        <v>0</v>
      </c>
      <c r="E11" s="215">
        <v>9099538</v>
      </c>
    </row>
    <row r="12" spans="1:8" s="229" customFormat="1" ht="30.75" customHeight="1">
      <c r="A12" s="294" t="s">
        <v>132</v>
      </c>
      <c r="B12" s="295" t="s">
        <v>437</v>
      </c>
      <c r="C12" s="158">
        <f>+D12+E12</f>
        <v>1447094</v>
      </c>
      <c r="D12" s="215">
        <v>0</v>
      </c>
      <c r="E12" s="215">
        <v>1447094</v>
      </c>
    </row>
    <row r="13" spans="1:8" s="229" customFormat="1" ht="30.75" customHeight="1">
      <c r="A13" s="294" t="s">
        <v>133</v>
      </c>
      <c r="B13" s="295" t="s">
        <v>438</v>
      </c>
      <c r="C13" s="158">
        <f>+D13+E13</f>
        <v>0</v>
      </c>
      <c r="D13" s="215">
        <v>0</v>
      </c>
      <c r="E13" s="215">
        <v>0</v>
      </c>
    </row>
    <row r="14" spans="1:8" s="229" customFormat="1" ht="25.5" customHeight="1">
      <c r="A14" s="294" t="s">
        <v>134</v>
      </c>
      <c r="B14" s="295" t="s">
        <v>439</v>
      </c>
      <c r="C14" s="158">
        <f>+D14+E14</f>
        <v>316265356</v>
      </c>
      <c r="D14" s="9">
        <v>0</v>
      </c>
      <c r="E14" s="9">
        <v>316265356</v>
      </c>
    </row>
    <row r="15" spans="1:8" s="229" customFormat="1" ht="5.25" customHeight="1">
      <c r="A15" s="11"/>
      <c r="B15" s="10"/>
      <c r="C15" s="158"/>
      <c r="D15" s="165"/>
      <c r="E15" s="165"/>
    </row>
    <row r="16" spans="1:8" s="229" customFormat="1" ht="22.5" customHeight="1">
      <c r="A16" s="339" t="s">
        <v>120</v>
      </c>
      <c r="B16" s="290" t="s">
        <v>440</v>
      </c>
      <c r="C16" s="96">
        <f>+D16+E16</f>
        <v>38267197</v>
      </c>
      <c r="D16" s="17">
        <v>38267197</v>
      </c>
      <c r="E16" s="17">
        <v>0</v>
      </c>
    </row>
    <row r="17" spans="1:30" s="229" customFormat="1" ht="5.25" customHeight="1">
      <c r="A17" s="11"/>
      <c r="B17" s="10"/>
      <c r="C17" s="158"/>
      <c r="D17" s="165"/>
      <c r="E17" s="165"/>
    </row>
    <row r="18" spans="1:30" s="229" customFormat="1" ht="22.5" customHeight="1">
      <c r="A18" s="339" t="s">
        <v>127</v>
      </c>
      <c r="B18" s="290" t="s">
        <v>525</v>
      </c>
      <c r="C18" s="96">
        <f t="shared" ref="C18:C24" si="0">+D18+E18</f>
        <v>32285834</v>
      </c>
      <c r="D18" s="16">
        <f>SUM(D19:D24)</f>
        <v>29504436</v>
      </c>
      <c r="E18" s="16">
        <f>SUM(E19:E24)</f>
        <v>2781398</v>
      </c>
    </row>
    <row r="19" spans="1:30" s="229" customFormat="1" ht="22.5" customHeight="1">
      <c r="A19" s="296" t="s">
        <v>135</v>
      </c>
      <c r="B19" s="295" t="s">
        <v>485</v>
      </c>
      <c r="C19" s="158">
        <f t="shared" si="0"/>
        <v>0</v>
      </c>
      <c r="D19" s="9">
        <v>0</v>
      </c>
      <c r="E19" s="9">
        <v>0</v>
      </c>
    </row>
    <row r="20" spans="1:30" s="229" customFormat="1" ht="22.5" customHeight="1">
      <c r="A20" s="296" t="s">
        <v>136</v>
      </c>
      <c r="B20" s="295" t="s">
        <v>441</v>
      </c>
      <c r="C20" s="158">
        <f t="shared" si="0"/>
        <v>0</v>
      </c>
      <c r="D20" s="9">
        <v>0</v>
      </c>
      <c r="E20" s="9">
        <v>0</v>
      </c>
    </row>
    <row r="21" spans="1:30" s="229" customFormat="1" ht="22.5" customHeight="1">
      <c r="A21" s="296" t="s">
        <v>137</v>
      </c>
      <c r="B21" s="295" t="s">
        <v>442</v>
      </c>
      <c r="C21" s="158">
        <f t="shared" si="0"/>
        <v>0</v>
      </c>
      <c r="D21" s="9">
        <v>0</v>
      </c>
      <c r="E21" s="9">
        <v>0</v>
      </c>
    </row>
    <row r="22" spans="1:30" s="229" customFormat="1" ht="22.5" customHeight="1">
      <c r="A22" s="296" t="s">
        <v>138</v>
      </c>
      <c r="B22" s="295" t="s">
        <v>443</v>
      </c>
      <c r="C22" s="158">
        <f t="shared" si="0"/>
        <v>0</v>
      </c>
      <c r="D22" s="215">
        <v>0</v>
      </c>
      <c r="E22" s="215">
        <v>0</v>
      </c>
    </row>
    <row r="23" spans="1:30" s="229" customFormat="1" ht="29.25" customHeight="1">
      <c r="A23" s="296" t="s">
        <v>139</v>
      </c>
      <c r="B23" s="295" t="s">
        <v>444</v>
      </c>
      <c r="C23" s="165">
        <f t="shared" si="0"/>
        <v>0</v>
      </c>
      <c r="D23" s="9">
        <v>0</v>
      </c>
      <c r="E23" s="9">
        <v>0</v>
      </c>
    </row>
    <row r="24" spans="1:30" s="229" customFormat="1" ht="22.5" customHeight="1">
      <c r="A24" s="296" t="s">
        <v>474</v>
      </c>
      <c r="B24" s="334" t="s">
        <v>499</v>
      </c>
      <c r="C24" s="165">
        <f t="shared" si="0"/>
        <v>32285834</v>
      </c>
      <c r="D24" s="9">
        <v>29504436</v>
      </c>
      <c r="E24" s="9">
        <v>2781398</v>
      </c>
      <c r="J24" s="378"/>
    </row>
    <row r="25" spans="1:30" s="229" customFormat="1" ht="6" customHeight="1">
      <c r="A25" s="294"/>
      <c r="B25" s="370"/>
      <c r="C25" s="165"/>
      <c r="D25" s="165"/>
      <c r="E25" s="165"/>
    </row>
    <row r="26" spans="1:30" s="229" customFormat="1" ht="22.5" customHeight="1">
      <c r="A26" s="339" t="s">
        <v>130</v>
      </c>
      <c r="B26" s="290" t="s">
        <v>486</v>
      </c>
      <c r="C26" s="16">
        <f>+C4+C7+C10+C16+C18</f>
        <v>2114234374</v>
      </c>
      <c r="D26" s="16">
        <f>+D4+D7+D10+D16+D18</f>
        <v>641138657</v>
      </c>
      <c r="E26" s="16">
        <f>+E4+E7+E10+E16+E18</f>
        <v>1473095717</v>
      </c>
    </row>
    <row r="27" spans="1:30">
      <c r="A27" s="12"/>
      <c r="B27" s="13"/>
      <c r="C27" s="23"/>
      <c r="D27" s="23"/>
      <c r="E27" s="23"/>
    </row>
    <row r="28" spans="1:30" ht="15" customHeight="1">
      <c r="A28" s="23"/>
      <c r="B28" s="225" t="s">
        <v>536</v>
      </c>
      <c r="C28" s="23"/>
      <c r="D28" s="23"/>
      <c r="E28" s="23"/>
      <c r="F28" s="173"/>
      <c r="G28" s="173"/>
      <c r="H28" s="173"/>
      <c r="I28" s="173"/>
      <c r="J28" s="173"/>
      <c r="K28" s="173"/>
      <c r="L28" s="173"/>
      <c r="M28" s="17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ht="11.25" customHeight="1">
      <c r="A29" s="23"/>
      <c r="B29" s="225"/>
      <c r="C29" s="23"/>
      <c r="D29" s="23"/>
      <c r="E29" s="23"/>
      <c r="F29" s="173"/>
      <c r="G29" s="173"/>
      <c r="H29" s="173"/>
      <c r="I29" s="173"/>
      <c r="J29" s="173"/>
      <c r="K29" s="173"/>
      <c r="L29" s="173"/>
      <c r="M29" s="17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ht="15" customHeight="1">
      <c r="A30" s="23"/>
      <c r="B30" s="225" t="s">
        <v>535</v>
      </c>
      <c r="C30" s="23"/>
      <c r="D30" s="23"/>
      <c r="E30" s="23"/>
      <c r="F30" s="173"/>
      <c r="G30" s="173"/>
      <c r="H30" s="173"/>
      <c r="I30" s="173"/>
      <c r="J30" s="173"/>
      <c r="K30" s="173"/>
      <c r="L30" s="173"/>
      <c r="M30" s="17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>
      <c r="A31" s="14"/>
      <c r="B31" s="225"/>
      <c r="C31" s="23"/>
      <c r="D31" s="23"/>
      <c r="E31" s="23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7">
    <cfRule type="cellIs" dxfId="17" priority="12" operator="notEqual">
      <formula>$F$7</formula>
    </cfRule>
    <cfRule type="cellIs" dxfId="16" priority="30" operator="notEqual">
      <formula>$D$7+$E$7</formula>
    </cfRule>
  </conditionalFormatting>
  <conditionalFormatting sqref="C10">
    <cfRule type="cellIs" dxfId="15" priority="28" operator="notEqual">
      <formula>$D$10+$E$10</formula>
    </cfRule>
  </conditionalFormatting>
  <conditionalFormatting sqref="D10">
    <cfRule type="cellIs" dxfId="14" priority="24" operator="notEqual">
      <formula>$D$11+$D$12+$D$13+$D$14</formula>
    </cfRule>
  </conditionalFormatting>
  <conditionalFormatting sqref="E10">
    <cfRule type="cellIs" dxfId="13" priority="23" operator="notEqual">
      <formula>$E$11+$E$12+$E$13+$E$14</formula>
    </cfRule>
  </conditionalFormatting>
  <conditionalFormatting sqref="C4">
    <cfRule type="cellIs" dxfId="12" priority="19" operator="notEqual">
      <formula>$F$4</formula>
    </cfRule>
  </conditionalFormatting>
  <conditionalFormatting sqref="D4">
    <cfRule type="cellIs" dxfId="11" priority="18" operator="notEqual">
      <formula>$G$4</formula>
    </cfRule>
  </conditionalFormatting>
  <conditionalFormatting sqref="C5">
    <cfRule type="cellIs" priority="15" operator="notEqual">
      <formula>$F$5</formula>
    </cfRule>
  </conditionalFormatting>
  <conditionalFormatting sqref="D7">
    <cfRule type="cellIs" dxfId="10" priority="8" operator="notEqual">
      <formula>$G$7</formula>
    </cfRule>
    <cfRule type="cellIs" dxfId="9" priority="11" operator="notEqual">
      <formula>$G$7</formula>
    </cfRule>
  </conditionalFormatting>
  <conditionalFormatting sqref="E7">
    <cfRule type="cellIs" dxfId="8" priority="6" operator="notEqual">
      <formula>$H$7</formula>
    </cfRule>
  </conditionalFormatting>
  <conditionalFormatting sqref="C8">
    <cfRule type="cellIs" dxfId="7" priority="5" operator="notEqual">
      <formula>$F$8</formula>
    </cfRule>
  </conditionalFormatting>
  <conditionalFormatting sqref="E4">
    <cfRule type="cellIs" dxfId="6" priority="1" operator="notEqual">
      <formula>$H$4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>
      <formula1>0</formula1>
    </dataValidation>
    <dataValidation type="whole" operator="greaterThanOrEqual" allowBlank="1" showInputMessage="1" showErrorMessage="1" sqref="C25 C15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27"/>
  <sheetViews>
    <sheetView view="pageBreakPreview" zoomScaleNormal="70" zoomScaleSheetLayoutView="100" workbookViewId="0">
      <pane xSplit="2" ySplit="3" topLeftCell="C4" activePane="bottomRight" state="frozen"/>
      <selection activeCell="C11" sqref="C11"/>
      <selection pane="topRight" activeCell="C11" sqref="C11"/>
      <selection pane="bottomLeft" activeCell="C11" sqref="C11"/>
      <selection pane="bottomRight" activeCell="C4" sqref="C4"/>
    </sheetView>
  </sheetViews>
  <sheetFormatPr defaultRowHeight="18.75"/>
  <cols>
    <col min="1" max="1" width="8.5703125" style="84" customWidth="1"/>
    <col min="2" max="2" width="65.7109375" style="84" customWidth="1"/>
    <col min="3" max="3" width="24.42578125" style="84" customWidth="1"/>
    <col min="4" max="4" width="23.28515625" style="84" customWidth="1"/>
    <col min="5" max="7" width="14" style="285" customWidth="1"/>
    <col min="8" max="16384" width="9.140625" style="84"/>
  </cols>
  <sheetData>
    <row r="1" spans="1:7" ht="22.5" customHeight="1">
      <c r="A1" s="554" t="s">
        <v>445</v>
      </c>
      <c r="B1" s="554"/>
      <c r="C1" s="554"/>
      <c r="D1" s="284" t="s">
        <v>446</v>
      </c>
    </row>
    <row r="2" spans="1:7" ht="25.5" customHeight="1">
      <c r="B2" s="85" t="str">
        <f>+Balance!B3</f>
        <v>"MKBANK"</v>
      </c>
      <c r="C2" s="392">
        <f>+Balance!D3</f>
        <v>45657</v>
      </c>
      <c r="D2" s="286" t="s">
        <v>174</v>
      </c>
    </row>
    <row r="3" spans="1:7" ht="80.25" customHeight="1">
      <c r="A3" s="110" t="s">
        <v>54</v>
      </c>
      <c r="B3" s="110" t="s">
        <v>333</v>
      </c>
      <c r="C3" s="110" t="s">
        <v>176</v>
      </c>
      <c r="D3" s="110" t="s">
        <v>453</v>
      </c>
    </row>
    <row r="4" spans="1:7" s="86" customFormat="1" ht="45" customHeight="1">
      <c r="A4" s="371" t="s">
        <v>118</v>
      </c>
      <c r="B4" s="375" t="s">
        <v>500</v>
      </c>
      <c r="C4" s="110"/>
      <c r="D4" s="110"/>
      <c r="E4" s="287"/>
      <c r="F4" s="287"/>
      <c r="G4" s="287"/>
    </row>
    <row r="5" spans="1:7" s="86" customFormat="1" ht="35.25" customHeight="1">
      <c r="A5" s="332" t="s">
        <v>121</v>
      </c>
      <c r="B5" s="372" t="s">
        <v>447</v>
      </c>
      <c r="C5" s="97">
        <v>128678</v>
      </c>
      <c r="D5" s="97">
        <v>7</v>
      </c>
      <c r="E5" s="287"/>
      <c r="F5" s="287"/>
      <c r="G5" s="287"/>
    </row>
    <row r="6" spans="1:7" s="86" customFormat="1" ht="35.25" customHeight="1">
      <c r="A6" s="332" t="s">
        <v>122</v>
      </c>
      <c r="B6" s="372" t="s">
        <v>448</v>
      </c>
      <c r="C6" s="97">
        <v>392757013</v>
      </c>
      <c r="D6" s="97">
        <v>16060447</v>
      </c>
      <c r="E6" s="287"/>
      <c r="F6" s="287"/>
      <c r="G6" s="287"/>
    </row>
    <row r="7" spans="1:7" s="86" customFormat="1" ht="35.25" customHeight="1">
      <c r="A7" s="332" t="s">
        <v>123</v>
      </c>
      <c r="B7" s="372" t="s">
        <v>449</v>
      </c>
      <c r="C7" s="97">
        <v>436562137</v>
      </c>
      <c r="D7" s="97">
        <v>3450335</v>
      </c>
      <c r="E7" s="287"/>
      <c r="F7" s="287"/>
      <c r="G7" s="287"/>
    </row>
    <row r="8" spans="1:7" s="86" customFormat="1" ht="35.25" customHeight="1">
      <c r="A8" s="332" t="s">
        <v>124</v>
      </c>
      <c r="B8" s="372" t="s">
        <v>450</v>
      </c>
      <c r="C8" s="97">
        <v>6866329</v>
      </c>
      <c r="D8" s="97">
        <v>3835473</v>
      </c>
      <c r="E8" s="287"/>
      <c r="F8" s="287"/>
      <c r="G8" s="287"/>
    </row>
    <row r="9" spans="1:7" s="86" customFormat="1" ht="35.25" customHeight="1">
      <c r="A9" s="332" t="s">
        <v>125</v>
      </c>
      <c r="B9" s="372" t="s">
        <v>451</v>
      </c>
      <c r="C9" s="97">
        <v>347396556</v>
      </c>
      <c r="D9" s="97">
        <v>26195618</v>
      </c>
      <c r="E9" s="287"/>
      <c r="F9" s="287"/>
      <c r="G9" s="287"/>
    </row>
    <row r="10" spans="1:7" s="86" customFormat="1" ht="43.5" customHeight="1">
      <c r="A10" s="332" t="s">
        <v>126</v>
      </c>
      <c r="B10" s="376" t="s">
        <v>555</v>
      </c>
      <c r="C10" s="97">
        <v>101985731</v>
      </c>
      <c r="D10" s="97">
        <v>9783452</v>
      </c>
      <c r="E10" s="287"/>
      <c r="F10" s="287"/>
      <c r="G10" s="287"/>
    </row>
    <row r="11" spans="1:7" s="88" customFormat="1" ht="42" customHeight="1">
      <c r="A11" s="371" t="s">
        <v>153</v>
      </c>
      <c r="B11" s="375" t="s">
        <v>501</v>
      </c>
      <c r="C11" s="87">
        <f>SUM(C5:C10)</f>
        <v>1285696444</v>
      </c>
      <c r="D11" s="87">
        <f>SUM(D5:D10)</f>
        <v>59325332</v>
      </c>
      <c r="E11" s="384">
        <f>+'Bank Liabilities Analysis'!S15+'Bank Liabilities Analysis'!S7</f>
        <v>1285696444</v>
      </c>
      <c r="F11" s="384">
        <f>+'Bank Liabilities Analysis'!T15+'Bank Liabilities Analysis'!T7</f>
        <v>1226371112</v>
      </c>
      <c r="G11" s="384">
        <f>+'Bank Liabilities Analysis'!U15+'Bank Liabilities Analysis'!U7</f>
        <v>59325332</v>
      </c>
    </row>
    <row r="12" spans="1:7" s="86" customFormat="1" ht="9" customHeight="1">
      <c r="A12" s="373"/>
      <c r="B12" s="372"/>
      <c r="C12" s="90"/>
      <c r="D12" s="89"/>
      <c r="E12" s="385"/>
      <c r="F12" s="385"/>
      <c r="G12" s="385"/>
    </row>
    <row r="13" spans="1:7" s="86" customFormat="1" ht="35.25" customHeight="1">
      <c r="A13" s="371" t="s">
        <v>119</v>
      </c>
      <c r="B13" s="374" t="s">
        <v>232</v>
      </c>
      <c r="C13" s="110"/>
      <c r="D13" s="110"/>
      <c r="E13" s="386">
        <f>+C11-E11</f>
        <v>0</v>
      </c>
      <c r="F13" s="386"/>
      <c r="G13" s="386">
        <f>+D11-G11</f>
        <v>0</v>
      </c>
    </row>
    <row r="14" spans="1:7" s="86" customFormat="1" ht="35.25" customHeight="1">
      <c r="A14" s="332" t="s">
        <v>121</v>
      </c>
      <c r="B14" s="372" t="s">
        <v>447</v>
      </c>
      <c r="C14" s="97">
        <v>3187580689</v>
      </c>
      <c r="D14" s="97">
        <v>327297345</v>
      </c>
      <c r="E14" s="387"/>
      <c r="F14" s="387"/>
      <c r="G14" s="387"/>
    </row>
    <row r="15" spans="1:7" s="86" customFormat="1" ht="35.25" customHeight="1">
      <c r="A15" s="332" t="s">
        <v>122</v>
      </c>
      <c r="B15" s="372" t="s">
        <v>448</v>
      </c>
      <c r="C15" s="97">
        <v>2172004785</v>
      </c>
      <c r="D15" s="97">
        <v>168448091</v>
      </c>
      <c r="E15" s="387"/>
      <c r="F15" s="387"/>
      <c r="G15" s="387"/>
    </row>
    <row r="16" spans="1:7" s="86" customFormat="1" ht="35.25" customHeight="1">
      <c r="A16" s="332" t="s">
        <v>123</v>
      </c>
      <c r="B16" s="372" t="s">
        <v>449</v>
      </c>
      <c r="C16" s="97">
        <v>633181728</v>
      </c>
      <c r="D16" s="97">
        <v>190892340</v>
      </c>
      <c r="E16" s="387"/>
      <c r="F16" s="387"/>
      <c r="G16" s="387"/>
    </row>
    <row r="17" spans="1:30" s="86" customFormat="1" ht="35.25" customHeight="1">
      <c r="A17" s="332" t="s">
        <v>124</v>
      </c>
      <c r="B17" s="372" t="s">
        <v>450</v>
      </c>
      <c r="C17" s="97">
        <v>149500280</v>
      </c>
      <c r="D17" s="97">
        <v>142125280</v>
      </c>
      <c r="E17" s="387"/>
      <c r="F17" s="387"/>
      <c r="G17" s="387"/>
    </row>
    <row r="18" spans="1:30" s="86" customFormat="1" ht="35.25" customHeight="1">
      <c r="A18" s="332" t="s">
        <v>125</v>
      </c>
      <c r="B18" s="372" t="s">
        <v>451</v>
      </c>
      <c r="C18" s="97">
        <v>309790562</v>
      </c>
      <c r="D18" s="97">
        <v>0</v>
      </c>
      <c r="E18" s="387"/>
      <c r="F18" s="387"/>
      <c r="G18" s="387"/>
    </row>
    <row r="19" spans="1:30" s="86" customFormat="1" ht="35.25" customHeight="1">
      <c r="A19" s="332" t="s">
        <v>126</v>
      </c>
      <c r="B19" s="372" t="s">
        <v>502</v>
      </c>
      <c r="C19" s="97">
        <v>94173343</v>
      </c>
      <c r="D19" s="97">
        <v>839831</v>
      </c>
      <c r="E19" s="387"/>
      <c r="F19" s="387"/>
      <c r="G19" s="387"/>
    </row>
    <row r="20" spans="1:30" s="88" customFormat="1" ht="35.25" customHeight="1">
      <c r="A20" s="371" t="s">
        <v>153</v>
      </c>
      <c r="B20" s="374" t="s">
        <v>452</v>
      </c>
      <c r="C20" s="87">
        <f>SUM(C14:C19)</f>
        <v>6546231387</v>
      </c>
      <c r="D20" s="87">
        <f>SUM(D14:D19)</f>
        <v>829602887</v>
      </c>
      <c r="E20" s="384">
        <f>+'Bank Liabilities Analysis'!S12</f>
        <v>6546231387</v>
      </c>
      <c r="F20" s="384">
        <f>+'Bank Liabilities Analysis'!T12</f>
        <v>5716628500</v>
      </c>
      <c r="G20" s="384">
        <f>+'Bank Liabilities Analysis'!U12</f>
        <v>829602887</v>
      </c>
    </row>
    <row r="21" spans="1:30" s="86" customFormat="1" ht="9" customHeight="1">
      <c r="A21" s="332"/>
      <c r="B21" s="372"/>
      <c r="C21" s="90"/>
      <c r="D21" s="90"/>
      <c r="E21" s="386">
        <f>+C20-E20</f>
        <v>0</v>
      </c>
      <c r="F21" s="386"/>
      <c r="G21" s="386">
        <f>+D20-G20</f>
        <v>0</v>
      </c>
    </row>
    <row r="22" spans="1:30" s="88" customFormat="1" ht="35.25" customHeight="1">
      <c r="A22" s="371" t="s">
        <v>129</v>
      </c>
      <c r="B22" s="374" t="s">
        <v>415</v>
      </c>
      <c r="C22" s="87">
        <f t="shared" ref="C22:D22" si="0">+C11+C20</f>
        <v>7831927831</v>
      </c>
      <c r="D22" s="87">
        <f t="shared" si="0"/>
        <v>888928219</v>
      </c>
      <c r="E22" s="384">
        <f>+'Bank Liabilities Analysis'!S20</f>
        <v>7831927831</v>
      </c>
      <c r="F22" s="384">
        <f>+'Bank Liabilities Analysis'!T20</f>
        <v>6942999612</v>
      </c>
      <c r="G22" s="384">
        <f>+'Bank Liabilities Analysis'!U20</f>
        <v>888928219</v>
      </c>
    </row>
    <row r="23" spans="1:30">
      <c r="E23" s="383">
        <f>+C22-E22</f>
        <v>0</v>
      </c>
      <c r="F23" s="383"/>
      <c r="G23" s="383">
        <f>+D22-G22</f>
        <v>0</v>
      </c>
    </row>
    <row r="24" spans="1:30" s="24" customFormat="1" ht="18">
      <c r="A24" s="23"/>
      <c r="B24" s="381" t="s">
        <v>536</v>
      </c>
      <c r="C24" s="23"/>
      <c r="D24" s="23"/>
      <c r="E24" s="23"/>
      <c r="F24" s="173"/>
      <c r="G24" s="173"/>
      <c r="H24" s="173"/>
      <c r="I24" s="173"/>
      <c r="J24" s="173"/>
      <c r="K24" s="173"/>
      <c r="L24" s="173"/>
      <c r="M24" s="17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s="24" customFormat="1" ht="19.5" customHeight="1">
      <c r="A25" s="23"/>
      <c r="B25" s="381"/>
      <c r="C25" s="23"/>
      <c r="D25" s="23"/>
      <c r="E25" s="23"/>
      <c r="F25" s="173"/>
      <c r="G25" s="173"/>
      <c r="H25" s="173"/>
      <c r="I25" s="173"/>
      <c r="J25" s="173"/>
      <c r="K25" s="173"/>
      <c r="L25" s="173"/>
      <c r="M25" s="17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s="24" customFormat="1" ht="18">
      <c r="A26" s="23"/>
      <c r="B26" s="381" t="s">
        <v>535</v>
      </c>
      <c r="C26" s="23"/>
      <c r="D26" s="23"/>
      <c r="E26" s="23"/>
      <c r="F26" s="173"/>
      <c r="G26" s="173"/>
      <c r="H26" s="173"/>
      <c r="I26" s="173"/>
      <c r="J26" s="173"/>
      <c r="K26" s="173"/>
      <c r="L26" s="173"/>
      <c r="M26" s="17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>
      <c r="B27" s="91"/>
      <c r="E27" s="84"/>
      <c r="F27" s="84"/>
      <c r="G27" s="84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D44"/>
  <sheetViews>
    <sheetView view="pageBreakPreview" zoomScaleNormal="100" zoomScaleSheetLayoutView="100" workbookViewId="0">
      <pane xSplit="1" ySplit="4" topLeftCell="B5" activePane="bottomRight" state="frozen"/>
      <selection activeCell="C11" sqref="C11"/>
      <selection pane="topRight" activeCell="C11" sqref="C11"/>
      <selection pane="bottomLeft" activeCell="C11" sqref="C11"/>
      <selection pane="bottomRight" activeCell="B5" sqref="B5"/>
    </sheetView>
  </sheetViews>
  <sheetFormatPr defaultRowHeight="12.75"/>
  <cols>
    <col min="1" max="1" width="52" style="24" customWidth="1"/>
    <col min="2" max="2" width="15.42578125" style="24" customWidth="1"/>
    <col min="3" max="4" width="14.42578125" style="24" customWidth="1"/>
    <col min="5" max="5" width="16.140625" style="24" bestFit="1" customWidth="1"/>
    <col min="6" max="8" width="12.140625" style="228" customWidth="1"/>
    <col min="9" max="16384" width="9.140625" style="24"/>
  </cols>
  <sheetData>
    <row r="1" spans="1:8" ht="44.25" customHeight="1">
      <c r="A1" s="553" t="s">
        <v>454</v>
      </c>
      <c r="B1" s="553"/>
      <c r="C1" s="553"/>
      <c r="D1" s="553"/>
      <c r="E1" s="216" t="s">
        <v>455</v>
      </c>
    </row>
    <row r="2" spans="1:8" s="229" customFormat="1" ht="18" customHeight="1">
      <c r="A2" s="93" t="str">
        <f>Balance!B3</f>
        <v>"MKBANK"</v>
      </c>
      <c r="C2" s="557">
        <f>+Balance!D3</f>
        <v>45657</v>
      </c>
      <c r="D2" s="557"/>
      <c r="E2" s="280" t="str">
        <f>+Balance!E3</f>
        <v>минг сўмда</v>
      </c>
      <c r="F2" s="230"/>
      <c r="G2" s="230"/>
      <c r="H2" s="230"/>
    </row>
    <row r="3" spans="1:8" s="239" customFormat="1" ht="12.75" customHeight="1">
      <c r="A3" s="558" t="s">
        <v>526</v>
      </c>
      <c r="B3" s="558" t="s">
        <v>456</v>
      </c>
      <c r="C3" s="560" t="s">
        <v>335</v>
      </c>
      <c r="D3" s="561"/>
      <c r="E3" s="555" t="s">
        <v>457</v>
      </c>
      <c r="G3" s="229"/>
    </row>
    <row r="4" spans="1:8" s="239" customFormat="1" ht="46.5" customHeight="1">
      <c r="A4" s="559"/>
      <c r="B4" s="559"/>
      <c r="C4" s="281" t="s">
        <v>346</v>
      </c>
      <c r="D4" s="281" t="s">
        <v>347</v>
      </c>
      <c r="E4" s="556"/>
      <c r="G4" s="229"/>
    </row>
    <row r="5" spans="1:8" s="229" customFormat="1" ht="19.5" customHeight="1">
      <c r="A5" s="282" t="s">
        <v>458</v>
      </c>
      <c r="B5" s="165">
        <f t="shared" ref="B5:B14" si="0">+C5+D5</f>
        <v>0</v>
      </c>
      <c r="C5" s="9">
        <v>0</v>
      </c>
      <c r="D5" s="9">
        <v>0</v>
      </c>
      <c r="E5" s="9">
        <v>0</v>
      </c>
      <c r="F5" s="231"/>
      <c r="G5" s="231"/>
      <c r="H5" s="231"/>
    </row>
    <row r="6" spans="1:8" s="229" customFormat="1" ht="25.5">
      <c r="A6" s="283" t="s">
        <v>459</v>
      </c>
      <c r="B6" s="165">
        <f t="shared" si="0"/>
        <v>0</v>
      </c>
      <c r="C6" s="9">
        <v>0</v>
      </c>
      <c r="D6" s="9">
        <v>0</v>
      </c>
      <c r="E6" s="9">
        <v>0</v>
      </c>
      <c r="F6" s="231"/>
      <c r="G6" s="231"/>
      <c r="H6" s="231"/>
    </row>
    <row r="7" spans="1:8" s="229" customFormat="1" ht="16.5" customHeight="1">
      <c r="A7" s="283" t="s">
        <v>527</v>
      </c>
      <c r="B7" s="165">
        <f t="shared" si="0"/>
        <v>0</v>
      </c>
      <c r="C7" s="9">
        <v>0</v>
      </c>
      <c r="D7" s="9">
        <v>0</v>
      </c>
      <c r="E7" s="9">
        <v>0</v>
      </c>
      <c r="F7" s="231"/>
      <c r="G7" s="231"/>
      <c r="H7" s="231"/>
    </row>
    <row r="8" spans="1:8" s="229" customFormat="1" ht="16.5" customHeight="1">
      <c r="A8" s="283" t="s">
        <v>460</v>
      </c>
      <c r="B8" s="165">
        <f t="shared" si="0"/>
        <v>0</v>
      </c>
      <c r="C8" s="9">
        <v>0</v>
      </c>
      <c r="D8" s="9">
        <v>0</v>
      </c>
      <c r="E8" s="9">
        <v>0</v>
      </c>
      <c r="F8" s="231"/>
      <c r="G8" s="231"/>
      <c r="H8" s="231"/>
    </row>
    <row r="9" spans="1:8" s="229" customFormat="1" ht="25.5">
      <c r="A9" s="283" t="s">
        <v>528</v>
      </c>
      <c r="B9" s="165">
        <f t="shared" si="0"/>
        <v>135417220</v>
      </c>
      <c r="C9" s="9">
        <v>135417220</v>
      </c>
      <c r="D9" s="9">
        <v>0</v>
      </c>
      <c r="E9" s="9">
        <f>+C9</f>
        <v>135417220</v>
      </c>
      <c r="F9" s="231"/>
      <c r="G9" s="231"/>
      <c r="H9" s="231"/>
    </row>
    <row r="10" spans="1:8" s="229" customFormat="1" ht="24.75" customHeight="1">
      <c r="A10" s="283" t="s">
        <v>529</v>
      </c>
      <c r="B10" s="165">
        <f t="shared" si="0"/>
        <v>36000000</v>
      </c>
      <c r="C10" s="9">
        <v>36000000</v>
      </c>
      <c r="D10" s="9">
        <v>0</v>
      </c>
      <c r="E10" s="9">
        <v>36000000</v>
      </c>
      <c r="F10" s="231"/>
      <c r="G10" s="230"/>
      <c r="H10" s="230"/>
    </row>
    <row r="11" spans="1:8" s="229" customFormat="1" ht="24.75" customHeight="1">
      <c r="A11" s="283" t="s">
        <v>461</v>
      </c>
      <c r="B11" s="165">
        <f t="shared" si="0"/>
        <v>0</v>
      </c>
      <c r="C11" s="9">
        <v>0</v>
      </c>
      <c r="D11" s="9">
        <v>0</v>
      </c>
      <c r="E11" s="9">
        <v>0</v>
      </c>
      <c r="F11" s="231"/>
      <c r="G11" s="230"/>
      <c r="H11" s="230"/>
    </row>
    <row r="12" spans="1:8" s="229" customFormat="1" ht="17.25" customHeight="1">
      <c r="A12" s="336" t="s">
        <v>462</v>
      </c>
      <c r="B12" s="96">
        <f t="shared" si="0"/>
        <v>171417220</v>
      </c>
      <c r="C12" s="96">
        <f>SUM(C5:C11)</f>
        <v>171417220</v>
      </c>
      <c r="D12" s="96">
        <f t="shared" ref="D12" si="1">SUM(D5:D11)</f>
        <v>0</v>
      </c>
      <c r="E12" s="96">
        <f>SUM(E5:E11)</f>
        <v>171417220</v>
      </c>
      <c r="F12" s="231"/>
      <c r="G12" s="230"/>
      <c r="H12" s="230"/>
    </row>
    <row r="13" spans="1:8" s="229" customFormat="1" ht="28.5" customHeight="1">
      <c r="A13" s="283" t="s">
        <v>509</v>
      </c>
      <c r="B13" s="165">
        <f t="shared" si="0"/>
        <v>0</v>
      </c>
      <c r="C13" s="9">
        <v>0</v>
      </c>
      <c r="D13" s="9">
        <v>0</v>
      </c>
      <c r="E13" s="9">
        <v>0</v>
      </c>
      <c r="F13" s="231"/>
      <c r="G13" s="230"/>
      <c r="H13" s="230"/>
    </row>
    <row r="14" spans="1:8" s="229" customFormat="1" ht="18" customHeight="1">
      <c r="A14" s="377" t="s">
        <v>466</v>
      </c>
      <c r="B14" s="165">
        <f t="shared" si="0"/>
        <v>15110</v>
      </c>
      <c r="C14" s="9">
        <v>15110</v>
      </c>
      <c r="D14" s="9">
        <v>0</v>
      </c>
      <c r="E14" s="233"/>
      <c r="F14" s="231"/>
      <c r="G14" s="230"/>
      <c r="H14" s="230"/>
    </row>
    <row r="15" spans="1:8" s="229" customFormat="1" ht="18" customHeight="1">
      <c r="A15" s="336" t="s">
        <v>503</v>
      </c>
      <c r="B15" s="96">
        <f>+C15+D15</f>
        <v>171402110</v>
      </c>
      <c r="C15" s="96">
        <f>C12+C13-C14</f>
        <v>171402110</v>
      </c>
      <c r="D15" s="96">
        <f>D12+D13-D14</f>
        <v>0</v>
      </c>
      <c r="E15" s="234"/>
      <c r="F15" s="235"/>
      <c r="G15" s="230"/>
      <c r="H15" s="230"/>
    </row>
    <row r="16" spans="1:8" ht="12.75" customHeight="1">
      <c r="A16" s="236"/>
      <c r="B16" s="244"/>
      <c r="C16" s="244"/>
      <c r="D16" s="244"/>
      <c r="E16" s="244"/>
      <c r="F16" s="237"/>
      <c r="G16" s="230"/>
      <c r="H16" s="230"/>
    </row>
    <row r="17" spans="1:8" s="239" customFormat="1" ht="12.75" customHeight="1">
      <c r="A17" s="555" t="s">
        <v>473</v>
      </c>
      <c r="B17" s="558" t="s">
        <v>456</v>
      </c>
      <c r="C17" s="560" t="s">
        <v>335</v>
      </c>
      <c r="D17" s="561"/>
      <c r="E17" s="555" t="s">
        <v>457</v>
      </c>
      <c r="G17" s="229"/>
    </row>
    <row r="18" spans="1:8" s="239" customFormat="1" ht="38.25">
      <c r="A18" s="556"/>
      <c r="B18" s="559"/>
      <c r="C18" s="281" t="s">
        <v>346</v>
      </c>
      <c r="D18" s="281" t="s">
        <v>347</v>
      </c>
      <c r="E18" s="556"/>
      <c r="G18" s="229"/>
    </row>
    <row r="19" spans="1:8" s="229" customFormat="1" ht="18.75" customHeight="1">
      <c r="A19" s="282" t="s">
        <v>504</v>
      </c>
      <c r="B19" s="165">
        <f t="shared" ref="B19:B28" si="2">+C19+D19</f>
        <v>0</v>
      </c>
      <c r="C19" s="9">
        <v>0</v>
      </c>
      <c r="D19" s="9">
        <v>0</v>
      </c>
      <c r="E19" s="9">
        <v>0</v>
      </c>
      <c r="F19" s="231"/>
      <c r="H19" s="230"/>
    </row>
    <row r="20" spans="1:8" s="229" customFormat="1" ht="18.75" customHeight="1">
      <c r="A20" s="283" t="s">
        <v>463</v>
      </c>
      <c r="B20" s="165">
        <f t="shared" si="2"/>
        <v>60000000</v>
      </c>
      <c r="C20" s="9">
        <v>60000000</v>
      </c>
      <c r="D20" s="9">
        <v>0</v>
      </c>
      <c r="E20" s="9">
        <f>+C20</f>
        <v>60000000</v>
      </c>
      <c r="F20" s="231"/>
      <c r="H20" s="230"/>
    </row>
    <row r="21" spans="1:8" s="229" customFormat="1" ht="25.5">
      <c r="A21" s="283" t="s">
        <v>505</v>
      </c>
      <c r="B21" s="165">
        <f t="shared" si="2"/>
        <v>157000000</v>
      </c>
      <c r="C21" s="9">
        <v>157000000</v>
      </c>
      <c r="D21" s="9">
        <v>0</v>
      </c>
      <c r="E21" s="9">
        <f>+C21</f>
        <v>157000000</v>
      </c>
      <c r="F21" s="231"/>
      <c r="H21" s="230"/>
    </row>
    <row r="22" spans="1:8" s="229" customFormat="1" ht="18.75" customHeight="1">
      <c r="A22" s="283" t="s">
        <v>530</v>
      </c>
      <c r="B22" s="165">
        <f t="shared" si="2"/>
        <v>0</v>
      </c>
      <c r="C22" s="9">
        <v>0</v>
      </c>
      <c r="D22" s="9">
        <v>0</v>
      </c>
      <c r="E22" s="9">
        <v>0</v>
      </c>
      <c r="F22" s="231"/>
      <c r="H22" s="231"/>
    </row>
    <row r="23" spans="1:8" s="229" customFormat="1" ht="18.75" customHeight="1">
      <c r="A23" s="283" t="s">
        <v>464</v>
      </c>
      <c r="B23" s="165">
        <f t="shared" si="2"/>
        <v>0</v>
      </c>
      <c r="C23" s="9">
        <v>0</v>
      </c>
      <c r="D23" s="9">
        <v>0</v>
      </c>
      <c r="E23" s="9">
        <v>0</v>
      </c>
      <c r="F23" s="231"/>
      <c r="H23" s="231"/>
    </row>
    <row r="24" spans="1:8" s="229" customFormat="1" ht="18.75" customHeight="1">
      <c r="A24" s="283" t="s">
        <v>531</v>
      </c>
      <c r="B24" s="165">
        <f t="shared" si="2"/>
        <v>0</v>
      </c>
      <c r="C24" s="9">
        <v>0</v>
      </c>
      <c r="D24" s="9">
        <v>0</v>
      </c>
      <c r="E24" s="9">
        <f>+C24</f>
        <v>0</v>
      </c>
      <c r="F24" s="231"/>
      <c r="H24" s="231"/>
    </row>
    <row r="25" spans="1:8" s="229" customFormat="1" ht="18.75" customHeight="1">
      <c r="A25" s="232" t="s">
        <v>465</v>
      </c>
      <c r="B25" s="165">
        <f t="shared" si="2"/>
        <v>0</v>
      </c>
      <c r="C25" s="9">
        <v>0</v>
      </c>
      <c r="D25" s="9">
        <v>0</v>
      </c>
      <c r="E25" s="9">
        <v>0</v>
      </c>
      <c r="F25" s="231"/>
      <c r="H25" s="231"/>
    </row>
    <row r="26" spans="1:8" s="229" customFormat="1" ht="30.75" customHeight="1">
      <c r="A26" s="335" t="s">
        <v>484</v>
      </c>
      <c r="B26" s="96">
        <f t="shared" ref="B26" si="3">+C26+D26</f>
        <v>217000000</v>
      </c>
      <c r="C26" s="96">
        <f>SUM(C19:C25)</f>
        <v>217000000</v>
      </c>
      <c r="D26" s="96">
        <f t="shared" ref="D26" si="4">SUM(D19:D25)</f>
        <v>0</v>
      </c>
      <c r="E26" s="96">
        <f>SUM(E19:E25)</f>
        <v>217000000</v>
      </c>
      <c r="F26" s="231"/>
      <c r="H26" s="231"/>
    </row>
    <row r="27" spans="1:8" s="213" customFormat="1" ht="27.75" customHeight="1">
      <c r="A27" s="283" t="s">
        <v>532</v>
      </c>
      <c r="B27" s="165">
        <f t="shared" si="2"/>
        <v>-5641553</v>
      </c>
      <c r="C27" s="9">
        <v>-5641553</v>
      </c>
      <c r="D27" s="9">
        <v>0</v>
      </c>
      <c r="E27" s="9">
        <f>+B27</f>
        <v>-5641553</v>
      </c>
      <c r="F27" s="238"/>
      <c r="G27" s="229"/>
      <c r="H27" s="238"/>
    </row>
    <row r="28" spans="1:8" s="229" customFormat="1" ht="22.5" customHeight="1">
      <c r="A28" s="282" t="s">
        <v>466</v>
      </c>
      <c r="B28" s="165">
        <f t="shared" si="2"/>
        <v>0</v>
      </c>
      <c r="C28" s="9">
        <v>0</v>
      </c>
      <c r="D28" s="9">
        <v>0</v>
      </c>
      <c r="E28" s="233"/>
      <c r="F28" s="231"/>
      <c r="H28" s="231"/>
    </row>
    <row r="29" spans="1:8" s="229" customFormat="1" ht="27.75" customHeight="1">
      <c r="A29" s="283" t="s">
        <v>533</v>
      </c>
      <c r="B29" s="96">
        <f>+C29+D29</f>
        <v>211358447</v>
      </c>
      <c r="C29" s="96">
        <f>+C26+C27-C28</f>
        <v>211358447</v>
      </c>
      <c r="D29" s="96">
        <f>+D26+D27-D28</f>
        <v>0</v>
      </c>
      <c r="E29" s="234"/>
      <c r="F29" s="231"/>
      <c r="H29" s="231"/>
    </row>
    <row r="30" spans="1:8" ht="15.75">
      <c r="A30" s="74"/>
      <c r="B30" s="244"/>
      <c r="C30" s="244"/>
      <c r="D30" s="244"/>
      <c r="E30" s="244"/>
      <c r="F30" s="237"/>
      <c r="G30" s="229"/>
      <c r="H30" s="237"/>
    </row>
    <row r="31" spans="1:8" s="239" customFormat="1">
      <c r="A31" s="555" t="s">
        <v>467</v>
      </c>
      <c r="B31" s="558" t="s">
        <v>456</v>
      </c>
      <c r="C31" s="560" t="s">
        <v>335</v>
      </c>
      <c r="D31" s="561"/>
      <c r="E31" s="555" t="s">
        <v>457</v>
      </c>
      <c r="G31" s="229"/>
    </row>
    <row r="32" spans="1:8" s="239" customFormat="1" ht="38.25">
      <c r="A32" s="556"/>
      <c r="B32" s="559"/>
      <c r="C32" s="281" t="s">
        <v>346</v>
      </c>
      <c r="D32" s="281" t="s">
        <v>347</v>
      </c>
      <c r="E32" s="556"/>
      <c r="G32" s="229"/>
    </row>
    <row r="33" spans="1:30">
      <c r="A33" s="240"/>
      <c r="B33" s="245"/>
      <c r="C33" s="245"/>
      <c r="D33" s="245"/>
      <c r="E33" s="245"/>
      <c r="F33" s="237"/>
      <c r="G33" s="237"/>
      <c r="H33" s="237"/>
    </row>
    <row r="34" spans="1:30" ht="16.5" customHeight="1">
      <c r="A34" s="245" t="s">
        <v>468</v>
      </c>
      <c r="B34" s="165">
        <f t="shared" ref="B34:B36" si="5">+C34+D34</f>
        <v>0</v>
      </c>
      <c r="C34" s="9"/>
      <c r="D34" s="9"/>
      <c r="E34" s="9">
        <f t="shared" ref="E34:E36" si="6">+C34</f>
        <v>0</v>
      </c>
      <c r="F34" s="237"/>
      <c r="G34" s="237"/>
      <c r="H34" s="237"/>
    </row>
    <row r="35" spans="1:30" ht="16.5" customHeight="1">
      <c r="A35" s="245" t="s">
        <v>469</v>
      </c>
      <c r="B35" s="165">
        <f t="shared" si="5"/>
        <v>0</v>
      </c>
      <c r="C35" s="9"/>
      <c r="D35" s="9"/>
      <c r="E35" s="9">
        <f t="shared" si="6"/>
        <v>0</v>
      </c>
      <c r="F35" s="237"/>
      <c r="G35" s="237"/>
      <c r="H35" s="237"/>
    </row>
    <row r="36" spans="1:30" ht="16.5" customHeight="1">
      <c r="A36" s="245" t="s">
        <v>470</v>
      </c>
      <c r="B36" s="165">
        <f t="shared" si="5"/>
        <v>175</v>
      </c>
      <c r="C36" s="9">
        <v>175</v>
      </c>
      <c r="D36" s="9">
        <v>0</v>
      </c>
      <c r="E36" s="9">
        <f t="shared" si="6"/>
        <v>175</v>
      </c>
      <c r="F36" s="237"/>
      <c r="G36" s="237"/>
      <c r="H36" s="237"/>
    </row>
    <row r="37" spans="1:30" ht="16.5" customHeight="1">
      <c r="A37" s="489" t="s">
        <v>471</v>
      </c>
      <c r="B37" s="16">
        <f t="shared" ref="B37:B39" si="7">+C37+D37</f>
        <v>175</v>
      </c>
      <c r="C37" s="16">
        <f>SUM(C34:C36)</f>
        <v>175</v>
      </c>
      <c r="D37" s="16">
        <f t="shared" ref="D37" si="8">SUM(D34:D36)</f>
        <v>0</v>
      </c>
      <c r="E37" s="16">
        <f>SUM(E34:E36)</f>
        <v>175</v>
      </c>
      <c r="F37" s="237"/>
      <c r="G37" s="237"/>
      <c r="H37" s="237"/>
    </row>
    <row r="38" spans="1:30" ht="16.5" customHeight="1">
      <c r="A38" s="282" t="s">
        <v>472</v>
      </c>
      <c r="B38" s="165">
        <f t="shared" si="7"/>
        <v>0</v>
      </c>
      <c r="C38" s="9"/>
      <c r="D38" s="9">
        <v>0</v>
      </c>
      <c r="E38" s="233"/>
      <c r="F38" s="237"/>
      <c r="G38" s="237"/>
      <c r="H38" s="237"/>
    </row>
    <row r="39" spans="1:30" ht="26.25" customHeight="1">
      <c r="A39" s="283" t="s">
        <v>506</v>
      </c>
      <c r="B39" s="96">
        <f t="shared" si="7"/>
        <v>175</v>
      </c>
      <c r="C39" s="96">
        <f>C37-C38</f>
        <v>175</v>
      </c>
      <c r="D39" s="96">
        <f t="shared" ref="D39" si="9">D37-D38</f>
        <v>0</v>
      </c>
      <c r="E39" s="234"/>
      <c r="F39" s="237"/>
      <c r="G39" s="237"/>
      <c r="H39" s="237"/>
    </row>
    <row r="40" spans="1:30" ht="12.75" customHeight="1">
      <c r="F40" s="24"/>
      <c r="G40" s="24"/>
      <c r="H40" s="24"/>
    </row>
    <row r="41" spans="1:30" ht="15" customHeight="1">
      <c r="A41" s="379" t="s">
        <v>536</v>
      </c>
      <c r="C41" s="23"/>
      <c r="D41" s="23"/>
      <c r="E41" s="23"/>
      <c r="F41" s="173"/>
      <c r="G41" s="173"/>
      <c r="H41" s="173"/>
      <c r="I41" s="173"/>
      <c r="J41" s="173"/>
      <c r="K41" s="173"/>
      <c r="L41" s="173"/>
      <c r="M41" s="17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ht="11.25" customHeight="1">
      <c r="A42" s="379"/>
      <c r="C42" s="23"/>
      <c r="D42" s="23"/>
      <c r="E42" s="23"/>
      <c r="F42" s="173"/>
      <c r="G42" s="173"/>
      <c r="H42" s="173"/>
      <c r="I42" s="173"/>
      <c r="J42" s="173"/>
      <c r="K42" s="173"/>
      <c r="L42" s="173"/>
      <c r="M42" s="17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ht="15" customHeight="1">
      <c r="A43" s="379" t="s">
        <v>535</v>
      </c>
      <c r="C43" s="23"/>
      <c r="D43" s="23"/>
      <c r="E43" s="23"/>
      <c r="F43" s="173"/>
      <c r="G43" s="173"/>
      <c r="H43" s="173"/>
      <c r="I43" s="173"/>
      <c r="J43" s="173"/>
      <c r="K43" s="173"/>
      <c r="L43" s="173"/>
      <c r="M43" s="17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ht="12.75" customHeight="1">
      <c r="A44" s="225"/>
      <c r="F44" s="24"/>
      <c r="G44" s="24"/>
      <c r="H44" s="24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>
      <formula1>0</formula1>
    </dataValidation>
    <dataValidation type="whole" operator="greaterThanOrEqual" allowBlank="1" showInputMessage="1" showErrorMessage="1" prompt="Ввести как положительное число." sqref="C28:D28 C14:D14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30:E33 E12 E28:E29 B19:B25 B29:D29 B27 B26:D26 E37:E39 B34:B36 B37:D37 B28 E34:E36 B39:D39 B38" unlockedFormula="1"/>
    <ignoredError sqref="E26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Saidov Nuraddin Koxramon o'g'li</cp:lastModifiedBy>
  <cp:lastPrinted>2025-01-06T05:03:23Z</cp:lastPrinted>
  <dcterms:created xsi:type="dcterms:W3CDTF">2014-01-27T05:06:32Z</dcterms:created>
  <dcterms:modified xsi:type="dcterms:W3CDTF">2025-01-07T10:43:29Z</dcterms:modified>
</cp:coreProperties>
</file>