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D:\Bozorov Ruslan-07.01.2026\Докторлик диссертация-20.04.2025\Докторлик дис-19.04.2025\Банклар маълумоти\Ўзсаноатқурилишбанк-31.12.2020-31.12.2025\2021\"/>
    </mc:Choice>
  </mc:AlternateContent>
  <xr:revisionPtr revIDLastSave="0" documentId="13_ncr:1_{0DAE8FC8-0E80-4F28-A7B0-A81D23585D0A}" xr6:coauthVersionLast="47" xr6:coauthVersionMax="47" xr10:uidLastSave="{00000000-0000-0000-0000-000000000000}"/>
  <bookViews>
    <workbookView xWindow="390" yWindow="390" windowWidth="16635" windowHeight="14115" tabRatio="923" xr2:uid="{00000000-000D-0000-FFFF-FFFF00000000}"/>
  </bookViews>
  <sheets>
    <sheet name="Asset quality" sheetId="26" r:id="rId1"/>
    <sheet name="Income " sheetId="2" r:id="rId2"/>
    <sheet name="Analysis of Interest" sheetId="3" r:id="rId3"/>
    <sheet name="Changes in Equity" sheetId="6" r:id="rId4"/>
    <sheet name="Loans Receivable" sheetId="24" r:id="rId5"/>
    <sheet name="Aging Analysis" sheetId="9" r:id="rId6"/>
    <sheet name="Asset Classification" sheetId="10" r:id="rId7"/>
    <sheet name="Transactions of related parties" sheetId="43" r:id="rId8"/>
    <sheet name=" Largest risk" sheetId="44" r:id="rId9"/>
    <sheet name="Charge-offs and Recoveries" sheetId="13" r:id="rId10"/>
    <sheet name="loans_av rate" sheetId="35" r:id="rId11"/>
    <sheet name="loans type" sheetId="40" r:id="rId12"/>
    <sheet name="Bank Capital Calc (2)" sheetId="41" state="hidden" r:id="rId13"/>
    <sheet name="Deposits_av rate" sheetId="30" r:id="rId14"/>
    <sheet name="Economic Normatives" sheetId="20" r:id="rId15"/>
    <sheet name="Miscellaneous" sheetId="21" r:id="rId16"/>
    <sheet name="ПФУ" sheetId="42" r:id="rId17"/>
  </sheets>
  <externalReferences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</externalReferences>
  <definedNames>
    <definedName name="____add21" localSheetId="16" hidden="1">[1]tab17!#REF!</definedName>
    <definedName name="___add21" localSheetId="16" hidden="1">[1]tab17!#REF!</definedName>
    <definedName name="__123Graph_A" localSheetId="16" hidden="1">'[2]tab 19'!#REF!</definedName>
    <definedName name="__123Graph_B" localSheetId="16" hidden="1">[3]tab17!#REF!</definedName>
    <definedName name="__123Graph_X" localSheetId="16" hidden="1">[3]tab17!#REF!</definedName>
    <definedName name="__4__123Graph_ACHART_2" hidden="1">[4]A!$C$31:$AJ$31</definedName>
    <definedName name="__add21" localSheetId="16" hidden="1">[1]tab17!#REF!</definedName>
    <definedName name="_10__123Graph_AREALEX_WAGE" localSheetId="16" hidden="1">'[2]tab 19'!#REF!</definedName>
    <definedName name="_10__123Graph_BREALEX_WAGE" localSheetId="16" hidden="1">#REF!</definedName>
    <definedName name="_12__123Graph_BREALEX_WAGE" localSheetId="16" hidden="1">#REF!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localSheetId="16" hidden="1">#REF!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localSheetId="16" hidden="1">#REF!</definedName>
    <definedName name="_20__123Graph_BREALEX_WAGE" localSheetId="16" hidden="1">#REF!</definedName>
    <definedName name="_22__123Graph_CCHART_2" hidden="1">[4]A!$C$38:$AJ$38</definedName>
    <definedName name="_22__123Graph_XREALEX_WAGE" localSheetId="16" hidden="1">#REF!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localSheetId="16" hidden="1">#REF!</definedName>
    <definedName name="_36__123Graph_XREALEX_WAGE" localSheetId="16" hidden="1">#REF!</definedName>
    <definedName name="_5__123Graph_AREALEX_WAGE" localSheetId="16" hidden="1">'[2]tab 19'!#REF!</definedName>
    <definedName name="_6__123Graph_AREALEX_WAGE" localSheetId="16" hidden="1">'[5]tab 19'!#REF!</definedName>
    <definedName name="_8__123Graph_AREALEX_WAGE" localSheetId="16" hidden="1">'[2]tab 19'!#REF!</definedName>
    <definedName name="_9__123Graph_BCHART_2" hidden="1">[4]A!$C$36:$AJ$36</definedName>
    <definedName name="_add21" localSheetId="16" hidden="1">[1]tab17!#REF!</definedName>
    <definedName name="_Key1" localSheetId="16" hidden="1">#REF!</definedName>
    <definedName name="_Key2" localSheetId="16" hidden="1">#REF!</definedName>
    <definedName name="_Order2" hidden="1">0</definedName>
    <definedName name="_Parse_Out" localSheetId="16" hidden="1">#REF!</definedName>
    <definedName name="_Sort" localSheetId="16" hidden="1">#REF!</definedName>
    <definedName name="jop" localSheetId="12">#REF!</definedName>
    <definedName name="kol" localSheetId="12">#REF!</definedName>
    <definedName name="RISKTOTASS" localSheetId="11">SUM('[6]Calculation of Risk Weighted As'!$C$38:$F$38)</definedName>
    <definedName name="RISKTOTASS" localSheetId="16">SUM('[7]Calculation of Risk Weighted As'!$C$41:$G$41)</definedName>
    <definedName name="rs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teset" localSheetId="16" hidden="1">{#N/A,#N/A,FALSE,"SimInp1";#N/A,#N/A,FALSE,"SimInp2";#N/A,#N/A,FALSE,"SimOut1";#N/A,#N/A,FALSE,"SimOut2";#N/A,#N/A,FALSE,"SimOut3";#N/A,#N/A,FALSE,"SimOut4";#N/A,#N/A,FALSE,"SimOut5"}</definedName>
    <definedName name="TwentyLargestData" localSheetId="12">#REF!</definedName>
    <definedName name="wrn.BOP_MIDTERM." localSheetId="16" hidden="1">{"BOP_TAB",#N/A,FALSE,"N";"MIDTERM_TAB",#N/A,FALSE,"O"}</definedName>
    <definedName name="wrn.Input._.and._.output._.tables." localSheetId="16" hidden="1">{#N/A,#N/A,FALSE,"SimInp1";#N/A,#N/A,FALSE,"SimInp2";#N/A,#N/A,FALSE,"SimOut1";#N/A,#N/A,FALSE,"SimOut2";#N/A,#N/A,FALSE,"SimOut3";#N/A,#N/A,FALSE,"SimOut4";#N/A,#N/A,FALSE,"SimOut5"}</definedName>
    <definedName name="wrn.Input._.Report.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wrn.MDABOP." localSheetId="16" hidden="1">{"BOP_TAB",#N/A,FALSE,"N";"MIDTERM_TAB",#N/A,FALSE,"O";"FUND_CRED",#N/A,FALSE,"P";"DEBT_TAB1",#N/A,FALSE,"Q";"DEBT_TAB2",#N/A,FALSE,"Q";"FORFIN_TAB1",#N/A,FALSE,"R";"FORFIN_TAB2",#N/A,FALSE,"R";"BOP_ANALY",#N/A,FALSE,"U"}</definedName>
    <definedName name="wrn.MONA." localSheetId="16" hidden="1">{"MONA",#N/A,FALSE,"S"}</definedName>
    <definedName name="wrn.Output._.tables." localSheetId="16" hidden="1">{#N/A,#N/A,FALSE,"I";#N/A,#N/A,FALSE,"J";#N/A,#N/A,FALSE,"K";#N/A,#N/A,FALSE,"L";#N/A,#N/A,FALSE,"M";#N/A,#N/A,FALSE,"N";#N/A,#N/A,FALSE,"O"}</definedName>
    <definedName name="wrn.WEO." localSheetId="16" hidden="1">{"WEO",#N/A,FALSE,"T"}</definedName>
    <definedName name="апв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Е" localSheetId="12">#REF!</definedName>
    <definedName name="_xlnm.Print_Area" localSheetId="8">' Largest risk'!$A$1:$Z$70</definedName>
    <definedName name="_xlnm.Print_Area" localSheetId="5">'Aging Analysis'!$A$1:$Y$39</definedName>
    <definedName name="_xlnm.Print_Area" localSheetId="2">'Analysis of Interest'!$A$1:$C$76</definedName>
    <definedName name="_xlnm.Print_Area" localSheetId="6">'Asset Classification'!$A$1:$AB$76</definedName>
    <definedName name="_xlnm.Print_Area" localSheetId="0">'Asset quality'!$A$1:$S$69</definedName>
    <definedName name="_xlnm.Print_Area" localSheetId="12">'Bank Capital Calc (2)'!$A$1:$C$55</definedName>
    <definedName name="_xlnm.Print_Area" localSheetId="3">'Changes in Equity'!$A$1:$C$18</definedName>
    <definedName name="_xlnm.Print_Area" localSheetId="9">'Charge-offs and Recoveries'!$A$1:$J$53</definedName>
    <definedName name="_xlnm.Print_Area" localSheetId="13">'Deposits_av rate'!$A$1:$N$21</definedName>
    <definedName name="_xlnm.Print_Area" localSheetId="14">'Economic Normatives'!$A$1:$K$49</definedName>
    <definedName name="_xlnm.Print_Area" localSheetId="1">'Income '!$A$1:$E$83</definedName>
    <definedName name="_xlnm.Print_Area" localSheetId="4">'Loans Receivable'!$A$1:$Y$97</definedName>
    <definedName name="_xlnm.Print_Area" localSheetId="11">'loans type'!$A$1:$Z$43</definedName>
    <definedName name="_xlnm.Print_Area" localSheetId="10">'loans_av rate'!$A$1:$H$45</definedName>
    <definedName name="_xlnm.Print_Area" localSheetId="15">Miscellaneous!$A$1:$C$30</definedName>
    <definedName name="_xlnm.Print_Area" localSheetId="7">'Transactions of related parties'!$A$1:$Z$70</definedName>
    <definedName name="_xlnm.Print_Area" localSheetId="16">ПФУ!$A$1:$B$44</definedName>
    <definedName name="тмвюқт" localSheetId="16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2" i="20" l="1"/>
  <c r="I27" i="20"/>
  <c r="E8" i="30"/>
  <c r="K8" i="30" s="1"/>
  <c r="E9" i="30"/>
  <c r="G8" i="30"/>
  <c r="M8" i="30" s="1"/>
  <c r="AB48" i="10" l="1"/>
  <c r="AA48" i="10"/>
  <c r="U77" i="10" l="1"/>
  <c r="Q77" i="10"/>
  <c r="M77" i="10"/>
  <c r="Q69" i="10" l="1"/>
  <c r="D69" i="2" l="1"/>
  <c r="D68" i="2"/>
  <c r="D62" i="2"/>
  <c r="D59" i="2"/>
  <c r="G9" i="30" l="1"/>
  <c r="E69" i="10" l="1"/>
  <c r="C6" i="21" l="1"/>
  <c r="G9" i="44" l="1"/>
  <c r="S69" i="10" l="1"/>
  <c r="G43" i="44" l="1"/>
  <c r="G44" i="44"/>
  <c r="G45" i="44"/>
  <c r="G46" i="44"/>
  <c r="G47" i="44"/>
  <c r="G48" i="44"/>
  <c r="G49" i="44"/>
  <c r="G50" i="44"/>
  <c r="G17" i="44"/>
  <c r="I13" i="20" l="1"/>
  <c r="I11" i="20"/>
  <c r="I9" i="20"/>
  <c r="I7" i="20"/>
  <c r="G15" i="30" l="1"/>
  <c r="M15" i="30" s="1"/>
  <c r="G14" i="30"/>
  <c r="M14" i="30" s="1"/>
  <c r="G13" i="30"/>
  <c r="M13" i="30" s="1"/>
  <c r="G12" i="30"/>
  <c r="M12" i="30" s="1"/>
  <c r="G11" i="30"/>
  <c r="M11" i="30" s="1"/>
  <c r="G10" i="30"/>
  <c r="M10" i="30" s="1"/>
  <c r="M9" i="30"/>
  <c r="E15" i="30"/>
  <c r="K15" i="30" s="1"/>
  <c r="E14" i="30"/>
  <c r="E13" i="30"/>
  <c r="E12" i="30"/>
  <c r="E11" i="30"/>
  <c r="E10" i="30"/>
  <c r="D53" i="42" l="1"/>
  <c r="C53" i="42"/>
  <c r="B53" i="42"/>
  <c r="D52" i="42"/>
  <c r="C52" i="42"/>
  <c r="B52" i="42"/>
  <c r="D51" i="42"/>
  <c r="B38" i="42"/>
  <c r="B9" i="42"/>
  <c r="B8" i="42"/>
  <c r="B6" i="42"/>
  <c r="B5" i="42"/>
  <c r="G24" i="30"/>
  <c r="C24" i="30"/>
  <c r="P15" i="30"/>
  <c r="B4" i="42" l="1"/>
  <c r="B7" i="42"/>
  <c r="O69" i="10" l="1"/>
  <c r="C69" i="2" l="1"/>
  <c r="W69" i="10" l="1"/>
  <c r="U69" i="10"/>
  <c r="M69" i="10"/>
  <c r="I69" i="10"/>
  <c r="C68" i="2" l="1"/>
  <c r="C67" i="2"/>
  <c r="C66" i="2"/>
  <c r="C65" i="2"/>
  <c r="C64" i="2"/>
  <c r="C63" i="2"/>
  <c r="C62" i="2"/>
  <c r="C61" i="2"/>
  <c r="C60" i="2"/>
  <c r="C59" i="2"/>
  <c r="K69" i="10" l="1"/>
  <c r="AA63" i="44" l="1"/>
  <c r="AA62" i="44"/>
  <c r="AA61" i="44"/>
  <c r="AA60" i="44"/>
  <c r="AA59" i="44"/>
  <c r="AA58" i="44"/>
  <c r="AA57" i="44"/>
  <c r="AA56" i="44"/>
  <c r="AA51" i="44"/>
  <c r="AA50" i="44"/>
  <c r="Y64" i="44"/>
  <c r="X64" i="44"/>
  <c r="V64" i="44"/>
  <c r="T64" i="44"/>
  <c r="S64" i="44"/>
  <c r="R64" i="44"/>
  <c r="Q64" i="44"/>
  <c r="P64" i="44"/>
  <c r="O64" i="44"/>
  <c r="N64" i="44"/>
  <c r="M64" i="44"/>
  <c r="L64" i="44"/>
  <c r="K64" i="44"/>
  <c r="J64" i="44"/>
  <c r="I64" i="44"/>
  <c r="H64" i="44"/>
  <c r="AA63" i="43"/>
  <c r="AA62" i="43"/>
  <c r="AA61" i="43"/>
  <c r="AA60" i="43"/>
  <c r="AA59" i="43"/>
  <c r="AA58" i="43"/>
  <c r="AA57" i="43"/>
  <c r="AA56" i="43"/>
  <c r="AA55" i="43"/>
  <c r="AA54" i="43"/>
  <c r="AA53" i="43"/>
  <c r="AA52" i="43"/>
  <c r="AA51" i="43"/>
  <c r="AA50" i="43"/>
  <c r="AA49" i="43"/>
  <c r="AA48" i="43"/>
  <c r="AA47" i="43"/>
  <c r="AA46" i="43"/>
  <c r="AA45" i="43"/>
  <c r="AA44" i="43"/>
  <c r="AA43" i="43"/>
  <c r="AA42" i="43"/>
  <c r="AA41" i="43"/>
  <c r="Y64" i="43"/>
  <c r="X64" i="43"/>
  <c r="V64" i="43"/>
  <c r="T64" i="43"/>
  <c r="S64" i="43"/>
  <c r="R64" i="43"/>
  <c r="Q64" i="43"/>
  <c r="P64" i="43"/>
  <c r="O64" i="43"/>
  <c r="N64" i="43"/>
  <c r="M64" i="43"/>
  <c r="L64" i="43"/>
  <c r="K64" i="43"/>
  <c r="J64" i="43"/>
  <c r="I64" i="43"/>
  <c r="H64" i="43"/>
  <c r="B3" i="44" l="1"/>
  <c r="U3" i="44"/>
  <c r="V3" i="44"/>
  <c r="Z9" i="44"/>
  <c r="G10" i="44"/>
  <c r="Z10" i="44" s="1"/>
  <c r="G11" i="44"/>
  <c r="Z11" i="44" s="1"/>
  <c r="G12" i="44"/>
  <c r="Z12" i="44" s="1"/>
  <c r="G13" i="44"/>
  <c r="Z13" i="44" s="1"/>
  <c r="G14" i="44"/>
  <c r="Z14" i="44" s="1"/>
  <c r="G15" i="44"/>
  <c r="Z15" i="44" s="1"/>
  <c r="G16" i="44"/>
  <c r="Z16" i="44" s="1"/>
  <c r="Z17" i="44"/>
  <c r="G18" i="44"/>
  <c r="Z18" i="44" s="1"/>
  <c r="G19" i="44"/>
  <c r="Z19" i="44" s="1"/>
  <c r="G20" i="44"/>
  <c r="Z20" i="44" s="1"/>
  <c r="G21" i="44"/>
  <c r="Z21" i="44" s="1"/>
  <c r="G22" i="44"/>
  <c r="Z22" i="44" s="1"/>
  <c r="G23" i="44"/>
  <c r="Z23" i="44" s="1"/>
  <c r="G24" i="44"/>
  <c r="Z24" i="44" s="1"/>
  <c r="G25" i="44"/>
  <c r="Z25" i="44" s="1"/>
  <c r="G26" i="44"/>
  <c r="Z26" i="44" s="1"/>
  <c r="G27" i="44"/>
  <c r="Z27" i="44" s="1"/>
  <c r="G28" i="44"/>
  <c r="Z28" i="44" s="1"/>
  <c r="G29" i="44"/>
  <c r="Z29" i="44" s="1"/>
  <c r="G30" i="44"/>
  <c r="Z30" i="44" s="1"/>
  <c r="G31" i="44"/>
  <c r="Z31" i="44" s="1"/>
  <c r="G32" i="44"/>
  <c r="Z32" i="44" s="1"/>
  <c r="G33" i="44"/>
  <c r="Z33" i="44" s="1"/>
  <c r="G34" i="44"/>
  <c r="Z34" i="44" s="1"/>
  <c r="G35" i="44"/>
  <c r="Z35" i="44" s="1"/>
  <c r="G36" i="44"/>
  <c r="Z36" i="44" s="1"/>
  <c r="G37" i="44"/>
  <c r="Z37" i="44" s="1"/>
  <c r="G38" i="44"/>
  <c r="Z38" i="44" s="1"/>
  <c r="G39" i="44"/>
  <c r="Z39" i="44" s="1"/>
  <c r="G40" i="44"/>
  <c r="Z40" i="44" s="1"/>
  <c r="G41" i="44"/>
  <c r="Z41" i="44" s="1"/>
  <c r="G42" i="44"/>
  <c r="Z42" i="44" s="1"/>
  <c r="Z43" i="44"/>
  <c r="Z44" i="44"/>
  <c r="Z45" i="44"/>
  <c r="Z46" i="44"/>
  <c r="Z47" i="44"/>
  <c r="Z48" i="44"/>
  <c r="Z49" i="44"/>
  <c r="Z50" i="44"/>
  <c r="G51" i="44"/>
  <c r="Z51" i="44" s="1"/>
  <c r="G52" i="44"/>
  <c r="Z52" i="44" s="1"/>
  <c r="G53" i="44"/>
  <c r="Z53" i="44" s="1"/>
  <c r="G54" i="44"/>
  <c r="Z54" i="44" s="1"/>
  <c r="G55" i="44"/>
  <c r="Z55" i="44" s="1"/>
  <c r="G56" i="44"/>
  <c r="Z56" i="44" s="1"/>
  <c r="G57" i="44"/>
  <c r="Z57" i="44" s="1"/>
  <c r="G58" i="44"/>
  <c r="Z58" i="44" s="1"/>
  <c r="G59" i="44"/>
  <c r="Z59" i="44" s="1"/>
  <c r="G60" i="44"/>
  <c r="Z60" i="44" s="1"/>
  <c r="G61" i="44"/>
  <c r="Z61" i="44" s="1"/>
  <c r="G62" i="44"/>
  <c r="Z62" i="44" s="1"/>
  <c r="G63" i="44"/>
  <c r="Z63" i="44" s="1"/>
  <c r="B3" i="43"/>
  <c r="U3" i="43"/>
  <c r="V3" i="43"/>
  <c r="G9" i="43"/>
  <c r="G10" i="43"/>
  <c r="Z10" i="43" s="1"/>
  <c r="AA10" i="43" s="1"/>
  <c r="G11" i="43"/>
  <c r="Z11" i="43" s="1"/>
  <c r="G12" i="43"/>
  <c r="Z12" i="43" s="1"/>
  <c r="G13" i="43"/>
  <c r="Z13" i="43" s="1"/>
  <c r="G14" i="43"/>
  <c r="Z14" i="43" s="1"/>
  <c r="G15" i="43"/>
  <c r="Z15" i="43" s="1"/>
  <c r="G16" i="43"/>
  <c r="Z16" i="43" s="1"/>
  <c r="G17" i="43"/>
  <c r="Z17" i="43" s="1"/>
  <c r="G18" i="43"/>
  <c r="Z18" i="43" s="1"/>
  <c r="G19" i="43"/>
  <c r="Z19" i="43" s="1"/>
  <c r="G20" i="43"/>
  <c r="Z20" i="43" s="1"/>
  <c r="G21" i="43"/>
  <c r="Z21" i="43" s="1"/>
  <c r="G22" i="43"/>
  <c r="Z22" i="43" s="1"/>
  <c r="G23" i="43"/>
  <c r="Z23" i="43" s="1"/>
  <c r="G24" i="43"/>
  <c r="Z24" i="43" s="1"/>
  <c r="G25" i="43"/>
  <c r="Z25" i="43" s="1"/>
  <c r="G26" i="43"/>
  <c r="Z26" i="43" s="1"/>
  <c r="G27" i="43"/>
  <c r="Z27" i="43" s="1"/>
  <c r="G28" i="43"/>
  <c r="Z28" i="43" s="1"/>
  <c r="AA28" i="43" s="1"/>
  <c r="G29" i="43"/>
  <c r="Z29" i="43" s="1"/>
  <c r="G30" i="43"/>
  <c r="Z30" i="43" s="1"/>
  <c r="G31" i="43"/>
  <c r="Z31" i="43" s="1"/>
  <c r="AA31" i="43" s="1"/>
  <c r="G32" i="43"/>
  <c r="Z32" i="43" s="1"/>
  <c r="AA32" i="43" s="1"/>
  <c r="G33" i="43"/>
  <c r="Z33" i="43" s="1"/>
  <c r="G34" i="43"/>
  <c r="Z34" i="43" s="1"/>
  <c r="G35" i="43"/>
  <c r="Z35" i="43" s="1"/>
  <c r="G36" i="43"/>
  <c r="Z36" i="43" s="1"/>
  <c r="G37" i="43"/>
  <c r="Z37" i="43" s="1"/>
  <c r="G38" i="43"/>
  <c r="Z38" i="43" s="1"/>
  <c r="AA38" i="43" s="1"/>
  <c r="G39" i="43"/>
  <c r="Z39" i="43" s="1"/>
  <c r="AA39" i="43" s="1"/>
  <c r="G40" i="43"/>
  <c r="Z40" i="43" s="1"/>
  <c r="AA40" i="43" s="1"/>
  <c r="G41" i="43"/>
  <c r="Z41" i="43" s="1"/>
  <c r="G42" i="43"/>
  <c r="Z42" i="43" s="1"/>
  <c r="G43" i="43"/>
  <c r="Z43" i="43" s="1"/>
  <c r="G44" i="43"/>
  <c r="Z44" i="43" s="1"/>
  <c r="G45" i="43"/>
  <c r="Z45" i="43" s="1"/>
  <c r="G46" i="43"/>
  <c r="Z46" i="43" s="1"/>
  <c r="G47" i="43"/>
  <c r="Z47" i="43" s="1"/>
  <c r="G48" i="43"/>
  <c r="Z48" i="43" s="1"/>
  <c r="G49" i="43"/>
  <c r="Z49" i="43" s="1"/>
  <c r="G50" i="43"/>
  <c r="Z50" i="43" s="1"/>
  <c r="G51" i="43"/>
  <c r="Z51" i="43" s="1"/>
  <c r="G52" i="43"/>
  <c r="Z52" i="43" s="1"/>
  <c r="G53" i="43"/>
  <c r="Z53" i="43" s="1"/>
  <c r="G54" i="43"/>
  <c r="Z54" i="43" s="1"/>
  <c r="G55" i="43"/>
  <c r="Z55" i="43" s="1"/>
  <c r="G56" i="43"/>
  <c r="Z56" i="43" s="1"/>
  <c r="G57" i="43"/>
  <c r="Z57" i="43" s="1"/>
  <c r="G58" i="43"/>
  <c r="Z58" i="43" s="1"/>
  <c r="G59" i="43"/>
  <c r="Z59" i="43" s="1"/>
  <c r="G60" i="43"/>
  <c r="Z60" i="43" s="1"/>
  <c r="G61" i="43"/>
  <c r="Z61" i="43" s="1"/>
  <c r="G62" i="43"/>
  <c r="Z62" i="43" s="1"/>
  <c r="G63" i="43"/>
  <c r="Z63" i="43" s="1"/>
  <c r="AA37" i="44" l="1"/>
  <c r="AA38" i="44"/>
  <c r="AA39" i="44"/>
  <c r="I25" i="20"/>
  <c r="AA14" i="43"/>
  <c r="AA13" i="43"/>
  <c r="AA24" i="43"/>
  <c r="AA22" i="43"/>
  <c r="AA16" i="43"/>
  <c r="AA12" i="43"/>
  <c r="AA42" i="44"/>
  <c r="AA40" i="44"/>
  <c r="AA52" i="44"/>
  <c r="AA54" i="44"/>
  <c r="AA55" i="44"/>
  <c r="AA21" i="43"/>
  <c r="AA23" i="43"/>
  <c r="AA15" i="43"/>
  <c r="AA11" i="43"/>
  <c r="AA41" i="44"/>
  <c r="AA21" i="44"/>
  <c r="AA48" i="44"/>
  <c r="AA44" i="44"/>
  <c r="AA49" i="44"/>
  <c r="AA45" i="44"/>
  <c r="AA46" i="44"/>
  <c r="AA47" i="44"/>
  <c r="AA43" i="44"/>
  <c r="AA28" i="44"/>
  <c r="AA29" i="44"/>
  <c r="AA30" i="44"/>
  <c r="AA31" i="44"/>
  <c r="AA36" i="44"/>
  <c r="AA32" i="44"/>
  <c r="AA33" i="44"/>
  <c r="AA34" i="44"/>
  <c r="AA35" i="44"/>
  <c r="AA24" i="44"/>
  <c r="AA25" i="44"/>
  <c r="AA26" i="44"/>
  <c r="AA22" i="44"/>
  <c r="AA27" i="44"/>
  <c r="AA23" i="44"/>
  <c r="AA20" i="43"/>
  <c r="AA19" i="43"/>
  <c r="AA18" i="43"/>
  <c r="AA17" i="43"/>
  <c r="G64" i="43"/>
  <c r="AA25" i="43"/>
  <c r="AA26" i="43"/>
  <c r="AA27" i="43"/>
  <c r="AA37" i="43"/>
  <c r="AA36" i="43"/>
  <c r="AA35" i="43"/>
  <c r="AA33" i="43"/>
  <c r="AA34" i="43"/>
  <c r="AA30" i="43"/>
  <c r="AA29" i="43"/>
  <c r="AA20" i="44"/>
  <c r="AA19" i="44"/>
  <c r="AA15" i="44"/>
  <c r="G64" i="44"/>
  <c r="Z9" i="43"/>
  <c r="AA17" i="44" l="1"/>
  <c r="AA53" i="44"/>
  <c r="AA14" i="44"/>
  <c r="AA10" i="44"/>
  <c r="AA11" i="44"/>
  <c r="AA16" i="44"/>
  <c r="AA18" i="44"/>
  <c r="AA12" i="44"/>
  <c r="AA13" i="44"/>
  <c r="AA9" i="43"/>
  <c r="Z65" i="43" s="1"/>
  <c r="I39" i="20" s="1"/>
  <c r="Z64" i="43"/>
  <c r="I41" i="20" s="1"/>
  <c r="AA9" i="44"/>
  <c r="Z64" i="44"/>
  <c r="I29" i="20" s="1"/>
  <c r="Z65" i="44" l="1"/>
  <c r="AA65" i="44" s="1"/>
  <c r="AA65" i="43"/>
  <c r="H65" i="43" s="1"/>
  <c r="I23" i="20" l="1"/>
  <c r="Y65" i="44"/>
  <c r="L65" i="43"/>
  <c r="S65" i="43"/>
  <c r="M65" i="43"/>
  <c r="G65" i="43"/>
  <c r="N65" i="43"/>
  <c r="T65" i="43"/>
  <c r="Q65" i="43"/>
  <c r="I65" i="43"/>
  <c r="P65" i="43"/>
  <c r="O65" i="43"/>
  <c r="J65" i="43"/>
  <c r="V65" i="43"/>
  <c r="X65" i="43"/>
  <c r="R65" i="43"/>
  <c r="K65" i="43"/>
  <c r="Y65" i="43"/>
  <c r="J8" i="13"/>
  <c r="I8" i="13"/>
  <c r="H8" i="13"/>
  <c r="G8" i="13"/>
  <c r="F8" i="13"/>
  <c r="E8" i="13"/>
  <c r="D8" i="13"/>
  <c r="C8" i="13"/>
  <c r="J18" i="13"/>
  <c r="I18" i="13"/>
  <c r="H18" i="13"/>
  <c r="G18" i="13"/>
  <c r="F18" i="13"/>
  <c r="E18" i="13"/>
  <c r="D18" i="13"/>
  <c r="C18" i="13"/>
  <c r="I32" i="13"/>
  <c r="H32" i="13"/>
  <c r="G32" i="13"/>
  <c r="F32" i="13"/>
  <c r="E32" i="13"/>
  <c r="D32" i="13"/>
  <c r="C32" i="13"/>
  <c r="I42" i="13"/>
  <c r="H42" i="13"/>
  <c r="G42" i="13"/>
  <c r="F42" i="13"/>
  <c r="E42" i="13"/>
  <c r="D42" i="13"/>
  <c r="C42" i="13"/>
  <c r="X65" i="44" l="1"/>
  <c r="Q65" i="44"/>
  <c r="K65" i="44"/>
  <c r="P65" i="44"/>
  <c r="G65" i="44"/>
  <c r="R65" i="44"/>
  <c r="N65" i="44"/>
  <c r="J65" i="44"/>
  <c r="T65" i="44"/>
  <c r="I65" i="44"/>
  <c r="M65" i="44"/>
  <c r="L65" i="44"/>
  <c r="H65" i="44"/>
  <c r="O65" i="44"/>
  <c r="S65" i="44"/>
  <c r="V65" i="44"/>
  <c r="G25" i="13"/>
  <c r="H25" i="13"/>
  <c r="E25" i="13"/>
  <c r="F25" i="13"/>
  <c r="D25" i="13"/>
  <c r="J25" i="13"/>
  <c r="I25" i="13"/>
  <c r="D49" i="13"/>
  <c r="E49" i="13"/>
  <c r="F49" i="13"/>
  <c r="G49" i="13"/>
  <c r="H49" i="13"/>
  <c r="I49" i="13"/>
  <c r="C73" i="2" l="1"/>
  <c r="I3" i="13" l="1"/>
  <c r="J4" i="13" s="1"/>
  <c r="C28" i="13" l="1"/>
  <c r="I28" i="13"/>
  <c r="C4" i="13"/>
  <c r="AB30" i="10"/>
  <c r="AA30" i="10"/>
  <c r="AB68" i="10"/>
  <c r="AA68" i="10"/>
  <c r="AB51" i="10"/>
  <c r="AA51" i="10"/>
  <c r="AB50" i="10"/>
  <c r="AB71" i="10" s="1"/>
  <c r="AA50" i="10"/>
  <c r="AA71" i="10" s="1"/>
  <c r="C45" i="2"/>
  <c r="C44" i="2"/>
  <c r="C49" i="13" l="1"/>
  <c r="C25" i="13"/>
  <c r="D70" i="10" l="1"/>
  <c r="D69" i="10"/>
  <c r="D67" i="10"/>
  <c r="D66" i="10"/>
  <c r="D65" i="10"/>
  <c r="D64" i="10"/>
  <c r="D63" i="10"/>
  <c r="D62" i="10"/>
  <c r="D61" i="10"/>
  <c r="D60" i="10"/>
  <c r="D59" i="10"/>
  <c r="D58" i="10"/>
  <c r="D57" i="10"/>
  <c r="D56" i="10"/>
  <c r="D55" i="10"/>
  <c r="D54" i="10"/>
  <c r="D49" i="10"/>
  <c r="D48" i="10"/>
  <c r="D47" i="10"/>
  <c r="D46" i="10"/>
  <c r="D45" i="10"/>
  <c r="D44" i="10"/>
  <c r="D43" i="10"/>
  <c r="D42" i="10"/>
  <c r="D41" i="10"/>
  <c r="D40" i="10"/>
  <c r="D39" i="10"/>
  <c r="D38" i="10"/>
  <c r="D37" i="10"/>
  <c r="D36" i="10"/>
  <c r="D35" i="10"/>
  <c r="D34" i="10"/>
  <c r="D29" i="10"/>
  <c r="D28" i="10"/>
  <c r="D27" i="10"/>
  <c r="D26" i="10"/>
  <c r="D25" i="10"/>
  <c r="D24" i="10"/>
  <c r="D23" i="10"/>
  <c r="D22" i="10"/>
  <c r="D21" i="10"/>
  <c r="D20" i="10"/>
  <c r="D19" i="10"/>
  <c r="D18" i="10"/>
  <c r="D17" i="10"/>
  <c r="D16" i="10"/>
  <c r="D15" i="10"/>
  <c r="D14" i="10"/>
  <c r="D13" i="10"/>
  <c r="D12" i="10"/>
  <c r="D11" i="10"/>
  <c r="D10" i="10"/>
  <c r="D9" i="10"/>
  <c r="D8" i="10"/>
  <c r="D7" i="10"/>
  <c r="D6" i="10"/>
  <c r="E33" i="40" l="1"/>
  <c r="F33" i="40" s="1"/>
  <c r="E11" i="40"/>
  <c r="G11" i="40"/>
  <c r="I11" i="40"/>
  <c r="J11" i="40"/>
  <c r="K11" i="40"/>
  <c r="L11" i="40"/>
  <c r="M11" i="40"/>
  <c r="N11" i="40"/>
  <c r="O11" i="40"/>
  <c r="P11" i="40"/>
  <c r="Q11" i="40"/>
  <c r="R11" i="40"/>
  <c r="T11" i="40"/>
  <c r="U11" i="40"/>
  <c r="V11" i="40"/>
  <c r="W11" i="40"/>
  <c r="X11" i="40"/>
  <c r="Y11" i="40"/>
  <c r="Z11" i="40"/>
  <c r="C12" i="40"/>
  <c r="S12" i="40"/>
  <c r="C13" i="40"/>
  <c r="S13" i="40"/>
  <c r="C14" i="40"/>
  <c r="S14" i="40"/>
  <c r="C15" i="40"/>
  <c r="S15" i="40"/>
  <c r="E16" i="40"/>
  <c r="F16" i="40" s="1"/>
  <c r="G16" i="40"/>
  <c r="H16" i="40" s="1"/>
  <c r="I16" i="40"/>
  <c r="J16" i="40"/>
  <c r="K16" i="40"/>
  <c r="L16" i="40"/>
  <c r="M16" i="40"/>
  <c r="N16" i="40"/>
  <c r="O16" i="40"/>
  <c r="P16" i="40"/>
  <c r="Q16" i="40"/>
  <c r="R16" i="40"/>
  <c r="T16" i="40"/>
  <c r="U16" i="40"/>
  <c r="V16" i="40"/>
  <c r="W16" i="40"/>
  <c r="X16" i="40"/>
  <c r="Y16" i="40"/>
  <c r="Z16" i="40"/>
  <c r="C17" i="40"/>
  <c r="S17" i="40"/>
  <c r="C18" i="40"/>
  <c r="S18" i="40"/>
  <c r="C19" i="40"/>
  <c r="S19" i="40"/>
  <c r="C20" i="40"/>
  <c r="S20" i="40"/>
  <c r="C21" i="40"/>
  <c r="S21" i="40"/>
  <c r="C22" i="40"/>
  <c r="S22" i="40"/>
  <c r="C23" i="40"/>
  <c r="S23" i="40"/>
  <c r="C24" i="40"/>
  <c r="S24" i="40"/>
  <c r="E26" i="40"/>
  <c r="E25" i="40" s="1"/>
  <c r="F25" i="40" s="1"/>
  <c r="G26" i="40"/>
  <c r="H26" i="40" s="1"/>
  <c r="I26" i="40"/>
  <c r="I25" i="40" s="1"/>
  <c r="J26" i="40"/>
  <c r="J25" i="40" s="1"/>
  <c r="K26" i="40"/>
  <c r="K25" i="40" s="1"/>
  <c r="L26" i="40"/>
  <c r="L25" i="40" s="1"/>
  <c r="M26" i="40"/>
  <c r="M25" i="40" s="1"/>
  <c r="N26" i="40"/>
  <c r="N25" i="40" s="1"/>
  <c r="O26" i="40"/>
  <c r="O25" i="40" s="1"/>
  <c r="P26" i="40"/>
  <c r="P25" i="40" s="1"/>
  <c r="Q26" i="40"/>
  <c r="Q25" i="40" s="1"/>
  <c r="R26" i="40"/>
  <c r="R25" i="40" s="1"/>
  <c r="T26" i="40"/>
  <c r="T25" i="40" s="1"/>
  <c r="U26" i="40"/>
  <c r="U25" i="40" s="1"/>
  <c r="V26" i="40"/>
  <c r="V25" i="40" s="1"/>
  <c r="W26" i="40"/>
  <c r="W25" i="40" s="1"/>
  <c r="X26" i="40"/>
  <c r="X25" i="40" s="1"/>
  <c r="Y26" i="40"/>
  <c r="Y25" i="40" s="1"/>
  <c r="Z26" i="40"/>
  <c r="Z25" i="40" s="1"/>
  <c r="C27" i="40"/>
  <c r="S27" i="40"/>
  <c r="C28" i="40"/>
  <c r="S28" i="40"/>
  <c r="C29" i="40"/>
  <c r="S29" i="40"/>
  <c r="C30" i="40"/>
  <c r="S30" i="40"/>
  <c r="C31" i="40"/>
  <c r="S31" i="40"/>
  <c r="C32" i="40"/>
  <c r="S32" i="40"/>
  <c r="G33" i="40"/>
  <c r="H33" i="40" s="1"/>
  <c r="I33" i="40"/>
  <c r="J33" i="40"/>
  <c r="K33" i="40"/>
  <c r="L33" i="40"/>
  <c r="M33" i="40"/>
  <c r="N33" i="40"/>
  <c r="O33" i="40"/>
  <c r="P33" i="40"/>
  <c r="Q33" i="40"/>
  <c r="R33" i="40"/>
  <c r="T33" i="40"/>
  <c r="U33" i="40"/>
  <c r="V33" i="40"/>
  <c r="W33" i="40"/>
  <c r="X33" i="40"/>
  <c r="Y33" i="40"/>
  <c r="Z33" i="40"/>
  <c r="C34" i="40"/>
  <c r="S34" i="40"/>
  <c r="C35" i="40"/>
  <c r="S35" i="40"/>
  <c r="C36" i="40"/>
  <c r="S36" i="40"/>
  <c r="C37" i="40"/>
  <c r="S37" i="40"/>
  <c r="C38" i="40"/>
  <c r="S38" i="40"/>
  <c r="C39" i="40"/>
  <c r="S39" i="40"/>
  <c r="Y34" i="9"/>
  <c r="X34" i="9"/>
  <c r="W34" i="9"/>
  <c r="V34" i="9"/>
  <c r="U34" i="9"/>
  <c r="T34" i="9"/>
  <c r="S34" i="9"/>
  <c r="R34" i="9"/>
  <c r="Q34" i="9"/>
  <c r="P34" i="9"/>
  <c r="O34" i="9"/>
  <c r="N34" i="9"/>
  <c r="M34" i="9"/>
  <c r="L34" i="9"/>
  <c r="G34" i="9"/>
  <c r="H29" i="9" s="1"/>
  <c r="E34" i="9"/>
  <c r="F28" i="9" s="1"/>
  <c r="J32" i="9"/>
  <c r="I32" i="9"/>
  <c r="J31" i="9"/>
  <c r="I31" i="9"/>
  <c r="J30" i="9"/>
  <c r="I30" i="9"/>
  <c r="J29" i="9"/>
  <c r="I29" i="9"/>
  <c r="J28" i="9"/>
  <c r="I28" i="9"/>
  <c r="J27" i="9"/>
  <c r="I27" i="9"/>
  <c r="J26" i="9"/>
  <c r="I26" i="9"/>
  <c r="J25" i="9"/>
  <c r="I25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G22" i="9"/>
  <c r="H22" i="9" s="1"/>
  <c r="E22" i="9"/>
  <c r="F24" i="9" s="1"/>
  <c r="J20" i="9"/>
  <c r="I20" i="9"/>
  <c r="J19" i="9"/>
  <c r="I19" i="9"/>
  <c r="J18" i="9"/>
  <c r="I18" i="9"/>
  <c r="J17" i="9"/>
  <c r="I17" i="9"/>
  <c r="J16" i="9"/>
  <c r="I16" i="9"/>
  <c r="J15" i="9"/>
  <c r="I15" i="9"/>
  <c r="J14" i="9"/>
  <c r="I14" i="9"/>
  <c r="J13" i="9"/>
  <c r="I13" i="9"/>
  <c r="J12" i="9"/>
  <c r="I12" i="9"/>
  <c r="J11" i="9"/>
  <c r="I11" i="9"/>
  <c r="J10" i="9"/>
  <c r="I10" i="9"/>
  <c r="J9" i="9"/>
  <c r="I9" i="9"/>
  <c r="Z9" i="40" l="1"/>
  <c r="Z8" i="40" s="1"/>
  <c r="H30" i="9"/>
  <c r="V9" i="40"/>
  <c r="V8" i="40" s="1"/>
  <c r="Q9" i="40"/>
  <c r="Q8" i="40" s="1"/>
  <c r="M9" i="40"/>
  <c r="M8" i="40" s="1"/>
  <c r="I9" i="40"/>
  <c r="I8" i="40" s="1"/>
  <c r="Y9" i="40"/>
  <c r="Y8" i="40" s="1"/>
  <c r="G9" i="40"/>
  <c r="F20" i="9"/>
  <c r="H25" i="9"/>
  <c r="R9" i="40"/>
  <c r="R8" i="40" s="1"/>
  <c r="J9" i="40"/>
  <c r="J8" i="40" s="1"/>
  <c r="I34" i="9"/>
  <c r="H14" i="9"/>
  <c r="H18" i="9"/>
  <c r="H13" i="9"/>
  <c r="H19" i="9"/>
  <c r="H20" i="9"/>
  <c r="H12" i="9"/>
  <c r="H11" i="9"/>
  <c r="H15" i="9"/>
  <c r="F29" i="9"/>
  <c r="F32" i="9"/>
  <c r="J22" i="9"/>
  <c r="F22" i="9"/>
  <c r="H28" i="9"/>
  <c r="H34" i="9"/>
  <c r="S11" i="40"/>
  <c r="F17" i="9"/>
  <c r="J34" i="9"/>
  <c r="H27" i="9"/>
  <c r="H9" i="9"/>
  <c r="H10" i="9"/>
  <c r="I22" i="9"/>
  <c r="H16" i="9"/>
  <c r="H17" i="9"/>
  <c r="F25" i="9"/>
  <c r="H26" i="9"/>
  <c r="H31" i="9"/>
  <c r="H32" i="9"/>
  <c r="F34" i="9"/>
  <c r="F12" i="9"/>
  <c r="F13" i="9"/>
  <c r="F9" i="9"/>
  <c r="S33" i="40"/>
  <c r="S26" i="40"/>
  <c r="S25" i="40" s="1"/>
  <c r="W9" i="40"/>
  <c r="W8" i="40" s="1"/>
  <c r="X9" i="40"/>
  <c r="X8" i="40" s="1"/>
  <c r="T9" i="40"/>
  <c r="T8" i="40" s="1"/>
  <c r="U9" i="40"/>
  <c r="U8" i="40" s="1"/>
  <c r="S16" i="40"/>
  <c r="N9" i="40"/>
  <c r="N8" i="40" s="1"/>
  <c r="O9" i="40"/>
  <c r="O8" i="40" s="1"/>
  <c r="P9" i="40"/>
  <c r="P8" i="40" s="1"/>
  <c r="K9" i="40"/>
  <c r="K8" i="40" s="1"/>
  <c r="L9" i="40"/>
  <c r="L8" i="40" s="1"/>
  <c r="C33" i="40"/>
  <c r="D33" i="40" s="1"/>
  <c r="F26" i="40"/>
  <c r="E9" i="40"/>
  <c r="E8" i="40" s="1"/>
  <c r="F11" i="40"/>
  <c r="C26" i="40"/>
  <c r="C16" i="40"/>
  <c r="D16" i="40" s="1"/>
  <c r="C11" i="40"/>
  <c r="D11" i="40" s="1"/>
  <c r="H11" i="40"/>
  <c r="G25" i="40"/>
  <c r="H25" i="40" s="1"/>
  <c r="F10" i="9"/>
  <c r="F18" i="9"/>
  <c r="F30" i="9"/>
  <c r="F11" i="9"/>
  <c r="F19" i="9"/>
  <c r="F31" i="9"/>
  <c r="F14" i="9"/>
  <c r="F26" i="9"/>
  <c r="F15" i="9"/>
  <c r="F27" i="9"/>
  <c r="F16" i="9"/>
  <c r="H9" i="40" l="1"/>
  <c r="S9" i="40"/>
  <c r="S8" i="40" s="1"/>
  <c r="F9" i="40"/>
  <c r="F8" i="40" s="1"/>
  <c r="D26" i="40"/>
  <c r="C25" i="40"/>
  <c r="D25" i="40" s="1"/>
  <c r="C9" i="40"/>
  <c r="D9" i="40" s="1"/>
  <c r="G8" i="40"/>
  <c r="H8" i="40" l="1"/>
  <c r="C8" i="40"/>
  <c r="D8" i="40" s="1"/>
  <c r="Y91" i="24" l="1"/>
  <c r="X91" i="24"/>
  <c r="W91" i="24"/>
  <c r="V91" i="24"/>
  <c r="U91" i="24"/>
  <c r="T91" i="24"/>
  <c r="S91" i="24"/>
  <c r="R91" i="24"/>
  <c r="Q91" i="24"/>
  <c r="P91" i="24"/>
  <c r="N91" i="24"/>
  <c r="M91" i="24"/>
  <c r="L91" i="24"/>
  <c r="K91" i="24"/>
  <c r="J91" i="24"/>
  <c r="I91" i="24"/>
  <c r="H91" i="24"/>
  <c r="F91" i="24"/>
  <c r="G91" i="24" s="1"/>
  <c r="D91" i="24"/>
  <c r="E91" i="24" s="1"/>
  <c r="Y90" i="24"/>
  <c r="X90" i="24"/>
  <c r="W90" i="24"/>
  <c r="V90" i="24"/>
  <c r="U90" i="24"/>
  <c r="T90" i="24"/>
  <c r="S90" i="24"/>
  <c r="R90" i="24"/>
  <c r="Q90" i="24"/>
  <c r="P90" i="24"/>
  <c r="N90" i="24"/>
  <c r="M90" i="24"/>
  <c r="L90" i="24"/>
  <c r="K90" i="24"/>
  <c r="J90" i="24"/>
  <c r="I90" i="24"/>
  <c r="H90" i="24"/>
  <c r="G90" i="24"/>
  <c r="F90" i="24"/>
  <c r="E90" i="24"/>
  <c r="D90" i="24"/>
  <c r="Y89" i="24"/>
  <c r="X89" i="24"/>
  <c r="W89" i="24"/>
  <c r="V89" i="24"/>
  <c r="U89" i="24"/>
  <c r="T89" i="24"/>
  <c r="S89" i="24"/>
  <c r="R89" i="24"/>
  <c r="Q89" i="24"/>
  <c r="P89" i="24"/>
  <c r="N89" i="24"/>
  <c r="M89" i="24"/>
  <c r="L89" i="24"/>
  <c r="K89" i="24"/>
  <c r="J89" i="24"/>
  <c r="I89" i="24"/>
  <c r="H89" i="24"/>
  <c r="F89" i="24"/>
  <c r="D89" i="24"/>
  <c r="Y88" i="24"/>
  <c r="X88" i="24"/>
  <c r="W88" i="24"/>
  <c r="V88" i="24"/>
  <c r="U88" i="24"/>
  <c r="T88" i="24"/>
  <c r="S88" i="24"/>
  <c r="R88" i="24"/>
  <c r="Q88" i="24"/>
  <c r="P88" i="24"/>
  <c r="N88" i="24"/>
  <c r="M88" i="24"/>
  <c r="L88" i="24"/>
  <c r="K88" i="24"/>
  <c r="J88" i="24"/>
  <c r="I88" i="24"/>
  <c r="H88" i="24"/>
  <c r="G88" i="24"/>
  <c r="F88" i="24"/>
  <c r="E88" i="24"/>
  <c r="D88" i="24"/>
  <c r="Y87" i="24"/>
  <c r="X87" i="24"/>
  <c r="W87" i="24"/>
  <c r="V87" i="24"/>
  <c r="U87" i="24"/>
  <c r="T87" i="24"/>
  <c r="S87" i="24"/>
  <c r="R87" i="24"/>
  <c r="Q87" i="24"/>
  <c r="P87" i="24"/>
  <c r="N87" i="24"/>
  <c r="M87" i="24"/>
  <c r="L87" i="24"/>
  <c r="K87" i="24"/>
  <c r="J87" i="24"/>
  <c r="I87" i="24"/>
  <c r="H87" i="24"/>
  <c r="F87" i="24"/>
  <c r="G87" i="24" s="1"/>
  <c r="D87" i="24"/>
  <c r="E87" i="24" s="1"/>
  <c r="Y86" i="24"/>
  <c r="X86" i="24"/>
  <c r="W86" i="24"/>
  <c r="V86" i="24"/>
  <c r="U86" i="24"/>
  <c r="T86" i="24"/>
  <c r="S86" i="24"/>
  <c r="R86" i="24"/>
  <c r="Q86" i="24"/>
  <c r="P86" i="24"/>
  <c r="N86" i="24"/>
  <c r="M86" i="24"/>
  <c r="L86" i="24"/>
  <c r="K86" i="24"/>
  <c r="J86" i="24"/>
  <c r="I86" i="24"/>
  <c r="H86" i="24"/>
  <c r="G86" i="24"/>
  <c r="F86" i="24"/>
  <c r="E86" i="24"/>
  <c r="D86" i="24"/>
  <c r="Y85" i="24"/>
  <c r="X85" i="24"/>
  <c r="W85" i="24"/>
  <c r="V85" i="24"/>
  <c r="U85" i="24"/>
  <c r="T85" i="24"/>
  <c r="S85" i="24"/>
  <c r="R85" i="24"/>
  <c r="Q85" i="24"/>
  <c r="P85" i="24"/>
  <c r="N85" i="24"/>
  <c r="M85" i="24"/>
  <c r="L85" i="24"/>
  <c r="K85" i="24"/>
  <c r="J85" i="24"/>
  <c r="I85" i="24"/>
  <c r="H85" i="24"/>
  <c r="G85" i="24"/>
  <c r="F85" i="24"/>
  <c r="E85" i="24"/>
  <c r="D85" i="24"/>
  <c r="Y84" i="24"/>
  <c r="X84" i="24"/>
  <c r="W84" i="24"/>
  <c r="V84" i="24"/>
  <c r="U84" i="24"/>
  <c r="T84" i="24"/>
  <c r="S84" i="24"/>
  <c r="R84" i="24"/>
  <c r="Q84" i="24"/>
  <c r="P84" i="24"/>
  <c r="N84" i="24"/>
  <c r="M84" i="24"/>
  <c r="L84" i="24"/>
  <c r="K84" i="24"/>
  <c r="J84" i="24"/>
  <c r="I84" i="24"/>
  <c r="H84" i="24"/>
  <c r="G84" i="24"/>
  <c r="F84" i="24"/>
  <c r="E84" i="24"/>
  <c r="D84" i="24"/>
  <c r="Y83" i="24"/>
  <c r="X83" i="24"/>
  <c r="W83" i="24"/>
  <c r="V83" i="24"/>
  <c r="U83" i="24"/>
  <c r="T83" i="24"/>
  <c r="S83" i="24"/>
  <c r="R83" i="24"/>
  <c r="Q83" i="24"/>
  <c r="P83" i="24"/>
  <c r="N83" i="24"/>
  <c r="M83" i="24"/>
  <c r="L83" i="24"/>
  <c r="K83" i="24"/>
  <c r="J83" i="24"/>
  <c r="I83" i="24"/>
  <c r="H83" i="24"/>
  <c r="F83" i="24"/>
  <c r="G83" i="24" s="1"/>
  <c r="D83" i="24"/>
  <c r="E83" i="24" s="1"/>
  <c r="Y82" i="24"/>
  <c r="X82" i="24"/>
  <c r="W82" i="24"/>
  <c r="V82" i="24"/>
  <c r="U82" i="24"/>
  <c r="T82" i="24"/>
  <c r="S82" i="24"/>
  <c r="R82" i="24"/>
  <c r="Q82" i="24"/>
  <c r="P82" i="24"/>
  <c r="N82" i="24"/>
  <c r="M82" i="24"/>
  <c r="L82" i="24"/>
  <c r="K82" i="24"/>
  <c r="J82" i="24"/>
  <c r="I82" i="24"/>
  <c r="H82" i="24"/>
  <c r="F82" i="24"/>
  <c r="G82" i="24" s="1"/>
  <c r="D82" i="24"/>
  <c r="E82" i="24" s="1"/>
  <c r="Y81" i="24"/>
  <c r="X81" i="24"/>
  <c r="W81" i="24"/>
  <c r="V81" i="24"/>
  <c r="U81" i="24"/>
  <c r="T81" i="24"/>
  <c r="S81" i="24"/>
  <c r="R81" i="24"/>
  <c r="Q81" i="24"/>
  <c r="P81" i="24"/>
  <c r="N81" i="24"/>
  <c r="M81" i="24"/>
  <c r="L81" i="24"/>
  <c r="K81" i="24"/>
  <c r="J81" i="24"/>
  <c r="I81" i="24"/>
  <c r="H81" i="24"/>
  <c r="F81" i="24"/>
  <c r="G81" i="24" s="1"/>
  <c r="D81" i="24"/>
  <c r="E81" i="24" s="1"/>
  <c r="Y80" i="24"/>
  <c r="X80" i="24"/>
  <c r="W80" i="24"/>
  <c r="V80" i="24"/>
  <c r="U80" i="24"/>
  <c r="T80" i="24"/>
  <c r="S80" i="24"/>
  <c r="R80" i="24"/>
  <c r="Q80" i="24"/>
  <c r="P80" i="24"/>
  <c r="N80" i="24"/>
  <c r="M80" i="24"/>
  <c r="L80" i="24"/>
  <c r="K80" i="24"/>
  <c r="J80" i="24"/>
  <c r="I80" i="24"/>
  <c r="H80" i="24"/>
  <c r="F80" i="24"/>
  <c r="G80" i="24" s="1"/>
  <c r="D80" i="24"/>
  <c r="E80" i="24" s="1"/>
  <c r="Y78" i="24"/>
  <c r="X78" i="24"/>
  <c r="W78" i="24"/>
  <c r="V78" i="24"/>
  <c r="U78" i="24"/>
  <c r="T78" i="24"/>
  <c r="S78" i="24"/>
  <c r="R78" i="24"/>
  <c r="Q78" i="24"/>
  <c r="P78" i="24"/>
  <c r="N78" i="24"/>
  <c r="M78" i="24"/>
  <c r="L78" i="24"/>
  <c r="K78" i="24"/>
  <c r="J78" i="24"/>
  <c r="I78" i="24"/>
  <c r="H78" i="24"/>
  <c r="F78" i="24"/>
  <c r="D78" i="24"/>
  <c r="E78" i="24" s="1"/>
  <c r="O77" i="24"/>
  <c r="C77" i="24" s="1"/>
  <c r="O76" i="24"/>
  <c r="C76" i="24" s="1"/>
  <c r="O75" i="24"/>
  <c r="C75" i="24" s="1"/>
  <c r="O74" i="24"/>
  <c r="O88" i="24" s="1"/>
  <c r="O73" i="24"/>
  <c r="C73" i="24" s="1"/>
  <c r="O72" i="24"/>
  <c r="C72" i="24" s="1"/>
  <c r="O71" i="24"/>
  <c r="C71" i="24" s="1"/>
  <c r="O70" i="24"/>
  <c r="C70" i="24" s="1"/>
  <c r="O69" i="24"/>
  <c r="C69" i="24" s="1"/>
  <c r="O68" i="24"/>
  <c r="C68" i="24" s="1"/>
  <c r="O67" i="24"/>
  <c r="C67" i="24" s="1"/>
  <c r="Y65" i="24"/>
  <c r="X65" i="24"/>
  <c r="W65" i="24"/>
  <c r="V65" i="24"/>
  <c r="U65" i="24"/>
  <c r="T65" i="24"/>
  <c r="S65" i="24"/>
  <c r="R65" i="24"/>
  <c r="Q65" i="24"/>
  <c r="P65" i="24"/>
  <c r="N65" i="24"/>
  <c r="M65" i="24"/>
  <c r="L65" i="24"/>
  <c r="K65" i="24"/>
  <c r="J65" i="24"/>
  <c r="I65" i="24"/>
  <c r="H65" i="24"/>
  <c r="F65" i="24"/>
  <c r="G65" i="24" s="1"/>
  <c r="D65" i="24"/>
  <c r="E65" i="24" s="1"/>
  <c r="O64" i="24"/>
  <c r="C64" i="24" s="1"/>
  <c r="O63" i="24"/>
  <c r="O62" i="24"/>
  <c r="C62" i="24" s="1"/>
  <c r="O61" i="24"/>
  <c r="C61" i="24" s="1"/>
  <c r="O60" i="24"/>
  <c r="C60" i="24" s="1"/>
  <c r="O59" i="24"/>
  <c r="C59" i="24" s="1"/>
  <c r="O58" i="24"/>
  <c r="C58" i="24" s="1"/>
  <c r="Y56" i="24"/>
  <c r="X56" i="24"/>
  <c r="W56" i="24"/>
  <c r="V56" i="24"/>
  <c r="U56" i="24"/>
  <c r="T56" i="24"/>
  <c r="S56" i="24"/>
  <c r="R56" i="24"/>
  <c r="Q56" i="24"/>
  <c r="P56" i="24"/>
  <c r="N56" i="24"/>
  <c r="M56" i="24"/>
  <c r="L56" i="24"/>
  <c r="K56" i="24"/>
  <c r="J56" i="24"/>
  <c r="I56" i="24"/>
  <c r="H56" i="24"/>
  <c r="F56" i="24"/>
  <c r="G56" i="24" s="1"/>
  <c r="D56" i="24"/>
  <c r="E56" i="24" s="1"/>
  <c r="O55" i="24"/>
  <c r="C55" i="24" s="1"/>
  <c r="O54" i="24"/>
  <c r="C54" i="24" s="1"/>
  <c r="O53" i="24"/>
  <c r="C53" i="24" s="1"/>
  <c r="O52" i="24"/>
  <c r="C52" i="24" s="1"/>
  <c r="O51" i="24"/>
  <c r="C51" i="24" s="1"/>
  <c r="O50" i="24"/>
  <c r="Y48" i="24"/>
  <c r="X48" i="24"/>
  <c r="W48" i="24"/>
  <c r="V48" i="24"/>
  <c r="U48" i="24"/>
  <c r="T48" i="24"/>
  <c r="S48" i="24"/>
  <c r="R48" i="24"/>
  <c r="Q48" i="24"/>
  <c r="P48" i="24"/>
  <c r="N48" i="24"/>
  <c r="M48" i="24"/>
  <c r="L48" i="24"/>
  <c r="K48" i="24"/>
  <c r="J48" i="24"/>
  <c r="I48" i="24"/>
  <c r="H48" i="24"/>
  <c r="F48" i="24"/>
  <c r="G48" i="24" s="1"/>
  <c r="D48" i="24"/>
  <c r="E48" i="24" s="1"/>
  <c r="O47" i="24"/>
  <c r="C47" i="24" s="1"/>
  <c r="O46" i="24"/>
  <c r="C46" i="24" s="1"/>
  <c r="O45" i="24"/>
  <c r="C45" i="24" s="1"/>
  <c r="O44" i="24"/>
  <c r="C44" i="24" s="1"/>
  <c r="O43" i="24"/>
  <c r="C43" i="24" s="1"/>
  <c r="O42" i="24"/>
  <c r="Y40" i="24"/>
  <c r="X40" i="24"/>
  <c r="W40" i="24"/>
  <c r="V40" i="24"/>
  <c r="U40" i="24"/>
  <c r="T40" i="24"/>
  <c r="S40" i="24"/>
  <c r="R40" i="24"/>
  <c r="Q40" i="24"/>
  <c r="P40" i="24"/>
  <c r="N40" i="24"/>
  <c r="M40" i="24"/>
  <c r="L40" i="24"/>
  <c r="K40" i="24"/>
  <c r="J40" i="24"/>
  <c r="I40" i="24"/>
  <c r="H40" i="24"/>
  <c r="F40" i="24"/>
  <c r="G40" i="24" s="1"/>
  <c r="D40" i="24"/>
  <c r="E40" i="24" s="1"/>
  <c r="O39" i="24"/>
  <c r="C39" i="24" s="1"/>
  <c r="O38" i="24"/>
  <c r="C38" i="24" s="1"/>
  <c r="O37" i="24"/>
  <c r="C37" i="24" s="1"/>
  <c r="O36" i="24"/>
  <c r="C36" i="24" s="1"/>
  <c r="O35" i="24"/>
  <c r="C35" i="24" s="1"/>
  <c r="O34" i="24"/>
  <c r="Y32" i="24"/>
  <c r="X32" i="24"/>
  <c r="W32" i="24"/>
  <c r="V32" i="24"/>
  <c r="U32" i="24"/>
  <c r="T32" i="24"/>
  <c r="S32" i="24"/>
  <c r="R32" i="24"/>
  <c r="Q32" i="24"/>
  <c r="P32" i="24"/>
  <c r="N32" i="24"/>
  <c r="M32" i="24"/>
  <c r="L32" i="24"/>
  <c r="K32" i="24"/>
  <c r="J32" i="24"/>
  <c r="I32" i="24"/>
  <c r="H32" i="24"/>
  <c r="F32" i="24"/>
  <c r="G32" i="24" s="1"/>
  <c r="D32" i="24"/>
  <c r="E32" i="24" s="1"/>
  <c r="O31" i="24"/>
  <c r="C31" i="24" s="1"/>
  <c r="O30" i="24"/>
  <c r="C30" i="24" s="1"/>
  <c r="O29" i="24"/>
  <c r="C29" i="24" s="1"/>
  <c r="O28" i="24"/>
  <c r="C28" i="24" s="1"/>
  <c r="O27" i="24"/>
  <c r="O26" i="24"/>
  <c r="C26" i="24" s="1"/>
  <c r="Y24" i="24"/>
  <c r="X24" i="24"/>
  <c r="W24" i="24"/>
  <c r="V24" i="24"/>
  <c r="U24" i="24"/>
  <c r="T24" i="24"/>
  <c r="S24" i="24"/>
  <c r="R24" i="24"/>
  <c r="Q24" i="24"/>
  <c r="P24" i="24"/>
  <c r="N24" i="24"/>
  <c r="M24" i="24"/>
  <c r="L24" i="24"/>
  <c r="K24" i="24"/>
  <c r="J24" i="24"/>
  <c r="I24" i="24"/>
  <c r="H24" i="24"/>
  <c r="F24" i="24"/>
  <c r="G24" i="24" s="1"/>
  <c r="D24" i="24"/>
  <c r="E24" i="24" s="1"/>
  <c r="O23" i="24"/>
  <c r="C23" i="24" s="1"/>
  <c r="O22" i="24"/>
  <c r="C22" i="24" s="1"/>
  <c r="O21" i="24"/>
  <c r="C21" i="24" s="1"/>
  <c r="O20" i="24"/>
  <c r="C20" i="24" s="1"/>
  <c r="O19" i="24"/>
  <c r="O18" i="24"/>
  <c r="C18" i="24" s="1"/>
  <c r="O17" i="24"/>
  <c r="C17" i="24" s="1"/>
  <c r="Y15" i="24"/>
  <c r="X15" i="24"/>
  <c r="W15" i="24"/>
  <c r="V15" i="24"/>
  <c r="U15" i="24"/>
  <c r="T15" i="24"/>
  <c r="S15" i="24"/>
  <c r="R15" i="24"/>
  <c r="Q15" i="24"/>
  <c r="P15" i="24"/>
  <c r="N15" i="24"/>
  <c r="M15" i="24"/>
  <c r="L15" i="24"/>
  <c r="K15" i="24"/>
  <c r="J15" i="24"/>
  <c r="I15" i="24"/>
  <c r="H15" i="24"/>
  <c r="F15" i="24"/>
  <c r="G15" i="24" s="1"/>
  <c r="D15" i="24"/>
  <c r="E15" i="24" s="1"/>
  <c r="O14" i="24"/>
  <c r="C14" i="24" s="1"/>
  <c r="O13" i="24"/>
  <c r="O12" i="24"/>
  <c r="C12" i="24" s="1"/>
  <c r="O11" i="24"/>
  <c r="C11" i="24" s="1"/>
  <c r="O10" i="24"/>
  <c r="O9" i="24"/>
  <c r="C9" i="24" s="1"/>
  <c r="N10" i="26"/>
  <c r="N11" i="26"/>
  <c r="N12" i="26"/>
  <c r="N13" i="26"/>
  <c r="N14" i="26"/>
  <c r="N15" i="26"/>
  <c r="N16" i="26"/>
  <c r="N17" i="26"/>
  <c r="N18" i="26"/>
  <c r="N19" i="26"/>
  <c r="N20" i="26"/>
  <c r="N21" i="26"/>
  <c r="N22" i="26"/>
  <c r="N23" i="26"/>
  <c r="N24" i="26"/>
  <c r="N25" i="26"/>
  <c r="N26" i="26"/>
  <c r="N27" i="26"/>
  <c r="N28" i="26"/>
  <c r="N29" i="26"/>
  <c r="N30" i="26"/>
  <c r="N31" i="26"/>
  <c r="N32" i="26"/>
  <c r="N33" i="26"/>
  <c r="N34" i="26"/>
  <c r="N35" i="26"/>
  <c r="N36" i="26"/>
  <c r="N37" i="26"/>
  <c r="N38" i="26"/>
  <c r="N39" i="26"/>
  <c r="N40" i="26"/>
  <c r="N41" i="26"/>
  <c r="N42" i="26"/>
  <c r="N43" i="26"/>
  <c r="N44" i="26"/>
  <c r="N45" i="26"/>
  <c r="N46" i="26"/>
  <c r="N47" i="26"/>
  <c r="N48" i="26"/>
  <c r="N49" i="26"/>
  <c r="N50" i="26"/>
  <c r="N51" i="26"/>
  <c r="N52" i="26"/>
  <c r="N53" i="26"/>
  <c r="N54" i="26"/>
  <c r="N55" i="26"/>
  <c r="N56" i="26"/>
  <c r="N57" i="26"/>
  <c r="N58" i="26"/>
  <c r="N59" i="26"/>
  <c r="N60" i="26"/>
  <c r="O89" i="24" l="1"/>
  <c r="C89" i="24" s="1"/>
  <c r="C18" i="9" s="1"/>
  <c r="O56" i="24"/>
  <c r="C56" i="24" s="1"/>
  <c r="C30" i="9" s="1"/>
  <c r="J92" i="24"/>
  <c r="O40" i="24"/>
  <c r="C40" i="24" s="1"/>
  <c r="C28" i="9" s="1"/>
  <c r="O85" i="24"/>
  <c r="C85" i="24" s="1"/>
  <c r="C10" i="9" s="1"/>
  <c r="U92" i="24"/>
  <c r="O32" i="24"/>
  <c r="C32" i="24" s="1"/>
  <c r="C27" i="9" s="1"/>
  <c r="S92" i="24"/>
  <c r="W92" i="24"/>
  <c r="O87" i="24"/>
  <c r="C87" i="24" s="1"/>
  <c r="C11" i="9" s="1"/>
  <c r="T92" i="24"/>
  <c r="O81" i="24"/>
  <c r="C81" i="24" s="1"/>
  <c r="C13" i="9" s="1"/>
  <c r="G89" i="24"/>
  <c r="K92" i="24"/>
  <c r="L92" i="24"/>
  <c r="O15" i="24"/>
  <c r="C15" i="24" s="1"/>
  <c r="C25" i="9" s="1"/>
  <c r="C10" i="24"/>
  <c r="C13" i="24"/>
  <c r="O24" i="24"/>
  <c r="C24" i="24" s="1"/>
  <c r="C26" i="9" s="1"/>
  <c r="C27" i="24"/>
  <c r="O48" i="24"/>
  <c r="C48" i="24" s="1"/>
  <c r="C29" i="9" s="1"/>
  <c r="M92" i="24"/>
  <c r="R92" i="24"/>
  <c r="V92" i="24"/>
  <c r="H92" i="24"/>
  <c r="O90" i="24"/>
  <c r="C90" i="24" s="1"/>
  <c r="C19" i="9" s="1"/>
  <c r="Q92" i="24"/>
  <c r="Y92" i="24"/>
  <c r="I92" i="24"/>
  <c r="O80" i="24"/>
  <c r="C80" i="24" s="1"/>
  <c r="C12" i="9" s="1"/>
  <c r="O91" i="24"/>
  <c r="C91" i="24" s="1"/>
  <c r="C20" i="9" s="1"/>
  <c r="P92" i="24"/>
  <c r="X92" i="24"/>
  <c r="O86" i="24"/>
  <c r="C86" i="24" s="1"/>
  <c r="C9" i="9" s="1"/>
  <c r="C88" i="24"/>
  <c r="C17" i="9" s="1"/>
  <c r="O82" i="24"/>
  <c r="C82" i="24" s="1"/>
  <c r="C14" i="9" s="1"/>
  <c r="C19" i="24"/>
  <c r="C74" i="24"/>
  <c r="O83" i="24"/>
  <c r="C83" i="24" s="1"/>
  <c r="C15" i="9" s="1"/>
  <c r="E89" i="24"/>
  <c r="C42" i="24"/>
  <c r="C63" i="24"/>
  <c r="O65" i="24"/>
  <c r="C65" i="24" s="1"/>
  <c r="C31" i="9" s="1"/>
  <c r="O84" i="24"/>
  <c r="C84" i="24" s="1"/>
  <c r="C16" i="9" s="1"/>
  <c r="C34" i="24"/>
  <c r="G78" i="24"/>
  <c r="O78" i="24"/>
  <c r="C78" i="24" s="1"/>
  <c r="C32" i="9" s="1"/>
  <c r="D92" i="24"/>
  <c r="N92" i="24"/>
  <c r="F92" i="24"/>
  <c r="C50" i="24"/>
  <c r="E92" i="24" l="1"/>
  <c r="G92" i="24"/>
  <c r="C22" i="9"/>
  <c r="O92" i="24"/>
  <c r="C92" i="24" s="1"/>
  <c r="C34" i="9"/>
  <c r="B15" i="42" l="1"/>
  <c r="D31" i="9"/>
  <c r="D29" i="9"/>
  <c r="D27" i="9"/>
  <c r="D25" i="9"/>
  <c r="D32" i="9"/>
  <c r="D30" i="9"/>
  <c r="D34" i="9"/>
  <c r="D28" i="9"/>
  <c r="D26" i="9"/>
  <c r="D19" i="9"/>
  <c r="D22" i="9"/>
  <c r="D17" i="9"/>
  <c r="D20" i="9"/>
  <c r="D14" i="9"/>
  <c r="D16" i="9"/>
  <c r="D15" i="9"/>
  <c r="D12" i="9"/>
  <c r="D11" i="9"/>
  <c r="D10" i="9"/>
  <c r="D13" i="9"/>
  <c r="D9" i="9"/>
  <c r="D18" i="9"/>
  <c r="AB24" i="40" l="1"/>
  <c r="AB22" i="40"/>
  <c r="B3" i="42" l="1"/>
  <c r="B2" i="21" l="1"/>
  <c r="A2" i="42" l="1"/>
  <c r="I2" i="20"/>
  <c r="V3" i="40"/>
  <c r="F3" i="35"/>
  <c r="U2" i="10"/>
  <c r="T3" i="9"/>
  <c r="T3" i="24"/>
  <c r="C3" i="6"/>
  <c r="C3" i="3"/>
  <c r="C3" i="2"/>
  <c r="B2" i="20"/>
  <c r="B2" i="30"/>
  <c r="B3" i="40"/>
  <c r="B3" i="35"/>
  <c r="B2" i="10"/>
  <c r="B3" i="9"/>
  <c r="B3" i="24"/>
  <c r="B3" i="6"/>
  <c r="B3" i="3"/>
  <c r="B3" i="2"/>
  <c r="W77" i="10" l="1"/>
  <c r="S77" i="10"/>
  <c r="O77" i="10"/>
  <c r="O7" i="42" l="1"/>
  <c r="P68" i="10" l="1"/>
  <c r="K68" i="10"/>
  <c r="P13" i="42" l="1"/>
  <c r="O13" i="42"/>
  <c r="P16" i="42"/>
  <c r="O16" i="42"/>
  <c r="O10" i="42"/>
  <c r="P10" i="42"/>
  <c r="P7" i="42"/>
  <c r="P15" i="42"/>
  <c r="P14" i="42"/>
  <c r="P12" i="42"/>
  <c r="P11" i="42"/>
  <c r="P9" i="42"/>
  <c r="P8" i="42"/>
  <c r="P6" i="42"/>
  <c r="P5" i="42"/>
  <c r="O15" i="42"/>
  <c r="O14" i="42"/>
  <c r="O12" i="42"/>
  <c r="O11" i="42"/>
  <c r="O9" i="42"/>
  <c r="B18" i="42" s="1"/>
  <c r="O8" i="42"/>
  <c r="O6" i="42"/>
  <c r="O5" i="42"/>
  <c r="B21" i="42" l="1"/>
  <c r="AC11" i="40"/>
  <c r="AB11" i="40"/>
  <c r="AC16" i="40"/>
  <c r="AB16" i="40"/>
  <c r="AC32" i="40"/>
  <c r="AC31" i="40"/>
  <c r="AC30" i="40"/>
  <c r="AC29" i="40"/>
  <c r="AC28" i="40"/>
  <c r="AC27" i="40"/>
  <c r="AC23" i="40"/>
  <c r="AC21" i="40"/>
  <c r="AB32" i="40"/>
  <c r="AB31" i="40"/>
  <c r="AB30" i="40"/>
  <c r="AB29" i="40"/>
  <c r="AB28" i="40"/>
  <c r="AB27" i="40"/>
  <c r="AB23" i="40"/>
  <c r="AB21" i="40"/>
  <c r="L9" i="35" l="1"/>
  <c r="K9" i="35" l="1"/>
  <c r="J9" i="35" l="1"/>
  <c r="C77" i="2" l="1"/>
  <c r="C76" i="2"/>
  <c r="C53" i="2"/>
  <c r="C52" i="2"/>
  <c r="C51" i="2"/>
  <c r="C50" i="2"/>
  <c r="C49" i="2"/>
  <c r="C42" i="2"/>
  <c r="C41" i="2"/>
  <c r="C40" i="2"/>
  <c r="C39" i="2"/>
  <c r="C38" i="2"/>
  <c r="C34" i="2"/>
  <c r="C33" i="2"/>
  <c r="C32" i="2"/>
  <c r="C31" i="2"/>
  <c r="C26" i="2"/>
  <c r="C25" i="2"/>
  <c r="C24" i="2"/>
  <c r="C22" i="2"/>
  <c r="C21" i="2"/>
  <c r="C20" i="2"/>
  <c r="C19" i="2"/>
  <c r="C15" i="2"/>
  <c r="C14" i="2"/>
  <c r="C13" i="2"/>
  <c r="C12" i="2"/>
  <c r="C11" i="2"/>
  <c r="C10" i="2"/>
  <c r="C9" i="2"/>
  <c r="C8" i="2"/>
  <c r="C7" i="2"/>
  <c r="C6" i="2"/>
  <c r="C54" i="2" l="1"/>
  <c r="D70" i="2"/>
  <c r="C52" i="41" l="1"/>
  <c r="C25" i="41"/>
  <c r="C31" i="41" s="1"/>
  <c r="C54" i="41"/>
  <c r="C3" i="41"/>
  <c r="B3" i="41"/>
  <c r="X68" i="10" l="1"/>
  <c r="W68" i="10"/>
  <c r="V68" i="10"/>
  <c r="U68" i="10"/>
  <c r="T68" i="10"/>
  <c r="S68" i="10"/>
  <c r="R68" i="10"/>
  <c r="Q68" i="10"/>
  <c r="O68" i="10"/>
  <c r="N68" i="10"/>
  <c r="M68" i="10"/>
  <c r="L68" i="10"/>
  <c r="J68" i="10"/>
  <c r="I68" i="10"/>
  <c r="H68" i="10"/>
  <c r="G68" i="10"/>
  <c r="F68" i="10"/>
  <c r="E68" i="10"/>
  <c r="Z64" i="10"/>
  <c r="Y64" i="10"/>
  <c r="C64" i="10"/>
  <c r="Z67" i="10"/>
  <c r="Y67" i="10"/>
  <c r="C67" i="10"/>
  <c r="Z66" i="10"/>
  <c r="Y66" i="10"/>
  <c r="C66" i="10"/>
  <c r="Z65" i="10"/>
  <c r="Y65" i="10"/>
  <c r="C65" i="10"/>
  <c r="Z63" i="10"/>
  <c r="Y63" i="10"/>
  <c r="C63" i="10"/>
  <c r="Z62" i="10"/>
  <c r="Y62" i="10"/>
  <c r="C62" i="10"/>
  <c r="Z61" i="10"/>
  <c r="Y61" i="10"/>
  <c r="C61" i="10"/>
  <c r="Z60" i="10"/>
  <c r="Y60" i="10"/>
  <c r="C60" i="10"/>
  <c r="Z59" i="10"/>
  <c r="Y59" i="10"/>
  <c r="C59" i="10"/>
  <c r="Z58" i="10"/>
  <c r="Y58" i="10"/>
  <c r="C58" i="10"/>
  <c r="Z57" i="10"/>
  <c r="Y57" i="10"/>
  <c r="C57" i="10"/>
  <c r="Z56" i="10"/>
  <c r="Y56" i="10"/>
  <c r="C56" i="10"/>
  <c r="Z55" i="10"/>
  <c r="Y55" i="10"/>
  <c r="C55" i="10"/>
  <c r="Z54" i="10"/>
  <c r="Y54" i="10"/>
  <c r="C54" i="10"/>
  <c r="E27" i="2"/>
  <c r="E16" i="2"/>
  <c r="D27" i="2"/>
  <c r="D16" i="2"/>
  <c r="E46" i="2"/>
  <c r="D46" i="2"/>
  <c r="E54" i="2"/>
  <c r="D54" i="2"/>
  <c r="C70" i="2"/>
  <c r="B26" i="42" s="1"/>
  <c r="K77" i="10"/>
  <c r="I77" i="10"/>
  <c r="G77" i="10"/>
  <c r="E77" i="10"/>
  <c r="M50" i="10"/>
  <c r="Q50" i="10"/>
  <c r="Q71" i="10" s="1"/>
  <c r="U50" i="10"/>
  <c r="U71" i="10" s="1"/>
  <c r="B14" i="42" l="1"/>
  <c r="B13" i="42" s="1"/>
  <c r="Z68" i="10"/>
  <c r="D68" i="10"/>
  <c r="M71" i="10"/>
  <c r="Y68" i="10"/>
  <c r="C68" i="10"/>
  <c r="D23" i="2"/>
  <c r="D28" i="2" s="1"/>
  <c r="D30" i="2" s="1"/>
  <c r="D35" i="2" s="1"/>
  <c r="D56" i="2" s="1"/>
  <c r="D72" i="2" s="1"/>
  <c r="E23" i="2"/>
  <c r="E28" i="2" s="1"/>
  <c r="E30" i="2" s="1"/>
  <c r="E35" i="2" s="1"/>
  <c r="E56" i="2" s="1"/>
  <c r="E72" i="2" s="1"/>
  <c r="E75" i="2" s="1"/>
  <c r="E79" i="2" s="1"/>
  <c r="Y77" i="10"/>
  <c r="D75" i="2" l="1"/>
  <c r="D79" i="2" s="1"/>
  <c r="C55" i="26" l="1"/>
  <c r="I55" i="26"/>
  <c r="N64" i="26" l="1"/>
  <c r="C64" i="26" s="1"/>
  <c r="I64" i="26"/>
  <c r="N63" i="26" l="1"/>
  <c r="C9" i="30" l="1"/>
  <c r="E48" i="35" l="1"/>
  <c r="C15" i="30" l="1"/>
  <c r="C14" i="30"/>
  <c r="C13" i="30"/>
  <c r="C12" i="30"/>
  <c r="C11" i="30"/>
  <c r="C10" i="30"/>
  <c r="I15" i="30"/>
  <c r="C40" i="35"/>
  <c r="C39" i="35"/>
  <c r="C38" i="35"/>
  <c r="C37" i="35"/>
  <c r="C36" i="35"/>
  <c r="C35" i="35"/>
  <c r="C31" i="35"/>
  <c r="C30" i="35"/>
  <c r="C29" i="35"/>
  <c r="C28" i="35"/>
  <c r="C27" i="35"/>
  <c r="C26" i="35"/>
  <c r="C22" i="35"/>
  <c r="C21" i="35"/>
  <c r="C20" i="35"/>
  <c r="C19" i="35"/>
  <c r="C18" i="35"/>
  <c r="C14" i="35"/>
  <c r="C13" i="35"/>
  <c r="C12" i="35"/>
  <c r="C11" i="35"/>
  <c r="C10" i="35"/>
  <c r="AA11" i="40" s="1"/>
  <c r="Q15" i="30" l="1"/>
  <c r="AA22" i="40"/>
  <c r="AA24" i="40"/>
  <c r="AA23" i="40"/>
  <c r="AA29" i="40"/>
  <c r="AA28" i="40"/>
  <c r="AA32" i="40"/>
  <c r="AA27" i="40"/>
  <c r="AA31" i="40"/>
  <c r="AA21" i="40"/>
  <c r="AA30" i="40"/>
  <c r="AA16" i="40"/>
  <c r="H31" i="10"/>
  <c r="P62" i="26" l="1"/>
  <c r="P9" i="26" l="1"/>
  <c r="K78" i="10" s="1"/>
  <c r="C34" i="26" l="1"/>
  <c r="I34" i="26"/>
  <c r="C33" i="26"/>
  <c r="I33" i="26"/>
  <c r="Z70" i="10"/>
  <c r="Y70" i="10"/>
  <c r="Z49" i="10"/>
  <c r="Y49" i="10"/>
  <c r="Z48" i="10"/>
  <c r="Y48" i="10"/>
  <c r="Z47" i="10"/>
  <c r="Y47" i="10"/>
  <c r="Z46" i="10"/>
  <c r="Y46" i="10"/>
  <c r="Z45" i="10"/>
  <c r="Y45" i="10"/>
  <c r="Z44" i="10"/>
  <c r="Y44" i="10"/>
  <c r="Z43" i="10"/>
  <c r="Y43" i="10"/>
  <c r="Z42" i="10"/>
  <c r="Y42" i="10"/>
  <c r="Z41" i="10"/>
  <c r="Y41" i="10"/>
  <c r="Z40" i="10"/>
  <c r="Y40" i="10"/>
  <c r="Z39" i="10"/>
  <c r="Y39" i="10"/>
  <c r="Z38" i="10"/>
  <c r="Y38" i="10"/>
  <c r="Z37" i="10"/>
  <c r="Y37" i="10"/>
  <c r="Z36" i="10"/>
  <c r="Y36" i="10"/>
  <c r="Z35" i="10"/>
  <c r="Y35" i="10"/>
  <c r="C60" i="26" l="1"/>
  <c r="I60" i="26"/>
  <c r="C59" i="26"/>
  <c r="I59" i="26"/>
  <c r="C58" i="26"/>
  <c r="I58" i="26"/>
  <c r="C57" i="26"/>
  <c r="I57" i="26"/>
  <c r="C56" i="26"/>
  <c r="I56" i="26"/>
  <c r="C54" i="26"/>
  <c r="I54" i="26"/>
  <c r="C53" i="26"/>
  <c r="I53" i="26"/>
  <c r="C52" i="26"/>
  <c r="I52" i="26"/>
  <c r="C51" i="26"/>
  <c r="I51" i="26"/>
  <c r="C50" i="26"/>
  <c r="I50" i="26"/>
  <c r="C49" i="26"/>
  <c r="I49" i="26"/>
  <c r="C48" i="26"/>
  <c r="I48" i="26"/>
  <c r="C47" i="26"/>
  <c r="I47" i="26"/>
  <c r="C46" i="26"/>
  <c r="I46" i="26"/>
  <c r="C45" i="26"/>
  <c r="I45" i="26"/>
  <c r="C44" i="26"/>
  <c r="I44" i="26"/>
  <c r="C43" i="26"/>
  <c r="I43" i="26"/>
  <c r="C42" i="26"/>
  <c r="I42" i="26"/>
  <c r="C41" i="26"/>
  <c r="I41" i="26"/>
  <c r="C40" i="26"/>
  <c r="I40" i="26"/>
  <c r="C39" i="26"/>
  <c r="I39" i="26"/>
  <c r="C38" i="26"/>
  <c r="I38" i="26"/>
  <c r="C37" i="26"/>
  <c r="I37" i="26"/>
  <c r="C36" i="26"/>
  <c r="I36" i="26"/>
  <c r="C35" i="26"/>
  <c r="I35" i="26"/>
  <c r="C32" i="26"/>
  <c r="I32" i="26"/>
  <c r="C31" i="26"/>
  <c r="I31" i="26"/>
  <c r="C30" i="26"/>
  <c r="I30" i="26"/>
  <c r="C29" i="26"/>
  <c r="I29" i="26"/>
  <c r="C28" i="26"/>
  <c r="I28" i="26"/>
  <c r="C27" i="26"/>
  <c r="I27" i="26"/>
  <c r="C26" i="26"/>
  <c r="I26" i="26"/>
  <c r="C25" i="26"/>
  <c r="I25" i="26"/>
  <c r="C24" i="26"/>
  <c r="I24" i="26"/>
  <c r="C23" i="26"/>
  <c r="I23" i="26"/>
  <c r="C22" i="26"/>
  <c r="I22" i="26"/>
  <c r="C21" i="26"/>
  <c r="I21" i="26"/>
  <c r="C20" i="26"/>
  <c r="I20" i="26"/>
  <c r="C19" i="26"/>
  <c r="I19" i="26"/>
  <c r="C18" i="26"/>
  <c r="I18" i="26"/>
  <c r="C17" i="26"/>
  <c r="I17" i="26"/>
  <c r="C16" i="26"/>
  <c r="I16" i="26"/>
  <c r="C15" i="26"/>
  <c r="I15" i="26"/>
  <c r="C14" i="26"/>
  <c r="I14" i="26"/>
  <c r="C13" i="26"/>
  <c r="I13" i="26"/>
  <c r="C11" i="26"/>
  <c r="I11" i="26"/>
  <c r="C10" i="26"/>
  <c r="I10" i="26"/>
  <c r="G33" i="35" l="1"/>
  <c r="H33" i="35" s="1"/>
  <c r="E33" i="35"/>
  <c r="F33" i="35" s="1"/>
  <c r="C33" i="35"/>
  <c r="D33" i="35" s="1"/>
  <c r="G24" i="35"/>
  <c r="E24" i="35"/>
  <c r="C24" i="35"/>
  <c r="G16" i="35"/>
  <c r="H16" i="35" s="1"/>
  <c r="E16" i="35"/>
  <c r="F16" i="35" s="1"/>
  <c r="C16" i="35"/>
  <c r="D16" i="35" s="1"/>
  <c r="G8" i="35"/>
  <c r="E8" i="35"/>
  <c r="C8" i="35"/>
  <c r="AA25" i="40" l="1"/>
  <c r="AB25" i="40"/>
  <c r="L8" i="35"/>
  <c r="L10" i="35" s="1"/>
  <c r="D8" i="35"/>
  <c r="J8" i="35"/>
  <c r="J10" i="35" s="1"/>
  <c r="F8" i="35"/>
  <c r="K8" i="35"/>
  <c r="K10" i="35" s="1"/>
  <c r="AC25" i="40"/>
  <c r="G51" i="35"/>
  <c r="H8" i="35"/>
  <c r="C51" i="35"/>
  <c r="G47" i="35"/>
  <c r="H24" i="35"/>
  <c r="G55" i="35"/>
  <c r="F24" i="35"/>
  <c r="E47" i="35"/>
  <c r="D24" i="35"/>
  <c r="C55" i="35"/>
  <c r="C47" i="35"/>
  <c r="H62" i="26"/>
  <c r="G62" i="26"/>
  <c r="F62" i="26"/>
  <c r="E62" i="26"/>
  <c r="D62" i="26"/>
  <c r="J62" i="26"/>
  <c r="K62" i="26"/>
  <c r="L62" i="26"/>
  <c r="M62" i="26"/>
  <c r="C63" i="26"/>
  <c r="I63" i="26"/>
  <c r="C62" i="26" l="1"/>
  <c r="I62" i="26"/>
  <c r="Z33" i="9"/>
  <c r="Z24" i="9"/>
  <c r="Z23" i="9"/>
  <c r="Z21" i="9"/>
  <c r="C6" i="10" l="1"/>
  <c r="G16" i="30" l="1"/>
  <c r="G25" i="30" s="1"/>
  <c r="G26" i="30" s="1"/>
  <c r="H16" i="30" l="1"/>
  <c r="M9" i="26"/>
  <c r="L9" i="26"/>
  <c r="K9" i="26"/>
  <c r="J9" i="26"/>
  <c r="D9" i="26"/>
  <c r="K2" i="30" l="1"/>
  <c r="C27" i="2" l="1"/>
  <c r="S62" i="26" l="1"/>
  <c r="R62" i="26"/>
  <c r="Q62" i="26"/>
  <c r="O62" i="26"/>
  <c r="N62" i="26"/>
  <c r="X31" i="10" l="1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X30" i="10"/>
  <c r="W30" i="10"/>
  <c r="V30" i="10"/>
  <c r="U30" i="10"/>
  <c r="AF9" i="40" s="1"/>
  <c r="AF10" i="40" s="1"/>
  <c r="T30" i="10"/>
  <c r="S30" i="10"/>
  <c r="R30" i="10"/>
  <c r="Q30" i="10"/>
  <c r="AE9" i="40" s="1"/>
  <c r="P30" i="10"/>
  <c r="O30" i="10"/>
  <c r="N30" i="10"/>
  <c r="M30" i="10"/>
  <c r="AD9" i="40" s="1"/>
  <c r="AD10" i="40" s="1"/>
  <c r="L30" i="10"/>
  <c r="K30" i="10"/>
  <c r="AC8" i="40" s="1"/>
  <c r="J30" i="10"/>
  <c r="I30" i="10"/>
  <c r="AC9" i="40" s="1"/>
  <c r="AC10" i="40" s="1"/>
  <c r="H30" i="10"/>
  <c r="G30" i="10"/>
  <c r="AB8" i="40" s="1"/>
  <c r="F30" i="10"/>
  <c r="E30" i="10"/>
  <c r="AB9" i="40" s="1"/>
  <c r="AB10" i="40" s="1"/>
  <c r="Z51" i="10"/>
  <c r="Y51" i="10"/>
  <c r="X51" i="10"/>
  <c r="W51" i="10"/>
  <c r="V51" i="10"/>
  <c r="U51" i="10"/>
  <c r="T51" i="10"/>
  <c r="S51" i="10"/>
  <c r="R51" i="10"/>
  <c r="Q51" i="10"/>
  <c r="P51" i="10"/>
  <c r="O51" i="10"/>
  <c r="N51" i="10"/>
  <c r="M51" i="10"/>
  <c r="L51" i="10"/>
  <c r="K51" i="10"/>
  <c r="J51" i="10"/>
  <c r="I51" i="10"/>
  <c r="H51" i="10"/>
  <c r="G51" i="10"/>
  <c r="F51" i="10"/>
  <c r="E51" i="10"/>
  <c r="X50" i="10"/>
  <c r="X71" i="10" s="1"/>
  <c r="W50" i="10"/>
  <c r="AF8" i="40" s="1"/>
  <c r="V50" i="10"/>
  <c r="V71" i="10" s="1"/>
  <c r="T50" i="10"/>
  <c r="T71" i="10" s="1"/>
  <c r="S50" i="10"/>
  <c r="AE8" i="40" s="1"/>
  <c r="R50" i="10"/>
  <c r="R71" i="10" s="1"/>
  <c r="P50" i="10"/>
  <c r="P71" i="10" s="1"/>
  <c r="O50" i="10"/>
  <c r="N50" i="10"/>
  <c r="N71" i="10" s="1"/>
  <c r="L50" i="10"/>
  <c r="L71" i="10" s="1"/>
  <c r="K50" i="10"/>
  <c r="J50" i="10"/>
  <c r="J71" i="10" s="1"/>
  <c r="I50" i="10"/>
  <c r="H50" i="10"/>
  <c r="H71" i="10" s="1"/>
  <c r="G50" i="10"/>
  <c r="F50" i="10"/>
  <c r="F71" i="10" s="1"/>
  <c r="E50" i="10"/>
  <c r="Z29" i="10"/>
  <c r="Y29" i="10"/>
  <c r="Z28" i="10"/>
  <c r="Y28" i="10"/>
  <c r="Z27" i="10"/>
  <c r="Y27" i="10"/>
  <c r="Z26" i="10"/>
  <c r="Y26" i="10"/>
  <c r="Z25" i="10"/>
  <c r="Y25" i="10"/>
  <c r="Z24" i="10"/>
  <c r="Y24" i="10"/>
  <c r="Z23" i="10"/>
  <c r="Y23" i="10"/>
  <c r="Z22" i="10"/>
  <c r="Y22" i="10"/>
  <c r="Z21" i="10"/>
  <c r="Y21" i="10"/>
  <c r="Z20" i="10"/>
  <c r="Y20" i="10"/>
  <c r="Z19" i="10"/>
  <c r="Y19" i="10"/>
  <c r="Z18" i="10"/>
  <c r="Y18" i="10"/>
  <c r="Z17" i="10"/>
  <c r="Y17" i="10"/>
  <c r="Z16" i="10"/>
  <c r="Y16" i="10"/>
  <c r="Z15" i="10"/>
  <c r="Y15" i="10"/>
  <c r="Z14" i="10"/>
  <c r="Y14" i="10"/>
  <c r="Z13" i="10"/>
  <c r="Y13" i="10"/>
  <c r="Z12" i="10"/>
  <c r="Y12" i="10"/>
  <c r="Z11" i="10"/>
  <c r="Y11" i="10"/>
  <c r="Z10" i="10"/>
  <c r="Y10" i="10"/>
  <c r="Z9" i="10"/>
  <c r="Y9" i="10"/>
  <c r="Z8" i="10"/>
  <c r="Y8" i="10"/>
  <c r="Z7" i="10"/>
  <c r="Y7" i="10"/>
  <c r="Z6" i="10"/>
  <c r="Y6" i="10"/>
  <c r="Z69" i="10"/>
  <c r="Z34" i="10"/>
  <c r="G50" i="35"/>
  <c r="G52" i="35" s="1"/>
  <c r="C69" i="10"/>
  <c r="C70" i="10"/>
  <c r="C29" i="10"/>
  <c r="C28" i="10"/>
  <c r="C27" i="10"/>
  <c r="C26" i="10"/>
  <c r="C25" i="10"/>
  <c r="C24" i="10"/>
  <c r="C23" i="10"/>
  <c r="C22" i="10"/>
  <c r="C21" i="10"/>
  <c r="C20" i="10"/>
  <c r="C19" i="10"/>
  <c r="C18" i="10"/>
  <c r="C17" i="10"/>
  <c r="C16" i="10"/>
  <c r="C15" i="10"/>
  <c r="C14" i="10"/>
  <c r="C13" i="10"/>
  <c r="C12" i="10"/>
  <c r="C50" i="35" s="1"/>
  <c r="C52" i="35" s="1"/>
  <c r="C11" i="10"/>
  <c r="C10" i="10"/>
  <c r="C9" i="10"/>
  <c r="C8" i="10"/>
  <c r="C7" i="10"/>
  <c r="C49" i="10"/>
  <c r="C48" i="10"/>
  <c r="C47" i="10"/>
  <c r="C46" i="10"/>
  <c r="C45" i="10"/>
  <c r="C44" i="10"/>
  <c r="C43" i="10"/>
  <c r="C42" i="10"/>
  <c r="C41" i="10"/>
  <c r="C40" i="10"/>
  <c r="C39" i="10"/>
  <c r="C38" i="10"/>
  <c r="C37" i="10"/>
  <c r="C36" i="10"/>
  <c r="C35" i="10"/>
  <c r="C34" i="10"/>
  <c r="B11" i="42" l="1"/>
  <c r="Y31" i="10"/>
  <c r="AD8" i="40"/>
  <c r="AE10" i="40"/>
  <c r="I71" i="10"/>
  <c r="I79" i="10"/>
  <c r="M79" i="10"/>
  <c r="Q79" i="10"/>
  <c r="U79" i="10"/>
  <c r="K71" i="10"/>
  <c r="K80" i="10" s="1"/>
  <c r="K79" i="10"/>
  <c r="S71" i="10"/>
  <c r="S79" i="10"/>
  <c r="W71" i="10"/>
  <c r="W79" i="10"/>
  <c r="O71" i="10"/>
  <c r="O79" i="10"/>
  <c r="E71" i="10"/>
  <c r="E79" i="10"/>
  <c r="G71" i="10"/>
  <c r="G79" i="10"/>
  <c r="Z30" i="10"/>
  <c r="Y30" i="10"/>
  <c r="Z31" i="10"/>
  <c r="D30" i="10"/>
  <c r="G54" i="35" s="1"/>
  <c r="D31" i="10"/>
  <c r="D50" i="10"/>
  <c r="D71" i="10" s="1"/>
  <c r="C51" i="10"/>
  <c r="C31" i="10"/>
  <c r="C30" i="10"/>
  <c r="C54" i="35" s="1"/>
  <c r="D51" i="10"/>
  <c r="C50" i="10"/>
  <c r="C71" i="10" s="1"/>
  <c r="Z50" i="10"/>
  <c r="Z71" i="10" s="1"/>
  <c r="Z32" i="9"/>
  <c r="Z31" i="9"/>
  <c r="Z30" i="9"/>
  <c r="Z29" i="9"/>
  <c r="Z28" i="9"/>
  <c r="Z27" i="9"/>
  <c r="Z26" i="9"/>
  <c r="Z25" i="9"/>
  <c r="Z20" i="9"/>
  <c r="Z19" i="9"/>
  <c r="Z18" i="9"/>
  <c r="Z17" i="9"/>
  <c r="Z16" i="9"/>
  <c r="Z15" i="9"/>
  <c r="Z14" i="9"/>
  <c r="Z13" i="9"/>
  <c r="Z11" i="9"/>
  <c r="Z10" i="9"/>
  <c r="Z9" i="9"/>
  <c r="Z12" i="9"/>
  <c r="C56" i="35" l="1"/>
  <c r="C48" i="35"/>
  <c r="G48" i="35"/>
  <c r="G56" i="35"/>
  <c r="S9" i="26" l="1"/>
  <c r="W78" i="10" s="1"/>
  <c r="W80" i="10" s="1"/>
  <c r="R9" i="26"/>
  <c r="S78" i="10" s="1"/>
  <c r="S80" i="10" s="1"/>
  <c r="Q9" i="26"/>
  <c r="O78" i="10" s="1"/>
  <c r="O80" i="10" s="1"/>
  <c r="I12" i="26"/>
  <c r="I9" i="26" s="1"/>
  <c r="Y78" i="10" l="1"/>
  <c r="E9" i="26"/>
  <c r="O9" i="26"/>
  <c r="G78" i="10" s="1"/>
  <c r="G80" i="10" s="1"/>
  <c r="H9" i="26"/>
  <c r="G9" i="26"/>
  <c r="F9" i="26"/>
  <c r="N9" i="26" l="1"/>
  <c r="C12" i="26"/>
  <c r="Z22" i="9"/>
  <c r="C70" i="3"/>
  <c r="C61" i="3"/>
  <c r="C52" i="3"/>
  <c r="C36" i="3"/>
  <c r="C28" i="3"/>
  <c r="C19" i="3"/>
  <c r="C14" i="3"/>
  <c r="A10" i="24"/>
  <c r="A11" i="24" s="1"/>
  <c r="A12" i="24" s="1"/>
  <c r="A13" i="24" s="1"/>
  <c r="A14" i="24" s="1"/>
  <c r="A15" i="24" s="1"/>
  <c r="A17" i="24" s="1"/>
  <c r="A18" i="24" s="1"/>
  <c r="A19" i="24" s="1"/>
  <c r="A20" i="24" s="1"/>
  <c r="A21" i="24" s="1"/>
  <c r="A22" i="24" s="1"/>
  <c r="A23" i="24" s="1"/>
  <c r="A24" i="24" s="1"/>
  <c r="A26" i="24" s="1"/>
  <c r="A27" i="24" s="1"/>
  <c r="A28" i="24" s="1"/>
  <c r="A29" i="24" s="1"/>
  <c r="A30" i="24" s="1"/>
  <c r="A31" i="24" s="1"/>
  <c r="A32" i="24" s="1"/>
  <c r="A34" i="24" s="1"/>
  <c r="A35" i="24" s="1"/>
  <c r="A36" i="24" s="1"/>
  <c r="A37" i="24" s="1"/>
  <c r="A38" i="24" s="1"/>
  <c r="A39" i="24" s="1"/>
  <c r="A40" i="24" s="1"/>
  <c r="A42" i="24" s="1"/>
  <c r="A43" i="24" s="1"/>
  <c r="A44" i="24" s="1"/>
  <c r="A45" i="24" s="1"/>
  <c r="A46" i="24" s="1"/>
  <c r="A47" i="24" s="1"/>
  <c r="A48" i="24" s="1"/>
  <c r="A50" i="24" s="1"/>
  <c r="A51" i="24" s="1"/>
  <c r="A52" i="24" s="1"/>
  <c r="A53" i="24" s="1"/>
  <c r="A54" i="24" s="1"/>
  <c r="A55" i="24" s="1"/>
  <c r="A56" i="24" s="1"/>
  <c r="A58" i="24" s="1"/>
  <c r="A59" i="24" s="1"/>
  <c r="A60" i="24" s="1"/>
  <c r="A61" i="24" s="1"/>
  <c r="A62" i="24" s="1"/>
  <c r="Y69" i="10"/>
  <c r="Y34" i="10"/>
  <c r="C46" i="2"/>
  <c r="C7" i="6"/>
  <c r="C9" i="26" l="1"/>
  <c r="K20" i="9"/>
  <c r="K12" i="9"/>
  <c r="K9" i="9"/>
  <c r="K16" i="9"/>
  <c r="K22" i="9"/>
  <c r="K19" i="9"/>
  <c r="K11" i="9"/>
  <c r="K18" i="9"/>
  <c r="K10" i="9"/>
  <c r="K17" i="9"/>
  <c r="K15" i="9"/>
  <c r="K14" i="9"/>
  <c r="K13" i="9"/>
  <c r="C53" i="41"/>
  <c r="C16" i="2"/>
  <c r="C23" i="2"/>
  <c r="C28" i="2" s="1"/>
  <c r="AC34" i="10"/>
  <c r="AC48" i="10"/>
  <c r="AC44" i="10"/>
  <c r="AC42" i="10"/>
  <c r="AC40" i="10"/>
  <c r="AC38" i="10"/>
  <c r="AC36" i="10"/>
  <c r="AC46" i="10"/>
  <c r="A64" i="24"/>
  <c r="A65" i="24" s="1"/>
  <c r="A67" i="24" s="1"/>
  <c r="A68" i="24" s="1"/>
  <c r="A69" i="24" s="1"/>
  <c r="A70" i="24" s="1"/>
  <c r="A71" i="24" s="1"/>
  <c r="A72" i="24" s="1"/>
  <c r="A73" i="24" s="1"/>
  <c r="A74" i="24" s="1"/>
  <c r="A75" i="24" s="1"/>
  <c r="A76" i="24" s="1"/>
  <c r="A77" i="24" s="1"/>
  <c r="A78" i="24" s="1"/>
  <c r="A80" i="24" s="1"/>
  <c r="A81" i="24" s="1"/>
  <c r="A82" i="24" s="1"/>
  <c r="A83" i="24" s="1"/>
  <c r="A84" i="24" s="1"/>
  <c r="A85" i="24" s="1"/>
  <c r="A86" i="24" s="1"/>
  <c r="A87" i="24" s="1"/>
  <c r="A88" i="24" s="1"/>
  <c r="A89" i="24" s="1"/>
  <c r="A90" i="24" s="1"/>
  <c r="A91" i="24" s="1"/>
  <c r="A92" i="24" s="1"/>
  <c r="AC22" i="10"/>
  <c r="AC16" i="10"/>
  <c r="AC26" i="10"/>
  <c r="AC18" i="10"/>
  <c r="AC10" i="10"/>
  <c r="AC28" i="10"/>
  <c r="AC20" i="10"/>
  <c r="AC14" i="10"/>
  <c r="AC8" i="10"/>
  <c r="AC24" i="10"/>
  <c r="Y50" i="10"/>
  <c r="Y79" i="10" s="1"/>
  <c r="C42" i="3"/>
  <c r="G16" i="2" s="1"/>
  <c r="C63" i="3"/>
  <c r="C72" i="3" s="1"/>
  <c r="G28" i="2" s="1"/>
  <c r="Z34" i="9"/>
  <c r="K32" i="9" l="1"/>
  <c r="K34" i="9"/>
  <c r="K31" i="9"/>
  <c r="K29" i="9"/>
  <c r="K28" i="9"/>
  <c r="K30" i="9"/>
  <c r="K27" i="9"/>
  <c r="K26" i="9"/>
  <c r="K25" i="9"/>
  <c r="AC12" i="10"/>
  <c r="AA9" i="40"/>
  <c r="C30" i="2"/>
  <c r="AC6" i="10"/>
  <c r="Y71" i="10"/>
  <c r="Y80" i="10" s="1"/>
  <c r="B27" i="42" l="1"/>
  <c r="B23" i="42"/>
  <c r="C35" i="2"/>
  <c r="C56" i="2" s="1"/>
  <c r="C72" i="2" s="1"/>
  <c r="B17" i="42" s="1"/>
  <c r="B16" i="42" s="1"/>
  <c r="AA8" i="40"/>
  <c r="E46" i="41"/>
  <c r="C45" i="41"/>
  <c r="C44" i="41"/>
  <c r="D52" i="41"/>
  <c r="B24" i="42" l="1"/>
  <c r="B22" i="42" s="1"/>
  <c r="B25" i="42"/>
  <c r="C75" i="2"/>
  <c r="C79" i="2" s="1"/>
  <c r="B20" i="42" s="1"/>
  <c r="B19" i="42" s="1"/>
  <c r="C46" i="41"/>
  <c r="C43" i="41" s="1"/>
  <c r="C35" i="41" s="1"/>
  <c r="C40" i="41" s="1"/>
  <c r="C8" i="6" l="1"/>
  <c r="C14" i="6" s="1"/>
  <c r="K44" i="20"/>
  <c r="C51" i="41"/>
  <c r="K25" i="20" l="1"/>
  <c r="K11" i="20" l="1"/>
  <c r="K27" i="20" l="1"/>
  <c r="K32" i="20"/>
  <c r="K29" i="20"/>
  <c r="K23" i="20"/>
  <c r="K41" i="20"/>
  <c r="K39" i="20"/>
  <c r="K9" i="20"/>
  <c r="K7" i="20" l="1"/>
  <c r="K13" i="20" l="1"/>
  <c r="C16" i="21" l="1"/>
  <c r="C12" i="21" s="1"/>
  <c r="I34" i="20" l="1"/>
  <c r="K34" i="20" s="1"/>
  <c r="D49" i="42" l="1"/>
  <c r="B50" i="42"/>
  <c r="C50" i="42"/>
  <c r="D50" i="42"/>
  <c r="C51" i="42"/>
  <c r="K14" i="30" l="1"/>
  <c r="I14" i="30" s="1"/>
  <c r="K13" i="30"/>
  <c r="I13" i="30" s="1"/>
  <c r="K12" i="30"/>
  <c r="I12" i="30" s="1"/>
  <c r="K11" i="30"/>
  <c r="I11" i="30" s="1"/>
  <c r="K10" i="30"/>
  <c r="I10" i="30" s="1"/>
  <c r="K9" i="30"/>
  <c r="I9" i="30" s="1"/>
  <c r="C8" i="30" l="1"/>
  <c r="E16" i="30"/>
  <c r="F16" i="30" s="1"/>
  <c r="K16" i="30" l="1"/>
  <c r="L16" i="30" s="1"/>
  <c r="C16" i="30"/>
  <c r="C25" i="30" s="1"/>
  <c r="C26" i="30" s="1"/>
  <c r="D16" i="30" l="1"/>
  <c r="B48" i="42"/>
  <c r="D48" i="42"/>
  <c r="C48" i="42" l="1"/>
  <c r="P9" i="30"/>
  <c r="Q9" i="30" s="1"/>
  <c r="D8" i="6" l="1"/>
  <c r="B51" i="42" l="1"/>
  <c r="C47" i="42"/>
  <c r="C99" i="24" l="1"/>
  <c r="C100" i="24" s="1"/>
  <c r="P14" i="30" l="1"/>
  <c r="Q14" i="30" s="1"/>
  <c r="P11" i="30"/>
  <c r="Q11" i="30" s="1"/>
  <c r="M27" i="30"/>
  <c r="P12" i="30" l="1"/>
  <c r="Q12" i="30" s="1"/>
  <c r="M16" i="30"/>
  <c r="M28" i="30" s="1"/>
  <c r="M29" i="30" s="1"/>
  <c r="I8" i="30"/>
  <c r="D54" i="42"/>
  <c r="D47" i="42"/>
  <c r="I36" i="20"/>
  <c r="K36" i="20" s="1"/>
  <c r="B47" i="42"/>
  <c r="N16" i="30" l="1"/>
  <c r="P13" i="30"/>
  <c r="Q13" i="30" s="1"/>
  <c r="P10" i="30"/>
  <c r="Q10" i="30" s="1"/>
  <c r="I16" i="30"/>
  <c r="I28" i="30" s="1"/>
  <c r="J16" i="30" l="1"/>
  <c r="I21" i="20" l="1"/>
  <c r="K21" i="20" s="1"/>
  <c r="I27" i="30" l="1"/>
  <c r="I29" i="30" s="1"/>
  <c r="I18" i="20" l="1"/>
  <c r="K18" i="20" s="1"/>
  <c r="B35" i="42" l="1"/>
  <c r="D14" i="6"/>
  <c r="B39" i="42" l="1"/>
  <c r="B37" i="42" s="1"/>
  <c r="B12" i="42"/>
  <c r="B10" i="42" s="1"/>
  <c r="P8" i="30" l="1"/>
  <c r="Q8" i="30" s="1"/>
  <c r="P16" i="30" l="1"/>
  <c r="Q16" i="30" s="1"/>
  <c r="B33" i="42"/>
  <c r="B49" i="42" l="1"/>
  <c r="B54" i="42" l="1"/>
  <c r="B32" i="42" s="1"/>
  <c r="B29" i="42" s="1"/>
  <c r="B31" i="42" s="1"/>
  <c r="C54" i="42" l="1"/>
  <c r="C49" i="42"/>
  <c r="I16" i="20"/>
  <c r="K16" i="20" s="1"/>
  <c r="I19" i="20"/>
  <c r="K19" i="20" s="1"/>
  <c r="I20" i="20"/>
  <c r="K20" i="20" s="1"/>
  <c r="C72" i="26" l="1"/>
  <c r="B36" i="42"/>
  <c r="B30" i="42" l="1"/>
  <c r="B28" i="42" s="1"/>
  <c r="B34" i="42"/>
  <c r="I17" i="20"/>
  <c r="K17" i="20" s="1"/>
</calcChain>
</file>

<file path=xl/sharedStrings.xml><?xml version="1.0" encoding="utf-8"?>
<sst xmlns="http://schemas.openxmlformats.org/spreadsheetml/2006/main" count="1919" uniqueCount="1046">
  <si>
    <t>Подпись Председателя правления:</t>
  </si>
  <si>
    <t>Подпись Главного Бухгалтера:</t>
  </si>
  <si>
    <t>Категории</t>
  </si>
  <si>
    <t>в тыс. сум</t>
  </si>
  <si>
    <t>1. ПРОЦЕНТНЫЕ ДОХОДЫ</t>
  </si>
  <si>
    <t>1</t>
  </si>
  <si>
    <t>5</t>
  </si>
  <si>
    <t>4</t>
  </si>
  <si>
    <t>2</t>
  </si>
  <si>
    <t>3</t>
  </si>
  <si>
    <t>8</t>
  </si>
  <si>
    <t>7</t>
  </si>
  <si>
    <t>6</t>
  </si>
  <si>
    <t xml:space="preserve">  </t>
  </si>
  <si>
    <t>АНАЛИЗ ПРОЦЕНТНЫХ ДОХОДОВ И РАСХОДОВ</t>
  </si>
  <si>
    <t>Категория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</si>
  <si>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</si>
  <si>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</si>
  <si>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</si>
  <si>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</si>
  <si>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</si>
  <si>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Неудовлетворительные</t>
  </si>
  <si>
    <t>Специальные резервы (100%)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</si>
  <si>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</si>
  <si>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</si>
  <si>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</si>
  <si>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</si>
  <si>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</si>
  <si>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</si>
  <si>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</si>
  <si>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</si>
  <si>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3.3</t>
  </si>
  <si>
    <t>Ценные бумаги, выпущенные Правительством Республики Узбекистан и ЦБРУ  (векселя, облигации и другие долговые ценные бумаги)</t>
  </si>
  <si>
    <t>Активы для расчета левеража</t>
  </si>
  <si>
    <t>Специальные резервы (мин 10%)</t>
  </si>
  <si>
    <t>Специальные резервы        (мин 25%)</t>
  </si>
  <si>
    <t>Специальные резервы       (мин 50%)</t>
  </si>
  <si>
    <t>4.2</t>
  </si>
  <si>
    <t>4.3</t>
  </si>
  <si>
    <t>Итого капитала Уровня II</t>
  </si>
  <si>
    <t>СКОРРЕКТИРОВАННЫЙ КАПИТАЛ УРОВНЯ II</t>
  </si>
  <si>
    <t>IX</t>
  </si>
  <si>
    <t>X</t>
  </si>
  <si>
    <t>XI</t>
  </si>
  <si>
    <t>О=Ж+И+Л+Н</t>
  </si>
  <si>
    <t>Совокупная сумма специальных резервов</t>
  </si>
  <si>
    <t xml:space="preserve">Общие активы </t>
  </si>
  <si>
    <t>Коэффициент левеража</t>
  </si>
  <si>
    <t>Коэффициент покрытия ликвидности</t>
  </si>
  <si>
    <t>Высоколиквидные активы</t>
  </si>
  <si>
    <t>Чистый отток в последующие 30 дней</t>
  </si>
  <si>
    <t>Необходимая сумма стабильного финансирования</t>
  </si>
  <si>
    <t>Доступная сумма стабильного финансирования</t>
  </si>
  <si>
    <t>Норма чистого стабильного финансирования</t>
  </si>
  <si>
    <t>Гарантированные Правительством Республики Узбекистан в иностранной валюте (экв.сум)</t>
  </si>
  <si>
    <t>2.2</t>
  </si>
  <si>
    <t>Общие резервы (1%)</t>
  </si>
  <si>
    <t>Характеристики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</si>
  <si>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</si>
  <si>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</si>
  <si>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</si>
  <si>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</si>
  <si>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</si>
  <si>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</si>
  <si>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</si>
  <si>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</si>
  <si>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</si>
  <si>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</si>
  <si>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</si>
  <si>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</si>
  <si>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</si>
  <si>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</si>
  <si>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</si>
  <si>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</si>
  <si>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</si>
  <si>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</si>
  <si>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</si>
  <si>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</si>
  <si>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</si>
  <si>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</si>
  <si>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</si>
  <si>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</si>
  <si>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</si>
  <si>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>№</t>
  </si>
  <si>
    <t>(Д)</t>
  </si>
  <si>
    <t>(Е)</t>
  </si>
  <si>
    <t>Другие ценные бумаги</t>
  </si>
  <si>
    <t>(Ж)</t>
  </si>
  <si>
    <t>Аккредитивы</t>
  </si>
  <si>
    <t>ИЗМЕНЕНИЯ В СОБСТВЕННОМ КАПИТАЛЕ</t>
  </si>
  <si>
    <t>из них</t>
  </si>
  <si>
    <t>Отрасль экономики</t>
  </si>
  <si>
    <t>Сумма кредита</t>
  </si>
  <si>
    <t>Депозиты</t>
  </si>
  <si>
    <t>Гарантированные Правительством Республики Узбекистан</t>
  </si>
  <si>
    <t>Транспортные средства</t>
  </si>
  <si>
    <t>Инвентарь</t>
  </si>
  <si>
    <t>Недвижимость</t>
  </si>
  <si>
    <t>Оборудование</t>
  </si>
  <si>
    <t>Векселя (облигации)</t>
  </si>
  <si>
    <t>Акции</t>
  </si>
  <si>
    <t>Гарантия третьей стороны</t>
  </si>
  <si>
    <t xml:space="preserve">Поручительства третьей стороны </t>
  </si>
  <si>
    <t>Страховой полис</t>
  </si>
  <si>
    <t>Необеспеченные</t>
  </si>
  <si>
    <t>Другое обеспечение</t>
  </si>
  <si>
    <t>Код</t>
  </si>
  <si>
    <t>(А)</t>
  </si>
  <si>
    <t>(З)</t>
  </si>
  <si>
    <t>(И)</t>
  </si>
  <si>
    <t>(К)</t>
  </si>
  <si>
    <t>(Л)</t>
  </si>
  <si>
    <t>(М)</t>
  </si>
  <si>
    <t>(Н)</t>
  </si>
  <si>
    <t>(О)</t>
  </si>
  <si>
    <t>(П)</t>
  </si>
  <si>
    <t>(Р)</t>
  </si>
  <si>
    <t>(С)</t>
  </si>
  <si>
    <t>Промышленность</t>
  </si>
  <si>
    <t xml:space="preserve">         Физические лица</t>
  </si>
  <si>
    <t xml:space="preserve">         Государственные предприятия</t>
  </si>
  <si>
    <t xml:space="preserve">         Совместные и иностранные предприятия</t>
  </si>
  <si>
    <t xml:space="preserve">         Частные товарищества и корпорации</t>
  </si>
  <si>
    <t xml:space="preserve">         Правительство</t>
  </si>
  <si>
    <t xml:space="preserve">         Прочие</t>
  </si>
  <si>
    <t xml:space="preserve">          Итого по промышленности</t>
  </si>
  <si>
    <t>Сельское хозяйство</t>
  </si>
  <si>
    <t xml:space="preserve">         Фермерское хозяйство</t>
  </si>
  <si>
    <t xml:space="preserve">         Итого по сельскому хозяйству</t>
  </si>
  <si>
    <t>Транспорт и коммуникации</t>
  </si>
  <si>
    <t xml:space="preserve">         Итого по транспорту и коммуникациям</t>
  </si>
  <si>
    <t>Строительство</t>
  </si>
  <si>
    <t xml:space="preserve">         Итого по строительству</t>
  </si>
  <si>
    <t>Торговля и общественное питание</t>
  </si>
  <si>
    <t xml:space="preserve">         Итого по торговле и общественному питанию</t>
  </si>
  <si>
    <t>Материально-техническое снабжение и сбыт</t>
  </si>
  <si>
    <t xml:space="preserve">        Итого по материально-техническому снабжению и сбыту</t>
  </si>
  <si>
    <t>Жилищно-коммунальные услуги</t>
  </si>
  <si>
    <t xml:space="preserve">        Итого по жилищно-коммунальным услугам</t>
  </si>
  <si>
    <t>Другие отрасли</t>
  </si>
  <si>
    <t xml:space="preserve">         Центральный банк</t>
  </si>
  <si>
    <t xml:space="preserve">         Другие банки</t>
  </si>
  <si>
    <t xml:space="preserve">         Небанковские финансовые институты</t>
  </si>
  <si>
    <t xml:space="preserve">         Негосударственные некоммерческие организации </t>
  </si>
  <si>
    <t xml:space="preserve">         Бюджетные организации</t>
  </si>
  <si>
    <t xml:space="preserve">         Итого по другим отраслям</t>
  </si>
  <si>
    <t>Кредитные и лизинговые операции</t>
  </si>
  <si>
    <t xml:space="preserve">    Итого кредита и лизинга</t>
  </si>
  <si>
    <t>Всего задолжность по кредитам</t>
  </si>
  <si>
    <t>%</t>
  </si>
  <si>
    <t>Реструктуризированные кредиты</t>
  </si>
  <si>
    <t>Просроченная задолжность</t>
  </si>
  <si>
    <t>Всего</t>
  </si>
  <si>
    <t>1-30 дней</t>
  </si>
  <si>
    <t>31-60 дней</t>
  </si>
  <si>
    <t>61-90 дней</t>
  </si>
  <si>
    <t>91-180 дней</t>
  </si>
  <si>
    <t>181-365 дней</t>
  </si>
  <si>
    <t>Свыше 2 лет</t>
  </si>
  <si>
    <t>В ходе судебного разбирательства</t>
  </si>
  <si>
    <t>По типу клиента</t>
  </si>
  <si>
    <t>Центральный банк</t>
  </si>
  <si>
    <t>Другие банки</t>
  </si>
  <si>
    <t>Правительство</t>
  </si>
  <si>
    <t>Физические лица</t>
  </si>
  <si>
    <t>Государственные предприятия</t>
  </si>
  <si>
    <t>Совместные и иностранные предприятия</t>
  </si>
  <si>
    <t>Частные товарищества и корпорации</t>
  </si>
  <si>
    <t>Фермерское хозяйство</t>
  </si>
  <si>
    <t>Небанковские финансовые институты</t>
  </si>
  <si>
    <t xml:space="preserve">Негосударственные некоммерческие организации </t>
  </si>
  <si>
    <t>Бюджетные организации</t>
  </si>
  <si>
    <t>Прочие</t>
  </si>
  <si>
    <t>Итого кредита и лизинга</t>
  </si>
  <si>
    <t>По сектору экономики</t>
  </si>
  <si>
    <t>Другие сектора</t>
  </si>
  <si>
    <t xml:space="preserve"> Статьи баланса</t>
  </si>
  <si>
    <t>Общая сумма</t>
  </si>
  <si>
    <t>Стандартные</t>
  </si>
  <si>
    <t>Субстандартные</t>
  </si>
  <si>
    <t>Сомнительные</t>
  </si>
  <si>
    <t>Безнадежные</t>
  </si>
  <si>
    <t>А</t>
  </si>
  <si>
    <t>Б</t>
  </si>
  <si>
    <t>Г</t>
  </si>
  <si>
    <t>Д</t>
  </si>
  <si>
    <t>Ж</t>
  </si>
  <si>
    <t>З</t>
  </si>
  <si>
    <t>И</t>
  </si>
  <si>
    <t>К</t>
  </si>
  <si>
    <t>Л</t>
  </si>
  <si>
    <t>М</t>
  </si>
  <si>
    <t>Н</t>
  </si>
  <si>
    <t>Другие классифицированные активы</t>
  </si>
  <si>
    <t>Всего классифицированных активов</t>
  </si>
  <si>
    <t>В</t>
  </si>
  <si>
    <t>Е</t>
  </si>
  <si>
    <t>в иностранной валюте</t>
  </si>
  <si>
    <t>ВСЕГО</t>
  </si>
  <si>
    <t>Бессрочные</t>
  </si>
  <si>
    <t>3.</t>
  </si>
  <si>
    <t>К получению из других банков</t>
  </si>
  <si>
    <t>Другие активы</t>
  </si>
  <si>
    <t>1.1</t>
  </si>
  <si>
    <t>Депозиты до востребования</t>
  </si>
  <si>
    <t>1.2</t>
  </si>
  <si>
    <t>1.3</t>
  </si>
  <si>
    <t>Срочные депозиты</t>
  </si>
  <si>
    <t>1.4</t>
  </si>
  <si>
    <t>Наименование экономического норматива</t>
  </si>
  <si>
    <t>Формула</t>
  </si>
  <si>
    <t>Фактическое значение</t>
  </si>
  <si>
    <t>Нормативное значение</t>
  </si>
  <si>
    <t>Отклонение</t>
  </si>
  <si>
    <t xml:space="preserve">                              A</t>
  </si>
  <si>
    <t>Показатели достаточности капитала</t>
  </si>
  <si>
    <t>Коэффициент достаточности капитала</t>
  </si>
  <si>
    <t>Скорректированная общая капитала, основанного на риске</t>
  </si>
  <si>
    <t>Мин</t>
  </si>
  <si>
    <t>Активы с учетом риска</t>
  </si>
  <si>
    <t>Коэффициент достаточности Капитала Уровня 1</t>
  </si>
  <si>
    <t>Капитал Уровня I</t>
  </si>
  <si>
    <t>Левераж</t>
  </si>
  <si>
    <t>2.1</t>
  </si>
  <si>
    <t>Нормативы по операциям с заемщиками</t>
  </si>
  <si>
    <t>3.1</t>
  </si>
  <si>
    <t>Макс</t>
  </si>
  <si>
    <t>3.2</t>
  </si>
  <si>
    <t>Нормативы по операциям с ценными бумагами</t>
  </si>
  <si>
    <t>4.1</t>
  </si>
  <si>
    <t xml:space="preserve">Максимальный размер инвестиций в ценные бумаги одного эмитента </t>
  </si>
  <si>
    <t>Инвестиции в негосударственные ценные бумаги одного эмитента</t>
  </si>
  <si>
    <t xml:space="preserve">Максимальный общий размер инвестиций в ценные бумаги для купли- продажи  </t>
  </si>
  <si>
    <t xml:space="preserve">Общий размер инвестиций в ценные бумаги для купли- продажи  </t>
  </si>
  <si>
    <t xml:space="preserve">Максимальный общий размер инвестиций в уставной капитал и другие ценные бумаги всех эмитентов  </t>
  </si>
  <si>
    <t xml:space="preserve">Общий размер инвестиций в уставной капитал и другие ценные бумаги всех эмитентов  </t>
  </si>
  <si>
    <t xml:space="preserve"> 5.1</t>
  </si>
  <si>
    <t>РАЗНАЯ ИНФОРМАЦИЯ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</si>
  <si>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</si>
  <si>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</si>
  <si>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</si>
  <si>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</si>
  <si>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</si>
  <si>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</si>
  <si>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</si>
  <si>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</si>
  <si>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</si>
  <si>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</si>
  <si>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</si>
  <si>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</si>
  <si>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</si>
  <si>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</si>
  <si>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</si>
  <si>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</si>
  <si>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</si>
  <si>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</si>
  <si>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</si>
  <si>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</si>
  <si>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</si>
  <si>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</si>
  <si>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</si>
  <si>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</si>
  <si>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</si>
  <si>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</si>
  <si>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</si>
  <si>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</si>
  <si>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</si>
  <si>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</si>
  <si>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</si>
  <si>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</si>
  <si>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</si>
  <si>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</si>
  <si>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</si>
  <si>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</si>
  <si>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</si>
  <si>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</si>
  <si>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</si>
  <si>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</si>
  <si>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</si>
  <si>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Итого</t>
  </si>
  <si>
    <t>в национальной валюте</t>
  </si>
  <si>
    <t>в иностранной валюте 
(в экв. в сумах)</t>
  </si>
  <si>
    <t>Процентные расходы по депозитам до востребования</t>
  </si>
  <si>
    <t>Процентные расходы по срочным депозитам</t>
  </si>
  <si>
    <t>Процентные расходы по счетам к оплате в ЦБРУ</t>
  </si>
  <si>
    <t>Процентные расходы по счетам к оплате в другие банки</t>
  </si>
  <si>
    <t>Итого процентных расходов по депозитам</t>
  </si>
  <si>
    <t>Процентные расходы по кредитам к оплате</t>
  </si>
  <si>
    <t>Процентные расходы по соглашениям о продаже ц/б с последующим выкупом</t>
  </si>
  <si>
    <t>Другие процентные расходы</t>
  </si>
  <si>
    <t>Итого процентных расходов по займам</t>
  </si>
  <si>
    <t>Итого процентных расходов</t>
  </si>
  <si>
    <t>Процентные доходы по счетам в ЦБРУ</t>
  </si>
  <si>
    <t>Процентные доходы по счетам в других банках</t>
  </si>
  <si>
    <t>Процентные доходы по купленным векселям</t>
  </si>
  <si>
    <t xml:space="preserve">Процентные доходы по инвестициям       </t>
  </si>
  <si>
    <t>Процентные доходы по счетам купли-продажи ценных бумаг</t>
  </si>
  <si>
    <t>Процентные доходы по обязательствам клиентов</t>
  </si>
  <si>
    <t xml:space="preserve">Процентные доходы по обяз-вам клиентов по непогашенным акцептам этого банка </t>
  </si>
  <si>
    <t>Процент, Дисконт (Скидки) и взносы по кредитным и лизинговым операциям</t>
  </si>
  <si>
    <t>Процентные доходы по соглашениям о покупке ценных бумаг с обратным выкупом</t>
  </si>
  <si>
    <t>Другие процентные доходы</t>
  </si>
  <si>
    <t>Итого процентных доходов</t>
  </si>
  <si>
    <t xml:space="preserve">1. </t>
  </si>
  <si>
    <t xml:space="preserve">    a.</t>
  </si>
  <si>
    <t xml:space="preserve">    б.</t>
  </si>
  <si>
    <t xml:space="preserve">    в.</t>
  </si>
  <si>
    <t xml:space="preserve">    г.</t>
  </si>
  <si>
    <t xml:space="preserve">    д.</t>
  </si>
  <si>
    <t xml:space="preserve">    е. </t>
  </si>
  <si>
    <t xml:space="preserve">    ж.</t>
  </si>
  <si>
    <t xml:space="preserve">    з.</t>
  </si>
  <si>
    <t xml:space="preserve">    и.</t>
  </si>
  <si>
    <t xml:space="preserve">    к.</t>
  </si>
  <si>
    <t xml:space="preserve"> л.</t>
  </si>
  <si>
    <t xml:space="preserve">2. </t>
  </si>
  <si>
    <t xml:space="preserve">     а.</t>
  </si>
  <si>
    <t xml:space="preserve">     б.</t>
  </si>
  <si>
    <t xml:space="preserve">     в.</t>
  </si>
  <si>
    <t xml:space="preserve">     г.</t>
  </si>
  <si>
    <t xml:space="preserve">     д.</t>
  </si>
  <si>
    <t xml:space="preserve">     е.</t>
  </si>
  <si>
    <t xml:space="preserve">     ж.</t>
  </si>
  <si>
    <t xml:space="preserve">     з.</t>
  </si>
  <si>
    <t xml:space="preserve">     и.</t>
  </si>
  <si>
    <t xml:space="preserve">     л.</t>
  </si>
  <si>
    <t xml:space="preserve">   а.</t>
  </si>
  <si>
    <t xml:space="preserve">4. </t>
  </si>
  <si>
    <t xml:space="preserve">     а. </t>
  </si>
  <si>
    <t xml:space="preserve">     б. </t>
  </si>
  <si>
    <t xml:space="preserve">     в. </t>
  </si>
  <si>
    <t xml:space="preserve">     г. </t>
  </si>
  <si>
    <t xml:space="preserve">     д. </t>
  </si>
  <si>
    <t xml:space="preserve">     е. </t>
  </si>
  <si>
    <t xml:space="preserve">5. </t>
  </si>
  <si>
    <t xml:space="preserve">6.  </t>
  </si>
  <si>
    <t xml:space="preserve">7. </t>
  </si>
  <si>
    <t xml:space="preserve">    а. </t>
  </si>
  <si>
    <t xml:space="preserve">    б. </t>
  </si>
  <si>
    <t xml:space="preserve">    г. </t>
  </si>
  <si>
    <t xml:space="preserve">    д. </t>
  </si>
  <si>
    <t xml:space="preserve">    е.</t>
  </si>
  <si>
    <t xml:space="preserve">    ж. </t>
  </si>
  <si>
    <t xml:space="preserve">    з. </t>
  </si>
  <si>
    <t xml:space="preserve">9. </t>
  </si>
  <si>
    <t xml:space="preserve">      а. </t>
  </si>
  <si>
    <t xml:space="preserve">10. </t>
  </si>
  <si>
    <t xml:space="preserve">       а. </t>
  </si>
  <si>
    <t xml:space="preserve">       б. </t>
  </si>
  <si>
    <t>ПРОЦЕНТНЫЕ РАСХОДЫ</t>
  </si>
  <si>
    <t>Минус: Оценка возможных убытков по кредитам и лизингу</t>
  </si>
  <si>
    <t>Чистые процентные доходы после оценки возможных убытков по кредитам и лизингу</t>
  </si>
  <si>
    <t>БЕСПРОЦЕНТНЫЕ ДОХОДЫ</t>
  </si>
  <si>
    <t>Доходы от комиссий и платы за услуги</t>
  </si>
  <si>
    <t>Прибыль в иностранной валюте</t>
  </si>
  <si>
    <t xml:space="preserve">Прибыль от коммерческих операций </t>
  </si>
  <si>
    <t>Прибыль и дивиденды от инвестиций</t>
  </si>
  <si>
    <t>Другие беспроцентные доходы</t>
  </si>
  <si>
    <t>Итого беспроцентных доходов</t>
  </si>
  <si>
    <t>БЕСПРОЦЕНТНЫЕ РАСХОДЫ</t>
  </si>
  <si>
    <t>Комиссионные расходы и расходы за услуги</t>
  </si>
  <si>
    <t>Убытки в иностранной валюте</t>
  </si>
  <si>
    <t>Убытки от инвестиций</t>
  </si>
  <si>
    <t>Другие беспроцентные расходы</t>
  </si>
  <si>
    <t>Итого беспроцентных расходов</t>
  </si>
  <si>
    <t>ЧИСТЫЙ ДОХОД ДО ОПЕРАЦИОННЫХ РАСХОДОВ</t>
  </si>
  <si>
    <t>ОПЕРАЦИОННЫЕ РАСХОДЫ</t>
  </si>
  <si>
    <t>Заработная плата и другие расходы на сотрудников</t>
  </si>
  <si>
    <t>из них, выплаты основному руководящему персоналу</t>
  </si>
  <si>
    <t>Аренда и содержание</t>
  </si>
  <si>
    <t>Командировочные и транспортные расходы</t>
  </si>
  <si>
    <t>Административные расходы</t>
  </si>
  <si>
    <t>Репрезентация и благотворительность</t>
  </si>
  <si>
    <t>Расходы на износ</t>
  </si>
  <si>
    <t>Итого операционных расходов</t>
  </si>
  <si>
    <t>ЧИСТАЯ ПРИБЫЛЬ ДО УПЛАТЫ НАЛОГОВ И ДРУГИХ ПОПРАВОК</t>
  </si>
  <si>
    <t xml:space="preserve">Оценка налога на прибыль </t>
  </si>
  <si>
    <t>ДОХОД ДО ВВЕДЕНИЯ ПОПРАВОК</t>
  </si>
  <si>
    <t>Непредвиденные доходы или убытки, чистые</t>
  </si>
  <si>
    <t>Другие поправки к прибыли, чистые</t>
  </si>
  <si>
    <t>ЧИСТАЯ ПРИБЫЛЬ (УБЫТКИ)</t>
  </si>
  <si>
    <t>Таблица-2</t>
  </si>
  <si>
    <t>тыс. сум</t>
  </si>
  <si>
    <t>Состав активов*</t>
  </si>
  <si>
    <t>Остаток</t>
  </si>
  <si>
    <t>Категория качества</t>
  </si>
  <si>
    <t>Просроченная задолженность (брутто)</t>
  </si>
  <si>
    <t>Резерв на возможные потери</t>
  </si>
  <si>
    <t>итого</t>
  </si>
  <si>
    <t>до 30 дней</t>
  </si>
  <si>
    <t>от 31 до 90 дней</t>
  </si>
  <si>
    <t>от 91 до 180 дней</t>
  </si>
  <si>
    <t>свыше 180 дней</t>
  </si>
  <si>
    <t>фактически сформированный</t>
  </si>
  <si>
    <t>по категориям качества</t>
  </si>
  <si>
    <t>О</t>
  </si>
  <si>
    <t>П</t>
  </si>
  <si>
    <t>Р</t>
  </si>
  <si>
    <t>С</t>
  </si>
  <si>
    <t>Ценные бумаги для купли и продажи</t>
  </si>
  <si>
    <t>Инвестиции в ценные бумаги, имеющиеся в наличии для продажи</t>
  </si>
  <si>
    <t>Драгоценные металлы, камни и монеты для купли и продажи</t>
  </si>
  <si>
    <t>Купленные дебиторские задолженности - Факторинг</t>
  </si>
  <si>
    <t>Купленные векселя</t>
  </si>
  <si>
    <t>Обязательства клиентов по траттам под аккредитив и/или трастовые документы</t>
  </si>
  <si>
    <t>Обязательства лиентов по непогашенным акцептам банка</t>
  </si>
  <si>
    <t>9</t>
  </si>
  <si>
    <t>Купленные по сделкам РЕПО ценные бумаги</t>
  </si>
  <si>
    <t>10</t>
  </si>
  <si>
    <t>Краткосрочные кредиты, предоставленные ЦБРУ</t>
  </si>
  <si>
    <t>11</t>
  </si>
  <si>
    <t>Краткосрочные кредиты, предоставленные другим банкам</t>
  </si>
  <si>
    <t>12</t>
  </si>
  <si>
    <t>Краткосрочные кредиты, предоставленные правительству</t>
  </si>
  <si>
    <t>13</t>
  </si>
  <si>
    <t>Краткосрочные кредиты, предоставленные бюджетным организациям</t>
  </si>
  <si>
    <t>14</t>
  </si>
  <si>
    <t>Краткосрочные кредиты, предоставленные физическим лицам</t>
  </si>
  <si>
    <t>15</t>
  </si>
  <si>
    <t>Краткосрочные кредиты, предоставленные индивидуальным предпринимателям</t>
  </si>
  <si>
    <t>16</t>
  </si>
  <si>
    <t>Краткосрочные кредиты, предоставленные государственным предприятиям, организациям и учреждениям</t>
  </si>
  <si>
    <t>17</t>
  </si>
  <si>
    <t>Краткосрочные кредиты, предоставленные при содействии Государственного фонда поддержки развития предпринимательской деятельности</t>
  </si>
  <si>
    <t>18</t>
  </si>
  <si>
    <t>Краткосрочные кредиты, предоставленные предприятиям с участием иностранного капитала</t>
  </si>
  <si>
    <t>19</t>
  </si>
  <si>
    <t>Краткосрочные кредиты, предоставленные негосударственным некоммерческим организациям</t>
  </si>
  <si>
    <t>20</t>
  </si>
  <si>
    <t>Краткосрочные кредиты, предоставленные частным предприятиям, хозяйственным товариществам и обществам</t>
  </si>
  <si>
    <t>21</t>
  </si>
  <si>
    <t>Краткосрочные кредиты, предоставленные небанковским финансовым институтам</t>
  </si>
  <si>
    <t>22</t>
  </si>
  <si>
    <t>Долгосрочные кредиты, предоставленные при содействии Государственного фонда поддержки развития предпринимательской деятельности</t>
  </si>
  <si>
    <t>23</t>
  </si>
  <si>
    <t>Долгосрочные кредиты, предоставленные другим банкам</t>
  </si>
  <si>
    <t>24</t>
  </si>
  <si>
    <t xml:space="preserve">Долгосрочные кредиты, предоставленные правительству </t>
  </si>
  <si>
    <t>25</t>
  </si>
  <si>
    <t>Долгосрочные кредиты, предоставленные бюджетным организациям</t>
  </si>
  <si>
    <t>26</t>
  </si>
  <si>
    <t>Долгосрочные кредиты, предоставленные физическим лицам</t>
  </si>
  <si>
    <t>27</t>
  </si>
  <si>
    <t>Долгосрочные кредиты, предоставленные индивидуальным предпринимателям</t>
  </si>
  <si>
    <t>28</t>
  </si>
  <si>
    <t>Долгосрочные кредиты, предоставленные государственным предприятиям, организациям и учреждениям</t>
  </si>
  <si>
    <t>29</t>
  </si>
  <si>
    <t>30</t>
  </si>
  <si>
    <t xml:space="preserve">Долгосрочные кредиты, предоставленные предприятиям с участием иностранного капитала </t>
  </si>
  <si>
    <t>31</t>
  </si>
  <si>
    <t>Долгосрочные кредиты, предоставленные небанковским финансовым институтам</t>
  </si>
  <si>
    <t>32</t>
  </si>
  <si>
    <t xml:space="preserve">Долгосрочные кредиты, предоставленные частным предприятиям, хозяйственным товариществам и обществам </t>
  </si>
  <si>
    <t>33</t>
  </si>
  <si>
    <t>Кредиты и лизинг, находящиеся в процессе судебного разбирательства</t>
  </si>
  <si>
    <t>34</t>
  </si>
  <si>
    <t>Инвестиции в зависимые хозяйственные общества, совместные предприятия и дочерние хозяйственные общества</t>
  </si>
  <si>
    <t>35</t>
  </si>
  <si>
    <t>Инвестиции в долговые ценные бумаги, удерживаемые до погашения</t>
  </si>
  <si>
    <t>36</t>
  </si>
  <si>
    <t>Начисленные проценты к получению</t>
  </si>
  <si>
    <t>37</t>
  </si>
  <si>
    <t>Начисленные беспроцентные доходы к получению</t>
  </si>
  <si>
    <t>38</t>
  </si>
  <si>
    <t>Другое собственное имущество банка</t>
  </si>
  <si>
    <t>39</t>
  </si>
  <si>
    <t>ЗАБАЛАНСОВЫЕ СТАТЬИ</t>
  </si>
  <si>
    <t xml:space="preserve">Гарантии и поручетельства </t>
  </si>
  <si>
    <t>Состав активов банка формируется в соответсвии с Планом счетов</t>
  </si>
  <si>
    <t xml:space="preserve">1 . </t>
  </si>
  <si>
    <t xml:space="preserve">a.  </t>
  </si>
  <si>
    <t xml:space="preserve">б.  </t>
  </si>
  <si>
    <t xml:space="preserve">в.  </t>
  </si>
  <si>
    <t xml:space="preserve">г.  </t>
  </si>
  <si>
    <t xml:space="preserve">д.  </t>
  </si>
  <si>
    <t xml:space="preserve">е.  </t>
  </si>
  <si>
    <t xml:space="preserve">ж.  </t>
  </si>
  <si>
    <t xml:space="preserve">з.   </t>
  </si>
  <si>
    <t xml:space="preserve">и.   </t>
  </si>
  <si>
    <t xml:space="preserve">2.  </t>
  </si>
  <si>
    <t xml:space="preserve">3.  </t>
  </si>
  <si>
    <t xml:space="preserve">4.  </t>
  </si>
  <si>
    <t xml:space="preserve">5.  </t>
  </si>
  <si>
    <t xml:space="preserve">    A.  </t>
  </si>
  <si>
    <t xml:space="preserve">    Б. </t>
  </si>
  <si>
    <t xml:space="preserve">    В. </t>
  </si>
  <si>
    <t xml:space="preserve">8. </t>
  </si>
  <si>
    <t xml:space="preserve">а. </t>
  </si>
  <si>
    <t xml:space="preserve">б. </t>
  </si>
  <si>
    <t xml:space="preserve">в. </t>
  </si>
  <si>
    <t xml:space="preserve">г. </t>
  </si>
  <si>
    <t xml:space="preserve"> д. </t>
  </si>
  <si>
    <t xml:space="preserve">9.  </t>
  </si>
  <si>
    <t>ПРОЦЕНТНЫЕ ДОХОДЫ ПО КРЕДИТНЫМ И ЛИЗИНГОВЫМ ОПЕРАЦИЯМ</t>
  </si>
  <si>
    <t>Кредиты и лизинговые операции ЦБРУ</t>
  </si>
  <si>
    <t>Кредиты и лизинговые операции другим банкам</t>
  </si>
  <si>
    <t xml:space="preserve">Кредиты и лизинговые операции Правительству </t>
  </si>
  <si>
    <t>Кредиты и лизинговые операции физическим лицам</t>
  </si>
  <si>
    <t>Кредиты и лизинговые операции государственным предприятиям</t>
  </si>
  <si>
    <t xml:space="preserve">Кредиты и лизинговые операции совместным и иностранным предприятиям  </t>
  </si>
  <si>
    <t>Кредиты и лизинговые операции частным товариществам и корпорациям</t>
  </si>
  <si>
    <t xml:space="preserve">Другие кредиты и лизинговые операции </t>
  </si>
  <si>
    <t>ИТОГО ПРОЦЕНТНЫХ ДОХОДОВ ПО КРЕДИТНЫМ И ЛИЗИНГОВЫМ ОПЕРАЦИЯМ</t>
  </si>
  <si>
    <t>ПРОЦЕНТНЫЕ ДОХОДЫ ПО КОРРЕСПОНДЕНТСКИМ СЧЕТАМ</t>
  </si>
  <si>
    <t>К получению из ЦБРУ</t>
  </si>
  <si>
    <t>ИТОГО ПРОЦЕНТНЫХ ДОХОДОВ ПО КОРРЕСПОНДЕНТСКИМ СЧЕТАМ</t>
  </si>
  <si>
    <t>ПРОЦЕНТНЫЕ ДОХОДЫ ПО СЧЕТАМ КУПЛИ-ПРОДАЖИ Ц/Б</t>
  </si>
  <si>
    <t>Государственные казначейские ценные бумаги</t>
  </si>
  <si>
    <t>Облигации и ценные бумаги ЦБРУ</t>
  </si>
  <si>
    <t>Ценные бумаги государственных корпораций</t>
  </si>
  <si>
    <t>Еврооблигации</t>
  </si>
  <si>
    <t>Частные ценные бумаги</t>
  </si>
  <si>
    <t>ИТОГО ПРОЦЕНТНЫХ ДОХОДОВ ПО СЧЕТАМ КУПЛИ-ПРОДАЖИ Ц/Б</t>
  </si>
  <si>
    <t>ПРОЦЕНТНЫЕ ДОХОДЫ ПО ИНВЕСТИЦИЯМ</t>
  </si>
  <si>
    <t>Государственные облигации</t>
  </si>
  <si>
    <t>Частные  облигации</t>
  </si>
  <si>
    <t>ИТОГО ПРОЦЕНТНЫХ ДОХОДОВ ПО ИНВЕСТИЦИЯМ</t>
  </si>
  <si>
    <t>ДРУГИЕ ПРОЦЕНТНЫЕ ДОХОДЫ</t>
  </si>
  <si>
    <t>Процентные доходы по соглашениям о покупке ц/б c обратным выкупом</t>
  </si>
  <si>
    <t>ИТОГО ПРОЦЕНТНЫХ ДОХОДОВ</t>
  </si>
  <si>
    <t>ПРОЦЕНТНЫЕ РАСХОДЫ ПО ДЕПОЗИТАМ</t>
  </si>
  <si>
    <t xml:space="preserve">Частные товарищества и корпорации </t>
  </si>
  <si>
    <t>Другие депозиты</t>
  </si>
  <si>
    <t>Итого процентных расходов по депозитам до востребования</t>
  </si>
  <si>
    <t>Итого процентных расходов по срочным депозитам</t>
  </si>
  <si>
    <t>ИТОГО ПРОЦЕНТНЫХ РАСХОДОВ ПО ДЕПОЗИТАМ</t>
  </si>
  <si>
    <t>ПРОЦЕНТНЫЕ РАСХОДЫ ПО ДРУГИМ ОБЯЗАТЕЛЬСТВАМ</t>
  </si>
  <si>
    <t>Процентные расходы по непогашенным акцептам</t>
  </si>
  <si>
    <t>ИТОГО ПРОЦЕНТНЫХ РАСХОДОВ ПО ДРУГИМ ОБЯЗАТЕЛЬСТВАМ</t>
  </si>
  <si>
    <t>ИТОГО ПРОЦЕНТНЫХ РАСХОДОВ</t>
  </si>
  <si>
    <t xml:space="preserve">3. </t>
  </si>
  <si>
    <t xml:space="preserve">6. </t>
  </si>
  <si>
    <t>Итого собственного капитала первоначально определенного за прошлый год</t>
  </si>
  <si>
    <t>Исправления в собственном капитале не показанные в отчете за прошлый год, чистые</t>
  </si>
  <si>
    <t>Исправленный баланс на конец прошлого календарного года (сумма строк 1 и 2)</t>
  </si>
  <si>
    <t>Чистый прибыль (убыток) по состоянию на дату от начала года</t>
  </si>
  <si>
    <t>Продажа, Обмен, Приобретение или выкуп акций, за текущий год (чистая выручка)</t>
  </si>
  <si>
    <t>Изменения в оценочной стоимости прироста над первонач. стоимостью, за текущий год (чистые)</t>
  </si>
  <si>
    <t>МИНУС: Денежные дивиденды объявленные по привилегированным акциям</t>
  </si>
  <si>
    <t>МИНУС: Денежные дивиденды объявленные по обыкновенным акциям</t>
  </si>
  <si>
    <t>Другие статьи влияющие на собственный капитал за текущий год (чистые)</t>
  </si>
  <si>
    <t>Итого собственного капитала на конец текущего периода (сумма строк с 3 по 10)</t>
  </si>
  <si>
    <t>основной долг</t>
  </si>
  <si>
    <t>процент</t>
  </si>
  <si>
    <t>из них, в иностранной валюте (в экв. в сумах)</t>
  </si>
  <si>
    <t>из них необеспеченные</t>
  </si>
  <si>
    <r>
      <t>(В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</si>
  <si>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(Г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</si>
  <si>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(Д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</si>
  <si>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(Е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</si>
  <si>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</si>
  <si>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(З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</si>
  <si>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</si>
  <si>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(К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</si>
  <si>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</si>
  <si>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(М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</si>
  <si>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</si>
  <si>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r>
      <t>(О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)=(Ж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)+(И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)+(Л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)+(Н</t>
    </r>
    <r>
      <rPr>
        <b/>
        <sz val="8"/>
        <rFont val="Arial Cyr"/>
        <charset val="204"/>
      </rPr>
      <t>1</t>
    </r>
    <r>
      <rPr>
        <b/>
        <sz val="10"/>
        <rFont val="Arial Cyr"/>
        <family val="2"/>
        <charset val="204"/>
      </rPr>
      <t>)</t>
    </r>
  </si>
  <si>
    <t>Таблица-3</t>
  </si>
  <si>
    <t>4.1.</t>
  </si>
  <si>
    <t>4.2.</t>
  </si>
  <si>
    <t xml:space="preserve">Кассовая наличность и другие платежные документы </t>
  </si>
  <si>
    <t xml:space="preserve">1.  </t>
  </si>
  <si>
    <t>Численность работников банка по штатному расписанию</t>
  </si>
  <si>
    <t>Фактическая численность работников банка</t>
  </si>
  <si>
    <t xml:space="preserve">Количество филиалов  </t>
  </si>
  <si>
    <t>Количество мини банков</t>
  </si>
  <si>
    <t>Клиенская база банка</t>
  </si>
  <si>
    <t>Рейтинг банка</t>
  </si>
  <si>
    <t>Названия рейтинговой компании</t>
  </si>
  <si>
    <t>Оценка рейтинга банка</t>
  </si>
  <si>
    <t>Общее количество отделений банка, включая административный, филиалы, 
и представительства банка.</t>
  </si>
  <si>
    <t xml:space="preserve">      из них,</t>
  </si>
  <si>
    <t>Численность работников банка,  включая административный, филиалы, 
и представительства банка.</t>
  </si>
  <si>
    <t>Коэффициент достаточности основного Капитала Уровня 1</t>
  </si>
  <si>
    <t>Основной капитал Уровня I</t>
  </si>
  <si>
    <t xml:space="preserve">3.1. </t>
  </si>
  <si>
    <t>Сумма</t>
  </si>
  <si>
    <t>От 31 до 90 дней</t>
  </si>
  <si>
    <t>От 91 до 180 дней</t>
  </si>
  <si>
    <t>3.4</t>
  </si>
  <si>
    <t>К получению из других банков - Депозиты (чистые)</t>
  </si>
  <si>
    <t>Ценные бумаги, выпущенные странами с низким уровня риска</t>
  </si>
  <si>
    <t>Другие легко реализуемые ценные бумаги</t>
  </si>
  <si>
    <t>Итого ликвидных активов</t>
  </si>
  <si>
    <t>Убытки по счетам купли-продажи</t>
  </si>
  <si>
    <t>Таблица-4</t>
  </si>
  <si>
    <t>Таблица-8</t>
  </si>
  <si>
    <t>жилая недвижимость</t>
  </si>
  <si>
    <t>коммерческая недвижимость</t>
  </si>
  <si>
    <t>(К1)</t>
  </si>
  <si>
    <t>Таблица-13</t>
  </si>
  <si>
    <t>Таблица-20</t>
  </si>
  <si>
    <t>Таблица-10</t>
  </si>
  <si>
    <t>Таблица-9</t>
  </si>
  <si>
    <t>(Е1)</t>
  </si>
  <si>
    <t>(З1)</t>
  </si>
  <si>
    <t>(И1)</t>
  </si>
  <si>
    <t>(Л1)</t>
  </si>
  <si>
    <t>(М1)</t>
  </si>
  <si>
    <t>(Н1)</t>
  </si>
  <si>
    <t>(О1)</t>
  </si>
  <si>
    <t>(П1)</t>
  </si>
  <si>
    <t>(Р1)</t>
  </si>
  <si>
    <t>Таблица-5</t>
  </si>
  <si>
    <t>всего</t>
  </si>
  <si>
    <t xml:space="preserve">в том числе </t>
  </si>
  <si>
    <t>ипотечный кредит</t>
  </si>
  <si>
    <t>автокредит</t>
  </si>
  <si>
    <t>средневзвешенные процентные ставки</t>
  </si>
  <si>
    <t>Вклады (депозиты) физических лиц</t>
  </si>
  <si>
    <t>Вклады (депозиты) юридических лиц</t>
  </si>
  <si>
    <t>общая сумма
 (тыс. сум)</t>
  </si>
  <si>
    <t>другие кредиты физическим лицам</t>
  </si>
  <si>
    <t>остаток всего</t>
  </si>
  <si>
    <t>Виды кредитования</t>
  </si>
  <si>
    <t>в том числе</t>
  </si>
  <si>
    <t>в национальный валюте</t>
  </si>
  <si>
    <t>другие кредиты юридическим лицам</t>
  </si>
  <si>
    <t>2.5.</t>
  </si>
  <si>
    <t>ВСЕГО АКТИВОВ</t>
  </si>
  <si>
    <t>40</t>
  </si>
  <si>
    <t>41</t>
  </si>
  <si>
    <t>(И2)</t>
  </si>
  <si>
    <t>в том числе, анализ временной задолженности</t>
  </si>
  <si>
    <t>потребительские кредиты</t>
  </si>
  <si>
    <t>микрокредит</t>
  </si>
  <si>
    <t>синдицированные кредит</t>
  </si>
  <si>
    <t>лизинг</t>
  </si>
  <si>
    <t>факторинг</t>
  </si>
  <si>
    <t>межбанковский кредит</t>
  </si>
  <si>
    <t>ДАННЫЕ О СРЕДНЕВЗВЕШЕННЫХ ПРОЦЕНТНЫХ СТАВКАХ ПО КРЕДИТАМ</t>
  </si>
  <si>
    <r>
      <t xml:space="preserve">    а</t>
    </r>
    <r>
      <rPr>
        <b/>
        <sz val="7"/>
        <rFont val="Arial Cyr"/>
        <family val="2"/>
        <charset val="204"/>
      </rPr>
      <t>1</t>
    </r>
    <r>
      <rPr>
        <sz val="10"/>
        <rFont val="Arial Cyr"/>
        <family val="2"/>
        <charset val="204"/>
      </rPr>
      <t>)</t>
    </r>
  </si>
  <si>
    <t>Таблица-21</t>
  </si>
  <si>
    <t>ДАННЫЕ О СРЕДНЕВЗВЕШЕННЫХ ПРОЦЕНТНЫХ СТАВКАХ
 ПО ПРИВЛЕЧЕННЫМ ДЕПОЗИТАМ БАНКОВ</t>
  </si>
  <si>
    <t>Таблица-22</t>
  </si>
  <si>
    <t>Таблица-23</t>
  </si>
  <si>
    <t>Таблица-7</t>
  </si>
  <si>
    <t>От 181 до 365 дней</t>
  </si>
  <si>
    <t>От 366 до 730 дней</t>
  </si>
  <si>
    <t xml:space="preserve">ОТЧЕТ О ФИНАНСОВЫХ РЕЗУЛЬТАТАХ </t>
  </si>
  <si>
    <t>ИНФОРМАЦИЯ О КАЧЕСТВЕ АКТИВОВ, ОЦЕНИВАЕМЫХ В ЦЕЛЯХ СОЗДАНИЯ РЕЗЕРВА НА ВОЗМОЖНЫЕ ПОТЕРИ</t>
  </si>
  <si>
    <t>Показатели ликвидности</t>
  </si>
  <si>
    <t>Т</t>
  </si>
  <si>
    <t>РАСЧЕТ РЕГУЛЯТИВНОГО КАПИТАЛА БАНКА</t>
  </si>
  <si>
    <t>Активы + забалансовые инструменты+ деривативные (производные) инструменты - вычеты из суммы основного капитала уровня I</t>
  </si>
  <si>
    <t>Количество розничных касс вне банка (филиалы)</t>
  </si>
  <si>
    <t>(Б1)</t>
  </si>
  <si>
    <t>(Б2)</t>
  </si>
  <si>
    <t>(Б3)</t>
  </si>
  <si>
    <t>(Б4)</t>
  </si>
  <si>
    <t>Физические лица (льготные кредиты)</t>
  </si>
  <si>
    <t>Юридические лица (льготные кредиты)</t>
  </si>
  <si>
    <t>Физические лица (коммерческие кредиты)</t>
  </si>
  <si>
    <t>Юридические лица (коммерческие кредиты)</t>
  </si>
  <si>
    <t>4.3.</t>
  </si>
  <si>
    <t>4.4.</t>
  </si>
  <si>
    <t>4.5.</t>
  </si>
  <si>
    <t>4.6.</t>
  </si>
  <si>
    <t>Основные средства</t>
  </si>
  <si>
    <t>42</t>
  </si>
  <si>
    <t>средне-взвешенные процентные ставки</t>
  </si>
  <si>
    <t xml:space="preserve"> Нематериальные активы</t>
  </si>
  <si>
    <t xml:space="preserve"> Нереализованная прибыль при ревальвации производных инструментов</t>
  </si>
  <si>
    <t xml:space="preserve"> Купля-продажа валюты и валютные позиции</t>
  </si>
  <si>
    <t xml:space="preserve"> Транзитные счета</t>
  </si>
  <si>
    <t xml:space="preserve"> Транзитные счета по средствам к списанию с пластиковых карт клиентов</t>
  </si>
  <si>
    <t xml:space="preserve">Лизинг (Финансовая аренда) </t>
  </si>
  <si>
    <t>43</t>
  </si>
  <si>
    <t>44</t>
  </si>
  <si>
    <t>45</t>
  </si>
  <si>
    <t>46</t>
  </si>
  <si>
    <t>47</t>
  </si>
  <si>
    <t>48</t>
  </si>
  <si>
    <t>Начисляемые 
кредиты</t>
  </si>
  <si>
    <t>Долгосрочные кредиты, предоставленные негосударственным некоммерческим организациям</t>
  </si>
  <si>
    <t>366-730 дней</t>
  </si>
  <si>
    <t>Краткосрочные кредиты, предоставленные для производства сельскохозяйственной продукции, закупаемой для государственных нужд</t>
  </si>
  <si>
    <t>Долгосрочные кредиты, предоставленные для производства сельскохозяйственной продукции, закупаемой для государственных нужд</t>
  </si>
  <si>
    <t>49</t>
  </si>
  <si>
    <t>50</t>
  </si>
  <si>
    <t>У</t>
  </si>
  <si>
    <t>Ликвидные активы</t>
  </si>
  <si>
    <t>Физлица</t>
  </si>
  <si>
    <t>Юрзлица</t>
  </si>
  <si>
    <t>Сроки, погашения средств</t>
  </si>
  <si>
    <t>От 1 до 7 дней</t>
  </si>
  <si>
    <t>От 8 до 30 дней</t>
  </si>
  <si>
    <t>Итого (сумма строк 1, 2, 3, 4, 5, 6, 7, 8 )</t>
  </si>
  <si>
    <t>Кредиты переведённые в статус ненаращивания процентов</t>
  </si>
  <si>
    <t>Нацвалюта</t>
  </si>
  <si>
    <t>Инвалюта</t>
  </si>
  <si>
    <t>51</t>
  </si>
  <si>
    <t>Отсроченная дебиторская задолженность</t>
  </si>
  <si>
    <t>КРЕДИТЫ И ЛИЗИНГИ К ПОЛУЧЕНИЮ ПО ОТРАСЛЯМ ЭКОНОМИКИ, ТИПАМ КЛИЕНТОВ И ПО ТИПУ ОБЕСПЕЧЕНИЯ</t>
  </si>
  <si>
    <t>АНАЛИЗ ПРОСРОЧЕННЫХ КРЕДИТОВ И ФИНАНСОВОГО ЛИЗИНГА К ПОЛУЧЕНИЮ</t>
  </si>
  <si>
    <t>ОТЧЕТ О КЛАССИФИКАЦИИ АКТИВОВ ПО СТЕПЕНИ РИСКА</t>
  </si>
  <si>
    <t xml:space="preserve">   б.</t>
  </si>
  <si>
    <t>Минус: Оценка возможных убытков по в ценным бумагам</t>
  </si>
  <si>
    <t xml:space="preserve">   в.</t>
  </si>
  <si>
    <t xml:space="preserve">Минус: Оценка возможных убытков по инвестициям </t>
  </si>
  <si>
    <t xml:space="preserve">   г.</t>
  </si>
  <si>
    <t xml:space="preserve">Минус: Оценка возможных убытков по другим активам </t>
  </si>
  <si>
    <t>ЧИСТЫЕ ПРОЦЕНТНЫЕ ДОХОДЫ ДО ОЦЕНКИ ВОЗМОЖНЫХ УБЫТКОВ ПО АКТИВАМ</t>
  </si>
  <si>
    <t>Страхование</t>
  </si>
  <si>
    <t>Налоги</t>
  </si>
  <si>
    <t xml:space="preserve">    и. </t>
  </si>
  <si>
    <t>Штрафы и пеня</t>
  </si>
  <si>
    <t xml:space="preserve">    к. </t>
  </si>
  <si>
    <t>Другие операционные расходы</t>
  </si>
  <si>
    <t xml:space="preserve">   л. </t>
  </si>
  <si>
    <t xml:space="preserve">Прибыль за текущий год </t>
  </si>
  <si>
    <t>Республика Каракалпакстан</t>
  </si>
  <si>
    <t>Андижанская область</t>
  </si>
  <si>
    <t>Бухарская область</t>
  </si>
  <si>
    <t>Джизакская область</t>
  </si>
  <si>
    <t>Кашкадарьинская область</t>
  </si>
  <si>
    <t>Навоийская область</t>
  </si>
  <si>
    <t>Наманганская область</t>
  </si>
  <si>
    <t>Самаркандская область</t>
  </si>
  <si>
    <t>Сурхандарьинская область</t>
  </si>
  <si>
    <t>Сырдарьинская область</t>
  </si>
  <si>
    <t>Ташкентская область</t>
  </si>
  <si>
    <t>Ферганская область</t>
  </si>
  <si>
    <t>Хорезмская область</t>
  </si>
  <si>
    <t>г. Ташкент</t>
  </si>
  <si>
    <t xml:space="preserve">По регионам </t>
  </si>
  <si>
    <t>Таблица-20 А</t>
  </si>
  <si>
    <t>Сроки</t>
  </si>
  <si>
    <t xml:space="preserve"> Списанные на внебаланс </t>
  </si>
  <si>
    <t>Реструктуризи-рованные кредиты</t>
  </si>
  <si>
    <t xml:space="preserve">до 1 года </t>
  </si>
  <si>
    <t>От 1 до 5 лет</t>
  </si>
  <si>
    <t>От 5 до 10 лет</t>
  </si>
  <si>
    <t>От 10 до 15 лет</t>
  </si>
  <si>
    <t>Свыше 15 лет</t>
  </si>
  <si>
    <t xml:space="preserve">Остаток </t>
  </si>
  <si>
    <t>средневзвешенные % ставки</t>
  </si>
  <si>
    <t>в нацвалюте</t>
  </si>
  <si>
    <t>в инвалюте</t>
  </si>
  <si>
    <t>Ф</t>
  </si>
  <si>
    <t>Х</t>
  </si>
  <si>
    <t>Ц</t>
  </si>
  <si>
    <t>Ч</t>
  </si>
  <si>
    <t>Ш</t>
  </si>
  <si>
    <t>Щ</t>
  </si>
  <si>
    <t xml:space="preserve">Физические лица 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</si>
  <si>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(льготные)
</t>
    </r>
    <r>
      <rPr>
        <sz val="14"/>
        <color rgb="FF000000"/>
        <rFont val="Times New Roman"/>
        <family val="1"/>
        <charset val="204"/>
      </rPr>
      <t>в том числе:</t>
    </r>
  </si>
  <si>
    <t>на приобретение недвижимого имущества</t>
  </si>
  <si>
    <t>на ремонт недвижимого имущества</t>
  </si>
  <si>
    <t>на строительство недвижимого имущества</t>
  </si>
  <si>
    <r>
      <t xml:space="preserve"> Ипотечные кредиты </t>
    </r>
    <r>
      <rPr>
        <b/>
        <sz val="14"/>
        <color rgb="FF000000"/>
        <rFont val="Times New Roman"/>
        <family val="1"/>
        <charset val="204"/>
      </rPr>
      <t xml:space="preserve">(коммерческие)
</t>
    </r>
    <r>
      <rPr>
        <sz val="14"/>
        <color rgb="FF000000"/>
        <rFont val="Times New Roman"/>
        <family val="1"/>
        <charset val="204"/>
      </rPr>
      <t>в том числе:</t>
    </r>
  </si>
  <si>
    <t>Юридические лица</t>
  </si>
  <si>
    <t>на реконструкцию недвижимого имущества</t>
  </si>
  <si>
    <t>из них на приобретения автомобиля</t>
  </si>
  <si>
    <t>РАСЧЕТ ПРУДЕНЦИАЛЬНЫХ НОРМАТИВОВ</t>
  </si>
  <si>
    <t>кредиты, выданные на формирование стартового капитала</t>
  </si>
  <si>
    <t>кредиты на пополнение оборотных средств</t>
  </si>
  <si>
    <t>кредиты, выданные на приобретение, модернизацию или приватизацию основных средств</t>
  </si>
  <si>
    <t>кредиты, выданные на покрытие затрат, связанных с импортом и экспортом продукции</t>
  </si>
  <si>
    <t>кредиты, выданные по отдельным решениям правительства</t>
  </si>
  <si>
    <t>микрозайм (все нецелевые кредиты)</t>
  </si>
  <si>
    <t>в том числе по видам кредитования</t>
  </si>
  <si>
    <t>другие виды кредитования</t>
  </si>
  <si>
    <t>в том числе по цели кредитования</t>
  </si>
  <si>
    <t>другие цели кредитования</t>
  </si>
  <si>
    <t>Информация о структуре кредитного портфеля</t>
  </si>
  <si>
    <t xml:space="preserve">  д.</t>
  </si>
  <si>
    <t>90908-90958</t>
  </si>
  <si>
    <t>Краткосрочные обязательства</t>
  </si>
  <si>
    <t xml:space="preserve">               Нормативный показатель по инвестициям банка в недвижимость</t>
  </si>
  <si>
    <t xml:space="preserve"> 6.1</t>
  </si>
  <si>
    <t>Совокупная сумма всех инвестиций банка в недвижимость</t>
  </si>
  <si>
    <t>Сумма всех инвестиций банка в недвижимость</t>
  </si>
  <si>
    <t xml:space="preserve">Количество центров банковских услуг </t>
  </si>
  <si>
    <t>в том числе имеющие основной счет в банке</t>
  </si>
  <si>
    <t xml:space="preserve">Показатели финансовой устойчивости </t>
  </si>
  <si>
    <t>Основные показатели</t>
  </si>
  <si>
    <t>Регулятивный капитал к активам взвешанных с учетом риска</t>
  </si>
  <si>
    <t>Всего Регулятивный капитал</t>
  </si>
  <si>
    <t>Активы взвешанные с учетом риска</t>
  </si>
  <si>
    <t>Регулятивный  капитал 1 - уровня к Активам взвешанных с учетом риска</t>
  </si>
  <si>
    <t>Регулятивный капитал 1- уровня</t>
  </si>
  <si>
    <t>Недействующие ссуды за вычетом резервов/общий объем капитала</t>
  </si>
  <si>
    <t>Недействующие ссуды за вычетом резервов</t>
  </si>
  <si>
    <t>Совокупный капитал на конец периода</t>
  </si>
  <si>
    <t>Недействующие ссуды/общая сумма ссуд</t>
  </si>
  <si>
    <t>Недействующие ссуды</t>
  </si>
  <si>
    <t>Общая сумма ссуд</t>
  </si>
  <si>
    <t>Рентабельность активов</t>
  </si>
  <si>
    <t>Чистая прибыль до уплаты налогов</t>
  </si>
  <si>
    <t>Всего активы (средний за период)</t>
  </si>
  <si>
    <t>Рентабельность капитала</t>
  </si>
  <si>
    <t>Совокупный капитал (средний за период)</t>
  </si>
  <si>
    <t>Процентная маржа/валовой доход</t>
  </si>
  <si>
    <t xml:space="preserve">Процентная маржа </t>
  </si>
  <si>
    <t xml:space="preserve">Валовой доход </t>
  </si>
  <si>
    <t>Непроцентные расходы/валовой доход</t>
  </si>
  <si>
    <t>Непроцентные расходы</t>
  </si>
  <si>
    <t>Валовой доход</t>
  </si>
  <si>
    <t>Ликвидные активы/всего активы</t>
  </si>
  <si>
    <t>Всего активы</t>
  </si>
  <si>
    <t>Ликвидные активы/краткосрочные обязательства</t>
  </si>
  <si>
    <t>Совокупный капитал на конец периода/Всего активы</t>
  </si>
  <si>
    <t>Чистая открытая валютная позиция /Совокупный капитал на конец периода</t>
  </si>
  <si>
    <t xml:space="preserve">Чистая открытая валютная позиция </t>
  </si>
  <si>
    <t>Актив</t>
  </si>
  <si>
    <t>Капитал</t>
  </si>
  <si>
    <t xml:space="preserve">Наличные денежные средства и Драгоценные металлы </t>
  </si>
  <si>
    <t>Месяц</t>
  </si>
  <si>
    <t>1 января</t>
  </si>
  <si>
    <t>1 февраль</t>
  </si>
  <si>
    <t>1 март</t>
  </si>
  <si>
    <t>1 апрель</t>
  </si>
  <si>
    <t>1 май</t>
  </si>
  <si>
    <t>1 июнь</t>
  </si>
  <si>
    <t>1 июль</t>
  </si>
  <si>
    <t>1 август</t>
  </si>
  <si>
    <t>1 сентябрь</t>
  </si>
  <si>
    <t>1 октябрь</t>
  </si>
  <si>
    <t>1 ноябрь</t>
  </si>
  <si>
    <t>1 декабрь</t>
  </si>
  <si>
    <t>1 январь</t>
  </si>
  <si>
    <t xml:space="preserve"> 5.2</t>
  </si>
  <si>
    <t>-</t>
  </si>
  <si>
    <t>Индивидуальные предприниматели</t>
  </si>
  <si>
    <t xml:space="preserve">Чистая прибыль </t>
  </si>
  <si>
    <t>Максимальный размер риска на одного заемщика или группу взаимосвязанных заемщиков, обеспеченные</t>
  </si>
  <si>
    <t>Максимальный размер риска на одного заемщика или группу взаимосвязанных заемщиков,обеспеченные</t>
  </si>
  <si>
    <t>Максимальный размер необеспеченного актива на одного заемщика или группу взаимосвязанных заемщиков (не включая риски по межбанковским операциям)</t>
  </si>
  <si>
    <t>Максимальный размер риска на одного связанного с банком лица, обеспеченные</t>
  </si>
  <si>
    <t>Возврат резервов, с формированных на покрытие потерь по активам</t>
  </si>
  <si>
    <t>Возврат списанных кредитов</t>
  </si>
  <si>
    <t>списанные кредиты за баланс в отчётном месяце</t>
  </si>
  <si>
    <t>возврат списанных кредитов в отчётном месяце</t>
  </si>
  <si>
    <t>ОТЧЕТ О CПИСАННЫХ И ВОЗВРАЩЕННЫХ КРЕДИТАХ И ЛИЗИНГАХ, 
А ТАКЖЕ РЕЗЕРВАХ ПО НИМ</t>
  </si>
  <si>
    <t>Часть 1 Списания и возврат сумму кредитов и лизинга за последние 12 месяцев</t>
  </si>
  <si>
    <t>Отрасли экономики
 и виды кредитования</t>
  </si>
  <si>
    <t>Списания и возврат кредитов и лизингов</t>
  </si>
  <si>
    <t>Списанние на 
забалансовый счет</t>
  </si>
  <si>
    <t>Возврат из 
забалансового счета</t>
  </si>
  <si>
    <t xml:space="preserve"> Итоговое списанние из забалансового счета</t>
  </si>
  <si>
    <t>1.7.</t>
  </si>
  <si>
    <t>1.8.</t>
  </si>
  <si>
    <t>Ипотечный кредит</t>
  </si>
  <si>
    <t>Автокредит</t>
  </si>
  <si>
    <t>Микрозаймы и овердрафты (все нецелевые кредиты)</t>
  </si>
  <si>
    <t>Часть 2 Списанные и возвращенные резервы по кредитам и лизингам за последние 12 месяцев</t>
  </si>
  <si>
    <t>Списания и возврат резервов по кредитам и лизингам</t>
  </si>
  <si>
    <t>Списание резервов</t>
  </si>
  <si>
    <t>Возврат резервов</t>
  </si>
  <si>
    <t>в этой строке указываются количество юридических лиц, которые имеют основной счет в банке</t>
  </si>
  <si>
    <t xml:space="preserve">в этой строке указываются количество всех юридических лиц </t>
  </si>
  <si>
    <r>
      <t xml:space="preserve">     д</t>
    </r>
    <r>
      <rPr>
        <sz val="8"/>
        <rFont val="Arial Cyr"/>
        <family val="2"/>
        <charset val="204"/>
      </rPr>
      <t xml:space="preserve">1. </t>
    </r>
  </si>
  <si>
    <r>
      <t xml:space="preserve">     д</t>
    </r>
    <r>
      <rPr>
        <sz val="8"/>
        <rFont val="Arial Cyr"/>
        <family val="2"/>
        <charset val="204"/>
      </rPr>
      <t xml:space="preserve">2. </t>
    </r>
  </si>
  <si>
    <t xml:space="preserve">               Нормативы по операциям со связанными с банком лицами</t>
  </si>
  <si>
    <t>Заполняется в ручную</t>
  </si>
  <si>
    <t xml:space="preserve">Максимальный размер риска на один банк или группу взаимосвязанных банков-заемщиков по межбанковским операциям </t>
  </si>
  <si>
    <t>Совокупная сумма всех крупных рисков</t>
  </si>
  <si>
    <t xml:space="preserve">Совокупная сумма рисков по всем связанным с банком лицам </t>
  </si>
  <si>
    <t>№4</t>
  </si>
  <si>
    <t>Подпись Председателя Правления:</t>
  </si>
  <si>
    <t>САМАЯ КРУПНАЯ СДЕЛКА, ЗАКЛЮЧЁННАЯ С ОДНИМ СВЯЗАННЫМ ЛИЦОМ</t>
  </si>
  <si>
    <t>ИТОГО СДЕЛКИ СО СВЯЗАННЫМИ ЛИЦАМИ</t>
  </si>
  <si>
    <t>Е8</t>
  </si>
  <si>
    <t>Е7</t>
  </si>
  <si>
    <t>Е6</t>
  </si>
  <si>
    <t>Е5</t>
  </si>
  <si>
    <t>Е4</t>
  </si>
  <si>
    <t>Е3</t>
  </si>
  <si>
    <t>Е2</t>
  </si>
  <si>
    <t>Е1</t>
  </si>
  <si>
    <t>по степени риска</t>
  </si>
  <si>
    <t>остаток</t>
  </si>
  <si>
    <t>Вид обеспечения</t>
  </si>
  <si>
    <t>Другие активы доходы по ним</t>
  </si>
  <si>
    <t>Неиспользованные кредитные линии/безотзывные обязательства/ другие обязательства по выдаче кредитов доходы по ним</t>
  </si>
  <si>
    <t>Гарантии/поручительства и доходы по ним</t>
  </si>
  <si>
    <t>Аккредитивы и доходы по ним</t>
  </si>
  <si>
    <t>Инвестиции и доходы по ним</t>
  </si>
  <si>
    <t>Кредиты/лизинги/факторинги и доходы по ним</t>
  </si>
  <si>
    <t>Межбанковские кредиты и депозиты, остатки на кор счетах, средства для межбанковских взаиморасчетов, другие размещенные средства (кроме овернайта и клиринговых операций) и доходы по ним</t>
  </si>
  <si>
    <t>внебалансовые</t>
  </si>
  <si>
    <t>балансовые</t>
  </si>
  <si>
    <t xml:space="preserve">Текущая задолженность,  нетто </t>
  </si>
  <si>
    <t>Источник кредита</t>
  </si>
  <si>
    <t>Резерв</t>
  </si>
  <si>
    <t>Классификация</t>
  </si>
  <si>
    <t>Вычеты из норматива</t>
  </si>
  <si>
    <t>Пересмотрения</t>
  </si>
  <si>
    <t>Текущая задолженность, брутто</t>
  </si>
  <si>
    <t>Номер группы</t>
  </si>
  <si>
    <t xml:space="preserve">Код валюты </t>
  </si>
  <si>
    <t>Вид деятельности</t>
  </si>
  <si>
    <t>ИНН</t>
  </si>
  <si>
    <t>Наименования клиента</t>
  </si>
  <si>
    <t>Таблица-11</t>
  </si>
  <si>
    <t>ОТЧЕТ О СДЕЛКАХ, ЗАКЛЮЧЕННЫХ СО СВЯЗАННЫМИ ЛИЦАМИ</t>
  </si>
  <si>
    <t xml:space="preserve">САМЫЙ КРУПНЫЙ АКТИВ, ВЫДАННЫЙ БАНКОМ </t>
  </si>
  <si>
    <t xml:space="preserve">ИТОГО КРУПНЫХ АКТИВОВ </t>
  </si>
  <si>
    <t>Таблица-12</t>
  </si>
  <si>
    <t>ОТЧЕТ О КРУПНЫХ РИСКАХ</t>
  </si>
  <si>
    <t>Движение по резервам за последние 
12 месяцев</t>
  </si>
  <si>
    <t>CK MCHJ "PSB INSURANCE"</t>
  </si>
  <si>
    <t>MCHJ "PSB CAPITAL"</t>
  </si>
  <si>
    <t>AA1466102</t>
  </si>
  <si>
    <t>AB4565542</t>
  </si>
  <si>
    <t>AA0844662</t>
  </si>
  <si>
    <t>AA5776834</t>
  </si>
  <si>
    <t>AA1941203</t>
  </si>
  <si>
    <t>ООО"Ферганский нефтеперерабатывающий завод"</t>
  </si>
  <si>
    <t>Бухарский нефтеперерабатывающий завод</t>
  </si>
  <si>
    <t>UZBEKISTON TEMIR YULLARI AJ</t>
  </si>
  <si>
    <t>"О`ZBEKKO`MIR" AJ</t>
  </si>
  <si>
    <t>AJ OZTEMIRYOLYOLOVCHI</t>
  </si>
  <si>
    <t>"OZTEMIRYOLKONTEYNER" AJ</t>
  </si>
  <si>
    <t>АО "SIRDARYO ISSIQLIK ELEKTR STANSIYASI"</t>
  </si>
  <si>
    <t>ГП НАВОИ ГОРНОМЕТАЛЛУРГИЧЕСК.КОМБИНАТ</t>
  </si>
  <si>
    <t>"TOSHKENT METALLURGIYA ZAVODI" MChJ QK</t>
  </si>
  <si>
    <t>АСАКА БАНК</t>
  </si>
  <si>
    <t>МЧЖ "TEXTILE TECHNOLOGIES GROUP" ХК.</t>
  </si>
  <si>
    <t>УП "APK OQOLTIN"</t>
  </si>
  <si>
    <t>УП "APK CHINOZ"</t>
  </si>
  <si>
    <t>Fitch Ratings, S&amp;P</t>
  </si>
  <si>
    <t>ВВ-, ВВ-, прогноз "Стабильный"</t>
  </si>
  <si>
    <t>Норхужаева Дилфуза Бахритдиновна</t>
  </si>
  <si>
    <t>AA0047510</t>
  </si>
  <si>
    <t>"Ўзсаноатқурилишбанк" АТБ</t>
  </si>
  <si>
    <t xml:space="preserve">000 840 </t>
  </si>
  <si>
    <t>000 840 978</t>
  </si>
  <si>
    <t>000  978</t>
  </si>
  <si>
    <t>"TEXNOPARK" MCHJ</t>
  </si>
  <si>
    <t>000</t>
  </si>
  <si>
    <t>305678140</t>
  </si>
  <si>
    <t>АО НАВОИАЗОТ</t>
  </si>
  <si>
    <t>"Dehqonobod kaliy zavodi" AJ</t>
  </si>
  <si>
    <t>MCHJ shaklidagi SAMARKAND-NPK QUSHMA KORXONASI</t>
  </si>
  <si>
    <t>OAO АММОФОС</t>
  </si>
  <si>
    <t>Samarkandkimyo ОАО 200613251</t>
  </si>
  <si>
    <t>Yangi Angren Issiqlik Elektr Stansiyasi Aksiyadorlik Jamiyati</t>
  </si>
  <si>
    <t>FARGONA ISSIQLIQ ELEQTR MARKAZI ОЧИК АКЦИОНЕРЛИК ЖАМИЯТИ</t>
  </si>
  <si>
    <t/>
  </si>
  <si>
    <t>ИП ООО "EPSILON DEVELOPMENT COMPANY"</t>
  </si>
  <si>
    <t>G'UZOR TEKSTIL IMPEKS МЧЖ</t>
  </si>
  <si>
    <t>AA0250598</t>
  </si>
  <si>
    <t>AA4591898</t>
  </si>
  <si>
    <t>200002933</t>
  </si>
  <si>
    <t>20151</t>
  </si>
  <si>
    <t>206887857</t>
  </si>
  <si>
    <t>200949269</t>
  </si>
  <si>
    <t>20130</t>
  </si>
  <si>
    <t>303295841</t>
  </si>
  <si>
    <t xml:space="preserve"> 840 </t>
  </si>
  <si>
    <t>200613251</t>
  </si>
  <si>
    <t xml:space="preserve">000  </t>
  </si>
  <si>
    <t>84111</t>
  </si>
  <si>
    <t>200837914</t>
  </si>
  <si>
    <t>200595838</t>
  </si>
  <si>
    <t>35111</t>
  </si>
  <si>
    <t>201169179</t>
  </si>
  <si>
    <t>200605388</t>
  </si>
  <si>
    <t>200202146</t>
  </si>
  <si>
    <t>35300</t>
  </si>
  <si>
    <t>201051951</t>
  </si>
  <si>
    <t>49200</t>
  </si>
  <si>
    <t>200899410</t>
  </si>
  <si>
    <t>05200</t>
  </si>
  <si>
    <t>202472894</t>
  </si>
  <si>
    <t>49100</t>
  </si>
  <si>
    <t>203607858</t>
  </si>
  <si>
    <t>52100</t>
  </si>
  <si>
    <t>301024585</t>
  </si>
  <si>
    <t>22220</t>
  </si>
  <si>
    <t>305922787</t>
  </si>
  <si>
    <t>06200</t>
  </si>
  <si>
    <t>304720106</t>
  </si>
  <si>
    <t>13201</t>
  </si>
  <si>
    <t>201204514</t>
  </si>
  <si>
    <t>07290</t>
  </si>
  <si>
    <t>207071646</t>
  </si>
  <si>
    <t>13101</t>
  </si>
  <si>
    <t>306912173</t>
  </si>
  <si>
    <t>01161</t>
  </si>
  <si>
    <t>307240259</t>
  </si>
  <si>
    <t>306713871</t>
  </si>
  <si>
    <t>10610</t>
  </si>
  <si>
    <t>306980240</t>
  </si>
  <si>
    <t>306493973</t>
  </si>
  <si>
    <t>27510</t>
  </si>
  <si>
    <t>AA0220815</t>
  </si>
  <si>
    <t>Шамирзаева Гузал Бердиёровна</t>
  </si>
  <si>
    <t>AB1611653</t>
  </si>
  <si>
    <t>AA3104243</t>
  </si>
  <si>
    <t>Машарипов Акрам Жуманазарович</t>
  </si>
  <si>
    <t>AB0741303</t>
  </si>
  <si>
    <t>Эргашева Нигора Абдумажитовна</t>
  </si>
  <si>
    <t>AA2014244</t>
  </si>
  <si>
    <t>AA7231621</t>
  </si>
  <si>
    <t>"QO'NG'IROT SODA ZAVODI" MCHJ QK</t>
  </si>
  <si>
    <t>200599579</t>
  </si>
  <si>
    <t>AO O ZBEKNEFTGAZ</t>
  </si>
  <si>
    <t>202080378</t>
  </si>
  <si>
    <t>19200</t>
  </si>
  <si>
    <t>200595949</t>
  </si>
  <si>
    <t>АО " TOSHKENT ISSIQLIK ELEKTR STANSIYA "</t>
  </si>
  <si>
    <t>"QO'QON BIOKIMYO" АЖ</t>
  </si>
  <si>
    <t>200126834</t>
  </si>
  <si>
    <t>11010</t>
  </si>
  <si>
    <t>УП Ekskavatorlar va gusenitsali texnikani ta"mirlash zavodi</t>
  </si>
  <si>
    <t>304172875</t>
  </si>
  <si>
    <t>33120</t>
  </si>
  <si>
    <t>СП ООО "SIRDARYO MEGA LUKS"</t>
  </si>
  <si>
    <t>АЖ "O'ZTRANSGAZ"</t>
  </si>
  <si>
    <t>200626188</t>
  </si>
  <si>
    <t>49500</t>
  </si>
  <si>
    <t>304574612</t>
  </si>
  <si>
    <t>28910</t>
  </si>
  <si>
    <t>JPMORGAN CHASE BANK, N.A.</t>
  </si>
  <si>
    <t>ООО "AMIRSOY"</t>
  </si>
  <si>
    <t>305152772</t>
  </si>
  <si>
    <t>93290</t>
  </si>
  <si>
    <t>AA5426058</t>
  </si>
  <si>
    <t>AA1359299</t>
  </si>
  <si>
    <t>AA1638688</t>
  </si>
  <si>
    <t>Аннакличев Султан Сапармухамедович</t>
  </si>
  <si>
    <t>KA0404902</t>
  </si>
  <si>
    <t>ООО "GLOBAL TEXTILE INFINITY"</t>
  </si>
  <si>
    <t xml:space="preserve">Палванов Акмал Самандарович </t>
  </si>
  <si>
    <t xml:space="preserve">Худайберганов Илхом Неъматуллаевич </t>
  </si>
  <si>
    <t xml:space="preserve">Норхужаев Бахритдин Нуритдинович </t>
  </si>
  <si>
    <t xml:space="preserve">Шамирзаев Диёр Худоёрович </t>
  </si>
  <si>
    <t xml:space="preserve">Абдурахманов Фаррух Талипжанович </t>
  </si>
  <si>
    <t xml:space="preserve">Акбаржонов Азиз Акбаржон ўғли </t>
  </si>
  <si>
    <t xml:space="preserve">Машарипов Шоназар Жуманазарович </t>
  </si>
  <si>
    <t>AA3038139</t>
  </si>
  <si>
    <t xml:space="preserve">Якубов Шухрат Исраилович </t>
  </si>
  <si>
    <t xml:space="preserve">Шерматов Мансур Нигматович </t>
  </si>
  <si>
    <t xml:space="preserve">Вохидов Ойбек Розикович </t>
  </si>
  <si>
    <t xml:space="preserve">Мухамедов Фазлиддин Кучкарович </t>
  </si>
  <si>
    <t xml:space="preserve">Юсупов Юсуфбой Косимович </t>
  </si>
  <si>
    <t xml:space="preserve">Сулаймонов Одил Яхёевич </t>
  </si>
  <si>
    <t xml:space="preserve">Рахматов Бахтиёр Алиевич </t>
  </si>
  <si>
    <t>" ANGREN ISSIQLIK ELEKTR STANSIYASI" акциядорлик жамияти</t>
  </si>
  <si>
    <t>CITIBANK N.A.</t>
  </si>
  <si>
    <t>"APK BUKA" МЧЖ</t>
  </si>
  <si>
    <t>"APK BEKABOD" МЧЖ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</si>
</sst>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3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\-############"/>
    <numFmt numFmtId="168" formatCode="0.000"/>
    <numFmt numFmtId="169" formatCode="_-* #,##0_р_._-;\-* #,##0_р_._-;_-* &quot;-&quot;??_р_._-;_-@_-"/>
    <numFmt numFmtId="170" formatCode="[$-F800]dddd\,\ mmmm\ dd\,\ yyyy"/>
    <numFmt numFmtId="171" formatCode="0.0%"/>
    <numFmt numFmtId="172" formatCode="#,##0.0"/>
    <numFmt numFmtId="173" formatCode="\$#.00"/>
    <numFmt numFmtId="174" formatCode="#"/>
    <numFmt numFmtId="175" formatCode="%#.00"/>
    <numFmt numFmtId="176" formatCode="#.00"/>
    <numFmt numFmtId="177" formatCode="_(* #,##0.00_);_(* \(#,##0.00\);_(* &quot;-&quot;??_);_(@_)"/>
    <numFmt numFmtId="178" formatCode="#,##0&quot; &quot;;\-#,##0&quot; &quot;"/>
    <numFmt numFmtId="179" formatCode="_-* #,##0.00_ _-;\-* #,##0.00_ _-;_-* &quot;-&quot;??_ _-;_-@_-"/>
    <numFmt numFmtId="180" formatCode="#&quot; &quot;##0&quot; &quot;;\-#&quot; &quot;##0&quot; &quot;"/>
    <numFmt numFmtId="181" formatCode="_-* #,##0.00\ _с_ў_м_-;\-* #,##0.00\ _с_ў_м_-;_-* &quot;-&quot;??\ _с_ў_м_-;_-@_-"/>
    <numFmt numFmtId="182" formatCode="#,##0.0_р_."/>
    <numFmt numFmtId="183" formatCode="&quot;   &quot;@"/>
    <numFmt numFmtId="184" formatCode="&quot;      &quot;@"/>
    <numFmt numFmtId="185" formatCode="&quot;            &quot;@"/>
    <numFmt numFmtId="186" formatCode="_-* #,##0.00\ &quot;сум&quot;_-;\-* #,##0.00\ &quot;сум&quot;_-;_-* &quot;-&quot;??\ &quot;сум&quot;_-;_-@_-"/>
    <numFmt numFmtId="187" formatCode="&quot;$&quot;#,##0\ ;\(&quot;$&quot;#,##0\)"/>
    <numFmt numFmtId="188" formatCode="_([$€-2]* #,##0.00_);_([$€-2]* \(#,##0.00\);_([$€-2]* &quot;-&quot;??_)"/>
    <numFmt numFmtId="189" formatCode="General_)"/>
    <numFmt numFmtId="190" formatCode="_(* #,##0_);_(* \(#,##0\);_(* &quot;-&quot;_);_(@_)"/>
    <numFmt numFmtId="191" formatCode="_(&quot;$&quot;* #,##0_);_(&quot;$&quot;* \(#,##0\);_(&quot;$&quot;* &quot;-&quot;_);_(@_)"/>
    <numFmt numFmtId="192" formatCode="_(&quot;$&quot;* #,##0.00_);_(&quot;$&quot;* \(#,##0.00\);_(&quot;$&quot;* &quot;-&quot;??_);_(@_)"/>
    <numFmt numFmtId="193" formatCode="[Black]#,##0.0;[Black]\-#,##0.0;;"/>
    <numFmt numFmtId="194" formatCode="0.0"/>
    <numFmt numFmtId="195" formatCode="#,##0_ ;[Red]\-#,##0\ "/>
    <numFmt numFmtId="196" formatCode="###,\ ###,\ ###,\ ###,\ ###,##0"/>
  </numFmts>
  <fonts count="147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2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2"/>
      <name val="Arial Cyr"/>
      <family val="2"/>
      <charset val="204"/>
    </font>
    <font>
      <sz val="10"/>
      <name val="Times New Roman Cyr"/>
      <family val="1"/>
      <charset val="204"/>
    </font>
    <font>
      <sz val="10"/>
      <color indexed="9"/>
      <name val="Arial Cyr"/>
      <family val="2"/>
      <charset val="204"/>
    </font>
    <font>
      <b/>
      <sz val="11"/>
      <name val="Arial Cyr"/>
      <family val="2"/>
      <charset val="204"/>
    </font>
    <font>
      <b/>
      <sz val="14"/>
      <name val="Arial Cyr"/>
      <family val="2"/>
      <charset val="204"/>
    </font>
    <font>
      <sz val="11"/>
      <name val="Arial Cyr"/>
      <family val="2"/>
      <charset val="204"/>
    </font>
    <font>
      <b/>
      <sz val="12"/>
      <name val="Times New Roman"/>
      <family val="1"/>
      <charset val="204"/>
    </font>
    <font>
      <sz val="9"/>
      <name val="Arial Cyr"/>
      <family val="2"/>
      <charset val="204"/>
    </font>
    <font>
      <sz val="8"/>
      <name val="Arial Cyr"/>
      <family val="2"/>
      <charset val="204"/>
    </font>
    <font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55"/>
      <name val="Arial Cyr"/>
      <family val="2"/>
      <charset val="204"/>
    </font>
    <font>
      <b/>
      <sz val="10"/>
      <color indexed="10"/>
      <name val="Times New Roman Cyr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i/>
      <sz val="10"/>
      <name val="Arial Cyr"/>
      <charset val="204"/>
    </font>
    <font>
      <sz val="10"/>
      <name val="Arial"/>
      <family val="2"/>
      <charset val="204"/>
    </font>
    <font>
      <b/>
      <sz val="12"/>
      <color rgb="FF000000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b/>
      <sz val="8"/>
      <name val="Arial Cyr"/>
      <charset val="204"/>
    </font>
    <font>
      <sz val="10"/>
      <name val="Arial Cyr"/>
      <charset val="204"/>
    </font>
    <font>
      <sz val="14"/>
      <name val="Arial Cyr"/>
      <family val="2"/>
      <charset val="204"/>
    </font>
    <font>
      <sz val="10"/>
      <color theme="0" tint="-0.34998626667073579"/>
      <name val="Arial Cyr"/>
      <family val="2"/>
      <charset val="204"/>
    </font>
    <font>
      <b/>
      <sz val="14"/>
      <color rgb="FF000000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name val="Arial Cyr"/>
      <family val="2"/>
      <charset val="204"/>
    </font>
    <font>
      <b/>
      <sz val="10"/>
      <color theme="0" tint="-0.34998626667073579"/>
      <name val="Times New Roman Cyr"/>
      <family val="1"/>
      <charset val="204"/>
    </font>
    <font>
      <sz val="8"/>
      <color rgb="FFCC00CC"/>
      <name val="Arial Cyr"/>
      <family val="2"/>
      <charset val="204"/>
    </font>
    <font>
      <sz val="10"/>
      <color rgb="FFCC00CC"/>
      <name val="Arial Cyr"/>
      <family val="2"/>
      <charset val="204"/>
    </font>
    <font>
      <b/>
      <sz val="14"/>
      <name val="Arial Cyr"/>
      <charset val="204"/>
    </font>
    <font>
      <i/>
      <sz val="12"/>
      <color rgb="FF000000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rgb="FF7030A0"/>
      <name val="Times New Roman Cyr"/>
      <charset val="204"/>
    </font>
    <font>
      <b/>
      <sz val="11"/>
      <name val="Arial Cyr"/>
      <charset val="204"/>
    </font>
    <font>
      <b/>
      <sz val="12"/>
      <name val="Arial Cyr"/>
      <charset val="204"/>
    </font>
    <font>
      <sz val="10"/>
      <color rgb="FF000000"/>
      <name val="Times New Roman"/>
      <family val="1"/>
      <charset val="204"/>
    </font>
    <font>
      <b/>
      <sz val="7"/>
      <name val="Arial Cyr"/>
      <family val="2"/>
      <charset val="204"/>
    </font>
    <font>
      <sz val="10"/>
      <color rgb="FFFF0000"/>
      <name val="Times New Roman Cyr"/>
      <family val="1"/>
      <charset val="204"/>
    </font>
    <font>
      <sz val="10"/>
      <color rgb="FFFF0000"/>
      <name val="Arial Cyr"/>
      <family val="2"/>
      <charset val="204"/>
    </font>
    <font>
      <b/>
      <sz val="11"/>
      <color theme="1"/>
      <name val="Calibri"/>
      <family val="2"/>
      <charset val="204"/>
      <scheme val="minor"/>
    </font>
    <font>
      <sz val="12"/>
      <name val="Arial Cyr"/>
      <charset val="204"/>
    </font>
    <font>
      <sz val="11"/>
      <name val="Times New Roman"/>
      <family val="1"/>
      <charset val="204"/>
    </font>
    <font>
      <sz val="10"/>
      <color theme="0" tint="-0.499984740745262"/>
      <name val="Arial Cyr"/>
      <family val="2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8"/>
      <color theme="0" tint="-0.34998626667073579"/>
      <name val="Arial Cyr"/>
      <family val="2"/>
      <charset val="204"/>
    </font>
    <font>
      <sz val="12"/>
      <color theme="1"/>
      <name val="Times New Roman"/>
      <family val="1"/>
      <charset val="204"/>
    </font>
    <font>
      <i/>
      <sz val="12"/>
      <name val="Arial Cyr"/>
      <family val="2"/>
      <charset val="204"/>
    </font>
    <font>
      <sz val="11"/>
      <name val="Arial Cyr"/>
      <charset val="204"/>
    </font>
    <font>
      <sz val="10"/>
      <color rgb="FFFF0000"/>
      <name val="Times New Roman Cyr"/>
      <charset val="204"/>
    </font>
    <font>
      <sz val="16"/>
      <name val="Arial Cyr"/>
      <family val="2"/>
      <charset val="204"/>
    </font>
    <font>
      <b/>
      <sz val="16"/>
      <color rgb="FF000000"/>
      <name val="Times New Roman"/>
      <family val="1"/>
      <charset val="204"/>
    </font>
    <font>
      <b/>
      <sz val="18"/>
      <name val="Arial Cyr"/>
      <family val="2"/>
      <charset val="204"/>
    </font>
    <font>
      <sz val="18"/>
      <name val="Arial Cyr"/>
      <family val="2"/>
      <charset val="204"/>
    </font>
    <font>
      <sz val="18"/>
      <color theme="0" tint="-0.34998626667073579"/>
      <name val="Arial Cyr"/>
      <family val="2"/>
      <charset val="204"/>
    </font>
    <font>
      <sz val="14"/>
      <color rgb="FF000000"/>
      <name val="Times New Roman"/>
      <family val="1"/>
      <charset val="204"/>
    </font>
    <font>
      <sz val="16"/>
      <name val="Times New Roman"/>
      <family val="1"/>
      <charset val="204"/>
    </font>
    <font>
      <b/>
      <sz val="18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2"/>
      <color theme="0" tint="-0.249977111117893"/>
      <name val="Times New Roman"/>
      <family val="1"/>
      <charset val="204"/>
    </font>
    <font>
      <sz val="12"/>
      <color theme="0" tint="-0.499984740745262"/>
      <name val="Times New Roman"/>
      <family val="1"/>
      <charset val="204"/>
    </font>
    <font>
      <sz val="11"/>
      <color theme="0" tint="-0.499984740745262"/>
      <name val="Times New Roman"/>
      <family val="1"/>
      <charset val="204"/>
    </font>
    <font>
      <b/>
      <sz val="11"/>
      <color theme="0" tint="-0.499984740745262"/>
      <name val="Times New Roman"/>
      <family val="1"/>
      <charset val="204"/>
    </font>
    <font>
      <b/>
      <sz val="20"/>
      <color rgb="FFFF0000"/>
      <name val="Arial Cyr"/>
      <charset val="204"/>
    </font>
    <font>
      <sz val="12"/>
      <color theme="0" tint="-0.249977111117893"/>
      <name val="Arial Cyr"/>
      <family val="2"/>
      <charset val="204"/>
    </font>
    <font>
      <i/>
      <sz val="14"/>
      <color rgb="FF000000"/>
      <name val="Times New Roman"/>
      <family val="1"/>
      <charset val="204"/>
    </font>
    <font>
      <i/>
      <sz val="14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b/>
      <sz val="20"/>
      <color rgb="FF000000"/>
      <name val="Times New Roman"/>
      <family val="1"/>
      <charset val="204"/>
    </font>
    <font>
      <sz val="14"/>
      <color theme="0" tint="-0.249977111117893"/>
      <name val="Times New Roman"/>
      <family val="1"/>
      <charset val="204"/>
    </font>
    <font>
      <b/>
      <sz val="14"/>
      <color theme="0" tint="-0.249977111117893"/>
      <name val="Times New Roman"/>
      <family val="1"/>
      <charset val="204"/>
    </font>
    <font>
      <i/>
      <sz val="14"/>
      <color theme="0" tint="-0.249977111117893"/>
      <name val="Times New Roman"/>
      <family val="1"/>
      <charset val="204"/>
    </font>
    <font>
      <sz val="9"/>
      <color rgb="FFFF0000"/>
      <name val="Arial Cyr"/>
      <family val="2"/>
      <charset val="204"/>
    </font>
    <font>
      <b/>
      <sz val="14"/>
      <color rgb="FF7030A0"/>
      <name val="Times New Roman"/>
      <family val="1"/>
      <charset val="204"/>
    </font>
    <font>
      <b/>
      <sz val="14"/>
      <name val="Times New Roman"/>
      <family val="1"/>
    </font>
    <font>
      <sz val="14"/>
      <name val="Times New Roman"/>
      <family val="1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b/>
      <sz val="16"/>
      <name val="Times New Roman"/>
      <family val="1"/>
    </font>
    <font>
      <sz val="16"/>
      <name val="Times New Roman"/>
      <family val="1"/>
    </font>
    <font>
      <sz val="14"/>
      <color rgb="FFFF0000"/>
      <name val="Times New Roman"/>
      <family val="1"/>
    </font>
    <font>
      <b/>
      <sz val="14"/>
      <color rgb="FFFF0000"/>
      <name val="Times New Roman"/>
      <family val="1"/>
    </font>
    <font>
      <sz val="12"/>
      <color theme="0" tint="-0.34998626667073579"/>
      <name val="Times New Roman"/>
      <family val="1"/>
      <charset val="204"/>
    </font>
    <font>
      <b/>
      <sz val="25"/>
      <name val="Arial Cyr"/>
      <family val="2"/>
      <charset val="204"/>
    </font>
    <font>
      <i/>
      <sz val="10"/>
      <color theme="0" tint="-0.14999847407452621"/>
      <name val="Arial Cyr"/>
      <charset val="204"/>
    </font>
    <font>
      <sz val="10"/>
      <color theme="0" tint="-0.249977111117893"/>
      <name val="Arial Cyr"/>
      <family val="2"/>
      <charset val="204"/>
    </font>
    <font>
      <b/>
      <sz val="10"/>
      <color theme="0" tint="-0.249977111117893"/>
      <name val="Arial Cyr"/>
      <family val="2"/>
      <charset val="204"/>
    </font>
    <font>
      <b/>
      <sz val="12"/>
      <color rgb="FF7030A0"/>
      <name val="Arial Cyr"/>
      <charset val="204"/>
    </font>
    <font>
      <sz val="10"/>
      <color indexed="22"/>
      <name val="Arial Cyr"/>
      <family val="2"/>
      <charset val="204"/>
    </font>
    <font>
      <b/>
      <sz val="10"/>
      <color indexed="22"/>
      <name val="Arial Cyr"/>
      <charset val="204"/>
    </font>
    <font>
      <b/>
      <sz val="20"/>
      <color rgb="FFFFFF00"/>
      <name val="Arial Cyr"/>
      <charset val="204"/>
    </font>
  </fonts>
  <fills count="4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rgb="FFFFFF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89">
    <xf numFmtId="0" fontId="0" fillId="0" borderId="0"/>
    <xf numFmtId="0" fontId="28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0" fontId="32" fillId="0" borderId="0" applyNumberFormat="0" applyFont="0" applyFill="0" applyBorder="0" applyAlignment="0" applyProtection="0">
      <alignment vertical="top"/>
    </xf>
    <xf numFmtId="166" fontId="38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32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87" fillId="0" borderId="0">
      <protection locked="0"/>
    </xf>
    <xf numFmtId="0" fontId="87" fillId="0" borderId="0">
      <protection locked="0"/>
    </xf>
    <xf numFmtId="0" fontId="87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7" fillId="0" borderId="17">
      <protection locked="0"/>
    </xf>
    <xf numFmtId="173" fontId="89" fillId="0" borderId="0">
      <protection locked="0"/>
    </xf>
    <xf numFmtId="174" fontId="89" fillId="0" borderId="17">
      <protection locked="0"/>
    </xf>
    <xf numFmtId="175" fontId="89" fillId="0" borderId="0">
      <protection locked="0"/>
    </xf>
    <xf numFmtId="4" fontId="89" fillId="0" borderId="0">
      <protection locked="0"/>
    </xf>
    <xf numFmtId="176" fontId="89" fillId="0" borderId="0">
      <protection locked="0"/>
    </xf>
    <xf numFmtId="174" fontId="90" fillId="0" borderId="0">
      <protection locked="0"/>
    </xf>
    <xf numFmtId="174" fontId="91" fillId="0" borderId="0">
      <protection locked="0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1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1" fillId="19" borderId="0" applyNumberFormat="0" applyBorder="0" applyAlignment="0" applyProtection="0"/>
    <xf numFmtId="0" fontId="92" fillId="0" borderId="5">
      <alignment horizontal="center"/>
    </xf>
    <xf numFmtId="165" fontId="32" fillId="0" borderId="0" applyFont="0" applyFill="0" applyBorder="0" applyAlignment="0" applyProtection="0"/>
    <xf numFmtId="166" fontId="32" fillId="0" borderId="0" applyFont="0" applyFill="0" applyBorder="0" applyAlignment="0" applyProtection="0"/>
    <xf numFmtId="0" fontId="93" fillId="0" borderId="0"/>
    <xf numFmtId="0" fontId="32" fillId="0" borderId="0"/>
    <xf numFmtId="9" fontId="38" fillId="0" borderId="0" applyFont="0" applyFill="0" applyBorder="0" applyAlignment="0" applyProtection="0"/>
    <xf numFmtId="0" fontId="94" fillId="0" borderId="0"/>
    <xf numFmtId="0" fontId="1" fillId="0" borderId="0"/>
    <xf numFmtId="0" fontId="9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2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9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95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4" fillId="0" borderId="0"/>
    <xf numFmtId="0" fontId="96" fillId="0" borderId="0"/>
    <xf numFmtId="0" fontId="1" fillId="0" borderId="0"/>
    <xf numFmtId="0" fontId="1" fillId="0" borderId="0"/>
    <xf numFmtId="0" fontId="95" fillId="0" borderId="0"/>
    <xf numFmtId="0" fontId="1" fillId="0" borderId="0"/>
    <xf numFmtId="0" fontId="94" fillId="0" borderId="0"/>
    <xf numFmtId="0" fontId="97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95" fillId="0" borderId="0"/>
    <xf numFmtId="0" fontId="94" fillId="0" borderId="0"/>
    <xf numFmtId="0" fontId="1" fillId="0" borderId="0"/>
    <xf numFmtId="0" fontId="9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5" fillId="0" borderId="0"/>
    <xf numFmtId="0" fontId="32" fillId="0" borderId="0"/>
    <xf numFmtId="0" fontId="94" fillId="0" borderId="0"/>
    <xf numFmtId="0" fontId="32" fillId="0" borderId="0"/>
    <xf numFmtId="0" fontId="97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1" fillId="0" borderId="0"/>
    <xf numFmtId="0" fontId="96" fillId="0" borderId="0"/>
    <xf numFmtId="0" fontId="1" fillId="0" borderId="0"/>
    <xf numFmtId="0" fontId="94" fillId="0" borderId="0"/>
    <xf numFmtId="0" fontId="9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6" fillId="0" borderId="0"/>
    <xf numFmtId="0" fontId="94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2" fillId="0" borderId="0"/>
    <xf numFmtId="0" fontId="38" fillId="0" borderId="0"/>
    <xf numFmtId="0" fontId="38" fillId="0" borderId="0"/>
    <xf numFmtId="0" fontId="38" fillId="0" borderId="0"/>
    <xf numFmtId="0" fontId="96" fillId="0" borderId="0"/>
    <xf numFmtId="0" fontId="1" fillId="0" borderId="0"/>
    <xf numFmtId="0" fontId="1" fillId="0" borderId="0"/>
    <xf numFmtId="0" fontId="1" fillId="0" borderId="0"/>
    <xf numFmtId="0" fontId="38" fillId="0" borderId="0"/>
    <xf numFmtId="0" fontId="32" fillId="0" borderId="0"/>
    <xf numFmtId="0" fontId="2" fillId="0" borderId="0"/>
    <xf numFmtId="0" fontId="38" fillId="0" borderId="0"/>
    <xf numFmtId="0" fontId="1" fillId="0" borderId="0"/>
    <xf numFmtId="0" fontId="38" fillId="0" borderId="0"/>
    <xf numFmtId="0" fontId="36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1" fillId="0" borderId="0"/>
    <xf numFmtId="0" fontId="96" fillId="0" borderId="0"/>
    <xf numFmtId="0" fontId="94" fillId="0" borderId="0"/>
    <xf numFmtId="0" fontId="99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00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1" fillId="0" borderId="0"/>
    <xf numFmtId="0" fontId="1" fillId="0" borderId="0"/>
    <xf numFmtId="0" fontId="100" fillId="0" borderId="0"/>
    <xf numFmtId="0" fontId="32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01" fillId="0" borderId="0"/>
    <xf numFmtId="0" fontId="38" fillId="0" borderId="0"/>
    <xf numFmtId="0" fontId="96" fillId="0" borderId="0"/>
    <xf numFmtId="0" fontId="94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3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3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1" fillId="0" borderId="0"/>
    <xf numFmtId="0" fontId="9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96" fillId="0" borderId="0"/>
    <xf numFmtId="0" fontId="1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94" fillId="0" borderId="0"/>
    <xf numFmtId="0" fontId="1" fillId="0" borderId="0"/>
    <xf numFmtId="0" fontId="94" fillId="0" borderId="0"/>
    <xf numFmtId="0" fontId="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32" fillId="0" borderId="0"/>
    <xf numFmtId="0" fontId="94" fillId="0" borderId="0"/>
    <xf numFmtId="0" fontId="94" fillId="0" borderId="0"/>
    <xf numFmtId="0" fontId="32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10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4" fillId="0" borderId="0"/>
    <xf numFmtId="0" fontId="1" fillId="0" borderId="0"/>
    <xf numFmtId="0" fontId="98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94" fillId="0" borderId="0"/>
    <xf numFmtId="0" fontId="38" fillId="0" borderId="0"/>
    <xf numFmtId="0" fontId="94" fillId="0" borderId="0"/>
    <xf numFmtId="0" fontId="9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8" fillId="0" borderId="0"/>
    <xf numFmtId="0" fontId="1" fillId="0" borderId="0"/>
    <xf numFmtId="0" fontId="38" fillId="0" borderId="0"/>
    <xf numFmtId="0" fontId="38" fillId="0" borderId="0"/>
    <xf numFmtId="0" fontId="95" fillId="0" borderId="0"/>
    <xf numFmtId="0" fontId="95" fillId="0" borderId="0"/>
    <xf numFmtId="0" fontId="95" fillId="0" borderId="0"/>
    <xf numFmtId="0" fontId="95" fillId="0" borderId="0"/>
    <xf numFmtId="0" fontId="38" fillId="0" borderId="0"/>
    <xf numFmtId="0" fontId="95" fillId="0" borderId="0"/>
    <xf numFmtId="0" fontId="95" fillId="0" borderId="0"/>
    <xf numFmtId="0" fontId="38" fillId="0" borderId="0"/>
    <xf numFmtId="0" fontId="95" fillId="0" borderId="0"/>
    <xf numFmtId="0" fontId="95" fillId="0" borderId="0"/>
    <xf numFmtId="0" fontId="38" fillId="0" borderId="0"/>
    <xf numFmtId="0" fontId="38" fillId="0" borderId="0"/>
    <xf numFmtId="0" fontId="36" fillId="0" borderId="0"/>
    <xf numFmtId="0" fontId="1" fillId="0" borderId="0"/>
    <xf numFmtId="0" fontId="38" fillId="0" borderId="0"/>
    <xf numFmtId="0" fontId="1" fillId="0" borderId="0"/>
    <xf numFmtId="0" fontId="1" fillId="0" borderId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0" fontId="98" fillId="7" borderId="16" applyNumberFormat="0" applyFont="0" applyAlignment="0" applyProtection="0"/>
    <xf numFmtId="9" fontId="98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6" fillId="0" borderId="0" applyFont="0" applyFill="0" applyBorder="0" applyAlignment="0" applyProtection="0"/>
    <xf numFmtId="9" fontId="98" fillId="0" borderId="0" applyFont="0" applyFill="0" applyBorder="0" applyAlignment="0" applyProtection="0"/>
    <xf numFmtId="9" fontId="96" fillId="0" borderId="0" applyFont="0" applyFill="0" applyBorder="0" applyAlignment="0" applyProtection="0"/>
    <xf numFmtId="0" fontId="103" fillId="0" borderId="0"/>
    <xf numFmtId="165" fontId="2" fillId="0" borderId="0" applyFont="0" applyFill="0" applyBorder="0" applyAlignment="0" applyProtection="0"/>
    <xf numFmtId="165" fontId="36" fillId="0" borderId="0" applyFont="0" applyFill="0" applyBorder="0" applyAlignment="0" applyProtection="0"/>
    <xf numFmtId="165" fontId="3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98" fillId="0" borderId="0" applyFont="0" applyFill="0" applyBorder="0" applyAlignment="0" applyProtection="0"/>
    <xf numFmtId="164" fontId="98" fillId="0" borderId="0" applyFont="0" applyFill="0" applyBorder="0" applyAlignment="0" applyProtection="0"/>
    <xf numFmtId="164" fontId="9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70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72" fontId="9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5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6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9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9" fontId="3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80" fontId="9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38" fillId="0" borderId="0" applyFont="0" applyFill="0" applyBorder="0" applyAlignment="0" applyProtection="0"/>
    <xf numFmtId="166" fontId="104" fillId="0" borderId="0" applyFont="0" applyFill="0" applyBorder="0" applyAlignment="0" applyProtection="0"/>
    <xf numFmtId="181" fontId="96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32" fillId="0" borderId="0" applyFont="0" applyFill="0" applyBorder="0" applyAlignment="0" applyProtection="0"/>
    <xf numFmtId="166" fontId="10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94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32" fillId="0" borderId="0" applyFont="0" applyFill="0" applyBorder="0" applyAlignment="0" applyProtection="0"/>
    <xf numFmtId="166" fontId="106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87" fillId="0" borderId="0">
      <protection locked="0"/>
    </xf>
    <xf numFmtId="0" fontId="7" fillId="0" borderId="0">
      <alignment vertical="top"/>
    </xf>
    <xf numFmtId="183" fontId="115" fillId="0" borderId="0" applyFont="0" applyFill="0" applyBorder="0" applyAlignment="0" applyProtection="0"/>
    <xf numFmtId="184" fontId="115" fillId="0" borderId="0" applyFont="0" applyFill="0" applyBorder="0" applyAlignment="0" applyProtection="0"/>
    <xf numFmtId="0" fontId="98" fillId="22" borderId="0" applyNumberFormat="0" applyBorder="0" applyAlignment="0" applyProtection="0"/>
    <xf numFmtId="0" fontId="98" fillId="23" borderId="0" applyNumberFormat="0" applyBorder="0" applyAlignment="0" applyProtection="0"/>
    <xf numFmtId="0" fontId="98" fillId="24" borderId="0" applyNumberFormat="0" applyBorder="0" applyAlignment="0" applyProtection="0"/>
    <xf numFmtId="0" fontId="98" fillId="25" borderId="0" applyNumberFormat="0" applyBorder="0" applyAlignment="0" applyProtection="0"/>
    <xf numFmtId="0" fontId="98" fillId="26" borderId="0" applyNumberFormat="0" applyBorder="0" applyAlignment="0" applyProtection="0"/>
    <xf numFmtId="0" fontId="98" fillId="27" borderId="0" applyNumberFormat="0" applyBorder="0" applyAlignment="0" applyProtection="0"/>
    <xf numFmtId="185" fontId="115" fillId="0" borderId="0" applyFont="0" applyFill="0" applyBorder="0" applyAlignment="0" applyProtection="0"/>
    <xf numFmtId="0" fontId="98" fillId="28" borderId="0" applyNumberFormat="0" applyBorder="0" applyAlignment="0" applyProtection="0"/>
    <xf numFmtId="0" fontId="98" fillId="29" borderId="0" applyNumberFormat="0" applyBorder="0" applyAlignment="0" applyProtection="0"/>
    <xf numFmtId="0" fontId="98" fillId="30" borderId="0" applyNumberFormat="0" applyBorder="0" applyAlignment="0" applyProtection="0"/>
    <xf numFmtId="0" fontId="98" fillId="25" borderId="0" applyNumberFormat="0" applyBorder="0" applyAlignment="0" applyProtection="0"/>
    <xf numFmtId="0" fontId="98" fillId="28" borderId="0" applyNumberFormat="0" applyBorder="0" applyAlignment="0" applyProtection="0"/>
    <xf numFmtId="0" fontId="98" fillId="31" borderId="0" applyNumberFormat="0" applyBorder="0" applyAlignment="0" applyProtection="0"/>
    <xf numFmtId="0" fontId="116" fillId="32" borderId="0" applyNumberFormat="0" applyBorder="0" applyAlignment="0" applyProtection="0"/>
    <xf numFmtId="0" fontId="116" fillId="29" borderId="0" applyNumberFormat="0" applyBorder="0" applyAlignment="0" applyProtection="0"/>
    <xf numFmtId="0" fontId="116" fillId="30" borderId="0" applyNumberFormat="0" applyBorder="0" applyAlignment="0" applyProtection="0"/>
    <xf numFmtId="0" fontId="116" fillId="33" borderId="0" applyNumberFormat="0" applyBorder="0" applyAlignment="0" applyProtection="0"/>
    <xf numFmtId="0" fontId="116" fillId="34" borderId="0" applyNumberFormat="0" applyBorder="0" applyAlignment="0" applyProtection="0"/>
    <xf numFmtId="0" fontId="116" fillId="35" borderId="0" applyNumberFormat="0" applyBorder="0" applyAlignment="0" applyProtection="0"/>
    <xf numFmtId="0" fontId="116" fillId="36" borderId="0" applyNumberFormat="0" applyBorder="0" applyAlignment="0" applyProtection="0"/>
    <xf numFmtId="0" fontId="116" fillId="37" borderId="0" applyNumberFormat="0" applyBorder="0" applyAlignment="0" applyProtection="0"/>
    <xf numFmtId="0" fontId="116" fillId="38" borderId="0" applyNumberFormat="0" applyBorder="0" applyAlignment="0" applyProtection="0"/>
    <xf numFmtId="0" fontId="116" fillId="33" borderId="0" applyNumberFormat="0" applyBorder="0" applyAlignment="0" applyProtection="0"/>
    <xf numFmtId="0" fontId="116" fillId="34" borderId="0" applyNumberFormat="0" applyBorder="0" applyAlignment="0" applyProtection="0"/>
    <xf numFmtId="0" fontId="116" fillId="39" borderId="0" applyNumberFormat="0" applyBorder="0" applyAlignment="0" applyProtection="0"/>
    <xf numFmtId="0" fontId="117" fillId="23" borderId="0" applyNumberFormat="0" applyBorder="0" applyAlignment="0" applyProtection="0"/>
    <xf numFmtId="0" fontId="118" fillId="40" borderId="20" applyNumberFormat="0" applyAlignment="0" applyProtection="0"/>
    <xf numFmtId="0" fontId="119" fillId="41" borderId="21" applyNumberFormat="0" applyAlignment="0" applyProtection="0"/>
    <xf numFmtId="177" fontId="120" fillId="0" borderId="0" applyFont="0" applyFill="0" applyBorder="0" applyAlignment="0" applyProtection="0"/>
    <xf numFmtId="3" fontId="32" fillId="0" borderId="0" applyFont="0" applyFill="0" applyBorder="0" applyAlignment="0" applyProtection="0"/>
    <xf numFmtId="0" fontId="14" fillId="0" borderId="0" applyNumberFormat="0" applyFont="0" applyFill="0" applyBorder="0" applyAlignment="0"/>
    <xf numFmtId="186" fontId="32" fillId="0" borderId="0" applyFont="0" applyFill="0" applyBorder="0" applyAlignment="0" applyProtection="0"/>
    <xf numFmtId="187" fontId="32" fillId="0" borderId="0" applyFont="0" applyFill="0" applyBorder="0" applyAlignment="0" applyProtection="0"/>
    <xf numFmtId="0" fontId="32" fillId="0" borderId="0" applyFont="0" applyFill="0" applyBorder="0" applyAlignment="0" applyProtection="0"/>
    <xf numFmtId="188" fontId="21" fillId="0" borderId="0" applyFont="0" applyFill="0" applyBorder="0" applyAlignment="0" applyProtection="0"/>
    <xf numFmtId="189" fontId="121" fillId="0" borderId="0"/>
    <xf numFmtId="0" fontId="122" fillId="0" borderId="0" applyNumberFormat="0" applyFill="0" applyBorder="0" applyAlignment="0" applyProtection="0"/>
    <xf numFmtId="2" fontId="32" fillId="0" borderId="0" applyFont="0" applyFill="0" applyBorder="0" applyAlignment="0" applyProtection="0"/>
    <xf numFmtId="0" fontId="123" fillId="24" borderId="0" applyNumberFormat="0" applyBorder="0" applyAlignment="0" applyProtection="0"/>
    <xf numFmtId="0" fontId="124" fillId="0" borderId="0" applyNumberFormat="0" applyFill="0" applyBorder="0" applyAlignment="0" applyProtection="0"/>
    <xf numFmtId="0" fontId="125" fillId="0" borderId="0" applyNumberFormat="0" applyFill="0" applyBorder="0" applyAlignment="0" applyProtection="0"/>
    <xf numFmtId="0" fontId="126" fillId="0" borderId="22" applyNumberFormat="0" applyFill="0" applyAlignment="0" applyProtection="0"/>
    <xf numFmtId="0" fontId="126" fillId="0" borderId="0" applyNumberFormat="0" applyFill="0" applyBorder="0" applyAlignment="0" applyProtection="0"/>
    <xf numFmtId="172" fontId="115" fillId="0" borderId="0" applyFont="0" applyFill="0" applyBorder="0" applyAlignment="0" applyProtection="0"/>
    <xf numFmtId="0" fontId="127" fillId="27" borderId="20" applyNumberFormat="0" applyAlignment="0" applyProtection="0"/>
    <xf numFmtId="0" fontId="128" fillId="0" borderId="23" applyNumberFormat="0" applyFill="0" applyAlignment="0" applyProtection="0"/>
    <xf numFmtId="190" fontId="7" fillId="0" borderId="0" applyFont="0" applyFill="0" applyBorder="0" applyAlignment="0" applyProtection="0"/>
    <xf numFmtId="177" fontId="7" fillId="0" borderId="0" applyFont="0" applyFill="0" applyBorder="0" applyAlignment="0" applyProtection="0"/>
    <xf numFmtId="191" fontId="7" fillId="0" borderId="0" applyFont="0" applyFill="0" applyBorder="0" applyAlignment="0" applyProtection="0"/>
    <xf numFmtId="192" fontId="7" fillId="0" borderId="0" applyFont="0" applyFill="0" applyBorder="0" applyAlignment="0" applyProtection="0"/>
    <xf numFmtId="172" fontId="129" fillId="0" borderId="0" applyFill="0" applyBorder="0"/>
    <xf numFmtId="0" fontId="130" fillId="42" borderId="0" applyNumberFormat="0" applyBorder="0" applyAlignment="0" applyProtection="0"/>
    <xf numFmtId="0" fontId="129" fillId="0" borderId="0"/>
    <xf numFmtId="0" fontId="38" fillId="43" borderId="24" applyNumberFormat="0" applyFont="0" applyAlignment="0" applyProtection="0"/>
    <xf numFmtId="0" fontId="131" fillId="40" borderId="25" applyNumberFormat="0" applyAlignment="0" applyProtection="0"/>
    <xf numFmtId="9" fontId="32" fillId="0" borderId="0" applyFont="0" applyFill="0" applyBorder="0" applyAlignment="0" applyProtection="0"/>
    <xf numFmtId="193" fontId="115" fillId="0" borderId="0" applyFont="0" applyFill="0" applyBorder="0" applyAlignment="0" applyProtection="0"/>
    <xf numFmtId="0" fontId="132" fillId="0" borderId="0" applyNumberFormat="0" applyFill="0" applyBorder="0" applyAlignment="0" applyProtection="0"/>
    <xf numFmtId="0" fontId="32" fillId="0" borderId="26" applyNumberFormat="0" applyFont="0" applyFill="0" applyAlignment="0" applyProtection="0"/>
    <xf numFmtId="0" fontId="133" fillId="0" borderId="0" applyNumberFormat="0" applyFill="0" applyBorder="0" applyAlignment="0" applyProtection="0"/>
    <xf numFmtId="0" fontId="2" fillId="0" borderId="0"/>
  </cellStyleXfs>
  <cellXfs count="730">
    <xf numFmtId="0" fontId="0" fillId="0" borderId="0" xfId="0"/>
    <xf numFmtId="0" fontId="3" fillId="0" borderId="0" xfId="0" applyFont="1"/>
    <xf numFmtId="0" fontId="3" fillId="0" borderId="0" xfId="0" applyFont="1" applyProtection="1">
      <protection hidden="1"/>
    </xf>
    <xf numFmtId="0" fontId="6" fillId="0" borderId="0" xfId="0" applyFont="1"/>
    <xf numFmtId="3" fontId="3" fillId="2" borderId="3" xfId="0" applyNumberFormat="1" applyFont="1" applyFill="1" applyBorder="1"/>
    <xf numFmtId="0" fontId="4" fillId="0" borderId="0" xfId="0" applyFont="1" applyAlignment="1">
      <alignment horizontal="centerContinuous"/>
    </xf>
    <xf numFmtId="3" fontId="3" fillId="0" borderId="1" xfId="0" applyNumberFormat="1" applyFont="1" applyBorder="1"/>
    <xf numFmtId="0" fontId="4" fillId="0" borderId="0" xfId="0" applyFont="1" applyAlignment="1">
      <alignment horizontal="center" vertical="center"/>
    </xf>
    <xf numFmtId="3" fontId="12" fillId="0" borderId="0" xfId="0" applyNumberFormat="1" applyFont="1" applyAlignment="1">
      <alignment horizontal="centerContinuous"/>
    </xf>
    <xf numFmtId="3" fontId="3" fillId="0" borderId="1" xfId="0" applyNumberFormat="1" applyFont="1" applyBorder="1" applyProtection="1">
      <protection locked="0"/>
    </xf>
    <xf numFmtId="3" fontId="3" fillId="0" borderId="0" xfId="0" applyNumberFormat="1" applyFont="1"/>
    <xf numFmtId="3" fontId="3" fillId="0" borderId="0" xfId="0" applyNumberFormat="1" applyFont="1" applyAlignment="1">
      <alignment horizontal="centerContinuous"/>
    </xf>
    <xf numFmtId="3" fontId="6" fillId="0" borderId="0" xfId="0" applyNumberFormat="1" applyFont="1" applyAlignment="1">
      <alignment horizontal="centerContinuous"/>
    </xf>
    <xf numFmtId="0" fontId="12" fillId="0" borderId="0" xfId="0" applyFont="1" applyAlignment="1">
      <alignment horizontal="centerContinuous"/>
    </xf>
    <xf numFmtId="3" fontId="6" fillId="0" borderId="1" xfId="0" quotePrefix="1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3" fontId="4" fillId="0" borderId="0" xfId="0" applyNumberFormat="1" applyFont="1" applyAlignment="1">
      <alignment horizontal="center"/>
    </xf>
    <xf numFmtId="0" fontId="3" fillId="0" borderId="0" xfId="0" applyFont="1" applyAlignment="1">
      <alignment wrapText="1"/>
    </xf>
    <xf numFmtId="0" fontId="8" fillId="0" borderId="0" xfId="0" applyFont="1"/>
    <xf numFmtId="0" fontId="3" fillId="0" borderId="0" xfId="0" applyFont="1" applyAlignment="1" applyProtection="1">
      <alignment vertical="center"/>
      <protection hidden="1"/>
    </xf>
    <xf numFmtId="0" fontId="7" fillId="0" borderId="0" xfId="0" applyFont="1" applyAlignment="1">
      <alignment horizontal="centerContinuous"/>
    </xf>
    <xf numFmtId="3" fontId="6" fillId="0" borderId="0" xfId="0" applyNumberFormat="1" applyFont="1" applyAlignment="1">
      <alignment horizontal="center" vertical="center" wrapText="1"/>
    </xf>
    <xf numFmtId="3" fontId="6" fillId="0" borderId="1" xfId="0" applyNumberFormat="1" applyFont="1" applyBorder="1" applyAlignment="1">
      <alignment horizontal="center" vertical="center" textRotation="90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vertical="center" wrapText="1"/>
    </xf>
    <xf numFmtId="0" fontId="5" fillId="0" borderId="2" xfId="0" applyFont="1" applyBorder="1" applyAlignment="1">
      <alignment horizontal="center" vertical="center" wrapText="1"/>
    </xf>
    <xf numFmtId="0" fontId="17" fillId="0" borderId="0" xfId="4" applyNumberFormat="1" applyFont="1" applyFill="1" applyBorder="1" applyAlignment="1" applyProtection="1">
      <alignment vertical="center"/>
    </xf>
    <xf numFmtId="0" fontId="17" fillId="0" borderId="0" xfId="4" applyNumberFormat="1" applyFont="1" applyFill="1" applyBorder="1" applyAlignment="1" applyProtection="1">
      <alignment vertical="top"/>
    </xf>
    <xf numFmtId="0" fontId="17" fillId="0" borderId="0" xfId="4" applyNumberFormat="1" applyFont="1" applyFill="1" applyBorder="1" applyAlignment="1" applyProtection="1">
      <alignment vertical="top" wrapText="1"/>
    </xf>
    <xf numFmtId="0" fontId="14" fillId="0" borderId="0" xfId="4" applyNumberFormat="1" applyFont="1" applyFill="1" applyBorder="1" applyAlignment="1" applyProtection="1">
      <alignment horizontal="center" vertical="center"/>
    </xf>
    <xf numFmtId="49" fontId="33" fillId="5" borderId="1" xfId="4" applyNumberFormat="1" applyFont="1" applyFill="1" applyBorder="1" applyAlignment="1" applyProtection="1">
      <alignment horizontal="center" vertical="center" wrapText="1"/>
    </xf>
    <xf numFmtId="49" fontId="34" fillId="0" borderId="1" xfId="4" applyNumberFormat="1" applyFont="1" applyFill="1" applyBorder="1" applyAlignment="1" applyProtection="1">
      <alignment horizontal="center" vertical="center" wrapText="1"/>
    </xf>
    <xf numFmtId="0" fontId="35" fillId="0" borderId="0" xfId="4" applyNumberFormat="1" applyFont="1" applyFill="1" applyBorder="1" applyAlignment="1" applyProtection="1">
      <alignment horizontal="center" vertical="center"/>
    </xf>
    <xf numFmtId="0" fontId="35" fillId="0" borderId="0" xfId="4" applyNumberFormat="1" applyFont="1" applyFill="1" applyBorder="1" applyAlignment="1" applyProtection="1">
      <alignment vertical="top" wrapText="1"/>
    </xf>
    <xf numFmtId="170" fontId="2" fillId="0" borderId="0" xfId="0" applyNumberFormat="1" applyFont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0" fontId="31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3" fontId="3" fillId="0" borderId="1" xfId="0" applyNumberFormat="1" applyFont="1" applyBorder="1" applyAlignment="1" applyProtection="1">
      <alignment horizontal="right" vertical="center"/>
      <protection locked="0"/>
    </xf>
    <xf numFmtId="3" fontId="3" fillId="0" borderId="3" xfId="0" applyNumberFormat="1" applyFont="1" applyBorder="1" applyAlignment="1" applyProtection="1">
      <alignment vertical="center"/>
      <protection locked="0"/>
    </xf>
    <xf numFmtId="167" fontId="3" fillId="0" borderId="3" xfId="0" applyNumberFormat="1" applyFont="1" applyBorder="1" applyAlignment="1" applyProtection="1">
      <alignment vertical="center"/>
      <protection locked="0"/>
    </xf>
    <xf numFmtId="3" fontId="3" fillId="0" borderId="1" xfId="0" applyNumberFormat="1" applyFont="1" applyBorder="1" applyAlignment="1">
      <alignment vertical="center"/>
    </xf>
    <xf numFmtId="3" fontId="5" fillId="0" borderId="1" xfId="0" applyNumberFormat="1" applyFont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3" fontId="2" fillId="0" borderId="1" xfId="0" applyNumberFormat="1" applyFont="1" applyBorder="1" applyAlignment="1" applyProtection="1">
      <alignment vertical="center"/>
      <protection locked="0"/>
    </xf>
    <xf numFmtId="49" fontId="3" fillId="0" borderId="1" xfId="0" applyNumberFormat="1" applyFont="1" applyBorder="1" applyAlignment="1" applyProtection="1">
      <alignment horizontal="center" vertical="center"/>
      <protection locked="0"/>
    </xf>
    <xf numFmtId="3" fontId="3" fillId="0" borderId="1" xfId="0" applyNumberFormat="1" applyFont="1" applyBorder="1" applyAlignment="1" applyProtection="1">
      <alignment horizontal="center" vertical="center"/>
      <protection locked="0"/>
    </xf>
    <xf numFmtId="0" fontId="31" fillId="0" borderId="4" xfId="0" applyFont="1" applyBorder="1" applyAlignment="1">
      <alignment horizontal="center" vertical="center"/>
    </xf>
    <xf numFmtId="3" fontId="31" fillId="0" borderId="1" xfId="0" applyNumberFormat="1" applyFont="1" applyBorder="1" applyAlignment="1" applyProtection="1">
      <alignment horizontal="center" vertical="center"/>
      <protection locked="0"/>
    </xf>
    <xf numFmtId="0" fontId="31" fillId="0" borderId="0" xfId="0" applyFont="1" applyAlignment="1">
      <alignment vertical="center"/>
    </xf>
    <xf numFmtId="0" fontId="2" fillId="0" borderId="1" xfId="0" applyFont="1" applyBorder="1" applyAlignment="1">
      <alignment horizontal="left" vertical="center" wrapText="1" indent="2"/>
    </xf>
    <xf numFmtId="0" fontId="3" fillId="0" borderId="1" xfId="0" applyFont="1" applyBorder="1" applyAlignment="1">
      <alignment horizontal="left" vertical="center" wrapText="1" indent="4"/>
    </xf>
    <xf numFmtId="0" fontId="31" fillId="0" borderId="1" xfId="0" applyFont="1" applyBorder="1" applyAlignment="1">
      <alignment horizontal="left" vertical="center" wrapText="1" indent="4"/>
    </xf>
    <xf numFmtId="0" fontId="33" fillId="5" borderId="1" xfId="4" applyNumberFormat="1" applyFont="1" applyFill="1" applyBorder="1" applyAlignment="1" applyProtection="1">
      <alignment horizontal="center" vertical="center" wrapText="1"/>
    </xf>
    <xf numFmtId="0" fontId="6" fillId="0" borderId="2" xfId="0" applyFont="1" applyBorder="1" applyAlignment="1">
      <alignment horizontal="left" vertical="center" indent="1"/>
    </xf>
    <xf numFmtId="3" fontId="2" fillId="0" borderId="1" xfId="0" applyNumberFormat="1" applyFont="1" applyBorder="1" applyAlignment="1">
      <alignment horizontal="left" vertical="center"/>
    </xf>
    <xf numFmtId="3" fontId="30" fillId="0" borderId="1" xfId="0" applyNumberFormat="1" applyFont="1" applyBorder="1" applyAlignment="1">
      <alignment horizontal="right" vertical="center" wrapText="1"/>
    </xf>
    <xf numFmtId="3" fontId="5" fillId="0" borderId="1" xfId="0" applyNumberFormat="1" applyFont="1" applyBorder="1" applyAlignment="1" applyProtection="1">
      <alignment horizontal="center" vertical="center" wrapText="1"/>
      <protection locked="0"/>
    </xf>
    <xf numFmtId="0" fontId="39" fillId="0" borderId="0" xfId="0" applyFont="1"/>
    <xf numFmtId="3" fontId="39" fillId="0" borderId="0" xfId="0" applyNumberFormat="1" applyFont="1" applyAlignment="1">
      <alignment horizontal="centerContinuous"/>
    </xf>
    <xf numFmtId="0" fontId="8" fillId="0" borderId="0" xfId="0" applyFont="1" applyAlignment="1">
      <alignment vertical="center"/>
    </xf>
    <xf numFmtId="3" fontId="4" fillId="0" borderId="1" xfId="0" applyNumberFormat="1" applyFont="1" applyBorder="1" applyAlignment="1">
      <alignment horizontal="center" vertical="center"/>
    </xf>
    <xf numFmtId="3" fontId="8" fillId="0" borderId="1" xfId="0" applyNumberFormat="1" applyFont="1" applyBorder="1" applyAlignment="1">
      <alignment vertical="center"/>
    </xf>
    <xf numFmtId="3" fontId="8" fillId="0" borderId="1" xfId="0" applyNumberFormat="1" applyFont="1" applyBorder="1" applyAlignment="1" applyProtection="1">
      <alignment horizontal="right" vertical="center"/>
      <protection locked="0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/>
    </xf>
    <xf numFmtId="0" fontId="4" fillId="0" borderId="0" xfId="0" applyFont="1"/>
    <xf numFmtId="0" fontId="40" fillId="0" borderId="0" xfId="0" applyFont="1" applyProtection="1">
      <protection hidden="1"/>
    </xf>
    <xf numFmtId="0" fontId="2" fillId="0" borderId="0" xfId="0" applyFont="1"/>
    <xf numFmtId="169" fontId="23" fillId="0" borderId="0" xfId="3" applyNumberFormat="1" applyFont="1" applyBorder="1" applyAlignment="1" applyProtection="1">
      <alignment horizontal="center" vertical="center" wrapText="1"/>
    </xf>
    <xf numFmtId="0" fontId="20" fillId="0" borderId="0" xfId="0" applyFont="1"/>
    <xf numFmtId="0" fontId="20" fillId="0" borderId="0" xfId="0" applyFont="1" applyAlignment="1">
      <alignment wrapText="1"/>
    </xf>
    <xf numFmtId="0" fontId="20" fillId="0" borderId="0" xfId="0" applyFont="1" applyAlignment="1">
      <alignment vertical="center"/>
    </xf>
    <xf numFmtId="0" fontId="20" fillId="0" borderId="1" xfId="0" applyFont="1" applyBorder="1" applyAlignment="1">
      <alignment horizontal="center" wrapText="1"/>
    </xf>
    <xf numFmtId="0" fontId="19" fillId="0" borderId="1" xfId="0" applyFont="1" applyBorder="1" applyAlignment="1">
      <alignment horizontal="center" vertical="center"/>
    </xf>
    <xf numFmtId="169" fontId="19" fillId="0" borderId="1" xfId="3" applyNumberFormat="1" applyFont="1" applyBorder="1" applyAlignment="1" applyProtection="1">
      <alignment horizontal="left" vertical="center"/>
    </xf>
    <xf numFmtId="3" fontId="19" fillId="0" borderId="1" xfId="3" applyNumberFormat="1" applyFont="1" applyBorder="1" applyAlignment="1" applyProtection="1">
      <alignment horizontal="center" vertical="center"/>
    </xf>
    <xf numFmtId="3" fontId="20" fillId="0" borderId="1" xfId="3" applyNumberFormat="1" applyFont="1" applyFill="1" applyBorder="1" applyAlignment="1" applyProtection="1">
      <alignment horizontal="center" wrapText="1"/>
    </xf>
    <xf numFmtId="3" fontId="29" fillId="0" borderId="1" xfId="3" applyNumberFormat="1" applyFont="1" applyFill="1" applyBorder="1" applyAlignment="1" applyProtection="1">
      <alignment horizontal="center" wrapText="1"/>
    </xf>
    <xf numFmtId="0" fontId="19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left" vertical="center" wrapText="1" indent="2"/>
    </xf>
    <xf numFmtId="0" fontId="26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19" fillId="0" borderId="1" xfId="0" applyFont="1" applyBorder="1" applyAlignment="1">
      <alignment horizontal="left" vertical="center" indent="2"/>
    </xf>
    <xf numFmtId="0" fontId="20" fillId="0" borderId="1" xfId="0" applyFont="1" applyBorder="1" applyAlignment="1">
      <alignment horizontal="center" vertical="center" wrapText="1"/>
    </xf>
    <xf numFmtId="0" fontId="29" fillId="0" borderId="1" xfId="0" applyFont="1" applyBorder="1" applyAlignment="1">
      <alignment horizontal="center" wrapText="1"/>
    </xf>
    <xf numFmtId="0" fontId="29" fillId="0" borderId="0" xfId="0" applyFont="1"/>
    <xf numFmtId="0" fontId="29" fillId="0" borderId="1" xfId="0" applyFont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3" fontId="29" fillId="0" borderId="1" xfId="3" applyNumberFormat="1" applyFont="1" applyBorder="1" applyAlignment="1" applyProtection="1">
      <alignment horizontal="center" vertical="center" wrapText="1"/>
    </xf>
    <xf numFmtId="0" fontId="36" fillId="0" borderId="1" xfId="0" applyFont="1" applyBorder="1" applyAlignment="1">
      <alignment horizontal="center" vertical="center" wrapText="1"/>
    </xf>
    <xf numFmtId="0" fontId="36" fillId="0" borderId="1" xfId="0" applyFont="1" applyBorder="1" applyAlignment="1">
      <alignment horizontal="left" vertical="center" wrapText="1" indent="2"/>
    </xf>
    <xf numFmtId="3" fontId="36" fillId="0" borderId="1" xfId="3" applyNumberFormat="1" applyFont="1" applyFill="1" applyBorder="1" applyAlignment="1" applyProtection="1">
      <alignment horizontal="center"/>
    </xf>
    <xf numFmtId="0" fontId="36" fillId="0" borderId="0" xfId="0" applyFont="1" applyAlignment="1">
      <alignment vertical="center"/>
    </xf>
    <xf numFmtId="0" fontId="19" fillId="0" borderId="0" xfId="0" applyFont="1"/>
    <xf numFmtId="169" fontId="20" fillId="0" borderId="0" xfId="3" applyNumberFormat="1" applyFont="1" applyProtection="1"/>
    <xf numFmtId="0" fontId="19" fillId="0" borderId="0" xfId="0" applyFont="1" applyAlignment="1">
      <alignment horizontal="right"/>
    </xf>
    <xf numFmtId="170" fontId="20" fillId="0" borderId="0" xfId="0" applyNumberFormat="1" applyFont="1" applyAlignment="1">
      <alignment wrapText="1"/>
    </xf>
    <xf numFmtId="3" fontId="36" fillId="0" borderId="1" xfId="3" applyNumberFormat="1" applyFont="1" applyBorder="1" applyAlignment="1" applyProtection="1">
      <alignment horizontal="center" vertical="center"/>
      <protection locked="0"/>
    </xf>
    <xf numFmtId="3" fontId="19" fillId="0" borderId="1" xfId="3" applyNumberFormat="1" applyFont="1" applyBorder="1" applyAlignment="1" applyProtection="1">
      <alignment horizontal="center" vertical="center"/>
      <protection locked="0"/>
    </xf>
    <xf numFmtId="3" fontId="20" fillId="0" borderId="1" xfId="3" applyNumberFormat="1" applyFont="1" applyFill="1" applyBorder="1" applyAlignment="1" applyProtection="1">
      <alignment horizontal="center" wrapText="1"/>
      <protection locked="0"/>
    </xf>
    <xf numFmtId="0" fontId="29" fillId="0" borderId="1" xfId="0" applyFont="1" applyBorder="1" applyAlignment="1">
      <alignment horizontal="left" vertical="center" wrapText="1" indent="2"/>
    </xf>
    <xf numFmtId="10" fontId="29" fillId="0" borderId="1" xfId="2" applyNumberFormat="1" applyFont="1" applyFill="1" applyBorder="1" applyAlignment="1" applyProtection="1">
      <alignment horizontal="center" vertical="center"/>
    </xf>
    <xf numFmtId="0" fontId="17" fillId="0" borderId="0" xfId="5" applyNumberFormat="1" applyFont="1" applyFill="1" applyBorder="1" applyAlignment="1" applyProtection="1">
      <alignment vertical="top"/>
    </xf>
    <xf numFmtId="0" fontId="17" fillId="0" borderId="0" xfId="5" applyNumberFormat="1" applyFont="1" applyFill="1" applyBorder="1" applyAlignment="1" applyProtection="1">
      <alignment horizontal="center" vertical="center"/>
    </xf>
    <xf numFmtId="0" fontId="34" fillId="0" borderId="1" xfId="5" applyNumberFormat="1" applyFont="1" applyFill="1" applyBorder="1" applyAlignment="1" applyProtection="1">
      <alignment horizontal="left" vertical="center" wrapText="1" indent="2"/>
    </xf>
    <xf numFmtId="0" fontId="35" fillId="0" borderId="1" xfId="5" applyNumberFormat="1" applyFont="1" applyFill="1" applyBorder="1" applyAlignment="1" applyProtection="1">
      <alignment horizontal="left" vertical="center" wrapText="1" indent="2"/>
    </xf>
    <xf numFmtId="16" fontId="34" fillId="0" borderId="1" xfId="5" applyNumberFormat="1" applyFont="1" applyFill="1" applyBorder="1" applyAlignment="1" applyProtection="1">
      <alignment horizontal="left" vertical="center" wrapText="1" indent="2"/>
    </xf>
    <xf numFmtId="0" fontId="42" fillId="0" borderId="0" xfId="5" applyNumberFormat="1" applyFont="1" applyFill="1" applyBorder="1" applyAlignment="1" applyProtection="1">
      <alignment vertical="center"/>
    </xf>
    <xf numFmtId="3" fontId="2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9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9" fillId="0" borderId="1" xfId="3" applyNumberFormat="1" applyFont="1" applyFill="1" applyBorder="1" applyAlignment="1" applyProtection="1">
      <alignment horizontal="center" vertical="center" wrapText="1"/>
    </xf>
    <xf numFmtId="3" fontId="36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44" fillId="0" borderId="0" xfId="3" applyFont="1" applyFill="1" applyBorder="1" applyAlignment="1" applyProtection="1">
      <alignment vertical="center"/>
    </xf>
    <xf numFmtId="0" fontId="45" fillId="0" borderId="0" xfId="0" applyFont="1"/>
    <xf numFmtId="0" fontId="46" fillId="0" borderId="0" xfId="0" applyFont="1"/>
    <xf numFmtId="0" fontId="42" fillId="0" borderId="0" xfId="4" applyNumberFormat="1" applyFont="1" applyFill="1" applyBorder="1" applyAlignment="1" applyProtection="1">
      <alignment horizontal="center" vertical="center"/>
    </xf>
    <xf numFmtId="0" fontId="29" fillId="0" borderId="1" xfId="0" applyFont="1" applyBorder="1" applyAlignment="1">
      <alignment horizontal="left" vertical="center" indent="2"/>
    </xf>
    <xf numFmtId="0" fontId="17" fillId="0" borderId="1" xfId="5" applyNumberFormat="1" applyFont="1" applyFill="1" applyBorder="1" applyAlignment="1" applyProtection="1">
      <alignment horizontal="left" vertical="center" wrapText="1" indent="2"/>
    </xf>
    <xf numFmtId="3" fontId="17" fillId="0" borderId="0" xfId="4" applyNumberFormat="1" applyFont="1" applyFill="1" applyBorder="1" applyAlignment="1" applyProtection="1">
      <alignment vertical="top"/>
    </xf>
    <xf numFmtId="3" fontId="33" fillId="5" borderId="1" xfId="4" applyNumberFormat="1" applyFont="1" applyFill="1" applyBorder="1" applyAlignment="1" applyProtection="1">
      <alignment horizontal="center" vertical="center" wrapText="1"/>
    </xf>
    <xf numFmtId="0" fontId="34" fillId="5" borderId="1" xfId="5" applyNumberFormat="1" applyFont="1" applyFill="1" applyBorder="1" applyAlignment="1" applyProtection="1">
      <alignment horizontal="left" vertical="center" wrapText="1" indent="2"/>
    </xf>
    <xf numFmtId="3" fontId="50" fillId="0" borderId="1" xfId="3" applyNumberFormat="1" applyFont="1" applyFill="1" applyBorder="1" applyAlignment="1" applyProtection="1">
      <alignment horizontal="center"/>
    </xf>
    <xf numFmtId="0" fontId="17" fillId="0" borderId="0" xfId="5" applyNumberFormat="1" applyFont="1" applyFill="1" applyBorder="1" applyAlignment="1" applyProtection="1">
      <alignment horizontal="center" vertical="top"/>
    </xf>
    <xf numFmtId="15" fontId="17" fillId="0" borderId="0" xfId="5" applyNumberFormat="1" applyFont="1" applyFill="1" applyBorder="1" applyAlignment="1" applyProtection="1">
      <alignment vertical="top"/>
    </xf>
    <xf numFmtId="0" fontId="51" fillId="0" borderId="0" xfId="0" applyFont="1" applyAlignment="1">
      <alignment horizontal="center" vertical="center"/>
    </xf>
    <xf numFmtId="170" fontId="0" fillId="0" borderId="0" xfId="0" applyNumberFormat="1" applyAlignment="1">
      <alignment horizontal="left" indent="2"/>
    </xf>
    <xf numFmtId="15" fontId="36" fillId="0" borderId="0" xfId="0" applyNumberFormat="1" applyFont="1" applyAlignment="1">
      <alignment horizontal="left" wrapText="1" indent="3"/>
    </xf>
    <xf numFmtId="169" fontId="23" fillId="0" borderId="0" xfId="3" applyNumberFormat="1" applyFont="1" applyBorder="1" applyAlignment="1" applyProtection="1">
      <alignment horizontal="left" indent="2"/>
    </xf>
    <xf numFmtId="170" fontId="0" fillId="0" borderId="0" xfId="0" quotePrefix="1" applyNumberFormat="1" applyAlignment="1">
      <alignment horizontal="left"/>
    </xf>
    <xf numFmtId="3" fontId="30" fillId="0" borderId="0" xfId="0" applyNumberFormat="1" applyFont="1"/>
    <xf numFmtId="3" fontId="52" fillId="0" borderId="0" xfId="0" applyNumberFormat="1" applyFont="1" applyAlignment="1">
      <alignment horizontal="center"/>
    </xf>
    <xf numFmtId="0" fontId="49" fillId="0" borderId="0" xfId="5" applyNumberFormat="1" applyFont="1" applyFill="1" applyBorder="1" applyAlignment="1" applyProtection="1">
      <alignment horizontal="center" vertical="top"/>
    </xf>
    <xf numFmtId="15" fontId="53" fillId="0" borderId="0" xfId="5" applyNumberFormat="1" applyFont="1" applyFill="1" applyBorder="1" applyAlignment="1" applyProtection="1">
      <alignment horizontal="center" vertical="center"/>
    </xf>
    <xf numFmtId="3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0" fontId="17" fillId="0" borderId="1" xfId="4" applyNumberFormat="1" applyFont="1" applyFill="1" applyBorder="1" applyAlignment="1" applyProtection="1">
      <alignment horizontal="center" vertical="center" wrapText="1"/>
      <protection locked="0"/>
    </xf>
    <xf numFmtId="3" fontId="17" fillId="0" borderId="1" xfId="4" applyNumberFormat="1" applyFont="1" applyFill="1" applyBorder="1" applyAlignment="1" applyProtection="1">
      <alignment horizontal="center" vertical="top" wrapText="1"/>
      <protection locked="0"/>
    </xf>
    <xf numFmtId="3" fontId="2" fillId="0" borderId="1" xfId="0" applyNumberFormat="1" applyFont="1" applyBorder="1" applyAlignment="1">
      <alignment vertical="center"/>
    </xf>
    <xf numFmtId="0" fontId="55" fillId="0" borderId="1" xfId="0" applyFont="1" applyBorder="1" applyAlignment="1">
      <alignment horizontal="center" vertical="center" wrapText="1"/>
    </xf>
    <xf numFmtId="0" fontId="7" fillId="0" borderId="0" xfId="0" applyFont="1" applyAlignment="1">
      <alignment horizontal="centerContinuous" vertical="center"/>
    </xf>
    <xf numFmtId="3" fontId="3" fillId="0" borderId="3" xfId="0" applyNumberFormat="1" applyFont="1" applyBorder="1" applyAlignment="1">
      <alignment vertical="center"/>
    </xf>
    <xf numFmtId="3" fontId="2" fillId="0" borderId="1" xfId="0" applyNumberFormat="1" applyFont="1" applyBorder="1" applyAlignment="1" applyProtection="1">
      <alignment horizontal="right"/>
      <protection locked="0"/>
    </xf>
    <xf numFmtId="0" fontId="33" fillId="0" borderId="0" xfId="5" applyNumberFormat="1" applyFont="1" applyFill="1" applyBorder="1" applyAlignment="1" applyProtection="1">
      <alignment horizontal="center" vertical="center"/>
    </xf>
    <xf numFmtId="0" fontId="17" fillId="0" borderId="1" xfId="5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>
      <alignment vertical="center"/>
    </xf>
    <xf numFmtId="1" fontId="8" fillId="0" borderId="1" xfId="0" applyNumberFormat="1" applyFont="1" applyBorder="1" applyAlignment="1">
      <alignment vertical="center"/>
    </xf>
    <xf numFmtId="9" fontId="8" fillId="0" borderId="1" xfId="0" applyNumberFormat="1" applyFont="1" applyBorder="1" applyAlignment="1">
      <alignment vertical="center"/>
    </xf>
    <xf numFmtId="9" fontId="2" fillId="0" borderId="1" xfId="0" applyNumberFormat="1" applyFont="1" applyBorder="1"/>
    <xf numFmtId="3" fontId="20" fillId="0" borderId="1" xfId="3" applyNumberFormat="1" applyFont="1" applyFill="1" applyBorder="1" applyAlignment="1" applyProtection="1">
      <alignment horizontal="center" vertical="center" wrapText="1"/>
    </xf>
    <xf numFmtId="0" fontId="36" fillId="0" borderId="1" xfId="0" applyFont="1" applyBorder="1" applyAlignment="1">
      <alignment horizontal="left" vertical="center" wrapText="1" indent="1"/>
    </xf>
    <xf numFmtId="0" fontId="36" fillId="0" borderId="1" xfId="0" applyFont="1" applyBorder="1" applyAlignment="1">
      <alignment horizontal="left" vertical="center" indent="1"/>
    </xf>
    <xf numFmtId="0" fontId="20" fillId="0" borderId="1" xfId="0" applyFont="1" applyBorder="1" applyAlignment="1">
      <alignment horizontal="left" vertical="center" wrapText="1" indent="1"/>
    </xf>
    <xf numFmtId="9" fontId="33" fillId="0" borderId="0" xfId="2" applyFont="1" applyFill="1" applyBorder="1" applyAlignment="1" applyProtection="1">
      <alignment horizontal="center" vertical="center"/>
    </xf>
    <xf numFmtId="9" fontId="34" fillId="0" borderId="1" xfId="2" applyFont="1" applyFill="1" applyBorder="1" applyAlignment="1" applyProtection="1">
      <alignment horizontal="center" vertical="center" wrapText="1"/>
    </xf>
    <xf numFmtId="9" fontId="17" fillId="0" borderId="0" xfId="2" applyFont="1" applyFill="1" applyBorder="1" applyAlignment="1" applyProtection="1">
      <alignment vertical="top"/>
    </xf>
    <xf numFmtId="9" fontId="17" fillId="0" borderId="1" xfId="2" applyFont="1" applyFill="1" applyBorder="1" applyAlignment="1" applyProtection="1">
      <alignment horizontal="center" vertical="center" wrapText="1"/>
    </xf>
    <xf numFmtId="171" fontId="34" fillId="0" borderId="1" xfId="2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Alignment="1">
      <alignment horizontal="left" vertical="center" indent="2"/>
    </xf>
    <xf numFmtId="0" fontId="3" fillId="0" borderId="1" xfId="0" applyFont="1" applyBorder="1" applyAlignment="1">
      <alignment horizontal="left" vertical="center" indent="2"/>
    </xf>
    <xf numFmtId="0" fontId="3" fillId="0" borderId="1" xfId="0" quotePrefix="1" applyFont="1" applyBorder="1" applyAlignment="1">
      <alignment horizontal="left" vertical="center" indent="2"/>
    </xf>
    <xf numFmtId="0" fontId="6" fillId="0" borderId="1" xfId="0" quotePrefix="1" applyFont="1" applyBorder="1" applyAlignment="1">
      <alignment horizontal="left" vertical="center" indent="2"/>
    </xf>
    <xf numFmtId="3" fontId="52" fillId="3" borderId="1" xfId="0" applyNumberFormat="1" applyFont="1" applyFill="1" applyBorder="1" applyAlignment="1">
      <alignment horizontal="center" vertical="center" wrapText="1"/>
    </xf>
    <xf numFmtId="3" fontId="58" fillId="3" borderId="1" xfId="0" applyNumberFormat="1" applyFont="1" applyFill="1" applyBorder="1" applyAlignment="1">
      <alignment horizontal="center" vertical="center" wrapText="1"/>
    </xf>
    <xf numFmtId="9" fontId="58" fillId="3" borderId="1" xfId="2" applyFont="1" applyFill="1" applyBorder="1" applyAlignment="1" applyProtection="1">
      <alignment horizontal="center" vertical="center" wrapText="1"/>
    </xf>
    <xf numFmtId="3" fontId="30" fillId="3" borderId="1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Continuous" vertical="center"/>
    </xf>
    <xf numFmtId="3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horizontal="center" vertical="center" wrapText="1"/>
    </xf>
    <xf numFmtId="0" fontId="17" fillId="0" borderId="1" xfId="4" applyNumberFormat="1" applyFont="1" applyFill="1" applyBorder="1" applyAlignment="1" applyProtection="1">
      <alignment vertical="center" wrapText="1"/>
    </xf>
    <xf numFmtId="0" fontId="17" fillId="0" borderId="0" xfId="4" applyNumberFormat="1" applyFont="1" applyFill="1" applyBorder="1" applyAlignment="1" applyProtection="1">
      <alignment vertical="center" wrapText="1"/>
    </xf>
    <xf numFmtId="3" fontId="17" fillId="3" borderId="5" xfId="0" applyNumberFormat="1" applyFont="1" applyFill="1" applyBorder="1" applyAlignment="1">
      <alignment horizontal="center" vertical="center" wrapText="1"/>
    </xf>
    <xf numFmtId="3" fontId="30" fillId="0" borderId="3" xfId="0" applyNumberFormat="1" applyFont="1" applyBorder="1" applyAlignment="1">
      <alignment vertical="center"/>
    </xf>
    <xf numFmtId="3" fontId="14" fillId="3" borderId="1" xfId="0" applyNumberFormat="1" applyFont="1" applyFill="1" applyBorder="1" applyAlignment="1">
      <alignment horizontal="center" vertical="center" wrapText="1"/>
    </xf>
    <xf numFmtId="0" fontId="33" fillId="5" borderId="1" xfId="5" applyNumberFormat="1" applyFont="1" applyFill="1" applyBorder="1" applyAlignment="1" applyProtection="1">
      <alignment horizontal="left" vertical="center" wrapText="1" indent="2"/>
    </xf>
    <xf numFmtId="0" fontId="48" fillId="5" borderId="1" xfId="5" applyNumberFormat="1" applyFont="1" applyFill="1" applyBorder="1" applyAlignment="1" applyProtection="1">
      <alignment horizontal="left" vertical="center" wrapText="1" indent="4"/>
    </xf>
    <xf numFmtId="0" fontId="34" fillId="5" borderId="1" xfId="5" applyNumberFormat="1" applyFont="1" applyFill="1" applyBorder="1" applyAlignment="1" applyProtection="1">
      <alignment horizontal="left" vertical="center" wrapText="1" indent="1"/>
    </xf>
    <xf numFmtId="0" fontId="34" fillId="0" borderId="1" xfId="5" applyNumberFormat="1" applyFont="1" applyFill="1" applyBorder="1" applyAlignment="1" applyProtection="1">
      <alignment horizontal="left" vertical="center" wrapText="1" indent="1"/>
    </xf>
    <xf numFmtId="3" fontId="30" fillId="0" borderId="1" xfId="0" applyNumberFormat="1" applyFont="1" applyBorder="1" applyAlignment="1">
      <alignment horizontal="center" vertical="center" wrapText="1"/>
    </xf>
    <xf numFmtId="0" fontId="61" fillId="0" borderId="0" xfId="0" applyFont="1"/>
    <xf numFmtId="166" fontId="61" fillId="0" borderId="0" xfId="3" applyFont="1" applyBorder="1" applyProtection="1"/>
    <xf numFmtId="0" fontId="61" fillId="0" borderId="0" xfId="0" applyFont="1" applyAlignment="1">
      <alignment vertical="center"/>
    </xf>
    <xf numFmtId="166" fontId="61" fillId="0" borderId="0" xfId="3" applyFont="1" applyBorder="1" applyAlignment="1" applyProtection="1">
      <alignment vertical="center"/>
    </xf>
    <xf numFmtId="0" fontId="44" fillId="0" borderId="0" xfId="0" applyFont="1" applyAlignment="1">
      <alignment vertical="center"/>
    </xf>
    <xf numFmtId="3" fontId="62" fillId="0" borderId="0" xfId="0" applyNumberFormat="1" applyFont="1"/>
    <xf numFmtId="166" fontId="62" fillId="0" borderId="0" xfId="3" applyFont="1" applyBorder="1" applyProtection="1"/>
    <xf numFmtId="0" fontId="62" fillId="0" borderId="0" xfId="0" applyFont="1"/>
    <xf numFmtId="0" fontId="62" fillId="0" borderId="0" xfId="0" applyFont="1" applyAlignment="1">
      <alignment vertical="center"/>
    </xf>
    <xf numFmtId="166" fontId="62" fillId="0" borderId="0" xfId="3" applyFont="1" applyBorder="1" applyAlignment="1" applyProtection="1">
      <alignment vertical="center"/>
    </xf>
    <xf numFmtId="169" fontId="62" fillId="0" borderId="0" xfId="3" applyNumberFormat="1" applyFont="1" applyAlignment="1" applyProtection="1">
      <alignment vertical="center"/>
    </xf>
    <xf numFmtId="3" fontId="61" fillId="0" borderId="0" xfId="0" applyNumberFormat="1" applyFont="1" applyAlignment="1">
      <alignment vertical="center"/>
    </xf>
    <xf numFmtId="166" fontId="61" fillId="0" borderId="0" xfId="3" applyFont="1" applyFill="1" applyBorder="1" applyAlignment="1" applyProtection="1">
      <alignment vertical="center"/>
    </xf>
    <xf numFmtId="0" fontId="63" fillId="0" borderId="0" xfId="0" applyFont="1" applyAlignment="1">
      <alignment vertical="center"/>
    </xf>
    <xf numFmtId="166" fontId="63" fillId="0" borderId="0" xfId="3" applyFont="1" applyFill="1" applyBorder="1" applyAlignment="1" applyProtection="1">
      <alignment vertical="center"/>
    </xf>
    <xf numFmtId="3" fontId="63" fillId="0" borderId="0" xfId="0" applyNumberFormat="1" applyFont="1" applyAlignment="1">
      <alignment vertical="center"/>
    </xf>
    <xf numFmtId="166" fontId="63" fillId="0" borderId="0" xfId="3" applyFont="1" applyBorder="1" applyAlignment="1" applyProtection="1">
      <alignment vertical="center"/>
    </xf>
    <xf numFmtId="0" fontId="64" fillId="0" borderId="0" xfId="0" applyFont="1"/>
    <xf numFmtId="0" fontId="64" fillId="0" borderId="0" xfId="0" applyFont="1" applyAlignment="1">
      <alignment vertical="center"/>
    </xf>
    <xf numFmtId="3" fontId="64" fillId="0" borderId="0" xfId="0" applyNumberFormat="1" applyFont="1" applyAlignment="1">
      <alignment vertical="center"/>
    </xf>
    <xf numFmtId="0" fontId="17" fillId="0" borderId="0" xfId="0" applyFont="1"/>
    <xf numFmtId="0" fontId="65" fillId="0" borderId="0" xfId="0" applyFont="1"/>
    <xf numFmtId="0" fontId="57" fillId="0" borderId="0" xfId="0" applyFont="1"/>
    <xf numFmtId="49" fontId="33" fillId="6" borderId="1" xfId="4" applyNumberFormat="1" applyFont="1" applyFill="1" applyBorder="1" applyAlignment="1" applyProtection="1">
      <alignment horizontal="center" vertical="center" wrapText="1"/>
    </xf>
    <xf numFmtId="0" fontId="33" fillId="6" borderId="1" xfId="4" applyNumberFormat="1" applyFont="1" applyFill="1" applyBorder="1" applyAlignment="1" applyProtection="1">
      <alignment horizontal="center" vertical="center" wrapText="1"/>
    </xf>
    <xf numFmtId="3" fontId="33" fillId="6" borderId="1" xfId="4" applyNumberFormat="1" applyFont="1" applyFill="1" applyBorder="1" applyAlignment="1" applyProtection="1">
      <alignment horizontal="center" vertical="center" wrapText="1"/>
    </xf>
    <xf numFmtId="49" fontId="17" fillId="6" borderId="1" xfId="4" applyNumberFormat="1" applyFont="1" applyFill="1" applyBorder="1" applyAlignment="1" applyProtection="1">
      <alignment horizontal="center" vertical="center" wrapText="1"/>
    </xf>
    <xf numFmtId="0" fontId="14" fillId="6" borderId="1" xfId="4" applyNumberFormat="1" applyFont="1" applyFill="1" applyBorder="1" applyAlignment="1" applyProtection="1">
      <alignment horizontal="center" vertical="center" wrapText="1"/>
    </xf>
    <xf numFmtId="3" fontId="17" fillId="6" borderId="1" xfId="4" applyNumberFormat="1" applyFont="1" applyFill="1" applyBorder="1" applyAlignment="1" applyProtection="1">
      <alignment horizontal="center" vertical="center" wrapText="1"/>
    </xf>
    <xf numFmtId="3" fontId="13" fillId="3" borderId="1" xfId="0" applyNumberFormat="1" applyFont="1" applyFill="1" applyBorder="1"/>
    <xf numFmtId="3" fontId="13" fillId="0" borderId="1" xfId="0" applyNumberFormat="1" applyFont="1" applyBorder="1" applyAlignment="1">
      <alignment vertical="center"/>
    </xf>
    <xf numFmtId="3" fontId="13" fillId="0" borderId="1" xfId="0" applyNumberFormat="1" applyFont="1" applyBorder="1" applyAlignment="1" applyProtection="1">
      <alignment vertical="center"/>
      <protection locked="0"/>
    </xf>
    <xf numFmtId="3" fontId="13" fillId="3" borderId="1" xfId="0" applyNumberFormat="1" applyFont="1" applyFill="1" applyBorder="1" applyAlignment="1">
      <alignment vertical="center"/>
    </xf>
    <xf numFmtId="3" fontId="13" fillId="3" borderId="1" xfId="0" applyNumberFormat="1" applyFont="1" applyFill="1" applyBorder="1" applyAlignment="1" applyProtection="1">
      <alignment vertical="center"/>
      <protection locked="0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0" fontId="68" fillId="0" borderId="0" xfId="0" applyFont="1" applyAlignment="1">
      <alignment vertical="center"/>
    </xf>
    <xf numFmtId="3" fontId="36" fillId="0" borderId="1" xfId="3" applyNumberFormat="1" applyFont="1" applyFill="1" applyBorder="1" applyAlignment="1" applyProtection="1">
      <alignment horizontal="center"/>
      <protection locked="0"/>
    </xf>
    <xf numFmtId="166" fontId="68" fillId="0" borderId="0" xfId="3" applyFont="1" applyBorder="1" applyAlignment="1" applyProtection="1">
      <alignment vertical="center"/>
    </xf>
    <xf numFmtId="3" fontId="68" fillId="0" borderId="1" xfId="3" applyNumberFormat="1" applyFont="1" applyFill="1" applyBorder="1" applyAlignment="1" applyProtection="1">
      <alignment horizontal="center"/>
    </xf>
    <xf numFmtId="3" fontId="43" fillId="0" borderId="0" xfId="0" applyNumberFormat="1" applyFont="1" applyAlignment="1">
      <alignment horizontal="center"/>
    </xf>
    <xf numFmtId="0" fontId="49" fillId="0" borderId="0" xfId="4" applyNumberFormat="1" applyFont="1" applyFill="1" applyBorder="1" applyAlignment="1" applyProtection="1">
      <alignment horizontal="center" vertical="center"/>
    </xf>
    <xf numFmtId="3" fontId="47" fillId="3" borderId="5" xfId="0" applyNumberFormat="1" applyFont="1" applyFill="1" applyBorder="1" applyAlignment="1">
      <alignment horizontal="center" vertical="center" wrapText="1"/>
    </xf>
    <xf numFmtId="3" fontId="8" fillId="0" borderId="10" xfId="0" applyNumberFormat="1" applyFont="1" applyBorder="1"/>
    <xf numFmtId="3" fontId="8" fillId="0" borderId="0" xfId="0" applyNumberFormat="1" applyFont="1"/>
    <xf numFmtId="3" fontId="4" fillId="0" borderId="0" xfId="0" applyNumberFormat="1" applyFont="1"/>
    <xf numFmtId="170" fontId="12" fillId="0" borderId="10" xfId="0" applyNumberFormat="1" applyFont="1" applyBorder="1" applyAlignment="1">
      <alignment horizontal="centerContinuous"/>
    </xf>
    <xf numFmtId="3" fontId="71" fillId="0" borderId="0" xfId="0" applyNumberFormat="1" applyFont="1" applyAlignment="1">
      <alignment horizontal="centerContinuous"/>
    </xf>
    <xf numFmtId="3" fontId="72" fillId="0" borderId="0" xfId="0" applyNumberFormat="1" applyFont="1" applyAlignment="1">
      <alignment horizontal="centerContinuous"/>
    </xf>
    <xf numFmtId="0" fontId="72" fillId="0" borderId="0" xfId="0" applyFont="1"/>
    <xf numFmtId="3" fontId="71" fillId="0" borderId="0" xfId="0" applyNumberFormat="1" applyFont="1" applyAlignment="1">
      <alignment horizontal="center"/>
    </xf>
    <xf numFmtId="0" fontId="73" fillId="0" borderId="0" xfId="0" applyFont="1"/>
    <xf numFmtId="0" fontId="74" fillId="0" borderId="0" xfId="4" applyNumberFormat="1" applyFont="1" applyFill="1" applyBorder="1" applyAlignment="1" applyProtection="1">
      <alignment horizontal="right" vertical="top" indent="2"/>
    </xf>
    <xf numFmtId="0" fontId="75" fillId="0" borderId="0" xfId="4" applyNumberFormat="1" applyFont="1" applyFill="1" applyBorder="1" applyAlignment="1" applyProtection="1">
      <alignment vertical="top"/>
    </xf>
    <xf numFmtId="3" fontId="75" fillId="0" borderId="0" xfId="4" applyNumberFormat="1" applyFont="1" applyFill="1" applyBorder="1" applyAlignment="1" applyProtection="1">
      <alignment vertical="top"/>
    </xf>
    <xf numFmtId="0" fontId="77" fillId="5" borderId="1" xfId="5" applyNumberFormat="1" applyFont="1" applyFill="1" applyBorder="1" applyAlignment="1" applyProtection="1">
      <alignment horizontal="center" vertical="center" wrapText="1"/>
    </xf>
    <xf numFmtId="0" fontId="77" fillId="5" borderId="1" xfId="5" applyNumberFormat="1" applyFont="1" applyFill="1" applyBorder="1" applyAlignment="1" applyProtection="1">
      <alignment horizontal="left" vertical="center" wrapText="1" indent="2"/>
    </xf>
    <xf numFmtId="9" fontId="59" fillId="5" borderId="1" xfId="2" applyFont="1" applyFill="1" applyBorder="1" applyAlignment="1" applyProtection="1">
      <alignment horizontal="center" vertical="center" wrapText="1"/>
      <protection locked="0"/>
    </xf>
    <xf numFmtId="0" fontId="59" fillId="0" borderId="0" xfId="5" applyNumberFormat="1" applyFont="1" applyFill="1" applyBorder="1" applyAlignment="1" applyProtection="1">
      <alignment horizontal="center" vertical="center"/>
    </xf>
    <xf numFmtId="0" fontId="59" fillId="0" borderId="0" xfId="5" applyNumberFormat="1" applyFont="1" applyFill="1" applyBorder="1" applyAlignment="1" applyProtection="1">
      <alignment vertical="center"/>
    </xf>
    <xf numFmtId="0" fontId="78" fillId="5" borderId="1" xfId="5" applyNumberFormat="1" applyFont="1" applyFill="1" applyBorder="1" applyAlignment="1" applyProtection="1">
      <alignment horizontal="left" vertical="center" wrapText="1" indent="1"/>
    </xf>
    <xf numFmtId="172" fontId="17" fillId="0" borderId="1" xfId="5" applyNumberFormat="1" applyFont="1" applyFill="1" applyBorder="1" applyAlignment="1" applyProtection="1">
      <alignment horizontal="center" vertical="center" wrapText="1"/>
    </xf>
    <xf numFmtId="172" fontId="17" fillId="0" borderId="1" xfId="5" applyNumberFormat="1" applyFont="1" applyFill="1" applyBorder="1" applyAlignment="1" applyProtection="1">
      <alignment horizontal="center" vertical="center" wrapText="1"/>
      <protection locked="0"/>
    </xf>
    <xf numFmtId="172" fontId="14" fillId="0" borderId="1" xfId="5" applyNumberFormat="1" applyFont="1" applyFill="1" applyBorder="1" applyAlignment="1" applyProtection="1">
      <alignment horizontal="center" vertical="center" wrapText="1"/>
    </xf>
    <xf numFmtId="171" fontId="33" fillId="0" borderId="1" xfId="2" applyNumberFormat="1" applyFont="1" applyFill="1" applyBorder="1" applyAlignment="1" applyProtection="1">
      <alignment horizontal="center" vertical="center" wrapText="1"/>
    </xf>
    <xf numFmtId="3" fontId="0" fillId="0" borderId="1" xfId="0" applyNumberFormat="1" applyBorder="1" applyAlignment="1" applyProtection="1">
      <alignment horizontal="center" vertical="center" wrapText="1"/>
      <protection locked="0"/>
    </xf>
    <xf numFmtId="3" fontId="0" fillId="0" borderId="1" xfId="0" applyNumberFormat="1" applyBorder="1" applyAlignment="1">
      <alignment vertical="center"/>
    </xf>
    <xf numFmtId="3" fontId="0" fillId="0" borderId="1" xfId="0" applyNumberFormat="1" applyBorder="1" applyAlignment="1">
      <alignment horizontal="right" vertical="center" wrapText="1"/>
    </xf>
    <xf numFmtId="9" fontId="8" fillId="0" borderId="1" xfId="2" applyFont="1" applyBorder="1" applyAlignment="1" applyProtection="1">
      <alignment horizontal="right" vertical="center"/>
      <protection locked="0"/>
    </xf>
    <xf numFmtId="9" fontId="13" fillId="0" borderId="1" xfId="2" applyFont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  <protection locked="0"/>
    </xf>
    <xf numFmtId="9" fontId="13" fillId="3" borderId="1" xfId="2" applyFont="1" applyFill="1" applyBorder="1" applyAlignment="1" applyProtection="1">
      <alignment vertical="center"/>
    </xf>
    <xf numFmtId="9" fontId="13" fillId="0" borderId="1" xfId="2" applyFont="1" applyBorder="1" applyAlignment="1" applyProtection="1">
      <alignment vertical="center"/>
    </xf>
    <xf numFmtId="3" fontId="79" fillId="0" borderId="0" xfId="4" applyNumberFormat="1" applyFont="1" applyFill="1" applyBorder="1" applyAlignment="1" applyProtection="1">
      <alignment vertical="top"/>
    </xf>
    <xf numFmtId="3" fontId="17" fillId="3" borderId="1" xfId="0" applyNumberFormat="1" applyFont="1" applyFill="1" applyBorder="1" applyAlignment="1">
      <alignment horizontal="center" vertical="center" wrapText="1"/>
    </xf>
    <xf numFmtId="3" fontId="21" fillId="5" borderId="1" xfId="7" applyNumberFormat="1" applyFont="1" applyFill="1" applyBorder="1" applyAlignment="1" applyProtection="1">
      <alignment horizontal="center" vertical="center" wrapText="1"/>
      <protection locked="0"/>
    </xf>
    <xf numFmtId="172" fontId="18" fillId="5" borderId="1" xfId="7" applyNumberFormat="1" applyFont="1" applyFill="1" applyBorder="1" applyAlignment="1" applyProtection="1">
      <alignment horizontal="center" vertical="center" wrapText="1"/>
    </xf>
    <xf numFmtId="171" fontId="18" fillId="5" borderId="1" xfId="2" applyNumberFormat="1" applyFont="1" applyFill="1" applyBorder="1" applyAlignment="1" applyProtection="1">
      <alignment horizontal="center" vertical="center" wrapText="1"/>
    </xf>
    <xf numFmtId="0" fontId="80" fillId="0" borderId="0" xfId="5" applyNumberFormat="1" applyFont="1" applyFill="1" applyBorder="1" applyAlignment="1" applyProtection="1">
      <alignment horizontal="center" vertical="top"/>
    </xf>
    <xf numFmtId="0" fontId="80" fillId="0" borderId="0" xfId="5" applyNumberFormat="1" applyFont="1" applyFill="1" applyBorder="1" applyAlignment="1" applyProtection="1">
      <alignment vertical="top"/>
    </xf>
    <xf numFmtId="172" fontId="80" fillId="0" borderId="0" xfId="5" applyNumberFormat="1" applyFont="1" applyFill="1" applyBorder="1" applyAlignment="1" applyProtection="1">
      <alignment horizontal="center" vertical="top"/>
    </xf>
    <xf numFmtId="3" fontId="80" fillId="0" borderId="0" xfId="5" applyNumberFormat="1" applyFont="1" applyFill="1" applyBorder="1" applyAlignment="1" applyProtection="1">
      <alignment horizontal="center" vertical="top"/>
    </xf>
    <xf numFmtId="169" fontId="17" fillId="0" borderId="0" xfId="3" applyNumberFormat="1" applyFont="1" applyFill="1" applyBorder="1" applyAlignment="1" applyProtection="1">
      <alignment vertical="top"/>
    </xf>
    <xf numFmtId="169" fontId="80" fillId="0" borderId="0" xfId="3" applyNumberFormat="1" applyFont="1" applyFill="1" applyBorder="1" applyAlignment="1" applyProtection="1">
      <alignment horizontal="center" vertical="top"/>
    </xf>
    <xf numFmtId="169" fontId="80" fillId="0" borderId="0" xfId="3" applyNumberFormat="1" applyFont="1" applyFill="1" applyBorder="1" applyAlignment="1" applyProtection="1">
      <alignment vertical="top"/>
    </xf>
    <xf numFmtId="3" fontId="21" fillId="5" borderId="1" xfId="7" applyNumberFormat="1" applyFont="1" applyFill="1" applyBorder="1" applyAlignment="1" applyProtection="1">
      <alignment horizontal="center" vertical="center" wrapText="1"/>
    </xf>
    <xf numFmtId="3" fontId="81" fillId="0" borderId="0" xfId="5" applyNumberFormat="1" applyFont="1" applyFill="1" applyBorder="1" applyAlignment="1" applyProtection="1">
      <alignment horizontal="center" vertical="center"/>
    </xf>
    <xf numFmtId="3" fontId="82" fillId="0" borderId="0" xfId="5" applyNumberFormat="1" applyFont="1" applyFill="1" applyBorder="1" applyAlignment="1" applyProtection="1">
      <alignment horizontal="center" vertical="center"/>
    </xf>
    <xf numFmtId="3" fontId="9" fillId="0" borderId="1" xfId="3" applyNumberFormat="1" applyFont="1" applyFill="1" applyBorder="1" applyAlignment="1" applyProtection="1">
      <alignment horizontal="center" vertical="center" wrapText="1"/>
    </xf>
    <xf numFmtId="3" fontId="83" fillId="0" borderId="0" xfId="0" applyNumberFormat="1" applyFont="1" applyAlignment="1">
      <alignment horizontal="center" vertical="center"/>
    </xf>
    <xf numFmtId="49" fontId="17" fillId="0" borderId="1" xfId="4" applyNumberFormat="1" applyFont="1" applyFill="1" applyBorder="1" applyAlignment="1" applyProtection="1">
      <alignment horizontal="center" vertical="center" wrapText="1"/>
    </xf>
    <xf numFmtId="0" fontId="38" fillId="0" borderId="0" xfId="0" applyFont="1"/>
    <xf numFmtId="0" fontId="68" fillId="20" borderId="1" xfId="0" applyFont="1" applyFill="1" applyBorder="1" applyAlignment="1">
      <alignment horizontal="left" vertical="center" wrapText="1" indent="1"/>
    </xf>
    <xf numFmtId="0" fontId="42" fillId="0" borderId="0" xfId="9" applyNumberFormat="1" applyFont="1" applyFill="1" applyBorder="1" applyAlignment="1" applyProtection="1">
      <alignment vertical="top"/>
    </xf>
    <xf numFmtId="9" fontId="42" fillId="0" borderId="0" xfId="10" applyFont="1" applyFill="1" applyBorder="1" applyAlignment="1" applyProtection="1">
      <alignment vertical="top"/>
    </xf>
    <xf numFmtId="0" fontId="42" fillId="0" borderId="0" xfId="9" applyNumberFormat="1" applyFont="1" applyFill="1" applyBorder="1" applyAlignment="1" applyProtection="1">
      <alignment vertical="center"/>
    </xf>
    <xf numFmtId="0" fontId="41" fillId="0" borderId="9" xfId="9" applyNumberFormat="1" applyFont="1" applyFill="1" applyBorder="1" applyAlignment="1" applyProtection="1">
      <alignment vertical="center"/>
    </xf>
    <xf numFmtId="0" fontId="42" fillId="0" borderId="0" xfId="9" applyNumberFormat="1" applyFont="1" applyFill="1" applyBorder="1" applyAlignment="1" applyProtection="1">
      <alignment horizontal="center" vertical="center"/>
    </xf>
    <xf numFmtId="0" fontId="74" fillId="5" borderId="1" xfId="9" applyNumberFormat="1" applyFont="1" applyFill="1" applyBorder="1" applyAlignment="1" applyProtection="1">
      <alignment horizontal="left" vertical="center" wrapText="1" indent="2"/>
    </xf>
    <xf numFmtId="0" fontId="41" fillId="5" borderId="1" xfId="9" applyNumberFormat="1" applyFont="1" applyFill="1" applyBorder="1" applyAlignment="1" applyProtection="1">
      <alignment horizontal="left" vertical="center" wrapText="1" indent="2"/>
    </xf>
    <xf numFmtId="3" fontId="49" fillId="0" borderId="1" xfId="9" applyNumberFormat="1" applyFont="1" applyFill="1" applyBorder="1" applyAlignment="1" applyProtection="1">
      <alignment horizontal="center" vertical="center" wrapText="1"/>
    </xf>
    <xf numFmtId="171" fontId="41" fillId="0" borderId="1" xfId="10" applyNumberFormat="1" applyFont="1" applyFill="1" applyBorder="1" applyAlignment="1" applyProtection="1">
      <alignment horizontal="center" vertical="center" wrapText="1"/>
    </xf>
    <xf numFmtId="0" fontId="74" fillId="21" borderId="1" xfId="9" applyNumberFormat="1" applyFont="1" applyFill="1" applyBorder="1" applyAlignment="1" applyProtection="1">
      <alignment horizontal="center" vertical="center" wrapText="1"/>
    </xf>
    <xf numFmtId="0" fontId="74" fillId="21" borderId="1" xfId="9" applyNumberFormat="1" applyFont="1" applyFill="1" applyBorder="1" applyAlignment="1" applyProtection="1">
      <alignment horizontal="left" vertical="center" wrapText="1" indent="1"/>
    </xf>
    <xf numFmtId="171" fontId="74" fillId="0" borderId="1" xfId="10" applyNumberFormat="1" applyFont="1" applyFill="1" applyBorder="1" applyAlignment="1" applyProtection="1">
      <alignment horizontal="center" vertical="center" wrapText="1"/>
      <protection locked="0"/>
    </xf>
    <xf numFmtId="0" fontId="85" fillId="0" borderId="1" xfId="9" applyNumberFormat="1" applyFont="1" applyFill="1" applyBorder="1" applyAlignment="1" applyProtection="1">
      <alignment horizontal="center" vertical="center" wrapText="1"/>
    </xf>
    <xf numFmtId="0" fontId="85" fillId="5" borderId="1" xfId="9" applyNumberFormat="1" applyFont="1" applyFill="1" applyBorder="1" applyAlignment="1" applyProtection="1">
      <alignment horizontal="left" vertical="center" wrapText="1" indent="1"/>
    </xf>
    <xf numFmtId="0" fontId="86" fillId="0" borderId="0" xfId="9" applyNumberFormat="1" applyFont="1" applyFill="1" applyBorder="1" applyAlignment="1" applyProtection="1">
      <alignment horizontal="center" vertical="center"/>
    </xf>
    <xf numFmtId="0" fontId="74" fillId="0" borderId="1" xfId="9" applyNumberFormat="1" applyFont="1" applyFill="1" applyBorder="1" applyAlignment="1" applyProtection="1">
      <alignment horizontal="center" vertical="center" wrapText="1"/>
    </xf>
    <xf numFmtId="0" fontId="74" fillId="0" borderId="1" xfId="9" applyNumberFormat="1" applyFont="1" applyFill="1" applyBorder="1" applyAlignment="1" applyProtection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/>
    </xf>
    <xf numFmtId="0" fontId="36" fillId="20" borderId="1" xfId="0" applyFont="1" applyFill="1" applyBorder="1" applyAlignment="1">
      <alignment horizontal="left" vertical="center" wrapText="1" indent="1"/>
    </xf>
    <xf numFmtId="3" fontId="7" fillId="0" borderId="3" xfId="0" applyNumberFormat="1" applyFont="1" applyBorder="1" applyAlignment="1" applyProtection="1">
      <alignment vertical="center"/>
      <protection locked="0"/>
    </xf>
    <xf numFmtId="3" fontId="7" fillId="0" borderId="3" xfId="0" applyNumberFormat="1" applyFont="1" applyBorder="1" applyAlignment="1">
      <alignment vertical="center"/>
    </xf>
    <xf numFmtId="0" fontId="49" fillId="0" borderId="0" xfId="9" applyNumberFormat="1" applyFont="1" applyFill="1" applyBorder="1" applyAlignment="1" applyProtection="1">
      <alignment horizontal="center" vertical="center"/>
    </xf>
    <xf numFmtId="0" fontId="74" fillId="0" borderId="0" xfId="9" applyNumberFormat="1" applyFont="1" applyFill="1" applyBorder="1" applyAlignment="1" applyProtection="1">
      <alignment horizontal="center" vertical="center" wrapText="1"/>
    </xf>
    <xf numFmtId="0" fontId="74" fillId="0" borderId="0" xfId="9" applyNumberFormat="1" applyFont="1" applyFill="1" applyBorder="1" applyAlignment="1" applyProtection="1">
      <alignment horizontal="left" vertical="center" wrapText="1" indent="1"/>
    </xf>
    <xf numFmtId="172" fontId="42" fillId="0" borderId="0" xfId="9" applyNumberFormat="1" applyFont="1" applyFill="1" applyBorder="1" applyAlignment="1" applyProtection="1">
      <alignment horizontal="center" vertical="center" wrapText="1"/>
    </xf>
    <xf numFmtId="0" fontId="17" fillId="0" borderId="0" xfId="9" applyNumberFormat="1" applyFont="1" applyFill="1" applyBorder="1" applyAlignment="1" applyProtection="1">
      <alignment horizontal="center" vertical="top"/>
    </xf>
    <xf numFmtId="0" fontId="17" fillId="0" borderId="0" xfId="9" applyNumberFormat="1" applyFont="1" applyFill="1" applyBorder="1" applyAlignment="1" applyProtection="1">
      <alignment vertical="top"/>
    </xf>
    <xf numFmtId="3" fontId="59" fillId="3" borderId="5" xfId="0" applyNumberFormat="1" applyFont="1" applyFill="1" applyBorder="1" applyAlignment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" xfId="0" applyNumberFormat="1" applyFont="1" applyFill="1" applyBorder="1" applyAlignment="1">
      <alignment horizontal="center" vertical="center" wrapText="1"/>
    </xf>
    <xf numFmtId="0" fontId="74" fillId="5" borderId="1" xfId="9" applyNumberFormat="1" applyFont="1" applyFill="1" applyBorder="1" applyAlignment="1" applyProtection="1">
      <alignment horizontal="left" vertical="center" wrapText="1" indent="1"/>
    </xf>
    <xf numFmtId="3" fontId="42" fillId="0" borderId="1" xfId="9" applyNumberFormat="1" applyFont="1" applyFill="1" applyBorder="1" applyAlignment="1" applyProtection="1">
      <alignment horizontal="center" vertical="center" wrapText="1"/>
    </xf>
    <xf numFmtId="3" fontId="42" fillId="0" borderId="1" xfId="9" applyNumberFormat="1" applyFont="1" applyFill="1" applyBorder="1" applyAlignment="1" applyProtection="1">
      <alignment horizontal="center" vertical="center" wrapText="1"/>
      <protection locked="0"/>
    </xf>
    <xf numFmtId="3" fontId="49" fillId="21" borderId="1" xfId="9" applyNumberFormat="1" applyFont="1" applyFill="1" applyBorder="1" applyAlignment="1" applyProtection="1">
      <alignment horizontal="center" vertical="center" wrapText="1"/>
    </xf>
    <xf numFmtId="171" fontId="41" fillId="21" borderId="1" xfId="10" applyNumberFormat="1" applyFont="1" applyFill="1" applyBorder="1" applyAlignment="1" applyProtection="1">
      <alignment horizontal="center" vertical="center" wrapText="1"/>
    </xf>
    <xf numFmtId="171" fontId="74" fillId="0" borderId="0" xfId="10" applyNumberFormat="1" applyFont="1" applyFill="1" applyBorder="1" applyAlignment="1" applyProtection="1">
      <alignment horizontal="center" vertical="center" wrapText="1"/>
    </xf>
    <xf numFmtId="0" fontId="8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8" fillId="0" borderId="0" xfId="0" applyFont="1" applyProtection="1">
      <protection locked="0"/>
    </xf>
    <xf numFmtId="3" fontId="3" fillId="2" borderId="3" xfId="0" applyNumberFormat="1" applyFont="1" applyFill="1" applyBorder="1" applyAlignment="1">
      <alignment vertical="center"/>
    </xf>
    <xf numFmtId="0" fontId="108" fillId="0" borderId="0" xfId="9" applyNumberFormat="1" applyFont="1" applyFill="1" applyBorder="1" applyAlignment="1" applyProtection="1">
      <alignment vertical="top"/>
    </xf>
    <xf numFmtId="0" fontId="108" fillId="0" borderId="0" xfId="9" applyNumberFormat="1" applyFont="1" applyFill="1" applyBorder="1" applyAlignment="1" applyProtection="1">
      <alignment vertical="center"/>
    </xf>
    <xf numFmtId="0" fontId="108" fillId="0" borderId="0" xfId="9" applyNumberFormat="1" applyFont="1" applyFill="1" applyBorder="1" applyAlignment="1" applyProtection="1">
      <alignment horizontal="center" vertical="center"/>
    </xf>
    <xf numFmtId="3" fontId="108" fillId="3" borderId="1" xfId="0" applyNumberFormat="1" applyFont="1" applyFill="1" applyBorder="1" applyAlignment="1">
      <alignment horizontal="center" vertical="center" wrapText="1"/>
    </xf>
    <xf numFmtId="3" fontId="108" fillId="0" borderId="0" xfId="9" applyNumberFormat="1" applyFont="1" applyFill="1" applyBorder="1" applyAlignment="1" applyProtection="1">
      <alignment horizontal="center" vertical="center"/>
    </xf>
    <xf numFmtId="0" fontId="109" fillId="0" borderId="0" xfId="9" applyNumberFormat="1" applyFont="1" applyFill="1" applyBorder="1" applyAlignment="1" applyProtection="1">
      <alignment horizontal="center" vertical="center"/>
    </xf>
    <xf numFmtId="0" fontId="110" fillId="0" borderId="0" xfId="9" applyNumberFormat="1" applyFont="1" applyFill="1" applyBorder="1" applyAlignment="1" applyProtection="1">
      <alignment horizontal="center" vertical="center"/>
    </xf>
    <xf numFmtId="0" fontId="84" fillId="0" borderId="0" xfId="0" applyFont="1" applyProtection="1">
      <protection locked="0"/>
    </xf>
    <xf numFmtId="0" fontId="79" fillId="0" borderId="0" xfId="5" applyNumberFormat="1" applyFont="1" applyFill="1" applyBorder="1" applyAlignment="1" applyProtection="1">
      <alignment vertical="top"/>
    </xf>
    <xf numFmtId="0" fontId="84" fillId="0" borderId="0" xfId="0" applyFont="1"/>
    <xf numFmtId="0" fontId="79" fillId="0" borderId="0" xfId="9" applyNumberFormat="1" applyFont="1" applyFill="1" applyBorder="1" applyAlignment="1" applyProtection="1">
      <alignment vertical="top"/>
    </xf>
    <xf numFmtId="169" fontId="56" fillId="0" borderId="0" xfId="3" applyNumberFormat="1" applyFont="1"/>
    <xf numFmtId="0" fontId="56" fillId="0" borderId="0" xfId="0" applyFont="1"/>
    <xf numFmtId="169" fontId="111" fillId="0" borderId="0" xfId="3" applyNumberFormat="1" applyFont="1"/>
    <xf numFmtId="3" fontId="112" fillId="0" borderId="0" xfId="9" applyNumberFormat="1" applyFont="1" applyFill="1" applyBorder="1" applyAlignment="1" applyProtection="1">
      <alignment horizontal="center" vertical="center"/>
    </xf>
    <xf numFmtId="166" fontId="108" fillId="0" borderId="0" xfId="3" applyFont="1" applyFill="1" applyBorder="1" applyAlignment="1" applyProtection="1">
      <alignment horizontal="center" vertical="center"/>
    </xf>
    <xf numFmtId="0" fontId="114" fillId="0" borderId="0" xfId="0" applyFont="1"/>
    <xf numFmtId="14" fontId="114" fillId="0" borderId="0" xfId="0" applyNumberFormat="1" applyFont="1"/>
    <xf numFmtId="0" fontId="113" fillId="0" borderId="1" xfId="1225" applyFont="1" applyBorder="1" applyAlignment="1">
      <alignment horizontal="left" vertical="center" wrapText="1"/>
    </xf>
    <xf numFmtId="0" fontId="114" fillId="0" borderId="18" xfId="1225" applyFont="1" applyBorder="1" applyAlignment="1">
      <alignment horizontal="left" vertical="center" wrapText="1" indent="2"/>
    </xf>
    <xf numFmtId="0" fontId="114" fillId="0" borderId="19" xfId="1225" applyFont="1" applyBorder="1" applyAlignment="1">
      <alignment horizontal="left" vertical="center" wrapText="1" indent="2"/>
    </xf>
    <xf numFmtId="0" fontId="114" fillId="0" borderId="0" xfId="0" applyFont="1" applyAlignment="1">
      <alignment wrapText="1"/>
    </xf>
    <xf numFmtId="0" fontId="114" fillId="0" borderId="0" xfId="0" applyFont="1" applyAlignment="1">
      <alignment horizontal="center"/>
    </xf>
    <xf numFmtId="0" fontId="135" fillId="0" borderId="0" xfId="0" applyFont="1"/>
    <xf numFmtId="14" fontId="114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 vertical="center" wrapText="1"/>
    </xf>
    <xf numFmtId="0" fontId="114" fillId="0" borderId="0" xfId="0" applyFont="1" applyAlignment="1">
      <alignment horizontal="center" vertical="center"/>
    </xf>
    <xf numFmtId="14" fontId="114" fillId="0" borderId="0" xfId="0" applyNumberFormat="1" applyFont="1" applyAlignment="1">
      <alignment horizontal="center" vertical="center" wrapText="1"/>
    </xf>
    <xf numFmtId="3" fontId="114" fillId="0" borderId="0" xfId="0" applyNumberFormat="1" applyFont="1" applyAlignment="1">
      <alignment horizontal="center"/>
    </xf>
    <xf numFmtId="3" fontId="2" fillId="0" borderId="3" xfId="0" applyNumberFormat="1" applyFont="1" applyBorder="1"/>
    <xf numFmtId="0" fontId="16" fillId="0" borderId="0" xfId="0" applyFont="1"/>
    <xf numFmtId="0" fontId="16" fillId="0" borderId="0" xfId="0" applyFont="1" applyAlignment="1">
      <alignment horizontal="center"/>
    </xf>
    <xf numFmtId="3" fontId="16" fillId="0" borderId="0" xfId="0" applyNumberFormat="1" applyFont="1" applyAlignment="1">
      <alignment horizontal="center"/>
    </xf>
    <xf numFmtId="0" fontId="134" fillId="0" borderId="0" xfId="0" applyFont="1" applyAlignment="1">
      <alignment vertical="center" wrapText="1"/>
    </xf>
    <xf numFmtId="49" fontId="5" fillId="0" borderId="1" xfId="0" applyNumberFormat="1" applyFont="1" applyBorder="1" applyAlignment="1">
      <alignment horizontal="center" vertical="center"/>
    </xf>
    <xf numFmtId="0" fontId="134" fillId="0" borderId="0" xfId="0" applyFont="1" applyAlignment="1">
      <alignment horizontal="center" vertical="center" wrapText="1"/>
    </xf>
    <xf numFmtId="3" fontId="114" fillId="0" borderId="0" xfId="0" applyNumberFormat="1" applyFont="1"/>
    <xf numFmtId="0" fontId="136" fillId="0" borderId="0" xfId="0" applyFont="1"/>
    <xf numFmtId="194" fontId="136" fillId="0" borderId="0" xfId="0" applyNumberFormat="1" applyFont="1"/>
    <xf numFmtId="194" fontId="137" fillId="0" borderId="0" xfId="0" applyNumberFormat="1" applyFont="1"/>
    <xf numFmtId="10" fontId="113" fillId="0" borderId="1" xfId="1225" applyNumberFormat="1" applyFont="1" applyBorder="1" applyAlignment="1">
      <alignment horizontal="center" vertical="center" wrapText="1"/>
    </xf>
    <xf numFmtId="182" fontId="114" fillId="0" borderId="18" xfId="1225" applyNumberFormat="1" applyFont="1" applyBorder="1" applyAlignment="1">
      <alignment horizontal="center" vertical="center" wrapText="1"/>
    </xf>
    <xf numFmtId="182" fontId="114" fillId="0" borderId="19" xfId="1225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wrapText="1" indent="2"/>
    </xf>
    <xf numFmtId="0" fontId="30" fillId="0" borderId="1" xfId="0" applyFont="1" applyBorder="1" applyAlignment="1">
      <alignment horizontal="center" vertical="center"/>
    </xf>
    <xf numFmtId="49" fontId="136" fillId="0" borderId="0" xfId="0" applyNumberFormat="1" applyFont="1"/>
    <xf numFmtId="0" fontId="136" fillId="0" borderId="0" xfId="0" applyFont="1" applyAlignment="1">
      <alignment horizontal="center"/>
    </xf>
    <xf numFmtId="170" fontId="6" fillId="0" borderId="0" xfId="0" quotePrefix="1" applyNumberFormat="1" applyFont="1" applyAlignment="1">
      <alignment horizontal="centerContinuous" vertical="center"/>
    </xf>
    <xf numFmtId="0" fontId="3" fillId="0" borderId="0" xfId="0" applyFont="1" applyAlignment="1">
      <alignment horizontal="centerContinuous"/>
    </xf>
    <xf numFmtId="170" fontId="0" fillId="0" borderId="0" xfId="0" applyNumberFormat="1"/>
    <xf numFmtId="0" fontId="6" fillId="0" borderId="1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168" fontId="3" fillId="0" borderId="3" xfId="0" applyNumberFormat="1" applyFont="1" applyBorder="1" applyAlignment="1">
      <alignment horizontal="center" vertical="center"/>
    </xf>
    <xf numFmtId="0" fontId="30" fillId="0" borderId="1" xfId="0" applyFont="1" applyBorder="1" applyAlignment="1">
      <alignment horizontal="left" vertical="center" indent="4"/>
    </xf>
    <xf numFmtId="0" fontId="31" fillId="0" borderId="1" xfId="0" applyFont="1" applyBorder="1" applyAlignment="1">
      <alignment horizontal="left" vertical="center" indent="4"/>
    </xf>
    <xf numFmtId="2" fontId="3" fillId="0" borderId="3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Continuous" vertical="center" wrapText="1"/>
    </xf>
    <xf numFmtId="0" fontId="15" fillId="0" borderId="8" xfId="0" applyFont="1" applyBorder="1" applyAlignment="1">
      <alignment horizontal="centerContinuous" vertical="center"/>
    </xf>
    <xf numFmtId="0" fontId="15" fillId="0" borderId="6" xfId="0" applyFont="1" applyBorder="1" applyAlignment="1">
      <alignment horizontal="centerContinuous" vertical="center"/>
    </xf>
    <xf numFmtId="0" fontId="15" fillId="0" borderId="2" xfId="0" applyFont="1" applyBorder="1" applyAlignment="1">
      <alignment horizontal="centerContinuous" vertical="center"/>
    </xf>
    <xf numFmtId="0" fontId="15" fillId="0" borderId="9" xfId="0" applyFont="1" applyBorder="1" applyAlignment="1">
      <alignment horizontal="centerContinuous" vertical="center"/>
    </xf>
    <xf numFmtId="0" fontId="15" fillId="0" borderId="14" xfId="0" applyFont="1" applyBorder="1" applyAlignment="1">
      <alignment horizontal="centerContinuous" vertical="center"/>
    </xf>
    <xf numFmtId="169" fontId="114" fillId="0" borderId="0" xfId="3" applyNumberFormat="1" applyFont="1" applyFill="1" applyAlignment="1" applyProtection="1">
      <alignment horizontal="center" vertical="center"/>
      <protection locked="0"/>
    </xf>
    <xf numFmtId="3" fontId="49" fillId="3" borderId="1" xfId="0" applyNumberFormat="1" applyFont="1" applyFill="1" applyBorder="1" applyAlignment="1">
      <alignment horizontal="center" vertical="center" wrapText="1"/>
    </xf>
    <xf numFmtId="170" fontId="49" fillId="3" borderId="1" xfId="0" applyNumberFormat="1" applyFont="1" applyFill="1" applyBorder="1" applyAlignment="1">
      <alignment horizontal="center" vertical="center" wrapText="1"/>
    </xf>
    <xf numFmtId="0" fontId="134" fillId="0" borderId="0" xfId="0" applyFont="1" applyAlignment="1">
      <alignment horizontal="left" vertical="center" wrapText="1" indent="2"/>
    </xf>
    <xf numFmtId="2" fontId="2" fillId="0" borderId="12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2" fontId="2" fillId="0" borderId="5" xfId="0" applyNumberFormat="1" applyFont="1" applyBorder="1" applyAlignment="1">
      <alignment horizontal="center" vertical="center"/>
    </xf>
    <xf numFmtId="0" fontId="5" fillId="0" borderId="0" xfId="0" applyFont="1"/>
    <xf numFmtId="3" fontId="47" fillId="0" borderId="0" xfId="0" applyNumberFormat="1" applyFont="1" applyAlignment="1">
      <alignment horizontal="center"/>
    </xf>
    <xf numFmtId="15" fontId="42" fillId="0" borderId="0" xfId="4" applyNumberFormat="1" applyFont="1" applyFill="1" applyBorder="1" applyAlignment="1" applyProtection="1">
      <alignment horizontal="center" vertical="top"/>
    </xf>
    <xf numFmtId="3" fontId="8" fillId="0" borderId="0" xfId="0" applyNumberFormat="1" applyFont="1" applyAlignment="1">
      <alignment vertical="top"/>
    </xf>
    <xf numFmtId="3" fontId="3" fillId="0" borderId="0" xfId="0" applyNumberFormat="1" applyFont="1" applyAlignment="1">
      <alignment horizontal="center"/>
    </xf>
    <xf numFmtId="170" fontId="0" fillId="0" borderId="9" xfId="0" applyNumberFormat="1" applyBorder="1" applyAlignment="1">
      <alignment horizontal="centerContinuous"/>
    </xf>
    <xf numFmtId="172" fontId="138" fillId="0" borderId="0" xfId="5" applyNumberFormat="1" applyFont="1" applyFill="1" applyBorder="1" applyAlignment="1" applyProtection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8" fontId="7" fillId="0" borderId="5" xfId="0" applyNumberFormat="1" applyFont="1" applyBorder="1" applyAlignment="1">
      <alignment horizontal="center" vertical="center"/>
    </xf>
    <xf numFmtId="0" fontId="51" fillId="0" borderId="0" xfId="0" applyFont="1" applyAlignment="1" applyProtection="1">
      <alignment horizontal="center" vertical="center"/>
      <protection locked="0"/>
    </xf>
    <xf numFmtId="0" fontId="4" fillId="0" borderId="0" xfId="0" applyFont="1" applyAlignment="1">
      <alignment horizontal="center" wrapText="1"/>
    </xf>
    <xf numFmtId="170" fontId="2" fillId="0" borderId="0" xfId="0" applyNumberFormat="1" applyFont="1" applyAlignment="1">
      <alignment horizontal="center" wrapText="1"/>
    </xf>
    <xf numFmtId="0" fontId="3" fillId="0" borderId="2" xfId="0" applyFont="1" applyBorder="1" applyAlignment="1">
      <alignment horizontal="left" vertical="center" indent="1"/>
    </xf>
    <xf numFmtId="0" fontId="3" fillId="0" borderId="2" xfId="0" applyFont="1" applyBorder="1" applyAlignment="1">
      <alignment horizontal="left" vertical="center" wrapText="1" inden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 indent="1"/>
    </xf>
    <xf numFmtId="0" fontId="3" fillId="0" borderId="1" xfId="0" applyFont="1" applyBorder="1" applyAlignment="1">
      <alignment horizontal="left" vertical="center" indent="1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quotePrefix="1" applyFont="1" applyBorder="1" applyAlignment="1">
      <alignment horizontal="left" vertical="center" wrapText="1" indent="1"/>
    </xf>
    <xf numFmtId="0" fontId="3" fillId="0" borderId="2" xfId="0" quotePrefix="1" applyFont="1" applyBorder="1" applyAlignment="1">
      <alignment horizontal="left" vertical="center" indent="1"/>
    </xf>
    <xf numFmtId="0" fontId="6" fillId="0" borderId="2" xfId="0" quotePrefix="1" applyFont="1" applyBorder="1" applyAlignment="1">
      <alignment horizontal="left" vertical="center" indent="1"/>
    </xf>
    <xf numFmtId="3" fontId="25" fillId="0" borderId="0" xfId="0" applyNumberFormat="1" applyFont="1"/>
    <xf numFmtId="0" fontId="5" fillId="0" borderId="2" xfId="0" quotePrefix="1" applyFont="1" applyBorder="1" applyAlignment="1">
      <alignment horizontal="center" vertical="center" wrapText="1"/>
    </xf>
    <xf numFmtId="0" fontId="30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 indent="1"/>
    </xf>
    <xf numFmtId="0" fontId="2" fillId="0" borderId="2" xfId="0" quotePrefix="1" applyFont="1" applyBorder="1" applyAlignment="1">
      <alignment horizontal="left" vertical="center" indent="1"/>
    </xf>
    <xf numFmtId="0" fontId="2" fillId="0" borderId="2" xfId="0" applyFont="1" applyBorder="1" applyAlignment="1">
      <alignment horizontal="left" vertical="center" indent="1"/>
    </xf>
    <xf numFmtId="3" fontId="21" fillId="4" borderId="1" xfId="0" applyNumberFormat="1" applyFont="1" applyFill="1" applyBorder="1" applyAlignment="1">
      <alignment horizontal="right" vertical="center"/>
    </xf>
    <xf numFmtId="0" fontId="2" fillId="0" borderId="2" xfId="0" applyFont="1" applyBorder="1" applyAlignment="1">
      <alignment horizontal="left" vertical="center" wrapText="1" indent="1"/>
    </xf>
    <xf numFmtId="0" fontId="3" fillId="0" borderId="0" xfId="0" quotePrefix="1" applyFont="1" applyAlignment="1">
      <alignment horizontal="left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wrapText="1"/>
    </xf>
    <xf numFmtId="0" fontId="31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vertical="center"/>
    </xf>
    <xf numFmtId="0" fontId="76" fillId="0" borderId="0" xfId="4" applyNumberFormat="1" applyFont="1" applyFill="1" applyBorder="1" applyAlignment="1" applyProtection="1">
      <alignment horizontal="center" vertical="top"/>
      <protection locked="0"/>
    </xf>
    <xf numFmtId="0" fontId="2" fillId="0" borderId="0" xfId="0" applyFont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3" fontId="43" fillId="0" borderId="0" xfId="0" applyNumberFormat="1" applyFont="1" applyAlignment="1">
      <alignment horizontal="centerContinuous" vertical="center"/>
    </xf>
    <xf numFmtId="3" fontId="43" fillId="0" borderId="0" xfId="0" applyNumberFormat="1" applyFont="1" applyAlignment="1">
      <alignment horizontal="centerContinuous"/>
    </xf>
    <xf numFmtId="0" fontId="69" fillId="0" borderId="0" xfId="0" applyFont="1"/>
    <xf numFmtId="3" fontId="4" fillId="0" borderId="0" xfId="0" applyNumberFormat="1" applyFont="1" applyAlignment="1">
      <alignment horizontal="centerContinuous"/>
    </xf>
    <xf numFmtId="0" fontId="52" fillId="0" borderId="0" xfId="0" applyFont="1" applyAlignment="1">
      <alignment horizontal="center"/>
    </xf>
    <xf numFmtId="3" fontId="67" fillId="0" borderId="0" xfId="0" applyNumberFormat="1" applyFont="1"/>
    <xf numFmtId="3" fontId="67" fillId="0" borderId="0" xfId="0" applyNumberFormat="1" applyFont="1" applyAlignment="1">
      <alignment horizontal="center"/>
    </xf>
    <xf numFmtId="0" fontId="13" fillId="0" borderId="0" xfId="0" applyFont="1"/>
    <xf numFmtId="3" fontId="13" fillId="3" borderId="1" xfId="0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textRotation="90" wrapText="1"/>
    </xf>
    <xf numFmtId="3" fontId="66" fillId="0" borderId="3" xfId="0" applyNumberFormat="1" applyFont="1" applyBorder="1" applyAlignment="1">
      <alignment horizontal="center" vertical="center"/>
    </xf>
    <xf numFmtId="3" fontId="8" fillId="0" borderId="3" xfId="0" applyNumberFormat="1" applyFont="1" applyBorder="1" applyAlignment="1">
      <alignment horizontal="center" vertical="center"/>
    </xf>
    <xf numFmtId="3" fontId="8" fillId="0" borderId="3" xfId="0" quotePrefix="1" applyNumberFormat="1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3" fontId="13" fillId="3" borderId="1" xfId="0" applyNumberFormat="1" applyFont="1" applyFill="1" applyBorder="1" applyAlignment="1">
      <alignment horizontal="center"/>
    </xf>
    <xf numFmtId="3" fontId="11" fillId="3" borderId="1" xfId="0" applyNumberFormat="1" applyFont="1" applyFill="1" applyBorder="1"/>
    <xf numFmtId="3" fontId="13" fillId="0" borderId="1" xfId="0" applyNumberFormat="1" applyFont="1" applyBorder="1" applyAlignment="1">
      <alignment horizontal="center" vertical="center"/>
    </xf>
    <xf numFmtId="3" fontId="13" fillId="0" borderId="0" xfId="0" applyNumberFormat="1" applyFont="1"/>
    <xf numFmtId="9" fontId="13" fillId="0" borderId="0" xfId="0" applyNumberFormat="1" applyFont="1"/>
    <xf numFmtId="3" fontId="13" fillId="0" borderId="1" xfId="0" quotePrefix="1" applyNumberFormat="1" applyFont="1" applyBorder="1" applyAlignment="1">
      <alignment horizontal="left" vertical="center"/>
    </xf>
    <xf numFmtId="3" fontId="11" fillId="3" borderId="1" xfId="0" applyNumberFormat="1" applyFont="1" applyFill="1" applyBorder="1" applyAlignment="1">
      <alignment vertical="center"/>
    </xf>
    <xf numFmtId="3" fontId="10" fillId="0" borderId="0" xfId="0" applyNumberFormat="1" applyFont="1"/>
    <xf numFmtId="3" fontId="40" fillId="0" borderId="0" xfId="0" applyNumberFormat="1" applyFont="1"/>
    <xf numFmtId="0" fontId="10" fillId="0" borderId="0" xfId="0" applyFont="1"/>
    <xf numFmtId="3" fontId="60" fillId="0" borderId="0" xfId="0" applyNumberFormat="1" applyFont="1"/>
    <xf numFmtId="170" fontId="2" fillId="0" borderId="0" xfId="0" quotePrefix="1" applyNumberFormat="1" applyFont="1" applyAlignment="1">
      <alignment horizontal="center" vertical="center"/>
    </xf>
    <xf numFmtId="0" fontId="52" fillId="0" borderId="0" xfId="0" applyFont="1" applyAlignment="1">
      <alignment horizontal="left" indent="1"/>
    </xf>
    <xf numFmtId="0" fontId="3" fillId="0" borderId="4" xfId="0" applyFont="1" applyBorder="1" applyAlignment="1">
      <alignment horizontal="left" vertical="center" indent="2"/>
    </xf>
    <xf numFmtId="0" fontId="0" fillId="0" borderId="2" xfId="0" applyBorder="1" applyAlignment="1">
      <alignment horizontal="center" vertical="center"/>
    </xf>
    <xf numFmtId="0" fontId="3" fillId="0" borderId="2" xfId="0" quotePrefix="1" applyFont="1" applyBorder="1" applyAlignment="1">
      <alignment horizontal="left" vertical="center" indent="2"/>
    </xf>
    <xf numFmtId="0" fontId="3" fillId="0" borderId="2" xfId="0" applyFont="1" applyBorder="1" applyAlignment="1">
      <alignment horizontal="left" vertical="center" indent="2"/>
    </xf>
    <xf numFmtId="0" fontId="40" fillId="0" borderId="0" xfId="0" applyFont="1"/>
    <xf numFmtId="3" fontId="40" fillId="0" borderId="0" xfId="0" applyNumberFormat="1" applyFont="1" applyAlignment="1">
      <alignment vertical="center"/>
    </xf>
    <xf numFmtId="0" fontId="5" fillId="0" borderId="0" xfId="0" applyFont="1" applyAlignment="1">
      <alignment horizontal="center" vertical="center"/>
    </xf>
    <xf numFmtId="0" fontId="15" fillId="0" borderId="4" xfId="0" quotePrefix="1" applyFont="1" applyBorder="1" applyAlignment="1">
      <alignment horizontal="centerContinuous" vertical="center" wrapText="1"/>
    </xf>
    <xf numFmtId="0" fontId="4" fillId="0" borderId="0" xfId="0" applyFont="1" applyAlignment="1">
      <alignment horizontal="left" vertical="center" indent="2"/>
    </xf>
    <xf numFmtId="3" fontId="5" fillId="0" borderId="0" xfId="0" applyNumberFormat="1" applyFont="1" applyAlignment="1">
      <alignment horizontal="center" vertical="center" wrapText="1"/>
    </xf>
    <xf numFmtId="3" fontId="2" fillId="0" borderId="0" xfId="0" applyNumberFormat="1" applyFont="1" applyAlignment="1">
      <alignment horizontal="centerContinuous"/>
    </xf>
    <xf numFmtId="3" fontId="2" fillId="0" borderId="0" xfId="0" applyNumberFormat="1" applyFont="1" applyAlignment="1">
      <alignment horizontal="center"/>
    </xf>
    <xf numFmtId="16" fontId="17" fillId="0" borderId="1" xfId="5" applyNumberFormat="1" applyFont="1" applyFill="1" applyBorder="1" applyAlignment="1" applyProtection="1">
      <alignment horizontal="left" vertical="center" wrapText="1" indent="2"/>
    </xf>
    <xf numFmtId="3" fontId="31" fillId="0" borderId="1" xfId="0" applyNumberFormat="1" applyFont="1" applyBorder="1" applyAlignment="1">
      <alignment horizontal="center" vertical="center"/>
    </xf>
    <xf numFmtId="3" fontId="2" fillId="0" borderId="0" xfId="0" applyNumberFormat="1" applyFont="1"/>
    <xf numFmtId="170" fontId="2" fillId="0" borderId="0" xfId="0" applyNumberFormat="1" applyFont="1"/>
    <xf numFmtId="3" fontId="5" fillId="0" borderId="0" xfId="0" applyNumberFormat="1" applyFont="1" applyAlignment="1">
      <alignment horizontal="centerContinuous"/>
    </xf>
    <xf numFmtId="3" fontId="11" fillId="0" borderId="0" xfId="0" quotePrefix="1" applyNumberFormat="1" applyFont="1" applyAlignment="1">
      <alignment horizontal="left" vertical="center"/>
    </xf>
    <xf numFmtId="0" fontId="139" fillId="0" borderId="0" xfId="0" applyFont="1" applyAlignment="1">
      <alignment horizontal="center" vertical="center"/>
    </xf>
    <xf numFmtId="3" fontId="31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left" vertical="center" wrapText="1" indent="1"/>
    </xf>
    <xf numFmtId="3" fontId="2" fillId="0" borderId="1" xfId="0" applyNumberFormat="1" applyFont="1" applyBorder="1" applyAlignment="1">
      <alignment horizontal="right"/>
    </xf>
    <xf numFmtId="170" fontId="0" fillId="0" borderId="0" xfId="0" applyNumberFormat="1" applyAlignment="1">
      <alignment horizontal="center"/>
    </xf>
    <xf numFmtId="3" fontId="2" fillId="0" borderId="1" xfId="0" applyNumberFormat="1" applyFont="1" applyBorder="1" applyAlignment="1" applyProtection="1">
      <alignment horizontal="left" vertical="center" wrapText="1" indent="1"/>
      <protection locked="0"/>
    </xf>
    <xf numFmtId="0" fontId="140" fillId="0" borderId="0" xfId="0" applyFont="1" applyAlignment="1">
      <alignment vertical="center"/>
    </xf>
    <xf numFmtId="3" fontId="5" fillId="0" borderId="1" xfId="0" applyNumberFormat="1" applyFont="1" applyBorder="1" applyAlignment="1">
      <alignment horizontal="center" vertical="center" textRotation="90" wrapText="1"/>
    </xf>
    <xf numFmtId="0" fontId="16" fillId="0" borderId="0" xfId="0" applyFont="1" applyAlignment="1">
      <alignment vertical="center"/>
    </xf>
    <xf numFmtId="3" fontId="5" fillId="3" borderId="1" xfId="0" applyNumberFormat="1" applyFont="1" applyFill="1" applyBorder="1" applyAlignment="1">
      <alignment horizontal="center" vertical="center" wrapText="1"/>
    </xf>
    <xf numFmtId="3" fontId="16" fillId="0" borderId="0" xfId="0" applyNumberFormat="1" applyFont="1" applyAlignment="1">
      <alignment vertical="center"/>
    </xf>
    <xf numFmtId="0" fontId="5" fillId="0" borderId="2" xfId="0" applyFont="1" applyBorder="1" applyAlignment="1">
      <alignment horizontal="left" vertical="center" indent="1"/>
    </xf>
    <xf numFmtId="3" fontId="51" fillId="3" borderId="1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3" fontId="2" fillId="0" borderId="1" xfId="0" applyNumberFormat="1" applyFont="1" applyBorder="1" applyAlignment="1" applyProtection="1">
      <alignment horizontal="right" vertical="center" wrapText="1" indent="1"/>
      <protection locked="0"/>
    </xf>
    <xf numFmtId="0" fontId="31" fillId="0" borderId="2" xfId="0" applyFont="1" applyBorder="1" applyAlignment="1">
      <alignment horizontal="left" vertical="center" indent="1"/>
    </xf>
    <xf numFmtId="0" fontId="141" fillId="0" borderId="0" xfId="0" applyFont="1"/>
    <xf numFmtId="0" fontId="142" fillId="0" borderId="0" xfId="0" applyFont="1" applyAlignment="1">
      <alignment vertical="center"/>
    </xf>
    <xf numFmtId="0" fontId="142" fillId="0" borderId="0" xfId="0" applyFont="1"/>
    <xf numFmtId="3" fontId="143" fillId="3" borderId="1" xfId="0" applyNumberFormat="1" applyFont="1" applyFill="1" applyBorder="1" applyAlignment="1">
      <alignment horizontal="center" vertical="center" wrapText="1"/>
    </xf>
    <xf numFmtId="3" fontId="51" fillId="3" borderId="5" xfId="0" applyNumberFormat="1" applyFont="1" applyFill="1" applyBorder="1" applyAlignment="1">
      <alignment horizontal="center" vertical="center" wrapText="1"/>
    </xf>
    <xf numFmtId="0" fontId="144" fillId="0" borderId="0" xfId="0" applyFont="1"/>
    <xf numFmtId="0" fontId="144" fillId="0" borderId="0" xfId="0" applyFont="1" applyAlignment="1">
      <alignment vertical="center"/>
    </xf>
    <xf numFmtId="3" fontId="2" fillId="0" borderId="3" xfId="1288" applyNumberFormat="1" applyBorder="1"/>
    <xf numFmtId="3" fontId="2" fillId="0" borderId="1" xfId="0" applyNumberFormat="1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left" vertical="center"/>
    </xf>
    <xf numFmtId="3" fontId="2" fillId="4" borderId="7" xfId="0" applyNumberFormat="1" applyFont="1" applyFill="1" applyBorder="1" applyAlignment="1">
      <alignment horizontal="right" vertical="top"/>
    </xf>
    <xf numFmtId="3" fontId="5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3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Border="1" applyAlignment="1" applyProtection="1">
      <alignment vertical="center" wrapText="1"/>
      <protection locked="0"/>
    </xf>
    <xf numFmtId="3" fontId="2" fillId="0" borderId="1" xfId="0" applyNumberFormat="1" applyFont="1" applyBorder="1" applyAlignment="1" applyProtection="1">
      <alignment horizontal="center" vertical="center"/>
      <protection locked="0"/>
    </xf>
    <xf numFmtId="3" fontId="2" fillId="0" borderId="1" xfId="0" applyNumberFormat="1" applyFont="1" applyBorder="1" applyAlignment="1" applyProtection="1">
      <alignment horizontal="right" vertical="center"/>
      <protection locked="0"/>
    </xf>
    <xf numFmtId="3" fontId="2" fillId="0" borderId="1" xfId="1288" applyNumberFormat="1" applyBorder="1" applyProtection="1">
      <protection locked="0"/>
    </xf>
    <xf numFmtId="0" fontId="0" fillId="0" borderId="1" xfId="0" applyBorder="1" applyProtection="1">
      <protection locked="0"/>
    </xf>
    <xf numFmtId="3" fontId="2" fillId="0" borderId="3" xfId="1288" applyNumberFormat="1" applyBorder="1" applyProtection="1">
      <protection locked="0"/>
    </xf>
    <xf numFmtId="0" fontId="30" fillId="0" borderId="0" xfId="0" applyFont="1"/>
    <xf numFmtId="0" fontId="145" fillId="0" borderId="0" xfId="0" applyFont="1"/>
    <xf numFmtId="3" fontId="67" fillId="3" borderId="3" xfId="0" applyNumberFormat="1" applyFont="1" applyFill="1" applyBorder="1" applyAlignment="1">
      <alignment horizontal="center" vertical="center" wrapText="1"/>
    </xf>
    <xf numFmtId="170" fontId="5" fillId="0" borderId="0" xfId="0" applyNumberFormat="1" applyFont="1" applyAlignment="1">
      <alignment horizontal="center"/>
    </xf>
    <xf numFmtId="3" fontId="2" fillId="0" borderId="1" xfId="0" applyNumberFormat="1" applyFont="1" applyBorder="1" applyAlignment="1">
      <alignment vertical="center" wrapText="1"/>
    </xf>
    <xf numFmtId="195" fontId="2" fillId="0" borderId="1" xfId="0" applyNumberFormat="1" applyFont="1" applyBorder="1" applyAlignment="1">
      <alignment horizontal="right" vertical="center"/>
    </xf>
    <xf numFmtId="195" fontId="2" fillId="0" borderId="1" xfId="0" applyNumberFormat="1" applyFont="1" applyBorder="1" applyAlignment="1" applyProtection="1">
      <alignment vertical="center" wrapText="1"/>
      <protection locked="0"/>
    </xf>
    <xf numFmtId="195" fontId="2" fillId="0" borderId="1" xfId="0" applyNumberFormat="1" applyFont="1" applyBorder="1" applyAlignment="1" applyProtection="1">
      <alignment vertical="center"/>
      <protection locked="0"/>
    </xf>
    <xf numFmtId="195" fontId="2" fillId="0" borderId="3" xfId="1288" applyNumberFormat="1" applyBorder="1"/>
    <xf numFmtId="195" fontId="2" fillId="0" borderId="1" xfId="0" applyNumberFormat="1" applyFont="1" applyBorder="1" applyAlignment="1" applyProtection="1">
      <alignment horizontal="right" vertical="center"/>
      <protection locked="0"/>
    </xf>
    <xf numFmtId="169" fontId="141" fillId="0" borderId="0" xfId="3" applyNumberFormat="1" applyFont="1" applyAlignment="1" applyProtection="1">
      <alignment vertical="center" wrapText="1"/>
    </xf>
    <xf numFmtId="169" fontId="141" fillId="0" borderId="0" xfId="3" applyNumberFormat="1" applyFont="1" applyProtection="1"/>
    <xf numFmtId="169" fontId="142" fillId="0" borderId="0" xfId="3" applyNumberFormat="1" applyFont="1" applyProtection="1"/>
    <xf numFmtId="169" fontId="141" fillId="0" borderId="0" xfId="3" applyNumberFormat="1" applyFont="1" applyAlignment="1" applyProtection="1">
      <alignment vertical="center"/>
    </xf>
    <xf numFmtId="169" fontId="141" fillId="0" borderId="0" xfId="3" applyNumberFormat="1" applyFont="1" applyBorder="1" applyProtection="1"/>
    <xf numFmtId="0" fontId="146" fillId="0" borderId="0" xfId="0" applyFont="1" applyAlignment="1">
      <alignment horizontal="center" vertical="center"/>
    </xf>
    <xf numFmtId="3" fontId="2" fillId="0" borderId="5" xfId="0" applyNumberFormat="1" applyFont="1" applyBorder="1" applyAlignment="1" applyProtection="1">
      <alignment horizontal="center" vertical="center"/>
      <protection locked="0"/>
    </xf>
    <xf numFmtId="3" fontId="2" fillId="0" borderId="5" xfId="0" applyNumberFormat="1" applyFont="1" applyBorder="1" applyAlignment="1" applyProtection="1">
      <alignment horizontal="right" vertical="center"/>
      <protection locked="0"/>
    </xf>
    <xf numFmtId="3" fontId="38" fillId="0" borderId="1" xfId="879" applyNumberFormat="1" applyFont="1" applyBorder="1" applyAlignment="1" applyProtection="1">
      <alignment vertical="center" wrapText="1"/>
      <protection locked="0"/>
    </xf>
    <xf numFmtId="3" fontId="38" fillId="44" borderId="1" xfId="879" applyNumberFormat="1" applyFont="1" applyFill="1" applyBorder="1" applyAlignment="1" applyProtection="1">
      <alignment vertical="center" wrapText="1"/>
      <protection locked="0"/>
    </xf>
    <xf numFmtId="3" fontId="2" fillId="0" borderId="1" xfId="879" applyNumberFormat="1" applyFont="1" applyBorder="1" applyAlignment="1" applyProtection="1">
      <alignment vertical="center"/>
      <protection locked="0"/>
    </xf>
    <xf numFmtId="3" fontId="2" fillId="0" borderId="1" xfId="0" applyNumberFormat="1" applyFont="1" applyBorder="1" applyAlignment="1" applyProtection="1">
      <alignment horizontal="center" vertical="center" wrapText="1"/>
      <protection locked="0"/>
    </xf>
    <xf numFmtId="3" fontId="2" fillId="0" borderId="27" xfId="0" applyNumberFormat="1" applyFont="1" applyBorder="1" applyProtection="1">
      <protection locked="0"/>
    </xf>
    <xf numFmtId="196" fontId="0" fillId="0" borderId="1" xfId="0" applyNumberFormat="1" applyBorder="1" applyProtection="1">
      <protection locked="0"/>
    </xf>
    <xf numFmtId="0" fontId="2" fillId="0" borderId="1" xfId="0" applyFont="1" applyBorder="1" applyAlignment="1" applyProtection="1">
      <alignment horizontal="right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3" fontId="2" fillId="0" borderId="1" xfId="0" applyNumberFormat="1" applyFont="1" applyBorder="1" applyAlignment="1">
      <alignment horizontal="center" vertical="center" wrapText="1"/>
    </xf>
    <xf numFmtId="3" fontId="21" fillId="5" borderId="28" xfId="7" applyNumberFormat="1" applyFont="1" applyFill="1" applyBorder="1" applyAlignment="1" applyProtection="1">
      <alignment horizontal="center" vertical="center" wrapText="1"/>
      <protection locked="0"/>
    </xf>
    <xf numFmtId="3" fontId="17" fillId="0" borderId="28" xfId="4" applyNumberFormat="1" applyFont="1" applyFill="1" applyBorder="1" applyAlignment="1" applyProtection="1">
      <alignment horizontal="center" vertical="center" wrapText="1"/>
      <protection locked="0"/>
    </xf>
    <xf numFmtId="3" fontId="47" fillId="3" borderId="5" xfId="0" applyNumberFormat="1" applyFont="1" applyFill="1" applyBorder="1" applyAlignment="1">
      <alignment horizontal="center" vertical="center" wrapText="1"/>
    </xf>
    <xf numFmtId="3" fontId="47" fillId="3" borderId="12" xfId="0" applyNumberFormat="1" applyFont="1" applyFill="1" applyBorder="1" applyAlignment="1">
      <alignment horizontal="center" vertical="center" wrapText="1"/>
    </xf>
    <xf numFmtId="3" fontId="47" fillId="3" borderId="3" xfId="0" applyNumberFormat="1" applyFont="1" applyFill="1" applyBorder="1" applyAlignment="1">
      <alignment horizontal="center" vertical="center" wrapText="1"/>
    </xf>
    <xf numFmtId="3" fontId="47" fillId="3" borderId="4" xfId="0" applyNumberFormat="1" applyFont="1" applyFill="1" applyBorder="1" applyAlignment="1">
      <alignment horizontal="center" vertical="center" wrapText="1"/>
    </xf>
    <xf numFmtId="3" fontId="47" fillId="3" borderId="8" xfId="0" applyNumberFormat="1" applyFont="1" applyFill="1" applyBorder="1" applyAlignment="1">
      <alignment horizontal="center" vertical="center" wrapText="1"/>
    </xf>
    <xf numFmtId="3" fontId="47" fillId="3" borderId="6" xfId="0" applyNumberFormat="1" applyFont="1" applyFill="1" applyBorder="1" applyAlignment="1">
      <alignment horizontal="center" vertical="center" wrapText="1"/>
    </xf>
    <xf numFmtId="170" fontId="49" fillId="0" borderId="9" xfId="4" applyNumberFormat="1" applyFont="1" applyFill="1" applyBorder="1" applyAlignment="1" applyProtection="1">
      <alignment horizontal="center" vertical="top" wrapText="1"/>
      <protection locked="0"/>
    </xf>
    <xf numFmtId="0" fontId="70" fillId="0" borderId="0" xfId="4" applyNumberFormat="1" applyFont="1" applyFill="1" applyBorder="1" applyAlignment="1" applyProtection="1">
      <alignment horizontal="center" vertical="center" wrapText="1"/>
    </xf>
    <xf numFmtId="0" fontId="70" fillId="0" borderId="0" xfId="4" applyNumberFormat="1" applyFont="1" applyFill="1" applyBorder="1" applyAlignment="1" applyProtection="1">
      <alignment horizontal="center" vertical="center"/>
    </xf>
    <xf numFmtId="0" fontId="47" fillId="0" borderId="0" xfId="0" applyFont="1" applyAlignment="1">
      <alignment horizontal="center" vertical="center" wrapText="1"/>
    </xf>
    <xf numFmtId="3" fontId="47" fillId="3" borderId="7" xfId="0" applyNumberFormat="1" applyFont="1" applyFill="1" applyBorder="1" applyAlignment="1">
      <alignment horizontal="center" vertical="center" wrapText="1"/>
    </xf>
    <xf numFmtId="3" fontId="47" fillId="3" borderId="11" xfId="0" applyNumberFormat="1" applyFont="1" applyFill="1" applyBorder="1" applyAlignment="1">
      <alignment horizontal="center" vertical="center" wrapText="1"/>
    </xf>
    <xf numFmtId="3" fontId="47" fillId="3" borderId="15" xfId="0" applyNumberFormat="1" applyFont="1" applyFill="1" applyBorder="1" applyAlignment="1">
      <alignment horizontal="center" vertical="center" wrapText="1"/>
    </xf>
    <xf numFmtId="3" fontId="47" fillId="3" borderId="10" xfId="0" applyNumberFormat="1" applyFont="1" applyFill="1" applyBorder="1" applyAlignment="1">
      <alignment horizontal="center" vertical="center" wrapText="1"/>
    </xf>
    <xf numFmtId="3" fontId="47" fillId="3" borderId="0" xfId="0" applyNumberFormat="1" applyFont="1" applyFill="1" applyAlignment="1">
      <alignment horizontal="center" vertical="center" wrapText="1"/>
    </xf>
    <xf numFmtId="3" fontId="47" fillId="3" borderId="13" xfId="0" applyNumberFormat="1" applyFont="1" applyFill="1" applyBorder="1" applyAlignment="1">
      <alignment horizontal="center" vertical="center" wrapText="1"/>
    </xf>
    <xf numFmtId="3" fontId="47" fillId="3" borderId="2" xfId="0" applyNumberFormat="1" applyFont="1" applyFill="1" applyBorder="1" applyAlignment="1">
      <alignment horizontal="center" vertical="center" wrapText="1"/>
    </xf>
    <xf numFmtId="3" fontId="47" fillId="3" borderId="9" xfId="0" applyNumberFormat="1" applyFont="1" applyFill="1" applyBorder="1" applyAlignment="1">
      <alignment horizontal="center" vertical="center" wrapText="1"/>
    </xf>
    <xf numFmtId="3" fontId="47" fillId="3" borderId="14" xfId="0" applyNumberFormat="1" applyFont="1" applyFill="1" applyBorder="1" applyAlignment="1">
      <alignment horizontal="center" vertical="center" wrapText="1"/>
    </xf>
    <xf numFmtId="170" fontId="67" fillId="0" borderId="0" xfId="0" applyNumberFormat="1" applyFont="1" applyAlignment="1">
      <alignment horizontal="center"/>
    </xf>
    <xf numFmtId="3" fontId="13" fillId="3" borderId="1" xfId="0" applyNumberFormat="1" applyFont="1" applyFill="1" applyBorder="1" applyAlignment="1">
      <alignment horizontal="center" vertical="center" textRotation="90" wrapText="1"/>
    </xf>
    <xf numFmtId="3" fontId="13" fillId="3" borderId="1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/>
    </xf>
    <xf numFmtId="3" fontId="13" fillId="3" borderId="12" xfId="0" applyNumberFormat="1" applyFont="1" applyFill="1" applyBorder="1" applyAlignment="1">
      <alignment horizontal="center" vertical="center"/>
    </xf>
    <xf numFmtId="3" fontId="13" fillId="3" borderId="3" xfId="0" applyNumberFormat="1" applyFont="1" applyFill="1" applyBorder="1" applyAlignment="1">
      <alignment horizontal="center" vertical="center"/>
    </xf>
    <xf numFmtId="3" fontId="13" fillId="3" borderId="5" xfId="0" applyNumberFormat="1" applyFont="1" applyFill="1" applyBorder="1" applyAlignment="1">
      <alignment horizontal="center" vertical="center" wrapText="1"/>
    </xf>
    <xf numFmtId="3" fontId="13" fillId="3" borderId="12" xfId="0" applyNumberFormat="1" applyFont="1" applyFill="1" applyBorder="1" applyAlignment="1">
      <alignment horizontal="center" vertical="center" wrapText="1"/>
    </xf>
    <xf numFmtId="3" fontId="13" fillId="3" borderId="3" xfId="0" applyNumberFormat="1" applyFont="1" applyFill="1" applyBorder="1" applyAlignment="1">
      <alignment horizontal="center" vertical="center" wrapText="1"/>
    </xf>
    <xf numFmtId="3" fontId="13" fillId="3" borderId="1" xfId="0" applyNumberFormat="1" applyFont="1" applyFill="1" applyBorder="1" applyAlignment="1">
      <alignment horizontal="center" vertical="center" wrapText="1"/>
    </xf>
    <xf numFmtId="170" fontId="0" fillId="0" borderId="9" xfId="0" applyNumberFormat="1" applyBorder="1" applyAlignment="1">
      <alignment horizontal="center"/>
    </xf>
    <xf numFmtId="3" fontId="52" fillId="3" borderId="7" xfId="0" applyNumberFormat="1" applyFont="1" applyFill="1" applyBorder="1" applyAlignment="1">
      <alignment horizontal="center" vertical="center" wrapText="1"/>
    </xf>
    <xf numFmtId="3" fontId="52" fillId="3" borderId="15" xfId="0" applyNumberFormat="1" applyFont="1" applyFill="1" applyBorder="1" applyAlignment="1">
      <alignment horizontal="center" vertical="center" wrapText="1"/>
    </xf>
    <xf numFmtId="3" fontId="52" fillId="3" borderId="2" xfId="0" applyNumberFormat="1" applyFont="1" applyFill="1" applyBorder="1" applyAlignment="1">
      <alignment horizontal="center" vertical="center" wrapText="1"/>
    </xf>
    <xf numFmtId="3" fontId="52" fillId="3" borderId="14" xfId="0" applyNumberFormat="1" applyFont="1" applyFill="1" applyBorder="1" applyAlignment="1">
      <alignment horizontal="center" vertical="center" wrapText="1"/>
    </xf>
    <xf numFmtId="3" fontId="52" fillId="3" borderId="5" xfId="0" applyNumberFormat="1" applyFont="1" applyFill="1" applyBorder="1" applyAlignment="1">
      <alignment horizontal="center" vertical="center" wrapText="1"/>
    </xf>
    <xf numFmtId="3" fontId="52" fillId="3" borderId="12" xfId="0" applyNumberFormat="1" applyFont="1" applyFill="1" applyBorder="1" applyAlignment="1">
      <alignment horizontal="center" vertical="center" wrapText="1"/>
    </xf>
    <xf numFmtId="3" fontId="52" fillId="3" borderId="3" xfId="0" applyNumberFormat="1" applyFont="1" applyFill="1" applyBorder="1" applyAlignment="1">
      <alignment horizontal="center" vertical="center" wrapText="1"/>
    </xf>
    <xf numFmtId="3" fontId="52" fillId="3" borderId="4" xfId="0" applyNumberFormat="1" applyFont="1" applyFill="1" applyBorder="1" applyAlignment="1">
      <alignment horizontal="center" vertical="center" wrapText="1"/>
    </xf>
    <xf numFmtId="3" fontId="52" fillId="3" borderId="6" xfId="0" applyNumberFormat="1" applyFont="1" applyFill="1" applyBorder="1" applyAlignment="1">
      <alignment horizontal="center" vertical="center" wrapText="1"/>
    </xf>
    <xf numFmtId="3" fontId="52" fillId="3" borderId="8" xfId="0" applyNumberFormat="1" applyFont="1" applyFill="1" applyBorder="1" applyAlignment="1">
      <alignment horizontal="center" vertical="center" wrapText="1"/>
    </xf>
    <xf numFmtId="3" fontId="51" fillId="3" borderId="4" xfId="0" applyNumberFormat="1" applyFont="1" applyFill="1" applyBorder="1" applyAlignment="1">
      <alignment horizontal="center" vertical="center" wrapText="1"/>
    </xf>
    <xf numFmtId="3" fontId="51" fillId="3" borderId="6" xfId="0" applyNumberFormat="1" applyFont="1" applyFill="1" applyBorder="1" applyAlignment="1">
      <alignment horizontal="center" vertical="center" wrapText="1"/>
    </xf>
    <xf numFmtId="3" fontId="51" fillId="3" borderId="5" xfId="0" applyNumberFormat="1" applyFont="1" applyFill="1" applyBorder="1" applyAlignment="1">
      <alignment horizontal="center" vertical="center" textRotation="90" wrapText="1"/>
    </xf>
    <xf numFmtId="3" fontId="51" fillId="3" borderId="12" xfId="0" applyNumberFormat="1" applyFont="1" applyFill="1" applyBorder="1" applyAlignment="1">
      <alignment horizontal="center" vertical="center" textRotation="90" wrapText="1"/>
    </xf>
    <xf numFmtId="3" fontId="51" fillId="3" borderId="3" xfId="0" applyNumberFormat="1" applyFont="1" applyFill="1" applyBorder="1" applyAlignment="1">
      <alignment horizontal="center" vertical="center" textRotation="90" wrapText="1"/>
    </xf>
    <xf numFmtId="3" fontId="51" fillId="3" borderId="7" xfId="0" applyNumberFormat="1" applyFont="1" applyFill="1" applyBorder="1" applyAlignment="1">
      <alignment horizontal="center" vertical="center" wrapText="1"/>
    </xf>
    <xf numFmtId="3" fontId="51" fillId="3" borderId="15" xfId="0" applyNumberFormat="1" applyFont="1" applyFill="1" applyBorder="1" applyAlignment="1">
      <alignment horizontal="center" vertical="center" wrapText="1"/>
    </xf>
    <xf numFmtId="3" fontId="51" fillId="3" borderId="2" xfId="0" applyNumberFormat="1" applyFont="1" applyFill="1" applyBorder="1" applyAlignment="1">
      <alignment horizontal="center" vertical="center" wrapText="1"/>
    </xf>
    <xf numFmtId="3" fontId="51" fillId="3" borderId="14" xfId="0" applyNumberFormat="1" applyFont="1" applyFill="1" applyBorder="1" applyAlignment="1">
      <alignment horizontal="center" vertical="center" wrapText="1"/>
    </xf>
    <xf numFmtId="0" fontId="17" fillId="0" borderId="0" xfId="0" applyFont="1" applyAlignment="1">
      <alignment horizontal="left" indent="1"/>
    </xf>
    <xf numFmtId="3" fontId="2" fillId="0" borderId="9" xfId="0" applyNumberFormat="1" applyFont="1" applyBorder="1" applyAlignment="1">
      <alignment horizontal="center"/>
    </xf>
    <xf numFmtId="0" fontId="43" fillId="0" borderId="0" xfId="0" applyFont="1" applyAlignment="1">
      <alignment horizontal="center" vertical="center"/>
    </xf>
    <xf numFmtId="3" fontId="67" fillId="3" borderId="4" xfId="0" applyNumberFormat="1" applyFont="1" applyFill="1" applyBorder="1" applyAlignment="1">
      <alignment horizontal="center" vertical="center" wrapText="1"/>
    </xf>
    <xf numFmtId="3" fontId="67" fillId="3" borderId="8" xfId="0" applyNumberFormat="1" applyFont="1" applyFill="1" applyBorder="1" applyAlignment="1">
      <alignment horizontal="center" vertical="center" wrapText="1"/>
    </xf>
    <xf numFmtId="3" fontId="51" fillId="3" borderId="5" xfId="0" applyNumberFormat="1" applyFont="1" applyFill="1" applyBorder="1" applyAlignment="1">
      <alignment horizontal="center" vertical="center" wrapText="1"/>
    </xf>
    <xf numFmtId="3" fontId="51" fillId="3" borderId="12" xfId="0" applyNumberFormat="1" applyFont="1" applyFill="1" applyBorder="1" applyAlignment="1">
      <alignment horizontal="center" vertical="center" wrapText="1"/>
    </xf>
    <xf numFmtId="3" fontId="51" fillId="3" borderId="3" xfId="0" applyNumberFormat="1" applyFont="1" applyFill="1" applyBorder="1" applyAlignment="1">
      <alignment horizontal="center" vertical="center" wrapText="1"/>
    </xf>
    <xf numFmtId="3" fontId="51" fillId="3" borderId="4" xfId="0" applyNumberFormat="1" applyFont="1" applyFill="1" applyBorder="1" applyAlignment="1">
      <alignment horizontal="center" vertical="center" textRotation="90" wrapText="1"/>
    </xf>
    <xf numFmtId="3" fontId="51" fillId="3" borderId="6" xfId="0" applyNumberFormat="1" applyFont="1" applyFill="1" applyBorder="1" applyAlignment="1">
      <alignment horizontal="center" vertical="center" textRotation="90" wrapText="1"/>
    </xf>
    <xf numFmtId="3" fontId="51" fillId="3" borderId="10" xfId="0" applyNumberFormat="1" applyFont="1" applyFill="1" applyBorder="1" applyAlignment="1">
      <alignment horizontal="center" vertical="center" wrapText="1"/>
    </xf>
    <xf numFmtId="3" fontId="51" fillId="3" borderId="13" xfId="0" applyNumberFormat="1" applyFont="1" applyFill="1" applyBorder="1" applyAlignment="1">
      <alignment horizontal="center" vertical="center" wrapText="1"/>
    </xf>
    <xf numFmtId="3" fontId="17" fillId="3" borderId="5" xfId="0" applyNumberFormat="1" applyFont="1" applyFill="1" applyBorder="1" applyAlignment="1">
      <alignment horizontal="center" vertical="center" wrapText="1"/>
    </xf>
    <xf numFmtId="3" fontId="17" fillId="3" borderId="12" xfId="0" applyNumberFormat="1" applyFont="1" applyFill="1" applyBorder="1" applyAlignment="1">
      <alignment horizontal="center" vertical="center" wrapText="1"/>
    </xf>
    <xf numFmtId="3" fontId="17" fillId="3" borderId="3" xfId="0" applyNumberFormat="1" applyFont="1" applyFill="1" applyBorder="1" applyAlignment="1">
      <alignment horizontal="center" vertical="center" wrapText="1"/>
    </xf>
    <xf numFmtId="3" fontId="51" fillId="3" borderId="1" xfId="0" applyNumberFormat="1" applyFont="1" applyFill="1" applyBorder="1" applyAlignment="1">
      <alignment horizontal="center" vertical="center" wrapText="1"/>
    </xf>
    <xf numFmtId="3" fontId="51" fillId="3" borderId="8" xfId="0" applyNumberFormat="1" applyFont="1" applyFill="1" applyBorder="1" applyAlignment="1">
      <alignment horizontal="center" vertical="center" wrapText="1"/>
    </xf>
    <xf numFmtId="3" fontId="51" fillId="3" borderId="9" xfId="0" applyNumberFormat="1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 wrapText="1"/>
    </xf>
    <xf numFmtId="0" fontId="41" fillId="0" borderId="0" xfId="5" applyNumberFormat="1" applyFont="1" applyFill="1" applyBorder="1" applyAlignment="1" applyProtection="1">
      <alignment horizontal="center" vertical="center" wrapText="1"/>
    </xf>
    <xf numFmtId="0" fontId="33" fillId="0" borderId="0" xfId="5" applyNumberFormat="1" applyFont="1" applyFill="1" applyBorder="1" applyAlignment="1" applyProtection="1">
      <alignment horizontal="center" vertical="center"/>
    </xf>
    <xf numFmtId="3" fontId="17" fillId="3" borderId="7" xfId="0" applyNumberFormat="1" applyFont="1" applyFill="1" applyBorder="1" applyAlignment="1">
      <alignment horizontal="center" vertical="center" wrapText="1"/>
    </xf>
    <xf numFmtId="3" fontId="17" fillId="3" borderId="15" xfId="0" applyNumberFormat="1" applyFont="1" applyFill="1" applyBorder="1" applyAlignment="1">
      <alignment horizontal="center" vertical="center" wrapText="1"/>
    </xf>
    <xf numFmtId="3" fontId="17" fillId="3" borderId="2" xfId="0" applyNumberFormat="1" applyFont="1" applyFill="1" applyBorder="1" applyAlignment="1">
      <alignment horizontal="center" vertical="center" wrapText="1"/>
    </xf>
    <xf numFmtId="3" fontId="17" fillId="3" borderId="14" xfId="0" applyNumberFormat="1" applyFont="1" applyFill="1" applyBorder="1" applyAlignment="1">
      <alignment horizontal="center" vertical="center" wrapText="1"/>
    </xf>
    <xf numFmtId="3" fontId="17" fillId="3" borderId="4" xfId="0" applyNumberFormat="1" applyFont="1" applyFill="1" applyBorder="1" applyAlignment="1">
      <alignment horizontal="center" vertical="center" wrapText="1"/>
    </xf>
    <xf numFmtId="3" fontId="17" fillId="3" borderId="8" xfId="0" applyNumberFormat="1" applyFont="1" applyFill="1" applyBorder="1" applyAlignment="1">
      <alignment horizontal="center" vertical="center" wrapText="1"/>
    </xf>
    <xf numFmtId="3" fontId="17" fillId="3" borderId="6" xfId="0" applyNumberFormat="1" applyFont="1" applyFill="1" applyBorder="1" applyAlignment="1">
      <alignment horizontal="center" vertical="center" wrapText="1"/>
    </xf>
    <xf numFmtId="170" fontId="30" fillId="0" borderId="9" xfId="0" applyNumberFormat="1" applyFont="1" applyBorder="1" applyAlignment="1">
      <alignment horizontal="center" wrapText="1"/>
    </xf>
    <xf numFmtId="3" fontId="42" fillId="3" borderId="1" xfId="0" applyNumberFormat="1" applyFont="1" applyFill="1" applyBorder="1" applyAlignment="1">
      <alignment horizontal="center" vertical="center" wrapText="1"/>
    </xf>
    <xf numFmtId="0" fontId="107" fillId="0" borderId="0" xfId="9" applyNumberFormat="1" applyFont="1" applyFill="1" applyBorder="1" applyAlignment="1" applyProtection="1">
      <alignment horizontal="center" vertical="center" wrapText="1"/>
    </xf>
    <xf numFmtId="3" fontId="42" fillId="3" borderId="5" xfId="0" applyNumberFormat="1" applyFont="1" applyFill="1" applyBorder="1" applyAlignment="1">
      <alignment horizontal="center" vertical="center" wrapText="1"/>
    </xf>
    <xf numFmtId="3" fontId="42" fillId="3" borderId="12" xfId="0" applyNumberFormat="1" applyFont="1" applyFill="1" applyBorder="1" applyAlignment="1">
      <alignment horizontal="center" vertical="center" wrapText="1"/>
    </xf>
    <xf numFmtId="3" fontId="42" fillId="3" borderId="3" xfId="0" applyNumberFormat="1" applyFont="1" applyFill="1" applyBorder="1" applyAlignment="1">
      <alignment horizontal="center" vertical="center" wrapText="1"/>
    </xf>
    <xf numFmtId="3" fontId="42" fillId="3" borderId="7" xfId="0" applyNumberFormat="1" applyFont="1" applyFill="1" applyBorder="1" applyAlignment="1">
      <alignment horizontal="center" vertical="center" wrapText="1"/>
    </xf>
    <xf numFmtId="3" fontId="42" fillId="3" borderId="11" xfId="0" applyNumberFormat="1" applyFont="1" applyFill="1" applyBorder="1" applyAlignment="1">
      <alignment horizontal="center" vertical="center" wrapText="1"/>
    </xf>
    <xf numFmtId="3" fontId="42" fillId="3" borderId="15" xfId="0" applyNumberFormat="1" applyFont="1" applyFill="1" applyBorder="1" applyAlignment="1">
      <alignment horizontal="center" vertical="center" wrapText="1"/>
    </xf>
    <xf numFmtId="3" fontId="42" fillId="3" borderId="2" xfId="0" applyNumberFormat="1" applyFont="1" applyFill="1" applyBorder="1" applyAlignment="1">
      <alignment horizontal="center" vertical="center" wrapText="1"/>
    </xf>
    <xf numFmtId="3" fontId="42" fillId="3" borderId="9" xfId="0" applyNumberFormat="1" applyFont="1" applyFill="1" applyBorder="1" applyAlignment="1">
      <alignment horizontal="center" vertical="center" wrapText="1"/>
    </xf>
    <xf numFmtId="3" fontId="42" fillId="3" borderId="14" xfId="0" applyNumberFormat="1" applyFont="1" applyFill="1" applyBorder="1" applyAlignment="1">
      <alignment horizontal="center" vertical="center" wrapText="1"/>
    </xf>
    <xf numFmtId="170" fontId="67" fillId="0" borderId="9" xfId="0" applyNumberFormat="1" applyFont="1" applyBorder="1" applyAlignment="1">
      <alignment horizontal="center" wrapText="1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3" fontId="17" fillId="3" borderId="1" xfId="0" applyNumberFormat="1" applyFont="1" applyFill="1" applyBorder="1" applyAlignment="1">
      <alignment horizontal="center" vertical="center" wrapText="1"/>
    </xf>
    <xf numFmtId="170" fontId="17" fillId="0" borderId="9" xfId="5" applyNumberFormat="1" applyFont="1" applyFill="1" applyBorder="1" applyAlignment="1" applyProtection="1">
      <alignment horizontal="center" vertical="top"/>
    </xf>
    <xf numFmtId="0" fontId="41" fillId="0" borderId="0" xfId="5" applyNumberFormat="1" applyFont="1" applyFill="1" applyBorder="1" applyAlignment="1" applyProtection="1">
      <alignment horizontal="center" vertical="top" wrapText="1"/>
    </xf>
    <xf numFmtId="168" fontId="7" fillId="0" borderId="5" xfId="0" applyNumberFormat="1" applyFont="1" applyBorder="1" applyAlignment="1" applyProtection="1">
      <alignment horizontal="center" vertical="center"/>
      <protection locked="0"/>
    </xf>
    <xf numFmtId="168" fontId="2" fillId="0" borderId="3" xfId="0" applyNumberFormat="1" applyFont="1" applyBorder="1" applyAlignment="1" applyProtection="1">
      <alignment horizontal="center" vertical="center"/>
      <protection locked="0"/>
    </xf>
    <xf numFmtId="168" fontId="7" fillId="0" borderId="1" xfId="0" applyNumberFormat="1" applyFont="1" applyBorder="1" applyAlignment="1">
      <alignment horizontal="center" vertical="center"/>
    </xf>
    <xf numFmtId="168" fontId="2" fillId="0" borderId="1" xfId="0" applyNumberFormat="1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5" fillId="0" borderId="8" xfId="0" applyFont="1" applyBorder="1" applyAlignment="1">
      <alignment horizontal="center" vertical="center"/>
    </xf>
    <xf numFmtId="0" fontId="15" fillId="0" borderId="6" xfId="0" applyFont="1" applyBorder="1" applyAlignment="1">
      <alignment horizontal="center" vertical="center"/>
    </xf>
    <xf numFmtId="0" fontId="5" fillId="0" borderId="4" xfId="0" applyFont="1" applyBorder="1" applyAlignment="1">
      <alignment horizontal="left"/>
    </xf>
    <xf numFmtId="0" fontId="5" fillId="0" borderId="8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49" fontId="2" fillId="0" borderId="5" xfId="0" applyNumberFormat="1" applyFont="1" applyBorder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0" fontId="15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0" fontId="15" fillId="0" borderId="8" xfId="0" applyFont="1" applyBorder="1" applyAlignment="1">
      <alignment horizontal="center" vertical="center" wrapText="1"/>
    </xf>
    <xf numFmtId="0" fontId="15" fillId="0" borderId="6" xfId="0" applyFont="1" applyBorder="1" applyAlignment="1">
      <alignment horizontal="center" vertical="center" wrapText="1"/>
    </xf>
    <xf numFmtId="168" fontId="7" fillId="0" borderId="5" xfId="0" applyNumberFormat="1" applyFont="1" applyBorder="1" applyAlignment="1">
      <alignment horizontal="center" vertical="center"/>
    </xf>
    <xf numFmtId="168" fontId="2" fillId="0" borderId="3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5" fillId="0" borderId="2" xfId="0" quotePrefix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15" fillId="0" borderId="7" xfId="0" quotePrefix="1" applyFont="1" applyBorder="1" applyAlignment="1">
      <alignment horizontal="center" vertical="center" wrapText="1"/>
    </xf>
    <xf numFmtId="0" fontId="15" fillId="0" borderId="11" xfId="0" quotePrefix="1" applyFont="1" applyBorder="1" applyAlignment="1">
      <alignment horizontal="center" vertical="center" wrapText="1"/>
    </xf>
    <xf numFmtId="0" fontId="15" fillId="0" borderId="15" xfId="0" quotePrefix="1" applyFont="1" applyBorder="1" applyAlignment="1">
      <alignment horizontal="center" vertical="center" wrapText="1"/>
    </xf>
    <xf numFmtId="0" fontId="15" fillId="0" borderId="7" xfId="0" quotePrefix="1" applyFont="1" applyBorder="1" applyAlignment="1">
      <alignment horizontal="center" vertical="center"/>
    </xf>
    <xf numFmtId="0" fontId="15" fillId="0" borderId="11" xfId="0" quotePrefix="1" applyFont="1" applyBorder="1" applyAlignment="1">
      <alignment horizontal="center" vertical="center"/>
    </xf>
    <xf numFmtId="0" fontId="15" fillId="0" borderId="10" xfId="0" quotePrefix="1" applyFont="1" applyBorder="1" applyAlignment="1">
      <alignment horizontal="center" vertical="center"/>
    </xf>
    <xf numFmtId="0" fontId="15" fillId="0" borderId="0" xfId="0" quotePrefix="1" applyFont="1" applyAlignment="1">
      <alignment horizontal="center" vertical="center"/>
    </xf>
    <xf numFmtId="0" fontId="15" fillId="0" borderId="2" xfId="0" quotePrefix="1" applyFont="1" applyBorder="1" applyAlignment="1">
      <alignment horizontal="center" vertical="center"/>
    </xf>
    <xf numFmtId="0" fontId="15" fillId="0" borderId="9" xfId="0" quotePrefix="1" applyFont="1" applyBorder="1" applyAlignment="1">
      <alignment horizontal="center" vertical="center"/>
    </xf>
    <xf numFmtId="0" fontId="5" fillId="0" borderId="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15" fillId="0" borderId="11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8" fontId="2" fillId="0" borderId="12" xfId="0" applyNumberFormat="1" applyFont="1" applyBorder="1" applyAlignment="1">
      <alignment horizontal="center" vertical="center"/>
    </xf>
    <xf numFmtId="49" fontId="2" fillId="0" borderId="12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15" fillId="0" borderId="10" xfId="0" applyFont="1" applyBorder="1" applyAlignment="1">
      <alignment horizontal="center" vertical="center" wrapText="1"/>
    </xf>
    <xf numFmtId="0" fontId="15" fillId="0" borderId="0" xfId="0" quotePrefix="1" applyFont="1" applyAlignment="1">
      <alignment horizontal="center" vertical="center" wrapText="1"/>
    </xf>
    <xf numFmtId="0" fontId="15" fillId="0" borderId="13" xfId="0" quotePrefix="1" applyFont="1" applyBorder="1" applyAlignment="1">
      <alignment horizontal="center" vertical="center" wrapText="1"/>
    </xf>
    <xf numFmtId="0" fontId="0" fillId="0" borderId="3" xfId="0" applyBorder="1"/>
    <xf numFmtId="0" fontId="6" fillId="0" borderId="4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15" fillId="0" borderId="7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15" fillId="0" borderId="7" xfId="0" applyFont="1" applyBorder="1" applyAlignment="1">
      <alignment horizontal="center"/>
    </xf>
    <xf numFmtId="0" fontId="15" fillId="0" borderId="11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2" fillId="0" borderId="2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3" fontId="22" fillId="3" borderId="1" xfId="0" applyNumberFormat="1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/>
    </xf>
    <xf numFmtId="0" fontId="134" fillId="0" borderId="0" xfId="0" applyFont="1" applyAlignment="1">
      <alignment horizontal="center" vertical="center" wrapText="1"/>
    </xf>
  </cellXfs>
  <cellStyles count="1289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3" xfId="359" xr:uid="{00000000-0005-0000-0000-00009C010000}"/>
    <cellStyle name="Обычный 11 4" xfId="360" xr:uid="{00000000-0005-0000-0000-00009D010000}"/>
    <cellStyle name="Обычный 11 6" xfId="361" xr:uid="{00000000-0005-0000-0000-00009E010000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2" xfId="369" xr:uid="{00000000-0005-0000-0000-0000A6010000}"/>
    <cellStyle name="Обычный 12 2 2" xfId="370" xr:uid="{00000000-0005-0000-0000-0000A7010000}"/>
    <cellStyle name="Обычный 12 3" xfId="371" xr:uid="{00000000-0005-0000-0000-0000A8010000}"/>
    <cellStyle name="Обычный 12 4" xfId="372" xr:uid="{00000000-0005-0000-0000-0000A9010000}"/>
    <cellStyle name="Обычный 12 5" xfId="373" xr:uid="{00000000-0005-0000-0000-0000AA010000}"/>
    <cellStyle name="Обычный 12 6" xfId="374" xr:uid="{00000000-0005-0000-0000-0000AB010000}"/>
    <cellStyle name="Обычный 12 7" xfId="375" xr:uid="{00000000-0005-0000-0000-0000AC010000}"/>
    <cellStyle name="Обычный 12 8" xfId="376" xr:uid="{00000000-0005-0000-0000-0000AD010000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4" xfId="390" xr:uid="{00000000-0005-0000-0000-0000BB010000}"/>
    <cellStyle name="Обычный 147" xfId="391" xr:uid="{00000000-0005-0000-0000-0000BC010000}"/>
    <cellStyle name="Обычный 148" xfId="392" xr:uid="{00000000-0005-0000-0000-0000BD010000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3" xfId="423" xr:uid="{00000000-0005-0000-0000-0000DC010000}"/>
    <cellStyle name="Обычный 17 4" xfId="424" xr:uid="{00000000-0005-0000-0000-0000DD010000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3" xfId="429" xr:uid="{00000000-0005-0000-0000-0000E2010000}"/>
    <cellStyle name="Обычный 18 2 4" xfId="430" xr:uid="{00000000-0005-0000-0000-0000E3010000}"/>
    <cellStyle name="Обычный 18 3" xfId="431" xr:uid="{00000000-0005-0000-0000-0000E4010000}"/>
    <cellStyle name="Обычный 18 3 2" xfId="432" xr:uid="{00000000-0005-0000-0000-0000E5010000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8" xfId="436" xr:uid="{00000000-0005-0000-0000-0000E9010000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3" xfId="440" xr:uid="{00000000-0005-0000-0000-0000ED010000}"/>
    <cellStyle name="Обычный 19 3" xfId="441" xr:uid="{00000000-0005-0000-0000-0000EE010000}"/>
    <cellStyle name="Обычный 190" xfId="442" xr:uid="{00000000-0005-0000-0000-0000EF010000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1" xfId="456" xr:uid="{00000000-0005-0000-0000-0000FE010000}"/>
    <cellStyle name="Обычный 2 2 11 2" xfId="457" xr:uid="{00000000-0005-0000-0000-0000FF010000}"/>
    <cellStyle name="Обычный 2 2 12" xfId="458" xr:uid="{00000000-0005-0000-0000-000000020000}"/>
    <cellStyle name="Обычный 2 2 12 2" xfId="459" xr:uid="{00000000-0005-0000-0000-000001020000}"/>
    <cellStyle name="Обычный 2 2 13" xfId="460" xr:uid="{00000000-0005-0000-0000-000002020000}"/>
    <cellStyle name="Обычный 2 2 13 2" xfId="461" xr:uid="{00000000-0005-0000-0000-000003020000}"/>
    <cellStyle name="Обычный 2 2 14" xfId="462" xr:uid="{00000000-0005-0000-0000-000004020000}"/>
    <cellStyle name="Обычный 2 2 14 2" xfId="463" xr:uid="{00000000-0005-0000-0000-000005020000}"/>
    <cellStyle name="Обычный 2 2 15" xfId="464" xr:uid="{00000000-0005-0000-0000-000006020000}"/>
    <cellStyle name="Обычный 2 2 15 2" xfId="465" xr:uid="{00000000-0005-0000-0000-000007020000}"/>
    <cellStyle name="Обычный 2 2 16" xfId="466" xr:uid="{00000000-0005-0000-0000-000008020000}"/>
    <cellStyle name="Обычный 2 2 16 2" xfId="467" xr:uid="{00000000-0005-0000-0000-000009020000}"/>
    <cellStyle name="Обычный 2 2 17" xfId="468" xr:uid="{00000000-0005-0000-0000-00000A020000}"/>
    <cellStyle name="Обычный 2 2 17 2" xfId="469" xr:uid="{00000000-0005-0000-0000-00000B020000}"/>
    <cellStyle name="Обычный 2 2 18" xfId="470" xr:uid="{00000000-0005-0000-0000-00000C020000}"/>
    <cellStyle name="Обычный 2 2 18 2" xfId="471" xr:uid="{00000000-0005-0000-0000-00000D020000}"/>
    <cellStyle name="Обычный 2 2 19" xfId="472" xr:uid="{00000000-0005-0000-0000-00000E020000}"/>
    <cellStyle name="Обычный 2 2 19 2" xfId="473" xr:uid="{00000000-0005-0000-0000-00000F020000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1" xfId="536" xr:uid="{00000000-0005-0000-0000-00004E020000}"/>
    <cellStyle name="Обычный 2 2 21 2" xfId="537" xr:uid="{00000000-0005-0000-0000-00004F020000}"/>
    <cellStyle name="Обычный 2 2 22" xfId="538" xr:uid="{00000000-0005-0000-0000-000050020000}"/>
    <cellStyle name="Обычный 2 2 22 2" xfId="539" xr:uid="{00000000-0005-0000-0000-000051020000}"/>
    <cellStyle name="Обычный 2 2 23" xfId="540" xr:uid="{00000000-0005-0000-0000-000052020000}"/>
    <cellStyle name="Обычный 2 2 23 2" xfId="541" xr:uid="{00000000-0005-0000-0000-000053020000}"/>
    <cellStyle name="Обычный 2 2 24" xfId="542" xr:uid="{00000000-0005-0000-0000-000054020000}"/>
    <cellStyle name="Обычный 2 2 24 2" xfId="543" xr:uid="{00000000-0005-0000-0000-000055020000}"/>
    <cellStyle name="Обычный 2 2 25" xfId="544" xr:uid="{00000000-0005-0000-0000-000056020000}"/>
    <cellStyle name="Обычный 2 2 25 2" xfId="545" xr:uid="{00000000-0005-0000-0000-000057020000}"/>
    <cellStyle name="Обычный 2 2 26" xfId="546" xr:uid="{00000000-0005-0000-0000-000058020000}"/>
    <cellStyle name="Обычный 2 2 26 2" xfId="547" xr:uid="{00000000-0005-0000-0000-000059020000}"/>
    <cellStyle name="Обычный 2 2 27" xfId="548" xr:uid="{00000000-0005-0000-0000-00005A020000}"/>
    <cellStyle name="Обычный 2 2 27 2" xfId="549" xr:uid="{00000000-0005-0000-0000-00005B020000}"/>
    <cellStyle name="Обычный 2 2 28" xfId="550" xr:uid="{00000000-0005-0000-0000-00005C020000}"/>
    <cellStyle name="Обычный 2 2 28 2" xfId="551" xr:uid="{00000000-0005-0000-0000-00005D020000}"/>
    <cellStyle name="Обычный 2 2 29" xfId="552" xr:uid="{00000000-0005-0000-0000-00005E020000}"/>
    <cellStyle name="Обычный 2 2 29 2" xfId="553" xr:uid="{00000000-0005-0000-0000-00005F020000}"/>
    <cellStyle name="Обычный 2 2 3" xfId="554" xr:uid="{00000000-0005-0000-0000-000060020000}"/>
    <cellStyle name="Обычный 2 2 3 2" xfId="555" xr:uid="{00000000-0005-0000-0000-000061020000}"/>
    <cellStyle name="Обычный 2 2 30" xfId="556" xr:uid="{00000000-0005-0000-0000-000062020000}"/>
    <cellStyle name="Обычный 2 2 30 2" xfId="557" xr:uid="{00000000-0005-0000-0000-000063020000}"/>
    <cellStyle name="Обычный 2 2 31" xfId="558" xr:uid="{00000000-0005-0000-0000-000064020000}"/>
    <cellStyle name="Обычный 2 2 31 2" xfId="559" xr:uid="{00000000-0005-0000-0000-000065020000}"/>
    <cellStyle name="Обычный 2 2 32" xfId="560" xr:uid="{00000000-0005-0000-0000-000066020000}"/>
    <cellStyle name="Обычный 2 2 4" xfId="561" xr:uid="{00000000-0005-0000-0000-000067020000}"/>
    <cellStyle name="Обычный 2 2 4 2" xfId="562" xr:uid="{00000000-0005-0000-0000-000068020000}"/>
    <cellStyle name="Обычный 2 2 5" xfId="563" xr:uid="{00000000-0005-0000-0000-000069020000}"/>
    <cellStyle name="Обычный 2 2 5 2" xfId="564" xr:uid="{00000000-0005-0000-0000-00006A020000}"/>
    <cellStyle name="Обычный 2 2 6" xfId="565" xr:uid="{00000000-0005-0000-0000-00006B020000}"/>
    <cellStyle name="Обычный 2 2 6 2" xfId="566" xr:uid="{00000000-0005-0000-0000-00006C020000}"/>
    <cellStyle name="Обычный 2 2 7" xfId="567" xr:uid="{00000000-0005-0000-0000-00006D020000}"/>
    <cellStyle name="Обычный 2 2 7 2" xfId="568" xr:uid="{00000000-0005-0000-0000-00006E020000}"/>
    <cellStyle name="Обычный 2 2 8" xfId="569" xr:uid="{00000000-0005-0000-0000-00006F020000}"/>
    <cellStyle name="Обычный 2 2 8 2" xfId="570" xr:uid="{00000000-0005-0000-0000-000070020000}"/>
    <cellStyle name="Обычный 2 2 9" xfId="571" xr:uid="{00000000-0005-0000-0000-000071020000}"/>
    <cellStyle name="Обычный 2 2 9 2" xfId="572" xr:uid="{00000000-0005-0000-0000-000072020000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5" xfId="592" xr:uid="{00000000-0005-0000-0000-000086020000}"/>
    <cellStyle name="Обычный 2 36" xfId="593" xr:uid="{00000000-0005-0000-0000-000087020000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3" xfId="618" xr:uid="{00000000-0005-0000-0000-0000A0020000}"/>
    <cellStyle name="Обычный 20 2 4" xfId="619" xr:uid="{00000000-0005-0000-0000-0000A102000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3" xfId="644" xr:uid="{00000000-0005-0000-0000-0000BA020000}"/>
    <cellStyle name="Обычный 21 2 4" xfId="645" xr:uid="{00000000-0005-0000-0000-0000BB02000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5" xfId="685" xr:uid="{00000000-0005-0000-0000-0000E3020000}"/>
    <cellStyle name="Обычный 25 2" xfId="686" xr:uid="{00000000-0005-0000-0000-0000E4020000}"/>
    <cellStyle name="Обычный 256" xfId="687" xr:uid="{00000000-0005-0000-0000-0000E5020000}"/>
    <cellStyle name="Обычный 256 2" xfId="688" xr:uid="{00000000-0005-0000-0000-0000E6020000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3" xfId="734" xr:uid="{00000000-0005-0000-0000-000015030000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1" xfId="742" xr:uid="{00000000-0005-0000-0000-00001E030000}"/>
    <cellStyle name="Обычный 31 2" xfId="743" xr:uid="{00000000-0005-0000-0000-00001F030000}"/>
    <cellStyle name="Обычный 32" xfId="744" xr:uid="{00000000-0005-0000-0000-000020030000}"/>
    <cellStyle name="Обычный 32 2" xfId="745" xr:uid="{00000000-0005-0000-0000-000021030000}"/>
    <cellStyle name="Обычный 33" xfId="746" xr:uid="{00000000-0005-0000-0000-000022030000}"/>
    <cellStyle name="Обычный 33 2" xfId="747" xr:uid="{00000000-0005-0000-0000-000023030000}"/>
    <cellStyle name="Обычный 34" xfId="748" xr:uid="{00000000-0005-0000-0000-000024030000}"/>
    <cellStyle name="Обычный 34 2" xfId="749" xr:uid="{00000000-0005-0000-0000-000025030000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7" xfId="784" xr:uid="{00000000-0005-0000-0000-000048030000}"/>
    <cellStyle name="Обычный 37 2" xfId="785" xr:uid="{00000000-0005-0000-0000-000049030000}"/>
    <cellStyle name="Обычный 38" xfId="786" xr:uid="{00000000-0005-0000-0000-00004A030000}"/>
    <cellStyle name="Обычный 38 2" xfId="787" xr:uid="{00000000-0005-0000-0000-00004B030000}"/>
    <cellStyle name="Обычный 39" xfId="788" xr:uid="{00000000-0005-0000-0000-00004C030000}"/>
    <cellStyle name="Обычный 39 2" xfId="789" xr:uid="{00000000-0005-0000-0000-00004D030000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3" xfId="791" xr:uid="{00000000-0005-0000-0000-000051030000}"/>
    <cellStyle name="Обычный 4 3" xfId="792" xr:uid="{00000000-0005-0000-0000-000052030000}"/>
    <cellStyle name="Обычный 4 3 2" xfId="793" xr:uid="{00000000-0005-0000-0000-000053030000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3" xfId="883" xr:uid="{00000000-0005-0000-0000-0000AD030000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3" xfId="887" xr:uid="{00000000-0005-0000-0000-0000B1030000}"/>
    <cellStyle name="Обычный 5 3 4" xfId="888" xr:uid="{00000000-0005-0000-0000-0000B2030000}"/>
    <cellStyle name="Обычный 5 4" xfId="889" xr:uid="{00000000-0005-0000-0000-0000B3030000}"/>
    <cellStyle name="Обычный 5 4 2" xfId="890" xr:uid="{00000000-0005-0000-0000-0000B4030000}"/>
    <cellStyle name="Обычный 5 5" xfId="891" xr:uid="{00000000-0005-0000-0000-0000B5030000}"/>
    <cellStyle name="Обычный 5 5 2" xfId="892" xr:uid="{00000000-0005-0000-0000-0000B6030000}"/>
    <cellStyle name="Обычный 5 6" xfId="893" xr:uid="{00000000-0005-0000-0000-0000B7030000}"/>
    <cellStyle name="Обычный 5 6 2" xfId="894" xr:uid="{00000000-0005-0000-0000-0000B8030000}"/>
    <cellStyle name="Обычный 5 7" xfId="895" xr:uid="{00000000-0005-0000-0000-0000B9030000}"/>
    <cellStyle name="Обычный 5 7 2" xfId="896" xr:uid="{00000000-0005-0000-0000-0000BA030000}"/>
    <cellStyle name="Обычный 5 8" xfId="897" xr:uid="{00000000-0005-0000-0000-0000BB030000}"/>
    <cellStyle name="Обычный 5 8 2" xfId="898" xr:uid="{00000000-0005-0000-0000-0000BC030000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3" xfId="912" xr:uid="{00000000-0005-0000-0000-0000CA030000}"/>
    <cellStyle name="Обычный 6 3" xfId="913" xr:uid="{00000000-0005-0000-0000-0000CB030000}"/>
    <cellStyle name="Обычный 6 3 2" xfId="914" xr:uid="{00000000-0005-0000-0000-0000CC030000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3" xfId="934" xr:uid="{00000000-0005-0000-0000-0000E0030000}"/>
    <cellStyle name="Обычный 7 3" xfId="935" xr:uid="{00000000-0005-0000-0000-0000E1030000}"/>
    <cellStyle name="Обычный 7 3 2" xfId="936" xr:uid="{00000000-0005-0000-0000-0000E2030000}"/>
    <cellStyle name="Обычный 7 4" xfId="937" xr:uid="{00000000-0005-0000-0000-0000E3030000}"/>
    <cellStyle name="Обычный 7 4 2" xfId="938" xr:uid="{00000000-0005-0000-0000-0000E4030000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3" xfId="959" xr:uid="{00000000-0005-0000-0000-0000F9030000}"/>
    <cellStyle name="Обычный 8 3" xfId="960" xr:uid="{00000000-0005-0000-0000-0000FA030000}"/>
    <cellStyle name="Обычный 8 3 2" xfId="961" xr:uid="{00000000-0005-0000-0000-0000FB030000}"/>
    <cellStyle name="Обычный 8 4" xfId="962" xr:uid="{00000000-0005-0000-0000-0000FC030000}"/>
    <cellStyle name="Обычный 8 5" xfId="963" xr:uid="{00000000-0005-0000-0000-0000FD030000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3" xfId="982" xr:uid="{00000000-0005-0000-0000-000010040000}"/>
    <cellStyle name="Обычный 9 3" xfId="983" xr:uid="{00000000-0005-0000-0000-000011040000}"/>
    <cellStyle name="Обычный 9 3 2" xfId="984" xr:uid="{00000000-0005-0000-0000-000012040000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Обычный_Книга3" xfId="1288" xr:uid="{00000000-0005-0000-0000-000028040000}"/>
    <cellStyle name="Примечание 10" xfId="1006" xr:uid="{00000000-0005-0000-0000-000029040000}"/>
    <cellStyle name="Примечание 11" xfId="1007" xr:uid="{00000000-0005-0000-0000-00002A040000}"/>
    <cellStyle name="Примечание 12" xfId="1008" xr:uid="{00000000-0005-0000-0000-00002B040000}"/>
    <cellStyle name="Примечание 13" xfId="1009" xr:uid="{00000000-0005-0000-0000-00002C040000}"/>
    <cellStyle name="Примечание 14" xfId="1010" xr:uid="{00000000-0005-0000-0000-00002D040000}"/>
    <cellStyle name="Примечание 15" xfId="1011" xr:uid="{00000000-0005-0000-0000-00002E040000}"/>
    <cellStyle name="Примечание 16" xfId="1012" xr:uid="{00000000-0005-0000-0000-00002F040000}"/>
    <cellStyle name="Примечание 17" xfId="1013" xr:uid="{00000000-0005-0000-0000-000030040000}"/>
    <cellStyle name="Примечание 18" xfId="1014" xr:uid="{00000000-0005-0000-0000-000031040000}"/>
    <cellStyle name="Примечание 19" xfId="1015" xr:uid="{00000000-0005-0000-0000-000032040000}"/>
    <cellStyle name="Примечание 2" xfId="1016" xr:uid="{00000000-0005-0000-0000-000033040000}"/>
    <cellStyle name="Примечание 2 2" xfId="1017" xr:uid="{00000000-0005-0000-0000-000034040000}"/>
    <cellStyle name="Примечание 2 3" xfId="1018" xr:uid="{00000000-0005-0000-0000-000035040000}"/>
    <cellStyle name="Примечание 20" xfId="1019" xr:uid="{00000000-0005-0000-0000-000036040000}"/>
    <cellStyle name="Примечание 21" xfId="1020" xr:uid="{00000000-0005-0000-0000-000037040000}"/>
    <cellStyle name="Примечание 22" xfId="1021" xr:uid="{00000000-0005-0000-0000-000038040000}"/>
    <cellStyle name="Примечание 23" xfId="1022" xr:uid="{00000000-0005-0000-0000-000039040000}"/>
    <cellStyle name="Примечание 24" xfId="1023" xr:uid="{00000000-0005-0000-0000-00003A040000}"/>
    <cellStyle name="Примечание 25" xfId="1024" xr:uid="{00000000-0005-0000-0000-00003B040000}"/>
    <cellStyle name="Примечание 26" xfId="1025" xr:uid="{00000000-0005-0000-0000-00003C040000}"/>
    <cellStyle name="Примечание 27" xfId="1026" xr:uid="{00000000-0005-0000-0000-00003D040000}"/>
    <cellStyle name="Примечание 28" xfId="1027" xr:uid="{00000000-0005-0000-0000-00003E040000}"/>
    <cellStyle name="Примечание 29" xfId="1028" xr:uid="{00000000-0005-0000-0000-00003F040000}"/>
    <cellStyle name="Примечание 3" xfId="1029" xr:uid="{00000000-0005-0000-0000-000040040000}"/>
    <cellStyle name="Примечание 3 2" xfId="1030" xr:uid="{00000000-0005-0000-0000-000041040000}"/>
    <cellStyle name="Примечание 3 3" xfId="1031" xr:uid="{00000000-0005-0000-0000-000042040000}"/>
    <cellStyle name="Примечание 30" xfId="1032" xr:uid="{00000000-0005-0000-0000-000043040000}"/>
    <cellStyle name="Примечание 4" xfId="1033" xr:uid="{00000000-0005-0000-0000-000044040000}"/>
    <cellStyle name="Примечание 4 2" xfId="1034" xr:uid="{00000000-0005-0000-0000-000045040000}"/>
    <cellStyle name="Примечание 4 3" xfId="1035" xr:uid="{00000000-0005-0000-0000-000046040000}"/>
    <cellStyle name="Примечание 5" xfId="1036" xr:uid="{00000000-0005-0000-0000-000047040000}"/>
    <cellStyle name="Примечание 5 2" xfId="1037" xr:uid="{00000000-0005-0000-0000-000048040000}"/>
    <cellStyle name="Примечание 5 3" xfId="1038" xr:uid="{00000000-0005-0000-0000-000049040000}"/>
    <cellStyle name="Примечание 6" xfId="1039" xr:uid="{00000000-0005-0000-0000-00004A040000}"/>
    <cellStyle name="Примечание 6 2" xfId="1040" xr:uid="{00000000-0005-0000-0000-00004B040000}"/>
    <cellStyle name="Примечание 6 3" xfId="1041" xr:uid="{00000000-0005-0000-0000-00004C040000}"/>
    <cellStyle name="Примечание 7" xfId="1042" xr:uid="{00000000-0005-0000-0000-00004D040000}"/>
    <cellStyle name="Примечание 7 2" xfId="1043" xr:uid="{00000000-0005-0000-0000-00004E040000}"/>
    <cellStyle name="Примечание 7 3" xfId="1044" xr:uid="{00000000-0005-0000-0000-00004F040000}"/>
    <cellStyle name="Примечание 8" xfId="1045" xr:uid="{00000000-0005-0000-0000-000050040000}"/>
    <cellStyle name="Примечание 8 2" xfId="1046" xr:uid="{00000000-0005-0000-0000-000051040000}"/>
    <cellStyle name="Примечание 8 3" xfId="1047" xr:uid="{00000000-0005-0000-0000-000052040000}"/>
    <cellStyle name="Примечание 9" xfId="1048" xr:uid="{00000000-0005-0000-0000-000053040000}"/>
    <cellStyle name="Примечание 9 2" xfId="1049" xr:uid="{00000000-0005-0000-0000-000054040000}"/>
    <cellStyle name="Процентный" xfId="2" builtinId="5"/>
    <cellStyle name="Процентный 2" xfId="8" xr:uid="{00000000-0005-0000-0000-000056040000}"/>
    <cellStyle name="Процентный 2 2" xfId="1050" xr:uid="{00000000-0005-0000-0000-000057040000}"/>
    <cellStyle name="Процентный 2 2 2" xfId="10" xr:uid="{00000000-0005-0000-0000-000058040000}"/>
    <cellStyle name="Процентный 2 2 3" xfId="1051" xr:uid="{00000000-0005-0000-0000-000059040000}"/>
    <cellStyle name="Процентный 2 3" xfId="1052" xr:uid="{00000000-0005-0000-0000-00005A040000}"/>
    <cellStyle name="Процентный 2 4" xfId="1053" xr:uid="{00000000-0005-0000-0000-00005B040000}"/>
    <cellStyle name="Процентный 2 5" xfId="1054" xr:uid="{00000000-0005-0000-0000-00005C040000}"/>
    <cellStyle name="Процентный 2 6" xfId="1055" xr:uid="{00000000-0005-0000-0000-00005D040000}"/>
    <cellStyle name="Процентный 2 7" xfId="1056" xr:uid="{00000000-0005-0000-0000-00005E040000}"/>
    <cellStyle name="Процентный 3" xfId="1057" xr:uid="{00000000-0005-0000-0000-00005F040000}"/>
    <cellStyle name="Процентный 4" xfId="1058" xr:uid="{00000000-0005-0000-0000-000060040000}"/>
    <cellStyle name="Стиль 1" xfId="1059" xr:uid="{00000000-0005-0000-0000-000061040000}"/>
    <cellStyle name="Финансовый" xfId="3" builtinId="3"/>
    <cellStyle name="Финансовый [0] 2" xfId="1060" xr:uid="{00000000-0005-0000-0000-000063040000}"/>
    <cellStyle name="Финансовый [0] 2 2" xfId="1061" xr:uid="{00000000-0005-0000-0000-000064040000}"/>
    <cellStyle name="Финансовый [0] 67" xfId="1062" xr:uid="{00000000-0005-0000-0000-000065040000}"/>
    <cellStyle name="Финансовый 10" xfId="1063" xr:uid="{00000000-0005-0000-0000-000066040000}"/>
    <cellStyle name="Финансовый 10 2" xfId="1064" xr:uid="{00000000-0005-0000-0000-000067040000}"/>
    <cellStyle name="Финансовый 11" xfId="1065" xr:uid="{00000000-0005-0000-0000-000068040000}"/>
    <cellStyle name="Финансовый 11 2" xfId="1066" xr:uid="{00000000-0005-0000-0000-000069040000}"/>
    <cellStyle name="Финансовый 13" xfId="1067" xr:uid="{00000000-0005-0000-0000-00006A040000}"/>
    <cellStyle name="Финансовый 13 2" xfId="1068" xr:uid="{00000000-0005-0000-0000-00006B040000}"/>
    <cellStyle name="Финансовый 13 3" xfId="1069" xr:uid="{00000000-0005-0000-0000-00006C040000}"/>
    <cellStyle name="Финансовый 17" xfId="1070" xr:uid="{00000000-0005-0000-0000-00006D040000}"/>
    <cellStyle name="Финансовый 19" xfId="1071" xr:uid="{00000000-0005-0000-0000-00006E040000}"/>
    <cellStyle name="Финансовый 19 2" xfId="1072" xr:uid="{00000000-0005-0000-0000-00006F040000}"/>
    <cellStyle name="Финансовый 19 3" xfId="1073" xr:uid="{00000000-0005-0000-0000-000070040000}"/>
    <cellStyle name="Финансовый 2" xfId="7" xr:uid="{00000000-0005-0000-0000-000071040000}"/>
    <cellStyle name="Финансовый 2 10" xfId="1074" xr:uid="{00000000-0005-0000-0000-000072040000}"/>
    <cellStyle name="Финансовый 2 11" xfId="1075" xr:uid="{00000000-0005-0000-0000-000073040000}"/>
    <cellStyle name="Финансовый 2 12" xfId="1076" xr:uid="{00000000-0005-0000-0000-000074040000}"/>
    <cellStyle name="Финансовый 2 13" xfId="1077" xr:uid="{00000000-0005-0000-0000-000075040000}"/>
    <cellStyle name="Финансовый 2 14" xfId="1078" xr:uid="{00000000-0005-0000-0000-000076040000}"/>
    <cellStyle name="Финансовый 2 15" xfId="1079" xr:uid="{00000000-0005-0000-0000-000077040000}"/>
    <cellStyle name="Финансовый 2 16" xfId="1080" xr:uid="{00000000-0005-0000-0000-000078040000}"/>
    <cellStyle name="Финансовый 2 17" xfId="1081" xr:uid="{00000000-0005-0000-0000-000079040000}"/>
    <cellStyle name="Финансовый 2 18" xfId="1082" xr:uid="{00000000-0005-0000-0000-00007A040000}"/>
    <cellStyle name="Финансовый 2 19" xfId="1083" xr:uid="{00000000-0005-0000-0000-00007B040000}"/>
    <cellStyle name="Финансовый 2 2" xfId="1084" xr:uid="{00000000-0005-0000-0000-00007C040000}"/>
    <cellStyle name="Финансовый 2 2 2" xfId="1085" xr:uid="{00000000-0005-0000-0000-00007D040000}"/>
    <cellStyle name="Финансовый 2 2 2 2" xfId="1086" xr:uid="{00000000-0005-0000-0000-00007E040000}"/>
    <cellStyle name="Финансовый 2 2 2 3" xfId="1087" xr:uid="{00000000-0005-0000-0000-00007F040000}"/>
    <cellStyle name="Финансовый 2 2 3" xfId="1088" xr:uid="{00000000-0005-0000-0000-000080040000}"/>
    <cellStyle name="Финансовый 2 2 4" xfId="1089" xr:uid="{00000000-0005-0000-0000-000081040000}"/>
    <cellStyle name="Финансовый 2 20" xfId="1090" xr:uid="{00000000-0005-0000-0000-000082040000}"/>
    <cellStyle name="Финансовый 2 21" xfId="1091" xr:uid="{00000000-0005-0000-0000-000083040000}"/>
    <cellStyle name="Финансовый 2 22" xfId="1092" xr:uid="{00000000-0005-0000-0000-000084040000}"/>
    <cellStyle name="Финансовый 2 23" xfId="1093" xr:uid="{00000000-0005-0000-0000-000085040000}"/>
    <cellStyle name="Финансовый 2 24" xfId="1094" xr:uid="{00000000-0005-0000-0000-000086040000}"/>
    <cellStyle name="Финансовый 2 25" xfId="1095" xr:uid="{00000000-0005-0000-0000-000087040000}"/>
    <cellStyle name="Финансовый 2 26" xfId="1096" xr:uid="{00000000-0005-0000-0000-000088040000}"/>
    <cellStyle name="Финансовый 2 27" xfId="1097" xr:uid="{00000000-0005-0000-0000-000089040000}"/>
    <cellStyle name="Финансовый 2 28" xfId="1098" xr:uid="{00000000-0005-0000-0000-00008A040000}"/>
    <cellStyle name="Финансовый 2 29" xfId="1099" xr:uid="{00000000-0005-0000-0000-00008B040000}"/>
    <cellStyle name="Финансовый 2 3" xfId="1100" xr:uid="{00000000-0005-0000-0000-00008C040000}"/>
    <cellStyle name="Финансовый 2 3 2" xfId="1101" xr:uid="{00000000-0005-0000-0000-00008D040000}"/>
    <cellStyle name="Финансовый 2 3 3" xfId="1102" xr:uid="{00000000-0005-0000-0000-00008E040000}"/>
    <cellStyle name="Финансовый 2 3 4" xfId="1103" xr:uid="{00000000-0005-0000-0000-00008F040000}"/>
    <cellStyle name="Финансовый 2 30" xfId="1104" xr:uid="{00000000-0005-0000-0000-000090040000}"/>
    <cellStyle name="Финансовый 2 4" xfId="1105" xr:uid="{00000000-0005-0000-0000-000091040000}"/>
    <cellStyle name="Финансовый 2 4 2" xfId="1106" xr:uid="{00000000-0005-0000-0000-000092040000}"/>
    <cellStyle name="Финансовый 2 4 3" xfId="1107" xr:uid="{00000000-0005-0000-0000-000093040000}"/>
    <cellStyle name="Финансовый 2 4 4" xfId="1108" xr:uid="{00000000-0005-0000-0000-000094040000}"/>
    <cellStyle name="Финансовый 2 5" xfId="1109" xr:uid="{00000000-0005-0000-0000-000095040000}"/>
    <cellStyle name="Финансовый 2 5 2" xfId="1110" xr:uid="{00000000-0005-0000-0000-000096040000}"/>
    <cellStyle name="Финансовый 2 6" xfId="1111" xr:uid="{00000000-0005-0000-0000-000097040000}"/>
    <cellStyle name="Финансовый 2 6 2" xfId="1112" xr:uid="{00000000-0005-0000-0000-000098040000}"/>
    <cellStyle name="Финансовый 2 7" xfId="1113" xr:uid="{00000000-0005-0000-0000-000099040000}"/>
    <cellStyle name="Финансовый 2 8" xfId="1114" xr:uid="{00000000-0005-0000-0000-00009A040000}"/>
    <cellStyle name="Финансовый 2 9" xfId="1115" xr:uid="{00000000-0005-0000-0000-00009B040000}"/>
    <cellStyle name="Финансовый 20" xfId="1116" xr:uid="{00000000-0005-0000-0000-00009C040000}"/>
    <cellStyle name="Финансовый 21" xfId="1117" xr:uid="{00000000-0005-0000-0000-00009D040000}"/>
    <cellStyle name="Финансовый 23" xfId="1118" xr:uid="{00000000-0005-0000-0000-00009E040000}"/>
    <cellStyle name="Финансовый 24" xfId="1119" xr:uid="{00000000-0005-0000-0000-00009F040000}"/>
    <cellStyle name="Финансовый 25" xfId="1120" xr:uid="{00000000-0005-0000-0000-0000A0040000}"/>
    <cellStyle name="Финансовый 26" xfId="1121" xr:uid="{00000000-0005-0000-0000-0000A1040000}"/>
    <cellStyle name="Финансовый 27" xfId="1122" xr:uid="{00000000-0005-0000-0000-0000A2040000}"/>
    <cellStyle name="Финансовый 28" xfId="1123" xr:uid="{00000000-0005-0000-0000-0000A3040000}"/>
    <cellStyle name="Финансовый 3" xfId="1124" xr:uid="{00000000-0005-0000-0000-0000A4040000}"/>
    <cellStyle name="Финансовый 3 10" xfId="1125" xr:uid="{00000000-0005-0000-0000-0000A5040000}"/>
    <cellStyle name="Финансовый 3 11" xfId="1126" xr:uid="{00000000-0005-0000-0000-0000A6040000}"/>
    <cellStyle name="Финансовый 3 12" xfId="1127" xr:uid="{00000000-0005-0000-0000-0000A7040000}"/>
    <cellStyle name="Финансовый 3 13" xfId="1128" xr:uid="{00000000-0005-0000-0000-0000A8040000}"/>
    <cellStyle name="Финансовый 3 14" xfId="1129" xr:uid="{00000000-0005-0000-0000-0000A9040000}"/>
    <cellStyle name="Финансовый 3 15" xfId="1130" xr:uid="{00000000-0005-0000-0000-0000AA040000}"/>
    <cellStyle name="Финансовый 3 16" xfId="1131" xr:uid="{00000000-0005-0000-0000-0000AB040000}"/>
    <cellStyle name="Финансовый 3 17" xfId="1132" xr:uid="{00000000-0005-0000-0000-0000AC040000}"/>
    <cellStyle name="Финансовый 3 18" xfId="1133" xr:uid="{00000000-0005-0000-0000-0000AD040000}"/>
    <cellStyle name="Финансовый 3 19" xfId="1134" xr:uid="{00000000-0005-0000-0000-0000AE040000}"/>
    <cellStyle name="Финансовый 3 2" xfId="1135" xr:uid="{00000000-0005-0000-0000-0000AF040000}"/>
    <cellStyle name="Финансовый 3 2 2" xfId="1136" xr:uid="{00000000-0005-0000-0000-0000B0040000}"/>
    <cellStyle name="Финансовый 3 2 2 2" xfId="1137" xr:uid="{00000000-0005-0000-0000-0000B1040000}"/>
    <cellStyle name="Финансовый 3 2 2 3" xfId="1138" xr:uid="{00000000-0005-0000-0000-0000B2040000}"/>
    <cellStyle name="Финансовый 3 2 3" xfId="1139" xr:uid="{00000000-0005-0000-0000-0000B3040000}"/>
    <cellStyle name="Финансовый 3 2 3 2" xfId="1140" xr:uid="{00000000-0005-0000-0000-0000B4040000}"/>
    <cellStyle name="Финансовый 3 2 4" xfId="1141" xr:uid="{00000000-0005-0000-0000-0000B5040000}"/>
    <cellStyle name="Финансовый 3 2 5" xfId="1142" xr:uid="{00000000-0005-0000-0000-0000B6040000}"/>
    <cellStyle name="Финансовый 3 2 6" xfId="1143" xr:uid="{00000000-0005-0000-0000-0000B7040000}"/>
    <cellStyle name="Финансовый 3 20" xfId="1144" xr:uid="{00000000-0005-0000-0000-0000B8040000}"/>
    <cellStyle name="Финансовый 3 21" xfId="1145" xr:uid="{00000000-0005-0000-0000-0000B9040000}"/>
    <cellStyle name="Финансовый 3 22" xfId="1146" xr:uid="{00000000-0005-0000-0000-0000BA040000}"/>
    <cellStyle name="Финансовый 3 3" xfId="1147" xr:uid="{00000000-0005-0000-0000-0000BB040000}"/>
    <cellStyle name="Финансовый 3 3 2" xfId="1148" xr:uid="{00000000-0005-0000-0000-0000BC040000}"/>
    <cellStyle name="Финансовый 3 3 3" xfId="1149" xr:uid="{00000000-0005-0000-0000-0000BD040000}"/>
    <cellStyle name="Финансовый 3 4" xfId="1150" xr:uid="{00000000-0005-0000-0000-0000BE040000}"/>
    <cellStyle name="Финансовый 3 4 2" xfId="1151" xr:uid="{00000000-0005-0000-0000-0000BF040000}"/>
    <cellStyle name="Финансовый 3 4 3" xfId="1152" xr:uid="{00000000-0005-0000-0000-0000C0040000}"/>
    <cellStyle name="Финансовый 3 5" xfId="1153" xr:uid="{00000000-0005-0000-0000-0000C1040000}"/>
    <cellStyle name="Финансовый 3 5 2" xfId="1154" xr:uid="{00000000-0005-0000-0000-0000C2040000}"/>
    <cellStyle name="Финансовый 3 5 3" xfId="1155" xr:uid="{00000000-0005-0000-0000-0000C3040000}"/>
    <cellStyle name="Финансовый 3 5 4" xfId="1156" xr:uid="{00000000-0005-0000-0000-0000C4040000}"/>
    <cellStyle name="Финансовый 3 6" xfId="1157" xr:uid="{00000000-0005-0000-0000-0000C5040000}"/>
    <cellStyle name="Финансовый 3 6 2" xfId="1158" xr:uid="{00000000-0005-0000-0000-0000C6040000}"/>
    <cellStyle name="Финансовый 3 7" xfId="1159" xr:uid="{00000000-0005-0000-0000-0000C7040000}"/>
    <cellStyle name="Финансовый 3 7 2" xfId="1160" xr:uid="{00000000-0005-0000-0000-0000C8040000}"/>
    <cellStyle name="Финансовый 3 8" xfId="1161" xr:uid="{00000000-0005-0000-0000-0000C9040000}"/>
    <cellStyle name="Финансовый 3 9" xfId="1162" xr:uid="{00000000-0005-0000-0000-0000CA040000}"/>
    <cellStyle name="Финансовый 30" xfId="1163" xr:uid="{00000000-0005-0000-0000-0000CB040000}"/>
    <cellStyle name="Финансовый 31" xfId="1164" xr:uid="{00000000-0005-0000-0000-0000CC040000}"/>
    <cellStyle name="Финансовый 31 2" xfId="1165" xr:uid="{00000000-0005-0000-0000-0000CD040000}"/>
    <cellStyle name="Финансовый 32" xfId="1166" xr:uid="{00000000-0005-0000-0000-0000CE040000}"/>
    <cellStyle name="Финансовый 32 2" xfId="1167" xr:uid="{00000000-0005-0000-0000-0000CF040000}"/>
    <cellStyle name="Финансовый 33" xfId="1168" xr:uid="{00000000-0005-0000-0000-0000D0040000}"/>
    <cellStyle name="Финансовый 33 2" xfId="1169" xr:uid="{00000000-0005-0000-0000-0000D1040000}"/>
    <cellStyle name="Финансовый 34" xfId="1170" xr:uid="{00000000-0005-0000-0000-0000D2040000}"/>
    <cellStyle name="Финансовый 34 2" xfId="1171" xr:uid="{00000000-0005-0000-0000-0000D3040000}"/>
    <cellStyle name="Финансовый 35" xfId="1172" xr:uid="{00000000-0005-0000-0000-0000D4040000}"/>
    <cellStyle name="Финансовый 35 2" xfId="1173" xr:uid="{00000000-0005-0000-0000-0000D5040000}"/>
    <cellStyle name="Финансовый 36" xfId="1174" xr:uid="{00000000-0005-0000-0000-0000D6040000}"/>
    <cellStyle name="Финансовый 36 2" xfId="1175" xr:uid="{00000000-0005-0000-0000-0000D7040000}"/>
    <cellStyle name="Финансовый 37" xfId="1176" xr:uid="{00000000-0005-0000-0000-0000D8040000}"/>
    <cellStyle name="Финансовый 37 2" xfId="1177" xr:uid="{00000000-0005-0000-0000-0000D9040000}"/>
    <cellStyle name="Финансовый 38" xfId="1178" xr:uid="{00000000-0005-0000-0000-0000DA040000}"/>
    <cellStyle name="Финансовый 38 2" xfId="1179" xr:uid="{00000000-0005-0000-0000-0000DB040000}"/>
    <cellStyle name="Финансовый 39" xfId="1180" xr:uid="{00000000-0005-0000-0000-0000DC040000}"/>
    <cellStyle name="Финансовый 4" xfId="1181" xr:uid="{00000000-0005-0000-0000-0000DD040000}"/>
    <cellStyle name="Финансовый 4 2" xfId="1182" xr:uid="{00000000-0005-0000-0000-0000DE040000}"/>
    <cellStyle name="Финансовый 4 2 2" xfId="1183" xr:uid="{00000000-0005-0000-0000-0000DF040000}"/>
    <cellStyle name="Финансовый 4 2 2 2" xfId="1184" xr:uid="{00000000-0005-0000-0000-0000E0040000}"/>
    <cellStyle name="Финансовый 4 2 3" xfId="1185" xr:uid="{00000000-0005-0000-0000-0000E1040000}"/>
    <cellStyle name="Финансовый 4 3" xfId="1186" xr:uid="{00000000-0005-0000-0000-0000E2040000}"/>
    <cellStyle name="Финансовый 4 3 2" xfId="1187" xr:uid="{00000000-0005-0000-0000-0000E3040000}"/>
    <cellStyle name="Финансовый 4 4" xfId="1188" xr:uid="{00000000-0005-0000-0000-0000E4040000}"/>
    <cellStyle name="Финансовый 4 4 2" xfId="1189" xr:uid="{00000000-0005-0000-0000-0000E5040000}"/>
    <cellStyle name="Финансовый 4 5" xfId="1190" xr:uid="{00000000-0005-0000-0000-0000E6040000}"/>
    <cellStyle name="Финансовый 4 6" xfId="1191" xr:uid="{00000000-0005-0000-0000-0000E7040000}"/>
    <cellStyle name="Финансовый 4 7" xfId="1192" xr:uid="{00000000-0005-0000-0000-0000E8040000}"/>
    <cellStyle name="Финансовый 4 8" xfId="1193" xr:uid="{00000000-0005-0000-0000-0000E9040000}"/>
    <cellStyle name="Финансовый 4 9" xfId="1194" xr:uid="{00000000-0005-0000-0000-0000EA040000}"/>
    <cellStyle name="Финансовый 40" xfId="1195" xr:uid="{00000000-0005-0000-0000-0000EB040000}"/>
    <cellStyle name="Финансовый 41" xfId="1196" xr:uid="{00000000-0005-0000-0000-0000EC040000}"/>
    <cellStyle name="Финансовый 42" xfId="1197" xr:uid="{00000000-0005-0000-0000-0000ED040000}"/>
    <cellStyle name="Финансовый 42 2" xfId="1198" xr:uid="{00000000-0005-0000-0000-0000EE040000}"/>
    <cellStyle name="Финансовый 44" xfId="1199" xr:uid="{00000000-0005-0000-0000-0000EF040000}"/>
    <cellStyle name="Финансовый 46" xfId="1200" xr:uid="{00000000-0005-0000-0000-0000F0040000}"/>
    <cellStyle name="Финансовый 47" xfId="1201" xr:uid="{00000000-0005-0000-0000-0000F1040000}"/>
    <cellStyle name="Финансовый 5" xfId="1202" xr:uid="{00000000-0005-0000-0000-0000F2040000}"/>
    <cellStyle name="Финансовый 5 2" xfId="1203" xr:uid="{00000000-0005-0000-0000-0000F3040000}"/>
    <cellStyle name="Финансовый 5 2 2" xfId="1204" xr:uid="{00000000-0005-0000-0000-0000F4040000}"/>
    <cellStyle name="Финансовый 5 3" xfId="1205" xr:uid="{00000000-0005-0000-0000-0000F5040000}"/>
    <cellStyle name="Финансовый 5 3 2" xfId="1206" xr:uid="{00000000-0005-0000-0000-0000F6040000}"/>
    <cellStyle name="Финансовый 5 3 3" xfId="1207" xr:uid="{00000000-0005-0000-0000-0000F7040000}"/>
    <cellStyle name="Финансовый 5 4" xfId="1208" xr:uid="{00000000-0005-0000-0000-0000F8040000}"/>
    <cellStyle name="Финансовый 5 5" xfId="1209" xr:uid="{00000000-0005-0000-0000-0000F9040000}"/>
    <cellStyle name="Финансовый 6" xfId="1210" xr:uid="{00000000-0005-0000-0000-0000FA040000}"/>
    <cellStyle name="Финансовый 6 2" xfId="1211" xr:uid="{00000000-0005-0000-0000-0000FB040000}"/>
    <cellStyle name="Финансовый 6 2 2" xfId="1212" xr:uid="{00000000-0005-0000-0000-0000FC040000}"/>
    <cellStyle name="Финансовый 6 2 3" xfId="1213" xr:uid="{00000000-0005-0000-0000-0000FD040000}"/>
    <cellStyle name="Финансовый 6 3" xfId="1214" xr:uid="{00000000-0005-0000-0000-0000FE040000}"/>
    <cellStyle name="Финансовый 6 4" xfId="1215" xr:uid="{00000000-0005-0000-0000-0000FF040000}"/>
    <cellStyle name="Финансовый 7" xfId="1216" xr:uid="{00000000-0005-0000-0000-000000050000}"/>
    <cellStyle name="Финансовый 7 2" xfId="1217" xr:uid="{00000000-0005-0000-0000-000001050000}"/>
    <cellStyle name="Финансовый 7 2 2" xfId="1218" xr:uid="{00000000-0005-0000-0000-000002050000}"/>
    <cellStyle name="Финансовый 7 2 3" xfId="1219" xr:uid="{00000000-0005-0000-0000-000003050000}"/>
    <cellStyle name="Финансовый 7 3" xfId="1220" xr:uid="{00000000-0005-0000-0000-000004050000}"/>
    <cellStyle name="Финансовый 8" xfId="1221" xr:uid="{00000000-0005-0000-0000-000005050000}"/>
    <cellStyle name="Финансовый 8 2" xfId="1222" xr:uid="{00000000-0005-0000-0000-000006050000}"/>
    <cellStyle name="Финансовый 9" xfId="1223" xr:uid="{00000000-0005-0000-0000-000007050000}"/>
    <cellStyle name="Џђћ–…ќ’ќ›‰" xfId="1224" xr:uid="{00000000-0005-0000-0000-000008050000}"/>
  </cellStyles>
  <dxfs count="212">
    <dxf>
      <font>
        <b/>
        <i val="0"/>
        <condense val="0"/>
        <extend val="0"/>
        <color auto="1"/>
      </font>
      <fill>
        <patternFill>
          <bgColor indexed="52"/>
        </patternFill>
      </fill>
    </dxf>
    <dxf>
      <font>
        <b/>
        <i val="0"/>
        <condense val="0"/>
        <extend val="0"/>
        <color auto="1"/>
      </font>
      <fill>
        <patternFill>
          <bgColor indexed="1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66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00FF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indexed="34"/>
        </patternFill>
      </fill>
    </dxf>
    <dxf>
      <fill>
        <patternFill>
          <bgColor indexed="45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indexed="34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externalLink" Target="externalLinks/externalLink9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3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7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6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5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2011\&#1054;&#1090;&#1095;&#1105;&#1090;%201,08,2011\CRS0100711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5.121\from%20old\21-11\DOCUME~1\ISKAND~1\LOCALS~1\Temp\notes9A6AD0\&#1048;&#1079;&#1084;&#1077;&#1085;&#1077;&#1085;&#1080;&#1103;%2021-&#1090;&#1072;&#1073;&#1083;-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21-&#1090;&#1072;&#1073;&#1083;\2022\01.01.2022\crs003L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21-&#1090;&#1072;&#1073;&#1083;\2022\01.01.2022\crs003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  <sheetName val="#ССЫЛКА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A"/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  <sheetName val="TAB113"/>
      <sheetName val="TAB110"/>
      <sheetName val="TAB111"/>
      <sheetName val="TAB10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"/>
      <sheetName val="tab17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  <sheetData sheetId="1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  <sheetName val="СВОД"/>
      <sheetName val="номма ном"/>
      <sheetName val="Пенсия бўйича"/>
      <sheetName val="UZB SA tables English -- to au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Income "/>
      <sheetName val="Analysis of Interest"/>
      <sheetName val="Bank Capital Calc."/>
      <sheetName val="Calculation of Risk Weighted As"/>
      <sheetName val="Changes in Equity"/>
      <sheetName val="Recociliation "/>
      <sheetName val="Loans Receivable"/>
      <sheetName val="Aging Analysis"/>
      <sheetName val="Loan Classification"/>
      <sheetName val="Loans to Affiliated P."/>
      <sheetName val="Twenty Largest"/>
      <sheetName val="Charge-offs and Recoveries"/>
      <sheetName val="Deposits by Client"/>
      <sheetName val="Investment Securities"/>
      <sheetName val="Liquidity Analysis"/>
      <sheetName val="Bank Assets Analysis"/>
      <sheetName val="Bank Liabilities Analysis"/>
      <sheetName val="Commitments"/>
      <sheetName val="Economic Normatives"/>
      <sheetName val="Miscellaneous"/>
    </sheetNames>
    <sheetDataSet>
      <sheetData sheetId="0"/>
      <sheetData sheetId="1"/>
      <sheetData sheetId="2"/>
      <sheetData sheetId="3"/>
      <sheetData sheetId="4">
        <row r="38">
          <cell r="C38">
            <v>0</v>
          </cell>
          <cell r="D38">
            <v>0</v>
          </cell>
          <cell r="E38">
            <v>0</v>
          </cell>
          <cell r="F38">
            <v>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8">
          <cell r="H28">
            <v>0</v>
          </cell>
        </row>
      </sheetData>
      <sheetData sheetId="17"/>
      <sheetData sheetId="18"/>
      <sheetData sheetId="19"/>
      <sheetData sheetId="2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Лист1"/>
      <sheetName val="Calculation of Risk Weighted As"/>
      <sheetName val="Loans Receivable"/>
      <sheetName val="9 (2)"/>
      <sheetName val="Loans to Affiliated P."/>
      <sheetName val="Twenty Largest"/>
      <sheetName val="Economic Normatives"/>
      <sheetName val="30 (2)"/>
      <sheetName val="Calculation_of_Risk_Weighted_As"/>
      <sheetName val="Loans_Receivable"/>
      <sheetName val="9_(2)"/>
      <sheetName val="Loans_to_Affiliated_P_"/>
      <sheetName val="Twenty_Largest"/>
      <sheetName val="Economic_Normatives"/>
      <sheetName val="30_(2)"/>
    </sheetNames>
    <sheetDataSet>
      <sheetData sheetId="0"/>
      <sheetData sheetId="1">
        <row r="41">
          <cell r="C41">
            <v>800</v>
          </cell>
          <cell r="D41">
            <v>600</v>
          </cell>
          <cell r="E41">
            <v>200</v>
          </cell>
          <cell r="F41">
            <v>1000</v>
          </cell>
          <cell r="G41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>
        <row r="41">
          <cell r="C41">
            <v>800</v>
          </cell>
        </row>
      </sheetData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24">
          <cell r="C24">
            <v>43147807488</v>
          </cell>
        </row>
        <row r="45">
          <cell r="C45">
            <v>56511320290</v>
          </cell>
        </row>
        <row r="76">
          <cell r="C76">
            <v>998221670</v>
          </cell>
        </row>
        <row r="77">
          <cell r="C77">
            <v>7700913106</v>
          </cell>
        </row>
      </sheetData>
      <sheetData sheetId="1"/>
      <sheetData sheetId="2">
        <row r="23">
          <cell r="C23">
            <v>1.6453692037895922</v>
          </cell>
          <cell r="D23">
            <v>2.0955565016497619</v>
          </cell>
          <cell r="E23">
            <v>1.4374102918383473</v>
          </cell>
        </row>
        <row r="28">
          <cell r="C28">
            <v>1.1502506207091083</v>
          </cell>
          <cell r="D28">
            <v>1.2139656509113368</v>
          </cell>
          <cell r="E28">
            <v>1.1131864855702904</v>
          </cell>
        </row>
        <row r="50">
          <cell r="C50">
            <v>882035733</v>
          </cell>
          <cell r="D50">
            <v>250900761</v>
          </cell>
          <cell r="E50">
            <v>631134972</v>
          </cell>
        </row>
        <row r="51">
          <cell r="C51">
            <v>3258433287</v>
          </cell>
          <cell r="D51">
            <v>2481708653</v>
          </cell>
          <cell r="E51">
            <v>776724634</v>
          </cell>
        </row>
        <row r="52">
          <cell r="C52">
            <v>3603375784</v>
          </cell>
          <cell r="D52">
            <v>9969936</v>
          </cell>
          <cell r="E52">
            <v>3593405848</v>
          </cell>
        </row>
        <row r="53">
          <cell r="C53">
            <v>485000981</v>
          </cell>
          <cell r="D53">
            <v>0</v>
          </cell>
          <cell r="E53">
            <v>488302017</v>
          </cell>
        </row>
        <row r="54">
          <cell r="C54">
            <v>1069800000</v>
          </cell>
          <cell r="D54">
            <v>1069800000</v>
          </cell>
          <cell r="E54">
            <v>0</v>
          </cell>
        </row>
        <row r="57">
          <cell r="C57">
            <v>9298645785</v>
          </cell>
          <cell r="D57">
            <v>3812379350</v>
          </cell>
          <cell r="E57">
            <v>5489567471</v>
          </cell>
        </row>
      </sheetData>
      <sheetData sheetId="3"/>
      <sheetData sheetId="4"/>
      <sheetData sheetId="5">
        <row r="8">
          <cell r="D8">
            <v>2539635703</v>
          </cell>
        </row>
        <row r="9">
          <cell r="D9">
            <v>57195902</v>
          </cell>
        </row>
        <row r="13">
          <cell r="D13">
            <v>14358027</v>
          </cell>
          <cell r="F13">
            <v>13720478</v>
          </cell>
          <cell r="H13">
            <v>69440500</v>
          </cell>
          <cell r="J13">
            <v>324454253</v>
          </cell>
          <cell r="L13">
            <v>520326894</v>
          </cell>
          <cell r="N13">
            <v>136554516</v>
          </cell>
          <cell r="P13">
            <v>307067029</v>
          </cell>
          <cell r="R13">
            <v>1887739749</v>
          </cell>
        </row>
        <row r="14">
          <cell r="D14">
            <v>14358027</v>
          </cell>
          <cell r="F14">
            <v>13720478</v>
          </cell>
          <cell r="H14">
            <v>36024382</v>
          </cell>
          <cell r="J14">
            <v>116732436</v>
          </cell>
          <cell r="L14">
            <v>127461719</v>
          </cell>
          <cell r="N14">
            <v>0</v>
          </cell>
          <cell r="P14">
            <v>0</v>
          </cell>
          <cell r="R14">
            <v>0</v>
          </cell>
        </row>
        <row r="16">
          <cell r="D16">
            <v>252043130</v>
          </cell>
          <cell r="F16">
            <v>34494602</v>
          </cell>
          <cell r="H16">
            <v>61558422</v>
          </cell>
          <cell r="J16">
            <v>99867181</v>
          </cell>
          <cell r="L16">
            <v>140599015</v>
          </cell>
          <cell r="N16">
            <v>140015956</v>
          </cell>
          <cell r="P16">
            <v>21951860</v>
          </cell>
        </row>
        <row r="17">
          <cell r="D17">
            <v>99541325</v>
          </cell>
        </row>
        <row r="22">
          <cell r="C22">
            <v>5893761524</v>
          </cell>
          <cell r="E22">
            <v>55107999</v>
          </cell>
          <cell r="G22">
            <v>150539833</v>
          </cell>
          <cell r="I22">
            <v>479687596</v>
          </cell>
          <cell r="K22">
            <v>1770130753</v>
          </cell>
          <cell r="M22">
            <v>1768359387</v>
          </cell>
          <cell r="O22">
            <v>448109307</v>
          </cell>
          <cell r="Q22">
            <v>2041623680</v>
          </cell>
          <cell r="S22">
            <v>12607320079</v>
          </cell>
        </row>
        <row r="39">
          <cell r="C39">
            <v>7283857765</v>
          </cell>
          <cell r="E39">
            <v>89691822</v>
          </cell>
          <cell r="G39">
            <v>1165340566</v>
          </cell>
          <cell r="I39">
            <v>2070717376</v>
          </cell>
          <cell r="K39">
            <v>5108468088</v>
          </cell>
          <cell r="M39">
            <v>6095837098</v>
          </cell>
        </row>
      </sheetData>
      <sheetData sheetId="6">
        <row r="9">
          <cell r="C9">
            <v>1632529521</v>
          </cell>
        </row>
        <row r="10">
          <cell r="C10">
            <v>12389655</v>
          </cell>
        </row>
        <row r="14">
          <cell r="C14">
            <v>188310227</v>
          </cell>
          <cell r="D14">
            <v>6892919</v>
          </cell>
          <cell r="E14">
            <v>18800463</v>
          </cell>
          <cell r="F14">
            <v>55366162</v>
          </cell>
          <cell r="G14">
            <v>1109204844</v>
          </cell>
          <cell r="H14">
            <v>1491788915</v>
          </cell>
          <cell r="I14">
            <v>119090418</v>
          </cell>
          <cell r="J14">
            <v>153883931</v>
          </cell>
        </row>
        <row r="15">
          <cell r="C15">
            <v>10079327</v>
          </cell>
          <cell r="D15">
            <v>5892919</v>
          </cell>
          <cell r="E15">
            <v>13360463</v>
          </cell>
          <cell r="F15">
            <v>42015073</v>
          </cell>
          <cell r="G15">
            <v>1028827392</v>
          </cell>
          <cell r="H15">
            <v>884457698</v>
          </cell>
          <cell r="I15">
            <v>59467463</v>
          </cell>
          <cell r="J15">
            <v>2224159</v>
          </cell>
        </row>
        <row r="17">
          <cell r="C17">
            <v>1266884916</v>
          </cell>
        </row>
        <row r="18">
          <cell r="C18">
            <v>794970688</v>
          </cell>
        </row>
        <row r="20">
          <cell r="H20">
            <v>0</v>
          </cell>
        </row>
      </sheetData>
      <sheetData sheetId="7"/>
      <sheetData sheetId="8">
        <row r="6">
          <cell r="C6">
            <v>964097569</v>
          </cell>
          <cell r="D6">
            <v>156737227</v>
          </cell>
        </row>
        <row r="15">
          <cell r="C15">
            <v>2354623906</v>
          </cell>
          <cell r="D15">
            <v>308297042</v>
          </cell>
        </row>
        <row r="22">
          <cell r="C22">
            <v>12607320079</v>
          </cell>
          <cell r="D22">
            <v>6563827315</v>
          </cell>
        </row>
      </sheetData>
      <sheetData sheetId="9">
        <row r="6">
          <cell r="B6">
            <v>0</v>
          </cell>
        </row>
        <row r="7">
          <cell r="B7">
            <v>0</v>
          </cell>
        </row>
        <row r="15">
          <cell r="B15">
            <v>149515961</v>
          </cell>
        </row>
        <row r="22">
          <cell r="B22">
            <v>0</v>
          </cell>
        </row>
        <row r="23">
          <cell r="B23">
            <v>0</v>
          </cell>
        </row>
        <row r="24">
          <cell r="B24">
            <v>0</v>
          </cell>
        </row>
        <row r="25">
          <cell r="B25">
            <v>0</v>
          </cell>
        </row>
        <row r="28">
          <cell r="B28">
            <v>0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nk Capital Calc"/>
      <sheetName val="Bank Capital Calc (2)"/>
      <sheetName val="Calculation of Risk Weighted As"/>
      <sheetName val="Calculation of Risk Weighte нац"/>
      <sheetName val="Calculation of Risk Weighte ин"/>
      <sheetName val="Calculation of Risk"/>
    </sheetNames>
    <sheetDataSet>
      <sheetData sheetId="0">
        <row r="24">
          <cell r="C24">
            <v>0</v>
          </cell>
        </row>
        <row r="34">
          <cell r="C34">
            <v>6074679780</v>
          </cell>
        </row>
        <row r="44">
          <cell r="C44">
            <v>8099573040</v>
          </cell>
        </row>
        <row r="45">
          <cell r="C45">
            <v>51138054054.796928</v>
          </cell>
        </row>
        <row r="49">
          <cell r="C49">
            <v>0.11863872748264848</v>
          </cell>
        </row>
        <row r="50">
          <cell r="C50">
            <v>0.11878981107671174</v>
          </cell>
        </row>
        <row r="51">
          <cell r="C51">
            <v>0.15838641476894899</v>
          </cell>
        </row>
        <row r="57">
          <cell r="C57">
            <v>9.9794246863889366E-2</v>
          </cell>
        </row>
      </sheetData>
      <sheetData sheetId="1"/>
      <sheetData sheetId="2"/>
      <sheetData sheetId="3"/>
      <sheetData sheetId="4"/>
      <sheetData sheetId="5">
        <row r="26">
          <cell r="C26">
            <v>277944540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4">
    <pageSetUpPr fitToPage="1"/>
  </sheetPr>
  <dimension ref="A1:AC72"/>
  <sheetViews>
    <sheetView tabSelected="1" view="pageBreakPreview" zoomScale="70" zoomScaleNormal="60" zoomScaleSheetLayoutView="70" workbookViewId="0">
      <pane xSplit="3" ySplit="9" topLeftCell="D53" activePane="bottomRight" state="frozen"/>
      <selection pane="topRight" activeCell="D1" sqref="D1"/>
      <selection pane="bottomLeft" activeCell="A10" sqref="A10"/>
      <selection pane="bottomRight" activeCell="A60" sqref="A60"/>
    </sheetView>
  </sheetViews>
  <sheetFormatPr defaultRowHeight="15.75"/>
  <cols>
    <col min="1" max="1" width="8" style="28" customWidth="1"/>
    <col min="2" max="2" width="108.7109375" style="29" customWidth="1"/>
    <col min="3" max="3" width="19.42578125" style="125" customWidth="1"/>
    <col min="4" max="8" width="18.28515625" style="28" customWidth="1"/>
    <col min="9" max="9" width="19.42578125" style="28" customWidth="1"/>
    <col min="10" max="13" width="18" style="28" customWidth="1"/>
    <col min="14" max="14" width="19.42578125" style="28" customWidth="1"/>
    <col min="15" max="19" width="16" style="28" customWidth="1"/>
    <col min="20" max="20" width="9.140625" style="28"/>
    <col min="21" max="21" width="14.85546875" style="28" customWidth="1"/>
    <col min="22" max="16384" width="9.140625" style="28"/>
  </cols>
  <sheetData>
    <row r="1" spans="1:21" s="122" customFormat="1" ht="27.75" customHeight="1">
      <c r="A1" s="546" t="s">
        <v>641</v>
      </c>
      <c r="B1" s="547"/>
      <c r="C1" s="547"/>
      <c r="D1" s="547"/>
      <c r="E1" s="547"/>
      <c r="F1" s="547"/>
      <c r="G1" s="547"/>
      <c r="H1" s="547"/>
      <c r="I1" s="547"/>
      <c r="J1" s="547"/>
      <c r="K1" s="547"/>
      <c r="L1" s="547"/>
      <c r="M1" s="547"/>
      <c r="N1" s="547"/>
      <c r="O1" s="547"/>
      <c r="P1" s="547"/>
      <c r="Q1" s="547"/>
      <c r="R1" s="548" t="s">
        <v>381</v>
      </c>
      <c r="S1" s="548"/>
      <c r="U1" s="523" t="s">
        <v>860</v>
      </c>
    </row>
    <row r="2" spans="1:21" ht="8.25" customHeight="1"/>
    <row r="3" spans="1:21" s="236" customFormat="1" ht="26.25">
      <c r="B3" s="423" t="s">
        <v>927</v>
      </c>
      <c r="C3" s="237"/>
      <c r="M3" s="272"/>
      <c r="P3" s="545">
        <v>44560</v>
      </c>
      <c r="Q3" s="545"/>
      <c r="R3" s="235"/>
      <c r="S3" s="388" t="s">
        <v>382</v>
      </c>
    </row>
    <row r="4" spans="1:21" s="224" customFormat="1" ht="30.75" customHeight="1">
      <c r="A4" s="539" t="s">
        <v>83</v>
      </c>
      <c r="B4" s="539" t="s">
        <v>383</v>
      </c>
      <c r="C4" s="539" t="s">
        <v>384</v>
      </c>
      <c r="D4" s="549" t="s">
        <v>385</v>
      </c>
      <c r="E4" s="550"/>
      <c r="F4" s="550"/>
      <c r="G4" s="550"/>
      <c r="H4" s="551"/>
      <c r="I4" s="542" t="s">
        <v>386</v>
      </c>
      <c r="J4" s="543"/>
      <c r="K4" s="543"/>
      <c r="L4" s="543"/>
      <c r="M4" s="544"/>
      <c r="N4" s="542" t="s">
        <v>387</v>
      </c>
      <c r="O4" s="543"/>
      <c r="P4" s="543"/>
      <c r="Q4" s="543"/>
      <c r="R4" s="543"/>
      <c r="S4" s="544"/>
    </row>
    <row r="5" spans="1:21" s="224" customFormat="1" ht="30.75" customHeight="1">
      <c r="A5" s="540"/>
      <c r="B5" s="540"/>
      <c r="C5" s="540"/>
      <c r="D5" s="552"/>
      <c r="E5" s="553"/>
      <c r="F5" s="553"/>
      <c r="G5" s="553"/>
      <c r="H5" s="554"/>
      <c r="I5" s="539" t="s">
        <v>388</v>
      </c>
      <c r="J5" s="539" t="s">
        <v>389</v>
      </c>
      <c r="K5" s="539" t="s">
        <v>390</v>
      </c>
      <c r="L5" s="539" t="s">
        <v>391</v>
      </c>
      <c r="M5" s="539" t="s">
        <v>392</v>
      </c>
      <c r="N5" s="542" t="s">
        <v>393</v>
      </c>
      <c r="O5" s="543"/>
      <c r="P5" s="543"/>
      <c r="Q5" s="543"/>
      <c r="R5" s="543"/>
      <c r="S5" s="544"/>
    </row>
    <row r="6" spans="1:21" s="224" customFormat="1" ht="30.75" customHeight="1">
      <c r="A6" s="540"/>
      <c r="B6" s="540"/>
      <c r="C6" s="540"/>
      <c r="D6" s="555"/>
      <c r="E6" s="556"/>
      <c r="F6" s="556"/>
      <c r="G6" s="556"/>
      <c r="H6" s="557"/>
      <c r="I6" s="540"/>
      <c r="J6" s="540"/>
      <c r="K6" s="540"/>
      <c r="L6" s="540"/>
      <c r="M6" s="540"/>
      <c r="N6" s="539" t="s">
        <v>388</v>
      </c>
      <c r="O6" s="542" t="s">
        <v>394</v>
      </c>
      <c r="P6" s="543"/>
      <c r="Q6" s="543"/>
      <c r="R6" s="543"/>
      <c r="S6" s="543"/>
    </row>
    <row r="7" spans="1:21" s="224" customFormat="1" ht="21" customHeight="1">
      <c r="A7" s="541"/>
      <c r="B7" s="541"/>
      <c r="C7" s="541"/>
      <c r="D7" s="225" t="s">
        <v>252</v>
      </c>
      <c r="E7" s="225" t="s">
        <v>75</v>
      </c>
      <c r="F7" s="225" t="s">
        <v>77</v>
      </c>
      <c r="G7" s="225" t="s">
        <v>78</v>
      </c>
      <c r="H7" s="225" t="s">
        <v>81</v>
      </c>
      <c r="I7" s="541"/>
      <c r="J7" s="541"/>
      <c r="K7" s="541"/>
      <c r="L7" s="541"/>
      <c r="M7" s="541"/>
      <c r="N7" s="541"/>
      <c r="O7" s="225" t="s">
        <v>252</v>
      </c>
      <c r="P7" s="225" t="s">
        <v>75</v>
      </c>
      <c r="Q7" s="225" t="s">
        <v>77</v>
      </c>
      <c r="R7" s="225" t="s">
        <v>78</v>
      </c>
      <c r="S7" s="225" t="s">
        <v>81</v>
      </c>
    </row>
    <row r="8" spans="1:21" s="30" customFormat="1">
      <c r="A8" s="31" t="s">
        <v>182</v>
      </c>
      <c r="B8" s="59" t="s">
        <v>183</v>
      </c>
      <c r="C8" s="126" t="s">
        <v>195</v>
      </c>
      <c r="D8" s="59" t="s">
        <v>184</v>
      </c>
      <c r="E8" s="59" t="s">
        <v>185</v>
      </c>
      <c r="F8" s="59" t="s">
        <v>196</v>
      </c>
      <c r="G8" s="59" t="s">
        <v>186</v>
      </c>
      <c r="H8" s="59" t="s">
        <v>187</v>
      </c>
      <c r="I8" s="59" t="s">
        <v>188</v>
      </c>
      <c r="J8" s="59" t="s">
        <v>189</v>
      </c>
      <c r="K8" s="59" t="s">
        <v>190</v>
      </c>
      <c r="L8" s="59" t="s">
        <v>191</v>
      </c>
      <c r="M8" s="59" t="s">
        <v>192</v>
      </c>
      <c r="N8" s="59" t="s">
        <v>395</v>
      </c>
      <c r="O8" s="59" t="s">
        <v>396</v>
      </c>
      <c r="P8" s="59" t="s">
        <v>397</v>
      </c>
      <c r="Q8" s="59" t="s">
        <v>398</v>
      </c>
      <c r="R8" s="59" t="s">
        <v>643</v>
      </c>
      <c r="S8" s="59" t="s">
        <v>681</v>
      </c>
    </row>
    <row r="9" spans="1:21" s="30" customFormat="1" ht="29.25" customHeight="1">
      <c r="A9" s="207"/>
      <c r="B9" s="208" t="s">
        <v>620</v>
      </c>
      <c r="C9" s="209">
        <f t="shared" ref="C9:S9" si="0">SUM(C10:C60)</f>
        <v>56511320290</v>
      </c>
      <c r="D9" s="209">
        <f t="shared" si="0"/>
        <v>53317941289</v>
      </c>
      <c r="E9" s="209">
        <f t="shared" si="0"/>
        <v>2660324543</v>
      </c>
      <c r="F9" s="209">
        <f t="shared" si="0"/>
        <v>904022544</v>
      </c>
      <c r="G9" s="209">
        <f t="shared" si="0"/>
        <v>209365860</v>
      </c>
      <c r="H9" s="209">
        <f t="shared" si="0"/>
        <v>610267679</v>
      </c>
      <c r="I9" s="209">
        <f t="shared" si="0"/>
        <v>444927648</v>
      </c>
      <c r="J9" s="209">
        <f t="shared" si="0"/>
        <v>82167000</v>
      </c>
      <c r="K9" s="209">
        <f t="shared" si="0"/>
        <v>152290381</v>
      </c>
      <c r="L9" s="209">
        <f t="shared" si="0"/>
        <v>67976219</v>
      </c>
      <c r="M9" s="209">
        <f t="shared" si="0"/>
        <v>142494048</v>
      </c>
      <c r="N9" s="209">
        <f t="shared" si="0"/>
        <v>1542110966</v>
      </c>
      <c r="O9" s="209">
        <f t="shared" si="0"/>
        <v>351509341</v>
      </c>
      <c r="P9" s="209">
        <f t="shared" si="0"/>
        <v>268282391</v>
      </c>
      <c r="Q9" s="209">
        <f t="shared" si="0"/>
        <v>214296918</v>
      </c>
      <c r="R9" s="209">
        <f t="shared" si="0"/>
        <v>99193683</v>
      </c>
      <c r="S9" s="209">
        <f t="shared" si="0"/>
        <v>608828633</v>
      </c>
    </row>
    <row r="10" spans="1:21" s="27" customFormat="1" ht="23.25" customHeight="1">
      <c r="A10" s="32" t="s">
        <v>5</v>
      </c>
      <c r="B10" s="174" t="s">
        <v>561</v>
      </c>
      <c r="C10" s="172">
        <f>SUM(D10:H10)-N10+O10</f>
        <v>882034858</v>
      </c>
      <c r="D10" s="140">
        <v>882034858</v>
      </c>
      <c r="E10" s="140"/>
      <c r="F10" s="140"/>
      <c r="G10" s="140"/>
      <c r="H10" s="140"/>
      <c r="I10" s="172">
        <f t="shared" ref="I10:I11" si="1">SUM(J10:M10)</f>
        <v>0</v>
      </c>
      <c r="J10" s="140"/>
      <c r="K10" s="140"/>
      <c r="L10" s="140"/>
      <c r="M10" s="140"/>
      <c r="N10" s="172">
        <f>SUM(O10:S10)</f>
        <v>0</v>
      </c>
      <c r="O10" s="140"/>
      <c r="P10" s="140"/>
      <c r="Q10" s="140"/>
      <c r="R10" s="140"/>
      <c r="S10" s="140"/>
      <c r="T10" s="27">
        <v>10100</v>
      </c>
      <c r="U10"/>
    </row>
    <row r="11" spans="1:21" s="27" customFormat="1" ht="23.25" customHeight="1">
      <c r="A11" s="32" t="s">
        <v>8</v>
      </c>
      <c r="B11" s="174" t="s">
        <v>504</v>
      </c>
      <c r="C11" s="172">
        <f t="shared" ref="C11:C60" si="2">SUM(D11:H11)-N11+O11</f>
        <v>3258433287</v>
      </c>
      <c r="D11" s="140">
        <v>3258433287</v>
      </c>
      <c r="E11" s="140"/>
      <c r="F11" s="140"/>
      <c r="G11" s="140"/>
      <c r="H11" s="140"/>
      <c r="I11" s="172">
        <f t="shared" si="1"/>
        <v>0</v>
      </c>
      <c r="J11" s="140"/>
      <c r="K11" s="140"/>
      <c r="L11" s="140"/>
      <c r="M11" s="140"/>
      <c r="N11" s="172">
        <f t="shared" ref="N11:N60" si="3">SUM(O11:S11)</f>
        <v>0</v>
      </c>
      <c r="O11" s="140"/>
      <c r="P11" s="140"/>
      <c r="Q11" s="140"/>
      <c r="R11" s="140"/>
      <c r="S11" s="140"/>
      <c r="T11" s="204">
        <v>10300</v>
      </c>
      <c r="U11"/>
    </row>
    <row r="12" spans="1:21" s="27" customFormat="1" ht="23.25" customHeight="1">
      <c r="A12" s="32" t="s">
        <v>9</v>
      </c>
      <c r="B12" s="174" t="s">
        <v>201</v>
      </c>
      <c r="C12" s="172">
        <f t="shared" si="2"/>
        <v>5865748703</v>
      </c>
      <c r="D12" s="140">
        <v>5865748703</v>
      </c>
      <c r="E12" s="140"/>
      <c r="F12" s="141"/>
      <c r="G12" s="141"/>
      <c r="H12" s="140">
        <v>32812980</v>
      </c>
      <c r="I12" s="172">
        <f>SUM(J12:M12)</f>
        <v>0</v>
      </c>
      <c r="J12" s="140"/>
      <c r="K12" s="140"/>
      <c r="L12" s="140"/>
      <c r="M12" s="140"/>
      <c r="N12" s="172">
        <f t="shared" si="3"/>
        <v>32812980</v>
      </c>
      <c r="O12" s="140"/>
      <c r="P12" s="140"/>
      <c r="Q12" s="140"/>
      <c r="R12" s="140"/>
      <c r="S12" s="140">
        <v>32812980</v>
      </c>
      <c r="T12" s="204">
        <v>10500</v>
      </c>
      <c r="U12"/>
    </row>
    <row r="13" spans="1:21" s="27" customFormat="1" ht="23.25" customHeight="1">
      <c r="A13" s="32" t="s">
        <v>7</v>
      </c>
      <c r="B13" s="174" t="s">
        <v>399</v>
      </c>
      <c r="C13" s="172">
        <f t="shared" si="2"/>
        <v>1057702047</v>
      </c>
      <c r="D13" s="140">
        <v>1057702047</v>
      </c>
      <c r="E13" s="141"/>
      <c r="F13" s="141"/>
      <c r="G13" s="141"/>
      <c r="H13" s="141"/>
      <c r="I13" s="172">
        <f t="shared" ref="I13:I60" si="4">SUM(J13:M13)</f>
        <v>0</v>
      </c>
      <c r="J13" s="140"/>
      <c r="K13" s="140"/>
      <c r="L13" s="140"/>
      <c r="M13" s="140"/>
      <c r="N13" s="172">
        <f t="shared" si="3"/>
        <v>0</v>
      </c>
      <c r="O13" s="140"/>
      <c r="P13" s="140"/>
      <c r="Q13" s="140"/>
      <c r="R13" s="140"/>
      <c r="S13" s="140"/>
      <c r="T13" s="27">
        <v>10700</v>
      </c>
      <c r="U13"/>
    </row>
    <row r="14" spans="1:21" s="27" customFormat="1" ht="23.25" customHeight="1">
      <c r="A14" s="32" t="s">
        <v>6</v>
      </c>
      <c r="B14" s="174" t="s">
        <v>400</v>
      </c>
      <c r="C14" s="172">
        <f t="shared" si="2"/>
        <v>0</v>
      </c>
      <c r="D14" s="140"/>
      <c r="E14" s="141"/>
      <c r="F14" s="141"/>
      <c r="G14" s="141"/>
      <c r="H14" s="141"/>
      <c r="I14" s="172">
        <f t="shared" si="4"/>
        <v>0</v>
      </c>
      <c r="J14" s="140"/>
      <c r="K14" s="140"/>
      <c r="L14" s="140"/>
      <c r="M14" s="140"/>
      <c r="N14" s="172">
        <f t="shared" si="3"/>
        <v>0</v>
      </c>
      <c r="O14" s="140"/>
      <c r="P14" s="140"/>
      <c r="Q14" s="140"/>
      <c r="R14" s="140"/>
      <c r="S14" s="140"/>
      <c r="T14" s="27">
        <v>10800</v>
      </c>
      <c r="U14"/>
    </row>
    <row r="15" spans="1:21" s="27" customFormat="1" ht="23.25" customHeight="1">
      <c r="A15" s="32" t="s">
        <v>12</v>
      </c>
      <c r="B15" s="174" t="s">
        <v>401</v>
      </c>
      <c r="C15" s="172">
        <f t="shared" si="2"/>
        <v>875</v>
      </c>
      <c r="D15" s="140">
        <v>875</v>
      </c>
      <c r="E15" s="141"/>
      <c r="F15" s="141"/>
      <c r="G15" s="141"/>
      <c r="H15" s="141"/>
      <c r="I15" s="172">
        <f t="shared" si="4"/>
        <v>0</v>
      </c>
      <c r="J15" s="140"/>
      <c r="K15" s="140"/>
      <c r="L15" s="140"/>
      <c r="M15" s="140"/>
      <c r="N15" s="172">
        <f t="shared" si="3"/>
        <v>0</v>
      </c>
      <c r="O15" s="140"/>
      <c r="P15" s="140"/>
      <c r="Q15" s="140"/>
      <c r="R15" s="140"/>
      <c r="S15" s="140"/>
      <c r="T15" s="27">
        <v>10900</v>
      </c>
      <c r="U15"/>
    </row>
    <row r="16" spans="1:21" s="27" customFormat="1" ht="23.25" customHeight="1">
      <c r="A16" s="32" t="s">
        <v>11</v>
      </c>
      <c r="B16" s="174" t="s">
        <v>402</v>
      </c>
      <c r="C16" s="172">
        <f t="shared" si="2"/>
        <v>179149000</v>
      </c>
      <c r="D16" s="140">
        <v>177213000</v>
      </c>
      <c r="E16" s="141">
        <v>0</v>
      </c>
      <c r="F16" s="141">
        <v>0</v>
      </c>
      <c r="G16" s="140">
        <v>4136000</v>
      </c>
      <c r="H16" s="141">
        <v>0</v>
      </c>
      <c r="I16" s="172">
        <f t="shared" si="4"/>
        <v>0</v>
      </c>
      <c r="J16" s="140">
        <v>0</v>
      </c>
      <c r="K16" s="140">
        <v>0</v>
      </c>
      <c r="L16" s="140">
        <v>0</v>
      </c>
      <c r="M16" s="140">
        <v>0</v>
      </c>
      <c r="N16" s="172">
        <f t="shared" si="3"/>
        <v>3319400</v>
      </c>
      <c r="O16" s="140">
        <v>1119400</v>
      </c>
      <c r="P16" s="140">
        <v>0</v>
      </c>
      <c r="Q16" s="140">
        <v>0</v>
      </c>
      <c r="R16" s="140">
        <v>2200000</v>
      </c>
      <c r="S16" s="140">
        <v>0</v>
      </c>
      <c r="T16" s="27">
        <v>11100</v>
      </c>
      <c r="U16"/>
    </row>
    <row r="17" spans="1:21" s="27" customFormat="1" ht="23.25" customHeight="1">
      <c r="A17" s="32" t="s">
        <v>10</v>
      </c>
      <c r="B17" s="174" t="s">
        <v>403</v>
      </c>
      <c r="C17" s="172">
        <f t="shared" si="2"/>
        <v>0</v>
      </c>
      <c r="D17" s="140">
        <v>0</v>
      </c>
      <c r="E17" s="141">
        <v>0</v>
      </c>
      <c r="F17" s="141">
        <v>0</v>
      </c>
      <c r="G17" s="141">
        <v>0</v>
      </c>
      <c r="H17" s="141">
        <v>0</v>
      </c>
      <c r="I17" s="172">
        <f t="shared" si="4"/>
        <v>0</v>
      </c>
      <c r="J17" s="140">
        <v>0</v>
      </c>
      <c r="K17" s="140">
        <v>0</v>
      </c>
      <c r="L17" s="140">
        <v>0</v>
      </c>
      <c r="M17" s="140">
        <v>0</v>
      </c>
      <c r="N17" s="172">
        <f t="shared" si="3"/>
        <v>0</v>
      </c>
      <c r="O17" s="140"/>
      <c r="P17" s="140"/>
      <c r="Q17" s="140"/>
      <c r="R17" s="140"/>
      <c r="S17" s="140"/>
      <c r="T17" s="27">
        <v>11300</v>
      </c>
      <c r="U17"/>
    </row>
    <row r="18" spans="1:21" ht="23.25" customHeight="1">
      <c r="A18" s="32" t="s">
        <v>406</v>
      </c>
      <c r="B18" s="174" t="s">
        <v>404</v>
      </c>
      <c r="C18" s="172">
        <f t="shared" si="2"/>
        <v>0</v>
      </c>
      <c r="D18" s="140">
        <v>0</v>
      </c>
      <c r="E18" s="141">
        <v>0</v>
      </c>
      <c r="F18" s="141">
        <v>0</v>
      </c>
      <c r="G18" s="141">
        <v>0</v>
      </c>
      <c r="H18" s="141">
        <v>0</v>
      </c>
      <c r="I18" s="172">
        <f t="shared" si="4"/>
        <v>0</v>
      </c>
      <c r="J18" s="140">
        <v>0</v>
      </c>
      <c r="K18" s="140">
        <v>0</v>
      </c>
      <c r="L18" s="140">
        <v>0</v>
      </c>
      <c r="M18" s="140">
        <v>0</v>
      </c>
      <c r="N18" s="172">
        <f t="shared" si="3"/>
        <v>0</v>
      </c>
      <c r="O18" s="140"/>
      <c r="P18" s="140"/>
      <c r="Q18" s="140"/>
      <c r="R18" s="140"/>
      <c r="S18" s="140"/>
      <c r="T18" s="205">
        <v>11500</v>
      </c>
      <c r="U18"/>
    </row>
    <row r="19" spans="1:21" ht="23.25" customHeight="1">
      <c r="A19" s="32" t="s">
        <v>408</v>
      </c>
      <c r="B19" s="174" t="s">
        <v>405</v>
      </c>
      <c r="C19" s="172">
        <f t="shared" si="2"/>
        <v>0</v>
      </c>
      <c r="D19" s="140">
        <v>0</v>
      </c>
      <c r="E19" s="140">
        <v>0</v>
      </c>
      <c r="F19" s="140">
        <v>0</v>
      </c>
      <c r="G19" s="140">
        <v>0</v>
      </c>
      <c r="H19" s="140">
        <v>0</v>
      </c>
      <c r="I19" s="172">
        <f t="shared" si="4"/>
        <v>0</v>
      </c>
      <c r="J19" s="140">
        <v>0</v>
      </c>
      <c r="K19" s="140">
        <v>0</v>
      </c>
      <c r="L19" s="140">
        <v>0</v>
      </c>
      <c r="M19" s="140">
        <v>0</v>
      </c>
      <c r="N19" s="172">
        <f t="shared" si="3"/>
        <v>0</v>
      </c>
      <c r="O19" s="140"/>
      <c r="P19" s="140"/>
      <c r="Q19" s="140"/>
      <c r="R19" s="140"/>
      <c r="S19" s="140"/>
      <c r="T19" s="205">
        <v>11700</v>
      </c>
      <c r="U19"/>
    </row>
    <row r="20" spans="1:21" ht="23.25" customHeight="1">
      <c r="A20" s="32" t="s">
        <v>410</v>
      </c>
      <c r="B20" s="175" t="s">
        <v>407</v>
      </c>
      <c r="C20" s="172">
        <f t="shared" si="2"/>
        <v>0</v>
      </c>
      <c r="D20" s="140">
        <v>0</v>
      </c>
      <c r="E20" s="140">
        <v>0</v>
      </c>
      <c r="F20" s="140">
        <v>0</v>
      </c>
      <c r="G20" s="140">
        <v>0</v>
      </c>
      <c r="H20" s="140">
        <v>0</v>
      </c>
      <c r="I20" s="172">
        <f t="shared" si="4"/>
        <v>0</v>
      </c>
      <c r="J20" s="140">
        <v>0</v>
      </c>
      <c r="K20" s="140">
        <v>0</v>
      </c>
      <c r="L20" s="140">
        <v>0</v>
      </c>
      <c r="M20" s="140">
        <v>0</v>
      </c>
      <c r="N20" s="172">
        <f t="shared" si="3"/>
        <v>0</v>
      </c>
      <c r="O20" s="140"/>
      <c r="P20" s="140"/>
      <c r="Q20" s="140"/>
      <c r="R20" s="140"/>
      <c r="S20" s="140"/>
      <c r="T20" s="205">
        <v>11800</v>
      </c>
      <c r="U20"/>
    </row>
    <row r="21" spans="1:21" ht="23.25" customHeight="1">
      <c r="A21" s="32" t="s">
        <v>412</v>
      </c>
      <c r="B21" s="174" t="s">
        <v>409</v>
      </c>
      <c r="C21" s="172">
        <f t="shared" si="2"/>
        <v>0</v>
      </c>
      <c r="D21" s="140">
        <v>0</v>
      </c>
      <c r="E21" s="140">
        <v>0</v>
      </c>
      <c r="F21" s="140">
        <v>0</v>
      </c>
      <c r="G21" s="140">
        <v>0</v>
      </c>
      <c r="H21" s="140">
        <v>0</v>
      </c>
      <c r="I21" s="172">
        <f t="shared" si="4"/>
        <v>0</v>
      </c>
      <c r="J21" s="140">
        <v>0</v>
      </c>
      <c r="K21" s="140">
        <v>0</v>
      </c>
      <c r="L21" s="140">
        <v>0</v>
      </c>
      <c r="M21" s="140">
        <v>0</v>
      </c>
      <c r="N21" s="172">
        <f t="shared" si="3"/>
        <v>0</v>
      </c>
      <c r="O21" s="140"/>
      <c r="P21" s="140"/>
      <c r="Q21" s="140"/>
      <c r="R21" s="140"/>
      <c r="S21" s="140"/>
      <c r="T21" s="205">
        <v>11900</v>
      </c>
      <c r="U21"/>
    </row>
    <row r="22" spans="1:21" ht="23.25" customHeight="1">
      <c r="A22" s="32" t="s">
        <v>414</v>
      </c>
      <c r="B22" s="174" t="s">
        <v>411</v>
      </c>
      <c r="C22" s="172">
        <f t="shared" si="2"/>
        <v>0</v>
      </c>
      <c r="D22" s="140">
        <v>0</v>
      </c>
      <c r="E22" s="140">
        <v>0</v>
      </c>
      <c r="F22" s="140">
        <v>0</v>
      </c>
      <c r="G22" s="140">
        <v>0</v>
      </c>
      <c r="H22" s="140">
        <v>0</v>
      </c>
      <c r="I22" s="172">
        <f t="shared" si="4"/>
        <v>0</v>
      </c>
      <c r="J22" s="140">
        <v>0</v>
      </c>
      <c r="K22" s="140">
        <v>0</v>
      </c>
      <c r="L22" s="140">
        <v>0</v>
      </c>
      <c r="M22" s="140">
        <v>0</v>
      </c>
      <c r="N22" s="172">
        <f t="shared" si="3"/>
        <v>0</v>
      </c>
      <c r="O22" s="140"/>
      <c r="P22" s="140"/>
      <c r="Q22" s="140"/>
      <c r="R22" s="140"/>
      <c r="S22" s="140"/>
      <c r="T22" s="205">
        <v>12100</v>
      </c>
      <c r="U22"/>
    </row>
    <row r="23" spans="1:21" ht="23.25" customHeight="1">
      <c r="A23" s="32" t="s">
        <v>416</v>
      </c>
      <c r="B23" s="174" t="s">
        <v>413</v>
      </c>
      <c r="C23" s="172">
        <f t="shared" si="2"/>
        <v>0</v>
      </c>
      <c r="D23" s="140">
        <v>0</v>
      </c>
      <c r="E23" s="140">
        <v>0</v>
      </c>
      <c r="F23" s="140">
        <v>0</v>
      </c>
      <c r="G23" s="140">
        <v>0</v>
      </c>
      <c r="H23" s="140">
        <v>0</v>
      </c>
      <c r="I23" s="172">
        <f t="shared" si="4"/>
        <v>0</v>
      </c>
      <c r="J23" s="140">
        <v>0</v>
      </c>
      <c r="K23" s="140">
        <v>0</v>
      </c>
      <c r="L23" s="140">
        <v>0</v>
      </c>
      <c r="M23" s="140">
        <v>0</v>
      </c>
      <c r="N23" s="172">
        <f t="shared" si="3"/>
        <v>0</v>
      </c>
      <c r="O23" s="140"/>
      <c r="P23" s="140"/>
      <c r="Q23" s="140"/>
      <c r="R23" s="140"/>
      <c r="S23" s="140"/>
      <c r="T23" s="205">
        <v>12300</v>
      </c>
      <c r="U23"/>
    </row>
    <row r="24" spans="1:21" ht="23.25" customHeight="1">
      <c r="A24" s="32" t="s">
        <v>418</v>
      </c>
      <c r="B24" s="174" t="s">
        <v>415</v>
      </c>
      <c r="C24" s="172">
        <f t="shared" si="2"/>
        <v>0</v>
      </c>
      <c r="D24" s="140">
        <v>0</v>
      </c>
      <c r="E24" s="140">
        <v>0</v>
      </c>
      <c r="F24" s="140">
        <v>0</v>
      </c>
      <c r="G24" s="140">
        <v>0</v>
      </c>
      <c r="H24" s="140">
        <v>0</v>
      </c>
      <c r="I24" s="172">
        <f t="shared" si="4"/>
        <v>0</v>
      </c>
      <c r="J24" s="140">
        <v>0</v>
      </c>
      <c r="K24" s="140">
        <v>0</v>
      </c>
      <c r="L24" s="140">
        <v>0</v>
      </c>
      <c r="M24" s="140">
        <v>0</v>
      </c>
      <c r="N24" s="172">
        <f t="shared" si="3"/>
        <v>0</v>
      </c>
      <c r="O24" s="140"/>
      <c r="P24" s="140"/>
      <c r="Q24" s="140"/>
      <c r="R24" s="140"/>
      <c r="S24" s="140"/>
      <c r="T24" s="205">
        <v>12400</v>
      </c>
      <c r="U24"/>
    </row>
    <row r="25" spans="1:21" ht="23.25" customHeight="1">
      <c r="A25" s="32" t="s">
        <v>420</v>
      </c>
      <c r="B25" s="174" t="s">
        <v>417</v>
      </c>
      <c r="C25" s="172">
        <f>SUM(D25:H25)-N25+O25</f>
        <v>270725377</v>
      </c>
      <c r="D25" s="140">
        <v>260422937</v>
      </c>
      <c r="E25" s="140">
        <v>6723460</v>
      </c>
      <c r="F25" s="140">
        <v>3689520</v>
      </c>
      <c r="G25" s="140">
        <v>2878431</v>
      </c>
      <c r="H25" s="140">
        <v>12801703</v>
      </c>
      <c r="I25" s="172">
        <f t="shared" si="4"/>
        <v>19975764</v>
      </c>
      <c r="J25" s="140">
        <v>1125486</v>
      </c>
      <c r="K25" s="140">
        <v>3230490</v>
      </c>
      <c r="L25" s="140">
        <v>4195995</v>
      </c>
      <c r="M25" s="140">
        <v>11423793</v>
      </c>
      <c r="N25" s="172">
        <f t="shared" si="3"/>
        <v>19906610</v>
      </c>
      <c r="O25" s="140">
        <v>4115936</v>
      </c>
      <c r="P25" s="140">
        <v>675257</v>
      </c>
      <c r="Q25" s="140">
        <v>849815</v>
      </c>
      <c r="R25" s="140">
        <v>1440508</v>
      </c>
      <c r="S25" s="140">
        <v>12825094</v>
      </c>
      <c r="T25" s="205">
        <v>12500</v>
      </c>
      <c r="U25"/>
    </row>
    <row r="26" spans="1:21" ht="23.25" customHeight="1">
      <c r="A26" s="32" t="s">
        <v>422</v>
      </c>
      <c r="B26" s="174" t="s">
        <v>419</v>
      </c>
      <c r="C26" s="172">
        <f t="shared" si="2"/>
        <v>5178513</v>
      </c>
      <c r="D26" s="140">
        <v>5178513</v>
      </c>
      <c r="E26" s="140">
        <v>0</v>
      </c>
      <c r="F26" s="140">
        <v>0</v>
      </c>
      <c r="G26" s="140">
        <v>0</v>
      </c>
      <c r="H26" s="140">
        <v>0</v>
      </c>
      <c r="I26" s="172">
        <f t="shared" si="4"/>
        <v>72191</v>
      </c>
      <c r="J26" s="140">
        <v>72191</v>
      </c>
      <c r="K26" s="140">
        <v>0</v>
      </c>
      <c r="L26" s="140">
        <v>0</v>
      </c>
      <c r="M26" s="140">
        <v>0</v>
      </c>
      <c r="N26" s="172">
        <f t="shared" si="3"/>
        <v>51548</v>
      </c>
      <c r="O26" s="140">
        <v>51548</v>
      </c>
      <c r="P26" s="140">
        <v>0</v>
      </c>
      <c r="Q26" s="140">
        <v>0</v>
      </c>
      <c r="R26" s="140">
        <v>0</v>
      </c>
      <c r="S26" s="140">
        <v>0</v>
      </c>
      <c r="T26" s="205">
        <v>12600</v>
      </c>
      <c r="U26"/>
    </row>
    <row r="27" spans="1:21" ht="23.25" customHeight="1">
      <c r="A27" s="32" t="s">
        <v>424</v>
      </c>
      <c r="B27" s="174" t="s">
        <v>421</v>
      </c>
      <c r="C27" s="172">
        <f>SUM(D27:H27)-N27+O27</f>
        <v>1172822365</v>
      </c>
      <c r="D27" s="140">
        <v>1157780426</v>
      </c>
      <c r="E27" s="140">
        <v>0</v>
      </c>
      <c r="F27" s="140">
        <v>20055918</v>
      </c>
      <c r="G27" s="140">
        <v>0</v>
      </c>
      <c r="H27" s="140">
        <v>0</v>
      </c>
      <c r="I27" s="172">
        <f t="shared" si="4"/>
        <v>2830414</v>
      </c>
      <c r="J27" s="140">
        <v>638933</v>
      </c>
      <c r="K27" s="140">
        <v>2191481</v>
      </c>
      <c r="L27" s="140">
        <v>0</v>
      </c>
      <c r="M27" s="140">
        <v>0</v>
      </c>
      <c r="N27" s="172">
        <f t="shared" si="3"/>
        <v>15701024</v>
      </c>
      <c r="O27" s="140">
        <v>10687045</v>
      </c>
      <c r="P27" s="140">
        <v>0</v>
      </c>
      <c r="Q27" s="140">
        <v>5013979</v>
      </c>
      <c r="R27" s="140">
        <v>0</v>
      </c>
      <c r="S27" s="140">
        <v>0</v>
      </c>
      <c r="T27" s="205">
        <v>12700</v>
      </c>
      <c r="U27"/>
    </row>
    <row r="28" spans="1:21" ht="33.75" customHeight="1">
      <c r="A28" s="32" t="s">
        <v>426</v>
      </c>
      <c r="B28" s="174" t="s">
        <v>423</v>
      </c>
      <c r="C28" s="172">
        <f t="shared" si="2"/>
        <v>385566106</v>
      </c>
      <c r="D28" s="140">
        <v>352934374</v>
      </c>
      <c r="E28" s="140">
        <v>23456657</v>
      </c>
      <c r="F28" s="140">
        <v>10007302</v>
      </c>
      <c r="G28" s="140">
        <v>8030530</v>
      </c>
      <c r="H28" s="140">
        <v>5624921</v>
      </c>
      <c r="I28" s="172">
        <f t="shared" si="4"/>
        <v>19766502</v>
      </c>
      <c r="J28" s="140">
        <v>595181</v>
      </c>
      <c r="K28" s="140">
        <v>8588158</v>
      </c>
      <c r="L28" s="140">
        <v>4958242</v>
      </c>
      <c r="M28" s="140">
        <v>5624921</v>
      </c>
      <c r="N28" s="172">
        <f t="shared" si="3"/>
        <v>18098290</v>
      </c>
      <c r="O28" s="140">
        <v>3610612</v>
      </c>
      <c r="P28" s="140">
        <v>2345666</v>
      </c>
      <c r="Q28" s="140">
        <v>2501826</v>
      </c>
      <c r="R28" s="140">
        <v>4015265</v>
      </c>
      <c r="S28" s="140">
        <v>5624921</v>
      </c>
      <c r="T28" s="205">
        <v>12800</v>
      </c>
      <c r="U28" s="206"/>
    </row>
    <row r="29" spans="1:21" ht="23.25" customHeight="1">
      <c r="A29" s="32" t="s">
        <v>428</v>
      </c>
      <c r="B29" s="174" t="s">
        <v>425</v>
      </c>
      <c r="C29" s="172">
        <f t="shared" si="2"/>
        <v>1255721060</v>
      </c>
      <c r="D29" s="140">
        <v>1248300235</v>
      </c>
      <c r="E29" s="140">
        <v>8245361</v>
      </c>
      <c r="F29" s="140">
        <v>0</v>
      </c>
      <c r="G29" s="140">
        <v>0</v>
      </c>
      <c r="H29" s="140">
        <v>0</v>
      </c>
      <c r="I29" s="172">
        <f t="shared" si="4"/>
        <v>0</v>
      </c>
      <c r="J29" s="140">
        <v>0</v>
      </c>
      <c r="K29" s="140">
        <v>0</v>
      </c>
      <c r="L29" s="140">
        <v>0</v>
      </c>
      <c r="M29" s="140">
        <v>0</v>
      </c>
      <c r="N29" s="172">
        <f t="shared" si="3"/>
        <v>9115961</v>
      </c>
      <c r="O29" s="140">
        <v>8291425</v>
      </c>
      <c r="P29" s="140">
        <v>824536</v>
      </c>
      <c r="Q29" s="140">
        <v>0</v>
      </c>
      <c r="R29" s="140">
        <v>0</v>
      </c>
      <c r="S29" s="140">
        <v>0</v>
      </c>
      <c r="T29" s="205">
        <v>12900</v>
      </c>
      <c r="U29"/>
    </row>
    <row r="30" spans="1:21" ht="24" customHeight="1">
      <c r="A30" s="32" t="s">
        <v>430</v>
      </c>
      <c r="B30" s="174" t="s">
        <v>427</v>
      </c>
      <c r="C30" s="172">
        <f t="shared" si="2"/>
        <v>4955032</v>
      </c>
      <c r="D30" s="140">
        <v>4955032</v>
      </c>
      <c r="E30" s="140">
        <v>0</v>
      </c>
      <c r="F30" s="140">
        <v>0</v>
      </c>
      <c r="G30" s="140">
        <v>0</v>
      </c>
      <c r="H30" s="140">
        <v>17751</v>
      </c>
      <c r="I30" s="172">
        <f t="shared" si="4"/>
        <v>17751</v>
      </c>
      <c r="J30" s="140">
        <v>0</v>
      </c>
      <c r="K30" s="140">
        <v>0</v>
      </c>
      <c r="L30" s="140">
        <v>0</v>
      </c>
      <c r="M30" s="140">
        <v>17751</v>
      </c>
      <c r="N30" s="172">
        <f t="shared" si="3"/>
        <v>54898</v>
      </c>
      <c r="O30" s="140">
        <v>37147</v>
      </c>
      <c r="P30" s="140">
        <v>0</v>
      </c>
      <c r="Q30" s="140">
        <v>0</v>
      </c>
      <c r="R30" s="140">
        <v>0</v>
      </c>
      <c r="S30" s="140">
        <v>17751</v>
      </c>
      <c r="T30" s="205">
        <v>13000</v>
      </c>
      <c r="U30"/>
    </row>
    <row r="31" spans="1:21" ht="33.75" customHeight="1">
      <c r="A31" s="32" t="s">
        <v>432</v>
      </c>
      <c r="B31" s="174" t="s">
        <v>429</v>
      </c>
      <c r="C31" s="172">
        <f t="shared" si="2"/>
        <v>2222258963</v>
      </c>
      <c r="D31" s="140">
        <v>2145337513</v>
      </c>
      <c r="E31" s="140">
        <v>31622585</v>
      </c>
      <c r="F31" s="140">
        <v>58080297</v>
      </c>
      <c r="G31" s="140">
        <v>10254530</v>
      </c>
      <c r="H31" s="140">
        <v>22399936</v>
      </c>
      <c r="I31" s="172">
        <f t="shared" si="4"/>
        <v>67443751</v>
      </c>
      <c r="J31" s="140">
        <v>8950479</v>
      </c>
      <c r="K31" s="140">
        <v>32910447</v>
      </c>
      <c r="L31" s="140">
        <v>9112217</v>
      </c>
      <c r="M31" s="140">
        <v>16470608</v>
      </c>
      <c r="N31" s="172">
        <f t="shared" si="3"/>
        <v>64393203</v>
      </c>
      <c r="O31" s="140">
        <v>18957305</v>
      </c>
      <c r="P31" s="140">
        <v>3388623</v>
      </c>
      <c r="Q31" s="140">
        <v>14520074</v>
      </c>
      <c r="R31" s="140">
        <v>5127265</v>
      </c>
      <c r="S31" s="140">
        <v>22399936</v>
      </c>
      <c r="T31" s="205">
        <v>13100</v>
      </c>
      <c r="U31"/>
    </row>
    <row r="32" spans="1:21" ht="23.25" customHeight="1">
      <c r="A32" s="32" t="s">
        <v>434</v>
      </c>
      <c r="B32" s="174" t="s">
        <v>431</v>
      </c>
      <c r="C32" s="172">
        <f t="shared" si="2"/>
        <v>0</v>
      </c>
      <c r="D32" s="140">
        <v>0</v>
      </c>
      <c r="E32" s="140">
        <v>0</v>
      </c>
      <c r="F32" s="140">
        <v>0</v>
      </c>
      <c r="G32" s="140">
        <v>0</v>
      </c>
      <c r="H32" s="140">
        <v>0</v>
      </c>
      <c r="I32" s="172">
        <f t="shared" si="4"/>
        <v>0</v>
      </c>
      <c r="J32" s="140">
        <v>0</v>
      </c>
      <c r="K32" s="140">
        <v>0</v>
      </c>
      <c r="L32" s="140">
        <v>0</v>
      </c>
      <c r="M32" s="140">
        <v>0</v>
      </c>
      <c r="N32" s="172">
        <f t="shared" si="3"/>
        <v>7332</v>
      </c>
      <c r="O32" s="140">
        <v>7332</v>
      </c>
      <c r="P32" s="140">
        <v>0</v>
      </c>
      <c r="Q32" s="140">
        <v>0</v>
      </c>
      <c r="R32" s="140">
        <v>0</v>
      </c>
      <c r="S32" s="140">
        <v>0</v>
      </c>
      <c r="T32" s="205">
        <v>13200</v>
      </c>
      <c r="U32"/>
    </row>
    <row r="33" spans="1:21" ht="32.25" customHeight="1">
      <c r="A33" s="32" t="s">
        <v>436</v>
      </c>
      <c r="B33" s="174" t="s">
        <v>677</v>
      </c>
      <c r="C33" s="172">
        <f t="shared" si="2"/>
        <v>0</v>
      </c>
      <c r="D33" s="140">
        <v>0</v>
      </c>
      <c r="E33" s="140">
        <v>0</v>
      </c>
      <c r="F33" s="140">
        <v>0</v>
      </c>
      <c r="G33" s="140">
        <v>0</v>
      </c>
      <c r="H33" s="140">
        <v>0</v>
      </c>
      <c r="I33" s="172">
        <f t="shared" ref="I33:I34" si="5">SUM(J33:M33)</f>
        <v>0</v>
      </c>
      <c r="J33" s="140">
        <v>0</v>
      </c>
      <c r="K33" s="140">
        <v>0</v>
      </c>
      <c r="L33" s="140">
        <v>0</v>
      </c>
      <c r="M33" s="140">
        <v>0</v>
      </c>
      <c r="N33" s="172">
        <f t="shared" si="3"/>
        <v>0</v>
      </c>
      <c r="O33" s="140">
        <v>0</v>
      </c>
      <c r="P33" s="140">
        <v>0</v>
      </c>
      <c r="Q33" s="140">
        <v>0</v>
      </c>
      <c r="R33" s="140">
        <v>0</v>
      </c>
      <c r="S33" s="140">
        <v>0</v>
      </c>
      <c r="T33" s="205">
        <v>13300</v>
      </c>
      <c r="U33"/>
    </row>
    <row r="34" spans="1:21" ht="32.25" customHeight="1">
      <c r="A34" s="32" t="s">
        <v>438</v>
      </c>
      <c r="B34" s="174" t="s">
        <v>678</v>
      </c>
      <c r="C34" s="172">
        <f t="shared" si="2"/>
        <v>0</v>
      </c>
      <c r="D34" s="140">
        <v>0</v>
      </c>
      <c r="E34" s="140">
        <v>0</v>
      </c>
      <c r="F34" s="140">
        <v>0</v>
      </c>
      <c r="G34" s="140">
        <v>0</v>
      </c>
      <c r="H34" s="140">
        <v>0</v>
      </c>
      <c r="I34" s="172">
        <f t="shared" si="5"/>
        <v>0</v>
      </c>
      <c r="J34" s="140">
        <v>0</v>
      </c>
      <c r="K34" s="140">
        <v>0</v>
      </c>
      <c r="L34" s="140">
        <v>0</v>
      </c>
      <c r="M34" s="140">
        <v>0</v>
      </c>
      <c r="N34" s="172">
        <f t="shared" si="3"/>
        <v>0</v>
      </c>
      <c r="O34" s="140">
        <v>0</v>
      </c>
      <c r="P34" s="140">
        <v>0</v>
      </c>
      <c r="Q34" s="140">
        <v>0</v>
      </c>
      <c r="R34" s="140">
        <v>0</v>
      </c>
      <c r="S34" s="140">
        <v>0</v>
      </c>
      <c r="T34" s="205">
        <v>14300</v>
      </c>
      <c r="U34"/>
    </row>
    <row r="35" spans="1:21" ht="33.75" customHeight="1">
      <c r="A35" s="32" t="s">
        <v>440</v>
      </c>
      <c r="B35" s="174" t="s">
        <v>433</v>
      </c>
      <c r="C35" s="172">
        <f t="shared" si="2"/>
        <v>3689745918</v>
      </c>
      <c r="D35" s="140">
        <v>2765184094</v>
      </c>
      <c r="E35" s="140">
        <v>678063715</v>
      </c>
      <c r="F35" s="140">
        <v>342934995</v>
      </c>
      <c r="G35" s="140">
        <v>90797045</v>
      </c>
      <c r="H35" s="140">
        <v>90790490</v>
      </c>
      <c r="I35" s="172">
        <f t="shared" si="4"/>
        <v>106023347</v>
      </c>
      <c r="J35" s="140">
        <v>19007471</v>
      </c>
      <c r="K35" s="140">
        <v>51203507</v>
      </c>
      <c r="L35" s="140">
        <v>15199133</v>
      </c>
      <c r="M35" s="140">
        <v>20613236</v>
      </c>
      <c r="N35" s="172">
        <f t="shared" si="3"/>
        <v>311577393</v>
      </c>
      <c r="O35" s="140">
        <v>33552972</v>
      </c>
      <c r="P35" s="140">
        <v>65759234</v>
      </c>
      <c r="Q35" s="140">
        <v>80343503</v>
      </c>
      <c r="R35" s="140">
        <v>41131194</v>
      </c>
      <c r="S35" s="140">
        <v>90790490</v>
      </c>
      <c r="T35" s="205">
        <v>14400</v>
      </c>
      <c r="U35"/>
    </row>
    <row r="36" spans="1:21" ht="23.25" customHeight="1">
      <c r="A36" s="32" t="s">
        <v>442</v>
      </c>
      <c r="B36" s="174" t="s">
        <v>435</v>
      </c>
      <c r="C36" s="172">
        <f t="shared" si="2"/>
        <v>0</v>
      </c>
      <c r="D36" s="140">
        <v>0</v>
      </c>
      <c r="E36" s="140">
        <v>0</v>
      </c>
      <c r="F36" s="140">
        <v>0</v>
      </c>
      <c r="G36" s="140">
        <v>0</v>
      </c>
      <c r="H36" s="140">
        <v>0</v>
      </c>
      <c r="I36" s="172">
        <f t="shared" si="4"/>
        <v>0</v>
      </c>
      <c r="J36" s="140">
        <v>0</v>
      </c>
      <c r="K36" s="140">
        <v>0</v>
      </c>
      <c r="L36" s="140">
        <v>0</v>
      </c>
      <c r="M36" s="140">
        <v>0</v>
      </c>
      <c r="N36" s="172">
        <f t="shared" si="3"/>
        <v>0</v>
      </c>
      <c r="O36" s="140">
        <v>0</v>
      </c>
      <c r="P36" s="140">
        <v>0</v>
      </c>
      <c r="Q36" s="140">
        <v>0</v>
      </c>
      <c r="R36" s="140">
        <v>0</v>
      </c>
      <c r="S36" s="140">
        <v>0</v>
      </c>
      <c r="T36" s="205">
        <v>14500</v>
      </c>
      <c r="U36"/>
    </row>
    <row r="37" spans="1:21" ht="23.25" customHeight="1">
      <c r="A37" s="32" t="s">
        <v>444</v>
      </c>
      <c r="B37" s="174" t="s">
        <v>437</v>
      </c>
      <c r="C37" s="172">
        <f t="shared" si="2"/>
        <v>0</v>
      </c>
      <c r="D37" s="140">
        <v>0</v>
      </c>
      <c r="E37" s="140">
        <v>0</v>
      </c>
      <c r="F37" s="140">
        <v>0</v>
      </c>
      <c r="G37" s="140">
        <v>0</v>
      </c>
      <c r="H37" s="140">
        <v>0</v>
      </c>
      <c r="I37" s="172">
        <f t="shared" si="4"/>
        <v>0</v>
      </c>
      <c r="J37" s="140">
        <v>0</v>
      </c>
      <c r="K37" s="140">
        <v>0</v>
      </c>
      <c r="L37" s="140">
        <v>0</v>
      </c>
      <c r="M37" s="140">
        <v>0</v>
      </c>
      <c r="N37" s="172">
        <f t="shared" si="3"/>
        <v>0</v>
      </c>
      <c r="O37" s="140">
        <v>0</v>
      </c>
      <c r="P37" s="140">
        <v>0</v>
      </c>
      <c r="Q37" s="140">
        <v>0</v>
      </c>
      <c r="R37" s="140">
        <v>0</v>
      </c>
      <c r="S37" s="140">
        <v>0</v>
      </c>
      <c r="T37" s="205">
        <v>14700</v>
      </c>
      <c r="U37"/>
    </row>
    <row r="38" spans="1:21" ht="23.25" customHeight="1">
      <c r="A38" s="32" t="s">
        <v>446</v>
      </c>
      <c r="B38" s="174" t="s">
        <v>439</v>
      </c>
      <c r="C38" s="172">
        <f t="shared" si="2"/>
        <v>0</v>
      </c>
      <c r="D38" s="140">
        <v>0</v>
      </c>
      <c r="E38" s="140">
        <v>0</v>
      </c>
      <c r="F38" s="140">
        <v>0</v>
      </c>
      <c r="G38" s="140">
        <v>0</v>
      </c>
      <c r="H38" s="140">
        <v>0</v>
      </c>
      <c r="I38" s="172">
        <f t="shared" si="4"/>
        <v>0</v>
      </c>
      <c r="J38" s="140">
        <v>0</v>
      </c>
      <c r="K38" s="140">
        <v>0</v>
      </c>
      <c r="L38" s="140">
        <v>0</v>
      </c>
      <c r="M38" s="140">
        <v>0</v>
      </c>
      <c r="N38" s="172">
        <f t="shared" si="3"/>
        <v>0</v>
      </c>
      <c r="O38" s="140">
        <v>0</v>
      </c>
      <c r="P38" s="140">
        <v>0</v>
      </c>
      <c r="Q38" s="140">
        <v>0</v>
      </c>
      <c r="R38" s="140">
        <v>0</v>
      </c>
      <c r="S38" s="140">
        <v>0</v>
      </c>
      <c r="T38" s="205">
        <v>14800</v>
      </c>
      <c r="U38"/>
    </row>
    <row r="39" spans="1:21" ht="23.25" customHeight="1">
      <c r="A39" s="32" t="s">
        <v>447</v>
      </c>
      <c r="B39" s="174" t="s">
        <v>441</v>
      </c>
      <c r="C39" s="172">
        <f t="shared" si="2"/>
        <v>3858762896</v>
      </c>
      <c r="D39" s="140">
        <v>3704044932</v>
      </c>
      <c r="E39" s="140">
        <v>125782435</v>
      </c>
      <c r="F39" s="140">
        <v>34777958</v>
      </c>
      <c r="G39" s="140">
        <v>29312040</v>
      </c>
      <c r="H39" s="140">
        <v>78435839</v>
      </c>
      <c r="I39" s="172">
        <f t="shared" si="4"/>
        <v>21570060</v>
      </c>
      <c r="J39" s="140">
        <v>1296925</v>
      </c>
      <c r="K39" s="140">
        <v>3520689</v>
      </c>
      <c r="L39" s="140">
        <v>3893096</v>
      </c>
      <c r="M39" s="140">
        <v>12859350</v>
      </c>
      <c r="N39" s="172">
        <f t="shared" si="3"/>
        <v>145898367</v>
      </c>
      <c r="O39" s="140">
        <v>32308059</v>
      </c>
      <c r="P39" s="140">
        <v>12640574</v>
      </c>
      <c r="Q39" s="140">
        <v>8466884</v>
      </c>
      <c r="R39" s="140">
        <v>14656922</v>
      </c>
      <c r="S39" s="140">
        <v>77825928</v>
      </c>
      <c r="T39" s="205">
        <v>14900</v>
      </c>
      <c r="U39"/>
    </row>
    <row r="40" spans="1:21" ht="23.25" customHeight="1">
      <c r="A40" s="32" t="s">
        <v>449</v>
      </c>
      <c r="B40" s="174" t="s">
        <v>443</v>
      </c>
      <c r="C40" s="172">
        <f t="shared" si="2"/>
        <v>15821710</v>
      </c>
      <c r="D40" s="140">
        <v>14736279</v>
      </c>
      <c r="E40" s="140">
        <v>972897</v>
      </c>
      <c r="F40" s="140">
        <v>120389</v>
      </c>
      <c r="G40" s="140">
        <v>239064</v>
      </c>
      <c r="H40" s="140">
        <v>137000</v>
      </c>
      <c r="I40" s="172">
        <f t="shared" si="4"/>
        <v>258984</v>
      </c>
      <c r="J40" s="140">
        <v>9441</v>
      </c>
      <c r="K40" s="140">
        <v>181732</v>
      </c>
      <c r="L40" s="140">
        <v>37261</v>
      </c>
      <c r="M40" s="140">
        <v>30550</v>
      </c>
      <c r="N40" s="172">
        <f t="shared" si="3"/>
        <v>548949</v>
      </c>
      <c r="O40" s="140">
        <v>165030</v>
      </c>
      <c r="P40" s="140">
        <v>97290</v>
      </c>
      <c r="Q40" s="140">
        <v>30097</v>
      </c>
      <c r="R40" s="140">
        <v>119532</v>
      </c>
      <c r="S40" s="140">
        <v>137000</v>
      </c>
      <c r="T40" s="205">
        <v>15000</v>
      </c>
      <c r="U40"/>
    </row>
    <row r="41" spans="1:21" ht="33.75" customHeight="1">
      <c r="A41" s="32" t="s">
        <v>451</v>
      </c>
      <c r="B41" s="174" t="s">
        <v>445</v>
      </c>
      <c r="C41" s="172">
        <f t="shared" si="2"/>
        <v>12627374813</v>
      </c>
      <c r="D41" s="140">
        <v>12627374813</v>
      </c>
      <c r="E41" s="140">
        <v>0</v>
      </c>
      <c r="F41" s="140">
        <v>0</v>
      </c>
      <c r="G41" s="140">
        <v>0</v>
      </c>
      <c r="H41" s="140">
        <v>1149336</v>
      </c>
      <c r="I41" s="172">
        <f t="shared" si="4"/>
        <v>522332</v>
      </c>
      <c r="J41" s="140">
        <v>0</v>
      </c>
      <c r="K41" s="140">
        <v>0</v>
      </c>
      <c r="L41" s="140">
        <v>0</v>
      </c>
      <c r="M41" s="140">
        <v>522332</v>
      </c>
      <c r="N41" s="172">
        <f t="shared" si="3"/>
        <v>121965864</v>
      </c>
      <c r="O41" s="140">
        <v>120816528</v>
      </c>
      <c r="P41" s="140">
        <v>0</v>
      </c>
      <c r="Q41" s="140">
        <v>0</v>
      </c>
      <c r="R41" s="140">
        <v>0</v>
      </c>
      <c r="S41" s="140">
        <v>1149336</v>
      </c>
      <c r="T41" s="205">
        <v>15100</v>
      </c>
      <c r="U41"/>
    </row>
    <row r="42" spans="1:21" ht="23.25" customHeight="1">
      <c r="A42" s="32" t="s">
        <v>453</v>
      </c>
      <c r="B42" s="174" t="s">
        <v>675</v>
      </c>
      <c r="C42" s="172">
        <f t="shared" si="2"/>
        <v>58643484</v>
      </c>
      <c r="D42" s="140">
        <v>43974975</v>
      </c>
      <c r="E42" s="140">
        <v>6380158</v>
      </c>
      <c r="F42" s="140">
        <v>8383148</v>
      </c>
      <c r="G42" s="140">
        <v>4721494</v>
      </c>
      <c r="H42" s="140">
        <v>51110754</v>
      </c>
      <c r="I42" s="172">
        <f t="shared" si="4"/>
        <v>4932408</v>
      </c>
      <c r="J42" s="140">
        <v>99097</v>
      </c>
      <c r="K42" s="140">
        <v>239215</v>
      </c>
      <c r="L42" s="140">
        <v>391544</v>
      </c>
      <c r="M42" s="140">
        <v>4202552</v>
      </c>
      <c r="N42" s="172">
        <f t="shared" si="3"/>
        <v>56420456</v>
      </c>
      <c r="O42" s="140">
        <v>493411</v>
      </c>
      <c r="P42" s="140">
        <v>638016</v>
      </c>
      <c r="Q42" s="140">
        <v>1817528</v>
      </c>
      <c r="R42" s="140">
        <v>2360747</v>
      </c>
      <c r="S42" s="140">
        <v>51110754</v>
      </c>
      <c r="T42" s="205">
        <v>15200</v>
      </c>
      <c r="U42"/>
    </row>
    <row r="43" spans="1:21" ht="23.25" customHeight="1">
      <c r="A43" s="32" t="s">
        <v>455</v>
      </c>
      <c r="B43" s="174" t="s">
        <v>448</v>
      </c>
      <c r="C43" s="172">
        <f t="shared" si="2"/>
        <v>5101383670</v>
      </c>
      <c r="D43" s="140">
        <v>4944672711</v>
      </c>
      <c r="E43" s="140">
        <v>70631231</v>
      </c>
      <c r="F43" s="140">
        <v>124190468</v>
      </c>
      <c r="G43" s="140">
        <v>0</v>
      </c>
      <c r="H43" s="140">
        <v>1192143</v>
      </c>
      <c r="I43" s="172">
        <f t="shared" si="4"/>
        <v>340612</v>
      </c>
      <c r="J43" s="140">
        <v>0</v>
      </c>
      <c r="K43" s="140">
        <v>0</v>
      </c>
      <c r="L43" s="140">
        <v>0</v>
      </c>
      <c r="M43" s="140">
        <v>340612</v>
      </c>
      <c r="N43" s="172">
        <f t="shared" si="3"/>
        <v>75532954</v>
      </c>
      <c r="O43" s="140">
        <v>36230071</v>
      </c>
      <c r="P43" s="140">
        <v>7063123</v>
      </c>
      <c r="Q43" s="140">
        <v>31047617</v>
      </c>
      <c r="R43" s="140">
        <v>0</v>
      </c>
      <c r="S43" s="140">
        <v>1192143</v>
      </c>
      <c r="T43" s="205">
        <v>15300</v>
      </c>
      <c r="U43"/>
    </row>
    <row r="44" spans="1:21" ht="23.25" customHeight="1">
      <c r="A44" s="32" t="s">
        <v>457</v>
      </c>
      <c r="B44" s="174" t="s">
        <v>450</v>
      </c>
      <c r="C44" s="172">
        <f t="shared" si="2"/>
        <v>2984332</v>
      </c>
      <c r="D44" s="140">
        <v>0</v>
      </c>
      <c r="E44" s="140">
        <v>3315924</v>
      </c>
      <c r="F44" s="140">
        <v>0</v>
      </c>
      <c r="G44" s="140">
        <v>0</v>
      </c>
      <c r="H44" s="140">
        <v>0</v>
      </c>
      <c r="I44" s="172">
        <f t="shared" si="4"/>
        <v>0</v>
      </c>
      <c r="J44" s="140">
        <v>0</v>
      </c>
      <c r="K44" s="140">
        <v>0</v>
      </c>
      <c r="L44" s="140">
        <v>0</v>
      </c>
      <c r="M44" s="140">
        <v>0</v>
      </c>
      <c r="N44" s="172">
        <f t="shared" si="3"/>
        <v>385455</v>
      </c>
      <c r="O44" s="140">
        <v>53863</v>
      </c>
      <c r="P44" s="140">
        <v>331592</v>
      </c>
      <c r="Q44" s="140">
        <v>0</v>
      </c>
      <c r="R44" s="140">
        <v>0</v>
      </c>
      <c r="S44" s="140">
        <v>0</v>
      </c>
      <c r="T44" s="205">
        <v>15400</v>
      </c>
      <c r="U44"/>
    </row>
    <row r="45" spans="1:21" ht="33.75" customHeight="1">
      <c r="A45" s="32" t="s">
        <v>459</v>
      </c>
      <c r="B45" s="174" t="s">
        <v>452</v>
      </c>
      <c r="C45" s="172">
        <f t="shared" si="2"/>
        <v>10761924846</v>
      </c>
      <c r="D45" s="140">
        <v>9062510601</v>
      </c>
      <c r="E45" s="140">
        <v>1602208219</v>
      </c>
      <c r="F45" s="140">
        <v>289281856</v>
      </c>
      <c r="G45" s="140">
        <v>58966434</v>
      </c>
      <c r="H45" s="140">
        <v>263105172</v>
      </c>
      <c r="I45" s="172">
        <f t="shared" si="4"/>
        <v>131122318</v>
      </c>
      <c r="J45" s="140">
        <v>16577137</v>
      </c>
      <c r="K45" s="140">
        <v>31634183</v>
      </c>
      <c r="L45" s="140">
        <v>20023445</v>
      </c>
      <c r="M45" s="140">
        <v>62887553</v>
      </c>
      <c r="N45" s="172">
        <f t="shared" si="3"/>
        <v>594978537</v>
      </c>
      <c r="O45" s="140">
        <v>80831101</v>
      </c>
      <c r="P45" s="140">
        <v>155889606</v>
      </c>
      <c r="Q45" s="140">
        <v>68021241</v>
      </c>
      <c r="R45" s="140">
        <v>28133217</v>
      </c>
      <c r="S45" s="140">
        <v>262103372</v>
      </c>
      <c r="T45" s="205">
        <v>15500</v>
      </c>
      <c r="U45"/>
    </row>
    <row r="46" spans="1:21" ht="18" customHeight="1">
      <c r="A46" s="32" t="s">
        <v>461</v>
      </c>
      <c r="B46" s="174" t="s">
        <v>667</v>
      </c>
      <c r="C46" s="172">
        <f t="shared" si="2"/>
        <v>428270722</v>
      </c>
      <c r="D46" s="140">
        <v>349829545</v>
      </c>
      <c r="E46" s="140">
        <v>96421569</v>
      </c>
      <c r="F46" s="140">
        <v>0</v>
      </c>
      <c r="G46" s="140">
        <v>0</v>
      </c>
      <c r="H46" s="140">
        <v>0</v>
      </c>
      <c r="I46" s="172">
        <f t="shared" si="4"/>
        <v>0</v>
      </c>
      <c r="J46" s="140"/>
      <c r="K46" s="140"/>
      <c r="L46" s="140"/>
      <c r="M46" s="140"/>
      <c r="N46" s="172">
        <f t="shared" si="3"/>
        <v>18160948</v>
      </c>
      <c r="O46" s="140">
        <v>180556</v>
      </c>
      <c r="P46" s="140">
        <v>17980392</v>
      </c>
      <c r="Q46" s="140">
        <v>0</v>
      </c>
      <c r="R46" s="140">
        <v>0</v>
      </c>
      <c r="S46" s="140">
        <v>0</v>
      </c>
      <c r="T46" s="205">
        <v>15600</v>
      </c>
      <c r="U46"/>
    </row>
    <row r="47" spans="1:21" ht="23.25" customHeight="1">
      <c r="A47" s="32" t="s">
        <v>463</v>
      </c>
      <c r="B47" s="174" t="s">
        <v>454</v>
      </c>
      <c r="C47" s="172">
        <f t="shared" si="2"/>
        <v>0</v>
      </c>
      <c r="D47" s="140">
        <v>0</v>
      </c>
      <c r="E47" s="140">
        <v>0</v>
      </c>
      <c r="F47" s="140">
        <v>0</v>
      </c>
      <c r="G47" s="140">
        <v>0</v>
      </c>
      <c r="H47" s="140">
        <v>1910833</v>
      </c>
      <c r="I47" s="172">
        <f t="shared" si="4"/>
        <v>0</v>
      </c>
      <c r="J47" s="140"/>
      <c r="K47" s="140"/>
      <c r="L47" s="140"/>
      <c r="M47" s="140"/>
      <c r="N47" s="172">
        <f t="shared" si="3"/>
        <v>1910833</v>
      </c>
      <c r="O47" s="140">
        <v>0</v>
      </c>
      <c r="P47" s="140">
        <v>0</v>
      </c>
      <c r="Q47" s="140">
        <v>0</v>
      </c>
      <c r="R47" s="140">
        <v>0</v>
      </c>
      <c r="S47" s="140">
        <v>1910833</v>
      </c>
      <c r="T47" s="205">
        <v>15700</v>
      </c>
      <c r="U47"/>
    </row>
    <row r="48" spans="1:21" ht="33.75" customHeight="1">
      <c r="A48" s="32" t="s">
        <v>465</v>
      </c>
      <c r="B48" s="174" t="s">
        <v>456</v>
      </c>
      <c r="C48" s="172">
        <f t="shared" si="2"/>
        <v>143665561</v>
      </c>
      <c r="D48" s="140">
        <v>143665561</v>
      </c>
      <c r="E48" s="140">
        <v>0</v>
      </c>
      <c r="F48" s="140">
        <v>0</v>
      </c>
      <c r="G48" s="140">
        <v>0</v>
      </c>
      <c r="H48" s="140">
        <v>8768330</v>
      </c>
      <c r="I48" s="172">
        <f t="shared" si="4"/>
        <v>0</v>
      </c>
      <c r="J48" s="140"/>
      <c r="K48" s="140"/>
      <c r="L48" s="140"/>
      <c r="M48" s="140"/>
      <c r="N48" s="172">
        <f t="shared" si="3"/>
        <v>8768330</v>
      </c>
      <c r="O48" s="140">
        <v>0</v>
      </c>
      <c r="P48" s="140">
        <v>0</v>
      </c>
      <c r="Q48" s="140">
        <v>0</v>
      </c>
      <c r="R48" s="140">
        <v>0</v>
      </c>
      <c r="S48" s="140">
        <v>8768330</v>
      </c>
      <c r="T48" s="205">
        <v>15800</v>
      </c>
      <c r="U48"/>
    </row>
    <row r="49" spans="1:29" ht="23.25" customHeight="1">
      <c r="A49" s="32" t="s">
        <v>621</v>
      </c>
      <c r="B49" s="174" t="s">
        <v>458</v>
      </c>
      <c r="C49" s="172">
        <f t="shared" si="2"/>
        <v>5850400</v>
      </c>
      <c r="D49" s="140">
        <v>5850400</v>
      </c>
      <c r="E49" s="140">
        <v>0</v>
      </c>
      <c r="F49" s="140">
        <v>0</v>
      </c>
      <c r="G49" s="140">
        <v>0</v>
      </c>
      <c r="H49" s="140">
        <v>0</v>
      </c>
      <c r="I49" s="172">
        <f t="shared" si="4"/>
        <v>0</v>
      </c>
      <c r="J49" s="140"/>
      <c r="K49" s="140"/>
      <c r="L49" s="140"/>
      <c r="M49" s="140"/>
      <c r="N49" s="172">
        <f t="shared" si="3"/>
        <v>0</v>
      </c>
      <c r="O49" s="140"/>
      <c r="P49" s="140"/>
      <c r="Q49" s="140"/>
      <c r="R49" s="140"/>
      <c r="S49" s="140"/>
      <c r="T49" s="205">
        <v>15900</v>
      </c>
      <c r="U49"/>
    </row>
    <row r="50" spans="1:29" ht="23.25" customHeight="1">
      <c r="A50" s="32" t="s">
        <v>622</v>
      </c>
      <c r="B50" s="174" t="s">
        <v>460</v>
      </c>
      <c r="C50" s="172">
        <f t="shared" si="2"/>
        <v>1312009307</v>
      </c>
      <c r="D50" s="140">
        <v>1312009307</v>
      </c>
      <c r="E50" s="140">
        <v>0</v>
      </c>
      <c r="F50" s="140">
        <v>0</v>
      </c>
      <c r="G50" s="140">
        <v>0</v>
      </c>
      <c r="H50" s="140">
        <v>0</v>
      </c>
      <c r="I50" s="172">
        <f t="shared" si="4"/>
        <v>70051214</v>
      </c>
      <c r="J50" s="140">
        <v>33794659</v>
      </c>
      <c r="K50" s="140">
        <v>18590479</v>
      </c>
      <c r="L50" s="140">
        <v>10165286</v>
      </c>
      <c r="M50" s="140">
        <v>7500790</v>
      </c>
      <c r="N50" s="172">
        <f t="shared" si="3"/>
        <v>0</v>
      </c>
      <c r="O50" s="140"/>
      <c r="P50" s="140"/>
      <c r="Q50" s="140"/>
      <c r="R50" s="140"/>
      <c r="S50" s="140"/>
      <c r="T50" s="205">
        <v>16300</v>
      </c>
      <c r="U50"/>
    </row>
    <row r="51" spans="1:29" ht="23.25" customHeight="1">
      <c r="A51" s="32" t="s">
        <v>660</v>
      </c>
      <c r="B51" s="174" t="s">
        <v>462</v>
      </c>
      <c r="C51" s="172">
        <f t="shared" si="2"/>
        <v>8214191</v>
      </c>
      <c r="D51" s="140">
        <v>8214191</v>
      </c>
      <c r="E51" s="140">
        <v>0</v>
      </c>
      <c r="F51" s="140">
        <v>0</v>
      </c>
      <c r="G51" s="140">
        <v>0</v>
      </c>
      <c r="H51" s="140">
        <v>1740332</v>
      </c>
      <c r="I51" s="172">
        <f t="shared" si="4"/>
        <v>0</v>
      </c>
      <c r="J51" s="140"/>
      <c r="K51" s="140"/>
      <c r="L51" s="140"/>
      <c r="M51" s="140"/>
      <c r="N51" s="172">
        <f t="shared" si="3"/>
        <v>1740332</v>
      </c>
      <c r="O51" s="140"/>
      <c r="P51" s="140"/>
      <c r="Q51" s="140"/>
      <c r="R51" s="140"/>
      <c r="S51" s="140">
        <v>1740332</v>
      </c>
      <c r="T51" s="205">
        <v>16400</v>
      </c>
      <c r="U51"/>
    </row>
    <row r="52" spans="1:29" ht="23.25" customHeight="1">
      <c r="A52" s="32" t="s">
        <v>668</v>
      </c>
      <c r="B52" s="174" t="s">
        <v>659</v>
      </c>
      <c r="C52" s="172">
        <f t="shared" si="2"/>
        <v>1181891713</v>
      </c>
      <c r="D52" s="140">
        <v>1181891713</v>
      </c>
      <c r="E52" s="140">
        <v>0</v>
      </c>
      <c r="F52" s="140">
        <v>0</v>
      </c>
      <c r="G52" s="140">
        <v>0</v>
      </c>
      <c r="H52" s="140">
        <v>0</v>
      </c>
      <c r="I52" s="172">
        <f t="shared" si="4"/>
        <v>0</v>
      </c>
      <c r="J52" s="140"/>
      <c r="K52" s="140"/>
      <c r="L52" s="140"/>
      <c r="M52" s="140"/>
      <c r="N52" s="172">
        <f t="shared" si="3"/>
        <v>0</v>
      </c>
      <c r="O52" s="140"/>
      <c r="P52" s="140"/>
      <c r="Q52" s="140"/>
      <c r="R52" s="140"/>
      <c r="S52" s="140"/>
      <c r="T52" s="205">
        <v>16500</v>
      </c>
      <c r="U52"/>
    </row>
    <row r="53" spans="1:29" ht="23.25" customHeight="1">
      <c r="A53" s="32" t="s">
        <v>669</v>
      </c>
      <c r="B53" s="174" t="s">
        <v>662</v>
      </c>
      <c r="C53" s="172">
        <f t="shared" si="2"/>
        <v>64557643</v>
      </c>
      <c r="D53" s="140">
        <v>64557643</v>
      </c>
      <c r="E53" s="140">
        <v>0</v>
      </c>
      <c r="F53" s="140">
        <v>0</v>
      </c>
      <c r="G53" s="140">
        <v>0</v>
      </c>
      <c r="H53" s="140">
        <v>0</v>
      </c>
      <c r="I53" s="172">
        <f t="shared" si="4"/>
        <v>0</v>
      </c>
      <c r="J53" s="140"/>
      <c r="K53" s="140"/>
      <c r="L53" s="140"/>
      <c r="M53" s="140"/>
      <c r="N53" s="172">
        <f t="shared" si="3"/>
        <v>0</v>
      </c>
      <c r="O53" s="140"/>
      <c r="P53" s="140"/>
      <c r="Q53" s="140"/>
      <c r="R53" s="140"/>
      <c r="S53" s="140"/>
      <c r="T53" s="205">
        <v>16600</v>
      </c>
      <c r="U53"/>
    </row>
    <row r="54" spans="1:29" ht="23.25" customHeight="1">
      <c r="A54" s="32" t="s">
        <v>670</v>
      </c>
      <c r="B54" s="174" t="s">
        <v>464</v>
      </c>
      <c r="C54" s="172">
        <f t="shared" si="2"/>
        <v>105745990</v>
      </c>
      <c r="D54" s="140">
        <v>99620560</v>
      </c>
      <c r="E54" s="140">
        <v>6467310</v>
      </c>
      <c r="F54" s="140">
        <v>489696</v>
      </c>
      <c r="G54" s="140">
        <v>28166</v>
      </c>
      <c r="H54" s="140">
        <v>29633116</v>
      </c>
      <c r="I54" s="172">
        <f t="shared" si="4"/>
        <v>0</v>
      </c>
      <c r="J54" s="140"/>
      <c r="K54" s="140"/>
      <c r="L54" s="140"/>
      <c r="M54" s="140"/>
      <c r="N54" s="172">
        <f t="shared" si="3"/>
        <v>30492858</v>
      </c>
      <c r="O54" s="140">
        <v>0</v>
      </c>
      <c r="P54" s="140">
        <v>646731</v>
      </c>
      <c r="Q54" s="140">
        <v>55507</v>
      </c>
      <c r="R54" s="140">
        <v>8230</v>
      </c>
      <c r="S54" s="140">
        <v>29782390</v>
      </c>
      <c r="T54" s="205">
        <v>16700</v>
      </c>
      <c r="U54"/>
    </row>
    <row r="55" spans="1:29" ht="23.25" customHeight="1">
      <c r="A55" s="273" t="s">
        <v>671</v>
      </c>
      <c r="B55" s="174" t="s">
        <v>693</v>
      </c>
      <c r="C55" s="172">
        <f t="shared" ref="C55" si="6">SUM(D55:H55)-N55+O55</f>
        <v>72468222</v>
      </c>
      <c r="D55" s="140">
        <v>62086072</v>
      </c>
      <c r="E55" s="140">
        <v>0</v>
      </c>
      <c r="F55" s="140">
        <v>12010997</v>
      </c>
      <c r="G55" s="140">
        <v>0</v>
      </c>
      <c r="H55" s="140">
        <v>0</v>
      </c>
      <c r="I55" s="172">
        <f t="shared" ref="I55" si="7">SUM(J55:M55)</f>
        <v>0</v>
      </c>
      <c r="J55" s="140"/>
      <c r="K55" s="140"/>
      <c r="L55" s="140"/>
      <c r="M55" s="140"/>
      <c r="N55" s="172">
        <f t="shared" ref="N55" si="8">SUM(O55:S55)</f>
        <v>1628847</v>
      </c>
      <c r="O55" s="140">
        <v>0</v>
      </c>
      <c r="P55" s="140">
        <v>0</v>
      </c>
      <c r="Q55" s="140">
        <v>1628847</v>
      </c>
      <c r="R55" s="140">
        <v>0</v>
      </c>
      <c r="S55" s="140">
        <v>0</v>
      </c>
      <c r="T55" s="204">
        <v>16800</v>
      </c>
      <c r="U55" s="274"/>
    </row>
    <row r="56" spans="1:29" ht="23.25" customHeight="1">
      <c r="A56" s="32" t="s">
        <v>672</v>
      </c>
      <c r="B56" s="174" t="s">
        <v>663</v>
      </c>
      <c r="C56" s="172">
        <f t="shared" si="2"/>
        <v>16032</v>
      </c>
      <c r="D56" s="140">
        <v>16032</v>
      </c>
      <c r="E56" s="140">
        <v>0</v>
      </c>
      <c r="F56" s="140">
        <v>0</v>
      </c>
      <c r="G56" s="140">
        <v>0</v>
      </c>
      <c r="H56" s="140">
        <v>0</v>
      </c>
      <c r="I56" s="172">
        <f t="shared" si="4"/>
        <v>0</v>
      </c>
      <c r="J56" s="140"/>
      <c r="K56" s="140"/>
      <c r="L56" s="140"/>
      <c r="M56" s="140"/>
      <c r="N56" s="172">
        <f t="shared" si="3"/>
        <v>0</v>
      </c>
      <c r="O56" s="140"/>
      <c r="P56" s="140"/>
      <c r="Q56" s="140"/>
      <c r="R56" s="140"/>
      <c r="S56" s="140"/>
      <c r="T56" s="205">
        <v>16900</v>
      </c>
      <c r="U56"/>
    </row>
    <row r="57" spans="1:29" ht="23.25" customHeight="1">
      <c r="A57" s="32" t="s">
        <v>673</v>
      </c>
      <c r="B57" s="174" t="s">
        <v>664</v>
      </c>
      <c r="C57" s="172">
        <f t="shared" si="2"/>
        <v>0</v>
      </c>
      <c r="D57" s="140">
        <v>0</v>
      </c>
      <c r="E57" s="140">
        <v>0</v>
      </c>
      <c r="F57" s="140">
        <v>0</v>
      </c>
      <c r="G57" s="140">
        <v>0</v>
      </c>
      <c r="H57" s="140">
        <v>0</v>
      </c>
      <c r="I57" s="172">
        <f t="shared" si="4"/>
        <v>0</v>
      </c>
      <c r="J57" s="140"/>
      <c r="K57" s="140"/>
      <c r="L57" s="140"/>
      <c r="M57" s="140"/>
      <c r="N57" s="172">
        <f t="shared" si="3"/>
        <v>0</v>
      </c>
      <c r="O57" s="140"/>
      <c r="P57" s="140"/>
      <c r="Q57" s="140"/>
      <c r="R57" s="140"/>
      <c r="S57" s="140"/>
      <c r="T57" s="205">
        <v>17100</v>
      </c>
      <c r="U57"/>
    </row>
    <row r="58" spans="1:29" ht="23.25" customHeight="1">
      <c r="A58" s="32" t="s">
        <v>679</v>
      </c>
      <c r="B58" s="174" t="s">
        <v>665</v>
      </c>
      <c r="C58" s="172">
        <f t="shared" si="2"/>
        <v>0</v>
      </c>
      <c r="D58" s="140">
        <v>0</v>
      </c>
      <c r="E58" s="140">
        <v>0</v>
      </c>
      <c r="F58" s="140">
        <v>0</v>
      </c>
      <c r="G58" s="140">
        <v>0</v>
      </c>
      <c r="H58" s="140">
        <v>0</v>
      </c>
      <c r="I58" s="172">
        <f t="shared" si="4"/>
        <v>0</v>
      </c>
      <c r="J58" s="140"/>
      <c r="K58" s="140"/>
      <c r="L58" s="140"/>
      <c r="M58" s="140"/>
      <c r="N58" s="172">
        <f t="shared" si="3"/>
        <v>0</v>
      </c>
      <c r="O58" s="140"/>
      <c r="P58" s="140"/>
      <c r="Q58" s="140"/>
      <c r="R58" s="140"/>
      <c r="S58" s="140"/>
      <c r="T58" s="205">
        <v>17300</v>
      </c>
      <c r="U58"/>
    </row>
    <row r="59" spans="1:29" ht="23.25" customHeight="1">
      <c r="A59" s="32" t="s">
        <v>680</v>
      </c>
      <c r="B59" s="174" t="s">
        <v>666</v>
      </c>
      <c r="C59" s="172">
        <f t="shared" si="2"/>
        <v>74946691</v>
      </c>
      <c r="D59" s="140">
        <v>74946691</v>
      </c>
      <c r="E59" s="140">
        <v>0</v>
      </c>
      <c r="F59" s="140">
        <v>0</v>
      </c>
      <c r="G59" s="140">
        <v>0</v>
      </c>
      <c r="H59" s="140">
        <v>0</v>
      </c>
      <c r="I59" s="172">
        <f t="shared" si="4"/>
        <v>0</v>
      </c>
      <c r="J59" s="140"/>
      <c r="K59" s="140"/>
      <c r="L59" s="140"/>
      <c r="M59" s="140"/>
      <c r="N59" s="172">
        <f t="shared" si="3"/>
        <v>0</v>
      </c>
      <c r="O59" s="140"/>
      <c r="P59" s="140"/>
      <c r="Q59" s="140"/>
      <c r="R59" s="140"/>
      <c r="S59" s="140"/>
      <c r="T59" s="205">
        <v>17400</v>
      </c>
      <c r="U59"/>
      <c r="V59" s="33"/>
      <c r="W59" s="33"/>
      <c r="X59" s="33"/>
      <c r="Y59" s="33"/>
      <c r="Z59" s="33"/>
      <c r="AA59" s="33"/>
      <c r="AB59" s="33"/>
      <c r="AC59" s="33"/>
    </row>
    <row r="60" spans="1:29" s="33" customFormat="1" ht="23.25" customHeight="1">
      <c r="A60" s="32" t="s">
        <v>692</v>
      </c>
      <c r="B60" s="174" t="s">
        <v>202</v>
      </c>
      <c r="C60" s="172">
        <f t="shared" si="2"/>
        <v>436745963</v>
      </c>
      <c r="D60" s="538">
        <v>436713369</v>
      </c>
      <c r="E60" s="538">
        <v>33022</v>
      </c>
      <c r="F60" s="538">
        <v>0</v>
      </c>
      <c r="G60" s="538">
        <v>2126</v>
      </c>
      <c r="H60" s="538">
        <v>8637043</v>
      </c>
      <c r="I60" s="172">
        <f t="shared" si="4"/>
        <v>0</v>
      </c>
      <c r="J60" s="140"/>
      <c r="K60" s="140"/>
      <c r="L60" s="140"/>
      <c r="M60" s="140"/>
      <c r="N60" s="172">
        <f t="shared" si="3"/>
        <v>8639597</v>
      </c>
      <c r="O60" s="538">
        <v>0</v>
      </c>
      <c r="P60" s="538">
        <v>1751</v>
      </c>
      <c r="Q60" s="538">
        <v>0</v>
      </c>
      <c r="R60" s="538">
        <v>803</v>
      </c>
      <c r="S60" s="538">
        <v>8637043</v>
      </c>
      <c r="T60" s="205">
        <v>19900</v>
      </c>
      <c r="U60"/>
      <c r="V60" s="27"/>
      <c r="W60" s="27"/>
      <c r="X60" s="27"/>
      <c r="Y60" s="27"/>
      <c r="Z60" s="27"/>
      <c r="AA60" s="27"/>
      <c r="AB60" s="27"/>
      <c r="AC60" s="27"/>
    </row>
    <row r="61" spans="1:29" s="33" customFormat="1" ht="15" customHeight="1">
      <c r="A61" s="32"/>
      <c r="B61" s="174"/>
      <c r="C61" s="172"/>
      <c r="D61" s="172"/>
      <c r="E61" s="173"/>
      <c r="F61" s="173"/>
      <c r="G61" s="173"/>
      <c r="H61" s="173"/>
      <c r="I61" s="172"/>
      <c r="J61" s="140"/>
      <c r="K61" s="140"/>
      <c r="L61" s="140"/>
      <c r="M61" s="140"/>
      <c r="N61" s="172"/>
      <c r="O61" s="142"/>
      <c r="P61" s="142"/>
      <c r="Q61" s="142"/>
      <c r="R61" s="142"/>
      <c r="S61" s="142"/>
      <c r="T61" s="205"/>
      <c r="U61"/>
      <c r="V61" s="27"/>
      <c r="W61" s="27"/>
      <c r="X61" s="27"/>
      <c r="Y61" s="27"/>
      <c r="Z61" s="27"/>
      <c r="AA61" s="27"/>
      <c r="AB61" s="27"/>
      <c r="AC61" s="27"/>
    </row>
    <row r="62" spans="1:29" s="27" customFormat="1" ht="23.25" customHeight="1">
      <c r="A62" s="210"/>
      <c r="B62" s="211" t="s">
        <v>466</v>
      </c>
      <c r="C62" s="212">
        <f t="shared" ref="C62" si="9">SUM(D62:H62)</f>
        <v>3478488721</v>
      </c>
      <c r="D62" s="212">
        <f>SUM(D63:D64)</f>
        <v>3478488721</v>
      </c>
      <c r="E62" s="212">
        <f>SUM(E63:E64)</f>
        <v>0</v>
      </c>
      <c r="F62" s="212">
        <f>SUM(F63:F64)</f>
        <v>0</v>
      </c>
      <c r="G62" s="212">
        <f>SUM(G63:G64)</f>
        <v>0</v>
      </c>
      <c r="H62" s="212">
        <f>SUM(H63:H64)</f>
        <v>0</v>
      </c>
      <c r="I62" s="212">
        <f t="shared" ref="I62:I64" si="10">SUM(J62:M62)</f>
        <v>0</v>
      </c>
      <c r="J62" s="212">
        <f t="shared" ref="J62:S62" si="11">SUM(J63:J64)</f>
        <v>0</v>
      </c>
      <c r="K62" s="212">
        <f t="shared" si="11"/>
        <v>0</v>
      </c>
      <c r="L62" s="212">
        <f t="shared" si="11"/>
        <v>0</v>
      </c>
      <c r="M62" s="212">
        <f t="shared" si="11"/>
        <v>0</v>
      </c>
      <c r="N62" s="212">
        <f t="shared" si="11"/>
        <v>0</v>
      </c>
      <c r="O62" s="212">
        <f t="shared" si="11"/>
        <v>0</v>
      </c>
      <c r="P62" s="212">
        <f t="shared" si="11"/>
        <v>0</v>
      </c>
      <c r="Q62" s="212">
        <f t="shared" si="11"/>
        <v>0</v>
      </c>
      <c r="R62" s="212">
        <f t="shared" si="11"/>
        <v>0</v>
      </c>
      <c r="S62" s="212">
        <f t="shared" si="11"/>
        <v>0</v>
      </c>
      <c r="T62" s="28"/>
      <c r="U62" s="28"/>
      <c r="V62" s="28"/>
      <c r="W62" s="28"/>
      <c r="X62" s="28"/>
      <c r="Y62" s="28"/>
      <c r="Z62" s="28"/>
      <c r="AA62" s="28"/>
      <c r="AB62" s="28"/>
      <c r="AC62" s="28"/>
    </row>
    <row r="63" spans="1:29" ht="23.25" customHeight="1">
      <c r="A63" s="32" t="s">
        <v>5</v>
      </c>
      <c r="B63" s="174" t="s">
        <v>88</v>
      </c>
      <c r="C63" s="172">
        <f t="shared" ref="C63:C64" si="12">SUM(D63:H63)-N63+O63</f>
        <v>1644275155</v>
      </c>
      <c r="D63" s="140">
        <v>1644275155</v>
      </c>
      <c r="E63" s="141"/>
      <c r="F63" s="141"/>
      <c r="G63" s="141"/>
      <c r="H63" s="141"/>
      <c r="I63" s="172">
        <f t="shared" si="10"/>
        <v>0</v>
      </c>
      <c r="J63" s="142"/>
      <c r="K63" s="142"/>
      <c r="L63" s="142"/>
      <c r="M63" s="142"/>
      <c r="N63" s="172">
        <f t="shared" ref="N63:N64" si="13">SUM(O63:S63)</f>
        <v>0</v>
      </c>
      <c r="O63" s="140"/>
      <c r="P63" s="142"/>
      <c r="Q63" s="142"/>
      <c r="R63" s="142"/>
      <c r="S63" s="142"/>
      <c r="T63" s="204" t="s">
        <v>768</v>
      </c>
    </row>
    <row r="64" spans="1:29" ht="23.25" customHeight="1">
      <c r="A64" s="32" t="s">
        <v>8</v>
      </c>
      <c r="B64" s="174" t="s">
        <v>467</v>
      </c>
      <c r="C64" s="172">
        <f t="shared" si="12"/>
        <v>1834213566</v>
      </c>
      <c r="D64" s="140">
        <v>1834213566</v>
      </c>
      <c r="E64" s="141"/>
      <c r="F64" s="141"/>
      <c r="G64" s="141"/>
      <c r="H64" s="141"/>
      <c r="I64" s="172">
        <f t="shared" si="10"/>
        <v>0</v>
      </c>
      <c r="J64" s="142"/>
      <c r="K64" s="142"/>
      <c r="L64" s="142"/>
      <c r="M64" s="142"/>
      <c r="N64" s="172">
        <f t="shared" si="13"/>
        <v>0</v>
      </c>
      <c r="O64" s="140"/>
      <c r="P64" s="142"/>
      <c r="Q64" s="142"/>
      <c r="R64" s="142"/>
      <c r="S64" s="142"/>
      <c r="T64" s="28">
        <v>90993</v>
      </c>
    </row>
    <row r="67" spans="1:29" s="1" customFormat="1" ht="15" customHeight="1">
      <c r="A67" s="74"/>
      <c r="B67" s="3" t="s">
        <v>0</v>
      </c>
      <c r="F67" s="120"/>
      <c r="G67" s="120"/>
      <c r="H67" s="121"/>
      <c r="I67" s="121"/>
      <c r="J67" s="121"/>
      <c r="K67" s="121"/>
      <c r="L67" s="121"/>
      <c r="M67" s="121"/>
      <c r="N67" s="121"/>
      <c r="O67" s="121"/>
      <c r="P67" s="121"/>
      <c r="Q67" s="121"/>
      <c r="R67" s="121"/>
      <c r="S67" s="121"/>
      <c r="T67" s="121"/>
      <c r="U67" s="121"/>
      <c r="V67" s="121"/>
      <c r="W67" s="121"/>
      <c r="X67" s="121"/>
    </row>
    <row r="68" spans="1:29" s="1" customFormat="1" ht="15" customHeight="1">
      <c r="A68" s="74"/>
      <c r="B68" s="3"/>
      <c r="F68" s="120"/>
      <c r="G68" s="120"/>
      <c r="H68" s="121"/>
      <c r="I68" s="121"/>
      <c r="J68" s="121"/>
      <c r="K68" s="121"/>
      <c r="L68" s="121"/>
      <c r="M68" s="121"/>
      <c r="N68" s="121"/>
      <c r="O68" s="121"/>
      <c r="P68" s="121"/>
      <c r="Q68" s="121"/>
      <c r="R68" s="121"/>
      <c r="S68" s="121"/>
      <c r="T68" s="121"/>
      <c r="U68" s="28"/>
      <c r="V68" s="121"/>
      <c r="W68" s="121"/>
      <c r="X68" s="121"/>
    </row>
    <row r="69" spans="1:29" s="1" customFormat="1" ht="15" customHeight="1">
      <c r="A69" s="74"/>
      <c r="B69" s="3" t="s">
        <v>1</v>
      </c>
      <c r="F69" s="120"/>
      <c r="G69" s="120"/>
      <c r="H69" s="121"/>
      <c r="I69" s="121"/>
      <c r="J69" s="121"/>
      <c r="K69" s="121"/>
      <c r="L69" s="121"/>
      <c r="M69" s="121"/>
      <c r="N69" s="121"/>
      <c r="O69" s="121"/>
      <c r="P69" s="121"/>
      <c r="Q69" s="121"/>
      <c r="R69" s="121"/>
      <c r="S69" s="121"/>
      <c r="T69" s="28"/>
      <c r="U69" s="28"/>
      <c r="V69" s="28"/>
      <c r="W69" s="28"/>
      <c r="X69" s="28"/>
      <c r="Y69" s="28"/>
      <c r="Z69" s="28"/>
      <c r="AA69" s="28"/>
      <c r="AB69" s="28"/>
      <c r="AC69" s="28"/>
    </row>
    <row r="71" spans="1:29">
      <c r="B71" s="34" t="s">
        <v>468</v>
      </c>
    </row>
    <row r="72" spans="1:29">
      <c r="C72" s="256">
        <f>+[8]Balance!$C$45</f>
        <v>56511320290</v>
      </c>
    </row>
  </sheetData>
  <sheetProtection sheet="1" objects="1" scenarios="1"/>
  <mergeCells count="17">
    <mergeCell ref="A1:Q1"/>
    <mergeCell ref="R1:S1"/>
    <mergeCell ref="A4:A7"/>
    <mergeCell ref="B4:B7"/>
    <mergeCell ref="C4:C7"/>
    <mergeCell ref="D4:H6"/>
    <mergeCell ref="I4:M4"/>
    <mergeCell ref="N4:S4"/>
    <mergeCell ref="I5:I7"/>
    <mergeCell ref="J5:J7"/>
    <mergeCell ref="K5:K7"/>
    <mergeCell ref="L5:L7"/>
    <mergeCell ref="M5:M7"/>
    <mergeCell ref="N5:S5"/>
    <mergeCell ref="P3:Q3"/>
    <mergeCell ref="N6:N7"/>
    <mergeCell ref="O6:S6"/>
  </mergeCells>
  <conditionalFormatting sqref="C9">
    <cfRule type="cellIs" dxfId="211" priority="3" operator="notEqual">
      <formula>$C$72</formula>
    </cfRule>
  </conditionalFormatting>
  <printOptions horizontalCentered="1"/>
  <pageMargins left="0.15748031496062992" right="0.15748031496062992" top="0.23622047244094491" bottom="0.15748031496062992" header="0.26" footer="0.31496062992125984"/>
  <pageSetup paperSize="9" scale="35" orientation="landscape" r:id="rId1"/>
  <ignoredErrors>
    <ignoredError sqref="I62 E63:H63 T62 Q62:S62 T65 C65:O66 O62 Q65:S66" unlockedFormula="1"/>
    <ignoredError sqref="N62" formulaRange="1" unlockedFormula="1"/>
    <ignoredError sqref="N61 N6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pageSetUpPr fitToPage="1"/>
  </sheetPr>
  <dimension ref="A1:G97"/>
  <sheetViews>
    <sheetView view="pageBreakPreview" zoomScale="85" zoomScaleSheetLayoutView="85" workbookViewId="0">
      <pane xSplit="2" ySplit="4" topLeftCell="C17" activePane="bottomRight" state="frozen"/>
      <selection activeCell="C73" sqref="C73"/>
      <selection pane="topRight" activeCell="C73" sqref="C73"/>
      <selection pane="bottomLeft" activeCell="C73" sqref="C73"/>
      <selection pane="bottomRight" activeCell="E15" sqref="E15"/>
    </sheetView>
  </sheetViews>
  <sheetFormatPr defaultRowHeight="15" customHeight="1"/>
  <cols>
    <col min="1" max="1" width="5.7109375" style="421" customWidth="1"/>
    <col min="2" max="2" width="80.28515625" style="1" customWidth="1"/>
    <col min="3" max="5" width="16.85546875" style="1" customWidth="1"/>
    <col min="6" max="6" width="7.42578125" style="1" customWidth="1"/>
    <col min="7" max="7" width="11.140625" style="1" bestFit="1" customWidth="1"/>
    <col min="8" max="10" width="7.42578125" style="1" customWidth="1"/>
    <col min="11" max="16384" width="9.140625" style="1"/>
  </cols>
  <sheetData>
    <row r="1" spans="1:7" ht="18.75" customHeight="1">
      <c r="A1" s="398"/>
      <c r="B1" s="24" t="s">
        <v>640</v>
      </c>
      <c r="D1" s="49" t="s">
        <v>558</v>
      </c>
      <c r="E1" s="49"/>
    </row>
    <row r="2" spans="1:7" ht="7.5" customHeight="1">
      <c r="A2" s="398"/>
      <c r="B2" s="24"/>
      <c r="C2" s="49"/>
      <c r="D2" s="49"/>
      <c r="E2" s="49"/>
    </row>
    <row r="3" spans="1:7" ht="15" customHeight="1">
      <c r="A3" s="399"/>
      <c r="B3" s="397" t="str">
        <f>+'Asset quality'!B3</f>
        <v>"Ўзсаноатқурилишбанк" АТБ</v>
      </c>
      <c r="C3" s="391">
        <f>+'Asset quality'!P3</f>
        <v>44560</v>
      </c>
      <c r="D3" s="391"/>
      <c r="E3" s="132" t="s">
        <v>3</v>
      </c>
    </row>
    <row r="4" spans="1:7" ht="42" customHeight="1">
      <c r="A4" s="170" t="s">
        <v>83</v>
      </c>
      <c r="B4" s="170" t="s">
        <v>2</v>
      </c>
      <c r="C4" s="170" t="s">
        <v>279</v>
      </c>
      <c r="D4" s="170" t="s">
        <v>280</v>
      </c>
      <c r="E4" s="170" t="s">
        <v>281</v>
      </c>
    </row>
    <row r="5" spans="1:7" ht="15" customHeight="1">
      <c r="A5" s="26" t="s">
        <v>303</v>
      </c>
      <c r="B5" s="60" t="s">
        <v>4</v>
      </c>
      <c r="C5" s="170"/>
      <c r="D5" s="170"/>
      <c r="E5" s="170"/>
    </row>
    <row r="6" spans="1:7" ht="15" customHeight="1">
      <c r="A6" s="395" t="s">
        <v>304</v>
      </c>
      <c r="B6" s="400" t="s">
        <v>292</v>
      </c>
      <c r="C6" s="296">
        <f>+D6+E6</f>
        <v>24773206</v>
      </c>
      <c r="D6" s="295">
        <v>24773206</v>
      </c>
      <c r="E6" s="295">
        <v>0</v>
      </c>
    </row>
    <row r="7" spans="1:7" ht="15" customHeight="1">
      <c r="A7" s="395" t="s">
        <v>305</v>
      </c>
      <c r="B7" s="400" t="s">
        <v>293</v>
      </c>
      <c r="C7" s="296">
        <f t="shared" ref="C7:C15" si="0">+D7+E7</f>
        <v>111283999</v>
      </c>
      <c r="D7" s="295">
        <v>50273714</v>
      </c>
      <c r="E7" s="295">
        <v>61010285</v>
      </c>
    </row>
    <row r="8" spans="1:7" ht="15" customHeight="1">
      <c r="A8" s="395" t="s">
        <v>306</v>
      </c>
      <c r="B8" s="400" t="s">
        <v>294</v>
      </c>
      <c r="C8" s="296">
        <f t="shared" si="0"/>
        <v>0</v>
      </c>
      <c r="D8" s="295">
        <v>0</v>
      </c>
      <c r="E8" s="295">
        <v>0</v>
      </c>
    </row>
    <row r="9" spans="1:7" ht="15" customHeight="1">
      <c r="A9" s="395" t="s">
        <v>307</v>
      </c>
      <c r="B9" s="401" t="s">
        <v>295</v>
      </c>
      <c r="C9" s="296">
        <f t="shared" si="0"/>
        <v>7062</v>
      </c>
      <c r="D9" s="295">
        <v>7062</v>
      </c>
      <c r="E9" s="295">
        <v>0</v>
      </c>
    </row>
    <row r="10" spans="1:7" ht="15" customHeight="1">
      <c r="A10" s="395" t="s">
        <v>308</v>
      </c>
      <c r="B10" s="400" t="s">
        <v>296</v>
      </c>
      <c r="C10" s="296">
        <f t="shared" si="0"/>
        <v>141257147</v>
      </c>
      <c r="D10" s="295">
        <v>141257147</v>
      </c>
      <c r="E10" s="295">
        <v>0</v>
      </c>
    </row>
    <row r="11" spans="1:7" ht="15" customHeight="1">
      <c r="A11" s="402" t="s">
        <v>309</v>
      </c>
      <c r="B11" s="403" t="s">
        <v>297</v>
      </c>
      <c r="C11" s="296">
        <f t="shared" si="0"/>
        <v>0</v>
      </c>
      <c r="D11" s="295">
        <v>0</v>
      </c>
      <c r="E11" s="295">
        <v>0</v>
      </c>
    </row>
    <row r="12" spans="1:7" ht="15" customHeight="1">
      <c r="A12" s="402" t="s">
        <v>310</v>
      </c>
      <c r="B12" s="403" t="s">
        <v>298</v>
      </c>
      <c r="C12" s="296">
        <f t="shared" si="0"/>
        <v>0</v>
      </c>
      <c r="D12" s="295">
        <v>0</v>
      </c>
      <c r="E12" s="295">
        <v>0</v>
      </c>
    </row>
    <row r="13" spans="1:7" ht="15" customHeight="1">
      <c r="A13" s="402" t="s">
        <v>311</v>
      </c>
      <c r="B13" s="404" t="s">
        <v>299</v>
      </c>
      <c r="C13" s="296">
        <f t="shared" si="0"/>
        <v>3747119677</v>
      </c>
      <c r="D13" s="295">
        <v>2188567786</v>
      </c>
      <c r="E13" s="295">
        <v>1558551891</v>
      </c>
    </row>
    <row r="14" spans="1:7" ht="15" customHeight="1">
      <c r="A14" s="405" t="s">
        <v>312</v>
      </c>
      <c r="B14" s="406" t="s">
        <v>300</v>
      </c>
      <c r="C14" s="296">
        <f t="shared" si="0"/>
        <v>0</v>
      </c>
      <c r="D14" s="295">
        <v>0</v>
      </c>
      <c r="E14" s="295">
        <v>0</v>
      </c>
    </row>
    <row r="15" spans="1:7" ht="15" customHeight="1">
      <c r="A15" s="405" t="s">
        <v>313</v>
      </c>
      <c r="B15" s="407" t="s">
        <v>301</v>
      </c>
      <c r="C15" s="296">
        <f t="shared" si="0"/>
        <v>459764028</v>
      </c>
      <c r="D15" s="295">
        <v>165775235</v>
      </c>
      <c r="E15" s="295">
        <v>293988793</v>
      </c>
    </row>
    <row r="16" spans="1:7" ht="15" customHeight="1">
      <c r="A16" s="26" t="s">
        <v>314</v>
      </c>
      <c r="B16" s="408" t="s">
        <v>302</v>
      </c>
      <c r="C16" s="177">
        <f>SUM(C6:C15)</f>
        <v>4484205119</v>
      </c>
      <c r="D16" s="177">
        <f>SUM(D6:D15)</f>
        <v>2570654150</v>
      </c>
      <c r="E16" s="177">
        <f>SUM(E6:E15)</f>
        <v>1913550969</v>
      </c>
      <c r="G16" s="409">
        <f>+'Analysis of Interest'!C42</f>
        <v>4484205119</v>
      </c>
    </row>
    <row r="17" spans="1:7" ht="7.5" customHeight="1">
      <c r="A17" s="26"/>
      <c r="B17" s="60"/>
      <c r="C17" s="315"/>
      <c r="D17" s="315"/>
      <c r="E17" s="315"/>
    </row>
    <row r="18" spans="1:7" ht="15" customHeight="1">
      <c r="A18" s="26" t="s">
        <v>315</v>
      </c>
      <c r="B18" s="60" t="s">
        <v>349</v>
      </c>
      <c r="C18" s="170"/>
      <c r="D18" s="170"/>
      <c r="E18" s="170"/>
    </row>
    <row r="19" spans="1:7" ht="15" customHeight="1">
      <c r="A19" s="395" t="s">
        <v>316</v>
      </c>
      <c r="B19" s="400" t="s">
        <v>282</v>
      </c>
      <c r="C19" s="296">
        <f t="shared" ref="C19:C22" si="1">+D19+E19</f>
        <v>4877042</v>
      </c>
      <c r="D19" s="295">
        <v>4877042</v>
      </c>
      <c r="E19" s="295">
        <v>0</v>
      </c>
    </row>
    <row r="20" spans="1:7" ht="15" customHeight="1">
      <c r="A20" s="395" t="s">
        <v>317</v>
      </c>
      <c r="B20" s="400" t="s">
        <v>283</v>
      </c>
      <c r="C20" s="296">
        <f t="shared" si="1"/>
        <v>570796508</v>
      </c>
      <c r="D20" s="295">
        <v>408713023</v>
      </c>
      <c r="E20" s="295">
        <v>162083485</v>
      </c>
    </row>
    <row r="21" spans="1:7" ht="15" customHeight="1">
      <c r="A21" s="395" t="s">
        <v>318</v>
      </c>
      <c r="B21" s="400" t="s">
        <v>284</v>
      </c>
      <c r="C21" s="296">
        <f t="shared" si="1"/>
        <v>0</v>
      </c>
      <c r="D21" s="295">
        <v>0</v>
      </c>
      <c r="E21" s="295">
        <v>0</v>
      </c>
    </row>
    <row r="22" spans="1:7" ht="15" customHeight="1">
      <c r="A22" s="395" t="s">
        <v>319</v>
      </c>
      <c r="B22" s="400" t="s">
        <v>285</v>
      </c>
      <c r="C22" s="296">
        <f t="shared" si="1"/>
        <v>68795284</v>
      </c>
      <c r="D22" s="295">
        <v>44161279</v>
      </c>
      <c r="E22" s="295">
        <v>24634005</v>
      </c>
    </row>
    <row r="23" spans="1:7" s="3" customFormat="1" ht="15" customHeight="1">
      <c r="A23" s="26" t="s">
        <v>320</v>
      </c>
      <c r="B23" s="60" t="s">
        <v>286</v>
      </c>
      <c r="C23" s="177">
        <f>SUM(C19:C22)</f>
        <v>644468834</v>
      </c>
      <c r="D23" s="177">
        <f>SUM(D19:D22)</f>
        <v>457751344</v>
      </c>
      <c r="E23" s="177">
        <f>SUM(E19:E22)</f>
        <v>186717490</v>
      </c>
    </row>
    <row r="24" spans="1:7" ht="15.75" customHeight="1">
      <c r="A24" s="395" t="s">
        <v>321</v>
      </c>
      <c r="B24" s="400" t="s">
        <v>287</v>
      </c>
      <c r="C24" s="296">
        <f t="shared" ref="C24:C26" si="2">+D24+E24</f>
        <v>1306417188</v>
      </c>
      <c r="D24" s="295">
        <v>568203179</v>
      </c>
      <c r="E24" s="295">
        <v>738214009</v>
      </c>
    </row>
    <row r="25" spans="1:7" ht="15.75" customHeight="1">
      <c r="A25" s="405" t="s">
        <v>322</v>
      </c>
      <c r="B25" s="407" t="s">
        <v>288</v>
      </c>
      <c r="C25" s="296">
        <f t="shared" si="2"/>
        <v>1998945</v>
      </c>
      <c r="D25" s="295">
        <v>1998945</v>
      </c>
      <c r="E25" s="295">
        <v>0</v>
      </c>
    </row>
    <row r="26" spans="1:7" ht="15.75" customHeight="1">
      <c r="A26" s="405" t="s">
        <v>323</v>
      </c>
      <c r="B26" s="407" t="s">
        <v>289</v>
      </c>
      <c r="C26" s="296">
        <f t="shared" si="2"/>
        <v>464440298</v>
      </c>
      <c r="D26" s="295">
        <v>165136306</v>
      </c>
      <c r="E26" s="295">
        <v>299303992</v>
      </c>
    </row>
    <row r="27" spans="1:7" ht="15" customHeight="1">
      <c r="A27" s="410" t="s">
        <v>324</v>
      </c>
      <c r="B27" s="408" t="s">
        <v>290</v>
      </c>
      <c r="C27" s="177">
        <f>SUM(C24:C26)</f>
        <v>1772856431</v>
      </c>
      <c r="D27" s="177">
        <f>SUM(D24:D26)</f>
        <v>735338430</v>
      </c>
      <c r="E27" s="177">
        <f>SUM(E24:E26)</f>
        <v>1037518001</v>
      </c>
    </row>
    <row r="28" spans="1:7" ht="15" customHeight="1">
      <c r="A28" s="410" t="s">
        <v>325</v>
      </c>
      <c r="B28" s="408" t="s">
        <v>291</v>
      </c>
      <c r="C28" s="177">
        <f>C27+C23</f>
        <v>2417325265</v>
      </c>
      <c r="D28" s="177">
        <f>D27+D23</f>
        <v>1193089774</v>
      </c>
      <c r="E28" s="177">
        <f>E27+E23</f>
        <v>1224235491</v>
      </c>
      <c r="G28" s="409">
        <f>+'Analysis of Interest'!C72</f>
        <v>2417325265</v>
      </c>
    </row>
    <row r="29" spans="1:7" ht="7.5" customHeight="1">
      <c r="A29" s="395"/>
      <c r="B29" s="400"/>
      <c r="C29" s="315"/>
      <c r="D29" s="315"/>
      <c r="E29" s="315"/>
    </row>
    <row r="30" spans="1:7" s="386" customFormat="1" ht="25.5">
      <c r="A30" s="411" t="s">
        <v>200</v>
      </c>
      <c r="B30" s="412" t="s">
        <v>703</v>
      </c>
      <c r="C30" s="177">
        <f>C16-C28</f>
        <v>2066879854</v>
      </c>
      <c r="D30" s="177">
        <f>D16-D28</f>
        <v>1377564376</v>
      </c>
      <c r="E30" s="177">
        <f>E16-E28</f>
        <v>689315478</v>
      </c>
    </row>
    <row r="31" spans="1:7" ht="15.75" customHeight="1">
      <c r="A31" s="405" t="s">
        <v>326</v>
      </c>
      <c r="B31" s="413" t="s">
        <v>350</v>
      </c>
      <c r="C31" s="296">
        <f t="shared" ref="C31:C34" si="3">+D31+E31</f>
        <v>1408194349</v>
      </c>
      <c r="D31" s="295">
        <v>651352965</v>
      </c>
      <c r="E31" s="295">
        <v>756841384</v>
      </c>
    </row>
    <row r="32" spans="1:7" ht="15.75" customHeight="1">
      <c r="A32" s="405" t="s">
        <v>697</v>
      </c>
      <c r="B32" s="407" t="s">
        <v>698</v>
      </c>
      <c r="C32" s="296">
        <f t="shared" si="3"/>
        <v>0</v>
      </c>
      <c r="D32" s="295">
        <v>0</v>
      </c>
      <c r="E32" s="295">
        <v>0</v>
      </c>
    </row>
    <row r="33" spans="1:5" ht="15.75" customHeight="1">
      <c r="A33" s="405" t="s">
        <v>699</v>
      </c>
      <c r="B33" s="407" t="s">
        <v>700</v>
      </c>
      <c r="C33" s="296">
        <f t="shared" si="3"/>
        <v>2520286</v>
      </c>
      <c r="D33" s="295">
        <v>2520286</v>
      </c>
      <c r="E33" s="295">
        <v>0</v>
      </c>
    </row>
    <row r="34" spans="1:5" ht="15.75" customHeight="1">
      <c r="A34" s="405" t="s">
        <v>701</v>
      </c>
      <c r="B34" s="407" t="s">
        <v>702</v>
      </c>
      <c r="C34" s="296">
        <f t="shared" si="3"/>
        <v>36011316</v>
      </c>
      <c r="D34" s="295">
        <v>3649861</v>
      </c>
      <c r="E34" s="295">
        <v>32361455</v>
      </c>
    </row>
    <row r="35" spans="1:5" ht="25.5">
      <c r="A35" s="411" t="s">
        <v>767</v>
      </c>
      <c r="B35" s="412" t="s">
        <v>351</v>
      </c>
      <c r="C35" s="177">
        <f>C30-C31-C32-C33-C34</f>
        <v>620153903</v>
      </c>
      <c r="D35" s="177">
        <f>D30-D31-D32-D33-D34</f>
        <v>720041264</v>
      </c>
      <c r="E35" s="177">
        <f>E30-E31-E32-E33-E34</f>
        <v>-99887361</v>
      </c>
    </row>
    <row r="36" spans="1:5" ht="7.5" customHeight="1">
      <c r="A36" s="395"/>
      <c r="B36" s="400"/>
      <c r="C36" s="315"/>
      <c r="D36" s="315"/>
      <c r="E36" s="315"/>
    </row>
    <row r="37" spans="1:5" ht="15" customHeight="1">
      <c r="A37" s="26" t="s">
        <v>327</v>
      </c>
      <c r="B37" s="60" t="s">
        <v>352</v>
      </c>
      <c r="C37" s="170"/>
      <c r="D37" s="170"/>
      <c r="E37" s="170"/>
    </row>
    <row r="38" spans="1:5" ht="15" customHeight="1">
      <c r="A38" s="395" t="s">
        <v>328</v>
      </c>
      <c r="B38" s="400" t="s">
        <v>353</v>
      </c>
      <c r="C38" s="296">
        <f t="shared" ref="C38:C42" si="4">+D38+E38</f>
        <v>398095122</v>
      </c>
      <c r="D38" s="295">
        <v>338710462</v>
      </c>
      <c r="E38" s="295">
        <v>59384660</v>
      </c>
    </row>
    <row r="39" spans="1:5" ht="15" customHeight="1">
      <c r="A39" s="395" t="s">
        <v>329</v>
      </c>
      <c r="B39" s="400" t="s">
        <v>354</v>
      </c>
      <c r="C39" s="296">
        <f t="shared" si="4"/>
        <v>401467426</v>
      </c>
      <c r="D39" s="295">
        <v>57673432</v>
      </c>
      <c r="E39" s="295">
        <v>343793994</v>
      </c>
    </row>
    <row r="40" spans="1:5" ht="15" customHeight="1">
      <c r="A40" s="395" t="s">
        <v>330</v>
      </c>
      <c r="B40" s="400" t="s">
        <v>355</v>
      </c>
      <c r="C40" s="296">
        <f t="shared" si="4"/>
        <v>0</v>
      </c>
      <c r="D40" s="295">
        <v>-15292</v>
      </c>
      <c r="E40" s="295">
        <v>15292</v>
      </c>
    </row>
    <row r="41" spans="1:5" ht="15" customHeight="1">
      <c r="A41" s="395" t="s">
        <v>331</v>
      </c>
      <c r="B41" s="400" t="s">
        <v>356</v>
      </c>
      <c r="C41" s="296">
        <f t="shared" si="4"/>
        <v>20024032</v>
      </c>
      <c r="D41" s="295">
        <v>19961017</v>
      </c>
      <c r="E41" s="295">
        <v>63015</v>
      </c>
    </row>
    <row r="42" spans="1:5" ht="15" customHeight="1">
      <c r="A42" s="395" t="s">
        <v>332</v>
      </c>
      <c r="B42" s="400" t="s">
        <v>357</v>
      </c>
      <c r="C42" s="296">
        <f t="shared" si="4"/>
        <v>1344736998</v>
      </c>
      <c r="D42" s="295">
        <v>392678032</v>
      </c>
      <c r="E42" s="295">
        <v>952058966</v>
      </c>
    </row>
    <row r="43" spans="1:5" s="74" customFormat="1" ht="15" customHeight="1">
      <c r="A43" s="395"/>
      <c r="B43" s="487" t="s">
        <v>616</v>
      </c>
      <c r="C43" s="296"/>
      <c r="D43" s="295"/>
      <c r="E43" s="295"/>
    </row>
    <row r="44" spans="1:5" s="74" customFormat="1" ht="15" customHeight="1">
      <c r="A44" s="395" t="s">
        <v>853</v>
      </c>
      <c r="B44" s="414" t="s">
        <v>831</v>
      </c>
      <c r="C44" s="296">
        <f>+D44+E44</f>
        <v>1286186514</v>
      </c>
      <c r="D44" s="295">
        <v>371032293</v>
      </c>
      <c r="E44" s="295">
        <v>915154221</v>
      </c>
    </row>
    <row r="45" spans="1:5" s="74" customFormat="1" ht="15" customHeight="1">
      <c r="A45" s="395" t="s">
        <v>854</v>
      </c>
      <c r="B45" s="414" t="s">
        <v>832</v>
      </c>
      <c r="C45" s="296">
        <f>+D45+E45</f>
        <v>0</v>
      </c>
      <c r="D45" s="295"/>
      <c r="E45" s="295"/>
    </row>
    <row r="46" spans="1:5" ht="15" customHeight="1">
      <c r="A46" s="26" t="s">
        <v>333</v>
      </c>
      <c r="B46" s="60" t="s">
        <v>358</v>
      </c>
      <c r="C46" s="177">
        <f>SUM(C38:C42)</f>
        <v>2164323578</v>
      </c>
      <c r="D46" s="177">
        <f>SUM(D38:D42)</f>
        <v>809007651</v>
      </c>
      <c r="E46" s="177">
        <f>SUM(E38:E42)</f>
        <v>1355315927</v>
      </c>
    </row>
    <row r="47" spans="1:5" ht="7.5" customHeight="1">
      <c r="A47" s="395"/>
      <c r="B47" s="400"/>
      <c r="C47" s="315"/>
      <c r="D47" s="315"/>
      <c r="E47" s="315"/>
    </row>
    <row r="48" spans="1:5" ht="15" customHeight="1">
      <c r="A48" s="26" t="s">
        <v>334</v>
      </c>
      <c r="B48" s="60" t="s">
        <v>359</v>
      </c>
      <c r="C48" s="170"/>
      <c r="D48" s="170"/>
      <c r="E48" s="170"/>
    </row>
    <row r="49" spans="1:5" ht="15" customHeight="1">
      <c r="A49" s="395" t="s">
        <v>328</v>
      </c>
      <c r="B49" s="400" t="s">
        <v>360</v>
      </c>
      <c r="C49" s="296">
        <f t="shared" ref="C49:C53" si="5">+D49+E49</f>
        <v>190915805</v>
      </c>
      <c r="D49" s="295">
        <v>140212108</v>
      </c>
      <c r="E49" s="295">
        <v>50703697</v>
      </c>
    </row>
    <row r="50" spans="1:5" ht="15" customHeight="1">
      <c r="A50" s="395" t="s">
        <v>329</v>
      </c>
      <c r="B50" s="400" t="s">
        <v>361</v>
      </c>
      <c r="C50" s="296">
        <f t="shared" si="5"/>
        <v>240645176</v>
      </c>
      <c r="D50" s="295">
        <v>41672</v>
      </c>
      <c r="E50" s="295">
        <v>240603504</v>
      </c>
    </row>
    <row r="51" spans="1:5" ht="15" customHeight="1">
      <c r="A51" s="395" t="s">
        <v>318</v>
      </c>
      <c r="B51" s="414" t="s">
        <v>585</v>
      </c>
      <c r="C51" s="296">
        <f t="shared" si="5"/>
        <v>0</v>
      </c>
      <c r="D51" s="295">
        <v>0</v>
      </c>
      <c r="E51" s="295">
        <v>0</v>
      </c>
    </row>
    <row r="52" spans="1:5" ht="15" customHeight="1">
      <c r="A52" s="395" t="s">
        <v>331</v>
      </c>
      <c r="B52" s="400" t="s">
        <v>362</v>
      </c>
      <c r="C52" s="296">
        <f t="shared" si="5"/>
        <v>0</v>
      </c>
      <c r="D52" s="295">
        <v>0</v>
      </c>
      <c r="E52" s="295">
        <v>0</v>
      </c>
    </row>
    <row r="53" spans="1:5" ht="15" customHeight="1">
      <c r="A53" s="395" t="s">
        <v>332</v>
      </c>
      <c r="B53" s="400" t="s">
        <v>363</v>
      </c>
      <c r="C53" s="296">
        <f t="shared" si="5"/>
        <v>1454428</v>
      </c>
      <c r="D53" s="295">
        <v>563675</v>
      </c>
      <c r="E53" s="295">
        <v>890753</v>
      </c>
    </row>
    <row r="54" spans="1:5" s="74" customFormat="1" ht="15" customHeight="1">
      <c r="A54" s="26" t="s">
        <v>333</v>
      </c>
      <c r="B54" s="483" t="s">
        <v>364</v>
      </c>
      <c r="C54" s="177">
        <f>SUM(C49:C53)</f>
        <v>433015409</v>
      </c>
      <c r="D54" s="177">
        <f>SUM(D49:D53)</f>
        <v>140817455</v>
      </c>
      <c r="E54" s="177">
        <f>SUM(E49:E53)</f>
        <v>292197954</v>
      </c>
    </row>
    <row r="55" spans="1:5" ht="7.5" customHeight="1">
      <c r="A55" s="26"/>
      <c r="B55" s="60"/>
      <c r="C55" s="146"/>
      <c r="D55" s="146"/>
      <c r="E55" s="146"/>
    </row>
    <row r="56" spans="1:5" ht="15" customHeight="1">
      <c r="A56" s="26" t="s">
        <v>335</v>
      </c>
      <c r="B56" s="60" t="s">
        <v>365</v>
      </c>
      <c r="C56" s="177">
        <f>C35+C46-C54</f>
        <v>2351462072</v>
      </c>
      <c r="D56" s="177">
        <f>D35+D46-D54</f>
        <v>1388231460</v>
      </c>
      <c r="E56" s="177">
        <f>E35+E46-E54</f>
        <v>963230612</v>
      </c>
    </row>
    <row r="57" spans="1:5" ht="7.5" customHeight="1">
      <c r="A57" s="26"/>
      <c r="B57" s="60"/>
      <c r="C57" s="146"/>
      <c r="D57" s="146"/>
      <c r="E57" s="146"/>
    </row>
    <row r="58" spans="1:5" ht="15" customHeight="1">
      <c r="A58" s="26" t="s">
        <v>336</v>
      </c>
      <c r="B58" s="60" t="s">
        <v>366</v>
      </c>
      <c r="C58" s="170"/>
      <c r="D58" s="170"/>
      <c r="E58" s="170"/>
    </row>
    <row r="59" spans="1:5" ht="15" customHeight="1">
      <c r="A59" s="395" t="s">
        <v>337</v>
      </c>
      <c r="B59" s="400" t="s">
        <v>367</v>
      </c>
      <c r="C59" s="295">
        <f>D59+E59</f>
        <v>669639454</v>
      </c>
      <c r="D59" s="295">
        <f>669589781+49673</f>
        <v>669639454</v>
      </c>
      <c r="E59" s="415"/>
    </row>
    <row r="60" spans="1:5" ht="15" customHeight="1">
      <c r="A60" s="416" t="s">
        <v>632</v>
      </c>
      <c r="B60" s="400" t="s">
        <v>368</v>
      </c>
      <c r="C60" s="295">
        <f t="shared" ref="C60:C68" si="6">D60+E60</f>
        <v>27655501</v>
      </c>
      <c r="D60" s="295">
        <v>27655501</v>
      </c>
      <c r="E60" s="415"/>
    </row>
    <row r="61" spans="1:5" ht="15" customHeight="1">
      <c r="A61" s="395" t="s">
        <v>338</v>
      </c>
      <c r="B61" s="400" t="s">
        <v>369</v>
      </c>
      <c r="C61" s="295">
        <f t="shared" si="6"/>
        <v>65679109</v>
      </c>
      <c r="D61" s="295">
        <v>65679109</v>
      </c>
      <c r="E61" s="415"/>
    </row>
    <row r="62" spans="1:5" ht="15" customHeight="1">
      <c r="A62" s="395" t="s">
        <v>306</v>
      </c>
      <c r="B62" s="400" t="s">
        <v>370</v>
      </c>
      <c r="C62" s="295">
        <f t="shared" si="6"/>
        <v>8933350</v>
      </c>
      <c r="D62" s="295">
        <f>7280362+1652988</f>
        <v>8933350</v>
      </c>
      <c r="E62" s="415"/>
    </row>
    <row r="63" spans="1:5" ht="15" customHeight="1">
      <c r="A63" s="395" t="s">
        <v>339</v>
      </c>
      <c r="B63" s="400" t="s">
        <v>371</v>
      </c>
      <c r="C63" s="295">
        <f t="shared" si="6"/>
        <v>36653286</v>
      </c>
      <c r="D63" s="295">
        <v>36653286</v>
      </c>
      <c r="E63" s="415"/>
    </row>
    <row r="64" spans="1:5" ht="15" customHeight="1">
      <c r="A64" s="395" t="s">
        <v>340</v>
      </c>
      <c r="B64" s="400" t="s">
        <v>372</v>
      </c>
      <c r="C64" s="295">
        <f t="shared" si="6"/>
        <v>79875389</v>
      </c>
      <c r="D64" s="295">
        <v>79875389</v>
      </c>
      <c r="E64" s="415"/>
    </row>
    <row r="65" spans="1:7" ht="15" customHeight="1">
      <c r="A65" s="395" t="s">
        <v>341</v>
      </c>
      <c r="B65" s="400" t="s">
        <v>373</v>
      </c>
      <c r="C65" s="295">
        <f t="shared" si="6"/>
        <v>73889494</v>
      </c>
      <c r="D65" s="295">
        <v>73889494</v>
      </c>
      <c r="E65" s="415"/>
    </row>
    <row r="66" spans="1:7" ht="15" customHeight="1">
      <c r="A66" s="395" t="s">
        <v>342</v>
      </c>
      <c r="B66" s="414" t="s">
        <v>704</v>
      </c>
      <c r="C66" s="295">
        <f t="shared" si="6"/>
        <v>1284062</v>
      </c>
      <c r="D66" s="295">
        <v>1284062</v>
      </c>
      <c r="E66" s="415"/>
    </row>
    <row r="67" spans="1:7" ht="15" customHeight="1">
      <c r="A67" s="395" t="s">
        <v>343</v>
      </c>
      <c r="B67" s="414" t="s">
        <v>705</v>
      </c>
      <c r="C67" s="295">
        <f t="shared" si="6"/>
        <v>36789734</v>
      </c>
      <c r="D67" s="295">
        <v>36789734</v>
      </c>
      <c r="E67" s="415"/>
    </row>
    <row r="68" spans="1:7" ht="15" customHeight="1">
      <c r="A68" s="395" t="s">
        <v>706</v>
      </c>
      <c r="B68" s="414" t="s">
        <v>707</v>
      </c>
      <c r="C68" s="295">
        <f t="shared" si="6"/>
        <v>877648</v>
      </c>
      <c r="D68" s="295">
        <f>635535+242113</f>
        <v>877648</v>
      </c>
      <c r="E68" s="415"/>
    </row>
    <row r="69" spans="1:7" ht="15" customHeight="1">
      <c r="A69" s="395" t="s">
        <v>708</v>
      </c>
      <c r="B69" s="414" t="s">
        <v>709</v>
      </c>
      <c r="C69" s="295">
        <f>D69+E69</f>
        <v>149526739</v>
      </c>
      <c r="D69" s="295">
        <f>67224730+82302009</f>
        <v>149526739</v>
      </c>
      <c r="E69" s="415"/>
    </row>
    <row r="70" spans="1:7" ht="15" customHeight="1">
      <c r="A70" s="26" t="s">
        <v>710</v>
      </c>
      <c r="B70" s="60" t="s">
        <v>374</v>
      </c>
      <c r="C70" s="177">
        <f>SUM(C59:C69)-C60</f>
        <v>1123148265</v>
      </c>
      <c r="D70" s="177">
        <f>SUM(D59:D69)-D60</f>
        <v>1123148265</v>
      </c>
      <c r="E70" s="415"/>
      <c r="G70" s="417"/>
    </row>
    <row r="71" spans="1:7" ht="7.5" customHeight="1">
      <c r="A71" s="395" t="s">
        <v>13</v>
      </c>
      <c r="B71" s="400" t="s">
        <v>13</v>
      </c>
      <c r="C71" s="315"/>
      <c r="D71" s="315"/>
      <c r="E71" s="315"/>
    </row>
    <row r="72" spans="1:7" ht="15" customHeight="1">
      <c r="A72" s="26" t="s">
        <v>486</v>
      </c>
      <c r="B72" s="60" t="s">
        <v>375</v>
      </c>
      <c r="C72" s="177">
        <f>C56-C70</f>
        <v>1228313807</v>
      </c>
      <c r="D72" s="177">
        <f>D56-D70</f>
        <v>265083195</v>
      </c>
      <c r="E72" s="177">
        <f>+E56-(C70-D70)</f>
        <v>963230612</v>
      </c>
      <c r="G72" s="417"/>
    </row>
    <row r="73" spans="1:7" ht="15" customHeight="1">
      <c r="A73" s="395" t="s">
        <v>345</v>
      </c>
      <c r="B73" s="400" t="s">
        <v>376</v>
      </c>
      <c r="C73" s="296">
        <f>+D73</f>
        <v>230092137</v>
      </c>
      <c r="D73" s="295">
        <v>230092137</v>
      </c>
      <c r="E73" s="415"/>
    </row>
    <row r="74" spans="1:7" ht="7.5" customHeight="1">
      <c r="A74" s="395"/>
      <c r="B74" s="400"/>
      <c r="C74" s="146"/>
      <c r="D74" s="146"/>
      <c r="E74" s="146"/>
    </row>
    <row r="75" spans="1:7" ht="15" customHeight="1">
      <c r="A75" s="26" t="s">
        <v>344</v>
      </c>
      <c r="B75" s="60" t="s">
        <v>377</v>
      </c>
      <c r="C75" s="177">
        <f>C72-C73</f>
        <v>998221670</v>
      </c>
      <c r="D75" s="177">
        <f>D72-D73</f>
        <v>34991058</v>
      </c>
      <c r="E75" s="177">
        <f>E72-E73</f>
        <v>963230612</v>
      </c>
      <c r="G75" s="417"/>
    </row>
    <row r="76" spans="1:7" ht="15" customHeight="1">
      <c r="A76" s="395" t="s">
        <v>347</v>
      </c>
      <c r="B76" s="400" t="s">
        <v>378</v>
      </c>
      <c r="C76" s="296">
        <f t="shared" ref="C76:C77" si="7">+D76+E76</f>
        <v>0</v>
      </c>
      <c r="D76" s="295">
        <v>0</v>
      </c>
      <c r="E76" s="295">
        <v>0</v>
      </c>
    </row>
    <row r="77" spans="1:7" ht="15" customHeight="1">
      <c r="A77" s="395" t="s">
        <v>348</v>
      </c>
      <c r="B77" s="400" t="s">
        <v>379</v>
      </c>
      <c r="C77" s="296">
        <f t="shared" si="7"/>
        <v>0</v>
      </c>
      <c r="D77" s="295">
        <v>0</v>
      </c>
      <c r="E77" s="295">
        <v>0</v>
      </c>
    </row>
    <row r="78" spans="1:7" ht="7.5" customHeight="1">
      <c r="A78" s="26"/>
      <c r="B78" s="60"/>
      <c r="C78" s="315"/>
      <c r="D78" s="315"/>
      <c r="E78" s="315"/>
    </row>
    <row r="79" spans="1:7" ht="15" customHeight="1">
      <c r="A79" s="26" t="s">
        <v>346</v>
      </c>
      <c r="B79" s="60" t="s">
        <v>380</v>
      </c>
      <c r="C79" s="177">
        <f>C75+C76+C77</f>
        <v>998221670</v>
      </c>
      <c r="D79" s="177">
        <f>D75+D76+D77</f>
        <v>34991058</v>
      </c>
      <c r="E79" s="177">
        <f>E75+E76+E77</f>
        <v>963230612</v>
      </c>
      <c r="G79" s="417"/>
    </row>
    <row r="80" spans="1:7" ht="15" customHeight="1">
      <c r="A80" s="1"/>
    </row>
    <row r="81" spans="1:2" ht="15" customHeight="1">
      <c r="A81" s="1"/>
      <c r="B81" s="3" t="s">
        <v>0</v>
      </c>
    </row>
    <row r="82" spans="1:2" ht="15" customHeight="1">
      <c r="A82" s="1"/>
      <c r="B82" s="3"/>
    </row>
    <row r="83" spans="1:2" ht="15" customHeight="1">
      <c r="A83" s="1"/>
      <c r="B83" s="3" t="s">
        <v>1</v>
      </c>
    </row>
    <row r="84" spans="1:2" ht="15" customHeight="1">
      <c r="A84" s="1"/>
    </row>
    <row r="85" spans="1:2" ht="15" customHeight="1">
      <c r="A85" s="1"/>
    </row>
    <row r="86" spans="1:2" ht="15" customHeight="1">
      <c r="A86" s="1"/>
    </row>
    <row r="87" spans="1:2" ht="15" customHeight="1">
      <c r="A87" s="1"/>
    </row>
    <row r="88" spans="1:2" ht="15" customHeight="1">
      <c r="A88" s="1"/>
    </row>
    <row r="89" spans="1:2" ht="15" customHeight="1">
      <c r="A89" s="418"/>
    </row>
    <row r="90" spans="1:2" ht="15" customHeight="1">
      <c r="A90" s="418"/>
    </row>
    <row r="92" spans="1:2" ht="15" customHeight="1">
      <c r="A92" s="419"/>
    </row>
    <row r="93" spans="1:2" ht="15" customHeight="1">
      <c r="A93" s="419"/>
    </row>
    <row r="94" spans="1:2" ht="15" customHeight="1">
      <c r="A94" s="419"/>
    </row>
    <row r="96" spans="1:2" ht="15" customHeight="1">
      <c r="A96" s="420"/>
    </row>
    <row r="97" spans="1:1" ht="15" customHeight="1">
      <c r="A97" s="420"/>
    </row>
  </sheetData>
  <sheetProtection sheet="1" objects="1" scenarios="1"/>
  <phoneticPr fontId="16" type="noConversion"/>
  <conditionalFormatting sqref="C16">
    <cfRule type="cellIs" dxfId="210" priority="2" operator="notEqual">
      <formula>$G$16</formula>
    </cfRule>
  </conditionalFormatting>
  <conditionalFormatting sqref="C28">
    <cfRule type="cellIs" dxfId="209" priority="1" operator="notEqual">
      <formula>$G$28</formula>
    </cfRule>
  </conditionalFormatting>
  <conditionalFormatting sqref="G16">
    <cfRule type="cellIs" dxfId="208" priority="42" operator="notEqual">
      <formula>$G$16</formula>
    </cfRule>
  </conditionalFormatting>
  <dataValidations count="4">
    <dataValidation type="whole" operator="notEqual" allowBlank="1" showErrorMessage="1" error="Если увас есть желание не видеть больше_x000a_это сообщение, вводите целые числа!" sqref="C76:F77 F18 F48 F59:F69 C59:D69 C31:F34 F30 C24:F26 F73 C73:D73 C6:E15 F5:F15 C19:F22 C38:F45 C49:F53" xr:uid="{00000000-0002-0000-0100-000000000000}">
      <formula1>-1E+21</formula1>
    </dataValidation>
    <dataValidation allowBlank="1" showInputMessage="1" showErrorMessage="1" prompt="Значение должно равняться итого процентных расходов (см. следующую страницу)" sqref="C28:F28" xr:uid="{00000000-0002-0000-0100-000001000000}"/>
    <dataValidation allowBlank="1" showInputMessage="1" showErrorMessage="1" prompt="Значение должно равняться итого процентных доходов (см.следующий лист)" sqref="C16:F16" xr:uid="{00000000-0002-0000-0100-000002000000}"/>
    <dataValidation type="whole" operator="greaterThanOrEqual" allowBlank="1" showInputMessage="1" showErrorMessage="1" sqref="E73 E59:E69" xr:uid="{00000000-0002-0000-0100-000003000000}">
      <formula1>0</formula1>
    </dataValidation>
  </dataValidations>
  <printOptions horizontalCentered="1"/>
  <pageMargins left="0.23622047244094491" right="0.23622047244094491" top="0.43307086614173229" bottom="0.35433070866141736" header="0.51181102362204722" footer="0.39370078740157483"/>
  <pageSetup paperSize="9" scale="65" orientation="portrait" r:id="rId1"/>
  <headerFooter alignWithMargins="0"/>
  <ignoredErrors>
    <ignoredError sqref="C6:C22 C87:C93" unlockedFormula="1"/>
    <ignoredError sqref="C23:C35 C55:C58 C70:C72 C74:C86 C46:C53 C38:C42" formula="1" unlockedFormula="1"/>
    <ignoredError sqref="C36:C37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>
    <pageSetUpPr fitToPage="1"/>
  </sheetPr>
  <dimension ref="A1:T98"/>
  <sheetViews>
    <sheetView view="pageBreakPreview" zoomScale="115" zoomScaleSheetLayoutView="115" workbookViewId="0">
      <pane xSplit="2" ySplit="4" topLeftCell="C29" activePane="bottomRight" state="frozen"/>
      <selection activeCell="C73" sqref="C73"/>
      <selection pane="topRight" activeCell="C73" sqref="C73"/>
      <selection pane="bottomLeft" activeCell="C73" sqref="C73"/>
      <selection pane="bottomRight" activeCell="C72" sqref="C72"/>
    </sheetView>
  </sheetViews>
  <sheetFormatPr defaultRowHeight="12.75"/>
  <cols>
    <col min="1" max="1" width="7.140625" style="39" customWidth="1"/>
    <col min="2" max="2" width="83.28515625" style="1" bestFit="1" customWidth="1"/>
    <col min="3" max="3" width="24" style="1" customWidth="1"/>
    <col min="4" max="10" width="6.42578125" style="1" customWidth="1"/>
    <col min="11" max="16384" width="9.140625" style="1"/>
  </cols>
  <sheetData>
    <row r="1" spans="1:20" s="16" customFormat="1" ht="21" customHeight="1">
      <c r="A1" s="7"/>
      <c r="B1" s="171" t="s">
        <v>14</v>
      </c>
      <c r="C1" s="49" t="s">
        <v>586</v>
      </c>
      <c r="D1" s="20"/>
      <c r="E1" s="20"/>
      <c r="F1" s="20"/>
      <c r="G1" s="20"/>
      <c r="H1" s="20"/>
    </row>
    <row r="2" spans="1:20" ht="9" customHeight="1">
      <c r="A2" s="24"/>
      <c r="B2" s="5"/>
      <c r="C2" s="49"/>
      <c r="D2" s="2"/>
      <c r="E2" s="2"/>
      <c r="F2" s="2"/>
      <c r="G2" s="2"/>
      <c r="H2" s="2"/>
    </row>
    <row r="3" spans="1:20" ht="15">
      <c r="A3" s="35"/>
      <c r="B3" s="131" t="str">
        <f>+'Asset quality'!B3</f>
        <v>"Ўзсаноатқурилишбанк" АТБ</v>
      </c>
      <c r="C3" s="132">
        <f>+'Asset quality'!P3</f>
        <v>44560</v>
      </c>
      <c r="D3" s="2"/>
      <c r="E3" s="2"/>
      <c r="F3" s="2"/>
      <c r="G3" s="2"/>
      <c r="H3" s="2"/>
    </row>
    <row r="4" spans="1:20" ht="24" customHeight="1">
      <c r="A4" s="170" t="s">
        <v>83</v>
      </c>
      <c r="B4" s="170" t="s">
        <v>15</v>
      </c>
      <c r="C4" s="170" t="s">
        <v>3</v>
      </c>
      <c r="D4" s="2"/>
      <c r="E4" s="2"/>
      <c r="F4" s="2"/>
      <c r="G4" s="2"/>
      <c r="H4" s="2"/>
    </row>
    <row r="5" spans="1:20">
      <c r="A5" s="36" t="s">
        <v>469</v>
      </c>
      <c r="B5" s="163" t="s">
        <v>493</v>
      </c>
      <c r="C5" s="170"/>
      <c r="D5" s="2"/>
      <c r="E5" s="2"/>
      <c r="F5" s="2"/>
      <c r="G5" s="2"/>
      <c r="H5" s="2"/>
    </row>
    <row r="6" spans="1:20">
      <c r="A6" s="37" t="s">
        <v>470</v>
      </c>
      <c r="B6" s="164" t="s">
        <v>494</v>
      </c>
      <c r="C6" s="9">
        <v>0</v>
      </c>
      <c r="D6" s="2"/>
      <c r="E6" s="2"/>
      <c r="F6" s="2"/>
      <c r="G6" s="2"/>
      <c r="H6" s="2"/>
    </row>
    <row r="7" spans="1:20">
      <c r="A7" s="37" t="s">
        <v>471</v>
      </c>
      <c r="B7" s="164" t="s">
        <v>495</v>
      </c>
      <c r="C7" s="9">
        <v>19</v>
      </c>
      <c r="D7" s="2"/>
      <c r="E7" s="2"/>
      <c r="F7" s="2"/>
      <c r="G7" s="2"/>
      <c r="H7" s="2"/>
    </row>
    <row r="8" spans="1:20">
      <c r="A8" s="37" t="s">
        <v>472</v>
      </c>
      <c r="B8" s="164" t="s">
        <v>496</v>
      </c>
      <c r="C8" s="9">
        <v>12007</v>
      </c>
      <c r="D8" s="2"/>
      <c r="E8" s="2"/>
      <c r="F8" s="2"/>
      <c r="G8" s="2"/>
      <c r="H8" s="2"/>
    </row>
    <row r="9" spans="1:20">
      <c r="A9" s="37" t="s">
        <v>473</v>
      </c>
      <c r="B9" s="164" t="s">
        <v>497</v>
      </c>
      <c r="C9" s="9">
        <v>578565623</v>
      </c>
      <c r="D9" s="2"/>
      <c r="E9" s="2"/>
      <c r="F9" s="2"/>
      <c r="G9" s="2"/>
      <c r="H9" s="2"/>
    </row>
    <row r="10" spans="1:20">
      <c r="A10" s="37" t="s">
        <v>474</v>
      </c>
      <c r="B10" s="164" t="s">
        <v>498</v>
      </c>
      <c r="C10" s="9">
        <v>902424692</v>
      </c>
      <c r="D10" s="2"/>
      <c r="E10" s="2"/>
      <c r="F10" s="2"/>
      <c r="G10" s="2"/>
      <c r="H10" s="2"/>
    </row>
    <row r="11" spans="1:20">
      <c r="A11" s="37" t="s">
        <v>475</v>
      </c>
      <c r="B11" s="164" t="s">
        <v>499</v>
      </c>
      <c r="C11" s="9">
        <v>529303119</v>
      </c>
      <c r="D11" s="2"/>
      <c r="E11" s="2"/>
      <c r="F11" s="2"/>
      <c r="G11" s="2"/>
      <c r="H11" s="2"/>
    </row>
    <row r="12" spans="1:20">
      <c r="A12" s="37" t="s">
        <v>476</v>
      </c>
      <c r="B12" s="164" t="s">
        <v>500</v>
      </c>
      <c r="C12" s="9">
        <v>1715606267</v>
      </c>
      <c r="D12" s="2"/>
      <c r="E12" s="2"/>
      <c r="F12" s="2"/>
      <c r="G12" s="2"/>
      <c r="H12" s="2"/>
    </row>
    <row r="13" spans="1:20">
      <c r="A13" s="37" t="s">
        <v>477</v>
      </c>
      <c r="B13" s="164" t="s">
        <v>501</v>
      </c>
      <c r="C13" s="9">
        <v>21207950</v>
      </c>
      <c r="D13" s="2"/>
      <c r="E13" s="2"/>
      <c r="F13" s="2"/>
      <c r="G13" s="2"/>
      <c r="H13" s="2"/>
    </row>
    <row r="14" spans="1:20">
      <c r="A14" s="36" t="s">
        <v>478</v>
      </c>
      <c r="B14" s="163" t="s">
        <v>502</v>
      </c>
      <c r="C14" s="6">
        <f>SUM(C6:C13)</f>
        <v>3747119677</v>
      </c>
      <c r="D14" s="2"/>
      <c r="E14" s="2"/>
      <c r="F14" s="2"/>
      <c r="G14" s="2"/>
      <c r="H14" s="2"/>
    </row>
    <row r="15" spans="1:20" ht="7.5" customHeight="1">
      <c r="A15" s="26"/>
      <c r="B15" s="60"/>
      <c r="C15" s="4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</row>
    <row r="16" spans="1:20">
      <c r="A16" s="36" t="s">
        <v>479</v>
      </c>
      <c r="B16" s="163" t="s">
        <v>503</v>
      </c>
      <c r="C16" s="170"/>
      <c r="D16" s="2"/>
      <c r="E16" s="2"/>
      <c r="F16" s="2"/>
      <c r="G16" s="2"/>
      <c r="H16" s="2"/>
    </row>
    <row r="17" spans="1:20">
      <c r="A17" s="37" t="s">
        <v>470</v>
      </c>
      <c r="B17" s="164" t="s">
        <v>504</v>
      </c>
      <c r="C17" s="9">
        <v>24773206</v>
      </c>
      <c r="D17" s="2"/>
      <c r="E17" s="2"/>
      <c r="F17" s="2"/>
      <c r="G17" s="2"/>
      <c r="H17" s="2"/>
    </row>
    <row r="18" spans="1:20">
      <c r="A18" s="37" t="s">
        <v>471</v>
      </c>
      <c r="B18" s="164" t="s">
        <v>201</v>
      </c>
      <c r="C18" s="9">
        <v>111283999</v>
      </c>
      <c r="D18" s="2"/>
      <c r="E18" s="2"/>
      <c r="F18" s="2"/>
      <c r="G18" s="2"/>
      <c r="H18" s="2"/>
    </row>
    <row r="19" spans="1:20">
      <c r="A19" s="36"/>
      <c r="B19" s="163" t="s">
        <v>505</v>
      </c>
      <c r="C19" s="6">
        <f>SUM(C17:C18)</f>
        <v>136057205</v>
      </c>
      <c r="D19" s="2"/>
      <c r="E19" s="2"/>
      <c r="F19" s="2"/>
      <c r="G19" s="2"/>
      <c r="H19" s="2"/>
    </row>
    <row r="20" spans="1:20" ht="7.5" customHeight="1">
      <c r="A20" s="26"/>
      <c r="B20" s="60"/>
      <c r="C20" s="4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</row>
    <row r="21" spans="1:20">
      <c r="A21" s="36" t="s">
        <v>480</v>
      </c>
      <c r="B21" s="163" t="s">
        <v>506</v>
      </c>
      <c r="C21" s="170"/>
      <c r="D21" s="2"/>
      <c r="E21" s="2"/>
      <c r="F21" s="2"/>
      <c r="G21" s="2"/>
      <c r="H21" s="2"/>
    </row>
    <row r="22" spans="1:20">
      <c r="A22" s="37" t="s">
        <v>470</v>
      </c>
      <c r="B22" s="164" t="s">
        <v>507</v>
      </c>
      <c r="C22" s="9">
        <v>42674492</v>
      </c>
      <c r="D22" s="2"/>
      <c r="E22" s="2"/>
      <c r="F22" s="2"/>
      <c r="G22" s="2"/>
      <c r="H22" s="2"/>
    </row>
    <row r="23" spans="1:20">
      <c r="A23" s="37" t="s">
        <v>471</v>
      </c>
      <c r="B23" s="164" t="s">
        <v>508</v>
      </c>
      <c r="C23" s="9">
        <v>98582655</v>
      </c>
      <c r="D23" s="2"/>
      <c r="E23" s="2"/>
      <c r="F23" s="2"/>
      <c r="G23" s="2"/>
      <c r="H23" s="2"/>
    </row>
    <row r="24" spans="1:20">
      <c r="A24" s="37" t="s">
        <v>472</v>
      </c>
      <c r="B24" s="164" t="s">
        <v>509</v>
      </c>
      <c r="C24" s="9">
        <v>0</v>
      </c>
      <c r="D24" s="2"/>
      <c r="E24" s="2"/>
      <c r="F24" s="2"/>
      <c r="G24" s="2"/>
      <c r="H24" s="2"/>
    </row>
    <row r="25" spans="1:20">
      <c r="A25" s="37" t="s">
        <v>473</v>
      </c>
      <c r="B25" s="164" t="s">
        <v>510</v>
      </c>
      <c r="C25" s="9">
        <v>0</v>
      </c>
      <c r="D25" s="2"/>
      <c r="E25" s="2"/>
      <c r="F25" s="2"/>
      <c r="G25" s="2"/>
      <c r="H25" s="2"/>
    </row>
    <row r="26" spans="1:20">
      <c r="A26" s="37" t="s">
        <v>474</v>
      </c>
      <c r="B26" s="164" t="s">
        <v>511</v>
      </c>
      <c r="C26" s="9">
        <v>0</v>
      </c>
      <c r="D26" s="2"/>
      <c r="E26" s="2"/>
      <c r="F26" s="2"/>
      <c r="G26" s="2"/>
      <c r="H26" s="2"/>
    </row>
    <row r="27" spans="1:20">
      <c r="A27" s="37" t="s">
        <v>475</v>
      </c>
      <c r="B27" s="164" t="s">
        <v>86</v>
      </c>
      <c r="C27" s="9">
        <v>0</v>
      </c>
      <c r="D27" s="2"/>
      <c r="E27" s="2"/>
      <c r="F27" s="2"/>
      <c r="G27" s="2"/>
      <c r="H27" s="2"/>
    </row>
    <row r="28" spans="1:20">
      <c r="A28" s="37" t="s">
        <v>476</v>
      </c>
      <c r="B28" s="163" t="s">
        <v>512</v>
      </c>
      <c r="C28" s="6">
        <f>SUM(C22:C27)</f>
        <v>141257147</v>
      </c>
      <c r="D28" s="2"/>
      <c r="E28" s="2"/>
      <c r="F28" s="2"/>
      <c r="G28" s="2"/>
      <c r="H28" s="2"/>
    </row>
    <row r="29" spans="1:20" ht="7.5" customHeight="1">
      <c r="A29" s="26"/>
      <c r="B29" s="60"/>
      <c r="C29" s="4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</row>
    <row r="30" spans="1:20">
      <c r="A30" s="36" t="s">
        <v>481</v>
      </c>
      <c r="B30" s="163" t="s">
        <v>513</v>
      </c>
      <c r="C30" s="170"/>
      <c r="D30" s="2"/>
      <c r="E30" s="2"/>
      <c r="F30" s="2"/>
      <c r="G30" s="2"/>
      <c r="H30" s="2"/>
    </row>
    <row r="31" spans="1:20">
      <c r="A31" s="37" t="s">
        <v>470</v>
      </c>
      <c r="B31" s="164" t="s">
        <v>514</v>
      </c>
      <c r="C31" s="9">
        <v>0</v>
      </c>
      <c r="D31" s="2"/>
      <c r="E31" s="2"/>
      <c r="F31" s="2"/>
      <c r="G31" s="2"/>
      <c r="H31" s="2"/>
    </row>
    <row r="32" spans="1:20">
      <c r="A32" s="37" t="s">
        <v>471</v>
      </c>
      <c r="B32" s="164" t="s">
        <v>508</v>
      </c>
      <c r="C32" s="9">
        <v>0</v>
      </c>
      <c r="D32" s="2"/>
      <c r="E32" s="2"/>
      <c r="F32" s="2"/>
      <c r="G32" s="2"/>
      <c r="H32" s="2"/>
    </row>
    <row r="33" spans="1:20">
      <c r="A33" s="37" t="s">
        <v>472</v>
      </c>
      <c r="B33" s="164" t="s">
        <v>515</v>
      </c>
      <c r="C33" s="9">
        <v>7062</v>
      </c>
      <c r="D33" s="2"/>
      <c r="E33" s="2"/>
      <c r="F33" s="2"/>
      <c r="G33" s="2"/>
      <c r="H33" s="2"/>
    </row>
    <row r="34" spans="1:20">
      <c r="A34" s="37" t="s">
        <v>473</v>
      </c>
      <c r="B34" s="164" t="s">
        <v>510</v>
      </c>
      <c r="C34" s="9">
        <v>0</v>
      </c>
      <c r="D34" s="2"/>
      <c r="E34" s="2"/>
      <c r="F34" s="2"/>
      <c r="G34" s="2"/>
      <c r="H34" s="2"/>
    </row>
    <row r="35" spans="1:20">
      <c r="A35" s="37" t="s">
        <v>474</v>
      </c>
      <c r="B35" s="164" t="s">
        <v>86</v>
      </c>
      <c r="C35" s="9">
        <v>0</v>
      </c>
      <c r="D35" s="2"/>
      <c r="E35" s="2"/>
      <c r="F35" s="2"/>
      <c r="G35" s="2"/>
      <c r="H35" s="2"/>
    </row>
    <row r="36" spans="1:20">
      <c r="A36" s="37" t="s">
        <v>475</v>
      </c>
      <c r="B36" s="163" t="s">
        <v>516</v>
      </c>
      <c r="C36" s="6">
        <f>SUM(C31:C35)</f>
        <v>7062</v>
      </c>
      <c r="D36" s="2"/>
      <c r="E36" s="2"/>
      <c r="F36" s="2"/>
      <c r="G36" s="2"/>
      <c r="H36" s="2"/>
    </row>
    <row r="37" spans="1:20" ht="7.5" customHeight="1">
      <c r="A37" s="26"/>
      <c r="B37" s="60"/>
      <c r="C37" s="4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36" t="s">
        <v>482</v>
      </c>
      <c r="B38" s="163" t="s">
        <v>517</v>
      </c>
      <c r="C38" s="170"/>
      <c r="D38" s="2"/>
      <c r="E38" s="2"/>
      <c r="F38" s="2"/>
      <c r="G38" s="2"/>
      <c r="H38" s="2"/>
    </row>
    <row r="39" spans="1:20">
      <c r="A39" s="37" t="s">
        <v>470</v>
      </c>
      <c r="B39" s="165" t="s">
        <v>518</v>
      </c>
      <c r="C39" s="530">
        <v>0</v>
      </c>
      <c r="D39" s="2"/>
      <c r="E39" s="2"/>
      <c r="F39" s="2"/>
      <c r="G39" s="2"/>
      <c r="H39" s="2"/>
    </row>
    <row r="40" spans="1:20">
      <c r="A40" s="37" t="s">
        <v>471</v>
      </c>
      <c r="B40" s="165" t="s">
        <v>301</v>
      </c>
      <c r="C40" s="530">
        <v>459764028</v>
      </c>
      <c r="D40" s="2"/>
      <c r="E40" s="2"/>
      <c r="F40" s="2"/>
      <c r="G40" s="2"/>
      <c r="H40" s="2"/>
    </row>
    <row r="41" spans="1:20" ht="7.5" customHeight="1">
      <c r="A41" s="26"/>
      <c r="B41" s="60"/>
      <c r="C41" s="4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36" t="s">
        <v>335</v>
      </c>
      <c r="B42" s="163" t="s">
        <v>519</v>
      </c>
      <c r="C42" s="6">
        <f>C14+C19+C28+C36+C39+C40</f>
        <v>4484205119</v>
      </c>
      <c r="D42" s="2"/>
      <c r="E42" s="2"/>
      <c r="F42" s="2"/>
      <c r="G42" s="2"/>
      <c r="H42" s="2"/>
    </row>
    <row r="43" spans="1:20" ht="7.5" customHeight="1">
      <c r="A43" s="26"/>
      <c r="B43" s="60"/>
      <c r="C43" s="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36" t="s">
        <v>336</v>
      </c>
      <c r="B44" s="163" t="s">
        <v>520</v>
      </c>
      <c r="C44" s="170"/>
      <c r="D44" s="2"/>
      <c r="E44" s="2"/>
      <c r="F44" s="2"/>
      <c r="G44" s="2"/>
      <c r="H44" s="2"/>
    </row>
    <row r="45" spans="1:20">
      <c r="A45" s="36" t="s">
        <v>483</v>
      </c>
      <c r="B45" s="163" t="s">
        <v>204</v>
      </c>
      <c r="C45" s="9"/>
      <c r="D45" s="2"/>
      <c r="E45" s="2"/>
      <c r="F45" s="2"/>
      <c r="G45" s="2"/>
      <c r="H45" s="2"/>
    </row>
    <row r="46" spans="1:20">
      <c r="A46" s="37" t="s">
        <v>470</v>
      </c>
      <c r="B46" s="164" t="s">
        <v>163</v>
      </c>
      <c r="C46" s="530">
        <v>3067071</v>
      </c>
      <c r="D46" s="2"/>
      <c r="E46" s="2"/>
      <c r="F46" s="2"/>
      <c r="G46" s="2"/>
      <c r="H46" s="2"/>
    </row>
    <row r="47" spans="1:20">
      <c r="A47" s="37" t="s">
        <v>471</v>
      </c>
      <c r="B47" s="164" t="s">
        <v>164</v>
      </c>
      <c r="C47" s="530">
        <v>0</v>
      </c>
      <c r="D47" s="2"/>
      <c r="E47" s="2"/>
      <c r="F47" s="2"/>
      <c r="G47" s="2"/>
      <c r="H47" s="2"/>
    </row>
    <row r="48" spans="1:20">
      <c r="A48" s="37" t="s">
        <v>472</v>
      </c>
      <c r="B48" s="164" t="s">
        <v>165</v>
      </c>
      <c r="C48" s="530">
        <v>0</v>
      </c>
      <c r="D48" s="2"/>
      <c r="E48" s="2"/>
      <c r="F48" s="2"/>
      <c r="G48" s="2"/>
      <c r="H48" s="2"/>
    </row>
    <row r="49" spans="1:20">
      <c r="A49" s="37" t="s">
        <v>473</v>
      </c>
      <c r="B49" s="164" t="s">
        <v>166</v>
      </c>
      <c r="C49" s="530">
        <v>0</v>
      </c>
      <c r="D49" s="2"/>
      <c r="E49" s="2"/>
      <c r="F49" s="2"/>
      <c r="G49" s="2"/>
      <c r="H49" s="2"/>
    </row>
    <row r="50" spans="1:20">
      <c r="A50" s="37" t="s">
        <v>474</v>
      </c>
      <c r="B50" s="164" t="s">
        <v>521</v>
      </c>
      <c r="C50" s="530">
        <v>1809971</v>
      </c>
      <c r="D50" s="2"/>
      <c r="E50" s="2"/>
      <c r="F50" s="2"/>
      <c r="G50" s="2"/>
      <c r="H50" s="2"/>
    </row>
    <row r="51" spans="1:20">
      <c r="A51" s="37" t="s">
        <v>475</v>
      </c>
      <c r="B51" s="164" t="s">
        <v>522</v>
      </c>
      <c r="C51" s="530">
        <v>0</v>
      </c>
      <c r="D51" s="2"/>
      <c r="E51" s="2"/>
      <c r="F51" s="2"/>
      <c r="G51" s="2"/>
      <c r="H51" s="2"/>
    </row>
    <row r="52" spans="1:20">
      <c r="A52" s="37" t="s">
        <v>476</v>
      </c>
      <c r="B52" s="164" t="s">
        <v>523</v>
      </c>
      <c r="C52" s="6">
        <f>SUM(C46:C51)</f>
        <v>4877042</v>
      </c>
      <c r="D52" s="2"/>
      <c r="E52" s="2"/>
      <c r="F52" s="2"/>
      <c r="G52" s="2"/>
      <c r="H52" s="2"/>
    </row>
    <row r="53" spans="1:20" ht="7.5" customHeight="1">
      <c r="A53" s="26"/>
      <c r="B53" s="60"/>
      <c r="C53" s="4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36" t="s">
        <v>484</v>
      </c>
      <c r="B54" s="163" t="s">
        <v>207</v>
      </c>
      <c r="C54" s="170"/>
      <c r="D54" s="2"/>
      <c r="E54" s="2"/>
      <c r="F54" s="2"/>
      <c r="G54" s="2"/>
      <c r="H54" s="2"/>
    </row>
    <row r="55" spans="1:20">
      <c r="A55" s="37" t="s">
        <v>470</v>
      </c>
      <c r="B55" s="164" t="s">
        <v>163</v>
      </c>
      <c r="C55" s="9">
        <v>176136183</v>
      </c>
      <c r="D55" s="2"/>
      <c r="E55" s="2"/>
      <c r="F55" s="2"/>
      <c r="G55" s="2"/>
      <c r="H55" s="2"/>
    </row>
    <row r="56" spans="1:20">
      <c r="A56" s="37" t="s">
        <v>471</v>
      </c>
      <c r="B56" s="164" t="s">
        <v>164</v>
      </c>
      <c r="C56" s="9">
        <v>320032201</v>
      </c>
      <c r="D56" s="2"/>
      <c r="E56" s="2"/>
      <c r="F56" s="2"/>
      <c r="G56" s="2"/>
      <c r="H56" s="2"/>
    </row>
    <row r="57" spans="1:20">
      <c r="A57" s="37" t="s">
        <v>472</v>
      </c>
      <c r="B57" s="164" t="s">
        <v>165</v>
      </c>
      <c r="C57" s="9">
        <v>13625071</v>
      </c>
      <c r="D57" s="2"/>
      <c r="E57" s="2"/>
      <c r="F57" s="2"/>
      <c r="G57" s="2"/>
      <c r="H57" s="2"/>
    </row>
    <row r="58" spans="1:20">
      <c r="A58" s="37" t="s">
        <v>473</v>
      </c>
      <c r="B58" s="164" t="s">
        <v>166</v>
      </c>
      <c r="C58" s="9">
        <v>31867051</v>
      </c>
      <c r="D58" s="2"/>
      <c r="E58" s="2"/>
      <c r="F58" s="2"/>
      <c r="G58" s="2"/>
      <c r="H58" s="2"/>
    </row>
    <row r="59" spans="1:20">
      <c r="A59" s="37" t="s">
        <v>474</v>
      </c>
      <c r="B59" s="164" t="s">
        <v>521</v>
      </c>
      <c r="C59" s="9">
        <v>14713027</v>
      </c>
      <c r="D59" s="2"/>
      <c r="E59" s="2"/>
      <c r="F59" s="2"/>
      <c r="G59" s="2"/>
      <c r="H59" s="2"/>
    </row>
    <row r="60" spans="1:20">
      <c r="A60" s="37" t="s">
        <v>475</v>
      </c>
      <c r="B60" s="164" t="s">
        <v>522</v>
      </c>
      <c r="C60" s="9">
        <v>14422975</v>
      </c>
      <c r="D60" s="2"/>
      <c r="E60" s="2"/>
      <c r="F60" s="2"/>
      <c r="G60" s="2"/>
      <c r="H60" s="2"/>
    </row>
    <row r="61" spans="1:20" ht="13.5" customHeight="1">
      <c r="A61" s="37" t="s">
        <v>476</v>
      </c>
      <c r="B61" s="164" t="s">
        <v>524</v>
      </c>
      <c r="C61" s="6">
        <f>SUM(C55:C60)</f>
        <v>570796508</v>
      </c>
      <c r="D61" s="2"/>
      <c r="E61" s="2"/>
      <c r="F61" s="2"/>
      <c r="G61" s="2"/>
      <c r="H61" s="2"/>
    </row>
    <row r="62" spans="1:20" ht="7.5" customHeight="1">
      <c r="A62" s="26"/>
      <c r="B62" s="60"/>
      <c r="C62" s="4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36" t="s">
        <v>485</v>
      </c>
      <c r="B63" s="163" t="s">
        <v>525</v>
      </c>
      <c r="C63" s="6">
        <f>C52+C61</f>
        <v>575673550</v>
      </c>
      <c r="D63" s="2"/>
      <c r="E63" s="2"/>
      <c r="F63" s="2"/>
      <c r="G63" s="2"/>
      <c r="H63" s="2"/>
    </row>
    <row r="64" spans="1:20" ht="7.5" customHeight="1">
      <c r="A64" s="26"/>
      <c r="B64" s="60"/>
      <c r="C64" s="4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36" t="s">
        <v>486</v>
      </c>
      <c r="B65" s="163" t="s">
        <v>526</v>
      </c>
      <c r="C65" s="170"/>
      <c r="D65" s="2"/>
      <c r="E65" s="2"/>
      <c r="F65" s="2"/>
      <c r="G65" s="2"/>
      <c r="H65" s="2"/>
    </row>
    <row r="66" spans="1:20">
      <c r="A66" s="37" t="s">
        <v>487</v>
      </c>
      <c r="B66" s="164" t="s">
        <v>527</v>
      </c>
      <c r="C66" s="9">
        <v>0</v>
      </c>
      <c r="D66" s="2"/>
      <c r="E66" s="2"/>
      <c r="F66" s="2"/>
      <c r="G66" s="2"/>
      <c r="H66" s="2"/>
    </row>
    <row r="67" spans="1:20">
      <c r="A67" s="37" t="s">
        <v>488</v>
      </c>
      <c r="B67" s="165" t="s">
        <v>287</v>
      </c>
      <c r="C67" s="9">
        <v>1306417188</v>
      </c>
      <c r="D67" s="2"/>
      <c r="E67" s="2"/>
      <c r="F67" s="2"/>
      <c r="G67" s="2"/>
      <c r="H67" s="2"/>
    </row>
    <row r="68" spans="1:20">
      <c r="A68" s="38" t="s">
        <v>489</v>
      </c>
      <c r="B68" s="165" t="s">
        <v>288</v>
      </c>
      <c r="C68" s="9">
        <v>1998945</v>
      </c>
      <c r="D68" s="2"/>
      <c r="E68" s="2"/>
      <c r="F68" s="2"/>
      <c r="G68" s="2"/>
      <c r="H68" s="2"/>
    </row>
    <row r="69" spans="1:20">
      <c r="A69" s="37" t="s">
        <v>490</v>
      </c>
      <c r="B69" s="165" t="s">
        <v>289</v>
      </c>
      <c r="C69" s="9">
        <v>533235582</v>
      </c>
      <c r="D69" s="2"/>
      <c r="E69" s="2"/>
      <c r="F69" s="2"/>
      <c r="G69" s="2"/>
      <c r="H69" s="2"/>
    </row>
    <row r="70" spans="1:20">
      <c r="A70" s="36" t="s">
        <v>491</v>
      </c>
      <c r="B70" s="166" t="s">
        <v>528</v>
      </c>
      <c r="C70" s="6">
        <f>SUM(C66:C69)</f>
        <v>1841651715</v>
      </c>
      <c r="D70" s="2"/>
      <c r="E70" s="2"/>
      <c r="F70" s="2"/>
      <c r="G70" s="2"/>
      <c r="H70" s="2"/>
    </row>
    <row r="71" spans="1:20" ht="7.5" customHeight="1">
      <c r="A71" s="26"/>
      <c r="B71" s="60"/>
      <c r="C71" s="4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36" t="s">
        <v>492</v>
      </c>
      <c r="B72" s="163" t="s">
        <v>529</v>
      </c>
      <c r="C72" s="6">
        <f>C63+C70</f>
        <v>2417325265</v>
      </c>
      <c r="D72" s="2"/>
      <c r="E72" s="2"/>
      <c r="F72" s="2"/>
      <c r="G72" s="2"/>
      <c r="H72" s="2"/>
    </row>
    <row r="73" spans="1:20">
      <c r="D73" s="2"/>
      <c r="E73" s="2"/>
      <c r="F73" s="2"/>
      <c r="G73" s="2"/>
      <c r="H73" s="2"/>
    </row>
    <row r="74" spans="1:20">
      <c r="A74" s="40"/>
      <c r="B74" s="3" t="s">
        <v>0</v>
      </c>
      <c r="D74" s="2"/>
      <c r="E74" s="2"/>
      <c r="F74" s="2"/>
      <c r="G74" s="2"/>
      <c r="H74" s="2"/>
    </row>
    <row r="75" spans="1:20">
      <c r="A75" s="40"/>
      <c r="B75" s="3"/>
      <c r="D75" s="2"/>
      <c r="E75" s="2"/>
      <c r="F75" s="2"/>
      <c r="G75" s="2"/>
      <c r="H75" s="2"/>
    </row>
    <row r="76" spans="1:20">
      <c r="A76" s="40"/>
      <c r="B76" s="3" t="s">
        <v>1</v>
      </c>
      <c r="D76" s="2"/>
      <c r="E76" s="2"/>
      <c r="F76" s="2"/>
      <c r="G76" s="2"/>
      <c r="H76" s="2"/>
    </row>
    <row r="77" spans="1:20">
      <c r="D77" s="2"/>
      <c r="E77" s="2"/>
      <c r="F77" s="2"/>
      <c r="G77" s="2"/>
      <c r="H77" s="2"/>
    </row>
    <row r="78" spans="1:20">
      <c r="A78" s="41"/>
      <c r="D78" s="2"/>
      <c r="E78" s="2"/>
      <c r="F78" s="2"/>
      <c r="G78" s="2"/>
      <c r="H78" s="2"/>
    </row>
    <row r="79" spans="1:20">
      <c r="A79" s="41"/>
      <c r="D79" s="2"/>
      <c r="E79" s="2"/>
      <c r="F79" s="2"/>
      <c r="G79" s="2"/>
      <c r="H79" s="2"/>
    </row>
    <row r="80" spans="1:20">
      <c r="D80" s="2"/>
      <c r="E80" s="2"/>
      <c r="F80" s="2"/>
      <c r="G80" s="2"/>
      <c r="H80" s="2"/>
    </row>
    <row r="81" spans="4:8">
      <c r="D81" s="2"/>
      <c r="E81" s="2"/>
      <c r="F81" s="2"/>
      <c r="G81" s="2"/>
      <c r="H81" s="2"/>
    </row>
    <row r="82" spans="4:8">
      <c r="D82" s="2"/>
      <c r="E82" s="2"/>
      <c r="F82" s="2"/>
      <c r="G82" s="2"/>
      <c r="H82" s="2"/>
    </row>
    <row r="83" spans="4:8">
      <c r="D83" s="2"/>
      <c r="E83" s="2"/>
      <c r="F83" s="2"/>
      <c r="G83" s="2"/>
      <c r="H83" s="2"/>
    </row>
    <row r="84" spans="4:8">
      <c r="D84" s="2"/>
      <c r="E84" s="2"/>
      <c r="F84" s="2"/>
      <c r="G84" s="2"/>
      <c r="H84" s="2"/>
    </row>
    <row r="85" spans="4:8">
      <c r="D85" s="2"/>
      <c r="E85" s="2"/>
      <c r="F85" s="2"/>
      <c r="G85" s="2"/>
      <c r="H85" s="2"/>
    </row>
    <row r="86" spans="4:8">
      <c r="D86" s="2"/>
      <c r="E86" s="2"/>
      <c r="F86" s="2"/>
      <c r="G86" s="2"/>
      <c r="H86" s="2"/>
    </row>
    <row r="87" spans="4:8">
      <c r="D87" s="2"/>
      <c r="E87" s="2"/>
      <c r="F87" s="2"/>
      <c r="G87" s="2"/>
      <c r="H87" s="2"/>
    </row>
    <row r="88" spans="4:8">
      <c r="D88" s="2"/>
      <c r="E88" s="2"/>
      <c r="F88" s="2"/>
      <c r="G88" s="2"/>
      <c r="H88" s="2"/>
    </row>
    <row r="89" spans="4:8">
      <c r="D89" s="2"/>
      <c r="E89" s="2"/>
      <c r="F89" s="2"/>
      <c r="G89" s="2"/>
      <c r="H89" s="2"/>
    </row>
    <row r="90" spans="4:8">
      <c r="D90" s="2"/>
      <c r="E90" s="2"/>
      <c r="F90" s="2"/>
      <c r="G90" s="2"/>
      <c r="H90" s="2"/>
    </row>
    <row r="91" spans="4:8">
      <c r="D91" s="2"/>
      <c r="E91" s="2"/>
      <c r="F91" s="2"/>
      <c r="G91" s="2"/>
      <c r="H91" s="2"/>
    </row>
    <row r="92" spans="4:8">
      <c r="D92" s="2"/>
      <c r="E92" s="2"/>
      <c r="F92" s="2"/>
      <c r="G92" s="2"/>
      <c r="H92" s="2"/>
    </row>
    <row r="93" spans="4:8">
      <c r="D93" s="2"/>
      <c r="E93" s="2"/>
      <c r="F93" s="2"/>
      <c r="G93" s="2"/>
      <c r="H93" s="2"/>
    </row>
    <row r="94" spans="4:8">
      <c r="D94" s="2"/>
      <c r="E94" s="2"/>
      <c r="F94" s="2"/>
      <c r="G94" s="2"/>
      <c r="H94" s="2"/>
    </row>
    <row r="95" spans="4:8">
      <c r="D95" s="2"/>
      <c r="E95" s="2"/>
      <c r="F95" s="2"/>
      <c r="G95" s="2"/>
      <c r="H95" s="2"/>
    </row>
    <row r="96" spans="4:8">
      <c r="D96" s="2"/>
      <c r="E96" s="2"/>
      <c r="F96" s="2"/>
      <c r="G96" s="2"/>
      <c r="H96" s="2"/>
    </row>
    <row r="97" spans="4:8">
      <c r="D97" s="2"/>
      <c r="E97" s="2"/>
      <c r="F97" s="2"/>
      <c r="G97" s="2"/>
      <c r="H97" s="2"/>
    </row>
    <row r="98" spans="4:8">
      <c r="D98" s="2"/>
      <c r="E98" s="2"/>
      <c r="F98" s="2"/>
      <c r="G98" s="2"/>
      <c r="H98" s="2"/>
    </row>
  </sheetData>
  <sheetProtection sheet="1" objects="1" scenarios="1"/>
  <phoneticPr fontId="16" type="noConversion"/>
  <dataValidations count="1">
    <dataValidation type="whole" operator="notEqual" allowBlank="1" showErrorMessage="1" error="Если увас есть желание не видеть больше_x000a_это сообщение, вводите целые числа!" sqref="C66:C69 C55:C60 C17:C18 C22:C27 C31:C35 C39:C40 C46:C51 C6:C13" xr:uid="{00000000-0002-0000-0200-000000000000}">
      <formula1>-1E+21</formula1>
    </dataValidation>
  </dataValidations>
  <printOptions horizontalCentered="1" verticalCentered="1"/>
  <pageMargins left="0.19685039370078741" right="0.27559055118110237" top="0.39370078740157483" bottom="0.35433070866141736" header="0.51181102362204722" footer="0.51181102362204722"/>
  <pageSetup paperSize="9" scale="86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6"/>
  <dimension ref="A1:I28"/>
  <sheetViews>
    <sheetView zoomScaleSheetLayoutView="100" workbookViewId="0">
      <selection activeCell="C13" sqref="C13"/>
    </sheetView>
  </sheetViews>
  <sheetFormatPr defaultRowHeight="12.75"/>
  <cols>
    <col min="1" max="1" width="5.85546875" style="39" customWidth="1"/>
    <col min="2" max="2" width="89.42578125" style="1" customWidth="1"/>
    <col min="3" max="3" width="27.42578125" style="1" customWidth="1"/>
    <col min="4" max="4" width="13.85546875" style="1" bestFit="1" customWidth="1"/>
    <col min="5" max="8" width="9.140625" style="1"/>
    <col min="9" max="9" width="10.28515625" style="1" bestFit="1" customWidth="1"/>
    <col min="10" max="16384" width="9.140625" style="1"/>
  </cols>
  <sheetData>
    <row r="1" spans="1:9" ht="15.75">
      <c r="A1" s="7"/>
      <c r="B1" s="7" t="s">
        <v>89</v>
      </c>
      <c r="C1" s="49" t="s">
        <v>637</v>
      </c>
    </row>
    <row r="2" spans="1:9" ht="15.75">
      <c r="A2" s="7"/>
      <c r="B2" s="7"/>
      <c r="C2" s="49"/>
    </row>
    <row r="3" spans="1:9" ht="15.75">
      <c r="A3" s="452"/>
      <c r="B3" s="453" t="str">
        <f>+'Asset quality'!B3</f>
        <v>"Ўзсаноатқурилишбанк" АТБ</v>
      </c>
      <c r="C3" s="135">
        <f>+'Asset quality'!P3</f>
        <v>44560</v>
      </c>
    </row>
    <row r="4" spans="1:9" s="16" customFormat="1" ht="33.75" customHeight="1">
      <c r="A4" s="170" t="s">
        <v>83</v>
      </c>
      <c r="B4" s="170" t="s">
        <v>15</v>
      </c>
      <c r="C4" s="170" t="s">
        <v>3</v>
      </c>
    </row>
    <row r="5" spans="1:9" ht="18.75" customHeight="1">
      <c r="A5" s="42" t="s">
        <v>303</v>
      </c>
      <c r="B5" s="454" t="s">
        <v>532</v>
      </c>
      <c r="C5" s="43">
        <v>6704348045</v>
      </c>
    </row>
    <row r="6" spans="1:9" ht="18.75" customHeight="1">
      <c r="A6" s="455" t="s">
        <v>315</v>
      </c>
      <c r="B6" s="456" t="s">
        <v>533</v>
      </c>
      <c r="C6" s="43">
        <v>0</v>
      </c>
    </row>
    <row r="7" spans="1:9" ht="18.75" customHeight="1">
      <c r="A7" s="425" t="s">
        <v>530</v>
      </c>
      <c r="B7" s="457" t="s">
        <v>534</v>
      </c>
      <c r="C7" s="146">
        <f>SUM(C5:C6)</f>
        <v>6704348045</v>
      </c>
      <c r="I7" s="458"/>
    </row>
    <row r="8" spans="1:9" ht="18.75" customHeight="1">
      <c r="A8" s="425" t="s">
        <v>327</v>
      </c>
      <c r="B8" s="457" t="s">
        <v>535</v>
      </c>
      <c r="C8" s="146">
        <f>+'Income '!C79</f>
        <v>998221670</v>
      </c>
      <c r="D8" s="449">
        <f>+[8]Balance!$C$76</f>
        <v>998221670</v>
      </c>
    </row>
    <row r="9" spans="1:9" ht="18.75" customHeight="1">
      <c r="A9" s="425" t="s">
        <v>334</v>
      </c>
      <c r="B9" s="456" t="s">
        <v>536</v>
      </c>
      <c r="C9" s="44">
        <v>0</v>
      </c>
      <c r="D9" s="74"/>
      <c r="I9" s="458"/>
    </row>
    <row r="10" spans="1:9" ht="18.75" customHeight="1">
      <c r="A10" s="425" t="s">
        <v>531</v>
      </c>
      <c r="B10" s="457" t="s">
        <v>537</v>
      </c>
      <c r="C10" s="44">
        <v>-967983</v>
      </c>
      <c r="D10" s="74"/>
      <c r="I10" s="449"/>
    </row>
    <row r="11" spans="1:9" ht="18.75" customHeight="1">
      <c r="A11" s="425" t="s">
        <v>336</v>
      </c>
      <c r="B11" s="457" t="s">
        <v>538</v>
      </c>
      <c r="C11" s="45">
        <v>1616900</v>
      </c>
      <c r="D11" s="74"/>
      <c r="I11" s="458"/>
    </row>
    <row r="12" spans="1:9" ht="18.75" customHeight="1">
      <c r="A12" s="425" t="s">
        <v>486</v>
      </c>
      <c r="B12" s="457" t="s">
        <v>539</v>
      </c>
      <c r="C12" s="44"/>
      <c r="D12" s="74"/>
      <c r="I12" s="458"/>
    </row>
    <row r="13" spans="1:9" ht="18.75" customHeight="1">
      <c r="A13" s="425" t="s">
        <v>344</v>
      </c>
      <c r="B13" s="457" t="s">
        <v>540</v>
      </c>
      <c r="C13" s="44">
        <v>928274</v>
      </c>
      <c r="D13" s="74"/>
      <c r="I13" s="458"/>
    </row>
    <row r="14" spans="1:9" ht="18.75" customHeight="1">
      <c r="A14" s="425" t="s">
        <v>346</v>
      </c>
      <c r="B14" s="457" t="s">
        <v>541</v>
      </c>
      <c r="C14" s="146">
        <f>C7+SUM(C8:C10)-SUM(C11:C12)+C13</f>
        <v>7700913106</v>
      </c>
      <c r="D14" s="449">
        <f>+[8]Balance!$C$77</f>
        <v>7700913106</v>
      </c>
      <c r="I14" s="459"/>
    </row>
    <row r="15" spans="1:9">
      <c r="A15" s="424"/>
      <c r="I15" s="458"/>
    </row>
    <row r="16" spans="1:9" ht="12.75" customHeight="1">
      <c r="A16" s="460"/>
      <c r="B16" s="3" t="s">
        <v>0</v>
      </c>
    </row>
    <row r="17" spans="1:2" ht="12.75" customHeight="1">
      <c r="A17" s="460"/>
      <c r="B17" s="3"/>
    </row>
    <row r="18" spans="1:2">
      <c r="A18" s="460"/>
      <c r="B18" s="3" t="s">
        <v>1</v>
      </c>
    </row>
    <row r="20" spans="1:2" ht="12.75" customHeight="1">
      <c r="A20" s="41"/>
    </row>
    <row r="21" spans="1:2">
      <c r="A21" s="41"/>
    </row>
    <row r="27" spans="1:2" ht="12.75" customHeight="1"/>
    <row r="28" spans="1:2" ht="12.75" customHeight="1"/>
  </sheetData>
  <sheetProtection sheet="1" objects="1" scenarios="1"/>
  <phoneticPr fontId="16" type="noConversion"/>
  <conditionalFormatting sqref="C8">
    <cfRule type="cellIs" dxfId="207" priority="6" stopIfTrue="1" operator="notEqual">
      <formula>NETINC</formula>
    </cfRule>
  </conditionalFormatting>
  <conditionalFormatting sqref="C14">
    <cfRule type="cellIs" dxfId="206" priority="7" operator="notEqual">
      <formula>$D$14</formula>
    </cfRule>
  </conditionalFormatting>
  <dataValidations count="4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C5:C6" xr:uid="{00000000-0002-0000-0300-000000000000}">
      <formula1>-1E+22</formula1>
      <formula2>1E+22</formula2>
    </dataValidation>
    <dataValidation allowBlank="1" showInputMessage="1" showErrorMessage="1" prompt="Значение должно равняться чистой прибыли из отчёта о прибылях и убытках" sqref="C8" xr:uid="{00000000-0002-0000-0300-000001000000}"/>
    <dataValidation operator="greaterThan" allowBlank="1" showInputMessage="1" showErrorMessage="1" sqref="C10" xr:uid="{00000000-0002-0000-0300-000002000000}"/>
    <dataValidation type="whole" operator="greaterThanOrEqual" allowBlank="1" showInputMessage="1" showErrorMessage="1" prompt="Ввести как положительное число или 0." sqref="C11:C12" xr:uid="{00000000-0002-0000-0300-000003000000}">
      <formula1>0</formula1>
    </dataValidation>
  </dataValidations>
  <printOptions horizontalCentered="1"/>
  <pageMargins left="0.27559055118110237" right="0.23622047244094491" top="0.55118110236220474" bottom="0.98425196850393704" header="0.51181102362204722" footer="0.51181102362204722"/>
  <pageSetup paperSize="9" scale="11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2">
    <pageSetUpPr fitToPage="1"/>
  </sheetPr>
  <dimension ref="A1:AH102"/>
  <sheetViews>
    <sheetView view="pageBreakPreview" topLeftCell="A4" zoomScaleNormal="100" zoomScaleSheetLayoutView="100" workbookViewId="0">
      <pane xSplit="3" ySplit="3" topLeftCell="D85" activePane="bottomRight" state="frozen"/>
      <selection activeCell="C73" sqref="C73"/>
      <selection pane="topRight" activeCell="C73" sqref="C73"/>
      <selection pane="bottomLeft" activeCell="C73" sqref="C73"/>
      <selection pane="bottomRight" activeCell="F92" sqref="F92"/>
    </sheetView>
  </sheetViews>
  <sheetFormatPr defaultRowHeight="12.75"/>
  <cols>
    <col min="1" max="1" width="7" style="1" customWidth="1"/>
    <col min="2" max="2" width="57.5703125" style="1" customWidth="1"/>
    <col min="3" max="3" width="18.42578125" style="1" customWidth="1"/>
    <col min="4" max="4" width="15" style="1" customWidth="1"/>
    <col min="5" max="5" width="13.28515625" style="1" customWidth="1"/>
    <col min="6" max="6" width="15" style="1" customWidth="1"/>
    <col min="7" max="7" width="14.28515625" style="1" customWidth="1"/>
    <col min="8" max="8" width="15.42578125" style="1" customWidth="1"/>
    <col min="9" max="9" width="14.42578125" style="1" customWidth="1"/>
    <col min="10" max="10" width="13.7109375" style="1" customWidth="1"/>
    <col min="11" max="12" width="17" style="1" customWidth="1"/>
    <col min="13" max="13" width="15" style="1" customWidth="1"/>
    <col min="14" max="14" width="13.7109375" style="1" customWidth="1"/>
    <col min="15" max="17" width="16" style="1" customWidth="1"/>
    <col min="18" max="18" width="15.140625" style="1" customWidth="1"/>
    <col min="19" max="21" width="13.7109375" style="1" customWidth="1"/>
    <col min="22" max="23" width="15.28515625" style="1" customWidth="1"/>
    <col min="24" max="25" width="13.7109375" style="1" customWidth="1"/>
    <col min="26" max="16384" width="9.140625" style="1"/>
  </cols>
  <sheetData>
    <row r="1" spans="1:34" s="428" customFormat="1" ht="31.5" customHeight="1">
      <c r="A1" s="426" t="s">
        <v>694</v>
      </c>
      <c r="B1" s="426"/>
      <c r="C1" s="426"/>
      <c r="D1" s="426"/>
      <c r="E1" s="426"/>
      <c r="F1" s="426"/>
      <c r="G1" s="426"/>
      <c r="H1" s="426"/>
      <c r="I1" s="426"/>
      <c r="J1" s="426"/>
      <c r="K1" s="426"/>
      <c r="L1" s="426"/>
      <c r="M1" s="426"/>
      <c r="N1" s="426"/>
      <c r="O1" s="426"/>
      <c r="P1" s="426"/>
      <c r="Q1" s="426"/>
      <c r="R1" s="426"/>
      <c r="S1" s="426"/>
      <c r="T1" s="426"/>
      <c r="U1" s="426"/>
      <c r="V1" s="426"/>
      <c r="W1" s="427" t="s">
        <v>587</v>
      </c>
      <c r="X1" s="8"/>
      <c r="Y1" s="427"/>
    </row>
    <row r="2" spans="1:34" ht="18">
      <c r="A2" s="8"/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  <c r="M2" s="429"/>
      <c r="N2" s="429"/>
      <c r="O2" s="429"/>
      <c r="P2" s="429"/>
      <c r="Q2" s="429"/>
      <c r="R2" s="429"/>
      <c r="S2" s="429"/>
      <c r="T2" s="429"/>
      <c r="U2" s="429"/>
      <c r="V2" s="429"/>
      <c r="W2" s="8"/>
      <c r="X2" s="429"/>
      <c r="Y2" s="429"/>
    </row>
    <row r="3" spans="1:34" ht="15.75">
      <c r="A3" s="390"/>
      <c r="B3" s="430" t="str">
        <f>+'Asset quality'!B3</f>
        <v>"Ўзсаноатқурилишбанк" АТБ</v>
      </c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558">
        <f>+'Asset quality'!P3</f>
        <v>44560</v>
      </c>
      <c r="U3" s="558"/>
      <c r="V3" s="431"/>
      <c r="W3" s="431"/>
      <c r="X3" s="432" t="s">
        <v>382</v>
      </c>
      <c r="Y3" s="10"/>
    </row>
    <row r="4" spans="1:34" s="433" customFormat="1" ht="32.25" customHeight="1">
      <c r="A4" s="561" t="s">
        <v>83</v>
      </c>
      <c r="B4" s="561" t="s">
        <v>91</v>
      </c>
      <c r="C4" s="564" t="s">
        <v>92</v>
      </c>
      <c r="D4" s="567" t="s">
        <v>280</v>
      </c>
      <c r="E4" s="567"/>
      <c r="F4" s="567" t="s">
        <v>281</v>
      </c>
      <c r="G4" s="567"/>
      <c r="H4" s="560" t="s">
        <v>90</v>
      </c>
      <c r="I4" s="560"/>
      <c r="J4" s="560" t="s">
        <v>90</v>
      </c>
      <c r="K4" s="560"/>
      <c r="L4" s="560"/>
      <c r="M4" s="560"/>
      <c r="N4" s="560"/>
      <c r="O4" s="560"/>
      <c r="P4" s="560"/>
      <c r="Q4" s="560"/>
      <c r="R4" s="560"/>
      <c r="S4" s="560"/>
      <c r="T4" s="560"/>
      <c r="U4" s="560"/>
      <c r="V4" s="560"/>
      <c r="W4" s="560"/>
      <c r="X4" s="560"/>
      <c r="Y4" s="560"/>
    </row>
    <row r="5" spans="1:34" s="433" customFormat="1" ht="18" customHeight="1">
      <c r="A5" s="562"/>
      <c r="B5" s="562"/>
      <c r="C5" s="565"/>
      <c r="D5" s="567" t="s">
        <v>577</v>
      </c>
      <c r="E5" s="567" t="s">
        <v>661</v>
      </c>
      <c r="F5" s="567" t="s">
        <v>577</v>
      </c>
      <c r="G5" s="567" t="s">
        <v>661</v>
      </c>
      <c r="H5" s="559" t="s">
        <v>674</v>
      </c>
      <c r="I5" s="559" t="s">
        <v>689</v>
      </c>
      <c r="J5" s="559" t="s">
        <v>93</v>
      </c>
      <c r="K5" s="559" t="s">
        <v>94</v>
      </c>
      <c r="L5" s="434" t="s">
        <v>90</v>
      </c>
      <c r="M5" s="559" t="s">
        <v>95</v>
      </c>
      <c r="N5" s="559" t="s">
        <v>96</v>
      </c>
      <c r="O5" s="559" t="s">
        <v>97</v>
      </c>
      <c r="P5" s="560" t="s">
        <v>90</v>
      </c>
      <c r="Q5" s="560"/>
      <c r="R5" s="559" t="s">
        <v>98</v>
      </c>
      <c r="S5" s="559" t="s">
        <v>99</v>
      </c>
      <c r="T5" s="559" t="s">
        <v>100</v>
      </c>
      <c r="U5" s="559" t="s">
        <v>101</v>
      </c>
      <c r="V5" s="559" t="s">
        <v>102</v>
      </c>
      <c r="W5" s="559" t="s">
        <v>103</v>
      </c>
      <c r="X5" s="559" t="s">
        <v>104</v>
      </c>
      <c r="Y5" s="559" t="s">
        <v>105</v>
      </c>
    </row>
    <row r="6" spans="1:34" s="433" customFormat="1" ht="102" customHeight="1">
      <c r="A6" s="563"/>
      <c r="B6" s="563"/>
      <c r="C6" s="566"/>
      <c r="D6" s="567"/>
      <c r="E6" s="567"/>
      <c r="F6" s="567"/>
      <c r="G6" s="567"/>
      <c r="H6" s="559"/>
      <c r="I6" s="559"/>
      <c r="J6" s="559"/>
      <c r="K6" s="559"/>
      <c r="L6" s="218" t="s">
        <v>54</v>
      </c>
      <c r="M6" s="559"/>
      <c r="N6" s="559"/>
      <c r="O6" s="559"/>
      <c r="P6" s="218" t="s">
        <v>588</v>
      </c>
      <c r="Q6" s="218" t="s">
        <v>589</v>
      </c>
      <c r="R6" s="559"/>
      <c r="S6" s="559"/>
      <c r="T6" s="559"/>
      <c r="U6" s="559"/>
      <c r="V6" s="559"/>
      <c r="W6" s="559"/>
      <c r="X6" s="559"/>
      <c r="Y6" s="559"/>
      <c r="AA6" s="435"/>
    </row>
    <row r="7" spans="1:34" s="440" customFormat="1" ht="15">
      <c r="A7" s="436" t="s">
        <v>106</v>
      </c>
      <c r="B7" s="437" t="s">
        <v>107</v>
      </c>
      <c r="C7" s="437" t="s">
        <v>58</v>
      </c>
      <c r="D7" s="437" t="s">
        <v>647</v>
      </c>
      <c r="E7" s="437" t="s">
        <v>648</v>
      </c>
      <c r="F7" s="437" t="s">
        <v>649</v>
      </c>
      <c r="G7" s="437" t="s">
        <v>650</v>
      </c>
      <c r="H7" s="438" t="s">
        <v>59</v>
      </c>
      <c r="I7" s="438" t="s">
        <v>60</v>
      </c>
      <c r="J7" s="438" t="s">
        <v>84</v>
      </c>
      <c r="K7" s="438" t="s">
        <v>85</v>
      </c>
      <c r="L7" s="437" t="s">
        <v>595</v>
      </c>
      <c r="M7" s="438" t="s">
        <v>87</v>
      </c>
      <c r="N7" s="438" t="s">
        <v>108</v>
      </c>
      <c r="O7" s="438" t="s">
        <v>109</v>
      </c>
      <c r="P7" s="437" t="s">
        <v>597</v>
      </c>
      <c r="Q7" s="437" t="s">
        <v>623</v>
      </c>
      <c r="R7" s="438" t="s">
        <v>110</v>
      </c>
      <c r="S7" s="438" t="s">
        <v>111</v>
      </c>
      <c r="T7" s="438" t="s">
        <v>112</v>
      </c>
      <c r="U7" s="438" t="s">
        <v>113</v>
      </c>
      <c r="V7" s="438" t="s">
        <v>114</v>
      </c>
      <c r="W7" s="438" t="s">
        <v>115</v>
      </c>
      <c r="X7" s="438" t="s">
        <v>116</v>
      </c>
      <c r="Y7" s="439" t="s">
        <v>117</v>
      </c>
    </row>
    <row r="8" spans="1:34" s="433" customFormat="1" ht="15.75" customHeight="1">
      <c r="A8" s="441"/>
      <c r="B8" s="442" t="s">
        <v>118</v>
      </c>
      <c r="C8" s="213"/>
      <c r="D8" s="213"/>
      <c r="E8" s="213"/>
      <c r="F8" s="213"/>
      <c r="G8" s="213"/>
      <c r="H8" s="213"/>
      <c r="I8" s="213"/>
      <c r="J8" s="213"/>
      <c r="K8" s="213"/>
      <c r="L8" s="213"/>
      <c r="M8" s="213"/>
      <c r="N8" s="213"/>
      <c r="O8" s="213"/>
      <c r="P8" s="213"/>
      <c r="Q8" s="213"/>
      <c r="R8" s="213"/>
      <c r="S8" s="213"/>
      <c r="T8" s="213"/>
      <c r="U8" s="213"/>
      <c r="V8" s="213"/>
      <c r="W8" s="213"/>
      <c r="X8" s="213"/>
      <c r="Y8" s="213"/>
    </row>
    <row r="9" spans="1:34" s="433" customFormat="1" ht="15.75" customHeight="1">
      <c r="A9" s="443">
        <v>10</v>
      </c>
      <c r="B9" s="214" t="s">
        <v>119</v>
      </c>
      <c r="C9" s="214">
        <f t="shared" ref="C9:C10" si="0">SUM(J9:Y9)-L9-P9-Q9</f>
        <v>0</v>
      </c>
      <c r="D9" s="215">
        <v>0</v>
      </c>
      <c r="E9" s="251">
        <v>0</v>
      </c>
      <c r="F9" s="215">
        <v>0</v>
      </c>
      <c r="G9" s="251">
        <v>0</v>
      </c>
      <c r="H9" s="215">
        <v>0</v>
      </c>
      <c r="I9" s="215">
        <v>0</v>
      </c>
      <c r="J9" s="215">
        <v>0</v>
      </c>
      <c r="K9" s="215">
        <v>0</v>
      </c>
      <c r="L9" s="215">
        <v>0</v>
      </c>
      <c r="M9" s="215">
        <v>0</v>
      </c>
      <c r="N9" s="215">
        <v>0</v>
      </c>
      <c r="O9" s="214">
        <f>+P9+Q9</f>
        <v>0</v>
      </c>
      <c r="P9" s="215">
        <v>0</v>
      </c>
      <c r="Q9" s="215">
        <v>0</v>
      </c>
      <c r="R9" s="215">
        <v>0</v>
      </c>
      <c r="S9" s="215">
        <v>0</v>
      </c>
      <c r="T9" s="215">
        <v>0</v>
      </c>
      <c r="U9" s="215">
        <v>0</v>
      </c>
      <c r="V9" s="215">
        <v>0</v>
      </c>
      <c r="W9" s="215">
        <v>0</v>
      </c>
      <c r="X9" s="215">
        <v>0</v>
      </c>
      <c r="Y9" s="215">
        <v>0</v>
      </c>
      <c r="AB9" s="444"/>
      <c r="AH9" s="445"/>
    </row>
    <row r="10" spans="1:34" s="433" customFormat="1" ht="15.75" customHeight="1">
      <c r="A10" s="443">
        <f t="shared" ref="A10:A74" si="1">A9+10</f>
        <v>20</v>
      </c>
      <c r="B10" s="214" t="s">
        <v>120</v>
      </c>
      <c r="C10" s="214">
        <f t="shared" si="0"/>
        <v>10901588448</v>
      </c>
      <c r="D10" s="215">
        <v>3225091450</v>
      </c>
      <c r="E10" s="252">
        <v>0.1529786005769084</v>
      </c>
      <c r="F10" s="215">
        <v>7676496998</v>
      </c>
      <c r="G10" s="252">
        <v>3.3415912864644709E-2</v>
      </c>
      <c r="H10" s="215">
        <v>10901588448</v>
      </c>
      <c r="I10" s="215">
        <v>0</v>
      </c>
      <c r="J10" s="215">
        <v>0</v>
      </c>
      <c r="K10" s="215">
        <v>5663025588</v>
      </c>
      <c r="L10" s="215">
        <v>4780389581</v>
      </c>
      <c r="M10" s="215">
        <v>28300887</v>
      </c>
      <c r="N10" s="215">
        <v>2700513</v>
      </c>
      <c r="O10" s="214">
        <f t="shared" ref="O10:O14" si="2">+P10+Q10</f>
        <v>104702325</v>
      </c>
      <c r="P10" s="215">
        <v>0</v>
      </c>
      <c r="Q10" s="215">
        <v>104702325</v>
      </c>
      <c r="R10" s="215">
        <v>593340361</v>
      </c>
      <c r="S10" s="215">
        <v>0</v>
      </c>
      <c r="T10" s="215">
        <v>149473257</v>
      </c>
      <c r="U10" s="215">
        <v>0</v>
      </c>
      <c r="V10" s="215">
        <v>2196889788</v>
      </c>
      <c r="W10" s="215">
        <v>8872939</v>
      </c>
      <c r="X10" s="215">
        <v>184355457</v>
      </c>
      <c r="Y10" s="215">
        <v>1969927333</v>
      </c>
      <c r="AB10" s="444"/>
    </row>
    <row r="11" spans="1:34" s="433" customFormat="1" ht="15.75" customHeight="1">
      <c r="A11" s="443">
        <f t="shared" si="1"/>
        <v>30</v>
      </c>
      <c r="B11" s="214" t="s">
        <v>121</v>
      </c>
      <c r="C11" s="214">
        <f>SUM(J11:Y11)-L11-P11-Q11</f>
        <v>5719876540</v>
      </c>
      <c r="D11" s="215">
        <v>826864403</v>
      </c>
      <c r="E11" s="252">
        <v>0.20247594350973591</v>
      </c>
      <c r="F11" s="215">
        <v>4893012137</v>
      </c>
      <c r="G11" s="252">
        <v>6.137804165200117E-2</v>
      </c>
      <c r="H11" s="215">
        <v>5619043697</v>
      </c>
      <c r="I11" s="215">
        <v>100832843</v>
      </c>
      <c r="J11" s="215">
        <v>0</v>
      </c>
      <c r="K11" s="215">
        <v>0</v>
      </c>
      <c r="L11" s="215">
        <v>0</v>
      </c>
      <c r="M11" s="215">
        <v>21345269</v>
      </c>
      <c r="N11" s="215">
        <v>126401211</v>
      </c>
      <c r="O11" s="214">
        <f t="shared" si="2"/>
        <v>1075928868</v>
      </c>
      <c r="P11" s="215">
        <v>0</v>
      </c>
      <c r="Q11" s="215">
        <v>1075928868</v>
      </c>
      <c r="R11" s="215">
        <v>2358648641</v>
      </c>
      <c r="S11" s="215">
        <v>0</v>
      </c>
      <c r="T11" s="215">
        <v>0</v>
      </c>
      <c r="U11" s="215">
        <v>0</v>
      </c>
      <c r="V11" s="215">
        <v>732365716</v>
      </c>
      <c r="W11" s="215">
        <v>780466338</v>
      </c>
      <c r="X11" s="215">
        <v>0</v>
      </c>
      <c r="Y11" s="215">
        <v>624720497</v>
      </c>
      <c r="AB11" s="444"/>
    </row>
    <row r="12" spans="1:34" s="433" customFormat="1" ht="15.75" customHeight="1">
      <c r="A12" s="443">
        <f t="shared" si="1"/>
        <v>40</v>
      </c>
      <c r="B12" s="214" t="s">
        <v>122</v>
      </c>
      <c r="C12" s="214">
        <f>SUM(J12:Y12)-L12-P12-Q12</f>
        <v>9718269506</v>
      </c>
      <c r="D12" s="215">
        <v>2598006651</v>
      </c>
      <c r="E12" s="252">
        <v>0.1860970202327504</v>
      </c>
      <c r="F12" s="215">
        <v>7120262855</v>
      </c>
      <c r="G12" s="252">
        <v>6.5061376615327002E-2</v>
      </c>
      <c r="H12" s="215">
        <v>9453685941</v>
      </c>
      <c r="I12" s="215">
        <v>264583565</v>
      </c>
      <c r="J12" s="215">
        <v>807588</v>
      </c>
      <c r="K12" s="215">
        <v>0</v>
      </c>
      <c r="L12" s="215">
        <v>0</v>
      </c>
      <c r="M12" s="215">
        <v>72269850</v>
      </c>
      <c r="N12" s="215">
        <v>24051674</v>
      </c>
      <c r="O12" s="214">
        <f t="shared" si="2"/>
        <v>2565857985</v>
      </c>
      <c r="P12" s="215">
        <v>0</v>
      </c>
      <c r="Q12" s="215">
        <v>2565857985</v>
      </c>
      <c r="R12" s="215">
        <v>1292967858</v>
      </c>
      <c r="S12" s="215">
        <v>0</v>
      </c>
      <c r="T12" s="215">
        <v>0</v>
      </c>
      <c r="U12" s="215">
        <v>0</v>
      </c>
      <c r="V12" s="215">
        <v>4420062843</v>
      </c>
      <c r="W12" s="215">
        <v>772189080</v>
      </c>
      <c r="X12" s="215">
        <v>4136000</v>
      </c>
      <c r="Y12" s="215">
        <v>565926628</v>
      </c>
      <c r="AB12" s="444"/>
    </row>
    <row r="13" spans="1:34" s="433" customFormat="1" ht="15.75" customHeight="1">
      <c r="A13" s="443">
        <f t="shared" si="1"/>
        <v>50</v>
      </c>
      <c r="B13" s="446" t="s">
        <v>123</v>
      </c>
      <c r="C13" s="214">
        <f t="shared" ref="C13:C14" si="3">SUM(J13:Y13)-L13-P13-Q13</f>
        <v>0</v>
      </c>
      <c r="D13" s="215">
        <v>0</v>
      </c>
      <c r="E13" s="252">
        <v>0</v>
      </c>
      <c r="F13" s="215">
        <v>0</v>
      </c>
      <c r="G13" s="252">
        <v>0</v>
      </c>
      <c r="H13" s="215">
        <v>0</v>
      </c>
      <c r="I13" s="215">
        <v>0</v>
      </c>
      <c r="J13" s="215">
        <v>0</v>
      </c>
      <c r="K13" s="215">
        <v>0</v>
      </c>
      <c r="L13" s="215">
        <v>0</v>
      </c>
      <c r="M13" s="215">
        <v>0</v>
      </c>
      <c r="N13" s="215">
        <v>0</v>
      </c>
      <c r="O13" s="214">
        <f t="shared" si="2"/>
        <v>0</v>
      </c>
      <c r="P13" s="215">
        <v>0</v>
      </c>
      <c r="Q13" s="215">
        <v>0</v>
      </c>
      <c r="R13" s="215">
        <v>0</v>
      </c>
      <c r="S13" s="215">
        <v>0</v>
      </c>
      <c r="T13" s="215">
        <v>0</v>
      </c>
      <c r="U13" s="215">
        <v>0</v>
      </c>
      <c r="V13" s="215">
        <v>0</v>
      </c>
      <c r="W13" s="215">
        <v>0</v>
      </c>
      <c r="X13" s="215">
        <v>0</v>
      </c>
      <c r="Y13" s="215">
        <v>0</v>
      </c>
      <c r="AB13" s="444"/>
    </row>
    <row r="14" spans="1:34" s="433" customFormat="1" ht="15.75" customHeight="1">
      <c r="A14" s="443">
        <f>A13+10</f>
        <v>60</v>
      </c>
      <c r="B14" s="214" t="s">
        <v>124</v>
      </c>
      <c r="C14" s="214">
        <f t="shared" si="3"/>
        <v>0</v>
      </c>
      <c r="D14" s="215">
        <v>0</v>
      </c>
      <c r="E14" s="252">
        <v>0</v>
      </c>
      <c r="F14" s="215">
        <v>0</v>
      </c>
      <c r="G14" s="252">
        <v>0</v>
      </c>
      <c r="H14" s="215">
        <v>0</v>
      </c>
      <c r="I14" s="215">
        <v>0</v>
      </c>
      <c r="J14" s="215">
        <v>0</v>
      </c>
      <c r="K14" s="215">
        <v>0</v>
      </c>
      <c r="L14" s="215">
        <v>0</v>
      </c>
      <c r="M14" s="215">
        <v>0</v>
      </c>
      <c r="N14" s="215">
        <v>0</v>
      </c>
      <c r="O14" s="214">
        <f t="shared" si="2"/>
        <v>0</v>
      </c>
      <c r="P14" s="215">
        <v>0</v>
      </c>
      <c r="Q14" s="215">
        <v>0</v>
      </c>
      <c r="R14" s="215">
        <v>0</v>
      </c>
      <c r="S14" s="215">
        <v>0</v>
      </c>
      <c r="T14" s="215">
        <v>0</v>
      </c>
      <c r="U14" s="215">
        <v>0</v>
      </c>
      <c r="V14" s="215">
        <v>0</v>
      </c>
      <c r="W14" s="215">
        <v>0</v>
      </c>
      <c r="X14" s="215">
        <v>0</v>
      </c>
      <c r="Y14" s="215">
        <v>0</v>
      </c>
      <c r="AB14" s="444"/>
    </row>
    <row r="15" spans="1:34" s="433" customFormat="1" ht="15.75" customHeight="1">
      <c r="A15" s="434">
        <f>A14+10</f>
        <v>70</v>
      </c>
      <c r="B15" s="447" t="s">
        <v>125</v>
      </c>
      <c r="C15" s="216">
        <f t="shared" ref="C15" si="4">SUM(J15:Y15)-L15-P15-Q15</f>
        <v>26339734494</v>
      </c>
      <c r="D15" s="216">
        <f>SUM(D9:D14)</f>
        <v>6649962504</v>
      </c>
      <c r="E15" s="254">
        <f>IFERROR(((D9*E9)/D15)+((D10*E10)/D15)+((D11*E11)/D15)+((D12*E12)/D15)+((D13*E13)/D15)+((D14*E14)/D15),0)</f>
        <v>0.17207186093354232</v>
      </c>
      <c r="F15" s="216">
        <f>SUM(F9:F14)</f>
        <v>19689771990</v>
      </c>
      <c r="G15" s="254">
        <f>IFERROR(((F9*G9)/F15)+((F10*G10)/F15)+((F11*G11)/F15)+((F12*G12)/F15)+((F13*G13)/F15)+((F14*G14)/F15),0)</f>
        <v>5.1808358231206025E-2</v>
      </c>
      <c r="H15" s="216">
        <f t="shared" ref="H15:Y15" si="5">SUM(H9:H14)</f>
        <v>25974318086</v>
      </c>
      <c r="I15" s="216">
        <f t="shared" si="5"/>
        <v>365416408</v>
      </c>
      <c r="J15" s="216">
        <f t="shared" si="5"/>
        <v>807588</v>
      </c>
      <c r="K15" s="216">
        <f t="shared" si="5"/>
        <v>5663025588</v>
      </c>
      <c r="L15" s="216">
        <f t="shared" si="5"/>
        <v>4780389581</v>
      </c>
      <c r="M15" s="216">
        <f t="shared" si="5"/>
        <v>121916006</v>
      </c>
      <c r="N15" s="216">
        <f t="shared" si="5"/>
        <v>153153398</v>
      </c>
      <c r="O15" s="216">
        <f t="shared" si="5"/>
        <v>3746489178</v>
      </c>
      <c r="P15" s="216">
        <f t="shared" si="5"/>
        <v>0</v>
      </c>
      <c r="Q15" s="216">
        <f t="shared" si="5"/>
        <v>3746489178</v>
      </c>
      <c r="R15" s="216">
        <f t="shared" si="5"/>
        <v>4244956860</v>
      </c>
      <c r="S15" s="216">
        <f t="shared" si="5"/>
        <v>0</v>
      </c>
      <c r="T15" s="216">
        <f t="shared" si="5"/>
        <v>149473257</v>
      </c>
      <c r="U15" s="216">
        <f t="shared" si="5"/>
        <v>0</v>
      </c>
      <c r="V15" s="216">
        <f t="shared" si="5"/>
        <v>7349318347</v>
      </c>
      <c r="W15" s="216">
        <f t="shared" si="5"/>
        <v>1561528357</v>
      </c>
      <c r="X15" s="216">
        <f t="shared" si="5"/>
        <v>188491457</v>
      </c>
      <c r="Y15" s="216">
        <f t="shared" si="5"/>
        <v>3160574458</v>
      </c>
      <c r="AB15" s="444"/>
    </row>
    <row r="16" spans="1:34" s="433" customFormat="1" ht="15.75" customHeight="1">
      <c r="A16" s="434"/>
      <c r="B16" s="447" t="s">
        <v>126</v>
      </c>
      <c r="C16" s="216"/>
      <c r="D16" s="216"/>
      <c r="E16" s="254"/>
      <c r="F16" s="216"/>
      <c r="G16" s="254"/>
      <c r="H16" s="216"/>
      <c r="I16" s="216"/>
      <c r="J16" s="216"/>
      <c r="K16" s="216"/>
      <c r="L16" s="216"/>
      <c r="M16" s="216"/>
      <c r="N16" s="216"/>
      <c r="O16" s="216"/>
      <c r="P16" s="216"/>
      <c r="Q16" s="216"/>
      <c r="R16" s="216"/>
      <c r="S16" s="216"/>
      <c r="T16" s="216"/>
      <c r="U16" s="216"/>
      <c r="V16" s="216"/>
      <c r="W16" s="216"/>
      <c r="X16" s="216"/>
      <c r="Y16" s="216"/>
      <c r="AB16" s="444"/>
    </row>
    <row r="17" spans="1:28" s="433" customFormat="1" ht="15.75" customHeight="1">
      <c r="A17" s="443">
        <f>A15+10</f>
        <v>80</v>
      </c>
      <c r="B17" s="214" t="s">
        <v>119</v>
      </c>
      <c r="C17" s="214">
        <f t="shared" ref="C17:C24" si="6">SUM(J17:Y17)-L17-P17-Q17</f>
        <v>0</v>
      </c>
      <c r="D17" s="215">
        <v>0</v>
      </c>
      <c r="E17" s="251">
        <v>0</v>
      </c>
      <c r="F17" s="215">
        <v>0</v>
      </c>
      <c r="G17" s="251">
        <v>0</v>
      </c>
      <c r="H17" s="215">
        <v>0</v>
      </c>
      <c r="I17" s="215">
        <v>0</v>
      </c>
      <c r="J17" s="215">
        <v>0</v>
      </c>
      <c r="K17" s="215">
        <v>0</v>
      </c>
      <c r="L17" s="215">
        <v>0</v>
      </c>
      <c r="M17" s="215">
        <v>0</v>
      </c>
      <c r="N17" s="215">
        <v>0</v>
      </c>
      <c r="O17" s="214">
        <f>+P17+Q17</f>
        <v>0</v>
      </c>
      <c r="P17" s="215">
        <v>0</v>
      </c>
      <c r="Q17" s="215">
        <v>0</v>
      </c>
      <c r="R17" s="215">
        <v>0</v>
      </c>
      <c r="S17" s="215">
        <v>0</v>
      </c>
      <c r="T17" s="215">
        <v>0</v>
      </c>
      <c r="U17" s="215">
        <v>0</v>
      </c>
      <c r="V17" s="215">
        <v>0</v>
      </c>
      <c r="W17" s="215">
        <v>0</v>
      </c>
      <c r="X17" s="215">
        <v>0</v>
      </c>
      <c r="Y17" s="215">
        <v>0</v>
      </c>
      <c r="AB17" s="444"/>
    </row>
    <row r="18" spans="1:28" s="433" customFormat="1" ht="15.75" customHeight="1">
      <c r="A18" s="443">
        <f t="shared" si="1"/>
        <v>90</v>
      </c>
      <c r="B18" s="214" t="s">
        <v>120</v>
      </c>
      <c r="C18" s="214">
        <f t="shared" si="6"/>
        <v>0</v>
      </c>
      <c r="D18" s="215">
        <v>0</v>
      </c>
      <c r="E18" s="251">
        <v>0</v>
      </c>
      <c r="F18" s="215">
        <v>0</v>
      </c>
      <c r="G18" s="251">
        <v>0</v>
      </c>
      <c r="H18" s="215">
        <v>0</v>
      </c>
      <c r="I18" s="215">
        <v>0</v>
      </c>
      <c r="J18" s="215">
        <v>0</v>
      </c>
      <c r="K18" s="215">
        <v>0</v>
      </c>
      <c r="L18" s="215">
        <v>0</v>
      </c>
      <c r="M18" s="215">
        <v>0</v>
      </c>
      <c r="N18" s="215">
        <v>0</v>
      </c>
      <c r="O18" s="214">
        <f t="shared" ref="O18:O22" si="7">+P18+Q18</f>
        <v>0</v>
      </c>
      <c r="P18" s="215">
        <v>0</v>
      </c>
      <c r="Q18" s="215">
        <v>0</v>
      </c>
      <c r="R18" s="215">
        <v>0</v>
      </c>
      <c r="S18" s="215">
        <v>0</v>
      </c>
      <c r="T18" s="215">
        <v>0</v>
      </c>
      <c r="U18" s="215">
        <v>0</v>
      </c>
      <c r="V18" s="215">
        <v>0</v>
      </c>
      <c r="W18" s="215">
        <v>0</v>
      </c>
      <c r="X18" s="215">
        <v>0</v>
      </c>
      <c r="Y18" s="215">
        <v>0</v>
      </c>
      <c r="AB18" s="444"/>
    </row>
    <row r="19" spans="1:28" s="433" customFormat="1" ht="15.75" customHeight="1">
      <c r="A19" s="443">
        <f t="shared" si="1"/>
        <v>100</v>
      </c>
      <c r="B19" s="214" t="s">
        <v>121</v>
      </c>
      <c r="C19" s="214">
        <f t="shared" si="6"/>
        <v>467428932</v>
      </c>
      <c r="D19" s="215">
        <v>167783624</v>
      </c>
      <c r="E19" s="252">
        <v>0.2054048559539991</v>
      </c>
      <c r="F19" s="215">
        <v>299645308</v>
      </c>
      <c r="G19" s="252">
        <v>8.0407865648309734E-2</v>
      </c>
      <c r="H19" s="215">
        <v>467428932</v>
      </c>
      <c r="I19" s="215">
        <v>0</v>
      </c>
      <c r="J19" s="215">
        <v>20271520</v>
      </c>
      <c r="K19" s="215">
        <v>0</v>
      </c>
      <c r="L19" s="215">
        <v>0</v>
      </c>
      <c r="M19" s="215">
        <v>13902225</v>
      </c>
      <c r="N19" s="215">
        <v>0</v>
      </c>
      <c r="O19" s="214">
        <f t="shared" si="7"/>
        <v>77377698</v>
      </c>
      <c r="P19" s="215">
        <v>0</v>
      </c>
      <c r="Q19" s="215">
        <v>77377698</v>
      </c>
      <c r="R19" s="215">
        <v>54239546</v>
      </c>
      <c r="S19" s="215">
        <v>0</v>
      </c>
      <c r="T19" s="215">
        <v>0</v>
      </c>
      <c r="U19" s="215">
        <v>0</v>
      </c>
      <c r="V19" s="215">
        <v>18489453</v>
      </c>
      <c r="W19" s="215">
        <v>283148490</v>
      </c>
      <c r="X19" s="215">
        <v>0</v>
      </c>
      <c r="Y19" s="215">
        <v>0</v>
      </c>
      <c r="AB19" s="444"/>
    </row>
    <row r="20" spans="1:28" s="433" customFormat="1" ht="15.75" customHeight="1">
      <c r="A20" s="443">
        <f t="shared" si="1"/>
        <v>110</v>
      </c>
      <c r="B20" s="214" t="s">
        <v>122</v>
      </c>
      <c r="C20" s="214">
        <f t="shared" si="6"/>
        <v>2450112877</v>
      </c>
      <c r="D20" s="215">
        <v>1103868617</v>
      </c>
      <c r="E20" s="252">
        <v>0.15172089495540089</v>
      </c>
      <c r="F20" s="215">
        <v>1346244260</v>
      </c>
      <c r="G20" s="252">
        <v>6.4523828302247968E-2</v>
      </c>
      <c r="H20" s="215">
        <v>2378832994</v>
      </c>
      <c r="I20" s="215">
        <v>71279883</v>
      </c>
      <c r="J20" s="215">
        <v>201368</v>
      </c>
      <c r="K20" s="215">
        <v>0</v>
      </c>
      <c r="L20" s="215">
        <v>0</v>
      </c>
      <c r="M20" s="215">
        <v>53811738</v>
      </c>
      <c r="N20" s="215">
        <v>0</v>
      </c>
      <c r="O20" s="214">
        <f t="shared" si="7"/>
        <v>612560342</v>
      </c>
      <c r="P20" s="215">
        <v>0</v>
      </c>
      <c r="Q20" s="215">
        <v>612560342</v>
      </c>
      <c r="R20" s="215">
        <v>132025690</v>
      </c>
      <c r="S20" s="215">
        <v>0</v>
      </c>
      <c r="T20" s="215">
        <v>0</v>
      </c>
      <c r="U20" s="215">
        <v>0</v>
      </c>
      <c r="V20" s="215">
        <v>1208907558</v>
      </c>
      <c r="W20" s="215">
        <v>442606181</v>
      </c>
      <c r="X20" s="215">
        <v>0</v>
      </c>
      <c r="Y20" s="215">
        <v>0</v>
      </c>
      <c r="AB20" s="444"/>
    </row>
    <row r="21" spans="1:28" s="433" customFormat="1" ht="15.75" customHeight="1">
      <c r="A21" s="443">
        <f>A20+10</f>
        <v>120</v>
      </c>
      <c r="B21" s="214" t="s">
        <v>127</v>
      </c>
      <c r="C21" s="214">
        <f t="shared" si="6"/>
        <v>225782941</v>
      </c>
      <c r="D21" s="215">
        <v>95332387</v>
      </c>
      <c r="E21" s="252">
        <v>0.20482657555951281</v>
      </c>
      <c r="F21" s="215">
        <v>130450554</v>
      </c>
      <c r="G21" s="252">
        <v>6.3385128236774807E-2</v>
      </c>
      <c r="H21" s="215">
        <v>207991833</v>
      </c>
      <c r="I21" s="215">
        <v>17791108</v>
      </c>
      <c r="J21" s="215">
        <v>0</v>
      </c>
      <c r="K21" s="215">
        <v>0</v>
      </c>
      <c r="L21" s="215">
        <v>0</v>
      </c>
      <c r="M21" s="215">
        <v>4137819</v>
      </c>
      <c r="N21" s="215">
        <v>0</v>
      </c>
      <c r="O21" s="214">
        <f t="shared" si="7"/>
        <v>91963803</v>
      </c>
      <c r="P21" s="215">
        <v>0</v>
      </c>
      <c r="Q21" s="215">
        <v>91963803</v>
      </c>
      <c r="R21" s="215">
        <v>39403711</v>
      </c>
      <c r="S21" s="215">
        <v>0</v>
      </c>
      <c r="T21" s="215">
        <v>0</v>
      </c>
      <c r="U21" s="215">
        <v>0</v>
      </c>
      <c r="V21" s="215">
        <v>87239195</v>
      </c>
      <c r="W21" s="215">
        <v>3038413</v>
      </c>
      <c r="X21" s="215">
        <v>0</v>
      </c>
      <c r="Y21" s="215">
        <v>0</v>
      </c>
      <c r="AB21" s="444"/>
    </row>
    <row r="22" spans="1:28" s="433" customFormat="1" ht="15.75" customHeight="1">
      <c r="A22" s="443">
        <f t="shared" si="1"/>
        <v>130</v>
      </c>
      <c r="B22" s="446" t="s">
        <v>123</v>
      </c>
      <c r="C22" s="214">
        <f t="shared" si="6"/>
        <v>0</v>
      </c>
      <c r="D22" s="215">
        <v>0</v>
      </c>
      <c r="E22" s="252">
        <v>0</v>
      </c>
      <c r="F22" s="215">
        <v>0</v>
      </c>
      <c r="G22" s="252">
        <v>0</v>
      </c>
      <c r="H22" s="215">
        <v>0</v>
      </c>
      <c r="I22" s="215">
        <v>0</v>
      </c>
      <c r="J22" s="215">
        <v>0</v>
      </c>
      <c r="K22" s="215">
        <v>0</v>
      </c>
      <c r="L22" s="215">
        <v>0</v>
      </c>
      <c r="M22" s="215">
        <v>0</v>
      </c>
      <c r="N22" s="215">
        <v>0</v>
      </c>
      <c r="O22" s="214">
        <f t="shared" si="7"/>
        <v>0</v>
      </c>
      <c r="P22" s="215">
        <v>0</v>
      </c>
      <c r="Q22" s="215">
        <v>0</v>
      </c>
      <c r="R22" s="215">
        <v>0</v>
      </c>
      <c r="S22" s="215">
        <v>0</v>
      </c>
      <c r="T22" s="215">
        <v>0</v>
      </c>
      <c r="U22" s="215">
        <v>0</v>
      </c>
      <c r="V22" s="215">
        <v>0</v>
      </c>
      <c r="W22" s="215">
        <v>0</v>
      </c>
      <c r="X22" s="215">
        <v>0</v>
      </c>
      <c r="Y22" s="215">
        <v>0</v>
      </c>
      <c r="AB22" s="444"/>
    </row>
    <row r="23" spans="1:28" s="433" customFormat="1" ht="15.75" customHeight="1">
      <c r="A23" s="443">
        <f>A22+10</f>
        <v>140</v>
      </c>
      <c r="B23" s="214" t="s">
        <v>124</v>
      </c>
      <c r="C23" s="214">
        <f t="shared" si="6"/>
        <v>0</v>
      </c>
      <c r="D23" s="215">
        <v>0</v>
      </c>
      <c r="E23" s="252">
        <v>0</v>
      </c>
      <c r="F23" s="215">
        <v>0</v>
      </c>
      <c r="G23" s="252">
        <v>0</v>
      </c>
      <c r="H23" s="215">
        <v>0</v>
      </c>
      <c r="I23" s="215">
        <v>0</v>
      </c>
      <c r="J23" s="215">
        <v>0</v>
      </c>
      <c r="K23" s="215">
        <v>0</v>
      </c>
      <c r="L23" s="215">
        <v>0</v>
      </c>
      <c r="M23" s="215">
        <v>0</v>
      </c>
      <c r="N23" s="215">
        <v>0</v>
      </c>
      <c r="O23" s="214">
        <f>+P23+Q23</f>
        <v>0</v>
      </c>
      <c r="P23" s="215">
        <v>0</v>
      </c>
      <c r="Q23" s="215">
        <v>0</v>
      </c>
      <c r="R23" s="215">
        <v>0</v>
      </c>
      <c r="S23" s="215">
        <v>0</v>
      </c>
      <c r="T23" s="215">
        <v>0</v>
      </c>
      <c r="U23" s="215">
        <v>0</v>
      </c>
      <c r="V23" s="215">
        <v>0</v>
      </c>
      <c r="W23" s="215">
        <v>0</v>
      </c>
      <c r="X23" s="215">
        <v>0</v>
      </c>
      <c r="Y23" s="215">
        <v>0</v>
      </c>
      <c r="AB23" s="444"/>
    </row>
    <row r="24" spans="1:28" s="433" customFormat="1" ht="15.75" customHeight="1">
      <c r="A24" s="434">
        <f>A23+10</f>
        <v>150</v>
      </c>
      <c r="B24" s="447" t="s">
        <v>128</v>
      </c>
      <c r="C24" s="216">
        <f t="shared" si="6"/>
        <v>3143324750</v>
      </c>
      <c r="D24" s="216">
        <f>SUM(D17:D23)</f>
        <v>1366984628</v>
      </c>
      <c r="E24" s="254">
        <f>IFERROR(((D17*E17)/D24)+((D18*E18)/D24)+((D19*E19)/D24)+((D20*E20)/D24)+((D21*E21)/D24)+((D22*E22)/D24)+((D23*E23)/D24),0)</f>
        <v>0.16201360822669383</v>
      </c>
      <c r="F24" s="216">
        <f>SUM(F17:F23)</f>
        <v>1776340122</v>
      </c>
      <c r="G24" s="254">
        <f>IFERROR(((F17*G17)/F24)+((F18*G18)/F24)+((F19*G19)/F24)+((F20*G20)/F24)+((F21*G21)/F24)+((F22*G22)/F24)+((F23*G23)/F24),0)</f>
        <v>6.7119633661455722E-2</v>
      </c>
      <c r="H24" s="216">
        <f t="shared" ref="H24:Y24" si="8">SUM(H17:H23)</f>
        <v>3054253759</v>
      </c>
      <c r="I24" s="216">
        <f t="shared" si="8"/>
        <v>89070991</v>
      </c>
      <c r="J24" s="216">
        <f t="shared" si="8"/>
        <v>20472888</v>
      </c>
      <c r="K24" s="216">
        <f t="shared" si="8"/>
        <v>0</v>
      </c>
      <c r="L24" s="216">
        <f t="shared" si="8"/>
        <v>0</v>
      </c>
      <c r="M24" s="216">
        <f t="shared" si="8"/>
        <v>71851782</v>
      </c>
      <c r="N24" s="216">
        <f t="shared" si="8"/>
        <v>0</v>
      </c>
      <c r="O24" s="216">
        <f t="shared" si="8"/>
        <v>781901843</v>
      </c>
      <c r="P24" s="216">
        <f t="shared" si="8"/>
        <v>0</v>
      </c>
      <c r="Q24" s="216">
        <f t="shared" si="8"/>
        <v>781901843</v>
      </c>
      <c r="R24" s="216">
        <f t="shared" si="8"/>
        <v>225668947</v>
      </c>
      <c r="S24" s="216">
        <f t="shared" si="8"/>
        <v>0</v>
      </c>
      <c r="T24" s="216">
        <f t="shared" si="8"/>
        <v>0</v>
      </c>
      <c r="U24" s="216">
        <f t="shared" si="8"/>
        <v>0</v>
      </c>
      <c r="V24" s="216">
        <f t="shared" si="8"/>
        <v>1314636206</v>
      </c>
      <c r="W24" s="216">
        <f t="shared" si="8"/>
        <v>728793084</v>
      </c>
      <c r="X24" s="216">
        <f t="shared" si="8"/>
        <v>0</v>
      </c>
      <c r="Y24" s="216">
        <f t="shared" si="8"/>
        <v>0</v>
      </c>
      <c r="AB24" s="444"/>
    </row>
    <row r="25" spans="1:28" s="433" customFormat="1" ht="15.75" customHeight="1">
      <c r="A25" s="434"/>
      <c r="B25" s="447" t="s">
        <v>129</v>
      </c>
      <c r="C25" s="216"/>
      <c r="D25" s="216"/>
      <c r="E25" s="254"/>
      <c r="F25" s="216"/>
      <c r="G25" s="254"/>
      <c r="H25" s="216"/>
      <c r="I25" s="216"/>
      <c r="J25" s="216"/>
      <c r="K25" s="216"/>
      <c r="L25" s="216"/>
      <c r="M25" s="216"/>
      <c r="N25" s="216"/>
      <c r="O25" s="216"/>
      <c r="P25" s="216"/>
      <c r="Q25" s="216"/>
      <c r="R25" s="216"/>
      <c r="S25" s="216"/>
      <c r="T25" s="216"/>
      <c r="U25" s="216"/>
      <c r="V25" s="216"/>
      <c r="W25" s="216"/>
      <c r="X25" s="216"/>
      <c r="Y25" s="216"/>
      <c r="AB25" s="444"/>
    </row>
    <row r="26" spans="1:28" s="433" customFormat="1" ht="15.75" customHeight="1">
      <c r="A26" s="443">
        <f>A24+10</f>
        <v>160</v>
      </c>
      <c r="B26" s="214" t="s">
        <v>119</v>
      </c>
      <c r="C26" s="214">
        <f t="shared" ref="C26:C32" si="9">SUM(J26:Y26)-L26-P26-Q26</f>
        <v>0</v>
      </c>
      <c r="D26" s="215">
        <v>0</v>
      </c>
      <c r="E26" s="251">
        <v>0</v>
      </c>
      <c r="F26" s="215">
        <v>0</v>
      </c>
      <c r="G26" s="251">
        <v>0</v>
      </c>
      <c r="H26" s="215">
        <v>0</v>
      </c>
      <c r="I26" s="215">
        <v>0</v>
      </c>
      <c r="J26" s="215">
        <v>0</v>
      </c>
      <c r="K26" s="215">
        <v>0</v>
      </c>
      <c r="L26" s="215">
        <v>0</v>
      </c>
      <c r="M26" s="215">
        <v>0</v>
      </c>
      <c r="N26" s="215">
        <v>0</v>
      </c>
      <c r="O26" s="214">
        <f t="shared" ref="O26:O31" si="10">+P26+Q26</f>
        <v>0</v>
      </c>
      <c r="P26" s="215">
        <v>0</v>
      </c>
      <c r="Q26" s="215">
        <v>0</v>
      </c>
      <c r="R26" s="215">
        <v>0</v>
      </c>
      <c r="S26" s="215">
        <v>0</v>
      </c>
      <c r="T26" s="215">
        <v>0</v>
      </c>
      <c r="U26" s="215">
        <v>0</v>
      </c>
      <c r="V26" s="215">
        <v>0</v>
      </c>
      <c r="W26" s="215">
        <v>0</v>
      </c>
      <c r="X26" s="215">
        <v>0</v>
      </c>
      <c r="Y26" s="215">
        <v>0</v>
      </c>
      <c r="AB26" s="444"/>
    </row>
    <row r="27" spans="1:28" s="433" customFormat="1" ht="15.75" customHeight="1">
      <c r="A27" s="443">
        <f t="shared" si="1"/>
        <v>170</v>
      </c>
      <c r="B27" s="214" t="s">
        <v>120</v>
      </c>
      <c r="C27" s="214">
        <f t="shared" si="9"/>
        <v>2661090173</v>
      </c>
      <c r="D27" s="215">
        <v>149896707</v>
      </c>
      <c r="E27" s="252">
        <v>0.15552444975054619</v>
      </c>
      <c r="F27" s="215">
        <v>2511193466</v>
      </c>
      <c r="G27" s="252">
        <v>4.5970913900843173E-2</v>
      </c>
      <c r="H27" s="215">
        <v>2661090173</v>
      </c>
      <c r="I27" s="215">
        <v>0</v>
      </c>
      <c r="J27" s="215">
        <v>925716792</v>
      </c>
      <c r="K27" s="215">
        <v>1419745546</v>
      </c>
      <c r="L27" s="215">
        <v>1419745546</v>
      </c>
      <c r="M27" s="215">
        <v>0</v>
      </c>
      <c r="N27" s="215">
        <v>0</v>
      </c>
      <c r="O27" s="214">
        <f t="shared" si="10"/>
        <v>0</v>
      </c>
      <c r="P27" s="215">
        <v>0</v>
      </c>
      <c r="Q27" s="215">
        <v>0</v>
      </c>
      <c r="R27" s="215">
        <v>40151764</v>
      </c>
      <c r="S27" s="215">
        <v>0</v>
      </c>
      <c r="T27" s="215">
        <v>0</v>
      </c>
      <c r="U27" s="215">
        <v>0</v>
      </c>
      <c r="V27" s="215">
        <v>140492605</v>
      </c>
      <c r="W27" s="215">
        <v>0</v>
      </c>
      <c r="X27" s="215">
        <v>0</v>
      </c>
      <c r="Y27" s="215">
        <v>134983466</v>
      </c>
      <c r="AB27" s="444"/>
    </row>
    <row r="28" spans="1:28" s="433" customFormat="1" ht="15.75" customHeight="1">
      <c r="A28" s="443">
        <f t="shared" si="1"/>
        <v>180</v>
      </c>
      <c r="B28" s="214" t="s">
        <v>121</v>
      </c>
      <c r="C28" s="214">
        <f t="shared" si="9"/>
        <v>0</v>
      </c>
      <c r="D28" s="215">
        <v>0</v>
      </c>
      <c r="E28" s="252">
        <v>0</v>
      </c>
      <c r="F28" s="215">
        <v>0</v>
      </c>
      <c r="G28" s="252">
        <v>0</v>
      </c>
      <c r="H28" s="215">
        <v>0</v>
      </c>
      <c r="I28" s="215">
        <v>0</v>
      </c>
      <c r="J28" s="215">
        <v>0</v>
      </c>
      <c r="K28" s="215">
        <v>0</v>
      </c>
      <c r="L28" s="215">
        <v>0</v>
      </c>
      <c r="M28" s="215">
        <v>0</v>
      </c>
      <c r="N28" s="215">
        <v>0</v>
      </c>
      <c r="O28" s="214">
        <f t="shared" si="10"/>
        <v>0</v>
      </c>
      <c r="P28" s="215">
        <v>0</v>
      </c>
      <c r="Q28" s="215">
        <v>0</v>
      </c>
      <c r="R28" s="215">
        <v>0</v>
      </c>
      <c r="S28" s="215">
        <v>0</v>
      </c>
      <c r="T28" s="215">
        <v>0</v>
      </c>
      <c r="U28" s="215">
        <v>0</v>
      </c>
      <c r="V28" s="215">
        <v>0</v>
      </c>
      <c r="W28" s="215">
        <v>0</v>
      </c>
      <c r="X28" s="215">
        <v>0</v>
      </c>
      <c r="Y28" s="215">
        <v>0</v>
      </c>
      <c r="AB28" s="444"/>
    </row>
    <row r="29" spans="1:28" s="433" customFormat="1" ht="15.75" customHeight="1">
      <c r="A29" s="443">
        <f t="shared" si="1"/>
        <v>190</v>
      </c>
      <c r="B29" s="214" t="s">
        <v>122</v>
      </c>
      <c r="C29" s="214">
        <f t="shared" si="9"/>
        <v>802602741</v>
      </c>
      <c r="D29" s="215">
        <v>232327864</v>
      </c>
      <c r="E29" s="252">
        <v>0.19310281424456091</v>
      </c>
      <c r="F29" s="215">
        <v>570274877</v>
      </c>
      <c r="G29" s="252">
        <v>7.0537948830726352E-2</v>
      </c>
      <c r="H29" s="215">
        <v>795277354</v>
      </c>
      <c r="I29" s="215">
        <v>7325387</v>
      </c>
      <c r="J29" s="215">
        <v>286367</v>
      </c>
      <c r="K29" s="215">
        <v>0</v>
      </c>
      <c r="L29" s="215">
        <v>0</v>
      </c>
      <c r="M29" s="215">
        <v>50781760</v>
      </c>
      <c r="N29" s="215">
        <v>0</v>
      </c>
      <c r="O29" s="214">
        <f t="shared" si="10"/>
        <v>446610676</v>
      </c>
      <c r="P29" s="215">
        <v>0</v>
      </c>
      <c r="Q29" s="215">
        <v>446610676</v>
      </c>
      <c r="R29" s="215">
        <v>39370581</v>
      </c>
      <c r="S29" s="215">
        <v>0</v>
      </c>
      <c r="T29" s="215">
        <v>0</v>
      </c>
      <c r="U29" s="215">
        <v>0</v>
      </c>
      <c r="V29" s="215">
        <v>235772789</v>
      </c>
      <c r="W29" s="215">
        <v>29780568</v>
      </c>
      <c r="X29" s="215">
        <v>0</v>
      </c>
      <c r="Y29" s="215">
        <v>0</v>
      </c>
      <c r="AB29" s="444"/>
    </row>
    <row r="30" spans="1:28" s="433" customFormat="1" ht="15.75" customHeight="1">
      <c r="A30" s="443">
        <f t="shared" si="1"/>
        <v>200</v>
      </c>
      <c r="B30" s="446" t="s">
        <v>123</v>
      </c>
      <c r="C30" s="214">
        <f t="shared" si="9"/>
        <v>0</v>
      </c>
      <c r="D30" s="215">
        <v>0</v>
      </c>
      <c r="E30" s="252">
        <v>0</v>
      </c>
      <c r="F30" s="215">
        <v>0</v>
      </c>
      <c r="G30" s="252">
        <v>0</v>
      </c>
      <c r="H30" s="215">
        <v>0</v>
      </c>
      <c r="I30" s="215">
        <v>0</v>
      </c>
      <c r="J30" s="215">
        <v>0</v>
      </c>
      <c r="K30" s="215">
        <v>0</v>
      </c>
      <c r="L30" s="215">
        <v>0</v>
      </c>
      <c r="M30" s="215">
        <v>0</v>
      </c>
      <c r="N30" s="215">
        <v>0</v>
      </c>
      <c r="O30" s="214">
        <f t="shared" si="10"/>
        <v>0</v>
      </c>
      <c r="P30" s="215">
        <v>0</v>
      </c>
      <c r="Q30" s="215">
        <v>0</v>
      </c>
      <c r="R30" s="215">
        <v>0</v>
      </c>
      <c r="S30" s="215">
        <v>0</v>
      </c>
      <c r="T30" s="215">
        <v>0</v>
      </c>
      <c r="U30" s="215">
        <v>0</v>
      </c>
      <c r="V30" s="215">
        <v>0</v>
      </c>
      <c r="W30" s="215">
        <v>0</v>
      </c>
      <c r="X30" s="215">
        <v>0</v>
      </c>
      <c r="Y30" s="215">
        <v>0</v>
      </c>
      <c r="AB30" s="444"/>
    </row>
    <row r="31" spans="1:28" s="433" customFormat="1" ht="15.75" customHeight="1">
      <c r="A31" s="443">
        <f>A30+10</f>
        <v>210</v>
      </c>
      <c r="B31" s="214" t="s">
        <v>124</v>
      </c>
      <c r="C31" s="214">
        <f t="shared" si="9"/>
        <v>0</v>
      </c>
      <c r="D31" s="215">
        <v>0</v>
      </c>
      <c r="E31" s="252">
        <v>0</v>
      </c>
      <c r="F31" s="215">
        <v>0</v>
      </c>
      <c r="G31" s="252">
        <v>0</v>
      </c>
      <c r="H31" s="215">
        <v>0</v>
      </c>
      <c r="I31" s="215">
        <v>0</v>
      </c>
      <c r="J31" s="215">
        <v>0</v>
      </c>
      <c r="K31" s="215">
        <v>0</v>
      </c>
      <c r="L31" s="215">
        <v>0</v>
      </c>
      <c r="M31" s="215">
        <v>0</v>
      </c>
      <c r="N31" s="215">
        <v>0</v>
      </c>
      <c r="O31" s="214">
        <f t="shared" si="10"/>
        <v>0</v>
      </c>
      <c r="P31" s="215">
        <v>0</v>
      </c>
      <c r="Q31" s="215">
        <v>0</v>
      </c>
      <c r="R31" s="215">
        <v>0</v>
      </c>
      <c r="S31" s="215">
        <v>0</v>
      </c>
      <c r="T31" s="215">
        <v>0</v>
      </c>
      <c r="U31" s="215">
        <v>0</v>
      </c>
      <c r="V31" s="215">
        <v>0</v>
      </c>
      <c r="W31" s="215">
        <v>0</v>
      </c>
      <c r="X31" s="215">
        <v>0</v>
      </c>
      <c r="Y31" s="215">
        <v>0</v>
      </c>
      <c r="AB31" s="444"/>
    </row>
    <row r="32" spans="1:28" s="433" customFormat="1" ht="15.75" customHeight="1">
      <c r="A32" s="434">
        <f>A31+10</f>
        <v>220</v>
      </c>
      <c r="B32" s="447" t="s">
        <v>130</v>
      </c>
      <c r="C32" s="216">
        <f t="shared" si="9"/>
        <v>3463692914</v>
      </c>
      <c r="D32" s="216">
        <f>SUM(D26:D31)</f>
        <v>382224571</v>
      </c>
      <c r="E32" s="254">
        <f>IFERROR(((D26*E26)/D32)+((D27*E27)/D32)+((D28*E28)/D32)+((D29*E29)/D32)+((D30*E30)/D32)+((D31*E31)/D32),0)</f>
        <v>0.17836573683124485</v>
      </c>
      <c r="F32" s="216">
        <f>SUM(F26:F31)</f>
        <v>3081468343</v>
      </c>
      <c r="G32" s="254">
        <f>IFERROR(((F26*G26)/F32)+((F27*G27)/F32)+((F28*G28)/F32)+((F29*G29)/F32)+((F30*G30)/F32)+((F31*G31)/F32),0)</f>
        <v>5.0517435644193052E-2</v>
      </c>
      <c r="H32" s="216">
        <f t="shared" ref="H32:Y32" si="11">SUM(H26:H31)</f>
        <v>3456367527</v>
      </c>
      <c r="I32" s="216">
        <f t="shared" si="11"/>
        <v>7325387</v>
      </c>
      <c r="J32" s="216">
        <f t="shared" si="11"/>
        <v>926003159</v>
      </c>
      <c r="K32" s="216">
        <f t="shared" si="11"/>
        <v>1419745546</v>
      </c>
      <c r="L32" s="216">
        <f t="shared" si="11"/>
        <v>1419745546</v>
      </c>
      <c r="M32" s="216">
        <f t="shared" si="11"/>
        <v>50781760</v>
      </c>
      <c r="N32" s="216">
        <f t="shared" si="11"/>
        <v>0</v>
      </c>
      <c r="O32" s="216">
        <f t="shared" si="11"/>
        <v>446610676</v>
      </c>
      <c r="P32" s="216">
        <f t="shared" si="11"/>
        <v>0</v>
      </c>
      <c r="Q32" s="216">
        <f t="shared" si="11"/>
        <v>446610676</v>
      </c>
      <c r="R32" s="216">
        <f t="shared" si="11"/>
        <v>79522345</v>
      </c>
      <c r="S32" s="216">
        <f t="shared" si="11"/>
        <v>0</v>
      </c>
      <c r="T32" s="216">
        <f t="shared" si="11"/>
        <v>0</v>
      </c>
      <c r="U32" s="216">
        <f t="shared" si="11"/>
        <v>0</v>
      </c>
      <c r="V32" s="216">
        <f t="shared" si="11"/>
        <v>376265394</v>
      </c>
      <c r="W32" s="216">
        <f t="shared" si="11"/>
        <v>29780568</v>
      </c>
      <c r="X32" s="216">
        <f t="shared" si="11"/>
        <v>0</v>
      </c>
      <c r="Y32" s="216">
        <f t="shared" si="11"/>
        <v>134983466</v>
      </c>
      <c r="AB32" s="444"/>
    </row>
    <row r="33" spans="1:28" s="433" customFormat="1" ht="15.75" customHeight="1">
      <c r="A33" s="434"/>
      <c r="B33" s="447" t="s">
        <v>131</v>
      </c>
      <c r="C33" s="216"/>
      <c r="D33" s="216"/>
      <c r="E33" s="254"/>
      <c r="F33" s="216"/>
      <c r="G33" s="254"/>
      <c r="H33" s="216"/>
      <c r="I33" s="216"/>
      <c r="J33" s="216"/>
      <c r="K33" s="216"/>
      <c r="L33" s="216"/>
      <c r="M33" s="216"/>
      <c r="N33" s="216"/>
      <c r="O33" s="216"/>
      <c r="P33" s="216"/>
      <c r="Q33" s="216"/>
      <c r="R33" s="216"/>
      <c r="S33" s="216"/>
      <c r="T33" s="216"/>
      <c r="U33" s="216"/>
      <c r="V33" s="216"/>
      <c r="W33" s="216"/>
      <c r="X33" s="216"/>
      <c r="Y33" s="216"/>
      <c r="AB33" s="444"/>
    </row>
    <row r="34" spans="1:28" s="433" customFormat="1" ht="15.75" customHeight="1">
      <c r="A34" s="443">
        <f>A32+10</f>
        <v>230</v>
      </c>
      <c r="B34" s="214" t="s">
        <v>119</v>
      </c>
      <c r="C34" s="214">
        <f t="shared" ref="C34:C40" si="12">SUM(J34:Y34)-L34-P34-Q34</f>
        <v>0</v>
      </c>
      <c r="D34" s="215">
        <v>0</v>
      </c>
      <c r="E34" s="251">
        <v>0</v>
      </c>
      <c r="F34" s="215">
        <v>0</v>
      </c>
      <c r="G34" s="251">
        <v>0</v>
      </c>
      <c r="H34" s="215">
        <v>0</v>
      </c>
      <c r="I34" s="215">
        <v>0</v>
      </c>
      <c r="J34" s="215">
        <v>0</v>
      </c>
      <c r="K34" s="215">
        <v>0</v>
      </c>
      <c r="L34" s="215">
        <v>0</v>
      </c>
      <c r="M34" s="215">
        <v>0</v>
      </c>
      <c r="N34" s="215">
        <v>0</v>
      </c>
      <c r="O34" s="214">
        <f t="shared" ref="O34:O39" si="13">+P34+Q34</f>
        <v>0</v>
      </c>
      <c r="P34" s="215">
        <v>0</v>
      </c>
      <c r="Q34" s="215">
        <v>0</v>
      </c>
      <c r="R34" s="215">
        <v>0</v>
      </c>
      <c r="S34" s="215">
        <v>0</v>
      </c>
      <c r="T34" s="215">
        <v>0</v>
      </c>
      <c r="U34" s="215">
        <v>0</v>
      </c>
      <c r="V34" s="215">
        <v>0</v>
      </c>
      <c r="W34" s="215">
        <v>0</v>
      </c>
      <c r="X34" s="215">
        <v>0</v>
      </c>
      <c r="Y34" s="215">
        <v>0</v>
      </c>
      <c r="AB34" s="444"/>
    </row>
    <row r="35" spans="1:28" s="433" customFormat="1" ht="15.75" customHeight="1">
      <c r="A35" s="443">
        <f t="shared" si="1"/>
        <v>240</v>
      </c>
      <c r="B35" s="214" t="s">
        <v>120</v>
      </c>
      <c r="C35" s="214">
        <f t="shared" si="12"/>
        <v>6882287</v>
      </c>
      <c r="D35" s="215">
        <v>6882287</v>
      </c>
      <c r="E35" s="252">
        <v>0.20801222010028231</v>
      </c>
      <c r="F35" s="215">
        <v>0</v>
      </c>
      <c r="G35" s="252">
        <v>0</v>
      </c>
      <c r="H35" s="215">
        <v>6882287</v>
      </c>
      <c r="I35" s="215">
        <v>0</v>
      </c>
      <c r="J35" s="215">
        <v>0</v>
      </c>
      <c r="K35" s="215">
        <v>0</v>
      </c>
      <c r="L35" s="215">
        <v>0</v>
      </c>
      <c r="M35" s="215">
        <v>63160</v>
      </c>
      <c r="N35" s="215">
        <v>0</v>
      </c>
      <c r="O35" s="214">
        <f t="shared" si="13"/>
        <v>749542</v>
      </c>
      <c r="P35" s="215">
        <v>0</v>
      </c>
      <c r="Q35" s="215">
        <v>749542</v>
      </c>
      <c r="R35" s="215">
        <v>151943</v>
      </c>
      <c r="S35" s="215">
        <v>0</v>
      </c>
      <c r="T35" s="215">
        <v>0</v>
      </c>
      <c r="U35" s="215">
        <v>0</v>
      </c>
      <c r="V35" s="215">
        <v>5917642</v>
      </c>
      <c r="W35" s="215">
        <v>0</v>
      </c>
      <c r="X35" s="215">
        <v>0</v>
      </c>
      <c r="Y35" s="215">
        <v>0</v>
      </c>
      <c r="AB35" s="444"/>
    </row>
    <row r="36" spans="1:28" s="433" customFormat="1" ht="15.75" customHeight="1">
      <c r="A36" s="443">
        <f t="shared" si="1"/>
        <v>250</v>
      </c>
      <c r="B36" s="214" t="s">
        <v>121</v>
      </c>
      <c r="C36" s="214">
        <f t="shared" si="12"/>
        <v>61669227</v>
      </c>
      <c r="D36" s="215">
        <v>135253</v>
      </c>
      <c r="E36" s="252">
        <v>0.14722623609554791</v>
      </c>
      <c r="F36" s="215">
        <v>61533974</v>
      </c>
      <c r="G36" s="252">
        <v>9.1082346931076932E-2</v>
      </c>
      <c r="H36" s="215">
        <v>61669227</v>
      </c>
      <c r="I36" s="215">
        <v>0</v>
      </c>
      <c r="J36" s="215">
        <v>0</v>
      </c>
      <c r="K36" s="215">
        <v>0</v>
      </c>
      <c r="L36" s="215">
        <v>0</v>
      </c>
      <c r="M36" s="215">
        <v>7370880</v>
      </c>
      <c r="N36" s="215">
        <v>0</v>
      </c>
      <c r="O36" s="214">
        <f t="shared" si="13"/>
        <v>15104184</v>
      </c>
      <c r="P36" s="215">
        <v>0</v>
      </c>
      <c r="Q36" s="215">
        <v>15104184</v>
      </c>
      <c r="R36" s="215">
        <v>10569920</v>
      </c>
      <c r="S36" s="215">
        <v>0</v>
      </c>
      <c r="T36" s="215">
        <v>0</v>
      </c>
      <c r="U36" s="215">
        <v>0</v>
      </c>
      <c r="V36" s="215">
        <v>28607405</v>
      </c>
      <c r="W36" s="215">
        <v>16838</v>
      </c>
      <c r="X36" s="215">
        <v>0</v>
      </c>
      <c r="Y36" s="215">
        <v>0</v>
      </c>
      <c r="AB36" s="444"/>
    </row>
    <row r="37" spans="1:28" s="433" customFormat="1" ht="15.75" customHeight="1">
      <c r="A37" s="443">
        <f t="shared" si="1"/>
        <v>260</v>
      </c>
      <c r="B37" s="214" t="s">
        <v>122</v>
      </c>
      <c r="C37" s="214">
        <f t="shared" si="12"/>
        <v>755129016</v>
      </c>
      <c r="D37" s="215">
        <v>337185987</v>
      </c>
      <c r="E37" s="252">
        <v>0.21626594563251961</v>
      </c>
      <c r="F37" s="215">
        <v>417943029</v>
      </c>
      <c r="G37" s="252">
        <v>7.138112539876508E-2</v>
      </c>
      <c r="H37" s="215">
        <v>740014039</v>
      </c>
      <c r="I37" s="215">
        <v>15114977</v>
      </c>
      <c r="J37" s="215">
        <v>62345</v>
      </c>
      <c r="K37" s="215">
        <v>0</v>
      </c>
      <c r="L37" s="215">
        <v>0</v>
      </c>
      <c r="M37" s="215">
        <v>22713795</v>
      </c>
      <c r="N37" s="215">
        <v>262779</v>
      </c>
      <c r="O37" s="214">
        <f t="shared" si="13"/>
        <v>234546898</v>
      </c>
      <c r="P37" s="215">
        <v>0</v>
      </c>
      <c r="Q37" s="215">
        <v>234546898</v>
      </c>
      <c r="R37" s="215">
        <v>15497448</v>
      </c>
      <c r="S37" s="215">
        <v>0</v>
      </c>
      <c r="T37" s="215">
        <v>0</v>
      </c>
      <c r="U37" s="215">
        <v>700000</v>
      </c>
      <c r="V37" s="215">
        <v>443622129</v>
      </c>
      <c r="W37" s="215">
        <v>37723622</v>
      </c>
      <c r="X37" s="215">
        <v>0</v>
      </c>
      <c r="Y37" s="215">
        <v>0</v>
      </c>
      <c r="AB37" s="444"/>
    </row>
    <row r="38" spans="1:28" s="433" customFormat="1" ht="15.75" customHeight="1">
      <c r="A38" s="443">
        <f t="shared" si="1"/>
        <v>270</v>
      </c>
      <c r="B38" s="446" t="s">
        <v>123</v>
      </c>
      <c r="C38" s="214">
        <f t="shared" si="12"/>
        <v>0</v>
      </c>
      <c r="D38" s="215">
        <v>0</v>
      </c>
      <c r="E38" s="252">
        <v>0</v>
      </c>
      <c r="F38" s="215">
        <v>0</v>
      </c>
      <c r="G38" s="252">
        <v>0</v>
      </c>
      <c r="H38" s="215">
        <v>0</v>
      </c>
      <c r="I38" s="215">
        <v>0</v>
      </c>
      <c r="J38" s="215">
        <v>0</v>
      </c>
      <c r="K38" s="215">
        <v>0</v>
      </c>
      <c r="L38" s="215">
        <v>0</v>
      </c>
      <c r="M38" s="215">
        <v>0</v>
      </c>
      <c r="N38" s="215">
        <v>0</v>
      </c>
      <c r="O38" s="214">
        <f t="shared" si="13"/>
        <v>0</v>
      </c>
      <c r="P38" s="215">
        <v>0</v>
      </c>
      <c r="Q38" s="215">
        <v>0</v>
      </c>
      <c r="R38" s="215">
        <v>0</v>
      </c>
      <c r="S38" s="215">
        <v>0</v>
      </c>
      <c r="T38" s="215">
        <v>0</v>
      </c>
      <c r="U38" s="215">
        <v>0</v>
      </c>
      <c r="V38" s="215">
        <v>0</v>
      </c>
      <c r="W38" s="215">
        <v>0</v>
      </c>
      <c r="X38" s="215">
        <v>0</v>
      </c>
      <c r="Y38" s="215">
        <v>0</v>
      </c>
      <c r="AB38" s="444"/>
    </row>
    <row r="39" spans="1:28" s="433" customFormat="1" ht="15.75" customHeight="1">
      <c r="A39" s="443">
        <f>A38+10</f>
        <v>280</v>
      </c>
      <c r="B39" s="214" t="s">
        <v>124</v>
      </c>
      <c r="C39" s="214">
        <f t="shared" si="12"/>
        <v>0</v>
      </c>
      <c r="D39" s="215">
        <v>0</v>
      </c>
      <c r="E39" s="252">
        <v>0</v>
      </c>
      <c r="F39" s="215">
        <v>0</v>
      </c>
      <c r="G39" s="252">
        <v>0</v>
      </c>
      <c r="H39" s="215">
        <v>0</v>
      </c>
      <c r="I39" s="215">
        <v>0</v>
      </c>
      <c r="J39" s="215">
        <v>0</v>
      </c>
      <c r="K39" s="215">
        <v>0</v>
      </c>
      <c r="L39" s="215">
        <v>0</v>
      </c>
      <c r="M39" s="215">
        <v>0</v>
      </c>
      <c r="N39" s="215">
        <v>0</v>
      </c>
      <c r="O39" s="214">
        <f t="shared" si="13"/>
        <v>0</v>
      </c>
      <c r="P39" s="215">
        <v>0</v>
      </c>
      <c r="Q39" s="215">
        <v>0</v>
      </c>
      <c r="R39" s="215">
        <v>0</v>
      </c>
      <c r="S39" s="215">
        <v>0</v>
      </c>
      <c r="T39" s="215">
        <v>0</v>
      </c>
      <c r="U39" s="215">
        <v>0</v>
      </c>
      <c r="V39" s="215">
        <v>0</v>
      </c>
      <c r="W39" s="215">
        <v>0</v>
      </c>
      <c r="X39" s="215">
        <v>0</v>
      </c>
      <c r="Y39" s="215">
        <v>0</v>
      </c>
      <c r="AB39" s="444"/>
    </row>
    <row r="40" spans="1:28" s="433" customFormat="1" ht="15.75" customHeight="1">
      <c r="A40" s="434">
        <f>A39+10</f>
        <v>290</v>
      </c>
      <c r="B40" s="447" t="s">
        <v>132</v>
      </c>
      <c r="C40" s="216">
        <f t="shared" si="12"/>
        <v>823680530</v>
      </c>
      <c r="D40" s="216">
        <f>SUM(D34:D39)</f>
        <v>344203527</v>
      </c>
      <c r="E40" s="254">
        <f>IFERROR(((D34*E34)/D40)+((D35*E35)/D40)+((D36*E36)/D40)+((D37*E37)/D40)+((D38*E38)/D40)+((D39*E39)/D40),0)</f>
        <v>0.21607378509209002</v>
      </c>
      <c r="F40" s="216">
        <f>SUM(F34:F39)</f>
        <v>479477003</v>
      </c>
      <c r="G40" s="254">
        <f>IFERROR(((F34*G34)/F40)+((F35*G35)/F40)+((F36*G36)/F40)+((F37*G37)/F40)+((F38*G38)/F40)+((F39*G39)/F40),0)</f>
        <v>7.3909493695789572E-2</v>
      </c>
      <c r="H40" s="216">
        <f t="shared" ref="H40:Y40" si="14">SUM(H34:H39)</f>
        <v>808565553</v>
      </c>
      <c r="I40" s="216">
        <f t="shared" si="14"/>
        <v>15114977</v>
      </c>
      <c r="J40" s="216">
        <f t="shared" si="14"/>
        <v>62345</v>
      </c>
      <c r="K40" s="216">
        <f t="shared" si="14"/>
        <v>0</v>
      </c>
      <c r="L40" s="216">
        <f t="shared" si="14"/>
        <v>0</v>
      </c>
      <c r="M40" s="216">
        <f t="shared" si="14"/>
        <v>30147835</v>
      </c>
      <c r="N40" s="216">
        <f t="shared" si="14"/>
        <v>262779</v>
      </c>
      <c r="O40" s="216">
        <f t="shared" si="14"/>
        <v>250400624</v>
      </c>
      <c r="P40" s="216">
        <f t="shared" si="14"/>
        <v>0</v>
      </c>
      <c r="Q40" s="216">
        <f t="shared" si="14"/>
        <v>250400624</v>
      </c>
      <c r="R40" s="216">
        <f t="shared" si="14"/>
        <v>26219311</v>
      </c>
      <c r="S40" s="216">
        <f t="shared" si="14"/>
        <v>0</v>
      </c>
      <c r="T40" s="216">
        <f t="shared" si="14"/>
        <v>0</v>
      </c>
      <c r="U40" s="216">
        <f t="shared" si="14"/>
        <v>700000</v>
      </c>
      <c r="V40" s="216">
        <f t="shared" si="14"/>
        <v>478147176</v>
      </c>
      <c r="W40" s="216">
        <f t="shared" si="14"/>
        <v>37740460</v>
      </c>
      <c r="X40" s="216">
        <f t="shared" si="14"/>
        <v>0</v>
      </c>
      <c r="Y40" s="216">
        <f t="shared" si="14"/>
        <v>0</v>
      </c>
      <c r="AB40" s="444"/>
    </row>
    <row r="41" spans="1:28" s="433" customFormat="1" ht="15.75" customHeight="1">
      <c r="A41" s="434"/>
      <c r="B41" s="447" t="s">
        <v>133</v>
      </c>
      <c r="C41" s="216"/>
      <c r="D41" s="216"/>
      <c r="E41" s="254"/>
      <c r="F41" s="216"/>
      <c r="G41" s="254"/>
      <c r="H41" s="216"/>
      <c r="I41" s="216"/>
      <c r="J41" s="216"/>
      <c r="K41" s="216"/>
      <c r="L41" s="216"/>
      <c r="M41" s="216"/>
      <c r="N41" s="216"/>
      <c r="O41" s="216"/>
      <c r="P41" s="216"/>
      <c r="Q41" s="216"/>
      <c r="R41" s="216"/>
      <c r="S41" s="216"/>
      <c r="T41" s="216"/>
      <c r="U41" s="216"/>
      <c r="V41" s="216"/>
      <c r="W41" s="216"/>
      <c r="X41" s="216"/>
      <c r="Y41" s="216"/>
      <c r="AB41" s="444"/>
    </row>
    <row r="42" spans="1:28" s="433" customFormat="1" ht="15.75" customHeight="1">
      <c r="A42" s="443">
        <f>A40+10</f>
        <v>300</v>
      </c>
      <c r="B42" s="214" t="s">
        <v>119</v>
      </c>
      <c r="C42" s="214">
        <f t="shared" ref="C42:C47" si="15">SUM(J42:Y42)-L42-P42-Q42</f>
        <v>0</v>
      </c>
      <c r="D42" s="215">
        <v>0</v>
      </c>
      <c r="E42" s="251">
        <v>0</v>
      </c>
      <c r="F42" s="215">
        <v>0</v>
      </c>
      <c r="G42" s="251">
        <v>0</v>
      </c>
      <c r="H42" s="215">
        <v>0</v>
      </c>
      <c r="I42" s="215">
        <v>0</v>
      </c>
      <c r="J42" s="215">
        <v>0</v>
      </c>
      <c r="K42" s="215">
        <v>0</v>
      </c>
      <c r="L42" s="215">
        <v>0</v>
      </c>
      <c r="M42" s="215">
        <v>0</v>
      </c>
      <c r="N42" s="215">
        <v>0</v>
      </c>
      <c r="O42" s="214">
        <f t="shared" ref="O42:O47" si="16">+P42+Q42</f>
        <v>0</v>
      </c>
      <c r="P42" s="215">
        <v>0</v>
      </c>
      <c r="Q42" s="215">
        <v>0</v>
      </c>
      <c r="R42" s="215">
        <v>0</v>
      </c>
      <c r="S42" s="215">
        <v>0</v>
      </c>
      <c r="T42" s="215">
        <v>0</v>
      </c>
      <c r="U42" s="215">
        <v>0</v>
      </c>
      <c r="V42" s="215">
        <v>0</v>
      </c>
      <c r="W42" s="215">
        <v>0</v>
      </c>
      <c r="X42" s="215">
        <v>0</v>
      </c>
      <c r="Y42" s="215">
        <v>0</v>
      </c>
      <c r="AB42" s="444"/>
    </row>
    <row r="43" spans="1:28" s="433" customFormat="1" ht="15.75" customHeight="1">
      <c r="A43" s="443">
        <f t="shared" si="1"/>
        <v>310</v>
      </c>
      <c r="B43" s="214" t="s">
        <v>120</v>
      </c>
      <c r="C43" s="214">
        <f t="shared" si="15"/>
        <v>133770</v>
      </c>
      <c r="D43" s="215">
        <v>133770</v>
      </c>
      <c r="E43" s="252">
        <v>0.28000000000000003</v>
      </c>
      <c r="F43" s="215">
        <v>0</v>
      </c>
      <c r="G43" s="252">
        <v>0</v>
      </c>
      <c r="H43" s="215">
        <v>133770</v>
      </c>
      <c r="I43" s="215">
        <v>0</v>
      </c>
      <c r="J43" s="215">
        <v>0</v>
      </c>
      <c r="K43" s="215">
        <v>0</v>
      </c>
      <c r="L43" s="215">
        <v>0</v>
      </c>
      <c r="M43" s="215">
        <v>0</v>
      </c>
      <c r="N43" s="215">
        <v>0</v>
      </c>
      <c r="O43" s="214">
        <f t="shared" si="16"/>
        <v>133770</v>
      </c>
      <c r="P43" s="215">
        <v>0</v>
      </c>
      <c r="Q43" s="215">
        <v>133770</v>
      </c>
      <c r="R43" s="215">
        <v>0</v>
      </c>
      <c r="S43" s="215">
        <v>0</v>
      </c>
      <c r="T43" s="215">
        <v>0</v>
      </c>
      <c r="U43" s="215">
        <v>0</v>
      </c>
      <c r="V43" s="215">
        <v>0</v>
      </c>
      <c r="W43" s="215">
        <v>0</v>
      </c>
      <c r="X43" s="215">
        <v>0</v>
      </c>
      <c r="Y43" s="215">
        <v>0</v>
      </c>
      <c r="AB43" s="444"/>
    </row>
    <row r="44" spans="1:28" s="433" customFormat="1" ht="15.75" customHeight="1">
      <c r="A44" s="443">
        <f t="shared" si="1"/>
        <v>320</v>
      </c>
      <c r="B44" s="214" t="s">
        <v>121</v>
      </c>
      <c r="C44" s="214">
        <f t="shared" si="15"/>
        <v>532805854</v>
      </c>
      <c r="D44" s="215">
        <v>4129667</v>
      </c>
      <c r="E44" s="252">
        <v>0.21181370565678129</v>
      </c>
      <c r="F44" s="215">
        <v>528676187</v>
      </c>
      <c r="G44" s="252">
        <v>6.6965053848271089E-2</v>
      </c>
      <c r="H44" s="215">
        <v>532805854</v>
      </c>
      <c r="I44" s="215">
        <v>0</v>
      </c>
      <c r="J44" s="215">
        <v>0</v>
      </c>
      <c r="K44" s="215">
        <v>0</v>
      </c>
      <c r="L44" s="215">
        <v>0</v>
      </c>
      <c r="M44" s="215">
        <v>1754899</v>
      </c>
      <c r="N44" s="215">
        <v>0</v>
      </c>
      <c r="O44" s="214">
        <f t="shared" si="16"/>
        <v>247603695</v>
      </c>
      <c r="P44" s="215">
        <v>0</v>
      </c>
      <c r="Q44" s="215">
        <v>247603695</v>
      </c>
      <c r="R44" s="215">
        <v>9836191</v>
      </c>
      <c r="S44" s="215">
        <v>0</v>
      </c>
      <c r="T44" s="215">
        <v>0</v>
      </c>
      <c r="U44" s="215">
        <v>1737972</v>
      </c>
      <c r="V44" s="215">
        <v>242737302</v>
      </c>
      <c r="W44" s="215">
        <v>29135795</v>
      </c>
      <c r="X44" s="215">
        <v>0</v>
      </c>
      <c r="Y44" s="215">
        <v>0</v>
      </c>
      <c r="AB44" s="444"/>
    </row>
    <row r="45" spans="1:28" s="433" customFormat="1" ht="15.75" customHeight="1">
      <c r="A45" s="443">
        <f t="shared" si="1"/>
        <v>330</v>
      </c>
      <c r="B45" s="214" t="s">
        <v>122</v>
      </c>
      <c r="C45" s="214">
        <f t="shared" si="15"/>
        <v>1918100208</v>
      </c>
      <c r="D45" s="215">
        <v>658068015</v>
      </c>
      <c r="E45" s="252">
        <v>0.20337922517554241</v>
      </c>
      <c r="F45" s="215">
        <v>1260032193</v>
      </c>
      <c r="G45" s="252">
        <v>7.4940954276769778E-2</v>
      </c>
      <c r="H45" s="215">
        <v>1875018519</v>
      </c>
      <c r="I45" s="215">
        <v>43081689</v>
      </c>
      <c r="J45" s="215">
        <v>471082</v>
      </c>
      <c r="K45" s="215">
        <v>0</v>
      </c>
      <c r="L45" s="215">
        <v>0</v>
      </c>
      <c r="M45" s="215">
        <v>35996671</v>
      </c>
      <c r="N45" s="215">
        <v>97313184</v>
      </c>
      <c r="O45" s="214">
        <f t="shared" si="16"/>
        <v>784169192</v>
      </c>
      <c r="P45" s="215">
        <v>0</v>
      </c>
      <c r="Q45" s="215">
        <v>784169192</v>
      </c>
      <c r="R45" s="215">
        <v>146077279</v>
      </c>
      <c r="S45" s="215">
        <v>0</v>
      </c>
      <c r="T45" s="215">
        <v>0</v>
      </c>
      <c r="U45" s="215">
        <v>0</v>
      </c>
      <c r="V45" s="215">
        <v>647487302</v>
      </c>
      <c r="W45" s="215">
        <v>205726498</v>
      </c>
      <c r="X45" s="215">
        <v>859000</v>
      </c>
      <c r="Y45" s="215">
        <v>0</v>
      </c>
      <c r="AB45" s="444"/>
    </row>
    <row r="46" spans="1:28" s="433" customFormat="1" ht="15.75" customHeight="1">
      <c r="A46" s="443">
        <f t="shared" si="1"/>
        <v>340</v>
      </c>
      <c r="B46" s="446" t="s">
        <v>123</v>
      </c>
      <c r="C46" s="214">
        <f t="shared" si="15"/>
        <v>0</v>
      </c>
      <c r="D46" s="215">
        <v>0</v>
      </c>
      <c r="E46" s="252">
        <v>0</v>
      </c>
      <c r="F46" s="215">
        <v>0</v>
      </c>
      <c r="G46" s="252">
        <v>0</v>
      </c>
      <c r="H46" s="215">
        <v>0</v>
      </c>
      <c r="I46" s="215">
        <v>0</v>
      </c>
      <c r="J46" s="215">
        <v>0</v>
      </c>
      <c r="K46" s="215">
        <v>0</v>
      </c>
      <c r="L46" s="215">
        <v>0</v>
      </c>
      <c r="M46" s="215">
        <v>0</v>
      </c>
      <c r="N46" s="215">
        <v>0</v>
      </c>
      <c r="O46" s="214">
        <f t="shared" si="16"/>
        <v>0</v>
      </c>
      <c r="P46" s="215">
        <v>0</v>
      </c>
      <c r="Q46" s="215">
        <v>0</v>
      </c>
      <c r="R46" s="215">
        <v>0</v>
      </c>
      <c r="S46" s="215">
        <v>0</v>
      </c>
      <c r="T46" s="215">
        <v>0</v>
      </c>
      <c r="U46" s="215">
        <v>0</v>
      </c>
      <c r="V46" s="215">
        <v>0</v>
      </c>
      <c r="W46" s="215">
        <v>0</v>
      </c>
      <c r="X46" s="215">
        <v>0</v>
      </c>
      <c r="Y46" s="215">
        <v>0</v>
      </c>
      <c r="AB46" s="444"/>
    </row>
    <row r="47" spans="1:28" s="433" customFormat="1" ht="15.75" customHeight="1">
      <c r="A47" s="443">
        <f>A46+10</f>
        <v>350</v>
      </c>
      <c r="B47" s="214" t="s">
        <v>124</v>
      </c>
      <c r="C47" s="214">
        <f t="shared" si="15"/>
        <v>0</v>
      </c>
      <c r="D47" s="215">
        <v>0</v>
      </c>
      <c r="E47" s="252">
        <v>0</v>
      </c>
      <c r="F47" s="215">
        <v>0</v>
      </c>
      <c r="G47" s="252">
        <v>0</v>
      </c>
      <c r="H47" s="215">
        <v>0</v>
      </c>
      <c r="I47" s="215">
        <v>0</v>
      </c>
      <c r="J47" s="215">
        <v>0</v>
      </c>
      <c r="K47" s="215">
        <v>0</v>
      </c>
      <c r="L47" s="215">
        <v>0</v>
      </c>
      <c r="M47" s="215">
        <v>0</v>
      </c>
      <c r="N47" s="215">
        <v>0</v>
      </c>
      <c r="O47" s="214">
        <f t="shared" si="16"/>
        <v>0</v>
      </c>
      <c r="P47" s="215">
        <v>0</v>
      </c>
      <c r="Q47" s="215">
        <v>0</v>
      </c>
      <c r="R47" s="215">
        <v>0</v>
      </c>
      <c r="S47" s="215">
        <v>0</v>
      </c>
      <c r="T47" s="215">
        <v>0</v>
      </c>
      <c r="U47" s="215">
        <v>0</v>
      </c>
      <c r="V47" s="215">
        <v>0</v>
      </c>
      <c r="W47" s="215">
        <v>0</v>
      </c>
      <c r="X47" s="215">
        <v>0</v>
      </c>
      <c r="Y47" s="215">
        <v>0</v>
      </c>
      <c r="AB47" s="444"/>
    </row>
    <row r="48" spans="1:28" s="433" customFormat="1" ht="15.75" customHeight="1">
      <c r="A48" s="434">
        <f>A47+10</f>
        <v>360</v>
      </c>
      <c r="B48" s="447" t="s">
        <v>134</v>
      </c>
      <c r="C48" s="216">
        <f t="shared" ref="C48" si="17">SUM(J48:Y48)-L48-P48-Q48</f>
        <v>2451039832</v>
      </c>
      <c r="D48" s="216">
        <f>SUM(D42:D47)</f>
        <v>662331452</v>
      </c>
      <c r="E48" s="254">
        <f>IFERROR(((D42*E42)/D48)+((D43*E43)/D48)+((D44*E44)/D48)+((D45*E45)/D48)+((D46*E46)/D48)+((D47*E47)/D48),0)</f>
        <v>0.20344728952099614</v>
      </c>
      <c r="F48" s="216">
        <f>SUM(F42:F47)</f>
        <v>1788708380</v>
      </c>
      <c r="G48" s="254">
        <f>IFERROR(((F42*G42)/F48)+((F43*G43)/F48)+((F44*G44)/F48)+((F45*G45)/F48)+((F46*G46)/F48)+((F47*G47)/F48),0)</f>
        <v>7.2583572451102724E-2</v>
      </c>
      <c r="H48" s="216">
        <f t="shared" ref="H48:Y48" si="18">SUM(H42:H47)</f>
        <v>2407958143</v>
      </c>
      <c r="I48" s="216">
        <f t="shared" si="18"/>
        <v>43081689</v>
      </c>
      <c r="J48" s="216">
        <f t="shared" si="18"/>
        <v>471082</v>
      </c>
      <c r="K48" s="216">
        <f t="shared" si="18"/>
        <v>0</v>
      </c>
      <c r="L48" s="216">
        <f t="shared" si="18"/>
        <v>0</v>
      </c>
      <c r="M48" s="216">
        <f t="shared" si="18"/>
        <v>37751570</v>
      </c>
      <c r="N48" s="216">
        <f t="shared" si="18"/>
        <v>97313184</v>
      </c>
      <c r="O48" s="216">
        <f t="shared" si="18"/>
        <v>1031906657</v>
      </c>
      <c r="P48" s="216">
        <f t="shared" si="18"/>
        <v>0</v>
      </c>
      <c r="Q48" s="216">
        <f t="shared" si="18"/>
        <v>1031906657</v>
      </c>
      <c r="R48" s="216">
        <f t="shared" si="18"/>
        <v>155913470</v>
      </c>
      <c r="S48" s="216">
        <f t="shared" si="18"/>
        <v>0</v>
      </c>
      <c r="T48" s="216">
        <f t="shared" si="18"/>
        <v>0</v>
      </c>
      <c r="U48" s="216">
        <f t="shared" si="18"/>
        <v>1737972</v>
      </c>
      <c r="V48" s="216">
        <f t="shared" si="18"/>
        <v>890224604</v>
      </c>
      <c r="W48" s="216">
        <f t="shared" si="18"/>
        <v>234862293</v>
      </c>
      <c r="X48" s="216">
        <f t="shared" si="18"/>
        <v>859000</v>
      </c>
      <c r="Y48" s="216">
        <f t="shared" si="18"/>
        <v>0</v>
      </c>
      <c r="AB48" s="444"/>
    </row>
    <row r="49" spans="1:28" s="433" customFormat="1" ht="15.75" customHeight="1">
      <c r="A49" s="434"/>
      <c r="B49" s="447" t="s">
        <v>135</v>
      </c>
      <c r="C49" s="216"/>
      <c r="D49" s="216"/>
      <c r="E49" s="254"/>
      <c r="F49" s="216"/>
      <c r="G49" s="254"/>
      <c r="H49" s="216"/>
      <c r="I49" s="216"/>
      <c r="J49" s="216"/>
      <c r="K49" s="216"/>
      <c r="L49" s="216"/>
      <c r="M49" s="216"/>
      <c r="N49" s="216"/>
      <c r="O49" s="216"/>
      <c r="P49" s="216"/>
      <c r="Q49" s="216"/>
      <c r="R49" s="216"/>
      <c r="S49" s="216"/>
      <c r="T49" s="216"/>
      <c r="U49" s="216"/>
      <c r="V49" s="216"/>
      <c r="W49" s="216"/>
      <c r="X49" s="216"/>
      <c r="Y49" s="216"/>
      <c r="AB49" s="444"/>
    </row>
    <row r="50" spans="1:28" s="433" customFormat="1" ht="15.75" customHeight="1">
      <c r="A50" s="443">
        <f>A48+10</f>
        <v>370</v>
      </c>
      <c r="B50" s="214" t="s">
        <v>119</v>
      </c>
      <c r="C50" s="214">
        <f t="shared" ref="C50:C56" si="19">SUM(J50:Y50)-L50-P50-Q50</f>
        <v>0</v>
      </c>
      <c r="D50" s="215">
        <v>0</v>
      </c>
      <c r="E50" s="251">
        <v>0</v>
      </c>
      <c r="F50" s="215">
        <v>0</v>
      </c>
      <c r="G50" s="251">
        <v>0</v>
      </c>
      <c r="H50" s="215">
        <v>0</v>
      </c>
      <c r="I50" s="215">
        <v>0</v>
      </c>
      <c r="J50" s="215">
        <v>0</v>
      </c>
      <c r="K50" s="215">
        <v>0</v>
      </c>
      <c r="L50" s="215">
        <v>0</v>
      </c>
      <c r="M50" s="215">
        <v>0</v>
      </c>
      <c r="N50" s="215">
        <v>0</v>
      </c>
      <c r="O50" s="214">
        <f t="shared" ref="O50:O55" si="20">+P50+Q50</f>
        <v>0</v>
      </c>
      <c r="P50" s="215">
        <v>0</v>
      </c>
      <c r="Q50" s="215">
        <v>0</v>
      </c>
      <c r="R50" s="215">
        <v>0</v>
      </c>
      <c r="S50" s="215">
        <v>0</v>
      </c>
      <c r="T50" s="215">
        <v>0</v>
      </c>
      <c r="U50" s="215">
        <v>0</v>
      </c>
      <c r="V50" s="215">
        <v>0</v>
      </c>
      <c r="W50" s="215">
        <v>0</v>
      </c>
      <c r="X50" s="215">
        <v>0</v>
      </c>
      <c r="Y50" s="215">
        <v>0</v>
      </c>
      <c r="AB50" s="444"/>
    </row>
    <row r="51" spans="1:28" s="433" customFormat="1" ht="15.75" customHeight="1">
      <c r="A51" s="443">
        <f t="shared" si="1"/>
        <v>380</v>
      </c>
      <c r="B51" s="214" t="s">
        <v>120</v>
      </c>
      <c r="C51" s="214">
        <f t="shared" si="19"/>
        <v>16775066</v>
      </c>
      <c r="D51" s="215">
        <v>16775066</v>
      </c>
      <c r="E51" s="252">
        <v>0.21198389680584831</v>
      </c>
      <c r="F51" s="215">
        <v>0</v>
      </c>
      <c r="G51" s="252">
        <v>0</v>
      </c>
      <c r="H51" s="215">
        <v>16775066</v>
      </c>
      <c r="I51" s="215">
        <v>0</v>
      </c>
      <c r="J51" s="215">
        <v>0</v>
      </c>
      <c r="K51" s="215">
        <v>0</v>
      </c>
      <c r="L51" s="215">
        <v>0</v>
      </c>
      <c r="M51" s="215">
        <v>0</v>
      </c>
      <c r="N51" s="215">
        <v>0</v>
      </c>
      <c r="O51" s="214">
        <f t="shared" si="20"/>
        <v>0</v>
      </c>
      <c r="P51" s="215">
        <v>0</v>
      </c>
      <c r="Q51" s="215">
        <v>0</v>
      </c>
      <c r="R51" s="215">
        <v>15247399</v>
      </c>
      <c r="S51" s="215">
        <v>0</v>
      </c>
      <c r="T51" s="215">
        <v>0</v>
      </c>
      <c r="U51" s="215">
        <v>0</v>
      </c>
      <c r="V51" s="215">
        <v>1527667</v>
      </c>
      <c r="W51" s="215">
        <v>0</v>
      </c>
      <c r="X51" s="215">
        <v>0</v>
      </c>
      <c r="Y51" s="215">
        <v>0</v>
      </c>
      <c r="AB51" s="444"/>
    </row>
    <row r="52" spans="1:28" s="433" customFormat="1" ht="15.75" customHeight="1">
      <c r="A52" s="443">
        <f t="shared" si="1"/>
        <v>390</v>
      </c>
      <c r="B52" s="214" t="s">
        <v>121</v>
      </c>
      <c r="C52" s="214">
        <f t="shared" si="19"/>
        <v>73169631</v>
      </c>
      <c r="D52" s="215">
        <v>0</v>
      </c>
      <c r="E52" s="252">
        <v>0</v>
      </c>
      <c r="F52" s="215">
        <v>73169631</v>
      </c>
      <c r="G52" s="252">
        <v>8.664619501138876E-2</v>
      </c>
      <c r="H52" s="215">
        <v>73169631</v>
      </c>
      <c r="I52" s="215">
        <v>0</v>
      </c>
      <c r="J52" s="215">
        <v>0</v>
      </c>
      <c r="K52" s="215">
        <v>0</v>
      </c>
      <c r="L52" s="215">
        <v>0</v>
      </c>
      <c r="M52" s="215">
        <v>0</v>
      </c>
      <c r="N52" s="215">
        <v>0</v>
      </c>
      <c r="O52" s="214">
        <f t="shared" si="20"/>
        <v>27496898</v>
      </c>
      <c r="P52" s="215">
        <v>0</v>
      </c>
      <c r="Q52" s="215">
        <v>27496898</v>
      </c>
      <c r="R52" s="215">
        <v>22670161</v>
      </c>
      <c r="S52" s="215">
        <v>0</v>
      </c>
      <c r="T52" s="215">
        <v>0</v>
      </c>
      <c r="U52" s="215">
        <v>0</v>
      </c>
      <c r="V52" s="215">
        <v>23002572</v>
      </c>
      <c r="W52" s="215">
        <v>0</v>
      </c>
      <c r="X52" s="215">
        <v>0</v>
      </c>
      <c r="Y52" s="215">
        <v>0</v>
      </c>
      <c r="AB52" s="444"/>
    </row>
    <row r="53" spans="1:28" s="433" customFormat="1" ht="15.75" customHeight="1">
      <c r="A53" s="443">
        <f t="shared" si="1"/>
        <v>400</v>
      </c>
      <c r="B53" s="214" t="s">
        <v>122</v>
      </c>
      <c r="C53" s="214">
        <f t="shared" si="19"/>
        <v>221734590</v>
      </c>
      <c r="D53" s="215">
        <v>144427236</v>
      </c>
      <c r="E53" s="252">
        <v>0.13668841496065121</v>
      </c>
      <c r="F53" s="215">
        <v>77307354</v>
      </c>
      <c r="G53" s="252">
        <v>8.9114408223217312E-2</v>
      </c>
      <c r="H53" s="215">
        <v>212571288</v>
      </c>
      <c r="I53" s="215">
        <v>9163302</v>
      </c>
      <c r="J53" s="215">
        <v>8113</v>
      </c>
      <c r="K53" s="215">
        <v>0</v>
      </c>
      <c r="L53" s="215">
        <v>0</v>
      </c>
      <c r="M53" s="215">
        <v>13191795</v>
      </c>
      <c r="N53" s="215">
        <v>0</v>
      </c>
      <c r="O53" s="214">
        <f t="shared" si="20"/>
        <v>47611776</v>
      </c>
      <c r="P53" s="215">
        <v>0</v>
      </c>
      <c r="Q53" s="215">
        <v>47611776</v>
      </c>
      <c r="R53" s="215">
        <v>8871446</v>
      </c>
      <c r="S53" s="215">
        <v>0</v>
      </c>
      <c r="T53" s="215">
        <v>0</v>
      </c>
      <c r="U53" s="215">
        <v>0</v>
      </c>
      <c r="V53" s="215">
        <v>58332848</v>
      </c>
      <c r="W53" s="215">
        <v>93718612</v>
      </c>
      <c r="X53" s="215">
        <v>0</v>
      </c>
      <c r="Y53" s="215">
        <v>0</v>
      </c>
      <c r="AB53" s="444"/>
    </row>
    <row r="54" spans="1:28" s="433" customFormat="1" ht="15.75" customHeight="1">
      <c r="A54" s="443">
        <f t="shared" si="1"/>
        <v>410</v>
      </c>
      <c r="B54" s="446" t="s">
        <v>123</v>
      </c>
      <c r="C54" s="214">
        <f t="shared" si="19"/>
        <v>0</v>
      </c>
      <c r="D54" s="215">
        <v>0</v>
      </c>
      <c r="E54" s="252">
        <v>0</v>
      </c>
      <c r="F54" s="215">
        <v>0</v>
      </c>
      <c r="G54" s="252">
        <v>0</v>
      </c>
      <c r="H54" s="215">
        <v>0</v>
      </c>
      <c r="I54" s="215">
        <v>0</v>
      </c>
      <c r="J54" s="215">
        <v>0</v>
      </c>
      <c r="K54" s="215">
        <v>0</v>
      </c>
      <c r="L54" s="215">
        <v>0</v>
      </c>
      <c r="M54" s="215">
        <v>0</v>
      </c>
      <c r="N54" s="215">
        <v>0</v>
      </c>
      <c r="O54" s="214">
        <f t="shared" si="20"/>
        <v>0</v>
      </c>
      <c r="P54" s="215">
        <v>0</v>
      </c>
      <c r="Q54" s="215">
        <v>0</v>
      </c>
      <c r="R54" s="215">
        <v>0</v>
      </c>
      <c r="S54" s="215">
        <v>0</v>
      </c>
      <c r="T54" s="215">
        <v>0</v>
      </c>
      <c r="U54" s="215">
        <v>0</v>
      </c>
      <c r="V54" s="215">
        <v>0</v>
      </c>
      <c r="W54" s="215">
        <v>0</v>
      </c>
      <c r="X54" s="215">
        <v>0</v>
      </c>
      <c r="Y54" s="215">
        <v>0</v>
      </c>
      <c r="AB54" s="444"/>
    </row>
    <row r="55" spans="1:28" s="433" customFormat="1" ht="15.75" customHeight="1">
      <c r="A55" s="443">
        <f>A54+10</f>
        <v>420</v>
      </c>
      <c r="B55" s="214" t="s">
        <v>124</v>
      </c>
      <c r="C55" s="214">
        <f t="shared" si="19"/>
        <v>0</v>
      </c>
      <c r="D55" s="215">
        <v>0</v>
      </c>
      <c r="E55" s="252">
        <v>0</v>
      </c>
      <c r="F55" s="215">
        <v>0</v>
      </c>
      <c r="G55" s="252">
        <v>0</v>
      </c>
      <c r="H55" s="215">
        <v>0</v>
      </c>
      <c r="I55" s="215">
        <v>0</v>
      </c>
      <c r="J55" s="215">
        <v>0</v>
      </c>
      <c r="K55" s="215">
        <v>0</v>
      </c>
      <c r="L55" s="215">
        <v>0</v>
      </c>
      <c r="M55" s="215">
        <v>0</v>
      </c>
      <c r="N55" s="215">
        <v>0</v>
      </c>
      <c r="O55" s="214">
        <f t="shared" si="20"/>
        <v>0</v>
      </c>
      <c r="P55" s="215">
        <v>0</v>
      </c>
      <c r="Q55" s="215">
        <v>0</v>
      </c>
      <c r="R55" s="215">
        <v>0</v>
      </c>
      <c r="S55" s="215">
        <v>0</v>
      </c>
      <c r="T55" s="215">
        <v>0</v>
      </c>
      <c r="U55" s="215">
        <v>0</v>
      </c>
      <c r="V55" s="215">
        <v>0</v>
      </c>
      <c r="W55" s="215">
        <v>0</v>
      </c>
      <c r="X55" s="215">
        <v>0</v>
      </c>
      <c r="Y55" s="215">
        <v>0</v>
      </c>
      <c r="AB55" s="444"/>
    </row>
    <row r="56" spans="1:28" s="433" customFormat="1" ht="15.75" customHeight="1">
      <c r="A56" s="434">
        <f>A55+10</f>
        <v>430</v>
      </c>
      <c r="B56" s="447" t="s">
        <v>136</v>
      </c>
      <c r="C56" s="216">
        <f t="shared" si="19"/>
        <v>311679287</v>
      </c>
      <c r="D56" s="216">
        <f>SUM(D50:D55)</f>
        <v>161202302</v>
      </c>
      <c r="E56" s="254">
        <f>IFERROR(((D50*E50)/D56)+((D51*E51)/D56)+((D52*E52)/D56)+((D53*E53)/D56)+((D54*E54)/D56)+((D55*E55)/D56),0)</f>
        <v>0.14452382836222274</v>
      </c>
      <c r="F56" s="216">
        <f>SUM(F50:F55)</f>
        <v>150476985</v>
      </c>
      <c r="G56" s="254">
        <f>IFERROR(((F50*G50)/F56)+((F51*G51)/F56)+((F52*G52)/F56)+((F53*G53)/F56)+((F54*G54)/F56)+((F55*G55)/F56),0)</f>
        <v>8.7914236316936623E-2</v>
      </c>
      <c r="H56" s="216">
        <f t="shared" ref="H56:Y56" si="21">SUM(H50:H55)</f>
        <v>302515985</v>
      </c>
      <c r="I56" s="216">
        <f t="shared" si="21"/>
        <v>9163302</v>
      </c>
      <c r="J56" s="216">
        <f t="shared" si="21"/>
        <v>8113</v>
      </c>
      <c r="K56" s="216">
        <f t="shared" si="21"/>
        <v>0</v>
      </c>
      <c r="L56" s="216">
        <f t="shared" si="21"/>
        <v>0</v>
      </c>
      <c r="M56" s="216">
        <f t="shared" si="21"/>
        <v>13191795</v>
      </c>
      <c r="N56" s="216">
        <f t="shared" si="21"/>
        <v>0</v>
      </c>
      <c r="O56" s="216">
        <f t="shared" si="21"/>
        <v>75108674</v>
      </c>
      <c r="P56" s="216">
        <f t="shared" si="21"/>
        <v>0</v>
      </c>
      <c r="Q56" s="216">
        <f t="shared" si="21"/>
        <v>75108674</v>
      </c>
      <c r="R56" s="216">
        <f t="shared" si="21"/>
        <v>46789006</v>
      </c>
      <c r="S56" s="216">
        <f t="shared" si="21"/>
        <v>0</v>
      </c>
      <c r="T56" s="216">
        <f t="shared" si="21"/>
        <v>0</v>
      </c>
      <c r="U56" s="216">
        <f t="shared" si="21"/>
        <v>0</v>
      </c>
      <c r="V56" s="216">
        <f t="shared" si="21"/>
        <v>82863087</v>
      </c>
      <c r="W56" s="216">
        <f t="shared" si="21"/>
        <v>93718612</v>
      </c>
      <c r="X56" s="216">
        <f t="shared" si="21"/>
        <v>0</v>
      </c>
      <c r="Y56" s="216">
        <f t="shared" si="21"/>
        <v>0</v>
      </c>
      <c r="AB56" s="444"/>
    </row>
    <row r="57" spans="1:28" s="433" customFormat="1" ht="15.75" customHeight="1">
      <c r="A57" s="434"/>
      <c r="B57" s="447" t="s">
        <v>137</v>
      </c>
      <c r="C57" s="216"/>
      <c r="D57" s="216"/>
      <c r="E57" s="254"/>
      <c r="F57" s="216"/>
      <c r="G57" s="254"/>
      <c r="H57" s="216"/>
      <c r="I57" s="216"/>
      <c r="J57" s="216"/>
      <c r="K57" s="216"/>
      <c r="L57" s="216"/>
      <c r="M57" s="216"/>
      <c r="N57" s="216"/>
      <c r="O57" s="216"/>
      <c r="P57" s="216"/>
      <c r="Q57" s="216"/>
      <c r="R57" s="216"/>
      <c r="S57" s="216"/>
      <c r="T57" s="216"/>
      <c r="U57" s="216"/>
      <c r="V57" s="216"/>
      <c r="W57" s="216"/>
      <c r="X57" s="216"/>
      <c r="Y57" s="216"/>
      <c r="AB57" s="444"/>
    </row>
    <row r="58" spans="1:28" s="433" customFormat="1" ht="15.75" customHeight="1">
      <c r="A58" s="443">
        <f>A56+10</f>
        <v>440</v>
      </c>
      <c r="B58" s="214" t="s">
        <v>119</v>
      </c>
      <c r="C58" s="214">
        <f t="shared" ref="C58:C64" si="22">SUM(J58:Y58)-L58-P58-Q58</f>
        <v>0</v>
      </c>
      <c r="D58" s="215">
        <v>0</v>
      </c>
      <c r="E58" s="252">
        <v>0</v>
      </c>
      <c r="F58" s="215">
        <v>0</v>
      </c>
      <c r="G58" s="252">
        <v>0</v>
      </c>
      <c r="H58" s="215">
        <v>0</v>
      </c>
      <c r="I58" s="215">
        <v>0</v>
      </c>
      <c r="J58" s="215">
        <v>0</v>
      </c>
      <c r="K58" s="215">
        <v>0</v>
      </c>
      <c r="L58" s="215">
        <v>0</v>
      </c>
      <c r="M58" s="215">
        <v>0</v>
      </c>
      <c r="N58" s="215">
        <v>0</v>
      </c>
      <c r="O58" s="214">
        <f t="shared" ref="O58:O64" si="23">+P58+Q58</f>
        <v>0</v>
      </c>
      <c r="P58" s="215">
        <v>0</v>
      </c>
      <c r="Q58" s="215">
        <v>0</v>
      </c>
      <c r="R58" s="215">
        <v>0</v>
      </c>
      <c r="S58" s="215">
        <v>0</v>
      </c>
      <c r="T58" s="215">
        <v>0</v>
      </c>
      <c r="U58" s="215">
        <v>0</v>
      </c>
      <c r="V58" s="215">
        <v>0</v>
      </c>
      <c r="W58" s="215">
        <v>0</v>
      </c>
      <c r="X58" s="215">
        <v>0</v>
      </c>
      <c r="Y58" s="215">
        <v>0</v>
      </c>
      <c r="AB58" s="444"/>
    </row>
    <row r="59" spans="1:28" s="433" customFormat="1" ht="15.75" customHeight="1">
      <c r="A59" s="443">
        <f t="shared" si="1"/>
        <v>450</v>
      </c>
      <c r="B59" s="214" t="s">
        <v>120</v>
      </c>
      <c r="C59" s="214">
        <f t="shared" si="22"/>
        <v>0</v>
      </c>
      <c r="D59" s="215">
        <v>0</v>
      </c>
      <c r="E59" s="251">
        <v>0</v>
      </c>
      <c r="F59" s="215">
        <v>0</v>
      </c>
      <c r="G59" s="251">
        <v>0</v>
      </c>
      <c r="H59" s="215">
        <v>0</v>
      </c>
      <c r="I59" s="215">
        <v>0</v>
      </c>
      <c r="J59" s="215">
        <v>0</v>
      </c>
      <c r="K59" s="215">
        <v>0</v>
      </c>
      <c r="L59" s="215">
        <v>0</v>
      </c>
      <c r="M59" s="215">
        <v>0</v>
      </c>
      <c r="N59" s="215">
        <v>0</v>
      </c>
      <c r="O59" s="214">
        <f t="shared" si="23"/>
        <v>0</v>
      </c>
      <c r="P59" s="215">
        <v>0</v>
      </c>
      <c r="Q59" s="215">
        <v>0</v>
      </c>
      <c r="R59" s="215">
        <v>0</v>
      </c>
      <c r="S59" s="215">
        <v>0</v>
      </c>
      <c r="T59" s="215">
        <v>0</v>
      </c>
      <c r="U59" s="215">
        <v>0</v>
      </c>
      <c r="V59" s="215">
        <v>0</v>
      </c>
      <c r="W59" s="215">
        <v>0</v>
      </c>
      <c r="X59" s="215">
        <v>0</v>
      </c>
      <c r="Y59" s="215">
        <v>0</v>
      </c>
      <c r="AB59" s="444"/>
    </row>
    <row r="60" spans="1:28" s="433" customFormat="1" ht="15.75" customHeight="1">
      <c r="A60" s="443">
        <f t="shared" si="1"/>
        <v>460</v>
      </c>
      <c r="B60" s="214" t="s">
        <v>121</v>
      </c>
      <c r="C60" s="214">
        <f t="shared" si="22"/>
        <v>0</v>
      </c>
      <c r="D60" s="215">
        <v>0</v>
      </c>
      <c r="E60" s="252">
        <v>0</v>
      </c>
      <c r="F60" s="215">
        <v>0</v>
      </c>
      <c r="G60" s="252">
        <v>0</v>
      </c>
      <c r="H60" s="215">
        <v>0</v>
      </c>
      <c r="I60" s="215">
        <v>0</v>
      </c>
      <c r="J60" s="215">
        <v>0</v>
      </c>
      <c r="K60" s="215">
        <v>0</v>
      </c>
      <c r="L60" s="215">
        <v>0</v>
      </c>
      <c r="M60" s="215">
        <v>0</v>
      </c>
      <c r="N60" s="215">
        <v>0</v>
      </c>
      <c r="O60" s="214">
        <f t="shared" si="23"/>
        <v>0</v>
      </c>
      <c r="P60" s="215">
        <v>0</v>
      </c>
      <c r="Q60" s="215">
        <v>0</v>
      </c>
      <c r="R60" s="215">
        <v>0</v>
      </c>
      <c r="S60" s="215">
        <v>0</v>
      </c>
      <c r="T60" s="215">
        <v>0</v>
      </c>
      <c r="U60" s="215">
        <v>0</v>
      </c>
      <c r="V60" s="215">
        <v>0</v>
      </c>
      <c r="W60" s="215">
        <v>0</v>
      </c>
      <c r="X60" s="215">
        <v>0</v>
      </c>
      <c r="Y60" s="215">
        <v>0</v>
      </c>
      <c r="AB60" s="444"/>
    </row>
    <row r="61" spans="1:28" s="433" customFormat="1" ht="15.75" customHeight="1">
      <c r="A61" s="443">
        <f t="shared" si="1"/>
        <v>470</v>
      </c>
      <c r="B61" s="214" t="s">
        <v>122</v>
      </c>
      <c r="C61" s="214">
        <f t="shared" si="22"/>
        <v>0</v>
      </c>
      <c r="D61" s="215">
        <v>0</v>
      </c>
      <c r="E61" s="252">
        <v>0</v>
      </c>
      <c r="F61" s="215">
        <v>0</v>
      </c>
      <c r="G61" s="252">
        <v>0</v>
      </c>
      <c r="H61" s="215">
        <v>0</v>
      </c>
      <c r="I61" s="215">
        <v>0</v>
      </c>
      <c r="J61" s="215">
        <v>0</v>
      </c>
      <c r="K61" s="215">
        <v>0</v>
      </c>
      <c r="L61" s="215">
        <v>0</v>
      </c>
      <c r="M61" s="215">
        <v>0</v>
      </c>
      <c r="N61" s="215">
        <v>0</v>
      </c>
      <c r="O61" s="214">
        <f t="shared" si="23"/>
        <v>0</v>
      </c>
      <c r="P61" s="215">
        <v>0</v>
      </c>
      <c r="Q61" s="215">
        <v>0</v>
      </c>
      <c r="R61" s="215">
        <v>0</v>
      </c>
      <c r="S61" s="215">
        <v>0</v>
      </c>
      <c r="T61" s="215">
        <v>0</v>
      </c>
      <c r="U61" s="215">
        <v>0</v>
      </c>
      <c r="V61" s="215">
        <v>0</v>
      </c>
      <c r="W61" s="215">
        <v>0</v>
      </c>
      <c r="X61" s="215">
        <v>0</v>
      </c>
      <c r="Y61" s="215">
        <v>0</v>
      </c>
      <c r="AB61" s="444"/>
    </row>
    <row r="62" spans="1:28" s="433" customFormat="1" ht="15.75" customHeight="1">
      <c r="A62" s="443">
        <f t="shared" si="1"/>
        <v>480</v>
      </c>
      <c r="B62" s="446" t="s">
        <v>123</v>
      </c>
      <c r="C62" s="214">
        <f t="shared" si="22"/>
        <v>0</v>
      </c>
      <c r="D62" s="215">
        <v>0</v>
      </c>
      <c r="E62" s="252">
        <v>0</v>
      </c>
      <c r="F62" s="215">
        <v>0</v>
      </c>
      <c r="G62" s="252">
        <v>0</v>
      </c>
      <c r="H62" s="215">
        <v>0</v>
      </c>
      <c r="I62" s="215">
        <v>0</v>
      </c>
      <c r="J62" s="215">
        <v>0</v>
      </c>
      <c r="K62" s="215">
        <v>0</v>
      </c>
      <c r="L62" s="215">
        <v>0</v>
      </c>
      <c r="M62" s="215">
        <v>0</v>
      </c>
      <c r="N62" s="215">
        <v>0</v>
      </c>
      <c r="O62" s="214">
        <f t="shared" si="23"/>
        <v>0</v>
      </c>
      <c r="P62" s="215">
        <v>0</v>
      </c>
      <c r="Q62" s="215">
        <v>0</v>
      </c>
      <c r="R62" s="215">
        <v>0</v>
      </c>
      <c r="S62" s="215">
        <v>0</v>
      </c>
      <c r="T62" s="215">
        <v>0</v>
      </c>
      <c r="U62" s="215">
        <v>0</v>
      </c>
      <c r="V62" s="215">
        <v>0</v>
      </c>
      <c r="W62" s="215">
        <v>0</v>
      </c>
      <c r="X62" s="215">
        <v>0</v>
      </c>
      <c r="Y62" s="215">
        <v>0</v>
      </c>
      <c r="AB62" s="444"/>
    </row>
    <row r="63" spans="1:28" s="433" customFormat="1" ht="15.75" customHeight="1">
      <c r="A63" s="443">
        <v>485</v>
      </c>
      <c r="B63" s="446" t="s">
        <v>143</v>
      </c>
      <c r="C63" s="214">
        <f t="shared" ref="C63" si="24">SUM(J63:Y63)-L63-P63-Q63</f>
        <v>120092235</v>
      </c>
      <c r="D63" s="215">
        <v>120092235</v>
      </c>
      <c r="E63" s="252">
        <v>0.11454722423421849</v>
      </c>
      <c r="F63" s="215">
        <v>0</v>
      </c>
      <c r="G63" s="252">
        <v>0</v>
      </c>
      <c r="H63" s="215">
        <v>113597017</v>
      </c>
      <c r="I63" s="215">
        <v>6495218</v>
      </c>
      <c r="J63" s="215">
        <v>698</v>
      </c>
      <c r="K63" s="215">
        <v>0</v>
      </c>
      <c r="L63" s="215">
        <v>0</v>
      </c>
      <c r="M63" s="215">
        <v>0</v>
      </c>
      <c r="N63" s="215">
        <v>0</v>
      </c>
      <c r="O63" s="214">
        <f t="shared" si="23"/>
        <v>9302</v>
      </c>
      <c r="P63" s="215">
        <v>0</v>
      </c>
      <c r="Q63" s="215">
        <v>9302</v>
      </c>
      <c r="R63" s="215">
        <v>0</v>
      </c>
      <c r="S63" s="215">
        <v>0</v>
      </c>
      <c r="T63" s="215">
        <v>0</v>
      </c>
      <c r="U63" s="215">
        <v>17481960</v>
      </c>
      <c r="V63" s="215">
        <v>27990708</v>
      </c>
      <c r="W63" s="215">
        <v>74609567</v>
      </c>
      <c r="X63" s="215">
        <v>0</v>
      </c>
      <c r="Y63" s="215">
        <v>0</v>
      </c>
      <c r="AB63" s="444"/>
    </row>
    <row r="64" spans="1:28" s="433" customFormat="1" ht="15.75" customHeight="1">
      <c r="A64" s="443">
        <f>A62+10</f>
        <v>490</v>
      </c>
      <c r="B64" s="214" t="s">
        <v>124</v>
      </c>
      <c r="C64" s="214">
        <f t="shared" si="22"/>
        <v>0</v>
      </c>
      <c r="D64" s="215">
        <v>0</v>
      </c>
      <c r="E64" s="252">
        <v>0</v>
      </c>
      <c r="F64" s="215">
        <v>0</v>
      </c>
      <c r="G64" s="252">
        <v>0</v>
      </c>
      <c r="H64" s="215">
        <v>0</v>
      </c>
      <c r="I64" s="215">
        <v>0</v>
      </c>
      <c r="J64" s="215">
        <v>0</v>
      </c>
      <c r="K64" s="215">
        <v>0</v>
      </c>
      <c r="L64" s="215">
        <v>0</v>
      </c>
      <c r="M64" s="215">
        <v>0</v>
      </c>
      <c r="N64" s="215">
        <v>0</v>
      </c>
      <c r="O64" s="214">
        <f t="shared" si="23"/>
        <v>0</v>
      </c>
      <c r="P64" s="215">
        <v>0</v>
      </c>
      <c r="Q64" s="215">
        <v>0</v>
      </c>
      <c r="R64" s="215">
        <v>0</v>
      </c>
      <c r="S64" s="215">
        <v>0</v>
      </c>
      <c r="T64" s="215">
        <v>0</v>
      </c>
      <c r="U64" s="215">
        <v>0</v>
      </c>
      <c r="V64" s="215">
        <v>0</v>
      </c>
      <c r="W64" s="215">
        <v>0</v>
      </c>
      <c r="X64" s="215">
        <v>0</v>
      </c>
      <c r="Y64" s="215">
        <v>0</v>
      </c>
      <c r="AB64" s="444"/>
    </row>
    <row r="65" spans="1:28" s="433" customFormat="1" ht="15.75" customHeight="1">
      <c r="A65" s="434">
        <f>A64+10</f>
        <v>500</v>
      </c>
      <c r="B65" s="447" t="s">
        <v>138</v>
      </c>
      <c r="C65" s="216">
        <f t="shared" ref="C65:C78" si="25">SUM(J65:Y65)-L65-P65-Q65</f>
        <v>120092235</v>
      </c>
      <c r="D65" s="216">
        <f>SUM(D58:D64)</f>
        <v>120092235</v>
      </c>
      <c r="E65" s="254">
        <f>IFERROR(((D58*E58)/D65)+((D59*E59)/D65)+((D60*E60)/D65)+((D61*E61)/D65)+((D62*E62)/D65)+((D63*E63)/D65)+((D64*E64)/D65),0)</f>
        <v>0.11454722423421849</v>
      </c>
      <c r="F65" s="216">
        <f>SUM(F58:F64)</f>
        <v>0</v>
      </c>
      <c r="G65" s="254">
        <f>IFERROR(((F58*G58)/F65)+((F59*G59)/F65)+((F60*G60)/F65)+((F61*G61)/F65)+((F62*G62)/F65)+((F63*G63)/F65)+((F64*G64)/F65),0)</f>
        <v>0</v>
      </c>
      <c r="H65" s="216">
        <f t="shared" ref="H65:Y65" si="26">SUM(H58:H64)</f>
        <v>113597017</v>
      </c>
      <c r="I65" s="216">
        <f t="shared" si="26"/>
        <v>6495218</v>
      </c>
      <c r="J65" s="216">
        <f t="shared" si="26"/>
        <v>698</v>
      </c>
      <c r="K65" s="216">
        <f t="shared" si="26"/>
        <v>0</v>
      </c>
      <c r="L65" s="216">
        <f t="shared" si="26"/>
        <v>0</v>
      </c>
      <c r="M65" s="216">
        <f t="shared" si="26"/>
        <v>0</v>
      </c>
      <c r="N65" s="216">
        <f t="shared" si="26"/>
        <v>0</v>
      </c>
      <c r="O65" s="216">
        <f t="shared" si="26"/>
        <v>9302</v>
      </c>
      <c r="P65" s="216">
        <f t="shared" si="26"/>
        <v>0</v>
      </c>
      <c r="Q65" s="216">
        <f t="shared" si="26"/>
        <v>9302</v>
      </c>
      <c r="R65" s="216">
        <f t="shared" si="26"/>
        <v>0</v>
      </c>
      <c r="S65" s="216">
        <f t="shared" si="26"/>
        <v>0</v>
      </c>
      <c r="T65" s="216">
        <f t="shared" si="26"/>
        <v>0</v>
      </c>
      <c r="U65" s="216">
        <f t="shared" si="26"/>
        <v>17481960</v>
      </c>
      <c r="V65" s="216">
        <f t="shared" si="26"/>
        <v>27990708</v>
      </c>
      <c r="W65" s="216">
        <f t="shared" si="26"/>
        <v>74609567</v>
      </c>
      <c r="X65" s="216">
        <f t="shared" si="26"/>
        <v>0</v>
      </c>
      <c r="Y65" s="216">
        <f t="shared" si="26"/>
        <v>0</v>
      </c>
      <c r="AB65" s="444"/>
    </row>
    <row r="66" spans="1:28" s="433" customFormat="1" ht="15.75" customHeight="1">
      <c r="A66" s="434"/>
      <c r="B66" s="447" t="s">
        <v>139</v>
      </c>
      <c r="C66" s="216"/>
      <c r="D66" s="217"/>
      <c r="E66" s="253"/>
      <c r="F66" s="217"/>
      <c r="G66" s="253"/>
      <c r="H66" s="217"/>
      <c r="I66" s="217"/>
      <c r="J66" s="217"/>
      <c r="K66" s="217"/>
      <c r="L66" s="217"/>
      <c r="M66" s="217"/>
      <c r="N66" s="217"/>
      <c r="O66" s="216"/>
      <c r="P66" s="217"/>
      <c r="Q66" s="217"/>
      <c r="R66" s="217"/>
      <c r="S66" s="217"/>
      <c r="T66" s="217"/>
      <c r="U66" s="217"/>
      <c r="V66" s="217"/>
      <c r="W66" s="217"/>
      <c r="X66" s="217"/>
      <c r="Y66" s="217"/>
      <c r="AB66" s="444"/>
    </row>
    <row r="67" spans="1:28" s="433" customFormat="1" ht="15.75" customHeight="1">
      <c r="A67" s="443">
        <f>A65+10</f>
        <v>510</v>
      </c>
      <c r="B67" s="214" t="s">
        <v>119</v>
      </c>
      <c r="C67" s="214">
        <f t="shared" si="25"/>
        <v>4259879328</v>
      </c>
      <c r="D67" s="215">
        <v>4259879328</v>
      </c>
      <c r="E67" s="251">
        <v>0.13514314439074171</v>
      </c>
      <c r="F67" s="215">
        <v>0</v>
      </c>
      <c r="G67" s="251">
        <v>0</v>
      </c>
      <c r="H67" s="215">
        <v>4248701045</v>
      </c>
      <c r="I67" s="215">
        <v>11178283</v>
      </c>
      <c r="J67" s="215">
        <v>3216751</v>
      </c>
      <c r="K67" s="215">
        <v>0</v>
      </c>
      <c r="L67" s="215">
        <v>0</v>
      </c>
      <c r="M67" s="215">
        <v>133920499</v>
      </c>
      <c r="N67" s="215">
        <v>0</v>
      </c>
      <c r="O67" s="214">
        <f t="shared" ref="O67:O77" si="27">+P67+Q67</f>
        <v>2961819895</v>
      </c>
      <c r="P67" s="215">
        <v>2961819895</v>
      </c>
      <c r="Q67" s="215">
        <v>0</v>
      </c>
      <c r="R67" s="215">
        <v>0</v>
      </c>
      <c r="S67" s="215">
        <v>0</v>
      </c>
      <c r="T67" s="215">
        <v>0</v>
      </c>
      <c r="U67" s="215">
        <v>6268</v>
      </c>
      <c r="V67" s="215">
        <v>598929477</v>
      </c>
      <c r="W67" s="215">
        <v>560118301</v>
      </c>
      <c r="X67" s="215">
        <v>777492</v>
      </c>
      <c r="Y67" s="215">
        <v>1090645</v>
      </c>
      <c r="AB67" s="444"/>
    </row>
    <row r="68" spans="1:28" s="433" customFormat="1" ht="15.75" customHeight="1">
      <c r="A68" s="443">
        <f t="shared" si="1"/>
        <v>520</v>
      </c>
      <c r="B68" s="214" t="s">
        <v>120</v>
      </c>
      <c r="C68" s="214">
        <f t="shared" si="25"/>
        <v>399831364</v>
      </c>
      <c r="D68" s="215">
        <v>380323576</v>
      </c>
      <c r="E68" s="252">
        <v>0.1452150791143153</v>
      </c>
      <c r="F68" s="215">
        <v>19507788</v>
      </c>
      <c r="G68" s="252">
        <v>5.5000000000000007E-2</v>
      </c>
      <c r="H68" s="215">
        <v>398682028</v>
      </c>
      <c r="I68" s="215">
        <v>1149336</v>
      </c>
      <c r="J68" s="215">
        <v>0</v>
      </c>
      <c r="K68" s="215">
        <v>236525796</v>
      </c>
      <c r="L68" s="215">
        <v>0</v>
      </c>
      <c r="M68" s="215">
        <v>56752456</v>
      </c>
      <c r="N68" s="215">
        <v>0</v>
      </c>
      <c r="O68" s="214">
        <f t="shared" si="27"/>
        <v>27388005</v>
      </c>
      <c r="P68" s="215">
        <v>0</v>
      </c>
      <c r="Q68" s="215">
        <v>27388005</v>
      </c>
      <c r="R68" s="215">
        <v>0</v>
      </c>
      <c r="S68" s="215">
        <v>0</v>
      </c>
      <c r="T68" s="215">
        <v>0</v>
      </c>
      <c r="U68" s="215">
        <v>0</v>
      </c>
      <c r="V68" s="215">
        <v>75069039</v>
      </c>
      <c r="W68" s="215">
        <v>1904585</v>
      </c>
      <c r="X68" s="215">
        <v>2191483</v>
      </c>
      <c r="Y68" s="215">
        <v>0</v>
      </c>
      <c r="AB68" s="444"/>
    </row>
    <row r="69" spans="1:28" s="433" customFormat="1" ht="15.75" customHeight="1">
      <c r="A69" s="443">
        <f t="shared" si="1"/>
        <v>530</v>
      </c>
      <c r="B69" s="214" t="s">
        <v>121</v>
      </c>
      <c r="C69" s="214">
        <f t="shared" si="25"/>
        <v>216746582</v>
      </c>
      <c r="D69" s="215">
        <v>38994912</v>
      </c>
      <c r="E69" s="252">
        <v>0.23124560042239359</v>
      </c>
      <c r="F69" s="215">
        <v>177751670</v>
      </c>
      <c r="G69" s="252">
        <v>5.5035447811462947E-2</v>
      </c>
      <c r="H69" s="215">
        <v>216746582</v>
      </c>
      <c r="I69" s="215">
        <v>0</v>
      </c>
      <c r="J69" s="215">
        <v>0</v>
      </c>
      <c r="K69" s="215">
        <v>0</v>
      </c>
      <c r="L69" s="215">
        <v>0</v>
      </c>
      <c r="M69" s="215">
        <v>46990677</v>
      </c>
      <c r="N69" s="215">
        <v>0</v>
      </c>
      <c r="O69" s="214">
        <f t="shared" si="27"/>
        <v>1604473</v>
      </c>
      <c r="P69" s="215">
        <v>0</v>
      </c>
      <c r="Q69" s="215">
        <v>1604473</v>
      </c>
      <c r="R69" s="215">
        <v>0</v>
      </c>
      <c r="S69" s="215">
        <v>0</v>
      </c>
      <c r="T69" s="215">
        <v>0</v>
      </c>
      <c r="U69" s="215">
        <v>0</v>
      </c>
      <c r="V69" s="215">
        <v>167995158</v>
      </c>
      <c r="W69" s="215">
        <v>156274</v>
      </c>
      <c r="X69" s="215">
        <v>0</v>
      </c>
      <c r="Y69" s="215">
        <v>0</v>
      </c>
      <c r="AB69" s="444"/>
    </row>
    <row r="70" spans="1:28" s="433" customFormat="1" ht="15.75" customHeight="1">
      <c r="A70" s="443">
        <f t="shared" si="1"/>
        <v>540</v>
      </c>
      <c r="B70" s="214" t="s">
        <v>122</v>
      </c>
      <c r="C70" s="214">
        <f t="shared" si="25"/>
        <v>1614790249</v>
      </c>
      <c r="D70" s="215">
        <v>703463377</v>
      </c>
      <c r="E70" s="251">
        <v>0.1483975611750657</v>
      </c>
      <c r="F70" s="215">
        <v>911326872</v>
      </c>
      <c r="G70" s="251">
        <v>7.440546948106537E-2</v>
      </c>
      <c r="H70" s="215">
        <v>1555553281</v>
      </c>
      <c r="I70" s="215">
        <v>59236968</v>
      </c>
      <c r="J70" s="215">
        <v>134615</v>
      </c>
      <c r="K70" s="215">
        <v>0</v>
      </c>
      <c r="L70" s="215">
        <v>0</v>
      </c>
      <c r="M70" s="215">
        <v>45632104</v>
      </c>
      <c r="N70" s="215">
        <v>262797</v>
      </c>
      <c r="O70" s="214">
        <f t="shared" si="27"/>
        <v>791324236</v>
      </c>
      <c r="P70" s="215">
        <v>0</v>
      </c>
      <c r="Q70" s="215">
        <v>791324236</v>
      </c>
      <c r="R70" s="215">
        <v>212039116</v>
      </c>
      <c r="S70" s="215">
        <v>0</v>
      </c>
      <c r="T70" s="215">
        <v>0</v>
      </c>
      <c r="U70" s="215">
        <v>7155130</v>
      </c>
      <c r="V70" s="215">
        <v>389391723</v>
      </c>
      <c r="W70" s="215">
        <v>155452505</v>
      </c>
      <c r="X70" s="215">
        <v>6359429</v>
      </c>
      <c r="Y70" s="215">
        <v>7038594</v>
      </c>
      <c r="AB70" s="444"/>
    </row>
    <row r="71" spans="1:28" s="433" customFormat="1" ht="15.75" customHeight="1">
      <c r="A71" s="443">
        <f t="shared" si="1"/>
        <v>550</v>
      </c>
      <c r="B71" s="214" t="s">
        <v>140</v>
      </c>
      <c r="C71" s="214">
        <f t="shared" si="25"/>
        <v>0</v>
      </c>
      <c r="D71" s="215">
        <v>0</v>
      </c>
      <c r="E71" s="251">
        <v>0</v>
      </c>
      <c r="F71" s="215">
        <v>0</v>
      </c>
      <c r="G71" s="251">
        <v>0</v>
      </c>
      <c r="H71" s="215">
        <v>0</v>
      </c>
      <c r="I71" s="215">
        <v>0</v>
      </c>
      <c r="J71" s="215">
        <v>0</v>
      </c>
      <c r="K71" s="215">
        <v>0</v>
      </c>
      <c r="L71" s="215">
        <v>0</v>
      </c>
      <c r="M71" s="215">
        <v>0</v>
      </c>
      <c r="N71" s="215">
        <v>0</v>
      </c>
      <c r="O71" s="214">
        <f t="shared" si="27"/>
        <v>0</v>
      </c>
      <c r="P71" s="215">
        <v>0</v>
      </c>
      <c r="Q71" s="215">
        <v>0</v>
      </c>
      <c r="R71" s="215">
        <v>0</v>
      </c>
      <c r="S71" s="215">
        <v>0</v>
      </c>
      <c r="T71" s="215">
        <v>0</v>
      </c>
      <c r="U71" s="215">
        <v>0</v>
      </c>
      <c r="V71" s="215">
        <v>0</v>
      </c>
      <c r="W71" s="215">
        <v>0</v>
      </c>
      <c r="X71" s="215">
        <v>0</v>
      </c>
      <c r="Y71" s="215">
        <v>0</v>
      </c>
      <c r="AB71" s="444"/>
    </row>
    <row r="72" spans="1:28" s="433" customFormat="1" ht="15.75" customHeight="1">
      <c r="A72" s="443">
        <f t="shared" si="1"/>
        <v>560</v>
      </c>
      <c r="B72" s="214" t="s">
        <v>141</v>
      </c>
      <c r="C72" s="214">
        <f t="shared" si="25"/>
        <v>0</v>
      </c>
      <c r="D72" s="215">
        <v>0</v>
      </c>
      <c r="E72" s="251">
        <v>0</v>
      </c>
      <c r="F72" s="215">
        <v>0</v>
      </c>
      <c r="G72" s="251">
        <v>0</v>
      </c>
      <c r="H72" s="215">
        <v>0</v>
      </c>
      <c r="I72" s="215">
        <v>0</v>
      </c>
      <c r="J72" s="215">
        <v>0</v>
      </c>
      <c r="K72" s="215">
        <v>0</v>
      </c>
      <c r="L72" s="215">
        <v>0</v>
      </c>
      <c r="M72" s="215">
        <v>0</v>
      </c>
      <c r="N72" s="215">
        <v>0</v>
      </c>
      <c r="O72" s="214">
        <f t="shared" si="27"/>
        <v>0</v>
      </c>
      <c r="P72" s="215">
        <v>0</v>
      </c>
      <c r="Q72" s="215">
        <v>0</v>
      </c>
      <c r="R72" s="215">
        <v>0</v>
      </c>
      <c r="S72" s="215">
        <v>0</v>
      </c>
      <c r="T72" s="215">
        <v>0</v>
      </c>
      <c r="U72" s="215">
        <v>0</v>
      </c>
      <c r="V72" s="215">
        <v>0</v>
      </c>
      <c r="W72" s="215">
        <v>0</v>
      </c>
      <c r="X72" s="215">
        <v>0</v>
      </c>
      <c r="Y72" s="215">
        <v>0</v>
      </c>
      <c r="AB72" s="444"/>
    </row>
    <row r="73" spans="1:28" s="433" customFormat="1" ht="15.75" customHeight="1">
      <c r="A73" s="443">
        <f t="shared" si="1"/>
        <v>570</v>
      </c>
      <c r="B73" s="214" t="s">
        <v>123</v>
      </c>
      <c r="C73" s="214">
        <f t="shared" si="25"/>
        <v>0</v>
      </c>
      <c r="D73" s="215">
        <v>0</v>
      </c>
      <c r="E73" s="252">
        <v>0</v>
      </c>
      <c r="F73" s="215">
        <v>0</v>
      </c>
      <c r="G73" s="252">
        <v>0</v>
      </c>
      <c r="H73" s="215">
        <v>0</v>
      </c>
      <c r="I73" s="215">
        <v>0</v>
      </c>
      <c r="J73" s="215">
        <v>0</v>
      </c>
      <c r="K73" s="215">
        <v>0</v>
      </c>
      <c r="L73" s="215">
        <v>0</v>
      </c>
      <c r="M73" s="215">
        <v>0</v>
      </c>
      <c r="N73" s="215">
        <v>0</v>
      </c>
      <c r="O73" s="214">
        <f t="shared" si="27"/>
        <v>0</v>
      </c>
      <c r="P73" s="215">
        <v>0</v>
      </c>
      <c r="Q73" s="215">
        <v>0</v>
      </c>
      <c r="R73" s="215">
        <v>0</v>
      </c>
      <c r="S73" s="215">
        <v>0</v>
      </c>
      <c r="T73" s="215">
        <v>0</v>
      </c>
      <c r="U73" s="215">
        <v>0</v>
      </c>
      <c r="V73" s="215">
        <v>0</v>
      </c>
      <c r="W73" s="215">
        <v>0</v>
      </c>
      <c r="X73" s="215">
        <v>0</v>
      </c>
      <c r="Y73" s="215">
        <v>0</v>
      </c>
      <c r="AB73" s="444"/>
    </row>
    <row r="74" spans="1:28" s="433" customFormat="1" ht="15.75" customHeight="1">
      <c r="A74" s="443">
        <f t="shared" si="1"/>
        <v>580</v>
      </c>
      <c r="B74" s="214" t="s">
        <v>142</v>
      </c>
      <c r="C74" s="214">
        <f t="shared" si="25"/>
        <v>3315923</v>
      </c>
      <c r="D74" s="215">
        <v>3315923</v>
      </c>
      <c r="E74" s="252">
        <v>0.19291316898392921</v>
      </c>
      <c r="F74" s="215">
        <v>0</v>
      </c>
      <c r="G74" s="252">
        <v>0</v>
      </c>
      <c r="H74" s="215">
        <v>3315923</v>
      </c>
      <c r="I74" s="215">
        <v>0</v>
      </c>
      <c r="J74" s="215">
        <v>127113</v>
      </c>
      <c r="K74" s="215">
        <v>0</v>
      </c>
      <c r="L74" s="215">
        <v>0</v>
      </c>
      <c r="M74" s="215">
        <v>1619962</v>
      </c>
      <c r="N74" s="215">
        <v>0</v>
      </c>
      <c r="O74" s="214">
        <f t="shared" si="27"/>
        <v>1327848</v>
      </c>
      <c r="P74" s="215">
        <v>0</v>
      </c>
      <c r="Q74" s="215">
        <v>1327848</v>
      </c>
      <c r="R74" s="215">
        <v>189671</v>
      </c>
      <c r="S74" s="215">
        <v>0</v>
      </c>
      <c r="T74" s="215">
        <v>0</v>
      </c>
      <c r="U74" s="215">
        <v>0</v>
      </c>
      <c r="V74" s="215">
        <v>9098</v>
      </c>
      <c r="W74" s="215">
        <v>42231</v>
      </c>
      <c r="X74" s="215">
        <v>0</v>
      </c>
      <c r="Y74" s="215">
        <v>0</v>
      </c>
      <c r="AB74" s="444"/>
    </row>
    <row r="75" spans="1:28" s="433" customFormat="1" ht="15.75" customHeight="1">
      <c r="A75" s="443">
        <f t="shared" ref="A75:A92" si="28">A74+10</f>
        <v>590</v>
      </c>
      <c r="B75" s="214" t="s">
        <v>143</v>
      </c>
      <c r="C75" s="214">
        <f t="shared" si="25"/>
        <v>0</v>
      </c>
      <c r="D75" s="215">
        <v>0</v>
      </c>
      <c r="E75" s="252">
        <v>0.11718828298461106</v>
      </c>
      <c r="F75" s="215">
        <v>0</v>
      </c>
      <c r="G75" s="252">
        <v>0</v>
      </c>
      <c r="H75" s="215">
        <v>0</v>
      </c>
      <c r="I75" s="215">
        <v>0</v>
      </c>
      <c r="J75" s="215">
        <v>0</v>
      </c>
      <c r="K75" s="215">
        <v>0</v>
      </c>
      <c r="L75" s="215">
        <v>0</v>
      </c>
      <c r="M75" s="215">
        <v>0</v>
      </c>
      <c r="N75" s="215">
        <v>0</v>
      </c>
      <c r="O75" s="214">
        <f t="shared" si="27"/>
        <v>0</v>
      </c>
      <c r="P75" s="215">
        <v>0</v>
      </c>
      <c r="Q75" s="215">
        <v>0</v>
      </c>
      <c r="R75" s="215">
        <v>0</v>
      </c>
      <c r="S75" s="215">
        <v>0</v>
      </c>
      <c r="T75" s="215">
        <v>0</v>
      </c>
      <c r="U75" s="215">
        <v>0</v>
      </c>
      <c r="V75" s="215">
        <v>0</v>
      </c>
      <c r="W75" s="215">
        <v>0</v>
      </c>
      <c r="X75" s="215">
        <v>0</v>
      </c>
      <c r="Y75" s="215">
        <v>0</v>
      </c>
      <c r="AB75" s="444"/>
    </row>
    <row r="76" spans="1:28" s="433" customFormat="1" ht="15.75" customHeight="1">
      <c r="A76" s="443">
        <f t="shared" si="28"/>
        <v>600</v>
      </c>
      <c r="B76" s="214" t="s">
        <v>144</v>
      </c>
      <c r="C76" s="214">
        <f t="shared" si="25"/>
        <v>0</v>
      </c>
      <c r="D76" s="215">
        <v>0</v>
      </c>
      <c r="E76" s="252">
        <v>0</v>
      </c>
      <c r="F76" s="215">
        <v>0</v>
      </c>
      <c r="G76" s="252">
        <v>0</v>
      </c>
      <c r="H76" s="215">
        <v>0</v>
      </c>
      <c r="I76" s="215">
        <v>0</v>
      </c>
      <c r="J76" s="215">
        <v>0</v>
      </c>
      <c r="K76" s="215">
        <v>0</v>
      </c>
      <c r="L76" s="215">
        <v>0</v>
      </c>
      <c r="M76" s="215">
        <v>0</v>
      </c>
      <c r="N76" s="215">
        <v>0</v>
      </c>
      <c r="O76" s="214">
        <f t="shared" si="27"/>
        <v>0</v>
      </c>
      <c r="P76" s="215">
        <v>0</v>
      </c>
      <c r="Q76" s="215">
        <v>0</v>
      </c>
      <c r="R76" s="215">
        <v>0</v>
      </c>
      <c r="S76" s="215">
        <v>0</v>
      </c>
      <c r="T76" s="215">
        <v>0</v>
      </c>
      <c r="U76" s="215">
        <v>0</v>
      </c>
      <c r="V76" s="215">
        <v>0</v>
      </c>
      <c r="W76" s="215">
        <v>0</v>
      </c>
      <c r="X76" s="215">
        <v>0</v>
      </c>
      <c r="Y76" s="215">
        <v>0</v>
      </c>
      <c r="AB76" s="444"/>
    </row>
    <row r="77" spans="1:28" s="433" customFormat="1" ht="15.75" customHeight="1">
      <c r="A77" s="443">
        <f>A76+10</f>
        <v>610</v>
      </c>
      <c r="B77" s="214" t="s">
        <v>124</v>
      </c>
      <c r="C77" s="214">
        <f t="shared" si="25"/>
        <v>0</v>
      </c>
      <c r="D77" s="215">
        <v>0</v>
      </c>
      <c r="E77" s="252">
        <v>0</v>
      </c>
      <c r="F77" s="215">
        <v>0</v>
      </c>
      <c r="G77" s="252">
        <v>0</v>
      </c>
      <c r="H77" s="215">
        <v>0</v>
      </c>
      <c r="I77" s="215">
        <v>0</v>
      </c>
      <c r="J77" s="215">
        <v>0</v>
      </c>
      <c r="K77" s="215">
        <v>0</v>
      </c>
      <c r="L77" s="215">
        <v>0</v>
      </c>
      <c r="M77" s="215">
        <v>0</v>
      </c>
      <c r="N77" s="215">
        <v>0</v>
      </c>
      <c r="O77" s="214">
        <f t="shared" si="27"/>
        <v>0</v>
      </c>
      <c r="P77" s="215">
        <v>0</v>
      </c>
      <c r="Q77" s="215">
        <v>0</v>
      </c>
      <c r="R77" s="215">
        <v>0</v>
      </c>
      <c r="S77" s="215">
        <v>0</v>
      </c>
      <c r="T77" s="215">
        <v>0</v>
      </c>
      <c r="U77" s="215">
        <v>0</v>
      </c>
      <c r="V77" s="215">
        <v>0</v>
      </c>
      <c r="W77" s="215">
        <v>0</v>
      </c>
      <c r="X77" s="215">
        <v>0</v>
      </c>
      <c r="Y77" s="215">
        <v>0</v>
      </c>
      <c r="AB77" s="444"/>
    </row>
    <row r="78" spans="1:28" s="433" customFormat="1" ht="15.75" customHeight="1">
      <c r="A78" s="434">
        <f>A77+10</f>
        <v>620</v>
      </c>
      <c r="B78" s="447" t="s">
        <v>145</v>
      </c>
      <c r="C78" s="216">
        <f t="shared" si="25"/>
        <v>6494563446</v>
      </c>
      <c r="D78" s="216">
        <f>SUM(D67:D77)</f>
        <v>5385977116</v>
      </c>
      <c r="E78" s="254">
        <f>IFERROR(((D67*E67)/D78)+((D68*E68)/D78)+((D69*E69)/D78)+((D70*E70)/D78)+((D71*E71)/D78)+((D72*E72)/D78)+((D73*E73)/D78)+((D74*E74)/D78)+((D75*E75)/D78)+((D76*E76)/D78)+((D77*E77)/D78),0)</f>
        <v>0.13831687840847301</v>
      </c>
      <c r="F78" s="216">
        <f>SUM(F67:F77)</f>
        <v>1108586330</v>
      </c>
      <c r="G78" s="254">
        <f>IFERROR(((F67*G67)/F78)+((F68*G68)/F78)+((F69*G69)/F78)+((F70*G70)/F78)+((F71*G71)/F78)+((F72*G72)/F78)+((F73*G73)/F78)+((F74*G74)/F78)+((F75*G75)/F78)+((F76*G76)/F78)+((F77*G77)/F78),0)</f>
        <v>7.0958185872232571E-2</v>
      </c>
      <c r="H78" s="216">
        <f t="shared" ref="H78:Y78" si="29">SUM(H67:H77)</f>
        <v>6422998859</v>
      </c>
      <c r="I78" s="216">
        <f t="shared" si="29"/>
        <v>71564587</v>
      </c>
      <c r="J78" s="216">
        <f t="shared" si="29"/>
        <v>3478479</v>
      </c>
      <c r="K78" s="216">
        <f t="shared" si="29"/>
        <v>236525796</v>
      </c>
      <c r="L78" s="216">
        <f t="shared" si="29"/>
        <v>0</v>
      </c>
      <c r="M78" s="216">
        <f t="shared" si="29"/>
        <v>284915698</v>
      </c>
      <c r="N78" s="216">
        <f t="shared" si="29"/>
        <v>262797</v>
      </c>
      <c r="O78" s="216">
        <f t="shared" si="29"/>
        <v>3783464457</v>
      </c>
      <c r="P78" s="216">
        <f t="shared" si="29"/>
        <v>2961819895</v>
      </c>
      <c r="Q78" s="216">
        <f t="shared" si="29"/>
        <v>821644562</v>
      </c>
      <c r="R78" s="216">
        <f t="shared" si="29"/>
        <v>212228787</v>
      </c>
      <c r="S78" s="216">
        <f t="shared" si="29"/>
        <v>0</v>
      </c>
      <c r="T78" s="216">
        <f t="shared" si="29"/>
        <v>0</v>
      </c>
      <c r="U78" s="216">
        <f t="shared" si="29"/>
        <v>7161398</v>
      </c>
      <c r="V78" s="216">
        <f t="shared" si="29"/>
        <v>1231394495</v>
      </c>
      <c r="W78" s="216">
        <f t="shared" si="29"/>
        <v>717673896</v>
      </c>
      <c r="X78" s="216">
        <f t="shared" si="29"/>
        <v>9328404</v>
      </c>
      <c r="Y78" s="216">
        <f t="shared" si="29"/>
        <v>8129239</v>
      </c>
      <c r="AB78" s="444"/>
    </row>
    <row r="79" spans="1:28" s="433" customFormat="1" ht="15.75" customHeight="1">
      <c r="A79" s="434"/>
      <c r="B79" s="447" t="s">
        <v>146</v>
      </c>
      <c r="C79" s="216"/>
      <c r="D79" s="216"/>
      <c r="E79" s="254"/>
      <c r="F79" s="216"/>
      <c r="G79" s="254"/>
      <c r="H79" s="216"/>
      <c r="I79" s="216"/>
      <c r="J79" s="216"/>
      <c r="K79" s="216"/>
      <c r="L79" s="216"/>
      <c r="M79" s="216"/>
      <c r="N79" s="216"/>
      <c r="O79" s="216"/>
      <c r="P79" s="216"/>
      <c r="Q79" s="216"/>
      <c r="R79" s="216"/>
      <c r="S79" s="216"/>
      <c r="T79" s="216"/>
      <c r="U79" s="216"/>
      <c r="V79" s="216"/>
      <c r="W79" s="216"/>
      <c r="X79" s="216"/>
      <c r="Y79" s="216"/>
      <c r="AB79" s="444"/>
    </row>
    <row r="80" spans="1:28" s="433" customFormat="1" ht="15.75" customHeight="1">
      <c r="A80" s="443">
        <f>A78+10</f>
        <v>630</v>
      </c>
      <c r="B80" s="214" t="s">
        <v>119</v>
      </c>
      <c r="C80" s="214">
        <f t="shared" ref="C80:C92" si="30">SUM(J80:Y80)-L80-P80-Q80</f>
        <v>4259879328</v>
      </c>
      <c r="D80" s="214">
        <f>D9+D17+D26+D34+D42+D50+D58+D67</f>
        <v>4259879328</v>
      </c>
      <c r="E80" s="255">
        <f>IFERROR(((D9*E9)/D80)+((D17*E17)/D80)+((D26*E26)/D80)+((D34*E34)/D80)+((D42*E42)/D80)+((D50*E50)/D80)+((D58*E58)/D80)+((D67*E67)/D80),0)</f>
        <v>0.13514314439074171</v>
      </c>
      <c r="F80" s="214">
        <f>F9+F17+F26+F34+F42+F50+F58+F67</f>
        <v>0</v>
      </c>
      <c r="G80" s="255">
        <f>IFERROR(((F9*G9)/F80)+((F17*G17)/F80)+((F26*G26)/F80)+((F34*G34)/F80)+((F42*G42)/F80)+((F50*G50)/F80)+((F58*G58)/F80)+((F67*G67)/F80),0)</f>
        <v>0</v>
      </c>
      <c r="H80" s="214">
        <f t="shared" ref="H80:Y83" si="31">H9+H17+H26+H34+H42+H50+H58+H67</f>
        <v>4248701045</v>
      </c>
      <c r="I80" s="214">
        <f t="shared" si="31"/>
        <v>11178283</v>
      </c>
      <c r="J80" s="214">
        <f t="shared" si="31"/>
        <v>3216751</v>
      </c>
      <c r="K80" s="214">
        <f t="shared" si="31"/>
        <v>0</v>
      </c>
      <c r="L80" s="214">
        <f t="shared" si="31"/>
        <v>0</v>
      </c>
      <c r="M80" s="214">
        <f t="shared" si="31"/>
        <v>133920499</v>
      </c>
      <c r="N80" s="214">
        <f t="shared" si="31"/>
        <v>0</v>
      </c>
      <c r="O80" s="214">
        <f t="shared" si="31"/>
        <v>2961819895</v>
      </c>
      <c r="P80" s="214">
        <f t="shared" si="31"/>
        <v>2961819895</v>
      </c>
      <c r="Q80" s="214">
        <f t="shared" si="31"/>
        <v>0</v>
      </c>
      <c r="R80" s="214">
        <f t="shared" si="31"/>
        <v>0</v>
      </c>
      <c r="S80" s="214">
        <f t="shared" si="31"/>
        <v>0</v>
      </c>
      <c r="T80" s="214">
        <f t="shared" si="31"/>
        <v>0</v>
      </c>
      <c r="U80" s="214">
        <f t="shared" si="31"/>
        <v>6268</v>
      </c>
      <c r="V80" s="214">
        <f t="shared" si="31"/>
        <v>598929477</v>
      </c>
      <c r="W80" s="214">
        <f t="shared" si="31"/>
        <v>560118301</v>
      </c>
      <c r="X80" s="214">
        <f t="shared" si="31"/>
        <v>777492</v>
      </c>
      <c r="Y80" s="214">
        <f t="shared" si="31"/>
        <v>1090645</v>
      </c>
      <c r="AB80" s="444"/>
    </row>
    <row r="81" spans="1:28" s="433" customFormat="1" ht="15.75" customHeight="1">
      <c r="A81" s="443">
        <f t="shared" si="28"/>
        <v>640</v>
      </c>
      <c r="B81" s="214" t="s">
        <v>120</v>
      </c>
      <c r="C81" s="214">
        <f t="shared" si="30"/>
        <v>13986301108</v>
      </c>
      <c r="D81" s="214">
        <f>D10+D18+D27+D35+D43+D51+D59+D68</f>
        <v>3779102856</v>
      </c>
      <c r="E81" s="255">
        <f>IFERROR(((D10*E10)/D81)+((D18*E18)/D81)+((D27*E27)/D81)+((D35*E35)/D81)+((D43*E43)/D81)+((D51*E51)/D81)+((D59*E59)/D81)+((D68*E68)/D81),0)</f>
        <v>0.15266490991350729</v>
      </c>
      <c r="F81" s="214">
        <f>F10+F18+F27+F35+F43+F51+F59+F68</f>
        <v>10207198252</v>
      </c>
      <c r="G81" s="255">
        <f>IFERROR(((F10*G10)/F81)+((F18*G18)/F81)+((F27*G27)/F81)+((F35*G35)/F81)+((F43*G43)/F81)+((F51*G51)/F81)+((F59*G59)/F81)+((F68*G68)/F81),0)</f>
        <v>3.6545968103600682E-2</v>
      </c>
      <c r="H81" s="214">
        <f t="shared" si="31"/>
        <v>13985151772</v>
      </c>
      <c r="I81" s="214">
        <f t="shared" si="31"/>
        <v>1149336</v>
      </c>
      <c r="J81" s="214">
        <f t="shared" si="31"/>
        <v>925716792</v>
      </c>
      <c r="K81" s="214">
        <f t="shared" si="31"/>
        <v>7319296930</v>
      </c>
      <c r="L81" s="214">
        <f t="shared" si="31"/>
        <v>6200135127</v>
      </c>
      <c r="M81" s="214">
        <f t="shared" si="31"/>
        <v>85116503</v>
      </c>
      <c r="N81" s="214">
        <f t="shared" si="31"/>
        <v>2700513</v>
      </c>
      <c r="O81" s="214">
        <f t="shared" si="31"/>
        <v>132973642</v>
      </c>
      <c r="P81" s="214">
        <f t="shared" si="31"/>
        <v>0</v>
      </c>
      <c r="Q81" s="214">
        <f t="shared" si="31"/>
        <v>132973642</v>
      </c>
      <c r="R81" s="214">
        <f t="shared" si="31"/>
        <v>648891467</v>
      </c>
      <c r="S81" s="214">
        <f t="shared" si="31"/>
        <v>0</v>
      </c>
      <c r="T81" s="214">
        <f t="shared" si="31"/>
        <v>149473257</v>
      </c>
      <c r="U81" s="214">
        <f t="shared" si="31"/>
        <v>0</v>
      </c>
      <c r="V81" s="214">
        <f t="shared" si="31"/>
        <v>2419896741</v>
      </c>
      <c r="W81" s="214">
        <f t="shared" si="31"/>
        <v>10777524</v>
      </c>
      <c r="X81" s="214">
        <f t="shared" si="31"/>
        <v>186546940</v>
      </c>
      <c r="Y81" s="214">
        <f t="shared" si="31"/>
        <v>2104910799</v>
      </c>
      <c r="AB81" s="444"/>
    </row>
    <row r="82" spans="1:28" s="433" customFormat="1" ht="15.75" customHeight="1">
      <c r="A82" s="443">
        <f t="shared" si="28"/>
        <v>650</v>
      </c>
      <c r="B82" s="214" t="s">
        <v>121</v>
      </c>
      <c r="C82" s="214">
        <f t="shared" si="30"/>
        <v>7071696766</v>
      </c>
      <c r="D82" s="214">
        <f>D11+D19+D28+D36+D44+D52+D60+D69</f>
        <v>1037907859</v>
      </c>
      <c r="E82" s="255">
        <f>IFERROR(((D11*E11)/D82)+((D19*E19)/D82)+((D28*E28)/D82)+((D36*E36)/D82)+((D44*E44)/D82)+((D52*E52)/D82)+((D60*E60)/D82)+((D69*E69)/D82),0)</f>
        <v>0.20406026809993255</v>
      </c>
      <c r="F82" s="214">
        <f>F11+F19+F28+F36+F44+F52+F60+F69</f>
        <v>6033788907</v>
      </c>
      <c r="G82" s="255">
        <f>IFERROR(((F11*G11)/F82)+((F19*G19)/F82)+((F28*G28)/F82)+((F36*G36)/F82)+((F44*G44)/F82)+((F52*G52)/F82)+((F60*G60)/F82)+((F69*G69)/F82),0)</f>
        <v>6.323511632078975E-2</v>
      </c>
      <c r="H82" s="214">
        <f t="shared" si="31"/>
        <v>6970863923</v>
      </c>
      <c r="I82" s="214">
        <f t="shared" si="31"/>
        <v>100832843</v>
      </c>
      <c r="J82" s="214">
        <f t="shared" si="31"/>
        <v>20271520</v>
      </c>
      <c r="K82" s="214">
        <f t="shared" si="31"/>
        <v>0</v>
      </c>
      <c r="L82" s="214">
        <f t="shared" si="31"/>
        <v>0</v>
      </c>
      <c r="M82" s="214">
        <f t="shared" si="31"/>
        <v>91363950</v>
      </c>
      <c r="N82" s="214">
        <f t="shared" si="31"/>
        <v>126401211</v>
      </c>
      <c r="O82" s="214">
        <f t="shared" si="31"/>
        <v>1445115816</v>
      </c>
      <c r="P82" s="214">
        <f t="shared" si="31"/>
        <v>0</v>
      </c>
      <c r="Q82" s="214">
        <f t="shared" si="31"/>
        <v>1445115816</v>
      </c>
      <c r="R82" s="214">
        <f t="shared" si="31"/>
        <v>2455964459</v>
      </c>
      <c r="S82" s="214">
        <f t="shared" si="31"/>
        <v>0</v>
      </c>
      <c r="T82" s="214">
        <f t="shared" si="31"/>
        <v>0</v>
      </c>
      <c r="U82" s="214">
        <f t="shared" si="31"/>
        <v>1737972</v>
      </c>
      <c r="V82" s="214">
        <f t="shared" si="31"/>
        <v>1213197606</v>
      </c>
      <c r="W82" s="214">
        <f t="shared" si="31"/>
        <v>1092923735</v>
      </c>
      <c r="X82" s="214">
        <f t="shared" si="31"/>
        <v>0</v>
      </c>
      <c r="Y82" s="214">
        <f t="shared" si="31"/>
        <v>624720497</v>
      </c>
      <c r="AB82" s="444"/>
    </row>
    <row r="83" spans="1:28" s="433" customFormat="1" ht="15.75" customHeight="1">
      <c r="A83" s="443">
        <f t="shared" si="28"/>
        <v>660</v>
      </c>
      <c r="B83" s="214" t="s">
        <v>122</v>
      </c>
      <c r="C83" s="214">
        <f t="shared" si="30"/>
        <v>17480739187</v>
      </c>
      <c r="D83" s="214">
        <f>D12+D20+D29+D37+D45+D53+D61+D70</f>
        <v>5777347747</v>
      </c>
      <c r="E83" s="255">
        <f>IFERROR(((D12*E12)/D83)+((D20*E20)/D83)+((D29*E29)/D83)+((D37*E37)/D83)+((D45*E45)/D83)+((D53*E53)/D83)+((D61*E61)/D83)+((D70*E70)/D83),0)</f>
        <v>0.17771431267993498</v>
      </c>
      <c r="F83" s="214">
        <f>F12+F20+F29+F37+F45+F53+F61+F70</f>
        <v>11703391440</v>
      </c>
      <c r="G83" s="255">
        <f>IFERROR(((F12*G12)/F83)+((F20*G20)/F83)+((F29*G29)/F83)+((F37*G37)/F83)+((F45*G45)/F83)+((F53*G53)/F83)+((F61*G61)/F83)+((F70*G70)/F83),0)</f>
        <v>6.7442255727714354E-2</v>
      </c>
      <c r="H83" s="214">
        <f t="shared" si="31"/>
        <v>17010953416</v>
      </c>
      <c r="I83" s="214">
        <f t="shared" si="31"/>
        <v>469785771</v>
      </c>
      <c r="J83" s="214">
        <f t="shared" si="31"/>
        <v>1971478</v>
      </c>
      <c r="K83" s="214">
        <f t="shared" si="31"/>
        <v>0</v>
      </c>
      <c r="L83" s="214">
        <f t="shared" si="31"/>
        <v>0</v>
      </c>
      <c r="M83" s="214">
        <f t="shared" si="31"/>
        <v>294397713</v>
      </c>
      <c r="N83" s="214">
        <f t="shared" si="31"/>
        <v>121890434</v>
      </c>
      <c r="O83" s="214">
        <f t="shared" si="31"/>
        <v>5482681105</v>
      </c>
      <c r="P83" s="214">
        <f t="shared" si="31"/>
        <v>0</v>
      </c>
      <c r="Q83" s="214">
        <f t="shared" si="31"/>
        <v>5482681105</v>
      </c>
      <c r="R83" s="214">
        <f t="shared" si="31"/>
        <v>1846849418</v>
      </c>
      <c r="S83" s="214">
        <f t="shared" si="31"/>
        <v>0</v>
      </c>
      <c r="T83" s="214">
        <f t="shared" si="31"/>
        <v>0</v>
      </c>
      <c r="U83" s="214">
        <f t="shared" si="31"/>
        <v>7855130</v>
      </c>
      <c r="V83" s="214">
        <f t="shared" si="31"/>
        <v>7403577192</v>
      </c>
      <c r="W83" s="214">
        <f t="shared" si="31"/>
        <v>1737197066</v>
      </c>
      <c r="X83" s="214">
        <f t="shared" si="31"/>
        <v>11354429</v>
      </c>
      <c r="Y83" s="214">
        <f t="shared" si="31"/>
        <v>572965222</v>
      </c>
      <c r="AB83" s="444"/>
    </row>
    <row r="84" spans="1:28" s="433" customFormat="1" ht="15.75" customHeight="1">
      <c r="A84" s="443">
        <f t="shared" si="28"/>
        <v>670</v>
      </c>
      <c r="B84" s="214" t="s">
        <v>127</v>
      </c>
      <c r="C84" s="214">
        <f t="shared" si="30"/>
        <v>225782941</v>
      </c>
      <c r="D84" s="214">
        <f t="shared" ref="D84:F84" si="32">D21</f>
        <v>95332387</v>
      </c>
      <c r="E84" s="255">
        <f>IFERROR(E21,0)</f>
        <v>0.20482657555951281</v>
      </c>
      <c r="F84" s="214">
        <f t="shared" si="32"/>
        <v>130450554</v>
      </c>
      <c r="G84" s="255">
        <f>IFERROR(G21,0)</f>
        <v>6.3385128236774807E-2</v>
      </c>
      <c r="H84" s="214">
        <f>H21</f>
        <v>207991833</v>
      </c>
      <c r="I84" s="214">
        <f>I21</f>
        <v>17791108</v>
      </c>
      <c r="J84" s="214">
        <f>J21</f>
        <v>0</v>
      </c>
      <c r="K84" s="214">
        <f t="shared" ref="K84:X84" si="33">K21</f>
        <v>0</v>
      </c>
      <c r="L84" s="214">
        <f>L21</f>
        <v>0</v>
      </c>
      <c r="M84" s="214">
        <f t="shared" si="33"/>
        <v>4137819</v>
      </c>
      <c r="N84" s="214">
        <f t="shared" si="33"/>
        <v>0</v>
      </c>
      <c r="O84" s="214">
        <f t="shared" si="33"/>
        <v>91963803</v>
      </c>
      <c r="P84" s="214">
        <f t="shared" si="33"/>
        <v>0</v>
      </c>
      <c r="Q84" s="214">
        <f t="shared" si="33"/>
        <v>91963803</v>
      </c>
      <c r="R84" s="214">
        <f t="shared" si="33"/>
        <v>39403711</v>
      </c>
      <c r="S84" s="214">
        <f t="shared" si="33"/>
        <v>0</v>
      </c>
      <c r="T84" s="214">
        <f t="shared" si="33"/>
        <v>0</v>
      </c>
      <c r="U84" s="214">
        <f t="shared" si="33"/>
        <v>0</v>
      </c>
      <c r="V84" s="214">
        <f t="shared" si="33"/>
        <v>87239195</v>
      </c>
      <c r="W84" s="214">
        <f t="shared" si="33"/>
        <v>3038413</v>
      </c>
      <c r="X84" s="214">
        <f t="shared" si="33"/>
        <v>0</v>
      </c>
      <c r="Y84" s="214">
        <f>Y21</f>
        <v>0</v>
      </c>
      <c r="AB84" s="444"/>
    </row>
    <row r="85" spans="1:28" s="433" customFormat="1" ht="15.75" customHeight="1">
      <c r="A85" s="443">
        <f t="shared" si="28"/>
        <v>680</v>
      </c>
      <c r="B85" s="214" t="s">
        <v>141</v>
      </c>
      <c r="C85" s="214">
        <f t="shared" si="30"/>
        <v>0</v>
      </c>
      <c r="D85" s="214">
        <f t="shared" ref="D85:G85" si="34">D72</f>
        <v>0</v>
      </c>
      <c r="E85" s="255">
        <f t="shared" si="34"/>
        <v>0</v>
      </c>
      <c r="F85" s="214">
        <f t="shared" si="34"/>
        <v>0</v>
      </c>
      <c r="G85" s="255">
        <f t="shared" si="34"/>
        <v>0</v>
      </c>
      <c r="H85" s="214">
        <f>H72</f>
        <v>0</v>
      </c>
      <c r="I85" s="214">
        <f>I72</f>
        <v>0</v>
      </c>
      <c r="J85" s="214">
        <f>J72</f>
        <v>0</v>
      </c>
      <c r="K85" s="214">
        <f t="shared" ref="K85:X85" si="35">K72</f>
        <v>0</v>
      </c>
      <c r="L85" s="214">
        <f>L72</f>
        <v>0</v>
      </c>
      <c r="M85" s="214">
        <f t="shared" si="35"/>
        <v>0</v>
      </c>
      <c r="N85" s="214">
        <f t="shared" si="35"/>
        <v>0</v>
      </c>
      <c r="O85" s="214">
        <f t="shared" si="35"/>
        <v>0</v>
      </c>
      <c r="P85" s="214">
        <f t="shared" si="35"/>
        <v>0</v>
      </c>
      <c r="Q85" s="214">
        <f t="shared" si="35"/>
        <v>0</v>
      </c>
      <c r="R85" s="214">
        <f t="shared" si="35"/>
        <v>0</v>
      </c>
      <c r="S85" s="214">
        <f t="shared" si="35"/>
        <v>0</v>
      </c>
      <c r="T85" s="214">
        <f t="shared" si="35"/>
        <v>0</v>
      </c>
      <c r="U85" s="214">
        <f t="shared" si="35"/>
        <v>0</v>
      </c>
      <c r="V85" s="214">
        <f t="shared" si="35"/>
        <v>0</v>
      </c>
      <c r="W85" s="214">
        <f t="shared" si="35"/>
        <v>0</v>
      </c>
      <c r="X85" s="214">
        <f t="shared" si="35"/>
        <v>0</v>
      </c>
      <c r="Y85" s="214">
        <f>Y72</f>
        <v>0</v>
      </c>
      <c r="AB85" s="444"/>
    </row>
    <row r="86" spans="1:28" s="433" customFormat="1" ht="15.75" customHeight="1">
      <c r="A86" s="443">
        <f t="shared" si="28"/>
        <v>690</v>
      </c>
      <c r="B86" s="214" t="s">
        <v>140</v>
      </c>
      <c r="C86" s="214">
        <f t="shared" si="30"/>
        <v>0</v>
      </c>
      <c r="D86" s="214">
        <f t="shared" ref="D86:G86" si="36">D71</f>
        <v>0</v>
      </c>
      <c r="E86" s="255">
        <f t="shared" si="36"/>
        <v>0</v>
      </c>
      <c r="F86" s="214">
        <f t="shared" si="36"/>
        <v>0</v>
      </c>
      <c r="G86" s="255">
        <f t="shared" si="36"/>
        <v>0</v>
      </c>
      <c r="H86" s="214">
        <f>H71</f>
        <v>0</v>
      </c>
      <c r="I86" s="214">
        <f>I71</f>
        <v>0</v>
      </c>
      <c r="J86" s="214">
        <f>J71</f>
        <v>0</v>
      </c>
      <c r="K86" s="214">
        <f t="shared" ref="K86:Y86" si="37">K71</f>
        <v>0</v>
      </c>
      <c r="L86" s="214">
        <f>L71</f>
        <v>0</v>
      </c>
      <c r="M86" s="214">
        <f t="shared" si="37"/>
        <v>0</v>
      </c>
      <c r="N86" s="214">
        <f t="shared" si="37"/>
        <v>0</v>
      </c>
      <c r="O86" s="214">
        <f t="shared" si="37"/>
        <v>0</v>
      </c>
      <c r="P86" s="214">
        <f t="shared" si="37"/>
        <v>0</v>
      </c>
      <c r="Q86" s="214">
        <f t="shared" si="37"/>
        <v>0</v>
      </c>
      <c r="R86" s="214">
        <f t="shared" si="37"/>
        <v>0</v>
      </c>
      <c r="S86" s="214">
        <f t="shared" si="37"/>
        <v>0</v>
      </c>
      <c r="T86" s="214">
        <f t="shared" si="37"/>
        <v>0</v>
      </c>
      <c r="U86" s="214">
        <f t="shared" si="37"/>
        <v>0</v>
      </c>
      <c r="V86" s="214">
        <f t="shared" si="37"/>
        <v>0</v>
      </c>
      <c r="W86" s="214">
        <f t="shared" si="37"/>
        <v>0</v>
      </c>
      <c r="X86" s="214">
        <f t="shared" si="37"/>
        <v>0</v>
      </c>
      <c r="Y86" s="214">
        <f t="shared" si="37"/>
        <v>0</v>
      </c>
      <c r="AB86" s="444"/>
    </row>
    <row r="87" spans="1:28" s="433" customFormat="1" ht="15.75" customHeight="1">
      <c r="A87" s="443">
        <f t="shared" si="28"/>
        <v>700</v>
      </c>
      <c r="B87" s="214" t="s">
        <v>123</v>
      </c>
      <c r="C87" s="214">
        <f t="shared" si="30"/>
        <v>0</v>
      </c>
      <c r="D87" s="214">
        <f>D13+D22+D30+D38+D46+D54+D62+D73</f>
        <v>0</v>
      </c>
      <c r="E87" s="255">
        <f>IFERROR(((D13*E13)/D87)+((D22*E22)/D87)+((D30*E30)/D87)+((D38*E38)/D87)+((D46*E46)/D87)+((D54*E54)/D87)+((D62*E62)/D87)+((D73*E73)/D87),0)</f>
        <v>0</v>
      </c>
      <c r="F87" s="214">
        <f>F13+F22+F30+F38+F46+F54+F62+F73</f>
        <v>0</v>
      </c>
      <c r="G87" s="255">
        <f>IFERROR(((F13*G13)/F87)+((F22*G22)/F87)+((F30*G30)/F87)+((F38*G38)/F87)+((F46*G46)/F87)+((F54*G54)/F87)+((F62*G62)/F87)+((F73*G73)/F87),0)</f>
        <v>0</v>
      </c>
      <c r="H87" s="214">
        <f t="shared" ref="H87:Y87" si="38">H13+H22+H30+H38+H46+H54+H62+H73</f>
        <v>0</v>
      </c>
      <c r="I87" s="214">
        <f t="shared" si="38"/>
        <v>0</v>
      </c>
      <c r="J87" s="214">
        <f t="shared" si="38"/>
        <v>0</v>
      </c>
      <c r="K87" s="214">
        <f t="shared" si="38"/>
        <v>0</v>
      </c>
      <c r="L87" s="214">
        <f t="shared" si="38"/>
        <v>0</v>
      </c>
      <c r="M87" s="214">
        <f t="shared" si="38"/>
        <v>0</v>
      </c>
      <c r="N87" s="214">
        <f t="shared" si="38"/>
        <v>0</v>
      </c>
      <c r="O87" s="214">
        <f t="shared" si="38"/>
        <v>0</v>
      </c>
      <c r="P87" s="214">
        <f t="shared" si="38"/>
        <v>0</v>
      </c>
      <c r="Q87" s="214">
        <f t="shared" si="38"/>
        <v>0</v>
      </c>
      <c r="R87" s="214">
        <f t="shared" si="38"/>
        <v>0</v>
      </c>
      <c r="S87" s="214">
        <f t="shared" si="38"/>
        <v>0</v>
      </c>
      <c r="T87" s="214">
        <f t="shared" si="38"/>
        <v>0</v>
      </c>
      <c r="U87" s="214">
        <f t="shared" si="38"/>
        <v>0</v>
      </c>
      <c r="V87" s="214">
        <f t="shared" si="38"/>
        <v>0</v>
      </c>
      <c r="W87" s="214">
        <f t="shared" si="38"/>
        <v>0</v>
      </c>
      <c r="X87" s="214">
        <f t="shared" si="38"/>
        <v>0</v>
      </c>
      <c r="Y87" s="214">
        <f t="shared" si="38"/>
        <v>0</v>
      </c>
      <c r="AB87" s="444"/>
    </row>
    <row r="88" spans="1:28" s="433" customFormat="1" ht="15.75" customHeight="1">
      <c r="A88" s="443">
        <f t="shared" si="28"/>
        <v>710</v>
      </c>
      <c r="B88" s="214" t="s">
        <v>142</v>
      </c>
      <c r="C88" s="214">
        <f t="shared" si="30"/>
        <v>3315923</v>
      </c>
      <c r="D88" s="214">
        <f t="shared" ref="D88:I90" si="39">D74</f>
        <v>3315923</v>
      </c>
      <c r="E88" s="255">
        <f t="shared" si="39"/>
        <v>0.19291316898392921</v>
      </c>
      <c r="F88" s="214">
        <f t="shared" si="39"/>
        <v>0</v>
      </c>
      <c r="G88" s="255">
        <f t="shared" si="39"/>
        <v>0</v>
      </c>
      <c r="H88" s="214">
        <f t="shared" si="39"/>
        <v>3315923</v>
      </c>
      <c r="I88" s="214">
        <f t="shared" si="39"/>
        <v>0</v>
      </c>
      <c r="J88" s="214">
        <f>J74</f>
        <v>127113</v>
      </c>
      <c r="K88" s="214">
        <f t="shared" ref="K88:Y90" si="40">K74</f>
        <v>0</v>
      </c>
      <c r="L88" s="214">
        <f>L74</f>
        <v>0</v>
      </c>
      <c r="M88" s="214">
        <f t="shared" si="40"/>
        <v>1619962</v>
      </c>
      <c r="N88" s="214">
        <f t="shared" si="40"/>
        <v>0</v>
      </c>
      <c r="O88" s="214">
        <f t="shared" si="40"/>
        <v>1327848</v>
      </c>
      <c r="P88" s="214">
        <f t="shared" si="40"/>
        <v>0</v>
      </c>
      <c r="Q88" s="214">
        <f t="shared" si="40"/>
        <v>1327848</v>
      </c>
      <c r="R88" s="214">
        <f t="shared" si="40"/>
        <v>189671</v>
      </c>
      <c r="S88" s="214">
        <f t="shared" si="40"/>
        <v>0</v>
      </c>
      <c r="T88" s="214">
        <f t="shared" si="40"/>
        <v>0</v>
      </c>
      <c r="U88" s="214">
        <f t="shared" si="40"/>
        <v>0</v>
      </c>
      <c r="V88" s="214">
        <f t="shared" si="40"/>
        <v>9098</v>
      </c>
      <c r="W88" s="214">
        <f t="shared" si="40"/>
        <v>42231</v>
      </c>
      <c r="X88" s="214">
        <f t="shared" si="40"/>
        <v>0</v>
      </c>
      <c r="Y88" s="214">
        <f t="shared" si="40"/>
        <v>0</v>
      </c>
      <c r="AB88" s="444"/>
    </row>
    <row r="89" spans="1:28" s="433" customFormat="1" ht="15.75" customHeight="1">
      <c r="A89" s="443">
        <f t="shared" si="28"/>
        <v>720</v>
      </c>
      <c r="B89" s="214" t="s">
        <v>143</v>
      </c>
      <c r="C89" s="214">
        <f>SUM(J89:Y89)-L89-P89-Q89</f>
        <v>120092235</v>
      </c>
      <c r="D89" s="214">
        <f>+D63+D75</f>
        <v>120092235</v>
      </c>
      <c r="E89" s="255">
        <f>IFERROR(((D75*E75)/D78)+((D63*E63)/D65),0)</f>
        <v>0.11454722423421849</v>
      </c>
      <c r="F89" s="214">
        <f>+F63+F75</f>
        <v>0</v>
      </c>
      <c r="G89" s="255">
        <f>IFERROR(((F75*G75)/F78)+((F63*G63)/F65),0)</f>
        <v>0</v>
      </c>
      <c r="H89" s="214">
        <f t="shared" ref="H89:Y89" si="41">+H63+H75</f>
        <v>113597017</v>
      </c>
      <c r="I89" s="214">
        <f t="shared" si="41"/>
        <v>6495218</v>
      </c>
      <c r="J89" s="214">
        <f t="shared" si="41"/>
        <v>698</v>
      </c>
      <c r="K89" s="214">
        <f t="shared" si="41"/>
        <v>0</v>
      </c>
      <c r="L89" s="214">
        <f t="shared" si="41"/>
        <v>0</v>
      </c>
      <c r="M89" s="214">
        <f t="shared" si="41"/>
        <v>0</v>
      </c>
      <c r="N89" s="214">
        <f t="shared" si="41"/>
        <v>0</v>
      </c>
      <c r="O89" s="214">
        <f t="shared" si="41"/>
        <v>9302</v>
      </c>
      <c r="P89" s="214">
        <f t="shared" si="41"/>
        <v>0</v>
      </c>
      <c r="Q89" s="214">
        <f t="shared" si="41"/>
        <v>9302</v>
      </c>
      <c r="R89" s="214">
        <f t="shared" si="41"/>
        <v>0</v>
      </c>
      <c r="S89" s="214">
        <f t="shared" si="41"/>
        <v>0</v>
      </c>
      <c r="T89" s="214">
        <f t="shared" si="41"/>
        <v>0</v>
      </c>
      <c r="U89" s="214">
        <f t="shared" si="41"/>
        <v>17481960</v>
      </c>
      <c r="V89" s="214">
        <f t="shared" si="41"/>
        <v>27990708</v>
      </c>
      <c r="W89" s="214">
        <f t="shared" si="41"/>
        <v>74609567</v>
      </c>
      <c r="X89" s="214">
        <f t="shared" si="41"/>
        <v>0</v>
      </c>
      <c r="Y89" s="214">
        <f t="shared" si="41"/>
        <v>0</v>
      </c>
      <c r="AB89" s="444"/>
    </row>
    <row r="90" spans="1:28" s="433" customFormat="1" ht="15.75" customHeight="1">
      <c r="A90" s="443">
        <f t="shared" si="28"/>
        <v>730</v>
      </c>
      <c r="B90" s="214" t="s">
        <v>144</v>
      </c>
      <c r="C90" s="214">
        <f t="shared" si="30"/>
        <v>0</v>
      </c>
      <c r="D90" s="214">
        <f t="shared" ref="D90:F90" si="42">D76</f>
        <v>0</v>
      </c>
      <c r="E90" s="255">
        <f t="shared" si="39"/>
        <v>0</v>
      </c>
      <c r="F90" s="214">
        <f t="shared" si="42"/>
        <v>0</v>
      </c>
      <c r="G90" s="255">
        <f t="shared" si="39"/>
        <v>0</v>
      </c>
      <c r="H90" s="214">
        <f t="shared" si="39"/>
        <v>0</v>
      </c>
      <c r="I90" s="214">
        <f t="shared" si="39"/>
        <v>0</v>
      </c>
      <c r="J90" s="214">
        <f>J76</f>
        <v>0</v>
      </c>
      <c r="K90" s="214">
        <f t="shared" si="40"/>
        <v>0</v>
      </c>
      <c r="L90" s="214">
        <f>L76</f>
        <v>0</v>
      </c>
      <c r="M90" s="214">
        <f t="shared" si="40"/>
        <v>0</v>
      </c>
      <c r="N90" s="214">
        <f t="shared" si="40"/>
        <v>0</v>
      </c>
      <c r="O90" s="214">
        <f t="shared" si="40"/>
        <v>0</v>
      </c>
      <c r="P90" s="214">
        <f t="shared" si="40"/>
        <v>0</v>
      </c>
      <c r="Q90" s="214">
        <f t="shared" si="40"/>
        <v>0</v>
      </c>
      <c r="R90" s="214">
        <f t="shared" si="40"/>
        <v>0</v>
      </c>
      <c r="S90" s="214">
        <f t="shared" si="40"/>
        <v>0</v>
      </c>
      <c r="T90" s="214">
        <f t="shared" si="40"/>
        <v>0</v>
      </c>
      <c r="U90" s="214">
        <f t="shared" si="40"/>
        <v>0</v>
      </c>
      <c r="V90" s="214">
        <f t="shared" si="40"/>
        <v>0</v>
      </c>
      <c r="W90" s="214">
        <f t="shared" si="40"/>
        <v>0</v>
      </c>
      <c r="X90" s="214">
        <f t="shared" si="40"/>
        <v>0</v>
      </c>
      <c r="Y90" s="214">
        <f t="shared" si="40"/>
        <v>0</v>
      </c>
      <c r="AB90" s="444"/>
    </row>
    <row r="91" spans="1:28" s="433" customFormat="1" ht="15.75" customHeight="1">
      <c r="A91" s="443">
        <f>A90+10</f>
        <v>740</v>
      </c>
      <c r="B91" s="214" t="s">
        <v>124</v>
      </c>
      <c r="C91" s="214">
        <f t="shared" si="30"/>
        <v>0</v>
      </c>
      <c r="D91" s="214">
        <f>D14+D23+D31+D39+D47+D55+D64+D77</f>
        <v>0</v>
      </c>
      <c r="E91" s="255">
        <f>IFERROR(((D14*E14)/D91)+((D23*E23)/D91)+((D31*E31)/D91)+((D39*E39)/D91)+((D47*E47)/D91)+((D55*E55)/D91)+((D64*E64)/D91)+((D77*E77)/D91),0)</f>
        <v>0</v>
      </c>
      <c r="F91" s="214">
        <f>F14+F23+F31+F39+F47+F55+F64+F77</f>
        <v>0</v>
      </c>
      <c r="G91" s="255">
        <f>IFERROR(((F14*G14)/F91)+((F23*G23)/F91)+((F31*G31)/F91)+((F39*G39)/F91)+((F47*G47)/F91)+((F55*G55)/F91)+((F64*G64)/F91)+((F77*G77)/F91),0)</f>
        <v>0</v>
      </c>
      <c r="H91" s="214">
        <f t="shared" ref="H91:Y91" si="43">H14+H23+H31+H39+H47+H55+H64+H77</f>
        <v>0</v>
      </c>
      <c r="I91" s="214">
        <f t="shared" si="43"/>
        <v>0</v>
      </c>
      <c r="J91" s="214">
        <f t="shared" si="43"/>
        <v>0</v>
      </c>
      <c r="K91" s="214">
        <f t="shared" si="43"/>
        <v>0</v>
      </c>
      <c r="L91" s="214">
        <f t="shared" si="43"/>
        <v>0</v>
      </c>
      <c r="M91" s="214">
        <f t="shared" si="43"/>
        <v>0</v>
      </c>
      <c r="N91" s="214">
        <f t="shared" si="43"/>
        <v>0</v>
      </c>
      <c r="O91" s="214">
        <f t="shared" si="43"/>
        <v>0</v>
      </c>
      <c r="P91" s="214">
        <f t="shared" si="43"/>
        <v>0</v>
      </c>
      <c r="Q91" s="214">
        <f t="shared" si="43"/>
        <v>0</v>
      </c>
      <c r="R91" s="214">
        <f t="shared" si="43"/>
        <v>0</v>
      </c>
      <c r="S91" s="214">
        <f t="shared" si="43"/>
        <v>0</v>
      </c>
      <c r="T91" s="214">
        <f t="shared" si="43"/>
        <v>0</v>
      </c>
      <c r="U91" s="214">
        <f t="shared" si="43"/>
        <v>0</v>
      </c>
      <c r="V91" s="214">
        <f t="shared" si="43"/>
        <v>0</v>
      </c>
      <c r="W91" s="214">
        <f t="shared" si="43"/>
        <v>0</v>
      </c>
      <c r="X91" s="214">
        <f t="shared" si="43"/>
        <v>0</v>
      </c>
      <c r="Y91" s="214">
        <f t="shared" si="43"/>
        <v>0</v>
      </c>
      <c r="AB91" s="444"/>
    </row>
    <row r="92" spans="1:28" s="433" customFormat="1" ht="15.75" customHeight="1">
      <c r="A92" s="434">
        <f t="shared" si="28"/>
        <v>750</v>
      </c>
      <c r="B92" s="447" t="s">
        <v>147</v>
      </c>
      <c r="C92" s="216">
        <f t="shared" si="30"/>
        <v>43147807488</v>
      </c>
      <c r="D92" s="216">
        <f>SUM(D80:D91)</f>
        <v>15072978335</v>
      </c>
      <c r="E92" s="254">
        <f>IFERROR(((D80*E80)/D92)+((D81*E81)/D92)+((D82*E82)/D92)+((D83*E83)/D92)+((D84*E84)/D92)+((D85*E85)/D92)+((D86*E86)/D92)+((D87*E87)/D92)+((D88*E88)/D92)+((D89*E89)/D92)+((D90*E90)/D92)+((D91*E91)/D92),0)</f>
        <v>0.16088827927531782</v>
      </c>
      <c r="F92" s="216">
        <f>SUM(F80:F91)</f>
        <v>28074829153</v>
      </c>
      <c r="G92" s="254">
        <f>IFERROR(((F80*G80)/F92)+((F81*G81)/F92)+((F82*G82)/F92)+((F83*G83)/F92)+((F84*G84)/F92)+((F85*G85)/F92)+((F86*G86)/F92)+((F87*G87)/F92)+((F88*G88)/F92)+((F89*G89)/F92)+((F90*G90)/F92)+((F91*G91)/F92),0)</f>
        <v>5.5286214571317147E-2</v>
      </c>
      <c r="H92" s="216">
        <f t="shared" ref="H92:Y92" si="44">SUM(H80:H91)</f>
        <v>42540574929</v>
      </c>
      <c r="I92" s="216">
        <f t="shared" si="44"/>
        <v>607232559</v>
      </c>
      <c r="J92" s="216">
        <f t="shared" si="44"/>
        <v>951304352</v>
      </c>
      <c r="K92" s="216">
        <f t="shared" si="44"/>
        <v>7319296930</v>
      </c>
      <c r="L92" s="216">
        <f t="shared" si="44"/>
        <v>6200135127</v>
      </c>
      <c r="M92" s="216">
        <f t="shared" si="44"/>
        <v>610556446</v>
      </c>
      <c r="N92" s="216">
        <f t="shared" si="44"/>
        <v>250992158</v>
      </c>
      <c r="O92" s="216">
        <f t="shared" si="44"/>
        <v>10115891411</v>
      </c>
      <c r="P92" s="216">
        <f t="shared" si="44"/>
        <v>2961819895</v>
      </c>
      <c r="Q92" s="216">
        <f t="shared" si="44"/>
        <v>7154071516</v>
      </c>
      <c r="R92" s="216">
        <f t="shared" si="44"/>
        <v>4991298726</v>
      </c>
      <c r="S92" s="216">
        <f t="shared" si="44"/>
        <v>0</v>
      </c>
      <c r="T92" s="216">
        <f t="shared" si="44"/>
        <v>149473257</v>
      </c>
      <c r="U92" s="216">
        <f t="shared" si="44"/>
        <v>27081330</v>
      </c>
      <c r="V92" s="216">
        <f t="shared" si="44"/>
        <v>11750840017</v>
      </c>
      <c r="W92" s="216">
        <f t="shared" si="44"/>
        <v>3478706837</v>
      </c>
      <c r="X92" s="216">
        <f t="shared" si="44"/>
        <v>198678861</v>
      </c>
      <c r="Y92" s="216">
        <f t="shared" si="44"/>
        <v>3303687163</v>
      </c>
      <c r="AB92" s="444"/>
    </row>
    <row r="93" spans="1:28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</row>
    <row r="94" spans="1:28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</row>
    <row r="95" spans="1:28">
      <c r="B95" s="3" t="s">
        <v>0</v>
      </c>
      <c r="H95" s="448"/>
      <c r="I95" s="448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</row>
    <row r="96" spans="1:28">
      <c r="B96" s="3"/>
      <c r="C96" s="448"/>
      <c r="D96" s="448"/>
      <c r="E96" s="448"/>
      <c r="F96" s="448"/>
      <c r="G96" s="448"/>
      <c r="H96" s="448"/>
      <c r="I96" s="448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</row>
    <row r="97" spans="2:9">
      <c r="B97" s="3" t="s">
        <v>1</v>
      </c>
      <c r="C97" s="449"/>
      <c r="D97" s="450"/>
      <c r="E97" s="450"/>
      <c r="F97" s="450"/>
      <c r="G97" s="450"/>
      <c r="H97" s="450"/>
      <c r="I97" s="450"/>
    </row>
    <row r="98" spans="2:9">
      <c r="C98" s="449"/>
      <c r="D98" s="450"/>
      <c r="E98" s="450"/>
      <c r="F98" s="450"/>
      <c r="G98" s="450"/>
      <c r="H98" s="450"/>
      <c r="I98" s="450"/>
    </row>
    <row r="99" spans="2:9">
      <c r="C99" s="449">
        <f>+[8]Balance!$C$24</f>
        <v>43147807488</v>
      </c>
      <c r="D99" s="449"/>
      <c r="E99" s="449"/>
      <c r="F99" s="449"/>
      <c r="G99" s="449"/>
      <c r="H99" s="450"/>
      <c r="I99" s="450"/>
    </row>
    <row r="100" spans="2:9">
      <c r="C100" s="449">
        <f>+C92-C99</f>
        <v>0</v>
      </c>
      <c r="D100" s="450"/>
      <c r="E100" s="450"/>
      <c r="F100" s="450"/>
      <c r="G100" s="450"/>
      <c r="H100" s="450"/>
      <c r="I100" s="450"/>
    </row>
    <row r="101" spans="2:9">
      <c r="C101" s="449"/>
    </row>
    <row r="102" spans="2:9">
      <c r="C102" s="451"/>
    </row>
  </sheetData>
  <sheetProtection sheet="1" objects="1" scenarios="1"/>
  <mergeCells count="28">
    <mergeCell ref="A4:A6"/>
    <mergeCell ref="B4:B6"/>
    <mergeCell ref="C4:C6"/>
    <mergeCell ref="H5:H6"/>
    <mergeCell ref="I5:I6"/>
    <mergeCell ref="H4:I4"/>
    <mergeCell ref="D4:E4"/>
    <mergeCell ref="F4:G4"/>
    <mergeCell ref="D5:D6"/>
    <mergeCell ref="E5:E6"/>
    <mergeCell ref="G5:G6"/>
    <mergeCell ref="F5:F6"/>
    <mergeCell ref="T3:U3"/>
    <mergeCell ref="Y5:Y6"/>
    <mergeCell ref="R5:R6"/>
    <mergeCell ref="K5:K6"/>
    <mergeCell ref="J4:Y4"/>
    <mergeCell ref="V5:V6"/>
    <mergeCell ref="W5:W6"/>
    <mergeCell ref="X5:X6"/>
    <mergeCell ref="U5:U6"/>
    <mergeCell ref="T5:T6"/>
    <mergeCell ref="N5:N6"/>
    <mergeCell ref="S5:S6"/>
    <mergeCell ref="O5:O6"/>
    <mergeCell ref="P5:Q5"/>
    <mergeCell ref="M5:M6"/>
    <mergeCell ref="J5:J6"/>
  </mergeCells>
  <phoneticPr fontId="27" type="noConversion"/>
  <conditionalFormatting sqref="C9">
    <cfRule type="cellIs" dxfId="205" priority="6" operator="notEqual">
      <formula>D9+F9</formula>
    </cfRule>
    <cfRule type="cellIs" dxfId="204" priority="7" stopIfTrue="1" operator="notEqual">
      <formula>H9+$I9</formula>
    </cfRule>
  </conditionalFormatting>
  <conditionalFormatting sqref="C9:C14 C17:C23 C26:C31 C34:C39 C42:C47 C50:C55 C58:C64 C67:C77 C80:C91">
    <cfRule type="cellIs" dxfId="203" priority="2" operator="notEqual">
      <formula>D9+F9</formula>
    </cfRule>
    <cfRule type="cellIs" dxfId="202" priority="3" stopIfTrue="1" operator="notEqual">
      <formula>H9+$I9</formula>
    </cfRule>
    <cfRule type="cellIs" dxfId="201" priority="151" operator="notEqual">
      <formula>D9+F9</formula>
    </cfRule>
    <cfRule type="cellIs" dxfId="200" priority="154" stopIfTrue="1" operator="notEqual">
      <formula>H9+$I9</formula>
    </cfRule>
  </conditionalFormatting>
  <conditionalFormatting sqref="C10:C14">
    <cfRule type="cellIs" dxfId="199" priority="1" operator="notEqual">
      <formula>H10+$I10</formula>
    </cfRule>
    <cfRule type="cellIs" dxfId="198" priority="152" operator="notEqual">
      <formula>H10+$I10</formula>
    </cfRule>
  </conditionalFormatting>
  <conditionalFormatting sqref="C92">
    <cfRule type="cellIs" dxfId="197" priority="4" stopIfTrue="1" operator="notEqual">
      <formula>H92+I92</formula>
    </cfRule>
    <cfRule type="cellIs" dxfId="196" priority="5" stopIfTrue="1" operator="notEqual">
      <formula>C99</formula>
    </cfRule>
    <cfRule type="cellIs" dxfId="195" priority="321" stopIfTrue="1" operator="notEqual">
      <formula>H92+I92</formula>
    </cfRule>
    <cfRule type="cellIs" dxfId="194" priority="322" stopIfTrue="1" operator="notEqual">
      <formula>$C$99</formula>
    </cfRule>
  </conditionalFormatting>
  <dataValidations count="1">
    <dataValidation allowBlank="1" showInputMessage="1" showErrorMessage="1" prompt="Ячейка окрасится в случаях: _x000a_а) Итого ссуд не равно сумме начисляемых и неначисляемых ссуд_x000a_б) Итого ссуд не равно итого ссуд и лизинга в балансовом отчёте" sqref="C92" xr:uid="{00000000-0002-0000-0400-000000000000}"/>
  </dataValidations>
  <printOptions horizontalCentered="1" verticalCentered="1"/>
  <pageMargins left="0.15748031496062992" right="0.15748031496062992" top="0.23622047244094491" bottom="0.15748031496062992" header="0.22" footer="0.51181102362204722"/>
  <pageSetup paperSize="9" scale="35" orientation="landscape" r:id="rId1"/>
  <headerFooter alignWithMargins="0"/>
  <ignoredErrors>
    <ignoredError sqref="E93:H94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9">
    <pageSetUpPr fitToPage="1"/>
  </sheetPr>
  <dimension ref="A1:Z39"/>
  <sheetViews>
    <sheetView view="pageBreakPreview" topLeftCell="A4" zoomScale="75" zoomScaleNormal="85" zoomScaleSheetLayoutView="75" workbookViewId="0">
      <pane xSplit="4" ySplit="5" topLeftCell="E12" activePane="bottomRight" state="frozen"/>
      <selection activeCell="A4" sqref="A4"/>
      <selection pane="topRight" activeCell="E4" sqref="E4"/>
      <selection pane="bottomLeft" activeCell="A9" sqref="A9"/>
      <selection pane="bottomRight" activeCell="C18" sqref="C18"/>
    </sheetView>
  </sheetViews>
  <sheetFormatPr defaultRowHeight="15"/>
  <cols>
    <col min="1" max="1" width="5" style="19" customWidth="1"/>
    <col min="2" max="2" width="48.140625" style="19" customWidth="1"/>
    <col min="3" max="3" width="19.140625" style="19" customWidth="1"/>
    <col min="4" max="4" width="7.140625" style="19" customWidth="1"/>
    <col min="5" max="5" width="19.5703125" style="19" customWidth="1"/>
    <col min="6" max="6" width="8.5703125" style="19" customWidth="1"/>
    <col min="7" max="7" width="21.85546875" style="19" customWidth="1"/>
    <col min="8" max="8" width="7.140625" style="19" customWidth="1"/>
    <col min="9" max="10" width="15.42578125" style="19" customWidth="1"/>
    <col min="11" max="11" width="8.7109375" style="19" customWidth="1"/>
    <col min="12" max="12" width="14.7109375" style="19" customWidth="1"/>
    <col min="13" max="15" width="13.140625" style="19" customWidth="1"/>
    <col min="16" max="16" width="14.7109375" style="19" customWidth="1"/>
    <col min="17" max="17" width="13.140625" style="19" customWidth="1"/>
    <col min="18" max="18" width="14.7109375" style="19" customWidth="1"/>
    <col min="19" max="25" width="13.140625" style="19" customWidth="1"/>
    <col min="26" max="26" width="14.28515625" style="201" bestFit="1" customWidth="1"/>
    <col min="27" max="16384" width="9.140625" style="19"/>
  </cols>
  <sheetData>
    <row r="1" spans="1:26" s="232" customFormat="1" ht="36.75" customHeight="1">
      <c r="A1" s="230" t="s">
        <v>695</v>
      </c>
      <c r="B1" s="231"/>
      <c r="C1" s="231"/>
      <c r="D1" s="231"/>
      <c r="E1" s="231"/>
      <c r="F1" s="231"/>
      <c r="G1" s="231"/>
      <c r="H1" s="231"/>
      <c r="I1" s="230"/>
      <c r="J1" s="230"/>
      <c r="K1" s="230"/>
      <c r="L1" s="230"/>
      <c r="M1" s="230"/>
      <c r="N1" s="230"/>
      <c r="O1" s="230"/>
      <c r="P1" s="230"/>
      <c r="Q1" s="230"/>
      <c r="R1" s="231"/>
      <c r="S1" s="231"/>
      <c r="T1" s="231"/>
      <c r="U1" s="231"/>
      <c r="W1" s="233"/>
      <c r="X1" s="223" t="s">
        <v>594</v>
      </c>
      <c r="Y1" s="231"/>
      <c r="Z1" s="234"/>
    </row>
    <row r="2" spans="1:26" s="64" customFormat="1" ht="18">
      <c r="A2" s="229"/>
      <c r="B2" s="65"/>
      <c r="C2" s="65"/>
      <c r="D2" s="65"/>
      <c r="E2" s="65"/>
      <c r="F2" s="65"/>
      <c r="G2" s="65"/>
      <c r="H2" s="65"/>
      <c r="I2" s="8"/>
      <c r="J2" s="8"/>
      <c r="K2" s="8"/>
      <c r="L2" s="65"/>
      <c r="M2" s="65"/>
      <c r="N2" s="65"/>
      <c r="O2" s="65"/>
      <c r="P2" s="65"/>
      <c r="Q2" s="65"/>
      <c r="R2" s="65"/>
      <c r="S2" s="65"/>
      <c r="U2" s="65"/>
      <c r="V2" s="65"/>
      <c r="W2" s="65"/>
      <c r="X2" s="65"/>
    </row>
    <row r="3" spans="1:26" ht="18">
      <c r="A3" s="226"/>
      <c r="B3" s="387" t="str">
        <f>+'Asset quality'!B3</f>
        <v>"Ўзсаноатқурилишбанк" АТБ</v>
      </c>
      <c r="D3" s="227"/>
      <c r="E3" s="227"/>
      <c r="F3" s="227"/>
      <c r="G3" s="227"/>
      <c r="H3" s="227"/>
      <c r="I3" s="227"/>
      <c r="J3" s="228"/>
      <c r="K3" s="228"/>
      <c r="L3" s="228"/>
      <c r="M3" s="227"/>
      <c r="N3" s="227"/>
      <c r="O3" s="227"/>
      <c r="P3" s="227"/>
      <c r="Q3" s="227"/>
      <c r="R3" s="227"/>
      <c r="S3" s="227"/>
      <c r="T3" s="568">
        <f>+'Asset quality'!P3</f>
        <v>44560</v>
      </c>
      <c r="U3" s="568"/>
      <c r="X3" s="389" t="s">
        <v>382</v>
      </c>
      <c r="Z3" s="19"/>
    </row>
    <row r="4" spans="1:26" ht="30" customHeight="1">
      <c r="A4" s="573" t="s">
        <v>83</v>
      </c>
      <c r="B4" s="573" t="s">
        <v>57</v>
      </c>
      <c r="C4" s="573" t="s">
        <v>148</v>
      </c>
      <c r="D4" s="573" t="s">
        <v>149</v>
      </c>
      <c r="E4" s="573" t="s">
        <v>150</v>
      </c>
      <c r="F4" s="573" t="s">
        <v>149</v>
      </c>
      <c r="G4" s="573" t="s">
        <v>159</v>
      </c>
      <c r="H4" s="573" t="s">
        <v>149</v>
      </c>
      <c r="I4" s="569" t="s">
        <v>151</v>
      </c>
      <c r="J4" s="570"/>
      <c r="K4" s="573" t="s">
        <v>149</v>
      </c>
      <c r="L4" s="576" t="s">
        <v>624</v>
      </c>
      <c r="M4" s="578"/>
      <c r="N4" s="578"/>
      <c r="O4" s="578"/>
      <c r="P4" s="578"/>
      <c r="Q4" s="578"/>
      <c r="R4" s="578"/>
      <c r="S4" s="578"/>
      <c r="T4" s="578"/>
      <c r="U4" s="578"/>
      <c r="V4" s="578"/>
      <c r="W4" s="578"/>
      <c r="X4" s="578"/>
      <c r="Y4" s="577"/>
    </row>
    <row r="5" spans="1:26" ht="25.5" customHeight="1">
      <c r="A5" s="574"/>
      <c r="B5" s="574"/>
      <c r="C5" s="574"/>
      <c r="D5" s="574"/>
      <c r="E5" s="574"/>
      <c r="F5" s="574"/>
      <c r="G5" s="574"/>
      <c r="H5" s="574"/>
      <c r="I5" s="571"/>
      <c r="J5" s="572"/>
      <c r="K5" s="574"/>
      <c r="L5" s="576" t="s">
        <v>153</v>
      </c>
      <c r="M5" s="577"/>
      <c r="N5" s="576" t="s">
        <v>154</v>
      </c>
      <c r="O5" s="577"/>
      <c r="P5" s="576" t="s">
        <v>155</v>
      </c>
      <c r="Q5" s="577"/>
      <c r="R5" s="576" t="s">
        <v>156</v>
      </c>
      <c r="S5" s="577"/>
      <c r="T5" s="576" t="s">
        <v>157</v>
      </c>
      <c r="U5" s="577"/>
      <c r="V5" s="576" t="s">
        <v>676</v>
      </c>
      <c r="W5" s="577"/>
      <c r="X5" s="576" t="s">
        <v>158</v>
      </c>
      <c r="Y5" s="577"/>
    </row>
    <row r="6" spans="1:26" ht="31.5">
      <c r="A6" s="575"/>
      <c r="B6" s="575"/>
      <c r="C6" s="575"/>
      <c r="D6" s="575"/>
      <c r="E6" s="575"/>
      <c r="F6" s="575"/>
      <c r="G6" s="575"/>
      <c r="H6" s="575"/>
      <c r="I6" s="167" t="s">
        <v>542</v>
      </c>
      <c r="J6" s="167" t="s">
        <v>543</v>
      </c>
      <c r="K6" s="575"/>
      <c r="L6" s="167" t="s">
        <v>542</v>
      </c>
      <c r="M6" s="167" t="s">
        <v>543</v>
      </c>
      <c r="N6" s="167" t="s">
        <v>542</v>
      </c>
      <c r="O6" s="167" t="s">
        <v>543</v>
      </c>
      <c r="P6" s="167" t="s">
        <v>542</v>
      </c>
      <c r="Q6" s="167" t="s">
        <v>543</v>
      </c>
      <c r="R6" s="167" t="s">
        <v>542</v>
      </c>
      <c r="S6" s="167" t="s">
        <v>543</v>
      </c>
      <c r="T6" s="167" t="s">
        <v>542</v>
      </c>
      <c r="U6" s="167" t="s">
        <v>543</v>
      </c>
      <c r="V6" s="167" t="s">
        <v>542</v>
      </c>
      <c r="W6" s="167" t="s">
        <v>543</v>
      </c>
      <c r="X6" s="167" t="s">
        <v>542</v>
      </c>
      <c r="Y6" s="167" t="s">
        <v>543</v>
      </c>
    </row>
    <row r="7" spans="1:26" ht="15.75">
      <c r="A7" s="167"/>
      <c r="B7" s="167" t="s">
        <v>107</v>
      </c>
      <c r="C7" s="167" t="s">
        <v>58</v>
      </c>
      <c r="D7" s="167" t="s">
        <v>59</v>
      </c>
      <c r="E7" s="167" t="s">
        <v>60</v>
      </c>
      <c r="F7" s="167" t="s">
        <v>84</v>
      </c>
      <c r="G7" s="167" t="s">
        <v>85</v>
      </c>
      <c r="H7" s="167" t="s">
        <v>87</v>
      </c>
      <c r="I7" s="167" t="s">
        <v>108</v>
      </c>
      <c r="J7" s="167" t="s">
        <v>596</v>
      </c>
      <c r="K7" s="167" t="s">
        <v>109</v>
      </c>
      <c r="L7" s="167" t="s">
        <v>110</v>
      </c>
      <c r="M7" s="167" t="s">
        <v>590</v>
      </c>
      <c r="N7" s="167" t="s">
        <v>111</v>
      </c>
      <c r="O7" s="167" t="s">
        <v>598</v>
      </c>
      <c r="P7" s="167" t="s">
        <v>112</v>
      </c>
      <c r="Q7" s="167" t="s">
        <v>599</v>
      </c>
      <c r="R7" s="167" t="s">
        <v>113</v>
      </c>
      <c r="S7" s="167" t="s">
        <v>600</v>
      </c>
      <c r="T7" s="167" t="s">
        <v>114</v>
      </c>
      <c r="U7" s="167" t="s">
        <v>601</v>
      </c>
      <c r="V7" s="167" t="s">
        <v>115</v>
      </c>
      <c r="W7" s="167" t="s">
        <v>602</v>
      </c>
      <c r="X7" s="167" t="s">
        <v>116</v>
      </c>
      <c r="Y7" s="167" t="s">
        <v>603</v>
      </c>
    </row>
    <row r="8" spans="1:26" s="66" customFormat="1" ht="27.75" customHeight="1">
      <c r="A8" s="167"/>
      <c r="B8" s="167" t="s">
        <v>160</v>
      </c>
      <c r="C8" s="167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67"/>
      <c r="R8" s="167"/>
      <c r="S8" s="167"/>
      <c r="T8" s="167"/>
      <c r="U8" s="167"/>
      <c r="V8" s="167"/>
      <c r="W8" s="167"/>
      <c r="X8" s="167"/>
      <c r="Y8" s="167"/>
      <c r="Z8" s="202"/>
    </row>
    <row r="9" spans="1:26" s="66" customFormat="1" ht="26.25" customHeight="1">
      <c r="A9" s="67">
        <v>1</v>
      </c>
      <c r="B9" s="68" t="s">
        <v>161</v>
      </c>
      <c r="C9" s="68">
        <f>+'Loans Receivable'!C86</f>
        <v>0</v>
      </c>
      <c r="D9" s="150">
        <f t="shared" ref="D9:D20" si="0">IF(C$22=0,"",C9/C$22)</f>
        <v>0</v>
      </c>
      <c r="E9" s="69">
        <v>0</v>
      </c>
      <c r="F9" s="150">
        <f t="shared" ref="F9:F20" si="1">IF(E$22=0,"",E9/E$22)</f>
        <v>0</v>
      </c>
      <c r="G9" s="69">
        <v>0</v>
      </c>
      <c r="H9" s="150">
        <f t="shared" ref="H9:H20" si="2">IF($G$22=0,"",G9/$G$22)</f>
        <v>0</v>
      </c>
      <c r="I9" s="68">
        <f t="shared" ref="I9:J20" si="3">+L9+N9+P9+R9+T9+V9+X9</f>
        <v>0</v>
      </c>
      <c r="J9" s="68">
        <f>+M9+O9+T9+S9+U9+W9+Y9</f>
        <v>0</v>
      </c>
      <c r="K9" s="150">
        <f t="shared" ref="K9:K20" si="4">IF($Z$22=0,"",Z9/$Z$22)</f>
        <v>0</v>
      </c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Z9" s="203">
        <f>+I9+J9</f>
        <v>0</v>
      </c>
    </row>
    <row r="10" spans="1:26" s="66" customFormat="1" ht="26.25" customHeight="1">
      <c r="A10" s="67">
        <v>2</v>
      </c>
      <c r="B10" s="68" t="s">
        <v>162</v>
      </c>
      <c r="C10" s="68">
        <f>+'Loans Receivable'!C85</f>
        <v>0</v>
      </c>
      <c r="D10" s="150">
        <f t="shared" si="0"/>
        <v>0</v>
      </c>
      <c r="E10" s="69">
        <v>0</v>
      </c>
      <c r="F10" s="150">
        <f t="shared" si="1"/>
        <v>0</v>
      </c>
      <c r="G10" s="69">
        <v>0</v>
      </c>
      <c r="H10" s="150">
        <f t="shared" si="2"/>
        <v>0</v>
      </c>
      <c r="I10" s="68">
        <f t="shared" si="3"/>
        <v>0</v>
      </c>
      <c r="J10" s="68">
        <f t="shared" si="3"/>
        <v>0</v>
      </c>
      <c r="K10" s="150">
        <f t="shared" si="4"/>
        <v>0</v>
      </c>
      <c r="L10" s="69"/>
      <c r="M10" s="69"/>
      <c r="N10" s="69"/>
      <c r="O10" s="69"/>
      <c r="P10" s="69"/>
      <c r="Q10" s="69"/>
      <c r="R10" s="69"/>
      <c r="S10" s="69"/>
      <c r="T10" s="69"/>
      <c r="U10" s="69"/>
      <c r="V10" s="69"/>
      <c r="W10" s="69"/>
      <c r="X10" s="69"/>
      <c r="Y10" s="69"/>
      <c r="Z10" s="203">
        <f t="shared" ref="Z10:Z34" si="5">+I10+J10</f>
        <v>0</v>
      </c>
    </row>
    <row r="11" spans="1:26" s="66" customFormat="1" ht="26.25" customHeight="1">
      <c r="A11" s="67">
        <v>3</v>
      </c>
      <c r="B11" s="68" t="s">
        <v>163</v>
      </c>
      <c r="C11" s="68">
        <f>+'Loans Receivable'!C87</f>
        <v>0</v>
      </c>
      <c r="D11" s="150">
        <f t="shared" si="0"/>
        <v>0</v>
      </c>
      <c r="E11" s="69">
        <v>0</v>
      </c>
      <c r="F11" s="150">
        <f t="shared" si="1"/>
        <v>0</v>
      </c>
      <c r="G11" s="69">
        <v>0</v>
      </c>
      <c r="H11" s="150">
        <f t="shared" si="2"/>
        <v>0</v>
      </c>
      <c r="I11" s="68">
        <f t="shared" si="3"/>
        <v>0</v>
      </c>
      <c r="J11" s="68">
        <f t="shared" si="3"/>
        <v>0</v>
      </c>
      <c r="K11" s="150">
        <f t="shared" si="4"/>
        <v>0</v>
      </c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Z11" s="203">
        <f t="shared" si="5"/>
        <v>0</v>
      </c>
    </row>
    <row r="12" spans="1:26" s="66" customFormat="1" ht="26.25" customHeight="1">
      <c r="A12" s="67">
        <v>4</v>
      </c>
      <c r="B12" s="68" t="s">
        <v>164</v>
      </c>
      <c r="C12" s="68">
        <f>+'Loans Receivable'!C80</f>
        <v>4259879328</v>
      </c>
      <c r="D12" s="150">
        <f t="shared" si="0"/>
        <v>9.872759651077824E-2</v>
      </c>
      <c r="E12" s="69">
        <v>14416216</v>
      </c>
      <c r="F12" s="150">
        <f t="shared" si="1"/>
        <v>4.0096959537283566E-2</v>
      </c>
      <c r="G12" s="69">
        <v>1010074</v>
      </c>
      <c r="H12" s="150">
        <f t="shared" si="2"/>
        <v>0.52860401720087524</v>
      </c>
      <c r="I12" s="68">
        <f t="shared" si="3"/>
        <v>41545823</v>
      </c>
      <c r="J12" s="68">
        <f t="shared" si="3"/>
        <v>14225284</v>
      </c>
      <c r="K12" s="150">
        <f t="shared" si="4"/>
        <v>0.12602417522780232</v>
      </c>
      <c r="L12" s="69">
        <v>2422411</v>
      </c>
      <c r="M12" s="69">
        <v>4376870</v>
      </c>
      <c r="N12" s="69">
        <v>3093690</v>
      </c>
      <c r="O12" s="69">
        <v>441474</v>
      </c>
      <c r="P12" s="69">
        <v>3657488</v>
      </c>
      <c r="Q12" s="69">
        <v>581374</v>
      </c>
      <c r="R12" s="69">
        <v>8089091</v>
      </c>
      <c r="S12" s="69">
        <v>1243620</v>
      </c>
      <c r="T12" s="69">
        <v>21833121</v>
      </c>
      <c r="U12" s="69">
        <v>5717566</v>
      </c>
      <c r="V12" s="69">
        <v>2450022</v>
      </c>
      <c r="W12" s="69">
        <v>1864380</v>
      </c>
      <c r="X12" s="69">
        <v>0</v>
      </c>
      <c r="Y12" s="69">
        <v>0</v>
      </c>
      <c r="Z12" s="203">
        <f t="shared" si="5"/>
        <v>55771107</v>
      </c>
    </row>
    <row r="13" spans="1:26" s="66" customFormat="1" ht="26.25" customHeight="1">
      <c r="A13" s="67">
        <v>5</v>
      </c>
      <c r="B13" s="68" t="s">
        <v>165</v>
      </c>
      <c r="C13" s="68">
        <f>+'Loans Receivable'!C81</f>
        <v>13986301108</v>
      </c>
      <c r="D13" s="150">
        <f t="shared" si="0"/>
        <v>0.32414859345726393</v>
      </c>
      <c r="E13" s="69">
        <v>15200503</v>
      </c>
      <c r="F13" s="150">
        <f t="shared" si="1"/>
        <v>4.2278358879844581E-2</v>
      </c>
      <c r="G13" s="69">
        <v>0</v>
      </c>
      <c r="H13" s="150">
        <f t="shared" si="2"/>
        <v>0</v>
      </c>
      <c r="I13" s="68">
        <f t="shared" si="3"/>
        <v>3352746</v>
      </c>
      <c r="J13" s="68">
        <f t="shared" si="3"/>
        <v>206207</v>
      </c>
      <c r="K13" s="150">
        <f t="shared" si="4"/>
        <v>8.0420515321582686E-3</v>
      </c>
      <c r="L13" s="69">
        <v>638933</v>
      </c>
      <c r="M13" s="69">
        <v>206207</v>
      </c>
      <c r="N13" s="69">
        <v>0</v>
      </c>
      <c r="O13" s="69">
        <v>0</v>
      </c>
      <c r="P13" s="69">
        <v>2191481</v>
      </c>
      <c r="Q13" s="69">
        <v>0</v>
      </c>
      <c r="R13" s="69">
        <v>0</v>
      </c>
      <c r="S13" s="69">
        <v>0</v>
      </c>
      <c r="T13" s="69">
        <v>522332</v>
      </c>
      <c r="U13" s="69">
        <v>0</v>
      </c>
      <c r="V13" s="69">
        <v>0</v>
      </c>
      <c r="W13" s="69">
        <v>0</v>
      </c>
      <c r="X13" s="69">
        <v>0</v>
      </c>
      <c r="Y13" s="69">
        <v>0</v>
      </c>
      <c r="Z13" s="203">
        <f t="shared" si="5"/>
        <v>3558953</v>
      </c>
    </row>
    <row r="14" spans="1:26" s="66" customFormat="1" ht="26.25" customHeight="1">
      <c r="A14" s="67">
        <v>6</v>
      </c>
      <c r="B14" s="68" t="s">
        <v>166</v>
      </c>
      <c r="C14" s="68">
        <f>+'Loans Receivable'!C82</f>
        <v>7071696766</v>
      </c>
      <c r="D14" s="150">
        <f t="shared" si="0"/>
        <v>0.16389469541335874</v>
      </c>
      <c r="E14" s="69">
        <v>55656225</v>
      </c>
      <c r="F14" s="150">
        <f t="shared" si="1"/>
        <v>0.1548010519419902</v>
      </c>
      <c r="G14" s="69">
        <v>0</v>
      </c>
      <c r="H14" s="150">
        <f t="shared" si="2"/>
        <v>0</v>
      </c>
      <c r="I14" s="68">
        <f t="shared" si="3"/>
        <v>20549450</v>
      </c>
      <c r="J14" s="68">
        <f t="shared" si="3"/>
        <v>14767210</v>
      </c>
      <c r="K14" s="150">
        <f t="shared" si="4"/>
        <v>7.9803919766210069E-2</v>
      </c>
      <c r="L14" s="69">
        <v>1486</v>
      </c>
      <c r="M14" s="69">
        <v>14696435</v>
      </c>
      <c r="N14" s="69">
        <v>9162150</v>
      </c>
      <c r="O14" s="69">
        <v>1255</v>
      </c>
      <c r="P14" s="69">
        <v>10754210</v>
      </c>
      <c r="Q14" s="69">
        <v>0</v>
      </c>
      <c r="R14" s="69">
        <v>290992</v>
      </c>
      <c r="S14" s="69">
        <v>69520</v>
      </c>
      <c r="T14" s="69">
        <v>340612</v>
      </c>
      <c r="U14" s="69">
        <v>0</v>
      </c>
      <c r="V14" s="69">
        <v>0</v>
      </c>
      <c r="W14" s="69">
        <v>0</v>
      </c>
      <c r="X14" s="69">
        <v>0</v>
      </c>
      <c r="Y14" s="69">
        <v>0</v>
      </c>
      <c r="Z14" s="203">
        <f t="shared" si="5"/>
        <v>35316660</v>
      </c>
    </row>
    <row r="15" spans="1:26" s="66" customFormat="1" ht="26.25" customHeight="1">
      <c r="A15" s="67">
        <v>7</v>
      </c>
      <c r="B15" s="68" t="s">
        <v>167</v>
      </c>
      <c r="C15" s="68">
        <f>+'Loans Receivable'!C83</f>
        <v>17480739187</v>
      </c>
      <c r="D15" s="150">
        <f t="shared" si="0"/>
        <v>0.40513620980305048</v>
      </c>
      <c r="E15" s="69">
        <v>265749354</v>
      </c>
      <c r="F15" s="150">
        <f t="shared" si="1"/>
        <v>0.73914965580407843</v>
      </c>
      <c r="G15" s="69">
        <v>817058</v>
      </c>
      <c r="H15" s="150">
        <f t="shared" si="2"/>
        <v>0.42759257350066698</v>
      </c>
      <c r="I15" s="68">
        <f t="shared" si="3"/>
        <v>294908933</v>
      </c>
      <c r="J15" s="68">
        <f t="shared" si="3"/>
        <v>33659713</v>
      </c>
      <c r="K15" s="150">
        <f t="shared" si="4"/>
        <v>0.74245599281121932</v>
      </c>
      <c r="L15" s="69">
        <v>43298462</v>
      </c>
      <c r="M15" s="69">
        <v>15922447</v>
      </c>
      <c r="N15" s="69">
        <v>16434605</v>
      </c>
      <c r="O15" s="69">
        <v>2440215</v>
      </c>
      <c r="P15" s="69">
        <v>86797188</v>
      </c>
      <c r="Q15" s="69">
        <v>6704140</v>
      </c>
      <c r="R15" s="69">
        <v>44734418</v>
      </c>
      <c r="S15" s="69">
        <v>3534306</v>
      </c>
      <c r="T15" s="69">
        <v>98971352</v>
      </c>
      <c r="U15" s="69">
        <v>4890801</v>
      </c>
      <c r="V15" s="69">
        <v>4672908</v>
      </c>
      <c r="W15" s="69">
        <v>167804</v>
      </c>
      <c r="X15" s="69">
        <v>0</v>
      </c>
      <c r="Y15" s="69">
        <v>0</v>
      </c>
      <c r="Z15" s="203">
        <f t="shared" si="5"/>
        <v>328568646</v>
      </c>
    </row>
    <row r="16" spans="1:26" s="66" customFormat="1" ht="26.25" customHeight="1">
      <c r="A16" s="67">
        <v>8</v>
      </c>
      <c r="B16" s="68" t="s">
        <v>168</v>
      </c>
      <c r="C16" s="68">
        <f>+'Loans Receivable'!C84</f>
        <v>225782941</v>
      </c>
      <c r="D16" s="150">
        <f t="shared" si="0"/>
        <v>5.2327790018714933E-3</v>
      </c>
      <c r="E16" s="69">
        <v>4938596</v>
      </c>
      <c r="F16" s="150">
        <f t="shared" si="1"/>
        <v>1.3736106893999818E-2</v>
      </c>
      <c r="G16" s="69">
        <v>83701</v>
      </c>
      <c r="H16" s="150">
        <f t="shared" si="2"/>
        <v>4.3803409298457795E-2</v>
      </c>
      <c r="I16" s="68">
        <f t="shared" si="3"/>
        <v>9546698</v>
      </c>
      <c r="J16" s="68">
        <f t="shared" si="3"/>
        <v>758176</v>
      </c>
      <c r="K16" s="150">
        <f t="shared" si="4"/>
        <v>2.3285592066093007E-2</v>
      </c>
      <c r="L16" s="69">
        <v>1911952</v>
      </c>
      <c r="M16" s="69">
        <v>143591</v>
      </c>
      <c r="N16" s="69">
        <v>2252</v>
      </c>
      <c r="O16" s="69">
        <v>0</v>
      </c>
      <c r="P16" s="69">
        <v>1366575</v>
      </c>
      <c r="Q16" s="69">
        <v>209274</v>
      </c>
      <c r="R16" s="69">
        <v>4304889</v>
      </c>
      <c r="S16" s="69">
        <v>379826</v>
      </c>
      <c r="T16" s="69">
        <v>1961030</v>
      </c>
      <c r="U16" s="69">
        <v>25485</v>
      </c>
      <c r="V16" s="69">
        <v>0</v>
      </c>
      <c r="W16" s="69">
        <v>0</v>
      </c>
      <c r="X16" s="69">
        <v>0</v>
      </c>
      <c r="Y16" s="69">
        <v>0</v>
      </c>
      <c r="Z16" s="203">
        <f t="shared" si="5"/>
        <v>10304874</v>
      </c>
    </row>
    <row r="17" spans="1:26" s="66" customFormat="1" ht="26.25" customHeight="1">
      <c r="A17" s="67">
        <v>9</v>
      </c>
      <c r="B17" s="70" t="s">
        <v>169</v>
      </c>
      <c r="C17" s="68">
        <f>+'Loans Receivable'!C88</f>
        <v>3315923</v>
      </c>
      <c r="D17" s="150">
        <f t="shared" si="0"/>
        <v>7.6850324339706105E-5</v>
      </c>
      <c r="E17" s="69">
        <v>294767</v>
      </c>
      <c r="F17" s="150">
        <f t="shared" si="1"/>
        <v>8.198587251971298E-4</v>
      </c>
      <c r="G17" s="69">
        <v>0</v>
      </c>
      <c r="H17" s="150">
        <f t="shared" si="2"/>
        <v>0</v>
      </c>
      <c r="I17" s="68">
        <f t="shared" si="3"/>
        <v>0</v>
      </c>
      <c r="J17" s="68">
        <f t="shared" si="3"/>
        <v>0</v>
      </c>
      <c r="K17" s="150">
        <f t="shared" si="4"/>
        <v>0</v>
      </c>
      <c r="L17" s="69">
        <v>0</v>
      </c>
      <c r="M17" s="69">
        <v>0</v>
      </c>
      <c r="N17" s="69">
        <v>0</v>
      </c>
      <c r="O17" s="69">
        <v>0</v>
      </c>
      <c r="P17" s="69">
        <v>0</v>
      </c>
      <c r="Q17" s="69">
        <v>0</v>
      </c>
      <c r="R17" s="69">
        <v>0</v>
      </c>
      <c r="S17" s="69">
        <v>0</v>
      </c>
      <c r="T17" s="69">
        <v>0</v>
      </c>
      <c r="U17" s="69">
        <v>0</v>
      </c>
      <c r="V17" s="69">
        <v>0</v>
      </c>
      <c r="W17" s="69">
        <v>0</v>
      </c>
      <c r="X17" s="69">
        <v>0</v>
      </c>
      <c r="Y17" s="69">
        <v>0</v>
      </c>
      <c r="Z17" s="203">
        <f t="shared" si="5"/>
        <v>0</v>
      </c>
    </row>
    <row r="18" spans="1:26" s="66" customFormat="1" ht="38.25" customHeight="1">
      <c r="A18" s="67">
        <v>10</v>
      </c>
      <c r="B18" s="70" t="s">
        <v>170</v>
      </c>
      <c r="C18" s="68">
        <f>+'Loans Receivable'!C89</f>
        <v>120092235</v>
      </c>
      <c r="D18" s="150">
        <f t="shared" si="0"/>
        <v>2.78327548933742E-3</v>
      </c>
      <c r="E18" s="69">
        <v>3278233</v>
      </c>
      <c r="F18" s="150">
        <f t="shared" si="1"/>
        <v>9.1180082176063205E-3</v>
      </c>
      <c r="G18" s="69">
        <v>0</v>
      </c>
      <c r="H18" s="150">
        <f t="shared" si="2"/>
        <v>0</v>
      </c>
      <c r="I18" s="68">
        <f t="shared" si="3"/>
        <v>4972783</v>
      </c>
      <c r="J18" s="68">
        <f t="shared" si="3"/>
        <v>4049901</v>
      </c>
      <c r="K18" s="150">
        <f t="shared" si="4"/>
        <v>2.0388268596516979E-2</v>
      </c>
      <c r="L18" s="69">
        <v>99097</v>
      </c>
      <c r="M18" s="69">
        <v>1797825</v>
      </c>
      <c r="N18" s="69">
        <v>56414</v>
      </c>
      <c r="O18" s="69">
        <v>91361</v>
      </c>
      <c r="P18" s="69">
        <v>183848</v>
      </c>
      <c r="Q18" s="69">
        <v>187415</v>
      </c>
      <c r="R18" s="69">
        <v>391544</v>
      </c>
      <c r="S18" s="69">
        <v>327523</v>
      </c>
      <c r="T18" s="69">
        <v>1914340</v>
      </c>
      <c r="U18" s="69">
        <v>735577</v>
      </c>
      <c r="V18" s="69">
        <v>2327540</v>
      </c>
      <c r="W18" s="69">
        <v>910200</v>
      </c>
      <c r="X18" s="69">
        <v>0</v>
      </c>
      <c r="Y18" s="69">
        <v>0</v>
      </c>
      <c r="Z18" s="203">
        <f t="shared" si="5"/>
        <v>9022684</v>
      </c>
    </row>
    <row r="19" spans="1:26" s="66" customFormat="1" ht="26.25" customHeight="1">
      <c r="A19" s="67">
        <v>11</v>
      </c>
      <c r="B19" s="70" t="s">
        <v>171</v>
      </c>
      <c r="C19" s="68">
        <f>+'Loans Receivable'!C90</f>
        <v>0</v>
      </c>
      <c r="D19" s="150">
        <f t="shared" si="0"/>
        <v>0</v>
      </c>
      <c r="E19" s="69">
        <v>0</v>
      </c>
      <c r="F19" s="150">
        <f t="shared" si="1"/>
        <v>0</v>
      </c>
      <c r="G19" s="69">
        <v>0</v>
      </c>
      <c r="H19" s="150">
        <f t="shared" si="2"/>
        <v>0</v>
      </c>
      <c r="I19" s="68">
        <f t="shared" si="3"/>
        <v>0</v>
      </c>
      <c r="J19" s="68">
        <f t="shared" si="3"/>
        <v>0</v>
      </c>
      <c r="K19" s="150">
        <f t="shared" si="4"/>
        <v>0</v>
      </c>
      <c r="L19" s="69">
        <v>0</v>
      </c>
      <c r="M19" s="69">
        <v>0</v>
      </c>
      <c r="N19" s="69">
        <v>0</v>
      </c>
      <c r="O19" s="69">
        <v>0</v>
      </c>
      <c r="P19" s="69">
        <v>0</v>
      </c>
      <c r="Q19" s="69">
        <v>0</v>
      </c>
      <c r="R19" s="69">
        <v>0</v>
      </c>
      <c r="S19" s="69">
        <v>0</v>
      </c>
      <c r="T19" s="69">
        <v>0</v>
      </c>
      <c r="U19" s="69">
        <v>0</v>
      </c>
      <c r="V19" s="69">
        <v>0</v>
      </c>
      <c r="W19" s="69">
        <v>0</v>
      </c>
      <c r="X19" s="69">
        <v>0</v>
      </c>
      <c r="Y19" s="69">
        <v>0</v>
      </c>
      <c r="Z19" s="203">
        <f t="shared" si="5"/>
        <v>0</v>
      </c>
    </row>
    <row r="20" spans="1:26" s="66" customFormat="1" ht="26.25" customHeight="1">
      <c r="A20" s="67">
        <v>12</v>
      </c>
      <c r="B20" s="70" t="s">
        <v>172</v>
      </c>
      <c r="C20" s="68">
        <f>+'Loans Receivable'!C91</f>
        <v>0</v>
      </c>
      <c r="D20" s="150">
        <f t="shared" si="0"/>
        <v>0</v>
      </c>
      <c r="E20" s="69">
        <v>0</v>
      </c>
      <c r="F20" s="150">
        <f t="shared" si="1"/>
        <v>0</v>
      </c>
      <c r="G20" s="69">
        <v>0</v>
      </c>
      <c r="H20" s="150">
        <f t="shared" si="2"/>
        <v>0</v>
      </c>
      <c r="I20" s="68">
        <f t="shared" si="3"/>
        <v>0</v>
      </c>
      <c r="J20" s="68">
        <f t="shared" si="3"/>
        <v>0</v>
      </c>
      <c r="K20" s="150">
        <f t="shared" si="4"/>
        <v>0</v>
      </c>
      <c r="L20" s="69">
        <v>0</v>
      </c>
      <c r="M20" s="69">
        <v>0</v>
      </c>
      <c r="N20" s="69"/>
      <c r="O20" s="69">
        <v>0</v>
      </c>
      <c r="P20" s="69">
        <v>0</v>
      </c>
      <c r="Q20" s="69">
        <v>0</v>
      </c>
      <c r="R20" s="69">
        <v>0</v>
      </c>
      <c r="S20" s="69">
        <v>0</v>
      </c>
      <c r="T20" s="69">
        <v>0</v>
      </c>
      <c r="U20" s="69">
        <v>0</v>
      </c>
      <c r="V20" s="69">
        <v>0</v>
      </c>
      <c r="W20" s="69">
        <v>0</v>
      </c>
      <c r="X20" s="69">
        <v>0</v>
      </c>
      <c r="Y20" s="69">
        <v>0</v>
      </c>
      <c r="Z20" s="203">
        <f t="shared" si="5"/>
        <v>0</v>
      </c>
    </row>
    <row r="21" spans="1:26" s="66" customFormat="1" ht="18.75" customHeight="1">
      <c r="A21" s="67"/>
      <c r="B21" s="68"/>
      <c r="C21" s="68"/>
      <c r="D21" s="150"/>
      <c r="E21" s="151"/>
      <c r="F21" s="150"/>
      <c r="G21" s="151"/>
      <c r="H21" s="150"/>
      <c r="I21" s="68"/>
      <c r="J21" s="152"/>
      <c r="K21" s="150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Z21" s="203">
        <f t="shared" si="5"/>
        <v>0</v>
      </c>
    </row>
    <row r="22" spans="1:26" s="66" customFormat="1" ht="27.75" customHeight="1">
      <c r="A22" s="167">
        <v>13</v>
      </c>
      <c r="B22" s="167" t="s">
        <v>173</v>
      </c>
      <c r="C22" s="168">
        <f>SUM(C9:C20)</f>
        <v>43147807488</v>
      </c>
      <c r="D22" s="169">
        <f>IF(C$22=0,"",C22/C$22)</f>
        <v>1</v>
      </c>
      <c r="E22" s="168">
        <f>SUM(E9:E20)</f>
        <v>359533894</v>
      </c>
      <c r="F22" s="169">
        <f>IF(E$22=0,"",E22/E$22)</f>
        <v>1</v>
      </c>
      <c r="G22" s="168">
        <f>SUM(G9:G20)</f>
        <v>1910833</v>
      </c>
      <c r="H22" s="169">
        <f>IF($G$22=0,"",G22/$G$22)</f>
        <v>1</v>
      </c>
      <c r="I22" s="168">
        <f>SUM(I9:I20)</f>
        <v>374876433</v>
      </c>
      <c r="J22" s="168">
        <f>SUM(J9:J20)</f>
        <v>67666491</v>
      </c>
      <c r="K22" s="169">
        <f>IF($Z$22=0,"",Z22/$Z$22)</f>
        <v>1</v>
      </c>
      <c r="L22" s="168">
        <f t="shared" ref="L22:Y22" si="6">SUM(L9:L20)</f>
        <v>48372341</v>
      </c>
      <c r="M22" s="168">
        <f t="shared" si="6"/>
        <v>37143375</v>
      </c>
      <c r="N22" s="168">
        <f t="shared" si="6"/>
        <v>28749111</v>
      </c>
      <c r="O22" s="168">
        <f t="shared" si="6"/>
        <v>2974305</v>
      </c>
      <c r="P22" s="168">
        <f t="shared" si="6"/>
        <v>104950790</v>
      </c>
      <c r="Q22" s="168">
        <f t="shared" si="6"/>
        <v>7682203</v>
      </c>
      <c r="R22" s="168">
        <f t="shared" si="6"/>
        <v>57810934</v>
      </c>
      <c r="S22" s="168">
        <f t="shared" si="6"/>
        <v>5554795</v>
      </c>
      <c r="T22" s="168">
        <f t="shared" si="6"/>
        <v>125542787</v>
      </c>
      <c r="U22" s="168">
        <f t="shared" si="6"/>
        <v>11369429</v>
      </c>
      <c r="V22" s="168">
        <f t="shared" si="6"/>
        <v>9450470</v>
      </c>
      <c r="W22" s="168">
        <f t="shared" si="6"/>
        <v>2942384</v>
      </c>
      <c r="X22" s="168">
        <f t="shared" si="6"/>
        <v>0</v>
      </c>
      <c r="Y22" s="168">
        <f t="shared" si="6"/>
        <v>0</v>
      </c>
      <c r="Z22" s="203">
        <f t="shared" si="5"/>
        <v>442542924</v>
      </c>
    </row>
    <row r="23" spans="1:26" s="66" customFormat="1" ht="18.75" customHeight="1">
      <c r="A23" s="67"/>
      <c r="B23" s="68"/>
      <c r="C23" s="68"/>
      <c r="D23" s="153"/>
      <c r="E23" s="151"/>
      <c r="F23" s="152"/>
      <c r="G23" s="151"/>
      <c r="H23" s="153"/>
      <c r="I23" s="68"/>
      <c r="J23" s="152"/>
      <c r="K23" s="153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203">
        <f t="shared" si="5"/>
        <v>0</v>
      </c>
    </row>
    <row r="24" spans="1:26" s="66" customFormat="1" ht="27.75" customHeight="1">
      <c r="A24" s="167"/>
      <c r="B24" s="167" t="s">
        <v>174</v>
      </c>
      <c r="C24" s="167"/>
      <c r="D24" s="167"/>
      <c r="E24" s="167"/>
      <c r="F24" s="167">
        <f t="shared" ref="F24" si="7">IF(E$22=0,"",E24/E$22)</f>
        <v>0</v>
      </c>
      <c r="G24" s="167"/>
      <c r="H24" s="167"/>
      <c r="I24" s="167"/>
      <c r="J24" s="167"/>
      <c r="K24" s="167"/>
      <c r="L24" s="167"/>
      <c r="M24" s="167"/>
      <c r="N24" s="167"/>
      <c r="O24" s="167"/>
      <c r="P24" s="167"/>
      <c r="Q24" s="167"/>
      <c r="R24" s="167"/>
      <c r="S24" s="167"/>
      <c r="T24" s="167"/>
      <c r="U24" s="167"/>
      <c r="V24" s="167"/>
      <c r="W24" s="167"/>
      <c r="X24" s="167"/>
      <c r="Y24" s="167"/>
      <c r="Z24" s="202">
        <f t="shared" si="5"/>
        <v>0</v>
      </c>
    </row>
    <row r="25" spans="1:26" s="66" customFormat="1" ht="26.25" customHeight="1">
      <c r="A25" s="67">
        <v>14</v>
      </c>
      <c r="B25" s="71" t="s">
        <v>118</v>
      </c>
      <c r="C25" s="68">
        <f>+'Loans Receivable'!C15</f>
        <v>26339734494</v>
      </c>
      <c r="D25" s="150">
        <f t="shared" ref="D25:D32" si="8">IF(C$34=0,"",C25/C$34)</f>
        <v>0.61045360187363962</v>
      </c>
      <c r="E25" s="69">
        <v>162697434</v>
      </c>
      <c r="F25" s="150">
        <f t="shared" ref="F25:F32" si="9">IF($E$34=0,"",E25/$E$34)</f>
        <v>0.45252321607264101</v>
      </c>
      <c r="G25" s="69">
        <v>0</v>
      </c>
      <c r="H25" s="150">
        <f t="shared" ref="H25:H32" si="10">IF($G$34=0,"",G25/$G$34)</f>
        <v>0</v>
      </c>
      <c r="I25" s="68">
        <f t="shared" ref="I25:J32" si="11">+L25+N25+P25+R25+T25+V25+X25</f>
        <v>142787007</v>
      </c>
      <c r="J25" s="68">
        <f t="shared" si="11"/>
        <v>28489847</v>
      </c>
      <c r="K25" s="150">
        <f t="shared" ref="K25:K32" si="12">IF($Z$34=0,"",Z25/$Z$34)</f>
        <v>0.38702879361822085</v>
      </c>
      <c r="L25" s="69">
        <v>19327454</v>
      </c>
      <c r="M25" s="69">
        <v>21645443</v>
      </c>
      <c r="N25" s="69">
        <v>20399655</v>
      </c>
      <c r="O25" s="69">
        <v>1712079</v>
      </c>
      <c r="P25" s="69">
        <v>42166720</v>
      </c>
      <c r="Q25" s="69">
        <v>3458672</v>
      </c>
      <c r="R25" s="69">
        <v>17697899</v>
      </c>
      <c r="S25" s="69">
        <v>416002</v>
      </c>
      <c r="T25" s="69">
        <v>40459007</v>
      </c>
      <c r="U25" s="69">
        <v>1257651</v>
      </c>
      <c r="V25" s="69">
        <v>2736272</v>
      </c>
      <c r="W25" s="69">
        <v>0</v>
      </c>
      <c r="X25" s="69">
        <v>0</v>
      </c>
      <c r="Y25" s="69">
        <v>0</v>
      </c>
      <c r="Z25" s="203">
        <f t="shared" si="5"/>
        <v>171276854</v>
      </c>
    </row>
    <row r="26" spans="1:26" s="66" customFormat="1" ht="26.25" customHeight="1">
      <c r="A26" s="67">
        <v>15</v>
      </c>
      <c r="B26" s="71" t="s">
        <v>126</v>
      </c>
      <c r="C26" s="68">
        <f>+'Loans Receivable'!C24</f>
        <v>3143324750</v>
      </c>
      <c r="D26" s="150">
        <f t="shared" si="8"/>
        <v>7.2850161642030176E-2</v>
      </c>
      <c r="E26" s="69">
        <v>62157529</v>
      </c>
      <c r="F26" s="150">
        <f t="shared" si="9"/>
        <v>0.17288364195226613</v>
      </c>
      <c r="G26" s="69">
        <v>345558</v>
      </c>
      <c r="H26" s="150">
        <f t="shared" si="10"/>
        <v>0.1808415492091669</v>
      </c>
      <c r="I26" s="68">
        <f t="shared" si="11"/>
        <v>59650799</v>
      </c>
      <c r="J26" s="68">
        <f t="shared" si="11"/>
        <v>6430208</v>
      </c>
      <c r="K26" s="150">
        <f t="shared" si="12"/>
        <v>0.14932112438430944</v>
      </c>
      <c r="L26" s="69">
        <v>8199895</v>
      </c>
      <c r="M26" s="69">
        <v>3230304</v>
      </c>
      <c r="N26" s="69">
        <v>1118128</v>
      </c>
      <c r="O26" s="69">
        <v>318527</v>
      </c>
      <c r="P26" s="69">
        <v>25939037</v>
      </c>
      <c r="Q26" s="69">
        <v>740384</v>
      </c>
      <c r="R26" s="69">
        <v>14910570</v>
      </c>
      <c r="S26" s="69">
        <v>1870108</v>
      </c>
      <c r="T26" s="69">
        <v>8991357</v>
      </c>
      <c r="U26" s="69">
        <v>270885</v>
      </c>
      <c r="V26" s="69">
        <v>491812</v>
      </c>
      <c r="W26" s="69">
        <v>0</v>
      </c>
      <c r="X26" s="69">
        <v>0</v>
      </c>
      <c r="Y26" s="69">
        <v>0</v>
      </c>
      <c r="Z26" s="203">
        <f t="shared" si="5"/>
        <v>66081007</v>
      </c>
    </row>
    <row r="27" spans="1:26" s="66" customFormat="1" ht="26.25" customHeight="1">
      <c r="A27" s="67">
        <v>16</v>
      </c>
      <c r="B27" s="71" t="s">
        <v>129</v>
      </c>
      <c r="C27" s="68">
        <f>+'Loans Receivable'!C32</f>
        <v>3463692914</v>
      </c>
      <c r="D27" s="150">
        <f t="shared" si="8"/>
        <v>8.0275061831665509E-2</v>
      </c>
      <c r="E27" s="69">
        <v>47628932</v>
      </c>
      <c r="F27" s="150">
        <f t="shared" si="9"/>
        <v>0.13247410826863518</v>
      </c>
      <c r="G27" s="69">
        <v>0</v>
      </c>
      <c r="H27" s="150">
        <f t="shared" si="10"/>
        <v>0</v>
      </c>
      <c r="I27" s="68">
        <f t="shared" si="11"/>
        <v>15859341</v>
      </c>
      <c r="J27" s="68">
        <f t="shared" si="11"/>
        <v>2086690</v>
      </c>
      <c r="K27" s="150">
        <f t="shared" si="12"/>
        <v>4.0552068571770905E-2</v>
      </c>
      <c r="L27" s="69">
        <v>2158501</v>
      </c>
      <c r="M27" s="69">
        <v>98797</v>
      </c>
      <c r="N27" s="69">
        <v>1726885</v>
      </c>
      <c r="O27" s="69">
        <v>161400</v>
      </c>
      <c r="P27" s="69">
        <v>3508592</v>
      </c>
      <c r="Q27" s="69">
        <v>101404</v>
      </c>
      <c r="R27" s="69">
        <v>2108367</v>
      </c>
      <c r="S27" s="69">
        <v>196784</v>
      </c>
      <c r="T27" s="69">
        <v>6356996</v>
      </c>
      <c r="U27" s="69">
        <v>1528305</v>
      </c>
      <c r="V27" s="69">
        <v>0</v>
      </c>
      <c r="W27" s="69">
        <v>0</v>
      </c>
      <c r="X27" s="69">
        <v>0</v>
      </c>
      <c r="Y27" s="69">
        <v>0</v>
      </c>
      <c r="Z27" s="203">
        <f t="shared" si="5"/>
        <v>17946031</v>
      </c>
    </row>
    <row r="28" spans="1:26" s="66" customFormat="1" ht="26.25" customHeight="1">
      <c r="A28" s="67">
        <v>17</v>
      </c>
      <c r="B28" s="71" t="s">
        <v>131</v>
      </c>
      <c r="C28" s="68">
        <f>+'Loans Receivable'!C40</f>
        <v>823680530</v>
      </c>
      <c r="D28" s="150">
        <f t="shared" si="8"/>
        <v>1.9089742398361188E-2</v>
      </c>
      <c r="E28" s="69">
        <v>12457482</v>
      </c>
      <c r="F28" s="150">
        <f t="shared" si="9"/>
        <v>3.4648978046003087E-2</v>
      </c>
      <c r="G28" s="69">
        <v>555201</v>
      </c>
      <c r="H28" s="150">
        <f t="shared" si="10"/>
        <v>0.29055443358995786</v>
      </c>
      <c r="I28" s="68">
        <f t="shared" si="11"/>
        <v>24888555</v>
      </c>
      <c r="J28" s="68">
        <f t="shared" si="11"/>
        <v>2994552</v>
      </c>
      <c r="K28" s="150">
        <f t="shared" si="12"/>
        <v>6.3006559336603471E-2</v>
      </c>
      <c r="L28" s="69">
        <v>976461</v>
      </c>
      <c r="M28" s="69">
        <v>839521</v>
      </c>
      <c r="N28" s="69">
        <v>1308333</v>
      </c>
      <c r="O28" s="69">
        <v>235345</v>
      </c>
      <c r="P28" s="69">
        <v>12806005</v>
      </c>
      <c r="Q28" s="69">
        <v>1542179</v>
      </c>
      <c r="R28" s="69">
        <v>3540259</v>
      </c>
      <c r="S28" s="69">
        <v>296169</v>
      </c>
      <c r="T28" s="69">
        <v>6129374</v>
      </c>
      <c r="U28" s="69">
        <v>67367</v>
      </c>
      <c r="V28" s="69">
        <v>128123</v>
      </c>
      <c r="W28" s="69">
        <v>13971</v>
      </c>
      <c r="X28" s="69">
        <v>0</v>
      </c>
      <c r="Y28" s="69">
        <v>0</v>
      </c>
      <c r="Z28" s="203">
        <f t="shared" si="5"/>
        <v>27883107</v>
      </c>
    </row>
    <row r="29" spans="1:26" s="66" customFormat="1" ht="26.25" customHeight="1">
      <c r="A29" s="67">
        <v>18</v>
      </c>
      <c r="B29" s="70" t="s">
        <v>133</v>
      </c>
      <c r="C29" s="68">
        <f>+'Loans Receivable'!C48</f>
        <v>2451039832</v>
      </c>
      <c r="D29" s="150">
        <f t="shared" si="8"/>
        <v>5.6805663478536376E-2</v>
      </c>
      <c r="E29" s="69">
        <v>37380930</v>
      </c>
      <c r="F29" s="150">
        <f t="shared" si="9"/>
        <v>0.10397053135691291</v>
      </c>
      <c r="G29" s="69">
        <v>0</v>
      </c>
      <c r="H29" s="150">
        <f t="shared" si="10"/>
        <v>0</v>
      </c>
      <c r="I29" s="68">
        <f t="shared" si="11"/>
        <v>51982203</v>
      </c>
      <c r="J29" s="68">
        <f t="shared" si="11"/>
        <v>5151526</v>
      </c>
      <c r="K29" s="150">
        <f t="shared" si="12"/>
        <v>0.12910324829868933</v>
      </c>
      <c r="L29" s="69">
        <v>13432825</v>
      </c>
      <c r="M29" s="69">
        <v>2609801</v>
      </c>
      <c r="N29" s="69">
        <v>941227</v>
      </c>
      <c r="O29" s="69">
        <v>5156</v>
      </c>
      <c r="P29" s="69">
        <v>11268177</v>
      </c>
      <c r="Q29" s="69">
        <v>285755</v>
      </c>
      <c r="R29" s="69">
        <v>6249392</v>
      </c>
      <c r="S29" s="69">
        <v>742580</v>
      </c>
      <c r="T29" s="69">
        <v>19129031</v>
      </c>
      <c r="U29" s="69">
        <v>1354401</v>
      </c>
      <c r="V29" s="69">
        <v>961551</v>
      </c>
      <c r="W29" s="69">
        <v>153833</v>
      </c>
      <c r="X29" s="69">
        <v>0</v>
      </c>
      <c r="Y29" s="69">
        <v>0</v>
      </c>
      <c r="Z29" s="203">
        <f t="shared" si="5"/>
        <v>57133729</v>
      </c>
    </row>
    <row r="30" spans="1:26" s="66" customFormat="1" ht="38.25" customHeight="1">
      <c r="A30" s="67">
        <v>19</v>
      </c>
      <c r="B30" s="70" t="s">
        <v>135</v>
      </c>
      <c r="C30" s="68">
        <f>+'Loans Receivable'!C56</f>
        <v>311679287</v>
      </c>
      <c r="D30" s="150">
        <f t="shared" si="8"/>
        <v>7.2235254847348223E-3</v>
      </c>
      <c r="E30" s="69">
        <v>2461485</v>
      </c>
      <c r="F30" s="150">
        <f t="shared" si="9"/>
        <v>6.846322533363155E-3</v>
      </c>
      <c r="G30" s="69">
        <v>0</v>
      </c>
      <c r="H30" s="150">
        <f t="shared" si="10"/>
        <v>0</v>
      </c>
      <c r="I30" s="68">
        <f t="shared" si="11"/>
        <v>4711401</v>
      </c>
      <c r="J30" s="68">
        <f t="shared" si="11"/>
        <v>274514</v>
      </c>
      <c r="K30" s="150">
        <f t="shared" si="12"/>
        <v>1.126651162995434E-2</v>
      </c>
      <c r="L30" s="69">
        <v>10179</v>
      </c>
      <c r="M30" s="69">
        <v>10824</v>
      </c>
      <c r="N30" s="69">
        <v>0</v>
      </c>
      <c r="O30" s="69">
        <v>0</v>
      </c>
      <c r="P30" s="69">
        <v>213196</v>
      </c>
      <c r="Q30" s="69">
        <v>117712</v>
      </c>
      <c r="R30" s="69">
        <v>1437544</v>
      </c>
      <c r="S30" s="69">
        <v>145978</v>
      </c>
      <c r="T30" s="69">
        <v>3050482</v>
      </c>
      <c r="U30" s="69">
        <v>0</v>
      </c>
      <c r="V30" s="69">
        <v>0</v>
      </c>
      <c r="W30" s="69">
        <v>0</v>
      </c>
      <c r="X30" s="69">
        <v>0</v>
      </c>
      <c r="Y30" s="69">
        <v>0</v>
      </c>
      <c r="Z30" s="203">
        <f t="shared" si="5"/>
        <v>4985915</v>
      </c>
    </row>
    <row r="31" spans="1:26" s="66" customFormat="1" ht="26.25" customHeight="1">
      <c r="A31" s="67">
        <v>20</v>
      </c>
      <c r="B31" s="71" t="s">
        <v>137</v>
      </c>
      <c r="C31" s="68">
        <f>+'Loans Receivable'!C65</f>
        <v>120092235</v>
      </c>
      <c r="D31" s="150">
        <f t="shared" si="8"/>
        <v>2.78327548933742E-3</v>
      </c>
      <c r="E31" s="69">
        <v>3278233</v>
      </c>
      <c r="F31" s="150">
        <f t="shared" si="9"/>
        <v>9.1180082176063205E-3</v>
      </c>
      <c r="G31" s="69">
        <v>0</v>
      </c>
      <c r="H31" s="150">
        <f t="shared" si="10"/>
        <v>0</v>
      </c>
      <c r="I31" s="68">
        <f t="shared" si="11"/>
        <v>4972783</v>
      </c>
      <c r="J31" s="68">
        <f t="shared" si="11"/>
        <v>4049901</v>
      </c>
      <c r="K31" s="150">
        <f t="shared" si="12"/>
        <v>2.0388268596516979E-2</v>
      </c>
      <c r="L31" s="69">
        <v>99097</v>
      </c>
      <c r="M31" s="69">
        <v>1797825</v>
      </c>
      <c r="N31" s="69">
        <v>56414</v>
      </c>
      <c r="O31" s="69">
        <v>91361</v>
      </c>
      <c r="P31" s="69">
        <v>183848</v>
      </c>
      <c r="Q31" s="69">
        <v>187415</v>
      </c>
      <c r="R31" s="69">
        <v>391544</v>
      </c>
      <c r="S31" s="69">
        <v>327523</v>
      </c>
      <c r="T31" s="69">
        <v>1914340</v>
      </c>
      <c r="U31" s="69">
        <v>735577</v>
      </c>
      <c r="V31" s="69">
        <v>2327540</v>
      </c>
      <c r="W31" s="69">
        <v>910200</v>
      </c>
      <c r="X31" s="69">
        <v>0</v>
      </c>
      <c r="Y31" s="69">
        <v>0</v>
      </c>
      <c r="Z31" s="203">
        <f t="shared" si="5"/>
        <v>9022684</v>
      </c>
    </row>
    <row r="32" spans="1:26" s="66" customFormat="1" ht="26.25" customHeight="1">
      <c r="A32" s="67">
        <v>21</v>
      </c>
      <c r="B32" s="71" t="s">
        <v>175</v>
      </c>
      <c r="C32" s="68">
        <f>+'Loans Receivable'!C78</f>
        <v>6494563446</v>
      </c>
      <c r="D32" s="150">
        <f t="shared" si="8"/>
        <v>0.15051896780169485</v>
      </c>
      <c r="E32" s="69">
        <v>31471869</v>
      </c>
      <c r="F32" s="150">
        <f t="shared" si="9"/>
        <v>8.7535193552572263E-2</v>
      </c>
      <c r="G32" s="69">
        <v>1010074</v>
      </c>
      <c r="H32" s="150">
        <f t="shared" si="10"/>
        <v>0.52860401720087524</v>
      </c>
      <c r="I32" s="68">
        <f t="shared" si="11"/>
        <v>70024344</v>
      </c>
      <c r="J32" s="68">
        <f t="shared" si="11"/>
        <v>18189253</v>
      </c>
      <c r="K32" s="150">
        <f t="shared" si="12"/>
        <v>0.19933342556393469</v>
      </c>
      <c r="L32" s="69">
        <v>4167929</v>
      </c>
      <c r="M32" s="69">
        <v>6910860</v>
      </c>
      <c r="N32" s="69">
        <v>3198469</v>
      </c>
      <c r="O32" s="69">
        <v>450437</v>
      </c>
      <c r="P32" s="69">
        <v>8865215</v>
      </c>
      <c r="Q32" s="69">
        <v>1248682</v>
      </c>
      <c r="R32" s="69">
        <v>11475359</v>
      </c>
      <c r="S32" s="69">
        <v>1559651</v>
      </c>
      <c r="T32" s="69">
        <v>39512200</v>
      </c>
      <c r="U32" s="69">
        <v>6155243</v>
      </c>
      <c r="V32" s="69">
        <v>2805172</v>
      </c>
      <c r="W32" s="69">
        <v>1864380</v>
      </c>
      <c r="X32" s="69">
        <v>0</v>
      </c>
      <c r="Y32" s="69">
        <v>0</v>
      </c>
      <c r="Z32" s="203">
        <f t="shared" si="5"/>
        <v>88213597</v>
      </c>
    </row>
    <row r="33" spans="1:26" s="66" customFormat="1" ht="18.75" customHeight="1">
      <c r="A33" s="67"/>
      <c r="B33" s="68"/>
      <c r="C33" s="68"/>
      <c r="D33" s="150"/>
      <c r="E33" s="151"/>
      <c r="F33" s="150"/>
      <c r="G33" s="151"/>
      <c r="H33" s="150"/>
      <c r="I33" s="68"/>
      <c r="J33" s="152"/>
      <c r="K33" s="150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203">
        <f t="shared" si="5"/>
        <v>0</v>
      </c>
    </row>
    <row r="34" spans="1:26" s="66" customFormat="1" ht="27.75" customHeight="1">
      <c r="A34" s="167">
        <v>22</v>
      </c>
      <c r="B34" s="167" t="s">
        <v>173</v>
      </c>
      <c r="C34" s="168">
        <f>SUM(C25:C32)</f>
        <v>43147807488</v>
      </c>
      <c r="D34" s="169">
        <f>IF(C$34=0,"",C34/C$34)</f>
        <v>1</v>
      </c>
      <c r="E34" s="168">
        <f>SUM(E25:E32)</f>
        <v>359533894</v>
      </c>
      <c r="F34" s="169">
        <f>IF($E$34=0,"",E34/$E$34)</f>
        <v>1</v>
      </c>
      <c r="G34" s="168">
        <f>SUM(G25:G32)</f>
        <v>1910833</v>
      </c>
      <c r="H34" s="169">
        <f>IF($G$34=0,"",G34/$G$34)</f>
        <v>1</v>
      </c>
      <c r="I34" s="168">
        <f t="shared" ref="I34:Y34" si="13">SUM(I25:I32)</f>
        <v>374876433</v>
      </c>
      <c r="J34" s="168">
        <f t="shared" si="13"/>
        <v>67666491</v>
      </c>
      <c r="K34" s="169">
        <f>IF($Z$34=0,"",Z34/$Z$34)</f>
        <v>1</v>
      </c>
      <c r="L34" s="168">
        <f t="shared" si="13"/>
        <v>48372341</v>
      </c>
      <c r="M34" s="168">
        <f t="shared" si="13"/>
        <v>37143375</v>
      </c>
      <c r="N34" s="168">
        <f t="shared" si="13"/>
        <v>28749111</v>
      </c>
      <c r="O34" s="168">
        <f t="shared" si="13"/>
        <v>2974305</v>
      </c>
      <c r="P34" s="168">
        <f t="shared" si="13"/>
        <v>104950790</v>
      </c>
      <c r="Q34" s="168">
        <f t="shared" si="13"/>
        <v>7682203</v>
      </c>
      <c r="R34" s="168">
        <f t="shared" si="13"/>
        <v>57810934</v>
      </c>
      <c r="S34" s="168">
        <f t="shared" si="13"/>
        <v>5554795</v>
      </c>
      <c r="T34" s="168">
        <f t="shared" si="13"/>
        <v>125542787</v>
      </c>
      <c r="U34" s="168">
        <f t="shared" si="13"/>
        <v>11369429</v>
      </c>
      <c r="V34" s="168">
        <f t="shared" si="13"/>
        <v>9450470</v>
      </c>
      <c r="W34" s="168">
        <f t="shared" si="13"/>
        <v>2942384</v>
      </c>
      <c r="X34" s="168">
        <f t="shared" si="13"/>
        <v>0</v>
      </c>
      <c r="Y34" s="168">
        <f t="shared" si="13"/>
        <v>0</v>
      </c>
      <c r="Z34" s="203">
        <f t="shared" si="5"/>
        <v>442542924</v>
      </c>
    </row>
    <row r="35" spans="1:26" ht="15.75">
      <c r="A35" s="24"/>
    </row>
    <row r="36" spans="1:26" ht="15.75">
      <c r="A36" s="24"/>
    </row>
    <row r="37" spans="1:26" ht="15.75">
      <c r="A37" s="24"/>
      <c r="B37" s="72" t="s">
        <v>0</v>
      </c>
    </row>
    <row r="38" spans="1:26" ht="15.75">
      <c r="A38" s="24"/>
      <c r="B38" s="72"/>
    </row>
    <row r="39" spans="1:26" ht="15.75">
      <c r="A39" s="24"/>
      <c r="B39" s="72" t="s">
        <v>1</v>
      </c>
    </row>
  </sheetData>
  <sheetProtection sheet="1" objects="1" scenarios="1"/>
  <mergeCells count="19">
    <mergeCell ref="X5:Y5"/>
    <mergeCell ref="L4:Y4"/>
    <mergeCell ref="N5:O5"/>
    <mergeCell ref="P5:Q5"/>
    <mergeCell ref="R5:S5"/>
    <mergeCell ref="T5:U5"/>
    <mergeCell ref="V5:W5"/>
    <mergeCell ref="L5:M5"/>
    <mergeCell ref="T3:U3"/>
    <mergeCell ref="I4:J5"/>
    <mergeCell ref="K4:K6"/>
    <mergeCell ref="H4:H6"/>
    <mergeCell ref="A4:A6"/>
    <mergeCell ref="B4:B6"/>
    <mergeCell ref="C4:C6"/>
    <mergeCell ref="D4:D6"/>
    <mergeCell ref="G4:G6"/>
    <mergeCell ref="E4:E6"/>
    <mergeCell ref="F4:F6"/>
  </mergeCells>
  <phoneticPr fontId="16" type="noConversion"/>
  <conditionalFormatting sqref="C34 E34 G34 I34:J34 L34:Y34">
    <cfRule type="cellIs" dxfId="193" priority="26" operator="notEqual">
      <formula>C22</formula>
    </cfRule>
  </conditionalFormatting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U10:Y21 E9:E20 G9:G20 L9:Q19 R10:T19 R9:Y9 G25:G32 N20:T20 E25:E32 U25:Y33 L26:T33 L21:T21 N25:T25" xr:uid="{00000000-0002-0000-0500-000000000000}">
      <formula1>-1E+22</formula1>
      <formula2>1E+22</formula2>
    </dataValidation>
  </dataValidations>
  <printOptions horizontalCentered="1"/>
  <pageMargins left="0.19685039370078741" right="0.19685039370078741" top="0.39370078740157483" bottom="0.39370078740157483" header="0.51181102362204722" footer="0.51181102362204722"/>
  <pageSetup paperSize="9" scale="40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10">
    <pageSetUpPr fitToPage="1"/>
  </sheetPr>
  <dimension ref="A1:AJ1048576"/>
  <sheetViews>
    <sheetView zoomScale="85" zoomScaleNormal="85" zoomScaleSheetLayoutView="85" workbookViewId="0">
      <pane xSplit="4" ySplit="5" topLeftCell="U66" activePane="bottomRight" state="frozen"/>
      <selection activeCell="C73" sqref="C73"/>
      <selection pane="topRight" activeCell="C73" sqref="C73"/>
      <selection pane="bottomLeft" activeCell="C73" sqref="C73"/>
      <selection pane="bottomRight" activeCell="AC78" sqref="AC78"/>
    </sheetView>
  </sheetViews>
  <sheetFormatPr defaultColWidth="9.42578125" defaultRowHeight="12.75"/>
  <cols>
    <col min="1" max="1" width="5" style="1" customWidth="1"/>
    <col min="2" max="2" width="47.42578125" style="1" customWidth="1"/>
    <col min="3" max="3" width="15.5703125" style="1" customWidth="1"/>
    <col min="4" max="4" width="15.85546875" style="1" customWidth="1"/>
    <col min="5" max="6" width="15.42578125" style="1" customWidth="1"/>
    <col min="7" max="7" width="14.7109375" style="1" customWidth="1"/>
    <col min="8" max="8" width="13.28515625" style="1" customWidth="1"/>
    <col min="9" max="10" width="14.7109375" style="1" customWidth="1"/>
    <col min="11" max="11" width="13.28515625" style="1" customWidth="1"/>
    <col min="12" max="12" width="12.28515625" style="1" customWidth="1"/>
    <col min="13" max="14" width="14.7109375" style="1" customWidth="1"/>
    <col min="15" max="15" width="13.7109375" style="1" customWidth="1"/>
    <col min="16" max="16" width="12.7109375" style="1" customWidth="1"/>
    <col min="17" max="19" width="14.7109375" style="1" customWidth="1"/>
    <col min="20" max="20" width="12.42578125" style="1" customWidth="1"/>
    <col min="21" max="21" width="18" style="1" customWidth="1"/>
    <col min="22" max="22" width="14.7109375" style="1" customWidth="1"/>
    <col min="23" max="23" width="14.42578125" style="1" customWidth="1"/>
    <col min="24" max="24" width="12.42578125" style="1" customWidth="1"/>
    <col min="25" max="25" width="17" style="1" bestFit="1" customWidth="1"/>
    <col min="26" max="26" width="14.7109375" style="1" customWidth="1"/>
    <col min="27" max="28" width="14.7109375" style="74" customWidth="1"/>
    <col min="29" max="30" width="14.7109375" style="346" customWidth="1"/>
    <col min="31" max="36" width="9.42578125" style="201"/>
    <col min="37" max="16384" width="9.42578125" style="1"/>
  </cols>
  <sheetData>
    <row r="1" spans="1:36" ht="21" customHeight="1">
      <c r="A1" s="13" t="s">
        <v>696</v>
      </c>
      <c r="B1" s="12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7" t="s">
        <v>593</v>
      </c>
      <c r="X1" s="11"/>
      <c r="Y1" s="11"/>
      <c r="Z1" s="11"/>
      <c r="AA1" s="464"/>
      <c r="AB1" s="464"/>
    </row>
    <row r="2" spans="1:36" ht="15.75">
      <c r="A2" s="10"/>
      <c r="B2" s="137" t="str">
        <f>+'Asset quality'!B3</f>
        <v>"Ўзсаноатқурилишбанк" АТБ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35">
        <f>+'Asset quality'!P3</f>
        <v>44560</v>
      </c>
      <c r="V2" s="10"/>
      <c r="W2" s="136"/>
      <c r="X2" s="10"/>
      <c r="Y2" s="10"/>
      <c r="Z2" s="390" t="s">
        <v>382</v>
      </c>
      <c r="AA2" s="465"/>
      <c r="AB2" s="465"/>
    </row>
    <row r="3" spans="1:36" ht="137.25" customHeight="1">
      <c r="A3" s="14" t="s">
        <v>83</v>
      </c>
      <c r="B3" s="15" t="s">
        <v>176</v>
      </c>
      <c r="C3" s="23" t="s">
        <v>177</v>
      </c>
      <c r="D3" s="23" t="s">
        <v>544</v>
      </c>
      <c r="E3" s="23" t="s">
        <v>178</v>
      </c>
      <c r="F3" s="23" t="s">
        <v>544</v>
      </c>
      <c r="G3" s="23" t="s">
        <v>56</v>
      </c>
      <c r="H3" s="23" t="s">
        <v>544</v>
      </c>
      <c r="I3" s="23" t="s">
        <v>179</v>
      </c>
      <c r="J3" s="23" t="s">
        <v>544</v>
      </c>
      <c r="K3" s="23" t="s">
        <v>34</v>
      </c>
      <c r="L3" s="23" t="s">
        <v>544</v>
      </c>
      <c r="M3" s="23" t="s">
        <v>21</v>
      </c>
      <c r="N3" s="23" t="s">
        <v>544</v>
      </c>
      <c r="O3" s="23" t="s">
        <v>35</v>
      </c>
      <c r="P3" s="23" t="s">
        <v>544</v>
      </c>
      <c r="Q3" s="23" t="s">
        <v>180</v>
      </c>
      <c r="R3" s="23" t="s">
        <v>544</v>
      </c>
      <c r="S3" s="23" t="s">
        <v>36</v>
      </c>
      <c r="T3" s="23" t="s">
        <v>544</v>
      </c>
      <c r="U3" s="23" t="s">
        <v>181</v>
      </c>
      <c r="V3" s="23" t="s">
        <v>544</v>
      </c>
      <c r="W3" s="23" t="s">
        <v>22</v>
      </c>
      <c r="X3" s="23" t="s">
        <v>544</v>
      </c>
      <c r="Y3" s="23" t="s">
        <v>45</v>
      </c>
      <c r="Z3" s="23" t="s">
        <v>544</v>
      </c>
      <c r="AA3" s="479" t="s">
        <v>833</v>
      </c>
      <c r="AB3" s="479" t="s">
        <v>834</v>
      </c>
    </row>
    <row r="4" spans="1:36" s="48" customFormat="1" ht="25.5">
      <c r="A4" s="47" t="s">
        <v>107</v>
      </c>
      <c r="B4" s="47" t="s">
        <v>58</v>
      </c>
      <c r="C4" s="47" t="s">
        <v>59</v>
      </c>
      <c r="D4" s="47" t="s">
        <v>546</v>
      </c>
      <c r="E4" s="47" t="s">
        <v>60</v>
      </c>
      <c r="F4" s="47" t="s">
        <v>547</v>
      </c>
      <c r="G4" s="47" t="s">
        <v>84</v>
      </c>
      <c r="H4" s="47" t="s">
        <v>548</v>
      </c>
      <c r="I4" s="47" t="s">
        <v>85</v>
      </c>
      <c r="J4" s="47" t="s">
        <v>549</v>
      </c>
      <c r="K4" s="47" t="s">
        <v>87</v>
      </c>
      <c r="L4" s="47" t="s">
        <v>550</v>
      </c>
      <c r="M4" s="47" t="s">
        <v>108</v>
      </c>
      <c r="N4" s="47" t="s">
        <v>551</v>
      </c>
      <c r="O4" s="47" t="s">
        <v>109</v>
      </c>
      <c r="P4" s="47" t="s">
        <v>552</v>
      </c>
      <c r="Q4" s="47" t="s">
        <v>110</v>
      </c>
      <c r="R4" s="47" t="s">
        <v>553</v>
      </c>
      <c r="S4" s="47" t="s">
        <v>111</v>
      </c>
      <c r="T4" s="47" t="s">
        <v>554</v>
      </c>
      <c r="U4" s="47" t="s">
        <v>112</v>
      </c>
      <c r="V4" s="47" t="s">
        <v>555</v>
      </c>
      <c r="W4" s="47" t="s">
        <v>113</v>
      </c>
      <c r="X4" s="47" t="s">
        <v>556</v>
      </c>
      <c r="Y4" s="47" t="s">
        <v>44</v>
      </c>
      <c r="Z4" s="47" t="s">
        <v>557</v>
      </c>
      <c r="AA4" s="47" t="s">
        <v>396</v>
      </c>
      <c r="AB4" s="47" t="s">
        <v>397</v>
      </c>
      <c r="AC4" s="480"/>
      <c r="AD4" s="480"/>
      <c r="AE4" s="202"/>
      <c r="AF4" s="202"/>
      <c r="AG4" s="202"/>
      <c r="AH4" s="202"/>
      <c r="AI4" s="202"/>
      <c r="AJ4" s="202"/>
    </row>
    <row r="5" spans="1:36" s="48" customFormat="1" ht="27.75" customHeight="1">
      <c r="A5" s="170"/>
      <c r="B5" s="170" t="s">
        <v>160</v>
      </c>
      <c r="C5" s="170"/>
      <c r="D5" s="170"/>
      <c r="E5" s="170"/>
      <c r="F5" s="170"/>
      <c r="G5" s="170"/>
      <c r="H5" s="170"/>
      <c r="I5" s="170"/>
      <c r="J5" s="170"/>
      <c r="K5" s="170"/>
      <c r="L5" s="170"/>
      <c r="M5" s="170"/>
      <c r="N5" s="170"/>
      <c r="O5" s="170"/>
      <c r="P5" s="170"/>
      <c r="Q5" s="170"/>
      <c r="R5" s="170"/>
      <c r="S5" s="170"/>
      <c r="T5" s="170"/>
      <c r="U5" s="170"/>
      <c r="V5" s="170"/>
      <c r="W5" s="170"/>
      <c r="X5" s="170"/>
      <c r="Y5" s="170"/>
      <c r="Z5" s="170"/>
      <c r="AA5" s="481"/>
      <c r="AB5" s="481"/>
      <c r="AC5" s="480"/>
      <c r="AD5" s="480"/>
      <c r="AE5" s="202"/>
      <c r="AF5" s="202"/>
      <c r="AG5" s="202"/>
      <c r="AH5" s="202"/>
      <c r="AI5" s="202"/>
      <c r="AJ5" s="202"/>
    </row>
    <row r="6" spans="1:36" s="16" customFormat="1" ht="23.25" customHeight="1">
      <c r="A6" s="15">
        <v>1</v>
      </c>
      <c r="B6" s="46" t="s">
        <v>161</v>
      </c>
      <c r="C6" s="250">
        <f t="shared" ref="C6:C29" si="0">E6+I6+M6+Q6+U6</f>
        <v>0</v>
      </c>
      <c r="D6" s="250">
        <f>F6+J6+N6+R6+V6</f>
        <v>0</v>
      </c>
      <c r="E6" s="248"/>
      <c r="F6" s="248"/>
      <c r="G6" s="248"/>
      <c r="H6" s="248"/>
      <c r="I6" s="248"/>
      <c r="J6" s="248"/>
      <c r="K6" s="248"/>
      <c r="L6" s="248"/>
      <c r="M6" s="248"/>
      <c r="N6" s="248"/>
      <c r="O6" s="248"/>
      <c r="P6" s="248"/>
      <c r="Q6" s="248"/>
      <c r="R6" s="248"/>
      <c r="S6" s="248"/>
      <c r="T6" s="248"/>
      <c r="U6" s="248"/>
      <c r="V6" s="248"/>
      <c r="W6" s="248"/>
      <c r="X6" s="248"/>
      <c r="Y6" s="249">
        <f t="shared" ref="Y6:Y29" si="1">+W6+S6+O6+K6</f>
        <v>0</v>
      </c>
      <c r="Z6" s="249">
        <f t="shared" ref="Z6:Z29" si="2">+X6+T6+P6+L6</f>
        <v>0</v>
      </c>
      <c r="AA6" s="50">
        <v>0</v>
      </c>
      <c r="AB6" s="50">
        <v>0</v>
      </c>
      <c r="AC6" s="482">
        <f>+'Aging Analysis'!C9</f>
        <v>0</v>
      </c>
      <c r="AD6" s="480"/>
      <c r="AE6" s="202"/>
      <c r="AF6" s="202"/>
      <c r="AG6" s="202"/>
      <c r="AH6" s="202"/>
      <c r="AI6" s="202"/>
      <c r="AJ6" s="202"/>
    </row>
    <row r="7" spans="1:36" s="16" customFormat="1" ht="14.25" customHeight="1">
      <c r="A7" s="15"/>
      <c r="B7" s="61" t="s">
        <v>545</v>
      </c>
      <c r="C7" s="62">
        <f t="shared" si="0"/>
        <v>0</v>
      </c>
      <c r="D7" s="250">
        <f t="shared" ref="D7:D29" si="3">F7+J7+N7+R7+V7</f>
        <v>0</v>
      </c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46">
        <f t="shared" si="1"/>
        <v>0</v>
      </c>
      <c r="Z7" s="46">
        <f t="shared" si="2"/>
        <v>0</v>
      </c>
      <c r="AA7" s="50">
        <v>0</v>
      </c>
      <c r="AB7" s="50">
        <v>0</v>
      </c>
      <c r="AC7" s="48"/>
      <c r="AD7" s="480"/>
      <c r="AE7" s="202"/>
      <c r="AF7" s="202"/>
      <c r="AG7" s="202"/>
      <c r="AH7" s="202"/>
      <c r="AI7" s="202"/>
      <c r="AJ7" s="202"/>
    </row>
    <row r="8" spans="1:36" s="16" customFormat="1" ht="23.25" customHeight="1">
      <c r="A8" s="15">
        <v>2</v>
      </c>
      <c r="B8" s="46" t="s">
        <v>162</v>
      </c>
      <c r="C8" s="62">
        <f t="shared" si="0"/>
        <v>0</v>
      </c>
      <c r="D8" s="250">
        <f t="shared" si="3"/>
        <v>0</v>
      </c>
      <c r="E8" s="63"/>
      <c r="F8" s="63"/>
      <c r="G8" s="63"/>
      <c r="H8" s="63"/>
      <c r="I8" s="63"/>
      <c r="J8" s="63"/>
      <c r="K8" s="63"/>
      <c r="L8" s="63"/>
      <c r="M8" s="63"/>
      <c r="N8" s="63"/>
      <c r="O8" s="63"/>
      <c r="P8" s="63"/>
      <c r="Q8" s="63"/>
      <c r="R8" s="63"/>
      <c r="S8" s="63"/>
      <c r="T8" s="63"/>
      <c r="U8" s="63"/>
      <c r="V8" s="63"/>
      <c r="W8" s="63"/>
      <c r="X8" s="63"/>
      <c r="Y8" s="46">
        <f t="shared" si="1"/>
        <v>0</v>
      </c>
      <c r="Z8" s="46">
        <f t="shared" si="2"/>
        <v>0</v>
      </c>
      <c r="AA8" s="50">
        <v>0</v>
      </c>
      <c r="AB8" s="50">
        <v>0</v>
      </c>
      <c r="AC8" s="482">
        <f>+'Aging Analysis'!C10</f>
        <v>0</v>
      </c>
      <c r="AD8" s="480"/>
      <c r="AE8" s="202"/>
      <c r="AF8" s="202"/>
      <c r="AG8" s="202"/>
      <c r="AH8" s="202"/>
      <c r="AI8" s="202"/>
      <c r="AJ8" s="202"/>
    </row>
    <row r="9" spans="1:36" s="16" customFormat="1" ht="14.25" customHeight="1">
      <c r="A9" s="15"/>
      <c r="B9" s="61" t="s">
        <v>545</v>
      </c>
      <c r="C9" s="62">
        <f t="shared" si="0"/>
        <v>0</v>
      </c>
      <c r="D9" s="250">
        <f t="shared" si="3"/>
        <v>0</v>
      </c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46">
        <f t="shared" si="1"/>
        <v>0</v>
      </c>
      <c r="Z9" s="46">
        <f t="shared" si="2"/>
        <v>0</v>
      </c>
      <c r="AA9" s="50">
        <v>0</v>
      </c>
      <c r="AB9" s="50">
        <v>0</v>
      </c>
      <c r="AC9" s="48"/>
      <c r="AD9" s="480"/>
      <c r="AE9" s="202"/>
      <c r="AF9" s="202"/>
      <c r="AG9" s="202"/>
      <c r="AH9" s="202"/>
      <c r="AI9" s="202"/>
      <c r="AJ9" s="202"/>
    </row>
    <row r="10" spans="1:36" s="16" customFormat="1" ht="23.25" customHeight="1">
      <c r="A10" s="15">
        <v>3</v>
      </c>
      <c r="B10" s="46" t="s">
        <v>163</v>
      </c>
      <c r="C10" s="62">
        <f t="shared" si="0"/>
        <v>0</v>
      </c>
      <c r="D10" s="250">
        <f t="shared" si="3"/>
        <v>0</v>
      </c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46">
        <f t="shared" si="1"/>
        <v>0</v>
      </c>
      <c r="Z10" s="46">
        <f t="shared" si="2"/>
        <v>0</v>
      </c>
      <c r="AA10" s="50">
        <v>0</v>
      </c>
      <c r="AB10" s="50">
        <v>0</v>
      </c>
      <c r="AC10" s="482">
        <f>+'Aging Analysis'!C11</f>
        <v>0</v>
      </c>
      <c r="AD10" s="480"/>
      <c r="AE10" s="202"/>
      <c r="AF10" s="202"/>
      <c r="AG10" s="202"/>
      <c r="AH10" s="202"/>
      <c r="AI10" s="202"/>
      <c r="AJ10" s="202"/>
    </row>
    <row r="11" spans="1:36" s="16" customFormat="1" ht="14.25" customHeight="1">
      <c r="A11" s="15"/>
      <c r="B11" s="61" t="s">
        <v>545</v>
      </c>
      <c r="C11" s="62">
        <f t="shared" si="0"/>
        <v>0</v>
      </c>
      <c r="D11" s="250">
        <f t="shared" si="3"/>
        <v>0</v>
      </c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46">
        <f t="shared" si="1"/>
        <v>0</v>
      </c>
      <c r="Z11" s="46">
        <f t="shared" si="2"/>
        <v>0</v>
      </c>
      <c r="AA11" s="50">
        <v>0</v>
      </c>
      <c r="AB11" s="50">
        <v>0</v>
      </c>
      <c r="AC11" s="48"/>
      <c r="AD11" s="480"/>
      <c r="AE11" s="202"/>
      <c r="AF11" s="202"/>
      <c r="AG11" s="202"/>
      <c r="AH11" s="202"/>
      <c r="AI11" s="202"/>
      <c r="AJ11" s="202"/>
    </row>
    <row r="12" spans="1:36" s="16" customFormat="1" ht="23.25" customHeight="1">
      <c r="A12" s="15">
        <v>4</v>
      </c>
      <c r="B12" s="46" t="s">
        <v>164</v>
      </c>
      <c r="C12" s="62">
        <f t="shared" si="0"/>
        <v>4259879328</v>
      </c>
      <c r="D12" s="250">
        <f t="shared" si="3"/>
        <v>0</v>
      </c>
      <c r="E12" s="526">
        <v>3964467868</v>
      </c>
      <c r="F12" s="526">
        <v>0</v>
      </c>
      <c r="G12" s="527">
        <v>36423995</v>
      </c>
      <c r="H12" s="526">
        <v>0</v>
      </c>
      <c r="I12" s="526">
        <v>132505895</v>
      </c>
      <c r="J12" s="526">
        <v>0</v>
      </c>
      <c r="K12" s="526">
        <v>13315831</v>
      </c>
      <c r="L12" s="526">
        <v>0</v>
      </c>
      <c r="M12" s="526">
        <v>38467478</v>
      </c>
      <c r="N12" s="526">
        <v>0</v>
      </c>
      <c r="O12" s="526">
        <v>9316699</v>
      </c>
      <c r="P12" s="526">
        <v>0</v>
      </c>
      <c r="Q12" s="526">
        <v>32190471</v>
      </c>
      <c r="R12" s="526">
        <v>0</v>
      </c>
      <c r="S12" s="526">
        <v>16097430</v>
      </c>
      <c r="T12" s="526">
        <v>0</v>
      </c>
      <c r="U12" s="526">
        <v>92247616</v>
      </c>
      <c r="V12" s="526">
        <v>0</v>
      </c>
      <c r="W12" s="526">
        <v>91661095</v>
      </c>
      <c r="X12" s="526">
        <v>0</v>
      </c>
      <c r="Y12" s="46">
        <f t="shared" si="1"/>
        <v>130391055</v>
      </c>
      <c r="Z12" s="46">
        <f t="shared" si="2"/>
        <v>0</v>
      </c>
      <c r="AA12" s="50">
        <v>30970096</v>
      </c>
      <c r="AB12" s="50">
        <v>402106</v>
      </c>
      <c r="AC12" s="482">
        <f>+'Aging Analysis'!C12</f>
        <v>4259879328</v>
      </c>
      <c r="AD12" s="480"/>
      <c r="AE12" s="202"/>
      <c r="AF12" s="202"/>
      <c r="AG12" s="202"/>
      <c r="AH12" s="202"/>
      <c r="AI12" s="202"/>
      <c r="AJ12" s="202"/>
    </row>
    <row r="13" spans="1:36" s="16" customFormat="1" ht="14.25" customHeight="1">
      <c r="A13" s="15"/>
      <c r="B13" s="61" t="s">
        <v>545</v>
      </c>
      <c r="C13" s="62">
        <f t="shared" si="0"/>
        <v>0</v>
      </c>
      <c r="D13" s="250">
        <f t="shared" si="3"/>
        <v>0</v>
      </c>
      <c r="E13" s="526">
        <v>0</v>
      </c>
      <c r="F13" s="526">
        <v>0</v>
      </c>
      <c r="G13" s="527">
        <v>0</v>
      </c>
      <c r="H13" s="526">
        <v>0</v>
      </c>
      <c r="I13" s="526">
        <v>0</v>
      </c>
      <c r="J13" s="526">
        <v>0</v>
      </c>
      <c r="K13" s="526">
        <v>0</v>
      </c>
      <c r="L13" s="526">
        <v>0</v>
      </c>
      <c r="M13" s="526">
        <v>0</v>
      </c>
      <c r="N13" s="526">
        <v>0</v>
      </c>
      <c r="O13" s="526">
        <v>0</v>
      </c>
      <c r="P13" s="526">
        <v>0</v>
      </c>
      <c r="Q13" s="526">
        <v>0</v>
      </c>
      <c r="R13" s="526">
        <v>0</v>
      </c>
      <c r="S13" s="526">
        <v>0</v>
      </c>
      <c r="T13" s="526">
        <v>0</v>
      </c>
      <c r="U13" s="526">
        <v>0</v>
      </c>
      <c r="V13" s="526">
        <v>0</v>
      </c>
      <c r="W13" s="526">
        <v>0</v>
      </c>
      <c r="X13" s="526">
        <v>0</v>
      </c>
      <c r="Y13" s="46">
        <f t="shared" si="1"/>
        <v>0</v>
      </c>
      <c r="Z13" s="46">
        <f t="shared" si="2"/>
        <v>0</v>
      </c>
      <c r="AA13" s="50">
        <v>0</v>
      </c>
      <c r="AB13" s="50">
        <v>0</v>
      </c>
      <c r="AC13" s="48"/>
      <c r="AD13" s="480"/>
      <c r="AE13" s="202"/>
      <c r="AF13" s="202"/>
      <c r="AG13" s="202"/>
      <c r="AH13" s="202"/>
      <c r="AI13" s="202"/>
      <c r="AJ13" s="202"/>
    </row>
    <row r="14" spans="1:36" s="16" customFormat="1" ht="23.25" customHeight="1">
      <c r="A14" s="15">
        <v>5</v>
      </c>
      <c r="B14" s="46" t="s">
        <v>165</v>
      </c>
      <c r="C14" s="62">
        <f t="shared" si="0"/>
        <v>13986301108</v>
      </c>
      <c r="D14" s="250">
        <f t="shared" si="3"/>
        <v>10207198252</v>
      </c>
      <c r="E14" s="526">
        <v>13965095854</v>
      </c>
      <c r="F14" s="526">
        <v>10207198252</v>
      </c>
      <c r="G14" s="527">
        <v>132622973</v>
      </c>
      <c r="H14" s="526">
        <v>0</v>
      </c>
      <c r="I14" s="526">
        <v>0</v>
      </c>
      <c r="J14" s="526">
        <v>0</v>
      </c>
      <c r="K14" s="526">
        <v>0</v>
      </c>
      <c r="L14" s="526">
        <v>0</v>
      </c>
      <c r="M14" s="526">
        <v>20055918</v>
      </c>
      <c r="N14" s="526">
        <v>0</v>
      </c>
      <c r="O14" s="526">
        <v>5013979</v>
      </c>
      <c r="P14" s="526">
        <v>0</v>
      </c>
      <c r="Q14" s="526">
        <v>0</v>
      </c>
      <c r="R14" s="526">
        <v>0</v>
      </c>
      <c r="S14" s="526">
        <v>0</v>
      </c>
      <c r="T14" s="526">
        <v>0</v>
      </c>
      <c r="U14" s="526">
        <v>1149336</v>
      </c>
      <c r="V14" s="526">
        <v>0</v>
      </c>
      <c r="W14" s="526">
        <v>1149336</v>
      </c>
      <c r="X14" s="526">
        <v>0</v>
      </c>
      <c r="Y14" s="46">
        <f t="shared" si="1"/>
        <v>6163315</v>
      </c>
      <c r="Z14" s="46">
        <f t="shared" si="2"/>
        <v>0</v>
      </c>
      <c r="AA14" s="50">
        <v>0</v>
      </c>
      <c r="AB14" s="50">
        <v>0</v>
      </c>
      <c r="AC14" s="482">
        <f>+'Aging Analysis'!C13</f>
        <v>13986301108</v>
      </c>
      <c r="AD14" s="480"/>
      <c r="AE14" s="202"/>
      <c r="AF14" s="202"/>
      <c r="AG14" s="202"/>
      <c r="AH14" s="202"/>
      <c r="AI14" s="202"/>
      <c r="AJ14" s="202"/>
    </row>
    <row r="15" spans="1:36" s="16" customFormat="1" ht="14.25" customHeight="1">
      <c r="A15" s="15"/>
      <c r="B15" s="61" t="s">
        <v>545</v>
      </c>
      <c r="C15" s="62">
        <f t="shared" si="0"/>
        <v>0</v>
      </c>
      <c r="D15" s="250">
        <f t="shared" si="3"/>
        <v>0</v>
      </c>
      <c r="E15" s="526">
        <v>0</v>
      </c>
      <c r="F15" s="526">
        <v>0</v>
      </c>
      <c r="G15" s="527">
        <v>0</v>
      </c>
      <c r="H15" s="526">
        <v>0</v>
      </c>
      <c r="I15" s="526">
        <v>0</v>
      </c>
      <c r="J15" s="526">
        <v>0</v>
      </c>
      <c r="K15" s="526">
        <v>0</v>
      </c>
      <c r="L15" s="526">
        <v>0</v>
      </c>
      <c r="M15" s="526">
        <v>0</v>
      </c>
      <c r="N15" s="526">
        <v>0</v>
      </c>
      <c r="O15" s="526">
        <v>0</v>
      </c>
      <c r="P15" s="526">
        <v>0</v>
      </c>
      <c r="Q15" s="526">
        <v>0</v>
      </c>
      <c r="R15" s="526">
        <v>0</v>
      </c>
      <c r="S15" s="526">
        <v>0</v>
      </c>
      <c r="T15" s="526">
        <v>0</v>
      </c>
      <c r="U15" s="526">
        <v>0</v>
      </c>
      <c r="V15" s="526">
        <v>0</v>
      </c>
      <c r="W15" s="526">
        <v>0</v>
      </c>
      <c r="X15" s="526">
        <v>0</v>
      </c>
      <c r="Y15" s="46">
        <f t="shared" si="1"/>
        <v>0</v>
      </c>
      <c r="Z15" s="46">
        <f t="shared" si="2"/>
        <v>0</v>
      </c>
      <c r="AA15" s="50">
        <v>0</v>
      </c>
      <c r="AB15" s="50">
        <v>0</v>
      </c>
      <c r="AC15" s="48"/>
      <c r="AD15" s="480"/>
      <c r="AE15" s="202"/>
      <c r="AF15" s="202"/>
      <c r="AG15" s="202"/>
      <c r="AH15" s="202"/>
      <c r="AI15" s="202"/>
      <c r="AJ15" s="202"/>
    </row>
    <row r="16" spans="1:36" s="16" customFormat="1" ht="23.25" customHeight="1">
      <c r="A16" s="15">
        <v>6</v>
      </c>
      <c r="B16" s="46" t="s">
        <v>166</v>
      </c>
      <c r="C16" s="62">
        <f t="shared" si="0"/>
        <v>7071696766</v>
      </c>
      <c r="D16" s="250">
        <f t="shared" si="3"/>
        <v>6033788908</v>
      </c>
      <c r="E16" s="526">
        <v>6694459117</v>
      </c>
      <c r="F16" s="526">
        <v>5692233005</v>
      </c>
      <c r="G16" s="527">
        <v>48403599</v>
      </c>
      <c r="H16" s="526">
        <v>0</v>
      </c>
      <c r="I16" s="526">
        <v>176072246</v>
      </c>
      <c r="J16" s="526">
        <v>141524574</v>
      </c>
      <c r="K16" s="526">
        <v>17607225</v>
      </c>
      <c r="L16" s="526">
        <v>14152457</v>
      </c>
      <c r="M16" s="526">
        <v>198923925</v>
      </c>
      <c r="N16" s="526">
        <v>198839186</v>
      </c>
      <c r="O16" s="526">
        <v>49730981</v>
      </c>
      <c r="P16" s="526">
        <v>49709797</v>
      </c>
      <c r="Q16" s="526">
        <v>1049335</v>
      </c>
      <c r="R16" s="526">
        <v>0</v>
      </c>
      <c r="S16" s="526">
        <v>524668</v>
      </c>
      <c r="T16" s="526">
        <v>0</v>
      </c>
      <c r="U16" s="526">
        <v>1192143</v>
      </c>
      <c r="V16" s="526">
        <v>1192143</v>
      </c>
      <c r="W16" s="526">
        <v>1192143</v>
      </c>
      <c r="X16" s="526">
        <v>1192143</v>
      </c>
      <c r="Y16" s="46">
        <f t="shared" si="1"/>
        <v>69055017</v>
      </c>
      <c r="Z16" s="46">
        <f t="shared" si="2"/>
        <v>65054397</v>
      </c>
      <c r="AA16" s="50">
        <v>0</v>
      </c>
      <c r="AB16" s="50">
        <v>0</v>
      </c>
      <c r="AC16" s="482">
        <f>+'Aging Analysis'!C14</f>
        <v>7071696766</v>
      </c>
      <c r="AD16" s="480"/>
      <c r="AE16" s="202"/>
      <c r="AF16" s="202"/>
      <c r="AG16" s="202"/>
      <c r="AH16" s="202"/>
      <c r="AI16" s="202"/>
      <c r="AJ16" s="202"/>
    </row>
    <row r="17" spans="1:36" s="16" customFormat="1" ht="14.25" customHeight="1">
      <c r="A17" s="15"/>
      <c r="B17" s="61" t="s">
        <v>545</v>
      </c>
      <c r="C17" s="62">
        <f t="shared" si="0"/>
        <v>0</v>
      </c>
      <c r="D17" s="250">
        <f t="shared" si="3"/>
        <v>0</v>
      </c>
      <c r="E17" s="526">
        <v>0</v>
      </c>
      <c r="F17" s="526">
        <v>0</v>
      </c>
      <c r="G17" s="527">
        <v>0</v>
      </c>
      <c r="H17" s="526">
        <v>0</v>
      </c>
      <c r="I17" s="526">
        <v>0</v>
      </c>
      <c r="J17" s="526">
        <v>0</v>
      </c>
      <c r="K17" s="526">
        <v>0</v>
      </c>
      <c r="L17" s="526">
        <v>0</v>
      </c>
      <c r="M17" s="526">
        <v>0</v>
      </c>
      <c r="N17" s="526">
        <v>0</v>
      </c>
      <c r="O17" s="526">
        <v>0</v>
      </c>
      <c r="P17" s="526">
        <v>0</v>
      </c>
      <c r="Q17" s="526">
        <v>0</v>
      </c>
      <c r="R17" s="526">
        <v>0</v>
      </c>
      <c r="S17" s="526">
        <v>0</v>
      </c>
      <c r="T17" s="526">
        <v>0</v>
      </c>
      <c r="U17" s="526">
        <v>0</v>
      </c>
      <c r="V17" s="526">
        <v>0</v>
      </c>
      <c r="W17" s="526">
        <v>0</v>
      </c>
      <c r="X17" s="526">
        <v>0</v>
      </c>
      <c r="Y17" s="46">
        <f t="shared" si="1"/>
        <v>0</v>
      </c>
      <c r="Z17" s="46">
        <f t="shared" si="2"/>
        <v>0</v>
      </c>
      <c r="AA17" s="50">
        <v>0</v>
      </c>
      <c r="AB17" s="50">
        <v>0</v>
      </c>
      <c r="AC17" s="48"/>
      <c r="AD17" s="480"/>
      <c r="AE17" s="202"/>
      <c r="AF17" s="202"/>
      <c r="AG17" s="202"/>
      <c r="AH17" s="202"/>
      <c r="AI17" s="202"/>
      <c r="AJ17" s="202"/>
    </row>
    <row r="18" spans="1:36" s="16" customFormat="1" ht="23.25" customHeight="1">
      <c r="A18" s="15">
        <v>7</v>
      </c>
      <c r="B18" s="46" t="s">
        <v>167</v>
      </c>
      <c r="C18" s="62">
        <f t="shared" si="0"/>
        <v>17480739187</v>
      </c>
      <c r="D18" s="250">
        <f t="shared" si="3"/>
        <v>11703391440</v>
      </c>
      <c r="E18" s="526">
        <v>14026216736</v>
      </c>
      <c r="F18" s="526">
        <v>8984077621</v>
      </c>
      <c r="G18" s="527">
        <v>132046504</v>
      </c>
      <c r="H18" s="526">
        <v>0</v>
      </c>
      <c r="I18" s="526">
        <v>2311354917</v>
      </c>
      <c r="J18" s="526">
        <v>1958802939</v>
      </c>
      <c r="K18" s="526">
        <v>233321646</v>
      </c>
      <c r="L18" s="526">
        <v>189722638</v>
      </c>
      <c r="M18" s="526">
        <v>609379340</v>
      </c>
      <c r="N18" s="526">
        <v>400667794</v>
      </c>
      <c r="O18" s="526">
        <v>142655367</v>
      </c>
      <c r="P18" s="526">
        <v>90730354</v>
      </c>
      <c r="Q18" s="526">
        <v>161870514</v>
      </c>
      <c r="R18" s="526">
        <v>105016204</v>
      </c>
      <c r="S18" s="526">
        <v>75449928</v>
      </c>
      <c r="T18" s="526">
        <v>48240773</v>
      </c>
      <c r="U18" s="526">
        <v>371917680</v>
      </c>
      <c r="V18" s="526">
        <v>254826882</v>
      </c>
      <c r="W18" s="526">
        <v>370915880</v>
      </c>
      <c r="X18" s="526">
        <v>254826882</v>
      </c>
      <c r="Y18" s="46">
        <f t="shared" si="1"/>
        <v>822342821</v>
      </c>
      <c r="Z18" s="46">
        <f t="shared" si="2"/>
        <v>583520647</v>
      </c>
      <c r="AA18" s="50">
        <v>0</v>
      </c>
      <c r="AB18" s="50">
        <v>0</v>
      </c>
      <c r="AC18" s="482">
        <f>+'Aging Analysis'!C15</f>
        <v>17480739187</v>
      </c>
      <c r="AD18" s="480"/>
      <c r="AE18" s="202"/>
      <c r="AF18" s="202"/>
      <c r="AG18" s="202"/>
      <c r="AH18" s="202"/>
      <c r="AI18" s="202"/>
      <c r="AJ18" s="202"/>
    </row>
    <row r="19" spans="1:36" s="16" customFormat="1" ht="14.25" customHeight="1">
      <c r="A19" s="15"/>
      <c r="B19" s="61" t="s">
        <v>545</v>
      </c>
      <c r="C19" s="62">
        <f t="shared" si="0"/>
        <v>0</v>
      </c>
      <c r="D19" s="250">
        <f t="shared" si="3"/>
        <v>0</v>
      </c>
      <c r="E19" s="526">
        <v>0</v>
      </c>
      <c r="F19" s="526">
        <v>0</v>
      </c>
      <c r="G19" s="527">
        <v>0</v>
      </c>
      <c r="H19" s="526">
        <v>0</v>
      </c>
      <c r="I19" s="526">
        <v>0</v>
      </c>
      <c r="J19" s="526">
        <v>0</v>
      </c>
      <c r="K19" s="526">
        <v>0</v>
      </c>
      <c r="L19" s="526">
        <v>0</v>
      </c>
      <c r="M19" s="526">
        <v>0</v>
      </c>
      <c r="N19" s="526">
        <v>0</v>
      </c>
      <c r="O19" s="526">
        <v>0</v>
      </c>
      <c r="P19" s="526">
        <v>0</v>
      </c>
      <c r="Q19" s="526">
        <v>0</v>
      </c>
      <c r="R19" s="526">
        <v>0</v>
      </c>
      <c r="S19" s="526">
        <v>0</v>
      </c>
      <c r="T19" s="526">
        <v>0</v>
      </c>
      <c r="U19" s="526">
        <v>0</v>
      </c>
      <c r="V19" s="526">
        <v>0</v>
      </c>
      <c r="W19" s="526">
        <v>0</v>
      </c>
      <c r="X19" s="526">
        <v>0</v>
      </c>
      <c r="Y19" s="46">
        <f t="shared" si="1"/>
        <v>0</v>
      </c>
      <c r="Z19" s="46">
        <f t="shared" si="2"/>
        <v>0</v>
      </c>
      <c r="AA19" s="50">
        <v>0</v>
      </c>
      <c r="AB19" s="50">
        <v>0</v>
      </c>
      <c r="AC19" s="48"/>
      <c r="AD19" s="480"/>
      <c r="AE19" s="202"/>
      <c r="AF19" s="202"/>
      <c r="AG19" s="202"/>
      <c r="AH19" s="202"/>
      <c r="AI19" s="202"/>
      <c r="AJ19" s="202"/>
    </row>
    <row r="20" spans="1:36" s="16" customFormat="1" ht="23.25" customHeight="1">
      <c r="A20" s="15">
        <v>8</v>
      </c>
      <c r="B20" s="46" t="s">
        <v>168</v>
      </c>
      <c r="C20" s="62">
        <f t="shared" si="0"/>
        <v>225782941</v>
      </c>
      <c r="D20" s="250">
        <f t="shared" si="3"/>
        <v>130450552</v>
      </c>
      <c r="E20" s="526">
        <v>165041155</v>
      </c>
      <c r="F20" s="526">
        <v>97566132</v>
      </c>
      <c r="G20" s="527">
        <v>1419646</v>
      </c>
      <c r="H20" s="526">
        <v>0</v>
      </c>
      <c r="I20" s="526">
        <v>24195070</v>
      </c>
      <c r="J20" s="526">
        <v>8931220</v>
      </c>
      <c r="K20" s="526">
        <v>2419599</v>
      </c>
      <c r="L20" s="526">
        <v>893123</v>
      </c>
      <c r="M20" s="526">
        <v>16312042</v>
      </c>
      <c r="N20" s="526">
        <v>6396193</v>
      </c>
      <c r="O20" s="526">
        <v>4078010</v>
      </c>
      <c r="P20" s="526">
        <v>1599049</v>
      </c>
      <c r="Q20" s="526">
        <v>9503755</v>
      </c>
      <c r="R20" s="526">
        <v>7044478</v>
      </c>
      <c r="S20" s="526">
        <v>4751877</v>
      </c>
      <c r="T20" s="526">
        <v>3522240</v>
      </c>
      <c r="U20" s="526">
        <v>10730919</v>
      </c>
      <c r="V20" s="526">
        <v>10512529</v>
      </c>
      <c r="W20" s="526">
        <v>10730919</v>
      </c>
      <c r="X20" s="526">
        <v>10512530</v>
      </c>
      <c r="Y20" s="46">
        <f t="shared" si="1"/>
        <v>21980405</v>
      </c>
      <c r="Z20" s="46">
        <f t="shared" si="2"/>
        <v>16526942</v>
      </c>
      <c r="AA20" s="50">
        <v>0</v>
      </c>
      <c r="AB20" s="50">
        <v>0</v>
      </c>
      <c r="AC20" s="482">
        <f>+'Aging Analysis'!C16</f>
        <v>225782941</v>
      </c>
      <c r="AD20" s="480"/>
      <c r="AE20" s="202"/>
      <c r="AF20" s="202"/>
      <c r="AG20" s="202"/>
      <c r="AH20" s="202"/>
      <c r="AI20" s="202"/>
      <c r="AJ20" s="202"/>
    </row>
    <row r="21" spans="1:36" s="16" customFormat="1" ht="14.25" customHeight="1">
      <c r="A21" s="15"/>
      <c r="B21" s="61" t="s">
        <v>545</v>
      </c>
      <c r="C21" s="62">
        <f t="shared" si="0"/>
        <v>0</v>
      </c>
      <c r="D21" s="250">
        <f t="shared" si="3"/>
        <v>0</v>
      </c>
      <c r="E21" s="526">
        <v>0</v>
      </c>
      <c r="F21" s="526">
        <v>0</v>
      </c>
      <c r="G21" s="527">
        <v>0</v>
      </c>
      <c r="H21" s="526">
        <v>0</v>
      </c>
      <c r="I21" s="526">
        <v>0</v>
      </c>
      <c r="J21" s="526">
        <v>0</v>
      </c>
      <c r="K21" s="526">
        <v>0</v>
      </c>
      <c r="L21" s="526">
        <v>0</v>
      </c>
      <c r="M21" s="526">
        <v>0</v>
      </c>
      <c r="N21" s="526">
        <v>0</v>
      </c>
      <c r="O21" s="526">
        <v>0</v>
      </c>
      <c r="P21" s="526">
        <v>0</v>
      </c>
      <c r="Q21" s="526">
        <v>0</v>
      </c>
      <c r="R21" s="526">
        <v>0</v>
      </c>
      <c r="S21" s="526">
        <v>0</v>
      </c>
      <c r="T21" s="526">
        <v>0</v>
      </c>
      <c r="U21" s="526">
        <v>0</v>
      </c>
      <c r="V21" s="526">
        <v>0</v>
      </c>
      <c r="W21" s="526">
        <v>0</v>
      </c>
      <c r="X21" s="526">
        <v>0</v>
      </c>
      <c r="Y21" s="46">
        <f t="shared" si="1"/>
        <v>0</v>
      </c>
      <c r="Z21" s="46">
        <f t="shared" si="2"/>
        <v>0</v>
      </c>
      <c r="AA21" s="50">
        <v>0</v>
      </c>
      <c r="AB21" s="50">
        <v>0</v>
      </c>
      <c r="AC21" s="48"/>
      <c r="AD21" s="480"/>
      <c r="AE21" s="202"/>
      <c r="AF21" s="202"/>
      <c r="AG21" s="202"/>
      <c r="AH21" s="202"/>
      <c r="AI21" s="202"/>
      <c r="AJ21" s="202"/>
    </row>
    <row r="22" spans="1:36" s="16" customFormat="1" ht="23.25" customHeight="1">
      <c r="A22" s="15">
        <v>9</v>
      </c>
      <c r="B22" s="46" t="s">
        <v>169</v>
      </c>
      <c r="C22" s="62">
        <f t="shared" si="0"/>
        <v>3315923</v>
      </c>
      <c r="D22" s="250">
        <f t="shared" si="3"/>
        <v>0</v>
      </c>
      <c r="E22" s="526">
        <v>0</v>
      </c>
      <c r="F22" s="526">
        <v>0</v>
      </c>
      <c r="G22" s="527">
        <v>61194</v>
      </c>
      <c r="H22" s="526">
        <v>0</v>
      </c>
      <c r="I22" s="526">
        <v>3315923</v>
      </c>
      <c r="J22" s="526">
        <v>0</v>
      </c>
      <c r="K22" s="526">
        <v>331592</v>
      </c>
      <c r="L22" s="526">
        <v>0</v>
      </c>
      <c r="M22" s="526">
        <v>0</v>
      </c>
      <c r="N22" s="526">
        <v>0</v>
      </c>
      <c r="O22" s="526">
        <v>0</v>
      </c>
      <c r="P22" s="526">
        <v>0</v>
      </c>
      <c r="Q22" s="526">
        <v>0</v>
      </c>
      <c r="R22" s="526">
        <v>0</v>
      </c>
      <c r="S22" s="526">
        <v>0</v>
      </c>
      <c r="T22" s="526">
        <v>0</v>
      </c>
      <c r="U22" s="526">
        <v>0</v>
      </c>
      <c r="V22" s="526">
        <v>0</v>
      </c>
      <c r="W22" s="526">
        <v>0</v>
      </c>
      <c r="X22" s="526">
        <v>0</v>
      </c>
      <c r="Y22" s="46">
        <f t="shared" si="1"/>
        <v>331592</v>
      </c>
      <c r="Z22" s="46">
        <f t="shared" si="2"/>
        <v>0</v>
      </c>
      <c r="AA22" s="50">
        <v>0</v>
      </c>
      <c r="AB22" s="50">
        <v>0</v>
      </c>
      <c r="AC22" s="482">
        <f>+'Aging Analysis'!C17</f>
        <v>3315923</v>
      </c>
      <c r="AD22" s="480"/>
      <c r="AE22" s="202"/>
      <c r="AF22" s="202"/>
      <c r="AG22" s="202"/>
      <c r="AH22" s="202"/>
      <c r="AI22" s="202"/>
      <c r="AJ22" s="202"/>
    </row>
    <row r="23" spans="1:36" s="16" customFormat="1" ht="14.25" customHeight="1">
      <c r="A23" s="15"/>
      <c r="B23" s="61" t="s">
        <v>545</v>
      </c>
      <c r="C23" s="62">
        <f t="shared" si="0"/>
        <v>0</v>
      </c>
      <c r="D23" s="250">
        <f t="shared" si="3"/>
        <v>0</v>
      </c>
      <c r="E23" s="526">
        <v>0</v>
      </c>
      <c r="F23" s="526">
        <v>0</v>
      </c>
      <c r="G23" s="527">
        <v>0</v>
      </c>
      <c r="H23" s="526">
        <v>0</v>
      </c>
      <c r="I23" s="526">
        <v>0</v>
      </c>
      <c r="J23" s="526">
        <v>0</v>
      </c>
      <c r="K23" s="526">
        <v>0</v>
      </c>
      <c r="L23" s="526">
        <v>0</v>
      </c>
      <c r="M23" s="526">
        <v>0</v>
      </c>
      <c r="N23" s="526">
        <v>0</v>
      </c>
      <c r="O23" s="526">
        <v>0</v>
      </c>
      <c r="P23" s="526">
        <v>0</v>
      </c>
      <c r="Q23" s="526">
        <v>0</v>
      </c>
      <c r="R23" s="526">
        <v>0</v>
      </c>
      <c r="S23" s="526">
        <v>0</v>
      </c>
      <c r="T23" s="526">
        <v>0</v>
      </c>
      <c r="U23" s="526">
        <v>0</v>
      </c>
      <c r="V23" s="526">
        <v>0</v>
      </c>
      <c r="W23" s="526">
        <v>0</v>
      </c>
      <c r="X23" s="526">
        <v>0</v>
      </c>
      <c r="Y23" s="46">
        <f t="shared" si="1"/>
        <v>0</v>
      </c>
      <c r="Z23" s="46">
        <f t="shared" si="2"/>
        <v>0</v>
      </c>
      <c r="AA23" s="50">
        <v>0</v>
      </c>
      <c r="AB23" s="50">
        <v>0</v>
      </c>
      <c r="AC23" s="48"/>
      <c r="AD23" s="480"/>
      <c r="AE23" s="202"/>
      <c r="AF23" s="202"/>
      <c r="AG23" s="202"/>
      <c r="AH23" s="202"/>
      <c r="AI23" s="202"/>
      <c r="AJ23" s="202"/>
    </row>
    <row r="24" spans="1:36" s="16" customFormat="1" ht="23.25" customHeight="1">
      <c r="A24" s="15">
        <v>10</v>
      </c>
      <c r="B24" s="46" t="s">
        <v>170</v>
      </c>
      <c r="C24" s="62">
        <f t="shared" si="0"/>
        <v>120092235</v>
      </c>
      <c r="D24" s="250">
        <f t="shared" si="3"/>
        <v>0</v>
      </c>
      <c r="E24" s="526">
        <v>49169250</v>
      </c>
      <c r="F24" s="526">
        <v>0</v>
      </c>
      <c r="G24" s="527">
        <v>531430</v>
      </c>
      <c r="H24" s="526">
        <v>0</v>
      </c>
      <c r="I24" s="526">
        <v>6380160</v>
      </c>
      <c r="J24" s="526">
        <v>0</v>
      </c>
      <c r="K24" s="526">
        <v>638016</v>
      </c>
      <c r="L24" s="526">
        <v>0</v>
      </c>
      <c r="M24" s="526">
        <v>8383148</v>
      </c>
      <c r="N24" s="526">
        <v>0</v>
      </c>
      <c r="O24" s="526">
        <v>1817528</v>
      </c>
      <c r="P24" s="526">
        <v>0</v>
      </c>
      <c r="Q24" s="526">
        <v>4721493</v>
      </c>
      <c r="R24" s="526">
        <v>0</v>
      </c>
      <c r="S24" s="526">
        <v>2360747</v>
      </c>
      <c r="T24" s="526">
        <v>0</v>
      </c>
      <c r="U24" s="526">
        <v>51438184</v>
      </c>
      <c r="V24" s="526">
        <v>0</v>
      </c>
      <c r="W24" s="526">
        <v>51438185</v>
      </c>
      <c r="X24" s="526">
        <v>0</v>
      </c>
      <c r="Y24" s="46">
        <f t="shared" si="1"/>
        <v>56254476</v>
      </c>
      <c r="Z24" s="46">
        <f t="shared" si="2"/>
        <v>0</v>
      </c>
      <c r="AA24" s="50">
        <v>0</v>
      </c>
      <c r="AB24" s="50">
        <v>0</v>
      </c>
      <c r="AC24" s="482">
        <f>+'Aging Analysis'!C18</f>
        <v>120092235</v>
      </c>
      <c r="AD24" s="480"/>
      <c r="AE24" s="202"/>
      <c r="AF24" s="202"/>
      <c r="AG24" s="202"/>
      <c r="AH24" s="202"/>
      <c r="AI24" s="202"/>
      <c r="AJ24" s="202"/>
    </row>
    <row r="25" spans="1:36" s="16" customFormat="1" ht="14.25" customHeight="1">
      <c r="A25" s="15"/>
      <c r="B25" s="61" t="s">
        <v>545</v>
      </c>
      <c r="C25" s="62">
        <f t="shared" si="0"/>
        <v>0</v>
      </c>
      <c r="D25" s="250">
        <f t="shared" si="3"/>
        <v>0</v>
      </c>
      <c r="E25" s="526">
        <v>0</v>
      </c>
      <c r="F25" s="526">
        <v>0</v>
      </c>
      <c r="G25" s="527">
        <v>0</v>
      </c>
      <c r="H25" s="526">
        <v>0</v>
      </c>
      <c r="I25" s="526">
        <v>0</v>
      </c>
      <c r="J25" s="526">
        <v>0</v>
      </c>
      <c r="K25" s="526">
        <v>0</v>
      </c>
      <c r="L25" s="526">
        <v>0</v>
      </c>
      <c r="M25" s="526">
        <v>0</v>
      </c>
      <c r="N25" s="526">
        <v>0</v>
      </c>
      <c r="O25" s="526">
        <v>0</v>
      </c>
      <c r="P25" s="526">
        <v>0</v>
      </c>
      <c r="Q25" s="526">
        <v>0</v>
      </c>
      <c r="R25" s="526">
        <v>0</v>
      </c>
      <c r="S25" s="526">
        <v>0</v>
      </c>
      <c r="T25" s="526">
        <v>0</v>
      </c>
      <c r="U25" s="526">
        <v>0</v>
      </c>
      <c r="V25" s="526">
        <v>0</v>
      </c>
      <c r="W25" s="526">
        <v>0</v>
      </c>
      <c r="X25" s="526">
        <v>0</v>
      </c>
      <c r="Y25" s="46">
        <f t="shared" si="1"/>
        <v>0</v>
      </c>
      <c r="Z25" s="46">
        <f t="shared" si="2"/>
        <v>0</v>
      </c>
      <c r="AA25" s="50">
        <v>0</v>
      </c>
      <c r="AB25" s="50">
        <v>0</v>
      </c>
      <c r="AC25" s="48"/>
      <c r="AD25" s="480"/>
      <c r="AE25" s="202"/>
      <c r="AF25" s="202"/>
      <c r="AG25" s="202"/>
      <c r="AH25" s="202"/>
      <c r="AI25" s="202"/>
      <c r="AJ25" s="202"/>
    </row>
    <row r="26" spans="1:36" s="16" customFormat="1" ht="23.25" customHeight="1">
      <c r="A26" s="15">
        <v>11</v>
      </c>
      <c r="B26" s="46" t="s">
        <v>171</v>
      </c>
      <c r="C26" s="62">
        <f t="shared" si="0"/>
        <v>0</v>
      </c>
      <c r="D26" s="250">
        <f t="shared" si="3"/>
        <v>0</v>
      </c>
      <c r="E26" s="526">
        <v>0</v>
      </c>
      <c r="F26" s="526">
        <v>0</v>
      </c>
      <c r="G26" s="527">
        <v>0</v>
      </c>
      <c r="H26" s="526">
        <v>0</v>
      </c>
      <c r="I26" s="526">
        <v>0</v>
      </c>
      <c r="J26" s="526">
        <v>0</v>
      </c>
      <c r="K26" s="526">
        <v>0</v>
      </c>
      <c r="L26" s="526">
        <v>0</v>
      </c>
      <c r="M26" s="526">
        <v>0</v>
      </c>
      <c r="N26" s="526">
        <v>0</v>
      </c>
      <c r="O26" s="526">
        <v>0</v>
      </c>
      <c r="P26" s="526">
        <v>0</v>
      </c>
      <c r="Q26" s="526">
        <v>0</v>
      </c>
      <c r="R26" s="526">
        <v>0</v>
      </c>
      <c r="S26" s="526">
        <v>0</v>
      </c>
      <c r="T26" s="526">
        <v>0</v>
      </c>
      <c r="U26" s="526">
        <v>0</v>
      </c>
      <c r="V26" s="526">
        <v>0</v>
      </c>
      <c r="W26" s="526">
        <v>0</v>
      </c>
      <c r="X26" s="526">
        <v>0</v>
      </c>
      <c r="Y26" s="46">
        <f t="shared" si="1"/>
        <v>0</v>
      </c>
      <c r="Z26" s="46">
        <f t="shared" si="2"/>
        <v>0</v>
      </c>
      <c r="AA26" s="50">
        <v>0</v>
      </c>
      <c r="AB26" s="50">
        <v>0</v>
      </c>
      <c r="AC26" s="482">
        <f>+'Aging Analysis'!C19</f>
        <v>0</v>
      </c>
      <c r="AD26" s="480"/>
      <c r="AE26" s="202"/>
      <c r="AF26" s="202"/>
      <c r="AG26" s="202"/>
      <c r="AH26" s="202"/>
      <c r="AI26" s="202"/>
      <c r="AJ26" s="202"/>
    </row>
    <row r="27" spans="1:36" s="16" customFormat="1" ht="14.25" customHeight="1">
      <c r="A27" s="15"/>
      <c r="B27" s="61" t="s">
        <v>545</v>
      </c>
      <c r="C27" s="62">
        <f t="shared" si="0"/>
        <v>0</v>
      </c>
      <c r="D27" s="250">
        <f t="shared" si="3"/>
        <v>0</v>
      </c>
      <c r="E27" s="526">
        <v>0</v>
      </c>
      <c r="F27" s="526">
        <v>0</v>
      </c>
      <c r="G27" s="527">
        <v>0</v>
      </c>
      <c r="H27" s="526">
        <v>0</v>
      </c>
      <c r="I27" s="526">
        <v>0</v>
      </c>
      <c r="J27" s="526">
        <v>0</v>
      </c>
      <c r="K27" s="526">
        <v>0</v>
      </c>
      <c r="L27" s="526">
        <v>0</v>
      </c>
      <c r="M27" s="526">
        <v>0</v>
      </c>
      <c r="N27" s="526">
        <v>0</v>
      </c>
      <c r="O27" s="526">
        <v>0</v>
      </c>
      <c r="P27" s="526">
        <v>0</v>
      </c>
      <c r="Q27" s="526">
        <v>0</v>
      </c>
      <c r="R27" s="526">
        <v>0</v>
      </c>
      <c r="S27" s="526">
        <v>0</v>
      </c>
      <c r="T27" s="526">
        <v>0</v>
      </c>
      <c r="U27" s="526">
        <v>0</v>
      </c>
      <c r="V27" s="526">
        <v>0</v>
      </c>
      <c r="W27" s="526">
        <v>0</v>
      </c>
      <c r="X27" s="526">
        <v>0</v>
      </c>
      <c r="Y27" s="46">
        <f t="shared" si="1"/>
        <v>0</v>
      </c>
      <c r="Z27" s="46">
        <f t="shared" si="2"/>
        <v>0</v>
      </c>
      <c r="AA27" s="50">
        <v>0</v>
      </c>
      <c r="AB27" s="50">
        <v>0</v>
      </c>
      <c r="AC27" s="48"/>
      <c r="AD27" s="480"/>
      <c r="AE27" s="202"/>
      <c r="AF27" s="202"/>
      <c r="AG27" s="202"/>
      <c r="AH27" s="202"/>
      <c r="AI27" s="202"/>
      <c r="AJ27" s="202"/>
    </row>
    <row r="28" spans="1:36" s="16" customFormat="1" ht="23.25" customHeight="1">
      <c r="A28" s="15">
        <v>12</v>
      </c>
      <c r="B28" s="46" t="s">
        <v>172</v>
      </c>
      <c r="C28" s="62">
        <f t="shared" si="0"/>
        <v>0</v>
      </c>
      <c r="D28" s="250">
        <f t="shared" si="3"/>
        <v>0</v>
      </c>
      <c r="E28" s="526">
        <v>0</v>
      </c>
      <c r="F28" s="526">
        <v>0</v>
      </c>
      <c r="G28" s="527">
        <v>0</v>
      </c>
      <c r="H28" s="526">
        <v>0</v>
      </c>
      <c r="I28" s="526">
        <v>0</v>
      </c>
      <c r="J28" s="526">
        <v>0</v>
      </c>
      <c r="K28" s="526">
        <v>0</v>
      </c>
      <c r="L28" s="526">
        <v>0</v>
      </c>
      <c r="M28" s="526">
        <v>0</v>
      </c>
      <c r="N28" s="526">
        <v>0</v>
      </c>
      <c r="O28" s="526">
        <v>0</v>
      </c>
      <c r="P28" s="526">
        <v>0</v>
      </c>
      <c r="Q28" s="526">
        <v>0</v>
      </c>
      <c r="R28" s="526">
        <v>0</v>
      </c>
      <c r="S28" s="526">
        <v>0</v>
      </c>
      <c r="T28" s="526">
        <v>0</v>
      </c>
      <c r="U28" s="526">
        <v>0</v>
      </c>
      <c r="V28" s="526">
        <v>0</v>
      </c>
      <c r="W28" s="526">
        <v>0</v>
      </c>
      <c r="X28" s="526">
        <v>0</v>
      </c>
      <c r="Y28" s="46">
        <f t="shared" si="1"/>
        <v>0</v>
      </c>
      <c r="Z28" s="46">
        <f t="shared" si="2"/>
        <v>0</v>
      </c>
      <c r="AA28" s="50">
        <v>297298225</v>
      </c>
      <c r="AB28" s="50">
        <v>4322078</v>
      </c>
      <c r="AC28" s="482">
        <f>+'Aging Analysis'!C20</f>
        <v>0</v>
      </c>
      <c r="AD28" s="480"/>
      <c r="AE28" s="202"/>
      <c r="AF28" s="202"/>
      <c r="AG28" s="202"/>
      <c r="AH28" s="202"/>
      <c r="AI28" s="202"/>
      <c r="AJ28" s="202"/>
    </row>
    <row r="29" spans="1:36" s="16" customFormat="1" ht="14.25" customHeight="1">
      <c r="A29" s="15"/>
      <c r="B29" s="61" t="s">
        <v>545</v>
      </c>
      <c r="C29" s="62">
        <f t="shared" si="0"/>
        <v>0</v>
      </c>
      <c r="D29" s="250">
        <f t="shared" si="3"/>
        <v>0</v>
      </c>
      <c r="E29" s="526">
        <v>0</v>
      </c>
      <c r="F29" s="526">
        <v>0</v>
      </c>
      <c r="G29" s="527">
        <v>0</v>
      </c>
      <c r="H29" s="526">
        <v>0</v>
      </c>
      <c r="I29" s="526">
        <v>0</v>
      </c>
      <c r="J29" s="526">
        <v>0</v>
      </c>
      <c r="K29" s="526">
        <v>0</v>
      </c>
      <c r="L29" s="526">
        <v>0</v>
      </c>
      <c r="M29" s="526">
        <v>0</v>
      </c>
      <c r="N29" s="526">
        <v>0</v>
      </c>
      <c r="O29" s="526">
        <v>0</v>
      </c>
      <c r="P29" s="526">
        <v>0</v>
      </c>
      <c r="Q29" s="526">
        <v>0</v>
      </c>
      <c r="R29" s="526">
        <v>0</v>
      </c>
      <c r="S29" s="526">
        <v>0</v>
      </c>
      <c r="T29" s="526">
        <v>0</v>
      </c>
      <c r="U29" s="526">
        <v>0</v>
      </c>
      <c r="V29" s="526">
        <v>0</v>
      </c>
      <c r="W29" s="526">
        <v>0</v>
      </c>
      <c r="X29" s="526">
        <v>0</v>
      </c>
      <c r="Y29" s="46">
        <f t="shared" si="1"/>
        <v>0</v>
      </c>
      <c r="Z29" s="46">
        <f t="shared" si="2"/>
        <v>0</v>
      </c>
      <c r="AA29" s="50">
        <v>0</v>
      </c>
      <c r="AB29" s="50">
        <v>0</v>
      </c>
      <c r="AC29" s="480"/>
      <c r="AD29" s="480"/>
      <c r="AE29" s="202"/>
      <c r="AF29" s="202"/>
      <c r="AG29" s="202"/>
      <c r="AH29" s="202"/>
      <c r="AI29" s="202"/>
      <c r="AJ29" s="202"/>
    </row>
    <row r="30" spans="1:36" s="66" customFormat="1" ht="28.5" customHeight="1">
      <c r="A30" s="167">
        <v>13</v>
      </c>
      <c r="B30" s="167" t="s">
        <v>173</v>
      </c>
      <c r="C30" s="170">
        <f t="shared" ref="C30:AB30" si="4">+C6+C8+C10+C12+C14+C16+C18+C20+C22+C24+C26+C28</f>
        <v>43147807488</v>
      </c>
      <c r="D30" s="170">
        <f t="shared" si="4"/>
        <v>28074829152</v>
      </c>
      <c r="E30" s="170">
        <f t="shared" si="4"/>
        <v>38864449980</v>
      </c>
      <c r="F30" s="170">
        <f t="shared" si="4"/>
        <v>24981075010</v>
      </c>
      <c r="G30" s="170">
        <f t="shared" si="4"/>
        <v>351509341</v>
      </c>
      <c r="H30" s="170">
        <f t="shared" si="4"/>
        <v>0</v>
      </c>
      <c r="I30" s="170">
        <f t="shared" si="4"/>
        <v>2653824211</v>
      </c>
      <c r="J30" s="170">
        <f t="shared" si="4"/>
        <v>2109258733</v>
      </c>
      <c r="K30" s="170">
        <f t="shared" si="4"/>
        <v>267633909</v>
      </c>
      <c r="L30" s="170">
        <f t="shared" si="4"/>
        <v>204768218</v>
      </c>
      <c r="M30" s="170">
        <f t="shared" si="4"/>
        <v>891521851</v>
      </c>
      <c r="N30" s="170">
        <f t="shared" si="4"/>
        <v>605903173</v>
      </c>
      <c r="O30" s="170">
        <f t="shared" si="4"/>
        <v>212612564</v>
      </c>
      <c r="P30" s="170">
        <f t="shared" si="4"/>
        <v>142039200</v>
      </c>
      <c r="Q30" s="170">
        <f t="shared" si="4"/>
        <v>209335568</v>
      </c>
      <c r="R30" s="170">
        <f t="shared" si="4"/>
        <v>112060682</v>
      </c>
      <c r="S30" s="170">
        <f t="shared" si="4"/>
        <v>99184650</v>
      </c>
      <c r="T30" s="170">
        <f t="shared" si="4"/>
        <v>51763013</v>
      </c>
      <c r="U30" s="170">
        <f t="shared" si="4"/>
        <v>528675878</v>
      </c>
      <c r="V30" s="170">
        <f t="shared" si="4"/>
        <v>266531554</v>
      </c>
      <c r="W30" s="170">
        <f t="shared" si="4"/>
        <v>527087558</v>
      </c>
      <c r="X30" s="170">
        <f t="shared" si="4"/>
        <v>266531555</v>
      </c>
      <c r="Y30" s="170">
        <f t="shared" si="4"/>
        <v>1106518681</v>
      </c>
      <c r="Z30" s="170">
        <f t="shared" si="4"/>
        <v>665101986</v>
      </c>
      <c r="AA30" s="481">
        <f t="shared" si="4"/>
        <v>328268321</v>
      </c>
      <c r="AB30" s="481">
        <f t="shared" si="4"/>
        <v>4724184</v>
      </c>
      <c r="AC30" s="480"/>
      <c r="AD30" s="480"/>
      <c r="AE30" s="202"/>
      <c r="AF30" s="202"/>
      <c r="AG30" s="202"/>
      <c r="AH30" s="202"/>
      <c r="AI30" s="202"/>
      <c r="AJ30" s="202"/>
    </row>
    <row r="31" spans="1:36" s="16" customFormat="1" ht="13.5" customHeight="1">
      <c r="A31" s="15"/>
      <c r="B31" s="61" t="s">
        <v>545</v>
      </c>
      <c r="C31" s="47">
        <f t="shared" ref="C31:Z31" si="5">+C7+C9+C11+C13+C15+C17+C19+C21+C23+C25+C27+C29</f>
        <v>0</v>
      </c>
      <c r="D31" s="47">
        <f t="shared" si="5"/>
        <v>0</v>
      </c>
      <c r="E31" s="47">
        <f t="shared" si="5"/>
        <v>0</v>
      </c>
      <c r="F31" s="47">
        <f t="shared" si="5"/>
        <v>0</v>
      </c>
      <c r="G31" s="47">
        <f t="shared" si="5"/>
        <v>0</v>
      </c>
      <c r="H31" s="47">
        <f t="shared" si="5"/>
        <v>0</v>
      </c>
      <c r="I31" s="47">
        <f t="shared" si="5"/>
        <v>0</v>
      </c>
      <c r="J31" s="47">
        <f t="shared" si="5"/>
        <v>0</v>
      </c>
      <c r="K31" s="47">
        <f t="shared" si="5"/>
        <v>0</v>
      </c>
      <c r="L31" s="47">
        <f t="shared" si="5"/>
        <v>0</v>
      </c>
      <c r="M31" s="47">
        <f t="shared" si="5"/>
        <v>0</v>
      </c>
      <c r="N31" s="47">
        <f t="shared" si="5"/>
        <v>0</v>
      </c>
      <c r="O31" s="47">
        <f t="shared" si="5"/>
        <v>0</v>
      </c>
      <c r="P31" s="47">
        <f t="shared" si="5"/>
        <v>0</v>
      </c>
      <c r="Q31" s="47">
        <f t="shared" si="5"/>
        <v>0</v>
      </c>
      <c r="R31" s="47">
        <f t="shared" si="5"/>
        <v>0</v>
      </c>
      <c r="S31" s="47">
        <f t="shared" si="5"/>
        <v>0</v>
      </c>
      <c r="T31" s="47">
        <f t="shared" si="5"/>
        <v>0</v>
      </c>
      <c r="U31" s="47">
        <f t="shared" si="5"/>
        <v>0</v>
      </c>
      <c r="V31" s="47">
        <f t="shared" si="5"/>
        <v>0</v>
      </c>
      <c r="W31" s="47">
        <f t="shared" si="5"/>
        <v>0</v>
      </c>
      <c r="X31" s="47">
        <f t="shared" si="5"/>
        <v>0</v>
      </c>
      <c r="Y31" s="47">
        <f t="shared" si="5"/>
        <v>0</v>
      </c>
      <c r="Z31" s="47">
        <f t="shared" si="5"/>
        <v>0</v>
      </c>
      <c r="AA31" s="47"/>
      <c r="AB31" s="47"/>
      <c r="AC31" s="480"/>
      <c r="AD31" s="480"/>
      <c r="AE31" s="202"/>
      <c r="AF31" s="202"/>
      <c r="AG31" s="202"/>
      <c r="AH31" s="202"/>
      <c r="AI31" s="202"/>
      <c r="AJ31" s="202"/>
    </row>
    <row r="32" spans="1:36" s="48" customFormat="1" ht="27.75" customHeight="1">
      <c r="A32" s="170"/>
      <c r="B32" s="170" t="s">
        <v>174</v>
      </c>
      <c r="C32" s="170"/>
      <c r="D32" s="170"/>
      <c r="E32" s="170"/>
      <c r="F32" s="170"/>
      <c r="G32" s="170"/>
      <c r="H32" s="170"/>
      <c r="I32" s="170"/>
      <c r="J32" s="170"/>
      <c r="K32" s="170"/>
      <c r="L32" s="170"/>
      <c r="M32" s="170"/>
      <c r="N32" s="170"/>
      <c r="O32" s="170"/>
      <c r="P32" s="170"/>
      <c r="Q32" s="170"/>
      <c r="R32" s="170"/>
      <c r="S32" s="170"/>
      <c r="T32" s="170"/>
      <c r="U32" s="170"/>
      <c r="V32" s="170"/>
      <c r="W32" s="170"/>
      <c r="X32" s="170"/>
      <c r="Y32" s="170"/>
      <c r="Z32" s="170"/>
      <c r="AA32" s="481"/>
      <c r="AB32" s="481"/>
      <c r="AC32" s="480"/>
      <c r="AD32" s="480"/>
      <c r="AE32" s="202"/>
      <c r="AF32" s="202"/>
      <c r="AG32" s="202"/>
      <c r="AH32" s="202"/>
      <c r="AI32" s="202"/>
      <c r="AJ32" s="202"/>
    </row>
    <row r="33" spans="1:36" s="48" customFormat="1" ht="7.5" customHeight="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80"/>
      <c r="AD33" s="480"/>
      <c r="AE33" s="202"/>
      <c r="AF33" s="202"/>
      <c r="AG33" s="202"/>
      <c r="AH33" s="202"/>
      <c r="AI33" s="202"/>
      <c r="AJ33" s="202"/>
    </row>
    <row r="34" spans="1:36" s="16" customFormat="1" ht="23.25" customHeight="1">
      <c r="A34" s="15">
        <v>14</v>
      </c>
      <c r="B34" s="143" t="s">
        <v>118</v>
      </c>
      <c r="C34" s="62">
        <f t="shared" ref="C34:D49" si="6">E34+I34+M34+Q34+U34</f>
        <v>26339734494</v>
      </c>
      <c r="D34" s="250">
        <f t="shared" si="6"/>
        <v>19689771990</v>
      </c>
      <c r="E34" s="528">
        <v>24017676507</v>
      </c>
      <c r="F34" s="526">
        <v>17657450884</v>
      </c>
      <c r="G34" s="527">
        <v>212769065</v>
      </c>
      <c r="H34" s="526">
        <v>0</v>
      </c>
      <c r="I34" s="528">
        <v>1540155198</v>
      </c>
      <c r="J34" s="526">
        <v>1383019941</v>
      </c>
      <c r="K34" s="528">
        <v>156602830</v>
      </c>
      <c r="L34" s="526">
        <v>132551069</v>
      </c>
      <c r="M34" s="528">
        <v>510574835</v>
      </c>
      <c r="N34" s="526">
        <v>436119781</v>
      </c>
      <c r="O34" s="528">
        <v>122228464</v>
      </c>
      <c r="P34" s="526">
        <v>103639700</v>
      </c>
      <c r="Q34" s="528">
        <v>91900978</v>
      </c>
      <c r="R34" s="526">
        <v>61659840</v>
      </c>
      <c r="S34" s="528">
        <v>40465160</v>
      </c>
      <c r="T34" s="526">
        <v>26562592</v>
      </c>
      <c r="U34" s="528">
        <v>179426976</v>
      </c>
      <c r="V34" s="526">
        <v>151521544</v>
      </c>
      <c r="W34" s="528">
        <v>179426976</v>
      </c>
      <c r="X34" s="526">
        <v>151521544</v>
      </c>
      <c r="Y34" s="249">
        <f>+W34+S34+O34+K34</f>
        <v>498723430</v>
      </c>
      <c r="Z34" s="249">
        <f>+X34+T34+P34+L34</f>
        <v>414274905</v>
      </c>
      <c r="AA34" s="50">
        <v>7502064</v>
      </c>
      <c r="AB34" s="50">
        <v>0</v>
      </c>
      <c r="AC34" s="482">
        <f>+'Aging Analysis'!C25</f>
        <v>26339734494</v>
      </c>
      <c r="AD34" s="480"/>
      <c r="AE34" s="202"/>
      <c r="AF34" s="202"/>
      <c r="AG34" s="202"/>
      <c r="AH34" s="202"/>
      <c r="AI34" s="202"/>
      <c r="AJ34" s="202"/>
    </row>
    <row r="35" spans="1:36" s="16" customFormat="1" ht="14.25" customHeight="1">
      <c r="A35" s="15"/>
      <c r="B35" s="61" t="s">
        <v>545</v>
      </c>
      <c r="C35" s="62">
        <f t="shared" si="6"/>
        <v>0</v>
      </c>
      <c r="D35" s="250">
        <f t="shared" si="6"/>
        <v>0</v>
      </c>
      <c r="E35" s="528">
        <v>0</v>
      </c>
      <c r="F35" s="526">
        <v>0</v>
      </c>
      <c r="G35" s="527">
        <v>0</v>
      </c>
      <c r="H35" s="526">
        <v>0</v>
      </c>
      <c r="I35" s="528">
        <v>0</v>
      </c>
      <c r="J35" s="526">
        <v>0</v>
      </c>
      <c r="K35" s="528">
        <v>0</v>
      </c>
      <c r="L35" s="526">
        <v>0</v>
      </c>
      <c r="M35" s="528">
        <v>0</v>
      </c>
      <c r="N35" s="526">
        <v>0</v>
      </c>
      <c r="O35" s="528">
        <v>0</v>
      </c>
      <c r="P35" s="526">
        <v>0</v>
      </c>
      <c r="Q35" s="528">
        <v>0</v>
      </c>
      <c r="R35" s="526">
        <v>0</v>
      </c>
      <c r="S35" s="528">
        <v>0</v>
      </c>
      <c r="T35" s="526">
        <v>0</v>
      </c>
      <c r="U35" s="528">
        <v>0</v>
      </c>
      <c r="V35" s="526">
        <v>0</v>
      </c>
      <c r="W35" s="528">
        <v>0</v>
      </c>
      <c r="X35" s="526">
        <v>0</v>
      </c>
      <c r="Y35" s="46">
        <f t="shared" ref="Y35:Y49" si="7">+W35+S35+O35+K35</f>
        <v>0</v>
      </c>
      <c r="Z35" s="46">
        <f t="shared" ref="Z35:Z49" si="8">+X35+T35+P35+L35</f>
        <v>0</v>
      </c>
      <c r="AA35" s="50">
        <v>0</v>
      </c>
      <c r="AB35" s="50">
        <v>0</v>
      </c>
      <c r="AC35" s="48"/>
      <c r="AD35" s="480"/>
      <c r="AE35" s="202"/>
      <c r="AF35" s="202"/>
      <c r="AG35" s="202"/>
      <c r="AH35" s="202"/>
      <c r="AI35" s="202"/>
      <c r="AJ35" s="202"/>
    </row>
    <row r="36" spans="1:36" s="16" customFormat="1" ht="23.25" customHeight="1">
      <c r="A36" s="15">
        <v>15</v>
      </c>
      <c r="B36" s="46" t="s">
        <v>126</v>
      </c>
      <c r="C36" s="62">
        <f t="shared" si="6"/>
        <v>3143324750</v>
      </c>
      <c r="D36" s="250">
        <f t="shared" si="6"/>
        <v>1776340122</v>
      </c>
      <c r="E36" s="528">
        <v>2501407678</v>
      </c>
      <c r="F36" s="526">
        <v>1336822403</v>
      </c>
      <c r="G36" s="527">
        <v>25454769</v>
      </c>
      <c r="H36" s="526">
        <v>0</v>
      </c>
      <c r="I36" s="528">
        <v>345980999</v>
      </c>
      <c r="J36" s="526">
        <v>271964312</v>
      </c>
      <c r="K36" s="528">
        <v>34630705</v>
      </c>
      <c r="L36" s="526">
        <v>27228944</v>
      </c>
      <c r="M36" s="528">
        <v>209016168</v>
      </c>
      <c r="N36" s="526">
        <v>101422966</v>
      </c>
      <c r="O36" s="528">
        <v>52254042</v>
      </c>
      <c r="P36" s="526">
        <v>25355742</v>
      </c>
      <c r="Q36" s="528">
        <v>41104177</v>
      </c>
      <c r="R36" s="526">
        <v>34546725</v>
      </c>
      <c r="S36" s="528">
        <v>20552089</v>
      </c>
      <c r="T36" s="526">
        <v>17273363</v>
      </c>
      <c r="U36" s="528">
        <v>45815728</v>
      </c>
      <c r="V36" s="526">
        <v>31583716</v>
      </c>
      <c r="W36" s="528">
        <v>45815728</v>
      </c>
      <c r="X36" s="526">
        <v>31583716</v>
      </c>
      <c r="Y36" s="249">
        <f t="shared" si="7"/>
        <v>153252564</v>
      </c>
      <c r="Z36" s="249">
        <f t="shared" si="8"/>
        <v>101441765</v>
      </c>
      <c r="AA36" s="50">
        <v>2888856</v>
      </c>
      <c r="AB36" s="50">
        <v>0</v>
      </c>
      <c r="AC36" s="482">
        <f>+'Aging Analysis'!C26</f>
        <v>3143324750</v>
      </c>
      <c r="AD36" s="480"/>
      <c r="AE36" s="202"/>
      <c r="AF36" s="202"/>
      <c r="AG36" s="202"/>
      <c r="AH36" s="202"/>
      <c r="AI36" s="202"/>
      <c r="AJ36" s="202"/>
    </row>
    <row r="37" spans="1:36" s="16" customFormat="1" ht="14.25" customHeight="1">
      <c r="A37" s="15"/>
      <c r="B37" s="61" t="s">
        <v>545</v>
      </c>
      <c r="C37" s="62">
        <f t="shared" si="6"/>
        <v>0</v>
      </c>
      <c r="D37" s="250">
        <f t="shared" si="6"/>
        <v>0</v>
      </c>
      <c r="E37" s="528">
        <v>0</v>
      </c>
      <c r="F37" s="526">
        <v>0</v>
      </c>
      <c r="G37" s="527">
        <v>0</v>
      </c>
      <c r="H37" s="526">
        <v>0</v>
      </c>
      <c r="I37" s="528">
        <v>0</v>
      </c>
      <c r="J37" s="526">
        <v>0</v>
      </c>
      <c r="K37" s="528">
        <v>0</v>
      </c>
      <c r="L37" s="526">
        <v>0</v>
      </c>
      <c r="M37" s="528">
        <v>0</v>
      </c>
      <c r="N37" s="526">
        <v>0</v>
      </c>
      <c r="O37" s="528">
        <v>0</v>
      </c>
      <c r="P37" s="526">
        <v>0</v>
      </c>
      <c r="Q37" s="528">
        <v>0</v>
      </c>
      <c r="R37" s="526">
        <v>0</v>
      </c>
      <c r="S37" s="528">
        <v>0</v>
      </c>
      <c r="T37" s="526">
        <v>0</v>
      </c>
      <c r="U37" s="528">
        <v>0</v>
      </c>
      <c r="V37" s="526">
        <v>0</v>
      </c>
      <c r="W37" s="528">
        <v>0</v>
      </c>
      <c r="X37" s="526">
        <v>0</v>
      </c>
      <c r="Y37" s="46">
        <f t="shared" si="7"/>
        <v>0</v>
      </c>
      <c r="Z37" s="46">
        <f t="shared" si="8"/>
        <v>0</v>
      </c>
      <c r="AA37" s="50">
        <v>0</v>
      </c>
      <c r="AB37" s="50">
        <v>0</v>
      </c>
      <c r="AC37" s="48"/>
      <c r="AD37" s="480"/>
      <c r="AE37" s="202"/>
      <c r="AF37" s="202"/>
      <c r="AG37" s="202"/>
      <c r="AH37" s="202"/>
      <c r="AI37" s="202"/>
      <c r="AJ37" s="202"/>
    </row>
    <row r="38" spans="1:36" s="16" customFormat="1" ht="23.25" customHeight="1">
      <c r="A38" s="15">
        <v>16</v>
      </c>
      <c r="B38" s="46" t="s">
        <v>129</v>
      </c>
      <c r="C38" s="62">
        <f t="shared" si="6"/>
        <v>3463692914</v>
      </c>
      <c r="D38" s="250">
        <f t="shared" si="6"/>
        <v>3081468343</v>
      </c>
      <c r="E38" s="528">
        <v>3136975834</v>
      </c>
      <c r="F38" s="526">
        <v>2825496464</v>
      </c>
      <c r="G38" s="527">
        <v>35487390</v>
      </c>
      <c r="H38" s="526">
        <v>0</v>
      </c>
      <c r="I38" s="528">
        <v>281411015</v>
      </c>
      <c r="J38" s="526">
        <v>224331010</v>
      </c>
      <c r="K38" s="528">
        <v>28146677</v>
      </c>
      <c r="L38" s="526">
        <v>22433101</v>
      </c>
      <c r="M38" s="528">
        <v>5914551</v>
      </c>
      <c r="N38" s="526">
        <v>3153709</v>
      </c>
      <c r="O38" s="528">
        <v>1478638</v>
      </c>
      <c r="P38" s="526">
        <v>788427</v>
      </c>
      <c r="Q38" s="528">
        <v>14300178</v>
      </c>
      <c r="R38" s="526">
        <v>9561677</v>
      </c>
      <c r="S38" s="528">
        <v>7150089</v>
      </c>
      <c r="T38" s="526">
        <v>4780838</v>
      </c>
      <c r="U38" s="528">
        <v>25091336</v>
      </c>
      <c r="V38" s="526">
        <v>18925483</v>
      </c>
      <c r="W38" s="528">
        <v>25091336</v>
      </c>
      <c r="X38" s="526">
        <v>18925483</v>
      </c>
      <c r="Y38" s="249">
        <f t="shared" si="7"/>
        <v>61866740</v>
      </c>
      <c r="Z38" s="249">
        <f t="shared" si="8"/>
        <v>46927849</v>
      </c>
      <c r="AA38" s="50">
        <v>26352895</v>
      </c>
      <c r="AB38" s="50">
        <v>52300</v>
      </c>
      <c r="AC38" s="482">
        <f>+'Aging Analysis'!C27</f>
        <v>3463692914</v>
      </c>
      <c r="AD38" s="480"/>
      <c r="AE38" s="202"/>
      <c r="AF38" s="202"/>
      <c r="AG38" s="202"/>
      <c r="AH38" s="202"/>
      <c r="AI38" s="202"/>
      <c r="AJ38" s="202"/>
    </row>
    <row r="39" spans="1:36" s="16" customFormat="1" ht="14.25" customHeight="1">
      <c r="A39" s="15"/>
      <c r="B39" s="61" t="s">
        <v>545</v>
      </c>
      <c r="C39" s="62">
        <f t="shared" si="6"/>
        <v>0</v>
      </c>
      <c r="D39" s="250">
        <f t="shared" si="6"/>
        <v>0</v>
      </c>
      <c r="E39" s="528">
        <v>0</v>
      </c>
      <c r="F39" s="526">
        <v>0</v>
      </c>
      <c r="G39" s="527">
        <v>0</v>
      </c>
      <c r="H39" s="526">
        <v>0</v>
      </c>
      <c r="I39" s="528">
        <v>0</v>
      </c>
      <c r="J39" s="526">
        <v>0</v>
      </c>
      <c r="K39" s="528">
        <v>0</v>
      </c>
      <c r="L39" s="526">
        <v>0</v>
      </c>
      <c r="M39" s="528">
        <v>0</v>
      </c>
      <c r="N39" s="526">
        <v>0</v>
      </c>
      <c r="O39" s="528">
        <v>0</v>
      </c>
      <c r="P39" s="526">
        <v>0</v>
      </c>
      <c r="Q39" s="528">
        <v>0</v>
      </c>
      <c r="R39" s="526">
        <v>0</v>
      </c>
      <c r="S39" s="528">
        <v>0</v>
      </c>
      <c r="T39" s="526">
        <v>0</v>
      </c>
      <c r="U39" s="528">
        <v>0</v>
      </c>
      <c r="V39" s="526">
        <v>0</v>
      </c>
      <c r="W39" s="528">
        <v>0</v>
      </c>
      <c r="X39" s="526">
        <v>0</v>
      </c>
      <c r="Y39" s="46">
        <f t="shared" si="7"/>
        <v>0</v>
      </c>
      <c r="Z39" s="46">
        <f t="shared" si="8"/>
        <v>0</v>
      </c>
      <c r="AA39" s="50">
        <v>0</v>
      </c>
      <c r="AB39" s="50">
        <v>0</v>
      </c>
      <c r="AC39" s="48"/>
      <c r="AD39" s="480"/>
      <c r="AE39" s="202"/>
      <c r="AF39" s="202"/>
      <c r="AG39" s="202"/>
      <c r="AH39" s="202"/>
      <c r="AI39" s="202"/>
      <c r="AJ39" s="202"/>
    </row>
    <row r="40" spans="1:36" s="16" customFormat="1" ht="23.25" customHeight="1">
      <c r="A40" s="15">
        <v>17</v>
      </c>
      <c r="B40" s="46" t="s">
        <v>131</v>
      </c>
      <c r="C40" s="62">
        <f t="shared" si="6"/>
        <v>823680530</v>
      </c>
      <c r="D40" s="250">
        <f t="shared" si="6"/>
        <v>479477004</v>
      </c>
      <c r="E40" s="528">
        <v>706711007</v>
      </c>
      <c r="F40" s="526">
        <v>431625747</v>
      </c>
      <c r="G40" s="527">
        <v>6400543</v>
      </c>
      <c r="H40" s="526">
        <v>0</v>
      </c>
      <c r="I40" s="528">
        <v>62200072</v>
      </c>
      <c r="J40" s="526">
        <v>34220974</v>
      </c>
      <c r="K40" s="528">
        <v>6220007</v>
      </c>
      <c r="L40" s="526">
        <v>3422097</v>
      </c>
      <c r="M40" s="528">
        <v>37622836</v>
      </c>
      <c r="N40" s="526">
        <v>13630283</v>
      </c>
      <c r="O40" s="528">
        <v>9405709</v>
      </c>
      <c r="P40" s="526">
        <v>3407571</v>
      </c>
      <c r="Q40" s="528">
        <v>8646686</v>
      </c>
      <c r="R40" s="526">
        <v>0</v>
      </c>
      <c r="S40" s="528">
        <v>4323343</v>
      </c>
      <c r="T40" s="526">
        <v>0</v>
      </c>
      <c r="U40" s="528">
        <v>8499929</v>
      </c>
      <c r="V40" s="526">
        <v>0</v>
      </c>
      <c r="W40" s="528">
        <v>8499929</v>
      </c>
      <c r="X40" s="526">
        <v>0</v>
      </c>
      <c r="Y40" s="249">
        <f t="shared" si="7"/>
        <v>28448988</v>
      </c>
      <c r="Z40" s="249">
        <f t="shared" si="8"/>
        <v>6829668</v>
      </c>
      <c r="AA40" s="50">
        <v>41846231</v>
      </c>
      <c r="AB40" s="50">
        <v>0</v>
      </c>
      <c r="AC40" s="482">
        <f>+'Aging Analysis'!C28</f>
        <v>823680530</v>
      </c>
      <c r="AD40" s="480"/>
      <c r="AE40" s="202"/>
      <c r="AF40" s="202"/>
      <c r="AG40" s="202"/>
      <c r="AH40" s="202"/>
      <c r="AI40" s="202"/>
      <c r="AJ40" s="202"/>
    </row>
    <row r="41" spans="1:36" s="16" customFormat="1" ht="14.25" customHeight="1">
      <c r="A41" s="15"/>
      <c r="B41" s="61" t="s">
        <v>545</v>
      </c>
      <c r="C41" s="62">
        <f t="shared" si="6"/>
        <v>0</v>
      </c>
      <c r="D41" s="250">
        <f t="shared" si="6"/>
        <v>0</v>
      </c>
      <c r="E41" s="528">
        <v>0</v>
      </c>
      <c r="F41" s="526">
        <v>0</v>
      </c>
      <c r="G41" s="527">
        <v>0</v>
      </c>
      <c r="H41" s="526">
        <v>0</v>
      </c>
      <c r="I41" s="528">
        <v>0</v>
      </c>
      <c r="J41" s="526">
        <v>0</v>
      </c>
      <c r="K41" s="528">
        <v>0</v>
      </c>
      <c r="L41" s="526">
        <v>0</v>
      </c>
      <c r="M41" s="528">
        <v>0</v>
      </c>
      <c r="N41" s="526">
        <v>0</v>
      </c>
      <c r="O41" s="528">
        <v>0</v>
      </c>
      <c r="P41" s="526">
        <v>0</v>
      </c>
      <c r="Q41" s="528">
        <v>0</v>
      </c>
      <c r="R41" s="526">
        <v>0</v>
      </c>
      <c r="S41" s="528">
        <v>0</v>
      </c>
      <c r="T41" s="526">
        <v>0</v>
      </c>
      <c r="U41" s="528">
        <v>0</v>
      </c>
      <c r="V41" s="526">
        <v>0</v>
      </c>
      <c r="W41" s="528">
        <v>0</v>
      </c>
      <c r="X41" s="526">
        <v>0</v>
      </c>
      <c r="Y41" s="46">
        <f t="shared" si="7"/>
        <v>0</v>
      </c>
      <c r="Z41" s="46">
        <f t="shared" si="8"/>
        <v>0</v>
      </c>
      <c r="AA41" s="50">
        <v>0</v>
      </c>
      <c r="AB41" s="50">
        <v>0</v>
      </c>
      <c r="AC41" s="48"/>
      <c r="AD41" s="480"/>
      <c r="AE41" s="202"/>
      <c r="AF41" s="202"/>
      <c r="AG41" s="202"/>
      <c r="AH41" s="202"/>
      <c r="AI41" s="202"/>
      <c r="AJ41" s="202"/>
    </row>
    <row r="42" spans="1:36" s="16" customFormat="1" ht="23.25" customHeight="1">
      <c r="A42" s="15">
        <v>18</v>
      </c>
      <c r="B42" s="46" t="s">
        <v>133</v>
      </c>
      <c r="C42" s="62">
        <f t="shared" si="6"/>
        <v>2451039832</v>
      </c>
      <c r="D42" s="250">
        <f t="shared" si="6"/>
        <v>1788708379</v>
      </c>
      <c r="E42" s="528">
        <v>2202046681</v>
      </c>
      <c r="F42" s="526">
        <v>1610472987</v>
      </c>
      <c r="G42" s="527">
        <v>18567931</v>
      </c>
      <c r="H42" s="526">
        <v>0</v>
      </c>
      <c r="I42" s="528">
        <v>157819231</v>
      </c>
      <c r="J42" s="526">
        <v>142774459</v>
      </c>
      <c r="K42" s="528">
        <v>15342679</v>
      </c>
      <c r="L42" s="526">
        <v>13838202</v>
      </c>
      <c r="M42" s="528">
        <v>28847030</v>
      </c>
      <c r="N42" s="526">
        <v>24275054</v>
      </c>
      <c r="O42" s="528">
        <v>3165409</v>
      </c>
      <c r="P42" s="526">
        <v>2022415</v>
      </c>
      <c r="Q42" s="528">
        <v>7333677</v>
      </c>
      <c r="R42" s="526">
        <v>873367</v>
      </c>
      <c r="S42" s="528">
        <v>3666838</v>
      </c>
      <c r="T42" s="526">
        <v>436684</v>
      </c>
      <c r="U42" s="528">
        <v>54993213</v>
      </c>
      <c r="V42" s="526">
        <v>10312512</v>
      </c>
      <c r="W42" s="528">
        <v>54993213</v>
      </c>
      <c r="X42" s="526">
        <v>10312512</v>
      </c>
      <c r="Y42" s="249">
        <f t="shared" si="7"/>
        <v>77168139</v>
      </c>
      <c r="Z42" s="249">
        <f t="shared" si="8"/>
        <v>26609813</v>
      </c>
      <c r="AA42" s="50">
        <v>34369424</v>
      </c>
      <c r="AB42" s="50">
        <v>0</v>
      </c>
      <c r="AC42" s="482">
        <f>+'Aging Analysis'!C29</f>
        <v>2451039832</v>
      </c>
      <c r="AD42" s="480"/>
      <c r="AE42" s="202"/>
      <c r="AF42" s="202"/>
      <c r="AG42" s="202"/>
      <c r="AH42" s="202"/>
      <c r="AI42" s="202"/>
      <c r="AJ42" s="202"/>
    </row>
    <row r="43" spans="1:36" s="16" customFormat="1" ht="14.25" customHeight="1">
      <c r="A43" s="15"/>
      <c r="B43" s="61" t="s">
        <v>545</v>
      </c>
      <c r="C43" s="62">
        <f t="shared" si="6"/>
        <v>0</v>
      </c>
      <c r="D43" s="250">
        <f t="shared" si="6"/>
        <v>0</v>
      </c>
      <c r="E43" s="528">
        <v>0</v>
      </c>
      <c r="F43" s="526">
        <v>0</v>
      </c>
      <c r="G43" s="527">
        <v>0</v>
      </c>
      <c r="H43" s="526">
        <v>0</v>
      </c>
      <c r="I43" s="528">
        <v>0</v>
      </c>
      <c r="J43" s="526">
        <v>0</v>
      </c>
      <c r="K43" s="528">
        <v>0</v>
      </c>
      <c r="L43" s="526">
        <v>0</v>
      </c>
      <c r="M43" s="528">
        <v>0</v>
      </c>
      <c r="N43" s="526">
        <v>0</v>
      </c>
      <c r="O43" s="528">
        <v>0</v>
      </c>
      <c r="P43" s="526">
        <v>0</v>
      </c>
      <c r="Q43" s="528">
        <v>0</v>
      </c>
      <c r="R43" s="526">
        <v>0</v>
      </c>
      <c r="S43" s="528">
        <v>0</v>
      </c>
      <c r="T43" s="526">
        <v>0</v>
      </c>
      <c r="U43" s="528">
        <v>0</v>
      </c>
      <c r="V43" s="526">
        <v>0</v>
      </c>
      <c r="W43" s="528">
        <v>0</v>
      </c>
      <c r="X43" s="526">
        <v>0</v>
      </c>
      <c r="Y43" s="46">
        <f t="shared" si="7"/>
        <v>0</v>
      </c>
      <c r="Z43" s="46">
        <f t="shared" si="8"/>
        <v>0</v>
      </c>
      <c r="AA43" s="50">
        <v>0</v>
      </c>
      <c r="AB43" s="50">
        <v>0</v>
      </c>
      <c r="AC43" s="48"/>
      <c r="AD43" s="480"/>
      <c r="AE43" s="202"/>
      <c r="AF43" s="202"/>
      <c r="AG43" s="202"/>
      <c r="AH43" s="202"/>
      <c r="AI43" s="202"/>
      <c r="AJ43" s="202"/>
    </row>
    <row r="44" spans="1:36" s="16" customFormat="1" ht="23.25" customHeight="1">
      <c r="A44" s="15">
        <v>19</v>
      </c>
      <c r="B44" s="46" t="s">
        <v>135</v>
      </c>
      <c r="C44" s="62">
        <f t="shared" si="6"/>
        <v>311679287</v>
      </c>
      <c r="D44" s="250">
        <f t="shared" si="6"/>
        <v>150476985</v>
      </c>
      <c r="E44" s="528">
        <v>265903575</v>
      </c>
      <c r="F44" s="526">
        <v>124953523</v>
      </c>
      <c r="G44" s="527">
        <v>1734562</v>
      </c>
      <c r="H44" s="526">
        <v>0</v>
      </c>
      <c r="I44" s="528">
        <v>32380846</v>
      </c>
      <c r="J44" s="526">
        <v>18972679</v>
      </c>
      <c r="K44" s="528">
        <v>3238085</v>
      </c>
      <c r="L44" s="526">
        <v>1897268</v>
      </c>
      <c r="M44" s="528">
        <v>6671223</v>
      </c>
      <c r="N44" s="526">
        <v>6550783</v>
      </c>
      <c r="O44" s="528">
        <v>1667806</v>
      </c>
      <c r="P44" s="526">
        <v>1637696</v>
      </c>
      <c r="Q44" s="528">
        <v>0</v>
      </c>
      <c r="R44" s="526">
        <v>0</v>
      </c>
      <c r="S44" s="528">
        <v>0</v>
      </c>
      <c r="T44" s="526">
        <v>0</v>
      </c>
      <c r="U44" s="528">
        <v>6723643</v>
      </c>
      <c r="V44" s="526">
        <v>0</v>
      </c>
      <c r="W44" s="528">
        <v>6723643</v>
      </c>
      <c r="X44" s="526">
        <v>0</v>
      </c>
      <c r="Y44" s="249">
        <f t="shared" si="7"/>
        <v>11629534</v>
      </c>
      <c r="Z44" s="249">
        <f t="shared" si="8"/>
        <v>3534964</v>
      </c>
      <c r="AA44" s="50">
        <v>0</v>
      </c>
      <c r="AB44" s="50">
        <v>0</v>
      </c>
      <c r="AC44" s="482">
        <f>+'Aging Analysis'!C30</f>
        <v>311679287</v>
      </c>
      <c r="AD44" s="480"/>
      <c r="AE44" s="202"/>
      <c r="AF44" s="202"/>
      <c r="AG44" s="202"/>
      <c r="AH44" s="202"/>
      <c r="AI44" s="202"/>
      <c r="AJ44" s="202"/>
    </row>
    <row r="45" spans="1:36" s="16" customFormat="1" ht="14.25" customHeight="1">
      <c r="A45" s="15"/>
      <c r="B45" s="61" t="s">
        <v>545</v>
      </c>
      <c r="C45" s="62">
        <f t="shared" si="6"/>
        <v>0</v>
      </c>
      <c r="D45" s="250">
        <f t="shared" si="6"/>
        <v>0</v>
      </c>
      <c r="E45" s="528">
        <v>0</v>
      </c>
      <c r="F45" s="526">
        <v>0</v>
      </c>
      <c r="G45" s="527">
        <v>0</v>
      </c>
      <c r="H45" s="526">
        <v>0</v>
      </c>
      <c r="I45" s="528">
        <v>0</v>
      </c>
      <c r="J45" s="526">
        <v>0</v>
      </c>
      <c r="K45" s="528">
        <v>0</v>
      </c>
      <c r="L45" s="526">
        <v>0</v>
      </c>
      <c r="M45" s="528">
        <v>0</v>
      </c>
      <c r="N45" s="526">
        <v>0</v>
      </c>
      <c r="O45" s="528">
        <v>0</v>
      </c>
      <c r="P45" s="526">
        <v>0</v>
      </c>
      <c r="Q45" s="528">
        <v>0</v>
      </c>
      <c r="R45" s="526">
        <v>0</v>
      </c>
      <c r="S45" s="528">
        <v>0</v>
      </c>
      <c r="T45" s="526">
        <v>0</v>
      </c>
      <c r="U45" s="528">
        <v>0</v>
      </c>
      <c r="V45" s="526">
        <v>0</v>
      </c>
      <c r="W45" s="528">
        <v>0</v>
      </c>
      <c r="X45" s="526">
        <v>0</v>
      </c>
      <c r="Y45" s="46">
        <f t="shared" si="7"/>
        <v>0</v>
      </c>
      <c r="Z45" s="46">
        <f t="shared" si="8"/>
        <v>0</v>
      </c>
      <c r="AA45" s="50">
        <v>0</v>
      </c>
      <c r="AB45" s="50">
        <v>0</v>
      </c>
      <c r="AC45" s="48"/>
      <c r="AD45" s="480"/>
      <c r="AE45" s="202"/>
      <c r="AF45" s="202"/>
      <c r="AG45" s="202"/>
      <c r="AH45" s="202"/>
      <c r="AI45" s="202"/>
      <c r="AJ45" s="202"/>
    </row>
    <row r="46" spans="1:36" s="16" customFormat="1" ht="23.25" customHeight="1">
      <c r="A46" s="15">
        <v>20</v>
      </c>
      <c r="B46" s="46" t="s">
        <v>137</v>
      </c>
      <c r="C46" s="62">
        <f t="shared" si="6"/>
        <v>120092235</v>
      </c>
      <c r="D46" s="250">
        <f t="shared" si="6"/>
        <v>0</v>
      </c>
      <c r="E46" s="528">
        <v>49169252</v>
      </c>
      <c r="F46" s="526">
        <v>0</v>
      </c>
      <c r="G46" s="527">
        <v>531430</v>
      </c>
      <c r="H46" s="526">
        <v>0</v>
      </c>
      <c r="I46" s="528">
        <v>6380158</v>
      </c>
      <c r="J46" s="526">
        <v>0</v>
      </c>
      <c r="K46" s="528">
        <v>638016</v>
      </c>
      <c r="L46" s="526">
        <v>0</v>
      </c>
      <c r="M46" s="528">
        <v>8383148</v>
      </c>
      <c r="N46" s="526">
        <v>0</v>
      </c>
      <c r="O46" s="528">
        <v>1817528</v>
      </c>
      <c r="P46" s="526">
        <v>0</v>
      </c>
      <c r="Q46" s="528">
        <v>4721494</v>
      </c>
      <c r="R46" s="526">
        <v>0</v>
      </c>
      <c r="S46" s="528">
        <v>2360747</v>
      </c>
      <c r="T46" s="526">
        <v>0</v>
      </c>
      <c r="U46" s="528">
        <v>51438183</v>
      </c>
      <c r="V46" s="526">
        <v>0</v>
      </c>
      <c r="W46" s="528">
        <v>51438183</v>
      </c>
      <c r="X46" s="526">
        <v>0</v>
      </c>
      <c r="Y46" s="249">
        <f t="shared" si="7"/>
        <v>56254474</v>
      </c>
      <c r="Z46" s="249">
        <f t="shared" si="8"/>
        <v>0</v>
      </c>
      <c r="AA46" s="50">
        <v>0</v>
      </c>
      <c r="AB46" s="50">
        <v>0</v>
      </c>
      <c r="AC46" s="482">
        <f>+'Aging Analysis'!C31</f>
        <v>120092235</v>
      </c>
      <c r="AD46" s="480"/>
      <c r="AE46" s="202"/>
      <c r="AF46" s="202"/>
      <c r="AG46" s="202"/>
      <c r="AH46" s="202"/>
      <c r="AI46" s="202"/>
      <c r="AJ46" s="202"/>
    </row>
    <row r="47" spans="1:36" s="16" customFormat="1" ht="14.25" customHeight="1">
      <c r="A47" s="15"/>
      <c r="B47" s="61" t="s">
        <v>545</v>
      </c>
      <c r="C47" s="62">
        <f t="shared" si="6"/>
        <v>0</v>
      </c>
      <c r="D47" s="250">
        <f t="shared" si="6"/>
        <v>0</v>
      </c>
      <c r="E47" s="528">
        <v>0</v>
      </c>
      <c r="F47" s="526">
        <v>0</v>
      </c>
      <c r="G47" s="527">
        <v>0</v>
      </c>
      <c r="H47" s="526">
        <v>0</v>
      </c>
      <c r="I47" s="528">
        <v>0</v>
      </c>
      <c r="J47" s="526">
        <v>0</v>
      </c>
      <c r="K47" s="528">
        <v>0</v>
      </c>
      <c r="L47" s="526">
        <v>0</v>
      </c>
      <c r="M47" s="528">
        <v>0</v>
      </c>
      <c r="N47" s="526">
        <v>0</v>
      </c>
      <c r="O47" s="528">
        <v>0</v>
      </c>
      <c r="P47" s="526">
        <v>0</v>
      </c>
      <c r="Q47" s="528">
        <v>0</v>
      </c>
      <c r="R47" s="526">
        <v>0</v>
      </c>
      <c r="S47" s="528">
        <v>0</v>
      </c>
      <c r="T47" s="526">
        <v>0</v>
      </c>
      <c r="U47" s="528">
        <v>0</v>
      </c>
      <c r="V47" s="526">
        <v>0</v>
      </c>
      <c r="W47" s="528">
        <v>0</v>
      </c>
      <c r="X47" s="526">
        <v>0</v>
      </c>
      <c r="Y47" s="46">
        <f t="shared" si="7"/>
        <v>0</v>
      </c>
      <c r="Z47" s="46">
        <f t="shared" si="8"/>
        <v>0</v>
      </c>
      <c r="AA47" s="50">
        <v>0</v>
      </c>
      <c r="AB47" s="50">
        <v>0</v>
      </c>
      <c r="AC47" s="48"/>
      <c r="AD47" s="480"/>
      <c r="AE47" s="202"/>
      <c r="AF47" s="202"/>
      <c r="AG47" s="202"/>
      <c r="AH47" s="202"/>
      <c r="AI47" s="202"/>
      <c r="AJ47" s="202"/>
    </row>
    <row r="48" spans="1:36" s="16" customFormat="1" ht="23.25" customHeight="1">
      <c r="A48" s="15">
        <v>21</v>
      </c>
      <c r="B48" s="46" t="s">
        <v>175</v>
      </c>
      <c r="C48" s="62">
        <f t="shared" si="6"/>
        <v>6494563446</v>
      </c>
      <c r="D48" s="250">
        <f t="shared" si="6"/>
        <v>1108586329</v>
      </c>
      <c r="E48" s="528">
        <v>5984559446</v>
      </c>
      <c r="F48" s="526">
        <v>994253002</v>
      </c>
      <c r="G48" s="527">
        <v>50563651</v>
      </c>
      <c r="H48" s="526">
        <v>0</v>
      </c>
      <c r="I48" s="528">
        <v>227496692</v>
      </c>
      <c r="J48" s="526">
        <v>33975358</v>
      </c>
      <c r="K48" s="528">
        <v>22814910</v>
      </c>
      <c r="L48" s="526">
        <v>3397537</v>
      </c>
      <c r="M48" s="528">
        <v>84492060</v>
      </c>
      <c r="N48" s="526">
        <v>20750597</v>
      </c>
      <c r="O48" s="528">
        <v>20594968</v>
      </c>
      <c r="P48" s="526">
        <v>5187649</v>
      </c>
      <c r="Q48" s="528">
        <v>41328378</v>
      </c>
      <c r="R48" s="526">
        <v>5419073</v>
      </c>
      <c r="S48" s="528">
        <v>20666384</v>
      </c>
      <c r="T48" s="526">
        <v>2709536</v>
      </c>
      <c r="U48" s="528">
        <v>156686870</v>
      </c>
      <c r="V48" s="526">
        <v>54188299</v>
      </c>
      <c r="W48" s="528">
        <v>155098550</v>
      </c>
      <c r="X48" s="526">
        <v>54188300</v>
      </c>
      <c r="Y48" s="249">
        <f t="shared" si="7"/>
        <v>219174812</v>
      </c>
      <c r="Z48" s="249">
        <f t="shared" si="8"/>
        <v>65483022</v>
      </c>
      <c r="AA48" s="50">
        <f>184338755+30970096</f>
        <v>215308851</v>
      </c>
      <c r="AB48" s="50">
        <f>4269778+402106</f>
        <v>4671884</v>
      </c>
      <c r="AC48" s="482">
        <f>+'Aging Analysis'!C32</f>
        <v>6494563446</v>
      </c>
      <c r="AD48" s="480"/>
      <c r="AE48" s="202"/>
      <c r="AF48" s="202"/>
      <c r="AG48" s="202"/>
      <c r="AH48" s="202"/>
      <c r="AI48" s="202"/>
      <c r="AJ48" s="202"/>
    </row>
    <row r="49" spans="1:36" s="16" customFormat="1" ht="14.25" customHeight="1">
      <c r="A49" s="15"/>
      <c r="B49" s="61" t="s">
        <v>545</v>
      </c>
      <c r="C49" s="62">
        <f t="shared" si="6"/>
        <v>0</v>
      </c>
      <c r="D49" s="250">
        <f t="shared" si="6"/>
        <v>0</v>
      </c>
      <c r="E49" s="528">
        <v>0</v>
      </c>
      <c r="F49" s="526">
        <v>0</v>
      </c>
      <c r="G49" s="527">
        <v>0</v>
      </c>
      <c r="H49" s="526">
        <v>0</v>
      </c>
      <c r="I49" s="528">
        <v>0</v>
      </c>
      <c r="J49" s="526">
        <v>0</v>
      </c>
      <c r="K49" s="528">
        <v>0</v>
      </c>
      <c r="L49" s="526">
        <v>0</v>
      </c>
      <c r="M49" s="528">
        <v>0</v>
      </c>
      <c r="N49" s="526">
        <v>0</v>
      </c>
      <c r="O49" s="528">
        <v>0</v>
      </c>
      <c r="P49" s="526">
        <v>0</v>
      </c>
      <c r="Q49" s="528">
        <v>0</v>
      </c>
      <c r="R49" s="526">
        <v>0</v>
      </c>
      <c r="S49" s="528">
        <v>0</v>
      </c>
      <c r="T49" s="526">
        <v>0</v>
      </c>
      <c r="U49" s="528">
        <v>0</v>
      </c>
      <c r="V49" s="526">
        <v>0</v>
      </c>
      <c r="W49" s="528">
        <v>0</v>
      </c>
      <c r="X49" s="526">
        <v>0</v>
      </c>
      <c r="Y49" s="46">
        <f t="shared" si="7"/>
        <v>0</v>
      </c>
      <c r="Z49" s="46">
        <f t="shared" si="8"/>
        <v>0</v>
      </c>
      <c r="AA49" s="50">
        <v>0</v>
      </c>
      <c r="AB49" s="50">
        <v>0</v>
      </c>
      <c r="AC49" s="480"/>
      <c r="AD49" s="480"/>
      <c r="AE49" s="202"/>
      <c r="AF49" s="202"/>
      <c r="AG49" s="202"/>
      <c r="AH49" s="202"/>
      <c r="AI49" s="202"/>
      <c r="AJ49" s="202"/>
    </row>
    <row r="50" spans="1:36" s="66" customFormat="1" ht="28.5" customHeight="1">
      <c r="A50" s="167">
        <v>22</v>
      </c>
      <c r="B50" s="167" t="s">
        <v>173</v>
      </c>
      <c r="C50" s="170">
        <f>+C34+C36+C38+C40+C42+C44+C46+C48</f>
        <v>43147807488</v>
      </c>
      <c r="D50" s="170">
        <f t="shared" ref="D50:AB51" si="9">+D34+D36+D38+D40+D42+D44+D46+D48</f>
        <v>28074829152</v>
      </c>
      <c r="E50" s="170">
        <f t="shared" si="9"/>
        <v>38864449980</v>
      </c>
      <c r="F50" s="170">
        <f t="shared" si="9"/>
        <v>24981075010</v>
      </c>
      <c r="G50" s="170">
        <f t="shared" si="9"/>
        <v>351509341</v>
      </c>
      <c r="H50" s="170">
        <f t="shared" si="9"/>
        <v>0</v>
      </c>
      <c r="I50" s="170">
        <f t="shared" si="9"/>
        <v>2653824211</v>
      </c>
      <c r="J50" s="170">
        <f t="shared" si="9"/>
        <v>2109258733</v>
      </c>
      <c r="K50" s="170">
        <f t="shared" si="9"/>
        <v>267633909</v>
      </c>
      <c r="L50" s="170">
        <f t="shared" si="9"/>
        <v>204768218</v>
      </c>
      <c r="M50" s="170">
        <f t="shared" si="9"/>
        <v>891521851</v>
      </c>
      <c r="N50" s="170">
        <f t="shared" si="9"/>
        <v>605903173</v>
      </c>
      <c r="O50" s="170">
        <f t="shared" si="9"/>
        <v>212612564</v>
      </c>
      <c r="P50" s="170">
        <f t="shared" si="9"/>
        <v>142039200</v>
      </c>
      <c r="Q50" s="170">
        <f t="shared" si="9"/>
        <v>209335568</v>
      </c>
      <c r="R50" s="170">
        <f t="shared" si="9"/>
        <v>112060682</v>
      </c>
      <c r="S50" s="170">
        <f t="shared" si="9"/>
        <v>99184650</v>
      </c>
      <c r="T50" s="170">
        <f t="shared" si="9"/>
        <v>51763013</v>
      </c>
      <c r="U50" s="170">
        <f t="shared" si="9"/>
        <v>528675878</v>
      </c>
      <c r="V50" s="170">
        <f t="shared" si="9"/>
        <v>266531554</v>
      </c>
      <c r="W50" s="170">
        <f t="shared" si="9"/>
        <v>527087558</v>
      </c>
      <c r="X50" s="170">
        <f t="shared" si="9"/>
        <v>266531555</v>
      </c>
      <c r="Y50" s="170">
        <f t="shared" si="9"/>
        <v>1106518681</v>
      </c>
      <c r="Z50" s="170">
        <f t="shared" si="9"/>
        <v>665101986</v>
      </c>
      <c r="AA50" s="481">
        <f t="shared" si="9"/>
        <v>328268321</v>
      </c>
      <c r="AB50" s="481">
        <f t="shared" si="9"/>
        <v>4724184</v>
      </c>
      <c r="AC50" s="480"/>
      <c r="AD50" s="480"/>
      <c r="AE50" s="202"/>
      <c r="AF50" s="202"/>
      <c r="AG50" s="202"/>
      <c r="AH50" s="202"/>
      <c r="AI50" s="202"/>
      <c r="AJ50" s="202"/>
    </row>
    <row r="51" spans="1:36" s="16" customFormat="1" ht="23.25" customHeight="1">
      <c r="A51" s="15"/>
      <c r="B51" s="61" t="s">
        <v>545</v>
      </c>
      <c r="C51" s="47">
        <f>+C35+C37+C39+C41+C43+C45+C47+C49</f>
        <v>0</v>
      </c>
      <c r="D51" s="47">
        <f t="shared" ref="D51:Z51" si="10">+D35+D37+D39+D41+D43+D45+D47+D49</f>
        <v>0</v>
      </c>
      <c r="E51" s="63">
        <f t="shared" si="10"/>
        <v>0</v>
      </c>
      <c r="F51" s="63">
        <f t="shared" si="10"/>
        <v>0</v>
      </c>
      <c r="G51" s="63">
        <f t="shared" si="10"/>
        <v>0</v>
      </c>
      <c r="H51" s="63">
        <f t="shared" si="10"/>
        <v>0</v>
      </c>
      <c r="I51" s="63">
        <f t="shared" si="10"/>
        <v>0</v>
      </c>
      <c r="J51" s="63">
        <f t="shared" si="10"/>
        <v>0</v>
      </c>
      <c r="K51" s="63">
        <f t="shared" si="10"/>
        <v>0</v>
      </c>
      <c r="L51" s="63">
        <f t="shared" si="10"/>
        <v>0</v>
      </c>
      <c r="M51" s="63">
        <f t="shared" si="10"/>
        <v>0</v>
      </c>
      <c r="N51" s="63">
        <f t="shared" si="10"/>
        <v>0</v>
      </c>
      <c r="O51" s="63">
        <f t="shared" si="10"/>
        <v>0</v>
      </c>
      <c r="P51" s="63">
        <f t="shared" si="10"/>
        <v>0</v>
      </c>
      <c r="Q51" s="63">
        <f t="shared" si="10"/>
        <v>0</v>
      </c>
      <c r="R51" s="63">
        <f t="shared" si="10"/>
        <v>0</v>
      </c>
      <c r="S51" s="63">
        <f t="shared" si="10"/>
        <v>0</v>
      </c>
      <c r="T51" s="63">
        <f t="shared" si="10"/>
        <v>0</v>
      </c>
      <c r="U51" s="63">
        <f t="shared" si="10"/>
        <v>0</v>
      </c>
      <c r="V51" s="63">
        <f t="shared" si="10"/>
        <v>0</v>
      </c>
      <c r="W51" s="63">
        <f t="shared" si="10"/>
        <v>0</v>
      </c>
      <c r="X51" s="63">
        <f t="shared" si="10"/>
        <v>0</v>
      </c>
      <c r="Y51" s="47">
        <f t="shared" si="10"/>
        <v>0</v>
      </c>
      <c r="Z51" s="47">
        <f t="shared" si="10"/>
        <v>0</v>
      </c>
      <c r="AA51" s="47">
        <f t="shared" si="9"/>
        <v>0</v>
      </c>
      <c r="AB51" s="47">
        <f t="shared" si="9"/>
        <v>0</v>
      </c>
      <c r="AC51" s="480"/>
      <c r="AD51" s="480"/>
      <c r="AE51" s="202"/>
      <c r="AF51" s="202"/>
      <c r="AG51" s="202"/>
      <c r="AH51" s="202"/>
      <c r="AI51" s="202"/>
      <c r="AJ51" s="202"/>
    </row>
    <row r="52" spans="1:36" s="48" customFormat="1" ht="27.75" customHeight="1">
      <c r="A52" s="170"/>
      <c r="B52" s="170" t="s">
        <v>726</v>
      </c>
      <c r="C52" s="170"/>
      <c r="D52" s="170"/>
      <c r="E52" s="170"/>
      <c r="F52" s="170"/>
      <c r="G52" s="170"/>
      <c r="H52" s="170"/>
      <c r="I52" s="170"/>
      <c r="J52" s="170"/>
      <c r="K52" s="170"/>
      <c r="L52" s="170"/>
      <c r="M52" s="170"/>
      <c r="N52" s="170"/>
      <c r="O52" s="170"/>
      <c r="P52" s="170"/>
      <c r="Q52" s="170"/>
      <c r="R52" s="170"/>
      <c r="S52" s="170"/>
      <c r="T52" s="170"/>
      <c r="U52" s="170"/>
      <c r="V52" s="170"/>
      <c r="W52" s="170"/>
      <c r="X52" s="170"/>
      <c r="Y52" s="170"/>
      <c r="Z52" s="170"/>
      <c r="AA52" s="481"/>
      <c r="AB52" s="481"/>
      <c r="AC52" s="480"/>
      <c r="AD52" s="480"/>
      <c r="AE52" s="202"/>
      <c r="AF52" s="202"/>
      <c r="AG52" s="202"/>
      <c r="AH52" s="202"/>
      <c r="AI52" s="202"/>
      <c r="AJ52" s="202"/>
    </row>
    <row r="53" spans="1:36" s="48" customFormat="1" ht="7.5" customHeight="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80"/>
      <c r="AD53" s="480"/>
      <c r="AE53" s="202"/>
      <c r="AF53" s="202"/>
      <c r="AG53" s="202"/>
      <c r="AH53" s="202"/>
      <c r="AI53" s="202"/>
      <c r="AJ53" s="202"/>
    </row>
    <row r="54" spans="1:36" s="48" customFormat="1" ht="21.75" customHeight="1">
      <c r="A54" s="67">
        <v>23</v>
      </c>
      <c r="B54" s="143" t="s">
        <v>712</v>
      </c>
      <c r="C54" s="62">
        <f t="shared" ref="C54:D70" si="11">E54+I54+M54+Q54+U54</f>
        <v>1233994354</v>
      </c>
      <c r="D54" s="250">
        <f t="shared" si="11"/>
        <v>550813636</v>
      </c>
      <c r="E54" s="531">
        <v>1054055169</v>
      </c>
      <c r="F54" s="531">
        <v>475959678</v>
      </c>
      <c r="G54" s="531">
        <v>9376423</v>
      </c>
      <c r="H54" s="531">
        <v>0</v>
      </c>
      <c r="I54" s="531">
        <v>102079313</v>
      </c>
      <c r="J54" s="531">
        <v>71485895</v>
      </c>
      <c r="K54" s="531">
        <v>10208144</v>
      </c>
      <c r="L54" s="531">
        <v>7148590</v>
      </c>
      <c r="M54" s="531">
        <v>61615613</v>
      </c>
      <c r="N54" s="531">
        <v>3368063</v>
      </c>
      <c r="O54" s="531">
        <v>15400448</v>
      </c>
      <c r="P54" s="531">
        <v>842016</v>
      </c>
      <c r="Q54" s="531">
        <v>5433129</v>
      </c>
      <c r="R54" s="531">
        <v>0</v>
      </c>
      <c r="S54" s="531">
        <v>2716564</v>
      </c>
      <c r="T54" s="531">
        <v>0</v>
      </c>
      <c r="U54" s="531">
        <v>10811130</v>
      </c>
      <c r="V54" s="531">
        <v>0</v>
      </c>
      <c r="W54" s="531">
        <v>10811130</v>
      </c>
      <c r="X54" s="531">
        <v>0</v>
      </c>
      <c r="Y54" s="249">
        <f>+W54+S54+O54+K54</f>
        <v>39136286</v>
      </c>
      <c r="Z54" s="249">
        <f>+X54+T54+P54+L54</f>
        <v>7990606</v>
      </c>
      <c r="AA54" s="50">
        <v>20565598</v>
      </c>
      <c r="AB54" s="50">
        <v>33593</v>
      </c>
      <c r="AC54" s="480"/>
      <c r="AD54" s="480"/>
      <c r="AE54" s="202"/>
      <c r="AF54" s="202"/>
      <c r="AG54" s="202"/>
      <c r="AH54" s="202"/>
      <c r="AI54" s="202"/>
      <c r="AJ54" s="202"/>
    </row>
    <row r="55" spans="1:36" s="48" customFormat="1" ht="21.75" customHeight="1">
      <c r="A55" s="67">
        <v>24</v>
      </c>
      <c r="B55" s="143" t="s">
        <v>713</v>
      </c>
      <c r="C55" s="62">
        <f t="shared" si="11"/>
        <v>1028919634</v>
      </c>
      <c r="D55" s="250">
        <f t="shared" si="11"/>
        <v>596342262</v>
      </c>
      <c r="E55" s="531">
        <v>674383738</v>
      </c>
      <c r="F55" s="531">
        <v>296822870</v>
      </c>
      <c r="G55" s="531">
        <v>8124906</v>
      </c>
      <c r="H55" s="531">
        <v>0</v>
      </c>
      <c r="I55" s="531">
        <v>291912973</v>
      </c>
      <c r="J55" s="531">
        <v>283679249</v>
      </c>
      <c r="K55" s="531">
        <v>29197849</v>
      </c>
      <c r="L55" s="531">
        <v>28367925</v>
      </c>
      <c r="M55" s="531">
        <v>25033534</v>
      </c>
      <c r="N55" s="531">
        <v>3153709</v>
      </c>
      <c r="O55" s="531">
        <v>6245219</v>
      </c>
      <c r="P55" s="531">
        <v>788427</v>
      </c>
      <c r="Q55" s="531">
        <v>9883139</v>
      </c>
      <c r="R55" s="531">
        <v>5805828</v>
      </c>
      <c r="S55" s="531">
        <v>4941569</v>
      </c>
      <c r="T55" s="531">
        <v>2902914</v>
      </c>
      <c r="U55" s="531">
        <v>27706250</v>
      </c>
      <c r="V55" s="531">
        <v>6880606</v>
      </c>
      <c r="W55" s="531">
        <v>27708571</v>
      </c>
      <c r="X55" s="531">
        <v>6880606</v>
      </c>
      <c r="Y55" s="249">
        <f t="shared" ref="Y55:Z67" si="12">+W55+S55+O55+K55</f>
        <v>68093208</v>
      </c>
      <c r="Z55" s="249">
        <f t="shared" si="12"/>
        <v>38939872</v>
      </c>
      <c r="AA55" s="50">
        <v>5882145</v>
      </c>
      <c r="AB55" s="50">
        <v>35737</v>
      </c>
      <c r="AC55" s="480"/>
      <c r="AD55" s="480"/>
      <c r="AE55" s="202"/>
      <c r="AF55" s="202"/>
      <c r="AG55" s="202"/>
      <c r="AH55" s="202"/>
      <c r="AI55" s="202"/>
      <c r="AJ55" s="202"/>
    </row>
    <row r="56" spans="1:36" s="48" customFormat="1" ht="21.75" customHeight="1">
      <c r="A56" s="67">
        <v>25</v>
      </c>
      <c r="B56" s="143" t="s">
        <v>714</v>
      </c>
      <c r="C56" s="62">
        <f t="shared" si="11"/>
        <v>1604976173</v>
      </c>
      <c r="D56" s="250">
        <f t="shared" si="11"/>
        <v>1173103213</v>
      </c>
      <c r="E56" s="531">
        <v>1237214559</v>
      </c>
      <c r="F56" s="531">
        <v>834839112</v>
      </c>
      <c r="G56" s="531">
        <v>12595756</v>
      </c>
      <c r="H56" s="531">
        <v>0</v>
      </c>
      <c r="I56" s="531">
        <v>173817107</v>
      </c>
      <c r="J56" s="531">
        <v>160931231</v>
      </c>
      <c r="K56" s="531">
        <v>17381213</v>
      </c>
      <c r="L56" s="531">
        <v>16093123</v>
      </c>
      <c r="M56" s="531">
        <v>125381330</v>
      </c>
      <c r="N56" s="531">
        <v>124850428</v>
      </c>
      <c r="O56" s="531">
        <v>31317827</v>
      </c>
      <c r="P56" s="531">
        <v>31212607</v>
      </c>
      <c r="Q56" s="531">
        <v>40311108</v>
      </c>
      <c r="R56" s="531">
        <v>35689369</v>
      </c>
      <c r="S56" s="531">
        <v>20155554</v>
      </c>
      <c r="T56" s="531">
        <v>17844685</v>
      </c>
      <c r="U56" s="531">
        <v>28252069</v>
      </c>
      <c r="V56" s="531">
        <v>16793073</v>
      </c>
      <c r="W56" s="531">
        <v>28256985</v>
      </c>
      <c r="X56" s="531">
        <v>16793073</v>
      </c>
      <c r="Y56" s="249">
        <f t="shared" si="12"/>
        <v>97111579</v>
      </c>
      <c r="Z56" s="249">
        <f t="shared" si="12"/>
        <v>81943488</v>
      </c>
      <c r="AA56" s="50">
        <v>77025073</v>
      </c>
      <c r="AB56" s="50">
        <v>29882</v>
      </c>
      <c r="AC56" s="480"/>
      <c r="AD56" s="480"/>
      <c r="AE56" s="202"/>
      <c r="AF56" s="202"/>
      <c r="AG56" s="202"/>
      <c r="AH56" s="202"/>
      <c r="AI56" s="202"/>
      <c r="AJ56" s="202"/>
    </row>
    <row r="57" spans="1:36" s="48" customFormat="1" ht="21.75" customHeight="1">
      <c r="A57" s="67">
        <v>26</v>
      </c>
      <c r="B57" s="143" t="s">
        <v>715</v>
      </c>
      <c r="C57" s="62">
        <f t="shared" si="11"/>
        <v>1108440375</v>
      </c>
      <c r="D57" s="250">
        <f t="shared" si="11"/>
        <v>770452903</v>
      </c>
      <c r="E57" s="531">
        <v>1067370283</v>
      </c>
      <c r="F57" s="531">
        <v>758406899</v>
      </c>
      <c r="G57" s="531">
        <v>9044718</v>
      </c>
      <c r="H57" s="531">
        <v>0</v>
      </c>
      <c r="I57" s="531">
        <v>13079626</v>
      </c>
      <c r="J57" s="531">
        <v>6269803</v>
      </c>
      <c r="K57" s="531">
        <v>1307963</v>
      </c>
      <c r="L57" s="531">
        <v>626980</v>
      </c>
      <c r="M57" s="531">
        <v>6616590</v>
      </c>
      <c r="N57" s="531">
        <v>2466137</v>
      </c>
      <c r="O57" s="531">
        <v>1646783</v>
      </c>
      <c r="P57" s="531">
        <v>616534</v>
      </c>
      <c r="Q57" s="531">
        <v>5082826</v>
      </c>
      <c r="R57" s="531">
        <v>3310064</v>
      </c>
      <c r="S57" s="531">
        <v>2541413</v>
      </c>
      <c r="T57" s="531">
        <v>1655032</v>
      </c>
      <c r="U57" s="531">
        <v>16291050</v>
      </c>
      <c r="V57" s="531">
        <v>0</v>
      </c>
      <c r="W57" s="531">
        <v>16291050</v>
      </c>
      <c r="X57" s="531">
        <v>0</v>
      </c>
      <c r="Y57" s="249">
        <f t="shared" si="12"/>
        <v>21787209</v>
      </c>
      <c r="Z57" s="249">
        <f t="shared" si="12"/>
        <v>2898546</v>
      </c>
      <c r="AA57" s="50">
        <v>27855009</v>
      </c>
      <c r="AB57" s="50">
        <v>40540</v>
      </c>
      <c r="AC57" s="480"/>
      <c r="AD57" s="480"/>
      <c r="AE57" s="202"/>
      <c r="AF57" s="202"/>
      <c r="AG57" s="202"/>
      <c r="AH57" s="202"/>
      <c r="AI57" s="202"/>
      <c r="AJ57" s="202"/>
    </row>
    <row r="58" spans="1:36" s="48" customFormat="1" ht="21.75" customHeight="1">
      <c r="A58" s="67">
        <v>27</v>
      </c>
      <c r="B58" s="143" t="s">
        <v>716</v>
      </c>
      <c r="C58" s="62">
        <f t="shared" si="11"/>
        <v>1608480891</v>
      </c>
      <c r="D58" s="250">
        <f t="shared" si="11"/>
        <v>872263136</v>
      </c>
      <c r="E58" s="531">
        <v>1465252706</v>
      </c>
      <c r="F58" s="531">
        <v>800938163</v>
      </c>
      <c r="G58" s="531">
        <v>10809156</v>
      </c>
      <c r="H58" s="531">
        <v>0</v>
      </c>
      <c r="I58" s="531">
        <v>119653217</v>
      </c>
      <c r="J58" s="531">
        <v>69898441</v>
      </c>
      <c r="K58" s="531">
        <v>11965607</v>
      </c>
      <c r="L58" s="531">
        <v>6989844</v>
      </c>
      <c r="M58" s="531">
        <v>9437688</v>
      </c>
      <c r="N58" s="531">
        <v>625091</v>
      </c>
      <c r="O58" s="531">
        <v>2346304</v>
      </c>
      <c r="P58" s="531">
        <v>156273</v>
      </c>
      <c r="Q58" s="531">
        <v>5014952</v>
      </c>
      <c r="R58" s="531">
        <v>0</v>
      </c>
      <c r="S58" s="531">
        <v>2508657</v>
      </c>
      <c r="T58" s="531">
        <v>0</v>
      </c>
      <c r="U58" s="531">
        <v>9122328</v>
      </c>
      <c r="V58" s="531">
        <v>801441</v>
      </c>
      <c r="W58" s="531">
        <v>9122328</v>
      </c>
      <c r="X58" s="531">
        <v>801441</v>
      </c>
      <c r="Y58" s="249">
        <f t="shared" si="12"/>
        <v>25942896</v>
      </c>
      <c r="Z58" s="249">
        <f t="shared" si="12"/>
        <v>7947558</v>
      </c>
      <c r="AA58" s="50">
        <v>969918</v>
      </c>
      <c r="AB58" s="50">
        <v>185650</v>
      </c>
      <c r="AC58" s="480"/>
      <c r="AD58" s="480"/>
      <c r="AE58" s="202"/>
      <c r="AF58" s="202"/>
      <c r="AG58" s="202"/>
      <c r="AH58" s="202"/>
      <c r="AI58" s="202"/>
      <c r="AJ58" s="202"/>
    </row>
    <row r="59" spans="1:36" s="48" customFormat="1" ht="21.75" customHeight="1">
      <c r="A59" s="67">
        <v>28</v>
      </c>
      <c r="B59" s="143" t="s">
        <v>717</v>
      </c>
      <c r="C59" s="62">
        <f t="shared" si="11"/>
        <v>1238544253</v>
      </c>
      <c r="D59" s="250">
        <f t="shared" si="11"/>
        <v>913503463</v>
      </c>
      <c r="E59" s="531">
        <v>1193307998</v>
      </c>
      <c r="F59" s="531">
        <v>877385726</v>
      </c>
      <c r="G59" s="531">
        <v>11308749</v>
      </c>
      <c r="H59" s="531">
        <v>0</v>
      </c>
      <c r="I59" s="531">
        <v>39230915</v>
      </c>
      <c r="J59" s="531">
        <v>36117737</v>
      </c>
      <c r="K59" s="531">
        <v>3923091</v>
      </c>
      <c r="L59" s="531">
        <v>3611774</v>
      </c>
      <c r="M59" s="531">
        <v>2539208</v>
      </c>
      <c r="N59" s="531">
        <v>0</v>
      </c>
      <c r="O59" s="531">
        <v>595048</v>
      </c>
      <c r="P59" s="531">
        <v>0</v>
      </c>
      <c r="Q59" s="531">
        <v>694174</v>
      </c>
      <c r="R59" s="531">
        <v>0</v>
      </c>
      <c r="S59" s="531">
        <v>347087</v>
      </c>
      <c r="T59" s="531">
        <v>0</v>
      </c>
      <c r="U59" s="531">
        <v>2771958</v>
      </c>
      <c r="V59" s="531">
        <v>0</v>
      </c>
      <c r="W59" s="531">
        <v>2771958</v>
      </c>
      <c r="X59" s="531">
        <v>0</v>
      </c>
      <c r="Y59" s="249">
        <f t="shared" si="12"/>
        <v>7637184</v>
      </c>
      <c r="Z59" s="249">
        <f t="shared" si="12"/>
        <v>3611774</v>
      </c>
      <c r="AA59" s="50">
        <v>3243143</v>
      </c>
      <c r="AB59" s="50">
        <v>27474</v>
      </c>
      <c r="AC59" s="480"/>
      <c r="AD59" s="480"/>
      <c r="AE59" s="202"/>
      <c r="AF59" s="202"/>
      <c r="AG59" s="202"/>
      <c r="AH59" s="202"/>
      <c r="AI59" s="202"/>
      <c r="AJ59" s="202"/>
    </row>
    <row r="60" spans="1:36" s="48" customFormat="1" ht="21.75" customHeight="1">
      <c r="A60" s="67">
        <v>29</v>
      </c>
      <c r="B60" s="143" t="s">
        <v>718</v>
      </c>
      <c r="C60" s="62">
        <f t="shared" si="11"/>
        <v>622244650</v>
      </c>
      <c r="D60" s="250">
        <f t="shared" si="11"/>
        <v>362503774</v>
      </c>
      <c r="E60" s="531">
        <v>501947722</v>
      </c>
      <c r="F60" s="531">
        <v>272045386</v>
      </c>
      <c r="G60" s="531">
        <v>5288565</v>
      </c>
      <c r="H60" s="531">
        <v>0</v>
      </c>
      <c r="I60" s="531">
        <v>44609482</v>
      </c>
      <c r="J60" s="531">
        <v>23235369</v>
      </c>
      <c r="K60" s="531">
        <v>4460948</v>
      </c>
      <c r="L60" s="531">
        <v>2323537</v>
      </c>
      <c r="M60" s="531">
        <v>69263793</v>
      </c>
      <c r="N60" s="531">
        <v>65868311</v>
      </c>
      <c r="O60" s="531">
        <v>17031747</v>
      </c>
      <c r="P60" s="531">
        <v>16467078</v>
      </c>
      <c r="Q60" s="531">
        <v>3022032</v>
      </c>
      <c r="R60" s="531">
        <v>1354708</v>
      </c>
      <c r="S60" s="531">
        <v>1511016</v>
      </c>
      <c r="T60" s="531">
        <v>677354</v>
      </c>
      <c r="U60" s="531">
        <v>3401621</v>
      </c>
      <c r="V60" s="531">
        <v>0</v>
      </c>
      <c r="W60" s="531">
        <v>3401621</v>
      </c>
      <c r="X60" s="531">
        <v>0</v>
      </c>
      <c r="Y60" s="249">
        <f t="shared" si="12"/>
        <v>26405332</v>
      </c>
      <c r="Z60" s="249">
        <f t="shared" si="12"/>
        <v>19467969</v>
      </c>
      <c r="AA60" s="50">
        <v>15647989</v>
      </c>
      <c r="AB60" s="50">
        <v>1018</v>
      </c>
      <c r="AC60" s="480"/>
      <c r="AD60" s="480"/>
      <c r="AE60" s="202"/>
      <c r="AF60" s="202"/>
      <c r="AG60" s="202"/>
      <c r="AH60" s="202"/>
      <c r="AI60" s="202"/>
      <c r="AJ60" s="202"/>
    </row>
    <row r="61" spans="1:36" s="48" customFormat="1" ht="21.75" customHeight="1">
      <c r="A61" s="67">
        <v>30</v>
      </c>
      <c r="B61" s="143" t="s">
        <v>719</v>
      </c>
      <c r="C61" s="62">
        <f t="shared" si="11"/>
        <v>1430932742</v>
      </c>
      <c r="D61" s="250">
        <f t="shared" si="11"/>
        <v>923644070</v>
      </c>
      <c r="E61" s="531">
        <v>1272732201</v>
      </c>
      <c r="F61" s="531">
        <v>790772106</v>
      </c>
      <c r="G61" s="531">
        <v>14095535</v>
      </c>
      <c r="H61" s="531">
        <v>0</v>
      </c>
      <c r="I61" s="531">
        <v>129462518</v>
      </c>
      <c r="J61" s="531">
        <v>117404067</v>
      </c>
      <c r="K61" s="531">
        <v>12978924</v>
      </c>
      <c r="L61" s="531">
        <v>11772920</v>
      </c>
      <c r="M61" s="531">
        <v>21833367</v>
      </c>
      <c r="N61" s="531">
        <v>11010391</v>
      </c>
      <c r="O61" s="531">
        <v>5457487</v>
      </c>
      <c r="P61" s="531">
        <v>2752598</v>
      </c>
      <c r="Q61" s="531">
        <v>554719</v>
      </c>
      <c r="R61" s="531">
        <v>0</v>
      </c>
      <c r="S61" s="531">
        <v>277359</v>
      </c>
      <c r="T61" s="531">
        <v>0</v>
      </c>
      <c r="U61" s="531">
        <v>6349937</v>
      </c>
      <c r="V61" s="531">
        <v>4457506</v>
      </c>
      <c r="W61" s="531">
        <v>6349937</v>
      </c>
      <c r="X61" s="531">
        <v>4457506</v>
      </c>
      <c r="Y61" s="249">
        <f t="shared" si="12"/>
        <v>25063707</v>
      </c>
      <c r="Z61" s="249">
        <f t="shared" si="12"/>
        <v>18983024</v>
      </c>
      <c r="AA61" s="50">
        <v>4623882</v>
      </c>
      <c r="AB61" s="50">
        <v>5469</v>
      </c>
      <c r="AC61" s="480"/>
      <c r="AD61" s="480"/>
      <c r="AE61" s="202"/>
      <c r="AF61" s="202"/>
      <c r="AG61" s="202"/>
      <c r="AH61" s="202"/>
      <c r="AI61" s="202"/>
      <c r="AJ61" s="202"/>
    </row>
    <row r="62" spans="1:36" s="48" customFormat="1" ht="21.75" customHeight="1">
      <c r="A62" s="67">
        <v>31</v>
      </c>
      <c r="B62" s="143" t="s">
        <v>720</v>
      </c>
      <c r="C62" s="62">
        <f t="shared" si="11"/>
        <v>902467898</v>
      </c>
      <c r="D62" s="250">
        <f t="shared" si="11"/>
        <v>346119709</v>
      </c>
      <c r="E62" s="531">
        <v>727246682</v>
      </c>
      <c r="F62" s="531">
        <v>239083377</v>
      </c>
      <c r="G62" s="531">
        <v>7124392</v>
      </c>
      <c r="H62" s="531">
        <v>0</v>
      </c>
      <c r="I62" s="531">
        <v>86520279</v>
      </c>
      <c r="J62" s="531">
        <v>67490188</v>
      </c>
      <c r="K62" s="531">
        <v>8652118</v>
      </c>
      <c r="L62" s="531">
        <v>6749019</v>
      </c>
      <c r="M62" s="531">
        <v>64587293</v>
      </c>
      <c r="N62" s="531">
        <v>30829891</v>
      </c>
      <c r="O62" s="531">
        <v>16141222</v>
      </c>
      <c r="P62" s="531">
        <v>7707473</v>
      </c>
      <c r="Q62" s="531">
        <v>4162431</v>
      </c>
      <c r="R62" s="531">
        <v>0</v>
      </c>
      <c r="S62" s="531">
        <v>2082118</v>
      </c>
      <c r="T62" s="531">
        <v>0</v>
      </c>
      <c r="U62" s="531">
        <v>19951213</v>
      </c>
      <c r="V62" s="531">
        <v>8716253</v>
      </c>
      <c r="W62" s="531">
        <v>19313016</v>
      </c>
      <c r="X62" s="531">
        <v>8716253</v>
      </c>
      <c r="Y62" s="249">
        <f t="shared" si="12"/>
        <v>46188474</v>
      </c>
      <c r="Z62" s="249">
        <f t="shared" si="12"/>
        <v>23172745</v>
      </c>
      <c r="AA62" s="50">
        <v>9436708</v>
      </c>
      <c r="AB62" s="50">
        <v>59338</v>
      </c>
      <c r="AC62" s="480"/>
      <c r="AD62" s="480"/>
      <c r="AE62" s="202"/>
      <c r="AF62" s="202"/>
      <c r="AG62" s="202"/>
      <c r="AH62" s="202"/>
      <c r="AI62" s="202"/>
      <c r="AJ62" s="202"/>
    </row>
    <row r="63" spans="1:36" s="48" customFormat="1" ht="21.75" customHeight="1">
      <c r="A63" s="67">
        <v>32</v>
      </c>
      <c r="B63" s="143" t="s">
        <v>721</v>
      </c>
      <c r="C63" s="62">
        <f t="shared" si="11"/>
        <v>1954483696</v>
      </c>
      <c r="D63" s="250">
        <f t="shared" si="11"/>
        <v>1084618112</v>
      </c>
      <c r="E63" s="531">
        <v>1855943269</v>
      </c>
      <c r="F63" s="531">
        <v>1020033398</v>
      </c>
      <c r="G63" s="531">
        <v>7551664</v>
      </c>
      <c r="H63" s="531">
        <v>0</v>
      </c>
      <c r="I63" s="531">
        <v>72085569</v>
      </c>
      <c r="J63" s="531">
        <v>62368995</v>
      </c>
      <c r="K63" s="531">
        <v>7208557</v>
      </c>
      <c r="L63" s="531">
        <v>6236900</v>
      </c>
      <c r="M63" s="531">
        <v>4436313</v>
      </c>
      <c r="N63" s="531">
        <v>2215719</v>
      </c>
      <c r="O63" s="531">
        <v>1105966</v>
      </c>
      <c r="P63" s="531">
        <v>553930</v>
      </c>
      <c r="Q63" s="531">
        <v>2481748</v>
      </c>
      <c r="R63" s="531">
        <v>0</v>
      </c>
      <c r="S63" s="531">
        <v>1240874</v>
      </c>
      <c r="T63" s="531">
        <v>0</v>
      </c>
      <c r="U63" s="531">
        <v>19536797</v>
      </c>
      <c r="V63" s="531">
        <v>0</v>
      </c>
      <c r="W63" s="531">
        <v>19536797</v>
      </c>
      <c r="X63" s="531">
        <v>0</v>
      </c>
      <c r="Y63" s="249">
        <f t="shared" si="12"/>
        <v>29092194</v>
      </c>
      <c r="Z63" s="249">
        <f t="shared" si="12"/>
        <v>6790830</v>
      </c>
      <c r="AA63" s="50">
        <v>6765218</v>
      </c>
      <c r="AB63" s="50">
        <v>1498788</v>
      </c>
      <c r="AC63" s="480"/>
      <c r="AD63" s="480"/>
      <c r="AE63" s="202"/>
      <c r="AF63" s="202"/>
      <c r="AG63" s="202"/>
      <c r="AH63" s="202"/>
      <c r="AI63" s="202"/>
      <c r="AJ63" s="202"/>
    </row>
    <row r="64" spans="1:36" s="48" customFormat="1" ht="21.75" customHeight="1">
      <c r="A64" s="67">
        <v>33</v>
      </c>
      <c r="B64" s="143" t="s">
        <v>725</v>
      </c>
      <c r="C64" s="62">
        <f>E64+I64+M64+Q64+U64</f>
        <v>25421384613</v>
      </c>
      <c r="D64" s="250">
        <f t="shared" si="11"/>
        <v>17980396684</v>
      </c>
      <c r="E64" s="531">
        <v>23558805628</v>
      </c>
      <c r="F64" s="531">
        <v>16612735345</v>
      </c>
      <c r="G64" s="531">
        <v>7775442</v>
      </c>
      <c r="H64" s="531">
        <v>0</v>
      </c>
      <c r="I64" s="531">
        <v>1153270458</v>
      </c>
      <c r="J64" s="531">
        <v>882356365</v>
      </c>
      <c r="K64" s="531">
        <v>117476659</v>
      </c>
      <c r="L64" s="531">
        <v>82045467</v>
      </c>
      <c r="M64" s="531">
        <v>355856118</v>
      </c>
      <c r="N64" s="531">
        <v>300283620</v>
      </c>
      <c r="O64" s="531">
        <v>79221884</v>
      </c>
      <c r="P64" s="531">
        <v>65634311</v>
      </c>
      <c r="Q64" s="531">
        <v>65523375</v>
      </c>
      <c r="R64" s="531">
        <v>18024710</v>
      </c>
      <c r="S64" s="531">
        <v>32761800</v>
      </c>
      <c r="T64" s="531">
        <v>9012355</v>
      </c>
      <c r="U64" s="531">
        <v>287929034</v>
      </c>
      <c r="V64" s="531">
        <v>166996644</v>
      </c>
      <c r="W64" s="531">
        <v>286957235</v>
      </c>
      <c r="X64" s="531">
        <v>166996645</v>
      </c>
      <c r="Y64" s="249">
        <f>+W64+S64+O64+K64</f>
        <v>516417578</v>
      </c>
      <c r="Z64" s="249">
        <f>+X64+T64+P64+L64</f>
        <v>323688778</v>
      </c>
      <c r="AA64" s="50">
        <v>86241533</v>
      </c>
      <c r="AB64" s="50">
        <v>1448935</v>
      </c>
      <c r="AC64" s="480"/>
      <c r="AD64" s="480"/>
      <c r="AE64" s="202"/>
      <c r="AF64" s="202"/>
      <c r="AG64" s="202"/>
      <c r="AH64" s="202"/>
      <c r="AI64" s="202"/>
      <c r="AJ64" s="202"/>
    </row>
    <row r="65" spans="1:36" s="48" customFormat="1" ht="21.75" customHeight="1">
      <c r="A65" s="67">
        <v>34</v>
      </c>
      <c r="B65" s="143" t="s">
        <v>722</v>
      </c>
      <c r="C65" s="62">
        <f t="shared" si="11"/>
        <v>2678889120</v>
      </c>
      <c r="D65" s="250">
        <f t="shared" si="11"/>
        <v>1186410453</v>
      </c>
      <c r="E65" s="531">
        <v>2501033874</v>
      </c>
      <c r="F65" s="531">
        <v>1129109718</v>
      </c>
      <c r="G65" s="531">
        <v>215562541</v>
      </c>
      <c r="H65" s="531">
        <v>0</v>
      </c>
      <c r="I65" s="531">
        <v>92528091</v>
      </c>
      <c r="J65" s="531">
        <v>30272222</v>
      </c>
      <c r="K65" s="531">
        <v>9315095</v>
      </c>
      <c r="L65" s="531">
        <v>3027222</v>
      </c>
      <c r="M65" s="531">
        <v>46392370</v>
      </c>
      <c r="N65" s="531">
        <v>9182721</v>
      </c>
      <c r="O65" s="531">
        <v>11482954</v>
      </c>
      <c r="P65" s="531">
        <v>2295680</v>
      </c>
      <c r="Q65" s="531">
        <v>27060741</v>
      </c>
      <c r="R65" s="531">
        <v>17845792</v>
      </c>
      <c r="S65" s="531">
        <v>8045042</v>
      </c>
      <c r="T65" s="531">
        <v>4655567</v>
      </c>
      <c r="U65" s="531">
        <v>11874044</v>
      </c>
      <c r="V65" s="531">
        <v>0</v>
      </c>
      <c r="W65" s="531">
        <v>11874196</v>
      </c>
      <c r="X65" s="531">
        <v>0</v>
      </c>
      <c r="Y65" s="249">
        <f t="shared" si="12"/>
        <v>40717287</v>
      </c>
      <c r="Z65" s="249">
        <f t="shared" si="12"/>
        <v>9978469</v>
      </c>
      <c r="AA65" s="50">
        <v>4864532</v>
      </c>
      <c r="AB65" s="50">
        <v>1078712</v>
      </c>
      <c r="AC65" s="480"/>
      <c r="AD65" s="480"/>
      <c r="AE65" s="202"/>
      <c r="AF65" s="202"/>
      <c r="AG65" s="202"/>
      <c r="AH65" s="202"/>
      <c r="AI65" s="202"/>
      <c r="AJ65" s="202"/>
    </row>
    <row r="66" spans="1:36" s="48" customFormat="1" ht="21.75" customHeight="1">
      <c r="A66" s="67">
        <v>35</v>
      </c>
      <c r="B66" s="143" t="s">
        <v>723</v>
      </c>
      <c r="C66" s="62">
        <f t="shared" si="11"/>
        <v>1399493378</v>
      </c>
      <c r="D66" s="250">
        <f t="shared" si="11"/>
        <v>783436401</v>
      </c>
      <c r="E66" s="531">
        <v>1213771452</v>
      </c>
      <c r="F66" s="531">
        <v>659408692</v>
      </c>
      <c r="G66" s="531">
        <v>22037525</v>
      </c>
      <c r="H66" s="531">
        <v>0</v>
      </c>
      <c r="I66" s="531">
        <v>68495600</v>
      </c>
      <c r="J66" s="531">
        <v>49170750</v>
      </c>
      <c r="K66" s="531">
        <v>6849708</v>
      </c>
      <c r="L66" s="531">
        <v>4917075</v>
      </c>
      <c r="M66" s="531">
        <v>42938110</v>
      </c>
      <c r="N66" s="531">
        <v>21215949</v>
      </c>
      <c r="O66" s="531">
        <v>10723544</v>
      </c>
      <c r="P66" s="531">
        <v>5303987</v>
      </c>
      <c r="Q66" s="531">
        <v>13858256</v>
      </c>
      <c r="R66" s="531">
        <v>8119846</v>
      </c>
      <c r="S66" s="531">
        <v>6929128</v>
      </c>
      <c r="T66" s="531">
        <v>4059923</v>
      </c>
      <c r="U66" s="531">
        <v>60429960</v>
      </c>
      <c r="V66" s="531">
        <v>45521164</v>
      </c>
      <c r="W66" s="531">
        <v>60444247</v>
      </c>
      <c r="X66" s="531">
        <v>45521164</v>
      </c>
      <c r="Y66" s="249">
        <f t="shared" si="12"/>
        <v>84946627</v>
      </c>
      <c r="Z66" s="249">
        <f t="shared" si="12"/>
        <v>59802149</v>
      </c>
      <c r="AA66" s="50">
        <v>20726045</v>
      </c>
      <c r="AB66" s="50">
        <v>272325</v>
      </c>
      <c r="AC66" s="480"/>
      <c r="AD66" s="480"/>
      <c r="AE66" s="202"/>
      <c r="AF66" s="202"/>
      <c r="AG66" s="202"/>
      <c r="AH66" s="202"/>
      <c r="AI66" s="202"/>
      <c r="AJ66" s="202"/>
    </row>
    <row r="67" spans="1:36" s="48" customFormat="1" ht="21.75" customHeight="1">
      <c r="A67" s="67">
        <v>36</v>
      </c>
      <c r="B67" s="143" t="s">
        <v>724</v>
      </c>
      <c r="C67" s="62">
        <f t="shared" si="11"/>
        <v>914555711</v>
      </c>
      <c r="D67" s="250">
        <f t="shared" si="11"/>
        <v>531221336</v>
      </c>
      <c r="E67" s="531">
        <v>541384699</v>
      </c>
      <c r="F67" s="531">
        <v>213534540</v>
      </c>
      <c r="G67" s="531">
        <v>10813969</v>
      </c>
      <c r="H67" s="531">
        <v>0</v>
      </c>
      <c r="I67" s="531">
        <v>267079063</v>
      </c>
      <c r="J67" s="531">
        <v>248578421</v>
      </c>
      <c r="K67" s="531">
        <v>26708033</v>
      </c>
      <c r="L67" s="531">
        <v>24857842</v>
      </c>
      <c r="M67" s="531">
        <v>55590524</v>
      </c>
      <c r="N67" s="531">
        <v>30833143</v>
      </c>
      <c r="O67" s="531">
        <v>13896131</v>
      </c>
      <c r="P67" s="531">
        <v>7708286</v>
      </c>
      <c r="Q67" s="531">
        <v>26252938</v>
      </c>
      <c r="R67" s="531">
        <v>21910365</v>
      </c>
      <c r="S67" s="531">
        <v>13126469</v>
      </c>
      <c r="T67" s="531">
        <v>10955183</v>
      </c>
      <c r="U67" s="531">
        <v>24248487</v>
      </c>
      <c r="V67" s="531">
        <v>16364867</v>
      </c>
      <c r="W67" s="531">
        <v>24248487</v>
      </c>
      <c r="X67" s="531">
        <v>16364867</v>
      </c>
      <c r="Y67" s="249">
        <f t="shared" si="12"/>
        <v>77979120</v>
      </c>
      <c r="Z67" s="249">
        <f t="shared" si="12"/>
        <v>59886178</v>
      </c>
      <c r="AA67" s="50">
        <v>44421528</v>
      </c>
      <c r="AB67" s="50">
        <v>6723</v>
      </c>
      <c r="AC67" s="480"/>
      <c r="AD67" s="480"/>
      <c r="AE67" s="202"/>
      <c r="AF67" s="202"/>
      <c r="AG67" s="202"/>
      <c r="AH67" s="202"/>
      <c r="AI67" s="202"/>
      <c r="AJ67" s="202"/>
    </row>
    <row r="68" spans="1:36" s="66" customFormat="1" ht="28.5" customHeight="1">
      <c r="A68" s="167">
        <v>37</v>
      </c>
      <c r="B68" s="167" t="s">
        <v>173</v>
      </c>
      <c r="C68" s="170">
        <f t="shared" ref="C68:AB68" si="13">SUM(C54:C67)</f>
        <v>43147807488</v>
      </c>
      <c r="D68" s="170">
        <f t="shared" si="13"/>
        <v>28074829152</v>
      </c>
      <c r="E68" s="170">
        <f t="shared" si="13"/>
        <v>38864449980</v>
      </c>
      <c r="F68" s="170">
        <f t="shared" si="13"/>
        <v>24981075010</v>
      </c>
      <c r="G68" s="170">
        <f t="shared" si="13"/>
        <v>351509341</v>
      </c>
      <c r="H68" s="170">
        <f t="shared" si="13"/>
        <v>0</v>
      </c>
      <c r="I68" s="170">
        <f t="shared" si="13"/>
        <v>2653824211</v>
      </c>
      <c r="J68" s="170">
        <f t="shared" si="13"/>
        <v>2109258733</v>
      </c>
      <c r="K68" s="170">
        <f t="shared" si="13"/>
        <v>267633909</v>
      </c>
      <c r="L68" s="170">
        <f t="shared" si="13"/>
        <v>204768218</v>
      </c>
      <c r="M68" s="170">
        <f t="shared" si="13"/>
        <v>891521851</v>
      </c>
      <c r="N68" s="170">
        <f t="shared" si="13"/>
        <v>605903173</v>
      </c>
      <c r="O68" s="170">
        <f t="shared" si="13"/>
        <v>212612564</v>
      </c>
      <c r="P68" s="170">
        <f t="shared" si="13"/>
        <v>142039200</v>
      </c>
      <c r="Q68" s="170">
        <f t="shared" si="13"/>
        <v>209335568</v>
      </c>
      <c r="R68" s="170">
        <f t="shared" si="13"/>
        <v>112060682</v>
      </c>
      <c r="S68" s="170">
        <f t="shared" si="13"/>
        <v>99184650</v>
      </c>
      <c r="T68" s="170">
        <f t="shared" si="13"/>
        <v>51763013</v>
      </c>
      <c r="U68" s="170">
        <f t="shared" si="13"/>
        <v>528675878</v>
      </c>
      <c r="V68" s="170">
        <f t="shared" si="13"/>
        <v>266531554</v>
      </c>
      <c r="W68" s="170">
        <f t="shared" si="13"/>
        <v>527087558</v>
      </c>
      <c r="X68" s="170">
        <f t="shared" si="13"/>
        <v>266531555</v>
      </c>
      <c r="Y68" s="170">
        <f t="shared" si="13"/>
        <v>1106518681</v>
      </c>
      <c r="Z68" s="170">
        <f t="shared" si="13"/>
        <v>665101986</v>
      </c>
      <c r="AA68" s="481">
        <f t="shared" si="13"/>
        <v>328268321</v>
      </c>
      <c r="AB68" s="481">
        <f t="shared" si="13"/>
        <v>4724184</v>
      </c>
      <c r="AC68" s="480"/>
      <c r="AD68" s="480"/>
      <c r="AE68" s="202"/>
      <c r="AF68" s="202"/>
      <c r="AG68" s="202"/>
      <c r="AH68" s="202"/>
      <c r="AI68" s="202"/>
      <c r="AJ68" s="202"/>
    </row>
    <row r="69" spans="1:36" s="16" customFormat="1" ht="23.25" customHeight="1">
      <c r="A69" s="15">
        <v>38</v>
      </c>
      <c r="B69" s="293" t="s">
        <v>193</v>
      </c>
      <c r="C69" s="183">
        <f t="shared" ref="C69" si="14">E69+I69+M69+Q69+U69</f>
        <v>6716669448</v>
      </c>
      <c r="D69" s="250">
        <f t="shared" si="11"/>
        <v>4739967024</v>
      </c>
      <c r="E69" s="63">
        <f>'Asset quality'!D12+'Asset quality'!D48+'Asset quality'!D51+'Asset quality'!D54+'Asset quality'!D55+'Asset quality'!D60</f>
        <v>6616048456</v>
      </c>
      <c r="F69" s="63">
        <v>4701208930</v>
      </c>
      <c r="G69" s="63">
        <v>0</v>
      </c>
      <c r="H69" s="63">
        <v>0</v>
      </c>
      <c r="I69" s="63">
        <f>'Asset quality'!E48+'Asset quality'!E54+'Asset quality'!E55+'Asset quality'!E60</f>
        <v>6500332</v>
      </c>
      <c r="J69" s="63">
        <v>0</v>
      </c>
      <c r="K69" s="63">
        <f>'Asset quality'!P48+'Asset quality'!P54+'Asset quality'!P55+'Asset quality'!P60</f>
        <v>648482</v>
      </c>
      <c r="L69" s="63">
        <v>0</v>
      </c>
      <c r="M69" s="63">
        <f>'Asset quality'!F54+'Asset quality'!F55</f>
        <v>12500693</v>
      </c>
      <c r="N69" s="63">
        <v>0</v>
      </c>
      <c r="O69" s="63">
        <f>'Asset quality'!Q54+'Asset quality'!Q55+'Asset quality'!Q60</f>
        <v>1684354</v>
      </c>
      <c r="P69" s="63">
        <v>0</v>
      </c>
      <c r="Q69" s="63">
        <f>'Asset quality'!G54</f>
        <v>28166</v>
      </c>
      <c r="R69" s="63">
        <v>0</v>
      </c>
      <c r="S69" s="63">
        <f>'Asset quality'!R54+803</f>
        <v>9033</v>
      </c>
      <c r="T69" s="63">
        <v>0</v>
      </c>
      <c r="U69" s="63">
        <f>'Asset quality'!H12+'Asset quality'!H48+'Asset quality'!H51+'Asset quality'!H54+'Asset quality'!H60</f>
        <v>81591801</v>
      </c>
      <c r="V69" s="63">
        <v>38758094</v>
      </c>
      <c r="W69" s="63">
        <f>'Asset quality'!S12+'Asset quality'!S48+'Asset quality'!S51+'Asset quality'!S54+'Asset quality'!S60</f>
        <v>81741075</v>
      </c>
      <c r="X69" s="63">
        <v>38758094</v>
      </c>
      <c r="Y69" s="249">
        <f t="shared" ref="Y69:Z69" si="15">+W69+S69+O69+K69</f>
        <v>84082944</v>
      </c>
      <c r="Z69" s="249">
        <f t="shared" si="15"/>
        <v>38758094</v>
      </c>
      <c r="AA69" s="50"/>
      <c r="AB69" s="50">
        <v>0</v>
      </c>
      <c r="AC69" s="480"/>
      <c r="AD69" s="480"/>
      <c r="AE69" s="202"/>
      <c r="AF69" s="202"/>
      <c r="AG69" s="202"/>
      <c r="AH69" s="202"/>
      <c r="AI69" s="202"/>
      <c r="AJ69" s="202"/>
    </row>
    <row r="70" spans="1:36" s="16" customFormat="1" ht="23.25" customHeight="1">
      <c r="A70" s="15"/>
      <c r="B70" s="61" t="s">
        <v>545</v>
      </c>
      <c r="C70" s="183">
        <f t="shared" ref="C70" si="16">E70+I70+M70+Q70+U70</f>
        <v>0</v>
      </c>
      <c r="D70" s="250">
        <f t="shared" si="11"/>
        <v>0</v>
      </c>
      <c r="E70" s="248"/>
      <c r="F70" s="248"/>
      <c r="G70" s="248"/>
      <c r="H70" s="248"/>
      <c r="I70" s="248"/>
      <c r="J70" s="248"/>
      <c r="K70" s="248"/>
      <c r="L70" s="248"/>
      <c r="M70" s="248"/>
      <c r="N70" s="248"/>
      <c r="O70" s="248"/>
      <c r="P70" s="248"/>
      <c r="Q70" s="248"/>
      <c r="R70" s="248"/>
      <c r="S70" s="248"/>
      <c r="T70" s="248"/>
      <c r="U70" s="248"/>
      <c r="V70" s="248"/>
      <c r="W70" s="248"/>
      <c r="X70" s="248"/>
      <c r="Y70" s="249">
        <f t="shared" ref="Y70" si="17">+W70+S70+O70+K70</f>
        <v>0</v>
      </c>
      <c r="Z70" s="249">
        <f t="shared" ref="Z70" si="18">+X70+T70+P70+L70</f>
        <v>0</v>
      </c>
      <c r="AA70" s="50"/>
      <c r="AB70" s="50">
        <v>0</v>
      </c>
      <c r="AC70" s="480"/>
      <c r="AD70" s="480"/>
      <c r="AE70" s="202"/>
      <c r="AF70" s="202"/>
      <c r="AG70" s="202"/>
      <c r="AH70" s="202"/>
      <c r="AI70" s="202"/>
      <c r="AJ70" s="202"/>
    </row>
    <row r="71" spans="1:36" s="66" customFormat="1" ht="28.5" customHeight="1">
      <c r="A71" s="167">
        <v>39</v>
      </c>
      <c r="B71" s="167" t="s">
        <v>194</v>
      </c>
      <c r="C71" s="170">
        <f t="shared" ref="C71:AB71" si="19">+C50+C69</f>
        <v>49864476936</v>
      </c>
      <c r="D71" s="170">
        <f t="shared" si="19"/>
        <v>32814796176</v>
      </c>
      <c r="E71" s="170">
        <f t="shared" si="19"/>
        <v>45480498436</v>
      </c>
      <c r="F71" s="170">
        <f t="shared" si="19"/>
        <v>29682283940</v>
      </c>
      <c r="G71" s="170">
        <f t="shared" si="19"/>
        <v>351509341</v>
      </c>
      <c r="H71" s="170">
        <f t="shared" si="19"/>
        <v>0</v>
      </c>
      <c r="I71" s="170">
        <f t="shared" si="19"/>
        <v>2660324543</v>
      </c>
      <c r="J71" s="170">
        <f t="shared" si="19"/>
        <v>2109258733</v>
      </c>
      <c r="K71" s="170">
        <f t="shared" si="19"/>
        <v>268282391</v>
      </c>
      <c r="L71" s="170">
        <f t="shared" si="19"/>
        <v>204768218</v>
      </c>
      <c r="M71" s="170">
        <f t="shared" si="19"/>
        <v>904022544</v>
      </c>
      <c r="N71" s="170">
        <f t="shared" si="19"/>
        <v>605903173</v>
      </c>
      <c r="O71" s="170">
        <f t="shared" si="19"/>
        <v>214296918</v>
      </c>
      <c r="P71" s="170">
        <f t="shared" si="19"/>
        <v>142039200</v>
      </c>
      <c r="Q71" s="170">
        <f t="shared" si="19"/>
        <v>209363734</v>
      </c>
      <c r="R71" s="170">
        <f t="shared" si="19"/>
        <v>112060682</v>
      </c>
      <c r="S71" s="170">
        <f t="shared" si="19"/>
        <v>99193683</v>
      </c>
      <c r="T71" s="170">
        <f t="shared" si="19"/>
        <v>51763013</v>
      </c>
      <c r="U71" s="170">
        <f t="shared" si="19"/>
        <v>610267679</v>
      </c>
      <c r="V71" s="170">
        <f t="shared" si="19"/>
        <v>305289648</v>
      </c>
      <c r="W71" s="170">
        <f t="shared" si="19"/>
        <v>608828633</v>
      </c>
      <c r="X71" s="170">
        <f t="shared" si="19"/>
        <v>305289649</v>
      </c>
      <c r="Y71" s="170">
        <f t="shared" si="19"/>
        <v>1190601625</v>
      </c>
      <c r="Z71" s="170">
        <f t="shared" si="19"/>
        <v>703860080</v>
      </c>
      <c r="AA71" s="481">
        <f t="shared" si="19"/>
        <v>328268321</v>
      </c>
      <c r="AB71" s="481">
        <f t="shared" si="19"/>
        <v>4724184</v>
      </c>
      <c r="AC71" s="480"/>
      <c r="AD71" s="480"/>
      <c r="AE71" s="202"/>
      <c r="AF71" s="202"/>
      <c r="AG71" s="202"/>
      <c r="AH71" s="202"/>
      <c r="AI71" s="202"/>
      <c r="AJ71" s="202"/>
    </row>
    <row r="74" spans="1:36">
      <c r="B74" s="3" t="s">
        <v>0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22"/>
      <c r="Y74" s="22"/>
      <c r="Z74" s="22"/>
      <c r="AA74" s="463"/>
      <c r="AB74" s="463"/>
    </row>
    <row r="75" spans="1:36">
      <c r="B75" s="3"/>
    </row>
    <row r="76" spans="1:36">
      <c r="B76" s="3" t="s">
        <v>1</v>
      </c>
    </row>
    <row r="77" spans="1:36">
      <c r="E77" s="10">
        <f>SUM('Asset quality'!D21:D47)+'Asset quality'!D16</f>
        <v>38864449980</v>
      </c>
      <c r="F77" s="10"/>
      <c r="G77" s="10">
        <f>SUM('Asset quality'!O21:O47)+'Asset quality'!O16</f>
        <v>351509341</v>
      </c>
      <c r="H77" s="10"/>
      <c r="I77" s="10">
        <f>SUM('Asset quality'!E21:E47)+'Asset quality'!E16</f>
        <v>2653824211</v>
      </c>
      <c r="K77" s="10">
        <f>SUM('Asset quality'!P21:P47)+'Asset quality'!P16</f>
        <v>267633909</v>
      </c>
      <c r="L77" s="10"/>
      <c r="M77" s="10">
        <f>SUM('Asset quality'!F21:F47)+'Asset quality'!F16</f>
        <v>891521851</v>
      </c>
      <c r="O77" s="10">
        <f>SUM('Asset quality'!Q21:Q47)+'Asset quality'!Q16</f>
        <v>212612564</v>
      </c>
      <c r="P77" s="10"/>
      <c r="Q77" s="10">
        <f>SUM('Asset quality'!G21:G47)+'Asset quality'!G16</f>
        <v>209335568</v>
      </c>
      <c r="S77" s="10">
        <f>SUM('Asset quality'!R21:R47)+'Asset quality'!R16</f>
        <v>99184650</v>
      </c>
      <c r="T77" s="10"/>
      <c r="U77" s="10">
        <f>SUM('Asset quality'!H21:H47)+'Asset quality'!H16</f>
        <v>528675878</v>
      </c>
      <c r="W77" s="10">
        <f>SUM('Asset quality'!S21:S47)+'Asset quality'!S16</f>
        <v>527087558</v>
      </c>
      <c r="Y77" s="10">
        <f>+W77+S77+O77+K77</f>
        <v>1106518681</v>
      </c>
    </row>
    <row r="78" spans="1:36">
      <c r="E78" s="10"/>
      <c r="G78" s="10">
        <f>+'Asset quality'!O9+'Asset quality'!O62</f>
        <v>351509341</v>
      </c>
      <c r="I78" s="10"/>
      <c r="K78" s="10">
        <f>+'Asset quality'!P9+'Asset quality'!P62</f>
        <v>268282391</v>
      </c>
      <c r="M78" s="10"/>
      <c r="O78" s="10">
        <f>+'Asset quality'!Q9+'Asset quality'!Q62</f>
        <v>214296918</v>
      </c>
      <c r="S78" s="10">
        <f>+'Asset quality'!R9+'Asset quality'!R62</f>
        <v>99193683</v>
      </c>
      <c r="U78" s="10"/>
      <c r="W78" s="10">
        <f>+'Asset quality'!S9+'Asset quality'!S62</f>
        <v>608828633</v>
      </c>
      <c r="Y78" s="10">
        <f>+W78+S78+O78+K78</f>
        <v>1190601625</v>
      </c>
    </row>
    <row r="79" spans="1:36">
      <c r="E79" s="327">
        <f>+E77-E50</f>
        <v>0</v>
      </c>
      <c r="F79" s="327"/>
      <c r="G79" s="327">
        <f>+G77-G50</f>
        <v>0</v>
      </c>
      <c r="H79" s="328"/>
      <c r="I79" s="327">
        <f>+I77-I50</f>
        <v>0</v>
      </c>
      <c r="J79" s="328"/>
      <c r="K79" s="327">
        <f>+K77-K50</f>
        <v>0</v>
      </c>
      <c r="L79" s="328"/>
      <c r="M79" s="327">
        <f>+M77-M50</f>
        <v>0</v>
      </c>
      <c r="N79" s="328"/>
      <c r="O79" s="327">
        <f>+O77-O50</f>
        <v>0</v>
      </c>
      <c r="P79" s="328"/>
      <c r="Q79" s="327">
        <f>+Q77-Q50</f>
        <v>0</v>
      </c>
      <c r="R79" s="328"/>
      <c r="S79" s="327">
        <f>+S77-S50</f>
        <v>0</v>
      </c>
      <c r="T79" s="328"/>
      <c r="U79" s="327">
        <f>+U77-U50</f>
        <v>0</v>
      </c>
      <c r="V79" s="328"/>
      <c r="W79" s="327">
        <f>+W77-W50</f>
        <v>0</v>
      </c>
      <c r="X79" s="328"/>
      <c r="Y79" s="327">
        <f>+Y77-Y50</f>
        <v>0</v>
      </c>
      <c r="Z79" s="328"/>
    </row>
    <row r="80" spans="1:36">
      <c r="E80" s="329"/>
      <c r="F80" s="327"/>
      <c r="G80" s="327">
        <f>+G78-G71</f>
        <v>0</v>
      </c>
      <c r="H80" s="328"/>
      <c r="I80" s="327"/>
      <c r="J80" s="328"/>
      <c r="K80" s="327">
        <f>+K78-K71</f>
        <v>0</v>
      </c>
      <c r="L80" s="328"/>
      <c r="M80" s="327"/>
      <c r="N80" s="328"/>
      <c r="O80" s="327">
        <f>+O78-O71</f>
        <v>0</v>
      </c>
      <c r="P80" s="328"/>
      <c r="Q80" s="327"/>
      <c r="R80" s="328"/>
      <c r="S80" s="327">
        <f>+S78-S71</f>
        <v>0</v>
      </c>
      <c r="T80" s="328"/>
      <c r="U80" s="327"/>
      <c r="V80" s="328"/>
      <c r="W80" s="327">
        <f>+W78-W71</f>
        <v>0</v>
      </c>
      <c r="X80" s="328"/>
      <c r="Y80" s="327">
        <f>+Y78-Y71</f>
        <v>0</v>
      </c>
      <c r="Z80" s="328"/>
    </row>
    <row r="81" spans="5:36">
      <c r="E81" s="328"/>
      <c r="F81" s="328"/>
      <c r="G81" s="328"/>
      <c r="H81" s="328"/>
      <c r="I81" s="328"/>
      <c r="J81" s="328"/>
      <c r="K81" s="328"/>
      <c r="L81" s="328"/>
      <c r="M81" s="328"/>
      <c r="N81" s="328"/>
      <c r="O81" s="328"/>
      <c r="P81" s="328"/>
      <c r="Q81" s="328"/>
      <c r="R81" s="328"/>
      <c r="S81" s="328"/>
      <c r="T81" s="328"/>
      <c r="U81" s="328"/>
      <c r="V81" s="328"/>
      <c r="W81" s="328"/>
      <c r="X81" s="328"/>
      <c r="Y81" s="328"/>
      <c r="Z81" s="328"/>
      <c r="AC81" s="74"/>
      <c r="AD81" s="74"/>
      <c r="AE81" s="1"/>
      <c r="AF81" s="1"/>
      <c r="AG81" s="1"/>
      <c r="AH81" s="1"/>
      <c r="AI81" s="1"/>
      <c r="AJ81" s="1"/>
    </row>
    <row r="1048576" spans="29:36">
      <c r="AC1048576" s="482"/>
      <c r="AD1048576" s="74"/>
      <c r="AE1048576" s="1"/>
      <c r="AF1048576" s="1"/>
      <c r="AG1048576" s="1"/>
      <c r="AH1048576" s="1"/>
      <c r="AI1048576" s="1"/>
      <c r="AJ1048576" s="1"/>
    </row>
  </sheetData>
  <sheetProtection algorithmName="SHA-512" hashValue="eO9V+LM7b5KBmxm+k1WddJoPZHHOJrilEt8xc0rdRyvqRj0PQegqsyz2Wos/o1/H3sU1oztiPj1bvuswYWBn5g==" saltValue="pscYcDNYGSgDUkIi9UCnIg==" spinCount="100000" sheet="1" objects="1" scenarios="1"/>
  <phoneticPr fontId="16" type="noConversion"/>
  <conditionalFormatting sqref="C6">
    <cfRule type="cellIs" dxfId="192" priority="24" operator="notEqual">
      <formula>$AC$6</formula>
    </cfRule>
  </conditionalFormatting>
  <conditionalFormatting sqref="C8">
    <cfRule type="cellIs" dxfId="191" priority="23" operator="notEqual">
      <formula>$AC$8</formula>
    </cfRule>
  </conditionalFormatting>
  <conditionalFormatting sqref="C10">
    <cfRule type="cellIs" dxfId="190" priority="22" operator="notEqual">
      <formula>$AC$10</formula>
    </cfRule>
  </conditionalFormatting>
  <conditionalFormatting sqref="C12">
    <cfRule type="cellIs" dxfId="189" priority="21" operator="notEqual">
      <formula>$AC$12</formula>
    </cfRule>
  </conditionalFormatting>
  <conditionalFormatting sqref="C14">
    <cfRule type="cellIs" dxfId="188" priority="20" operator="notEqual">
      <formula>$AC$14</formula>
    </cfRule>
  </conditionalFormatting>
  <conditionalFormatting sqref="C16">
    <cfRule type="cellIs" dxfId="187" priority="19" operator="notEqual">
      <formula>$AC$16</formula>
    </cfRule>
  </conditionalFormatting>
  <conditionalFormatting sqref="C18">
    <cfRule type="cellIs" dxfId="186" priority="18" operator="notEqual">
      <formula>$AC$18</formula>
    </cfRule>
  </conditionalFormatting>
  <conditionalFormatting sqref="C20">
    <cfRule type="cellIs" dxfId="185" priority="17" operator="notEqual">
      <formula>$AC$20</formula>
    </cfRule>
  </conditionalFormatting>
  <conditionalFormatting sqref="C22">
    <cfRule type="cellIs" dxfId="184" priority="16" operator="notEqual">
      <formula>$AC$22</formula>
    </cfRule>
  </conditionalFormatting>
  <conditionalFormatting sqref="C24">
    <cfRule type="cellIs" dxfId="183" priority="15" operator="notEqual">
      <formula>$AC$24</formula>
    </cfRule>
  </conditionalFormatting>
  <conditionalFormatting sqref="C26">
    <cfRule type="cellIs" dxfId="182" priority="14" operator="notEqual">
      <formula>$AC$26</formula>
    </cfRule>
  </conditionalFormatting>
  <conditionalFormatting sqref="C28">
    <cfRule type="cellIs" dxfId="181" priority="13" operator="notEqual">
      <formula>$AC$28</formula>
    </cfRule>
  </conditionalFormatting>
  <conditionalFormatting sqref="C34">
    <cfRule type="cellIs" dxfId="180" priority="12" operator="notEqual">
      <formula>$AC$34</formula>
    </cfRule>
  </conditionalFormatting>
  <conditionalFormatting sqref="C36">
    <cfRule type="cellIs" dxfId="179" priority="11" operator="notEqual">
      <formula>$AC$36</formula>
    </cfRule>
  </conditionalFormatting>
  <conditionalFormatting sqref="C38">
    <cfRule type="cellIs" dxfId="178" priority="10" operator="notEqual">
      <formula>$AC$38</formula>
    </cfRule>
  </conditionalFormatting>
  <conditionalFormatting sqref="C40">
    <cfRule type="cellIs" dxfId="177" priority="9" operator="notEqual">
      <formula>$AC$40</formula>
    </cfRule>
  </conditionalFormatting>
  <conditionalFormatting sqref="C42">
    <cfRule type="cellIs" dxfId="176" priority="8" operator="notEqual">
      <formula>$AC$42</formula>
    </cfRule>
  </conditionalFormatting>
  <conditionalFormatting sqref="C44">
    <cfRule type="cellIs" dxfId="175" priority="7" operator="notEqual">
      <formula>$AC$44</formula>
    </cfRule>
  </conditionalFormatting>
  <conditionalFormatting sqref="C46">
    <cfRule type="cellIs" dxfId="174" priority="6" operator="notEqual">
      <formula>$AC$46</formula>
    </cfRule>
  </conditionalFormatting>
  <conditionalFormatting sqref="C48">
    <cfRule type="cellIs" dxfId="173" priority="5" operator="notEqual">
      <formula>$AC$48</formula>
    </cfRule>
  </conditionalFormatting>
  <conditionalFormatting sqref="D30">
    <cfRule type="cellIs" dxfId="172" priority="169" operator="notEqual">
      <formula>$D$50</formula>
    </cfRule>
  </conditionalFormatting>
  <conditionalFormatting sqref="D31">
    <cfRule type="cellIs" dxfId="171" priority="142" operator="notEqual">
      <formula>$D$51</formula>
    </cfRule>
  </conditionalFormatting>
  <conditionalFormatting sqref="D50">
    <cfRule type="cellIs" dxfId="170" priority="573" operator="notEqual">
      <formula>$D$68</formula>
    </cfRule>
  </conditionalFormatting>
  <conditionalFormatting sqref="E30">
    <cfRule type="cellIs" dxfId="169" priority="168" operator="notEqual">
      <formula>$E$50</formula>
    </cfRule>
  </conditionalFormatting>
  <conditionalFormatting sqref="E31">
    <cfRule type="cellIs" dxfId="168" priority="114" operator="notEqual">
      <formula>$E$51</formula>
    </cfRule>
  </conditionalFormatting>
  <conditionalFormatting sqref="E50">
    <cfRule type="cellIs" dxfId="167" priority="569" operator="notEqual">
      <formula>$E$68</formula>
    </cfRule>
  </conditionalFormatting>
  <conditionalFormatting sqref="E68">
    <cfRule type="cellIs" dxfId="166" priority="26" operator="notEqual">
      <formula>$E$77</formula>
    </cfRule>
    <cfRule type="cellIs" dxfId="165" priority="63" operator="notEqual">
      <formula>$E$30</formula>
    </cfRule>
  </conditionalFormatting>
  <conditionalFormatting sqref="F30">
    <cfRule type="cellIs" dxfId="164" priority="167" operator="notEqual">
      <formula>$F$50</formula>
    </cfRule>
  </conditionalFormatting>
  <conditionalFormatting sqref="F31">
    <cfRule type="cellIs" dxfId="163" priority="113" operator="notEqual">
      <formula>$F$51</formula>
    </cfRule>
  </conditionalFormatting>
  <conditionalFormatting sqref="F50">
    <cfRule type="cellIs" dxfId="162" priority="574" operator="notEqual">
      <formula>$F$68</formula>
    </cfRule>
  </conditionalFormatting>
  <conditionalFormatting sqref="G30">
    <cfRule type="cellIs" dxfId="161" priority="166" operator="notEqual">
      <formula>$G$50</formula>
    </cfRule>
  </conditionalFormatting>
  <conditionalFormatting sqref="G31">
    <cfRule type="cellIs" dxfId="160" priority="112" operator="notEqual">
      <formula>$G$51</formula>
    </cfRule>
  </conditionalFormatting>
  <conditionalFormatting sqref="G50">
    <cfRule type="cellIs" dxfId="159" priority="563" operator="notEqual">
      <formula>$G$68</formula>
    </cfRule>
  </conditionalFormatting>
  <conditionalFormatting sqref="G68">
    <cfRule type="cellIs" dxfId="158" priority="36" operator="notEqual">
      <formula>$G$77</formula>
    </cfRule>
    <cfRule type="cellIs" dxfId="157" priority="69" operator="notEqual">
      <formula>$G$30</formula>
    </cfRule>
  </conditionalFormatting>
  <conditionalFormatting sqref="G71">
    <cfRule type="cellIs" dxfId="156" priority="42" operator="notEqual">
      <formula>$G$78</formula>
    </cfRule>
    <cfRule type="cellIs" dxfId="155" priority="107" operator="notEqual">
      <formula>$G$78</formula>
    </cfRule>
  </conditionalFormatting>
  <conditionalFormatting sqref="H30">
    <cfRule type="cellIs" dxfId="154" priority="165" operator="notEqual">
      <formula>$H$50</formula>
    </cfRule>
  </conditionalFormatting>
  <conditionalFormatting sqref="H31">
    <cfRule type="cellIs" dxfId="153" priority="110" operator="notEqual">
      <formula>$H$49</formula>
    </cfRule>
  </conditionalFormatting>
  <conditionalFormatting sqref="H50">
    <cfRule type="cellIs" dxfId="152" priority="58" operator="notEqual">
      <formula>H68</formula>
    </cfRule>
  </conditionalFormatting>
  <conditionalFormatting sqref="I30">
    <cfRule type="cellIs" dxfId="151" priority="164" operator="notEqual">
      <formula>$I$50</formula>
    </cfRule>
  </conditionalFormatting>
  <conditionalFormatting sqref="I31">
    <cfRule type="cellIs" dxfId="150" priority="132" operator="notEqual">
      <formula>$I$51</formula>
    </cfRule>
  </conditionalFormatting>
  <conditionalFormatting sqref="I50">
    <cfRule type="cellIs" dxfId="149" priority="575" operator="notEqual">
      <formula>$I$68</formula>
    </cfRule>
  </conditionalFormatting>
  <conditionalFormatting sqref="I68">
    <cfRule type="cellIs" dxfId="148" priority="35" operator="notEqual">
      <formula>$I$77</formula>
    </cfRule>
  </conditionalFormatting>
  <conditionalFormatting sqref="J30">
    <cfRule type="cellIs" dxfId="147" priority="162" operator="notEqual">
      <formula>$J$50</formula>
    </cfRule>
  </conditionalFormatting>
  <conditionalFormatting sqref="J31">
    <cfRule type="cellIs" dxfId="146" priority="131" operator="notEqual">
      <formula>$J$51</formula>
    </cfRule>
  </conditionalFormatting>
  <conditionalFormatting sqref="J50">
    <cfRule type="cellIs" dxfId="145" priority="576" operator="notEqual">
      <formula>$J$68</formula>
    </cfRule>
  </conditionalFormatting>
  <conditionalFormatting sqref="J68">
    <cfRule type="cellIs" dxfId="144" priority="57" operator="notEqual">
      <formula>$J$30</formula>
    </cfRule>
  </conditionalFormatting>
  <conditionalFormatting sqref="K30">
    <cfRule type="cellIs" dxfId="143" priority="161" operator="notEqual">
      <formula>$K$50</formula>
    </cfRule>
  </conditionalFormatting>
  <conditionalFormatting sqref="K31">
    <cfRule type="cellIs" dxfId="142" priority="130" operator="notEqual">
      <formula>$K$51</formula>
    </cfRule>
  </conditionalFormatting>
  <conditionalFormatting sqref="K50">
    <cfRule type="cellIs" dxfId="141" priority="564" operator="notEqual">
      <formula>$K$68</formula>
    </cfRule>
  </conditionalFormatting>
  <conditionalFormatting sqref="K68">
    <cfRule type="cellIs" dxfId="140" priority="68" operator="notEqual">
      <formula>$K$30</formula>
    </cfRule>
    <cfRule type="cellIs" dxfId="139" priority="34" operator="notEqual">
      <formula>$K$77</formula>
    </cfRule>
  </conditionalFormatting>
  <conditionalFormatting sqref="K71">
    <cfRule type="cellIs" dxfId="138" priority="105" operator="notEqual">
      <formula>$K$78</formula>
    </cfRule>
    <cfRule type="cellIs" dxfId="137" priority="41" operator="notEqual">
      <formula>$K$78</formula>
    </cfRule>
  </conditionalFormatting>
  <conditionalFormatting sqref="L30">
    <cfRule type="cellIs" dxfId="136" priority="160" operator="notEqual">
      <formula>$L$50</formula>
    </cfRule>
  </conditionalFormatting>
  <conditionalFormatting sqref="L31">
    <cfRule type="cellIs" dxfId="135" priority="129" operator="notEqual">
      <formula>$L$51</formula>
    </cfRule>
  </conditionalFormatting>
  <conditionalFormatting sqref="L50">
    <cfRule type="cellIs" dxfId="134" priority="577" operator="notEqual">
      <formula>$L$68</formula>
    </cfRule>
  </conditionalFormatting>
  <conditionalFormatting sqref="M30">
    <cfRule type="cellIs" dxfId="133" priority="158" operator="notEqual">
      <formula>$M$50</formula>
    </cfRule>
  </conditionalFormatting>
  <conditionalFormatting sqref="M31">
    <cfRule type="cellIs" dxfId="132" priority="128" operator="notEqual">
      <formula>$M$51</formula>
    </cfRule>
  </conditionalFormatting>
  <conditionalFormatting sqref="M50">
    <cfRule type="cellIs" dxfId="131" priority="570" operator="notEqual">
      <formula>$M$68</formula>
    </cfRule>
  </conditionalFormatting>
  <conditionalFormatting sqref="M68">
    <cfRule type="cellIs" dxfId="130" priority="33" operator="notEqual">
      <formula>$M$77</formula>
    </cfRule>
    <cfRule type="cellIs" dxfId="129" priority="61" operator="notEqual">
      <formula>$M$30</formula>
    </cfRule>
  </conditionalFormatting>
  <conditionalFormatting sqref="N30">
    <cfRule type="cellIs" dxfId="128" priority="157" operator="notEqual">
      <formula>$N$50</formula>
    </cfRule>
  </conditionalFormatting>
  <conditionalFormatting sqref="N31">
    <cfRule type="cellIs" dxfId="127" priority="127" operator="notEqual">
      <formula>$N$51</formula>
    </cfRule>
  </conditionalFormatting>
  <conditionalFormatting sqref="N50">
    <cfRule type="cellIs" dxfId="126" priority="578" operator="notEqual">
      <formula>$N$68</formula>
    </cfRule>
  </conditionalFormatting>
  <conditionalFormatting sqref="O30">
    <cfRule type="cellIs" dxfId="125" priority="156" operator="notEqual">
      <formula>$O$50</formula>
    </cfRule>
  </conditionalFormatting>
  <conditionalFormatting sqref="O31">
    <cfRule type="cellIs" dxfId="124" priority="126" operator="notEqual">
      <formula>$O$51</formula>
    </cfRule>
  </conditionalFormatting>
  <conditionalFormatting sqref="O50">
    <cfRule type="cellIs" dxfId="123" priority="568" operator="notEqual">
      <formula>$O$68</formula>
    </cfRule>
  </conditionalFormatting>
  <conditionalFormatting sqref="O68">
    <cfRule type="cellIs" dxfId="122" priority="64" operator="notEqual">
      <formula>$O$30</formula>
    </cfRule>
    <cfRule type="cellIs" dxfId="121" priority="32" operator="notEqual">
      <formula>$O$77</formula>
    </cfRule>
  </conditionalFormatting>
  <conditionalFormatting sqref="O71">
    <cfRule type="cellIs" dxfId="120" priority="94" operator="notEqual">
      <formula>$O$78</formula>
    </cfRule>
    <cfRule type="cellIs" dxfId="119" priority="40" operator="notEqual">
      <formula>$O$78</formula>
    </cfRule>
  </conditionalFormatting>
  <conditionalFormatting sqref="P30">
    <cfRule type="cellIs" dxfId="118" priority="155" operator="notEqual">
      <formula>$P$50</formula>
    </cfRule>
  </conditionalFormatting>
  <conditionalFormatting sqref="P31">
    <cfRule type="cellIs" dxfId="117" priority="125" operator="notEqual">
      <formula>$P$51</formula>
    </cfRule>
  </conditionalFormatting>
  <conditionalFormatting sqref="P50">
    <cfRule type="cellIs" dxfId="116" priority="579" operator="notEqual">
      <formula>$P$68</formula>
    </cfRule>
  </conditionalFormatting>
  <conditionalFormatting sqref="Q30">
    <cfRule type="cellIs" dxfId="115" priority="153" operator="notEqual">
      <formula>$Q$50</formula>
    </cfRule>
  </conditionalFormatting>
  <conditionalFormatting sqref="Q31">
    <cfRule type="cellIs" dxfId="114" priority="124" operator="notEqual">
      <formula>$Q$51</formula>
    </cfRule>
  </conditionalFormatting>
  <conditionalFormatting sqref="Q50">
    <cfRule type="cellIs" dxfId="113" priority="571" operator="notEqual">
      <formula>$Q$68</formula>
    </cfRule>
  </conditionalFormatting>
  <conditionalFormatting sqref="Q68">
    <cfRule type="cellIs" dxfId="112" priority="31" operator="notEqual">
      <formula>$Q$77</formula>
    </cfRule>
    <cfRule type="cellIs" dxfId="111" priority="60" operator="notEqual">
      <formula>$Q$30</formula>
    </cfRule>
  </conditionalFormatting>
  <conditionalFormatting sqref="R30">
    <cfRule type="cellIs" dxfId="110" priority="152" operator="notEqual">
      <formula>$R$50</formula>
    </cfRule>
  </conditionalFormatting>
  <conditionalFormatting sqref="R31">
    <cfRule type="cellIs" dxfId="109" priority="123" operator="notEqual">
      <formula>$R$51</formula>
    </cfRule>
  </conditionalFormatting>
  <conditionalFormatting sqref="R50">
    <cfRule type="cellIs" dxfId="108" priority="580" operator="notEqual">
      <formula>$R$68</formula>
    </cfRule>
  </conditionalFormatting>
  <conditionalFormatting sqref="S30">
    <cfRule type="cellIs" dxfId="107" priority="151" operator="notEqual">
      <formula>$S$50</formula>
    </cfRule>
  </conditionalFormatting>
  <conditionalFormatting sqref="S31">
    <cfRule type="cellIs" dxfId="106" priority="122" operator="notEqual">
      <formula>$S$51</formula>
    </cfRule>
  </conditionalFormatting>
  <conditionalFormatting sqref="S50">
    <cfRule type="cellIs" dxfId="105" priority="565" operator="notEqual">
      <formula>$S$68</formula>
    </cfRule>
  </conditionalFormatting>
  <conditionalFormatting sqref="S68">
    <cfRule type="cellIs" dxfId="104" priority="30" operator="notEqual">
      <formula>$S$77</formula>
    </cfRule>
    <cfRule type="cellIs" dxfId="103" priority="67" operator="notEqual">
      <formula>$S$30</formula>
    </cfRule>
  </conditionalFormatting>
  <conditionalFormatting sqref="S71">
    <cfRule type="cellIs" dxfId="102" priority="101" operator="notEqual">
      <formula>$S$78</formula>
    </cfRule>
    <cfRule type="cellIs" dxfId="101" priority="39" operator="notEqual">
      <formula>$S$78</formula>
    </cfRule>
  </conditionalFormatting>
  <conditionalFormatting sqref="T30">
    <cfRule type="cellIs" dxfId="100" priority="150" operator="notEqual">
      <formula>$T$50</formula>
    </cfRule>
  </conditionalFormatting>
  <conditionalFormatting sqref="T31">
    <cfRule type="cellIs" dxfId="99" priority="121" operator="notEqual">
      <formula>$T$51</formula>
    </cfRule>
  </conditionalFormatting>
  <conditionalFormatting sqref="T50">
    <cfRule type="cellIs" dxfId="98" priority="581" operator="notEqual">
      <formula>$T$68</formula>
    </cfRule>
  </conditionalFormatting>
  <conditionalFormatting sqref="U30">
    <cfRule type="cellIs" dxfId="97" priority="149" operator="notEqual">
      <formula>$U$50</formula>
    </cfRule>
  </conditionalFormatting>
  <conditionalFormatting sqref="U31">
    <cfRule type="cellIs" dxfId="96" priority="120" operator="notEqual">
      <formula>$U$51</formula>
    </cfRule>
  </conditionalFormatting>
  <conditionalFormatting sqref="U50">
    <cfRule type="cellIs" dxfId="95" priority="572" operator="notEqual">
      <formula>$U$68</formula>
    </cfRule>
  </conditionalFormatting>
  <conditionalFormatting sqref="U68">
    <cfRule type="cellIs" dxfId="94" priority="29" operator="notEqual">
      <formula>$U$77</formula>
    </cfRule>
    <cfRule type="cellIs" dxfId="93" priority="59" operator="notEqual">
      <formula>$U$30</formula>
    </cfRule>
  </conditionalFormatting>
  <conditionalFormatting sqref="V30">
    <cfRule type="cellIs" dxfId="92" priority="148" operator="notEqual">
      <formula>$V$50</formula>
    </cfRule>
  </conditionalFormatting>
  <conditionalFormatting sqref="V31">
    <cfRule type="cellIs" dxfId="91" priority="119" operator="notEqual">
      <formula>$V$51</formula>
    </cfRule>
  </conditionalFormatting>
  <conditionalFormatting sqref="V50">
    <cfRule type="cellIs" dxfId="90" priority="582" operator="notEqual">
      <formula>$V$68</formula>
    </cfRule>
  </conditionalFormatting>
  <conditionalFormatting sqref="W30">
    <cfRule type="cellIs" dxfId="89" priority="147" operator="notEqual">
      <formula>$W$50</formula>
    </cfRule>
  </conditionalFormatting>
  <conditionalFormatting sqref="W31">
    <cfRule type="cellIs" dxfId="88" priority="118" operator="notEqual">
      <formula>$W$51</formula>
    </cfRule>
  </conditionalFormatting>
  <conditionalFormatting sqref="W50">
    <cfRule type="cellIs" dxfId="87" priority="566" operator="notEqual">
      <formula>$W$68</formula>
    </cfRule>
  </conditionalFormatting>
  <conditionalFormatting sqref="W68">
    <cfRule type="cellIs" dxfId="86" priority="28" operator="notEqual">
      <formula>$W$77</formula>
    </cfRule>
    <cfRule type="cellIs" dxfId="85" priority="66" operator="notEqual">
      <formula>$W$30</formula>
    </cfRule>
  </conditionalFormatting>
  <conditionalFormatting sqref="W71">
    <cfRule type="cellIs" dxfId="84" priority="99" operator="notEqual">
      <formula>$W$78</formula>
    </cfRule>
    <cfRule type="cellIs" dxfId="83" priority="38" operator="notEqual">
      <formula>$W$78</formula>
    </cfRule>
  </conditionalFormatting>
  <conditionalFormatting sqref="X30">
    <cfRule type="cellIs" dxfId="82" priority="146" operator="notEqual">
      <formula>$X$50</formula>
    </cfRule>
  </conditionalFormatting>
  <conditionalFormatting sqref="X31">
    <cfRule type="cellIs" dxfId="81" priority="117" operator="notEqual">
      <formula>$X$51</formula>
    </cfRule>
  </conditionalFormatting>
  <conditionalFormatting sqref="X50">
    <cfRule type="cellIs" dxfId="80" priority="583" operator="notEqual">
      <formula>$X$68</formula>
    </cfRule>
  </conditionalFormatting>
  <conditionalFormatting sqref="Y30">
    <cfRule type="cellIs" dxfId="79" priority="145" operator="notEqual">
      <formula>$Y$50</formula>
    </cfRule>
  </conditionalFormatting>
  <conditionalFormatting sqref="Y31">
    <cfRule type="cellIs" dxfId="78" priority="116" operator="notEqual">
      <formula>$Y$51</formula>
    </cfRule>
  </conditionalFormatting>
  <conditionalFormatting sqref="Y50">
    <cfRule type="cellIs" dxfId="77" priority="567" operator="notEqual">
      <formula>$Y$68</formula>
    </cfRule>
  </conditionalFormatting>
  <conditionalFormatting sqref="Y68">
    <cfRule type="cellIs" dxfId="76" priority="27" operator="notEqual">
      <formula>$Y$77</formula>
    </cfRule>
    <cfRule type="cellIs" dxfId="75" priority="65" operator="notEqual">
      <formula>$Y$30</formula>
    </cfRule>
  </conditionalFormatting>
  <conditionalFormatting sqref="Y71">
    <cfRule type="cellIs" dxfId="74" priority="96" operator="notEqual">
      <formula>$Y$78</formula>
    </cfRule>
    <cfRule type="cellIs" dxfId="73" priority="37" operator="notEqual">
      <formula>$Y$78</formula>
    </cfRule>
  </conditionalFormatting>
  <conditionalFormatting sqref="Z50">
    <cfRule type="cellIs" dxfId="72" priority="3" operator="notEqual">
      <formula>$Z$68</formula>
    </cfRule>
  </conditionalFormatting>
  <conditionalFormatting sqref="Z31:AB31">
    <cfRule type="cellIs" dxfId="71" priority="115" operator="notEqual">
      <formula>$Z$51</formula>
    </cfRule>
  </conditionalFormatting>
  <conditionalFormatting sqref="AA30">
    <cfRule type="cellIs" dxfId="70" priority="4" operator="notEqual">
      <formula>$AA$50</formula>
    </cfRule>
  </conditionalFormatting>
  <conditionalFormatting sqref="AA50">
    <cfRule type="cellIs" dxfId="69" priority="2" operator="notEqual">
      <formula>$AA$68</formula>
    </cfRule>
  </conditionalFormatting>
  <conditionalFormatting sqref="AB30">
    <cfRule type="cellIs" dxfId="68" priority="1" operator="notEqual">
      <formula>$AB$50</formula>
    </cfRule>
  </conditionalFormatting>
  <conditionalFormatting sqref="AB50">
    <cfRule type="cellIs" dxfId="67" priority="584" operator="notEqual">
      <formula>$AB$68</formula>
    </cfRule>
  </conditionalFormatting>
  <dataValidations disablePrompts="1"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E69:X69 V48:V49 T48:T49 R48:R49 P48:P49 N48:N49 L48:L49 J48:J49 H48:H49 F48:F49 I43:I49 W28 F46 H46 J46 L46 N46 P46 R46 T46 V46 M28 I28 O28 Q28 S28 U28 K28 G28 O43:O49 Q43:Q49 S43:S49 U43:U49 K43:K49 G43:G49 W43:W49 M43:M49 F67 H67 J67 L67 N67 P67 R67 T67 V67 M54:M60 W54:W60 G54:G60 K54:K60 U54:U60 S54:S60 Q54:Q60 O54:O60 I54:I60 E54:E60 M34:M41 W34:W41 G34:G41 K34:K41 U34:U41 S34:S41 Q34:Q41 O34:O41 I34:I41 E34:E41 E43:E49 W62:W67 G62:G67 K62:K67 U62:U67 S62:S67 Q62:Q67 O62:O67 I62:I67 E62:E67 M62:M67 X48:X49" xr:uid="{00000000-0002-0000-0600-000000000000}">
      <formula1>-1E+22</formula1>
      <formula2>1E+22</formula2>
    </dataValidation>
    <dataValidation type="whole" operator="greaterThanOrEqual" allowBlank="1" showErrorMessage="1" error="Введите целое положительное число." sqref="W70 E70 G70 I70 K70 M70 O70 Q70 S70 U70" xr:uid="{00000000-0002-0000-0600-000001000000}">
      <formula1>0</formula1>
    </dataValidation>
  </dataValidations>
  <printOptions horizontalCentered="1"/>
  <pageMargins left="0.15748031496062992" right="0.19685039370078741" top="0.31496062992125984" bottom="0.23622047244094491" header="0.31496062992125984" footer="0.15748031496062992"/>
  <pageSetup paperSize="9" scale="34" orientation="landscape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B106"/>
  <sheetViews>
    <sheetView view="pageBreakPreview" zoomScale="75" zoomScaleNormal="80" zoomScaleSheetLayoutView="75" workbookViewId="0">
      <pane xSplit="7" ySplit="8" topLeftCell="H9" activePane="bottomRight" state="frozen"/>
      <selection activeCell="C73" sqref="C73"/>
      <selection pane="topRight" activeCell="C73" sqref="C73"/>
      <selection pane="bottomLeft" activeCell="C73" sqref="C73"/>
      <selection pane="bottomRight" activeCell="H30" sqref="H30"/>
    </sheetView>
  </sheetViews>
  <sheetFormatPr defaultRowHeight="12.75"/>
  <cols>
    <col min="1" max="1" width="5.140625" style="74" customWidth="1"/>
    <col min="2" max="2" width="43.42578125" style="74" customWidth="1"/>
    <col min="3" max="3" width="14.140625" style="74" customWidth="1"/>
    <col min="4" max="6" width="10.140625" style="74" customWidth="1"/>
    <col min="7" max="8" width="14.28515625" style="74" customWidth="1"/>
    <col min="9" max="19" width="13.85546875" style="74" customWidth="1"/>
    <col min="20" max="20" width="8.28515625" style="74" customWidth="1"/>
    <col min="21" max="21" width="10.140625" style="74" customWidth="1"/>
    <col min="22" max="22" width="14" style="493" customWidth="1"/>
    <col min="23" max="23" width="9.85546875" style="74" customWidth="1"/>
    <col min="24" max="24" width="14" style="74" customWidth="1"/>
    <col min="25" max="25" width="13.28515625" style="74" customWidth="1"/>
    <col min="26" max="26" width="14.7109375" style="74" customWidth="1"/>
    <col min="27" max="27" width="17.140625" style="519" customWidth="1"/>
    <col min="28" max="16384" width="9.140625" style="74"/>
  </cols>
  <sheetData>
    <row r="1" spans="1:28" ht="20.25">
      <c r="A1" s="590" t="s">
        <v>897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590"/>
      <c r="S1" s="590"/>
      <c r="T1" s="590"/>
      <c r="U1" s="590"/>
      <c r="V1" s="590"/>
      <c r="W1" s="590"/>
      <c r="Y1" s="17" t="s">
        <v>896</v>
      </c>
    </row>
    <row r="2" spans="1:28">
      <c r="A2" s="511"/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Q2" s="465"/>
      <c r="R2" s="465"/>
      <c r="S2" s="465"/>
      <c r="T2" s="465"/>
    </row>
    <row r="3" spans="1:28" ht="15.75">
      <c r="A3" s="468"/>
      <c r="B3" s="137" t="str">
        <f>+'Asset quality'!B3</f>
        <v>"Ўзсаноатқурилишбанк" АТБ</v>
      </c>
      <c r="D3" s="468"/>
      <c r="E3" s="468"/>
      <c r="F3" s="468"/>
      <c r="G3" s="468"/>
      <c r="H3" s="468"/>
      <c r="I3" s="468"/>
      <c r="J3" s="468"/>
      <c r="K3" s="468"/>
      <c r="L3" s="468"/>
      <c r="M3" s="468"/>
      <c r="N3" s="568"/>
      <c r="O3" s="568"/>
      <c r="P3" s="568"/>
      <c r="Q3" s="468"/>
      <c r="R3" s="468"/>
      <c r="T3" s="465"/>
      <c r="U3" s="568">
        <f>+'Asset quality'!P3</f>
        <v>44560</v>
      </c>
      <c r="V3" s="568" t="e">
        <f>+#REF!</f>
        <v>#REF!</v>
      </c>
      <c r="W3" s="568"/>
      <c r="Y3" s="589" t="s">
        <v>382</v>
      </c>
      <c r="Z3" s="589"/>
    </row>
    <row r="4" spans="1:28" ht="27.75" customHeight="1">
      <c r="A4" s="593" t="s">
        <v>83</v>
      </c>
      <c r="B4" s="593" t="s">
        <v>895</v>
      </c>
      <c r="C4" s="581" t="s">
        <v>894</v>
      </c>
      <c r="D4" s="581" t="s">
        <v>893</v>
      </c>
      <c r="E4" s="581" t="s">
        <v>892</v>
      </c>
      <c r="F4" s="581" t="s">
        <v>891</v>
      </c>
      <c r="G4" s="581" t="s">
        <v>890</v>
      </c>
      <c r="H4" s="591" t="s">
        <v>90</v>
      </c>
      <c r="I4" s="592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81" t="s">
        <v>889</v>
      </c>
      <c r="U4" s="584" t="s">
        <v>888</v>
      </c>
      <c r="V4" s="585"/>
      <c r="W4" s="581" t="s">
        <v>887</v>
      </c>
      <c r="X4" s="581" t="s">
        <v>886</v>
      </c>
      <c r="Y4" s="581" t="s">
        <v>885</v>
      </c>
      <c r="Z4" s="581" t="s">
        <v>884</v>
      </c>
      <c r="AB4" s="493"/>
    </row>
    <row r="5" spans="1:28" ht="27.75" customHeight="1">
      <c r="A5" s="594"/>
      <c r="B5" s="594"/>
      <c r="C5" s="582"/>
      <c r="D5" s="582"/>
      <c r="E5" s="582"/>
      <c r="F5" s="582"/>
      <c r="G5" s="582"/>
      <c r="H5" s="591" t="s">
        <v>883</v>
      </c>
      <c r="I5" s="592"/>
      <c r="J5" s="592"/>
      <c r="K5" s="592"/>
      <c r="L5" s="591" t="s">
        <v>882</v>
      </c>
      <c r="M5" s="592"/>
      <c r="N5" s="592"/>
      <c r="O5" s="592"/>
      <c r="P5" s="592"/>
      <c r="Q5" s="592"/>
      <c r="R5" s="592"/>
      <c r="S5" s="592"/>
      <c r="T5" s="582"/>
      <c r="U5" s="586"/>
      <c r="V5" s="587"/>
      <c r="W5" s="582"/>
      <c r="X5" s="582"/>
      <c r="Y5" s="582"/>
      <c r="Z5" s="582"/>
      <c r="AB5" s="493"/>
    </row>
    <row r="6" spans="1:28" ht="108.75" customHeight="1">
      <c r="A6" s="594"/>
      <c r="B6" s="594"/>
      <c r="C6" s="582"/>
      <c r="D6" s="582"/>
      <c r="E6" s="582"/>
      <c r="F6" s="582"/>
      <c r="G6" s="582"/>
      <c r="H6" s="581" t="s">
        <v>881</v>
      </c>
      <c r="I6" s="581" t="s">
        <v>880</v>
      </c>
      <c r="J6" s="581" t="s">
        <v>879</v>
      </c>
      <c r="K6" s="581" t="s">
        <v>875</v>
      </c>
      <c r="L6" s="596" t="s">
        <v>878</v>
      </c>
      <c r="M6" s="597"/>
      <c r="N6" s="596" t="s">
        <v>877</v>
      </c>
      <c r="O6" s="597"/>
      <c r="P6" s="596" t="s">
        <v>876</v>
      </c>
      <c r="Q6" s="597"/>
      <c r="R6" s="596" t="s">
        <v>875</v>
      </c>
      <c r="S6" s="597"/>
      <c r="T6" s="582"/>
      <c r="U6" s="581" t="s">
        <v>874</v>
      </c>
      <c r="V6" s="581" t="s">
        <v>577</v>
      </c>
      <c r="W6" s="582"/>
      <c r="X6" s="582"/>
      <c r="Y6" s="582"/>
      <c r="Z6" s="582"/>
      <c r="AB6" s="493"/>
    </row>
    <row r="7" spans="1:28" ht="41.25" customHeight="1">
      <c r="A7" s="595"/>
      <c r="B7" s="595"/>
      <c r="C7" s="583"/>
      <c r="D7" s="583"/>
      <c r="E7" s="583"/>
      <c r="F7" s="583"/>
      <c r="G7" s="583"/>
      <c r="H7" s="583"/>
      <c r="I7" s="583"/>
      <c r="J7" s="583"/>
      <c r="K7" s="583"/>
      <c r="L7" s="510" t="s">
        <v>873</v>
      </c>
      <c r="M7" s="510" t="s">
        <v>872</v>
      </c>
      <c r="N7" s="510" t="s">
        <v>873</v>
      </c>
      <c r="O7" s="510" t="s">
        <v>872</v>
      </c>
      <c r="P7" s="510" t="s">
        <v>873</v>
      </c>
      <c r="Q7" s="510" t="s">
        <v>872</v>
      </c>
      <c r="R7" s="510" t="s">
        <v>873</v>
      </c>
      <c r="S7" s="510" t="s">
        <v>872</v>
      </c>
      <c r="T7" s="583"/>
      <c r="U7" s="583"/>
      <c r="V7" s="583"/>
      <c r="W7" s="583"/>
      <c r="X7" s="583"/>
      <c r="Y7" s="583"/>
      <c r="Z7" s="583"/>
      <c r="AB7" s="493"/>
    </row>
    <row r="8" spans="1:28" s="508" customFormat="1" ht="15">
      <c r="A8" s="492"/>
      <c r="B8" s="492" t="s">
        <v>182</v>
      </c>
      <c r="C8" s="492" t="s">
        <v>183</v>
      </c>
      <c r="D8" s="492" t="s">
        <v>195</v>
      </c>
      <c r="E8" s="492" t="s">
        <v>184</v>
      </c>
      <c r="F8" s="492" t="s">
        <v>185</v>
      </c>
      <c r="G8" s="484" t="s">
        <v>196</v>
      </c>
      <c r="H8" s="492" t="s">
        <v>871</v>
      </c>
      <c r="I8" s="492" t="s">
        <v>870</v>
      </c>
      <c r="J8" s="492" t="s">
        <v>869</v>
      </c>
      <c r="K8" s="492" t="s">
        <v>868</v>
      </c>
      <c r="L8" s="579" t="s">
        <v>867</v>
      </c>
      <c r="M8" s="580"/>
      <c r="N8" s="579" t="s">
        <v>866</v>
      </c>
      <c r="O8" s="580"/>
      <c r="P8" s="579" t="s">
        <v>865</v>
      </c>
      <c r="Q8" s="580"/>
      <c r="R8" s="579" t="s">
        <v>864</v>
      </c>
      <c r="S8" s="580"/>
      <c r="T8" s="492" t="s">
        <v>186</v>
      </c>
      <c r="U8" s="492" t="s">
        <v>187</v>
      </c>
      <c r="V8" s="492" t="s">
        <v>188</v>
      </c>
      <c r="W8" s="492" t="s">
        <v>189</v>
      </c>
      <c r="X8" s="492" t="s">
        <v>190</v>
      </c>
      <c r="Y8" s="492" t="s">
        <v>191</v>
      </c>
      <c r="Z8" s="492" t="s">
        <v>192</v>
      </c>
      <c r="AA8" s="520"/>
      <c r="AB8" s="509"/>
    </row>
    <row r="9" spans="1:28" s="500" customFormat="1">
      <c r="A9" s="47">
        <v>1</v>
      </c>
      <c r="B9" s="502" t="s">
        <v>904</v>
      </c>
      <c r="C9" s="504" t="s">
        <v>933</v>
      </c>
      <c r="D9" s="504">
        <v>70220</v>
      </c>
      <c r="E9" s="503" t="s">
        <v>932</v>
      </c>
      <c r="F9" s="503">
        <v>1</v>
      </c>
      <c r="G9" s="495">
        <f t="shared" ref="G9:G40" si="0">+H9+I9+J9+K9+M9+O9+Q9+S9</f>
        <v>83362868</v>
      </c>
      <c r="H9" s="50"/>
      <c r="I9" s="50"/>
      <c r="J9" s="50">
        <v>83362868</v>
      </c>
      <c r="K9" s="50"/>
      <c r="L9" s="50"/>
      <c r="M9" s="50"/>
      <c r="N9" s="50"/>
      <c r="O9" s="50"/>
      <c r="P9" s="50">
        <v>0</v>
      </c>
      <c r="Q9" s="504">
        <v>0</v>
      </c>
      <c r="R9" s="504"/>
      <c r="S9" s="504"/>
      <c r="T9" s="504"/>
      <c r="U9" s="504"/>
      <c r="V9" s="504"/>
      <c r="W9" s="504">
        <v>1</v>
      </c>
      <c r="X9" s="504">
        <v>0</v>
      </c>
      <c r="Y9" s="504"/>
      <c r="Z9" s="501">
        <f t="shared" ref="Z9:Z40" si="1">+G9-V9-X9</f>
        <v>83362868</v>
      </c>
      <c r="AA9" s="518">
        <f>SUMIF($F$9:$F$63,$F9,$Z$9:$Z$63)</f>
        <v>83362868</v>
      </c>
    </row>
    <row r="10" spans="1:28" s="500" customFormat="1">
      <c r="A10" s="47">
        <v>2</v>
      </c>
      <c r="B10" s="502" t="s">
        <v>903</v>
      </c>
      <c r="C10" s="504">
        <v>305880294</v>
      </c>
      <c r="D10" s="504">
        <v>65120</v>
      </c>
      <c r="E10" s="503" t="s">
        <v>932</v>
      </c>
      <c r="F10" s="503">
        <v>2</v>
      </c>
      <c r="G10" s="495">
        <f t="shared" si="0"/>
        <v>38600000</v>
      </c>
      <c r="H10" s="50"/>
      <c r="I10" s="50"/>
      <c r="J10" s="50">
        <v>38600000</v>
      </c>
      <c r="K10" s="50"/>
      <c r="L10" s="50"/>
      <c r="M10" s="50"/>
      <c r="N10" s="50"/>
      <c r="O10" s="50"/>
      <c r="P10" s="50">
        <v>0</v>
      </c>
      <c r="Q10" s="504">
        <v>0</v>
      </c>
      <c r="R10" s="504"/>
      <c r="S10" s="504"/>
      <c r="T10" s="504"/>
      <c r="U10" s="504"/>
      <c r="V10" s="504"/>
      <c r="W10" s="504">
        <v>1</v>
      </c>
      <c r="X10" s="504">
        <v>0</v>
      </c>
      <c r="Y10" s="504"/>
      <c r="Z10" s="501">
        <f t="shared" si="1"/>
        <v>38600000</v>
      </c>
      <c r="AA10" s="518">
        <f t="shared" ref="AA10:AA63" si="2">SUMIF($F$9:$F$63,$F10,$Z$9:$Z$63)</f>
        <v>38600000</v>
      </c>
    </row>
    <row r="11" spans="1:28" s="500" customFormat="1">
      <c r="A11" s="47">
        <v>3</v>
      </c>
      <c r="B11" s="502" t="s">
        <v>1027</v>
      </c>
      <c r="C11" s="504" t="s">
        <v>944</v>
      </c>
      <c r="D11" s="504"/>
      <c r="E11" s="503" t="s">
        <v>932</v>
      </c>
      <c r="F11" s="503">
        <v>3</v>
      </c>
      <c r="G11" s="495">
        <f t="shared" si="0"/>
        <v>310169</v>
      </c>
      <c r="H11" s="50"/>
      <c r="I11" s="50">
        <v>260170</v>
      </c>
      <c r="J11" s="50"/>
      <c r="K11" s="50"/>
      <c r="L11" s="50"/>
      <c r="M11" s="50"/>
      <c r="N11" s="50"/>
      <c r="O11" s="50"/>
      <c r="P11" s="50">
        <v>49999</v>
      </c>
      <c r="Q11" s="504">
        <v>49999</v>
      </c>
      <c r="R11" s="504"/>
      <c r="S11" s="502"/>
      <c r="T11" s="502"/>
      <c r="U11" s="504"/>
      <c r="V11" s="504"/>
      <c r="W11" s="504">
        <v>1</v>
      </c>
      <c r="X11" s="504">
        <v>0</v>
      </c>
      <c r="Y11" s="502"/>
      <c r="Z11" s="501">
        <f t="shared" si="1"/>
        <v>310169</v>
      </c>
      <c r="AA11" s="518">
        <f t="shared" si="2"/>
        <v>310169</v>
      </c>
    </row>
    <row r="12" spans="1:28" s="500" customFormat="1">
      <c r="A12" s="47">
        <v>4</v>
      </c>
      <c r="B12" s="502" t="s">
        <v>1028</v>
      </c>
      <c r="C12" s="504" t="s">
        <v>905</v>
      </c>
      <c r="D12" s="504"/>
      <c r="E12" s="503" t="s">
        <v>932</v>
      </c>
      <c r="F12" s="503">
        <v>4</v>
      </c>
      <c r="G12" s="495">
        <f t="shared" si="0"/>
        <v>282291</v>
      </c>
      <c r="H12" s="50"/>
      <c r="I12" s="50">
        <v>232291</v>
      </c>
      <c r="J12" s="50"/>
      <c r="K12" s="50"/>
      <c r="L12" s="50"/>
      <c r="M12" s="50"/>
      <c r="N12" s="50"/>
      <c r="O12" s="50"/>
      <c r="P12" s="50">
        <v>50000</v>
      </c>
      <c r="Q12" s="504">
        <v>50000</v>
      </c>
      <c r="R12" s="504"/>
      <c r="S12" s="502"/>
      <c r="T12" s="502"/>
      <c r="U12" s="504"/>
      <c r="V12" s="504"/>
      <c r="W12" s="504">
        <v>1</v>
      </c>
      <c r="X12" s="504">
        <v>0</v>
      </c>
      <c r="Y12" s="502"/>
      <c r="Z12" s="501">
        <f t="shared" si="1"/>
        <v>282291</v>
      </c>
      <c r="AA12" s="518">
        <f t="shared" si="2"/>
        <v>282291</v>
      </c>
    </row>
    <row r="13" spans="1:28" s="500" customFormat="1">
      <c r="A13" s="47">
        <v>5</v>
      </c>
      <c r="B13" s="502" t="s">
        <v>1029</v>
      </c>
      <c r="C13" s="504" t="s">
        <v>907</v>
      </c>
      <c r="D13" s="504"/>
      <c r="E13" s="503" t="s">
        <v>932</v>
      </c>
      <c r="F13" s="503">
        <v>5</v>
      </c>
      <c r="G13" s="495">
        <f t="shared" si="0"/>
        <v>50021</v>
      </c>
      <c r="H13" s="502"/>
      <c r="I13" s="502">
        <v>6669</v>
      </c>
      <c r="J13" s="502"/>
      <c r="K13" s="502"/>
      <c r="L13" s="502"/>
      <c r="M13" s="50"/>
      <c r="N13" s="50"/>
      <c r="O13" s="50"/>
      <c r="P13" s="50">
        <v>43352</v>
      </c>
      <c r="Q13" s="504">
        <v>43352</v>
      </c>
      <c r="R13" s="504"/>
      <c r="S13" s="502"/>
      <c r="T13" s="502"/>
      <c r="U13" s="504"/>
      <c r="V13" s="504"/>
      <c r="W13" s="504">
        <v>1</v>
      </c>
      <c r="X13" s="504">
        <v>0</v>
      </c>
      <c r="Y13" s="502"/>
      <c r="Z13" s="501">
        <f t="shared" si="1"/>
        <v>50021</v>
      </c>
      <c r="AA13" s="518">
        <f t="shared" si="2"/>
        <v>269276</v>
      </c>
    </row>
    <row r="14" spans="1:28" s="500" customFormat="1">
      <c r="A14" s="47">
        <v>6</v>
      </c>
      <c r="B14" s="502" t="s">
        <v>925</v>
      </c>
      <c r="C14" s="504" t="s">
        <v>926</v>
      </c>
      <c r="D14" s="504"/>
      <c r="E14" s="503" t="s">
        <v>932</v>
      </c>
      <c r="F14" s="503">
        <v>5</v>
      </c>
      <c r="G14" s="495">
        <f t="shared" si="0"/>
        <v>219255</v>
      </c>
      <c r="H14" s="50"/>
      <c r="I14" s="50">
        <v>219255</v>
      </c>
      <c r="J14" s="50"/>
      <c r="K14" s="50"/>
      <c r="L14" s="50"/>
      <c r="M14" s="50"/>
      <c r="N14" s="50"/>
      <c r="O14" s="50"/>
      <c r="P14" s="50">
        <v>0</v>
      </c>
      <c r="Q14" s="504">
        <v>0</v>
      </c>
      <c r="R14" s="504"/>
      <c r="S14" s="502"/>
      <c r="T14" s="502"/>
      <c r="U14" s="504"/>
      <c r="V14" s="504"/>
      <c r="W14" s="504">
        <v>1</v>
      </c>
      <c r="X14" s="504">
        <v>0</v>
      </c>
      <c r="Y14" s="502"/>
      <c r="Z14" s="501">
        <f t="shared" si="1"/>
        <v>219255</v>
      </c>
      <c r="AA14" s="518">
        <f t="shared" si="2"/>
        <v>269276</v>
      </c>
    </row>
    <row r="15" spans="1:28" s="500" customFormat="1">
      <c r="A15" s="47">
        <v>7</v>
      </c>
      <c r="B15" s="502" t="s">
        <v>1030</v>
      </c>
      <c r="C15" s="504" t="s">
        <v>989</v>
      </c>
      <c r="D15" s="504"/>
      <c r="E15" s="503" t="s">
        <v>932</v>
      </c>
      <c r="F15" s="503">
        <v>6</v>
      </c>
      <c r="G15" s="495">
        <f t="shared" si="0"/>
        <v>125841</v>
      </c>
      <c r="H15" s="50"/>
      <c r="I15" s="50">
        <v>75841</v>
      </c>
      <c r="J15" s="50"/>
      <c r="K15" s="50"/>
      <c r="L15" s="50"/>
      <c r="M15" s="502"/>
      <c r="N15" s="50"/>
      <c r="O15" s="50"/>
      <c r="P15" s="50">
        <v>50000</v>
      </c>
      <c r="Q15" s="50">
        <v>50000</v>
      </c>
      <c r="R15" s="502"/>
      <c r="S15" s="504"/>
      <c r="T15" s="504"/>
      <c r="U15" s="50"/>
      <c r="V15" s="504"/>
      <c r="W15" s="504">
        <v>1</v>
      </c>
      <c r="X15" s="504">
        <v>0</v>
      </c>
      <c r="Y15" s="504"/>
      <c r="Z15" s="501">
        <f t="shared" si="1"/>
        <v>125841</v>
      </c>
      <c r="AA15" s="518">
        <f t="shared" si="2"/>
        <v>135644</v>
      </c>
    </row>
    <row r="16" spans="1:28" s="500" customFormat="1">
      <c r="A16" s="47">
        <v>8</v>
      </c>
      <c r="B16" s="502" t="s">
        <v>990</v>
      </c>
      <c r="C16" s="504" t="s">
        <v>991</v>
      </c>
      <c r="D16" s="504"/>
      <c r="E16" s="503" t="s">
        <v>932</v>
      </c>
      <c r="F16" s="503">
        <v>6</v>
      </c>
      <c r="G16" s="495">
        <f t="shared" si="0"/>
        <v>9803</v>
      </c>
      <c r="H16" s="50"/>
      <c r="I16" s="50">
        <v>9803</v>
      </c>
      <c r="J16" s="50"/>
      <c r="K16" s="50"/>
      <c r="L16" s="50"/>
      <c r="M16" s="502"/>
      <c r="N16" s="50"/>
      <c r="O16" s="50"/>
      <c r="P16" s="50">
        <v>0</v>
      </c>
      <c r="Q16" s="50">
        <v>0</v>
      </c>
      <c r="R16" s="502"/>
      <c r="S16" s="504"/>
      <c r="T16" s="504"/>
      <c r="U16" s="50"/>
      <c r="V16" s="504"/>
      <c r="W16" s="504">
        <v>1</v>
      </c>
      <c r="X16" s="504">
        <v>0</v>
      </c>
      <c r="Y16" s="504"/>
      <c r="Z16" s="501">
        <f t="shared" si="1"/>
        <v>9803</v>
      </c>
      <c r="AA16" s="518">
        <f t="shared" si="2"/>
        <v>135644</v>
      </c>
    </row>
    <row r="17" spans="1:27" s="500" customFormat="1">
      <c r="A17" s="47">
        <v>9</v>
      </c>
      <c r="B17" s="502" t="s">
        <v>1031</v>
      </c>
      <c r="C17" s="504" t="s">
        <v>1021</v>
      </c>
      <c r="D17" s="502"/>
      <c r="E17" s="503" t="s">
        <v>932</v>
      </c>
      <c r="F17" s="503">
        <v>7</v>
      </c>
      <c r="G17" s="495">
        <f t="shared" si="0"/>
        <v>87500</v>
      </c>
      <c r="H17" s="50"/>
      <c r="I17" s="50">
        <v>0</v>
      </c>
      <c r="J17" s="50"/>
      <c r="K17" s="50"/>
      <c r="L17" s="50"/>
      <c r="M17" s="502"/>
      <c r="N17" s="50"/>
      <c r="O17" s="50"/>
      <c r="P17" s="50">
        <v>87500</v>
      </c>
      <c r="Q17" s="50">
        <v>87500</v>
      </c>
      <c r="R17" s="502"/>
      <c r="S17" s="504"/>
      <c r="T17" s="504"/>
      <c r="U17" s="50"/>
      <c r="V17" s="504"/>
      <c r="W17" s="504">
        <v>1</v>
      </c>
      <c r="X17" s="504">
        <v>0</v>
      </c>
      <c r="Y17" s="504"/>
      <c r="Z17" s="501">
        <f t="shared" si="1"/>
        <v>87500</v>
      </c>
      <c r="AA17" s="518">
        <f t="shared" si="2"/>
        <v>87500</v>
      </c>
    </row>
    <row r="18" spans="1:27" s="500" customFormat="1">
      <c r="A18" s="47">
        <v>10</v>
      </c>
      <c r="B18" s="502" t="s">
        <v>1032</v>
      </c>
      <c r="C18" s="504" t="s">
        <v>908</v>
      </c>
      <c r="D18" s="502"/>
      <c r="E18" s="503" t="s">
        <v>932</v>
      </c>
      <c r="F18" s="503">
        <v>8</v>
      </c>
      <c r="G18" s="495">
        <f t="shared" si="0"/>
        <v>84355</v>
      </c>
      <c r="H18" s="50"/>
      <c r="I18" s="50">
        <v>12054</v>
      </c>
      <c r="J18" s="50"/>
      <c r="K18" s="50">
        <v>9821</v>
      </c>
      <c r="L18" s="50"/>
      <c r="M18" s="502"/>
      <c r="N18" s="50"/>
      <c r="O18" s="50"/>
      <c r="P18" s="50">
        <v>62480</v>
      </c>
      <c r="Q18" s="50">
        <v>62480</v>
      </c>
      <c r="R18" s="502"/>
      <c r="S18" s="504"/>
      <c r="T18" s="504"/>
      <c r="U18" s="50"/>
      <c r="V18" s="504"/>
      <c r="W18" s="504">
        <v>1</v>
      </c>
      <c r="X18" s="504">
        <v>0</v>
      </c>
      <c r="Y18" s="504"/>
      <c r="Z18" s="501">
        <f t="shared" si="1"/>
        <v>84355</v>
      </c>
      <c r="AA18" s="518">
        <f t="shared" si="2"/>
        <v>84355</v>
      </c>
    </row>
    <row r="19" spans="1:27" s="500" customFormat="1">
      <c r="A19" s="47">
        <v>11</v>
      </c>
      <c r="B19" s="502" t="s">
        <v>1033</v>
      </c>
      <c r="C19" s="504" t="s">
        <v>1034</v>
      </c>
      <c r="D19" s="502"/>
      <c r="E19" s="503" t="s">
        <v>932</v>
      </c>
      <c r="F19" s="503">
        <v>9</v>
      </c>
      <c r="G19" s="495">
        <f t="shared" si="0"/>
        <v>56080</v>
      </c>
      <c r="H19" s="50"/>
      <c r="I19" s="50">
        <v>6080</v>
      </c>
      <c r="J19" s="50"/>
      <c r="K19" s="50"/>
      <c r="L19" s="50"/>
      <c r="M19" s="502"/>
      <c r="N19" s="50"/>
      <c r="O19" s="50"/>
      <c r="P19" s="50">
        <v>50000</v>
      </c>
      <c r="Q19" s="50">
        <v>50000</v>
      </c>
      <c r="R19" s="502"/>
      <c r="S19" s="504"/>
      <c r="T19" s="504"/>
      <c r="U19" s="50"/>
      <c r="V19" s="504"/>
      <c r="W19" s="504">
        <v>1</v>
      </c>
      <c r="X19" s="504">
        <v>0</v>
      </c>
      <c r="Y19" s="504"/>
      <c r="Z19" s="501">
        <f t="shared" si="1"/>
        <v>56080</v>
      </c>
      <c r="AA19" s="518">
        <f t="shared" si="2"/>
        <v>79174</v>
      </c>
    </row>
    <row r="20" spans="1:27" s="500" customFormat="1">
      <c r="A20" s="47">
        <v>12</v>
      </c>
      <c r="B20" s="502" t="s">
        <v>993</v>
      </c>
      <c r="C20" s="504" t="s">
        <v>994</v>
      </c>
      <c r="D20" s="502"/>
      <c r="E20" s="503" t="s">
        <v>932</v>
      </c>
      <c r="F20" s="503">
        <v>9</v>
      </c>
      <c r="G20" s="495">
        <f t="shared" si="0"/>
        <v>23094</v>
      </c>
      <c r="H20" s="50"/>
      <c r="I20" s="50">
        <v>20594</v>
      </c>
      <c r="J20" s="50"/>
      <c r="K20" s="50"/>
      <c r="L20" s="50"/>
      <c r="M20" s="502"/>
      <c r="N20" s="50"/>
      <c r="O20" s="50"/>
      <c r="P20" s="50">
        <v>2500</v>
      </c>
      <c r="Q20" s="50">
        <v>2500</v>
      </c>
      <c r="R20" s="502"/>
      <c r="S20" s="504"/>
      <c r="T20" s="504"/>
      <c r="U20" s="504"/>
      <c r="V20" s="504"/>
      <c r="W20" s="504">
        <v>1</v>
      </c>
      <c r="X20" s="504">
        <v>0</v>
      </c>
      <c r="Y20" s="504"/>
      <c r="Z20" s="501">
        <f t="shared" si="1"/>
        <v>23094</v>
      </c>
      <c r="AA20" s="518">
        <f t="shared" si="2"/>
        <v>79174</v>
      </c>
    </row>
    <row r="21" spans="1:27" s="500" customFormat="1">
      <c r="A21" s="47">
        <v>13</v>
      </c>
      <c r="B21" s="502" t="s">
        <v>1035</v>
      </c>
      <c r="C21" s="504" t="s">
        <v>906</v>
      </c>
      <c r="D21" s="502"/>
      <c r="E21" s="503" t="s">
        <v>932</v>
      </c>
      <c r="F21" s="503">
        <v>10</v>
      </c>
      <c r="G21" s="495">
        <f t="shared" si="0"/>
        <v>71901</v>
      </c>
      <c r="H21" s="50"/>
      <c r="I21" s="50">
        <v>71901</v>
      </c>
      <c r="J21" s="50"/>
      <c r="K21" s="50"/>
      <c r="L21" s="50"/>
      <c r="M21" s="502"/>
      <c r="N21" s="50"/>
      <c r="O21" s="50"/>
      <c r="P21" s="50">
        <v>0</v>
      </c>
      <c r="Q21" s="50">
        <v>0</v>
      </c>
      <c r="R21" s="502"/>
      <c r="S21" s="504"/>
      <c r="T21" s="504"/>
      <c r="U21" s="504"/>
      <c r="V21" s="504"/>
      <c r="W21" s="504">
        <v>1</v>
      </c>
      <c r="X21" s="504">
        <v>0</v>
      </c>
      <c r="Y21" s="504"/>
      <c r="Z21" s="501">
        <f t="shared" si="1"/>
        <v>71901</v>
      </c>
      <c r="AA21" s="518">
        <f t="shared" si="2"/>
        <v>71901</v>
      </c>
    </row>
    <row r="22" spans="1:27" s="500" customFormat="1">
      <c r="A22" s="47">
        <v>14</v>
      </c>
      <c r="B22" s="502" t="s">
        <v>1036</v>
      </c>
      <c r="C22" s="504" t="s">
        <v>1023</v>
      </c>
      <c r="D22" s="502"/>
      <c r="E22" s="503" t="s">
        <v>932</v>
      </c>
      <c r="F22" s="524">
        <v>11</v>
      </c>
      <c r="G22" s="495">
        <f t="shared" si="0"/>
        <v>50000</v>
      </c>
      <c r="H22" s="50"/>
      <c r="I22" s="50">
        <v>0</v>
      </c>
      <c r="J22" s="50"/>
      <c r="K22" s="50"/>
      <c r="L22" s="50"/>
      <c r="M22" s="502"/>
      <c r="N22" s="50"/>
      <c r="O22" s="50"/>
      <c r="P22" s="50">
        <v>50000</v>
      </c>
      <c r="Q22" s="50">
        <v>50000</v>
      </c>
      <c r="R22" s="502"/>
      <c r="S22" s="504"/>
      <c r="T22" s="504"/>
      <c r="U22" s="504"/>
      <c r="V22" s="504"/>
      <c r="W22" s="525">
        <v>1</v>
      </c>
      <c r="X22" s="504">
        <v>0</v>
      </c>
      <c r="Y22" s="504"/>
      <c r="Z22" s="501">
        <f t="shared" si="1"/>
        <v>50000</v>
      </c>
      <c r="AA22" s="518">
        <f t="shared" si="2"/>
        <v>50000</v>
      </c>
    </row>
    <row r="23" spans="1:27" s="500" customFormat="1">
      <c r="A23" s="47">
        <v>15</v>
      </c>
      <c r="B23" s="502" t="s">
        <v>1037</v>
      </c>
      <c r="C23" s="504" t="s">
        <v>1022</v>
      </c>
      <c r="D23" s="502"/>
      <c r="E23" s="503" t="s">
        <v>932</v>
      </c>
      <c r="F23" s="503">
        <v>12</v>
      </c>
      <c r="G23" s="495">
        <f t="shared" si="0"/>
        <v>50000</v>
      </c>
      <c r="H23" s="502"/>
      <c r="I23" s="50">
        <v>0</v>
      </c>
      <c r="J23" s="50"/>
      <c r="K23" s="50"/>
      <c r="L23" s="50"/>
      <c r="M23" s="502"/>
      <c r="N23" s="50"/>
      <c r="O23" s="50"/>
      <c r="P23" s="50">
        <v>50000</v>
      </c>
      <c r="Q23" s="50">
        <v>50000</v>
      </c>
      <c r="R23" s="502"/>
      <c r="S23" s="504"/>
      <c r="T23" s="504"/>
      <c r="U23" s="504"/>
      <c r="V23" s="504"/>
      <c r="W23" s="504">
        <v>1</v>
      </c>
      <c r="X23" s="504">
        <v>0</v>
      </c>
      <c r="Y23" s="504"/>
      <c r="Z23" s="501">
        <f t="shared" si="1"/>
        <v>50000</v>
      </c>
      <c r="AA23" s="518">
        <f t="shared" si="2"/>
        <v>50000</v>
      </c>
    </row>
    <row r="24" spans="1:27" s="500" customFormat="1">
      <c r="A24" s="47">
        <v>16</v>
      </c>
      <c r="B24" s="502" t="s">
        <v>1038</v>
      </c>
      <c r="C24" s="504" t="s">
        <v>945</v>
      </c>
      <c r="D24" s="502"/>
      <c r="E24" s="503" t="s">
        <v>932</v>
      </c>
      <c r="F24" s="503">
        <v>13</v>
      </c>
      <c r="G24" s="495">
        <f t="shared" si="0"/>
        <v>34981</v>
      </c>
      <c r="H24" s="502"/>
      <c r="I24" s="502">
        <v>28997</v>
      </c>
      <c r="J24" s="502"/>
      <c r="K24" s="502"/>
      <c r="L24" s="502"/>
      <c r="M24" s="502"/>
      <c r="N24" s="50"/>
      <c r="O24" s="50"/>
      <c r="P24" s="50">
        <v>5984</v>
      </c>
      <c r="Q24" s="50">
        <v>5984</v>
      </c>
      <c r="R24" s="502"/>
      <c r="S24" s="504"/>
      <c r="T24" s="504"/>
      <c r="U24" s="504"/>
      <c r="V24" s="504"/>
      <c r="W24" s="504">
        <v>1</v>
      </c>
      <c r="X24" s="504">
        <v>0</v>
      </c>
      <c r="Y24" s="504"/>
      <c r="Z24" s="501">
        <f t="shared" si="1"/>
        <v>34981</v>
      </c>
      <c r="AA24" s="518">
        <f t="shared" si="2"/>
        <v>34981</v>
      </c>
    </row>
    <row r="25" spans="1:27" s="500" customFormat="1">
      <c r="A25" s="47">
        <v>17</v>
      </c>
      <c r="B25" s="506" t="s">
        <v>1039</v>
      </c>
      <c r="C25" s="504" t="s">
        <v>992</v>
      </c>
      <c r="D25" s="502"/>
      <c r="E25" s="503" t="s">
        <v>932</v>
      </c>
      <c r="F25" s="503">
        <v>14</v>
      </c>
      <c r="G25" s="495">
        <f t="shared" si="0"/>
        <v>33630</v>
      </c>
      <c r="H25" s="502"/>
      <c r="I25" s="505">
        <v>3630</v>
      </c>
      <c r="J25" s="502"/>
      <c r="K25" s="502"/>
      <c r="L25" s="502"/>
      <c r="M25" s="502"/>
      <c r="N25" s="50"/>
      <c r="O25" s="50"/>
      <c r="P25" s="50">
        <v>30000</v>
      </c>
      <c r="Q25" s="50">
        <v>30000</v>
      </c>
      <c r="R25" s="502"/>
      <c r="S25" s="504"/>
      <c r="T25" s="504"/>
      <c r="U25" s="504"/>
      <c r="V25" s="504"/>
      <c r="W25" s="504">
        <v>1</v>
      </c>
      <c r="X25" s="504">
        <v>0</v>
      </c>
      <c r="Y25" s="504"/>
      <c r="Z25" s="501">
        <f t="shared" si="1"/>
        <v>33630</v>
      </c>
      <c r="AA25" s="518">
        <f t="shared" si="2"/>
        <v>33630</v>
      </c>
    </row>
    <row r="26" spans="1:27" s="500" customFormat="1">
      <c r="A26" s="47">
        <v>18</v>
      </c>
      <c r="B26" s="506" t="s">
        <v>1040</v>
      </c>
      <c r="C26" s="504" t="s">
        <v>997</v>
      </c>
      <c r="D26" s="502"/>
      <c r="E26" s="503" t="s">
        <v>932</v>
      </c>
      <c r="F26" s="503">
        <v>15</v>
      </c>
      <c r="G26" s="495">
        <f t="shared" si="0"/>
        <v>25000</v>
      </c>
      <c r="H26" s="502"/>
      <c r="I26" s="505">
        <v>0</v>
      </c>
      <c r="J26" s="502"/>
      <c r="K26" s="502"/>
      <c r="L26" s="502"/>
      <c r="M26" s="502"/>
      <c r="N26" s="50"/>
      <c r="O26" s="50"/>
      <c r="P26" s="50">
        <v>25000</v>
      </c>
      <c r="Q26" s="50">
        <v>25000</v>
      </c>
      <c r="R26" s="502"/>
      <c r="S26" s="502"/>
      <c r="T26" s="502"/>
      <c r="U26" s="502"/>
      <c r="V26" s="502"/>
      <c r="W26" s="504">
        <v>1</v>
      </c>
      <c r="X26" s="504">
        <v>0</v>
      </c>
      <c r="Y26" s="502"/>
      <c r="Z26" s="501">
        <f t="shared" si="1"/>
        <v>25000</v>
      </c>
      <c r="AA26" s="518">
        <f t="shared" si="2"/>
        <v>25000</v>
      </c>
    </row>
    <row r="27" spans="1:27" s="500" customFormat="1">
      <c r="A27" s="47">
        <v>19</v>
      </c>
      <c r="B27" s="506" t="s">
        <v>995</v>
      </c>
      <c r="C27" s="502" t="s">
        <v>996</v>
      </c>
      <c r="D27" s="504"/>
      <c r="E27" s="503" t="s">
        <v>932</v>
      </c>
      <c r="F27" s="503">
        <v>16</v>
      </c>
      <c r="G27" s="495">
        <f t="shared" si="0"/>
        <v>13600</v>
      </c>
      <c r="H27" s="502"/>
      <c r="I27" s="502">
        <v>13600</v>
      </c>
      <c r="J27" s="502"/>
      <c r="K27" s="502"/>
      <c r="L27" s="502"/>
      <c r="M27" s="502"/>
      <c r="N27" s="50"/>
      <c r="O27" s="50"/>
      <c r="P27" s="50">
        <v>0</v>
      </c>
      <c r="Q27" s="50">
        <v>0</v>
      </c>
      <c r="R27" s="502"/>
      <c r="S27" s="502"/>
      <c r="T27" s="502"/>
      <c r="U27" s="502"/>
      <c r="V27" s="502"/>
      <c r="W27" s="502">
        <v>1</v>
      </c>
      <c r="X27" s="504">
        <v>0</v>
      </c>
      <c r="Y27" s="502"/>
      <c r="Z27" s="501">
        <f t="shared" si="1"/>
        <v>13600</v>
      </c>
      <c r="AA27" s="518">
        <f t="shared" si="2"/>
        <v>13600</v>
      </c>
    </row>
    <row r="28" spans="1:27" s="500" customFormat="1">
      <c r="A28" s="47">
        <v>20</v>
      </c>
      <c r="B28" s="506" t="s">
        <v>1041</v>
      </c>
      <c r="C28" s="502" t="s">
        <v>909</v>
      </c>
      <c r="D28" s="502"/>
      <c r="E28" s="503" t="s">
        <v>932</v>
      </c>
      <c r="F28" s="503">
        <v>17</v>
      </c>
      <c r="G28" s="495">
        <f t="shared" si="0"/>
        <v>9576</v>
      </c>
      <c r="H28" s="502"/>
      <c r="I28" s="505">
        <v>9576</v>
      </c>
      <c r="J28" s="502"/>
      <c r="K28" s="502"/>
      <c r="L28" s="502"/>
      <c r="M28" s="502"/>
      <c r="N28" s="50"/>
      <c r="O28" s="50"/>
      <c r="P28" s="50">
        <v>0</v>
      </c>
      <c r="Q28" s="50">
        <v>0</v>
      </c>
      <c r="R28" s="502"/>
      <c r="S28" s="502"/>
      <c r="T28" s="502"/>
      <c r="U28" s="502"/>
      <c r="V28" s="502"/>
      <c r="W28" s="502">
        <v>1</v>
      </c>
      <c r="X28" s="504">
        <v>0</v>
      </c>
      <c r="Y28" s="502"/>
      <c r="Z28" s="501">
        <f t="shared" si="1"/>
        <v>9576</v>
      </c>
      <c r="AA28" s="518">
        <f t="shared" si="2"/>
        <v>9576</v>
      </c>
    </row>
    <row r="29" spans="1:27" s="500" customFormat="1">
      <c r="A29" s="47">
        <v>21</v>
      </c>
      <c r="B29" s="506" t="s">
        <v>1024</v>
      </c>
      <c r="C29" s="502" t="s">
        <v>1025</v>
      </c>
      <c r="D29" s="502"/>
      <c r="E29" s="503" t="s">
        <v>932</v>
      </c>
      <c r="F29" s="503">
        <v>18</v>
      </c>
      <c r="G29" s="495">
        <f t="shared" si="0"/>
        <v>6573</v>
      </c>
      <c r="H29" s="502"/>
      <c r="I29" s="505">
        <v>6573</v>
      </c>
      <c r="J29" s="502"/>
      <c r="K29" s="502"/>
      <c r="L29" s="502"/>
      <c r="M29" s="502"/>
      <c r="N29" s="50"/>
      <c r="O29" s="50"/>
      <c r="P29" s="50">
        <v>0</v>
      </c>
      <c r="Q29" s="50">
        <v>0</v>
      </c>
      <c r="R29" s="502"/>
      <c r="S29" s="502"/>
      <c r="T29" s="502"/>
      <c r="U29" s="502"/>
      <c r="V29" s="502"/>
      <c r="W29" s="502">
        <v>1</v>
      </c>
      <c r="X29" s="504">
        <v>0</v>
      </c>
      <c r="Y29" s="502"/>
      <c r="Z29" s="501">
        <f t="shared" si="1"/>
        <v>6573</v>
      </c>
      <c r="AA29" s="518">
        <f t="shared" si="2"/>
        <v>6573</v>
      </c>
    </row>
    <row r="30" spans="1:27" s="500" customFormat="1">
      <c r="A30" s="47">
        <v>22</v>
      </c>
      <c r="B30" s="506"/>
      <c r="C30" s="502"/>
      <c r="D30" s="502"/>
      <c r="E30" s="503"/>
      <c r="F30" s="503"/>
      <c r="G30" s="495">
        <f t="shared" si="0"/>
        <v>0</v>
      </c>
      <c r="H30" s="502"/>
      <c r="I30" s="505"/>
      <c r="J30" s="502"/>
      <c r="K30" s="502"/>
      <c r="L30" s="502"/>
      <c r="M30" s="502"/>
      <c r="N30" s="50"/>
      <c r="O30" s="50"/>
      <c r="P30" s="50"/>
      <c r="Q30" s="50"/>
      <c r="R30" s="502"/>
      <c r="S30" s="502"/>
      <c r="T30" s="502"/>
      <c r="U30" s="502"/>
      <c r="V30" s="502"/>
      <c r="W30" s="502"/>
      <c r="X30" s="504"/>
      <c r="Y30" s="502"/>
      <c r="Z30" s="501">
        <f t="shared" si="1"/>
        <v>0</v>
      </c>
      <c r="AA30" s="518">
        <f t="shared" si="2"/>
        <v>0</v>
      </c>
    </row>
    <row r="31" spans="1:27" s="500" customFormat="1">
      <c r="A31" s="47">
        <v>23</v>
      </c>
      <c r="B31" s="506"/>
      <c r="C31" s="502"/>
      <c r="D31" s="502"/>
      <c r="E31" s="503"/>
      <c r="F31" s="503"/>
      <c r="G31" s="495">
        <f t="shared" si="0"/>
        <v>0</v>
      </c>
      <c r="H31" s="502"/>
      <c r="I31" s="505"/>
      <c r="J31" s="502"/>
      <c r="K31" s="502"/>
      <c r="L31" s="502"/>
      <c r="M31" s="502"/>
      <c r="N31" s="50"/>
      <c r="O31" s="50"/>
      <c r="P31" s="50"/>
      <c r="Q31" s="50"/>
      <c r="R31" s="502"/>
      <c r="S31" s="502"/>
      <c r="T31" s="502"/>
      <c r="U31" s="502"/>
      <c r="V31" s="502"/>
      <c r="W31" s="502"/>
      <c r="X31" s="504"/>
      <c r="Y31" s="502"/>
      <c r="Z31" s="501">
        <f t="shared" si="1"/>
        <v>0</v>
      </c>
      <c r="AA31" s="518">
        <f t="shared" si="2"/>
        <v>0</v>
      </c>
    </row>
    <row r="32" spans="1:27" s="500" customFormat="1">
      <c r="A32" s="47">
        <v>24</v>
      </c>
      <c r="B32" s="506"/>
      <c r="C32" s="502"/>
      <c r="D32" s="502"/>
      <c r="E32" s="503"/>
      <c r="F32" s="503"/>
      <c r="G32" s="495">
        <f t="shared" si="0"/>
        <v>0</v>
      </c>
      <c r="H32" s="502"/>
      <c r="I32" s="505"/>
      <c r="J32" s="502"/>
      <c r="K32" s="502"/>
      <c r="L32" s="502"/>
      <c r="M32" s="502"/>
      <c r="N32" s="50"/>
      <c r="O32" s="50"/>
      <c r="P32" s="50"/>
      <c r="Q32" s="50"/>
      <c r="R32" s="502"/>
      <c r="S32" s="502"/>
      <c r="T32" s="502"/>
      <c r="U32" s="502"/>
      <c r="V32" s="502"/>
      <c r="W32" s="502"/>
      <c r="X32" s="504"/>
      <c r="Y32" s="502"/>
      <c r="Z32" s="501">
        <f t="shared" si="1"/>
        <v>0</v>
      </c>
      <c r="AA32" s="518">
        <f t="shared" si="2"/>
        <v>0</v>
      </c>
    </row>
    <row r="33" spans="1:27" s="500" customFormat="1">
      <c r="A33" s="47">
        <v>25</v>
      </c>
      <c r="B33" s="506"/>
      <c r="C33" s="502"/>
      <c r="D33" s="502"/>
      <c r="E33" s="503"/>
      <c r="F33" s="503"/>
      <c r="G33" s="495">
        <f t="shared" si="0"/>
        <v>0</v>
      </c>
      <c r="H33" s="502"/>
      <c r="I33" s="505"/>
      <c r="J33" s="502"/>
      <c r="K33" s="502"/>
      <c r="L33" s="502"/>
      <c r="M33" s="502"/>
      <c r="N33" s="502"/>
      <c r="O33" s="502"/>
      <c r="P33" s="502"/>
      <c r="Q33" s="502"/>
      <c r="R33" s="502"/>
      <c r="S33" s="502"/>
      <c r="T33" s="502"/>
      <c r="U33" s="502"/>
      <c r="V33" s="502"/>
      <c r="W33" s="502"/>
      <c r="X33" s="504"/>
      <c r="Y33" s="502"/>
      <c r="Z33" s="501">
        <f t="shared" si="1"/>
        <v>0</v>
      </c>
      <c r="AA33" s="518">
        <f t="shared" si="2"/>
        <v>0</v>
      </c>
    </row>
    <row r="34" spans="1:27" s="500" customFormat="1">
      <c r="A34" s="47">
        <v>26</v>
      </c>
      <c r="B34" s="506"/>
      <c r="C34" s="502"/>
      <c r="D34" s="502"/>
      <c r="E34" s="503"/>
      <c r="F34" s="503"/>
      <c r="G34" s="495">
        <f t="shared" si="0"/>
        <v>0</v>
      </c>
      <c r="H34" s="502"/>
      <c r="I34" s="505"/>
      <c r="J34" s="502"/>
      <c r="K34" s="502"/>
      <c r="L34" s="502"/>
      <c r="M34" s="502"/>
      <c r="N34" s="50"/>
      <c r="O34" s="50"/>
      <c r="P34" s="50"/>
      <c r="Q34" s="50"/>
      <c r="R34" s="502"/>
      <c r="S34" s="502"/>
      <c r="T34" s="502"/>
      <c r="U34" s="502"/>
      <c r="V34" s="502"/>
      <c r="W34" s="502"/>
      <c r="X34" s="504"/>
      <c r="Y34" s="502"/>
      <c r="Z34" s="501">
        <f t="shared" si="1"/>
        <v>0</v>
      </c>
      <c r="AA34" s="518">
        <f t="shared" si="2"/>
        <v>0</v>
      </c>
    </row>
    <row r="35" spans="1:27" s="500" customFormat="1">
      <c r="A35" s="47">
        <v>27</v>
      </c>
      <c r="B35" s="506"/>
      <c r="C35" s="502"/>
      <c r="D35" s="502"/>
      <c r="E35" s="503"/>
      <c r="F35" s="503"/>
      <c r="G35" s="495">
        <f t="shared" si="0"/>
        <v>0</v>
      </c>
      <c r="H35" s="502"/>
      <c r="I35" s="505"/>
      <c r="J35" s="502"/>
      <c r="K35" s="502"/>
      <c r="L35" s="502"/>
      <c r="M35" s="502"/>
      <c r="N35" s="50"/>
      <c r="O35" s="50"/>
      <c r="P35" s="50"/>
      <c r="Q35" s="50"/>
      <c r="R35" s="502"/>
      <c r="S35" s="502"/>
      <c r="T35" s="502"/>
      <c r="U35" s="502"/>
      <c r="V35" s="502"/>
      <c r="W35" s="502"/>
      <c r="X35" s="504"/>
      <c r="Y35" s="502"/>
      <c r="Z35" s="501">
        <f t="shared" si="1"/>
        <v>0</v>
      </c>
      <c r="AA35" s="518">
        <f t="shared" si="2"/>
        <v>0</v>
      </c>
    </row>
    <row r="36" spans="1:27" s="500" customFormat="1">
      <c r="A36" s="47">
        <v>28</v>
      </c>
      <c r="B36" s="506"/>
      <c r="C36" s="502"/>
      <c r="D36" s="502"/>
      <c r="E36" s="503"/>
      <c r="F36" s="503"/>
      <c r="G36" s="495">
        <f t="shared" si="0"/>
        <v>0</v>
      </c>
      <c r="H36" s="502"/>
      <c r="I36" s="507"/>
      <c r="J36" s="502"/>
      <c r="K36" s="502"/>
      <c r="L36" s="502"/>
      <c r="M36" s="502"/>
      <c r="N36" s="50"/>
      <c r="O36" s="50"/>
      <c r="P36" s="50"/>
      <c r="Q36" s="50"/>
      <c r="R36" s="502"/>
      <c r="S36" s="502"/>
      <c r="T36" s="502"/>
      <c r="U36" s="502"/>
      <c r="V36" s="502"/>
      <c r="W36" s="502"/>
      <c r="X36" s="504"/>
      <c r="Y36" s="502"/>
      <c r="Z36" s="501">
        <f t="shared" si="1"/>
        <v>0</v>
      </c>
      <c r="AA36" s="518">
        <f t="shared" si="2"/>
        <v>0</v>
      </c>
    </row>
    <row r="37" spans="1:27" s="500" customFormat="1">
      <c r="A37" s="47">
        <v>29</v>
      </c>
      <c r="B37" s="506"/>
      <c r="C37" s="502"/>
      <c r="D37" s="504"/>
      <c r="E37" s="503"/>
      <c r="F37" s="503"/>
      <c r="G37" s="495">
        <f t="shared" si="0"/>
        <v>0</v>
      </c>
      <c r="H37" s="502"/>
      <c r="I37" s="505"/>
      <c r="J37" s="502"/>
      <c r="K37" s="502"/>
      <c r="L37" s="502"/>
      <c r="M37" s="502"/>
      <c r="N37" s="50"/>
      <c r="O37" s="50"/>
      <c r="P37" s="50"/>
      <c r="Q37" s="50"/>
      <c r="R37" s="502"/>
      <c r="S37" s="502"/>
      <c r="T37" s="502"/>
      <c r="U37" s="502"/>
      <c r="V37" s="502"/>
      <c r="W37" s="502"/>
      <c r="X37" s="504"/>
      <c r="Y37" s="502"/>
      <c r="Z37" s="501">
        <f t="shared" si="1"/>
        <v>0</v>
      </c>
      <c r="AA37" s="518">
        <f t="shared" si="2"/>
        <v>0</v>
      </c>
    </row>
    <row r="38" spans="1:27" s="500" customFormat="1">
      <c r="A38" s="47">
        <v>30</v>
      </c>
      <c r="B38" s="506"/>
      <c r="C38" s="502"/>
      <c r="D38" s="504"/>
      <c r="E38" s="503"/>
      <c r="F38" s="503"/>
      <c r="G38" s="495">
        <f t="shared" si="0"/>
        <v>0</v>
      </c>
      <c r="H38" s="502"/>
      <c r="I38" s="505"/>
      <c r="J38" s="502"/>
      <c r="K38" s="502"/>
      <c r="L38" s="502"/>
      <c r="M38" s="502"/>
      <c r="N38" s="50"/>
      <c r="O38" s="50"/>
      <c r="P38" s="50"/>
      <c r="Q38" s="50"/>
      <c r="R38" s="502"/>
      <c r="S38" s="502"/>
      <c r="T38" s="502"/>
      <c r="U38" s="502"/>
      <c r="V38" s="502"/>
      <c r="W38" s="502"/>
      <c r="X38" s="504"/>
      <c r="Y38" s="502"/>
      <c r="Z38" s="501">
        <f t="shared" si="1"/>
        <v>0</v>
      </c>
      <c r="AA38" s="518">
        <f t="shared" si="2"/>
        <v>0</v>
      </c>
    </row>
    <row r="39" spans="1:27" s="500" customFormat="1">
      <c r="A39" s="47">
        <v>31</v>
      </c>
      <c r="B39" s="506"/>
      <c r="C39" s="502"/>
      <c r="D39" s="502"/>
      <c r="E39" s="503"/>
      <c r="F39" s="503"/>
      <c r="G39" s="495">
        <f t="shared" si="0"/>
        <v>0</v>
      </c>
      <c r="H39" s="502"/>
      <c r="I39" s="505"/>
      <c r="J39" s="502"/>
      <c r="K39" s="502"/>
      <c r="L39" s="502"/>
      <c r="M39" s="502"/>
      <c r="N39" s="50"/>
      <c r="O39" s="50"/>
      <c r="P39" s="50"/>
      <c r="Q39" s="50"/>
      <c r="R39" s="502"/>
      <c r="S39" s="502"/>
      <c r="T39" s="502"/>
      <c r="U39" s="502"/>
      <c r="V39" s="502"/>
      <c r="W39" s="502"/>
      <c r="X39" s="504"/>
      <c r="Y39" s="502"/>
      <c r="Z39" s="501">
        <f t="shared" si="1"/>
        <v>0</v>
      </c>
      <c r="AA39" s="518">
        <f t="shared" si="2"/>
        <v>0</v>
      </c>
    </row>
    <row r="40" spans="1:27" s="500" customFormat="1">
      <c r="A40" s="47">
        <v>32</v>
      </c>
      <c r="B40" s="506"/>
      <c r="C40" s="502"/>
      <c r="D40" s="502"/>
      <c r="E40" s="503"/>
      <c r="F40" s="503"/>
      <c r="G40" s="495">
        <f t="shared" si="0"/>
        <v>0</v>
      </c>
      <c r="H40" s="502"/>
      <c r="I40" s="505"/>
      <c r="J40" s="502"/>
      <c r="K40" s="502"/>
      <c r="L40" s="502"/>
      <c r="M40" s="502"/>
      <c r="N40" s="50"/>
      <c r="O40" s="50"/>
      <c r="P40" s="50"/>
      <c r="Q40" s="50"/>
      <c r="R40" s="502"/>
      <c r="S40" s="502"/>
      <c r="T40" s="502"/>
      <c r="U40" s="502"/>
      <c r="V40" s="502"/>
      <c r="W40" s="502"/>
      <c r="X40" s="504"/>
      <c r="Y40" s="502"/>
      <c r="Z40" s="501">
        <f t="shared" si="1"/>
        <v>0</v>
      </c>
      <c r="AA40" s="518">
        <f t="shared" si="2"/>
        <v>0</v>
      </c>
    </row>
    <row r="41" spans="1:27" s="500" customFormat="1">
      <c r="A41" s="47">
        <v>33</v>
      </c>
      <c r="B41" s="502"/>
      <c r="C41" s="502"/>
      <c r="D41" s="502"/>
      <c r="E41" s="503"/>
      <c r="F41" s="503"/>
      <c r="G41" s="495">
        <f t="shared" ref="G41:G63" si="3">+H41+I41+J41+K41+M41+O41+Q41+S41</f>
        <v>0</v>
      </c>
      <c r="H41" s="502"/>
      <c r="I41" s="502"/>
      <c r="J41" s="502"/>
      <c r="K41" s="502"/>
      <c r="L41" s="502"/>
      <c r="M41" s="502"/>
      <c r="N41" s="50"/>
      <c r="O41" s="50"/>
      <c r="P41" s="50"/>
      <c r="Q41" s="50"/>
      <c r="R41" s="502"/>
      <c r="S41" s="502"/>
      <c r="T41" s="502"/>
      <c r="U41" s="502"/>
      <c r="V41" s="502"/>
      <c r="W41" s="502"/>
      <c r="X41" s="502"/>
      <c r="Y41" s="502"/>
      <c r="Z41" s="501">
        <f t="shared" ref="Z41:Z63" si="4">+G41-V41-X41</f>
        <v>0</v>
      </c>
      <c r="AA41" s="518">
        <f t="shared" si="2"/>
        <v>0</v>
      </c>
    </row>
    <row r="42" spans="1:27" s="500" customFormat="1">
      <c r="A42" s="47">
        <v>34</v>
      </c>
      <c r="B42" s="502"/>
      <c r="C42" s="502"/>
      <c r="D42" s="502"/>
      <c r="E42" s="503"/>
      <c r="F42" s="503"/>
      <c r="G42" s="495">
        <f t="shared" si="3"/>
        <v>0</v>
      </c>
      <c r="H42" s="502"/>
      <c r="I42" s="502"/>
      <c r="J42" s="502"/>
      <c r="K42" s="502"/>
      <c r="L42" s="502"/>
      <c r="M42" s="502"/>
      <c r="N42" s="50"/>
      <c r="O42" s="50"/>
      <c r="P42" s="50"/>
      <c r="Q42" s="50"/>
      <c r="R42" s="502"/>
      <c r="S42" s="502"/>
      <c r="T42" s="502"/>
      <c r="U42" s="502"/>
      <c r="V42" s="502"/>
      <c r="W42" s="502"/>
      <c r="X42" s="502"/>
      <c r="Y42" s="502"/>
      <c r="Z42" s="501">
        <f t="shared" si="4"/>
        <v>0</v>
      </c>
      <c r="AA42" s="518">
        <f t="shared" si="2"/>
        <v>0</v>
      </c>
    </row>
    <row r="43" spans="1:27" s="500" customFormat="1">
      <c r="A43" s="47">
        <v>35</v>
      </c>
      <c r="B43" s="502"/>
      <c r="C43" s="502"/>
      <c r="D43" s="502"/>
      <c r="E43" s="503"/>
      <c r="F43" s="503"/>
      <c r="G43" s="495">
        <f t="shared" si="3"/>
        <v>0</v>
      </c>
      <c r="H43" s="502"/>
      <c r="I43" s="502"/>
      <c r="J43" s="502"/>
      <c r="K43" s="502"/>
      <c r="L43" s="502"/>
      <c r="M43" s="502"/>
      <c r="N43" s="50"/>
      <c r="O43" s="50"/>
      <c r="P43" s="50"/>
      <c r="Q43" s="50"/>
      <c r="R43" s="502"/>
      <c r="S43" s="502"/>
      <c r="T43" s="502"/>
      <c r="U43" s="502"/>
      <c r="V43" s="502"/>
      <c r="W43" s="502"/>
      <c r="X43" s="502"/>
      <c r="Y43" s="502"/>
      <c r="Z43" s="501">
        <f t="shared" si="4"/>
        <v>0</v>
      </c>
      <c r="AA43" s="518">
        <f t="shared" si="2"/>
        <v>0</v>
      </c>
    </row>
    <row r="44" spans="1:27" s="500" customFormat="1">
      <c r="A44" s="47">
        <v>36</v>
      </c>
      <c r="B44" s="502"/>
      <c r="C44" s="502"/>
      <c r="D44" s="502"/>
      <c r="E44" s="503"/>
      <c r="F44" s="503"/>
      <c r="G44" s="495">
        <f t="shared" si="3"/>
        <v>0</v>
      </c>
      <c r="H44" s="502"/>
      <c r="I44" s="502"/>
      <c r="J44" s="502"/>
      <c r="K44" s="502"/>
      <c r="L44" s="502"/>
      <c r="M44" s="502"/>
      <c r="N44" s="50"/>
      <c r="O44" s="50"/>
      <c r="P44" s="50"/>
      <c r="Q44" s="50"/>
      <c r="R44" s="502"/>
      <c r="S44" s="502"/>
      <c r="T44" s="502"/>
      <c r="U44" s="502"/>
      <c r="V44" s="502"/>
      <c r="W44" s="502"/>
      <c r="X44" s="502"/>
      <c r="Y44" s="502"/>
      <c r="Z44" s="501">
        <f t="shared" si="4"/>
        <v>0</v>
      </c>
      <c r="AA44" s="518">
        <f t="shared" si="2"/>
        <v>0</v>
      </c>
    </row>
    <row r="45" spans="1:27" s="500" customFormat="1">
      <c r="A45" s="47">
        <v>37</v>
      </c>
      <c r="B45" s="502"/>
      <c r="C45" s="502"/>
      <c r="D45" s="502"/>
      <c r="E45" s="503"/>
      <c r="F45" s="503"/>
      <c r="G45" s="495">
        <f t="shared" si="3"/>
        <v>0</v>
      </c>
      <c r="H45" s="502"/>
      <c r="I45" s="502"/>
      <c r="J45" s="502"/>
      <c r="K45" s="502"/>
      <c r="L45" s="502"/>
      <c r="M45" s="502"/>
      <c r="N45" s="50"/>
      <c r="O45" s="50"/>
      <c r="P45" s="50"/>
      <c r="Q45" s="50"/>
      <c r="R45" s="502"/>
      <c r="S45" s="502"/>
      <c r="T45" s="502"/>
      <c r="U45" s="502"/>
      <c r="V45" s="502"/>
      <c r="W45" s="502"/>
      <c r="X45" s="502"/>
      <c r="Y45" s="502"/>
      <c r="Z45" s="501">
        <f t="shared" si="4"/>
        <v>0</v>
      </c>
      <c r="AA45" s="518">
        <f t="shared" si="2"/>
        <v>0</v>
      </c>
    </row>
    <row r="46" spans="1:27" s="500" customFormat="1">
      <c r="A46" s="47">
        <v>38</v>
      </c>
      <c r="B46" s="502"/>
      <c r="C46" s="502"/>
      <c r="D46" s="502"/>
      <c r="E46" s="503"/>
      <c r="F46" s="503"/>
      <c r="G46" s="495">
        <f t="shared" si="3"/>
        <v>0</v>
      </c>
      <c r="H46" s="502"/>
      <c r="I46" s="502"/>
      <c r="J46" s="502"/>
      <c r="K46" s="502"/>
      <c r="L46" s="502"/>
      <c r="M46" s="502"/>
      <c r="N46" s="50"/>
      <c r="O46" s="50"/>
      <c r="P46" s="50"/>
      <c r="Q46" s="50"/>
      <c r="R46" s="502"/>
      <c r="S46" s="502"/>
      <c r="T46" s="502"/>
      <c r="U46" s="502"/>
      <c r="V46" s="502"/>
      <c r="W46" s="502"/>
      <c r="X46" s="502"/>
      <c r="Y46" s="502"/>
      <c r="Z46" s="501">
        <f t="shared" si="4"/>
        <v>0</v>
      </c>
      <c r="AA46" s="518">
        <f t="shared" si="2"/>
        <v>0</v>
      </c>
    </row>
    <row r="47" spans="1:27" s="500" customFormat="1">
      <c r="A47" s="47">
        <v>39</v>
      </c>
      <c r="B47" s="502"/>
      <c r="C47" s="502"/>
      <c r="D47" s="502"/>
      <c r="E47" s="503"/>
      <c r="F47" s="503"/>
      <c r="G47" s="495">
        <f t="shared" si="3"/>
        <v>0</v>
      </c>
      <c r="H47" s="502"/>
      <c r="I47" s="502"/>
      <c r="J47" s="502"/>
      <c r="K47" s="502"/>
      <c r="L47" s="502"/>
      <c r="M47" s="502"/>
      <c r="N47" s="50"/>
      <c r="O47" s="50"/>
      <c r="P47" s="50"/>
      <c r="Q47" s="50"/>
      <c r="R47" s="502"/>
      <c r="S47" s="502"/>
      <c r="T47" s="502"/>
      <c r="U47" s="502"/>
      <c r="V47" s="502"/>
      <c r="W47" s="502"/>
      <c r="X47" s="502"/>
      <c r="Y47" s="502"/>
      <c r="Z47" s="501">
        <f t="shared" si="4"/>
        <v>0</v>
      </c>
      <c r="AA47" s="518">
        <f t="shared" si="2"/>
        <v>0</v>
      </c>
    </row>
    <row r="48" spans="1:27" s="500" customFormat="1">
      <c r="A48" s="47">
        <v>40</v>
      </c>
      <c r="B48" s="502"/>
      <c r="C48" s="502"/>
      <c r="D48" s="502"/>
      <c r="E48" s="503"/>
      <c r="F48" s="503"/>
      <c r="G48" s="495">
        <f t="shared" si="3"/>
        <v>0</v>
      </c>
      <c r="H48" s="502"/>
      <c r="I48" s="502"/>
      <c r="J48" s="502"/>
      <c r="K48" s="502"/>
      <c r="L48" s="502"/>
      <c r="M48" s="502"/>
      <c r="N48" s="50"/>
      <c r="O48" s="50"/>
      <c r="P48" s="50"/>
      <c r="Q48" s="50"/>
      <c r="R48" s="502"/>
      <c r="S48" s="502"/>
      <c r="T48" s="502"/>
      <c r="U48" s="502"/>
      <c r="V48" s="502"/>
      <c r="W48" s="502"/>
      <c r="X48" s="502"/>
      <c r="Y48" s="502"/>
      <c r="Z48" s="501">
        <f t="shared" si="4"/>
        <v>0</v>
      </c>
      <c r="AA48" s="518">
        <f t="shared" si="2"/>
        <v>0</v>
      </c>
    </row>
    <row r="49" spans="1:27" s="500" customFormat="1">
      <c r="A49" s="47">
        <v>41</v>
      </c>
      <c r="B49" s="502"/>
      <c r="C49" s="502"/>
      <c r="D49" s="502"/>
      <c r="E49" s="503"/>
      <c r="F49" s="503"/>
      <c r="G49" s="495">
        <f t="shared" si="3"/>
        <v>0</v>
      </c>
      <c r="H49" s="502"/>
      <c r="I49" s="502"/>
      <c r="J49" s="502"/>
      <c r="K49" s="502"/>
      <c r="L49" s="502"/>
      <c r="M49" s="502"/>
      <c r="N49" s="50"/>
      <c r="O49" s="50"/>
      <c r="P49" s="50"/>
      <c r="Q49" s="50"/>
      <c r="R49" s="502"/>
      <c r="S49" s="502"/>
      <c r="T49" s="502"/>
      <c r="U49" s="502"/>
      <c r="V49" s="502"/>
      <c r="W49" s="502"/>
      <c r="X49" s="502"/>
      <c r="Y49" s="502"/>
      <c r="Z49" s="501">
        <f t="shared" si="4"/>
        <v>0</v>
      </c>
      <c r="AA49" s="518">
        <f t="shared" si="2"/>
        <v>0</v>
      </c>
    </row>
    <row r="50" spans="1:27" s="500" customFormat="1">
      <c r="A50" s="47">
        <v>42</v>
      </c>
      <c r="B50" s="502"/>
      <c r="C50" s="502"/>
      <c r="D50" s="502"/>
      <c r="E50" s="503"/>
      <c r="F50" s="503"/>
      <c r="G50" s="495">
        <f t="shared" si="3"/>
        <v>0</v>
      </c>
      <c r="H50" s="502"/>
      <c r="I50" s="502"/>
      <c r="J50" s="502"/>
      <c r="K50" s="502"/>
      <c r="L50" s="502"/>
      <c r="M50" s="502"/>
      <c r="N50" s="50"/>
      <c r="O50" s="50"/>
      <c r="P50" s="50"/>
      <c r="Q50" s="50"/>
      <c r="R50" s="502"/>
      <c r="S50" s="502"/>
      <c r="T50" s="502"/>
      <c r="U50" s="502"/>
      <c r="V50" s="502"/>
      <c r="W50" s="502"/>
      <c r="X50" s="502"/>
      <c r="Y50" s="502"/>
      <c r="Z50" s="501">
        <f t="shared" si="4"/>
        <v>0</v>
      </c>
      <c r="AA50" s="518">
        <f t="shared" si="2"/>
        <v>0</v>
      </c>
    </row>
    <row r="51" spans="1:27" s="500" customFormat="1">
      <c r="A51" s="47">
        <v>43</v>
      </c>
      <c r="B51" s="502"/>
      <c r="C51" s="502"/>
      <c r="D51" s="502"/>
      <c r="E51" s="503"/>
      <c r="F51" s="503"/>
      <c r="G51" s="495">
        <f t="shared" si="3"/>
        <v>0</v>
      </c>
      <c r="H51" s="502"/>
      <c r="I51" s="502"/>
      <c r="J51" s="502"/>
      <c r="K51" s="502"/>
      <c r="L51" s="502"/>
      <c r="M51" s="502"/>
      <c r="N51" s="50"/>
      <c r="O51" s="50"/>
      <c r="P51" s="50"/>
      <c r="Q51" s="50"/>
      <c r="R51" s="502"/>
      <c r="S51" s="502"/>
      <c r="T51" s="502"/>
      <c r="U51" s="502"/>
      <c r="V51" s="502"/>
      <c r="W51" s="502"/>
      <c r="X51" s="502"/>
      <c r="Y51" s="502"/>
      <c r="Z51" s="501">
        <f t="shared" si="4"/>
        <v>0</v>
      </c>
      <c r="AA51" s="518">
        <f t="shared" si="2"/>
        <v>0</v>
      </c>
    </row>
    <row r="52" spans="1:27" s="500" customFormat="1">
      <c r="A52" s="47">
        <v>44</v>
      </c>
      <c r="B52" s="502"/>
      <c r="C52" s="502"/>
      <c r="D52" s="502"/>
      <c r="E52" s="503"/>
      <c r="F52" s="503"/>
      <c r="G52" s="495">
        <f t="shared" si="3"/>
        <v>0</v>
      </c>
      <c r="H52" s="502"/>
      <c r="I52" s="502"/>
      <c r="J52" s="502"/>
      <c r="K52" s="502"/>
      <c r="L52" s="502"/>
      <c r="M52" s="502"/>
      <c r="N52" s="50"/>
      <c r="O52" s="50"/>
      <c r="P52" s="50"/>
      <c r="Q52" s="50"/>
      <c r="R52" s="502"/>
      <c r="S52" s="502"/>
      <c r="T52" s="502"/>
      <c r="U52" s="502"/>
      <c r="V52" s="502"/>
      <c r="W52" s="502"/>
      <c r="X52" s="502"/>
      <c r="Y52" s="502"/>
      <c r="Z52" s="501">
        <f t="shared" si="4"/>
        <v>0</v>
      </c>
      <c r="AA52" s="518">
        <f t="shared" si="2"/>
        <v>0</v>
      </c>
    </row>
    <row r="53" spans="1:27" s="500" customFormat="1">
      <c r="A53" s="47">
        <v>45</v>
      </c>
      <c r="B53" s="502"/>
      <c r="C53" s="502"/>
      <c r="D53" s="502"/>
      <c r="E53" s="503"/>
      <c r="F53" s="503"/>
      <c r="G53" s="495">
        <f t="shared" si="3"/>
        <v>0</v>
      </c>
      <c r="H53" s="502"/>
      <c r="I53" s="502"/>
      <c r="J53" s="502"/>
      <c r="K53" s="502"/>
      <c r="L53" s="502"/>
      <c r="M53" s="502"/>
      <c r="N53" s="50"/>
      <c r="O53" s="50"/>
      <c r="P53" s="50"/>
      <c r="Q53" s="50"/>
      <c r="R53" s="502"/>
      <c r="S53" s="502"/>
      <c r="T53" s="502"/>
      <c r="U53" s="502"/>
      <c r="V53" s="502"/>
      <c r="W53" s="502"/>
      <c r="X53" s="502"/>
      <c r="Y53" s="502"/>
      <c r="Z53" s="501">
        <f t="shared" si="4"/>
        <v>0</v>
      </c>
      <c r="AA53" s="518">
        <f t="shared" si="2"/>
        <v>0</v>
      </c>
    </row>
    <row r="54" spans="1:27" s="500" customFormat="1">
      <c r="A54" s="47">
        <v>46</v>
      </c>
      <c r="B54" s="502"/>
      <c r="C54" s="502"/>
      <c r="D54" s="502"/>
      <c r="E54" s="503"/>
      <c r="F54" s="503"/>
      <c r="G54" s="495">
        <f t="shared" si="3"/>
        <v>0</v>
      </c>
      <c r="H54" s="502"/>
      <c r="I54" s="502"/>
      <c r="J54" s="502"/>
      <c r="K54" s="502"/>
      <c r="L54" s="502"/>
      <c r="M54" s="502"/>
      <c r="N54" s="50"/>
      <c r="O54" s="50"/>
      <c r="P54" s="50"/>
      <c r="Q54" s="50"/>
      <c r="R54" s="502"/>
      <c r="S54" s="502"/>
      <c r="T54" s="502"/>
      <c r="U54" s="502"/>
      <c r="V54" s="502"/>
      <c r="W54" s="502"/>
      <c r="X54" s="502"/>
      <c r="Y54" s="502"/>
      <c r="Z54" s="501">
        <f t="shared" si="4"/>
        <v>0</v>
      </c>
      <c r="AA54" s="518">
        <f t="shared" si="2"/>
        <v>0</v>
      </c>
    </row>
    <row r="55" spans="1:27" s="500" customFormat="1">
      <c r="A55" s="47">
        <v>47</v>
      </c>
      <c r="B55" s="502"/>
      <c r="C55" s="502"/>
      <c r="D55" s="502"/>
      <c r="E55" s="503"/>
      <c r="F55" s="503"/>
      <c r="G55" s="495">
        <f t="shared" si="3"/>
        <v>0</v>
      </c>
      <c r="H55" s="502"/>
      <c r="I55" s="502"/>
      <c r="J55" s="502"/>
      <c r="K55" s="502"/>
      <c r="L55" s="502"/>
      <c r="M55" s="502"/>
      <c r="N55" s="50"/>
      <c r="O55" s="50"/>
      <c r="P55" s="50"/>
      <c r="Q55" s="50"/>
      <c r="R55" s="502"/>
      <c r="S55" s="502"/>
      <c r="T55" s="502"/>
      <c r="U55" s="502"/>
      <c r="V55" s="502"/>
      <c r="W55" s="502"/>
      <c r="X55" s="502"/>
      <c r="Y55" s="502"/>
      <c r="Z55" s="501">
        <f t="shared" si="4"/>
        <v>0</v>
      </c>
      <c r="AA55" s="518">
        <f t="shared" si="2"/>
        <v>0</v>
      </c>
    </row>
    <row r="56" spans="1:27" s="500" customFormat="1">
      <c r="A56" s="47">
        <v>48</v>
      </c>
      <c r="B56" s="502"/>
      <c r="C56" s="502"/>
      <c r="D56" s="502"/>
      <c r="E56" s="503"/>
      <c r="F56" s="503"/>
      <c r="G56" s="495">
        <f t="shared" si="3"/>
        <v>0</v>
      </c>
      <c r="H56" s="502"/>
      <c r="I56" s="502"/>
      <c r="J56" s="502"/>
      <c r="K56" s="502"/>
      <c r="L56" s="502"/>
      <c r="M56" s="502"/>
      <c r="N56" s="50"/>
      <c r="O56" s="50"/>
      <c r="P56" s="50"/>
      <c r="Q56" s="50"/>
      <c r="R56" s="502"/>
      <c r="S56" s="502"/>
      <c r="T56" s="502"/>
      <c r="U56" s="502"/>
      <c r="V56" s="502"/>
      <c r="W56" s="502"/>
      <c r="X56" s="502"/>
      <c r="Y56" s="502"/>
      <c r="Z56" s="501">
        <f t="shared" si="4"/>
        <v>0</v>
      </c>
      <c r="AA56" s="518">
        <f t="shared" si="2"/>
        <v>0</v>
      </c>
    </row>
    <row r="57" spans="1:27" s="500" customFormat="1">
      <c r="A57" s="47">
        <v>49</v>
      </c>
      <c r="B57" s="502"/>
      <c r="C57" s="502"/>
      <c r="D57" s="502"/>
      <c r="E57" s="503"/>
      <c r="F57" s="503"/>
      <c r="G57" s="495">
        <f t="shared" si="3"/>
        <v>0</v>
      </c>
      <c r="H57" s="502"/>
      <c r="I57" s="502"/>
      <c r="J57" s="502"/>
      <c r="K57" s="502"/>
      <c r="L57" s="502"/>
      <c r="M57" s="502"/>
      <c r="N57" s="50"/>
      <c r="O57" s="50"/>
      <c r="P57" s="50"/>
      <c r="Q57" s="50"/>
      <c r="R57" s="502"/>
      <c r="S57" s="502"/>
      <c r="T57" s="502"/>
      <c r="U57" s="502"/>
      <c r="V57" s="502"/>
      <c r="W57" s="502"/>
      <c r="X57" s="502"/>
      <c r="Y57" s="502"/>
      <c r="Z57" s="501">
        <f t="shared" si="4"/>
        <v>0</v>
      </c>
      <c r="AA57" s="518">
        <f t="shared" si="2"/>
        <v>0</v>
      </c>
    </row>
    <row r="58" spans="1:27" s="500" customFormat="1">
      <c r="A58" s="47">
        <v>50</v>
      </c>
      <c r="B58" s="502"/>
      <c r="C58" s="502"/>
      <c r="D58" s="502"/>
      <c r="E58" s="503"/>
      <c r="F58" s="503"/>
      <c r="G58" s="495">
        <f t="shared" si="3"/>
        <v>0</v>
      </c>
      <c r="H58" s="502"/>
      <c r="I58" s="502"/>
      <c r="J58" s="502"/>
      <c r="K58" s="502"/>
      <c r="L58" s="502"/>
      <c r="M58" s="502"/>
      <c r="N58" s="50"/>
      <c r="O58" s="50"/>
      <c r="P58" s="50"/>
      <c r="Q58" s="50"/>
      <c r="R58" s="502"/>
      <c r="S58" s="502"/>
      <c r="T58" s="502"/>
      <c r="U58" s="502"/>
      <c r="V58" s="502"/>
      <c r="W58" s="502"/>
      <c r="X58" s="502"/>
      <c r="Y58" s="502"/>
      <c r="Z58" s="501">
        <f t="shared" si="4"/>
        <v>0</v>
      </c>
      <c r="AA58" s="518">
        <f t="shared" si="2"/>
        <v>0</v>
      </c>
    </row>
    <row r="59" spans="1:27" s="500" customFormat="1">
      <c r="A59" s="47">
        <v>51</v>
      </c>
      <c r="B59" s="502"/>
      <c r="C59" s="502"/>
      <c r="D59" s="502"/>
      <c r="E59" s="503"/>
      <c r="F59" s="503"/>
      <c r="G59" s="495">
        <f t="shared" si="3"/>
        <v>0</v>
      </c>
      <c r="H59" s="502"/>
      <c r="I59" s="502"/>
      <c r="J59" s="502"/>
      <c r="K59" s="502"/>
      <c r="L59" s="502"/>
      <c r="M59" s="502"/>
      <c r="N59" s="502"/>
      <c r="O59" s="502"/>
      <c r="P59" s="502"/>
      <c r="Q59" s="502"/>
      <c r="R59" s="502"/>
      <c r="S59" s="502"/>
      <c r="T59" s="502"/>
      <c r="U59" s="502"/>
      <c r="V59" s="502"/>
      <c r="W59" s="502"/>
      <c r="X59" s="502"/>
      <c r="Y59" s="502"/>
      <c r="Z59" s="501">
        <f t="shared" si="4"/>
        <v>0</v>
      </c>
      <c r="AA59" s="518">
        <f t="shared" si="2"/>
        <v>0</v>
      </c>
    </row>
    <row r="60" spans="1:27" s="500" customFormat="1">
      <c r="A60" s="47">
        <v>52</v>
      </c>
      <c r="B60" s="502"/>
      <c r="C60" s="502"/>
      <c r="D60" s="502"/>
      <c r="E60" s="503"/>
      <c r="F60" s="503"/>
      <c r="G60" s="495">
        <f t="shared" si="3"/>
        <v>0</v>
      </c>
      <c r="H60" s="502"/>
      <c r="I60" s="502"/>
      <c r="J60" s="502"/>
      <c r="K60" s="502"/>
      <c r="L60" s="502"/>
      <c r="M60" s="502"/>
      <c r="N60" s="50"/>
      <c r="O60" s="50"/>
      <c r="P60" s="50"/>
      <c r="Q60" s="50"/>
      <c r="R60" s="502"/>
      <c r="S60" s="502"/>
      <c r="T60" s="502"/>
      <c r="U60" s="502"/>
      <c r="V60" s="502"/>
      <c r="W60" s="502"/>
      <c r="X60" s="502"/>
      <c r="Y60" s="502"/>
      <c r="Z60" s="501">
        <f t="shared" si="4"/>
        <v>0</v>
      </c>
      <c r="AA60" s="518">
        <f t="shared" si="2"/>
        <v>0</v>
      </c>
    </row>
    <row r="61" spans="1:27" s="500" customFormat="1">
      <c r="A61" s="47">
        <v>53</v>
      </c>
      <c r="B61" s="502"/>
      <c r="C61" s="502"/>
      <c r="D61" s="502"/>
      <c r="E61" s="503"/>
      <c r="F61" s="503"/>
      <c r="G61" s="495">
        <f t="shared" si="3"/>
        <v>0</v>
      </c>
      <c r="H61" s="502"/>
      <c r="I61" s="502"/>
      <c r="J61" s="502"/>
      <c r="K61" s="502"/>
      <c r="L61" s="502"/>
      <c r="M61" s="502"/>
      <c r="N61" s="50"/>
      <c r="O61" s="50"/>
      <c r="P61" s="50"/>
      <c r="Q61" s="50"/>
      <c r="R61" s="502"/>
      <c r="S61" s="502"/>
      <c r="T61" s="502"/>
      <c r="U61" s="502"/>
      <c r="V61" s="502"/>
      <c r="W61" s="502"/>
      <c r="X61" s="502"/>
      <c r="Y61" s="502"/>
      <c r="Z61" s="501">
        <f t="shared" si="4"/>
        <v>0</v>
      </c>
      <c r="AA61" s="518">
        <f t="shared" si="2"/>
        <v>0</v>
      </c>
    </row>
    <row r="62" spans="1:27" s="500" customFormat="1">
      <c r="A62" s="47">
        <v>54</v>
      </c>
      <c r="B62" s="502"/>
      <c r="C62" s="502"/>
      <c r="D62" s="502"/>
      <c r="E62" s="503"/>
      <c r="F62" s="503"/>
      <c r="G62" s="495">
        <f t="shared" si="3"/>
        <v>0</v>
      </c>
      <c r="H62" s="502"/>
      <c r="I62" s="502"/>
      <c r="J62" s="502"/>
      <c r="K62" s="502"/>
      <c r="L62" s="502"/>
      <c r="M62" s="502"/>
      <c r="N62" s="50"/>
      <c r="O62" s="50"/>
      <c r="P62" s="50"/>
      <c r="Q62" s="50"/>
      <c r="R62" s="502"/>
      <c r="S62" s="502"/>
      <c r="T62" s="502"/>
      <c r="U62" s="502"/>
      <c r="V62" s="502"/>
      <c r="W62" s="502"/>
      <c r="X62" s="502"/>
      <c r="Y62" s="502"/>
      <c r="Z62" s="501">
        <f t="shared" si="4"/>
        <v>0</v>
      </c>
      <c r="AA62" s="518">
        <f t="shared" si="2"/>
        <v>0</v>
      </c>
    </row>
    <row r="63" spans="1:27" s="500" customFormat="1">
      <c r="A63" s="47">
        <v>55</v>
      </c>
      <c r="B63" s="502"/>
      <c r="C63" s="502"/>
      <c r="D63" s="502"/>
      <c r="E63" s="503"/>
      <c r="F63" s="503"/>
      <c r="G63" s="495">
        <f t="shared" si="3"/>
        <v>0</v>
      </c>
      <c r="H63" s="502"/>
      <c r="I63" s="502"/>
      <c r="J63" s="502"/>
      <c r="K63" s="502"/>
      <c r="L63" s="502"/>
      <c r="M63" s="502"/>
      <c r="N63" s="50"/>
      <c r="O63" s="50"/>
      <c r="P63" s="50"/>
      <c r="Q63" s="50"/>
      <c r="R63" s="502"/>
      <c r="S63" s="502"/>
      <c r="T63" s="502"/>
      <c r="U63" s="502"/>
      <c r="V63" s="502"/>
      <c r="W63" s="502"/>
      <c r="X63" s="502"/>
      <c r="Y63" s="502"/>
      <c r="Z63" s="501">
        <f t="shared" si="4"/>
        <v>0</v>
      </c>
      <c r="AA63" s="518">
        <f t="shared" si="2"/>
        <v>0</v>
      </c>
    </row>
    <row r="64" spans="1:27" s="48" customFormat="1">
      <c r="A64" s="499" t="s">
        <v>863</v>
      </c>
      <c r="B64" s="143"/>
      <c r="C64" s="143"/>
      <c r="D64" s="143"/>
      <c r="E64" s="496"/>
      <c r="F64" s="496"/>
      <c r="G64" s="495">
        <f>SUM(G9:G63)</f>
        <v>123506538</v>
      </c>
      <c r="H64" s="495">
        <f t="shared" ref="H64:V64" si="5">SUM(H9:H63)</f>
        <v>0</v>
      </c>
      <c r="I64" s="495">
        <f t="shared" si="5"/>
        <v>977034</v>
      </c>
      <c r="J64" s="495">
        <f t="shared" si="5"/>
        <v>121962868</v>
      </c>
      <c r="K64" s="495">
        <f t="shared" si="5"/>
        <v>9821</v>
      </c>
      <c r="L64" s="495">
        <f t="shared" si="5"/>
        <v>0</v>
      </c>
      <c r="M64" s="495">
        <f t="shared" si="5"/>
        <v>0</v>
      </c>
      <c r="N64" s="495">
        <f t="shared" si="5"/>
        <v>0</v>
      </c>
      <c r="O64" s="495">
        <f t="shared" si="5"/>
        <v>0</v>
      </c>
      <c r="P64" s="495">
        <f t="shared" si="5"/>
        <v>556815</v>
      </c>
      <c r="Q64" s="495">
        <f t="shared" si="5"/>
        <v>556815</v>
      </c>
      <c r="R64" s="495">
        <f t="shared" si="5"/>
        <v>0</v>
      </c>
      <c r="S64" s="495">
        <f t="shared" si="5"/>
        <v>0</v>
      </c>
      <c r="T64" s="495">
        <f t="shared" si="5"/>
        <v>0</v>
      </c>
      <c r="U64" s="498"/>
      <c r="V64" s="495">
        <f t="shared" si="5"/>
        <v>0</v>
      </c>
      <c r="W64" s="498"/>
      <c r="X64" s="495">
        <f t="shared" ref="X64:Z64" si="6">SUM(X9:X63)</f>
        <v>0</v>
      </c>
      <c r="Y64" s="495">
        <f t="shared" si="6"/>
        <v>0</v>
      </c>
      <c r="Z64" s="495">
        <f t="shared" si="6"/>
        <v>123506538</v>
      </c>
      <c r="AA64" s="518"/>
    </row>
    <row r="65" spans="1:27" s="48" customFormat="1">
      <c r="A65" s="497" t="s">
        <v>862</v>
      </c>
      <c r="B65" s="143"/>
      <c r="C65" s="143"/>
      <c r="D65" s="143"/>
      <c r="E65" s="496"/>
      <c r="F65" s="496"/>
      <c r="G65" s="495">
        <f>+SUMIF($F$9:$F$63,$AA$65,$G$9:$G$63)</f>
        <v>83362868</v>
      </c>
      <c r="H65" s="495">
        <f>+SUMIF($F$9:$F$63,$AA$65,$H$9:$H$63)</f>
        <v>0</v>
      </c>
      <c r="I65" s="495">
        <f>+SUMIF($F$9:$F$63,$AA$65,$I$9:$I$63)</f>
        <v>0</v>
      </c>
      <c r="J65" s="495">
        <f>+SUMIF($F$9:$F$63,$AA$65,$J$9:$J$63)</f>
        <v>83362868</v>
      </c>
      <c r="K65" s="495">
        <f>+SUMIF($F$9:$F$63,$AA$65,$K$9:$K$63)</f>
        <v>0</v>
      </c>
      <c r="L65" s="495">
        <f>+SUMIF($F$9:$F$63,$AA$65,$L$9:$L$63)</f>
        <v>0</v>
      </c>
      <c r="M65" s="495">
        <f>+SUMIF($F$9:$F$63,$AA$65,$M$9:$M$63)</f>
        <v>0</v>
      </c>
      <c r="N65" s="495">
        <f>+SUMIF($F$9:$F$63,$AA$65,$N$9:$N$63)</f>
        <v>0</v>
      </c>
      <c r="O65" s="495">
        <f>+SUMIF($F$9:$F$63,$AA$65,$O$9:$O$63)</f>
        <v>0</v>
      </c>
      <c r="P65" s="495">
        <f>+SUMIF($F$9:$F$63,$AA$65,$P$9:$P$63)</f>
        <v>0</v>
      </c>
      <c r="Q65" s="495">
        <f>+SUMIF($F$9:$F$63,$AA$65,$Q$9:$Q$63)</f>
        <v>0</v>
      </c>
      <c r="R65" s="495">
        <f>+SUMIF($F$9:$F$63,$AA$65,$R$9:$R$63)</f>
        <v>0</v>
      </c>
      <c r="S65" s="495">
        <f>+SUMIF($F$9:$F$63,$AA$65,$S$9:$S$63)</f>
        <v>0</v>
      </c>
      <c r="T65" s="495">
        <f>+SUMIF($F$9:$F$63,$AA$65,$T$9:$T$63)</f>
        <v>0</v>
      </c>
      <c r="U65" s="498"/>
      <c r="V65" s="495">
        <f>+SUMIF($F$9:$F$63,$AA$65,$V$9:$V$63)</f>
        <v>0</v>
      </c>
      <c r="W65" s="498"/>
      <c r="X65" s="495">
        <f>+SUMIF($F$9:$F$63,$AA$65,$X$9:$X$63)</f>
        <v>0</v>
      </c>
      <c r="Y65" s="495">
        <f>+SUMIF($F$9:$F$63,$AA$65,$Y$9:$Y$63)</f>
        <v>0</v>
      </c>
      <c r="Z65" s="495">
        <f>+MAX(AA9:AA63)</f>
        <v>83362868</v>
      </c>
      <c r="AA65" s="518">
        <f>INDEX($F$9:$F$63,MATCH($Z65,$AA$9:$AA$63,0))</f>
        <v>1</v>
      </c>
    </row>
    <row r="66" spans="1:27" s="48" customFormat="1">
      <c r="AA66" s="521"/>
    </row>
    <row r="67" spans="1:27" s="48" customFormat="1">
      <c r="AA67" s="521"/>
    </row>
    <row r="68" spans="1:27" s="48" customFormat="1">
      <c r="B68" s="48" t="s">
        <v>861</v>
      </c>
      <c r="V68" s="494"/>
      <c r="AA68" s="521"/>
    </row>
    <row r="69" spans="1:27" s="48" customFormat="1">
      <c r="V69" s="494"/>
      <c r="AA69" s="521"/>
    </row>
    <row r="70" spans="1:27" s="48" customFormat="1">
      <c r="B70" s="422" t="s">
        <v>1</v>
      </c>
      <c r="V70" s="494"/>
      <c r="AA70" s="521"/>
    </row>
    <row r="71" spans="1:27" s="48" customFormat="1">
      <c r="B71" s="422"/>
      <c r="V71" s="494"/>
      <c r="AA71" s="521"/>
    </row>
    <row r="72" spans="1:27" s="48" customFormat="1">
      <c r="B72" s="422"/>
      <c r="V72" s="494"/>
      <c r="AA72" s="521"/>
    </row>
    <row r="73" spans="1:27" s="48" customFormat="1">
      <c r="V73" s="494"/>
      <c r="AA73" s="521"/>
    </row>
    <row r="74" spans="1:27" s="48" customFormat="1" ht="15.75">
      <c r="B74" s="588"/>
      <c r="C74" s="588"/>
      <c r="D74" s="588"/>
      <c r="E74" s="588"/>
      <c r="F74" s="588"/>
      <c r="G74" s="588"/>
      <c r="H74" s="588"/>
      <c r="I74" s="588"/>
      <c r="J74" s="588"/>
      <c r="K74" s="588"/>
      <c r="L74" s="588"/>
      <c r="M74" s="588"/>
      <c r="N74" s="588"/>
      <c r="O74" s="588"/>
      <c r="P74" s="588"/>
      <c r="Q74" s="588"/>
      <c r="R74" s="588"/>
      <c r="S74" s="588"/>
      <c r="T74" s="588"/>
      <c r="V74" s="494"/>
      <c r="AA74" s="521"/>
    </row>
    <row r="75" spans="1:27">
      <c r="AA75" s="522"/>
    </row>
    <row r="76" spans="1:27">
      <c r="AA76" s="522"/>
    </row>
    <row r="77" spans="1:27">
      <c r="AA77" s="522"/>
    </row>
    <row r="78" spans="1:27">
      <c r="AA78" s="522"/>
    </row>
    <row r="79" spans="1:27">
      <c r="AA79" s="522"/>
    </row>
    <row r="80" spans="1:27">
      <c r="AA80" s="522"/>
    </row>
    <row r="81" spans="27:27">
      <c r="AA81" s="522"/>
    </row>
    <row r="82" spans="27:27">
      <c r="AA82" s="522"/>
    </row>
    <row r="83" spans="27:27">
      <c r="AA83" s="522"/>
    </row>
    <row r="84" spans="27:27">
      <c r="AA84" s="522"/>
    </row>
    <row r="85" spans="27:27">
      <c r="AA85" s="522"/>
    </row>
    <row r="86" spans="27:27">
      <c r="AA86" s="522"/>
    </row>
    <row r="87" spans="27:27">
      <c r="AA87" s="522"/>
    </row>
    <row r="88" spans="27:27">
      <c r="AA88" s="522"/>
    </row>
    <row r="89" spans="27:27">
      <c r="AA89" s="522"/>
    </row>
    <row r="90" spans="27:27">
      <c r="AA90" s="522"/>
    </row>
    <row r="91" spans="27:27">
      <c r="AA91" s="522"/>
    </row>
    <row r="92" spans="27:27">
      <c r="AA92" s="522"/>
    </row>
    <row r="93" spans="27:27">
      <c r="AA93" s="522"/>
    </row>
    <row r="94" spans="27:27">
      <c r="AA94" s="522"/>
    </row>
    <row r="95" spans="27:27">
      <c r="AA95" s="522"/>
    </row>
    <row r="96" spans="27:27">
      <c r="AA96" s="522"/>
    </row>
    <row r="97" spans="27:27">
      <c r="AA97" s="522"/>
    </row>
    <row r="98" spans="27:27">
      <c r="AA98" s="522"/>
    </row>
    <row r="99" spans="27:27">
      <c r="AA99" s="522"/>
    </row>
    <row r="100" spans="27:27">
      <c r="AA100" s="522"/>
    </row>
    <row r="101" spans="27:27">
      <c r="AA101" s="522"/>
    </row>
    <row r="102" spans="27:27">
      <c r="AA102" s="522"/>
    </row>
    <row r="103" spans="27:27">
      <c r="AA103" s="522"/>
    </row>
    <row r="104" spans="27:27">
      <c r="AA104" s="522"/>
    </row>
    <row r="105" spans="27:27">
      <c r="AA105" s="522"/>
    </row>
    <row r="106" spans="27:27">
      <c r="AA106" s="522"/>
    </row>
  </sheetData>
  <sheetProtection sheet="1" objects="1" scenarios="1"/>
  <mergeCells count="35">
    <mergeCell ref="D4:D7"/>
    <mergeCell ref="E4:E7"/>
    <mergeCell ref="H5:K5"/>
    <mergeCell ref="L5:S5"/>
    <mergeCell ref="H6:H7"/>
    <mergeCell ref="P6:Q6"/>
    <mergeCell ref="R6:S6"/>
    <mergeCell ref="B74:T74"/>
    <mergeCell ref="Y3:Z3"/>
    <mergeCell ref="A1:W1"/>
    <mergeCell ref="F4:F7"/>
    <mergeCell ref="G4:G7"/>
    <mergeCell ref="H4:S4"/>
    <mergeCell ref="U3:W3"/>
    <mergeCell ref="A4:A7"/>
    <mergeCell ref="B4:B7"/>
    <mergeCell ref="C4:C7"/>
    <mergeCell ref="I6:I7"/>
    <mergeCell ref="J6:J7"/>
    <mergeCell ref="K6:K7"/>
    <mergeCell ref="L6:M6"/>
    <mergeCell ref="N6:O6"/>
    <mergeCell ref="N3:P3"/>
    <mergeCell ref="L8:M8"/>
    <mergeCell ref="N8:O8"/>
    <mergeCell ref="P8:Q8"/>
    <mergeCell ref="R8:S8"/>
    <mergeCell ref="Z4:Z7"/>
    <mergeCell ref="U6:U7"/>
    <mergeCell ref="V6:V7"/>
    <mergeCell ref="T4:T7"/>
    <mergeCell ref="U4:V5"/>
    <mergeCell ref="W4:W7"/>
    <mergeCell ref="X4:X7"/>
    <mergeCell ref="Y4:Y7"/>
  </mergeCells>
  <dataValidations count="1">
    <dataValidation type="date" operator="greaterThan" allowBlank="1" showInputMessage="1" showErrorMessage="1" prompt="Введите дату в формате ЧЧ.ММ.ГГГГ" sqref="Y75:Z104" xr:uid="{00000000-0002-0000-0700-000000000000}">
      <formula1>DATE(50,1,1)</formula1>
    </dataValidation>
  </dataValidations>
  <printOptions horizontalCentered="1" verticalCentered="1"/>
  <pageMargins left="0.23622047244094491" right="0.19685039370078741" top="0.23622047244094491" bottom="0.23622047244094491" header="0.51181102362204722" footer="0.51181102362204722"/>
  <pageSetup paperSize="9" scale="4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B106"/>
  <sheetViews>
    <sheetView view="pageBreakPreview" topLeftCell="A4" zoomScale="70" zoomScaleNormal="100" zoomScaleSheetLayoutView="70" workbookViewId="0">
      <pane xSplit="7" ySplit="4" topLeftCell="H20" activePane="bottomRight" state="frozen"/>
      <selection activeCell="C73" sqref="C73"/>
      <selection pane="topRight" activeCell="C73" sqref="C73"/>
      <selection pane="bottomLeft" activeCell="C73" sqref="C73"/>
      <selection pane="bottomRight" activeCell="AA65" sqref="AA65"/>
    </sheetView>
  </sheetViews>
  <sheetFormatPr defaultRowHeight="12.75"/>
  <cols>
    <col min="1" max="1" width="5.140625" style="74" customWidth="1"/>
    <col min="2" max="2" width="43.42578125" style="74" customWidth="1"/>
    <col min="3" max="3" width="14.140625" style="74" customWidth="1"/>
    <col min="4" max="6" width="10.140625" style="74" customWidth="1"/>
    <col min="7" max="8" width="14.28515625" style="74" customWidth="1"/>
    <col min="9" max="19" width="13.85546875" style="74" customWidth="1"/>
    <col min="20" max="20" width="8.28515625" style="74" customWidth="1"/>
    <col min="21" max="21" width="10.140625" style="74" customWidth="1"/>
    <col min="22" max="22" width="14" style="493" customWidth="1"/>
    <col min="23" max="23" width="9.85546875" style="74" customWidth="1"/>
    <col min="24" max="24" width="14" style="74" customWidth="1"/>
    <col min="25" max="25" width="13.28515625" style="74" customWidth="1"/>
    <col min="26" max="26" width="14.7109375" style="74" customWidth="1"/>
    <col min="27" max="27" width="16" style="519" customWidth="1"/>
    <col min="28" max="16384" width="9.140625" style="74"/>
  </cols>
  <sheetData>
    <row r="1" spans="1:28" ht="20.25">
      <c r="A1" s="590" t="s">
        <v>901</v>
      </c>
      <c r="B1" s="590"/>
      <c r="C1" s="590"/>
      <c r="D1" s="590"/>
      <c r="E1" s="590"/>
      <c r="F1" s="590"/>
      <c r="G1" s="590"/>
      <c r="H1" s="590"/>
      <c r="I1" s="590"/>
      <c r="J1" s="590"/>
      <c r="K1" s="590"/>
      <c r="L1" s="590"/>
      <c r="M1" s="590"/>
      <c r="N1" s="590"/>
      <c r="O1" s="590"/>
      <c r="P1" s="590"/>
      <c r="Q1" s="590"/>
      <c r="R1" s="590"/>
      <c r="S1" s="590"/>
      <c r="T1" s="590"/>
      <c r="U1" s="590"/>
      <c r="V1" s="590"/>
      <c r="W1" s="590"/>
      <c r="Y1" s="17" t="s">
        <v>900</v>
      </c>
    </row>
    <row r="2" spans="1:28">
      <c r="A2" s="511"/>
      <c r="B2" s="465"/>
      <c r="C2" s="465"/>
      <c r="D2" s="465"/>
      <c r="E2" s="465"/>
      <c r="F2" s="465"/>
      <c r="G2" s="465"/>
      <c r="H2" s="465"/>
      <c r="I2" s="465"/>
      <c r="J2" s="465"/>
      <c r="K2" s="465"/>
      <c r="L2" s="465"/>
      <c r="M2" s="465"/>
      <c r="N2" s="465"/>
      <c r="O2" s="465"/>
      <c r="Q2" s="465"/>
      <c r="R2" s="465"/>
      <c r="S2" s="465"/>
      <c r="T2" s="465"/>
    </row>
    <row r="3" spans="1:28" ht="15.75">
      <c r="A3" s="468"/>
      <c r="B3" s="137" t="str">
        <f>+'Asset quality'!B3</f>
        <v>"Ўзсаноатқурилишбанк" АТБ</v>
      </c>
      <c r="D3" s="468"/>
      <c r="E3" s="468"/>
      <c r="F3" s="468"/>
      <c r="G3" s="468"/>
      <c r="H3" s="468"/>
      <c r="I3" s="468"/>
      <c r="J3" s="468"/>
      <c r="K3" s="468"/>
      <c r="L3" s="468"/>
      <c r="M3" s="468"/>
      <c r="Q3" s="468"/>
      <c r="R3" s="468"/>
      <c r="T3" s="465"/>
      <c r="U3" s="568">
        <f>+'Asset quality'!P3</f>
        <v>44560</v>
      </c>
      <c r="V3" s="568" t="e">
        <f>+#REF!</f>
        <v>#REF!</v>
      </c>
      <c r="W3" s="568"/>
      <c r="Y3" s="589" t="s">
        <v>382</v>
      </c>
      <c r="Z3" s="589"/>
    </row>
    <row r="4" spans="1:28" ht="27.75" customHeight="1">
      <c r="A4" s="593" t="s">
        <v>83</v>
      </c>
      <c r="B4" s="593" t="s">
        <v>895</v>
      </c>
      <c r="C4" s="581" t="s">
        <v>894</v>
      </c>
      <c r="D4" s="581" t="s">
        <v>893</v>
      </c>
      <c r="E4" s="581" t="s">
        <v>892</v>
      </c>
      <c r="F4" s="581" t="s">
        <v>891</v>
      </c>
      <c r="G4" s="581" t="s">
        <v>890</v>
      </c>
      <c r="H4" s="591" t="s">
        <v>90</v>
      </c>
      <c r="I4" s="592"/>
      <c r="J4" s="592"/>
      <c r="K4" s="592"/>
      <c r="L4" s="592"/>
      <c r="M4" s="592"/>
      <c r="N4" s="592"/>
      <c r="O4" s="592"/>
      <c r="P4" s="592"/>
      <c r="Q4" s="592"/>
      <c r="R4" s="592"/>
      <c r="S4" s="592"/>
      <c r="T4" s="581" t="s">
        <v>889</v>
      </c>
      <c r="U4" s="584" t="s">
        <v>888</v>
      </c>
      <c r="V4" s="585"/>
      <c r="W4" s="581" t="s">
        <v>887</v>
      </c>
      <c r="X4" s="581" t="s">
        <v>886</v>
      </c>
      <c r="Y4" s="581" t="s">
        <v>885</v>
      </c>
      <c r="Z4" s="581" t="s">
        <v>884</v>
      </c>
      <c r="AB4" s="493"/>
    </row>
    <row r="5" spans="1:28" ht="27.75" customHeight="1">
      <c r="A5" s="594"/>
      <c r="B5" s="594"/>
      <c r="C5" s="582"/>
      <c r="D5" s="582"/>
      <c r="E5" s="582"/>
      <c r="F5" s="582"/>
      <c r="G5" s="582"/>
      <c r="H5" s="591" t="s">
        <v>883</v>
      </c>
      <c r="I5" s="592"/>
      <c r="J5" s="592"/>
      <c r="K5" s="592"/>
      <c r="L5" s="591" t="s">
        <v>882</v>
      </c>
      <c r="M5" s="592"/>
      <c r="N5" s="592"/>
      <c r="O5" s="592"/>
      <c r="P5" s="592"/>
      <c r="Q5" s="592"/>
      <c r="R5" s="592"/>
      <c r="S5" s="592"/>
      <c r="T5" s="582"/>
      <c r="U5" s="586"/>
      <c r="V5" s="587"/>
      <c r="W5" s="582"/>
      <c r="X5" s="582"/>
      <c r="Y5" s="582"/>
      <c r="Z5" s="582"/>
      <c r="AB5" s="493"/>
    </row>
    <row r="6" spans="1:28" ht="108.75" customHeight="1">
      <c r="A6" s="594"/>
      <c r="B6" s="594"/>
      <c r="C6" s="582"/>
      <c r="D6" s="582"/>
      <c r="E6" s="582"/>
      <c r="F6" s="582"/>
      <c r="G6" s="582"/>
      <c r="H6" s="581" t="s">
        <v>881</v>
      </c>
      <c r="I6" s="581" t="s">
        <v>880</v>
      </c>
      <c r="J6" s="581" t="s">
        <v>879</v>
      </c>
      <c r="K6" s="581" t="s">
        <v>875</v>
      </c>
      <c r="L6" s="596" t="s">
        <v>878</v>
      </c>
      <c r="M6" s="597"/>
      <c r="N6" s="596" t="s">
        <v>877</v>
      </c>
      <c r="O6" s="597"/>
      <c r="P6" s="596" t="s">
        <v>876</v>
      </c>
      <c r="Q6" s="597"/>
      <c r="R6" s="596" t="s">
        <v>875</v>
      </c>
      <c r="S6" s="597"/>
      <c r="T6" s="582"/>
      <c r="U6" s="581" t="s">
        <v>874</v>
      </c>
      <c r="V6" s="581" t="s">
        <v>577</v>
      </c>
      <c r="W6" s="582"/>
      <c r="X6" s="582"/>
      <c r="Y6" s="582"/>
      <c r="Z6" s="582"/>
      <c r="AB6" s="493"/>
    </row>
    <row r="7" spans="1:28" ht="41.25" customHeight="1">
      <c r="A7" s="595"/>
      <c r="B7" s="595"/>
      <c r="C7" s="583"/>
      <c r="D7" s="583"/>
      <c r="E7" s="583"/>
      <c r="F7" s="583"/>
      <c r="G7" s="583"/>
      <c r="H7" s="583"/>
      <c r="I7" s="583"/>
      <c r="J7" s="583"/>
      <c r="K7" s="583"/>
      <c r="L7" s="510" t="s">
        <v>873</v>
      </c>
      <c r="M7" s="510" t="s">
        <v>872</v>
      </c>
      <c r="N7" s="510" t="s">
        <v>873</v>
      </c>
      <c r="O7" s="510" t="s">
        <v>872</v>
      </c>
      <c r="P7" s="510" t="s">
        <v>873</v>
      </c>
      <c r="Q7" s="510" t="s">
        <v>872</v>
      </c>
      <c r="R7" s="510" t="s">
        <v>873</v>
      </c>
      <c r="S7" s="510" t="s">
        <v>872</v>
      </c>
      <c r="T7" s="583"/>
      <c r="U7" s="583"/>
      <c r="V7" s="583"/>
      <c r="W7" s="583"/>
      <c r="X7" s="583"/>
      <c r="Y7" s="583"/>
      <c r="Z7" s="583"/>
      <c r="AB7" s="493"/>
    </row>
    <row r="8" spans="1:28" s="508" customFormat="1" ht="15">
      <c r="A8" s="492"/>
      <c r="B8" s="492" t="s">
        <v>182</v>
      </c>
      <c r="C8" s="492" t="s">
        <v>183</v>
      </c>
      <c r="D8" s="492" t="s">
        <v>195</v>
      </c>
      <c r="E8" s="492" t="s">
        <v>184</v>
      </c>
      <c r="F8" s="492" t="s">
        <v>185</v>
      </c>
      <c r="G8" s="484" t="s">
        <v>196</v>
      </c>
      <c r="H8" s="492" t="s">
        <v>871</v>
      </c>
      <c r="I8" s="492" t="s">
        <v>870</v>
      </c>
      <c r="J8" s="492" t="s">
        <v>869</v>
      </c>
      <c r="K8" s="492" t="s">
        <v>868</v>
      </c>
      <c r="L8" s="579" t="s">
        <v>867</v>
      </c>
      <c r="M8" s="580"/>
      <c r="N8" s="579" t="s">
        <v>866</v>
      </c>
      <c r="O8" s="580"/>
      <c r="P8" s="579" t="s">
        <v>865</v>
      </c>
      <c r="Q8" s="580"/>
      <c r="R8" s="579" t="s">
        <v>864</v>
      </c>
      <c r="S8" s="580"/>
      <c r="T8" s="492" t="s">
        <v>186</v>
      </c>
      <c r="U8" s="492" t="s">
        <v>187</v>
      </c>
      <c r="V8" s="492" t="s">
        <v>188</v>
      </c>
      <c r="W8" s="492" t="s">
        <v>189</v>
      </c>
      <c r="X8" s="492" t="s">
        <v>190</v>
      </c>
      <c r="Y8" s="492" t="s">
        <v>191</v>
      </c>
      <c r="Z8" s="492" t="s">
        <v>192</v>
      </c>
      <c r="AA8" s="520"/>
      <c r="AB8" s="509"/>
    </row>
    <row r="9" spans="1:28" s="500" customFormat="1">
      <c r="A9" s="47">
        <v>1</v>
      </c>
      <c r="B9" s="502" t="s">
        <v>934</v>
      </c>
      <c r="C9" s="533" t="s">
        <v>946</v>
      </c>
      <c r="D9" s="533" t="s">
        <v>947</v>
      </c>
      <c r="E9" s="503" t="s">
        <v>928</v>
      </c>
      <c r="F9" s="503">
        <v>1</v>
      </c>
      <c r="G9" s="516">
        <f>+H9+I9+J9+K9+M9+O9+Q9+S9</f>
        <v>1810093061</v>
      </c>
      <c r="H9" s="50">
        <v>0</v>
      </c>
      <c r="I9" s="50">
        <v>1757533591</v>
      </c>
      <c r="J9" s="50"/>
      <c r="K9" s="50">
        <v>52559470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/>
      <c r="S9" s="50"/>
      <c r="T9" s="50" t="s">
        <v>941</v>
      </c>
      <c r="U9" s="50">
        <v>3</v>
      </c>
      <c r="V9" s="50">
        <v>1734933237</v>
      </c>
      <c r="W9" s="532" t="s">
        <v>5</v>
      </c>
      <c r="X9" s="50">
        <v>0</v>
      </c>
      <c r="Y9" s="50"/>
      <c r="Z9" s="513">
        <f>+G9-V9-X9</f>
        <v>75159824</v>
      </c>
      <c r="AA9" s="518">
        <f>SUMIF($F$9:$F$63,$F9,$Z$9:$Z$63)</f>
        <v>200321277</v>
      </c>
    </row>
    <row r="10" spans="1:28" s="500" customFormat="1">
      <c r="A10" s="47">
        <v>2</v>
      </c>
      <c r="B10" s="502" t="s">
        <v>935</v>
      </c>
      <c r="C10" s="533" t="s">
        <v>948</v>
      </c>
      <c r="D10" s="533" t="s">
        <v>947</v>
      </c>
      <c r="E10" s="503" t="s">
        <v>928</v>
      </c>
      <c r="F10" s="503">
        <v>1</v>
      </c>
      <c r="G10" s="516">
        <f t="shared" ref="G10:G40" si="0">+H10+I10+J10+K10+M10+O10+Q10+S10</f>
        <v>1001983001</v>
      </c>
      <c r="H10" s="50">
        <v>0</v>
      </c>
      <c r="I10" s="50">
        <v>1001701186</v>
      </c>
      <c r="J10" s="50"/>
      <c r="K10" s="50">
        <v>281815</v>
      </c>
      <c r="L10" s="50">
        <v>0</v>
      </c>
      <c r="M10" s="50">
        <v>0</v>
      </c>
      <c r="N10" s="50">
        <v>0</v>
      </c>
      <c r="O10" s="50">
        <v>0</v>
      </c>
      <c r="P10" s="50">
        <v>0</v>
      </c>
      <c r="Q10" s="50">
        <v>0</v>
      </c>
      <c r="R10" s="50"/>
      <c r="S10" s="50"/>
      <c r="T10" s="50" t="s">
        <v>941</v>
      </c>
      <c r="U10" s="50">
        <v>3</v>
      </c>
      <c r="V10" s="50">
        <v>999368974</v>
      </c>
      <c r="W10" s="532" t="s">
        <v>5</v>
      </c>
      <c r="X10" s="50">
        <v>0</v>
      </c>
      <c r="Y10" s="50"/>
      <c r="Z10" s="513">
        <f t="shared" ref="Z10:Z40" si="1">+G10-V10-X10</f>
        <v>2614027</v>
      </c>
      <c r="AA10" s="518">
        <f t="shared" ref="AA10:AA63" si="2">SUMIF($F$9:$F$63,$F10,$Z$9:$Z$63)</f>
        <v>200321277</v>
      </c>
    </row>
    <row r="11" spans="1:28" s="500" customFormat="1">
      <c r="A11" s="47">
        <v>3</v>
      </c>
      <c r="B11" s="502" t="s">
        <v>998</v>
      </c>
      <c r="C11" s="533" t="s">
        <v>949</v>
      </c>
      <c r="D11" s="533" t="s">
        <v>950</v>
      </c>
      <c r="E11" s="503" t="s">
        <v>928</v>
      </c>
      <c r="F11" s="503">
        <v>1</v>
      </c>
      <c r="G11" s="516">
        <f t="shared" si="0"/>
        <v>624945188</v>
      </c>
      <c r="H11" s="50">
        <v>0</v>
      </c>
      <c r="I11" s="50">
        <v>624945188</v>
      </c>
      <c r="J11" s="50"/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/>
      <c r="S11" s="50"/>
      <c r="T11" s="50" t="s">
        <v>941</v>
      </c>
      <c r="U11" s="50">
        <v>3</v>
      </c>
      <c r="V11" s="50">
        <v>624945188</v>
      </c>
      <c r="W11" s="532" t="s">
        <v>5</v>
      </c>
      <c r="X11" s="50">
        <v>0</v>
      </c>
      <c r="Y11" s="50"/>
      <c r="Z11" s="513">
        <f>+G11-V11-X11</f>
        <v>0</v>
      </c>
      <c r="AA11" s="518">
        <f t="shared" si="2"/>
        <v>200321277</v>
      </c>
    </row>
    <row r="12" spans="1:28" s="500" customFormat="1" ht="25.5">
      <c r="A12" s="47">
        <v>4</v>
      </c>
      <c r="B12" s="502" t="s">
        <v>936</v>
      </c>
      <c r="C12" s="533" t="s">
        <v>951</v>
      </c>
      <c r="D12" s="533" t="s">
        <v>950</v>
      </c>
      <c r="E12" s="533" t="s">
        <v>952</v>
      </c>
      <c r="F12" s="503">
        <v>1</v>
      </c>
      <c r="G12" s="516">
        <f t="shared" si="0"/>
        <v>90442741</v>
      </c>
      <c r="H12" s="50">
        <v>0</v>
      </c>
      <c r="I12" s="50">
        <v>90442741</v>
      </c>
      <c r="J12" s="50"/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/>
      <c r="S12" s="50"/>
      <c r="T12" s="50">
        <v>1</v>
      </c>
      <c r="U12" s="50"/>
      <c r="V12" s="50">
        <v>0</v>
      </c>
      <c r="W12" s="532" t="s">
        <v>9</v>
      </c>
      <c r="X12" s="50">
        <v>22610685</v>
      </c>
      <c r="Y12" s="50"/>
      <c r="Z12" s="513">
        <f t="shared" si="1"/>
        <v>67832056</v>
      </c>
      <c r="AA12" s="518">
        <f t="shared" si="2"/>
        <v>200321277</v>
      </c>
    </row>
    <row r="13" spans="1:28" s="500" customFormat="1">
      <c r="A13" s="47">
        <v>5</v>
      </c>
      <c r="B13" s="502" t="s">
        <v>937</v>
      </c>
      <c r="C13" s="533" t="s">
        <v>999</v>
      </c>
      <c r="D13" s="533" t="s">
        <v>947</v>
      </c>
      <c r="E13" s="533" t="s">
        <v>952</v>
      </c>
      <c r="F13" s="503">
        <v>1</v>
      </c>
      <c r="G13" s="516">
        <f t="shared" si="0"/>
        <v>50302394</v>
      </c>
      <c r="H13" s="50">
        <v>0</v>
      </c>
      <c r="I13" s="50">
        <v>50302259</v>
      </c>
      <c r="J13" s="50"/>
      <c r="K13" s="50">
        <v>135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/>
      <c r="S13" s="50"/>
      <c r="T13" s="50" t="s">
        <v>941</v>
      </c>
      <c r="U13" s="50"/>
      <c r="V13" s="50">
        <v>0</v>
      </c>
      <c r="W13" s="532" t="s">
        <v>5</v>
      </c>
      <c r="X13" s="50">
        <v>0</v>
      </c>
      <c r="Y13" s="50"/>
      <c r="Z13" s="513">
        <f t="shared" si="1"/>
        <v>50302394</v>
      </c>
      <c r="AA13" s="518">
        <f t="shared" si="2"/>
        <v>200321277</v>
      </c>
    </row>
    <row r="14" spans="1:28" s="500" customFormat="1">
      <c r="A14" s="47">
        <v>6</v>
      </c>
      <c r="B14" s="502" t="s">
        <v>938</v>
      </c>
      <c r="C14" s="533" t="s">
        <v>953</v>
      </c>
      <c r="D14" s="533" t="s">
        <v>947</v>
      </c>
      <c r="E14" s="533" t="s">
        <v>954</v>
      </c>
      <c r="F14" s="503">
        <v>1</v>
      </c>
      <c r="G14" s="516">
        <f t="shared" si="0"/>
        <v>4412976</v>
      </c>
      <c r="H14" s="50">
        <v>0</v>
      </c>
      <c r="I14" s="50">
        <v>4412962</v>
      </c>
      <c r="J14" s="50"/>
      <c r="K14" s="50">
        <v>14</v>
      </c>
      <c r="L14" s="50">
        <v>0</v>
      </c>
      <c r="M14" s="50">
        <v>0</v>
      </c>
      <c r="N14" s="50">
        <v>0</v>
      </c>
      <c r="O14" s="50">
        <v>0</v>
      </c>
      <c r="P14" s="50">
        <v>0</v>
      </c>
      <c r="Q14" s="50">
        <v>0</v>
      </c>
      <c r="R14" s="50"/>
      <c r="S14" s="50"/>
      <c r="T14" s="50" t="s">
        <v>941</v>
      </c>
      <c r="U14" s="50"/>
      <c r="V14" s="50">
        <v>0</v>
      </c>
      <c r="W14" s="532" t="s">
        <v>5</v>
      </c>
      <c r="X14" s="50">
        <v>0</v>
      </c>
      <c r="Y14" s="50"/>
      <c r="Z14" s="513">
        <f t="shared" si="1"/>
        <v>4412976</v>
      </c>
      <c r="AA14" s="518">
        <f t="shared" si="2"/>
        <v>200321277</v>
      </c>
    </row>
    <row r="15" spans="1:28" s="500" customFormat="1">
      <c r="A15" s="47">
        <v>7</v>
      </c>
      <c r="B15" s="502" t="s">
        <v>912</v>
      </c>
      <c r="C15" s="503" t="s">
        <v>963</v>
      </c>
      <c r="D15" s="503" t="s">
        <v>964</v>
      </c>
      <c r="E15" s="503" t="s">
        <v>952</v>
      </c>
      <c r="F15" s="503">
        <v>2</v>
      </c>
      <c r="G15" s="516">
        <f t="shared" si="0"/>
        <v>1469622849</v>
      </c>
      <c r="H15" s="50">
        <v>0</v>
      </c>
      <c r="I15" s="50">
        <v>1429892480</v>
      </c>
      <c r="J15" s="50"/>
      <c r="K15" s="50">
        <v>577762</v>
      </c>
      <c r="L15" s="50">
        <v>0</v>
      </c>
      <c r="M15" s="50">
        <v>0</v>
      </c>
      <c r="N15" s="50">
        <v>0</v>
      </c>
      <c r="O15" s="50">
        <v>0</v>
      </c>
      <c r="P15" s="50">
        <v>195763034</v>
      </c>
      <c r="Q15" s="50">
        <v>39152607</v>
      </c>
      <c r="R15" s="50"/>
      <c r="S15" s="50"/>
      <c r="T15" s="50" t="s">
        <v>941</v>
      </c>
      <c r="U15" s="50">
        <v>3</v>
      </c>
      <c r="V15" s="50">
        <v>1469045087</v>
      </c>
      <c r="W15" s="504" t="s">
        <v>5</v>
      </c>
      <c r="X15" s="50">
        <v>0</v>
      </c>
      <c r="Y15" s="50"/>
      <c r="Z15" s="513">
        <f t="shared" si="1"/>
        <v>577762</v>
      </c>
      <c r="AA15" s="518">
        <f t="shared" si="2"/>
        <v>277189861</v>
      </c>
    </row>
    <row r="16" spans="1:28" s="500" customFormat="1">
      <c r="A16" s="47">
        <v>8</v>
      </c>
      <c r="B16" s="502" t="s">
        <v>913</v>
      </c>
      <c r="C16" s="533" t="s">
        <v>965</v>
      </c>
      <c r="D16" s="533" t="s">
        <v>966</v>
      </c>
      <c r="E16" s="533" t="s">
        <v>928</v>
      </c>
      <c r="F16" s="503">
        <v>2</v>
      </c>
      <c r="G16" s="516">
        <f t="shared" si="0"/>
        <v>794065223</v>
      </c>
      <c r="H16" s="50">
        <v>0</v>
      </c>
      <c r="I16" s="50">
        <v>781449149</v>
      </c>
      <c r="J16" s="50"/>
      <c r="K16" s="50">
        <v>476074</v>
      </c>
      <c r="L16" s="50">
        <v>0</v>
      </c>
      <c r="M16" s="50">
        <v>0</v>
      </c>
      <c r="N16" s="50">
        <v>0</v>
      </c>
      <c r="O16" s="50">
        <v>0</v>
      </c>
      <c r="P16" s="50">
        <v>12140000</v>
      </c>
      <c r="Q16" s="50">
        <v>12140000</v>
      </c>
      <c r="R16" s="50"/>
      <c r="S16" s="50"/>
      <c r="T16" s="50" t="s">
        <v>941</v>
      </c>
      <c r="U16" s="50">
        <v>3</v>
      </c>
      <c r="V16" s="50">
        <v>748627808</v>
      </c>
      <c r="W16" s="532" t="s">
        <v>5</v>
      </c>
      <c r="X16" s="50">
        <v>0</v>
      </c>
      <c r="Y16" s="50"/>
      <c r="Z16" s="513">
        <f t="shared" si="1"/>
        <v>45437415</v>
      </c>
      <c r="AA16" s="518">
        <f t="shared" si="2"/>
        <v>277189861</v>
      </c>
    </row>
    <row r="17" spans="1:27" s="500" customFormat="1">
      <c r="A17" s="47">
        <v>9</v>
      </c>
      <c r="B17" s="502" t="s">
        <v>914</v>
      </c>
      <c r="C17" s="533" t="s">
        <v>967</v>
      </c>
      <c r="D17" s="533" t="s">
        <v>968</v>
      </c>
      <c r="E17" s="533" t="s">
        <v>952</v>
      </c>
      <c r="F17" s="503">
        <v>2</v>
      </c>
      <c r="G17" s="516">
        <f>+H17+I17+J17+K17+M17+O17+Q17+S17</f>
        <v>141500986</v>
      </c>
      <c r="H17" s="50">
        <v>0</v>
      </c>
      <c r="I17" s="50">
        <v>132566657</v>
      </c>
      <c r="J17" s="50"/>
      <c r="K17" s="50">
        <v>8934329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/>
      <c r="S17" s="50"/>
      <c r="T17" s="50" t="s">
        <v>941</v>
      </c>
      <c r="U17" s="50"/>
      <c r="V17" s="50">
        <v>0</v>
      </c>
      <c r="W17" s="532" t="s">
        <v>5</v>
      </c>
      <c r="X17" s="50">
        <v>0</v>
      </c>
      <c r="Y17" s="50"/>
      <c r="Z17" s="513">
        <f t="shared" si="1"/>
        <v>141500986</v>
      </c>
      <c r="AA17" s="518">
        <f t="shared" si="2"/>
        <v>277189861</v>
      </c>
    </row>
    <row r="18" spans="1:27" s="500" customFormat="1">
      <c r="A18" s="47">
        <v>10</v>
      </c>
      <c r="B18" s="502" t="s">
        <v>1005</v>
      </c>
      <c r="C18" s="503" t="s">
        <v>1006</v>
      </c>
      <c r="D18" s="503" t="s">
        <v>1007</v>
      </c>
      <c r="E18" s="503" t="s">
        <v>930</v>
      </c>
      <c r="F18" s="503">
        <v>2</v>
      </c>
      <c r="G18" s="516">
        <f t="shared" si="0"/>
        <v>50102269</v>
      </c>
      <c r="H18" s="50">
        <v>0</v>
      </c>
      <c r="I18" s="50">
        <v>50102269</v>
      </c>
      <c r="J18" s="50"/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/>
      <c r="S18" s="50"/>
      <c r="T18" s="50" t="s">
        <v>941</v>
      </c>
      <c r="U18" s="50"/>
      <c r="V18" s="50">
        <v>0</v>
      </c>
      <c r="W18" s="504" t="s">
        <v>5</v>
      </c>
      <c r="X18" s="50">
        <v>0</v>
      </c>
      <c r="Y18" s="50"/>
      <c r="Z18" s="513">
        <f>+G18-V18-X18</f>
        <v>50102269</v>
      </c>
      <c r="AA18" s="518">
        <f t="shared" si="2"/>
        <v>277189861</v>
      </c>
    </row>
    <row r="19" spans="1:27" s="500" customFormat="1">
      <c r="A19" s="47">
        <v>11</v>
      </c>
      <c r="B19" s="502" t="s">
        <v>915</v>
      </c>
      <c r="C19" s="535" t="s">
        <v>969</v>
      </c>
      <c r="D19" s="533" t="s">
        <v>970</v>
      </c>
      <c r="E19" s="533" t="s">
        <v>954</v>
      </c>
      <c r="F19" s="503">
        <v>2</v>
      </c>
      <c r="G19" s="516">
        <f t="shared" si="0"/>
        <v>38571429</v>
      </c>
      <c r="H19" s="50">
        <v>0</v>
      </c>
      <c r="I19" s="50">
        <v>38571429</v>
      </c>
      <c r="J19" s="502"/>
      <c r="K19" s="502">
        <v>0</v>
      </c>
      <c r="L19" s="502">
        <v>0</v>
      </c>
      <c r="M19" s="502">
        <v>0</v>
      </c>
      <c r="N19" s="50">
        <v>0</v>
      </c>
      <c r="O19" s="50">
        <v>0</v>
      </c>
      <c r="P19" s="50">
        <v>0</v>
      </c>
      <c r="Q19" s="50">
        <v>0</v>
      </c>
      <c r="R19" s="502"/>
      <c r="S19" s="504"/>
      <c r="T19" s="504" t="s">
        <v>941</v>
      </c>
      <c r="U19" s="504"/>
      <c r="V19" s="504">
        <v>0</v>
      </c>
      <c r="W19" s="532" t="s">
        <v>5</v>
      </c>
      <c r="X19" s="504">
        <v>0</v>
      </c>
      <c r="Y19" s="504"/>
      <c r="Z19" s="513">
        <f t="shared" si="1"/>
        <v>38571429</v>
      </c>
      <c r="AA19" s="518">
        <f t="shared" si="2"/>
        <v>277189861</v>
      </c>
    </row>
    <row r="20" spans="1:27" s="500" customFormat="1" ht="25.5">
      <c r="A20" s="47">
        <v>12</v>
      </c>
      <c r="B20" s="502" t="s">
        <v>1008</v>
      </c>
      <c r="C20" s="535" t="s">
        <v>1009</v>
      </c>
      <c r="D20" s="533" t="s">
        <v>1010</v>
      </c>
      <c r="E20" s="533" t="s">
        <v>954</v>
      </c>
      <c r="F20" s="503">
        <v>2</v>
      </c>
      <c r="G20" s="516">
        <f t="shared" si="0"/>
        <v>1000000</v>
      </c>
      <c r="H20" s="50">
        <v>0</v>
      </c>
      <c r="I20" s="50">
        <v>1000000</v>
      </c>
      <c r="J20" s="502"/>
      <c r="K20" s="502">
        <v>0</v>
      </c>
      <c r="L20" s="502">
        <v>0</v>
      </c>
      <c r="M20" s="502">
        <v>0</v>
      </c>
      <c r="N20" s="50">
        <v>0</v>
      </c>
      <c r="O20" s="50">
        <v>0</v>
      </c>
      <c r="P20" s="50">
        <v>0</v>
      </c>
      <c r="Q20" s="50">
        <v>0</v>
      </c>
      <c r="R20" s="502"/>
      <c r="S20" s="504"/>
      <c r="T20" s="504" t="s">
        <v>941</v>
      </c>
      <c r="U20" s="504"/>
      <c r="V20" s="504">
        <v>0</v>
      </c>
      <c r="W20" s="532" t="s">
        <v>5</v>
      </c>
      <c r="X20" s="504">
        <v>0</v>
      </c>
      <c r="Y20" s="504"/>
      <c r="Z20" s="513">
        <f t="shared" si="1"/>
        <v>1000000</v>
      </c>
      <c r="AA20" s="518">
        <f t="shared" si="2"/>
        <v>277189861</v>
      </c>
    </row>
    <row r="21" spans="1:27" s="500" customFormat="1">
      <c r="A21" s="47">
        <v>13</v>
      </c>
      <c r="B21" s="502" t="s">
        <v>1000</v>
      </c>
      <c r="C21" s="535" t="s">
        <v>956</v>
      </c>
      <c r="D21" s="533" t="s">
        <v>955</v>
      </c>
      <c r="E21" s="503" t="s">
        <v>929</v>
      </c>
      <c r="F21" s="503">
        <v>3</v>
      </c>
      <c r="G21" s="516">
        <f t="shared" si="0"/>
        <v>2133854552</v>
      </c>
      <c r="H21" s="502">
        <v>0</v>
      </c>
      <c r="I21" s="502">
        <v>1988269265</v>
      </c>
      <c r="J21" s="502"/>
      <c r="K21" s="502">
        <v>141713632</v>
      </c>
      <c r="L21" s="502">
        <v>3871655</v>
      </c>
      <c r="M21" s="502">
        <v>3871655</v>
      </c>
      <c r="N21" s="50">
        <v>0</v>
      </c>
      <c r="O21" s="50">
        <v>0</v>
      </c>
      <c r="P21" s="50">
        <v>0</v>
      </c>
      <c r="Q21" s="50">
        <v>0</v>
      </c>
      <c r="R21" s="502"/>
      <c r="S21" s="504"/>
      <c r="T21" s="504" t="s">
        <v>941</v>
      </c>
      <c r="U21" s="504">
        <v>6</v>
      </c>
      <c r="V21" s="504">
        <v>1745842599</v>
      </c>
      <c r="W21" s="532" t="s">
        <v>5</v>
      </c>
      <c r="X21" s="504">
        <v>0</v>
      </c>
      <c r="Y21" s="504"/>
      <c r="Z21" s="513">
        <f t="shared" si="1"/>
        <v>388011953</v>
      </c>
      <c r="AA21" s="518">
        <f t="shared" si="2"/>
        <v>522683791</v>
      </c>
    </row>
    <row r="22" spans="1:27" s="500" customFormat="1">
      <c r="A22" s="47">
        <v>14</v>
      </c>
      <c r="B22" s="502" t="s">
        <v>911</v>
      </c>
      <c r="C22" s="535" t="s">
        <v>1001</v>
      </c>
      <c r="D22" s="533" t="s">
        <v>1002</v>
      </c>
      <c r="E22" s="503" t="s">
        <v>932</v>
      </c>
      <c r="F22" s="503">
        <v>3</v>
      </c>
      <c r="G22" s="516">
        <f t="shared" si="0"/>
        <v>120048082</v>
      </c>
      <c r="H22" s="502">
        <v>0</v>
      </c>
      <c r="I22" s="502">
        <v>107169082</v>
      </c>
      <c r="J22" s="502"/>
      <c r="K22" s="502">
        <v>0</v>
      </c>
      <c r="L22" s="502">
        <v>0</v>
      </c>
      <c r="M22" s="502">
        <v>0</v>
      </c>
      <c r="N22" s="50">
        <v>12879000</v>
      </c>
      <c r="O22" s="50">
        <v>12879000</v>
      </c>
      <c r="P22" s="50">
        <v>0</v>
      </c>
      <c r="Q22" s="50">
        <v>0</v>
      </c>
      <c r="R22" s="502"/>
      <c r="S22" s="504"/>
      <c r="T22" s="504" t="s">
        <v>941</v>
      </c>
      <c r="U22" s="504"/>
      <c r="V22" s="504">
        <v>0</v>
      </c>
      <c r="W22" s="532" t="s">
        <v>5</v>
      </c>
      <c r="X22" s="504">
        <v>0</v>
      </c>
      <c r="Y22" s="504"/>
      <c r="Z22" s="513">
        <f t="shared" si="1"/>
        <v>120048082</v>
      </c>
      <c r="AA22" s="518">
        <f t="shared" si="2"/>
        <v>522683791</v>
      </c>
    </row>
    <row r="23" spans="1:27" s="500" customFormat="1" ht="25.5">
      <c r="A23" s="47">
        <v>15</v>
      </c>
      <c r="B23" s="502" t="s">
        <v>910</v>
      </c>
      <c r="C23" s="535" t="s">
        <v>941</v>
      </c>
      <c r="D23" s="533" t="s">
        <v>941</v>
      </c>
      <c r="E23" s="503" t="s">
        <v>932</v>
      </c>
      <c r="F23" s="503">
        <v>3</v>
      </c>
      <c r="G23" s="516">
        <f t="shared" si="0"/>
        <v>14623756</v>
      </c>
      <c r="H23" s="502">
        <v>0</v>
      </c>
      <c r="I23" s="502">
        <v>0</v>
      </c>
      <c r="J23" s="502"/>
      <c r="K23" s="502">
        <v>0</v>
      </c>
      <c r="L23" s="502">
        <v>0</v>
      </c>
      <c r="M23" s="502">
        <v>0</v>
      </c>
      <c r="N23" s="50">
        <v>14623756</v>
      </c>
      <c r="O23" s="50">
        <v>14623756</v>
      </c>
      <c r="P23" s="50">
        <v>0</v>
      </c>
      <c r="Q23" s="50">
        <v>0</v>
      </c>
      <c r="R23" s="502"/>
      <c r="S23" s="502"/>
      <c r="T23" s="502" t="s">
        <v>941</v>
      </c>
      <c r="U23" s="502"/>
      <c r="V23" s="502">
        <v>0</v>
      </c>
      <c r="W23" s="534" t="s">
        <v>941</v>
      </c>
      <c r="X23" s="502">
        <v>0</v>
      </c>
      <c r="Y23" s="502"/>
      <c r="Z23" s="513">
        <f t="shared" si="1"/>
        <v>14623756</v>
      </c>
      <c r="AA23" s="518">
        <f t="shared" si="2"/>
        <v>522683791</v>
      </c>
    </row>
    <row r="24" spans="1:27" s="500" customFormat="1" ht="25.5">
      <c r="A24" s="47">
        <v>16</v>
      </c>
      <c r="B24" s="502" t="s">
        <v>1042</v>
      </c>
      <c r="C24" s="535" t="s">
        <v>1003</v>
      </c>
      <c r="D24" s="533" t="s">
        <v>958</v>
      </c>
      <c r="E24" s="533" t="s">
        <v>952</v>
      </c>
      <c r="F24" s="503">
        <v>4</v>
      </c>
      <c r="G24" s="516">
        <f t="shared" si="0"/>
        <v>1455439278</v>
      </c>
      <c r="H24" s="502">
        <v>0</v>
      </c>
      <c r="I24" s="502">
        <v>1455439278</v>
      </c>
      <c r="J24" s="502"/>
      <c r="K24" s="502">
        <v>0</v>
      </c>
      <c r="L24" s="502">
        <v>0</v>
      </c>
      <c r="M24" s="502">
        <v>0</v>
      </c>
      <c r="N24" s="50">
        <v>0</v>
      </c>
      <c r="O24" s="50">
        <v>0</v>
      </c>
      <c r="P24" s="50">
        <v>0</v>
      </c>
      <c r="Q24" s="50">
        <v>0</v>
      </c>
      <c r="R24" s="502"/>
      <c r="S24" s="502"/>
      <c r="T24" s="502" t="s">
        <v>941</v>
      </c>
      <c r="U24" s="502">
        <v>3</v>
      </c>
      <c r="V24" s="502">
        <v>1455439278</v>
      </c>
      <c r="W24" s="534" t="s">
        <v>5</v>
      </c>
      <c r="X24" s="502">
        <v>0</v>
      </c>
      <c r="Y24" s="502"/>
      <c r="Z24" s="513">
        <f t="shared" si="1"/>
        <v>0</v>
      </c>
      <c r="AA24" s="518">
        <f t="shared" si="2"/>
        <v>600454095</v>
      </c>
    </row>
    <row r="25" spans="1:27" s="500" customFormat="1" ht="25.5">
      <c r="A25" s="47">
        <v>17</v>
      </c>
      <c r="B25" s="502" t="s">
        <v>939</v>
      </c>
      <c r="C25" s="529" t="s">
        <v>957</v>
      </c>
      <c r="D25" s="503" t="s">
        <v>958</v>
      </c>
      <c r="E25" s="503" t="s">
        <v>929</v>
      </c>
      <c r="F25" s="503">
        <v>4</v>
      </c>
      <c r="G25" s="516">
        <f t="shared" si="0"/>
        <v>377309672</v>
      </c>
      <c r="H25" s="502">
        <v>0</v>
      </c>
      <c r="I25" s="502">
        <v>377309672</v>
      </c>
      <c r="J25" s="502"/>
      <c r="K25" s="502">
        <v>0</v>
      </c>
      <c r="L25" s="502">
        <v>0</v>
      </c>
      <c r="M25" s="502">
        <v>0</v>
      </c>
      <c r="N25" s="502">
        <v>0</v>
      </c>
      <c r="O25" s="502">
        <v>0</v>
      </c>
      <c r="P25" s="502">
        <v>0</v>
      </c>
      <c r="Q25" s="502">
        <v>0</v>
      </c>
      <c r="R25" s="502"/>
      <c r="S25" s="502"/>
      <c r="T25" s="502" t="s">
        <v>941</v>
      </c>
      <c r="U25" s="502">
        <v>3</v>
      </c>
      <c r="V25" s="502">
        <v>270061</v>
      </c>
      <c r="W25" s="502" t="s">
        <v>5</v>
      </c>
      <c r="X25" s="502">
        <v>0</v>
      </c>
      <c r="Y25" s="502"/>
      <c r="Z25" s="513">
        <f t="shared" si="1"/>
        <v>377039611</v>
      </c>
      <c r="AA25" s="518">
        <f t="shared" si="2"/>
        <v>600454095</v>
      </c>
    </row>
    <row r="26" spans="1:27" s="500" customFormat="1" ht="25.5">
      <c r="A26" s="47">
        <v>18</v>
      </c>
      <c r="B26" s="502" t="s">
        <v>916</v>
      </c>
      <c r="C26" s="535" t="s">
        <v>959</v>
      </c>
      <c r="D26" s="533" t="s">
        <v>958</v>
      </c>
      <c r="E26" s="503" t="s">
        <v>929</v>
      </c>
      <c r="F26" s="503">
        <v>4</v>
      </c>
      <c r="G26" s="516">
        <f t="shared" si="0"/>
        <v>248376264</v>
      </c>
      <c r="H26" s="502">
        <v>0</v>
      </c>
      <c r="I26" s="502">
        <v>248255716</v>
      </c>
      <c r="J26" s="502"/>
      <c r="K26" s="502">
        <v>120548</v>
      </c>
      <c r="L26" s="502">
        <v>0</v>
      </c>
      <c r="M26" s="502">
        <v>0</v>
      </c>
      <c r="N26" s="50">
        <v>0</v>
      </c>
      <c r="O26" s="50">
        <v>0</v>
      </c>
      <c r="P26" s="50">
        <v>0</v>
      </c>
      <c r="Q26" s="50">
        <v>0</v>
      </c>
      <c r="R26" s="502"/>
      <c r="S26" s="502"/>
      <c r="T26" s="502" t="s">
        <v>941</v>
      </c>
      <c r="U26" s="502">
        <v>3</v>
      </c>
      <c r="V26" s="502">
        <v>150143418</v>
      </c>
      <c r="W26" s="534" t="s">
        <v>5</v>
      </c>
      <c r="X26" s="502">
        <v>0</v>
      </c>
      <c r="Y26" s="502"/>
      <c r="Z26" s="513">
        <f t="shared" si="1"/>
        <v>98232846</v>
      </c>
      <c r="AA26" s="518">
        <f t="shared" si="2"/>
        <v>600454095</v>
      </c>
    </row>
    <row r="27" spans="1:27" s="500" customFormat="1" ht="25.5">
      <c r="A27" s="47">
        <v>19</v>
      </c>
      <c r="B27" s="502" t="s">
        <v>1004</v>
      </c>
      <c r="C27" s="529" t="s">
        <v>960</v>
      </c>
      <c r="D27" s="503" t="s">
        <v>958</v>
      </c>
      <c r="E27" s="503" t="s">
        <v>930</v>
      </c>
      <c r="F27" s="503">
        <v>4</v>
      </c>
      <c r="G27" s="516">
        <f t="shared" si="0"/>
        <v>108402230</v>
      </c>
      <c r="H27" s="502">
        <v>0</v>
      </c>
      <c r="I27" s="502">
        <v>108402230</v>
      </c>
      <c r="J27" s="502"/>
      <c r="K27" s="502">
        <v>0</v>
      </c>
      <c r="L27" s="502">
        <v>0</v>
      </c>
      <c r="M27" s="502">
        <v>0</v>
      </c>
      <c r="N27" s="50">
        <v>0</v>
      </c>
      <c r="O27" s="50">
        <v>0</v>
      </c>
      <c r="P27" s="50">
        <v>0</v>
      </c>
      <c r="Q27" s="50">
        <v>0</v>
      </c>
      <c r="R27" s="502"/>
      <c r="S27" s="502"/>
      <c r="T27" s="502" t="s">
        <v>941</v>
      </c>
      <c r="U27" s="502"/>
      <c r="V27" s="502">
        <v>0</v>
      </c>
      <c r="W27" s="502" t="s">
        <v>5</v>
      </c>
      <c r="X27" s="502">
        <v>0</v>
      </c>
      <c r="Y27" s="502"/>
      <c r="Z27" s="513">
        <f t="shared" si="1"/>
        <v>108402230</v>
      </c>
      <c r="AA27" s="518">
        <f t="shared" si="2"/>
        <v>600454095</v>
      </c>
    </row>
    <row r="28" spans="1:27" s="500" customFormat="1" ht="25.5">
      <c r="A28" s="47">
        <v>20</v>
      </c>
      <c r="B28" s="502" t="s">
        <v>940</v>
      </c>
      <c r="C28" s="529" t="s">
        <v>961</v>
      </c>
      <c r="D28" s="503" t="s">
        <v>962</v>
      </c>
      <c r="E28" s="503" t="s">
        <v>954</v>
      </c>
      <c r="F28" s="503">
        <v>4</v>
      </c>
      <c r="G28" s="516">
        <f t="shared" si="0"/>
        <v>16779408</v>
      </c>
      <c r="H28" s="502">
        <v>0</v>
      </c>
      <c r="I28" s="502">
        <v>16779078</v>
      </c>
      <c r="J28" s="502"/>
      <c r="K28" s="502">
        <v>330</v>
      </c>
      <c r="L28" s="502">
        <v>0</v>
      </c>
      <c r="M28" s="502">
        <v>0</v>
      </c>
      <c r="N28" s="50">
        <v>0</v>
      </c>
      <c r="O28" s="50">
        <v>0</v>
      </c>
      <c r="P28" s="50">
        <v>0</v>
      </c>
      <c r="Q28" s="50">
        <v>0</v>
      </c>
      <c r="R28" s="502"/>
      <c r="S28" s="502"/>
      <c r="T28" s="502" t="s">
        <v>941</v>
      </c>
      <c r="U28" s="502"/>
      <c r="V28" s="502">
        <v>0</v>
      </c>
      <c r="W28" s="502" t="s">
        <v>5</v>
      </c>
      <c r="X28" s="502">
        <v>0</v>
      </c>
      <c r="Y28" s="502"/>
      <c r="Z28" s="513">
        <f t="shared" si="1"/>
        <v>16779408</v>
      </c>
      <c r="AA28" s="518">
        <f t="shared" si="2"/>
        <v>600454095</v>
      </c>
    </row>
    <row r="29" spans="1:27" s="500" customFormat="1">
      <c r="A29" s="47">
        <v>21</v>
      </c>
      <c r="B29" s="502" t="s">
        <v>1011</v>
      </c>
      <c r="C29" s="535" t="s">
        <v>971</v>
      </c>
      <c r="D29" s="533" t="s">
        <v>972</v>
      </c>
      <c r="E29" s="533" t="s">
        <v>929</v>
      </c>
      <c r="F29" s="503">
        <v>5</v>
      </c>
      <c r="G29" s="516">
        <f t="shared" si="0"/>
        <v>1503499186</v>
      </c>
      <c r="H29" s="502">
        <v>0</v>
      </c>
      <c r="I29" s="502">
        <v>1179515483</v>
      </c>
      <c r="J29" s="502"/>
      <c r="K29" s="502">
        <v>102974413</v>
      </c>
      <c r="L29" s="502">
        <v>221009290</v>
      </c>
      <c r="M29" s="502">
        <v>221009290</v>
      </c>
      <c r="N29" s="50">
        <v>0</v>
      </c>
      <c r="O29" s="50">
        <v>0</v>
      </c>
      <c r="P29" s="50">
        <v>0</v>
      </c>
      <c r="Q29" s="50">
        <v>0</v>
      </c>
      <c r="R29" s="502"/>
      <c r="S29" s="502"/>
      <c r="T29" s="502" t="s">
        <v>941</v>
      </c>
      <c r="U29" s="502"/>
      <c r="V29" s="502">
        <v>0</v>
      </c>
      <c r="W29" s="534" t="s">
        <v>5</v>
      </c>
      <c r="X29" s="502">
        <v>0</v>
      </c>
      <c r="Y29" s="502"/>
      <c r="Z29" s="513">
        <f t="shared" si="1"/>
        <v>1503499186</v>
      </c>
      <c r="AA29" s="518">
        <f t="shared" si="2"/>
        <v>1503499186</v>
      </c>
    </row>
    <row r="30" spans="1:27" s="500" customFormat="1" ht="25.5">
      <c r="A30" s="47">
        <v>22</v>
      </c>
      <c r="B30" s="502" t="s">
        <v>918</v>
      </c>
      <c r="C30" s="535" t="s">
        <v>1015</v>
      </c>
      <c r="D30" s="533" t="s">
        <v>1016</v>
      </c>
      <c r="E30" s="503">
        <v>840</v>
      </c>
      <c r="F30" s="503">
        <v>6</v>
      </c>
      <c r="G30" s="516">
        <f t="shared" si="0"/>
        <v>1175605826</v>
      </c>
      <c r="H30" s="502">
        <v>0</v>
      </c>
      <c r="I30" s="502">
        <v>1171270335</v>
      </c>
      <c r="J30" s="502"/>
      <c r="K30" s="502">
        <v>0</v>
      </c>
      <c r="L30" s="502">
        <v>0</v>
      </c>
      <c r="M30" s="502">
        <v>0</v>
      </c>
      <c r="N30" s="50">
        <v>0</v>
      </c>
      <c r="O30" s="50">
        <v>0</v>
      </c>
      <c r="P30" s="50">
        <v>21677454</v>
      </c>
      <c r="Q30" s="50">
        <v>4335491</v>
      </c>
      <c r="R30" s="502"/>
      <c r="S30" s="502"/>
      <c r="T30" s="502" t="s">
        <v>941</v>
      </c>
      <c r="U30" s="502"/>
      <c r="V30" s="502">
        <v>0</v>
      </c>
      <c r="W30" s="534" t="s">
        <v>5</v>
      </c>
      <c r="X30" s="502">
        <v>0</v>
      </c>
      <c r="Y30" s="502"/>
      <c r="Z30" s="513">
        <f t="shared" si="1"/>
        <v>1175605826</v>
      </c>
      <c r="AA30" s="518">
        <f t="shared" si="2"/>
        <v>1175605826</v>
      </c>
    </row>
    <row r="31" spans="1:27" s="500" customFormat="1">
      <c r="A31" s="47">
        <v>23</v>
      </c>
      <c r="B31" s="502" t="s">
        <v>1012</v>
      </c>
      <c r="C31" s="535" t="s">
        <v>1013</v>
      </c>
      <c r="D31" s="533" t="s">
        <v>1014</v>
      </c>
      <c r="E31" s="533">
        <v>840</v>
      </c>
      <c r="F31" s="503">
        <v>7</v>
      </c>
      <c r="G31" s="516">
        <f>+H31+I31+J31+K31+M31+O31+Q31+S31</f>
        <v>1130180482</v>
      </c>
      <c r="H31" s="502">
        <v>0</v>
      </c>
      <c r="I31" s="502">
        <v>1063461832</v>
      </c>
      <c r="J31" s="502"/>
      <c r="K31" s="502">
        <v>66718650</v>
      </c>
      <c r="L31" s="502">
        <v>0</v>
      </c>
      <c r="M31" s="502">
        <v>0</v>
      </c>
      <c r="N31" s="50">
        <v>0</v>
      </c>
      <c r="O31" s="50">
        <v>0</v>
      </c>
      <c r="P31" s="50">
        <v>0</v>
      </c>
      <c r="Q31" s="50">
        <v>0</v>
      </c>
      <c r="R31" s="502"/>
      <c r="S31" s="502"/>
      <c r="T31" s="502" t="s">
        <v>941</v>
      </c>
      <c r="U31" s="502">
        <v>3</v>
      </c>
      <c r="V31" s="502">
        <v>0</v>
      </c>
      <c r="W31" s="534" t="s">
        <v>5</v>
      </c>
      <c r="X31" s="502">
        <v>0</v>
      </c>
      <c r="Y31" s="502"/>
      <c r="Z31" s="513">
        <f>+G31-V31-X31</f>
        <v>1130180482</v>
      </c>
      <c r="AA31" s="518">
        <f>SUMIF($F$9:$F$63,#REF!,$Z$9:$Z$63)</f>
        <v>0</v>
      </c>
    </row>
    <row r="32" spans="1:27" s="500" customFormat="1">
      <c r="A32" s="47">
        <v>24</v>
      </c>
      <c r="B32" s="502" t="s">
        <v>1043</v>
      </c>
      <c r="C32" s="535" t="s">
        <v>941</v>
      </c>
      <c r="D32" s="533" t="s">
        <v>941</v>
      </c>
      <c r="E32" s="533">
        <v>840</v>
      </c>
      <c r="F32" s="503">
        <v>8</v>
      </c>
      <c r="G32" s="516">
        <f>+H32+I32+J32+K32+M32+O32+Q32+S32</f>
        <v>1038872118</v>
      </c>
      <c r="H32" s="502">
        <v>1038872118</v>
      </c>
      <c r="I32" s="502">
        <v>0</v>
      </c>
      <c r="J32" s="502"/>
      <c r="K32" s="502">
        <v>0</v>
      </c>
      <c r="L32" s="502">
        <v>0</v>
      </c>
      <c r="M32" s="502">
        <v>0</v>
      </c>
      <c r="N32" s="502">
        <v>0</v>
      </c>
      <c r="O32" s="502">
        <v>0</v>
      </c>
      <c r="P32" s="502">
        <v>0</v>
      </c>
      <c r="Q32" s="502">
        <v>0</v>
      </c>
      <c r="R32" s="502"/>
      <c r="S32" s="502"/>
      <c r="T32" s="502" t="s">
        <v>941</v>
      </c>
      <c r="U32" s="502"/>
      <c r="V32" s="502">
        <v>0</v>
      </c>
      <c r="W32" s="534" t="s">
        <v>941</v>
      </c>
      <c r="X32" s="502">
        <v>0</v>
      </c>
      <c r="Y32" s="502"/>
      <c r="Z32" s="513">
        <f>+G32-V32-X32</f>
        <v>1038872118</v>
      </c>
      <c r="AA32" s="518">
        <f>SUMIF($F$9:$F$63,$F31,$Z$9:$Z$63)</f>
        <v>1130180482</v>
      </c>
    </row>
    <row r="33" spans="1:27" s="500" customFormat="1">
      <c r="A33" s="47">
        <v>25</v>
      </c>
      <c r="B33" s="502" t="s">
        <v>943</v>
      </c>
      <c r="C33" s="535" t="s">
        <v>975</v>
      </c>
      <c r="D33" s="533" t="s">
        <v>976</v>
      </c>
      <c r="E33" s="503" t="s">
        <v>929</v>
      </c>
      <c r="F33" s="503">
        <v>9</v>
      </c>
      <c r="G33" s="516">
        <f>+H33+I33+J33+K33+M33+O33+Q33+S33</f>
        <v>1034111403</v>
      </c>
      <c r="H33" s="502">
        <v>0</v>
      </c>
      <c r="I33" s="502">
        <v>896175768</v>
      </c>
      <c r="J33" s="502"/>
      <c r="K33" s="502">
        <v>38604818</v>
      </c>
      <c r="L33" s="502">
        <v>0</v>
      </c>
      <c r="M33" s="502">
        <v>0</v>
      </c>
      <c r="N33" s="50">
        <v>99330817</v>
      </c>
      <c r="O33" s="50">
        <v>99330817</v>
      </c>
      <c r="P33" s="50">
        <v>0</v>
      </c>
      <c r="Q33" s="50">
        <v>0</v>
      </c>
      <c r="R33" s="502"/>
      <c r="S33" s="502"/>
      <c r="T33" s="502" t="s">
        <v>941</v>
      </c>
      <c r="U33" s="502"/>
      <c r="V33" s="502">
        <v>0</v>
      </c>
      <c r="W33" s="534" t="s">
        <v>5</v>
      </c>
      <c r="X33" s="502">
        <v>0</v>
      </c>
      <c r="Y33" s="502"/>
      <c r="Z33" s="513">
        <f>+G33-V33-X33</f>
        <v>1034111403</v>
      </c>
      <c r="AA33" s="518">
        <f>SUMIF($F$9:$F$63,$F32,$Z$9:$Z$63)</f>
        <v>1038872118</v>
      </c>
    </row>
    <row r="34" spans="1:27" s="500" customFormat="1">
      <c r="A34" s="47">
        <v>26</v>
      </c>
      <c r="B34" s="502" t="s">
        <v>1044</v>
      </c>
      <c r="C34" s="535" t="s">
        <v>983</v>
      </c>
      <c r="D34" s="533" t="s">
        <v>982</v>
      </c>
      <c r="E34" s="503" t="s">
        <v>954</v>
      </c>
      <c r="F34" s="503">
        <v>10</v>
      </c>
      <c r="G34" s="516">
        <f t="shared" si="0"/>
        <v>291987972</v>
      </c>
      <c r="H34" s="502">
        <v>0</v>
      </c>
      <c r="I34" s="502">
        <v>188023930</v>
      </c>
      <c r="J34" s="502"/>
      <c r="K34" s="502">
        <v>0</v>
      </c>
      <c r="L34" s="502">
        <v>0</v>
      </c>
      <c r="M34" s="502">
        <v>0</v>
      </c>
      <c r="N34" s="50">
        <v>0</v>
      </c>
      <c r="O34" s="50">
        <v>0</v>
      </c>
      <c r="P34" s="50">
        <v>103964042</v>
      </c>
      <c r="Q34" s="50">
        <v>103964042</v>
      </c>
      <c r="R34" s="502"/>
      <c r="S34" s="502"/>
      <c r="T34" s="502" t="s">
        <v>941</v>
      </c>
      <c r="U34" s="502"/>
      <c r="V34" s="502">
        <v>0</v>
      </c>
      <c r="W34" s="534" t="s">
        <v>5</v>
      </c>
      <c r="X34" s="502">
        <v>0</v>
      </c>
      <c r="Y34" s="502"/>
      <c r="Z34" s="513">
        <f t="shared" si="1"/>
        <v>291987972</v>
      </c>
      <c r="AA34" s="518">
        <f t="shared" si="2"/>
        <v>1232377640</v>
      </c>
    </row>
    <row r="35" spans="1:27" s="500" customFormat="1">
      <c r="A35" s="47">
        <v>27</v>
      </c>
      <c r="B35" s="502" t="s">
        <v>1045</v>
      </c>
      <c r="C35" s="535" t="s">
        <v>981</v>
      </c>
      <c r="D35" s="533" t="s">
        <v>980</v>
      </c>
      <c r="E35" s="503" t="s">
        <v>954</v>
      </c>
      <c r="F35" s="503">
        <v>10</v>
      </c>
      <c r="G35" s="516">
        <f t="shared" si="0"/>
        <v>290364053</v>
      </c>
      <c r="H35" s="502">
        <v>0</v>
      </c>
      <c r="I35" s="502">
        <v>186613247</v>
      </c>
      <c r="J35" s="502"/>
      <c r="K35" s="502">
        <v>1276</v>
      </c>
      <c r="L35" s="502">
        <v>0</v>
      </c>
      <c r="M35" s="502">
        <v>0</v>
      </c>
      <c r="N35" s="50">
        <v>0</v>
      </c>
      <c r="O35" s="50">
        <v>0</v>
      </c>
      <c r="P35" s="50">
        <v>103749530</v>
      </c>
      <c r="Q35" s="50">
        <v>103749530</v>
      </c>
      <c r="R35" s="502"/>
      <c r="S35" s="502"/>
      <c r="T35" s="502" t="s">
        <v>941</v>
      </c>
      <c r="U35" s="502"/>
      <c r="V35" s="502">
        <v>0</v>
      </c>
      <c r="W35" s="534" t="s">
        <v>5</v>
      </c>
      <c r="X35" s="502">
        <v>0</v>
      </c>
      <c r="Y35" s="502"/>
      <c r="Z35" s="513">
        <f t="shared" si="1"/>
        <v>290364053</v>
      </c>
      <c r="AA35" s="518">
        <f t="shared" si="2"/>
        <v>1232377640</v>
      </c>
    </row>
    <row r="36" spans="1:27" s="500" customFormat="1">
      <c r="A36" s="47">
        <v>28</v>
      </c>
      <c r="B36" s="502" t="s">
        <v>920</v>
      </c>
      <c r="C36" s="535" t="s">
        <v>979</v>
      </c>
      <c r="D36" s="533" t="s">
        <v>980</v>
      </c>
      <c r="E36" s="503" t="s">
        <v>929</v>
      </c>
      <c r="F36" s="503">
        <v>10</v>
      </c>
      <c r="G36" s="516">
        <f t="shared" si="0"/>
        <v>258762872</v>
      </c>
      <c r="H36" s="502">
        <v>0</v>
      </c>
      <c r="I36" s="502">
        <v>85429939</v>
      </c>
      <c r="J36" s="502"/>
      <c r="K36" s="502">
        <v>805313</v>
      </c>
      <c r="L36" s="502">
        <v>0</v>
      </c>
      <c r="M36" s="502">
        <v>0</v>
      </c>
      <c r="N36" s="50">
        <v>172527620</v>
      </c>
      <c r="O36" s="50">
        <v>172527620</v>
      </c>
      <c r="P36" s="50">
        <v>0</v>
      </c>
      <c r="Q36" s="50">
        <v>0</v>
      </c>
      <c r="R36" s="502"/>
      <c r="S36" s="502"/>
      <c r="T36" s="502" t="s">
        <v>941</v>
      </c>
      <c r="U36" s="502"/>
      <c r="V36" s="502">
        <v>0</v>
      </c>
      <c r="W36" s="534" t="s">
        <v>5</v>
      </c>
      <c r="X36" s="502">
        <v>0</v>
      </c>
      <c r="Y36" s="502"/>
      <c r="Z36" s="513">
        <f t="shared" si="1"/>
        <v>258762872</v>
      </c>
      <c r="AA36" s="518">
        <f t="shared" si="2"/>
        <v>1232377640</v>
      </c>
    </row>
    <row r="37" spans="1:27" s="500" customFormat="1">
      <c r="A37" s="47">
        <v>29</v>
      </c>
      <c r="B37" s="502" t="s">
        <v>921</v>
      </c>
      <c r="C37" s="535" t="s">
        <v>986</v>
      </c>
      <c r="D37" s="533" t="s">
        <v>982</v>
      </c>
      <c r="E37" s="503" t="s">
        <v>954</v>
      </c>
      <c r="F37" s="503">
        <v>10</v>
      </c>
      <c r="G37" s="516">
        <f t="shared" si="0"/>
        <v>226061986</v>
      </c>
      <c r="H37" s="502">
        <v>0</v>
      </c>
      <c r="I37" s="502">
        <v>124229333</v>
      </c>
      <c r="J37" s="502"/>
      <c r="K37" s="502">
        <v>0</v>
      </c>
      <c r="L37" s="502">
        <v>0</v>
      </c>
      <c r="M37" s="502">
        <v>0</v>
      </c>
      <c r="N37" s="50">
        <v>0</v>
      </c>
      <c r="O37" s="50">
        <v>0</v>
      </c>
      <c r="P37" s="50">
        <v>101832653</v>
      </c>
      <c r="Q37" s="50">
        <v>101832653</v>
      </c>
      <c r="R37" s="502"/>
      <c r="S37" s="502"/>
      <c r="T37" s="502" t="s">
        <v>941</v>
      </c>
      <c r="U37" s="502"/>
      <c r="V37" s="502">
        <v>0</v>
      </c>
      <c r="W37" s="534" t="s">
        <v>5</v>
      </c>
      <c r="X37" s="502">
        <v>0</v>
      </c>
      <c r="Y37" s="502"/>
      <c r="Z37" s="513">
        <f t="shared" si="1"/>
        <v>226061986</v>
      </c>
      <c r="AA37" s="518">
        <f t="shared" si="2"/>
        <v>1232377640</v>
      </c>
    </row>
    <row r="38" spans="1:27" s="500" customFormat="1">
      <c r="A38" s="47">
        <v>30</v>
      </c>
      <c r="B38" s="502" t="s">
        <v>922</v>
      </c>
      <c r="C38" s="529" t="s">
        <v>984</v>
      </c>
      <c r="D38" s="503" t="s">
        <v>985</v>
      </c>
      <c r="E38" s="503" t="s">
        <v>954</v>
      </c>
      <c r="F38" s="503">
        <v>10</v>
      </c>
      <c r="G38" s="516">
        <f t="shared" si="0"/>
        <v>165200757</v>
      </c>
      <c r="H38" s="502">
        <v>0</v>
      </c>
      <c r="I38" s="502">
        <v>110584132</v>
      </c>
      <c r="J38" s="502"/>
      <c r="K38" s="502">
        <v>0</v>
      </c>
      <c r="L38" s="502">
        <v>0</v>
      </c>
      <c r="M38" s="502">
        <v>0</v>
      </c>
      <c r="N38" s="50">
        <v>0</v>
      </c>
      <c r="O38" s="50">
        <v>0</v>
      </c>
      <c r="P38" s="50">
        <v>54616625</v>
      </c>
      <c r="Q38" s="50">
        <v>54616625</v>
      </c>
      <c r="R38" s="502"/>
      <c r="S38" s="502"/>
      <c r="T38" s="502" t="s">
        <v>941</v>
      </c>
      <c r="U38" s="502"/>
      <c r="V38" s="502">
        <v>0</v>
      </c>
      <c r="W38" s="502" t="s">
        <v>5</v>
      </c>
      <c r="X38" s="502">
        <v>0</v>
      </c>
      <c r="Y38" s="502"/>
      <c r="Z38" s="513">
        <f t="shared" si="1"/>
        <v>165200757</v>
      </c>
      <c r="AA38" s="518">
        <f t="shared" si="2"/>
        <v>1232377640</v>
      </c>
    </row>
    <row r="39" spans="1:27" s="500" customFormat="1">
      <c r="A39" s="47">
        <v>31</v>
      </c>
      <c r="B39" s="502" t="s">
        <v>1017</v>
      </c>
      <c r="C39" s="529" t="s">
        <v>941</v>
      </c>
      <c r="D39" s="503" t="s">
        <v>941</v>
      </c>
      <c r="E39" s="503">
        <v>840</v>
      </c>
      <c r="F39" s="503">
        <v>11</v>
      </c>
      <c r="G39" s="516">
        <f t="shared" si="0"/>
        <v>1014765816</v>
      </c>
      <c r="H39" s="502">
        <v>1014765816</v>
      </c>
      <c r="I39" s="502">
        <v>0</v>
      </c>
      <c r="J39" s="502"/>
      <c r="K39" s="502">
        <v>0</v>
      </c>
      <c r="L39" s="502">
        <v>0</v>
      </c>
      <c r="M39" s="502">
        <v>0</v>
      </c>
      <c r="N39" s="50">
        <v>0</v>
      </c>
      <c r="O39" s="50">
        <v>0</v>
      </c>
      <c r="P39" s="50">
        <v>0</v>
      </c>
      <c r="Q39" s="50">
        <v>0</v>
      </c>
      <c r="R39" s="502"/>
      <c r="S39" s="502"/>
      <c r="T39" s="502" t="s">
        <v>941</v>
      </c>
      <c r="U39" s="502"/>
      <c r="V39" s="502">
        <v>0</v>
      </c>
      <c r="W39" s="502" t="s">
        <v>941</v>
      </c>
      <c r="X39" s="502">
        <v>0</v>
      </c>
      <c r="Y39" s="502"/>
      <c r="Z39" s="513">
        <f t="shared" si="1"/>
        <v>1014765816</v>
      </c>
      <c r="AA39" s="518">
        <f t="shared" si="2"/>
        <v>1014765816</v>
      </c>
    </row>
    <row r="40" spans="1:27" s="500" customFormat="1" ht="25.5">
      <c r="A40" s="47">
        <v>32</v>
      </c>
      <c r="B40" s="502" t="s">
        <v>942</v>
      </c>
      <c r="C40" s="535" t="s">
        <v>973</v>
      </c>
      <c r="D40" s="533" t="s">
        <v>974</v>
      </c>
      <c r="E40" s="533" t="s">
        <v>929</v>
      </c>
      <c r="F40" s="503">
        <v>12</v>
      </c>
      <c r="G40" s="516">
        <f t="shared" si="0"/>
        <v>981420226</v>
      </c>
      <c r="H40" s="502">
        <v>0</v>
      </c>
      <c r="I40" s="502">
        <v>936637947</v>
      </c>
      <c r="J40" s="502"/>
      <c r="K40" s="502">
        <v>44782279</v>
      </c>
      <c r="L40" s="502">
        <v>0</v>
      </c>
      <c r="M40" s="502">
        <v>0</v>
      </c>
      <c r="N40" s="50">
        <v>0</v>
      </c>
      <c r="O40" s="50">
        <v>0</v>
      </c>
      <c r="P40" s="50">
        <v>0</v>
      </c>
      <c r="Q40" s="50">
        <v>0</v>
      </c>
      <c r="R40" s="502"/>
      <c r="S40" s="502"/>
      <c r="T40" s="502" t="s">
        <v>941</v>
      </c>
      <c r="U40" s="502"/>
      <c r="V40" s="502">
        <v>0</v>
      </c>
      <c r="W40" s="534" t="s">
        <v>5</v>
      </c>
      <c r="X40" s="502">
        <v>0</v>
      </c>
      <c r="Y40" s="502"/>
      <c r="Z40" s="513">
        <f t="shared" si="1"/>
        <v>981420226</v>
      </c>
      <c r="AA40" s="518">
        <f t="shared" si="2"/>
        <v>981420226</v>
      </c>
    </row>
    <row r="41" spans="1:27" s="500" customFormat="1">
      <c r="A41" s="47">
        <v>33</v>
      </c>
      <c r="B41" s="502" t="s">
        <v>931</v>
      </c>
      <c r="C41" s="535" t="s">
        <v>987</v>
      </c>
      <c r="D41" s="533" t="s">
        <v>988</v>
      </c>
      <c r="E41" s="503" t="s">
        <v>929</v>
      </c>
      <c r="F41" s="503">
        <v>13</v>
      </c>
      <c r="G41" s="516">
        <f t="shared" ref="G41:G63" si="3">+H41+I41+J41+K41+M41+O41+Q41+S41</f>
        <v>835286286</v>
      </c>
      <c r="H41" s="502">
        <v>0</v>
      </c>
      <c r="I41" s="502">
        <v>782692702</v>
      </c>
      <c r="J41" s="502"/>
      <c r="K41" s="502">
        <v>35330346</v>
      </c>
      <c r="L41" s="502">
        <v>17220626</v>
      </c>
      <c r="M41" s="502">
        <v>17220626</v>
      </c>
      <c r="N41" s="50">
        <v>0</v>
      </c>
      <c r="O41" s="50">
        <v>0</v>
      </c>
      <c r="P41" s="50">
        <v>213059</v>
      </c>
      <c r="Q41" s="50">
        <v>42612</v>
      </c>
      <c r="R41" s="502"/>
      <c r="S41" s="502"/>
      <c r="T41" s="502" t="s">
        <v>941</v>
      </c>
      <c r="U41" s="502"/>
      <c r="V41" s="502">
        <v>0</v>
      </c>
      <c r="W41" s="534" t="s">
        <v>5</v>
      </c>
      <c r="X41" s="502">
        <v>0</v>
      </c>
      <c r="Y41" s="502"/>
      <c r="Z41" s="513">
        <f t="shared" ref="Z41:Z63" si="4">+G41-V41-X41</f>
        <v>835286286</v>
      </c>
      <c r="AA41" s="518">
        <f t="shared" si="2"/>
        <v>835286286</v>
      </c>
    </row>
    <row r="42" spans="1:27" s="500" customFormat="1">
      <c r="A42" s="47">
        <v>34</v>
      </c>
      <c r="B42" s="502" t="s">
        <v>1026</v>
      </c>
      <c r="C42" s="535" t="s">
        <v>941</v>
      </c>
      <c r="D42" s="533" t="s">
        <v>941</v>
      </c>
      <c r="E42" s="503">
        <v>978</v>
      </c>
      <c r="F42" s="503">
        <v>14</v>
      </c>
      <c r="G42" s="516">
        <f t="shared" si="3"/>
        <v>757388198</v>
      </c>
      <c r="H42" s="502">
        <v>0</v>
      </c>
      <c r="I42" s="502">
        <v>0</v>
      </c>
      <c r="J42" s="502"/>
      <c r="K42" s="502">
        <v>0</v>
      </c>
      <c r="L42" s="502">
        <v>757388198</v>
      </c>
      <c r="M42" s="502">
        <v>757388198</v>
      </c>
      <c r="N42" s="50">
        <v>0</v>
      </c>
      <c r="O42" s="50">
        <v>0</v>
      </c>
      <c r="P42" s="50">
        <v>0</v>
      </c>
      <c r="Q42" s="50">
        <v>0</v>
      </c>
      <c r="R42" s="502"/>
      <c r="S42" s="502"/>
      <c r="T42" s="502" t="s">
        <v>941</v>
      </c>
      <c r="U42" s="502"/>
      <c r="V42" s="502">
        <v>0</v>
      </c>
      <c r="W42" s="534" t="s">
        <v>941</v>
      </c>
      <c r="X42" s="502">
        <v>0</v>
      </c>
      <c r="Y42" s="502"/>
      <c r="Z42" s="513">
        <f>+G42-V42-X42</f>
        <v>757388198</v>
      </c>
      <c r="AA42" s="518">
        <f t="shared" si="2"/>
        <v>757388198</v>
      </c>
    </row>
    <row r="43" spans="1:27" s="500" customFormat="1" ht="25.5">
      <c r="A43" s="47">
        <v>35</v>
      </c>
      <c r="B43" s="502" t="s">
        <v>917</v>
      </c>
      <c r="C43" s="535" t="s">
        <v>977</v>
      </c>
      <c r="D43" s="533" t="s">
        <v>978</v>
      </c>
      <c r="E43" s="533" t="s">
        <v>952</v>
      </c>
      <c r="F43" s="503">
        <v>15</v>
      </c>
      <c r="G43" s="516">
        <f t="shared" si="3"/>
        <v>748550371</v>
      </c>
      <c r="H43" s="502">
        <v>0</v>
      </c>
      <c r="I43" s="502">
        <v>748550371</v>
      </c>
      <c r="J43" s="502"/>
      <c r="K43" s="502">
        <v>0</v>
      </c>
      <c r="L43" s="502">
        <v>0</v>
      </c>
      <c r="M43" s="502">
        <v>0</v>
      </c>
      <c r="N43" s="50">
        <v>0</v>
      </c>
      <c r="O43" s="50">
        <v>0</v>
      </c>
      <c r="P43" s="50">
        <v>0</v>
      </c>
      <c r="Q43" s="50">
        <v>0</v>
      </c>
      <c r="R43" s="502"/>
      <c r="S43" s="502"/>
      <c r="T43" s="502" t="s">
        <v>941</v>
      </c>
      <c r="U43" s="502"/>
      <c r="V43" s="502">
        <v>0</v>
      </c>
      <c r="W43" s="534" t="s">
        <v>5</v>
      </c>
      <c r="X43" s="502">
        <v>0</v>
      </c>
      <c r="Y43" s="502"/>
      <c r="Z43" s="513">
        <f t="shared" si="4"/>
        <v>748550371</v>
      </c>
      <c r="AA43" s="518">
        <f t="shared" si="2"/>
        <v>748550371</v>
      </c>
    </row>
    <row r="44" spans="1:27" s="500" customFormat="1">
      <c r="A44" s="47">
        <v>36</v>
      </c>
      <c r="B44" s="502" t="s">
        <v>919</v>
      </c>
      <c r="C44" s="535" t="s">
        <v>941</v>
      </c>
      <c r="D44" s="533" t="s">
        <v>941</v>
      </c>
      <c r="E44" s="533">
        <v>840</v>
      </c>
      <c r="F44" s="503">
        <v>16</v>
      </c>
      <c r="G44" s="516">
        <f t="shared" si="3"/>
        <v>694845289</v>
      </c>
      <c r="H44" s="502">
        <v>0</v>
      </c>
      <c r="I44" s="502">
        <v>0</v>
      </c>
      <c r="J44" s="502"/>
      <c r="K44" s="502">
        <v>0</v>
      </c>
      <c r="L44" s="502">
        <v>0</v>
      </c>
      <c r="M44" s="502">
        <v>0</v>
      </c>
      <c r="N44" s="50">
        <v>694845289</v>
      </c>
      <c r="O44" s="50">
        <v>694845289</v>
      </c>
      <c r="P44" s="50">
        <v>0</v>
      </c>
      <c r="Q44" s="50">
        <v>0</v>
      </c>
      <c r="R44" s="502"/>
      <c r="S44" s="502"/>
      <c r="T44" s="502" t="s">
        <v>941</v>
      </c>
      <c r="U44" s="502"/>
      <c r="V44" s="502">
        <v>0</v>
      </c>
      <c r="W44" s="534" t="s">
        <v>941</v>
      </c>
      <c r="X44" s="502">
        <v>0</v>
      </c>
      <c r="Y44" s="502"/>
      <c r="Z44" s="513">
        <f t="shared" si="4"/>
        <v>694845289</v>
      </c>
      <c r="AA44" s="518">
        <f t="shared" si="2"/>
        <v>694845289</v>
      </c>
    </row>
    <row r="45" spans="1:27" s="500" customFormat="1">
      <c r="A45" s="47">
        <v>37</v>
      </c>
      <c r="B45" s="502" t="s">
        <v>1018</v>
      </c>
      <c r="C45" s="535" t="s">
        <v>1019</v>
      </c>
      <c r="D45" s="533" t="s">
        <v>1020</v>
      </c>
      <c r="E45" s="533" t="s">
        <v>929</v>
      </c>
      <c r="F45" s="503">
        <v>17</v>
      </c>
      <c r="G45" s="516">
        <f t="shared" si="3"/>
        <v>690786224</v>
      </c>
      <c r="H45" s="502">
        <v>0</v>
      </c>
      <c r="I45" s="502">
        <v>659170596</v>
      </c>
      <c r="J45" s="502"/>
      <c r="K45" s="502">
        <v>31087245</v>
      </c>
      <c r="L45" s="502">
        <v>528383</v>
      </c>
      <c r="M45" s="502">
        <v>528383</v>
      </c>
      <c r="N45" s="50">
        <v>0</v>
      </c>
      <c r="O45" s="50">
        <v>0</v>
      </c>
      <c r="P45" s="50">
        <v>0</v>
      </c>
      <c r="Q45" s="50">
        <v>0</v>
      </c>
      <c r="R45" s="502"/>
      <c r="S45" s="502"/>
      <c r="T45" s="502" t="s">
        <v>941</v>
      </c>
      <c r="U45" s="502"/>
      <c r="V45" s="502">
        <v>0</v>
      </c>
      <c r="W45" s="534" t="s">
        <v>5</v>
      </c>
      <c r="X45" s="502">
        <v>0</v>
      </c>
      <c r="Y45" s="502"/>
      <c r="Z45" s="513">
        <f t="shared" si="4"/>
        <v>690786224</v>
      </c>
      <c r="AA45" s="518">
        <f t="shared" si="2"/>
        <v>690786224</v>
      </c>
    </row>
    <row r="46" spans="1:27" s="500" customFormat="1">
      <c r="A46" s="47">
        <v>38</v>
      </c>
      <c r="B46" s="502"/>
      <c r="C46" s="535"/>
      <c r="D46" s="533"/>
      <c r="E46" s="533"/>
      <c r="F46" s="503"/>
      <c r="G46" s="516">
        <f t="shared" si="3"/>
        <v>0</v>
      </c>
      <c r="H46" s="502"/>
      <c r="I46" s="502"/>
      <c r="J46" s="502"/>
      <c r="K46" s="502"/>
      <c r="L46" s="502"/>
      <c r="M46" s="502"/>
      <c r="N46" s="50"/>
      <c r="O46" s="50"/>
      <c r="P46" s="50"/>
      <c r="Q46" s="50"/>
      <c r="R46" s="502"/>
      <c r="S46" s="502"/>
      <c r="T46" s="502"/>
      <c r="U46" s="502"/>
      <c r="V46" s="502"/>
      <c r="W46" s="534"/>
      <c r="X46" s="502"/>
      <c r="Y46" s="502"/>
      <c r="Z46" s="513">
        <f t="shared" si="4"/>
        <v>0</v>
      </c>
      <c r="AA46" s="518">
        <f t="shared" si="2"/>
        <v>0</v>
      </c>
    </row>
    <row r="47" spans="1:27" s="500" customFormat="1">
      <c r="A47" s="47">
        <v>39</v>
      </c>
      <c r="B47" s="502"/>
      <c r="C47" s="529"/>
      <c r="D47" s="503"/>
      <c r="E47" s="503"/>
      <c r="F47" s="503"/>
      <c r="G47" s="516">
        <f t="shared" si="3"/>
        <v>0</v>
      </c>
      <c r="H47" s="502"/>
      <c r="I47" s="502"/>
      <c r="J47" s="502"/>
      <c r="K47" s="502"/>
      <c r="L47" s="502"/>
      <c r="M47" s="502"/>
      <c r="N47" s="50"/>
      <c r="O47" s="50"/>
      <c r="P47" s="50"/>
      <c r="Q47" s="50"/>
      <c r="R47" s="502"/>
      <c r="S47" s="502"/>
      <c r="T47" s="502"/>
      <c r="U47" s="502"/>
      <c r="V47" s="502"/>
      <c r="W47" s="502"/>
      <c r="X47" s="502"/>
      <c r="Y47" s="502"/>
      <c r="Z47" s="513">
        <f t="shared" si="4"/>
        <v>0</v>
      </c>
      <c r="AA47" s="518">
        <f t="shared" si="2"/>
        <v>0</v>
      </c>
    </row>
    <row r="48" spans="1:27" s="500" customFormat="1">
      <c r="A48" s="47">
        <v>40</v>
      </c>
      <c r="B48" s="502"/>
      <c r="C48" s="529"/>
      <c r="D48" s="503"/>
      <c r="E48" s="503"/>
      <c r="F48" s="503"/>
      <c r="G48" s="516">
        <f t="shared" si="3"/>
        <v>0</v>
      </c>
      <c r="H48" s="502"/>
      <c r="I48" s="502"/>
      <c r="J48" s="502"/>
      <c r="K48" s="502"/>
      <c r="L48" s="502"/>
      <c r="M48" s="502"/>
      <c r="N48" s="50"/>
      <c r="O48" s="50"/>
      <c r="P48" s="50"/>
      <c r="Q48" s="50"/>
      <c r="R48" s="502"/>
      <c r="S48" s="502"/>
      <c r="T48" s="502"/>
      <c r="U48" s="502"/>
      <c r="V48" s="502"/>
      <c r="W48" s="502"/>
      <c r="X48" s="502"/>
      <c r="Y48" s="502"/>
      <c r="Z48" s="513">
        <f t="shared" si="4"/>
        <v>0</v>
      </c>
      <c r="AA48" s="518">
        <f t="shared" si="2"/>
        <v>0</v>
      </c>
    </row>
    <row r="49" spans="1:27" s="500" customFormat="1">
      <c r="A49" s="47">
        <v>41</v>
      </c>
      <c r="B49" s="502"/>
      <c r="C49" s="529"/>
      <c r="D49" s="503"/>
      <c r="E49" s="503"/>
      <c r="F49" s="503"/>
      <c r="G49" s="516">
        <f t="shared" si="3"/>
        <v>0</v>
      </c>
      <c r="H49" s="502"/>
      <c r="I49" s="502"/>
      <c r="J49" s="502"/>
      <c r="K49" s="502"/>
      <c r="L49" s="502"/>
      <c r="M49" s="502"/>
      <c r="N49" s="50"/>
      <c r="O49" s="50"/>
      <c r="P49" s="50"/>
      <c r="Q49" s="50"/>
      <c r="R49" s="502"/>
      <c r="S49" s="502"/>
      <c r="T49" s="502"/>
      <c r="U49" s="502"/>
      <c r="V49" s="502"/>
      <c r="W49" s="502"/>
      <c r="X49" s="502"/>
      <c r="Y49" s="502"/>
      <c r="Z49" s="513">
        <f t="shared" si="4"/>
        <v>0</v>
      </c>
      <c r="AA49" s="518">
        <f t="shared" si="2"/>
        <v>0</v>
      </c>
    </row>
    <row r="50" spans="1:27" s="500" customFormat="1">
      <c r="A50" s="47">
        <v>42</v>
      </c>
      <c r="B50" s="502"/>
      <c r="C50" s="529"/>
      <c r="D50" s="503"/>
      <c r="E50" s="503"/>
      <c r="F50" s="503"/>
      <c r="G50" s="516">
        <f t="shared" si="3"/>
        <v>0</v>
      </c>
      <c r="H50" s="514"/>
      <c r="I50" s="514"/>
      <c r="J50" s="514"/>
      <c r="K50" s="514"/>
      <c r="L50" s="514"/>
      <c r="M50" s="514"/>
      <c r="N50" s="515"/>
      <c r="O50" s="515"/>
      <c r="P50" s="515"/>
      <c r="Q50" s="515"/>
      <c r="R50" s="514"/>
      <c r="S50" s="514"/>
      <c r="T50" s="517"/>
      <c r="U50" s="514"/>
      <c r="V50" s="514"/>
      <c r="W50" s="517"/>
      <c r="X50" s="514"/>
      <c r="Y50" s="514"/>
      <c r="Z50" s="513">
        <f t="shared" si="4"/>
        <v>0</v>
      </c>
      <c r="AA50" s="518">
        <f t="shared" si="2"/>
        <v>0</v>
      </c>
    </row>
    <row r="51" spans="1:27" s="500" customFormat="1">
      <c r="A51" s="47">
        <v>43</v>
      </c>
      <c r="B51" s="502"/>
      <c r="C51" s="529"/>
      <c r="D51" s="529"/>
      <c r="E51" s="503"/>
      <c r="F51" s="503"/>
      <c r="G51" s="516">
        <f t="shared" si="3"/>
        <v>0</v>
      </c>
      <c r="H51" s="514"/>
      <c r="I51" s="514"/>
      <c r="J51" s="514"/>
      <c r="K51" s="514"/>
      <c r="L51" s="514"/>
      <c r="M51" s="514"/>
      <c r="N51" s="515"/>
      <c r="O51" s="515"/>
      <c r="P51" s="515"/>
      <c r="Q51" s="515"/>
      <c r="R51" s="514"/>
      <c r="S51" s="514"/>
      <c r="T51" s="514"/>
      <c r="U51" s="514"/>
      <c r="V51" s="514"/>
      <c r="W51" s="514"/>
      <c r="X51" s="514"/>
      <c r="Y51" s="514"/>
      <c r="Z51" s="513">
        <f t="shared" si="4"/>
        <v>0</v>
      </c>
      <c r="AA51" s="518">
        <f t="shared" si="2"/>
        <v>0</v>
      </c>
    </row>
    <row r="52" spans="1:27" s="500" customFormat="1">
      <c r="A52" s="47">
        <v>44</v>
      </c>
      <c r="B52" s="502"/>
      <c r="C52" s="529"/>
      <c r="D52" s="503"/>
      <c r="E52" s="503"/>
      <c r="F52" s="503"/>
      <c r="G52" s="516">
        <f t="shared" si="3"/>
        <v>0</v>
      </c>
      <c r="H52" s="514"/>
      <c r="I52" s="514"/>
      <c r="J52" s="514"/>
      <c r="K52" s="514"/>
      <c r="L52" s="514"/>
      <c r="M52" s="514"/>
      <c r="N52" s="515"/>
      <c r="O52" s="515"/>
      <c r="P52" s="514"/>
      <c r="Q52" s="515"/>
      <c r="R52" s="514"/>
      <c r="S52" s="514"/>
      <c r="T52" s="514"/>
      <c r="U52" s="514"/>
      <c r="V52" s="514"/>
      <c r="W52" s="514"/>
      <c r="X52" s="514"/>
      <c r="Y52" s="514"/>
      <c r="Z52" s="513">
        <f t="shared" si="4"/>
        <v>0</v>
      </c>
      <c r="AA52" s="518">
        <f t="shared" si="2"/>
        <v>0</v>
      </c>
    </row>
    <row r="53" spans="1:27" s="500" customFormat="1">
      <c r="A53" s="47">
        <v>45</v>
      </c>
      <c r="B53" s="502"/>
      <c r="C53" s="529"/>
      <c r="D53" s="503"/>
      <c r="E53" s="503"/>
      <c r="F53" s="503"/>
      <c r="G53" s="516">
        <f t="shared" si="3"/>
        <v>0</v>
      </c>
      <c r="H53" s="50"/>
      <c r="I53" s="50"/>
      <c r="J53" s="502"/>
      <c r="K53" s="502"/>
      <c r="L53" s="502"/>
      <c r="M53" s="502"/>
      <c r="N53" s="50"/>
      <c r="O53" s="50"/>
      <c r="P53" s="50"/>
      <c r="Q53" s="50"/>
      <c r="R53" s="502"/>
      <c r="S53" s="504"/>
      <c r="T53" s="504"/>
      <c r="U53" s="504"/>
      <c r="V53" s="504"/>
      <c r="W53" s="504"/>
      <c r="X53" s="504"/>
      <c r="Y53" s="504"/>
      <c r="Z53" s="513">
        <f t="shared" si="4"/>
        <v>0</v>
      </c>
      <c r="AA53" s="518">
        <f t="shared" si="2"/>
        <v>0</v>
      </c>
    </row>
    <row r="54" spans="1:27" s="500" customFormat="1">
      <c r="A54" s="47">
        <v>46</v>
      </c>
      <c r="B54" s="502"/>
      <c r="C54" s="529"/>
      <c r="D54" s="503"/>
      <c r="E54" s="503"/>
      <c r="F54" s="503"/>
      <c r="G54" s="516">
        <f t="shared" si="3"/>
        <v>0</v>
      </c>
      <c r="H54" s="50"/>
      <c r="I54" s="50"/>
      <c r="J54" s="502"/>
      <c r="K54" s="502"/>
      <c r="L54" s="502"/>
      <c r="M54" s="502"/>
      <c r="N54" s="50"/>
      <c r="O54" s="50"/>
      <c r="P54" s="50"/>
      <c r="Q54" s="50"/>
      <c r="R54" s="502"/>
      <c r="S54" s="504"/>
      <c r="T54" s="504"/>
      <c r="U54" s="504"/>
      <c r="V54" s="504"/>
      <c r="W54" s="504"/>
      <c r="X54" s="504"/>
      <c r="Y54" s="504"/>
      <c r="Z54" s="513">
        <f t="shared" si="4"/>
        <v>0</v>
      </c>
      <c r="AA54" s="518">
        <f t="shared" si="2"/>
        <v>0</v>
      </c>
    </row>
    <row r="55" spans="1:27" s="500" customFormat="1">
      <c r="A55" s="47">
        <v>47</v>
      </c>
      <c r="B55" s="502"/>
      <c r="C55" s="529"/>
      <c r="D55" s="503"/>
      <c r="E55" s="503"/>
      <c r="F55" s="503"/>
      <c r="G55" s="516">
        <f t="shared" si="3"/>
        <v>0</v>
      </c>
      <c r="H55" s="502"/>
      <c r="I55" s="502"/>
      <c r="J55" s="502"/>
      <c r="K55" s="502"/>
      <c r="L55" s="502"/>
      <c r="M55" s="502"/>
      <c r="N55" s="50"/>
      <c r="O55" s="50"/>
      <c r="P55" s="50"/>
      <c r="Q55" s="50"/>
      <c r="R55" s="502"/>
      <c r="S55" s="504"/>
      <c r="T55" s="504"/>
      <c r="U55" s="504"/>
      <c r="V55" s="504"/>
      <c r="W55" s="504"/>
      <c r="X55" s="504"/>
      <c r="Y55" s="504"/>
      <c r="Z55" s="513">
        <f t="shared" si="4"/>
        <v>0</v>
      </c>
      <c r="AA55" s="518">
        <f t="shared" si="2"/>
        <v>0</v>
      </c>
    </row>
    <row r="56" spans="1:27" s="500" customFormat="1">
      <c r="A56" s="47">
        <v>48</v>
      </c>
      <c r="B56" s="502"/>
      <c r="C56" s="529"/>
      <c r="D56" s="503"/>
      <c r="E56" s="503"/>
      <c r="F56" s="503"/>
      <c r="G56" s="516">
        <f t="shared" si="3"/>
        <v>0</v>
      </c>
      <c r="H56" s="502"/>
      <c r="I56" s="502"/>
      <c r="J56" s="502"/>
      <c r="K56" s="502"/>
      <c r="L56" s="502"/>
      <c r="M56" s="502"/>
      <c r="N56" s="50"/>
      <c r="O56" s="50"/>
      <c r="P56" s="50"/>
      <c r="Q56" s="50"/>
      <c r="R56" s="502"/>
      <c r="S56" s="504"/>
      <c r="T56" s="504"/>
      <c r="U56" s="504"/>
      <c r="V56" s="504"/>
      <c r="W56" s="504"/>
      <c r="X56" s="504"/>
      <c r="Y56" s="504"/>
      <c r="Z56" s="513">
        <f t="shared" si="4"/>
        <v>0</v>
      </c>
      <c r="AA56" s="518">
        <f t="shared" si="2"/>
        <v>0</v>
      </c>
    </row>
    <row r="57" spans="1:27" s="500" customFormat="1">
      <c r="A57" s="47">
        <v>49</v>
      </c>
      <c r="B57" s="502"/>
      <c r="C57" s="529"/>
      <c r="D57" s="503"/>
      <c r="E57" s="503"/>
      <c r="F57" s="503"/>
      <c r="G57" s="516">
        <f t="shared" si="3"/>
        <v>0</v>
      </c>
      <c r="H57" s="502"/>
      <c r="I57" s="502"/>
      <c r="J57" s="502"/>
      <c r="K57" s="502"/>
      <c r="L57" s="502"/>
      <c r="M57" s="502"/>
      <c r="N57" s="50"/>
      <c r="O57" s="50"/>
      <c r="P57" s="50"/>
      <c r="Q57" s="50"/>
      <c r="R57" s="502"/>
      <c r="S57" s="504"/>
      <c r="T57" s="504"/>
      <c r="U57" s="504"/>
      <c r="V57" s="504"/>
      <c r="W57" s="504"/>
      <c r="X57" s="504"/>
      <c r="Y57" s="504"/>
      <c r="Z57" s="513">
        <f t="shared" si="4"/>
        <v>0</v>
      </c>
      <c r="AA57" s="518">
        <f t="shared" si="2"/>
        <v>0</v>
      </c>
    </row>
    <row r="58" spans="1:27" s="500" customFormat="1">
      <c r="A58" s="47">
        <v>50</v>
      </c>
      <c r="B58" s="502"/>
      <c r="C58" s="529"/>
      <c r="D58" s="503"/>
      <c r="E58" s="503"/>
      <c r="F58" s="503"/>
      <c r="G58" s="516">
        <f t="shared" si="3"/>
        <v>0</v>
      </c>
      <c r="H58" s="502"/>
      <c r="I58" s="502"/>
      <c r="J58" s="502"/>
      <c r="K58" s="502"/>
      <c r="L58" s="502"/>
      <c r="M58" s="502"/>
      <c r="N58" s="50"/>
      <c r="O58" s="50"/>
      <c r="P58" s="50"/>
      <c r="Q58" s="50"/>
      <c r="R58" s="502"/>
      <c r="S58" s="504"/>
      <c r="T58" s="504"/>
      <c r="U58" s="504"/>
      <c r="V58" s="504"/>
      <c r="W58" s="504"/>
      <c r="X58" s="504"/>
      <c r="Y58" s="504"/>
      <c r="Z58" s="513">
        <f t="shared" si="4"/>
        <v>0</v>
      </c>
      <c r="AA58" s="518">
        <f t="shared" si="2"/>
        <v>0</v>
      </c>
    </row>
    <row r="59" spans="1:27" s="500" customFormat="1">
      <c r="A59" s="47">
        <v>51</v>
      </c>
      <c r="B59" s="502"/>
      <c r="C59" s="529"/>
      <c r="D59" s="503"/>
      <c r="E59" s="503"/>
      <c r="F59" s="503"/>
      <c r="G59" s="516">
        <f t="shared" si="3"/>
        <v>0</v>
      </c>
      <c r="H59" s="502"/>
      <c r="I59" s="502"/>
      <c r="J59" s="502"/>
      <c r="K59" s="502"/>
      <c r="L59" s="502"/>
      <c r="M59" s="502"/>
      <c r="N59" s="50"/>
      <c r="O59" s="50"/>
      <c r="P59" s="50"/>
      <c r="Q59" s="50"/>
      <c r="R59" s="502"/>
      <c r="S59" s="504"/>
      <c r="T59" s="504"/>
      <c r="U59" s="504"/>
      <c r="V59" s="504"/>
      <c r="W59" s="504"/>
      <c r="X59" s="504"/>
      <c r="Y59" s="504"/>
      <c r="Z59" s="513">
        <f t="shared" si="4"/>
        <v>0</v>
      </c>
      <c r="AA59" s="518">
        <f t="shared" si="2"/>
        <v>0</v>
      </c>
    </row>
    <row r="60" spans="1:27" s="500" customFormat="1">
      <c r="A60" s="47">
        <v>52</v>
      </c>
      <c r="B60" s="502"/>
      <c r="C60" s="529"/>
      <c r="D60" s="503"/>
      <c r="E60" s="503"/>
      <c r="F60" s="503"/>
      <c r="G60" s="516">
        <f t="shared" si="3"/>
        <v>0</v>
      </c>
      <c r="H60" s="502"/>
      <c r="I60" s="502"/>
      <c r="J60" s="502"/>
      <c r="K60" s="502"/>
      <c r="L60" s="502"/>
      <c r="M60" s="502"/>
      <c r="N60" s="50"/>
      <c r="O60" s="50"/>
      <c r="P60" s="50"/>
      <c r="Q60" s="50"/>
      <c r="R60" s="502"/>
      <c r="S60" s="502"/>
      <c r="T60" s="502"/>
      <c r="U60" s="502"/>
      <c r="V60" s="502"/>
      <c r="W60" s="502"/>
      <c r="X60" s="502"/>
      <c r="Y60" s="502"/>
      <c r="Z60" s="513">
        <f t="shared" si="4"/>
        <v>0</v>
      </c>
      <c r="AA60" s="518">
        <f t="shared" si="2"/>
        <v>0</v>
      </c>
    </row>
    <row r="61" spans="1:27" s="500" customFormat="1">
      <c r="A61" s="47">
        <v>53</v>
      </c>
      <c r="B61" s="502"/>
      <c r="C61" s="529"/>
      <c r="D61" s="503"/>
      <c r="E61" s="503"/>
      <c r="F61" s="503"/>
      <c r="G61" s="516">
        <f t="shared" si="3"/>
        <v>0</v>
      </c>
      <c r="H61" s="502"/>
      <c r="I61" s="502"/>
      <c r="J61" s="502"/>
      <c r="K61" s="502"/>
      <c r="L61" s="502"/>
      <c r="M61" s="502"/>
      <c r="N61" s="50"/>
      <c r="O61" s="50"/>
      <c r="P61" s="50"/>
      <c r="Q61" s="50"/>
      <c r="R61" s="502"/>
      <c r="S61" s="502"/>
      <c r="T61" s="502"/>
      <c r="U61" s="502"/>
      <c r="V61" s="502"/>
      <c r="W61" s="502"/>
      <c r="X61" s="502"/>
      <c r="Y61" s="502"/>
      <c r="Z61" s="513">
        <f t="shared" si="4"/>
        <v>0</v>
      </c>
      <c r="AA61" s="518">
        <f t="shared" si="2"/>
        <v>0</v>
      </c>
    </row>
    <row r="62" spans="1:27" s="500" customFormat="1">
      <c r="A62" s="47">
        <v>54</v>
      </c>
      <c r="B62" s="502"/>
      <c r="C62" s="529"/>
      <c r="D62" s="503"/>
      <c r="E62" s="503"/>
      <c r="F62" s="503"/>
      <c r="G62" s="516">
        <f t="shared" si="3"/>
        <v>0</v>
      </c>
      <c r="H62" s="514"/>
      <c r="I62" s="514"/>
      <c r="J62" s="514"/>
      <c r="K62" s="514"/>
      <c r="L62" s="514"/>
      <c r="M62" s="514"/>
      <c r="N62" s="515"/>
      <c r="O62" s="515"/>
      <c r="P62" s="515"/>
      <c r="Q62" s="515"/>
      <c r="R62" s="514"/>
      <c r="S62" s="514"/>
      <c r="T62" s="514"/>
      <c r="U62" s="514"/>
      <c r="V62" s="514"/>
      <c r="W62" s="514"/>
      <c r="X62" s="514"/>
      <c r="Y62" s="514"/>
      <c r="Z62" s="513">
        <f t="shared" si="4"/>
        <v>0</v>
      </c>
      <c r="AA62" s="518">
        <f t="shared" si="2"/>
        <v>0</v>
      </c>
    </row>
    <row r="63" spans="1:27" s="500" customFormat="1">
      <c r="A63" s="47">
        <v>55</v>
      </c>
      <c r="B63" s="502"/>
      <c r="C63" s="529"/>
      <c r="D63" s="529"/>
      <c r="E63" s="503"/>
      <c r="F63" s="503"/>
      <c r="G63" s="516">
        <f t="shared" si="3"/>
        <v>0</v>
      </c>
      <c r="H63" s="514"/>
      <c r="I63" s="514"/>
      <c r="J63" s="514"/>
      <c r="K63" s="514"/>
      <c r="L63" s="514"/>
      <c r="M63" s="514"/>
      <c r="N63" s="515"/>
      <c r="O63" s="515"/>
      <c r="P63" s="515"/>
      <c r="Q63" s="515"/>
      <c r="R63" s="514"/>
      <c r="S63" s="514"/>
      <c r="T63" s="514"/>
      <c r="U63" s="514"/>
      <c r="V63" s="514"/>
      <c r="W63" s="514"/>
      <c r="X63" s="514"/>
      <c r="Y63" s="514"/>
      <c r="Z63" s="513">
        <f t="shared" si="4"/>
        <v>0</v>
      </c>
      <c r="AA63" s="518">
        <f t="shared" si="2"/>
        <v>0</v>
      </c>
    </row>
    <row r="64" spans="1:27" s="500" customFormat="1">
      <c r="A64" s="47"/>
      <c r="B64" s="512" t="s">
        <v>899</v>
      </c>
      <c r="C64" s="536"/>
      <c r="D64" s="536"/>
      <c r="E64" s="496"/>
      <c r="F64" s="496"/>
      <c r="G64" s="495">
        <f>SUM(G9:G63)</f>
        <v>23389564424</v>
      </c>
      <c r="H64" s="495">
        <f t="shared" ref="H64:V64" si="5">SUM(H9:H63)</f>
        <v>2053637934</v>
      </c>
      <c r="I64" s="495">
        <f t="shared" si="5"/>
        <v>18396899847</v>
      </c>
      <c r="J64" s="495">
        <f t="shared" si="5"/>
        <v>0</v>
      </c>
      <c r="K64" s="495">
        <f t="shared" si="5"/>
        <v>524968449</v>
      </c>
      <c r="L64" s="495">
        <f t="shared" si="5"/>
        <v>1000018152</v>
      </c>
      <c r="M64" s="495">
        <f t="shared" si="5"/>
        <v>1000018152</v>
      </c>
      <c r="N64" s="495">
        <f t="shared" si="5"/>
        <v>994206482</v>
      </c>
      <c r="O64" s="495">
        <f t="shared" si="5"/>
        <v>994206482</v>
      </c>
      <c r="P64" s="495">
        <f t="shared" si="5"/>
        <v>593956397</v>
      </c>
      <c r="Q64" s="495">
        <f t="shared" si="5"/>
        <v>419833560</v>
      </c>
      <c r="R64" s="495">
        <f t="shared" si="5"/>
        <v>0</v>
      </c>
      <c r="S64" s="495">
        <f t="shared" si="5"/>
        <v>0</v>
      </c>
      <c r="T64" s="495">
        <f t="shared" si="5"/>
        <v>1</v>
      </c>
      <c r="U64" s="498"/>
      <c r="V64" s="495">
        <f t="shared" si="5"/>
        <v>8928615650</v>
      </c>
      <c r="W64" s="498"/>
      <c r="X64" s="495">
        <f t="shared" ref="X64:Z64" si="6">SUM(X9:X63)</f>
        <v>22610685</v>
      </c>
      <c r="Y64" s="495">
        <f t="shared" si="6"/>
        <v>0</v>
      </c>
      <c r="Z64" s="495">
        <f t="shared" si="6"/>
        <v>14438338089</v>
      </c>
      <c r="AA64" s="518"/>
    </row>
    <row r="65" spans="1:27" s="500" customFormat="1">
      <c r="A65" s="47"/>
      <c r="B65" s="143" t="s">
        <v>898</v>
      </c>
      <c r="C65" s="512"/>
      <c r="D65" s="512"/>
      <c r="E65" s="496"/>
      <c r="F65" s="496"/>
      <c r="G65" s="495">
        <f>+SUMIF($F$9:$F$63,$AA$65,$G$9:$G$63)</f>
        <v>1503499186</v>
      </c>
      <c r="H65" s="495">
        <f>+SUMIF($F$9:$F$63,$AA$65,$H$9:$H$63)</f>
        <v>0</v>
      </c>
      <c r="I65" s="495">
        <f>+SUMIF($F$9:$F$63,$AA$65,$I$9:$I$63)</f>
        <v>1179515483</v>
      </c>
      <c r="J65" s="495">
        <f>+SUMIF($F$9:$F$63,$AA$65,$J$9:$J$63)</f>
        <v>0</v>
      </c>
      <c r="K65" s="495">
        <f>+SUMIF($F$9:$F$63,$AA$65,$K$9:$K$63)</f>
        <v>102974413</v>
      </c>
      <c r="L65" s="495">
        <f>+SUMIF($F$9:$F$63,$AA$65,$L$9:$L$63)</f>
        <v>221009290</v>
      </c>
      <c r="M65" s="495">
        <f>+SUMIF($F$9:$F$63,$AA$65,$M$9:$M$63)</f>
        <v>221009290</v>
      </c>
      <c r="N65" s="495">
        <f>+SUMIF($F$9:$F$63,$AA$65,$N$9:$N$63)</f>
        <v>0</v>
      </c>
      <c r="O65" s="495">
        <f>+SUMIF($F$9:$F$63,$AA$65,$O$9:$O$63)</f>
        <v>0</v>
      </c>
      <c r="P65" s="495">
        <f>+SUMIF($F$9:$F$63,$AA$65,$P$9:$P$63)</f>
        <v>0</v>
      </c>
      <c r="Q65" s="495">
        <f>+SUMIF($F$9:$F$63,$AA$65,$Q$9:$Q$63)</f>
        <v>0</v>
      </c>
      <c r="R65" s="495">
        <f>+SUMIF($F$9:$F$63,$AA$65,$R$9:$R$63)</f>
        <v>0</v>
      </c>
      <c r="S65" s="495">
        <f>+SUMIF($F$9:$F$63,$AA$65,$S$9:$S$63)</f>
        <v>0</v>
      </c>
      <c r="T65" s="495">
        <f>+SUMIF($F$9:$F$63,$AA$65,$T$9:$T$63)</f>
        <v>0</v>
      </c>
      <c r="U65" s="498"/>
      <c r="V65" s="495">
        <f>+SUMIF($F$9:$F$63,$AA$65,$V$9:$V$63)</f>
        <v>0</v>
      </c>
      <c r="W65" s="498"/>
      <c r="X65" s="495">
        <f>+SUMIF($F$9:$F$63,$AA$65,$X$9:$X$63)</f>
        <v>0</v>
      </c>
      <c r="Y65" s="495">
        <f>+SUMIF($F$9:$F$63,$AA$65,$Y$9:$Y$63)</f>
        <v>0</v>
      </c>
      <c r="Z65" s="495">
        <f>+MAX(AA9:AA63)</f>
        <v>1503499186</v>
      </c>
      <c r="AA65" s="518">
        <f>INDEX($F$9:$F$63,MATCH($Z65,$AA$9:$AA$63,0))</f>
        <v>5</v>
      </c>
    </row>
    <row r="66" spans="1:27" s="48" customFormat="1">
      <c r="AA66" s="521"/>
    </row>
    <row r="67" spans="1:27" s="48" customFormat="1">
      <c r="AA67" s="521"/>
    </row>
    <row r="68" spans="1:27" s="48" customFormat="1">
      <c r="B68" s="48" t="s">
        <v>0</v>
      </c>
      <c r="V68" s="494"/>
      <c r="AA68" s="521"/>
    </row>
    <row r="69" spans="1:27" s="48" customFormat="1">
      <c r="V69" s="494"/>
      <c r="AA69" s="521"/>
    </row>
    <row r="70" spans="1:27" s="48" customFormat="1">
      <c r="B70" s="422" t="s">
        <v>1</v>
      </c>
      <c r="V70" s="494"/>
      <c r="AA70" s="521"/>
    </row>
    <row r="71" spans="1:27" s="48" customFormat="1">
      <c r="B71" s="422"/>
      <c r="V71" s="494"/>
      <c r="AA71" s="521"/>
    </row>
    <row r="72" spans="1:27" s="48" customFormat="1">
      <c r="B72" s="422"/>
      <c r="V72" s="494"/>
      <c r="AA72" s="521"/>
    </row>
    <row r="73" spans="1:27" s="48" customFormat="1">
      <c r="V73" s="494"/>
      <c r="AA73" s="521"/>
    </row>
    <row r="74" spans="1:27" s="48" customFormat="1" ht="15.75">
      <c r="B74" s="588"/>
      <c r="C74" s="588"/>
      <c r="D74" s="588"/>
      <c r="E74" s="588"/>
      <c r="F74" s="588"/>
      <c r="G74" s="588"/>
      <c r="H74" s="588"/>
      <c r="I74" s="588"/>
      <c r="J74" s="588"/>
      <c r="K74" s="588"/>
      <c r="L74" s="588"/>
      <c r="M74" s="588"/>
      <c r="N74" s="588"/>
      <c r="O74" s="588"/>
      <c r="P74" s="588"/>
      <c r="Q74" s="588"/>
      <c r="R74" s="588"/>
      <c r="S74" s="588"/>
      <c r="T74" s="588"/>
      <c r="V74" s="494"/>
      <c r="AA74" s="521"/>
    </row>
    <row r="75" spans="1:27">
      <c r="AA75" s="522"/>
    </row>
    <row r="76" spans="1:27">
      <c r="AA76" s="522"/>
    </row>
    <row r="77" spans="1:27">
      <c r="AA77" s="522"/>
    </row>
    <row r="78" spans="1:27">
      <c r="AA78" s="522"/>
    </row>
    <row r="79" spans="1:27">
      <c r="AA79" s="522"/>
    </row>
    <row r="80" spans="1:27">
      <c r="AA80" s="522"/>
    </row>
    <row r="81" spans="27:27">
      <c r="AA81" s="522"/>
    </row>
    <row r="82" spans="27:27">
      <c r="AA82" s="522"/>
    </row>
    <row r="83" spans="27:27">
      <c r="AA83" s="522"/>
    </row>
    <row r="84" spans="27:27">
      <c r="AA84" s="522"/>
    </row>
    <row r="85" spans="27:27">
      <c r="AA85" s="522"/>
    </row>
    <row r="86" spans="27:27">
      <c r="AA86" s="522"/>
    </row>
    <row r="87" spans="27:27">
      <c r="AA87" s="522"/>
    </row>
    <row r="88" spans="27:27">
      <c r="AA88" s="522"/>
    </row>
    <row r="89" spans="27:27">
      <c r="AA89" s="522"/>
    </row>
    <row r="90" spans="27:27">
      <c r="AA90" s="522"/>
    </row>
    <row r="91" spans="27:27">
      <c r="AA91" s="522"/>
    </row>
    <row r="92" spans="27:27">
      <c r="AA92" s="522"/>
    </row>
    <row r="93" spans="27:27">
      <c r="AA93" s="522"/>
    </row>
    <row r="94" spans="27:27">
      <c r="AA94" s="522"/>
    </row>
    <row r="95" spans="27:27">
      <c r="AA95" s="522"/>
    </row>
    <row r="96" spans="27:27">
      <c r="AA96" s="522"/>
    </row>
    <row r="97" spans="27:27">
      <c r="AA97" s="522"/>
    </row>
    <row r="98" spans="27:27">
      <c r="AA98" s="522"/>
    </row>
    <row r="99" spans="27:27">
      <c r="AA99" s="522"/>
    </row>
    <row r="100" spans="27:27">
      <c r="AA100" s="522"/>
    </row>
    <row r="101" spans="27:27">
      <c r="AA101" s="522"/>
    </row>
    <row r="102" spans="27:27">
      <c r="AA102" s="522"/>
    </row>
    <row r="103" spans="27:27">
      <c r="AA103" s="522"/>
    </row>
    <row r="104" spans="27:27">
      <c r="AA104" s="522"/>
    </row>
    <row r="105" spans="27:27">
      <c r="AA105" s="522"/>
    </row>
    <row r="106" spans="27:27">
      <c r="AA106" s="522"/>
    </row>
  </sheetData>
  <mergeCells count="34">
    <mergeCell ref="A1:W1"/>
    <mergeCell ref="L8:M8"/>
    <mergeCell ref="N8:O8"/>
    <mergeCell ref="P8:Q8"/>
    <mergeCell ref="R8:S8"/>
    <mergeCell ref="W4:W7"/>
    <mergeCell ref="C4:C7"/>
    <mergeCell ref="D4:D7"/>
    <mergeCell ref="E4:E7"/>
    <mergeCell ref="F4:F7"/>
    <mergeCell ref="A4:A7"/>
    <mergeCell ref="B4:B7"/>
    <mergeCell ref="U4:V5"/>
    <mergeCell ref="H4:S4"/>
    <mergeCell ref="H5:K5"/>
    <mergeCell ref="L5:S5"/>
    <mergeCell ref="Y3:Z3"/>
    <mergeCell ref="X4:X7"/>
    <mergeCell ref="Y4:Y7"/>
    <mergeCell ref="U3:W3"/>
    <mergeCell ref="T4:T7"/>
    <mergeCell ref="Z4:Z7"/>
    <mergeCell ref="U6:U7"/>
    <mergeCell ref="V6:V7"/>
    <mergeCell ref="B74:T74"/>
    <mergeCell ref="G4:G7"/>
    <mergeCell ref="N6:O6"/>
    <mergeCell ref="P6:Q6"/>
    <mergeCell ref="R6:S6"/>
    <mergeCell ref="H6:H7"/>
    <mergeCell ref="I6:I7"/>
    <mergeCell ref="J6:J7"/>
    <mergeCell ref="K6:K7"/>
    <mergeCell ref="L6:M6"/>
  </mergeCells>
  <printOptions horizontalCentered="1"/>
  <pageMargins left="0.15748031496062992" right="0.19685039370078741" top="0.49" bottom="0.19685039370078741" header="0.51181102362204722" footer="0.51181102362204722"/>
  <pageSetup paperSize="9" scale="41" orientation="landscape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3">
    <pageSetUpPr fitToPage="1"/>
  </sheetPr>
  <dimension ref="A1:O53"/>
  <sheetViews>
    <sheetView view="pageBreakPreview" zoomScale="85" zoomScaleSheetLayoutView="85" workbookViewId="0">
      <pane xSplit="2" ySplit="6" topLeftCell="C25" activePane="bottomRight" state="frozen"/>
      <selection activeCell="C73" sqref="C73"/>
      <selection pane="topRight" activeCell="C73" sqref="C73"/>
      <selection pane="bottomLeft" activeCell="C73" sqref="C73"/>
      <selection pane="bottomRight" activeCell="J14" sqref="J14"/>
    </sheetView>
  </sheetViews>
  <sheetFormatPr defaultColWidth="9.42578125" defaultRowHeight="15"/>
  <cols>
    <col min="1" max="1" width="11" style="227" bestFit="1" customWidth="1"/>
    <col min="2" max="2" width="31" style="19" customWidth="1"/>
    <col min="3" max="3" width="17.28515625" style="19" customWidth="1"/>
    <col min="4" max="10" width="16.28515625" style="19" customWidth="1"/>
    <col min="11" max="11" width="9.42578125" style="19"/>
    <col min="12" max="12" width="15.140625" style="19" customWidth="1"/>
    <col min="13" max="13" width="9.42578125" style="19"/>
    <col min="14" max="14" width="24.7109375" style="19" customWidth="1"/>
    <col min="15" max="16384" width="9.42578125" style="19"/>
  </cols>
  <sheetData>
    <row r="1" spans="1:14" s="48" customFormat="1" ht="35.25" customHeight="1">
      <c r="A1" s="606" t="s">
        <v>835</v>
      </c>
      <c r="B1" s="606"/>
      <c r="C1" s="606"/>
      <c r="D1" s="606"/>
      <c r="E1" s="606"/>
      <c r="F1" s="606"/>
      <c r="G1" s="606"/>
      <c r="H1" s="606"/>
      <c r="I1" s="606"/>
      <c r="J1" s="485" t="s">
        <v>591</v>
      </c>
    </row>
    <row r="2" spans="1:14" s="74" customFormat="1" ht="15.75" customHeight="1">
      <c r="A2" s="468"/>
      <c r="B2" s="469"/>
      <c r="C2" s="469"/>
      <c r="E2" s="470"/>
    </row>
    <row r="3" spans="1:14" s="74" customFormat="1" ht="16.5" customHeight="1">
      <c r="A3" s="471" t="s">
        <v>836</v>
      </c>
      <c r="C3" s="471"/>
      <c r="F3" s="366"/>
      <c r="I3" s="568">
        <f>+'Asset quality'!P3</f>
        <v>44560</v>
      </c>
      <c r="J3" s="568"/>
    </row>
    <row r="4" spans="1:14" s="422" customFormat="1" ht="36" customHeight="1">
      <c r="A4" s="600" t="s">
        <v>83</v>
      </c>
      <c r="B4" s="603" t="s">
        <v>837</v>
      </c>
      <c r="C4" s="593" t="str">
        <f>"Остаток списаных кредита и лизинга на"&amp;" "&amp;DAY(I3)&amp;"."&amp;IF(LEN(MONTH(I3))&lt;2,"0"&amp;MONTH(I3),MONTH(I3))&amp;"."&amp;YEAR(I3)-1&amp;"г"</f>
        <v>Остаток списаных кредита и лизинга на 30.12.2020г</v>
      </c>
      <c r="D4" s="579" t="s">
        <v>838</v>
      </c>
      <c r="E4" s="604"/>
      <c r="F4" s="604"/>
      <c r="G4" s="604"/>
      <c r="H4" s="604"/>
      <c r="I4" s="580"/>
      <c r="J4" s="593" t="str">
        <f>"Остаток списаных кредита и лизинга на"&amp;" "&amp;DAY(I3)&amp;"."&amp;IF(LEN(MONTH(I3))&lt;2,"0"&amp;MONTH(I3),MONTH(I3))&amp;"."&amp;YEAR(I3)&amp;"г"</f>
        <v>Остаток списаных кредита и лизинга на 30.12.2021г</v>
      </c>
    </row>
    <row r="5" spans="1:14" s="422" customFormat="1" ht="33.75" customHeight="1">
      <c r="A5" s="601"/>
      <c r="B5" s="603"/>
      <c r="C5" s="594"/>
      <c r="D5" s="598" t="s">
        <v>839</v>
      </c>
      <c r="E5" s="599"/>
      <c r="F5" s="586" t="s">
        <v>840</v>
      </c>
      <c r="G5" s="605"/>
      <c r="H5" s="586" t="s">
        <v>841</v>
      </c>
      <c r="I5" s="605"/>
      <c r="J5" s="594"/>
      <c r="N5" s="472"/>
    </row>
    <row r="6" spans="1:14" s="422" customFormat="1" ht="44.25" customHeight="1">
      <c r="A6" s="602"/>
      <c r="B6" s="603"/>
      <c r="C6" s="595"/>
      <c r="D6" s="484" t="s">
        <v>152</v>
      </c>
      <c r="E6" s="484" t="s">
        <v>197</v>
      </c>
      <c r="F6" s="484" t="s">
        <v>152</v>
      </c>
      <c r="G6" s="484" t="s">
        <v>197</v>
      </c>
      <c r="H6" s="484" t="s">
        <v>152</v>
      </c>
      <c r="I6" s="484" t="s">
        <v>197</v>
      </c>
      <c r="J6" s="595"/>
    </row>
    <row r="7" spans="1:14" ht="19.5" customHeight="1">
      <c r="A7" s="484"/>
      <c r="B7" s="484" t="s">
        <v>182</v>
      </c>
      <c r="C7" s="484" t="s">
        <v>183</v>
      </c>
      <c r="D7" s="484" t="s">
        <v>195</v>
      </c>
      <c r="E7" s="484" t="s">
        <v>184</v>
      </c>
      <c r="F7" s="484" t="s">
        <v>185</v>
      </c>
      <c r="G7" s="484" t="s">
        <v>196</v>
      </c>
      <c r="H7" s="484" t="s">
        <v>186</v>
      </c>
      <c r="I7" s="484" t="s">
        <v>187</v>
      </c>
      <c r="J7" s="484" t="s">
        <v>188</v>
      </c>
    </row>
    <row r="8" spans="1:14" ht="19.5" customHeight="1">
      <c r="A8" s="484">
        <v>1</v>
      </c>
      <c r="B8" s="484" t="s">
        <v>752</v>
      </c>
      <c r="C8" s="484">
        <f>SUM(C10:C17)</f>
        <v>52295031</v>
      </c>
      <c r="D8" s="484">
        <f t="shared" ref="D8:J8" si="0">SUM(D10:D17)</f>
        <v>343824716</v>
      </c>
      <c r="E8" s="484">
        <f t="shared" si="0"/>
        <v>125046314</v>
      </c>
      <c r="F8" s="484">
        <f t="shared" si="0"/>
        <v>4653231</v>
      </c>
      <c r="G8" s="484">
        <f t="shared" si="0"/>
        <v>0</v>
      </c>
      <c r="H8" s="484">
        <f t="shared" si="0"/>
        <v>343824716</v>
      </c>
      <c r="I8" s="484">
        <f t="shared" si="0"/>
        <v>125046314</v>
      </c>
      <c r="J8" s="484">
        <f t="shared" si="0"/>
        <v>392003417</v>
      </c>
    </row>
    <row r="9" spans="1:14" ht="19.5" customHeight="1">
      <c r="A9" s="226"/>
      <c r="B9" s="473" t="s">
        <v>90</v>
      </c>
      <c r="C9" s="474"/>
      <c r="D9" s="475"/>
      <c r="E9" s="475"/>
      <c r="F9" s="475"/>
      <c r="G9" s="475"/>
      <c r="H9" s="475"/>
      <c r="I9" s="475"/>
      <c r="J9" s="475"/>
      <c r="K9" s="227"/>
    </row>
    <row r="10" spans="1:14" ht="28.5" customHeight="1">
      <c r="A10" s="466" t="s">
        <v>242</v>
      </c>
      <c r="B10" s="474" t="s">
        <v>118</v>
      </c>
      <c r="C10" s="486">
        <v>119857</v>
      </c>
      <c r="D10" s="486">
        <v>9556460</v>
      </c>
      <c r="E10" s="486">
        <v>2890046</v>
      </c>
      <c r="F10" s="486">
        <v>0</v>
      </c>
      <c r="G10" s="486">
        <v>0</v>
      </c>
      <c r="H10" s="486">
        <v>9556460</v>
      </c>
      <c r="I10" s="486">
        <v>2890046</v>
      </c>
      <c r="J10" s="486">
        <v>9676317</v>
      </c>
    </row>
    <row r="11" spans="1:14" ht="28.5" customHeight="1">
      <c r="A11" s="466" t="s">
        <v>243</v>
      </c>
      <c r="B11" s="474" t="s">
        <v>126</v>
      </c>
      <c r="C11" s="486">
        <v>721270</v>
      </c>
      <c r="D11" s="486">
        <v>13005222</v>
      </c>
      <c r="E11" s="486">
        <v>8011870</v>
      </c>
      <c r="F11" s="486">
        <v>0</v>
      </c>
      <c r="G11" s="486">
        <v>0</v>
      </c>
      <c r="H11" s="486">
        <v>13005222</v>
      </c>
      <c r="I11" s="486">
        <v>8011870</v>
      </c>
      <c r="J11" s="486">
        <v>13726492</v>
      </c>
    </row>
    <row r="12" spans="1:14" ht="28.5" customHeight="1">
      <c r="A12" s="466" t="s">
        <v>244</v>
      </c>
      <c r="B12" s="474" t="s">
        <v>129</v>
      </c>
      <c r="C12" s="486">
        <v>0</v>
      </c>
      <c r="D12" s="486">
        <v>30104804</v>
      </c>
      <c r="E12" s="486">
        <v>21103710</v>
      </c>
      <c r="F12" s="486">
        <v>0</v>
      </c>
      <c r="G12" s="486">
        <v>0</v>
      </c>
      <c r="H12" s="486">
        <v>30104804</v>
      </c>
      <c r="I12" s="486">
        <v>21103710</v>
      </c>
      <c r="J12" s="486">
        <v>30104804</v>
      </c>
    </row>
    <row r="13" spans="1:14" ht="28.5" customHeight="1">
      <c r="A13" s="466" t="s">
        <v>248</v>
      </c>
      <c r="B13" s="474" t="s">
        <v>131</v>
      </c>
      <c r="C13" s="486">
        <v>7987120</v>
      </c>
      <c r="D13" s="486">
        <v>48299985</v>
      </c>
      <c r="E13" s="486">
        <v>18940248</v>
      </c>
      <c r="F13" s="486">
        <v>0</v>
      </c>
      <c r="G13" s="486">
        <v>0</v>
      </c>
      <c r="H13" s="486">
        <v>48299985</v>
      </c>
      <c r="I13" s="486">
        <v>18940248</v>
      </c>
      <c r="J13" s="486">
        <v>56287105</v>
      </c>
    </row>
    <row r="14" spans="1:14" ht="28.5" customHeight="1">
      <c r="A14" s="466" t="s">
        <v>249</v>
      </c>
      <c r="B14" s="474" t="s">
        <v>133</v>
      </c>
      <c r="C14" s="486">
        <v>1229128</v>
      </c>
      <c r="D14" s="486">
        <v>35140403</v>
      </c>
      <c r="E14" s="486">
        <v>4803693</v>
      </c>
      <c r="F14" s="486">
        <v>0</v>
      </c>
      <c r="G14" s="486">
        <v>0</v>
      </c>
      <c r="H14" s="486">
        <v>35140403</v>
      </c>
      <c r="I14" s="486">
        <v>4803693</v>
      </c>
      <c r="J14" s="486">
        <v>36411088</v>
      </c>
    </row>
    <row r="15" spans="1:14" ht="28.5" customHeight="1">
      <c r="A15" s="466" t="s">
        <v>278</v>
      </c>
      <c r="B15" s="474" t="s">
        <v>135</v>
      </c>
      <c r="C15" s="486">
        <v>0</v>
      </c>
      <c r="D15" s="486">
        <v>0</v>
      </c>
      <c r="E15" s="486">
        <v>0</v>
      </c>
      <c r="F15" s="486">
        <v>0</v>
      </c>
      <c r="G15" s="486">
        <v>0</v>
      </c>
      <c r="H15" s="486">
        <v>0</v>
      </c>
      <c r="I15" s="486">
        <v>0</v>
      </c>
      <c r="J15" s="486">
        <v>0</v>
      </c>
    </row>
    <row r="16" spans="1:14" ht="28.5" customHeight="1">
      <c r="A16" s="466" t="s">
        <v>842</v>
      </c>
      <c r="B16" s="474" t="s">
        <v>137</v>
      </c>
      <c r="C16" s="486">
        <v>0</v>
      </c>
      <c r="D16" s="486">
        <v>0</v>
      </c>
      <c r="E16" s="486">
        <v>0</v>
      </c>
      <c r="F16" s="486">
        <v>0</v>
      </c>
      <c r="G16" s="486">
        <v>0</v>
      </c>
      <c r="H16" s="486">
        <v>0</v>
      </c>
      <c r="I16" s="486">
        <v>0</v>
      </c>
      <c r="J16" s="486">
        <v>0</v>
      </c>
    </row>
    <row r="17" spans="1:15" ht="28.5" customHeight="1">
      <c r="A17" s="466" t="s">
        <v>843</v>
      </c>
      <c r="B17" s="474" t="s">
        <v>175</v>
      </c>
      <c r="C17" s="486">
        <v>42237656</v>
      </c>
      <c r="D17" s="486">
        <v>207717842</v>
      </c>
      <c r="E17" s="486">
        <v>69296747</v>
      </c>
      <c r="F17" s="486">
        <v>4653231</v>
      </c>
      <c r="G17" s="486">
        <v>0</v>
      </c>
      <c r="H17" s="486">
        <v>207717842</v>
      </c>
      <c r="I17" s="486">
        <v>69296747</v>
      </c>
      <c r="J17" s="486">
        <v>245797611</v>
      </c>
    </row>
    <row r="18" spans="1:15" ht="19.5" customHeight="1">
      <c r="A18" s="484">
        <v>2</v>
      </c>
      <c r="B18" s="484" t="s">
        <v>164</v>
      </c>
      <c r="C18" s="484">
        <f>SUM(C20:C24)</f>
        <v>24675</v>
      </c>
      <c r="D18" s="484">
        <f t="shared" ref="D18:J18" si="1">SUM(D20:D24)</f>
        <v>47191486</v>
      </c>
      <c r="E18" s="484">
        <f t="shared" si="1"/>
        <v>0</v>
      </c>
      <c r="F18" s="484">
        <f t="shared" si="1"/>
        <v>4510</v>
      </c>
      <c r="G18" s="484">
        <f t="shared" si="1"/>
        <v>0</v>
      </c>
      <c r="H18" s="484">
        <f t="shared" si="1"/>
        <v>0</v>
      </c>
      <c r="I18" s="484">
        <f t="shared" si="1"/>
        <v>0</v>
      </c>
      <c r="J18" s="484">
        <f t="shared" si="1"/>
        <v>47211621</v>
      </c>
    </row>
    <row r="19" spans="1:15" ht="19.5" customHeight="1">
      <c r="A19" s="226"/>
      <c r="B19" s="473" t="s">
        <v>90</v>
      </c>
      <c r="C19" s="474"/>
      <c r="D19" s="475"/>
      <c r="E19" s="475"/>
      <c r="F19" s="475"/>
      <c r="G19" s="475"/>
      <c r="H19" s="475"/>
      <c r="I19" s="475"/>
      <c r="J19" s="475"/>
    </row>
    <row r="20" spans="1:15" ht="28.5" customHeight="1">
      <c r="A20" s="466" t="s">
        <v>255</v>
      </c>
      <c r="B20" s="474" t="s">
        <v>844</v>
      </c>
      <c r="C20" s="486">
        <v>24675</v>
      </c>
      <c r="D20" s="486">
        <v>0</v>
      </c>
      <c r="E20" s="486">
        <v>0</v>
      </c>
      <c r="F20" s="486">
        <v>4510</v>
      </c>
      <c r="G20" s="486">
        <v>0</v>
      </c>
      <c r="H20" s="486">
        <v>0</v>
      </c>
      <c r="I20" s="486">
        <v>0</v>
      </c>
      <c r="J20" s="486">
        <v>20165</v>
      </c>
    </row>
    <row r="21" spans="1:15" ht="28.5" customHeight="1">
      <c r="A21" s="466" t="s">
        <v>256</v>
      </c>
      <c r="B21" s="474" t="s">
        <v>845</v>
      </c>
      <c r="C21" s="486">
        <v>0</v>
      </c>
      <c r="D21" s="486">
        <v>1164070</v>
      </c>
      <c r="E21" s="486">
        <v>0</v>
      </c>
      <c r="F21" s="486">
        <v>0</v>
      </c>
      <c r="G21" s="486">
        <v>0</v>
      </c>
      <c r="H21" s="486">
        <v>0</v>
      </c>
      <c r="I21" s="486">
        <v>0</v>
      </c>
      <c r="J21" s="486">
        <v>1164040</v>
      </c>
    </row>
    <row r="22" spans="1:15" ht="28.5" customHeight="1">
      <c r="A22" s="466" t="s">
        <v>258</v>
      </c>
      <c r="B22" s="474" t="s">
        <v>846</v>
      </c>
      <c r="C22" s="486">
        <v>0</v>
      </c>
      <c r="D22" s="486">
        <v>17428724</v>
      </c>
      <c r="E22" s="486">
        <v>0</v>
      </c>
      <c r="F22" s="486">
        <v>0</v>
      </c>
      <c r="G22" s="486">
        <v>0</v>
      </c>
      <c r="H22" s="486">
        <v>0</v>
      </c>
      <c r="I22" s="486">
        <v>0</v>
      </c>
      <c r="J22" s="486">
        <v>17428724</v>
      </c>
    </row>
    <row r="23" spans="1:15" ht="28.5" customHeight="1">
      <c r="A23" s="466" t="s">
        <v>260</v>
      </c>
      <c r="B23" s="474" t="s">
        <v>625</v>
      </c>
      <c r="C23" s="486">
        <v>0</v>
      </c>
      <c r="D23" s="486">
        <v>12228348</v>
      </c>
      <c r="E23" s="486">
        <v>0</v>
      </c>
      <c r="F23" s="486">
        <v>0</v>
      </c>
      <c r="G23" s="486">
        <v>0</v>
      </c>
      <c r="H23" s="486">
        <v>0</v>
      </c>
      <c r="I23" s="486">
        <v>0</v>
      </c>
      <c r="J23" s="486">
        <v>12228348</v>
      </c>
    </row>
    <row r="24" spans="1:15" ht="28.5" customHeight="1">
      <c r="A24" s="466" t="s">
        <v>619</v>
      </c>
      <c r="B24" s="474" t="s">
        <v>613</v>
      </c>
      <c r="C24" s="486">
        <v>0</v>
      </c>
      <c r="D24" s="486">
        <v>16370344</v>
      </c>
      <c r="E24" s="486">
        <v>0</v>
      </c>
      <c r="F24" s="486">
        <v>0</v>
      </c>
      <c r="G24" s="486">
        <v>0</v>
      </c>
      <c r="H24" s="486">
        <v>0</v>
      </c>
      <c r="I24" s="486">
        <v>0</v>
      </c>
      <c r="J24" s="486">
        <v>16370344</v>
      </c>
    </row>
    <row r="25" spans="1:15" ht="19.5" customHeight="1">
      <c r="A25" s="484">
        <v>3</v>
      </c>
      <c r="B25" s="484" t="s">
        <v>279</v>
      </c>
      <c r="C25" s="484">
        <f>+C18+C8</f>
        <v>52319706</v>
      </c>
      <c r="D25" s="484">
        <f t="shared" ref="D25:J25" si="2">+D18+D8</f>
        <v>391016202</v>
      </c>
      <c r="E25" s="484">
        <f t="shared" si="2"/>
        <v>125046314</v>
      </c>
      <c r="F25" s="484">
        <f t="shared" si="2"/>
        <v>4657741</v>
      </c>
      <c r="G25" s="484">
        <f t="shared" si="2"/>
        <v>0</v>
      </c>
      <c r="H25" s="484">
        <f t="shared" si="2"/>
        <v>343824716</v>
      </c>
      <c r="I25" s="484">
        <f t="shared" si="2"/>
        <v>125046314</v>
      </c>
      <c r="J25" s="484">
        <f t="shared" si="2"/>
        <v>439215038</v>
      </c>
    </row>
    <row r="26" spans="1:15">
      <c r="B26" s="468"/>
      <c r="C26" s="468"/>
      <c r="D26" s="468"/>
      <c r="E26" s="468"/>
      <c r="F26" s="468"/>
      <c r="G26" s="468"/>
      <c r="H26" s="468"/>
      <c r="I26" s="468"/>
      <c r="J26" s="468"/>
    </row>
    <row r="27" spans="1:15" s="74" customFormat="1" ht="16.5" customHeight="1">
      <c r="A27" s="471" t="s">
        <v>847</v>
      </c>
      <c r="B27" s="471"/>
      <c r="C27" s="471"/>
      <c r="G27" s="476"/>
      <c r="H27" s="462"/>
      <c r="L27" s="19"/>
      <c r="N27" s="64"/>
      <c r="O27" s="64"/>
    </row>
    <row r="28" spans="1:15" s="422" customFormat="1" ht="33.75" customHeight="1">
      <c r="A28" s="600" t="s">
        <v>83</v>
      </c>
      <c r="B28" s="603" t="s">
        <v>837</v>
      </c>
      <c r="C28" s="593" t="str">
        <f>"Резервы возможных потерь по кредитам и лизингу на"&amp;" "&amp;DAY(I3)&amp;"."&amp;IF(LEN(MONTH(I3))&lt;2,"0"&amp;MONTH(I3),MONTH(I3))&amp;"."&amp;YEAR(I3)-1&amp;"г"</f>
        <v>Резервы возможных потерь по кредитам и лизингу на 30.12.2020г</v>
      </c>
      <c r="D28" s="579" t="s">
        <v>848</v>
      </c>
      <c r="E28" s="604"/>
      <c r="F28" s="604"/>
      <c r="G28" s="604"/>
      <c r="H28" s="593" t="s">
        <v>902</v>
      </c>
      <c r="I28" s="593" t="str">
        <f>"Резервы возможных потерь по кредитам и лизингу на"&amp;" "&amp;DAY(I3)&amp;"."&amp;IF(LEN(MONTH(I3))&lt;2,"0"&amp;MONTH(I3),MONTH(I3))&amp;"."&amp;YEAR(I3)&amp;"г"</f>
        <v>Резервы возможных потерь по кредитам и лизингу на 30.12.2021г</v>
      </c>
      <c r="L28" s="19"/>
    </row>
    <row r="29" spans="1:15" s="422" customFormat="1" ht="28.5" customHeight="1">
      <c r="A29" s="601"/>
      <c r="B29" s="603"/>
      <c r="C29" s="594"/>
      <c r="D29" s="598" t="s">
        <v>849</v>
      </c>
      <c r="E29" s="599"/>
      <c r="F29" s="579" t="s">
        <v>850</v>
      </c>
      <c r="G29" s="580"/>
      <c r="H29" s="594"/>
      <c r="I29" s="594"/>
      <c r="L29" s="19"/>
    </row>
    <row r="30" spans="1:15" s="422" customFormat="1" ht="37.5" customHeight="1">
      <c r="A30" s="602"/>
      <c r="B30" s="603"/>
      <c r="C30" s="595"/>
      <c r="D30" s="484" t="s">
        <v>152</v>
      </c>
      <c r="E30" s="484" t="s">
        <v>197</v>
      </c>
      <c r="F30" s="484" t="s">
        <v>152</v>
      </c>
      <c r="G30" s="484" t="s">
        <v>197</v>
      </c>
      <c r="H30" s="595"/>
      <c r="I30" s="595"/>
      <c r="L30" s="19"/>
    </row>
    <row r="31" spans="1:15" ht="19.5" customHeight="1">
      <c r="A31" s="484"/>
      <c r="B31" s="484" t="s">
        <v>182</v>
      </c>
      <c r="C31" s="484" t="s">
        <v>183</v>
      </c>
      <c r="D31" s="484" t="s">
        <v>195</v>
      </c>
      <c r="E31" s="484" t="s">
        <v>184</v>
      </c>
      <c r="F31" s="484" t="s">
        <v>185</v>
      </c>
      <c r="G31" s="484" t="s">
        <v>196</v>
      </c>
      <c r="H31" s="484" t="s">
        <v>186</v>
      </c>
      <c r="I31" s="484" t="s">
        <v>187</v>
      </c>
    </row>
    <row r="32" spans="1:15" ht="19.5" customHeight="1">
      <c r="A32" s="484">
        <v>1</v>
      </c>
      <c r="B32" s="484" t="s">
        <v>752</v>
      </c>
      <c r="C32" s="484">
        <f>SUM(C34:C41)</f>
        <v>1230977819</v>
      </c>
      <c r="D32" s="484">
        <f t="shared" ref="D32:H32" si="3">SUM(D34:D41)</f>
        <v>0</v>
      </c>
      <c r="E32" s="484">
        <f t="shared" si="3"/>
        <v>0</v>
      </c>
      <c r="F32" s="484">
        <f t="shared" si="3"/>
        <v>0</v>
      </c>
      <c r="G32" s="484">
        <f t="shared" si="3"/>
        <v>0</v>
      </c>
      <c r="H32" s="484">
        <f t="shared" si="3"/>
        <v>0</v>
      </c>
      <c r="I32" s="484">
        <f>SUM(I34:I41)</f>
        <v>976127626</v>
      </c>
    </row>
    <row r="33" spans="1:9" ht="19.5" customHeight="1">
      <c r="A33" s="226"/>
      <c r="B33" s="473" t="s">
        <v>90</v>
      </c>
      <c r="C33" s="474"/>
      <c r="D33" s="475"/>
      <c r="E33" s="475"/>
      <c r="F33" s="475"/>
      <c r="G33" s="475"/>
      <c r="H33" s="475"/>
      <c r="I33" s="475"/>
    </row>
    <row r="34" spans="1:9" ht="28.5" customHeight="1">
      <c r="A34" s="466" t="s">
        <v>242</v>
      </c>
      <c r="B34" s="474" t="s">
        <v>118</v>
      </c>
      <c r="C34" s="503">
        <v>818297319</v>
      </c>
      <c r="D34" s="486"/>
      <c r="E34" s="486"/>
      <c r="F34" s="486"/>
      <c r="G34" s="486"/>
      <c r="H34" s="486"/>
      <c r="I34" s="503">
        <v>498723431</v>
      </c>
    </row>
    <row r="35" spans="1:9" ht="28.5" customHeight="1">
      <c r="A35" s="466" t="s">
        <v>243</v>
      </c>
      <c r="B35" s="474" t="s">
        <v>126</v>
      </c>
      <c r="C35" s="503">
        <v>103009625</v>
      </c>
      <c r="D35" s="486"/>
      <c r="E35" s="486"/>
      <c r="F35" s="486"/>
      <c r="G35" s="486"/>
      <c r="H35" s="486"/>
      <c r="I35" s="503">
        <v>153252564</v>
      </c>
    </row>
    <row r="36" spans="1:9" ht="28.5" customHeight="1">
      <c r="A36" s="466" t="s">
        <v>244</v>
      </c>
      <c r="B36" s="474" t="s">
        <v>129</v>
      </c>
      <c r="C36" s="503">
        <v>138640659</v>
      </c>
      <c r="D36" s="486"/>
      <c r="E36" s="486"/>
      <c r="F36" s="486"/>
      <c r="G36" s="486"/>
      <c r="H36" s="486"/>
      <c r="I36" s="503">
        <v>61866739</v>
      </c>
    </row>
    <row r="37" spans="1:9" ht="28.5" customHeight="1">
      <c r="A37" s="466" t="s">
        <v>248</v>
      </c>
      <c r="B37" s="474" t="s">
        <v>131</v>
      </c>
      <c r="C37" s="503">
        <v>35869509</v>
      </c>
      <c r="D37" s="486"/>
      <c r="E37" s="486"/>
      <c r="F37" s="486"/>
      <c r="G37" s="486"/>
      <c r="H37" s="486"/>
      <c r="I37" s="503">
        <v>28448988</v>
      </c>
    </row>
    <row r="38" spans="1:9" ht="28.5" customHeight="1">
      <c r="A38" s="466" t="s">
        <v>249</v>
      </c>
      <c r="B38" s="474" t="s">
        <v>133</v>
      </c>
      <c r="C38" s="503">
        <v>58906369</v>
      </c>
      <c r="D38" s="486"/>
      <c r="E38" s="486"/>
      <c r="F38" s="486"/>
      <c r="G38" s="486"/>
      <c r="H38" s="486"/>
      <c r="I38" s="503">
        <v>77168139</v>
      </c>
    </row>
    <row r="39" spans="1:9" ht="28.5" customHeight="1">
      <c r="A39" s="466" t="s">
        <v>278</v>
      </c>
      <c r="B39" s="474" t="s">
        <v>135</v>
      </c>
      <c r="C39" s="503">
        <v>12249247</v>
      </c>
      <c r="D39" s="486"/>
      <c r="E39" s="486"/>
      <c r="F39" s="486"/>
      <c r="G39" s="486"/>
      <c r="H39" s="486"/>
      <c r="I39" s="503">
        <v>11629533</v>
      </c>
    </row>
    <row r="40" spans="1:9" ht="28.5" customHeight="1">
      <c r="A40" s="466" t="s">
        <v>842</v>
      </c>
      <c r="B40" s="474" t="s">
        <v>137</v>
      </c>
      <c r="C40" s="503">
        <v>22019688</v>
      </c>
      <c r="D40" s="486"/>
      <c r="E40" s="486"/>
      <c r="F40" s="486"/>
      <c r="G40" s="486"/>
      <c r="H40" s="486"/>
      <c r="I40" s="503">
        <v>56254474</v>
      </c>
    </row>
    <row r="41" spans="1:9" ht="28.5" customHeight="1">
      <c r="A41" s="466" t="s">
        <v>843</v>
      </c>
      <c r="B41" s="474" t="s">
        <v>175</v>
      </c>
      <c r="C41" s="503">
        <v>41985403</v>
      </c>
      <c r="D41" s="486"/>
      <c r="E41" s="486"/>
      <c r="F41" s="486"/>
      <c r="G41" s="486"/>
      <c r="H41" s="486"/>
      <c r="I41" s="503">
        <v>88783758</v>
      </c>
    </row>
    <row r="42" spans="1:9" ht="19.5" customHeight="1">
      <c r="A42" s="484">
        <v>2</v>
      </c>
      <c r="B42" s="484" t="s">
        <v>164</v>
      </c>
      <c r="C42" s="484">
        <f>SUM(C44:C48)</f>
        <v>66034761</v>
      </c>
      <c r="D42" s="484">
        <f t="shared" ref="D42:H42" si="4">SUM(D44:D48)</f>
        <v>0</v>
      </c>
      <c r="E42" s="484">
        <f t="shared" si="4"/>
        <v>0</v>
      </c>
      <c r="F42" s="484">
        <f t="shared" si="4"/>
        <v>0</v>
      </c>
      <c r="G42" s="484">
        <f t="shared" si="4"/>
        <v>0</v>
      </c>
      <c r="H42" s="484">
        <f t="shared" si="4"/>
        <v>0</v>
      </c>
      <c r="I42" s="484">
        <f>SUM(I44:I48)</f>
        <v>130391055</v>
      </c>
    </row>
    <row r="43" spans="1:9" ht="19.5" customHeight="1">
      <c r="A43" s="226"/>
      <c r="B43" s="473" t="s">
        <v>90</v>
      </c>
      <c r="C43" s="477"/>
      <c r="D43" s="147"/>
      <c r="E43" s="147"/>
      <c r="F43" s="147"/>
      <c r="G43" s="147"/>
      <c r="H43" s="147"/>
      <c r="I43" s="147"/>
    </row>
    <row r="44" spans="1:9" ht="28.5" customHeight="1">
      <c r="A44" s="466" t="s">
        <v>255</v>
      </c>
      <c r="B44" s="474" t="s">
        <v>844</v>
      </c>
      <c r="C44" s="529">
        <v>22056001</v>
      </c>
      <c r="D44" s="486"/>
      <c r="E44" s="486"/>
      <c r="F44" s="486"/>
      <c r="G44" s="486"/>
      <c r="H44" s="486"/>
      <c r="I44" s="503">
        <v>88355158</v>
      </c>
    </row>
    <row r="45" spans="1:9" ht="28.5" customHeight="1">
      <c r="A45" s="466" t="s">
        <v>256</v>
      </c>
      <c r="B45" s="474" t="s">
        <v>845</v>
      </c>
      <c r="C45" s="529">
        <v>5708038</v>
      </c>
      <c r="D45" s="486"/>
      <c r="E45" s="486"/>
      <c r="F45" s="486"/>
      <c r="G45" s="486"/>
      <c r="H45" s="486"/>
      <c r="I45" s="503">
        <v>7624891</v>
      </c>
    </row>
    <row r="46" spans="1:9" ht="28.5" customHeight="1">
      <c r="A46" s="466" t="s">
        <v>258</v>
      </c>
      <c r="B46" s="474" t="s">
        <v>846</v>
      </c>
      <c r="C46" s="529">
        <v>24287112</v>
      </c>
      <c r="D46" s="486"/>
      <c r="E46" s="486"/>
      <c r="F46" s="486"/>
      <c r="G46" s="486"/>
      <c r="H46" s="486"/>
      <c r="I46" s="503">
        <v>19089072</v>
      </c>
    </row>
    <row r="47" spans="1:9" ht="28.5" customHeight="1">
      <c r="A47" s="466" t="s">
        <v>260</v>
      </c>
      <c r="B47" s="474" t="s">
        <v>625</v>
      </c>
      <c r="C47" s="529">
        <v>8853281</v>
      </c>
      <c r="D47" s="486"/>
      <c r="E47" s="486"/>
      <c r="F47" s="486"/>
      <c r="G47" s="486"/>
      <c r="H47" s="486"/>
      <c r="I47" s="503">
        <v>13027278</v>
      </c>
    </row>
    <row r="48" spans="1:9" ht="28.5" customHeight="1">
      <c r="A48" s="466" t="s">
        <v>619</v>
      </c>
      <c r="B48" s="474" t="s">
        <v>613</v>
      </c>
      <c r="C48" s="529">
        <v>5130329</v>
      </c>
      <c r="D48" s="486"/>
      <c r="E48" s="486"/>
      <c r="F48" s="486"/>
      <c r="G48" s="486"/>
      <c r="H48" s="486"/>
      <c r="I48" s="503">
        <v>2294656</v>
      </c>
    </row>
    <row r="49" spans="1:10" ht="19.5" customHeight="1">
      <c r="A49" s="484">
        <v>3</v>
      </c>
      <c r="B49" s="484" t="s">
        <v>279</v>
      </c>
      <c r="C49" s="484">
        <f>+C42+C32</f>
        <v>1297012580</v>
      </c>
      <c r="D49" s="484">
        <f t="shared" ref="D49:H49" si="5">+D42+D32</f>
        <v>0</v>
      </c>
      <c r="E49" s="484">
        <f t="shared" si="5"/>
        <v>0</v>
      </c>
      <c r="F49" s="484">
        <f t="shared" si="5"/>
        <v>0</v>
      </c>
      <c r="G49" s="484">
        <f t="shared" si="5"/>
        <v>0</v>
      </c>
      <c r="H49" s="484">
        <f t="shared" si="5"/>
        <v>0</v>
      </c>
      <c r="I49" s="484">
        <f>+I42+I32</f>
        <v>1106518681</v>
      </c>
    </row>
    <row r="51" spans="1:10" ht="15.75">
      <c r="A51" s="66"/>
      <c r="B51" s="72" t="s">
        <v>0</v>
      </c>
      <c r="J51" s="66"/>
    </row>
    <row r="52" spans="1:10" ht="15.75">
      <c r="A52" s="66"/>
      <c r="B52" s="72"/>
      <c r="J52" s="66"/>
    </row>
    <row r="53" spans="1:10" ht="15.75">
      <c r="A53" s="66"/>
      <c r="B53" s="72" t="s">
        <v>1</v>
      </c>
      <c r="J53" s="66"/>
    </row>
  </sheetData>
  <sheetProtection sheet="1" objects="1" scenarios="1"/>
  <mergeCells count="18">
    <mergeCell ref="A1:I1"/>
    <mergeCell ref="A4:A6"/>
    <mergeCell ref="B4:B6"/>
    <mergeCell ref="C4:C6"/>
    <mergeCell ref="D4:I4"/>
    <mergeCell ref="J4:J6"/>
    <mergeCell ref="D5:E5"/>
    <mergeCell ref="F5:G5"/>
    <mergeCell ref="H5:I5"/>
    <mergeCell ref="I3:J3"/>
    <mergeCell ref="I28:I30"/>
    <mergeCell ref="D29:E29"/>
    <mergeCell ref="F29:G29"/>
    <mergeCell ref="A28:A30"/>
    <mergeCell ref="B28:B30"/>
    <mergeCell ref="C28:C30"/>
    <mergeCell ref="D28:G28"/>
    <mergeCell ref="H28:H30"/>
  </mergeCells>
  <phoneticPr fontId="16" type="noConversion"/>
  <dataValidations count="1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D19:J19 D9:J9 D33:I33 D43:I43" xr:uid="{00000000-0002-0000-0900-000000000000}">
      <formula1>-1E+22</formula1>
      <formula2>1E+22</formula2>
    </dataValidation>
  </dataValidations>
  <printOptions horizontalCentered="1"/>
  <pageMargins left="0.27559055118110237" right="0.27559055118110237" top="0.84" bottom="0.98425196850393704" header="0.51181102362204722" footer="0.51181102362204722"/>
  <pageSetup paperSize="9" scale="54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23">
    <pageSetUpPr fitToPage="1"/>
  </sheetPr>
  <dimension ref="A1:L59"/>
  <sheetViews>
    <sheetView topLeftCell="A4" zoomScale="75" zoomScaleNormal="75" zoomScaleSheetLayoutView="70" workbookViewId="0">
      <pane xSplit="2" ySplit="3" topLeftCell="C7" activePane="bottomRight" state="frozen"/>
      <selection activeCell="C73" sqref="C73"/>
      <selection pane="topRight" activeCell="C73" sqref="C73"/>
      <selection pane="bottomLeft" activeCell="C73" sqref="C73"/>
      <selection pane="bottomRight" activeCell="S70" sqref="S70"/>
    </sheetView>
  </sheetViews>
  <sheetFormatPr defaultRowHeight="15.75"/>
  <cols>
    <col min="1" max="1" width="10.140625" style="109" customWidth="1"/>
    <col min="2" max="2" width="52" style="109" customWidth="1"/>
    <col min="3" max="3" width="18.5703125" style="109" customWidth="1"/>
    <col min="4" max="4" width="20.42578125" style="160" customWidth="1"/>
    <col min="5" max="5" width="18.5703125" style="109" customWidth="1"/>
    <col min="6" max="6" width="20.42578125" style="109" customWidth="1"/>
    <col min="7" max="7" width="18.5703125" style="109" customWidth="1"/>
    <col min="8" max="8" width="20.42578125" style="109" customWidth="1"/>
    <col min="9" max="9" width="9.140625" style="109"/>
    <col min="10" max="12" width="16.85546875" style="109" customWidth="1"/>
    <col min="13" max="16384" width="9.140625" style="109"/>
  </cols>
  <sheetData>
    <row r="1" spans="1:12" s="114" customFormat="1" ht="37.5" customHeight="1">
      <c r="A1" s="607" t="s">
        <v>631</v>
      </c>
      <c r="B1" s="607"/>
      <c r="C1" s="607"/>
      <c r="D1" s="607"/>
      <c r="E1" s="607"/>
      <c r="F1" s="607"/>
      <c r="G1" s="607"/>
      <c r="H1" s="49" t="s">
        <v>592</v>
      </c>
    </row>
    <row r="2" spans="1:12" ht="19.5" customHeight="1">
      <c r="B2" s="608"/>
      <c r="C2" s="608"/>
      <c r="D2" s="608"/>
      <c r="E2" s="608"/>
      <c r="F2" s="608"/>
      <c r="G2" s="608"/>
      <c r="H2" s="608"/>
    </row>
    <row r="3" spans="1:12" ht="19.5" customHeight="1">
      <c r="B3" s="138" t="str">
        <f>+'Asset quality'!B3</f>
        <v>"Ўзсаноатқурилишбанк" АТБ</v>
      </c>
      <c r="C3" s="148"/>
      <c r="D3" s="158"/>
      <c r="F3" s="616">
        <f>+'Asset quality'!P3</f>
        <v>44560</v>
      </c>
      <c r="G3" s="616"/>
      <c r="H3" s="139" t="s">
        <v>382</v>
      </c>
    </row>
    <row r="4" spans="1:12" s="110" customFormat="1" ht="29.25" customHeight="1">
      <c r="A4" s="600" t="s">
        <v>83</v>
      </c>
      <c r="B4" s="600" t="s">
        <v>615</v>
      </c>
      <c r="C4" s="609" t="s">
        <v>605</v>
      </c>
      <c r="D4" s="610"/>
      <c r="E4" s="613" t="s">
        <v>606</v>
      </c>
      <c r="F4" s="614"/>
      <c r="G4" s="614"/>
      <c r="H4" s="615"/>
    </row>
    <row r="5" spans="1:12" s="110" customFormat="1" ht="30" customHeight="1">
      <c r="A5" s="601"/>
      <c r="B5" s="601"/>
      <c r="C5" s="611"/>
      <c r="D5" s="612"/>
      <c r="E5" s="613" t="s">
        <v>617</v>
      </c>
      <c r="F5" s="615"/>
      <c r="G5" s="613" t="s">
        <v>197</v>
      </c>
      <c r="H5" s="615"/>
    </row>
    <row r="6" spans="1:12" s="110" customFormat="1" ht="55.5" customHeight="1">
      <c r="A6" s="601"/>
      <c r="B6" s="602"/>
      <c r="C6" s="176" t="s">
        <v>614</v>
      </c>
      <c r="D6" s="176" t="s">
        <v>609</v>
      </c>
      <c r="E6" s="176" t="s">
        <v>614</v>
      </c>
      <c r="F6" s="176" t="s">
        <v>609</v>
      </c>
      <c r="G6" s="176" t="s">
        <v>614</v>
      </c>
      <c r="H6" s="176" t="s">
        <v>609</v>
      </c>
    </row>
    <row r="7" spans="1:12" s="110" customFormat="1">
      <c r="A7" s="602"/>
      <c r="B7" s="176" t="s">
        <v>182</v>
      </c>
      <c r="C7" s="176" t="s">
        <v>183</v>
      </c>
      <c r="D7" s="176" t="s">
        <v>195</v>
      </c>
      <c r="E7" s="176" t="s">
        <v>184</v>
      </c>
      <c r="F7" s="176" t="s">
        <v>185</v>
      </c>
      <c r="G7" s="176" t="s">
        <v>196</v>
      </c>
      <c r="H7" s="176" t="s">
        <v>186</v>
      </c>
    </row>
    <row r="8" spans="1:12" s="110" customFormat="1" ht="24" customHeight="1">
      <c r="A8" s="127">
        <v>1</v>
      </c>
      <c r="B8" s="179" t="s">
        <v>651</v>
      </c>
      <c r="C8" s="246">
        <f>SUM(C10:C14)</f>
        <v>2600627150</v>
      </c>
      <c r="D8" s="247">
        <f>IFERROR(((C10*D10)/C8)+((C11*D11)/C8)+((C12*D12)/C8)+((C13*D13)/C8)+((C14*D14)/C8),0)</f>
        <v>8.2677528255104257E-2</v>
      </c>
      <c r="E8" s="246">
        <f>SUM(E10:E14)</f>
        <v>2600627150</v>
      </c>
      <c r="F8" s="247">
        <f>IFERROR(((E10*F10)/E8)+((E11*F11)/E8)+((E12*F12)/E8)+((E13*F13)/E8)+((E14*F14)/E8),0)</f>
        <v>8.2677528255104257E-2</v>
      </c>
      <c r="G8" s="246">
        <f>SUM(G10:G14)</f>
        <v>0</v>
      </c>
      <c r="H8" s="247">
        <f>IFERROR(((G10*H10)/G8)+((G11*H11)/G8)+((G12*H12)/G8)+((G13*H13)/G8)+((G14*H14)/G8),0)</f>
        <v>0</v>
      </c>
      <c r="J8" s="392">
        <f>+C8+C16+C24+C33</f>
        <v>43147807488</v>
      </c>
      <c r="K8" s="392">
        <f>+E8+E16+E24+E33</f>
        <v>15072978336</v>
      </c>
      <c r="L8" s="392">
        <f>+G8+G16+G24+G33</f>
        <v>28074829152</v>
      </c>
    </row>
    <row r="9" spans="1:12" s="110" customFormat="1" ht="17.25" customHeight="1">
      <c r="A9" s="127"/>
      <c r="B9" s="180" t="s">
        <v>616</v>
      </c>
      <c r="C9" s="244"/>
      <c r="D9" s="149"/>
      <c r="E9" s="244"/>
      <c r="F9" s="149"/>
      <c r="G9" s="244"/>
      <c r="H9" s="149"/>
      <c r="J9" s="392">
        <f>+'loans type'!C8</f>
        <v>43147807488</v>
      </c>
      <c r="K9" s="392">
        <f>+'loans type'!E8</f>
        <v>15072978336</v>
      </c>
      <c r="L9" s="392">
        <f>+'loans type'!G8</f>
        <v>28074829152</v>
      </c>
    </row>
    <row r="10" spans="1:12" s="110" customFormat="1" ht="24" customHeight="1">
      <c r="A10" s="113" t="s">
        <v>242</v>
      </c>
      <c r="B10" s="181" t="s">
        <v>607</v>
      </c>
      <c r="C10" s="244">
        <f>+E10+G10</f>
        <v>2476313760</v>
      </c>
      <c r="D10" s="162">
        <v>8.0040953541667834E-2</v>
      </c>
      <c r="E10" s="245">
        <v>2476313760</v>
      </c>
      <c r="F10" s="162">
        <v>8.0040953541667834E-2</v>
      </c>
      <c r="G10" s="245">
        <v>0</v>
      </c>
      <c r="H10" s="162">
        <v>0</v>
      </c>
      <c r="J10" s="392">
        <f>+J8-J9</f>
        <v>0</v>
      </c>
      <c r="K10" s="392">
        <f t="shared" ref="K10:L10" si="0">+K8-K9</f>
        <v>0</v>
      </c>
      <c r="L10" s="392">
        <f t="shared" si="0"/>
        <v>0</v>
      </c>
    </row>
    <row r="11" spans="1:12" s="110" customFormat="1" ht="24" customHeight="1">
      <c r="A11" s="113" t="s">
        <v>243</v>
      </c>
      <c r="B11" s="181" t="s">
        <v>608</v>
      </c>
      <c r="C11" s="244">
        <f t="shared" ref="C11:C14" si="1">+E11+G11</f>
        <v>84856149</v>
      </c>
      <c r="D11" s="162">
        <v>0.15439924160420937</v>
      </c>
      <c r="E11" s="245">
        <v>84856149</v>
      </c>
      <c r="F11" s="162">
        <v>0.15439924160420937</v>
      </c>
      <c r="G11" s="245">
        <v>0</v>
      </c>
      <c r="H11" s="162">
        <v>0</v>
      </c>
    </row>
    <row r="12" spans="1:12" s="110" customFormat="1" ht="24" customHeight="1">
      <c r="A12" s="113" t="s">
        <v>244</v>
      </c>
      <c r="B12" s="181" t="s">
        <v>761</v>
      </c>
      <c r="C12" s="244">
        <f t="shared" si="1"/>
        <v>71589</v>
      </c>
      <c r="D12" s="162">
        <v>0.1373583551188032</v>
      </c>
      <c r="E12" s="245">
        <v>71589</v>
      </c>
      <c r="F12" s="162">
        <v>0.1373583551188032</v>
      </c>
      <c r="G12" s="245">
        <v>0</v>
      </c>
      <c r="H12" s="162">
        <v>0</v>
      </c>
    </row>
    <row r="13" spans="1:12" s="110" customFormat="1" ht="24" customHeight="1">
      <c r="A13" s="113" t="s">
        <v>248</v>
      </c>
      <c r="B13" s="181" t="s">
        <v>625</v>
      </c>
      <c r="C13" s="244">
        <f t="shared" si="1"/>
        <v>2667442</v>
      </c>
      <c r="D13" s="162">
        <v>5.8657483832900627E-2</v>
      </c>
      <c r="E13" s="245">
        <v>2667442</v>
      </c>
      <c r="F13" s="162">
        <v>5.8657483832900627E-2</v>
      </c>
      <c r="G13" s="245">
        <v>0</v>
      </c>
      <c r="H13" s="162">
        <v>0</v>
      </c>
    </row>
    <row r="14" spans="1:12" s="110" customFormat="1" ht="24" customHeight="1">
      <c r="A14" s="113" t="s">
        <v>249</v>
      </c>
      <c r="B14" s="181" t="s">
        <v>613</v>
      </c>
      <c r="C14" s="244">
        <f t="shared" si="1"/>
        <v>36718210</v>
      </c>
      <c r="D14" s="162">
        <v>9.6379595357041895E-2</v>
      </c>
      <c r="E14" s="245">
        <v>36718210</v>
      </c>
      <c r="F14" s="162">
        <v>9.6379595357041895E-2</v>
      </c>
      <c r="G14" s="245">
        <v>0</v>
      </c>
      <c r="H14" s="162">
        <v>0</v>
      </c>
    </row>
    <row r="15" spans="1:12" s="110" customFormat="1">
      <c r="A15" s="111"/>
      <c r="B15" s="182"/>
      <c r="C15" s="244"/>
      <c r="D15" s="159"/>
      <c r="E15" s="244"/>
      <c r="F15" s="161"/>
      <c r="G15" s="244"/>
      <c r="H15" s="161"/>
    </row>
    <row r="16" spans="1:12" s="110" customFormat="1" ht="24" customHeight="1">
      <c r="A16" s="124">
        <v>2</v>
      </c>
      <c r="B16" s="179" t="s">
        <v>653</v>
      </c>
      <c r="C16" s="246">
        <f>SUM(C18:C22)</f>
        <v>1659252178</v>
      </c>
      <c r="D16" s="247">
        <f>IFERROR(((C18*D18)/C16)+((C19*D19)/C16)+((C20*D20)/C16)+((C21*D21)/C16)+((C22*D22)/C16),0)</f>
        <v>0.21737507247655197</v>
      </c>
      <c r="E16" s="246">
        <f>SUM(E18:E22)</f>
        <v>1659252178</v>
      </c>
      <c r="F16" s="247">
        <f>IFERROR(((E18*F18)/E16)+((E19*F19)/E16)+((E20*F20)/E16)+((E21*F21)/E16)+((E22*F22)/E16),0)</f>
        <v>0.21737507247655197</v>
      </c>
      <c r="G16" s="246">
        <f>SUM(G18:G22)</f>
        <v>0</v>
      </c>
      <c r="H16" s="247">
        <f>IFERROR(((G18*H18)/G16)+((G19*H19)/G16)+((G20*H20)/G16)+((G21*H21)/G16)+((G22*H22)/G16),0)</f>
        <v>0</v>
      </c>
    </row>
    <row r="17" spans="1:8" s="110" customFormat="1" ht="17.25" customHeight="1">
      <c r="A17" s="112"/>
      <c r="B17" s="180" t="s">
        <v>616</v>
      </c>
      <c r="C17" s="244"/>
      <c r="D17" s="149"/>
      <c r="E17" s="244"/>
      <c r="F17" s="149"/>
      <c r="G17" s="244"/>
      <c r="H17" s="149"/>
    </row>
    <row r="18" spans="1:8" s="110" customFormat="1" ht="24" customHeight="1">
      <c r="A18" s="113" t="s">
        <v>255</v>
      </c>
      <c r="B18" s="181" t="s">
        <v>607</v>
      </c>
      <c r="C18" s="244">
        <f t="shared" ref="C18:C22" si="2">+E18+G18</f>
        <v>795280014</v>
      </c>
      <c r="D18" s="162">
        <v>0.17584162107718673</v>
      </c>
      <c r="E18" s="245">
        <v>795280014</v>
      </c>
      <c r="F18" s="162">
        <v>0.17584162107718673</v>
      </c>
      <c r="G18" s="245">
        <v>0</v>
      </c>
      <c r="H18" s="162">
        <v>0</v>
      </c>
    </row>
    <row r="19" spans="1:8" s="110" customFormat="1" ht="24" customHeight="1">
      <c r="A19" s="113" t="s">
        <v>256</v>
      </c>
      <c r="B19" s="181" t="s">
        <v>608</v>
      </c>
      <c r="C19" s="244">
        <f t="shared" si="2"/>
        <v>360802638</v>
      </c>
      <c r="D19" s="162">
        <v>0.23689946931914649</v>
      </c>
      <c r="E19" s="245">
        <v>360802638</v>
      </c>
      <c r="F19" s="162">
        <v>0.23689946931914649</v>
      </c>
      <c r="G19" s="245">
        <v>0</v>
      </c>
      <c r="H19" s="162">
        <v>0</v>
      </c>
    </row>
    <row r="20" spans="1:8" s="110" customFormat="1" ht="24" customHeight="1">
      <c r="A20" s="113" t="s">
        <v>258</v>
      </c>
      <c r="B20" s="181" t="s">
        <v>761</v>
      </c>
      <c r="C20" s="244">
        <f t="shared" si="2"/>
        <v>445050303</v>
      </c>
      <c r="D20" s="162">
        <v>0.26433030703502225</v>
      </c>
      <c r="E20" s="245">
        <v>445050303</v>
      </c>
      <c r="F20" s="162">
        <v>0.26433030703502225</v>
      </c>
      <c r="G20" s="245">
        <v>0</v>
      </c>
      <c r="H20" s="162">
        <v>0</v>
      </c>
    </row>
    <row r="21" spans="1:8" s="110" customFormat="1" ht="24" customHeight="1">
      <c r="A21" s="113" t="s">
        <v>260</v>
      </c>
      <c r="B21" s="181" t="s">
        <v>625</v>
      </c>
      <c r="C21" s="244">
        <f t="shared" si="2"/>
        <v>57119421</v>
      </c>
      <c r="D21" s="162">
        <v>0.30692769300615413</v>
      </c>
      <c r="E21" s="245">
        <v>57119421</v>
      </c>
      <c r="F21" s="162">
        <v>0.30692769300615413</v>
      </c>
      <c r="G21" s="245">
        <v>0</v>
      </c>
      <c r="H21" s="162">
        <v>0</v>
      </c>
    </row>
    <row r="22" spans="1:8" s="110" customFormat="1" ht="24" customHeight="1">
      <c r="A22" s="113" t="s">
        <v>619</v>
      </c>
      <c r="B22" s="181" t="s">
        <v>613</v>
      </c>
      <c r="C22" s="244">
        <f t="shared" si="2"/>
        <v>999802</v>
      </c>
      <c r="D22" s="162">
        <v>0.19100457393954007</v>
      </c>
      <c r="E22" s="245">
        <v>999802</v>
      </c>
      <c r="F22" s="162">
        <v>0.19100457393954007</v>
      </c>
      <c r="G22" s="245">
        <v>0</v>
      </c>
      <c r="H22" s="162">
        <v>0</v>
      </c>
    </row>
    <row r="23" spans="1:8" s="110" customFormat="1">
      <c r="A23" s="111"/>
      <c r="B23" s="182"/>
      <c r="C23" s="244"/>
      <c r="D23" s="159"/>
      <c r="E23" s="244"/>
      <c r="F23" s="161"/>
      <c r="G23" s="244"/>
      <c r="H23" s="161"/>
    </row>
    <row r="24" spans="1:8" s="110" customFormat="1" ht="36.75" customHeight="1">
      <c r="A24" s="124">
        <v>3</v>
      </c>
      <c r="B24" s="179" t="s">
        <v>652</v>
      </c>
      <c r="C24" s="246">
        <f>SUM(C26:C31)</f>
        <v>13380452842</v>
      </c>
      <c r="D24" s="247">
        <f>IFERROR(((C26*D26)/C24)+((C27*D27)/C24)+((C28*D28)/C24)+((C29*D29)/C24)+((C30*D30)/C24)+((C31*D31)/C24),0)</f>
        <v>6.2633394907714635E-2</v>
      </c>
      <c r="E24" s="246">
        <f>SUM(E26:E31)</f>
        <v>4472913165</v>
      </c>
      <c r="F24" s="247">
        <f>IFERROR(((E26*F26)/E24)+((E27*F27)/E24)+((E28*F28)/E24)+((E29*F29)/E24)+((E30*F30)/E24)+((E31*F31)/E24),0)</f>
        <v>0.1151046000456198</v>
      </c>
      <c r="G24" s="246">
        <f>SUM(G26:G31)</f>
        <v>8907539677</v>
      </c>
      <c r="H24" s="247">
        <f>IFERROR(((G26*H26)/G24)+((G27*H27)/G24)+((G28*H28)/G24)+((G29*H29)/G24)+((G30*H30)/G24)+((G31*H31)/G24),0)</f>
        <v>3.6285025688460419E-2</v>
      </c>
    </row>
    <row r="25" spans="1:8" s="110" customFormat="1">
      <c r="A25" s="112"/>
      <c r="B25" s="180" t="s">
        <v>616</v>
      </c>
      <c r="C25" s="244"/>
      <c r="D25" s="161"/>
      <c r="E25" s="244"/>
      <c r="F25" s="161"/>
      <c r="G25" s="244"/>
      <c r="H25" s="161"/>
    </row>
    <row r="26" spans="1:8" s="110" customFormat="1" ht="24" customHeight="1">
      <c r="A26" s="113" t="s">
        <v>263</v>
      </c>
      <c r="B26" s="182" t="s">
        <v>626</v>
      </c>
      <c r="C26" s="244">
        <f t="shared" ref="C26:C31" si="3">+E26+G26</f>
        <v>369386</v>
      </c>
      <c r="D26" s="162">
        <v>9.8572783769281996E-2</v>
      </c>
      <c r="E26" s="245">
        <v>369386</v>
      </c>
      <c r="F26" s="162">
        <v>9.8572783769281996E-2</v>
      </c>
      <c r="G26" s="245">
        <v>0</v>
      </c>
      <c r="H26" s="162">
        <v>0</v>
      </c>
    </row>
    <row r="27" spans="1:8" s="110" customFormat="1" ht="24" customHeight="1">
      <c r="A27" s="113" t="s">
        <v>264</v>
      </c>
      <c r="B27" s="182" t="s">
        <v>627</v>
      </c>
      <c r="C27" s="244">
        <f t="shared" si="3"/>
        <v>0</v>
      </c>
      <c r="D27" s="162">
        <v>0</v>
      </c>
      <c r="E27" s="245">
        <v>0</v>
      </c>
      <c r="F27" s="162">
        <v>0</v>
      </c>
      <c r="G27" s="245">
        <v>0</v>
      </c>
      <c r="H27" s="162">
        <v>0</v>
      </c>
    </row>
    <row r="28" spans="1:8" s="110" customFormat="1" ht="24" customHeight="1">
      <c r="A28" s="113" t="s">
        <v>265</v>
      </c>
      <c r="B28" s="182" t="s">
        <v>628</v>
      </c>
      <c r="C28" s="244">
        <f t="shared" si="3"/>
        <v>0</v>
      </c>
      <c r="D28" s="162">
        <v>0</v>
      </c>
      <c r="E28" s="245">
        <v>0</v>
      </c>
      <c r="F28" s="162">
        <v>0</v>
      </c>
      <c r="G28" s="245">
        <v>0</v>
      </c>
      <c r="H28" s="162">
        <v>0</v>
      </c>
    </row>
    <row r="29" spans="1:8" s="110" customFormat="1" ht="32.25" customHeight="1">
      <c r="A29" s="113" t="s">
        <v>266</v>
      </c>
      <c r="B29" s="182" t="s">
        <v>629</v>
      </c>
      <c r="C29" s="244">
        <f t="shared" si="3"/>
        <v>181613000</v>
      </c>
      <c r="D29" s="162">
        <v>3.5000000000000003E-2</v>
      </c>
      <c r="E29" s="245">
        <v>181613000</v>
      </c>
      <c r="F29" s="162">
        <v>3.5000000000000003E-2</v>
      </c>
      <c r="G29" s="245">
        <v>0</v>
      </c>
      <c r="H29" s="162">
        <v>0</v>
      </c>
    </row>
    <row r="30" spans="1:8" s="110" customFormat="1" ht="32.25" customHeight="1">
      <c r="A30" s="113" t="s">
        <v>268</v>
      </c>
      <c r="B30" s="182" t="s">
        <v>630</v>
      </c>
      <c r="C30" s="244">
        <f t="shared" si="3"/>
        <v>0</v>
      </c>
      <c r="D30" s="162">
        <v>0</v>
      </c>
      <c r="E30" s="245">
        <v>0</v>
      </c>
      <c r="F30" s="162">
        <v>0</v>
      </c>
      <c r="G30" s="245">
        <v>0</v>
      </c>
      <c r="H30" s="162">
        <v>0</v>
      </c>
    </row>
    <row r="31" spans="1:8" s="110" customFormat="1" ht="32.25" customHeight="1">
      <c r="A31" s="113" t="s">
        <v>269</v>
      </c>
      <c r="B31" s="181" t="s">
        <v>618</v>
      </c>
      <c r="C31" s="244">
        <f t="shared" si="3"/>
        <v>13198470456</v>
      </c>
      <c r="D31" s="162">
        <v>6.3012628869632201E-2</v>
      </c>
      <c r="E31" s="245">
        <v>4290930779</v>
      </c>
      <c r="F31" s="162">
        <v>0.11849643834345504</v>
      </c>
      <c r="G31" s="245">
        <v>8907539677</v>
      </c>
      <c r="H31" s="162">
        <v>3.6285025688460419E-2</v>
      </c>
    </row>
    <row r="32" spans="1:8" s="110" customFormat="1">
      <c r="A32" s="111"/>
      <c r="B32" s="182"/>
      <c r="C32" s="244"/>
      <c r="D32" s="159"/>
      <c r="E32" s="244"/>
      <c r="F32" s="161"/>
      <c r="G32" s="244"/>
      <c r="H32" s="161"/>
    </row>
    <row r="33" spans="1:10" s="110" customFormat="1" ht="36.75" customHeight="1">
      <c r="A33" s="124">
        <v>4</v>
      </c>
      <c r="B33" s="179" t="s">
        <v>654</v>
      </c>
      <c r="C33" s="246">
        <f>SUM(C35:C40)</f>
        <v>25507475318</v>
      </c>
      <c r="D33" s="247">
        <f>IFERROR(((C35*D35)/C33)+((C36*D36)/C33)+((C37*D37)/C33)+((C38*D38)/C33)+((C39*D39)/C33)+((C40*D40)/C33),0)</f>
        <v>0.10049837823994651</v>
      </c>
      <c r="E33" s="246">
        <f>SUM(E35:E40)</f>
        <v>6340185843</v>
      </c>
      <c r="F33" s="247">
        <f>IFERROR(((E35*F35)/E33)+((E36*F36)/E33)+((E37*F37)/E33)+((E38*F38)/E33)+((E39*F39)/E33)+((E40*F40)/E33),0)</f>
        <v>0.21048581434277031</v>
      </c>
      <c r="G33" s="246">
        <f>SUM(G35:G40)</f>
        <v>19167289475</v>
      </c>
      <c r="H33" s="247">
        <f>IFERROR(((G35*H35)/G33)+((G36*H36)/G33)+((G37*H37)/G33)+((G38*H38)/G33)+((G39*H39)/G33)+((G40*H40)/G33),0)</f>
        <v>6.5154917502205936E-2</v>
      </c>
    </row>
    <row r="34" spans="1:10" s="110" customFormat="1">
      <c r="A34" s="112"/>
      <c r="B34" s="180" t="s">
        <v>616</v>
      </c>
      <c r="C34" s="244"/>
      <c r="D34" s="161"/>
      <c r="E34" s="244"/>
      <c r="F34" s="161"/>
      <c r="G34" s="244"/>
      <c r="H34" s="161"/>
    </row>
    <row r="35" spans="1:10" s="110" customFormat="1" ht="24" customHeight="1">
      <c r="A35" s="113" t="s">
        <v>559</v>
      </c>
      <c r="B35" s="182" t="s">
        <v>626</v>
      </c>
      <c r="C35" s="244">
        <f t="shared" ref="C35:C40" si="4">+E35+G35</f>
        <v>0</v>
      </c>
      <c r="D35" s="162">
        <v>0</v>
      </c>
      <c r="E35" s="245">
        <v>0</v>
      </c>
      <c r="F35" s="162">
        <v>0</v>
      </c>
      <c r="G35" s="245">
        <v>0</v>
      </c>
      <c r="H35" s="162">
        <v>0</v>
      </c>
    </row>
    <row r="36" spans="1:10" s="110" customFormat="1" ht="24" customHeight="1">
      <c r="A36" s="113" t="s">
        <v>560</v>
      </c>
      <c r="B36" s="182" t="s">
        <v>627</v>
      </c>
      <c r="C36" s="244">
        <f t="shared" si="4"/>
        <v>984198411</v>
      </c>
      <c r="D36" s="162">
        <v>4.115002390823394E-2</v>
      </c>
      <c r="E36" s="245">
        <v>0</v>
      </c>
      <c r="F36" s="162">
        <v>0</v>
      </c>
      <c r="G36" s="245">
        <v>984198411</v>
      </c>
      <c r="H36" s="162">
        <v>4.1047940885176909E-2</v>
      </c>
    </row>
    <row r="37" spans="1:10" s="110" customFormat="1" ht="24" customHeight="1">
      <c r="A37" s="113" t="s">
        <v>655</v>
      </c>
      <c r="B37" s="182" t="s">
        <v>628</v>
      </c>
      <c r="C37" s="244">
        <f t="shared" si="4"/>
        <v>446251113</v>
      </c>
      <c r="D37" s="162">
        <v>8.7533663883625767E-2</v>
      </c>
      <c r="E37" s="245">
        <v>111699346</v>
      </c>
      <c r="F37" s="162">
        <v>0.17000000061950676</v>
      </c>
      <c r="G37" s="245">
        <v>334551767</v>
      </c>
      <c r="H37" s="162">
        <v>5.999999991721422E-2</v>
      </c>
    </row>
    <row r="38" spans="1:10" s="110" customFormat="1" ht="32.25" customHeight="1">
      <c r="A38" s="113" t="s">
        <v>656</v>
      </c>
      <c r="B38" s="182" t="s">
        <v>629</v>
      </c>
      <c r="C38" s="244">
        <f t="shared" si="4"/>
        <v>0</v>
      </c>
      <c r="D38" s="162">
        <v>0</v>
      </c>
      <c r="E38" s="245">
        <v>0</v>
      </c>
      <c r="F38" s="162">
        <v>0</v>
      </c>
      <c r="G38" s="245">
        <v>0</v>
      </c>
      <c r="H38" s="162">
        <v>0</v>
      </c>
    </row>
    <row r="39" spans="1:10" s="110" customFormat="1" ht="32.25" customHeight="1">
      <c r="A39" s="113" t="s">
        <v>657</v>
      </c>
      <c r="B39" s="182" t="s">
        <v>630</v>
      </c>
      <c r="C39" s="244">
        <f t="shared" si="4"/>
        <v>0</v>
      </c>
      <c r="D39" s="162">
        <v>0</v>
      </c>
      <c r="E39" s="245">
        <v>0</v>
      </c>
      <c r="F39" s="162">
        <v>0</v>
      </c>
      <c r="G39" s="245">
        <v>0</v>
      </c>
      <c r="H39" s="162">
        <v>0</v>
      </c>
    </row>
    <row r="40" spans="1:10" s="110" customFormat="1" ht="32.25" customHeight="1">
      <c r="A40" s="113" t="s">
        <v>658</v>
      </c>
      <c r="B40" s="181" t="s">
        <v>618</v>
      </c>
      <c r="C40" s="244">
        <f t="shared" si="4"/>
        <v>24077025794</v>
      </c>
      <c r="D40" s="162">
        <v>0.10316465748843946</v>
      </c>
      <c r="E40" s="245">
        <v>6228486497</v>
      </c>
      <c r="F40" s="162">
        <v>0.21121187177539771</v>
      </c>
      <c r="G40" s="245">
        <v>17848539297</v>
      </c>
      <c r="H40" s="162">
        <v>6.6580840063363095E-2</v>
      </c>
    </row>
    <row r="41" spans="1:10" s="16" customFormat="1" ht="12" customHeight="1">
      <c r="B41" s="25"/>
    </row>
    <row r="42" spans="1:10" s="16" customFormat="1" ht="12.75">
      <c r="B42" s="25"/>
    </row>
    <row r="43" spans="1:10" s="19" customFormat="1">
      <c r="A43" s="66"/>
      <c r="B43" s="72" t="s">
        <v>0</v>
      </c>
      <c r="J43" s="66"/>
    </row>
    <row r="44" spans="1:10" s="19" customFormat="1">
      <c r="A44" s="66"/>
      <c r="B44" s="72"/>
      <c r="J44" s="66"/>
    </row>
    <row r="45" spans="1:10" s="19" customFormat="1">
      <c r="A45" s="66"/>
      <c r="B45" s="72" t="s">
        <v>1</v>
      </c>
      <c r="J45" s="66"/>
    </row>
    <row r="46" spans="1:10" s="19" customFormat="1">
      <c r="A46" s="66"/>
      <c r="B46" s="72"/>
      <c r="J46" s="66"/>
    </row>
    <row r="47" spans="1:10">
      <c r="A47" s="261"/>
      <c r="B47" s="261" t="s">
        <v>152</v>
      </c>
      <c r="C47" s="266">
        <f>+C8+C16+C24+C33</f>
        <v>43147807488</v>
      </c>
      <c r="D47" s="266"/>
      <c r="E47" s="266">
        <f>+E8+E16+E24+E33</f>
        <v>15072978336</v>
      </c>
      <c r="F47" s="266"/>
      <c r="G47" s="266">
        <f>+G8+G16+G24+G33</f>
        <v>28074829152</v>
      </c>
      <c r="H47" s="262"/>
    </row>
    <row r="48" spans="1:10">
      <c r="A48" s="261"/>
      <c r="B48" s="262"/>
      <c r="C48" s="266">
        <f>+C50+C54</f>
        <v>43147807488</v>
      </c>
      <c r="D48" s="266"/>
      <c r="E48" s="266">
        <f>+E9+E17+E25+E34</f>
        <v>0</v>
      </c>
      <c r="F48" s="266"/>
      <c r="G48" s="266">
        <f>+G50+G54</f>
        <v>28074829152</v>
      </c>
      <c r="H48" s="262"/>
    </row>
    <row r="49" spans="1:8">
      <c r="A49" s="261"/>
      <c r="B49" s="261"/>
      <c r="C49" s="266"/>
      <c r="D49" s="266"/>
      <c r="E49" s="266"/>
      <c r="F49" s="266"/>
      <c r="G49" s="266"/>
      <c r="H49" s="262"/>
    </row>
    <row r="50" spans="1:8">
      <c r="A50" s="262"/>
      <c r="B50" s="261" t="s">
        <v>683</v>
      </c>
      <c r="C50" s="266">
        <f>+'Asset Classification'!C12</f>
        <v>4259879328</v>
      </c>
      <c r="D50" s="266"/>
      <c r="E50" s="266"/>
      <c r="F50" s="266"/>
      <c r="G50" s="266">
        <f>+'Asset Classification'!D12</f>
        <v>0</v>
      </c>
      <c r="H50" s="263"/>
    </row>
    <row r="51" spans="1:8">
      <c r="A51" s="262"/>
      <c r="B51" s="261"/>
      <c r="C51" s="266">
        <f>C8+C16</f>
        <v>4259879328</v>
      </c>
      <c r="D51" s="266"/>
      <c r="E51" s="266"/>
      <c r="F51" s="266"/>
      <c r="G51" s="266">
        <f>G8+G16</f>
        <v>0</v>
      </c>
      <c r="H51" s="263"/>
    </row>
    <row r="52" spans="1:8">
      <c r="A52" s="262"/>
      <c r="B52" s="261"/>
      <c r="C52" s="266">
        <f>+C50-C51</f>
        <v>0</v>
      </c>
      <c r="D52" s="266"/>
      <c r="E52" s="266"/>
      <c r="F52" s="266"/>
      <c r="G52" s="266">
        <f>+G50-G51</f>
        <v>0</v>
      </c>
      <c r="H52" s="263"/>
    </row>
    <row r="53" spans="1:8">
      <c r="A53" s="262"/>
      <c r="B53" s="261"/>
      <c r="C53" s="265"/>
      <c r="D53" s="265"/>
      <c r="E53" s="265"/>
      <c r="F53" s="265"/>
      <c r="G53" s="265"/>
      <c r="H53" s="263"/>
    </row>
    <row r="54" spans="1:8">
      <c r="A54" s="262"/>
      <c r="B54" s="261" t="s">
        <v>684</v>
      </c>
      <c r="C54" s="266">
        <f>+'Asset Classification'!C30-'Asset Classification'!C12</f>
        <v>38887928160</v>
      </c>
      <c r="D54" s="266"/>
      <c r="E54" s="266"/>
      <c r="F54" s="266"/>
      <c r="G54" s="266">
        <f>+'Asset Classification'!D30-'Asset Classification'!D12</f>
        <v>28074829152</v>
      </c>
      <c r="H54" s="263"/>
    </row>
    <row r="55" spans="1:8">
      <c r="A55" s="262"/>
      <c r="B55" s="261"/>
      <c r="C55" s="266">
        <f>C24+C33</f>
        <v>38887928160</v>
      </c>
      <c r="D55" s="266"/>
      <c r="E55" s="266"/>
      <c r="F55" s="266"/>
      <c r="G55" s="266">
        <f>G24+G33</f>
        <v>28074829152</v>
      </c>
      <c r="H55" s="263"/>
    </row>
    <row r="56" spans="1:8">
      <c r="A56" s="262"/>
      <c r="B56" s="261"/>
      <c r="C56" s="266">
        <f>+C54-C55</f>
        <v>0</v>
      </c>
      <c r="D56" s="266"/>
      <c r="E56" s="266"/>
      <c r="F56" s="266"/>
      <c r="G56" s="266">
        <f>+G54-G55</f>
        <v>0</v>
      </c>
      <c r="H56" s="263"/>
    </row>
    <row r="57" spans="1:8">
      <c r="A57" s="262"/>
      <c r="B57" s="261"/>
      <c r="C57" s="263"/>
      <c r="D57" s="263"/>
      <c r="E57" s="263"/>
      <c r="F57" s="263"/>
      <c r="G57" s="263"/>
      <c r="H57" s="263"/>
    </row>
    <row r="58" spans="1:8">
      <c r="A58" s="262"/>
      <c r="B58" s="261"/>
      <c r="C58" s="263"/>
      <c r="D58" s="263"/>
      <c r="E58" s="263"/>
      <c r="F58" s="263"/>
      <c r="G58" s="263"/>
      <c r="H58" s="263"/>
    </row>
    <row r="59" spans="1:8">
      <c r="B59" s="261"/>
    </row>
  </sheetData>
  <sheetProtection sheet="1" objects="1" scenarios="1"/>
  <mergeCells count="9">
    <mergeCell ref="A1:G1"/>
    <mergeCell ref="B4:B6"/>
    <mergeCell ref="B2:H2"/>
    <mergeCell ref="C4:D5"/>
    <mergeCell ref="E4:H4"/>
    <mergeCell ref="E5:F5"/>
    <mergeCell ref="G5:H5"/>
    <mergeCell ref="A4:A7"/>
    <mergeCell ref="F3:G3"/>
  </mergeCells>
  <conditionalFormatting sqref="C16">
    <cfRule type="cellIs" dxfId="66" priority="3" operator="notEqual">
      <formula>$C$50-$C$8</formula>
    </cfRule>
  </conditionalFormatting>
  <conditionalFormatting sqref="C33">
    <cfRule type="cellIs" dxfId="65" priority="2" operator="notEqual">
      <formula>$C$54-$C$24</formula>
    </cfRule>
  </conditionalFormatting>
  <printOptions horizontalCentered="1"/>
  <pageMargins left="0.23622047244094491" right="0.39370078740157483" top="0.43307086614173229" bottom="0.15748031496062992" header="0.39370078740157483" footer="0.31496062992125984"/>
  <pageSetup paperSize="9" scale="55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30">
    <pageSetUpPr fitToPage="1"/>
  </sheetPr>
  <dimension ref="A1:AF48"/>
  <sheetViews>
    <sheetView topLeftCell="A4" zoomScale="75" zoomScaleNormal="75" zoomScaleSheetLayoutView="50" workbookViewId="0">
      <pane xSplit="3" ySplit="6" topLeftCell="U10" activePane="bottomRight" state="frozen"/>
      <selection activeCell="A4" sqref="A4"/>
      <selection pane="topRight" activeCell="D4" sqref="D4"/>
      <selection pane="bottomLeft" activeCell="A10" sqref="A10"/>
      <selection pane="bottomRight" activeCell="Y39" sqref="Y39"/>
    </sheetView>
  </sheetViews>
  <sheetFormatPr defaultRowHeight="18.75"/>
  <cols>
    <col min="1" max="1" width="9.5703125" style="276" customWidth="1"/>
    <col min="2" max="2" width="61.7109375" style="276" customWidth="1"/>
    <col min="3" max="3" width="21.42578125" style="276" customWidth="1"/>
    <col min="4" max="4" width="13.7109375" style="277" customWidth="1"/>
    <col min="5" max="5" width="21.42578125" style="276" customWidth="1"/>
    <col min="6" max="6" width="13.7109375" style="276" customWidth="1"/>
    <col min="7" max="7" width="21.42578125" style="276" customWidth="1"/>
    <col min="8" max="8" width="13.7109375" style="276" customWidth="1"/>
    <col min="9" max="25" width="18.85546875" style="276" customWidth="1"/>
    <col min="26" max="26" width="21.7109375" style="276" customWidth="1"/>
    <col min="27" max="27" width="27.42578125" style="276" customWidth="1"/>
    <col min="28" max="32" width="20.7109375" style="316" customWidth="1"/>
    <col min="33" max="16384" width="9.140625" style="276"/>
  </cols>
  <sheetData>
    <row r="1" spans="1:32">
      <c r="Z1" s="49" t="s">
        <v>727</v>
      </c>
    </row>
    <row r="2" spans="1:32" s="278" customFormat="1" ht="50.25" customHeight="1">
      <c r="A2" s="618" t="s">
        <v>766</v>
      </c>
      <c r="B2" s="618"/>
      <c r="C2" s="618"/>
      <c r="D2" s="618"/>
      <c r="E2" s="618"/>
      <c r="F2" s="618"/>
      <c r="G2" s="618"/>
      <c r="H2" s="618"/>
      <c r="I2" s="618"/>
      <c r="J2" s="618"/>
      <c r="K2" s="618"/>
      <c r="L2" s="618"/>
      <c r="M2" s="618"/>
      <c r="N2" s="618"/>
      <c r="O2" s="618"/>
      <c r="P2" s="618"/>
      <c r="Q2" s="618"/>
      <c r="R2" s="618"/>
      <c r="S2" s="618"/>
      <c r="T2" s="618"/>
      <c r="U2" s="618"/>
      <c r="V2" s="618"/>
      <c r="W2" s="618"/>
      <c r="X2" s="618"/>
      <c r="Y2" s="618"/>
      <c r="Z2" s="618"/>
      <c r="AB2" s="317"/>
      <c r="AC2" s="317"/>
      <c r="AD2" s="317"/>
      <c r="AE2" s="317"/>
      <c r="AF2" s="317"/>
    </row>
    <row r="3" spans="1:32" ht="19.5" customHeight="1">
      <c r="B3" s="279" t="str">
        <f>+'Asset quality'!B3</f>
        <v>"Ўзсаноатқурилишбанк" АТБ</v>
      </c>
      <c r="C3" s="279"/>
      <c r="D3" s="279"/>
      <c r="E3" s="279"/>
      <c r="F3" s="279"/>
      <c r="G3" s="279"/>
      <c r="H3" s="279"/>
      <c r="I3" s="279"/>
      <c r="J3" s="279"/>
      <c r="K3" s="279"/>
      <c r="L3" s="279"/>
      <c r="M3" s="279"/>
      <c r="V3" s="628">
        <f>+'Asset quality'!P3</f>
        <v>44560</v>
      </c>
      <c r="W3" s="628"/>
      <c r="Z3" s="130" t="s">
        <v>382</v>
      </c>
    </row>
    <row r="4" spans="1:32" s="280" customFormat="1" ht="18.75" customHeight="1">
      <c r="A4" s="619" t="s">
        <v>83</v>
      </c>
      <c r="B4" s="619" t="s">
        <v>615</v>
      </c>
      <c r="C4" s="622" t="s">
        <v>605</v>
      </c>
      <c r="D4" s="623"/>
      <c r="E4" s="623"/>
      <c r="F4" s="623"/>
      <c r="G4" s="623"/>
      <c r="H4" s="624"/>
      <c r="I4" s="622" t="s">
        <v>728</v>
      </c>
      <c r="J4" s="623"/>
      <c r="K4" s="623"/>
      <c r="L4" s="623"/>
      <c r="M4" s="624"/>
      <c r="N4" s="617" t="s">
        <v>385</v>
      </c>
      <c r="O4" s="617"/>
      <c r="P4" s="617"/>
      <c r="Q4" s="617"/>
      <c r="R4" s="617"/>
      <c r="S4" s="617" t="s">
        <v>387</v>
      </c>
      <c r="T4" s="617"/>
      <c r="U4" s="617"/>
      <c r="V4" s="617"/>
      <c r="W4" s="617"/>
      <c r="X4" s="617"/>
      <c r="Y4" s="619" t="s">
        <v>729</v>
      </c>
      <c r="Z4" s="619" t="s">
        <v>730</v>
      </c>
      <c r="AB4" s="318"/>
      <c r="AC4" s="318"/>
      <c r="AD4" s="318"/>
      <c r="AE4" s="318"/>
      <c r="AF4" s="318"/>
    </row>
    <row r="5" spans="1:32" s="280" customFormat="1" ht="26.25" customHeight="1">
      <c r="A5" s="620"/>
      <c r="B5" s="620"/>
      <c r="C5" s="625"/>
      <c r="D5" s="626"/>
      <c r="E5" s="626"/>
      <c r="F5" s="626"/>
      <c r="G5" s="626"/>
      <c r="H5" s="627"/>
      <c r="I5" s="617" t="s">
        <v>731</v>
      </c>
      <c r="J5" s="617" t="s">
        <v>732</v>
      </c>
      <c r="K5" s="617" t="s">
        <v>733</v>
      </c>
      <c r="L5" s="617" t="s">
        <v>734</v>
      </c>
      <c r="M5" s="617" t="s">
        <v>735</v>
      </c>
      <c r="N5" s="617"/>
      <c r="O5" s="617"/>
      <c r="P5" s="617"/>
      <c r="Q5" s="617"/>
      <c r="R5" s="617"/>
      <c r="S5" s="617" t="s">
        <v>388</v>
      </c>
      <c r="T5" s="617" t="s">
        <v>394</v>
      </c>
      <c r="U5" s="617"/>
      <c r="V5" s="617"/>
      <c r="W5" s="617"/>
      <c r="X5" s="617"/>
      <c r="Y5" s="620"/>
      <c r="Z5" s="620"/>
      <c r="AB5" s="318"/>
      <c r="AC5" s="318"/>
      <c r="AD5" s="318"/>
      <c r="AE5" s="318"/>
      <c r="AF5" s="318"/>
    </row>
    <row r="6" spans="1:32" s="280" customFormat="1" ht="63" customHeight="1">
      <c r="A6" s="620"/>
      <c r="B6" s="621"/>
      <c r="C6" s="304" t="s">
        <v>736</v>
      </c>
      <c r="D6" s="303" t="s">
        <v>737</v>
      </c>
      <c r="E6" s="304" t="s">
        <v>738</v>
      </c>
      <c r="F6" s="303" t="s">
        <v>737</v>
      </c>
      <c r="G6" s="304" t="s">
        <v>739</v>
      </c>
      <c r="H6" s="303" t="s">
        <v>737</v>
      </c>
      <c r="I6" s="617"/>
      <c r="J6" s="617"/>
      <c r="K6" s="617"/>
      <c r="L6" s="617"/>
      <c r="M6" s="617"/>
      <c r="N6" s="305" t="s">
        <v>252</v>
      </c>
      <c r="O6" s="305" t="s">
        <v>75</v>
      </c>
      <c r="P6" s="305" t="s">
        <v>77</v>
      </c>
      <c r="Q6" s="305" t="s">
        <v>78</v>
      </c>
      <c r="R6" s="305" t="s">
        <v>81</v>
      </c>
      <c r="S6" s="617"/>
      <c r="T6" s="305" t="s">
        <v>252</v>
      </c>
      <c r="U6" s="305" t="s">
        <v>75</v>
      </c>
      <c r="V6" s="305" t="s">
        <v>77</v>
      </c>
      <c r="W6" s="305" t="s">
        <v>78</v>
      </c>
      <c r="X6" s="305" t="s">
        <v>81</v>
      </c>
      <c r="Y6" s="621"/>
      <c r="Z6" s="621"/>
      <c r="AA6" s="320"/>
      <c r="AB6" s="319" t="s">
        <v>252</v>
      </c>
      <c r="AC6" s="319" t="s">
        <v>75</v>
      </c>
      <c r="AD6" s="319" t="s">
        <v>77</v>
      </c>
      <c r="AE6" s="319" t="s">
        <v>78</v>
      </c>
      <c r="AF6" s="319" t="s">
        <v>81</v>
      </c>
    </row>
    <row r="7" spans="1:32" s="280" customFormat="1">
      <c r="A7" s="621"/>
      <c r="B7" s="176" t="s">
        <v>182</v>
      </c>
      <c r="C7" s="176" t="s">
        <v>183</v>
      </c>
      <c r="D7" s="176" t="s">
        <v>195</v>
      </c>
      <c r="E7" s="176" t="s">
        <v>184</v>
      </c>
      <c r="F7" s="176" t="s">
        <v>185</v>
      </c>
      <c r="G7" s="176" t="s">
        <v>196</v>
      </c>
      <c r="H7" s="176" t="s">
        <v>186</v>
      </c>
      <c r="I7" s="176" t="s">
        <v>187</v>
      </c>
      <c r="J7" s="176" t="s">
        <v>188</v>
      </c>
      <c r="K7" s="176" t="s">
        <v>189</v>
      </c>
      <c r="L7" s="176" t="s">
        <v>190</v>
      </c>
      <c r="M7" s="176" t="s">
        <v>191</v>
      </c>
      <c r="N7" s="176" t="s">
        <v>192</v>
      </c>
      <c r="O7" s="176" t="s">
        <v>395</v>
      </c>
      <c r="P7" s="176" t="s">
        <v>396</v>
      </c>
      <c r="Q7" s="176" t="s">
        <v>397</v>
      </c>
      <c r="R7" s="176" t="s">
        <v>398</v>
      </c>
      <c r="S7" s="176" t="s">
        <v>643</v>
      </c>
      <c r="T7" s="176" t="s">
        <v>681</v>
      </c>
      <c r="U7" s="176" t="s">
        <v>740</v>
      </c>
      <c r="V7" s="176" t="s">
        <v>741</v>
      </c>
      <c r="W7" s="176" t="s">
        <v>742</v>
      </c>
      <c r="X7" s="176" t="s">
        <v>743</v>
      </c>
      <c r="Y7" s="176" t="s">
        <v>744</v>
      </c>
      <c r="Z7" s="176" t="s">
        <v>745</v>
      </c>
      <c r="AA7" s="320"/>
      <c r="AB7" s="318"/>
      <c r="AC7" s="318"/>
      <c r="AD7" s="318"/>
      <c r="AE7" s="318"/>
      <c r="AF7" s="318"/>
    </row>
    <row r="8" spans="1:32" s="280" customFormat="1" ht="49.5" customHeight="1">
      <c r="A8" s="281"/>
      <c r="B8" s="282" t="s">
        <v>198</v>
      </c>
      <c r="C8" s="283">
        <f>+C9+C25</f>
        <v>43147807488</v>
      </c>
      <c r="D8" s="284">
        <f>IFERROR(((C9*D9)/C8)+((C25*D25)/C8),0)</f>
        <v>9.2176562565943018E-2</v>
      </c>
      <c r="E8" s="283">
        <f t="shared" ref="E8:G8" si="0">+E9+E25</f>
        <v>15072978336</v>
      </c>
      <c r="F8" s="284">
        <f>IFERROR(((E9*F9)/E8)+((E25*F25)/E8),0)</f>
        <v>0.16088827927609098</v>
      </c>
      <c r="G8" s="283">
        <f t="shared" si="0"/>
        <v>28074829152</v>
      </c>
      <c r="H8" s="284">
        <f>IFERROR(((G9*H9)/G8)+((G25*H25)/G8),0)</f>
        <v>5.528621457214225E-2</v>
      </c>
      <c r="I8" s="283">
        <f t="shared" ref="I8:Z8" si="1">+I9+I25</f>
        <v>14566842845</v>
      </c>
      <c r="J8" s="283">
        <f t="shared" si="1"/>
        <v>20716815034</v>
      </c>
      <c r="K8" s="283">
        <f t="shared" si="1"/>
        <v>5606862393</v>
      </c>
      <c r="L8" s="283">
        <f t="shared" si="1"/>
        <v>1566836687</v>
      </c>
      <c r="M8" s="283">
        <f t="shared" si="1"/>
        <v>690450529</v>
      </c>
      <c r="N8" s="283">
        <f t="shared" si="1"/>
        <v>38864449980</v>
      </c>
      <c r="O8" s="283">
        <f t="shared" si="1"/>
        <v>2653824211</v>
      </c>
      <c r="P8" s="283">
        <f t="shared" si="1"/>
        <v>891521851</v>
      </c>
      <c r="Q8" s="283">
        <f t="shared" si="1"/>
        <v>209335568</v>
      </c>
      <c r="R8" s="283">
        <f t="shared" si="1"/>
        <v>528675878</v>
      </c>
      <c r="S8" s="283">
        <f t="shared" si="1"/>
        <v>1458028022</v>
      </c>
      <c r="T8" s="283">
        <f t="shared" si="1"/>
        <v>351509341</v>
      </c>
      <c r="U8" s="283">
        <f t="shared" si="1"/>
        <v>267633909</v>
      </c>
      <c r="V8" s="283">
        <f t="shared" si="1"/>
        <v>212612564</v>
      </c>
      <c r="W8" s="283">
        <f t="shared" si="1"/>
        <v>99184650</v>
      </c>
      <c r="X8" s="283">
        <f t="shared" si="1"/>
        <v>527087558</v>
      </c>
      <c r="Y8" s="283">
        <f t="shared" si="1"/>
        <v>438050998</v>
      </c>
      <c r="Z8" s="283">
        <f t="shared" si="1"/>
        <v>359533894</v>
      </c>
      <c r="AA8" s="320">
        <f>+'Loans Receivable'!C92</f>
        <v>43147807488</v>
      </c>
      <c r="AB8" s="320">
        <f>+'Asset Classification'!G30</f>
        <v>351509341</v>
      </c>
      <c r="AC8" s="320">
        <f>+'Asset Classification'!K30</f>
        <v>267633909</v>
      </c>
      <c r="AD8" s="320">
        <f>+'Asset Classification'!O50</f>
        <v>212612564</v>
      </c>
      <c r="AE8" s="320">
        <f>+'Asset Classification'!S50</f>
        <v>99184650</v>
      </c>
      <c r="AF8" s="320">
        <f>+'Asset Classification'!W50</f>
        <v>527087558</v>
      </c>
    </row>
    <row r="9" spans="1:32" s="297" customFormat="1" ht="49.5" customHeight="1">
      <c r="A9" s="282" t="s">
        <v>252</v>
      </c>
      <c r="B9" s="282" t="s">
        <v>746</v>
      </c>
      <c r="C9" s="283">
        <f>+C11+C16+C21+C22+C24</f>
        <v>4259879328</v>
      </c>
      <c r="D9" s="284">
        <f>IFERROR(((C11*D11)/C9)+((C16*D16)/C9)+((C21*D21)/C9)+((C22*D22)/C9)+((C24*D24)/C9),0)</f>
        <v>0.13514314439974565</v>
      </c>
      <c r="E9" s="283">
        <f>+E11+E16+E21+E22+E24</f>
        <v>4259879328</v>
      </c>
      <c r="F9" s="284">
        <f>IFERROR(((E11*F11)/E9)+((E16*F16)/E9)+((E21*F21)/E9)+((E22*F22)/E9)+((E24*F24)/E9),0)</f>
        <v>0.13514314439974565</v>
      </c>
      <c r="G9" s="283">
        <f>+G11+G16+G21+G22+G24</f>
        <v>0</v>
      </c>
      <c r="H9" s="284">
        <f>IFERROR(((G11*H11)/G9)+((G16*H16)/G9)+((G21*H21)/G9)+((G22*H22)/G9)+((G24*H24)/G9),0)</f>
        <v>0</v>
      </c>
      <c r="I9" s="283">
        <f t="shared" ref="I9:Z9" si="2">+I11+I16+I21+I22+I24</f>
        <v>753640079</v>
      </c>
      <c r="J9" s="283">
        <f t="shared" si="2"/>
        <v>1115342754</v>
      </c>
      <c r="K9" s="283">
        <f t="shared" si="2"/>
        <v>980327937</v>
      </c>
      <c r="L9" s="283">
        <f t="shared" si="2"/>
        <v>784830668</v>
      </c>
      <c r="M9" s="283">
        <f t="shared" si="2"/>
        <v>625737890</v>
      </c>
      <c r="N9" s="283">
        <f t="shared" si="2"/>
        <v>3964467868</v>
      </c>
      <c r="O9" s="283">
        <f t="shared" si="2"/>
        <v>132505895</v>
      </c>
      <c r="P9" s="283">
        <f t="shared" si="2"/>
        <v>38467479</v>
      </c>
      <c r="Q9" s="283">
        <f t="shared" si="2"/>
        <v>32190470</v>
      </c>
      <c r="R9" s="283">
        <f t="shared" si="2"/>
        <v>92247616</v>
      </c>
      <c r="S9" s="283">
        <f>+S11+S16+S21+S22+S24</f>
        <v>166815049</v>
      </c>
      <c r="T9" s="283">
        <f t="shared" si="2"/>
        <v>36423995</v>
      </c>
      <c r="U9" s="283">
        <f t="shared" si="2"/>
        <v>13315829</v>
      </c>
      <c r="V9" s="283">
        <f t="shared" si="2"/>
        <v>9316699</v>
      </c>
      <c r="W9" s="283">
        <f t="shared" si="2"/>
        <v>16097431</v>
      </c>
      <c r="X9" s="283">
        <f t="shared" si="2"/>
        <v>91661095</v>
      </c>
      <c r="Y9" s="283">
        <f t="shared" si="2"/>
        <v>46047581</v>
      </c>
      <c r="Z9" s="283">
        <f t="shared" si="2"/>
        <v>14416215</v>
      </c>
      <c r="AA9" s="320">
        <f>+'Loans Receivable'!C80</f>
        <v>4259879328</v>
      </c>
      <c r="AB9" s="330">
        <f>+'Asset Classification'!E30</f>
        <v>38864449980</v>
      </c>
      <c r="AC9" s="330">
        <f>+'Asset Classification'!I30</f>
        <v>2653824211</v>
      </c>
      <c r="AD9" s="330">
        <f>+'Asset Classification'!M30</f>
        <v>891521851</v>
      </c>
      <c r="AE9" s="330">
        <f>+'Asset Classification'!Q30</f>
        <v>209335568</v>
      </c>
      <c r="AF9" s="330">
        <f>+'Asset Classification'!U30</f>
        <v>528675878</v>
      </c>
    </row>
    <row r="10" spans="1:32" s="280" customFormat="1" ht="33.75" customHeight="1">
      <c r="A10" s="281"/>
      <c r="B10" s="282" t="s">
        <v>616</v>
      </c>
      <c r="C10" s="283"/>
      <c r="D10" s="283"/>
      <c r="E10" s="283"/>
      <c r="F10" s="283"/>
      <c r="G10" s="283"/>
      <c r="H10" s="283"/>
      <c r="I10" s="283"/>
      <c r="J10" s="283"/>
      <c r="K10" s="283"/>
      <c r="L10" s="283"/>
      <c r="M10" s="283"/>
      <c r="N10" s="283"/>
      <c r="O10" s="283"/>
      <c r="P10" s="283"/>
      <c r="Q10" s="283"/>
      <c r="R10" s="283"/>
      <c r="S10" s="283"/>
      <c r="T10" s="283"/>
      <c r="U10" s="283"/>
      <c r="V10" s="283"/>
      <c r="W10" s="283"/>
      <c r="X10" s="283"/>
      <c r="Y10" s="283"/>
      <c r="Z10" s="283"/>
      <c r="AA10" s="320"/>
      <c r="AB10" s="331">
        <f>+N8-AB9</f>
        <v>0</v>
      </c>
      <c r="AC10" s="331">
        <f>+O8-AC9</f>
        <v>0</v>
      </c>
      <c r="AD10" s="331">
        <f>+P8-AD9</f>
        <v>0</v>
      </c>
      <c r="AE10" s="331">
        <f>+Q8-AE9</f>
        <v>0</v>
      </c>
      <c r="AF10" s="331">
        <f>+R8-AF9</f>
        <v>0</v>
      </c>
    </row>
    <row r="11" spans="1:32" s="280" customFormat="1" ht="49.5" customHeight="1">
      <c r="A11" s="285">
        <v>1</v>
      </c>
      <c r="B11" s="286" t="s">
        <v>747</v>
      </c>
      <c r="C11" s="309">
        <f>SUM(C12:C15)</f>
        <v>2476313760</v>
      </c>
      <c r="D11" s="310">
        <f>IFERROR(((C12*D12)/C11)+((C13*D13)/C11)+((C14*D14)/C11)+((C15*D15)/C11),0)</f>
        <v>8.0040953551623079E-2</v>
      </c>
      <c r="E11" s="309">
        <f>SUM(E12:E15)</f>
        <v>2476313760</v>
      </c>
      <c r="F11" s="310">
        <f>IFERROR(((E12*F12)/E11)+((E13*F13)/E11)+((E14*F14)/E11)+((E15*F15)/E11),0)</f>
        <v>8.0040953551623079E-2</v>
      </c>
      <c r="G11" s="309">
        <f>SUM(G12:G15)</f>
        <v>0</v>
      </c>
      <c r="H11" s="310">
        <f>IFERROR(((G12*H12)/G11)+((G13*H13)/G11)+((G14*H14)/G11)+((G15*H15)/G11),0)</f>
        <v>0</v>
      </c>
      <c r="I11" s="309">
        <f t="shared" ref="I11:Z11" si="3">SUM(I12:I15)</f>
        <v>83735701</v>
      </c>
      <c r="J11" s="309">
        <f t="shared" si="3"/>
        <v>643583045</v>
      </c>
      <c r="K11" s="309">
        <f t="shared" si="3"/>
        <v>807291865</v>
      </c>
      <c r="L11" s="309">
        <f t="shared" si="3"/>
        <v>623369603</v>
      </c>
      <c r="M11" s="309">
        <f t="shared" si="3"/>
        <v>318333546</v>
      </c>
      <c r="N11" s="309">
        <f t="shared" si="3"/>
        <v>2309636721</v>
      </c>
      <c r="O11" s="309">
        <f t="shared" si="3"/>
        <v>85657007</v>
      </c>
      <c r="P11" s="309">
        <f t="shared" si="3"/>
        <v>22038827</v>
      </c>
      <c r="Q11" s="309">
        <f t="shared" si="3"/>
        <v>18659056</v>
      </c>
      <c r="R11" s="309">
        <f t="shared" si="3"/>
        <v>40322149</v>
      </c>
      <c r="S11" s="309">
        <f t="shared" si="3"/>
        <v>85487319</v>
      </c>
      <c r="T11" s="309">
        <f t="shared" si="3"/>
        <v>22472587</v>
      </c>
      <c r="U11" s="309">
        <f t="shared" si="3"/>
        <v>8628185</v>
      </c>
      <c r="V11" s="309">
        <f t="shared" si="3"/>
        <v>5373067</v>
      </c>
      <c r="W11" s="309">
        <f t="shared" si="3"/>
        <v>9329529</v>
      </c>
      <c r="X11" s="309">
        <f t="shared" si="3"/>
        <v>39683951</v>
      </c>
      <c r="Y11" s="309">
        <f t="shared" si="3"/>
        <v>0</v>
      </c>
      <c r="Z11" s="309">
        <f t="shared" si="3"/>
        <v>5888049</v>
      </c>
      <c r="AA11" s="320">
        <f>+'loans_av rate'!C10</f>
        <v>2476313760</v>
      </c>
      <c r="AB11" s="318">
        <f>+'loans_av rate'!E10</f>
        <v>2476313760</v>
      </c>
      <c r="AC11" s="318">
        <f>+'loans_av rate'!G10</f>
        <v>0</v>
      </c>
      <c r="AD11" s="318"/>
      <c r="AE11" s="318"/>
      <c r="AF11" s="318"/>
    </row>
    <row r="12" spans="1:32" s="280" customFormat="1" ht="49.5" customHeight="1">
      <c r="A12" s="291" t="s">
        <v>242</v>
      </c>
      <c r="B12" s="306" t="s">
        <v>748</v>
      </c>
      <c r="C12" s="307">
        <f>+E12+G12</f>
        <v>1932496861</v>
      </c>
      <c r="D12" s="287">
        <v>8.2176668008669393E-2</v>
      </c>
      <c r="E12" s="308">
        <v>1932496861</v>
      </c>
      <c r="F12" s="287">
        <v>8.2176668008669393E-2</v>
      </c>
      <c r="G12" s="308">
        <v>0</v>
      </c>
      <c r="H12" s="287">
        <v>0</v>
      </c>
      <c r="I12" s="308">
        <v>47778735</v>
      </c>
      <c r="J12" s="308">
        <v>478339571</v>
      </c>
      <c r="K12" s="308">
        <v>605898921</v>
      </c>
      <c r="L12" s="308">
        <v>514720172</v>
      </c>
      <c r="M12" s="308">
        <v>285759462</v>
      </c>
      <c r="N12" s="308">
        <v>1803819788</v>
      </c>
      <c r="O12" s="308">
        <v>65105320</v>
      </c>
      <c r="P12" s="308">
        <v>17006654</v>
      </c>
      <c r="Q12" s="308">
        <v>13966213</v>
      </c>
      <c r="R12" s="308">
        <v>32598886</v>
      </c>
      <c r="S12" s="307">
        <f>SUM(T12:X12)</f>
        <v>67070105</v>
      </c>
      <c r="T12" s="308">
        <v>17487088</v>
      </c>
      <c r="U12" s="308">
        <v>6510656</v>
      </c>
      <c r="V12" s="308">
        <v>4128566</v>
      </c>
      <c r="W12" s="308">
        <v>6983107</v>
      </c>
      <c r="X12" s="308">
        <v>31960688</v>
      </c>
      <c r="Y12" s="308">
        <v>0</v>
      </c>
      <c r="Z12" s="308">
        <v>3833512</v>
      </c>
      <c r="AA12" s="320"/>
      <c r="AB12" s="318"/>
      <c r="AC12" s="318"/>
      <c r="AD12" s="318"/>
      <c r="AE12" s="318"/>
      <c r="AF12" s="318"/>
    </row>
    <row r="13" spans="1:32" s="280" customFormat="1" ht="49.5" customHeight="1">
      <c r="A13" s="291" t="s">
        <v>243</v>
      </c>
      <c r="B13" s="306" t="s">
        <v>749</v>
      </c>
      <c r="C13" s="307">
        <f>+E13+G13</f>
        <v>0</v>
      </c>
      <c r="D13" s="287">
        <v>0</v>
      </c>
      <c r="E13" s="308">
        <v>0</v>
      </c>
      <c r="F13" s="287">
        <v>0</v>
      </c>
      <c r="G13" s="308">
        <v>0</v>
      </c>
      <c r="H13" s="287">
        <v>0</v>
      </c>
      <c r="I13" s="308">
        <v>0</v>
      </c>
      <c r="J13" s="308">
        <v>0</v>
      </c>
      <c r="K13" s="308">
        <v>0</v>
      </c>
      <c r="L13" s="308">
        <v>0</v>
      </c>
      <c r="M13" s="308">
        <v>0</v>
      </c>
      <c r="N13" s="308">
        <v>0</v>
      </c>
      <c r="O13" s="308">
        <v>0</v>
      </c>
      <c r="P13" s="308">
        <v>0</v>
      </c>
      <c r="Q13" s="308">
        <v>0</v>
      </c>
      <c r="R13" s="308">
        <v>0</v>
      </c>
      <c r="S13" s="307">
        <f t="shared" ref="S13:S24" si="4">SUM(T13:X13)</f>
        <v>0</v>
      </c>
      <c r="T13" s="308">
        <v>0</v>
      </c>
      <c r="U13" s="308">
        <v>0</v>
      </c>
      <c r="V13" s="308">
        <v>0</v>
      </c>
      <c r="W13" s="308">
        <v>0</v>
      </c>
      <c r="X13" s="308">
        <v>0</v>
      </c>
      <c r="Y13" s="308">
        <v>0</v>
      </c>
      <c r="Z13" s="308">
        <v>0</v>
      </c>
      <c r="AA13" s="320"/>
      <c r="AB13" s="318"/>
      <c r="AC13" s="318"/>
      <c r="AD13" s="318"/>
      <c r="AE13" s="318"/>
      <c r="AF13" s="318"/>
    </row>
    <row r="14" spans="1:32" s="280" customFormat="1" ht="49.5" customHeight="1">
      <c r="A14" s="291" t="s">
        <v>244</v>
      </c>
      <c r="B14" s="306" t="s">
        <v>753</v>
      </c>
      <c r="C14" s="307">
        <f>+E14+G14</f>
        <v>4584552</v>
      </c>
      <c r="D14" s="287">
        <v>0.14593547285704253</v>
      </c>
      <c r="E14" s="308">
        <v>4584552</v>
      </c>
      <c r="F14" s="287">
        <v>0.14593547285704253</v>
      </c>
      <c r="G14" s="308">
        <v>0</v>
      </c>
      <c r="H14" s="287">
        <v>0</v>
      </c>
      <c r="I14" s="308">
        <v>323237</v>
      </c>
      <c r="J14" s="308">
        <v>1660616</v>
      </c>
      <c r="K14" s="308">
        <v>1818130</v>
      </c>
      <c r="L14" s="308">
        <v>782569</v>
      </c>
      <c r="M14" s="308">
        <v>0</v>
      </c>
      <c r="N14" s="308">
        <v>4367477</v>
      </c>
      <c r="O14" s="308">
        <v>0</v>
      </c>
      <c r="P14" s="308">
        <v>0</v>
      </c>
      <c r="Q14" s="308">
        <v>0</v>
      </c>
      <c r="R14" s="308">
        <v>217075</v>
      </c>
      <c r="S14" s="307">
        <f t="shared" si="4"/>
        <v>251295</v>
      </c>
      <c r="T14" s="308">
        <v>34220</v>
      </c>
      <c r="U14" s="308">
        <v>0</v>
      </c>
      <c r="V14" s="308">
        <v>0</v>
      </c>
      <c r="W14" s="308">
        <v>0</v>
      </c>
      <c r="X14" s="308">
        <v>217075</v>
      </c>
      <c r="Y14" s="308">
        <v>0</v>
      </c>
      <c r="Z14" s="308">
        <v>0</v>
      </c>
      <c r="AA14" s="320"/>
      <c r="AB14" s="318"/>
      <c r="AC14" s="318"/>
      <c r="AD14" s="318"/>
      <c r="AE14" s="318"/>
      <c r="AF14" s="318"/>
    </row>
    <row r="15" spans="1:32" s="280" customFormat="1" ht="49.5" customHeight="1">
      <c r="A15" s="291" t="s">
        <v>248</v>
      </c>
      <c r="B15" s="306" t="s">
        <v>750</v>
      </c>
      <c r="C15" s="307">
        <f>+E15+G15</f>
        <v>539232347</v>
      </c>
      <c r="D15" s="287">
        <v>7.182676098853305E-2</v>
      </c>
      <c r="E15" s="308">
        <v>539232347</v>
      </c>
      <c r="F15" s="287">
        <v>7.182676098853305E-2</v>
      </c>
      <c r="G15" s="308">
        <v>0</v>
      </c>
      <c r="H15" s="287">
        <v>0</v>
      </c>
      <c r="I15" s="308">
        <v>35633729</v>
      </c>
      <c r="J15" s="308">
        <v>163582858</v>
      </c>
      <c r="K15" s="308">
        <v>199574814</v>
      </c>
      <c r="L15" s="308">
        <v>107866862</v>
      </c>
      <c r="M15" s="308">
        <v>32574084</v>
      </c>
      <c r="N15" s="308">
        <v>501449456</v>
      </c>
      <c r="O15" s="308">
        <v>20551687</v>
      </c>
      <c r="P15" s="308">
        <v>5032173</v>
      </c>
      <c r="Q15" s="308">
        <v>4692843</v>
      </c>
      <c r="R15" s="308">
        <v>7506188</v>
      </c>
      <c r="S15" s="307">
        <f t="shared" si="4"/>
        <v>18165919</v>
      </c>
      <c r="T15" s="308">
        <v>4951279</v>
      </c>
      <c r="U15" s="308">
        <v>2117529</v>
      </c>
      <c r="V15" s="308">
        <v>1244501</v>
      </c>
      <c r="W15" s="308">
        <v>2346422</v>
      </c>
      <c r="X15" s="308">
        <v>7506188</v>
      </c>
      <c r="Y15" s="308">
        <v>0</v>
      </c>
      <c r="Z15" s="308">
        <v>2054537</v>
      </c>
      <c r="AA15" s="320"/>
      <c r="AB15" s="318"/>
      <c r="AC15" s="318"/>
      <c r="AD15" s="318"/>
      <c r="AE15" s="318"/>
      <c r="AF15" s="318"/>
    </row>
    <row r="16" spans="1:32" s="280" customFormat="1" ht="49.5" customHeight="1">
      <c r="A16" s="285">
        <v>2</v>
      </c>
      <c r="B16" s="286" t="s">
        <v>751</v>
      </c>
      <c r="C16" s="309">
        <f>SUM(C17:C20)</f>
        <v>795280014</v>
      </c>
      <c r="D16" s="310">
        <f>IFERROR(((C17*D17)/C16)+((C18*D18)/C16)+((C19*D19)/C16)+((C20*D20)/C16),0)</f>
        <v>0.17584162107718679</v>
      </c>
      <c r="E16" s="309">
        <f>SUM(E17:E20)</f>
        <v>795280014</v>
      </c>
      <c r="F16" s="310">
        <f>IFERROR(((E17*F17)/E16)+((E18*F18)/E16)+((E19*F19)/E16)+((E20*F20)/E16),0)</f>
        <v>0.17584162107718679</v>
      </c>
      <c r="G16" s="309">
        <f>SUM(G17:G20)</f>
        <v>0</v>
      </c>
      <c r="H16" s="310">
        <f>IFERROR(((G17*H17)/G16)+((G18*H18)/G16)+((G19*H19)/G16)+((G20*H20)/G16),0)</f>
        <v>0</v>
      </c>
      <c r="I16" s="309">
        <f t="shared" ref="I16" si="5">SUM(I17:I20)</f>
        <v>34608349</v>
      </c>
      <c r="J16" s="309">
        <f t="shared" ref="J16:Z16" si="6">SUM(J17:J20)</f>
        <v>158006024</v>
      </c>
      <c r="K16" s="309">
        <f t="shared" si="6"/>
        <v>134351713</v>
      </c>
      <c r="L16" s="309">
        <f t="shared" si="6"/>
        <v>160909584</v>
      </c>
      <c r="M16" s="309">
        <f t="shared" si="6"/>
        <v>307404344</v>
      </c>
      <c r="N16" s="309">
        <f t="shared" si="6"/>
        <v>743803619</v>
      </c>
      <c r="O16" s="309">
        <f t="shared" si="6"/>
        <v>20289219</v>
      </c>
      <c r="P16" s="309">
        <f t="shared" si="6"/>
        <v>6950142</v>
      </c>
      <c r="Q16" s="309">
        <f t="shared" si="6"/>
        <v>5326129</v>
      </c>
      <c r="R16" s="309">
        <f t="shared" si="6"/>
        <v>18910905</v>
      </c>
      <c r="S16" s="309">
        <f>SUM(S17:S20)</f>
        <v>30534067</v>
      </c>
      <c r="T16" s="309">
        <f t="shared" si="6"/>
        <v>5193643</v>
      </c>
      <c r="U16" s="309">
        <f t="shared" si="6"/>
        <v>2028921</v>
      </c>
      <c r="V16" s="309">
        <f t="shared" si="6"/>
        <v>1737535</v>
      </c>
      <c r="W16" s="309">
        <f t="shared" si="6"/>
        <v>2663064</v>
      </c>
      <c r="X16" s="309">
        <f t="shared" si="6"/>
        <v>18910904</v>
      </c>
      <c r="Y16" s="309">
        <f t="shared" si="6"/>
        <v>20165</v>
      </c>
      <c r="Z16" s="309">
        <f t="shared" si="6"/>
        <v>5252210</v>
      </c>
      <c r="AA16" s="320">
        <f>+'loans_av rate'!C18</f>
        <v>795280014</v>
      </c>
      <c r="AB16" s="318">
        <f>+'loans_av rate'!E18</f>
        <v>795280014</v>
      </c>
      <c r="AC16" s="318">
        <f>+'loans_av rate'!G18</f>
        <v>0</v>
      </c>
      <c r="AD16" s="318"/>
      <c r="AE16" s="318"/>
      <c r="AF16" s="318"/>
    </row>
    <row r="17" spans="1:32" s="290" customFormat="1" ht="49.5" customHeight="1">
      <c r="A17" s="288" t="s">
        <v>255</v>
      </c>
      <c r="B17" s="289" t="s">
        <v>748</v>
      </c>
      <c r="C17" s="307">
        <f t="shared" ref="C17:C24" si="7">+E17+G17</f>
        <v>791727170</v>
      </c>
      <c r="D17" s="287">
        <v>0.17578516575189809</v>
      </c>
      <c r="E17" s="308">
        <v>791727170</v>
      </c>
      <c r="F17" s="287">
        <v>0.17578516575189809</v>
      </c>
      <c r="G17" s="308">
        <v>0</v>
      </c>
      <c r="H17" s="287">
        <v>0</v>
      </c>
      <c r="I17" s="308">
        <v>34301504</v>
      </c>
      <c r="J17" s="308">
        <v>156343594</v>
      </c>
      <c r="K17" s="308">
        <v>133096765</v>
      </c>
      <c r="L17" s="308">
        <v>160675684</v>
      </c>
      <c r="M17" s="308">
        <v>307309623</v>
      </c>
      <c r="N17" s="308">
        <v>741014243</v>
      </c>
      <c r="O17" s="308">
        <v>20214064</v>
      </c>
      <c r="P17" s="308">
        <v>6950142</v>
      </c>
      <c r="Q17" s="308">
        <v>5326129</v>
      </c>
      <c r="R17" s="308">
        <v>18222592</v>
      </c>
      <c r="S17" s="307">
        <f t="shared" si="4"/>
        <v>29816299</v>
      </c>
      <c r="T17" s="308">
        <v>5171703</v>
      </c>
      <c r="U17" s="308">
        <v>2021406</v>
      </c>
      <c r="V17" s="308">
        <v>1737535</v>
      </c>
      <c r="W17" s="308">
        <v>2663064</v>
      </c>
      <c r="X17" s="308">
        <v>18222591</v>
      </c>
      <c r="Y17" s="308">
        <v>20165</v>
      </c>
      <c r="Z17" s="308">
        <v>5252210</v>
      </c>
      <c r="AA17" s="320"/>
      <c r="AB17" s="322"/>
      <c r="AC17" s="322"/>
      <c r="AD17" s="322"/>
      <c r="AE17" s="322"/>
      <c r="AF17" s="322"/>
    </row>
    <row r="18" spans="1:32" s="290" customFormat="1" ht="49.5" customHeight="1">
      <c r="A18" s="288" t="s">
        <v>256</v>
      </c>
      <c r="B18" s="289" t="s">
        <v>749</v>
      </c>
      <c r="C18" s="307">
        <f t="shared" si="7"/>
        <v>0</v>
      </c>
      <c r="D18" s="287">
        <v>0</v>
      </c>
      <c r="E18" s="308">
        <v>0</v>
      </c>
      <c r="F18" s="287">
        <v>0</v>
      </c>
      <c r="G18" s="308">
        <v>0</v>
      </c>
      <c r="H18" s="287">
        <v>0</v>
      </c>
      <c r="I18" s="308">
        <v>0</v>
      </c>
      <c r="J18" s="308">
        <v>0</v>
      </c>
      <c r="K18" s="308">
        <v>0</v>
      </c>
      <c r="L18" s="308">
        <v>0</v>
      </c>
      <c r="M18" s="308">
        <v>0</v>
      </c>
      <c r="N18" s="308">
        <v>0</v>
      </c>
      <c r="O18" s="308">
        <v>0</v>
      </c>
      <c r="P18" s="308">
        <v>0</v>
      </c>
      <c r="Q18" s="308">
        <v>0</v>
      </c>
      <c r="R18" s="308">
        <v>0</v>
      </c>
      <c r="S18" s="307">
        <f t="shared" si="4"/>
        <v>0</v>
      </c>
      <c r="T18" s="308">
        <v>0</v>
      </c>
      <c r="U18" s="308">
        <v>0</v>
      </c>
      <c r="V18" s="308">
        <v>0</v>
      </c>
      <c r="W18" s="308">
        <v>0</v>
      </c>
      <c r="X18" s="308">
        <v>0</v>
      </c>
      <c r="Y18" s="308">
        <v>0</v>
      </c>
      <c r="Z18" s="308">
        <v>0</v>
      </c>
      <c r="AA18" s="320"/>
      <c r="AB18" s="322"/>
      <c r="AC18" s="322"/>
      <c r="AD18" s="322"/>
      <c r="AE18" s="322"/>
      <c r="AF18" s="322"/>
    </row>
    <row r="19" spans="1:32" s="290" customFormat="1" ht="49.5" customHeight="1">
      <c r="A19" s="288" t="s">
        <v>258</v>
      </c>
      <c r="B19" s="289" t="s">
        <v>753</v>
      </c>
      <c r="C19" s="307">
        <f t="shared" si="7"/>
        <v>2965745</v>
      </c>
      <c r="D19" s="287">
        <v>0.18403098013086089</v>
      </c>
      <c r="E19" s="308">
        <v>2965745</v>
      </c>
      <c r="F19" s="287">
        <v>0.18403098013086089</v>
      </c>
      <c r="G19" s="308">
        <v>0</v>
      </c>
      <c r="H19" s="287">
        <v>0</v>
      </c>
      <c r="I19" s="308">
        <v>239603</v>
      </c>
      <c r="J19" s="308">
        <v>1388021</v>
      </c>
      <c r="K19" s="308">
        <v>1105333</v>
      </c>
      <c r="L19" s="308">
        <v>138067</v>
      </c>
      <c r="M19" s="308">
        <v>94721</v>
      </c>
      <c r="N19" s="308">
        <v>2202277</v>
      </c>
      <c r="O19" s="308">
        <v>75155</v>
      </c>
      <c r="P19" s="308">
        <v>0</v>
      </c>
      <c r="Q19" s="308">
        <v>0</v>
      </c>
      <c r="R19" s="308">
        <v>688313</v>
      </c>
      <c r="S19" s="307">
        <f t="shared" si="4"/>
        <v>712730</v>
      </c>
      <c r="T19" s="308">
        <v>16902</v>
      </c>
      <c r="U19" s="308">
        <v>7515</v>
      </c>
      <c r="V19" s="308">
        <v>0</v>
      </c>
      <c r="W19" s="308">
        <v>0</v>
      </c>
      <c r="X19" s="308">
        <v>688313</v>
      </c>
      <c r="Y19" s="308">
        <v>0</v>
      </c>
      <c r="Z19" s="308">
        <v>0</v>
      </c>
      <c r="AA19" s="320"/>
      <c r="AB19" s="322"/>
      <c r="AC19" s="322"/>
      <c r="AD19" s="322"/>
      <c r="AE19" s="322"/>
      <c r="AF19" s="322"/>
    </row>
    <row r="20" spans="1:32" s="290" customFormat="1" ht="49.5" customHeight="1">
      <c r="A20" s="288" t="s">
        <v>260</v>
      </c>
      <c r="B20" s="289" t="s">
        <v>750</v>
      </c>
      <c r="C20" s="307">
        <f t="shared" si="7"/>
        <v>587099</v>
      </c>
      <c r="D20" s="287">
        <v>0.21060520312315298</v>
      </c>
      <c r="E20" s="308">
        <v>587099</v>
      </c>
      <c r="F20" s="287">
        <v>0.21060520312315298</v>
      </c>
      <c r="G20" s="308">
        <v>0</v>
      </c>
      <c r="H20" s="287">
        <v>0</v>
      </c>
      <c r="I20" s="308">
        <v>67242</v>
      </c>
      <c r="J20" s="308">
        <v>274409</v>
      </c>
      <c r="K20" s="308">
        <v>149615</v>
      </c>
      <c r="L20" s="308">
        <v>95833</v>
      </c>
      <c r="M20" s="308">
        <v>0</v>
      </c>
      <c r="N20" s="308">
        <v>587099</v>
      </c>
      <c r="O20" s="308">
        <v>0</v>
      </c>
      <c r="P20" s="308">
        <v>0</v>
      </c>
      <c r="Q20" s="308">
        <v>0</v>
      </c>
      <c r="R20" s="308">
        <v>0</v>
      </c>
      <c r="S20" s="307">
        <f t="shared" si="4"/>
        <v>5038</v>
      </c>
      <c r="T20" s="308">
        <v>5038</v>
      </c>
      <c r="U20" s="308">
        <v>0</v>
      </c>
      <c r="V20" s="308">
        <v>0</v>
      </c>
      <c r="W20" s="308">
        <v>0</v>
      </c>
      <c r="X20" s="308">
        <v>0</v>
      </c>
      <c r="Y20" s="308">
        <v>0</v>
      </c>
      <c r="Z20" s="308">
        <v>0</v>
      </c>
      <c r="AA20" s="320"/>
      <c r="AB20" s="322"/>
      <c r="AC20" s="322"/>
      <c r="AD20" s="322"/>
      <c r="AE20" s="322"/>
      <c r="AF20" s="322"/>
    </row>
    <row r="21" spans="1:32" s="280" customFormat="1" ht="49.5" customHeight="1">
      <c r="A21" s="291">
        <v>3</v>
      </c>
      <c r="B21" s="292" t="s">
        <v>761</v>
      </c>
      <c r="C21" s="307">
        <f t="shared" si="7"/>
        <v>445121892</v>
      </c>
      <c r="D21" s="287">
        <v>0.26430988612284273</v>
      </c>
      <c r="E21" s="308">
        <v>445121892</v>
      </c>
      <c r="F21" s="287">
        <v>0.26430988612284273</v>
      </c>
      <c r="G21" s="308">
        <v>0</v>
      </c>
      <c r="H21" s="287">
        <v>0</v>
      </c>
      <c r="I21" s="308">
        <v>360309024</v>
      </c>
      <c r="J21" s="308">
        <v>84062441</v>
      </c>
      <c r="K21" s="308">
        <v>750054</v>
      </c>
      <c r="L21" s="308">
        <v>373</v>
      </c>
      <c r="M21" s="308">
        <v>0</v>
      </c>
      <c r="N21" s="308">
        <v>414470165</v>
      </c>
      <c r="O21" s="308">
        <v>7701984</v>
      </c>
      <c r="P21" s="308">
        <v>4014580</v>
      </c>
      <c r="Q21" s="308">
        <v>3163284</v>
      </c>
      <c r="R21" s="308">
        <v>15771879</v>
      </c>
      <c r="S21" s="307">
        <f t="shared" si="4"/>
        <v>23147182</v>
      </c>
      <c r="T21" s="308">
        <v>4058110</v>
      </c>
      <c r="U21" s="308">
        <v>773345</v>
      </c>
      <c r="V21" s="308">
        <v>920389</v>
      </c>
      <c r="W21" s="308">
        <v>1583837</v>
      </c>
      <c r="X21" s="308">
        <v>15811501</v>
      </c>
      <c r="Y21" s="308">
        <v>17277388</v>
      </c>
      <c r="Z21" s="308">
        <v>63926</v>
      </c>
      <c r="AA21" s="320">
        <f>+'loans_av rate'!C12+'loans_av rate'!C20</f>
        <v>445121892</v>
      </c>
      <c r="AB21" s="320">
        <f>+'loans_av rate'!E12+'loans_av rate'!E20</f>
        <v>445121892</v>
      </c>
      <c r="AC21" s="320">
        <f>+'loans_av rate'!G12+'loans_av rate'!G20</f>
        <v>0</v>
      </c>
      <c r="AE21" s="318"/>
      <c r="AF21" s="318"/>
    </row>
    <row r="22" spans="1:32" s="280" customFormat="1" ht="49.5" customHeight="1">
      <c r="A22" s="291">
        <v>4</v>
      </c>
      <c r="B22" s="292" t="s">
        <v>625</v>
      </c>
      <c r="C22" s="307">
        <f t="shared" si="7"/>
        <v>505445650</v>
      </c>
      <c r="D22" s="287">
        <v>0.23002211231132275</v>
      </c>
      <c r="E22" s="308">
        <v>505445650</v>
      </c>
      <c r="F22" s="287">
        <v>0.23002211231132275</v>
      </c>
      <c r="G22" s="308">
        <v>0</v>
      </c>
      <c r="H22" s="287">
        <v>0</v>
      </c>
      <c r="I22" s="308">
        <v>246504067</v>
      </c>
      <c r="J22" s="308">
        <v>225497684</v>
      </c>
      <c r="K22" s="308">
        <v>33443899</v>
      </c>
      <c r="L22" s="308">
        <v>0</v>
      </c>
      <c r="M22" s="308">
        <v>0</v>
      </c>
      <c r="N22" s="308">
        <v>466053615</v>
      </c>
      <c r="O22" s="308">
        <v>15370248</v>
      </c>
      <c r="P22" s="308">
        <v>4296401</v>
      </c>
      <c r="Q22" s="308">
        <v>3241490</v>
      </c>
      <c r="R22" s="308">
        <v>16483896</v>
      </c>
      <c r="S22" s="307">
        <f t="shared" si="4"/>
        <v>24931377</v>
      </c>
      <c r="T22" s="308">
        <v>4279207</v>
      </c>
      <c r="U22" s="308">
        <v>1536217</v>
      </c>
      <c r="V22" s="308">
        <v>1003593</v>
      </c>
      <c r="W22" s="308">
        <v>1620745</v>
      </c>
      <c r="X22" s="308">
        <v>16491615</v>
      </c>
      <c r="Y22" s="308">
        <v>12228348</v>
      </c>
      <c r="Z22" s="308">
        <v>3051381</v>
      </c>
      <c r="AA22" s="320">
        <f>+'loans_av rate'!C11+'loans_av rate'!C13+'loans_av rate'!C19+'loans_av rate'!C21</f>
        <v>505445650</v>
      </c>
      <c r="AB22" s="320">
        <f>+'loans_av rate'!E11+'loans_av rate'!E13+'loans_av rate'!E19+'loans_av rate'!E21</f>
        <v>505445650</v>
      </c>
      <c r="AC22" s="320"/>
      <c r="AE22" s="318"/>
      <c r="AF22" s="318"/>
    </row>
    <row r="23" spans="1:32" s="280" customFormat="1" ht="49.5" customHeight="1">
      <c r="A23" s="291" t="s">
        <v>559</v>
      </c>
      <c r="B23" s="292" t="s">
        <v>754</v>
      </c>
      <c r="C23" s="307">
        <f t="shared" si="7"/>
        <v>445658787</v>
      </c>
      <c r="D23" s="287">
        <v>0.22119092318536979</v>
      </c>
      <c r="E23" s="308">
        <v>445658787</v>
      </c>
      <c r="F23" s="287">
        <v>0.22119092318536979</v>
      </c>
      <c r="G23" s="308">
        <v>0</v>
      </c>
      <c r="H23" s="287">
        <v>0</v>
      </c>
      <c r="I23" s="308">
        <v>190868676</v>
      </c>
      <c r="J23" s="308">
        <v>221349772</v>
      </c>
      <c r="K23" s="308">
        <v>33440339</v>
      </c>
      <c r="L23" s="308">
        <v>0</v>
      </c>
      <c r="M23" s="308">
        <v>0</v>
      </c>
      <c r="N23" s="308">
        <v>424522697</v>
      </c>
      <c r="O23" s="308">
        <v>11639926</v>
      </c>
      <c r="P23" s="308">
        <v>2972220</v>
      </c>
      <c r="Q23" s="308">
        <v>1525570</v>
      </c>
      <c r="R23" s="308">
        <v>4998374</v>
      </c>
      <c r="S23" s="307">
        <f t="shared" si="4"/>
        <v>11291798</v>
      </c>
      <c r="T23" s="308">
        <v>3666906</v>
      </c>
      <c r="U23" s="308">
        <v>1162750</v>
      </c>
      <c r="V23" s="308">
        <v>700983</v>
      </c>
      <c r="W23" s="308">
        <v>762785</v>
      </c>
      <c r="X23" s="308">
        <v>4998374</v>
      </c>
      <c r="Y23" s="308">
        <v>1164070</v>
      </c>
      <c r="Z23" s="308">
        <v>2414443</v>
      </c>
      <c r="AA23" s="320">
        <f>+'loans_av rate'!C11+'loans_av rate'!C19</f>
        <v>445658787</v>
      </c>
      <c r="AB23" s="320">
        <f>+'loans_av rate'!E11+'loans_av rate'!E19</f>
        <v>445658787</v>
      </c>
      <c r="AC23" s="320">
        <f>+'loans_av rate'!G11+'loans_av rate'!G19</f>
        <v>0</v>
      </c>
      <c r="AE23" s="318"/>
      <c r="AF23" s="318"/>
    </row>
    <row r="24" spans="1:32" s="280" customFormat="1" ht="49.5" customHeight="1">
      <c r="A24" s="291">
        <v>5</v>
      </c>
      <c r="B24" s="292" t="s">
        <v>613</v>
      </c>
      <c r="C24" s="307">
        <f t="shared" si="7"/>
        <v>37718012</v>
      </c>
      <c r="D24" s="287">
        <v>9.8887846397333376E-2</v>
      </c>
      <c r="E24" s="308">
        <v>37718012</v>
      </c>
      <c r="F24" s="287">
        <v>9.8887846397333376E-2</v>
      </c>
      <c r="G24" s="308">
        <v>0</v>
      </c>
      <c r="H24" s="287">
        <v>0</v>
      </c>
      <c r="I24" s="308">
        <v>28482938</v>
      </c>
      <c r="J24" s="308">
        <v>4193560</v>
      </c>
      <c r="K24" s="308">
        <v>4490406</v>
      </c>
      <c r="L24" s="308">
        <v>551108</v>
      </c>
      <c r="M24" s="308">
        <v>0</v>
      </c>
      <c r="N24" s="308">
        <v>30503748</v>
      </c>
      <c r="O24" s="308">
        <v>3487437</v>
      </c>
      <c r="P24" s="308">
        <v>1167529</v>
      </c>
      <c r="Q24" s="308">
        <v>1800511</v>
      </c>
      <c r="R24" s="308">
        <v>758787</v>
      </c>
      <c r="S24" s="307">
        <f t="shared" si="4"/>
        <v>2715104</v>
      </c>
      <c r="T24" s="308">
        <v>420448</v>
      </c>
      <c r="U24" s="308">
        <v>349161</v>
      </c>
      <c r="V24" s="308">
        <v>282115</v>
      </c>
      <c r="W24" s="308">
        <v>900256</v>
      </c>
      <c r="X24" s="308">
        <v>763124</v>
      </c>
      <c r="Y24" s="308">
        <v>16521680</v>
      </c>
      <c r="Z24" s="308">
        <v>160649</v>
      </c>
      <c r="AA24" s="320">
        <f>+'loans_av rate'!C14+'loans_av rate'!C22</f>
        <v>37718012</v>
      </c>
      <c r="AB24" s="320">
        <f>+'loans_av rate'!E14+'loans_av rate'!E22</f>
        <v>37718012</v>
      </c>
      <c r="AC24" s="320"/>
      <c r="AE24" s="318"/>
      <c r="AF24" s="318"/>
    </row>
    <row r="25" spans="1:32" s="297" customFormat="1" ht="49.5" customHeight="1">
      <c r="A25" s="282" t="s">
        <v>75</v>
      </c>
      <c r="B25" s="282" t="s">
        <v>752</v>
      </c>
      <c r="C25" s="283">
        <f>+C26</f>
        <v>38887928160</v>
      </c>
      <c r="D25" s="284">
        <f>IFERROR(((C27*D27)/C25)+((C28*D28)/C25)+((C29*D29)/C25)+((C30*D30)/C25)+((C31*D31)/C25)+((C32*D32)/C25),0)</f>
        <v>8.7469897479657888E-2</v>
      </c>
      <c r="E25" s="283">
        <f t="shared" ref="E25:Z25" si="8">+E26</f>
        <v>10813099008</v>
      </c>
      <c r="F25" s="284">
        <f>IFERROR(((E27*F27)/E25)+((E28*F28)/E25)+((E29*F29)/E25)+((E30*F30)/E25)+((E31*F31)/E25)+((E32*F32)/E25),0)</f>
        <v>0.17103071557258431</v>
      </c>
      <c r="G25" s="283">
        <f t="shared" si="8"/>
        <v>28074829152</v>
      </c>
      <c r="H25" s="284">
        <f>IFERROR(((G27*H27)/G25)+((G28*H28)/G25)+((G29*H29)/G25)+((G30*H30)/G25)+((G31*H31)/G25)+((G32*H32)/G25),0)</f>
        <v>5.528621457214225E-2</v>
      </c>
      <c r="I25" s="283">
        <f t="shared" si="8"/>
        <v>13813202766</v>
      </c>
      <c r="J25" s="283">
        <f t="shared" si="8"/>
        <v>19601472280</v>
      </c>
      <c r="K25" s="283">
        <f t="shared" si="8"/>
        <v>4626534456</v>
      </c>
      <c r="L25" s="283">
        <f t="shared" si="8"/>
        <v>782006019</v>
      </c>
      <c r="M25" s="283">
        <f t="shared" si="8"/>
        <v>64712639</v>
      </c>
      <c r="N25" s="283">
        <f t="shared" si="8"/>
        <v>34899982112</v>
      </c>
      <c r="O25" s="283">
        <f t="shared" si="8"/>
        <v>2521318316</v>
      </c>
      <c r="P25" s="283">
        <f t="shared" si="8"/>
        <v>853054372</v>
      </c>
      <c r="Q25" s="283">
        <f t="shared" si="8"/>
        <v>177145098</v>
      </c>
      <c r="R25" s="283">
        <f t="shared" si="8"/>
        <v>436428262</v>
      </c>
      <c r="S25" s="283">
        <f t="shared" si="8"/>
        <v>1291212973</v>
      </c>
      <c r="T25" s="283">
        <f t="shared" si="8"/>
        <v>315085346</v>
      </c>
      <c r="U25" s="283">
        <f t="shared" si="8"/>
        <v>254318080</v>
      </c>
      <c r="V25" s="283">
        <f t="shared" si="8"/>
        <v>203295865</v>
      </c>
      <c r="W25" s="283">
        <f t="shared" si="8"/>
        <v>83087219</v>
      </c>
      <c r="X25" s="283">
        <f t="shared" si="8"/>
        <v>435426463</v>
      </c>
      <c r="Y25" s="283">
        <f t="shared" si="8"/>
        <v>392003417</v>
      </c>
      <c r="Z25" s="283">
        <f t="shared" si="8"/>
        <v>345117679</v>
      </c>
      <c r="AA25" s="320">
        <f>+'loans_av rate'!C24+'loans_av rate'!C33</f>
        <v>38887928160</v>
      </c>
      <c r="AB25" s="320">
        <f>+'loans_av rate'!E24+'loans_av rate'!E33</f>
        <v>10813099008</v>
      </c>
      <c r="AC25" s="320">
        <f>+'loans_av rate'!G24+'loans_av rate'!G33</f>
        <v>28074829152</v>
      </c>
      <c r="AE25" s="321"/>
      <c r="AF25" s="321"/>
    </row>
    <row r="26" spans="1:32" s="297" customFormat="1" ht="33.75" customHeight="1">
      <c r="A26" s="282"/>
      <c r="B26" s="282" t="s">
        <v>762</v>
      </c>
      <c r="C26" s="283">
        <f>SUM(C27:C32)</f>
        <v>38887928160</v>
      </c>
      <c r="D26" s="284">
        <f>IFERROR(((C28*D28)/C26)+((C29*D29)/C26)+((C30*D30)/C26)+((C31*D31)/C26)+((C32*D32)/C26),0)</f>
        <v>8.7468961163221712E-2</v>
      </c>
      <c r="E26" s="283">
        <f t="shared" ref="E26:Z26" si="9">SUM(E27:E32)</f>
        <v>10813099008</v>
      </c>
      <c r="F26" s="284">
        <f>IFERROR(((E28*F28)/E26)+((E29*F29)/E26)+((E30*F30)/E26)+((E31*F31)/E26)+((E32*F32)/E26),0)</f>
        <v>0.17102734823022683</v>
      </c>
      <c r="G26" s="283">
        <f t="shared" si="9"/>
        <v>28074829152</v>
      </c>
      <c r="H26" s="284">
        <f>IFERROR(((G28*H28)/G26)+((G29*H29)/G26)+((G30*H30)/G26)+((G31*H31)/G26)+((G32*H32)/G26),0)</f>
        <v>5.528621457214225E-2</v>
      </c>
      <c r="I26" s="283">
        <f t="shared" si="9"/>
        <v>13813202766</v>
      </c>
      <c r="J26" s="283">
        <f t="shared" si="9"/>
        <v>19601472280</v>
      </c>
      <c r="K26" s="283">
        <f t="shared" si="9"/>
        <v>4626534456</v>
      </c>
      <c r="L26" s="283">
        <f t="shared" si="9"/>
        <v>782006019</v>
      </c>
      <c r="M26" s="283">
        <f t="shared" si="9"/>
        <v>64712639</v>
      </c>
      <c r="N26" s="283">
        <f t="shared" si="9"/>
        <v>34899982112</v>
      </c>
      <c r="O26" s="283">
        <f t="shared" si="9"/>
        <v>2521318316</v>
      </c>
      <c r="P26" s="283">
        <f t="shared" si="9"/>
        <v>853054372</v>
      </c>
      <c r="Q26" s="283">
        <f t="shared" si="9"/>
        <v>177145098</v>
      </c>
      <c r="R26" s="283">
        <f t="shared" si="9"/>
        <v>436428262</v>
      </c>
      <c r="S26" s="283">
        <f t="shared" si="9"/>
        <v>1291212973</v>
      </c>
      <c r="T26" s="283">
        <f t="shared" si="9"/>
        <v>315085346</v>
      </c>
      <c r="U26" s="283">
        <f t="shared" si="9"/>
        <v>254318080</v>
      </c>
      <c r="V26" s="283">
        <f t="shared" si="9"/>
        <v>203295865</v>
      </c>
      <c r="W26" s="283">
        <f t="shared" si="9"/>
        <v>83087219</v>
      </c>
      <c r="X26" s="283">
        <f t="shared" si="9"/>
        <v>435426463</v>
      </c>
      <c r="Y26" s="283">
        <f t="shared" si="9"/>
        <v>392003417</v>
      </c>
      <c r="Z26" s="283">
        <f t="shared" si="9"/>
        <v>345117679</v>
      </c>
      <c r="AA26" s="320"/>
      <c r="AB26" s="320"/>
      <c r="AC26" s="320"/>
      <c r="AE26" s="321"/>
      <c r="AF26" s="321"/>
    </row>
    <row r="27" spans="1:32" s="280" customFormat="1" ht="49.5" customHeight="1">
      <c r="A27" s="291">
        <v>1</v>
      </c>
      <c r="B27" s="292" t="s">
        <v>626</v>
      </c>
      <c r="C27" s="307">
        <f t="shared" ref="C27:C32" si="10">+E27+G27</f>
        <v>369386</v>
      </c>
      <c r="D27" s="287">
        <v>9.8572783769281996E-2</v>
      </c>
      <c r="E27" s="308">
        <v>369386</v>
      </c>
      <c r="F27" s="287">
        <v>9.8572783769281996E-2</v>
      </c>
      <c r="G27" s="308">
        <v>0</v>
      </c>
      <c r="H27" s="287">
        <v>0</v>
      </c>
      <c r="I27" s="308">
        <v>207246</v>
      </c>
      <c r="J27" s="308">
        <v>148807</v>
      </c>
      <c r="K27" s="308">
        <v>13333</v>
      </c>
      <c r="L27" s="308">
        <v>0</v>
      </c>
      <c r="M27" s="308">
        <v>0</v>
      </c>
      <c r="N27" s="308">
        <v>79644</v>
      </c>
      <c r="O27" s="308">
        <v>63333</v>
      </c>
      <c r="P27" s="308">
        <v>0</v>
      </c>
      <c r="Q27" s="308">
        <v>0</v>
      </c>
      <c r="R27" s="308">
        <v>226409</v>
      </c>
      <c r="S27" s="307">
        <f t="shared" ref="S27:S32" si="11">SUM(T27:X27)</f>
        <v>233898</v>
      </c>
      <c r="T27" s="308">
        <v>1156</v>
      </c>
      <c r="U27" s="308">
        <v>6333</v>
      </c>
      <c r="V27" s="308">
        <v>0</v>
      </c>
      <c r="W27" s="308">
        <v>0</v>
      </c>
      <c r="X27" s="308">
        <v>226409</v>
      </c>
      <c r="Y27" s="308">
        <v>276533</v>
      </c>
      <c r="Z27" s="308">
        <v>166377</v>
      </c>
      <c r="AA27" s="320">
        <f>+'loans_av rate'!C26+'loans_av rate'!C35</f>
        <v>369386</v>
      </c>
      <c r="AB27" s="320">
        <f>+'loans_av rate'!E26+'loans_av rate'!E35</f>
        <v>369386</v>
      </c>
      <c r="AC27" s="320">
        <f>+'loans_av rate'!G26+'loans_av rate'!G35</f>
        <v>0</v>
      </c>
      <c r="AE27" s="318"/>
      <c r="AF27" s="318"/>
    </row>
    <row r="28" spans="1:32" s="280" customFormat="1" ht="49.5" customHeight="1">
      <c r="A28" s="291">
        <v>2</v>
      </c>
      <c r="B28" s="292" t="s">
        <v>627</v>
      </c>
      <c r="C28" s="307">
        <f t="shared" si="10"/>
        <v>984198411</v>
      </c>
      <c r="D28" s="287">
        <v>4.115002390823394E-2</v>
      </c>
      <c r="E28" s="308">
        <v>0</v>
      </c>
      <c r="F28" s="287">
        <v>0</v>
      </c>
      <c r="G28" s="308">
        <v>984198411</v>
      </c>
      <c r="H28" s="287">
        <v>4.115002390823394E-2</v>
      </c>
      <c r="I28" s="308">
        <v>122001467</v>
      </c>
      <c r="J28" s="308">
        <v>574797963</v>
      </c>
      <c r="K28" s="308">
        <v>287398981</v>
      </c>
      <c r="L28" s="308">
        <v>0</v>
      </c>
      <c r="M28" s="308">
        <v>0</v>
      </c>
      <c r="N28" s="308">
        <v>984198411</v>
      </c>
      <c r="O28" s="308">
        <v>0</v>
      </c>
      <c r="P28" s="308">
        <v>0</v>
      </c>
      <c r="Q28" s="308">
        <v>0</v>
      </c>
      <c r="R28" s="308">
        <v>0</v>
      </c>
      <c r="S28" s="307">
        <f t="shared" si="11"/>
        <v>9888687</v>
      </c>
      <c r="T28" s="308">
        <v>9888687</v>
      </c>
      <c r="U28" s="308">
        <v>0</v>
      </c>
      <c r="V28" s="308">
        <v>0</v>
      </c>
      <c r="W28" s="308">
        <v>0</v>
      </c>
      <c r="X28" s="308">
        <v>0</v>
      </c>
      <c r="Y28" s="308">
        <v>877152</v>
      </c>
      <c r="Z28" s="308">
        <v>0</v>
      </c>
      <c r="AA28" s="320">
        <f>+'loans_av rate'!C27+'loans_av rate'!C36</f>
        <v>984198411</v>
      </c>
      <c r="AB28" s="320">
        <f>+'loans_av rate'!E27+'loans_av rate'!E36</f>
        <v>0</v>
      </c>
      <c r="AC28" s="320">
        <f>+'loans_av rate'!G27+'loans_av rate'!G36</f>
        <v>984198411</v>
      </c>
      <c r="AE28" s="318"/>
      <c r="AF28" s="318"/>
    </row>
    <row r="29" spans="1:32" s="280" customFormat="1" ht="49.5" customHeight="1">
      <c r="A29" s="291">
        <v>3</v>
      </c>
      <c r="B29" s="292" t="s">
        <v>628</v>
      </c>
      <c r="C29" s="307">
        <f t="shared" si="10"/>
        <v>446251113</v>
      </c>
      <c r="D29" s="287">
        <v>8.7533663883625767E-2</v>
      </c>
      <c r="E29" s="308">
        <v>111699346</v>
      </c>
      <c r="F29" s="287">
        <v>0.17000000061950676</v>
      </c>
      <c r="G29" s="308">
        <v>334551767</v>
      </c>
      <c r="H29" s="287">
        <v>6.0000000071251745E-2</v>
      </c>
      <c r="I29" s="308">
        <v>63431372</v>
      </c>
      <c r="J29" s="308">
        <v>382819741</v>
      </c>
      <c r="K29" s="308">
        <v>0</v>
      </c>
      <c r="L29" s="308">
        <v>0</v>
      </c>
      <c r="M29" s="308">
        <v>0</v>
      </c>
      <c r="N29" s="308">
        <v>349829544</v>
      </c>
      <c r="O29" s="308">
        <v>96421569</v>
      </c>
      <c r="P29" s="308">
        <v>0</v>
      </c>
      <c r="Q29" s="308">
        <v>0</v>
      </c>
      <c r="R29" s="308">
        <v>0</v>
      </c>
      <c r="S29" s="307">
        <f t="shared" si="11"/>
        <v>18160948</v>
      </c>
      <c r="T29" s="308">
        <v>180556</v>
      </c>
      <c r="U29" s="308">
        <v>17980392</v>
      </c>
      <c r="V29" s="308">
        <v>0</v>
      </c>
      <c r="W29" s="308">
        <v>0</v>
      </c>
      <c r="X29" s="308">
        <v>0</v>
      </c>
      <c r="Y29" s="308">
        <v>0</v>
      </c>
      <c r="Z29" s="308">
        <v>0</v>
      </c>
      <c r="AA29" s="320">
        <f>+'loans_av rate'!C28+'loans_av rate'!C37</f>
        <v>446251113</v>
      </c>
      <c r="AB29" s="320">
        <f>+'loans_av rate'!E28+'loans_av rate'!E37</f>
        <v>111699346</v>
      </c>
      <c r="AC29" s="320">
        <f>+'loans_av rate'!G28+'loans_av rate'!G37</f>
        <v>334551767</v>
      </c>
      <c r="AE29" s="318"/>
      <c r="AF29" s="318"/>
    </row>
    <row r="30" spans="1:32" s="280" customFormat="1" ht="49.5" customHeight="1">
      <c r="A30" s="291">
        <v>4</v>
      </c>
      <c r="B30" s="292" t="s">
        <v>629</v>
      </c>
      <c r="C30" s="307">
        <f t="shared" si="10"/>
        <v>181613000</v>
      </c>
      <c r="D30" s="287">
        <v>3.5000000000000003E-2</v>
      </c>
      <c r="E30" s="308">
        <v>181613000</v>
      </c>
      <c r="F30" s="287">
        <v>3.5000000000000003E-2</v>
      </c>
      <c r="G30" s="308">
        <v>0</v>
      </c>
      <c r="H30" s="287">
        <v>0</v>
      </c>
      <c r="I30" s="308">
        <v>181613000</v>
      </c>
      <c r="J30" s="308">
        <v>0</v>
      </c>
      <c r="K30" s="308">
        <v>0</v>
      </c>
      <c r="L30" s="308">
        <v>0</v>
      </c>
      <c r="M30" s="308">
        <v>0</v>
      </c>
      <c r="N30" s="308">
        <v>181613000</v>
      </c>
      <c r="O30" s="308">
        <v>0</v>
      </c>
      <c r="P30" s="308">
        <v>0</v>
      </c>
      <c r="Q30" s="308">
        <v>0</v>
      </c>
      <c r="R30" s="308">
        <v>0</v>
      </c>
      <c r="S30" s="307">
        <f t="shared" si="11"/>
        <v>1119400</v>
      </c>
      <c r="T30" s="308">
        <v>1119400</v>
      </c>
      <c r="U30" s="308">
        <v>0</v>
      </c>
      <c r="V30" s="308">
        <v>0</v>
      </c>
      <c r="W30" s="308">
        <v>0</v>
      </c>
      <c r="X30" s="308">
        <v>0</v>
      </c>
      <c r="Y30" s="308">
        <v>0</v>
      </c>
      <c r="Z30" s="308">
        <v>0</v>
      </c>
      <c r="AA30" s="320">
        <f>+'loans_av rate'!C29+'loans_av rate'!C38</f>
        <v>181613000</v>
      </c>
      <c r="AB30" s="320">
        <f>+'loans_av rate'!E29+'loans_av rate'!E38</f>
        <v>181613000</v>
      </c>
      <c r="AC30" s="320">
        <f>+'loans_av rate'!G29+'loans_av rate'!G38</f>
        <v>0</v>
      </c>
      <c r="AE30" s="318"/>
      <c r="AF30" s="318"/>
    </row>
    <row r="31" spans="1:32" s="280" customFormat="1" ht="49.5" customHeight="1">
      <c r="A31" s="291">
        <v>5</v>
      </c>
      <c r="B31" s="292" t="s">
        <v>630</v>
      </c>
      <c r="C31" s="307">
        <f t="shared" si="10"/>
        <v>0</v>
      </c>
      <c r="D31" s="287">
        <v>0</v>
      </c>
      <c r="E31" s="308">
        <v>0</v>
      </c>
      <c r="F31" s="287">
        <v>0</v>
      </c>
      <c r="G31" s="308">
        <v>0</v>
      </c>
      <c r="H31" s="287">
        <v>0</v>
      </c>
      <c r="I31" s="308">
        <v>0</v>
      </c>
      <c r="J31" s="308">
        <v>0</v>
      </c>
      <c r="K31" s="308">
        <v>0</v>
      </c>
      <c r="L31" s="308">
        <v>0</v>
      </c>
      <c r="M31" s="308">
        <v>0</v>
      </c>
      <c r="N31" s="308">
        <v>0</v>
      </c>
      <c r="O31" s="308">
        <v>0</v>
      </c>
      <c r="P31" s="308">
        <v>0</v>
      </c>
      <c r="Q31" s="308">
        <v>0</v>
      </c>
      <c r="R31" s="308">
        <v>0</v>
      </c>
      <c r="S31" s="307">
        <f t="shared" si="11"/>
        <v>0</v>
      </c>
      <c r="T31" s="308">
        <v>0</v>
      </c>
      <c r="U31" s="308">
        <v>0</v>
      </c>
      <c r="V31" s="308">
        <v>0</v>
      </c>
      <c r="W31" s="308">
        <v>0</v>
      </c>
      <c r="X31" s="308">
        <v>0</v>
      </c>
      <c r="Y31" s="308">
        <v>0</v>
      </c>
      <c r="Z31" s="308">
        <v>0</v>
      </c>
      <c r="AA31" s="320">
        <f>+'loans_av rate'!C30+'loans_av rate'!C39</f>
        <v>0</v>
      </c>
      <c r="AB31" s="320">
        <f>+'loans_av rate'!E30+'loans_av rate'!E39</f>
        <v>0</v>
      </c>
      <c r="AC31" s="320">
        <f>+'loans_av rate'!G30+'loans_av rate'!G39</f>
        <v>0</v>
      </c>
      <c r="AE31" s="318"/>
      <c r="AF31" s="318"/>
    </row>
    <row r="32" spans="1:32" s="280" customFormat="1" ht="49.5" customHeight="1">
      <c r="A32" s="291">
        <v>6</v>
      </c>
      <c r="B32" s="292" t="s">
        <v>763</v>
      </c>
      <c r="C32" s="307">
        <f t="shared" si="10"/>
        <v>37275496250</v>
      </c>
      <c r="D32" s="287">
        <v>8.8947667326335425E-2</v>
      </c>
      <c r="E32" s="308">
        <v>10519417276</v>
      </c>
      <c r="F32" s="287">
        <v>0.17339271346915411</v>
      </c>
      <c r="G32" s="308">
        <v>26756078974</v>
      </c>
      <c r="H32" s="287">
        <v>5.5747261616180828E-2</v>
      </c>
      <c r="I32" s="308">
        <v>13445949681</v>
      </c>
      <c r="J32" s="308">
        <v>18643705769</v>
      </c>
      <c r="K32" s="308">
        <v>4339122142</v>
      </c>
      <c r="L32" s="308">
        <v>782006019</v>
      </c>
      <c r="M32" s="308">
        <v>64712639</v>
      </c>
      <c r="N32" s="308">
        <v>33384261513</v>
      </c>
      <c r="O32" s="308">
        <v>2424833414</v>
      </c>
      <c r="P32" s="308">
        <v>853054372</v>
      </c>
      <c r="Q32" s="308">
        <v>177145098</v>
      </c>
      <c r="R32" s="308">
        <v>436201853</v>
      </c>
      <c r="S32" s="307">
        <f t="shared" si="11"/>
        <v>1261810040</v>
      </c>
      <c r="T32" s="308">
        <v>303895547</v>
      </c>
      <c r="U32" s="308">
        <v>236331355</v>
      </c>
      <c r="V32" s="308">
        <v>203295865</v>
      </c>
      <c r="W32" s="308">
        <v>83087219</v>
      </c>
      <c r="X32" s="308">
        <v>435200054</v>
      </c>
      <c r="Y32" s="308">
        <v>390849732</v>
      </c>
      <c r="Z32" s="308">
        <v>344951302</v>
      </c>
      <c r="AA32" s="320">
        <f>+'loans_av rate'!C31+'loans_av rate'!C40</f>
        <v>37275496250</v>
      </c>
      <c r="AB32" s="320">
        <f>+'loans_av rate'!E31+'loans_av rate'!E40</f>
        <v>10519417276</v>
      </c>
      <c r="AC32" s="320">
        <f>+'loans_av rate'!G31+'loans_av rate'!G40</f>
        <v>26756078974</v>
      </c>
      <c r="AE32" s="318"/>
      <c r="AF32" s="318"/>
    </row>
    <row r="33" spans="1:32" s="297" customFormat="1" ht="33.75" customHeight="1">
      <c r="A33" s="282"/>
      <c r="B33" s="282" t="s">
        <v>764</v>
      </c>
      <c r="C33" s="283">
        <f>SUM(C34:C39)</f>
        <v>38887928160</v>
      </c>
      <c r="D33" s="284">
        <f>IFERROR(((C35*D35)/C33)+((C36*D36)/C33)+((C37*D37)/C33)+((C38*D38)/C33)+((C39*D39)/C33),0)</f>
        <v>8.7168624945977449E-2</v>
      </c>
      <c r="E33" s="283">
        <f t="shared" ref="E33:Z33" si="12">SUM(E34:E39)</f>
        <v>10813099008</v>
      </c>
      <c r="F33" s="284">
        <f>IFERROR(((E35*F35)/E33)+((E36*F36)/E33)+((E37*F37)/E33)+((E38*F38)/E33)+((E39*F39)/E33),0)</f>
        <v>0.17018850108975281</v>
      </c>
      <c r="G33" s="283">
        <f t="shared" si="12"/>
        <v>28074829152</v>
      </c>
      <c r="H33" s="284">
        <f>IFERROR(((G35*H35)/G33)+((G36*H36)/G33)+((G37*H37)/G33)+((G38*H38)/G33)+((G39*H39)/G33),0)</f>
        <v>5.5193287343489501E-2</v>
      </c>
      <c r="I33" s="283">
        <f t="shared" si="12"/>
        <v>13813202766</v>
      </c>
      <c r="J33" s="283">
        <f t="shared" si="12"/>
        <v>19601472280</v>
      </c>
      <c r="K33" s="283">
        <f t="shared" si="12"/>
        <v>4626534456</v>
      </c>
      <c r="L33" s="283">
        <f t="shared" si="12"/>
        <v>782006019</v>
      </c>
      <c r="M33" s="283">
        <f t="shared" si="12"/>
        <v>64712639</v>
      </c>
      <c r="N33" s="283">
        <f t="shared" si="12"/>
        <v>34899982112</v>
      </c>
      <c r="O33" s="283">
        <f t="shared" si="12"/>
        <v>2521318316</v>
      </c>
      <c r="P33" s="283">
        <f t="shared" si="12"/>
        <v>853054372</v>
      </c>
      <c r="Q33" s="283">
        <f t="shared" si="12"/>
        <v>177145098</v>
      </c>
      <c r="R33" s="283">
        <f t="shared" si="12"/>
        <v>436428262</v>
      </c>
      <c r="S33" s="283">
        <f t="shared" si="12"/>
        <v>1291212973</v>
      </c>
      <c r="T33" s="283">
        <f t="shared" si="12"/>
        <v>315085346</v>
      </c>
      <c r="U33" s="283">
        <f t="shared" si="12"/>
        <v>254318080</v>
      </c>
      <c r="V33" s="283">
        <f t="shared" si="12"/>
        <v>203295865</v>
      </c>
      <c r="W33" s="283">
        <f t="shared" si="12"/>
        <v>83087219</v>
      </c>
      <c r="X33" s="283">
        <f t="shared" si="12"/>
        <v>435426463</v>
      </c>
      <c r="Y33" s="283">
        <f t="shared" si="12"/>
        <v>392003417</v>
      </c>
      <c r="Z33" s="283">
        <f t="shared" si="12"/>
        <v>345117679</v>
      </c>
      <c r="AA33" s="320"/>
      <c r="AB33" s="321"/>
      <c r="AC33" s="321"/>
      <c r="AD33" s="321"/>
      <c r="AE33" s="321"/>
      <c r="AF33" s="321"/>
    </row>
    <row r="34" spans="1:32" s="280" customFormat="1" ht="49.5" customHeight="1">
      <c r="A34" s="291">
        <v>1</v>
      </c>
      <c r="B34" s="292" t="s">
        <v>756</v>
      </c>
      <c r="C34" s="307">
        <f t="shared" ref="C34:C39" si="13">+E34+G34</f>
        <v>88736769</v>
      </c>
      <c r="D34" s="287">
        <v>0.13202942566398829</v>
      </c>
      <c r="E34" s="308">
        <v>55505160</v>
      </c>
      <c r="F34" s="287">
        <v>0.16407390910534445</v>
      </c>
      <c r="G34" s="308">
        <v>33231609</v>
      </c>
      <c r="H34" s="287">
        <v>7.850706445271427E-2</v>
      </c>
      <c r="I34" s="308">
        <v>16902937</v>
      </c>
      <c r="J34" s="308">
        <v>65405261</v>
      </c>
      <c r="K34" s="308">
        <v>6428571</v>
      </c>
      <c r="L34" s="308">
        <v>0</v>
      </c>
      <c r="M34" s="308">
        <v>0</v>
      </c>
      <c r="N34" s="308">
        <v>88736769</v>
      </c>
      <c r="O34" s="308">
        <v>0</v>
      </c>
      <c r="P34" s="308">
        <v>0</v>
      </c>
      <c r="Q34" s="308">
        <v>0</v>
      </c>
      <c r="R34" s="308">
        <v>0</v>
      </c>
      <c r="S34" s="307">
        <f t="shared" ref="S34:S39" si="14">SUM(T34:X34)</f>
        <v>966253</v>
      </c>
      <c r="T34" s="308">
        <v>966253</v>
      </c>
      <c r="U34" s="308">
        <v>0</v>
      </c>
      <c r="V34" s="308">
        <v>0</v>
      </c>
      <c r="W34" s="308">
        <v>0</v>
      </c>
      <c r="X34" s="308">
        <v>0</v>
      </c>
      <c r="Y34" s="308">
        <v>0</v>
      </c>
      <c r="Z34" s="308">
        <v>0</v>
      </c>
      <c r="AB34" s="318"/>
      <c r="AC34" s="318"/>
      <c r="AD34" s="318"/>
      <c r="AE34" s="318"/>
      <c r="AF34" s="318"/>
    </row>
    <row r="35" spans="1:32" s="280" customFormat="1" ht="49.5" customHeight="1">
      <c r="A35" s="291">
        <v>2</v>
      </c>
      <c r="B35" s="292" t="s">
        <v>757</v>
      </c>
      <c r="C35" s="307">
        <f t="shared" si="13"/>
        <v>2665495701</v>
      </c>
      <c r="D35" s="287">
        <v>0.13584460482084434</v>
      </c>
      <c r="E35" s="308">
        <v>1228459218</v>
      </c>
      <c r="F35" s="287">
        <v>0.21143519890735241</v>
      </c>
      <c r="G35" s="308">
        <v>1437036483</v>
      </c>
      <c r="H35" s="287">
        <v>7.1225534116522299E-2</v>
      </c>
      <c r="I35" s="308">
        <v>2145026051</v>
      </c>
      <c r="J35" s="308">
        <v>486449509</v>
      </c>
      <c r="K35" s="308">
        <v>30874682</v>
      </c>
      <c r="L35" s="308">
        <v>3142640</v>
      </c>
      <c r="M35" s="308">
        <v>2819</v>
      </c>
      <c r="N35" s="308">
        <v>2552582984</v>
      </c>
      <c r="O35" s="308">
        <v>37801730</v>
      </c>
      <c r="P35" s="308">
        <v>33211084</v>
      </c>
      <c r="Q35" s="308">
        <v>10657194</v>
      </c>
      <c r="R35" s="308">
        <v>31242709</v>
      </c>
      <c r="S35" s="307">
        <f t="shared" si="14"/>
        <v>68081645</v>
      </c>
      <c r="T35" s="308">
        <v>19392639</v>
      </c>
      <c r="U35" s="308">
        <v>3814928</v>
      </c>
      <c r="V35" s="308">
        <v>8302771</v>
      </c>
      <c r="W35" s="308">
        <v>5328597</v>
      </c>
      <c r="X35" s="308">
        <v>31242710</v>
      </c>
      <c r="Y35" s="308">
        <v>58069968</v>
      </c>
      <c r="Z35" s="308">
        <v>15139592</v>
      </c>
      <c r="AB35" s="318"/>
      <c r="AC35" s="318"/>
      <c r="AD35" s="318"/>
      <c r="AE35" s="318"/>
      <c r="AF35" s="318"/>
    </row>
    <row r="36" spans="1:32" s="280" customFormat="1" ht="58.5" customHeight="1">
      <c r="A36" s="291">
        <v>3</v>
      </c>
      <c r="B36" s="292" t="s">
        <v>758</v>
      </c>
      <c r="C36" s="307">
        <f t="shared" si="13"/>
        <v>1369593029</v>
      </c>
      <c r="D36" s="287">
        <v>0.15527701315900713</v>
      </c>
      <c r="E36" s="308">
        <v>814607425</v>
      </c>
      <c r="F36" s="287">
        <v>0.2149296333177417</v>
      </c>
      <c r="G36" s="308">
        <v>554985604</v>
      </c>
      <c r="H36" s="287">
        <v>6.7718945072596237E-2</v>
      </c>
      <c r="I36" s="308">
        <v>139053572</v>
      </c>
      <c r="J36" s="308">
        <v>1155928203</v>
      </c>
      <c r="K36" s="308">
        <v>74611254</v>
      </c>
      <c r="L36" s="308">
        <v>0</v>
      </c>
      <c r="M36" s="308">
        <v>0</v>
      </c>
      <c r="N36" s="308">
        <v>1106404616</v>
      </c>
      <c r="O36" s="308">
        <v>245279003</v>
      </c>
      <c r="P36" s="308">
        <v>6408036</v>
      </c>
      <c r="Q36" s="308">
        <v>0</v>
      </c>
      <c r="R36" s="308">
        <v>11501374</v>
      </c>
      <c r="S36" s="307">
        <f t="shared" si="14"/>
        <v>42867561</v>
      </c>
      <c r="T36" s="308">
        <v>6238078</v>
      </c>
      <c r="U36" s="308">
        <v>24527900</v>
      </c>
      <c r="V36" s="308">
        <v>1602009</v>
      </c>
      <c r="W36" s="308">
        <v>0</v>
      </c>
      <c r="X36" s="308">
        <v>10499574</v>
      </c>
      <c r="Y36" s="308">
        <v>0</v>
      </c>
      <c r="Z36" s="308">
        <v>4348930</v>
      </c>
      <c r="AB36" s="318"/>
      <c r="AC36" s="318"/>
      <c r="AD36" s="318"/>
      <c r="AE36" s="318"/>
      <c r="AF36" s="318"/>
    </row>
    <row r="37" spans="1:32" s="280" customFormat="1" ht="49.5" customHeight="1">
      <c r="A37" s="291">
        <v>4</v>
      </c>
      <c r="B37" s="292" t="s">
        <v>759</v>
      </c>
      <c r="C37" s="307">
        <f t="shared" si="13"/>
        <v>3473731</v>
      </c>
      <c r="D37" s="287">
        <v>0.14499998917591775</v>
      </c>
      <c r="E37" s="308">
        <v>3473731</v>
      </c>
      <c r="F37" s="287">
        <v>0.14499998917591775</v>
      </c>
      <c r="G37" s="308">
        <v>0</v>
      </c>
      <c r="H37" s="287">
        <v>0</v>
      </c>
      <c r="I37" s="308">
        <v>2241330</v>
      </c>
      <c r="J37" s="308">
        <v>1232401</v>
      </c>
      <c r="K37" s="308">
        <v>0</v>
      </c>
      <c r="L37" s="308">
        <v>0</v>
      </c>
      <c r="M37" s="308">
        <v>0</v>
      </c>
      <c r="N37" s="308">
        <v>3473731</v>
      </c>
      <c r="O37" s="308">
        <v>0</v>
      </c>
      <c r="P37" s="308">
        <v>0</v>
      </c>
      <c r="Q37" s="308">
        <v>0</v>
      </c>
      <c r="R37" s="308">
        <v>0</v>
      </c>
      <c r="S37" s="307">
        <f t="shared" si="14"/>
        <v>42208</v>
      </c>
      <c r="T37" s="308">
        <v>42208</v>
      </c>
      <c r="U37" s="308">
        <v>0</v>
      </c>
      <c r="V37" s="308">
        <v>0</v>
      </c>
      <c r="W37" s="308">
        <v>0</v>
      </c>
      <c r="X37" s="308">
        <v>0</v>
      </c>
      <c r="Y37" s="308">
        <v>0</v>
      </c>
      <c r="Z37" s="308">
        <v>0</v>
      </c>
      <c r="AB37" s="318"/>
      <c r="AC37" s="318"/>
      <c r="AD37" s="318"/>
      <c r="AE37" s="318"/>
      <c r="AF37" s="318"/>
    </row>
    <row r="38" spans="1:32" s="280" customFormat="1" ht="49.5" customHeight="1">
      <c r="A38" s="291">
        <v>5</v>
      </c>
      <c r="B38" s="292" t="s">
        <v>760</v>
      </c>
      <c r="C38" s="307">
        <f t="shared" si="13"/>
        <v>0</v>
      </c>
      <c r="D38" s="287">
        <v>0</v>
      </c>
      <c r="E38" s="308">
        <v>0</v>
      </c>
      <c r="F38" s="287">
        <v>0</v>
      </c>
      <c r="G38" s="308">
        <v>0</v>
      </c>
      <c r="H38" s="287">
        <v>0</v>
      </c>
      <c r="I38" s="308">
        <v>0</v>
      </c>
      <c r="J38" s="308">
        <v>0</v>
      </c>
      <c r="K38" s="308">
        <v>0</v>
      </c>
      <c r="L38" s="308">
        <v>0</v>
      </c>
      <c r="M38" s="308">
        <v>0</v>
      </c>
      <c r="N38" s="308">
        <v>0</v>
      </c>
      <c r="O38" s="308">
        <v>0</v>
      </c>
      <c r="P38" s="308">
        <v>0</v>
      </c>
      <c r="Q38" s="308">
        <v>0</v>
      </c>
      <c r="R38" s="308">
        <v>0</v>
      </c>
      <c r="S38" s="307">
        <f t="shared" si="14"/>
        <v>0</v>
      </c>
      <c r="T38" s="308">
        <v>0</v>
      </c>
      <c r="U38" s="308">
        <v>0</v>
      </c>
      <c r="V38" s="308">
        <v>0</v>
      </c>
      <c r="W38" s="308">
        <v>0</v>
      </c>
      <c r="X38" s="308">
        <v>0</v>
      </c>
      <c r="Y38" s="308">
        <v>0</v>
      </c>
      <c r="Z38" s="308">
        <v>0</v>
      </c>
      <c r="AB38" s="318"/>
      <c r="AC38" s="318"/>
      <c r="AD38" s="318"/>
      <c r="AE38" s="318"/>
      <c r="AF38" s="318"/>
    </row>
    <row r="39" spans="1:32" s="280" customFormat="1" ht="49.5" customHeight="1">
      <c r="A39" s="291">
        <v>6</v>
      </c>
      <c r="B39" s="292" t="s">
        <v>765</v>
      </c>
      <c r="C39" s="307">
        <f t="shared" si="13"/>
        <v>34760628930</v>
      </c>
      <c r="D39" s="287">
        <v>8.0969306236520752E-2</v>
      </c>
      <c r="E39" s="308">
        <v>8711053474</v>
      </c>
      <c r="F39" s="287">
        <v>0.16128228707147677</v>
      </c>
      <c r="G39" s="308">
        <v>26049575456</v>
      </c>
      <c r="H39" s="287">
        <v>5.4112412857042394E-2</v>
      </c>
      <c r="I39" s="308">
        <v>11509978876</v>
      </c>
      <c r="J39" s="308">
        <v>17892456906</v>
      </c>
      <c r="K39" s="308">
        <v>4514619949</v>
      </c>
      <c r="L39" s="308">
        <v>778863379</v>
      </c>
      <c r="M39" s="308">
        <v>64709820</v>
      </c>
      <c r="N39" s="308">
        <v>31148784012</v>
      </c>
      <c r="O39" s="308">
        <v>2238237583</v>
      </c>
      <c r="P39" s="308">
        <v>813435252</v>
      </c>
      <c r="Q39" s="308">
        <v>166487904</v>
      </c>
      <c r="R39" s="308">
        <v>393684179</v>
      </c>
      <c r="S39" s="307">
        <f t="shared" si="14"/>
        <v>1179255306</v>
      </c>
      <c r="T39" s="308">
        <v>288446168</v>
      </c>
      <c r="U39" s="308">
        <v>225975252</v>
      </c>
      <c r="V39" s="308">
        <v>193391085</v>
      </c>
      <c r="W39" s="308">
        <v>77758622</v>
      </c>
      <c r="X39" s="308">
        <v>393684179</v>
      </c>
      <c r="Y39" s="308">
        <v>333933449</v>
      </c>
      <c r="Z39" s="308">
        <v>325629157</v>
      </c>
      <c r="AB39" s="318"/>
      <c r="AC39" s="318"/>
      <c r="AD39" s="318"/>
      <c r="AE39" s="318"/>
      <c r="AF39" s="318"/>
    </row>
    <row r="40" spans="1:32" s="280" customFormat="1" ht="37.5" customHeight="1">
      <c r="A40" s="298"/>
      <c r="B40" s="299"/>
      <c r="C40" s="300"/>
      <c r="D40" s="311"/>
      <c r="E40" s="300"/>
      <c r="F40" s="300"/>
      <c r="G40" s="300"/>
      <c r="H40" s="300"/>
      <c r="I40" s="299"/>
      <c r="J40" s="299"/>
      <c r="K40" s="299"/>
      <c r="L40" s="299"/>
      <c r="M40" s="299"/>
      <c r="N40" s="311"/>
      <c r="O40" s="311"/>
      <c r="P40" s="311"/>
      <c r="Q40" s="311"/>
      <c r="R40" s="311"/>
      <c r="S40" s="311"/>
      <c r="T40" s="311"/>
      <c r="U40" s="311"/>
      <c r="V40" s="311"/>
      <c r="W40" s="311"/>
      <c r="X40" s="311"/>
      <c r="Y40" s="311"/>
      <c r="Z40" s="311"/>
      <c r="AB40" s="318"/>
      <c r="AC40" s="318"/>
      <c r="AD40" s="318"/>
      <c r="AE40" s="318"/>
      <c r="AF40" s="318"/>
    </row>
    <row r="41" spans="1:32" s="314" customFormat="1" ht="15.75">
      <c r="A41" s="312"/>
      <c r="B41" s="313" t="s">
        <v>0</v>
      </c>
      <c r="J41" s="312"/>
      <c r="AB41" s="323"/>
      <c r="AC41" s="323"/>
      <c r="AD41" s="323"/>
      <c r="AE41" s="323"/>
      <c r="AF41" s="323"/>
    </row>
    <row r="42" spans="1:32" s="314" customFormat="1" ht="15.75">
      <c r="A42" s="312"/>
      <c r="B42" s="313"/>
      <c r="J42" s="312"/>
      <c r="AB42" s="323"/>
      <c r="AC42" s="323"/>
      <c r="AD42" s="323"/>
      <c r="AE42" s="323"/>
      <c r="AF42" s="323"/>
    </row>
    <row r="43" spans="1:32" s="314" customFormat="1" ht="15.75">
      <c r="A43" s="312"/>
      <c r="B43" s="313" t="s">
        <v>1</v>
      </c>
      <c r="J43" s="312"/>
      <c r="AB43" s="323"/>
      <c r="AC43" s="323"/>
      <c r="AD43" s="323"/>
      <c r="AE43" s="323"/>
      <c r="AF43" s="323"/>
    </row>
    <row r="44" spans="1:32" s="109" customFormat="1" ht="15.75">
      <c r="A44" s="129"/>
      <c r="AB44" s="324"/>
      <c r="AC44" s="324"/>
      <c r="AD44" s="324"/>
      <c r="AE44" s="324"/>
      <c r="AF44" s="324"/>
    </row>
    <row r="45" spans="1:32" s="19" customFormat="1" ht="15.75">
      <c r="A45" s="66"/>
      <c r="B45" s="72"/>
      <c r="J45" s="66"/>
      <c r="AB45" s="325"/>
      <c r="AC45" s="325"/>
      <c r="AD45" s="325"/>
      <c r="AE45" s="325"/>
      <c r="AF45" s="325"/>
    </row>
    <row r="46" spans="1:32" s="19" customFormat="1" ht="15.75">
      <c r="A46" s="66"/>
      <c r="B46" s="72"/>
      <c r="J46" s="66"/>
      <c r="AB46" s="325"/>
      <c r="AC46" s="325"/>
      <c r="AD46" s="325"/>
      <c r="AE46" s="325"/>
      <c r="AF46" s="325"/>
    </row>
    <row r="47" spans="1:32" s="19" customFormat="1" ht="15.75">
      <c r="A47" s="66"/>
      <c r="B47" s="72"/>
      <c r="J47" s="66"/>
      <c r="AB47" s="325"/>
      <c r="AC47" s="325"/>
      <c r="AD47" s="325"/>
      <c r="AE47" s="325"/>
      <c r="AF47" s="325"/>
    </row>
    <row r="48" spans="1:32" s="302" customFormat="1" ht="15.75">
      <c r="A48" s="301"/>
      <c r="AB48" s="326"/>
      <c r="AC48" s="326"/>
      <c r="AD48" s="326"/>
      <c r="AE48" s="326"/>
      <c r="AF48" s="326"/>
    </row>
  </sheetData>
  <sheetProtection sheet="1" objects="1" scenarios="1"/>
  <mergeCells count="17">
    <mergeCell ref="L5:L6"/>
    <mergeCell ref="M5:M6"/>
    <mergeCell ref="S5:S6"/>
    <mergeCell ref="A2:Z2"/>
    <mergeCell ref="A4:A7"/>
    <mergeCell ref="B4:B6"/>
    <mergeCell ref="C4:H5"/>
    <mergeCell ref="I4:M4"/>
    <mergeCell ref="N4:R5"/>
    <mergeCell ref="S4:X4"/>
    <mergeCell ref="Y4:Y6"/>
    <mergeCell ref="Z4:Z6"/>
    <mergeCell ref="I5:I6"/>
    <mergeCell ref="T5:X5"/>
    <mergeCell ref="V3:W3"/>
    <mergeCell ref="J5:J6"/>
    <mergeCell ref="K5:K6"/>
  </mergeCells>
  <conditionalFormatting sqref="C8">
    <cfRule type="cellIs" dxfId="64" priority="198" operator="notEqual">
      <formula>$AA$8</formula>
    </cfRule>
  </conditionalFormatting>
  <conditionalFormatting sqref="C11">
    <cfRule type="cellIs" dxfId="63" priority="8" operator="notEqual">
      <formula>$AA$11</formula>
    </cfRule>
  </conditionalFormatting>
  <conditionalFormatting sqref="C11:C39">
    <cfRule type="cellIs" dxfId="62" priority="64" operator="notEqual">
      <formula>I11+J11+K11+L11+M11</formula>
    </cfRule>
    <cfRule type="cellIs" dxfId="61" priority="63" operator="notEqual">
      <formula>N11+O11+P11+Q11+R11</formula>
    </cfRule>
  </conditionalFormatting>
  <conditionalFormatting sqref="C16">
    <cfRule type="cellIs" dxfId="60" priority="7" operator="notEqual">
      <formula>$AA$16</formula>
    </cfRule>
  </conditionalFormatting>
  <conditionalFormatting sqref="C21">
    <cfRule type="cellIs" dxfId="59" priority="26" operator="notEqual">
      <formula>$AA$21</formula>
    </cfRule>
  </conditionalFormatting>
  <conditionalFormatting sqref="C23">
    <cfRule type="cellIs" dxfId="58" priority="25" operator="notEqual">
      <formula>$AA$23</formula>
    </cfRule>
  </conditionalFormatting>
  <conditionalFormatting sqref="C27">
    <cfRule type="cellIs" dxfId="57" priority="32" operator="notEqual">
      <formula>$AA$27</formula>
    </cfRule>
  </conditionalFormatting>
  <conditionalFormatting sqref="C28">
    <cfRule type="cellIs" dxfId="56" priority="31" operator="notEqual">
      <formula>$AA$28</formula>
    </cfRule>
  </conditionalFormatting>
  <conditionalFormatting sqref="C29">
    <cfRule type="cellIs" dxfId="55" priority="30" operator="notEqual">
      <formula>$AA$29</formula>
    </cfRule>
  </conditionalFormatting>
  <conditionalFormatting sqref="C30">
    <cfRule type="cellIs" dxfId="54" priority="29" operator="notEqual">
      <formula>$AA$30</formula>
    </cfRule>
  </conditionalFormatting>
  <conditionalFormatting sqref="C31">
    <cfRule type="cellIs" dxfId="53" priority="28" operator="notEqual">
      <formula>$AA$31</formula>
    </cfRule>
  </conditionalFormatting>
  <conditionalFormatting sqref="C32">
    <cfRule type="cellIs" dxfId="52" priority="27" operator="notEqual">
      <formula>$AA$32</formula>
    </cfRule>
  </conditionalFormatting>
  <conditionalFormatting sqref="C33">
    <cfRule type="cellIs" dxfId="51" priority="52" operator="notEqual">
      <formula>$C$26</formula>
    </cfRule>
  </conditionalFormatting>
  <conditionalFormatting sqref="E11">
    <cfRule type="cellIs" dxfId="50" priority="6" operator="notEqual">
      <formula>$AB$11</formula>
    </cfRule>
  </conditionalFormatting>
  <conditionalFormatting sqref="E16">
    <cfRule type="cellIs" dxfId="49" priority="4" operator="notEqual">
      <formula>$AB$16</formula>
    </cfRule>
  </conditionalFormatting>
  <conditionalFormatting sqref="E21">
    <cfRule type="cellIs" dxfId="48" priority="24" operator="notEqual">
      <formula>$AB$21</formula>
    </cfRule>
  </conditionalFormatting>
  <conditionalFormatting sqref="E23">
    <cfRule type="cellIs" dxfId="47" priority="23" operator="notEqual">
      <formula>$AB$23</formula>
    </cfRule>
  </conditionalFormatting>
  <conditionalFormatting sqref="E27">
    <cfRule type="cellIs" dxfId="46" priority="14" operator="notEqual">
      <formula>$AB$27</formula>
    </cfRule>
  </conditionalFormatting>
  <conditionalFormatting sqref="E28">
    <cfRule type="cellIs" dxfId="45" priority="13" operator="notEqual">
      <formula>$AB$28</formula>
    </cfRule>
  </conditionalFormatting>
  <conditionalFormatting sqref="E29">
    <cfRule type="cellIs" dxfId="44" priority="12" operator="notEqual">
      <formula>$AB$29</formula>
    </cfRule>
  </conditionalFormatting>
  <conditionalFormatting sqref="E30">
    <cfRule type="cellIs" dxfId="43" priority="11" operator="notEqual">
      <formula>$AB$30</formula>
    </cfRule>
  </conditionalFormatting>
  <conditionalFormatting sqref="E31">
    <cfRule type="cellIs" dxfId="42" priority="10" operator="notEqual">
      <formula>$AB$31</formula>
    </cfRule>
  </conditionalFormatting>
  <conditionalFormatting sqref="E32">
    <cfRule type="cellIs" dxfId="41" priority="9" operator="notEqual">
      <formula>$AB$32</formula>
    </cfRule>
  </conditionalFormatting>
  <conditionalFormatting sqref="E33">
    <cfRule type="cellIs" dxfId="40" priority="51" operator="notEqual">
      <formula>$E$26</formula>
    </cfRule>
  </conditionalFormatting>
  <conditionalFormatting sqref="G11">
    <cfRule type="cellIs" dxfId="39" priority="5" operator="notEqual">
      <formula>$AC$11</formula>
    </cfRule>
  </conditionalFormatting>
  <conditionalFormatting sqref="G16">
    <cfRule type="cellIs" dxfId="38" priority="3" operator="notEqual">
      <formula>$AC$16</formula>
    </cfRule>
  </conditionalFormatting>
  <conditionalFormatting sqref="G21">
    <cfRule type="cellIs" dxfId="37" priority="22" operator="notEqual">
      <formula>$AC$21</formula>
    </cfRule>
  </conditionalFormatting>
  <conditionalFormatting sqref="G23">
    <cfRule type="cellIs" dxfId="36" priority="21" operator="notEqual">
      <formula>$AC$23</formula>
    </cfRule>
  </conditionalFormatting>
  <conditionalFormatting sqref="G27">
    <cfRule type="cellIs" dxfId="35" priority="20" operator="notEqual">
      <formula>$AC$27</formula>
    </cfRule>
  </conditionalFormatting>
  <conditionalFormatting sqref="G28">
    <cfRule type="cellIs" dxfId="34" priority="19" operator="notEqual">
      <formula>$AC$28</formula>
    </cfRule>
  </conditionalFormatting>
  <conditionalFormatting sqref="G29">
    <cfRule type="cellIs" dxfId="33" priority="18" operator="notEqual">
      <formula>$AC$29</formula>
    </cfRule>
  </conditionalFormatting>
  <conditionalFormatting sqref="G30">
    <cfRule type="cellIs" dxfId="32" priority="17" operator="notEqual">
      <formula>$AC$30</formula>
    </cfRule>
  </conditionalFormatting>
  <conditionalFormatting sqref="G31">
    <cfRule type="cellIs" dxfId="31" priority="16" operator="notEqual">
      <formula>$AC$31</formula>
    </cfRule>
  </conditionalFormatting>
  <conditionalFormatting sqref="G32">
    <cfRule type="cellIs" dxfId="30" priority="15" operator="notEqual">
      <formula>$AC$32</formula>
    </cfRule>
  </conditionalFormatting>
  <conditionalFormatting sqref="G33">
    <cfRule type="cellIs" dxfId="29" priority="50" operator="notEqual">
      <formula>$G$26</formula>
    </cfRule>
  </conditionalFormatting>
  <conditionalFormatting sqref="J33">
    <cfRule type="cellIs" dxfId="28" priority="49" operator="notEqual">
      <formula>$J$26</formula>
    </cfRule>
  </conditionalFormatting>
  <conditionalFormatting sqref="K33">
    <cfRule type="cellIs" dxfId="27" priority="48" operator="notEqual">
      <formula>$K$26</formula>
    </cfRule>
  </conditionalFormatting>
  <conditionalFormatting sqref="L33">
    <cfRule type="cellIs" dxfId="26" priority="47" operator="notEqual">
      <formula>$L$26</formula>
    </cfRule>
  </conditionalFormatting>
  <conditionalFormatting sqref="M33">
    <cfRule type="cellIs" dxfId="25" priority="46" operator="notEqual">
      <formula>$M$26</formula>
    </cfRule>
  </conditionalFormatting>
  <conditionalFormatting sqref="N8">
    <cfRule type="cellIs" dxfId="24" priority="57" operator="notEqual">
      <formula>$AB$9</formula>
    </cfRule>
  </conditionalFormatting>
  <conditionalFormatting sqref="N33">
    <cfRule type="cellIs" dxfId="23" priority="45" operator="notEqual">
      <formula>$N$26</formula>
    </cfRule>
  </conditionalFormatting>
  <conditionalFormatting sqref="O8">
    <cfRule type="cellIs" dxfId="22" priority="56" operator="notEqual">
      <formula>$AC$9</formula>
    </cfRule>
  </conditionalFormatting>
  <conditionalFormatting sqref="O33">
    <cfRule type="cellIs" dxfId="21" priority="44" operator="notEqual">
      <formula>$O$26</formula>
    </cfRule>
  </conditionalFormatting>
  <conditionalFormatting sqref="P8">
    <cfRule type="cellIs" dxfId="20" priority="55" operator="notEqual">
      <formula>$AD$9</formula>
    </cfRule>
  </conditionalFormatting>
  <conditionalFormatting sqref="P33">
    <cfRule type="cellIs" dxfId="19" priority="43" operator="notEqual">
      <formula>$P$26</formula>
    </cfRule>
  </conditionalFormatting>
  <conditionalFormatting sqref="Q8">
    <cfRule type="cellIs" dxfId="18" priority="54" operator="notEqual">
      <formula>$AE$9</formula>
    </cfRule>
  </conditionalFormatting>
  <conditionalFormatting sqref="Q33">
    <cfRule type="cellIs" dxfId="17" priority="42" operator="notEqual">
      <formula>$Q$26</formula>
    </cfRule>
  </conditionalFormatting>
  <conditionalFormatting sqref="R8">
    <cfRule type="cellIs" dxfId="16" priority="53" operator="notEqual">
      <formula>$AF$9</formula>
    </cfRule>
  </conditionalFormatting>
  <conditionalFormatting sqref="R33">
    <cfRule type="cellIs" dxfId="15" priority="41" operator="notEqual">
      <formula>$R$26</formula>
    </cfRule>
  </conditionalFormatting>
  <conditionalFormatting sqref="S33">
    <cfRule type="cellIs" dxfId="14" priority="40" operator="notEqual">
      <formula>$S$26</formula>
    </cfRule>
  </conditionalFormatting>
  <conditionalFormatting sqref="T8">
    <cfRule type="cellIs" dxfId="13" priority="62" operator="notEqual">
      <formula>$AB$8</formula>
    </cfRule>
  </conditionalFormatting>
  <conditionalFormatting sqref="T33">
    <cfRule type="cellIs" dxfId="12" priority="39" operator="notEqual">
      <formula>$T$26</formula>
    </cfRule>
  </conditionalFormatting>
  <conditionalFormatting sqref="U8">
    <cfRule type="cellIs" dxfId="11" priority="61" operator="notEqual">
      <formula>$AC$8</formula>
    </cfRule>
  </conditionalFormatting>
  <conditionalFormatting sqref="U33">
    <cfRule type="cellIs" dxfId="10" priority="38" operator="notEqual">
      <formula>$U$26</formula>
    </cfRule>
  </conditionalFormatting>
  <conditionalFormatting sqref="V8">
    <cfRule type="cellIs" dxfId="9" priority="60" operator="notEqual">
      <formula>$AD$8</formula>
    </cfRule>
  </conditionalFormatting>
  <conditionalFormatting sqref="V33">
    <cfRule type="cellIs" dxfId="8" priority="37" operator="notEqual">
      <formula>$V$26</formula>
    </cfRule>
  </conditionalFormatting>
  <conditionalFormatting sqref="W8">
    <cfRule type="cellIs" dxfId="7" priority="59" operator="notEqual">
      <formula>$AE$8</formula>
    </cfRule>
  </conditionalFormatting>
  <conditionalFormatting sqref="W33">
    <cfRule type="cellIs" dxfId="6" priority="36" operator="notEqual">
      <formula>$W$26</formula>
    </cfRule>
  </conditionalFormatting>
  <conditionalFormatting sqref="X8">
    <cfRule type="cellIs" dxfId="5" priority="58" operator="notEqual">
      <formula>$AF$8</formula>
    </cfRule>
  </conditionalFormatting>
  <conditionalFormatting sqref="X33">
    <cfRule type="cellIs" dxfId="4" priority="35" operator="notEqual">
      <formula>$X$26</formula>
    </cfRule>
  </conditionalFormatting>
  <conditionalFormatting sqref="Y33">
    <cfRule type="cellIs" dxfId="3" priority="34" operator="notEqual">
      <formula>$Y$26</formula>
    </cfRule>
  </conditionalFormatting>
  <conditionalFormatting sqref="Z33">
    <cfRule type="cellIs" dxfId="2" priority="33" operator="notEqual">
      <formula>$Z$26</formula>
    </cfRule>
  </conditionalFormatting>
  <printOptions horizontalCentered="1"/>
  <pageMargins left="0.16" right="0.24" top="0.32" bottom="0.15748031496062992" header="0.31" footer="0.28000000000000003"/>
  <pageSetup paperSize="9" scale="28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76" customWidth="1"/>
    <col min="2" max="2" width="105.140625" style="76" customWidth="1"/>
    <col min="3" max="3" width="19.7109375" style="101" customWidth="1"/>
    <col min="4" max="4" width="10.28515625" style="184" bestFit="1" customWidth="1"/>
    <col min="5" max="5" width="19.42578125" style="185" bestFit="1" customWidth="1"/>
    <col min="6" max="6" width="9.28515625" style="184" bestFit="1" customWidth="1"/>
    <col min="7" max="7" width="9.140625" style="184"/>
    <col min="8" max="8" width="17.42578125" style="184" bestFit="1" customWidth="1"/>
    <col min="9" max="16384" width="9.140625" style="76"/>
  </cols>
  <sheetData>
    <row r="1" spans="1:8" ht="23.25" customHeight="1">
      <c r="A1" s="629" t="s">
        <v>644</v>
      </c>
      <c r="B1" s="630"/>
      <c r="C1" s="75" t="s">
        <v>604</v>
      </c>
    </row>
    <row r="2" spans="1:8">
      <c r="A2" s="103"/>
      <c r="B2" s="103"/>
      <c r="C2" s="103"/>
    </row>
    <row r="3" spans="1:8" ht="15.75">
      <c r="A3" s="77"/>
      <c r="B3" s="134" t="e">
        <f>#REF!</f>
        <v>#REF!</v>
      </c>
      <c r="C3" s="133" t="e">
        <f>+#REF!</f>
        <v>#REF!</v>
      </c>
    </row>
    <row r="4" spans="1:8" s="78" customFormat="1" ht="43.5" customHeight="1">
      <c r="A4" s="170" t="s">
        <v>83</v>
      </c>
      <c r="B4" s="170" t="s">
        <v>57</v>
      </c>
      <c r="C4" s="170" t="s">
        <v>16</v>
      </c>
      <c r="D4" s="186"/>
      <c r="E4" s="187"/>
      <c r="F4" s="186"/>
      <c r="G4" s="186"/>
      <c r="H4" s="186"/>
    </row>
    <row r="5" spans="1:8" ht="12.75" customHeight="1">
      <c r="A5" s="91" t="s">
        <v>61</v>
      </c>
      <c r="B5" s="80" t="s">
        <v>238</v>
      </c>
      <c r="C5" s="81"/>
    </row>
    <row r="6" spans="1:8" ht="12.75" customHeight="1">
      <c r="A6" s="79">
        <v>1</v>
      </c>
      <c r="B6" s="80" t="s">
        <v>239</v>
      </c>
      <c r="C6" s="82"/>
    </row>
    <row r="7" spans="1:8" s="88" customFormat="1" ht="18" customHeight="1">
      <c r="A7" s="85" t="s">
        <v>242</v>
      </c>
      <c r="B7" s="86" t="s">
        <v>240</v>
      </c>
      <c r="C7" s="108" t="s">
        <v>210</v>
      </c>
      <c r="D7" s="188"/>
      <c r="E7" s="119"/>
      <c r="F7" s="188"/>
      <c r="G7" s="188"/>
      <c r="H7" s="188"/>
    </row>
    <row r="8" spans="1:8" s="78" customFormat="1" ht="18" customHeight="1">
      <c r="A8" s="90" t="s">
        <v>62</v>
      </c>
      <c r="B8" s="157" t="s">
        <v>63</v>
      </c>
      <c r="C8" s="104"/>
      <c r="D8" s="186"/>
      <c r="E8" s="187"/>
      <c r="F8" s="186"/>
      <c r="G8" s="186"/>
      <c r="H8" s="186"/>
    </row>
    <row r="9" spans="1:8" s="78" customFormat="1" ht="18" customHeight="1">
      <c r="A9" s="90" t="s">
        <v>64</v>
      </c>
      <c r="B9" s="157" t="s">
        <v>65</v>
      </c>
      <c r="C9" s="105"/>
      <c r="D9" s="186"/>
      <c r="E9" s="187"/>
      <c r="F9" s="186"/>
      <c r="G9" s="186"/>
      <c r="H9" s="186"/>
    </row>
    <row r="10" spans="1:8" s="88" customFormat="1" ht="18" customHeight="1">
      <c r="A10" s="85" t="s">
        <v>243</v>
      </c>
      <c r="B10" s="86" t="s">
        <v>241</v>
      </c>
      <c r="C10" s="116">
        <v>0</v>
      </c>
      <c r="D10" s="188"/>
      <c r="E10" s="119"/>
      <c r="F10" s="188"/>
      <c r="G10" s="188"/>
      <c r="H10" s="188"/>
    </row>
    <row r="11" spans="1:8" s="78" customFormat="1" ht="18" customHeight="1">
      <c r="A11" s="90" t="s">
        <v>244</v>
      </c>
      <c r="B11" s="157" t="s">
        <v>245</v>
      </c>
      <c r="C11" s="108" t="s">
        <v>210</v>
      </c>
      <c r="D11" s="186"/>
      <c r="E11" s="187"/>
      <c r="F11" s="186"/>
      <c r="G11" s="186"/>
      <c r="H11" s="186"/>
    </row>
    <row r="12" spans="1:8" s="78" customFormat="1" ht="18" customHeight="1">
      <c r="A12" s="90" t="s">
        <v>68</v>
      </c>
      <c r="B12" s="157" t="s">
        <v>71</v>
      </c>
      <c r="C12" s="118"/>
      <c r="D12" s="186"/>
      <c r="E12" s="187"/>
      <c r="F12" s="186"/>
      <c r="G12" s="186"/>
      <c r="H12" s="186"/>
    </row>
    <row r="13" spans="1:8" s="78" customFormat="1" ht="18" customHeight="1">
      <c r="A13" s="90" t="s">
        <v>64</v>
      </c>
      <c r="B13" s="157" t="s">
        <v>72</v>
      </c>
      <c r="C13" s="118"/>
      <c r="D13" s="186"/>
      <c r="E13" s="187"/>
      <c r="F13" s="186"/>
      <c r="G13" s="186"/>
      <c r="H13" s="186"/>
    </row>
    <row r="14" spans="1:8" s="88" customFormat="1" ht="18" customHeight="1">
      <c r="A14" s="96" t="s">
        <v>66</v>
      </c>
      <c r="B14" s="155" t="s">
        <v>246</v>
      </c>
      <c r="C14" s="115"/>
      <c r="D14" s="188"/>
      <c r="E14" s="119"/>
      <c r="F14" s="188"/>
      <c r="G14" s="188"/>
      <c r="H14" s="188"/>
    </row>
    <row r="15" spans="1:8" s="88" customFormat="1" ht="18" customHeight="1">
      <c r="A15" s="96" t="s">
        <v>73</v>
      </c>
      <c r="B15" s="155" t="s">
        <v>247</v>
      </c>
      <c r="C15" s="115"/>
      <c r="D15" s="188"/>
      <c r="E15" s="119"/>
      <c r="F15" s="188"/>
      <c r="G15" s="188"/>
      <c r="H15" s="188"/>
    </row>
    <row r="16" spans="1:8" s="78" customFormat="1" ht="18" customHeight="1">
      <c r="A16" s="90" t="s">
        <v>248</v>
      </c>
      <c r="B16" s="157" t="s">
        <v>74</v>
      </c>
      <c r="C16" s="116"/>
      <c r="D16" s="186"/>
      <c r="E16" s="187"/>
      <c r="F16" s="186"/>
      <c r="G16" s="186"/>
      <c r="H16" s="186"/>
    </row>
    <row r="17" spans="1:8" s="78" customFormat="1" ht="18" customHeight="1">
      <c r="A17" s="90" t="s">
        <v>249</v>
      </c>
      <c r="B17" s="157" t="s">
        <v>17</v>
      </c>
      <c r="C17" s="116"/>
      <c r="D17" s="186"/>
      <c r="E17" s="187"/>
      <c r="F17" s="186"/>
      <c r="G17" s="186"/>
      <c r="H17" s="186"/>
    </row>
    <row r="18" spans="1:8" s="78" customFormat="1" ht="18" customHeight="1">
      <c r="A18" s="90"/>
      <c r="B18" s="157" t="s">
        <v>250</v>
      </c>
      <c r="C18" s="108" t="s">
        <v>210</v>
      </c>
      <c r="D18" s="186"/>
      <c r="E18" s="187"/>
      <c r="F18" s="186"/>
      <c r="G18" s="186"/>
      <c r="H18" s="186"/>
    </row>
    <row r="19" spans="1:8" s="78" customFormat="1" ht="18" customHeight="1">
      <c r="A19" s="90" t="s">
        <v>278</v>
      </c>
      <c r="B19" s="157" t="s">
        <v>251</v>
      </c>
      <c r="C19" s="108" t="s">
        <v>210</v>
      </c>
      <c r="D19" s="186"/>
      <c r="E19" s="187"/>
      <c r="F19" s="186"/>
      <c r="G19" s="186"/>
      <c r="H19" s="186"/>
    </row>
    <row r="20" spans="1:8" s="88" customFormat="1" ht="18" customHeight="1">
      <c r="A20" s="144" t="s">
        <v>68</v>
      </c>
      <c r="B20" s="294" t="s">
        <v>76</v>
      </c>
      <c r="C20" s="115"/>
      <c r="D20" s="188"/>
      <c r="E20" s="119"/>
      <c r="F20" s="188"/>
      <c r="G20" s="188"/>
      <c r="H20" s="188"/>
    </row>
    <row r="21" spans="1:8" s="87" customFormat="1" ht="25.5">
      <c r="A21" s="144" t="s">
        <v>64</v>
      </c>
      <c r="B21" s="155" t="s">
        <v>28</v>
      </c>
      <c r="C21" s="115"/>
      <c r="D21" s="188"/>
      <c r="E21" s="119"/>
      <c r="F21" s="188"/>
      <c r="G21" s="188"/>
      <c r="H21" s="188"/>
    </row>
    <row r="22" spans="1:8" s="88" customFormat="1" ht="18" customHeight="1">
      <c r="A22" s="144" t="s">
        <v>66</v>
      </c>
      <c r="B22" s="155" t="s">
        <v>18</v>
      </c>
      <c r="C22" s="115"/>
      <c r="D22" s="188"/>
      <c r="E22" s="119"/>
      <c r="F22" s="188"/>
      <c r="G22" s="188"/>
      <c r="H22" s="188"/>
    </row>
    <row r="23" spans="1:8" s="88" customFormat="1" ht="15" customHeight="1">
      <c r="A23" s="85" t="s">
        <v>252</v>
      </c>
      <c r="B23" s="86" t="s">
        <v>253</v>
      </c>
      <c r="C23" s="108" t="s">
        <v>210</v>
      </c>
      <c r="D23" s="188"/>
      <c r="E23" s="119"/>
      <c r="F23" s="188"/>
      <c r="G23" s="188"/>
      <c r="H23" s="188"/>
    </row>
    <row r="24" spans="1:8" ht="16.5" customHeight="1">
      <c r="A24" s="79">
        <v>2</v>
      </c>
      <c r="B24" s="89" t="s">
        <v>254</v>
      </c>
      <c r="C24" s="83"/>
    </row>
    <row r="25" spans="1:8" s="88" customFormat="1" ht="18" customHeight="1">
      <c r="A25" s="96" t="s">
        <v>255</v>
      </c>
      <c r="B25" s="155" t="s">
        <v>67</v>
      </c>
      <c r="C25" s="154">
        <f>+C26+C27</f>
        <v>0</v>
      </c>
      <c r="D25" s="188"/>
      <c r="E25" s="119"/>
      <c r="F25" s="188"/>
      <c r="G25" s="188"/>
      <c r="H25" s="188"/>
    </row>
    <row r="26" spans="1:8" s="88" customFormat="1" ht="18" customHeight="1">
      <c r="A26" s="96" t="s">
        <v>68</v>
      </c>
      <c r="B26" s="155" t="s">
        <v>69</v>
      </c>
      <c r="C26" s="115"/>
      <c r="D26" s="188"/>
      <c r="E26" s="119"/>
      <c r="F26" s="188"/>
      <c r="G26" s="188"/>
      <c r="H26" s="188"/>
    </row>
    <row r="27" spans="1:8" s="88" customFormat="1" ht="18" customHeight="1">
      <c r="A27" s="96" t="s">
        <v>64</v>
      </c>
      <c r="B27" s="155" t="s">
        <v>70</v>
      </c>
      <c r="C27" s="115"/>
      <c r="D27" s="188"/>
      <c r="E27" s="119"/>
      <c r="F27" s="188"/>
      <c r="G27" s="188"/>
      <c r="H27" s="188"/>
    </row>
    <row r="28" spans="1:8" s="88" customFormat="1" ht="18" customHeight="1">
      <c r="A28" s="96" t="s">
        <v>256</v>
      </c>
      <c r="B28" s="155" t="s">
        <v>257</v>
      </c>
      <c r="C28" s="115">
        <v>0</v>
      </c>
      <c r="D28" s="188"/>
      <c r="E28" s="119"/>
      <c r="F28" s="188"/>
      <c r="G28" s="188"/>
      <c r="H28" s="188"/>
    </row>
    <row r="29" spans="1:8">
      <c r="A29" s="90" t="s">
        <v>258</v>
      </c>
      <c r="B29" s="156" t="s">
        <v>259</v>
      </c>
      <c r="C29" s="106">
        <v>0</v>
      </c>
    </row>
    <row r="30" spans="1:8" s="88" customFormat="1" ht="29.25" customHeight="1">
      <c r="A30" s="96" t="s">
        <v>260</v>
      </c>
      <c r="B30" s="155" t="s">
        <v>27</v>
      </c>
      <c r="C30" s="115">
        <v>0</v>
      </c>
      <c r="D30" s="188"/>
      <c r="E30" s="119"/>
      <c r="F30" s="188"/>
      <c r="G30" s="188"/>
      <c r="H30" s="188"/>
    </row>
    <row r="31" spans="1:8" s="92" customFormat="1">
      <c r="A31" s="91" t="s">
        <v>75</v>
      </c>
      <c r="B31" s="123" t="s">
        <v>261</v>
      </c>
      <c r="C31" s="117">
        <f>+C25+C28+C29+C30</f>
        <v>0</v>
      </c>
      <c r="D31" s="189"/>
      <c r="E31" s="190"/>
      <c r="F31" s="191"/>
      <c r="G31" s="191"/>
      <c r="H31" s="191"/>
    </row>
    <row r="32" spans="1:8" s="92" customFormat="1" ht="16.5" customHeight="1">
      <c r="A32" s="91" t="s">
        <v>77</v>
      </c>
      <c r="B32" s="107" t="s">
        <v>262</v>
      </c>
      <c r="C32" s="108" t="s">
        <v>210</v>
      </c>
      <c r="D32" s="191"/>
      <c r="E32" s="190"/>
      <c r="F32" s="191"/>
      <c r="G32" s="191"/>
      <c r="H32" s="191"/>
    </row>
    <row r="33" spans="1:8" s="94" customFormat="1" ht="13.5" customHeight="1">
      <c r="A33" s="93"/>
      <c r="B33" s="93" t="s">
        <v>79</v>
      </c>
      <c r="C33" s="84"/>
      <c r="D33" s="192"/>
      <c r="E33" s="193"/>
      <c r="F33" s="192"/>
      <c r="G33" s="192"/>
      <c r="H33" s="194"/>
    </row>
    <row r="34" spans="1:8" s="88" customFormat="1" ht="18" customHeight="1">
      <c r="A34" s="96" t="s">
        <v>263</v>
      </c>
      <c r="B34" s="275" t="s">
        <v>711</v>
      </c>
      <c r="C34" s="115"/>
      <c r="D34" s="188"/>
      <c r="E34" s="119"/>
      <c r="F34" s="188"/>
      <c r="G34" s="188"/>
      <c r="H34" s="188"/>
    </row>
    <row r="35" spans="1:8" s="88" customFormat="1" ht="25.5">
      <c r="A35" s="96" t="s">
        <v>264</v>
      </c>
      <c r="B35" s="155" t="s">
        <v>29</v>
      </c>
      <c r="C35" s="271" t="e">
        <f>IF(#REF!&lt;(C43*1.25%),#REF!,(C43*1.25%))</f>
        <v>#REF!</v>
      </c>
      <c r="D35" s="188"/>
      <c r="E35" s="119"/>
      <c r="F35" s="188"/>
      <c r="G35" s="188"/>
      <c r="H35" s="188"/>
    </row>
    <row r="36" spans="1:8" s="88" customFormat="1" ht="18" customHeight="1">
      <c r="A36" s="96" t="s">
        <v>265</v>
      </c>
      <c r="B36" s="155" t="s">
        <v>19</v>
      </c>
      <c r="C36" s="115"/>
      <c r="D36" s="188"/>
      <c r="E36" s="119"/>
      <c r="F36" s="188"/>
      <c r="G36" s="188"/>
      <c r="H36" s="188"/>
    </row>
    <row r="37" spans="1:8" s="88" customFormat="1" ht="18" customHeight="1">
      <c r="A37" s="96" t="s">
        <v>266</v>
      </c>
      <c r="B37" s="155" t="s">
        <v>267</v>
      </c>
      <c r="C37" s="115"/>
      <c r="D37" s="188"/>
      <c r="E37" s="119"/>
      <c r="F37" s="188"/>
      <c r="G37" s="188"/>
      <c r="H37" s="188"/>
    </row>
    <row r="38" spans="1:8" s="88" customFormat="1" ht="18" customHeight="1">
      <c r="A38" s="96" t="s">
        <v>268</v>
      </c>
      <c r="B38" s="155" t="s">
        <v>20</v>
      </c>
      <c r="C38" s="115"/>
      <c r="D38" s="188"/>
      <c r="E38" s="119"/>
      <c r="F38" s="188"/>
      <c r="G38" s="188"/>
      <c r="H38" s="188"/>
    </row>
    <row r="39" spans="1:8" s="88" customFormat="1" ht="18" customHeight="1">
      <c r="A39" s="96" t="s">
        <v>269</v>
      </c>
      <c r="B39" s="155" t="s">
        <v>80</v>
      </c>
      <c r="C39" s="108" t="s">
        <v>210</v>
      </c>
      <c r="D39" s="188"/>
      <c r="E39" s="119"/>
      <c r="F39" s="188"/>
      <c r="G39" s="188"/>
      <c r="H39" s="188"/>
    </row>
    <row r="40" spans="1:8" ht="18.75" customHeight="1">
      <c r="A40" s="90"/>
      <c r="B40" s="89" t="s">
        <v>39</v>
      </c>
      <c r="C40" s="84" t="e">
        <f>SUM(C34:C38)</f>
        <v>#REF!</v>
      </c>
      <c r="D40" s="189"/>
    </row>
    <row r="41" spans="1:8" s="78" customFormat="1" ht="22.5" customHeight="1">
      <c r="A41" s="93" t="s">
        <v>78</v>
      </c>
      <c r="B41" s="86" t="s">
        <v>40</v>
      </c>
      <c r="C41" s="108" t="s">
        <v>210</v>
      </c>
      <c r="D41" s="195"/>
      <c r="E41" s="187"/>
      <c r="F41" s="186"/>
      <c r="G41" s="186"/>
      <c r="H41" s="186"/>
    </row>
    <row r="42" spans="1:8" s="78" customFormat="1" ht="15.75" customHeight="1">
      <c r="A42" s="93" t="s">
        <v>81</v>
      </c>
      <c r="B42" s="86" t="s">
        <v>270</v>
      </c>
      <c r="C42" s="108" t="s">
        <v>210</v>
      </c>
      <c r="D42" s="195"/>
      <c r="E42" s="187"/>
      <c r="F42" s="186"/>
      <c r="G42" s="186"/>
      <c r="H42" s="186"/>
    </row>
    <row r="43" spans="1:8" s="78" customFormat="1" ht="21.75" customHeight="1">
      <c r="A43" s="93" t="s">
        <v>25</v>
      </c>
      <c r="B43" s="86" t="s">
        <v>271</v>
      </c>
      <c r="C43" s="95" t="e">
        <f>+C44+C45+C46</f>
        <v>#REF!</v>
      </c>
      <c r="D43" s="186"/>
      <c r="E43" s="187"/>
      <c r="F43" s="186"/>
      <c r="G43" s="186"/>
      <c r="H43" s="186"/>
    </row>
    <row r="44" spans="1:8" s="88" customFormat="1" ht="18" customHeight="1">
      <c r="A44" s="96" t="s">
        <v>68</v>
      </c>
      <c r="B44" s="155" t="s">
        <v>30</v>
      </c>
      <c r="C44" s="154" t="e">
        <f>+#REF!</f>
        <v>#REF!</v>
      </c>
      <c r="D44" s="188"/>
      <c r="E44" s="119"/>
      <c r="F44" s="188"/>
      <c r="G44" s="188"/>
      <c r="H44" s="188"/>
    </row>
    <row r="45" spans="1:8" s="88" customFormat="1" ht="18" customHeight="1">
      <c r="A45" s="96" t="s">
        <v>64</v>
      </c>
      <c r="B45" s="155" t="s">
        <v>23</v>
      </c>
      <c r="C45" s="154" t="e">
        <f>+#REF!</f>
        <v>#REF!</v>
      </c>
      <c r="D45" s="188"/>
      <c r="E45" s="119"/>
      <c r="F45" s="188"/>
      <c r="G45" s="188"/>
      <c r="H45" s="188"/>
    </row>
    <row r="46" spans="1:8" s="88" customFormat="1" ht="18" customHeight="1">
      <c r="A46" s="96" t="s">
        <v>66</v>
      </c>
      <c r="B46" s="155" t="s">
        <v>24</v>
      </c>
      <c r="C46" s="154" t="e">
        <f>+#REF!</f>
        <v>#REF!</v>
      </c>
      <c r="D46" s="188"/>
      <c r="E46" s="119" t="e">
        <f>+#REF!</f>
        <v>#REF!</v>
      </c>
      <c r="F46" s="188"/>
      <c r="G46" s="188"/>
      <c r="H46" s="188"/>
    </row>
    <row r="47" spans="1:8" s="94" customFormat="1" ht="21.75" customHeight="1">
      <c r="A47" s="93" t="s">
        <v>26</v>
      </c>
      <c r="B47" s="107" t="s">
        <v>272</v>
      </c>
      <c r="C47" s="108" t="s">
        <v>210</v>
      </c>
      <c r="D47" s="192"/>
      <c r="E47" s="193"/>
      <c r="F47" s="192"/>
      <c r="G47" s="192"/>
      <c r="H47" s="192"/>
    </row>
    <row r="48" spans="1:8" s="94" customFormat="1" ht="21.75" customHeight="1">
      <c r="A48" s="93" t="s">
        <v>82</v>
      </c>
      <c r="B48" s="107" t="s">
        <v>273</v>
      </c>
      <c r="C48" s="108" t="s">
        <v>210</v>
      </c>
      <c r="D48" s="192"/>
      <c r="E48" s="193"/>
      <c r="F48" s="192"/>
      <c r="G48" s="192"/>
      <c r="H48" s="192"/>
    </row>
    <row r="49" spans="1:8" s="94" customFormat="1" ht="21.75" customHeight="1">
      <c r="A49" s="93" t="s">
        <v>41</v>
      </c>
      <c r="B49" s="107" t="s">
        <v>274</v>
      </c>
      <c r="C49" s="108" t="s">
        <v>210</v>
      </c>
      <c r="D49" s="192"/>
      <c r="E49" s="193"/>
      <c r="F49" s="192"/>
      <c r="G49" s="192"/>
      <c r="H49" s="192"/>
    </row>
    <row r="50" spans="1:8" s="78" customFormat="1" ht="21.75" customHeight="1">
      <c r="A50" s="93" t="s">
        <v>42</v>
      </c>
      <c r="B50" s="86" t="s">
        <v>33</v>
      </c>
      <c r="C50" s="108" t="s">
        <v>210</v>
      </c>
      <c r="D50" s="186"/>
      <c r="E50" s="196"/>
      <c r="F50" s="195"/>
      <c r="G50" s="186"/>
      <c r="H50" s="186"/>
    </row>
    <row r="51" spans="1:8" s="99" customFormat="1" ht="21.75" customHeight="1">
      <c r="A51" s="96" t="s">
        <v>68</v>
      </c>
      <c r="B51" s="97" t="s">
        <v>46</v>
      </c>
      <c r="C51" s="98" t="e">
        <f>+#REF!</f>
        <v>#REF!</v>
      </c>
      <c r="D51" s="197"/>
      <c r="E51" s="198"/>
      <c r="F51" s="199"/>
      <c r="G51" s="197"/>
      <c r="H51" s="197"/>
    </row>
    <row r="52" spans="1:8" s="99" customFormat="1" ht="21.75" customHeight="1">
      <c r="A52" s="96" t="s">
        <v>64</v>
      </c>
      <c r="B52" s="97" t="s">
        <v>275</v>
      </c>
      <c r="C52" s="220" t="e">
        <f>SUM(#REF!)</f>
        <v>#REF!</v>
      </c>
      <c r="D52" s="199" t="e">
        <f>+#REF!</f>
        <v>#REF!</v>
      </c>
      <c r="E52" s="198"/>
      <c r="F52" s="199"/>
      <c r="G52" s="197"/>
      <c r="H52" s="197"/>
    </row>
    <row r="53" spans="1:8" s="99" customFormat="1" ht="21.75" customHeight="1">
      <c r="A53" s="96" t="s">
        <v>66</v>
      </c>
      <c r="B53" s="97" t="s">
        <v>276</v>
      </c>
      <c r="C53" s="222" t="e">
        <f>SUM(#REF!)</f>
        <v>#REF!</v>
      </c>
      <c r="D53" s="219"/>
      <c r="E53" s="221"/>
      <c r="F53" s="197"/>
      <c r="G53" s="197"/>
      <c r="H53" s="197"/>
    </row>
    <row r="54" spans="1:8" s="99" customFormat="1" ht="21.75" customHeight="1">
      <c r="A54" s="96" t="s">
        <v>73</v>
      </c>
      <c r="B54" s="97" t="s">
        <v>277</v>
      </c>
      <c r="C54" s="128" t="str">
        <f>+C19</f>
        <v>Формула</v>
      </c>
      <c r="D54" s="197"/>
      <c r="E54" s="200"/>
      <c r="F54" s="197"/>
      <c r="G54" s="197"/>
      <c r="H54" s="197"/>
    </row>
    <row r="55" spans="1:8" s="94" customFormat="1" ht="21.75" customHeight="1">
      <c r="A55" s="93" t="s">
        <v>43</v>
      </c>
      <c r="B55" s="107" t="s">
        <v>47</v>
      </c>
      <c r="C55" s="108" t="s">
        <v>210</v>
      </c>
      <c r="D55" s="192"/>
      <c r="E55" s="193"/>
      <c r="F55" s="192"/>
      <c r="G55" s="192"/>
      <c r="H55" s="192"/>
    </row>
    <row r="56" spans="1:8">
      <c r="B56" s="100"/>
    </row>
    <row r="57" spans="1:8" s="1" customFormat="1">
      <c r="A57" s="40"/>
      <c r="B57" s="3" t="s">
        <v>0</v>
      </c>
      <c r="D57" s="73"/>
      <c r="E57" s="73"/>
      <c r="F57" s="73"/>
      <c r="G57" s="73"/>
      <c r="H57" s="73"/>
    </row>
    <row r="58" spans="1:8" s="1" customFormat="1">
      <c r="A58" s="40"/>
      <c r="B58" s="3"/>
      <c r="D58" s="73"/>
      <c r="E58" s="73"/>
      <c r="F58" s="73"/>
      <c r="G58" s="73"/>
      <c r="H58" s="73"/>
    </row>
    <row r="59" spans="1:8" s="1" customFormat="1">
      <c r="A59" s="40"/>
      <c r="B59" s="3" t="s">
        <v>1</v>
      </c>
      <c r="D59" s="73"/>
      <c r="E59" s="73"/>
      <c r="F59" s="73"/>
      <c r="G59" s="73"/>
      <c r="H59" s="73"/>
    </row>
    <row r="60" spans="1:8">
      <c r="B60" s="102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24">
    <pageSetUpPr fitToPage="1"/>
  </sheetPr>
  <dimension ref="A1:Z31"/>
  <sheetViews>
    <sheetView zoomScale="65" zoomScaleNormal="65" zoomScaleSheetLayoutView="80" workbookViewId="0">
      <pane xSplit="3" ySplit="7" topLeftCell="D8" activePane="bottomRight" state="frozen"/>
      <selection activeCell="C73" sqref="C73"/>
      <selection pane="topRight" activeCell="C73" sqref="C73"/>
      <selection pane="bottomLeft" activeCell="C73" sqref="C73"/>
      <selection pane="bottomRight" activeCell="G8" sqref="G8"/>
    </sheetView>
  </sheetViews>
  <sheetFormatPr defaultRowHeight="15.75"/>
  <cols>
    <col min="1" max="1" width="9.7109375" style="129" customWidth="1"/>
    <col min="2" max="2" width="31.140625" style="109" customWidth="1"/>
    <col min="3" max="3" width="17.140625" style="109" customWidth="1"/>
    <col min="4" max="4" width="16.5703125" style="109" customWidth="1"/>
    <col min="5" max="5" width="17.140625" style="109" customWidth="1"/>
    <col min="6" max="6" width="16.5703125" style="109" customWidth="1"/>
    <col min="7" max="7" width="17.140625" style="109" customWidth="1"/>
    <col min="8" max="8" width="16.5703125" style="109" customWidth="1"/>
    <col min="9" max="9" width="19" style="109" customWidth="1"/>
    <col min="10" max="10" width="16.5703125" style="109" customWidth="1"/>
    <col min="11" max="11" width="17.140625" style="109" customWidth="1"/>
    <col min="12" max="12" width="16.5703125" style="109" customWidth="1"/>
    <col min="13" max="13" width="19" style="109" customWidth="1"/>
    <col min="14" max="14" width="16.5703125" style="109" customWidth="1"/>
    <col min="15" max="15" width="9.140625" style="109"/>
    <col min="16" max="16" width="26" style="109" customWidth="1"/>
    <col min="17" max="17" width="13.5703125" style="109" customWidth="1"/>
    <col min="18" max="16384" width="9.140625" style="109"/>
  </cols>
  <sheetData>
    <row r="1" spans="1:26" s="114" customFormat="1" ht="48.75" customHeight="1">
      <c r="A1" s="633" t="s">
        <v>634</v>
      </c>
      <c r="B1" s="633"/>
      <c r="C1" s="633"/>
      <c r="D1" s="633"/>
      <c r="E1" s="633"/>
      <c r="F1" s="633"/>
      <c r="G1" s="633"/>
      <c r="H1" s="633"/>
      <c r="I1" s="633"/>
      <c r="J1" s="633"/>
      <c r="K1" s="633"/>
      <c r="L1" s="633"/>
      <c r="M1" s="633"/>
      <c r="N1" s="49" t="s">
        <v>633</v>
      </c>
    </row>
    <row r="2" spans="1:26" ht="18.75">
      <c r="B2" s="138" t="str">
        <f>+'Asset quality'!B3</f>
        <v>"Ўзсаноатқурилишбанк" АТБ</v>
      </c>
      <c r="K2" s="632">
        <f>+'loans_av rate'!F3</f>
        <v>44560</v>
      </c>
      <c r="L2" s="632"/>
      <c r="N2" s="130" t="s">
        <v>382</v>
      </c>
    </row>
    <row r="3" spans="1:26" s="110" customFormat="1" ht="38.25" customHeight="1">
      <c r="A3" s="631" t="s">
        <v>83</v>
      </c>
      <c r="B3" s="600" t="s">
        <v>685</v>
      </c>
      <c r="C3" s="631" t="s">
        <v>610</v>
      </c>
      <c r="D3" s="631"/>
      <c r="E3" s="631"/>
      <c r="F3" s="631"/>
      <c r="G3" s="631"/>
      <c r="H3" s="631"/>
      <c r="I3" s="631" t="s">
        <v>611</v>
      </c>
      <c r="J3" s="631"/>
      <c r="K3" s="631"/>
      <c r="L3" s="631"/>
      <c r="M3" s="631"/>
      <c r="N3" s="631"/>
    </row>
    <row r="4" spans="1:26" s="110" customFormat="1" ht="24" customHeight="1">
      <c r="A4" s="631"/>
      <c r="B4" s="601"/>
      <c r="C4" s="631" t="s">
        <v>612</v>
      </c>
      <c r="D4" s="631" t="s">
        <v>609</v>
      </c>
      <c r="E4" s="631" t="s">
        <v>616</v>
      </c>
      <c r="F4" s="631"/>
      <c r="G4" s="631"/>
      <c r="H4" s="631"/>
      <c r="I4" s="631" t="s">
        <v>612</v>
      </c>
      <c r="J4" s="631" t="s">
        <v>609</v>
      </c>
      <c r="K4" s="631" t="s">
        <v>616</v>
      </c>
      <c r="L4" s="631"/>
      <c r="M4" s="631"/>
      <c r="N4" s="631"/>
    </row>
    <row r="5" spans="1:26" s="110" customFormat="1" ht="54.75" customHeight="1">
      <c r="A5" s="631"/>
      <c r="B5" s="601"/>
      <c r="C5" s="631"/>
      <c r="D5" s="631"/>
      <c r="E5" s="631" t="s">
        <v>617</v>
      </c>
      <c r="F5" s="631"/>
      <c r="G5" s="631" t="s">
        <v>197</v>
      </c>
      <c r="H5" s="631"/>
      <c r="I5" s="631"/>
      <c r="J5" s="631"/>
      <c r="K5" s="631" t="s">
        <v>617</v>
      </c>
      <c r="L5" s="631"/>
      <c r="M5" s="631" t="s">
        <v>197</v>
      </c>
      <c r="N5" s="631"/>
    </row>
    <row r="6" spans="1:26" s="110" customFormat="1" ht="54.75" customHeight="1">
      <c r="A6" s="631"/>
      <c r="B6" s="602"/>
      <c r="C6" s="631"/>
      <c r="D6" s="631"/>
      <c r="E6" s="257" t="s">
        <v>614</v>
      </c>
      <c r="F6" s="257" t="s">
        <v>609</v>
      </c>
      <c r="G6" s="257" t="s">
        <v>614</v>
      </c>
      <c r="H6" s="257" t="s">
        <v>609</v>
      </c>
      <c r="I6" s="631"/>
      <c r="J6" s="631"/>
      <c r="K6" s="257" t="s">
        <v>614</v>
      </c>
      <c r="L6" s="257" t="s">
        <v>609</v>
      </c>
      <c r="M6" s="257" t="s">
        <v>614</v>
      </c>
      <c r="N6" s="257" t="s">
        <v>609</v>
      </c>
    </row>
    <row r="7" spans="1:26" s="110" customFormat="1" ht="22.5" customHeight="1">
      <c r="A7" s="631"/>
      <c r="B7" s="257" t="s">
        <v>182</v>
      </c>
      <c r="C7" s="257" t="s">
        <v>183</v>
      </c>
      <c r="D7" s="257" t="s">
        <v>195</v>
      </c>
      <c r="E7" s="257" t="s">
        <v>184</v>
      </c>
      <c r="F7" s="257" t="s">
        <v>185</v>
      </c>
      <c r="G7" s="257" t="s">
        <v>196</v>
      </c>
      <c r="H7" s="257" t="s">
        <v>186</v>
      </c>
      <c r="I7" s="257" t="s">
        <v>187</v>
      </c>
      <c r="J7" s="257" t="s">
        <v>188</v>
      </c>
      <c r="K7" s="257" t="s">
        <v>189</v>
      </c>
      <c r="L7" s="257" t="s">
        <v>190</v>
      </c>
      <c r="M7" s="257" t="s">
        <v>191</v>
      </c>
      <c r="N7" s="257" t="s">
        <v>192</v>
      </c>
    </row>
    <row r="8" spans="1:26" s="242" customFormat="1" ht="41.25" customHeight="1">
      <c r="A8" s="238">
        <v>1</v>
      </c>
      <c r="B8" s="239" t="s">
        <v>199</v>
      </c>
      <c r="C8" s="268">
        <f>+E8+G8</f>
        <v>988537293</v>
      </c>
      <c r="D8" s="240">
        <v>0</v>
      </c>
      <c r="E8" s="258">
        <f>'[8]Bank Liabilities Analysis (нац)'!$C$10+'[8]Bank Liabilities Analysis (нац)'!$C$15+'[8]Bank Liabilities Analysis (нац)'!$C$18+2369</f>
        <v>817442039</v>
      </c>
      <c r="F8" s="240">
        <v>0</v>
      </c>
      <c r="G8" s="537">
        <f>'[8]Bank Liabilities Analysis'!$D$9+'[8]Bank Liabilities Analysis'!$D$14+'[8]Bank Liabilities Analysis'!$D$17</f>
        <v>171095254</v>
      </c>
      <c r="H8" s="240">
        <v>0</v>
      </c>
      <c r="I8" s="268">
        <f>+K8+M8</f>
        <v>4905224231</v>
      </c>
      <c r="J8" s="240">
        <v>0</v>
      </c>
      <c r="K8" s="537">
        <f>'[8]Bank Liabilities Analysis (нац)'!$C$9+'[8]Bank Liabilities Analysis (нац)'!$C$14+'[8]Bank Liabilities Analysis (нац)'!$C$17-E8</f>
        <v>2270282625</v>
      </c>
      <c r="L8" s="240">
        <v>0</v>
      </c>
      <c r="M8" s="258">
        <f>'[8]Bank Liabilities Analysis'!$D$8+'[8]Bank Liabilities Analysis'!$D$13+'[8]Bank Liabilities Analysis'!$D$16-G8</f>
        <v>2634941606</v>
      </c>
      <c r="N8" s="240">
        <v>0</v>
      </c>
      <c r="O8" s="241"/>
      <c r="P8" s="269">
        <f>+'[8]Bank Liabilities Analysis'!$C$22</f>
        <v>5893761524</v>
      </c>
      <c r="Q8" s="269">
        <f t="shared" ref="Q8:Q15" si="0">+P8-C8-I8</f>
        <v>0</v>
      </c>
      <c r="R8" s="241"/>
      <c r="S8" s="241"/>
      <c r="T8" s="241"/>
      <c r="U8" s="241"/>
      <c r="V8" s="241"/>
      <c r="W8" s="241"/>
      <c r="X8" s="241"/>
      <c r="Y8" s="241"/>
      <c r="Z8" s="241"/>
    </row>
    <row r="9" spans="1:26" s="242" customFormat="1" ht="41.25" customHeight="1">
      <c r="A9" s="238">
        <v>2</v>
      </c>
      <c r="B9" s="239" t="s">
        <v>686</v>
      </c>
      <c r="C9" s="268">
        <f t="shared" ref="C9" si="1">+E9+G9</f>
        <v>19613397</v>
      </c>
      <c r="D9" s="240">
        <v>5.7000000000000002E-2</v>
      </c>
      <c r="E9" s="258">
        <f>'[8]Bank Liabilities Analysis (нац)'!$D$15</f>
        <v>5892919</v>
      </c>
      <c r="F9" s="240">
        <v>7.4400000000000008E-2</v>
      </c>
      <c r="G9" s="258">
        <f>'[8]Bank Liabilities Analysis'!$F$14</f>
        <v>13720478</v>
      </c>
      <c r="H9" s="240">
        <v>0.04</v>
      </c>
      <c r="I9" s="268">
        <f t="shared" ref="I9" si="2">+K9+M9</f>
        <v>35494602</v>
      </c>
      <c r="J9" s="240">
        <v>1.1583285692400243E-2</v>
      </c>
      <c r="K9" s="258">
        <f>'[8]Bank Liabilities Analysis (нац)'!$D$14-E9</f>
        <v>1000000</v>
      </c>
      <c r="L9" s="240">
        <v>1.5048543689320388E-2</v>
      </c>
      <c r="M9" s="258">
        <f>'[8]Bank Liabilities Analysis'!$F$13+'[8]Bank Liabilities Analysis'!$F$16-G9</f>
        <v>34494602</v>
      </c>
      <c r="N9" s="240">
        <v>0</v>
      </c>
      <c r="O9" s="241"/>
      <c r="P9" s="269">
        <f>+'[8]Bank Liabilities Analysis'!$E$22</f>
        <v>55107999</v>
      </c>
      <c r="Q9" s="269">
        <f t="shared" si="0"/>
        <v>0</v>
      </c>
      <c r="R9" s="241"/>
      <c r="S9" s="241"/>
      <c r="T9" s="241"/>
      <c r="U9" s="241"/>
      <c r="V9" s="241"/>
      <c r="W9" s="241"/>
      <c r="X9" s="241"/>
      <c r="Y9" s="241"/>
      <c r="Z9" s="241"/>
    </row>
    <row r="10" spans="1:26" s="242" customFormat="1" ht="41.25" customHeight="1">
      <c r="A10" s="238">
        <v>3</v>
      </c>
      <c r="B10" s="239" t="s">
        <v>687</v>
      </c>
      <c r="C10" s="268">
        <f t="shared" ref="C10:C15" si="3">+E10+G10</f>
        <v>49384845</v>
      </c>
      <c r="D10" s="240">
        <v>7.8700000000000006E-2</v>
      </c>
      <c r="E10" s="258">
        <f>'[8]Bank Liabilities Analysis (нац)'!$E$15</f>
        <v>13360463</v>
      </c>
      <c r="F10" s="240">
        <v>0.12359999999999999</v>
      </c>
      <c r="G10" s="258">
        <f>'[8]Bank Liabilities Analysis'!$H$14</f>
        <v>36024382</v>
      </c>
      <c r="H10" s="240">
        <v>0.04</v>
      </c>
      <c r="I10" s="268">
        <f t="shared" ref="I10:I15" si="4">+K10+M10</f>
        <v>101154988</v>
      </c>
      <c r="J10" s="240">
        <v>1.8371223361330262E-3</v>
      </c>
      <c r="K10" s="258">
        <f>'[8]Bank Liabilities Analysis (нац)'!$E$14-E10+740448</f>
        <v>6180448</v>
      </c>
      <c r="L10" s="240">
        <v>2.9484566473694643E-2</v>
      </c>
      <c r="M10" s="258">
        <f>'[8]Bank Liabilities Analysis'!$H$13+'[8]Bank Liabilities Analysis'!$H$16-G10</f>
        <v>94974540</v>
      </c>
      <c r="N10" s="240">
        <v>0</v>
      </c>
      <c r="O10" s="241"/>
      <c r="P10" s="269">
        <f>+'[8]Bank Liabilities Analysis'!$G$22</f>
        <v>150539833</v>
      </c>
      <c r="Q10" s="269">
        <f t="shared" si="0"/>
        <v>0</v>
      </c>
      <c r="R10" s="241"/>
      <c r="S10" s="241"/>
      <c r="T10" s="241"/>
      <c r="U10" s="241"/>
      <c r="V10" s="241"/>
      <c r="W10" s="241"/>
      <c r="X10" s="241"/>
      <c r="Y10" s="241"/>
      <c r="Z10" s="241"/>
    </row>
    <row r="11" spans="1:26" s="242" customFormat="1" ht="41.25" customHeight="1">
      <c r="A11" s="238">
        <v>4</v>
      </c>
      <c r="B11" s="239" t="s">
        <v>578</v>
      </c>
      <c r="C11" s="268">
        <f t="shared" si="3"/>
        <v>158747509</v>
      </c>
      <c r="D11" s="240">
        <v>6.9400000000000003E-2</v>
      </c>
      <c r="E11" s="258">
        <f>'[8]Bank Liabilities Analysis (нац)'!$F$15</f>
        <v>42015073</v>
      </c>
      <c r="F11" s="240">
        <v>0.12939999999999999</v>
      </c>
      <c r="G11" s="258">
        <f>'[8]Bank Liabilities Analysis'!$J$14</f>
        <v>116732436</v>
      </c>
      <c r="H11" s="240">
        <v>0.04</v>
      </c>
      <c r="I11" s="268">
        <f t="shared" si="4"/>
        <v>320940087</v>
      </c>
      <c r="J11" s="240">
        <v>4.1629880684291763E-2</v>
      </c>
      <c r="K11" s="258">
        <f>'[8]Bank Liabilities Analysis (нац)'!$F$14-E11</f>
        <v>13351089</v>
      </c>
      <c r="L11" s="240">
        <v>0.2156057699262463</v>
      </c>
      <c r="M11" s="258">
        <f>'[8]Bank Liabilities Analysis'!$J$13+'[8]Bank Liabilities Analysis'!$J$16-G11</f>
        <v>307588998</v>
      </c>
      <c r="N11" s="240">
        <v>0</v>
      </c>
      <c r="O11" s="241"/>
      <c r="P11" s="269">
        <f>+'[8]Bank Liabilities Analysis'!$I$22</f>
        <v>479687596</v>
      </c>
      <c r="Q11" s="269">
        <f t="shared" si="0"/>
        <v>0</v>
      </c>
      <c r="R11" s="241"/>
      <c r="S11" s="241"/>
      <c r="T11" s="241"/>
      <c r="U11" s="241"/>
      <c r="V11" s="241"/>
      <c r="W11" s="241"/>
      <c r="X11" s="241"/>
      <c r="Y11" s="241"/>
      <c r="Z11" s="241"/>
    </row>
    <row r="12" spans="1:26" s="242" customFormat="1" ht="41.25" customHeight="1">
      <c r="A12" s="238">
        <v>5</v>
      </c>
      <c r="B12" s="239" t="s">
        <v>579</v>
      </c>
      <c r="C12" s="268">
        <f t="shared" si="3"/>
        <v>1156289111</v>
      </c>
      <c r="D12" s="240">
        <v>6.3200000000000006E-2</v>
      </c>
      <c r="E12" s="258">
        <f>'[8]Bank Liabilities Analysis (нац)'!$G$15</f>
        <v>1028827392</v>
      </c>
      <c r="F12" s="240">
        <v>8.9499999999999996E-2</v>
      </c>
      <c r="G12" s="258">
        <f>'[8]Bank Liabilities Analysis'!$L$14</f>
        <v>127461719</v>
      </c>
      <c r="H12" s="240">
        <v>0.04</v>
      </c>
      <c r="I12" s="268">
        <f t="shared" si="4"/>
        <v>613841642</v>
      </c>
      <c r="J12" s="240">
        <v>2.3690860344180678E-2</v>
      </c>
      <c r="K12" s="258">
        <f>'[8]Bank Liabilities Analysis (нац)'!$G$14-E12</f>
        <v>80377452</v>
      </c>
      <c r="L12" s="240">
        <v>0.12061121390237216</v>
      </c>
      <c r="M12" s="258">
        <f>'[8]Bank Liabilities Analysis'!$L$13+'[8]Bank Liabilities Analysis'!$L$16-G12</f>
        <v>533464190</v>
      </c>
      <c r="N12" s="240">
        <v>0</v>
      </c>
      <c r="O12" s="241"/>
      <c r="P12" s="269">
        <f>+'[8]Bank Liabilities Analysis'!$K$22</f>
        <v>1770130753</v>
      </c>
      <c r="Q12" s="269">
        <f t="shared" si="0"/>
        <v>0</v>
      </c>
      <c r="R12" s="241"/>
      <c r="S12" s="241"/>
      <c r="T12" s="241"/>
      <c r="U12" s="241"/>
      <c r="V12" s="241"/>
      <c r="W12" s="241"/>
      <c r="X12" s="241"/>
      <c r="Y12" s="241"/>
      <c r="Z12" s="241"/>
    </row>
    <row r="13" spans="1:26" s="242" customFormat="1" ht="41.25" customHeight="1">
      <c r="A13" s="238">
        <v>6</v>
      </c>
      <c r="B13" s="239" t="s">
        <v>638</v>
      </c>
      <c r="C13" s="268">
        <f t="shared" si="3"/>
        <v>884457698</v>
      </c>
      <c r="D13" s="240">
        <v>0.16750000000000001</v>
      </c>
      <c r="E13" s="258">
        <f>'[8]Bank Liabilities Analysis (нац)'!$H$15</f>
        <v>884457698</v>
      </c>
      <c r="F13" s="240">
        <v>0.17079999999999998</v>
      </c>
      <c r="G13" s="258">
        <f>'[8]Bank Liabilities Analysis'!$N$14</f>
        <v>0</v>
      </c>
      <c r="H13" s="240">
        <v>1.7100000000000001E-2</v>
      </c>
      <c r="I13" s="268">
        <f t="shared" si="4"/>
        <v>883901689</v>
      </c>
      <c r="J13" s="240">
        <v>3.0914491360763435E-2</v>
      </c>
      <c r="K13" s="258">
        <f>'[8]Bank Liabilities Analysis (нац)'!$H$14+'[8]Bank Liabilities Analysis (нац)'!$H$20-E13</f>
        <v>607331217</v>
      </c>
      <c r="L13" s="240">
        <v>0.13880038093836081</v>
      </c>
      <c r="M13" s="258">
        <f>'[8]Bank Liabilities Analysis'!$N$13+'[8]Bank Liabilities Analysis'!$N$16-G13</f>
        <v>276570472</v>
      </c>
      <c r="N13" s="240">
        <v>1.9062126365454721E-2</v>
      </c>
      <c r="O13" s="241"/>
      <c r="P13" s="269">
        <f>+'[8]Bank Liabilities Analysis'!$M$22</f>
        <v>1768359387</v>
      </c>
      <c r="Q13" s="269">
        <f t="shared" si="0"/>
        <v>0</v>
      </c>
      <c r="R13" s="241"/>
      <c r="S13" s="241"/>
      <c r="T13" s="241"/>
      <c r="U13" s="241"/>
      <c r="V13" s="241"/>
      <c r="W13" s="241"/>
      <c r="X13" s="241"/>
      <c r="Y13" s="241"/>
      <c r="Z13" s="241"/>
    </row>
    <row r="14" spans="1:26" s="242" customFormat="1" ht="41.25" customHeight="1">
      <c r="A14" s="238">
        <v>7</v>
      </c>
      <c r="B14" s="239" t="s">
        <v>639</v>
      </c>
      <c r="C14" s="268">
        <f t="shared" si="3"/>
        <v>59467463</v>
      </c>
      <c r="D14" s="240">
        <v>0.20579999999999998</v>
      </c>
      <c r="E14" s="258">
        <f>'[8]Bank Liabilities Analysis (нац)'!$I$15</f>
        <v>59467463</v>
      </c>
      <c r="F14" s="240">
        <v>0.20579999999999998</v>
      </c>
      <c r="G14" s="258">
        <f>'[8]Bank Liabilities Analysis'!$P$14</f>
        <v>0</v>
      </c>
      <c r="H14" s="240">
        <v>0</v>
      </c>
      <c r="I14" s="268">
        <f t="shared" si="4"/>
        <v>388641844</v>
      </c>
      <c r="J14" s="240">
        <v>7.3202508104274824E-2</v>
      </c>
      <c r="K14" s="258">
        <f>'[8]Bank Liabilities Analysis (нац)'!$I$14-E14</f>
        <v>59622955</v>
      </c>
      <c r="L14" s="240">
        <v>0.19171229221101352</v>
      </c>
      <c r="M14" s="258">
        <f>'[8]Bank Liabilities Analysis'!$P$13+'[8]Bank Liabilities Analysis'!$P$16-G14</f>
        <v>329018889</v>
      </c>
      <c r="N14" s="240">
        <v>8.0206500767621147E-3</v>
      </c>
      <c r="O14" s="241"/>
      <c r="P14" s="269">
        <f>+'[8]Bank Liabilities Analysis'!$O$22</f>
        <v>448109307</v>
      </c>
      <c r="Q14" s="269">
        <f t="shared" si="0"/>
        <v>0</v>
      </c>
      <c r="R14" s="241"/>
      <c r="S14" s="241"/>
      <c r="T14" s="241"/>
      <c r="U14" s="241"/>
      <c r="V14" s="241"/>
      <c r="W14" s="241"/>
      <c r="X14" s="241"/>
      <c r="Y14" s="241"/>
      <c r="Z14" s="241"/>
    </row>
    <row r="15" spans="1:26" s="242" customFormat="1" ht="41.25" customHeight="1">
      <c r="A15" s="238">
        <v>8</v>
      </c>
      <c r="B15" s="239" t="s">
        <v>158</v>
      </c>
      <c r="C15" s="268">
        <f t="shared" si="3"/>
        <v>2224159</v>
      </c>
      <c r="D15" s="240">
        <v>5.4299999999999994E-2</v>
      </c>
      <c r="E15" s="258">
        <f>'[8]Bank Liabilities Analysis (нац)'!$J$15</f>
        <v>2224159</v>
      </c>
      <c r="F15" s="240">
        <v>5.4299999999999994E-2</v>
      </c>
      <c r="G15" s="258">
        <f>'[8]Bank Liabilities Analysis'!$R$14</f>
        <v>0</v>
      </c>
      <c r="H15" s="240">
        <v>0</v>
      </c>
      <c r="I15" s="268">
        <f t="shared" si="4"/>
        <v>2039399521</v>
      </c>
      <c r="J15" s="240">
        <v>6.7917015184452492E-2</v>
      </c>
      <c r="K15" s="258">
        <f>'[8]Bank Liabilities Analysis (нац)'!$J$14-E15</f>
        <v>151659772</v>
      </c>
      <c r="L15" s="240">
        <v>0.13215443624783157</v>
      </c>
      <c r="M15" s="258">
        <f>'[8]Bank Liabilities Analysis'!$R$13-G15</f>
        <v>1887739749</v>
      </c>
      <c r="N15" s="240">
        <v>6.4412649919186465E-2</v>
      </c>
      <c r="O15" s="241"/>
      <c r="P15" s="269">
        <f>+'[8]Bank Liabilities Analysis'!$Q$22</f>
        <v>2041623680</v>
      </c>
      <c r="Q15" s="269">
        <f t="shared" si="0"/>
        <v>0</v>
      </c>
      <c r="R15" s="241"/>
      <c r="S15" s="241"/>
      <c r="T15" s="241"/>
      <c r="U15" s="241"/>
      <c r="V15" s="241"/>
      <c r="W15" s="241"/>
      <c r="X15" s="241"/>
      <c r="Y15" s="241"/>
      <c r="Z15" s="241"/>
    </row>
    <row r="16" spans="1:26" s="242" customFormat="1" ht="41.25" customHeight="1">
      <c r="A16" s="238">
        <v>9</v>
      </c>
      <c r="B16" s="243" t="s">
        <v>688</v>
      </c>
      <c r="C16" s="259">
        <f>SUM(C8:C15)</f>
        <v>3318721475</v>
      </c>
      <c r="D16" s="260">
        <f>IFERROR(((C8*D8)/C16)+((C9*D9)/C16)+((C10*D10)/C16)+((C11*D11)/C16)+((C12*D12)/C16)+((C13*D13)/C16)+((C14*D14)/C16)+((C15*D15)/C16),0)</f>
        <v>7.5211174509424605E-2</v>
      </c>
      <c r="E16" s="259">
        <f t="shared" ref="E16:M16" si="5">SUM(E8:E15)</f>
        <v>2853687206</v>
      </c>
      <c r="F16" s="260">
        <f>IFERROR(((E8*F8)/E16)+((E9*F9)/E16)+((E10*F10)/E16)+((E11*F11)/E16)+((E12*F12)/E16)+((E13*F13)/E16)+((E14*F14)/E16)+((E15*F15)/E16),0)</f>
        <v>9.2172379094340035E-2</v>
      </c>
      <c r="G16" s="259">
        <f t="shared" si="5"/>
        <v>465034269</v>
      </c>
      <c r="H16" s="260">
        <f>IFERROR(((G8*H8)/G16)+((G9*H9)/G16)+((G10*H10)/G16)+((G11*H11)/G16)+((G12*H12)/G16)+((G13*H13)/G16)+((G14*H14)/G16)+((G15*H15)/G16),0)</f>
        <v>2.5283213267880696E-2</v>
      </c>
      <c r="I16" s="259">
        <f t="shared" si="5"/>
        <v>9288598604</v>
      </c>
      <c r="J16" s="260">
        <f>IFERROR(((I8*J8)/I16)+((I9*J9)/I16)+((I10*J10)/I16)+((I11*J11)/I16)+((I12*J12)/I16)+((I13*J13)/I16)+((I14*J14)/I16)+((I15*J15)/I16),0)</f>
        <v>2.398477735365364E-2</v>
      </c>
      <c r="K16" s="259">
        <f t="shared" si="5"/>
        <v>3189805558</v>
      </c>
      <c r="L16" s="260">
        <f>IFERROR(((K8*L8)/K16)+((K9*L9)/K16)+((K10*L10)/K16)+((K11*L11)/K16)+((K12*L12)/K16)+((K13*L13)/K16)+((K14*L14)/K16)+((K15*L15)/K16),0)</f>
        <v>4.0297453005384121E-2</v>
      </c>
      <c r="M16" s="259">
        <f t="shared" si="5"/>
        <v>6098793046</v>
      </c>
      <c r="N16" s="260">
        <f>IFERROR(((M8*N8)/M16)+((M9*N9)/M16)+((M10*N10)/M16)+((M11*N11)/M16)+((M12*N12)/M16)+((M13*N13)/M16)+((M14*N14)/M16)+((M15*N15)/M16),0)</f>
        <v>2.1234576296918245E-2</v>
      </c>
      <c r="O16" s="241"/>
      <c r="P16" s="270">
        <f>+'[8]Bank Liabilities Analysis'!$S$22</f>
        <v>12607320079</v>
      </c>
      <c r="Q16" s="269">
        <f>+P16-C16-I16</f>
        <v>0</v>
      </c>
      <c r="R16" s="241"/>
      <c r="S16" s="241"/>
      <c r="T16" s="241"/>
      <c r="U16" s="241"/>
      <c r="V16" s="241"/>
      <c r="W16" s="241"/>
      <c r="X16" s="241"/>
      <c r="Y16" s="241"/>
      <c r="Z16" s="241"/>
    </row>
    <row r="17" spans="1:26" s="16" customFormat="1" ht="12" customHeight="1">
      <c r="B17" s="25"/>
      <c r="P17" s="241"/>
      <c r="Q17" s="241"/>
      <c r="R17" s="241"/>
      <c r="S17" s="241"/>
      <c r="T17" s="241"/>
      <c r="U17" s="241"/>
      <c r="V17" s="241"/>
      <c r="W17" s="241"/>
      <c r="X17" s="241"/>
      <c r="Y17" s="241"/>
      <c r="Z17" s="241"/>
    </row>
    <row r="18" spans="1:26" s="16" customFormat="1" ht="12.75">
      <c r="B18" s="25"/>
    </row>
    <row r="19" spans="1:26" s="19" customFormat="1">
      <c r="A19" s="66"/>
      <c r="B19" s="72" t="s">
        <v>0</v>
      </c>
      <c r="J19" s="66"/>
    </row>
    <row r="20" spans="1:26" s="19" customFormat="1">
      <c r="A20" s="66"/>
      <c r="B20" s="72"/>
      <c r="J20" s="66"/>
    </row>
    <row r="21" spans="1:26" s="19" customFormat="1">
      <c r="A21" s="66"/>
      <c r="B21" s="72" t="s">
        <v>1</v>
      </c>
      <c r="J21" s="66"/>
    </row>
    <row r="24" spans="1:26" s="262" customFormat="1">
      <c r="A24" s="261"/>
      <c r="B24" s="262" t="s">
        <v>683</v>
      </c>
      <c r="C24" s="266">
        <f>+'[8]Deposits by Client'!$C$6+'[8]Deposits by Client'!$C$15</f>
        <v>3318721475</v>
      </c>
      <c r="D24" s="266"/>
      <c r="E24" s="266"/>
      <c r="F24" s="266"/>
      <c r="G24" s="266">
        <f>+'[8]Deposits by Client'!$D$6+'[8]Deposits by Client'!$D$15</f>
        <v>465034269</v>
      </c>
      <c r="H24" s="266"/>
      <c r="I24" s="266"/>
      <c r="J24" s="266"/>
      <c r="K24" s="266"/>
      <c r="L24" s="266"/>
      <c r="M24" s="266"/>
      <c r="N24" s="264"/>
    </row>
    <row r="25" spans="1:26" s="262" customFormat="1">
      <c r="A25" s="261"/>
      <c r="C25" s="266">
        <f>+C16</f>
        <v>3318721475</v>
      </c>
      <c r="D25" s="266"/>
      <c r="E25" s="266"/>
      <c r="F25" s="266"/>
      <c r="G25" s="266">
        <f>+G16</f>
        <v>465034269</v>
      </c>
      <c r="H25" s="266"/>
      <c r="I25" s="267"/>
      <c r="J25" s="267"/>
      <c r="K25" s="267"/>
      <c r="L25" s="267"/>
      <c r="M25" s="267"/>
      <c r="N25" s="264"/>
    </row>
    <row r="26" spans="1:26" s="262" customFormat="1">
      <c r="A26" s="261"/>
      <c r="C26" s="266">
        <f>+C24-C25</f>
        <v>0</v>
      </c>
      <c r="D26" s="266"/>
      <c r="E26" s="266"/>
      <c r="F26" s="266"/>
      <c r="G26" s="266">
        <f>+G24-G25</f>
        <v>0</v>
      </c>
      <c r="H26" s="266"/>
      <c r="I26" s="267"/>
      <c r="J26" s="267"/>
      <c r="K26" s="267"/>
      <c r="L26" s="267"/>
      <c r="M26" s="267"/>
      <c r="N26" s="264"/>
    </row>
    <row r="27" spans="1:26" s="262" customFormat="1">
      <c r="A27" s="261"/>
      <c r="B27" s="262" t="s">
        <v>684</v>
      </c>
      <c r="C27" s="267"/>
      <c r="D27" s="267"/>
      <c r="E27" s="267"/>
      <c r="F27" s="267"/>
      <c r="G27" s="267"/>
      <c r="H27" s="267"/>
      <c r="I27" s="266">
        <f>+'[8]Deposits by Client'!$C$22-'[8]Deposits by Client'!$C$6-'[8]Deposits by Client'!$C$15</f>
        <v>9288598604</v>
      </c>
      <c r="J27" s="266"/>
      <c r="K27" s="266"/>
      <c r="L27" s="266"/>
      <c r="M27" s="266">
        <f>+'[8]Deposits by Client'!$D$22-'[8]Deposits by Client'!$D$6-'[8]Deposits by Client'!$D$15</f>
        <v>6098793046</v>
      </c>
    </row>
    <row r="28" spans="1:26" s="262" customFormat="1">
      <c r="A28" s="261"/>
      <c r="C28" s="267"/>
      <c r="D28" s="267"/>
      <c r="E28" s="267"/>
      <c r="F28" s="267"/>
      <c r="G28" s="267"/>
      <c r="H28" s="267"/>
      <c r="I28" s="266">
        <f>+I16</f>
        <v>9288598604</v>
      </c>
      <c r="J28" s="266"/>
      <c r="K28" s="266"/>
      <c r="L28" s="266"/>
      <c r="M28" s="266">
        <f>+M16</f>
        <v>6098793046</v>
      </c>
    </row>
    <row r="29" spans="1:26" s="262" customFormat="1">
      <c r="A29" s="261"/>
      <c r="C29" s="267"/>
      <c r="D29" s="267"/>
      <c r="E29" s="267"/>
      <c r="F29" s="267"/>
      <c r="G29" s="267"/>
      <c r="H29" s="267"/>
      <c r="I29" s="266">
        <f>+I27-I28</f>
        <v>0</v>
      </c>
      <c r="J29" s="267"/>
      <c r="K29" s="267"/>
      <c r="L29" s="267"/>
      <c r="M29" s="266">
        <f>+M27-M28</f>
        <v>0</v>
      </c>
    </row>
    <row r="30" spans="1:26" s="262" customFormat="1">
      <c r="A30" s="261"/>
    </row>
    <row r="31" spans="1:26" s="262" customFormat="1">
      <c r="A31" s="261"/>
    </row>
  </sheetData>
  <sheetProtection sheet="1" objects="1" scenarios="1"/>
  <mergeCells count="16">
    <mergeCell ref="A3:A7"/>
    <mergeCell ref="K2:L2"/>
    <mergeCell ref="A1:M1"/>
    <mergeCell ref="I3:N3"/>
    <mergeCell ref="I4:I6"/>
    <mergeCell ref="J4:J6"/>
    <mergeCell ref="K4:N4"/>
    <mergeCell ref="K5:L5"/>
    <mergeCell ref="M5:N5"/>
    <mergeCell ref="D4:D6"/>
    <mergeCell ref="E4:H4"/>
    <mergeCell ref="E5:F5"/>
    <mergeCell ref="G5:H5"/>
    <mergeCell ref="C3:H3"/>
    <mergeCell ref="C4:C6"/>
    <mergeCell ref="B3:B6"/>
  </mergeCells>
  <printOptions horizontalCentered="1"/>
  <pageMargins left="0.39370078740157483" right="0.31" top="0.31496062992125984" bottom="0.35433070866141736" header="0.31496062992125984" footer="0.31496062992125984"/>
  <pageSetup paperSize="9" scale="57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20">
    <pageSetUpPr fitToPage="1"/>
  </sheetPr>
  <dimension ref="A1:M49"/>
  <sheetViews>
    <sheetView view="pageBreakPreview" zoomScaleNormal="100" zoomScaleSheetLayoutView="100" workbookViewId="0">
      <pane xSplit="1" ySplit="5" topLeftCell="D21" activePane="bottomRight" state="frozen"/>
      <selection activeCell="C73" sqref="C73"/>
      <selection pane="topRight" activeCell="C73" sqref="C73"/>
      <selection pane="bottomLeft" activeCell="C73" sqref="C73"/>
      <selection pane="bottomRight" activeCell="G25" sqref="G25"/>
    </sheetView>
  </sheetViews>
  <sheetFormatPr defaultColWidth="9" defaultRowHeight="12.75"/>
  <cols>
    <col min="1" max="1" width="5" style="16" customWidth="1"/>
    <col min="2" max="3" width="9" style="1" customWidth="1"/>
    <col min="4" max="4" width="25.42578125" style="1" customWidth="1"/>
    <col min="5" max="5" width="42.140625" style="1" customWidth="1"/>
    <col min="6" max="6" width="15.42578125" style="1" bestFit="1" customWidth="1"/>
    <col min="7" max="7" width="9" style="1" customWidth="1"/>
    <col min="8" max="8" width="36.28515625" style="1" customWidth="1"/>
    <col min="9" max="9" width="18.42578125" style="1" customWidth="1"/>
    <col min="10" max="10" width="15" style="16" customWidth="1"/>
    <col min="11" max="11" width="15.5703125" style="1" customWidth="1"/>
    <col min="12" max="12" width="9" style="1"/>
    <col min="13" max="13" width="9" style="488"/>
    <col min="14" max="16384" width="9" style="1"/>
  </cols>
  <sheetData>
    <row r="1" spans="1:13" ht="27" customHeight="1">
      <c r="A1" s="720" t="s">
        <v>755</v>
      </c>
      <c r="B1" s="720"/>
      <c r="C1" s="720"/>
      <c r="D1" s="720"/>
      <c r="E1" s="720"/>
      <c r="F1" s="720"/>
      <c r="G1" s="720"/>
      <c r="H1" s="720"/>
      <c r="I1" s="721" t="s">
        <v>635</v>
      </c>
      <c r="J1" s="721"/>
      <c r="K1" s="721"/>
    </row>
    <row r="2" spans="1:13" ht="21" customHeight="1">
      <c r="A2" s="364"/>
      <c r="B2" s="728" t="str">
        <f>+'Asset quality'!B3</f>
        <v>"Ўзсаноатқурилишбанк" АТБ</v>
      </c>
      <c r="C2" s="728"/>
      <c r="D2" s="728"/>
      <c r="E2" s="365"/>
      <c r="F2" s="365"/>
      <c r="G2" s="365"/>
      <c r="H2" s="365"/>
      <c r="I2" s="366">
        <f>+'Asset quality'!P3</f>
        <v>44560</v>
      </c>
      <c r="J2" s="145"/>
      <c r="K2" s="21"/>
    </row>
    <row r="3" spans="1:13" ht="6.75" customHeight="1">
      <c r="A3" s="722"/>
      <c r="B3" s="723"/>
      <c r="C3" s="723"/>
      <c r="D3" s="723"/>
      <c r="E3" s="723"/>
      <c r="F3" s="723"/>
      <c r="G3" s="723"/>
      <c r="H3" s="723"/>
      <c r="I3" s="723"/>
      <c r="J3" s="723"/>
      <c r="K3" s="724"/>
    </row>
    <row r="4" spans="1:13" s="422" customFormat="1" ht="41.25" customHeight="1">
      <c r="A4" s="727" t="s">
        <v>83</v>
      </c>
      <c r="B4" s="727" t="s">
        <v>209</v>
      </c>
      <c r="C4" s="727"/>
      <c r="D4" s="727"/>
      <c r="E4" s="727"/>
      <c r="F4" s="727" t="s">
        <v>210</v>
      </c>
      <c r="G4" s="727"/>
      <c r="H4" s="727"/>
      <c r="I4" s="394" t="s">
        <v>211</v>
      </c>
      <c r="J4" s="394" t="s">
        <v>212</v>
      </c>
      <c r="K4" s="394" t="s">
        <v>213</v>
      </c>
      <c r="M4" s="489"/>
    </row>
    <row r="5" spans="1:13" s="422" customFormat="1" ht="14.25">
      <c r="A5" s="727"/>
      <c r="B5" s="727" t="s">
        <v>214</v>
      </c>
      <c r="C5" s="727"/>
      <c r="D5" s="727"/>
      <c r="E5" s="727"/>
      <c r="F5" s="727" t="s">
        <v>183</v>
      </c>
      <c r="G5" s="727"/>
      <c r="H5" s="727"/>
      <c r="I5" s="394" t="s">
        <v>195</v>
      </c>
      <c r="J5" s="394" t="s">
        <v>184</v>
      </c>
      <c r="K5" s="394" t="s">
        <v>185</v>
      </c>
      <c r="M5" s="489"/>
    </row>
    <row r="6" spans="1:13" s="3" customFormat="1">
      <c r="A6" s="367">
        <v>1</v>
      </c>
      <c r="B6" s="696" t="s">
        <v>215</v>
      </c>
      <c r="C6" s="697"/>
      <c r="D6" s="697"/>
      <c r="E6" s="697"/>
      <c r="F6" s="697"/>
      <c r="G6" s="697"/>
      <c r="H6" s="697"/>
      <c r="I6" s="697"/>
      <c r="J6" s="697"/>
      <c r="K6" s="698"/>
      <c r="M6" s="490"/>
    </row>
    <row r="7" spans="1:13" ht="24" customHeight="1">
      <c r="A7" s="644" t="s">
        <v>203</v>
      </c>
      <c r="B7" s="706" t="s">
        <v>216</v>
      </c>
      <c r="C7" s="707"/>
      <c r="D7" s="707"/>
      <c r="E7" s="708"/>
      <c r="F7" s="652" t="s">
        <v>217</v>
      </c>
      <c r="G7" s="653"/>
      <c r="H7" s="654"/>
      <c r="I7" s="655">
        <f>+'[9]Bank Capital Calc'!$C$51</f>
        <v>0.15838641476894899</v>
      </c>
      <c r="J7" s="368" t="s">
        <v>218</v>
      </c>
      <c r="K7" s="636" t="str">
        <f>IF(I7="",0-J8,(IF((I7-J8)&gt;0,"",I7-J8)))</f>
        <v/>
      </c>
    </row>
    <row r="8" spans="1:13">
      <c r="A8" s="645"/>
      <c r="B8" s="715"/>
      <c r="C8" s="716"/>
      <c r="D8" s="716"/>
      <c r="E8" s="717"/>
      <c r="F8" s="706" t="s">
        <v>219</v>
      </c>
      <c r="G8" s="725"/>
      <c r="H8" s="726"/>
      <c r="I8" s="683"/>
      <c r="J8" s="369">
        <v>0.13</v>
      </c>
      <c r="K8" s="637"/>
    </row>
    <row r="9" spans="1:13">
      <c r="A9" s="644" t="s">
        <v>205</v>
      </c>
      <c r="B9" s="706" t="s">
        <v>220</v>
      </c>
      <c r="C9" s="707"/>
      <c r="D9" s="707"/>
      <c r="E9" s="708"/>
      <c r="F9" s="678" t="s">
        <v>221</v>
      </c>
      <c r="G9" s="679"/>
      <c r="H9" s="680"/>
      <c r="I9" s="655">
        <f>+'[9]Bank Capital Calc'!$C$50</f>
        <v>0.11878981107671174</v>
      </c>
      <c r="J9" s="368" t="s">
        <v>218</v>
      </c>
      <c r="K9" s="636" t="str">
        <f>IF(I9="",0-J10,(IF((I9-J10)&gt;0,"",I9-J10)))</f>
        <v/>
      </c>
    </row>
    <row r="10" spans="1:13">
      <c r="A10" s="645"/>
      <c r="B10" s="709"/>
      <c r="C10" s="710"/>
      <c r="D10" s="710"/>
      <c r="E10" s="711"/>
      <c r="F10" s="712" t="s">
        <v>219</v>
      </c>
      <c r="G10" s="713"/>
      <c r="H10" s="714"/>
      <c r="I10" s="683"/>
      <c r="J10" s="369">
        <v>0.1</v>
      </c>
      <c r="K10" s="637"/>
    </row>
    <row r="11" spans="1:13">
      <c r="A11" s="644" t="s">
        <v>206</v>
      </c>
      <c r="B11" s="646" t="s">
        <v>574</v>
      </c>
      <c r="C11" s="666"/>
      <c r="D11" s="666"/>
      <c r="E11" s="667"/>
      <c r="F11" s="678" t="s">
        <v>575</v>
      </c>
      <c r="G11" s="679"/>
      <c r="H11" s="680"/>
      <c r="I11" s="655">
        <f>+'[9]Bank Capital Calc'!$C$49</f>
        <v>0.11863872748264848</v>
      </c>
      <c r="J11" s="368" t="s">
        <v>218</v>
      </c>
      <c r="K11" s="636" t="str">
        <f>IF(I11="",0-J12,(IF((I11-J12)&gt;0,"",I11-J12)))</f>
        <v/>
      </c>
    </row>
    <row r="12" spans="1:13" ht="24.75" customHeight="1">
      <c r="A12" s="645"/>
      <c r="B12" s="715"/>
      <c r="C12" s="716"/>
      <c r="D12" s="716"/>
      <c r="E12" s="717"/>
      <c r="F12" s="652" t="s">
        <v>219</v>
      </c>
      <c r="G12" s="653"/>
      <c r="H12" s="654"/>
      <c r="I12" s="683"/>
      <c r="J12" s="369">
        <v>0.08</v>
      </c>
      <c r="K12" s="637"/>
    </row>
    <row r="13" spans="1:13">
      <c r="A13" s="644" t="s">
        <v>208</v>
      </c>
      <c r="B13" s="646" t="s">
        <v>222</v>
      </c>
      <c r="C13" s="666"/>
      <c r="D13" s="666"/>
      <c r="E13" s="667"/>
      <c r="F13" s="638" t="s">
        <v>221</v>
      </c>
      <c r="G13" s="639"/>
      <c r="H13" s="640"/>
      <c r="I13" s="655">
        <f>+'[9]Bank Capital Calc'!$C$57</f>
        <v>9.9794246863889366E-2</v>
      </c>
      <c r="J13" s="368" t="s">
        <v>218</v>
      </c>
      <c r="K13" s="636" t="str">
        <f>IF(I13="",0-J14,(IF((I13-J14)&gt;0,"",I13-J14)))</f>
        <v/>
      </c>
    </row>
    <row r="14" spans="1:13" ht="24.75" customHeight="1">
      <c r="A14" s="645"/>
      <c r="B14" s="715"/>
      <c r="C14" s="716"/>
      <c r="D14" s="716"/>
      <c r="E14" s="717"/>
      <c r="F14" s="652" t="s">
        <v>645</v>
      </c>
      <c r="G14" s="653"/>
      <c r="H14" s="654"/>
      <c r="I14" s="683"/>
      <c r="J14" s="369">
        <v>0.06</v>
      </c>
      <c r="K14" s="637"/>
    </row>
    <row r="15" spans="1:13" s="3" customFormat="1">
      <c r="A15" s="350">
        <v>2</v>
      </c>
      <c r="B15" s="674" t="s">
        <v>642</v>
      </c>
      <c r="C15" s="697"/>
      <c r="D15" s="697"/>
      <c r="E15" s="697"/>
      <c r="F15" s="697"/>
      <c r="G15" s="697"/>
      <c r="H15" s="697"/>
      <c r="I15" s="697"/>
      <c r="J15" s="697"/>
      <c r="K15" s="698"/>
      <c r="M15" s="490"/>
    </row>
    <row r="16" spans="1:13" ht="15.75" customHeight="1">
      <c r="A16" s="644" t="s">
        <v>223</v>
      </c>
      <c r="B16" s="668" t="s">
        <v>48</v>
      </c>
      <c r="C16" s="669"/>
      <c r="D16" s="669"/>
      <c r="E16" s="370" t="s">
        <v>152</v>
      </c>
      <c r="F16" s="686" t="s">
        <v>49</v>
      </c>
      <c r="G16" s="687"/>
      <c r="H16" s="688"/>
      <c r="I16" s="396">
        <f>IFERROR((+'[8]Liquidity Analysis'!$C$23),0)</f>
        <v>1.6453692037895922</v>
      </c>
      <c r="J16" s="718" t="s">
        <v>218</v>
      </c>
      <c r="K16" s="396" t="str">
        <f>IF(I16="",0-$J$18,(IF((I16-$J$18)&gt;0,"",I16-$J$18)))</f>
        <v/>
      </c>
    </row>
    <row r="17" spans="1:13" ht="15.75" customHeight="1">
      <c r="A17" s="684"/>
      <c r="B17" s="670"/>
      <c r="C17" s="671"/>
      <c r="D17" s="671"/>
      <c r="E17" s="371" t="s">
        <v>280</v>
      </c>
      <c r="F17" s="689"/>
      <c r="G17" s="690"/>
      <c r="H17" s="691"/>
      <c r="I17" s="396">
        <f>IFERROR((+'[8]Liquidity Analysis'!$D$23),0)</f>
        <v>2.0955565016497619</v>
      </c>
      <c r="J17" s="719"/>
      <c r="K17" s="396" t="str">
        <f>IF(I17="",0-$J$18,(IF((I17-$J$18)&gt;0,"",I17-$J$18)))</f>
        <v/>
      </c>
    </row>
    <row r="18" spans="1:13" ht="15.75" customHeight="1">
      <c r="A18" s="645"/>
      <c r="B18" s="672"/>
      <c r="C18" s="673"/>
      <c r="D18" s="673"/>
      <c r="E18" s="371" t="s">
        <v>197</v>
      </c>
      <c r="F18" s="685" t="s">
        <v>50</v>
      </c>
      <c r="G18" s="685"/>
      <c r="H18" s="685"/>
      <c r="I18" s="396">
        <f>IFERROR((+'[8]Liquidity Analysis'!$E$23),0)</f>
        <v>1.4374102918383473</v>
      </c>
      <c r="J18" s="372">
        <v>1</v>
      </c>
      <c r="K18" s="396" t="str">
        <f>IF(I18="",0-$J$18,(IF((I18-$J$18)&gt;0,"",I18-$J$18)))</f>
        <v/>
      </c>
    </row>
    <row r="19" spans="1:13" ht="15" customHeight="1">
      <c r="A19" s="644" t="s">
        <v>55</v>
      </c>
      <c r="B19" s="668" t="s">
        <v>53</v>
      </c>
      <c r="C19" s="669"/>
      <c r="D19" s="669"/>
      <c r="E19" s="370" t="s">
        <v>152</v>
      </c>
      <c r="F19" s="700" t="s">
        <v>52</v>
      </c>
      <c r="G19" s="701"/>
      <c r="H19" s="702"/>
      <c r="I19" s="396">
        <f>IFERROR((+'[8]Liquidity Analysis'!$C$28),0)</f>
        <v>1.1502506207091083</v>
      </c>
      <c r="J19" s="718" t="s">
        <v>218</v>
      </c>
      <c r="K19" s="396" t="str">
        <f>IF(I19="",0-$J$21,(IF((I19-$J$21)&gt;0,"",I19-$J$21)))</f>
        <v/>
      </c>
    </row>
    <row r="20" spans="1:13" ht="15" customHeight="1">
      <c r="A20" s="684"/>
      <c r="B20" s="670"/>
      <c r="C20" s="671"/>
      <c r="D20" s="671"/>
      <c r="E20" s="371" t="s">
        <v>280</v>
      </c>
      <c r="F20" s="703"/>
      <c r="G20" s="704"/>
      <c r="H20" s="705"/>
      <c r="I20" s="396">
        <f>IFERROR((+'[8]Liquidity Analysis'!$D$28),0)</f>
        <v>1.2139656509113368</v>
      </c>
      <c r="J20" s="719"/>
      <c r="K20" s="396" t="str">
        <f>IF(I20="",0-$J$21,(IF((I20-$J$21)&gt;0,"",I20-$J$21)))</f>
        <v/>
      </c>
    </row>
    <row r="21" spans="1:13" ht="15" customHeight="1">
      <c r="A21" s="645"/>
      <c r="B21" s="672"/>
      <c r="C21" s="673"/>
      <c r="D21" s="673"/>
      <c r="E21" s="371" t="s">
        <v>197</v>
      </c>
      <c r="F21" s="699" t="s">
        <v>51</v>
      </c>
      <c r="G21" s="699"/>
      <c r="H21" s="699"/>
      <c r="I21" s="396">
        <f>IFERROR((+'[8]Liquidity Analysis'!$E$28),0)</f>
        <v>1.1131864855702904</v>
      </c>
      <c r="J21" s="393">
        <v>1</v>
      </c>
      <c r="K21" s="396" t="str">
        <f>IF(I21="",0-$J$21,(IF((I21-$J$21)&gt;0,"",I21-$J$21)))</f>
        <v/>
      </c>
    </row>
    <row r="22" spans="1:13" s="3" customFormat="1">
      <c r="A22" s="350">
        <v>3</v>
      </c>
      <c r="B22" s="696" t="s">
        <v>224</v>
      </c>
      <c r="C22" s="697"/>
      <c r="D22" s="697"/>
      <c r="E22" s="697"/>
      <c r="F22" s="697"/>
      <c r="G22" s="697"/>
      <c r="H22" s="697"/>
      <c r="I22" s="697"/>
      <c r="J22" s="697"/>
      <c r="K22" s="698"/>
      <c r="M22" s="490"/>
    </row>
    <row r="23" spans="1:13" ht="24" customHeight="1">
      <c r="A23" s="644" t="s">
        <v>225</v>
      </c>
      <c r="B23" s="665" t="s">
        <v>827</v>
      </c>
      <c r="C23" s="666"/>
      <c r="D23" s="666"/>
      <c r="E23" s="667"/>
      <c r="F23" s="373" t="s">
        <v>828</v>
      </c>
      <c r="G23" s="374"/>
      <c r="H23" s="375"/>
      <c r="I23" s="655">
        <f>IFERROR((+' Largest risk'!Z65/'[9]Bank Capital Calc'!$C$34),0)</f>
        <v>0.24750262408070503</v>
      </c>
      <c r="J23" s="368" t="s">
        <v>226</v>
      </c>
      <c r="K23" s="655" t="str">
        <f>IF(I23="","",IF(I23&lt;0,"ОТР",IF((I23-J24)&lt;0,"",I23-J24)))</f>
        <v/>
      </c>
    </row>
    <row r="24" spans="1:13">
      <c r="A24" s="645"/>
      <c r="B24" s="662"/>
      <c r="C24" s="663"/>
      <c r="D24" s="663"/>
      <c r="E24" s="664"/>
      <c r="F24" s="638" t="s">
        <v>221</v>
      </c>
      <c r="G24" s="639"/>
      <c r="H24" s="640"/>
      <c r="I24" s="656"/>
      <c r="J24" s="372">
        <v>0.25</v>
      </c>
      <c r="K24" s="695"/>
    </row>
    <row r="25" spans="1:13" s="74" customFormat="1" ht="28.5" customHeight="1">
      <c r="A25" s="644" t="s">
        <v>227</v>
      </c>
      <c r="B25" s="646" t="s">
        <v>857</v>
      </c>
      <c r="C25" s="666"/>
      <c r="D25" s="666"/>
      <c r="E25" s="667"/>
      <c r="F25" s="373" t="s">
        <v>857</v>
      </c>
      <c r="G25" s="374"/>
      <c r="H25" s="375"/>
      <c r="I25" s="634">
        <f>IFERROR((+' Largest risk'!Z39/'[9]Bank Capital Calc'!$C$34),0)</f>
        <v>0.16704844580301481</v>
      </c>
      <c r="J25" s="385" t="s">
        <v>226</v>
      </c>
      <c r="K25" s="636" t="str">
        <f>IF(I25&lt;0,"ОТР",IF((I25-J26)&lt;0,"",I25-J26))</f>
        <v/>
      </c>
      <c r="M25" s="488" t="s">
        <v>856</v>
      </c>
    </row>
    <row r="26" spans="1:13" s="74" customFormat="1">
      <c r="A26" s="645"/>
      <c r="B26" s="649"/>
      <c r="C26" s="650"/>
      <c r="D26" s="650"/>
      <c r="E26" s="651"/>
      <c r="F26" s="638" t="s">
        <v>221</v>
      </c>
      <c r="G26" s="639"/>
      <c r="H26" s="640"/>
      <c r="I26" s="635"/>
      <c r="J26" s="384">
        <v>0.25</v>
      </c>
      <c r="K26" s="637"/>
      <c r="M26" s="488"/>
    </row>
    <row r="27" spans="1:13" s="74" customFormat="1" ht="36">
      <c r="A27" s="644" t="s">
        <v>31</v>
      </c>
      <c r="B27" s="665" t="s">
        <v>829</v>
      </c>
      <c r="C27" s="666"/>
      <c r="D27" s="666"/>
      <c r="E27" s="667"/>
      <c r="F27" s="461" t="s">
        <v>829</v>
      </c>
      <c r="G27" s="374"/>
      <c r="H27" s="375"/>
      <c r="I27" s="634">
        <f>181613000/'[9]Bank Capital Calc'!$C$34</f>
        <v>2.9896719922247489E-2</v>
      </c>
      <c r="J27" s="385" t="s">
        <v>226</v>
      </c>
      <c r="K27" s="636" t="str">
        <f>IF(I27&lt;0,"ОТР",IF((I27-J28)&lt;0,"",I27-J28))</f>
        <v/>
      </c>
      <c r="M27" s="488" t="s">
        <v>856</v>
      </c>
    </row>
    <row r="28" spans="1:13" s="74" customFormat="1">
      <c r="A28" s="645"/>
      <c r="B28" s="649"/>
      <c r="C28" s="650"/>
      <c r="D28" s="650"/>
      <c r="E28" s="651"/>
      <c r="F28" s="638" t="s">
        <v>221</v>
      </c>
      <c r="G28" s="639"/>
      <c r="H28" s="640"/>
      <c r="I28" s="635"/>
      <c r="J28" s="384">
        <v>0.05</v>
      </c>
      <c r="K28" s="637"/>
      <c r="M28" s="488"/>
    </row>
    <row r="29" spans="1:13" s="74" customFormat="1" ht="14.25" customHeight="1">
      <c r="A29" s="644" t="s">
        <v>580</v>
      </c>
      <c r="B29" s="692" t="s">
        <v>858</v>
      </c>
      <c r="C29" s="693"/>
      <c r="D29" s="693"/>
      <c r="E29" s="694"/>
      <c r="F29" s="376" t="s">
        <v>858</v>
      </c>
      <c r="G29" s="377"/>
      <c r="H29" s="378"/>
      <c r="I29" s="655">
        <f>IFERROR((+' Largest risk'!Z64/'[9]Bank Capital Calc'!$C$34),0)</f>
        <v>2.3768064510225098</v>
      </c>
      <c r="J29" s="383" t="s">
        <v>226</v>
      </c>
      <c r="K29" s="636" t="str">
        <f>IF(I29="","",IF(I29&lt;0,"ОТР",IF((I29-J30)&lt;0,"",I29-J30)))</f>
        <v/>
      </c>
      <c r="M29" s="488"/>
    </row>
    <row r="30" spans="1:13" s="74" customFormat="1">
      <c r="A30" s="645"/>
      <c r="B30" s="649"/>
      <c r="C30" s="650"/>
      <c r="D30" s="650"/>
      <c r="E30" s="651"/>
      <c r="F30" s="638" t="s">
        <v>221</v>
      </c>
      <c r="G30" s="639"/>
      <c r="H30" s="640"/>
      <c r="I30" s="656"/>
      <c r="J30" s="383">
        <v>5</v>
      </c>
      <c r="K30" s="637"/>
      <c r="M30" s="488"/>
    </row>
    <row r="31" spans="1:13" s="386" customFormat="1">
      <c r="A31" s="350">
        <v>4</v>
      </c>
      <c r="B31" s="674" t="s">
        <v>228</v>
      </c>
      <c r="C31" s="675"/>
      <c r="D31" s="675"/>
      <c r="E31" s="675"/>
      <c r="F31" s="675"/>
      <c r="G31" s="675"/>
      <c r="H31" s="675"/>
      <c r="I31" s="675"/>
      <c r="J31" s="675"/>
      <c r="K31" s="676"/>
      <c r="M31" s="490"/>
    </row>
    <row r="32" spans="1:13" s="74" customFormat="1">
      <c r="A32" s="644" t="s">
        <v>229</v>
      </c>
      <c r="B32" s="677" t="s">
        <v>230</v>
      </c>
      <c r="C32" s="647"/>
      <c r="D32" s="647"/>
      <c r="E32" s="648"/>
      <c r="F32" s="373" t="s">
        <v>231</v>
      </c>
      <c r="G32" s="374"/>
      <c r="H32" s="375"/>
      <c r="I32" s="634">
        <f>83362868/'[9]Bank Capital Calc'!$C$34</f>
        <v>1.3723006153256032E-2</v>
      </c>
      <c r="J32" s="385" t="s">
        <v>226</v>
      </c>
      <c r="K32" s="636" t="str">
        <f>IF(I32&lt;0,"ОТР",IF((I32-J33)&lt;0,"",I32-J33))</f>
        <v/>
      </c>
      <c r="M32" s="488" t="s">
        <v>856</v>
      </c>
    </row>
    <row r="33" spans="1:13" s="74" customFormat="1">
      <c r="A33" s="645"/>
      <c r="B33" s="663"/>
      <c r="C33" s="663"/>
      <c r="D33" s="663"/>
      <c r="E33" s="664"/>
      <c r="F33" s="638" t="s">
        <v>221</v>
      </c>
      <c r="G33" s="639"/>
      <c r="H33" s="640"/>
      <c r="I33" s="635"/>
      <c r="J33" s="384">
        <v>0.15</v>
      </c>
      <c r="K33" s="637"/>
      <c r="M33" s="488"/>
    </row>
    <row r="34" spans="1:13" s="74" customFormat="1" ht="24.75" customHeight="1">
      <c r="A34" s="644" t="s">
        <v>37</v>
      </c>
      <c r="B34" s="677" t="s">
        <v>232</v>
      </c>
      <c r="C34" s="647"/>
      <c r="D34" s="647"/>
      <c r="E34" s="648"/>
      <c r="F34" s="652" t="s">
        <v>233</v>
      </c>
      <c r="G34" s="681"/>
      <c r="H34" s="682"/>
      <c r="I34" s="655">
        <f>IFERROR((+('[8]Investment Securities'!$B$22+'[8]Investment Securities'!$B$23+'[8]Investment Securities'!$B$24+'[8]Investment Securities'!$B$25-'[8]Investment Securities'!$B$28)/'[9]Bank Capital Calc'!$C$34),0)</f>
        <v>0</v>
      </c>
      <c r="J34" s="385" t="s">
        <v>226</v>
      </c>
      <c r="K34" s="636" t="str">
        <f>IF(I34="","",IF(I34&lt;0,"ОТР",IF((I34-J35)&lt;0,"",I34-J35)))</f>
        <v/>
      </c>
      <c r="M34" s="488"/>
    </row>
    <row r="35" spans="1:13" s="74" customFormat="1">
      <c r="A35" s="645"/>
      <c r="B35" s="663"/>
      <c r="C35" s="663"/>
      <c r="D35" s="663"/>
      <c r="E35" s="664"/>
      <c r="F35" s="638" t="s">
        <v>221</v>
      </c>
      <c r="G35" s="639"/>
      <c r="H35" s="640"/>
      <c r="I35" s="683"/>
      <c r="J35" s="384">
        <v>0.25</v>
      </c>
      <c r="K35" s="637"/>
      <c r="M35" s="488"/>
    </row>
    <row r="36" spans="1:13" s="74" customFormat="1" ht="36" customHeight="1">
      <c r="A36" s="644" t="s">
        <v>38</v>
      </c>
      <c r="B36" s="677" t="s">
        <v>234</v>
      </c>
      <c r="C36" s="647"/>
      <c r="D36" s="647"/>
      <c r="E36" s="648"/>
      <c r="F36" s="652" t="s">
        <v>235</v>
      </c>
      <c r="G36" s="681"/>
      <c r="H36" s="682"/>
      <c r="I36" s="655">
        <f>IFERROR((+(+'[8]Investment Securities'!$B$15-'[8]Investment Securities'!$B$6-'[8]Investment Securities'!$B$7+'[8]Investment Securities'!$B$22+'[8]Investment Securities'!$B$23+'[8]Investment Securities'!$B$24+'[8]Investment Securities'!$B$25-'[8]Investment Securities'!$B$28)/'[9]Bank Capital Calc'!$C$34),0)</f>
        <v>2.4612978200473968E-2</v>
      </c>
      <c r="J36" s="383" t="s">
        <v>226</v>
      </c>
      <c r="K36" s="636" t="str">
        <f>IF(I36="","",IF(I36&lt;0,"ОТР",IF((I36-J37)&lt;0,"",I36-J37)))</f>
        <v/>
      </c>
      <c r="M36" s="488"/>
    </row>
    <row r="37" spans="1:13" s="74" customFormat="1">
      <c r="A37" s="645"/>
      <c r="B37" s="663"/>
      <c r="C37" s="663"/>
      <c r="D37" s="663"/>
      <c r="E37" s="664"/>
      <c r="F37" s="678" t="s">
        <v>221</v>
      </c>
      <c r="G37" s="679"/>
      <c r="H37" s="680"/>
      <c r="I37" s="656"/>
      <c r="J37" s="383">
        <v>0.5</v>
      </c>
      <c r="K37" s="637"/>
      <c r="M37" s="488"/>
    </row>
    <row r="38" spans="1:13" s="386" customFormat="1">
      <c r="A38" s="350">
        <v>5</v>
      </c>
      <c r="B38" s="641" t="s">
        <v>855</v>
      </c>
      <c r="C38" s="642"/>
      <c r="D38" s="642"/>
      <c r="E38" s="642"/>
      <c r="F38" s="642"/>
      <c r="G38" s="642"/>
      <c r="H38" s="642"/>
      <c r="I38" s="642"/>
      <c r="J38" s="642"/>
      <c r="K38" s="643"/>
      <c r="M38" s="490"/>
    </row>
    <row r="39" spans="1:13" s="74" customFormat="1" ht="23.25" customHeight="1">
      <c r="A39" s="644" t="s">
        <v>236</v>
      </c>
      <c r="B39" s="646" t="s">
        <v>830</v>
      </c>
      <c r="C39" s="647"/>
      <c r="D39" s="647"/>
      <c r="E39" s="648"/>
      <c r="F39" s="652" t="s">
        <v>830</v>
      </c>
      <c r="G39" s="653"/>
      <c r="H39" s="654"/>
      <c r="I39" s="655">
        <f>IFERROR(((+'Transactions of related parties'!Z65-'[9]Bank Capital Calc'!$C$24)/'[9]Bank Capital Calc'!$C$34),0)</f>
        <v>1.3723006153256032E-2</v>
      </c>
      <c r="J39" s="385" t="s">
        <v>226</v>
      </c>
      <c r="K39" s="636" t="str">
        <f>IF(I39="","",IF(I39&lt;0,"ОТР",IF((I39-J40)&lt;0,"",I39-J40)))</f>
        <v/>
      </c>
      <c r="M39" s="488"/>
    </row>
    <row r="40" spans="1:13" s="74" customFormat="1">
      <c r="A40" s="645"/>
      <c r="B40" s="662"/>
      <c r="C40" s="663"/>
      <c r="D40" s="663"/>
      <c r="E40" s="664"/>
      <c r="F40" s="638" t="s">
        <v>221</v>
      </c>
      <c r="G40" s="639"/>
      <c r="H40" s="640"/>
      <c r="I40" s="656"/>
      <c r="J40" s="384">
        <v>0.25</v>
      </c>
      <c r="K40" s="637"/>
      <c r="M40" s="488"/>
    </row>
    <row r="41" spans="1:13" s="74" customFormat="1" ht="23.25" customHeight="1">
      <c r="A41" s="644" t="s">
        <v>823</v>
      </c>
      <c r="B41" s="657" t="s">
        <v>859</v>
      </c>
      <c r="C41" s="658"/>
      <c r="D41" s="658"/>
      <c r="E41" s="658"/>
      <c r="F41" s="659" t="s">
        <v>859</v>
      </c>
      <c r="G41" s="660"/>
      <c r="H41" s="661"/>
      <c r="I41" s="655">
        <f>IFERROR(((+'Transactions of related parties'!Z64-'[9]Bank Capital Calc'!$C$24)/'[9]Bank Capital Calc'!$C$34),0)</f>
        <v>2.033136600988044E-2</v>
      </c>
      <c r="J41" s="383" t="s">
        <v>226</v>
      </c>
      <c r="K41" s="636" t="str">
        <f>IF(I41="","",IF(I41&lt;0,"ОТР",IF((I41-J42)&lt;0,"",I41-J42)))</f>
        <v/>
      </c>
      <c r="M41" s="488"/>
    </row>
    <row r="42" spans="1:13" s="74" customFormat="1">
      <c r="A42" s="645"/>
      <c r="B42" s="658"/>
      <c r="C42" s="658"/>
      <c r="D42" s="658"/>
      <c r="E42" s="658"/>
      <c r="F42" s="638" t="s">
        <v>221</v>
      </c>
      <c r="G42" s="639"/>
      <c r="H42" s="640"/>
      <c r="I42" s="656"/>
      <c r="J42" s="383">
        <v>0.5</v>
      </c>
      <c r="K42" s="637"/>
      <c r="M42" s="488"/>
    </row>
    <row r="43" spans="1:13" s="386" customFormat="1">
      <c r="A43" s="350">
        <v>6</v>
      </c>
      <c r="B43" s="641" t="s">
        <v>770</v>
      </c>
      <c r="C43" s="642"/>
      <c r="D43" s="642"/>
      <c r="E43" s="642"/>
      <c r="F43" s="642"/>
      <c r="G43" s="642"/>
      <c r="H43" s="642"/>
      <c r="I43" s="642"/>
      <c r="J43" s="642"/>
      <c r="K43" s="643"/>
      <c r="M43" s="490"/>
    </row>
    <row r="44" spans="1:13" s="74" customFormat="1" ht="23.25" customHeight="1">
      <c r="A44" s="644" t="s">
        <v>771</v>
      </c>
      <c r="B44" s="646" t="s">
        <v>772</v>
      </c>
      <c r="C44" s="647"/>
      <c r="D44" s="647"/>
      <c r="E44" s="648"/>
      <c r="F44" s="652" t="s">
        <v>773</v>
      </c>
      <c r="G44" s="653"/>
      <c r="H44" s="654"/>
      <c r="I44" s="634">
        <v>0</v>
      </c>
      <c r="J44" s="383" t="s">
        <v>226</v>
      </c>
      <c r="K44" s="636" t="str">
        <f>IF(I44="","",IF(I44&lt;0,"ОТР",IF((I44-J45)&lt;0,"",I44-J45)))</f>
        <v/>
      </c>
      <c r="M44" s="488" t="s">
        <v>856</v>
      </c>
    </row>
    <row r="45" spans="1:13" s="74" customFormat="1">
      <c r="A45" s="645"/>
      <c r="B45" s="649"/>
      <c r="C45" s="650"/>
      <c r="D45" s="650"/>
      <c r="E45" s="651"/>
      <c r="F45" s="638" t="s">
        <v>221</v>
      </c>
      <c r="G45" s="639"/>
      <c r="H45" s="640"/>
      <c r="I45" s="635"/>
      <c r="J45" s="384">
        <v>1</v>
      </c>
      <c r="K45" s="637"/>
      <c r="M45" s="488"/>
    </row>
    <row r="46" spans="1:13" s="74" customFormat="1">
      <c r="A46" s="48"/>
      <c r="J46" s="48"/>
      <c r="M46" s="488"/>
    </row>
    <row r="47" spans="1:13" s="74" customFormat="1">
      <c r="A47" s="48"/>
      <c r="D47" s="386" t="s">
        <v>0</v>
      </c>
      <c r="J47" s="48"/>
      <c r="M47" s="488"/>
    </row>
    <row r="48" spans="1:13" s="74" customFormat="1">
      <c r="A48" s="48"/>
      <c r="D48" s="386"/>
      <c r="J48" s="48"/>
      <c r="M48" s="488"/>
    </row>
    <row r="49" spans="1:13" s="74" customFormat="1">
      <c r="A49" s="48"/>
      <c r="D49" s="386" t="s">
        <v>1</v>
      </c>
      <c r="J49" s="48"/>
      <c r="M49" s="488"/>
    </row>
  </sheetData>
  <sheetProtection sheet="1" objects="1" scenarios="1"/>
  <mergeCells count="108">
    <mergeCell ref="J16:J17"/>
    <mergeCell ref="J19:J20"/>
    <mergeCell ref="A1:H1"/>
    <mergeCell ref="I1:K1"/>
    <mergeCell ref="A3:K3"/>
    <mergeCell ref="I7:I8"/>
    <mergeCell ref="F8:H8"/>
    <mergeCell ref="B6:E6"/>
    <mergeCell ref="F6:K6"/>
    <mergeCell ref="K7:K8"/>
    <mergeCell ref="B4:E4"/>
    <mergeCell ref="F4:H4"/>
    <mergeCell ref="B5:E5"/>
    <mergeCell ref="F5:H5"/>
    <mergeCell ref="A7:A8"/>
    <mergeCell ref="B7:E8"/>
    <mergeCell ref="F7:H7"/>
    <mergeCell ref="B2:D2"/>
    <mergeCell ref="A4:A5"/>
    <mergeCell ref="F9:H9"/>
    <mergeCell ref="I9:I10"/>
    <mergeCell ref="A13:A14"/>
    <mergeCell ref="B13:E14"/>
    <mergeCell ref="A9:A10"/>
    <mergeCell ref="B9:E10"/>
    <mergeCell ref="B15:E15"/>
    <mergeCell ref="F15:K15"/>
    <mergeCell ref="F13:H13"/>
    <mergeCell ref="I13:I14"/>
    <mergeCell ref="K9:K10"/>
    <mergeCell ref="F10:H10"/>
    <mergeCell ref="A11:A12"/>
    <mergeCell ref="B11:E12"/>
    <mergeCell ref="F11:H11"/>
    <mergeCell ref="I11:I12"/>
    <mergeCell ref="K11:K12"/>
    <mergeCell ref="F12:H12"/>
    <mergeCell ref="A16:A18"/>
    <mergeCell ref="F18:H18"/>
    <mergeCell ref="K13:K14"/>
    <mergeCell ref="F14:H14"/>
    <mergeCell ref="B16:D18"/>
    <mergeCell ref="F16:H17"/>
    <mergeCell ref="A27:A28"/>
    <mergeCell ref="B29:E30"/>
    <mergeCell ref="I29:I30"/>
    <mergeCell ref="K29:K30"/>
    <mergeCell ref="F30:H30"/>
    <mergeCell ref="K27:K28"/>
    <mergeCell ref="F28:H28"/>
    <mergeCell ref="A19:A21"/>
    <mergeCell ref="A29:A30"/>
    <mergeCell ref="A23:A24"/>
    <mergeCell ref="B23:E24"/>
    <mergeCell ref="I23:I24"/>
    <mergeCell ref="K23:K24"/>
    <mergeCell ref="F24:H24"/>
    <mergeCell ref="B22:E22"/>
    <mergeCell ref="F22:K22"/>
    <mergeCell ref="F21:H21"/>
    <mergeCell ref="F19:H20"/>
    <mergeCell ref="B19:D21"/>
    <mergeCell ref="B31:E31"/>
    <mergeCell ref="F31:K31"/>
    <mergeCell ref="A36:A37"/>
    <mergeCell ref="B36:E37"/>
    <mergeCell ref="F39:H39"/>
    <mergeCell ref="I39:I40"/>
    <mergeCell ref="F40:H40"/>
    <mergeCell ref="K32:K33"/>
    <mergeCell ref="F33:H33"/>
    <mergeCell ref="A32:A33"/>
    <mergeCell ref="A34:A35"/>
    <mergeCell ref="B34:E35"/>
    <mergeCell ref="B32:E33"/>
    <mergeCell ref="I32:I33"/>
    <mergeCell ref="K34:K35"/>
    <mergeCell ref="F35:H35"/>
    <mergeCell ref="K36:K37"/>
    <mergeCell ref="F37:H37"/>
    <mergeCell ref="F36:H36"/>
    <mergeCell ref="I34:I35"/>
    <mergeCell ref="F34:H34"/>
    <mergeCell ref="A25:A26"/>
    <mergeCell ref="B25:E26"/>
    <mergeCell ref="I25:I26"/>
    <mergeCell ref="K25:K26"/>
    <mergeCell ref="F26:H26"/>
    <mergeCell ref="B43:K43"/>
    <mergeCell ref="A44:A45"/>
    <mergeCell ref="B44:E45"/>
    <mergeCell ref="F44:H44"/>
    <mergeCell ref="I44:I45"/>
    <mergeCell ref="K44:K45"/>
    <mergeCell ref="F45:H45"/>
    <mergeCell ref="I36:I37"/>
    <mergeCell ref="A41:A42"/>
    <mergeCell ref="B41:E42"/>
    <mergeCell ref="F41:H41"/>
    <mergeCell ref="B38:K38"/>
    <mergeCell ref="A39:A40"/>
    <mergeCell ref="B39:E40"/>
    <mergeCell ref="I41:I42"/>
    <mergeCell ref="K41:K42"/>
    <mergeCell ref="F42:H42"/>
    <mergeCell ref="K39:K40"/>
    <mergeCell ref="B27:E28"/>
    <mergeCell ref="I27:I28"/>
  </mergeCells>
  <phoneticPr fontId="16" type="noConversion"/>
  <dataValidations xWindow="1149" yWindow="773" count="2">
    <dataValidation allowBlank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4:I36 I29:I30 I39:I42 I7:I14 I44:I45 I16:I21" xr:uid="{00000000-0002-0000-0E00-000000000000}"/>
    <dataValidation allowBlank="1" showInputMessage="1" showErrorMessage="1" prompt="Это число может положительным или отрицательным. Вводите только десятичные числа до третего знака после точки. Например,10.7 % вводится как 0.107._x000a_" sqref="I32:I33 I23 I25:I28" xr:uid="{00000000-0002-0000-0E00-000001000000}"/>
  </dataValidations>
  <printOptions horizontalCentered="1" verticalCentered="1"/>
  <pageMargins left="0.16" right="0.18" top="0.22" bottom="0.15" header="0.51181102362204722" footer="0.51181102362204722"/>
  <pageSetup paperSize="9" scale="69" orientation="landscape" r:id="rId1"/>
  <headerFooter alignWithMargins="0"/>
  <colBreaks count="1" manualBreakCount="1">
    <brk id="11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21">
    <pageSetUpPr fitToPage="1"/>
  </sheetPr>
  <dimension ref="A1:E30"/>
  <sheetViews>
    <sheetView view="pageBreakPreview" zoomScaleSheetLayoutView="100" workbookViewId="0">
      <pane xSplit="1" ySplit="2" topLeftCell="B3" activePane="bottomRight" state="frozen"/>
      <selection activeCell="C73" sqref="C73"/>
      <selection pane="topRight" activeCell="C73" sqref="C73"/>
      <selection pane="bottomLeft" activeCell="C73" sqref="C73"/>
      <selection pane="bottomRight" activeCell="C8" sqref="C8:C11"/>
    </sheetView>
  </sheetViews>
  <sheetFormatPr defaultRowHeight="12.75"/>
  <cols>
    <col min="1" max="1" width="6" style="1" customWidth="1"/>
    <col min="2" max="2" width="71.85546875" style="18" customWidth="1"/>
    <col min="3" max="3" width="19.28515625" style="1" customWidth="1"/>
    <col min="4" max="16384" width="9.140625" style="1"/>
  </cols>
  <sheetData>
    <row r="1" spans="1:5" s="16" customFormat="1" ht="39.75" customHeight="1">
      <c r="B1" s="49" t="s">
        <v>237</v>
      </c>
      <c r="C1" s="49" t="s">
        <v>636</v>
      </c>
    </row>
    <row r="2" spans="1:5" s="16" customFormat="1" ht="35.25" customHeight="1">
      <c r="A2" s="380"/>
      <c r="B2" s="380" t="str">
        <f>+'Asset quality'!B3</f>
        <v>"Ўзсаноатқурилишбанк" АТБ</v>
      </c>
      <c r="C2" s="178" t="s">
        <v>382</v>
      </c>
    </row>
    <row r="3" spans="1:5" s="16" customFormat="1" ht="32.25" customHeight="1">
      <c r="A3" s="42" t="s">
        <v>562</v>
      </c>
      <c r="B3" s="56" t="s">
        <v>573</v>
      </c>
      <c r="C3" s="54"/>
    </row>
    <row r="4" spans="1:5" s="55" customFormat="1" ht="30" customHeight="1">
      <c r="A4" s="53" t="s">
        <v>68</v>
      </c>
      <c r="B4" s="58" t="s">
        <v>563</v>
      </c>
      <c r="C4" s="54">
        <v>3994</v>
      </c>
    </row>
    <row r="5" spans="1:5" s="55" customFormat="1" ht="30" customHeight="1">
      <c r="A5" s="53" t="s">
        <v>64</v>
      </c>
      <c r="B5" s="58" t="s">
        <v>564</v>
      </c>
      <c r="C5" s="54">
        <v>3841</v>
      </c>
    </row>
    <row r="6" spans="1:5" s="16" customFormat="1" ht="32.25" customHeight="1">
      <c r="A6" s="42" t="s">
        <v>479</v>
      </c>
      <c r="B6" s="56" t="s">
        <v>571</v>
      </c>
      <c r="C6" s="54">
        <f>C8+C9+C10+C11</f>
        <v>152</v>
      </c>
    </row>
    <row r="7" spans="1:5" s="16" customFormat="1">
      <c r="A7" s="42"/>
      <c r="B7" s="57" t="s">
        <v>572</v>
      </c>
      <c r="C7" s="52"/>
    </row>
    <row r="8" spans="1:5" s="55" customFormat="1" ht="30" customHeight="1">
      <c r="A8" s="53" t="s">
        <v>68</v>
      </c>
      <c r="B8" s="58" t="s">
        <v>565</v>
      </c>
      <c r="C8" s="54">
        <v>44</v>
      </c>
    </row>
    <row r="9" spans="1:5" s="55" customFormat="1" ht="30" customHeight="1">
      <c r="A9" s="53" t="s">
        <v>64</v>
      </c>
      <c r="B9" s="58" t="s">
        <v>566</v>
      </c>
      <c r="C9" s="54">
        <v>2</v>
      </c>
    </row>
    <row r="10" spans="1:5" s="55" customFormat="1" ht="30" customHeight="1">
      <c r="A10" s="53" t="s">
        <v>66</v>
      </c>
      <c r="B10" s="58" t="s">
        <v>646</v>
      </c>
      <c r="C10" s="54">
        <v>60</v>
      </c>
    </row>
    <row r="11" spans="1:5" s="55" customFormat="1" ht="30" customHeight="1">
      <c r="A11" s="53" t="s">
        <v>73</v>
      </c>
      <c r="B11" s="58" t="s">
        <v>774</v>
      </c>
      <c r="C11" s="54">
        <v>46</v>
      </c>
    </row>
    <row r="12" spans="1:5" s="16" customFormat="1" ht="30" customHeight="1">
      <c r="A12" s="42" t="s">
        <v>480</v>
      </c>
      <c r="B12" s="57" t="s">
        <v>567</v>
      </c>
      <c r="C12" s="467">
        <f>C14+C15+C16</f>
        <v>1204516</v>
      </c>
    </row>
    <row r="13" spans="1:5" s="16" customFormat="1">
      <c r="A13" s="42"/>
      <c r="B13" s="57" t="s">
        <v>572</v>
      </c>
      <c r="C13" s="52"/>
    </row>
    <row r="14" spans="1:5" s="55" customFormat="1" ht="30" customHeight="1">
      <c r="A14" s="53" t="s">
        <v>68</v>
      </c>
      <c r="B14" s="58" t="s">
        <v>164</v>
      </c>
      <c r="C14" s="54">
        <v>1140965</v>
      </c>
    </row>
    <row r="15" spans="1:5" s="55" customFormat="1" ht="30" customHeight="1">
      <c r="A15" s="53" t="s">
        <v>64</v>
      </c>
      <c r="B15" s="58" t="s">
        <v>825</v>
      </c>
      <c r="C15" s="54">
        <v>28908</v>
      </c>
    </row>
    <row r="16" spans="1:5" s="55" customFormat="1" ht="30" customHeight="1">
      <c r="A16" s="53" t="s">
        <v>66</v>
      </c>
      <c r="B16" s="58" t="s">
        <v>752</v>
      </c>
      <c r="C16" s="467">
        <f>+C18+C19+C20+C21+C22</f>
        <v>34643</v>
      </c>
      <c r="E16" s="478" t="s">
        <v>852</v>
      </c>
    </row>
    <row r="17" spans="1:5" s="55" customFormat="1">
      <c r="A17" s="53"/>
      <c r="B17" s="58" t="s">
        <v>775</v>
      </c>
      <c r="C17" s="54"/>
      <c r="E17" s="478" t="s">
        <v>851</v>
      </c>
    </row>
    <row r="18" spans="1:5" s="55" customFormat="1" ht="30" customHeight="1">
      <c r="A18" s="53" t="s">
        <v>824</v>
      </c>
      <c r="B18" s="58" t="s">
        <v>165</v>
      </c>
      <c r="C18" s="54">
        <v>830</v>
      </c>
    </row>
    <row r="19" spans="1:5" s="55" customFormat="1" ht="29.25" customHeight="1">
      <c r="A19" s="53" t="s">
        <v>824</v>
      </c>
      <c r="B19" s="58" t="s">
        <v>167</v>
      </c>
      <c r="C19" s="54">
        <v>30017</v>
      </c>
    </row>
    <row r="20" spans="1:5" s="55" customFormat="1" ht="30" customHeight="1">
      <c r="A20" s="53" t="s">
        <v>824</v>
      </c>
      <c r="B20" s="58" t="s">
        <v>168</v>
      </c>
      <c r="C20" s="54">
        <v>1450</v>
      </c>
    </row>
    <row r="21" spans="1:5" s="55" customFormat="1" ht="30" customHeight="1">
      <c r="A21" s="53" t="s">
        <v>824</v>
      </c>
      <c r="B21" s="58" t="s">
        <v>163</v>
      </c>
      <c r="C21" s="54">
        <v>37</v>
      </c>
    </row>
    <row r="22" spans="1:5" s="55" customFormat="1" ht="30" customHeight="1">
      <c r="A22" s="53" t="s">
        <v>824</v>
      </c>
      <c r="B22" s="58" t="s">
        <v>172</v>
      </c>
      <c r="C22" s="54">
        <v>2309</v>
      </c>
    </row>
    <row r="23" spans="1:5" s="16" customFormat="1" ht="32.25" customHeight="1">
      <c r="A23" s="42" t="s">
        <v>481</v>
      </c>
      <c r="B23" s="56" t="s">
        <v>568</v>
      </c>
      <c r="C23" s="51"/>
    </row>
    <row r="24" spans="1:5" s="55" customFormat="1" ht="30" customHeight="1">
      <c r="A24" s="53" t="s">
        <v>68</v>
      </c>
      <c r="B24" s="58" t="s">
        <v>569</v>
      </c>
      <c r="C24" s="54" t="s">
        <v>923</v>
      </c>
    </row>
    <row r="25" spans="1:5" s="55" customFormat="1" ht="30" customHeight="1">
      <c r="A25" s="53" t="s">
        <v>64</v>
      </c>
      <c r="B25" s="58" t="s">
        <v>570</v>
      </c>
      <c r="C25" s="54" t="s">
        <v>924</v>
      </c>
    </row>
    <row r="26" spans="1:5" s="16" customFormat="1" ht="12" customHeight="1">
      <c r="B26" s="25"/>
    </row>
    <row r="27" spans="1:5" s="16" customFormat="1">
      <c r="B27" s="25"/>
    </row>
    <row r="28" spans="1:5">
      <c r="A28" s="16"/>
      <c r="B28" s="3" t="s">
        <v>0</v>
      </c>
    </row>
    <row r="29" spans="1:5">
      <c r="A29" s="16"/>
      <c r="B29" s="3"/>
    </row>
    <row r="30" spans="1:5">
      <c r="A30" s="16"/>
      <c r="B30" s="3" t="s">
        <v>1</v>
      </c>
    </row>
  </sheetData>
  <sheetProtection sheet="1" objects="1" scenarios="1"/>
  <phoneticPr fontId="16" type="noConversion"/>
  <dataValidations count="1">
    <dataValidation type="whole" operator="greaterThanOrEqual" allowBlank="1" showErrorMessage="1" error="Введите как целое положительное число." sqref="C8 C4:C5" xr:uid="{00000000-0002-0000-0F00-000000000000}">
      <formula1>0</formula1>
    </dataValidation>
  </dataValidations>
  <printOptions horizontalCentered="1"/>
  <pageMargins left="0.15748031496062992" right="0.23622047244094491" top="0.71" bottom="0.61" header="0.28000000000000003" footer="0.51181102362204722"/>
  <pageSetup paperSize="9" scale="98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31">
    <pageSetUpPr fitToPage="1"/>
  </sheetPr>
  <dimension ref="A1:AF54"/>
  <sheetViews>
    <sheetView view="pageBreakPreview" zoomScale="85" zoomScaleNormal="40" zoomScaleSheetLayoutView="85" workbookViewId="0">
      <pane xSplit="1" ySplit="3" topLeftCell="B13" activePane="bottomRight" state="frozen"/>
      <selection activeCell="C73" sqref="C73"/>
      <selection pane="topRight" activeCell="C73" sqref="C73"/>
      <selection pane="bottomLeft" activeCell="C73" sqref="C73"/>
      <selection pane="bottomRight" activeCell="M15" sqref="M15"/>
    </sheetView>
  </sheetViews>
  <sheetFormatPr defaultColWidth="97.7109375" defaultRowHeight="18.75"/>
  <cols>
    <col min="1" max="1" width="103.140625" style="337" customWidth="1"/>
    <col min="2" max="2" width="24.85546875" style="338" bestFit="1" customWidth="1"/>
    <col min="3" max="4" width="14.7109375" style="332" customWidth="1"/>
    <col min="5" max="5" width="8.5703125" style="338" bestFit="1" customWidth="1"/>
    <col min="6" max="6" width="9.7109375" style="338" customWidth="1"/>
    <col min="7" max="9" width="9.7109375" style="332" customWidth="1"/>
    <col min="10" max="10" width="15" style="332" customWidth="1"/>
    <col min="11" max="11" width="10.140625" style="338" customWidth="1"/>
    <col min="12" max="13" width="19.5703125" style="332" customWidth="1"/>
    <col min="14" max="14" width="3.85546875" style="332" bestFit="1" customWidth="1"/>
    <col min="15" max="16" width="19.5703125" style="332" customWidth="1"/>
    <col min="17" max="16384" width="97.7109375" style="332"/>
  </cols>
  <sheetData>
    <row r="1" spans="1:16" s="339" customFormat="1" ht="33.75" customHeight="1">
      <c r="A1" s="729" t="s">
        <v>776</v>
      </c>
      <c r="B1" s="729"/>
    </row>
    <row r="2" spans="1:16" ht="20.25" customHeight="1">
      <c r="A2" s="382" t="str">
        <f>+'Asset quality'!B3</f>
        <v>"Ўзсаноатқурилишбанк" АТБ</v>
      </c>
      <c r="B2" s="132" t="s">
        <v>382</v>
      </c>
      <c r="C2" s="340" t="s">
        <v>809</v>
      </c>
      <c r="D2" s="349"/>
      <c r="E2" s="351"/>
      <c r="F2" s="351"/>
      <c r="K2" s="332"/>
    </row>
    <row r="3" spans="1:16" s="333" customFormat="1" ht="59.25" customHeight="1">
      <c r="A3" s="380" t="s">
        <v>777</v>
      </c>
      <c r="B3" s="381">
        <f>+'Asset quality'!P3</f>
        <v>44560</v>
      </c>
      <c r="C3" s="379"/>
      <c r="D3" s="349"/>
      <c r="E3" s="351"/>
      <c r="F3" s="351"/>
      <c r="K3" s="340" t="s">
        <v>809</v>
      </c>
      <c r="L3" s="342" t="s">
        <v>806</v>
      </c>
      <c r="M3" s="340" t="s">
        <v>807</v>
      </c>
      <c r="N3" s="351"/>
      <c r="O3" s="341" t="s">
        <v>791</v>
      </c>
      <c r="P3" s="343" t="s">
        <v>793</v>
      </c>
    </row>
    <row r="4" spans="1:16" ht="24" customHeight="1">
      <c r="A4" s="334" t="s">
        <v>778</v>
      </c>
      <c r="B4" s="356">
        <f>IFERROR((B5/B6),0)</f>
        <v>0.15838641476894899</v>
      </c>
      <c r="D4" s="349"/>
      <c r="E4" s="351"/>
      <c r="F4" s="351"/>
      <c r="J4" s="362" t="s">
        <v>810</v>
      </c>
      <c r="K4" s="363">
        <v>1</v>
      </c>
      <c r="L4" s="215">
        <v>49044620123</v>
      </c>
      <c r="M4" s="215">
        <v>6704348045</v>
      </c>
      <c r="N4" s="351"/>
      <c r="O4" s="333"/>
      <c r="P4" s="333"/>
    </row>
    <row r="5" spans="1:16" ht="24" customHeight="1">
      <c r="A5" s="335" t="s">
        <v>779</v>
      </c>
      <c r="B5" s="357">
        <f>+'[9]Bank Capital Calc'!$C$44</f>
        <v>8099573040</v>
      </c>
      <c r="D5" s="349"/>
      <c r="E5" s="351"/>
      <c r="F5" s="351"/>
      <c r="J5" s="362" t="s">
        <v>811</v>
      </c>
      <c r="K5" s="363">
        <v>2</v>
      </c>
      <c r="L5" s="215">
        <v>48176742405</v>
      </c>
      <c r="M5" s="215">
        <v>6932887195</v>
      </c>
      <c r="N5" s="353">
        <v>1</v>
      </c>
      <c r="O5" s="354">
        <f>+(L4+L5)/2</f>
        <v>48610681264</v>
      </c>
      <c r="P5" s="354">
        <f>+(M4+M5)/2</f>
        <v>6818617620</v>
      </c>
    </row>
    <row r="6" spans="1:16" ht="24" customHeight="1">
      <c r="A6" s="336" t="s">
        <v>780</v>
      </c>
      <c r="B6" s="358">
        <f>+'[9]Bank Capital Calc'!$C$45</f>
        <v>51138054054.796928</v>
      </c>
      <c r="D6" s="349"/>
      <c r="E6" s="351"/>
      <c r="F6" s="351"/>
      <c r="J6" s="362" t="s">
        <v>812</v>
      </c>
      <c r="K6" s="363">
        <v>3</v>
      </c>
      <c r="L6" s="215">
        <v>49272519171</v>
      </c>
      <c r="M6" s="215">
        <v>6959181187</v>
      </c>
      <c r="N6" s="353">
        <v>2</v>
      </c>
      <c r="O6" s="354">
        <f>+(L4+L5+L6)/3</f>
        <v>48831293899.666664</v>
      </c>
      <c r="P6" s="354">
        <f>+(M4+M5+M6)/3</f>
        <v>6865472142.333333</v>
      </c>
    </row>
    <row r="7" spans="1:16" ht="24" customHeight="1">
      <c r="A7" s="334" t="s">
        <v>781</v>
      </c>
      <c r="B7" s="356">
        <f>IFERROR((B8/B9),0)</f>
        <v>0.11878981107671174</v>
      </c>
      <c r="D7" s="349"/>
      <c r="E7" s="351"/>
      <c r="F7" s="351"/>
      <c r="J7" s="362" t="s">
        <v>813</v>
      </c>
      <c r="K7" s="363">
        <v>4</v>
      </c>
      <c r="L7" s="215">
        <v>48228728315</v>
      </c>
      <c r="M7" s="215">
        <v>6962954169</v>
      </c>
      <c r="N7" s="353">
        <v>3</v>
      </c>
      <c r="O7" s="355">
        <f>+(L4+L7)/2</f>
        <v>48636674219</v>
      </c>
      <c r="P7" s="355">
        <f>+(M4+M7)/2</f>
        <v>6833651107</v>
      </c>
    </row>
    <row r="8" spans="1:16" ht="24" customHeight="1">
      <c r="A8" s="335" t="s">
        <v>782</v>
      </c>
      <c r="B8" s="357">
        <f>+'[9]Bank Capital Calc'!$C$34</f>
        <v>6074679780</v>
      </c>
      <c r="D8" s="349"/>
      <c r="E8" s="351"/>
      <c r="F8" s="351"/>
      <c r="J8" s="362" t="s">
        <v>814</v>
      </c>
      <c r="K8" s="363">
        <v>5</v>
      </c>
      <c r="L8" s="215">
        <v>49746251991</v>
      </c>
      <c r="M8" s="215">
        <v>7037017395</v>
      </c>
      <c r="N8" s="353">
        <v>4</v>
      </c>
      <c r="O8" s="354">
        <f>+(+L4+L5+L6+L7+L8)/5</f>
        <v>48893772401</v>
      </c>
      <c r="P8" s="354">
        <f>+(+M4+M5+M6+M7+M8)/5</f>
        <v>6919277598.1999998</v>
      </c>
    </row>
    <row r="9" spans="1:16" ht="24" customHeight="1">
      <c r="A9" s="336" t="s">
        <v>780</v>
      </c>
      <c r="B9" s="358">
        <f>+'[9]Bank Capital Calc'!$C$45</f>
        <v>51138054054.796928</v>
      </c>
      <c r="D9" s="349"/>
      <c r="E9" s="351"/>
      <c r="F9" s="351"/>
      <c r="J9" s="362" t="s">
        <v>815</v>
      </c>
      <c r="K9" s="363">
        <v>6</v>
      </c>
      <c r="L9" s="215">
        <v>50302102752</v>
      </c>
      <c r="M9" s="215">
        <v>7153273541</v>
      </c>
      <c r="N9" s="353">
        <v>5</v>
      </c>
      <c r="O9" s="354">
        <f>+(+L4+L5+L6+L7+L8+L9)/6</f>
        <v>49128494126.166664</v>
      </c>
      <c r="P9" s="354">
        <f>+(+M4+M5+M6+M7+M8+M9)/6</f>
        <v>6958276922</v>
      </c>
    </row>
    <row r="10" spans="1:16" ht="24" customHeight="1">
      <c r="A10" s="334" t="s">
        <v>783</v>
      </c>
      <c r="B10" s="356">
        <f>IFERROR((B11/B12),0)</f>
        <v>0.10266945154646444</v>
      </c>
      <c r="D10" s="349"/>
      <c r="E10" s="351"/>
      <c r="F10" s="351"/>
      <c r="J10" s="362" t="s">
        <v>816</v>
      </c>
      <c r="K10" s="363">
        <v>7</v>
      </c>
      <c r="L10" s="215">
        <v>51087101270</v>
      </c>
      <c r="M10" s="215">
        <v>7259450266</v>
      </c>
      <c r="N10" s="353">
        <v>6</v>
      </c>
      <c r="O10" s="355">
        <f>+(L4+L7+L10)/3</f>
        <v>49453483236</v>
      </c>
      <c r="P10" s="355">
        <f>+(M4+M7+M10)/3</f>
        <v>6975584160</v>
      </c>
    </row>
    <row r="11" spans="1:16" ht="24" customHeight="1">
      <c r="A11" s="335" t="s">
        <v>784</v>
      </c>
      <c r="B11" s="357">
        <f>+('Asset Classification'!M50-'Asset Classification'!O50+'Asset Classification'!Q50-'Asset Classification'!S50+'Asset Classification'!U50-'Asset Classification'!W50)</f>
        <v>790648525</v>
      </c>
      <c r="D11" s="349"/>
      <c r="E11" s="351"/>
      <c r="F11" s="351"/>
      <c r="J11" s="362" t="s">
        <v>817</v>
      </c>
      <c r="K11" s="363">
        <v>8</v>
      </c>
      <c r="L11" s="215">
        <v>52224806702</v>
      </c>
      <c r="M11" s="215">
        <v>7307210599</v>
      </c>
      <c r="N11" s="353">
        <v>7</v>
      </c>
      <c r="O11" s="354">
        <f>(L4+L5+L6+L7+L8+L9+L10+L11)/8</f>
        <v>49760359091.125</v>
      </c>
      <c r="P11" s="354">
        <f>(M4+M5+M6+M7+M8+M9+M10+M11)/8</f>
        <v>7039540299.625</v>
      </c>
    </row>
    <row r="12" spans="1:16" ht="24" customHeight="1">
      <c r="A12" s="336" t="s">
        <v>785</v>
      </c>
      <c r="B12" s="358">
        <f>+B35</f>
        <v>7700913106</v>
      </c>
      <c r="D12" s="349"/>
      <c r="E12" s="351"/>
      <c r="F12" s="351"/>
      <c r="J12" s="362" t="s">
        <v>818</v>
      </c>
      <c r="K12" s="363">
        <v>9</v>
      </c>
      <c r="L12" s="215">
        <v>52250823449</v>
      </c>
      <c r="M12" s="215">
        <v>7378246143</v>
      </c>
      <c r="N12" s="353">
        <v>8</v>
      </c>
      <c r="O12" s="354">
        <f>(L4+L5+L6+L7+L8+L9+L10+L11+L12)/9</f>
        <v>50037077353.111115</v>
      </c>
      <c r="P12" s="354">
        <f>(M4+M5+M6+M7+M8+M9+M10+M11+M12)/9</f>
        <v>7077174282.2222223</v>
      </c>
    </row>
    <row r="13" spans="1:16" ht="24" customHeight="1">
      <c r="A13" s="334" t="s">
        <v>786</v>
      </c>
      <c r="B13" s="356">
        <f>IFERROR((B14/B15),0)</f>
        <v>3.7766305911446273E-2</v>
      </c>
      <c r="E13" s="332"/>
      <c r="F13" s="332"/>
      <c r="J13" s="362" t="s">
        <v>819</v>
      </c>
      <c r="K13" s="363">
        <v>10</v>
      </c>
      <c r="L13" s="215">
        <v>51690587249</v>
      </c>
      <c r="M13" s="215">
        <v>7490055451</v>
      </c>
      <c r="N13" s="353">
        <v>9</v>
      </c>
      <c r="O13" s="355">
        <f>+(L4+L7+L10+L13)/4</f>
        <v>50012759239.25</v>
      </c>
      <c r="P13" s="355">
        <f>+(M4+M7+M10+M13)/4</f>
        <v>7104201982.75</v>
      </c>
    </row>
    <row r="14" spans="1:16" ht="24" customHeight="1">
      <c r="A14" s="335" t="s">
        <v>787</v>
      </c>
      <c r="B14" s="357">
        <f>+('Asset Classification'!M50+'Asset Classification'!Q50+'Asset Classification'!U50)</f>
        <v>1629533297</v>
      </c>
      <c r="E14" s="332"/>
      <c r="F14" s="332"/>
      <c r="J14" s="362" t="s">
        <v>820</v>
      </c>
      <c r="K14" s="363">
        <v>11</v>
      </c>
      <c r="L14" s="215">
        <v>52850278724</v>
      </c>
      <c r="M14" s="215">
        <v>7556684556</v>
      </c>
      <c r="N14" s="353">
        <v>10</v>
      </c>
      <c r="O14" s="354">
        <f>(+L4+L5+L6+L7+L8+L9+L10+L11+L12+L13+L14)/11</f>
        <v>50443142013.727272</v>
      </c>
      <c r="P14" s="354">
        <f>(+M4+M5+M6+M7+M8+M9+M10+M11+M12+M13+M14)/11</f>
        <v>7158300777</v>
      </c>
    </row>
    <row r="15" spans="1:16" ht="24" customHeight="1">
      <c r="A15" s="336" t="s">
        <v>788</v>
      </c>
      <c r="B15" s="358">
        <f>+'Loans Receivable'!C92</f>
        <v>43147807488</v>
      </c>
      <c r="E15" s="332"/>
      <c r="F15" s="332"/>
      <c r="J15" s="362" t="s">
        <v>821</v>
      </c>
      <c r="K15" s="363">
        <v>12</v>
      </c>
      <c r="L15" s="215">
        <v>53046003273</v>
      </c>
      <c r="M15" s="215">
        <v>7621325158</v>
      </c>
      <c r="N15" s="353">
        <v>11</v>
      </c>
      <c r="O15" s="354">
        <f>(+L4+L5+L6+L7+L8+L9+L10+L11+L12+L13+L14+L15)/12</f>
        <v>50660047118.666664</v>
      </c>
      <c r="P15" s="354">
        <f>(+M4+M5+M6+M7+M8+M9+M10+M11+M12+M13+M14+M15)/12</f>
        <v>7196886142.083333</v>
      </c>
    </row>
    <row r="16" spans="1:16" ht="24" customHeight="1">
      <c r="A16" s="334" t="s">
        <v>789</v>
      </c>
      <c r="B16" s="356">
        <f>IFERROR((B17/B18),0)</f>
        <v>2.3937919423960289E-2</v>
      </c>
      <c r="E16" s="332"/>
      <c r="F16" s="332"/>
      <c r="J16" s="362" t="s">
        <v>822</v>
      </c>
      <c r="K16" s="363">
        <v>13</v>
      </c>
      <c r="L16" s="215">
        <v>56511320290</v>
      </c>
      <c r="M16" s="215">
        <v>7700913106</v>
      </c>
      <c r="N16" s="353">
        <v>12</v>
      </c>
      <c r="O16" s="355">
        <f>+(L4+L7+L10+L13+L16)/5</f>
        <v>51312471449.400002</v>
      </c>
      <c r="P16" s="355">
        <f>+(M4+M7+M10+M13+M16)/5</f>
        <v>7223544207.3999996</v>
      </c>
    </row>
    <row r="17" spans="1:11" ht="24" customHeight="1">
      <c r="A17" s="335" t="s">
        <v>790</v>
      </c>
      <c r="B17" s="357">
        <f>(+'Income '!C72)/MONTH(B3)*12</f>
        <v>1228313807</v>
      </c>
      <c r="C17" s="352"/>
      <c r="E17" s="332"/>
      <c r="F17" s="332"/>
      <c r="K17" s="332"/>
    </row>
    <row r="18" spans="1:11" ht="24" customHeight="1">
      <c r="A18" s="336" t="s">
        <v>791</v>
      </c>
      <c r="B18" s="358">
        <f>VLOOKUP(MONTH(B3),$N$4:$P$16,2,0)</f>
        <v>51312471449.400002</v>
      </c>
      <c r="E18" s="332"/>
      <c r="F18" s="332"/>
      <c r="K18" s="332"/>
    </row>
    <row r="19" spans="1:11" ht="24" customHeight="1">
      <c r="A19" s="334" t="s">
        <v>792</v>
      </c>
      <c r="B19" s="356">
        <f>IFERROR((B20/B21),0)</f>
        <v>0.13819001328702246</v>
      </c>
      <c r="E19" s="332"/>
      <c r="F19" s="332"/>
      <c r="K19" s="332"/>
    </row>
    <row r="20" spans="1:11" ht="24" customHeight="1">
      <c r="A20" s="335" t="s">
        <v>826</v>
      </c>
      <c r="B20" s="357">
        <f>(+'Income '!C79)/MONTH(B3)*12</f>
        <v>998221670</v>
      </c>
      <c r="E20" s="332"/>
      <c r="F20" s="332"/>
      <c r="K20" s="332"/>
    </row>
    <row r="21" spans="1:11" ht="24" customHeight="1">
      <c r="A21" s="336" t="s">
        <v>793</v>
      </c>
      <c r="B21" s="358">
        <f>VLOOKUP(MONTH(B3),$N$4:$P$16,3,0)</f>
        <v>7223544207.3999996</v>
      </c>
      <c r="E21" s="332"/>
      <c r="F21" s="332"/>
      <c r="K21" s="332"/>
    </row>
    <row r="22" spans="1:11" ht="24" customHeight="1">
      <c r="A22" s="334" t="s">
        <v>794</v>
      </c>
      <c r="B22" s="356">
        <f>IFERROR((B23/B24),0)</f>
        <v>0.48848510529379813</v>
      </c>
      <c r="E22" s="332"/>
      <c r="F22" s="332"/>
      <c r="K22" s="332"/>
    </row>
    <row r="23" spans="1:11" ht="24" customHeight="1">
      <c r="A23" s="335" t="s">
        <v>795</v>
      </c>
      <c r="B23" s="357">
        <f>+'Income '!C30</f>
        <v>2066879854</v>
      </c>
      <c r="E23" s="332"/>
      <c r="F23" s="332"/>
      <c r="K23" s="332"/>
    </row>
    <row r="24" spans="1:11" ht="24" customHeight="1">
      <c r="A24" s="336" t="s">
        <v>796</v>
      </c>
      <c r="B24" s="358">
        <f>+B27</f>
        <v>4231203432</v>
      </c>
      <c r="E24" s="332"/>
      <c r="F24" s="332"/>
      <c r="K24" s="332"/>
    </row>
    <row r="25" spans="1:11" ht="24" customHeight="1">
      <c r="A25" s="334" t="s">
        <v>797</v>
      </c>
      <c r="B25" s="356">
        <f>IFERROR((B26/B27),0)</f>
        <v>0.36778275944639099</v>
      </c>
      <c r="E25" s="332"/>
      <c r="F25" s="332"/>
      <c r="K25" s="332"/>
    </row>
    <row r="26" spans="1:11" ht="24" customHeight="1">
      <c r="A26" s="335" t="s">
        <v>798</v>
      </c>
      <c r="B26" s="357">
        <f>+'Income '!C54+'Income '!C70</f>
        <v>1556163674</v>
      </c>
      <c r="E26" s="332"/>
      <c r="F26" s="332"/>
      <c r="K26" s="332"/>
    </row>
    <row r="27" spans="1:11" ht="24" customHeight="1">
      <c r="A27" s="336" t="s">
        <v>799</v>
      </c>
      <c r="B27" s="358">
        <f>+'Income '!C30+'Income '!C46</f>
        <v>4231203432</v>
      </c>
      <c r="E27" s="332"/>
      <c r="F27" s="332"/>
      <c r="K27" s="332"/>
    </row>
    <row r="28" spans="1:11" ht="24" customHeight="1">
      <c r="A28" s="334" t="s">
        <v>800</v>
      </c>
      <c r="B28" s="356">
        <f>IFERROR((B29/B30),0)</f>
        <v>0.16454483344721019</v>
      </c>
      <c r="E28" s="332"/>
      <c r="F28" s="332"/>
      <c r="K28" s="332"/>
    </row>
    <row r="29" spans="1:11" ht="24" customHeight="1">
      <c r="A29" s="335" t="s">
        <v>682</v>
      </c>
      <c r="B29" s="357">
        <f>+B32</f>
        <v>9298645785</v>
      </c>
      <c r="E29" s="332"/>
      <c r="F29" s="332"/>
      <c r="K29" s="332"/>
    </row>
    <row r="30" spans="1:11" ht="24" customHeight="1">
      <c r="A30" s="336" t="s">
        <v>801</v>
      </c>
      <c r="B30" s="358">
        <f>+B36</f>
        <v>56511320290</v>
      </c>
      <c r="E30" s="332"/>
      <c r="F30" s="332"/>
      <c r="K30" s="332"/>
    </row>
    <row r="31" spans="1:11" ht="24" customHeight="1">
      <c r="A31" s="334" t="s">
        <v>802</v>
      </c>
      <c r="B31" s="356">
        <f>IFERROR((B29/B33),0)</f>
        <v>0.42627133914430354</v>
      </c>
      <c r="E31" s="332"/>
      <c r="F31" s="332"/>
      <c r="K31" s="332"/>
    </row>
    <row r="32" spans="1:11" ht="24" customHeight="1">
      <c r="A32" s="335" t="s">
        <v>682</v>
      </c>
      <c r="B32" s="344">
        <f>+B54</f>
        <v>9298645785</v>
      </c>
      <c r="E32" s="332"/>
      <c r="F32" s="332"/>
      <c r="K32" s="332"/>
    </row>
    <row r="33" spans="1:32" ht="24" customHeight="1">
      <c r="A33" s="336" t="s">
        <v>769</v>
      </c>
      <c r="B33" s="358">
        <f>+('[8]Bank Liabilities Analysis'!$C$39+'[8]Bank Liabilities Analysis'!$E$39+'[8]Bank Liabilities Analysis'!$G$39+'[8]Bank Liabilities Analysis'!$I$39+'[8]Bank Liabilities Analysis'!$K$39+'[8]Bank Liabilities Analysis'!$M$39)</f>
        <v>21813912715</v>
      </c>
      <c r="E33" s="332"/>
      <c r="F33" s="332"/>
      <c r="K33" s="332"/>
    </row>
    <row r="34" spans="1:32" ht="24" customHeight="1">
      <c r="A34" s="334" t="s">
        <v>803</v>
      </c>
      <c r="B34" s="356">
        <f>IFERROR((B35/B36),0)</f>
        <v>0.13627204366277601</v>
      </c>
      <c r="E34" s="332"/>
      <c r="F34" s="332"/>
      <c r="K34" s="332"/>
    </row>
    <row r="35" spans="1:32" ht="24" customHeight="1">
      <c r="A35" s="335" t="s">
        <v>785</v>
      </c>
      <c r="B35" s="357">
        <f>+[8]Balance!$C$77</f>
        <v>7700913106</v>
      </c>
      <c r="E35" s="332"/>
      <c r="F35" s="332"/>
      <c r="K35" s="332"/>
    </row>
    <row r="36" spans="1:32" ht="24" customHeight="1">
      <c r="A36" s="336" t="s">
        <v>801</v>
      </c>
      <c r="B36" s="358">
        <f>+[8]Balance!$C$45</f>
        <v>56511320290</v>
      </c>
      <c r="E36" s="332"/>
      <c r="F36" s="332"/>
      <c r="K36" s="332"/>
    </row>
    <row r="37" spans="1:32" ht="24" customHeight="1">
      <c r="A37" s="334" t="s">
        <v>804</v>
      </c>
      <c r="B37" s="356">
        <f>IFERROR((B38/B39),0)</f>
        <v>3.6092413480609917E-2</v>
      </c>
      <c r="E37" s="332"/>
      <c r="F37" s="332"/>
      <c r="K37" s="332"/>
    </row>
    <row r="38" spans="1:32" ht="24" customHeight="1">
      <c r="A38" s="335" t="s">
        <v>805</v>
      </c>
      <c r="B38" s="357">
        <f>+'[9]Calculation of Risk'!$C$26</f>
        <v>277944540</v>
      </c>
      <c r="E38" s="332"/>
      <c r="F38" s="332"/>
      <c r="K38" s="332"/>
    </row>
    <row r="39" spans="1:32" ht="24" customHeight="1">
      <c r="A39" s="336" t="s">
        <v>785</v>
      </c>
      <c r="B39" s="358">
        <f>+B35</f>
        <v>7700913106</v>
      </c>
      <c r="E39" s="332"/>
      <c r="F39" s="332"/>
      <c r="K39" s="332"/>
    </row>
    <row r="40" spans="1:32">
      <c r="E40" s="332"/>
      <c r="F40" s="332"/>
      <c r="K40" s="332"/>
    </row>
    <row r="42" spans="1:32" s="314" customFormat="1" ht="15.75">
      <c r="A42" s="313" t="s">
        <v>0</v>
      </c>
      <c r="J42" s="312"/>
      <c r="AB42" s="323"/>
      <c r="AC42" s="323"/>
      <c r="AD42" s="323"/>
      <c r="AE42" s="323"/>
      <c r="AF42" s="323"/>
    </row>
    <row r="43" spans="1:32" s="314" customFormat="1" ht="15.75">
      <c r="A43" s="313"/>
      <c r="J43" s="312"/>
      <c r="AB43" s="323"/>
      <c r="AC43" s="323"/>
      <c r="AD43" s="323"/>
      <c r="AE43" s="323"/>
      <c r="AF43" s="323"/>
    </row>
    <row r="44" spans="1:32" s="314" customFormat="1" ht="15.75">
      <c r="A44" s="313" t="s">
        <v>1</v>
      </c>
      <c r="J44" s="312"/>
      <c r="AB44" s="323"/>
      <c r="AC44" s="323"/>
      <c r="AD44" s="323"/>
      <c r="AE44" s="323"/>
      <c r="AF44" s="323"/>
    </row>
    <row r="46" spans="1:32">
      <c r="A46" s="167" t="s">
        <v>682</v>
      </c>
      <c r="B46" s="491" t="s">
        <v>577</v>
      </c>
      <c r="C46" s="491" t="s">
        <v>690</v>
      </c>
      <c r="D46" s="491" t="s">
        <v>691</v>
      </c>
      <c r="E46" s="337"/>
    </row>
    <row r="47" spans="1:32" s="74" customFormat="1" ht="13.5" customHeight="1">
      <c r="A47" s="56" t="s">
        <v>808</v>
      </c>
      <c r="B47" s="345">
        <f>+'[8]Liquidity Analysis'!C50</f>
        <v>882035733</v>
      </c>
      <c r="C47" s="345">
        <f>+'[8]Liquidity Analysis'!D50</f>
        <v>250900761</v>
      </c>
      <c r="D47" s="345">
        <f>+'[8]Liquidity Analysis'!E50</f>
        <v>631134972</v>
      </c>
      <c r="E47" s="359" t="s">
        <v>303</v>
      </c>
      <c r="F47" s="346"/>
      <c r="G47" s="346"/>
      <c r="H47" s="347"/>
      <c r="I47" s="347"/>
      <c r="J47" s="346"/>
      <c r="K47" s="346"/>
      <c r="L47" s="346"/>
    </row>
    <row r="48" spans="1:32" s="74" customFormat="1" ht="13.5" customHeight="1">
      <c r="A48" s="56" t="s">
        <v>504</v>
      </c>
      <c r="B48" s="345">
        <f>+'[8]Liquidity Analysis'!C51</f>
        <v>3258433287</v>
      </c>
      <c r="C48" s="345">
        <f>+'[8]Liquidity Analysis'!D51</f>
        <v>2481708653</v>
      </c>
      <c r="D48" s="345">
        <f>+'[8]Liquidity Analysis'!E51</f>
        <v>776724634</v>
      </c>
      <c r="E48" s="402" t="s">
        <v>315</v>
      </c>
      <c r="F48" s="346"/>
      <c r="G48" s="346"/>
      <c r="H48" s="347"/>
      <c r="I48" s="347"/>
      <c r="J48" s="346"/>
      <c r="K48" s="346"/>
      <c r="L48" s="346"/>
    </row>
    <row r="49" spans="1:12" s="74" customFormat="1" ht="13.5" customHeight="1">
      <c r="A49" s="56" t="s">
        <v>201</v>
      </c>
      <c r="B49" s="345">
        <f>+'[8]Liquidity Analysis'!C52</f>
        <v>3603375784</v>
      </c>
      <c r="C49" s="345">
        <f>+'[8]Liquidity Analysis'!D52</f>
        <v>9969936</v>
      </c>
      <c r="D49" s="345">
        <f>+'[8]Liquidity Analysis'!E52</f>
        <v>3593405848</v>
      </c>
      <c r="E49" s="402" t="s">
        <v>530</v>
      </c>
      <c r="F49" s="346"/>
      <c r="G49" s="346"/>
      <c r="H49" s="347"/>
      <c r="I49" s="347"/>
      <c r="J49" s="346"/>
      <c r="K49" s="346"/>
      <c r="L49" s="346"/>
    </row>
    <row r="50" spans="1:12" s="74" customFormat="1" ht="13.5" customHeight="1">
      <c r="A50" s="56" t="s">
        <v>581</v>
      </c>
      <c r="B50" s="345">
        <f>+'[8]Liquidity Analysis'!C53</f>
        <v>485000981</v>
      </c>
      <c r="C50" s="345">
        <f>+'[8]Liquidity Analysis'!D53</f>
        <v>0</v>
      </c>
      <c r="D50" s="345">
        <f>+'[8]Liquidity Analysis'!E53</f>
        <v>488302017</v>
      </c>
      <c r="E50" s="402" t="s">
        <v>576</v>
      </c>
      <c r="F50" s="348"/>
      <c r="G50" s="348"/>
      <c r="H50" s="348"/>
      <c r="I50" s="347"/>
      <c r="J50" s="346"/>
      <c r="K50" s="346"/>
      <c r="L50" s="346"/>
    </row>
    <row r="51" spans="1:12" s="74" customFormat="1" ht="27.75" customHeight="1">
      <c r="A51" s="56" t="s">
        <v>32</v>
      </c>
      <c r="B51" s="345">
        <f>+'[8]Liquidity Analysis'!C54</f>
        <v>1069800000</v>
      </c>
      <c r="C51" s="345">
        <f>+'[8]Liquidity Analysis'!D54</f>
        <v>1069800000</v>
      </c>
      <c r="D51" s="345">
        <f>+'[8]Liquidity Analysis'!E54</f>
        <v>0</v>
      </c>
      <c r="E51" s="402" t="s">
        <v>327</v>
      </c>
      <c r="F51" s="346"/>
      <c r="G51" s="346"/>
      <c r="H51" s="347"/>
      <c r="I51" s="347"/>
      <c r="J51" s="346"/>
      <c r="K51" s="346"/>
      <c r="L51" s="346"/>
    </row>
    <row r="52" spans="1:12" s="74" customFormat="1" ht="13.5" customHeight="1">
      <c r="A52" s="56" t="s">
        <v>582</v>
      </c>
      <c r="B52" s="345">
        <f>+'[8]Liquidity Analysis'!C55</f>
        <v>0</v>
      </c>
      <c r="C52" s="345">
        <f>+'[8]Liquidity Analysis'!D55</f>
        <v>0</v>
      </c>
      <c r="D52" s="345">
        <f>+'[8]Liquidity Analysis'!E55</f>
        <v>0</v>
      </c>
      <c r="E52" s="359" t="s">
        <v>334</v>
      </c>
      <c r="F52" s="346"/>
      <c r="G52" s="346"/>
      <c r="H52" s="347"/>
      <c r="I52" s="347"/>
      <c r="J52" s="346"/>
      <c r="K52" s="346"/>
      <c r="L52" s="346"/>
    </row>
    <row r="53" spans="1:12" s="74" customFormat="1" ht="13.5" customHeight="1">
      <c r="A53" s="56" t="s">
        <v>583</v>
      </c>
      <c r="B53" s="345">
        <f>+'[8]Liquidity Analysis'!C56</f>
        <v>0</v>
      </c>
      <c r="C53" s="345">
        <f>+'[8]Liquidity Analysis'!D56</f>
        <v>0</v>
      </c>
      <c r="D53" s="345">
        <f>+'[8]Liquidity Analysis'!E56</f>
        <v>0</v>
      </c>
      <c r="E53" s="359" t="s">
        <v>531</v>
      </c>
      <c r="F53" s="346"/>
      <c r="G53" s="346"/>
      <c r="H53" s="347"/>
      <c r="I53" s="347"/>
      <c r="J53" s="346"/>
      <c r="K53" s="346"/>
      <c r="L53" s="346"/>
    </row>
    <row r="54" spans="1:12" s="74" customFormat="1" ht="13.5" customHeight="1">
      <c r="A54" s="360" t="s">
        <v>584</v>
      </c>
      <c r="B54" s="345">
        <f>+'[8]Liquidity Analysis'!C57</f>
        <v>9298645785</v>
      </c>
      <c r="C54" s="345">
        <f>+'[8]Liquidity Analysis'!D57</f>
        <v>3812379350</v>
      </c>
      <c r="D54" s="345">
        <f>+'[8]Liquidity Analysis'!E57</f>
        <v>5489567471</v>
      </c>
      <c r="E54" s="361" t="s">
        <v>336</v>
      </c>
      <c r="F54" s="346"/>
      <c r="G54" s="346"/>
      <c r="H54" s="347"/>
      <c r="I54" s="348"/>
      <c r="J54" s="346"/>
      <c r="K54" s="346"/>
      <c r="L54" s="346"/>
    </row>
  </sheetData>
  <mergeCells count="1">
    <mergeCell ref="A1:B1"/>
  </mergeCells>
  <conditionalFormatting sqref="B4 E4:F4 B7 B10 B13 B16 B19 B22 B25 B28 B31 B34 B37">
    <cfRule type="cellIs" dxfId="1" priority="1" stopIfTrue="1" operator="equal">
      <formula>"Error"</formula>
    </cfRule>
    <cfRule type="cellIs" dxfId="0" priority="2" stopIfTrue="1" operator="equal">
      <formula>"?"</formula>
    </cfRule>
  </conditionalFormatting>
  <dataValidations disablePrompts="1" count="1">
    <dataValidation allowBlank="1" showErrorMessage="1" prompt="Введите самостоятельно рассчитанный коэффициент" sqref="B46:D46" xr:uid="{00000000-0002-0000-1000-000000000000}"/>
  </dataValidations>
  <printOptions horizontalCentered="1"/>
  <pageMargins left="0" right="0" top="0.31496062992125984" bottom="0.39370078740157483" header="0.23622047244094491" footer="0.15748031496062992"/>
  <pageSetup paperSize="9" scale="76" orientation="portrait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17</vt:i4>
      </vt:variant>
    </vt:vector>
  </HeadingPairs>
  <TitlesOfParts>
    <vt:vector size="34" baseType="lpstr">
      <vt:lpstr>Asset quality</vt:lpstr>
      <vt:lpstr>Income </vt:lpstr>
      <vt:lpstr>Analysis of Interest</vt:lpstr>
      <vt:lpstr>Changes in Equity</vt:lpstr>
      <vt:lpstr>Loans Receivable</vt:lpstr>
      <vt:lpstr>Aging Analysis</vt:lpstr>
      <vt:lpstr>Asset Classification</vt:lpstr>
      <vt:lpstr>Transactions of related parties</vt:lpstr>
      <vt:lpstr> Largest risk</vt:lpstr>
      <vt:lpstr>Charge-offs and Recoveries</vt:lpstr>
      <vt:lpstr>loans_av rate</vt:lpstr>
      <vt:lpstr>loans type</vt:lpstr>
      <vt:lpstr>Bank Capital Calc (2)</vt:lpstr>
      <vt:lpstr>Deposits_av rate</vt:lpstr>
      <vt:lpstr>Economic Normatives</vt:lpstr>
      <vt:lpstr>Miscellaneous</vt:lpstr>
      <vt:lpstr>ПФУ</vt:lpstr>
      <vt:lpstr>' Largest risk'!Область_печати</vt:lpstr>
      <vt:lpstr>'Aging Analysis'!Область_печати</vt:lpstr>
      <vt:lpstr>'Analysis of Interest'!Область_печати</vt:lpstr>
      <vt:lpstr>'Asset Classification'!Область_печати</vt:lpstr>
      <vt:lpstr>'Asset quality'!Область_печати</vt:lpstr>
      <vt:lpstr>'Bank Capital Calc (2)'!Область_печати</vt:lpstr>
      <vt:lpstr>'Changes in Equity'!Область_печати</vt:lpstr>
      <vt:lpstr>'Charge-offs and Recoveries'!Область_печати</vt:lpstr>
      <vt:lpstr>'Deposits_av rate'!Область_печати</vt:lpstr>
      <vt:lpstr>'Economic Normatives'!Область_печати</vt:lpstr>
      <vt:lpstr>'Income '!Область_печати</vt:lpstr>
      <vt:lpstr>'Loans Receivable'!Область_печати</vt:lpstr>
      <vt:lpstr>'loans type'!Область_печати</vt:lpstr>
      <vt:lpstr>'loans_av rate'!Область_печати</vt:lpstr>
      <vt:lpstr>Miscellaneous!Область_печати</vt:lpstr>
      <vt:lpstr>'Transactions of related parties'!Область_печати</vt:lpstr>
      <vt:lpstr>ПФУ!Область_печати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ACER</cp:lastModifiedBy>
  <cp:lastPrinted>2021-12-22T11:40:20Z</cp:lastPrinted>
  <dcterms:created xsi:type="dcterms:W3CDTF">2014-01-27T05:06:32Z</dcterms:created>
  <dcterms:modified xsi:type="dcterms:W3CDTF">2026-02-25T07:00:03Z</dcterms:modified>
</cp:coreProperties>
</file>