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Авазбек\23-жадвал ҳисоботлари\01.01.2022\"/>
    </mc:Choice>
  </mc:AlternateContent>
  <xr:revisionPtr revIDLastSave="0" documentId="8_{613823EE-6EA9-4B21-AA3D-CA6ADF314CFE}" xr6:coauthVersionLast="47" xr6:coauthVersionMax="47" xr10:uidLastSave="{00000000-0000-0000-0000-000000000000}"/>
  <bookViews>
    <workbookView xWindow="-120" yWindow="-120" windowWidth="29040" windowHeight="15840" tabRatio="889" activeTab="2" xr2:uid="{00000000-000D-0000-FFFF-FFFF00000000}"/>
  </bookViews>
  <sheets>
    <sheet name="Bank Capital Calc" sheetId="27" r:id="rId1"/>
    <sheet name="Bank Capital Calc (2)" sheetId="41" state="hidden" r:id="rId2"/>
    <sheet name="Calculation of Risk Weighted As" sheetId="5" r:id="rId3"/>
    <sheet name="Calculation of Risk Weighte нац" sheetId="38" r:id="rId4"/>
    <sheet name="Calculation of Risk Weighte ин" sheetId="39" r:id="rId5"/>
    <sheet name="Calculation of Risk" sheetId="2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TwentyLargestData" localSheetId="1">#REF!</definedName>
    <definedName name="wrn.WEO." hidden="1">{"WEO",#N/A,FALSE,"T"}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">#REF!</definedName>
    <definedName name="_xlnm.Print_Area" localSheetId="0">'Bank Capital Calc'!$A$1:$G$61</definedName>
    <definedName name="_xlnm.Print_Area" localSheetId="1">'Bank Capital Calc (2)'!$A$1:$C$55</definedName>
    <definedName name="_xlnm.Print_Area" localSheetId="5">'Calculation of Risk'!$A$1:$C$33</definedName>
    <definedName name="_xlnm.Print_Area" localSheetId="4">'Calculation of Risk Weighte ин'!$A$1:$I$74</definedName>
    <definedName name="_xlnm.Print_Area" localSheetId="3">'Calculation of Risk Weighte нац'!$A$1:$I$74</definedName>
    <definedName name="_xlnm.Print_Area" localSheetId="2">'Calculation of Risk Weighted As'!$A$1:$I$74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38" l="1"/>
  <c r="G38" i="38"/>
  <c r="G31" i="38"/>
  <c r="H65" i="5" l="1"/>
  <c r="H53" i="5"/>
  <c r="G35" i="5"/>
  <c r="G38" i="5"/>
  <c r="G36" i="5"/>
  <c r="G31" i="5"/>
  <c r="C36" i="5" l="1"/>
  <c r="C54" i="27" l="1"/>
  <c r="E17" i="27" l="1"/>
  <c r="K68" i="38" l="1"/>
  <c r="K68" i="39"/>
  <c r="K68" i="5"/>
  <c r="F38" i="39" l="1"/>
  <c r="I39" i="38" l="1"/>
  <c r="I40" i="38" s="1"/>
  <c r="H39" i="38"/>
  <c r="H40" i="38" s="1"/>
  <c r="G39" i="38"/>
  <c r="G40" i="38" s="1"/>
  <c r="F39" i="38"/>
  <c r="F40" i="38" s="1"/>
  <c r="E39" i="38"/>
  <c r="E40" i="38" s="1"/>
  <c r="D39" i="38"/>
  <c r="D40" i="38" s="1"/>
  <c r="C39" i="38"/>
  <c r="E68" i="5"/>
  <c r="E39" i="5"/>
  <c r="E40" i="5" s="1"/>
  <c r="I39" i="5"/>
  <c r="I40" i="5" s="1"/>
  <c r="H39" i="5"/>
  <c r="H40" i="5" s="1"/>
  <c r="G39" i="5"/>
  <c r="G40" i="5" s="1"/>
  <c r="F39" i="5"/>
  <c r="F40" i="5" s="1"/>
  <c r="D39" i="5"/>
  <c r="D40" i="5" s="1"/>
  <c r="C39" i="5"/>
  <c r="F58" i="39"/>
  <c r="F53" i="39"/>
  <c r="C36" i="39"/>
  <c r="C34" i="39"/>
  <c r="D38" i="39"/>
  <c r="C38" i="39"/>
  <c r="G38" i="39"/>
  <c r="H38" i="39"/>
  <c r="H37" i="39"/>
  <c r="G36" i="39"/>
  <c r="G35" i="39"/>
  <c r="I28" i="39"/>
  <c r="H28" i="39"/>
  <c r="I27" i="39"/>
  <c r="H27" i="39"/>
  <c r="I26" i="39"/>
  <c r="H26" i="39"/>
  <c r="H33" i="39"/>
  <c r="H32" i="39"/>
  <c r="G31" i="39"/>
  <c r="G30" i="39"/>
  <c r="C22" i="39"/>
  <c r="C21" i="39"/>
  <c r="C20" i="39"/>
  <c r="D23" i="39"/>
  <c r="G27" i="39"/>
  <c r="G26" i="39"/>
  <c r="G25" i="39"/>
  <c r="G24" i="39"/>
  <c r="H25" i="39"/>
  <c r="F25" i="39"/>
  <c r="E25" i="39"/>
  <c r="E39" i="39" s="1"/>
  <c r="E40" i="39" s="1"/>
  <c r="D22" i="39"/>
  <c r="D18" i="39"/>
  <c r="C18" i="39"/>
  <c r="G17" i="39"/>
  <c r="H18" i="39"/>
  <c r="G18" i="39"/>
  <c r="F18" i="39"/>
  <c r="H16" i="39"/>
  <c r="G16" i="39"/>
  <c r="F16" i="39"/>
  <c r="H15" i="39"/>
  <c r="G15" i="39"/>
  <c r="F15" i="39"/>
  <c r="H14" i="39"/>
  <c r="G14" i="39"/>
  <c r="F14" i="39"/>
  <c r="C16" i="39"/>
  <c r="D16" i="39"/>
  <c r="D15" i="39"/>
  <c r="D14" i="39"/>
  <c r="C14" i="39"/>
  <c r="C13" i="39"/>
  <c r="H11" i="39"/>
  <c r="G11" i="39"/>
  <c r="F11" i="39"/>
  <c r="D11" i="39"/>
  <c r="D10" i="39"/>
  <c r="D9" i="39"/>
  <c r="C10" i="39"/>
  <c r="F39" i="39" l="1"/>
  <c r="F40" i="39" s="1"/>
  <c r="I39" i="39"/>
  <c r="I40" i="39" s="1"/>
  <c r="H39" i="39"/>
  <c r="H40" i="39" s="1"/>
  <c r="D39" i="39"/>
  <c r="D40" i="39" s="1"/>
  <c r="G39" i="39"/>
  <c r="G40" i="39" s="1"/>
  <c r="I41" i="38"/>
  <c r="I41" i="39" l="1"/>
  <c r="I41" i="5" l="1"/>
  <c r="C3" i="23" l="1"/>
  <c r="B2" i="23" s="1"/>
  <c r="E7" i="23" s="1"/>
  <c r="G2" i="39"/>
  <c r="G2" i="38"/>
  <c r="G2" i="5"/>
  <c r="B3" i="23"/>
  <c r="B2" i="39"/>
  <c r="B2" i="38"/>
  <c r="B2" i="5"/>
  <c r="C8" i="39" l="1"/>
  <c r="C39" i="39" s="1"/>
  <c r="C52" i="41" l="1"/>
  <c r="C25" i="41"/>
  <c r="C31" i="41" s="1"/>
  <c r="C54" i="41"/>
  <c r="C3" i="41"/>
  <c r="B3" i="41"/>
  <c r="H67" i="39" l="1"/>
  <c r="G67" i="39"/>
  <c r="F67" i="39"/>
  <c r="E67" i="39"/>
  <c r="H66" i="39"/>
  <c r="G66" i="39"/>
  <c r="F66" i="39"/>
  <c r="E66" i="39"/>
  <c r="H65" i="39"/>
  <c r="G65" i="39"/>
  <c r="F65" i="39"/>
  <c r="E65" i="39"/>
  <c r="H63" i="39"/>
  <c r="G63" i="39"/>
  <c r="F63" i="39"/>
  <c r="E63" i="39"/>
  <c r="H62" i="39"/>
  <c r="G62" i="39"/>
  <c r="F62" i="39"/>
  <c r="E62" i="39"/>
  <c r="H61" i="39"/>
  <c r="G61" i="39"/>
  <c r="F61" i="39"/>
  <c r="E61" i="39"/>
  <c r="E58" i="39"/>
  <c r="H58" i="39"/>
  <c r="H57" i="39"/>
  <c r="G57" i="39"/>
  <c r="F57" i="39"/>
  <c r="E57" i="39"/>
  <c r="H56" i="39"/>
  <c r="G56" i="39"/>
  <c r="F56" i="39"/>
  <c r="E56" i="39"/>
  <c r="H55" i="39"/>
  <c r="G55" i="39"/>
  <c r="F55" i="39"/>
  <c r="E55" i="39"/>
  <c r="H53" i="39"/>
  <c r="E53" i="39"/>
  <c r="H52" i="39"/>
  <c r="G52" i="39"/>
  <c r="F52" i="39"/>
  <c r="E52" i="39"/>
  <c r="H51" i="39"/>
  <c r="G51" i="39"/>
  <c r="F51" i="39"/>
  <c r="E51" i="39"/>
  <c r="H50" i="39"/>
  <c r="G50" i="39"/>
  <c r="F50" i="39"/>
  <c r="E50" i="39"/>
  <c r="H68" i="39" l="1"/>
  <c r="G68" i="39"/>
  <c r="F68" i="39"/>
  <c r="E68" i="39"/>
  <c r="I67" i="39"/>
  <c r="I66" i="39"/>
  <c r="I65" i="39"/>
  <c r="I63" i="39"/>
  <c r="I62" i="39"/>
  <c r="I61" i="39"/>
  <c r="I58" i="39"/>
  <c r="I57" i="39"/>
  <c r="I56" i="39"/>
  <c r="I55" i="39"/>
  <c r="I53" i="39"/>
  <c r="I52" i="39"/>
  <c r="I51" i="39"/>
  <c r="I50" i="39"/>
  <c r="H68" i="38"/>
  <c r="G68" i="38"/>
  <c r="F68" i="38"/>
  <c r="E68" i="38"/>
  <c r="I67" i="38"/>
  <c r="I66" i="38"/>
  <c r="I65" i="38"/>
  <c r="I63" i="38"/>
  <c r="I62" i="38"/>
  <c r="I61" i="38"/>
  <c r="I58" i="38"/>
  <c r="I57" i="38"/>
  <c r="I56" i="38"/>
  <c r="I55" i="38"/>
  <c r="I53" i="38"/>
  <c r="I52" i="38"/>
  <c r="I51" i="38"/>
  <c r="I50" i="38"/>
  <c r="J68" i="38" l="1"/>
  <c r="I69" i="38"/>
  <c r="I69" i="39"/>
  <c r="J68" i="39"/>
  <c r="C26" i="23" l="1"/>
  <c r="D26" i="23" l="1"/>
  <c r="I57" i="5" l="1"/>
  <c r="I56" i="5"/>
  <c r="I58" i="5"/>
  <c r="I55" i="5"/>
  <c r="I53" i="5"/>
  <c r="C27" i="27"/>
  <c r="C33" i="27" s="1"/>
  <c r="C7" i="27"/>
  <c r="I70" i="38" l="1"/>
  <c r="J70" i="38" s="1"/>
  <c r="I70" i="39" l="1"/>
  <c r="J70" i="39" s="1"/>
  <c r="J39" i="38"/>
  <c r="C15" i="23"/>
  <c r="C10" i="23"/>
  <c r="C5" i="23"/>
  <c r="J39" i="39" l="1"/>
  <c r="C11" i="27" l="1"/>
  <c r="C18" i="27" l="1"/>
  <c r="E25" i="27" s="1"/>
  <c r="I67" i="5" l="1"/>
  <c r="H68" i="5"/>
  <c r="G68" i="5"/>
  <c r="F68" i="5"/>
  <c r="I66" i="5"/>
  <c r="I65" i="5"/>
  <c r="I63" i="5"/>
  <c r="I62" i="5"/>
  <c r="I61" i="5"/>
  <c r="I52" i="5"/>
  <c r="I51" i="5"/>
  <c r="I50" i="5"/>
  <c r="C19" i="27" l="1"/>
  <c r="C55" i="27"/>
  <c r="J68" i="5"/>
  <c r="C53" i="41"/>
  <c r="C20" i="23"/>
  <c r="I69" i="5"/>
  <c r="J39" i="5"/>
  <c r="B10" i="23" l="1"/>
  <c r="B15" i="23"/>
  <c r="B5" i="23"/>
  <c r="C21" i="23"/>
  <c r="C47" i="27" s="1"/>
  <c r="I70" i="5"/>
  <c r="C46" i="27" s="1"/>
  <c r="J70" i="5" l="1"/>
  <c r="E46" i="41"/>
  <c r="C45" i="41"/>
  <c r="C44" i="41"/>
  <c r="D52" i="41"/>
  <c r="C27" i="23"/>
  <c r="C48" i="27" s="1"/>
  <c r="D54" i="27"/>
  <c r="C45" i="27" l="1"/>
  <c r="C46" i="41"/>
  <c r="C43" i="41" s="1"/>
  <c r="C35" i="41" s="1"/>
  <c r="C40" i="41" s="1"/>
  <c r="C37" i="27" l="1"/>
  <c r="C51" i="41"/>
  <c r="C42" i="27" l="1"/>
  <c r="L68" i="39" l="1"/>
  <c r="L68" i="38"/>
  <c r="L68" i="5" l="1"/>
  <c r="C56" i="27" l="1"/>
  <c r="C52" i="27" s="1"/>
  <c r="C25" i="27" l="1"/>
  <c r="C49" i="27" s="1"/>
  <c r="C34" i="27" l="1"/>
  <c r="C41" i="27" l="1"/>
  <c r="C43" i="27" s="1"/>
  <c r="C50" i="27"/>
  <c r="C57" i="27"/>
  <c r="C44" i="27" l="1"/>
  <c r="C51" i="27" s="1"/>
  <c r="F38" i="27" l="1"/>
  <c r="F39" i="27" s="1"/>
  <c r="K39" i="39" l="1"/>
  <c r="L39" i="39" s="1"/>
  <c r="K39" i="38" l="1"/>
  <c r="L39" i="38" s="1"/>
  <c r="K39" i="5" l="1"/>
  <c r="L39" i="5" s="1"/>
</calcChain>
</file>

<file path=xl/sharedStrings.xml><?xml version="1.0" encoding="utf-8"?>
<sst xmlns="http://schemas.openxmlformats.org/spreadsheetml/2006/main" count="729" uniqueCount="231">
  <si>
    <t>Подпись Председателя правления:</t>
  </si>
  <si>
    <t>Подпись Главного Бухгалтера: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</si>
  <si>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</si>
  <si>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</si>
  <si>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</si>
  <si>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</si>
  <si>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</si>
  <si>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</si>
  <si>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</si>
  <si>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</si>
  <si>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</si>
  <si>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</si>
  <si>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</si>
  <si>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</si>
  <si>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</si>
  <si>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</si>
  <si>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</si>
  <si>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</si>
  <si>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а)</t>
  </si>
  <si>
    <t>б)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</si>
  <si>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</si>
  <si>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</si>
  <si>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</si>
  <si>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</si>
  <si>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</si>
  <si>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</si>
  <si>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Открытая валютная позиция, всего</t>
  </si>
  <si>
    <t>Активы для расчета левеража</t>
  </si>
  <si>
    <t>Счета валютной позиции (счет 17101 (сумавая часть))</t>
  </si>
  <si>
    <t>в)</t>
  </si>
  <si>
    <t>г)</t>
  </si>
  <si>
    <t>д)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</si>
  <si>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</si>
  <si>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</si>
  <si>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</si>
  <si>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</si>
  <si>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</si>
  <si>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</si>
  <si>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</si>
  <si>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</si>
  <si>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</si>
  <si>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</si>
  <si>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</si>
  <si>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Общие активы </t>
  </si>
  <si>
    <t>Коэффициент левеража</t>
  </si>
  <si>
    <t>Недвижимое имущество принятое на баланс банка в целях полного или частичного погащения задолженности</t>
  </si>
  <si>
    <t>Продажа на условиях Своп и Форвард (счет 92709, 92732)</t>
  </si>
  <si>
    <t>Покупка на условиях Своп и Форвард (счет 92716, 92736)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</si>
  <si>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</si>
  <si>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</si>
  <si>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</si>
  <si>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</si>
  <si>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</si>
  <si>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</si>
  <si>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</si>
  <si>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</si>
  <si>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</si>
  <si>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</si>
  <si>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</si>
  <si>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</si>
  <si>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</si>
  <si>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</si>
  <si>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</si>
  <si>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</si>
  <si>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</si>
  <si>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</si>
  <si>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</si>
  <si>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</si>
  <si>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</si>
  <si>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</si>
  <si>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</si>
  <si>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</si>
  <si>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</si>
  <si>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</si>
  <si>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</si>
  <si>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</si>
  <si>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</si>
  <si>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</si>
  <si>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</si>
  <si>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</si>
  <si>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</si>
  <si>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</si>
  <si>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</si>
  <si>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</si>
  <si>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</si>
  <si>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</si>
  <si>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 xml:space="preserve">Ценные бумаги, выпущенные Правительством Республики Узбекистан и ЦБРУ  </t>
  </si>
  <si>
    <t xml:space="preserve">Кредиты и лизинги, чистые </t>
  </si>
  <si>
    <t>Основные средства, используемые в банковской деятельности (минус амортизация)</t>
  </si>
  <si>
    <t>Все другие инвестиции, чистые</t>
  </si>
  <si>
    <t>Другие активы, чистые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</si>
  <si>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</si>
  <si>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</si>
  <si>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</si>
  <si>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</si>
  <si>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</si>
  <si>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</si>
  <si>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</si>
  <si>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</si>
  <si>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</si>
  <si>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</si>
  <si>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</si>
  <si>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</si>
  <si>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</si>
  <si>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</si>
  <si>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</si>
  <si>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</si>
  <si>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>а2</t>
  </si>
  <si>
    <t>а3</t>
  </si>
  <si>
    <t>б1</t>
  </si>
  <si>
    <t>б2</t>
  </si>
  <si>
    <t>б3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</si>
  <si>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</si>
  <si>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</si>
  <si>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</si>
  <si>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(З)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</si>
  <si>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</si>
  <si>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</si>
  <si>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</si>
  <si>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</si>
  <si>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</si>
  <si>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</si>
  <si>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</si>
  <si>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</si>
  <si>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</si>
  <si>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13.</t>
  </si>
  <si>
    <t>14.</t>
  </si>
  <si>
    <t>15.</t>
  </si>
  <si>
    <t>16.</t>
  </si>
  <si>
    <t>17.</t>
  </si>
  <si>
    <t>10.</t>
  </si>
  <si>
    <t>11.</t>
  </si>
  <si>
    <t>Формула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</si>
  <si>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</si>
  <si>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</si>
  <si>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</si>
  <si>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</si>
  <si>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</si>
  <si>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</si>
  <si>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</si>
  <si>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</si>
  <si>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</si>
  <si>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</si>
  <si>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</si>
  <si>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</si>
  <si>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</si>
  <si>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</si>
  <si>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</si>
  <si>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</si>
  <si>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</si>
  <si>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</si>
  <si>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</si>
  <si>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</si>
  <si>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</si>
  <si>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</si>
  <si>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</si>
  <si>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</si>
  <si>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</si>
  <si>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</si>
  <si>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</si>
  <si>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</si>
  <si>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</si>
  <si>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</si>
  <si>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</si>
  <si>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</si>
  <si>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</si>
  <si>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</si>
  <si>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</si>
  <si>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</si>
  <si>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</si>
  <si>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</si>
  <si>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</si>
  <si>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</si>
  <si>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</si>
  <si>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тыс. сум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</si>
  <si>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</si>
  <si>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</si>
  <si>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</si>
  <si>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</si>
  <si>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</si>
  <si>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>Резервы созданные по стандартным активам</t>
  </si>
  <si>
    <t>Таблица-5</t>
  </si>
  <si>
    <t xml:space="preserve">Другое банковское собственное имущество </t>
  </si>
  <si>
    <t>Таблица-6А</t>
  </si>
  <si>
    <t>РАСЧЕТ РЕГУЛЯТИВНОГО КАПИТАЛА БАНКА</t>
  </si>
  <si>
    <t>и)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</si>
  <si>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</si>
  <si>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</si>
  <si>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</si>
  <si>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Резервы формируемые в соответствии с предписанием Центрального банка</t>
  </si>
  <si>
    <t xml:space="preserve">Обязательства по приобретению ценных бумаг и других активов (включая активы, проданные в соответствии с соглашениями об обратном выкупе) </t>
  </si>
  <si>
    <t>Связанные с торговлей (краткосрочные, самоликвидирующиеся, обеспеченные поставкой товара)</t>
  </si>
  <si>
    <t xml:space="preserve">Со сроком погашения до одного года </t>
  </si>
  <si>
    <t xml:space="preserve">Со сроком погашения от одного года до двух лет </t>
  </si>
  <si>
    <t>Со сроком погашения от двух до трех  лет</t>
  </si>
  <si>
    <t>Валютные контракты и золото</t>
  </si>
  <si>
    <t>I группа</t>
  </si>
  <si>
    <t>II группа</t>
  </si>
  <si>
    <t>III группа</t>
  </si>
  <si>
    <t>IV группа</t>
  </si>
  <si>
    <t>V группа</t>
  </si>
  <si>
    <t>VI группа</t>
  </si>
  <si>
    <t>VII группа</t>
  </si>
  <si>
    <t>д</t>
  </si>
  <si>
    <t>Сумма превышения максимального размера риска по одному или всем связанным с банком лицами</t>
  </si>
  <si>
    <t>№4</t>
  </si>
  <si>
    <t>Нематериальные активы за вычетом программных обеспечений</t>
  </si>
  <si>
    <t>Ценные бумаги, чистые</t>
  </si>
  <si>
    <t>Ценные бумаги, выпущенные правительствами и центральными банками зарубежных стран, а также другие требования к центральным банкам и правительствам этих стран</t>
  </si>
  <si>
    <t xml:space="preserve">Другие ценные бумаги, выпущенные на территории Республики Узбекистан </t>
  </si>
  <si>
    <t>Другие ценные бумаги, выпущенные зарубежными странами</t>
  </si>
  <si>
    <t>Активы, не деноминированные в национальную валюту и превышающие сумму финансирования в национальной валюте</t>
  </si>
  <si>
    <t>Требования банка к государственным секторам зарубежных стран (кроме Правительств и Центральных банков) и зарубежным компаниям, а также активы, обеспеченные или гарантированные их ценными бумагами (кроме кредитов и ценных бумаг)</t>
  </si>
  <si>
    <t>Прямые требования к Правительству и Центральному банку Республики Узбекистан</t>
  </si>
  <si>
    <t>Кредиты международным финансовым организациям; кредиты, обеспеченные ценными бумагами международных финансовых организаций или гарантированные ими</t>
  </si>
  <si>
    <t>Кредиты или их части, обеспеченные депозитами</t>
  </si>
  <si>
    <t>Кредиты, выданные населению на приобретения недвижимости и обеспеченные приобретаемым или строящимся домом (квартирой)</t>
  </si>
  <si>
    <t xml:space="preserve">Другие кредиты, выданные населению </t>
  </si>
  <si>
    <t>Все другие кредиты и лизинги</t>
  </si>
  <si>
    <t>Основные средства и другое собственное имущество банка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</si>
  <si>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субъектов, инвестиции в капитал других банков, чистые</t>
  </si>
  <si>
    <t>Нематериальные активы, чистые</t>
  </si>
  <si>
    <t>Общая сумма балансовых активов согласно инструкции</t>
  </si>
  <si>
    <t>Кредиты/их части, обеспеченные ценными бумагами, оцененными по текущей рыночной стоимости и выпущенными или гарантированными Правительством, Центральным банком РУз, а также кредиты/их части, гарантированные Правительством, Центральным банком Руз</t>
  </si>
  <si>
    <t>Другие активы в судебном разбирательстве, пересмотренные активы, а также не взысканные в установленном порядке</t>
  </si>
  <si>
    <t>Корреспондентские счета, кредиты и другие требования к банкам</t>
  </si>
  <si>
    <t xml:space="preserve">Таблица-6 </t>
  </si>
  <si>
    <t>Таблица-6.1</t>
  </si>
  <si>
    <t>Таблица-6.2</t>
  </si>
  <si>
    <t xml:space="preserve">Кредиты и лизинги в судебном разбирательстве, просроченные, пересмотренные и в статусе «не наращивания», чистые </t>
  </si>
  <si>
    <t>АТБ "Ўзсаноатқурилишбанк"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</si>
</sst>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[$-F800]dddd\,\ mmmm\ dd\,\ yyyy"/>
    <numFmt numFmtId="169" formatCode="0.0%"/>
    <numFmt numFmtId="170" formatCode="#,##0_ ;\-#,##0\ 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###\ ###\ ###\ ###\ ###\ ###\ ##0.00"/>
  </numFmts>
  <fonts count="9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10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7030A0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0"/>
      <color rgb="FFFF0000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0"/>
      <color theme="0" tint="-0.499984740745262"/>
      <name val="Times New Roman"/>
      <family val="1"/>
      <charset val="204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0"/>
      <color theme="0"/>
      <name val="Times New Roman"/>
      <family val="1"/>
      <charset val="204"/>
    </font>
    <font>
      <b/>
      <sz val="10"/>
      <color rgb="FF7030A0"/>
      <name val="Arial Cyr"/>
      <charset val="204"/>
    </font>
    <font>
      <sz val="10"/>
      <color rgb="FF7030A0"/>
      <name val="Times New Roman Cyr"/>
      <family val="1"/>
      <charset val="204"/>
    </font>
    <font>
      <b/>
      <sz val="10"/>
      <color rgb="FF7030A0"/>
      <name val="Times New Roman Cyr"/>
      <family val="1"/>
      <charset val="204"/>
    </font>
    <font>
      <b/>
      <sz val="10"/>
      <color rgb="FF7030A0"/>
      <name val="Times New Roman Cyr"/>
      <charset val="204"/>
    </font>
    <font>
      <sz val="10"/>
      <color rgb="FF7030A0"/>
      <name val="Arial Cyr"/>
      <family val="2"/>
      <charset val="204"/>
    </font>
    <font>
      <b/>
      <sz val="22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b/>
      <sz val="16"/>
      <color rgb="FFFFFF00"/>
      <name val="Times New Roman Cyr"/>
      <charset val="204"/>
    </font>
    <font>
      <sz val="10"/>
      <color theme="1"/>
      <name val="Times New Roman"/>
      <family val="1"/>
      <charset val="204"/>
    </font>
  </fonts>
  <fills count="4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88">
    <xf numFmtId="0" fontId="0" fillId="0" borderId="0"/>
    <xf numFmtId="0" fontId="25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166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3" fillId="0" borderId="25">
      <protection locked="0"/>
    </xf>
    <xf numFmtId="172" fontId="45" fillId="0" borderId="0">
      <protection locked="0"/>
    </xf>
    <xf numFmtId="173" fontId="45" fillId="0" borderId="25">
      <protection locked="0"/>
    </xf>
    <xf numFmtId="174" fontId="45" fillId="0" borderId="0">
      <protection locked="0"/>
    </xf>
    <xf numFmtId="4" fontId="45" fillId="0" borderId="0">
      <protection locked="0"/>
    </xf>
    <xf numFmtId="175" fontId="45" fillId="0" borderId="0">
      <protection locked="0"/>
    </xf>
    <xf numFmtId="173" fontId="46" fillId="0" borderId="0">
      <protection locked="0"/>
    </xf>
    <xf numFmtId="173" fontId="47" fillId="0" borderId="0">
      <protection locked="0"/>
    </xf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8" fillId="0" borderId="4">
      <alignment horizontal="center"/>
    </xf>
    <xf numFmtId="165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49" fillId="0" borderId="0"/>
    <xf numFmtId="0" fontId="28" fillId="0" borderId="0"/>
    <xf numFmtId="9" fontId="31" fillId="0" borderId="0" applyFont="0" applyFill="0" applyBorder="0" applyAlignment="0" applyProtection="0"/>
    <xf numFmtId="0" fontId="50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7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5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0" fillId="0" borderId="0"/>
    <xf numFmtId="0" fontId="52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0" fillId="0" borderId="0"/>
    <xf numFmtId="0" fontId="53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1" fillId="0" borderId="0"/>
    <xf numFmtId="0" fontId="28" fillId="0" borderId="0"/>
    <xf numFmtId="0" fontId="50" fillId="0" borderId="0"/>
    <xf numFmtId="0" fontId="28" fillId="0" borderId="0"/>
    <xf numFmtId="0" fontId="5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52" fillId="0" borderId="0"/>
    <xf numFmtId="0" fontId="1" fillId="0" borderId="0"/>
    <xf numFmtId="0" fontId="5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8" fillId="0" borderId="0"/>
    <xf numFmtId="0" fontId="2" fillId="0" borderId="0"/>
    <xf numFmtId="0" fontId="31" fillId="0" borderId="0"/>
    <xf numFmtId="0" fontId="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" fillId="0" borderId="0"/>
    <xf numFmtId="0" fontId="52" fillId="0" borderId="0"/>
    <xf numFmtId="0" fontId="50" fillId="0" borderId="0"/>
    <xf numFmtId="0" fontId="55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1" fillId="0" borderId="0"/>
    <xf numFmtId="0" fontId="1" fillId="0" borderId="0"/>
    <xf numFmtId="0" fontId="56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57" fillId="0" borderId="0"/>
    <xf numFmtId="0" fontId="31" fillId="0" borderId="0"/>
    <xf numFmtId="0" fontId="52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31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52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28" fillId="0" borderId="0"/>
    <xf numFmtId="0" fontId="50" fillId="0" borderId="0"/>
    <xf numFmtId="0" fontId="50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1" fillId="0" borderId="0"/>
    <xf numFmtId="0" fontId="51" fillId="0" borderId="0"/>
    <xf numFmtId="0" fontId="51" fillId="0" borderId="0"/>
    <xf numFmtId="0" fontId="31" fillId="0" borderId="0"/>
    <xf numFmtId="0" fontId="51" fillId="0" borderId="0"/>
    <xf numFmtId="0" fontId="5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9" fontId="5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9" fillId="0" borderId="0"/>
    <xf numFmtId="165" fontId="2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8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1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9" fontId="5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80" fontId="52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3" fillId="0" borderId="0">
      <protection locked="0"/>
    </xf>
    <xf numFmtId="0" fontId="6" fillId="0" borderId="0">
      <alignment vertical="top"/>
    </xf>
    <xf numFmtId="181" fontId="64" fillId="0" borderId="0" applyFont="0" applyFill="0" applyBorder="0" applyAlignment="0" applyProtection="0"/>
    <xf numFmtId="182" fontId="64" fillId="0" borderId="0" applyFont="0" applyFill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183" fontId="64" fillId="0" borderId="0" applyFont="0" applyFill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2" borderId="0" applyNumberFormat="0" applyBorder="0" applyAlignment="0" applyProtection="0"/>
    <xf numFmtId="0" fontId="54" fillId="25" borderId="0" applyNumberFormat="0" applyBorder="0" applyAlignment="0" applyProtection="0"/>
    <xf numFmtId="0" fontId="54" fillId="28" borderId="0" applyNumberFormat="0" applyBorder="0" applyAlignment="0" applyProtection="0"/>
    <xf numFmtId="0" fontId="65" fillId="29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6" borderId="0" applyNumberFormat="0" applyBorder="0" applyAlignment="0" applyProtection="0"/>
    <xf numFmtId="0" fontId="66" fillId="20" borderId="0" applyNumberFormat="0" applyBorder="0" applyAlignment="0" applyProtection="0"/>
    <xf numFmtId="0" fontId="67" fillId="37" borderId="26" applyNumberFormat="0" applyAlignment="0" applyProtection="0"/>
    <xf numFmtId="0" fontId="68" fillId="38" borderId="27" applyNumberFormat="0" applyAlignment="0" applyProtection="0"/>
    <xf numFmtId="176" fontId="69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8" fillId="0" borderId="0" applyNumberFormat="0" applyFont="0" applyFill="0" applyBorder="0" applyAlignment="0"/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70" fillId="0" borderId="0"/>
    <xf numFmtId="0" fontId="71" fillId="0" borderId="0" applyNumberFormat="0" applyFill="0" applyBorder="0" applyAlignment="0" applyProtection="0"/>
    <xf numFmtId="2" fontId="28" fillId="0" borderId="0" applyFont="0" applyFill="0" applyBorder="0" applyAlignment="0" applyProtection="0"/>
    <xf numFmtId="0" fontId="72" fillId="21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28" applyNumberFormat="0" applyFill="0" applyAlignment="0" applyProtection="0"/>
    <xf numFmtId="0" fontId="75" fillId="0" borderId="0" applyNumberFormat="0" applyFill="0" applyBorder="0" applyAlignment="0" applyProtection="0"/>
    <xf numFmtId="171" fontId="64" fillId="0" borderId="0" applyFont="0" applyFill="0" applyBorder="0" applyAlignment="0" applyProtection="0"/>
    <xf numFmtId="0" fontId="76" fillId="24" borderId="26" applyNumberFormat="0" applyAlignment="0" applyProtection="0"/>
    <xf numFmtId="0" fontId="77" fillId="0" borderId="29" applyNumberFormat="0" applyFill="0" applyAlignment="0" applyProtection="0"/>
    <xf numFmtId="18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71" fontId="78" fillId="0" borderId="0" applyFill="0" applyBorder="0"/>
    <xf numFmtId="0" fontId="79" fillId="39" borderId="0" applyNumberFormat="0" applyBorder="0" applyAlignment="0" applyProtection="0"/>
    <xf numFmtId="0" fontId="78" fillId="0" borderId="0"/>
    <xf numFmtId="0" fontId="31" fillId="40" borderId="30" applyNumberFormat="0" applyFont="0" applyAlignment="0" applyProtection="0"/>
    <xf numFmtId="0" fontId="80" fillId="37" borderId="31" applyNumberFormat="0" applyAlignment="0" applyProtection="0"/>
    <xf numFmtId="9" fontId="28" fillId="0" borderId="0" applyFont="0" applyFill="0" applyBorder="0" applyAlignment="0" applyProtection="0"/>
    <xf numFmtId="191" fontId="64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28" fillId="0" borderId="32" applyNumberFormat="0" applyFont="0" applyFill="0" applyAlignment="0" applyProtection="0"/>
    <xf numFmtId="0" fontId="82" fillId="0" borderId="0" applyNumberFormat="0" applyFill="0" applyBorder="0" applyAlignment="0" applyProtection="0"/>
  </cellStyleXfs>
  <cellXfs count="273">
    <xf numFmtId="0" fontId="0" fillId="0" borderId="0" xfId="0"/>
    <xf numFmtId="0" fontId="3" fillId="0" borderId="0" xfId="0" applyFont="1"/>
    <xf numFmtId="0" fontId="5" fillId="0" borderId="0" xfId="0" applyFont="1" applyBorder="1"/>
    <xf numFmtId="0" fontId="5" fillId="0" borderId="0" xfId="0" applyFont="1" applyBorder="1" applyProtection="1"/>
    <xf numFmtId="167" fontId="17" fillId="0" borderId="1" xfId="3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3" fontId="13" fillId="0" borderId="1" xfId="0" applyNumberFormat="1" applyFont="1" applyFill="1" applyBorder="1" applyAlignment="1" applyProtection="1">
      <alignment horizontal="right" vertical="center"/>
      <protection locked="0"/>
    </xf>
    <xf numFmtId="3" fontId="13" fillId="0" borderId="1" xfId="0" applyNumberFormat="1" applyFont="1" applyBorder="1" applyAlignment="1" applyProtection="1">
      <alignment horizontal="right" vertical="center"/>
      <protection locked="0"/>
    </xf>
    <xf numFmtId="0" fontId="32" fillId="0" borderId="0" xfId="0" applyFont="1" applyProtection="1">
      <protection hidden="1"/>
    </xf>
    <xf numFmtId="167" fontId="15" fillId="0" borderId="0" xfId="3" applyNumberFormat="1" applyFont="1" applyBorder="1" applyAlignment="1" applyProtection="1">
      <alignment horizontal="center" vertical="center" wrapText="1"/>
    </xf>
    <xf numFmtId="0" fontId="12" fillId="0" borderId="0" xfId="0" applyFont="1" applyProtection="1"/>
    <xf numFmtId="0" fontId="12" fillId="0" borderId="0" xfId="0" applyFont="1" applyBorder="1" applyAlignment="1" applyProtection="1">
      <alignment wrapText="1"/>
    </xf>
    <xf numFmtId="0" fontId="12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wrapText="1"/>
    </xf>
    <xf numFmtId="0" fontId="11" fillId="0" borderId="1" xfId="0" applyFont="1" applyBorder="1" applyAlignment="1" applyProtection="1">
      <alignment horizontal="center" vertical="center"/>
    </xf>
    <xf numFmtId="167" fontId="11" fillId="0" borderId="1" xfId="3" applyNumberFormat="1" applyFont="1" applyBorder="1" applyAlignment="1" applyProtection="1">
      <alignment horizontal="left" vertical="center"/>
    </xf>
    <xf numFmtId="3" fontId="11" fillId="0" borderId="1" xfId="3" applyNumberFormat="1" applyFont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wrapText="1"/>
    </xf>
    <xf numFmtId="3" fontId="12" fillId="0" borderId="1" xfId="3" applyNumberFormat="1" applyFont="1" applyFill="1" applyBorder="1" applyAlignment="1" applyProtection="1">
      <alignment horizontal="center" wrapText="1"/>
    </xf>
    <xf numFmtId="3" fontId="26" fillId="0" borderId="1" xfId="3" applyNumberFormat="1" applyFont="1" applyFill="1" applyBorder="1" applyAlignment="1" applyProtection="1">
      <alignment horizont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left" vertical="center" wrapText="1" indent="2"/>
    </xf>
    <xf numFmtId="0" fontId="18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0" fontId="11" fillId="0" borderId="1" xfId="0" applyFont="1" applyFill="1" applyBorder="1" applyAlignment="1" applyProtection="1">
      <alignment horizontal="left" vertical="center" indent="2"/>
    </xf>
    <xf numFmtId="0" fontId="12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wrapText="1"/>
    </xf>
    <xf numFmtId="0" fontId="26" fillId="0" borderId="0" xfId="0" applyFont="1" applyProtection="1"/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indent="2"/>
    </xf>
    <xf numFmtId="0" fontId="11" fillId="0" borderId="1" xfId="0" applyFont="1" applyBorder="1" applyAlignment="1" applyProtection="1">
      <alignment horizontal="left" vertical="center" wrapText="1" indent="2"/>
    </xf>
    <xf numFmtId="3" fontId="26" fillId="0" borderId="1" xfId="3" applyNumberFormat="1" applyFont="1" applyFill="1" applyBorder="1" applyAlignment="1" applyProtection="1">
      <alignment horizontal="center" vertical="center"/>
    </xf>
    <xf numFmtId="3" fontId="26" fillId="0" borderId="1" xfId="3" applyNumberFormat="1" applyFont="1" applyBorder="1" applyAlignment="1" applyProtection="1">
      <alignment horizontal="center" vertical="center" wrapText="1"/>
    </xf>
    <xf numFmtId="0" fontId="12" fillId="0" borderId="0" xfId="0" applyFont="1" applyFill="1" applyAlignment="1" applyProtection="1">
      <alignment vertical="center"/>
    </xf>
    <xf numFmtId="3" fontId="26" fillId="0" borderId="1" xfId="3" applyNumberFormat="1" applyFont="1" applyFill="1" applyBorder="1" applyAlignment="1" applyProtection="1">
      <alignment horizontal="center"/>
    </xf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0" fillId="0" borderId="1" xfId="3" applyNumberFormat="1" applyFont="1" applyFill="1" applyBorder="1" applyAlignment="1" applyProtection="1">
      <alignment horizontal="center"/>
    </xf>
    <xf numFmtId="0" fontId="30" fillId="0" borderId="0" xfId="0" applyFont="1" applyFill="1" applyAlignment="1" applyProtection="1">
      <alignment vertical="center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0" fontId="30" fillId="0" borderId="0" xfId="0" applyFont="1" applyAlignment="1" applyProtection="1">
      <alignment vertical="center"/>
    </xf>
    <xf numFmtId="0" fontId="11" fillId="0" borderId="0" xfId="0" applyFont="1" applyBorder="1" applyProtection="1"/>
    <xf numFmtId="167" fontId="12" fillId="0" borderId="0" xfId="3" applyNumberFormat="1" applyFont="1" applyProtection="1"/>
    <xf numFmtId="0" fontId="11" fillId="0" borderId="0" xfId="0" applyFont="1" applyFill="1" applyBorder="1" applyAlignment="1" applyProtection="1">
      <alignment horizontal="right"/>
    </xf>
    <xf numFmtId="168" fontId="12" fillId="0" borderId="0" xfId="0" applyNumberFormat="1" applyFont="1" applyBorder="1" applyAlignment="1" applyProtection="1">
      <alignment wrapText="1"/>
    </xf>
    <xf numFmtId="3" fontId="30" fillId="0" borderId="1" xfId="3" applyNumberFormat="1" applyFont="1" applyBorder="1" applyAlignment="1" applyProtection="1">
      <alignment horizontal="center" vertical="center"/>
      <protection locked="0"/>
    </xf>
    <xf numFmtId="3" fontId="11" fillId="0" borderId="1" xfId="3" applyNumberFormat="1" applyFont="1" applyBorder="1" applyAlignment="1" applyProtection="1">
      <alignment horizontal="center" vertical="center"/>
      <protection locked="0"/>
    </xf>
    <xf numFmtId="3" fontId="12" fillId="0" borderId="1" xfId="3" applyNumberFormat="1" applyFont="1" applyFill="1" applyBorder="1" applyAlignment="1" applyProtection="1">
      <alignment horizontal="center" wrapText="1"/>
      <protection locked="0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10" fontId="26" fillId="0" borderId="1" xfId="2" applyNumberFormat="1" applyFont="1" applyFill="1" applyBorder="1" applyAlignment="1" applyProtection="1">
      <alignment horizontal="center" vertical="center"/>
    </xf>
    <xf numFmtId="0" fontId="19" fillId="0" borderId="0" xfId="1" applyFont="1" applyProtection="1"/>
    <xf numFmtId="0" fontId="20" fillId="0" borderId="0" xfId="1" applyFont="1" applyProtection="1"/>
    <xf numFmtId="15" fontId="21" fillId="0" borderId="0" xfId="1" applyNumberFormat="1" applyFont="1" applyBorder="1" applyAlignment="1" applyProtection="1">
      <alignment horizontal="center" vertical="center" wrapText="1"/>
    </xf>
    <xf numFmtId="0" fontId="19" fillId="0" borderId="1" xfId="1" applyFont="1" applyBorder="1" applyAlignment="1" applyProtection="1">
      <alignment horizontal="center" vertical="center"/>
    </xf>
    <xf numFmtId="167" fontId="21" fillId="0" borderId="1" xfId="3" applyNumberFormat="1" applyFont="1" applyBorder="1" applyAlignment="1" applyProtection="1">
      <alignment horizontal="center" vertical="center" wrapText="1"/>
    </xf>
    <xf numFmtId="0" fontId="19" fillId="0" borderId="1" xfId="1" applyFont="1" applyBorder="1" applyAlignment="1" applyProtection="1">
      <alignment horizontal="left" vertical="center" wrapText="1" indent="1"/>
    </xf>
    <xf numFmtId="0" fontId="23" fillId="0" borderId="1" xfId="1" applyFont="1" applyBorder="1" applyAlignment="1" applyProtection="1">
      <alignment horizontal="left" vertical="center" wrapText="1" indent="1"/>
    </xf>
    <xf numFmtId="0" fontId="14" fillId="0" borderId="1" xfId="1" applyFont="1" applyBorder="1" applyAlignment="1" applyProtection="1">
      <alignment horizontal="left" vertical="center" wrapText="1" indent="1"/>
    </xf>
    <xf numFmtId="167" fontId="21" fillId="0" borderId="1" xfId="3" applyNumberFormat="1" applyFont="1" applyFill="1" applyBorder="1" applyAlignment="1" applyProtection="1">
      <alignment horizontal="center" vertical="center" wrapText="1"/>
    </xf>
    <xf numFmtId="0" fontId="21" fillId="0" borderId="1" xfId="1" applyFont="1" applyBorder="1" applyAlignment="1" applyProtection="1">
      <alignment horizontal="left" vertical="center" wrapText="1" indent="1"/>
    </xf>
    <xf numFmtId="0" fontId="20" fillId="0" borderId="0" xfId="1" applyFont="1" applyBorder="1" applyProtection="1"/>
    <xf numFmtId="0" fontId="19" fillId="0" borderId="0" xfId="1" applyFont="1" applyBorder="1" applyProtection="1"/>
    <xf numFmtId="0" fontId="19" fillId="0" borderId="0" xfId="1" applyFont="1" applyAlignment="1" applyProtection="1">
      <alignment horizontal="center"/>
    </xf>
    <xf numFmtId="0" fontId="33" fillId="0" borderId="0" xfId="1" applyFont="1" applyProtection="1"/>
    <xf numFmtId="0" fontId="34" fillId="0" borderId="0" xfId="1" applyFont="1" applyProtection="1"/>
    <xf numFmtId="0" fontId="33" fillId="0" borderId="0" xfId="1" applyFont="1" applyBorder="1" applyProtection="1"/>
    <xf numFmtId="0" fontId="19" fillId="0" borderId="0" xfId="1" applyFont="1" applyAlignment="1" applyProtection="1">
      <alignment vertical="center"/>
    </xf>
    <xf numFmtId="0" fontId="4" fillId="0" borderId="0" xfId="0" applyFont="1" applyAlignment="1" applyProtection="1">
      <alignment horizontal="center" vertic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Fill="1" applyBorder="1" applyAlignment="1" applyProtection="1">
      <alignment horizontal="center" vertical="center" wrapText="1"/>
    </xf>
    <xf numFmtId="3" fontId="30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35" fillId="0" borderId="0" xfId="3" applyFont="1" applyFill="1" applyBorder="1" applyAlignment="1" applyProtection="1">
      <alignment vertical="center"/>
    </xf>
    <xf numFmtId="0" fontId="26" fillId="0" borderId="1" xfId="0" applyFont="1" applyFill="1" applyBorder="1" applyAlignment="1" applyProtection="1">
      <alignment horizontal="left" vertical="center" indent="2"/>
    </xf>
    <xf numFmtId="3" fontId="36" fillId="0" borderId="1" xfId="3" applyNumberFormat="1" applyFont="1" applyFill="1" applyBorder="1" applyAlignment="1" applyProtection="1">
      <alignment horizontal="center"/>
    </xf>
    <xf numFmtId="15" fontId="0" fillId="0" borderId="0" xfId="0" applyNumberFormat="1" applyFont="1" applyBorder="1" applyAlignment="1" applyProtection="1">
      <alignment horizontal="center"/>
    </xf>
    <xf numFmtId="15" fontId="30" fillId="0" borderId="0" xfId="0" applyNumberFormat="1" applyFont="1" applyBorder="1" applyAlignment="1" applyProtection="1">
      <alignment horizontal="left" wrapText="1" indent="3"/>
    </xf>
    <xf numFmtId="167" fontId="15" fillId="0" borderId="0" xfId="3" applyNumberFormat="1" applyFont="1" applyBorder="1" applyAlignment="1" applyProtection="1">
      <alignment horizontal="left" indent="2"/>
    </xf>
    <xf numFmtId="168" fontId="17" fillId="0" borderId="0" xfId="1" applyNumberFormat="1" applyFont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</xf>
    <xf numFmtId="3" fontId="13" fillId="0" borderId="1" xfId="0" applyNumberFormat="1" applyFont="1" applyFill="1" applyBorder="1" applyAlignment="1" applyProtection="1">
      <alignment horizontal="right" vertical="center"/>
    </xf>
    <xf numFmtId="0" fontId="30" fillId="0" borderId="1" xfId="0" applyFont="1" applyFill="1" applyBorder="1" applyAlignment="1" applyProtection="1">
      <alignment horizontal="left" vertical="center" wrapText="1" indent="1"/>
    </xf>
    <xf numFmtId="0" fontId="30" fillId="0" borderId="1" xfId="0" applyFont="1" applyFill="1" applyBorder="1" applyAlignment="1" applyProtection="1">
      <alignment horizontal="left" vertical="center" indent="1"/>
    </xf>
    <xf numFmtId="0" fontId="12" fillId="0" borderId="1" xfId="0" applyFont="1" applyBorder="1" applyAlignment="1" applyProtection="1">
      <alignment horizontal="left" vertical="center" wrapText="1" indent="1"/>
    </xf>
    <xf numFmtId="0" fontId="12" fillId="0" borderId="1" xfId="0" applyFont="1" applyFill="1" applyBorder="1" applyAlignment="1" applyProtection="1">
      <alignment horizontal="left" vertical="center" wrapText="1" indent="1"/>
    </xf>
    <xf numFmtId="0" fontId="22" fillId="0" borderId="0" xfId="1" applyFont="1" applyAlignment="1" applyProtection="1">
      <alignment horizontal="left" vertical="center" indent="1"/>
    </xf>
    <xf numFmtId="0" fontId="8" fillId="0" borderId="0" xfId="0" applyFont="1" applyAlignment="1" applyProtection="1">
      <alignment horizontal="left" vertical="center" indent="1"/>
    </xf>
    <xf numFmtId="0" fontId="23" fillId="0" borderId="1" xfId="1" applyFont="1" applyBorder="1" applyAlignment="1" applyProtection="1">
      <alignment horizontal="right" vertical="center"/>
    </xf>
    <xf numFmtId="3" fontId="27" fillId="2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0" fontId="38" fillId="0" borderId="0" xfId="0" applyFont="1" applyProtection="1"/>
    <xf numFmtId="166" fontId="38" fillId="0" borderId="0" xfId="3" applyFont="1" applyBorder="1" applyProtection="1"/>
    <xf numFmtId="0" fontId="38" fillId="0" borderId="0" xfId="0" applyFont="1" applyAlignment="1" applyProtection="1">
      <alignment vertical="center"/>
    </xf>
    <xf numFmtId="166" fontId="38" fillId="0" borderId="0" xfId="3" applyFont="1" applyBorder="1" applyAlignment="1" applyProtection="1">
      <alignment vertical="center"/>
    </xf>
    <xf numFmtId="0" fontId="35" fillId="0" borderId="0" xfId="0" applyFont="1" applyFill="1" applyAlignment="1" applyProtection="1">
      <alignment vertical="center"/>
    </xf>
    <xf numFmtId="3" fontId="39" fillId="0" borderId="0" xfId="0" applyNumberFormat="1" applyFont="1" applyProtection="1"/>
    <xf numFmtId="166" fontId="39" fillId="0" borderId="0" xfId="3" applyFont="1" applyBorder="1" applyProtection="1"/>
    <xf numFmtId="0" fontId="39" fillId="0" borderId="0" xfId="0" applyFont="1" applyProtection="1"/>
    <xf numFmtId="0" fontId="39" fillId="0" borderId="0" xfId="0" applyFont="1" applyAlignment="1" applyProtection="1">
      <alignment vertical="center"/>
    </xf>
    <xf numFmtId="166" fontId="39" fillId="0" borderId="0" xfId="3" applyFont="1" applyBorder="1" applyAlignment="1" applyProtection="1">
      <alignment vertical="center"/>
    </xf>
    <xf numFmtId="167" fontId="39" fillId="0" borderId="0" xfId="3" applyNumberFormat="1" applyFont="1" applyAlignment="1" applyProtection="1">
      <alignment vertical="center"/>
    </xf>
    <xf numFmtId="3" fontId="38" fillId="0" borderId="0" xfId="0" applyNumberFormat="1" applyFont="1" applyAlignment="1" applyProtection="1">
      <alignment vertical="center"/>
    </xf>
    <xf numFmtId="0" fontId="38" fillId="0" borderId="0" xfId="0" applyFont="1" applyFill="1" applyAlignment="1" applyProtection="1">
      <alignment vertical="center"/>
    </xf>
    <xf numFmtId="166" fontId="38" fillId="0" borderId="0" xfId="3" applyFont="1" applyFill="1" applyBorder="1" applyAlignment="1" applyProtection="1">
      <alignment vertical="center"/>
    </xf>
    <xf numFmtId="3" fontId="38" fillId="0" borderId="0" xfId="0" applyNumberFormat="1" applyFont="1" applyFill="1" applyAlignment="1" applyProtection="1">
      <alignment vertical="center"/>
    </xf>
    <xf numFmtId="0" fontId="40" fillId="0" borderId="0" xfId="0" applyFont="1" applyFill="1" applyAlignment="1" applyProtection="1">
      <alignment vertical="center"/>
    </xf>
    <xf numFmtId="166" fontId="40" fillId="0" borderId="0" xfId="3" applyFont="1" applyFill="1" applyBorder="1" applyAlignment="1" applyProtection="1">
      <alignment vertical="center"/>
    </xf>
    <xf numFmtId="3" fontId="40" fillId="0" borderId="0" xfId="0" applyNumberFormat="1" applyFont="1" applyFill="1" applyAlignment="1" applyProtection="1">
      <alignment vertical="center"/>
    </xf>
    <xf numFmtId="0" fontId="40" fillId="0" borderId="0" xfId="0" applyFont="1" applyAlignment="1" applyProtection="1">
      <alignment vertical="center"/>
    </xf>
    <xf numFmtId="166" fontId="40" fillId="0" borderId="0" xfId="3" applyFont="1" applyBorder="1" applyAlignment="1" applyProtection="1">
      <alignment vertical="center"/>
    </xf>
    <xf numFmtId="0" fontId="41" fillId="0" borderId="0" xfId="0" applyFont="1" applyAlignment="1" applyProtection="1">
      <alignment vertical="center"/>
    </xf>
    <xf numFmtId="3" fontId="30" fillId="0" borderId="1" xfId="3" applyNumberFormat="1" applyFont="1" applyFill="1" applyBorder="1" applyAlignment="1" applyProtection="1">
      <alignment horizontal="center"/>
      <protection locked="0"/>
    </xf>
    <xf numFmtId="166" fontId="41" fillId="0" borderId="0" xfId="3" applyFont="1" applyBorder="1" applyAlignment="1" applyProtection="1">
      <alignment vertical="center"/>
    </xf>
    <xf numFmtId="3" fontId="41" fillId="0" borderId="1" xfId="3" applyNumberFormat="1" applyFont="1" applyFill="1" applyBorder="1" applyAlignment="1" applyProtection="1">
      <alignment horizontal="center"/>
    </xf>
    <xf numFmtId="3" fontId="7" fillId="0" borderId="1" xfId="3" applyNumberFormat="1" applyFont="1" applyFill="1" applyBorder="1" applyAlignment="1" applyProtection="1">
      <alignment horizontal="center" vertical="center" wrapText="1"/>
    </xf>
    <xf numFmtId="0" fontId="42" fillId="0" borderId="0" xfId="1" applyFont="1" applyProtection="1"/>
    <xf numFmtId="0" fontId="29" fillId="0" borderId="0" xfId="1" applyFont="1" applyProtection="1"/>
    <xf numFmtId="0" fontId="42" fillId="0" borderId="0" xfId="1" applyFont="1" applyBorder="1" applyProtection="1"/>
    <xf numFmtId="3" fontId="13" fillId="0" borderId="1" xfId="0" applyNumberFormat="1" applyFont="1" applyBorder="1" applyAlignment="1" applyProtection="1">
      <alignment vertical="center"/>
    </xf>
    <xf numFmtId="165" fontId="33" fillId="0" borderId="0" xfId="0" applyNumberFormat="1" applyFont="1" applyAlignment="1" applyProtection="1">
      <alignment vertical="center"/>
    </xf>
    <xf numFmtId="167" fontId="33" fillId="0" borderId="0" xfId="3" applyNumberFormat="1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right" vertical="center"/>
    </xf>
    <xf numFmtId="3" fontId="13" fillId="3" borderId="14" xfId="0" applyNumberFormat="1" applyFont="1" applyFill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vertical="center"/>
    </xf>
    <xf numFmtId="0" fontId="13" fillId="0" borderId="0" xfId="0" applyFont="1" applyAlignment="1" applyProtection="1">
      <alignment vertical="center"/>
    </xf>
    <xf numFmtId="0" fontId="33" fillId="0" borderId="0" xfId="0" applyFont="1" applyAlignment="1" applyProtection="1">
      <alignment vertical="center"/>
    </xf>
    <xf numFmtId="3" fontId="13" fillId="0" borderId="6" xfId="0" applyNumberFormat="1" applyFont="1" applyBorder="1" applyAlignment="1" applyProtection="1">
      <alignment vertical="center"/>
    </xf>
    <xf numFmtId="3" fontId="13" fillId="3" borderId="6" xfId="0" applyNumberFormat="1" applyFont="1" applyFill="1" applyBorder="1" applyAlignment="1" applyProtection="1">
      <alignment horizontal="right" vertical="center"/>
    </xf>
    <xf numFmtId="3" fontId="13" fillId="0" borderId="8" xfId="0" applyNumberFormat="1" applyFont="1" applyBorder="1" applyAlignment="1" applyProtection="1">
      <alignment vertical="center"/>
    </xf>
    <xf numFmtId="0" fontId="13" fillId="0" borderId="0" xfId="0" applyFont="1" applyProtection="1"/>
    <xf numFmtId="0" fontId="41" fillId="18" borderId="1" xfId="0" applyFont="1" applyFill="1" applyBorder="1" applyAlignment="1" applyProtection="1">
      <alignment horizontal="left" vertical="center" wrapText="1" indent="1"/>
    </xf>
    <xf numFmtId="0" fontId="30" fillId="18" borderId="1" xfId="0" applyFont="1" applyFill="1" applyBorder="1" applyAlignment="1" applyProtection="1">
      <alignment horizontal="left" vertical="center" wrapText="1" indent="1"/>
    </xf>
    <xf numFmtId="0" fontId="33" fillId="0" borderId="0" xfId="0" applyFont="1" applyProtection="1"/>
    <xf numFmtId="0" fontId="42" fillId="0" borderId="0" xfId="0" applyFont="1" applyProtection="1"/>
    <xf numFmtId="3" fontId="13" fillId="0" borderId="0" xfId="0" applyNumberFormat="1" applyFont="1" applyBorder="1" applyAlignment="1" applyProtection="1">
      <alignment horizontal="centerContinuous"/>
    </xf>
    <xf numFmtId="167" fontId="33" fillId="0" borderId="0" xfId="3" applyNumberFormat="1" applyFont="1" applyProtection="1"/>
    <xf numFmtId="0" fontId="10" fillId="0" borderId="0" xfId="0" applyFont="1" applyAlignment="1" applyProtection="1">
      <alignment horizontal="center" vertical="center"/>
    </xf>
    <xf numFmtId="3" fontId="8" fillId="0" borderId="0" xfId="0" applyNumberFormat="1" applyFont="1" applyBorder="1" applyAlignment="1" applyProtection="1">
      <alignment horizontal="centerContinuous"/>
    </xf>
    <xf numFmtId="9" fontId="13" fillId="0" borderId="13" xfId="2" applyFont="1" applyBorder="1" applyAlignment="1" applyProtection="1">
      <alignment horizontal="center" vertical="center"/>
    </xf>
    <xf numFmtId="0" fontId="33" fillId="0" borderId="0" xfId="0" applyFont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right" vertical="center"/>
    </xf>
    <xf numFmtId="3" fontId="10" fillId="0" borderId="1" xfId="0" applyNumberFormat="1" applyFont="1" applyBorder="1" applyAlignment="1" applyProtection="1">
      <alignment horizontal="centerContinuous"/>
    </xf>
    <xf numFmtId="0" fontId="13" fillId="0" borderId="1" xfId="0" applyFont="1" applyFill="1" applyBorder="1" applyAlignment="1" applyProtection="1">
      <alignment vertical="center" wrapText="1"/>
    </xf>
    <xf numFmtId="0" fontId="42" fillId="0" borderId="0" xfId="0" applyFont="1" applyAlignment="1" applyProtection="1">
      <alignment vertical="center"/>
    </xf>
    <xf numFmtId="165" fontId="13" fillId="0" borderId="0" xfId="0" applyNumberFormat="1" applyFont="1" applyAlignment="1" applyProtection="1">
      <alignment vertical="center"/>
    </xf>
    <xf numFmtId="167" fontId="13" fillId="0" borderId="0" xfId="3" applyNumberFormat="1" applyFont="1" applyAlignment="1" applyProtection="1">
      <alignment vertical="center"/>
    </xf>
    <xf numFmtId="0" fontId="13" fillId="4" borderId="0" xfId="0" applyFont="1" applyFill="1" applyAlignment="1" applyProtection="1">
      <alignment vertical="center"/>
    </xf>
    <xf numFmtId="0" fontId="10" fillId="0" borderId="5" xfId="0" applyFont="1" applyFill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vertical="center" wrapText="1"/>
    </xf>
    <xf numFmtId="0" fontId="13" fillId="0" borderId="0" xfId="0" applyFont="1" applyBorder="1" applyAlignment="1" applyProtection="1">
      <alignment horizontal="left" vertical="center" wrapText="1"/>
    </xf>
    <xf numFmtId="0" fontId="10" fillId="0" borderId="5" xfId="0" applyFont="1" applyBorder="1" applyAlignment="1" applyProtection="1">
      <alignment horizontal="center" vertical="center" wrapText="1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33" fillId="0" borderId="0" xfId="0" applyNumberFormat="1" applyFont="1" applyAlignment="1" applyProtection="1">
      <alignment vertical="center"/>
    </xf>
    <xf numFmtId="167" fontId="33" fillId="0" borderId="0" xfId="0" applyNumberFormat="1" applyFont="1" applyAlignment="1" applyProtection="1">
      <alignment vertical="center"/>
    </xf>
    <xf numFmtId="0" fontId="10" fillId="0" borderId="11" xfId="0" applyFont="1" applyBorder="1" applyAlignment="1" applyProtection="1">
      <alignment horizontal="center" vertical="center" wrapText="1"/>
    </xf>
    <xf numFmtId="3" fontId="13" fillId="3" borderId="14" xfId="0" applyNumberFormat="1" applyFont="1" applyFill="1" applyBorder="1" applyAlignment="1" applyProtection="1">
      <alignment horizontal="center" vertical="center"/>
    </xf>
    <xf numFmtId="0" fontId="10" fillId="0" borderId="0" xfId="0" applyFont="1" applyBorder="1" applyProtection="1"/>
    <xf numFmtId="165" fontId="63" fillId="0" borderId="0" xfId="0" applyNumberFormat="1" applyFont="1" applyAlignment="1" applyProtection="1">
      <alignment vertical="center"/>
    </xf>
    <xf numFmtId="167" fontId="63" fillId="0" borderId="0" xfId="3" applyNumberFormat="1" applyFont="1" applyAlignment="1" applyProtection="1">
      <alignment vertical="center"/>
    </xf>
    <xf numFmtId="0" fontId="63" fillId="0" borderId="0" xfId="0" applyFont="1" applyAlignment="1" applyProtection="1">
      <alignment vertical="center"/>
    </xf>
    <xf numFmtId="0" fontId="13" fillId="0" borderId="0" xfId="1" applyFont="1" applyAlignment="1" applyProtection="1">
      <alignment vertical="center"/>
    </xf>
    <xf numFmtId="0" fontId="13" fillId="0" borderId="0" xfId="1" applyFont="1" applyProtection="1"/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left" vertical="center" wrapText="1" indent="1"/>
    </xf>
    <xf numFmtId="0" fontId="8" fillId="0" borderId="0" xfId="0" applyFont="1" applyBorder="1" applyAlignment="1" applyProtection="1">
      <alignment horizontal="center"/>
      <protection locked="0"/>
    </xf>
    <xf numFmtId="168" fontId="13" fillId="0" borderId="0" xfId="0" applyNumberFormat="1" applyFont="1" applyBorder="1" applyAlignment="1" applyProtection="1">
      <alignment horizontal="center"/>
      <protection locked="0"/>
    </xf>
    <xf numFmtId="3" fontId="8" fillId="0" borderId="0" xfId="0" applyNumberFormat="1" applyFont="1" applyBorder="1" applyAlignment="1" applyProtection="1">
      <alignment horizontal="center"/>
    </xf>
    <xf numFmtId="3" fontId="35" fillId="0" borderId="0" xfId="0" applyNumberFormat="1" applyFont="1" applyFill="1" applyAlignment="1" applyProtection="1">
      <alignment vertical="center"/>
    </xf>
    <xf numFmtId="0" fontId="33" fillId="0" borderId="0" xfId="1" applyFont="1" applyAlignment="1" applyProtection="1">
      <alignment vertical="center"/>
    </xf>
    <xf numFmtId="0" fontId="83" fillId="0" borderId="0" xfId="1" applyFont="1" applyProtection="1"/>
    <xf numFmtId="0" fontId="84" fillId="0" borderId="1" xfId="0" applyFont="1" applyBorder="1" applyAlignment="1" applyProtection="1">
      <alignment horizontal="left" vertical="center" wrapText="1" indent="2"/>
    </xf>
    <xf numFmtId="0" fontId="85" fillId="0" borderId="0" xfId="0" applyFont="1" applyProtection="1"/>
    <xf numFmtId="166" fontId="85" fillId="0" borderId="0" xfId="3" applyFont="1" applyBorder="1" applyProtection="1"/>
    <xf numFmtId="0" fontId="85" fillId="0" borderId="0" xfId="0" applyFont="1" applyAlignment="1" applyProtection="1">
      <alignment vertical="center"/>
    </xf>
    <xf numFmtId="0" fontId="86" fillId="0" borderId="0" xfId="0" applyFont="1" applyFill="1" applyAlignment="1" applyProtection="1">
      <alignment vertical="center"/>
    </xf>
    <xf numFmtId="166" fontId="86" fillId="0" borderId="0" xfId="3" applyFont="1" applyFill="1" applyBorder="1" applyAlignment="1" applyProtection="1">
      <alignment vertical="center"/>
    </xf>
    <xf numFmtId="0" fontId="85" fillId="0" borderId="0" xfId="0" applyFont="1" applyFill="1" applyAlignment="1" applyProtection="1">
      <alignment vertical="center"/>
    </xf>
    <xf numFmtId="3" fontId="87" fillId="0" borderId="0" xfId="0" applyNumberFormat="1" applyFont="1" applyProtection="1"/>
    <xf numFmtId="166" fontId="87" fillId="0" borderId="0" xfId="3" applyFont="1" applyBorder="1" applyProtection="1"/>
    <xf numFmtId="0" fontId="87" fillId="0" borderId="0" xfId="0" applyFont="1" applyProtection="1"/>
    <xf numFmtId="0" fontId="87" fillId="0" borderId="0" xfId="0" applyFont="1" applyAlignment="1" applyProtection="1">
      <alignment vertical="center"/>
    </xf>
    <xf numFmtId="166" fontId="87" fillId="0" borderId="0" xfId="3" applyFont="1" applyBorder="1" applyAlignment="1" applyProtection="1">
      <alignment vertical="center"/>
    </xf>
    <xf numFmtId="167" fontId="87" fillId="0" borderId="0" xfId="3" applyNumberFormat="1" applyFont="1" applyAlignment="1" applyProtection="1">
      <alignment vertical="center"/>
    </xf>
    <xf numFmtId="0" fontId="36" fillId="0" borderId="0" xfId="0" applyFont="1" applyFill="1" applyAlignment="1" applyProtection="1">
      <alignment vertical="center"/>
    </xf>
    <xf numFmtId="0" fontId="36" fillId="0" borderId="0" xfId="0" applyFont="1" applyAlignment="1" applyProtection="1">
      <alignment vertical="center"/>
    </xf>
    <xf numFmtId="0" fontId="88" fillId="0" borderId="0" xfId="0" applyFont="1"/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0" fillId="0" borderId="1" xfId="0" applyFont="1" applyBorder="1" applyAlignment="1" applyProtection="1">
      <alignment horizontal="center" vertical="center"/>
    </xf>
    <xf numFmtId="3" fontId="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7" fillId="0" borderId="1" xfId="3" applyNumberFormat="1" applyFont="1" applyFill="1" applyBorder="1" applyAlignment="1" applyProtection="1">
      <alignment horizontal="center" wrapText="1"/>
      <protection locked="0"/>
    </xf>
    <xf numFmtId="170" fontId="84" fillId="41" borderId="1" xfId="3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7" fillId="0" borderId="0" xfId="0" applyFont="1" applyFill="1" applyAlignment="1" applyProtection="1">
      <alignment vertical="center"/>
    </xf>
    <xf numFmtId="166" fontId="7" fillId="0" borderId="0" xfId="3" applyFont="1" applyFill="1" applyBorder="1" applyAlignment="1" applyProtection="1">
      <alignment vertical="center"/>
    </xf>
    <xf numFmtId="167" fontId="35" fillId="0" borderId="0" xfId="3" applyNumberFormat="1" applyFont="1" applyFill="1" applyBorder="1" applyAlignment="1" applyProtection="1">
      <alignment vertical="center"/>
    </xf>
    <xf numFmtId="0" fontId="10" fillId="0" borderId="3" xfId="0" applyFont="1" applyBorder="1" applyAlignment="1" applyProtection="1">
      <alignment horizontal="center" vertical="center"/>
    </xf>
    <xf numFmtId="9" fontId="13" fillId="0" borderId="3" xfId="0" applyNumberFormat="1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169" fontId="13" fillId="0" borderId="3" xfId="0" applyNumberFormat="1" applyFont="1" applyBorder="1" applyAlignment="1" applyProtection="1">
      <alignment horizontal="center" vertical="center"/>
    </xf>
    <xf numFmtId="0" fontId="10" fillId="0" borderId="19" xfId="0" applyFont="1" applyBorder="1" applyAlignment="1" applyProtection="1">
      <alignment vertical="center"/>
    </xf>
    <xf numFmtId="0" fontId="10" fillId="0" borderId="12" xfId="0" applyFont="1" applyBorder="1" applyAlignment="1" applyProtection="1">
      <alignment vertical="center"/>
    </xf>
    <xf numFmtId="0" fontId="10" fillId="0" borderId="18" xfId="0" applyFont="1" applyBorder="1" applyAlignment="1" applyProtection="1">
      <alignment vertical="center"/>
    </xf>
    <xf numFmtId="3" fontId="87" fillId="0" borderId="1" xfId="3" applyNumberFormat="1" applyFont="1" applyFill="1" applyBorder="1" applyAlignment="1" applyProtection="1">
      <alignment horizontal="center" vertical="center" wrapText="1"/>
    </xf>
    <xf numFmtId="167" fontId="13" fillId="0" borderId="0" xfId="3" applyNumberFormat="1" applyFont="1" applyProtection="1"/>
    <xf numFmtId="0" fontId="13" fillId="0" borderId="0" xfId="0" applyFont="1" applyAlignment="1" applyProtection="1">
      <alignment horizontal="center" vertical="center"/>
    </xf>
    <xf numFmtId="3" fontId="89" fillId="3" borderId="1" xfId="0" applyNumberFormat="1" applyFont="1" applyFill="1" applyBorder="1" applyAlignment="1" applyProtection="1">
      <alignment horizontal="left" vertical="center"/>
    </xf>
    <xf numFmtId="3" fontId="13" fillId="0" borderId="0" xfId="0" applyNumberFormat="1" applyFont="1" applyAlignment="1" applyProtection="1">
      <alignment vertical="center"/>
    </xf>
    <xf numFmtId="167" fontId="13" fillId="0" borderId="0" xfId="0" applyNumberFormat="1" applyFont="1" applyAlignment="1" applyProtection="1">
      <alignment vertical="center"/>
    </xf>
    <xf numFmtId="3" fontId="90" fillId="3" borderId="1" xfId="0" applyNumberFormat="1" applyFont="1" applyFill="1" applyBorder="1" applyAlignment="1" applyProtection="1">
      <alignment horizontal="left" vertical="center"/>
    </xf>
    <xf numFmtId="0" fontId="10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9" fontId="13" fillId="0" borderId="1" xfId="2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vertical="center"/>
    </xf>
    <xf numFmtId="0" fontId="10" fillId="0" borderId="1" xfId="0" applyFont="1" applyBorder="1" applyAlignment="1" applyProtection="1">
      <alignment horizontal="center" vertical="center" wrapText="1"/>
    </xf>
    <xf numFmtId="9" fontId="13" fillId="0" borderId="1" xfId="0" applyNumberFormat="1" applyFont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/>
    </xf>
    <xf numFmtId="169" fontId="13" fillId="0" borderId="1" xfId="0" applyNumberFormat="1" applyFont="1" applyBorder="1" applyAlignment="1" applyProtection="1">
      <alignment horizontal="center" vertical="center"/>
    </xf>
    <xf numFmtId="0" fontId="91" fillId="0" borderId="0" xfId="0" applyFont="1" applyAlignment="1" applyProtection="1">
      <alignment horizontal="center"/>
    </xf>
    <xf numFmtId="192" fontId="92" fillId="0" borderId="39" xfId="0" applyNumberFormat="1" applyFont="1" applyBorder="1" applyAlignment="1" applyProtection="1">
      <alignment horizontal="right" vertical="center"/>
      <protection locked="0"/>
    </xf>
    <xf numFmtId="0" fontId="15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center" vertical="center" wrapText="1"/>
    </xf>
    <xf numFmtId="168" fontId="13" fillId="0" borderId="0" xfId="0" applyNumberFormat="1" applyFont="1" applyBorder="1" applyAlignment="1" applyProtection="1">
      <alignment horizontal="center"/>
    </xf>
    <xf numFmtId="0" fontId="13" fillId="0" borderId="1" xfId="0" applyFont="1" applyFill="1" applyBorder="1" applyAlignment="1" applyProtection="1">
      <alignment horizontal="left" vertical="center" wrapText="1"/>
    </xf>
    <xf numFmtId="9" fontId="10" fillId="0" borderId="36" xfId="0" applyNumberFormat="1" applyFont="1" applyFill="1" applyBorder="1" applyAlignment="1" applyProtection="1">
      <alignment horizontal="center" vertical="center"/>
    </xf>
    <xf numFmtId="9" fontId="10" fillId="0" borderId="38" xfId="0" applyNumberFormat="1" applyFont="1" applyFill="1" applyBorder="1" applyAlignment="1" applyProtection="1">
      <alignment horizontal="center" vertical="center"/>
    </xf>
    <xf numFmtId="9" fontId="10" fillId="0" borderId="36" xfId="0" applyNumberFormat="1" applyFont="1" applyBorder="1" applyAlignment="1" applyProtection="1">
      <alignment horizontal="center" vertical="center"/>
    </xf>
    <xf numFmtId="9" fontId="10" fillId="0" borderId="38" xfId="0" applyNumberFormat="1" applyFont="1" applyBorder="1" applyAlignment="1" applyProtection="1">
      <alignment horizontal="center" vertical="center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3" fillId="0" borderId="22" xfId="0" applyFont="1" applyFill="1" applyBorder="1" applyAlignment="1" applyProtection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</xf>
    <xf numFmtId="0" fontId="10" fillId="0" borderId="3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center" vertical="center"/>
    </xf>
    <xf numFmtId="0" fontId="10" fillId="0" borderId="33" xfId="0" applyFont="1" applyBorder="1" applyAlignment="1" applyProtection="1">
      <alignment horizontal="center" vertical="center"/>
    </xf>
    <xf numFmtId="0" fontId="10" fillId="0" borderId="34" xfId="0" applyFont="1" applyBorder="1" applyAlignment="1" applyProtection="1">
      <alignment horizontal="center" vertical="center"/>
    </xf>
    <xf numFmtId="0" fontId="10" fillId="0" borderId="35" xfId="0" applyFont="1" applyBorder="1" applyAlignment="1" applyProtection="1">
      <alignment horizontal="center" vertical="center"/>
    </xf>
    <xf numFmtId="0" fontId="10" fillId="0" borderId="36" xfId="0" applyFont="1" applyBorder="1" applyAlignment="1" applyProtection="1">
      <alignment horizontal="center" vertical="center"/>
    </xf>
    <xf numFmtId="0" fontId="10" fillId="0" borderId="37" xfId="0" applyFont="1" applyBorder="1" applyAlignment="1" applyProtection="1">
      <alignment horizontal="center" vertical="center"/>
    </xf>
    <xf numFmtId="0" fontId="10" fillId="0" borderId="38" xfId="0" applyFont="1" applyBorder="1" applyAlignment="1" applyProtection="1">
      <alignment horizontal="center" vertical="center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20" xfId="0" applyFont="1" applyBorder="1" applyAlignment="1" applyProtection="1">
      <alignment horizontal="center" vertical="center"/>
    </xf>
    <xf numFmtId="0" fontId="10" fillId="0" borderId="21" xfId="0" applyFont="1" applyBorder="1" applyAlignment="1" applyProtection="1">
      <alignment horizontal="center" vertical="center"/>
    </xf>
    <xf numFmtId="0" fontId="10" fillId="0" borderId="15" xfId="0" applyFont="1" applyBorder="1" applyAlignment="1" applyProtection="1">
      <alignment horizontal="center" vertical="center"/>
    </xf>
    <xf numFmtId="0" fontId="10" fillId="0" borderId="16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0" fillId="0" borderId="17" xfId="0" applyFont="1" applyBorder="1" applyAlignment="1" applyProtection="1">
      <alignment horizontal="center" vertical="center"/>
    </xf>
    <xf numFmtId="0" fontId="21" fillId="0" borderId="0" xfId="1" applyFont="1" applyAlignment="1" applyProtection="1">
      <alignment horizontal="center" vertical="center"/>
    </xf>
  </cellXfs>
  <cellStyles count="1288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6" xfId="353" xr:uid="{00000000-0005-0000-0000-000096010000}"/>
    <cellStyle name="Обычный 107" xfId="354" xr:uid="{00000000-0005-0000-0000-000097010000}"/>
    <cellStyle name="Обычный 109" xfId="355" xr:uid="{00000000-0005-0000-0000-000098010000}"/>
    <cellStyle name="Обычный 11" xfId="356" xr:uid="{00000000-0005-0000-0000-000099010000}"/>
    <cellStyle name="Обычный 11 2" xfId="357" xr:uid="{00000000-0005-0000-0000-00009A010000}"/>
    <cellStyle name="Обычный 11 2 2" xfId="358" xr:uid="{00000000-0005-0000-0000-00009B010000}"/>
    <cellStyle name="Обычный 11 3" xfId="359" xr:uid="{00000000-0005-0000-0000-00009C010000}"/>
    <cellStyle name="Обычный 11 4" xfId="360" xr:uid="{00000000-0005-0000-0000-00009D010000}"/>
    <cellStyle name="Обычный 11 6" xfId="361" xr:uid="{00000000-0005-0000-0000-00009E010000}"/>
    <cellStyle name="Обычный 110" xfId="362" xr:uid="{00000000-0005-0000-0000-00009F010000}"/>
    <cellStyle name="Обычный 112" xfId="363" xr:uid="{00000000-0005-0000-0000-0000A0010000}"/>
    <cellStyle name="Обычный 113" xfId="364" xr:uid="{00000000-0005-0000-0000-0000A1010000}"/>
    <cellStyle name="Обычный 115" xfId="365" xr:uid="{00000000-0005-0000-0000-0000A2010000}"/>
    <cellStyle name="Обычный 116" xfId="366" xr:uid="{00000000-0005-0000-0000-0000A3010000}"/>
    <cellStyle name="Обычный 118" xfId="367" xr:uid="{00000000-0005-0000-0000-0000A4010000}"/>
    <cellStyle name="Обычный 12" xfId="368" xr:uid="{00000000-0005-0000-0000-0000A5010000}"/>
    <cellStyle name="Обычный 12 2" xfId="369" xr:uid="{00000000-0005-0000-0000-0000A6010000}"/>
    <cellStyle name="Обычный 12 2 2" xfId="370" xr:uid="{00000000-0005-0000-0000-0000A7010000}"/>
    <cellStyle name="Обычный 12 3" xfId="371" xr:uid="{00000000-0005-0000-0000-0000A8010000}"/>
    <cellStyle name="Обычный 12 4" xfId="372" xr:uid="{00000000-0005-0000-0000-0000A9010000}"/>
    <cellStyle name="Обычный 12 5" xfId="373" xr:uid="{00000000-0005-0000-0000-0000AA010000}"/>
    <cellStyle name="Обычный 12 6" xfId="374" xr:uid="{00000000-0005-0000-0000-0000AB010000}"/>
    <cellStyle name="Обычный 12 7" xfId="375" xr:uid="{00000000-0005-0000-0000-0000AC010000}"/>
    <cellStyle name="Обычный 12 8" xfId="376" xr:uid="{00000000-0005-0000-0000-0000AD010000}"/>
    <cellStyle name="Обычный 120" xfId="377" xr:uid="{00000000-0005-0000-0000-0000AE010000}"/>
    <cellStyle name="Обычный 121" xfId="378" xr:uid="{00000000-0005-0000-0000-0000AF010000}"/>
    <cellStyle name="Обычный 122" xfId="379" xr:uid="{00000000-0005-0000-0000-0000B0010000}"/>
    <cellStyle name="Обычный 123" xfId="380" xr:uid="{00000000-0005-0000-0000-0000B1010000}"/>
    <cellStyle name="Обычный 13" xfId="381" xr:uid="{00000000-0005-0000-0000-0000B2010000}"/>
    <cellStyle name="Обычный 13 2" xfId="382" xr:uid="{00000000-0005-0000-0000-0000B3010000}"/>
    <cellStyle name="Обычный 13 2 2" xfId="383" xr:uid="{00000000-0005-0000-0000-0000B4010000}"/>
    <cellStyle name="Обычный 14" xfId="384" xr:uid="{00000000-0005-0000-0000-0000B5010000}"/>
    <cellStyle name="Обычный 14 2" xfId="385" xr:uid="{00000000-0005-0000-0000-0000B6010000}"/>
    <cellStyle name="Обычный 14 2 2" xfId="386" xr:uid="{00000000-0005-0000-0000-0000B7010000}"/>
    <cellStyle name="Обычный 14 3" xfId="387" xr:uid="{00000000-0005-0000-0000-0000B8010000}"/>
    <cellStyle name="Обычный 14 4" xfId="388" xr:uid="{00000000-0005-0000-0000-0000B9010000}"/>
    <cellStyle name="Обычный 14 5" xfId="389" xr:uid="{00000000-0005-0000-0000-0000BA010000}"/>
    <cellStyle name="Обычный 144" xfId="390" xr:uid="{00000000-0005-0000-0000-0000BB010000}"/>
    <cellStyle name="Обычный 147" xfId="391" xr:uid="{00000000-0005-0000-0000-0000BC010000}"/>
    <cellStyle name="Обычный 148" xfId="392" xr:uid="{00000000-0005-0000-0000-0000BD010000}"/>
    <cellStyle name="Обычный 15" xfId="393" xr:uid="{00000000-0005-0000-0000-0000BE010000}"/>
    <cellStyle name="Обычный 15 2" xfId="394" xr:uid="{00000000-0005-0000-0000-0000BF010000}"/>
    <cellStyle name="Обычный 15 2 2" xfId="395" xr:uid="{00000000-0005-0000-0000-0000C0010000}"/>
    <cellStyle name="Обычный 15 2 3" xfId="396" xr:uid="{00000000-0005-0000-0000-0000C1010000}"/>
    <cellStyle name="Обычный 15 2 4" xfId="397" xr:uid="{00000000-0005-0000-0000-0000C2010000}"/>
    <cellStyle name="Обычный 15 2 5" xfId="398" xr:uid="{00000000-0005-0000-0000-0000C3010000}"/>
    <cellStyle name="Обычный 15 2 6" xfId="399" xr:uid="{00000000-0005-0000-0000-0000C4010000}"/>
    <cellStyle name="Обычный 15 3" xfId="400" xr:uid="{00000000-0005-0000-0000-0000C5010000}"/>
    <cellStyle name="Обычный 15 4" xfId="401" xr:uid="{00000000-0005-0000-0000-0000C6010000}"/>
    <cellStyle name="Обычный 15 5" xfId="402" xr:uid="{00000000-0005-0000-0000-0000C7010000}"/>
    <cellStyle name="Обычный 16" xfId="403" xr:uid="{00000000-0005-0000-0000-0000C8010000}"/>
    <cellStyle name="Обычный 16 10" xfId="404" xr:uid="{00000000-0005-0000-0000-0000C9010000}"/>
    <cellStyle name="Обычный 16 11" xfId="405" xr:uid="{00000000-0005-0000-0000-0000CA010000}"/>
    <cellStyle name="Обычный 16 12" xfId="406" xr:uid="{00000000-0005-0000-0000-0000CB010000}"/>
    <cellStyle name="Обычный 16 13" xfId="407" xr:uid="{00000000-0005-0000-0000-0000CC010000}"/>
    <cellStyle name="Обычный 16 14" xfId="408" xr:uid="{00000000-0005-0000-0000-0000CD010000}"/>
    <cellStyle name="Обычный 16 2" xfId="409" xr:uid="{00000000-0005-0000-0000-0000CE010000}"/>
    <cellStyle name="Обычный 16 2 2" xfId="410" xr:uid="{00000000-0005-0000-0000-0000CF010000}"/>
    <cellStyle name="Обычный 16 3" xfId="411" xr:uid="{00000000-0005-0000-0000-0000D0010000}"/>
    <cellStyle name="Обычный 16 3 2" xfId="412" xr:uid="{00000000-0005-0000-0000-0000D1010000}"/>
    <cellStyle name="Обычный 16 4" xfId="413" xr:uid="{00000000-0005-0000-0000-0000D2010000}"/>
    <cellStyle name="Обычный 16 4 2" xfId="414" xr:uid="{00000000-0005-0000-0000-0000D3010000}"/>
    <cellStyle name="Обычный 16 5" xfId="415" xr:uid="{00000000-0005-0000-0000-0000D4010000}"/>
    <cellStyle name="Обычный 16 6" xfId="416" xr:uid="{00000000-0005-0000-0000-0000D5010000}"/>
    <cellStyle name="Обычный 16 7" xfId="417" xr:uid="{00000000-0005-0000-0000-0000D6010000}"/>
    <cellStyle name="Обычный 16 8" xfId="418" xr:uid="{00000000-0005-0000-0000-0000D7010000}"/>
    <cellStyle name="Обычный 16 9" xfId="419" xr:uid="{00000000-0005-0000-0000-0000D8010000}"/>
    <cellStyle name="Обычный 17" xfId="420" xr:uid="{00000000-0005-0000-0000-0000D9010000}"/>
    <cellStyle name="Обычный 17 2" xfId="421" xr:uid="{00000000-0005-0000-0000-0000DA010000}"/>
    <cellStyle name="Обычный 17 2 2" xfId="422" xr:uid="{00000000-0005-0000-0000-0000DB010000}"/>
    <cellStyle name="Обычный 17 3" xfId="423" xr:uid="{00000000-0005-0000-0000-0000DC010000}"/>
    <cellStyle name="Обычный 17 4" xfId="424" xr:uid="{00000000-0005-0000-0000-0000DD010000}"/>
    <cellStyle name="Обычный 18" xfId="425" xr:uid="{00000000-0005-0000-0000-0000DE010000}"/>
    <cellStyle name="Обычный 18 2" xfId="426" xr:uid="{00000000-0005-0000-0000-0000DF010000}"/>
    <cellStyle name="Обычный 18 2 2" xfId="427" xr:uid="{00000000-0005-0000-0000-0000E0010000}"/>
    <cellStyle name="Обычный 18 2 2 2" xfId="428" xr:uid="{00000000-0005-0000-0000-0000E1010000}"/>
    <cellStyle name="Обычный 18 2 3" xfId="429" xr:uid="{00000000-0005-0000-0000-0000E2010000}"/>
    <cellStyle name="Обычный 18 2 4" xfId="430" xr:uid="{00000000-0005-0000-0000-0000E3010000}"/>
    <cellStyle name="Обычный 18 3" xfId="431" xr:uid="{00000000-0005-0000-0000-0000E4010000}"/>
    <cellStyle name="Обычный 18 3 2" xfId="432" xr:uid="{00000000-0005-0000-0000-0000E5010000}"/>
    <cellStyle name="Обычный 18 4" xfId="433" xr:uid="{00000000-0005-0000-0000-0000E6010000}"/>
    <cellStyle name="Обычный 18 5" xfId="434" xr:uid="{00000000-0005-0000-0000-0000E7010000}"/>
    <cellStyle name="Обычный 18 6" xfId="435" xr:uid="{00000000-0005-0000-0000-0000E8010000}"/>
    <cellStyle name="Обычный 188" xfId="436" xr:uid="{00000000-0005-0000-0000-0000E9010000}"/>
    <cellStyle name="Обычный 19" xfId="437" xr:uid="{00000000-0005-0000-0000-0000EA010000}"/>
    <cellStyle name="Обычный 19 2" xfId="438" xr:uid="{00000000-0005-0000-0000-0000EB010000}"/>
    <cellStyle name="Обычный 19 2 2" xfId="439" xr:uid="{00000000-0005-0000-0000-0000EC010000}"/>
    <cellStyle name="Обычный 19 2 3" xfId="440" xr:uid="{00000000-0005-0000-0000-0000ED010000}"/>
    <cellStyle name="Обычный 19 3" xfId="441" xr:uid="{00000000-0005-0000-0000-0000EE010000}"/>
    <cellStyle name="Обычный 190" xfId="442" xr:uid="{00000000-0005-0000-0000-0000EF010000}"/>
    <cellStyle name="Обычный 2" xfId="1" xr:uid="{00000000-0005-0000-0000-0000F0010000}"/>
    <cellStyle name="Обычный 2 10" xfId="443" xr:uid="{00000000-0005-0000-0000-0000F1010000}"/>
    <cellStyle name="Обычный 2 11" xfId="444" xr:uid="{00000000-0005-0000-0000-0000F2010000}"/>
    <cellStyle name="Обычный 2 12" xfId="445" xr:uid="{00000000-0005-0000-0000-0000F3010000}"/>
    <cellStyle name="Обычный 2 13" xfId="446" xr:uid="{00000000-0005-0000-0000-0000F4010000}"/>
    <cellStyle name="Обычный 2 14" xfId="447" xr:uid="{00000000-0005-0000-0000-0000F5010000}"/>
    <cellStyle name="Обычный 2 15" xfId="448" xr:uid="{00000000-0005-0000-0000-0000F6010000}"/>
    <cellStyle name="Обычный 2 16" xfId="449" xr:uid="{00000000-0005-0000-0000-0000F7010000}"/>
    <cellStyle name="Обычный 2 17" xfId="450" xr:uid="{00000000-0005-0000-0000-0000F8010000}"/>
    <cellStyle name="Обычный 2 18" xfId="451" xr:uid="{00000000-0005-0000-0000-0000F9010000}"/>
    <cellStyle name="Обычный 2 19" xfId="452" xr:uid="{00000000-0005-0000-0000-0000FA010000}"/>
    <cellStyle name="Обычный 2 2" xfId="453" xr:uid="{00000000-0005-0000-0000-0000FB010000}"/>
    <cellStyle name="Обычный 2 2 10" xfId="454" xr:uid="{00000000-0005-0000-0000-0000FC010000}"/>
    <cellStyle name="Обычный 2 2 10 2" xfId="455" xr:uid="{00000000-0005-0000-0000-0000FD010000}"/>
    <cellStyle name="Обычный 2 2 11" xfId="456" xr:uid="{00000000-0005-0000-0000-0000FE010000}"/>
    <cellStyle name="Обычный 2 2 11 2" xfId="457" xr:uid="{00000000-0005-0000-0000-0000FF010000}"/>
    <cellStyle name="Обычный 2 2 12" xfId="458" xr:uid="{00000000-0005-0000-0000-000000020000}"/>
    <cellStyle name="Обычный 2 2 12 2" xfId="459" xr:uid="{00000000-0005-0000-0000-000001020000}"/>
    <cellStyle name="Обычный 2 2 13" xfId="460" xr:uid="{00000000-0005-0000-0000-000002020000}"/>
    <cellStyle name="Обычный 2 2 13 2" xfId="461" xr:uid="{00000000-0005-0000-0000-000003020000}"/>
    <cellStyle name="Обычный 2 2 14" xfId="462" xr:uid="{00000000-0005-0000-0000-000004020000}"/>
    <cellStyle name="Обычный 2 2 14 2" xfId="463" xr:uid="{00000000-0005-0000-0000-000005020000}"/>
    <cellStyle name="Обычный 2 2 15" xfId="464" xr:uid="{00000000-0005-0000-0000-000006020000}"/>
    <cellStyle name="Обычный 2 2 15 2" xfId="465" xr:uid="{00000000-0005-0000-0000-000007020000}"/>
    <cellStyle name="Обычный 2 2 16" xfId="466" xr:uid="{00000000-0005-0000-0000-000008020000}"/>
    <cellStyle name="Обычный 2 2 16 2" xfId="467" xr:uid="{00000000-0005-0000-0000-000009020000}"/>
    <cellStyle name="Обычный 2 2 17" xfId="468" xr:uid="{00000000-0005-0000-0000-00000A020000}"/>
    <cellStyle name="Обычный 2 2 17 2" xfId="469" xr:uid="{00000000-0005-0000-0000-00000B020000}"/>
    <cellStyle name="Обычный 2 2 18" xfId="470" xr:uid="{00000000-0005-0000-0000-00000C020000}"/>
    <cellStyle name="Обычный 2 2 18 2" xfId="471" xr:uid="{00000000-0005-0000-0000-00000D020000}"/>
    <cellStyle name="Обычный 2 2 19" xfId="472" xr:uid="{00000000-0005-0000-0000-00000E020000}"/>
    <cellStyle name="Обычный 2 2 19 2" xfId="473" xr:uid="{00000000-0005-0000-0000-00000F020000}"/>
    <cellStyle name="Обычный 2 2 2" xfId="474" xr:uid="{00000000-0005-0000-0000-000010020000}"/>
    <cellStyle name="Обычный 2 2 2 10" xfId="475" xr:uid="{00000000-0005-0000-0000-000011020000}"/>
    <cellStyle name="Обычный 2 2 2 11" xfId="476" xr:uid="{00000000-0005-0000-0000-000012020000}"/>
    <cellStyle name="Обычный 2 2 2 12" xfId="477" xr:uid="{00000000-0005-0000-0000-000013020000}"/>
    <cellStyle name="Обычный 2 2 2 13" xfId="478" xr:uid="{00000000-0005-0000-0000-000014020000}"/>
    <cellStyle name="Обычный 2 2 2 14" xfId="479" xr:uid="{00000000-0005-0000-0000-000015020000}"/>
    <cellStyle name="Обычный 2 2 2 15" xfId="480" xr:uid="{00000000-0005-0000-0000-000016020000}"/>
    <cellStyle name="Обычный 2 2 2 16" xfId="481" xr:uid="{00000000-0005-0000-0000-000017020000}"/>
    <cellStyle name="Обычный 2 2 2 17" xfId="482" xr:uid="{00000000-0005-0000-0000-000018020000}"/>
    <cellStyle name="Обычный 2 2 2 18" xfId="483" xr:uid="{00000000-0005-0000-0000-000019020000}"/>
    <cellStyle name="Обычный 2 2 2 19" xfId="484" xr:uid="{00000000-0005-0000-0000-00001A020000}"/>
    <cellStyle name="Обычный 2 2 2 2" xfId="485" xr:uid="{00000000-0005-0000-0000-00001B020000}"/>
    <cellStyle name="Обычный 2 2 2 2 10" xfId="486" xr:uid="{00000000-0005-0000-0000-00001C020000}"/>
    <cellStyle name="Обычный 2 2 2 2 11" xfId="487" xr:uid="{00000000-0005-0000-0000-00001D020000}"/>
    <cellStyle name="Обычный 2 2 2 2 12" xfId="488" xr:uid="{00000000-0005-0000-0000-00001E020000}"/>
    <cellStyle name="Обычный 2 2 2 2 13" xfId="489" xr:uid="{00000000-0005-0000-0000-00001F020000}"/>
    <cellStyle name="Обычный 2 2 2 2 14" xfId="490" xr:uid="{00000000-0005-0000-0000-000020020000}"/>
    <cellStyle name="Обычный 2 2 2 2 15" xfId="491" xr:uid="{00000000-0005-0000-0000-000021020000}"/>
    <cellStyle name="Обычный 2 2 2 2 16" xfId="492" xr:uid="{00000000-0005-0000-0000-000022020000}"/>
    <cellStyle name="Обычный 2 2 2 2 17" xfId="493" xr:uid="{00000000-0005-0000-0000-000023020000}"/>
    <cellStyle name="Обычный 2 2 2 2 18" xfId="494" xr:uid="{00000000-0005-0000-0000-000024020000}"/>
    <cellStyle name="Обычный 2 2 2 2 19" xfId="495" xr:uid="{00000000-0005-0000-0000-000025020000}"/>
    <cellStyle name="Обычный 2 2 2 2 2" xfId="496" xr:uid="{00000000-0005-0000-0000-000026020000}"/>
    <cellStyle name="Обычный 2 2 2 2 20" xfId="497" xr:uid="{00000000-0005-0000-0000-000027020000}"/>
    <cellStyle name="Обычный 2 2 2 2 21" xfId="498" xr:uid="{00000000-0005-0000-0000-000028020000}"/>
    <cellStyle name="Обычный 2 2 2 2 22" xfId="499" xr:uid="{00000000-0005-0000-0000-000029020000}"/>
    <cellStyle name="Обычный 2 2 2 2 23" xfId="500" xr:uid="{00000000-0005-0000-0000-00002A020000}"/>
    <cellStyle name="Обычный 2 2 2 2 24" xfId="501" xr:uid="{00000000-0005-0000-0000-00002B020000}"/>
    <cellStyle name="Обычный 2 2 2 2 25" xfId="502" xr:uid="{00000000-0005-0000-0000-00002C020000}"/>
    <cellStyle name="Обычный 2 2 2 2 26" xfId="503" xr:uid="{00000000-0005-0000-0000-00002D020000}"/>
    <cellStyle name="Обычный 2 2 2 2 27" xfId="504" xr:uid="{00000000-0005-0000-0000-00002E020000}"/>
    <cellStyle name="Обычный 2 2 2 2 28" xfId="505" xr:uid="{00000000-0005-0000-0000-00002F020000}"/>
    <cellStyle name="Обычный 2 2 2 2 29" xfId="506" xr:uid="{00000000-0005-0000-0000-000030020000}"/>
    <cellStyle name="Обычный 2 2 2 2 3" xfId="507" xr:uid="{00000000-0005-0000-0000-000031020000}"/>
    <cellStyle name="Обычный 2 2 2 2 30" xfId="508" xr:uid="{00000000-0005-0000-0000-000032020000}"/>
    <cellStyle name="Обычный 2 2 2 2 4" xfId="509" xr:uid="{00000000-0005-0000-0000-000033020000}"/>
    <cellStyle name="Обычный 2 2 2 2 5" xfId="510" xr:uid="{00000000-0005-0000-0000-000034020000}"/>
    <cellStyle name="Обычный 2 2 2 2 6" xfId="511" xr:uid="{00000000-0005-0000-0000-000035020000}"/>
    <cellStyle name="Обычный 2 2 2 2 7" xfId="512" xr:uid="{00000000-0005-0000-0000-000036020000}"/>
    <cellStyle name="Обычный 2 2 2 2 8" xfId="513" xr:uid="{00000000-0005-0000-0000-000037020000}"/>
    <cellStyle name="Обычный 2 2 2 2 9" xfId="514" xr:uid="{00000000-0005-0000-0000-000038020000}"/>
    <cellStyle name="Обычный 2 2 2 20" xfId="515" xr:uid="{00000000-0005-0000-0000-000039020000}"/>
    <cellStyle name="Обычный 2 2 2 21" xfId="516" xr:uid="{00000000-0005-0000-0000-00003A020000}"/>
    <cellStyle name="Обычный 2 2 2 22" xfId="517" xr:uid="{00000000-0005-0000-0000-00003B020000}"/>
    <cellStyle name="Обычный 2 2 2 23" xfId="518" xr:uid="{00000000-0005-0000-0000-00003C020000}"/>
    <cellStyle name="Обычный 2 2 2 24" xfId="519" xr:uid="{00000000-0005-0000-0000-00003D020000}"/>
    <cellStyle name="Обычный 2 2 2 25" xfId="520" xr:uid="{00000000-0005-0000-0000-00003E020000}"/>
    <cellStyle name="Обычный 2 2 2 26" xfId="521" xr:uid="{00000000-0005-0000-0000-00003F020000}"/>
    <cellStyle name="Обычный 2 2 2 27" xfId="522" xr:uid="{00000000-0005-0000-0000-000040020000}"/>
    <cellStyle name="Обычный 2 2 2 28" xfId="523" xr:uid="{00000000-0005-0000-0000-000041020000}"/>
    <cellStyle name="Обычный 2 2 2 29" xfId="524" xr:uid="{00000000-0005-0000-0000-000042020000}"/>
    <cellStyle name="Обычный 2 2 2 3" xfId="525" xr:uid="{00000000-0005-0000-0000-000043020000}"/>
    <cellStyle name="Обычный 2 2 2 30" xfId="526" xr:uid="{00000000-0005-0000-0000-000044020000}"/>
    <cellStyle name="Обычный 2 2 2 31" xfId="527" xr:uid="{00000000-0005-0000-0000-000045020000}"/>
    <cellStyle name="Обычный 2 2 2 4" xfId="528" xr:uid="{00000000-0005-0000-0000-000046020000}"/>
    <cellStyle name="Обычный 2 2 2 5" xfId="529" xr:uid="{00000000-0005-0000-0000-000047020000}"/>
    <cellStyle name="Обычный 2 2 2 6" xfId="530" xr:uid="{00000000-0005-0000-0000-000048020000}"/>
    <cellStyle name="Обычный 2 2 2 7" xfId="531" xr:uid="{00000000-0005-0000-0000-000049020000}"/>
    <cellStyle name="Обычный 2 2 2 8" xfId="532" xr:uid="{00000000-0005-0000-0000-00004A020000}"/>
    <cellStyle name="Обычный 2 2 2 9" xfId="533" xr:uid="{00000000-0005-0000-0000-00004B020000}"/>
    <cellStyle name="Обычный 2 2 20" xfId="534" xr:uid="{00000000-0005-0000-0000-00004C020000}"/>
    <cellStyle name="Обычный 2 2 20 2" xfId="535" xr:uid="{00000000-0005-0000-0000-00004D020000}"/>
    <cellStyle name="Обычный 2 2 21" xfId="536" xr:uid="{00000000-0005-0000-0000-00004E020000}"/>
    <cellStyle name="Обычный 2 2 21 2" xfId="537" xr:uid="{00000000-0005-0000-0000-00004F020000}"/>
    <cellStyle name="Обычный 2 2 22" xfId="538" xr:uid="{00000000-0005-0000-0000-000050020000}"/>
    <cellStyle name="Обычный 2 2 22 2" xfId="539" xr:uid="{00000000-0005-0000-0000-000051020000}"/>
    <cellStyle name="Обычный 2 2 23" xfId="540" xr:uid="{00000000-0005-0000-0000-000052020000}"/>
    <cellStyle name="Обычный 2 2 23 2" xfId="541" xr:uid="{00000000-0005-0000-0000-000053020000}"/>
    <cellStyle name="Обычный 2 2 24" xfId="542" xr:uid="{00000000-0005-0000-0000-000054020000}"/>
    <cellStyle name="Обычный 2 2 24 2" xfId="543" xr:uid="{00000000-0005-0000-0000-000055020000}"/>
    <cellStyle name="Обычный 2 2 25" xfId="544" xr:uid="{00000000-0005-0000-0000-000056020000}"/>
    <cellStyle name="Обычный 2 2 25 2" xfId="545" xr:uid="{00000000-0005-0000-0000-000057020000}"/>
    <cellStyle name="Обычный 2 2 26" xfId="546" xr:uid="{00000000-0005-0000-0000-000058020000}"/>
    <cellStyle name="Обычный 2 2 26 2" xfId="547" xr:uid="{00000000-0005-0000-0000-000059020000}"/>
    <cellStyle name="Обычный 2 2 27" xfId="548" xr:uid="{00000000-0005-0000-0000-00005A020000}"/>
    <cellStyle name="Обычный 2 2 27 2" xfId="549" xr:uid="{00000000-0005-0000-0000-00005B020000}"/>
    <cellStyle name="Обычный 2 2 28" xfId="550" xr:uid="{00000000-0005-0000-0000-00005C020000}"/>
    <cellStyle name="Обычный 2 2 28 2" xfId="551" xr:uid="{00000000-0005-0000-0000-00005D020000}"/>
    <cellStyle name="Обычный 2 2 29" xfId="552" xr:uid="{00000000-0005-0000-0000-00005E020000}"/>
    <cellStyle name="Обычный 2 2 29 2" xfId="553" xr:uid="{00000000-0005-0000-0000-00005F020000}"/>
    <cellStyle name="Обычный 2 2 3" xfId="554" xr:uid="{00000000-0005-0000-0000-000060020000}"/>
    <cellStyle name="Обычный 2 2 3 2" xfId="555" xr:uid="{00000000-0005-0000-0000-000061020000}"/>
    <cellStyle name="Обычный 2 2 30" xfId="556" xr:uid="{00000000-0005-0000-0000-000062020000}"/>
    <cellStyle name="Обычный 2 2 30 2" xfId="557" xr:uid="{00000000-0005-0000-0000-000063020000}"/>
    <cellStyle name="Обычный 2 2 31" xfId="558" xr:uid="{00000000-0005-0000-0000-000064020000}"/>
    <cellStyle name="Обычный 2 2 31 2" xfId="559" xr:uid="{00000000-0005-0000-0000-000065020000}"/>
    <cellStyle name="Обычный 2 2 32" xfId="560" xr:uid="{00000000-0005-0000-0000-000066020000}"/>
    <cellStyle name="Обычный 2 2 4" xfId="561" xr:uid="{00000000-0005-0000-0000-000067020000}"/>
    <cellStyle name="Обычный 2 2 4 2" xfId="562" xr:uid="{00000000-0005-0000-0000-000068020000}"/>
    <cellStyle name="Обычный 2 2 5" xfId="563" xr:uid="{00000000-0005-0000-0000-000069020000}"/>
    <cellStyle name="Обычный 2 2 5 2" xfId="564" xr:uid="{00000000-0005-0000-0000-00006A020000}"/>
    <cellStyle name="Обычный 2 2 6" xfId="565" xr:uid="{00000000-0005-0000-0000-00006B020000}"/>
    <cellStyle name="Обычный 2 2 6 2" xfId="566" xr:uid="{00000000-0005-0000-0000-00006C020000}"/>
    <cellStyle name="Обычный 2 2 7" xfId="567" xr:uid="{00000000-0005-0000-0000-00006D020000}"/>
    <cellStyle name="Обычный 2 2 7 2" xfId="568" xr:uid="{00000000-0005-0000-0000-00006E020000}"/>
    <cellStyle name="Обычный 2 2 8" xfId="569" xr:uid="{00000000-0005-0000-0000-00006F020000}"/>
    <cellStyle name="Обычный 2 2 8 2" xfId="570" xr:uid="{00000000-0005-0000-0000-000070020000}"/>
    <cellStyle name="Обычный 2 2 9" xfId="571" xr:uid="{00000000-0005-0000-0000-000071020000}"/>
    <cellStyle name="Обычный 2 2 9 2" xfId="572" xr:uid="{00000000-0005-0000-0000-000072020000}"/>
    <cellStyle name="Обычный 2 20" xfId="573" xr:uid="{00000000-0005-0000-0000-000073020000}"/>
    <cellStyle name="Обычный 2 21" xfId="574" xr:uid="{00000000-0005-0000-0000-000074020000}"/>
    <cellStyle name="Обычный 2 22" xfId="575" xr:uid="{00000000-0005-0000-0000-000075020000}"/>
    <cellStyle name="Обычный 2 23" xfId="576" xr:uid="{00000000-0005-0000-0000-000076020000}"/>
    <cellStyle name="Обычный 2 24" xfId="577" xr:uid="{00000000-0005-0000-0000-000077020000}"/>
    <cellStyle name="Обычный 2 25" xfId="578" xr:uid="{00000000-0005-0000-0000-000078020000}"/>
    <cellStyle name="Обычный 2 26" xfId="579" xr:uid="{00000000-0005-0000-0000-000079020000}"/>
    <cellStyle name="Обычный 2 27" xfId="580" xr:uid="{00000000-0005-0000-0000-00007A020000}"/>
    <cellStyle name="Обычный 2 28" xfId="581" xr:uid="{00000000-0005-0000-0000-00007B020000}"/>
    <cellStyle name="Обычный 2 29" xfId="582" xr:uid="{00000000-0005-0000-0000-00007C020000}"/>
    <cellStyle name="Обычный 2 3" xfId="583" xr:uid="{00000000-0005-0000-0000-00007D020000}"/>
    <cellStyle name="Обычный 2 3 2" xfId="584" xr:uid="{00000000-0005-0000-0000-00007E020000}"/>
    <cellStyle name="Обычный 2 3 3" xfId="585" xr:uid="{00000000-0005-0000-0000-00007F020000}"/>
    <cellStyle name="Обычный 2 30" xfId="586" xr:uid="{00000000-0005-0000-0000-000080020000}"/>
    <cellStyle name="Обычный 2 31" xfId="587" xr:uid="{00000000-0005-0000-0000-000081020000}"/>
    <cellStyle name="Обычный 2 32" xfId="588" xr:uid="{00000000-0005-0000-0000-000082020000}"/>
    <cellStyle name="Обычный 2 33" xfId="589" xr:uid="{00000000-0005-0000-0000-000083020000}"/>
    <cellStyle name="Обычный 2 34" xfId="590" xr:uid="{00000000-0005-0000-0000-000084020000}"/>
    <cellStyle name="Обычный 2 34 2" xfId="591" xr:uid="{00000000-0005-0000-0000-000085020000}"/>
    <cellStyle name="Обычный 2 35" xfId="592" xr:uid="{00000000-0005-0000-0000-000086020000}"/>
    <cellStyle name="Обычный 2 36" xfId="593" xr:uid="{00000000-0005-0000-0000-000087020000}"/>
    <cellStyle name="Обычный 2 4" xfId="594" xr:uid="{00000000-0005-0000-0000-000088020000}"/>
    <cellStyle name="Обычный 2 4 2" xfId="595" xr:uid="{00000000-0005-0000-0000-000089020000}"/>
    <cellStyle name="Обычный 2 4 3" xfId="596" xr:uid="{00000000-0005-0000-0000-00008A020000}"/>
    <cellStyle name="Обычный 2 5" xfId="597" xr:uid="{00000000-0005-0000-0000-00008B020000}"/>
    <cellStyle name="Обычный 2 5 2" xfId="598" xr:uid="{00000000-0005-0000-0000-00008C020000}"/>
    <cellStyle name="Обычный 2 5 3" xfId="599" xr:uid="{00000000-0005-0000-0000-00008D020000}"/>
    <cellStyle name="Обычный 2 6" xfId="600" xr:uid="{00000000-0005-0000-0000-00008E020000}"/>
    <cellStyle name="Обычный 2 7" xfId="601" xr:uid="{00000000-0005-0000-0000-00008F020000}"/>
    <cellStyle name="Обычный 2 8" xfId="602" xr:uid="{00000000-0005-0000-0000-000090020000}"/>
    <cellStyle name="Обычный 2 9" xfId="603" xr:uid="{00000000-0005-0000-0000-000091020000}"/>
    <cellStyle name="Обычный 20" xfId="604" xr:uid="{00000000-0005-0000-0000-000092020000}"/>
    <cellStyle name="Обычный 20 10" xfId="605" xr:uid="{00000000-0005-0000-0000-000093020000}"/>
    <cellStyle name="Обычный 20 11" xfId="606" xr:uid="{00000000-0005-0000-0000-000094020000}"/>
    <cellStyle name="Обычный 20 12" xfId="607" xr:uid="{00000000-0005-0000-0000-000095020000}"/>
    <cellStyle name="Обычный 20 13" xfId="608" xr:uid="{00000000-0005-0000-0000-000096020000}"/>
    <cellStyle name="Обычный 20 14" xfId="609" xr:uid="{00000000-0005-0000-0000-000097020000}"/>
    <cellStyle name="Обычный 20 15" xfId="610" xr:uid="{00000000-0005-0000-0000-000098020000}"/>
    <cellStyle name="Обычный 20 16" xfId="611" xr:uid="{00000000-0005-0000-0000-000099020000}"/>
    <cellStyle name="Обычный 20 17" xfId="612" xr:uid="{00000000-0005-0000-0000-00009A020000}"/>
    <cellStyle name="Обычный 20 18" xfId="613" xr:uid="{00000000-0005-0000-0000-00009B020000}"/>
    <cellStyle name="Обычный 20 19" xfId="614" xr:uid="{00000000-0005-0000-0000-00009C020000}"/>
    <cellStyle name="Обычный 20 2" xfId="615" xr:uid="{00000000-0005-0000-0000-00009D020000}"/>
    <cellStyle name="Обычный 20 2 2" xfId="616" xr:uid="{00000000-0005-0000-0000-00009E020000}"/>
    <cellStyle name="Обычный 20 2 2 2" xfId="617" xr:uid="{00000000-0005-0000-0000-00009F020000}"/>
    <cellStyle name="Обычный 20 2 3" xfId="618" xr:uid="{00000000-0005-0000-0000-0000A0020000}"/>
    <cellStyle name="Обычный 20 2 4" xfId="619" xr:uid="{00000000-0005-0000-0000-0000A1020000}"/>
    <cellStyle name="Обычный 20 20" xfId="620" xr:uid="{00000000-0005-0000-0000-0000A2020000}"/>
    <cellStyle name="Обычный 20 21" xfId="621" xr:uid="{00000000-0005-0000-0000-0000A3020000}"/>
    <cellStyle name="Обычный 20 22" xfId="622" xr:uid="{00000000-0005-0000-0000-0000A4020000}"/>
    <cellStyle name="Обычный 20 23" xfId="623" xr:uid="{00000000-0005-0000-0000-0000A5020000}"/>
    <cellStyle name="Обычный 20 24" xfId="624" xr:uid="{00000000-0005-0000-0000-0000A6020000}"/>
    <cellStyle name="Обычный 20 25" xfId="625" xr:uid="{00000000-0005-0000-0000-0000A7020000}"/>
    <cellStyle name="Обычный 20 26" xfId="626" xr:uid="{00000000-0005-0000-0000-0000A8020000}"/>
    <cellStyle name="Обычный 20 27" xfId="627" xr:uid="{00000000-0005-0000-0000-0000A9020000}"/>
    <cellStyle name="Обычный 20 28" xfId="628" xr:uid="{00000000-0005-0000-0000-0000AA020000}"/>
    <cellStyle name="Обычный 20 29" xfId="629" xr:uid="{00000000-0005-0000-0000-0000AB020000}"/>
    <cellStyle name="Обычный 20 3" xfId="630" xr:uid="{00000000-0005-0000-0000-0000AC020000}"/>
    <cellStyle name="Обычный 20 3 2" xfId="631" xr:uid="{00000000-0005-0000-0000-0000AD020000}"/>
    <cellStyle name="Обычный 20 30" xfId="632" xr:uid="{00000000-0005-0000-0000-0000AE020000}"/>
    <cellStyle name="Обычный 20 31" xfId="633" xr:uid="{00000000-0005-0000-0000-0000AF020000}"/>
    <cellStyle name="Обычный 20 32" xfId="634" xr:uid="{00000000-0005-0000-0000-0000B0020000}"/>
    <cellStyle name="Обычный 20 4" xfId="635" xr:uid="{00000000-0005-0000-0000-0000B1020000}"/>
    <cellStyle name="Обычный 20 5" xfId="636" xr:uid="{00000000-0005-0000-0000-0000B2020000}"/>
    <cellStyle name="Обычный 20 6" xfId="637" xr:uid="{00000000-0005-0000-0000-0000B3020000}"/>
    <cellStyle name="Обычный 20 7" xfId="638" xr:uid="{00000000-0005-0000-0000-0000B4020000}"/>
    <cellStyle name="Обычный 20 8" xfId="639" xr:uid="{00000000-0005-0000-0000-0000B5020000}"/>
    <cellStyle name="Обычный 20 9" xfId="640" xr:uid="{00000000-0005-0000-0000-0000B6020000}"/>
    <cellStyle name="Обычный 21" xfId="641" xr:uid="{00000000-0005-0000-0000-0000B7020000}"/>
    <cellStyle name="Обычный 21 2" xfId="642" xr:uid="{00000000-0005-0000-0000-0000B8020000}"/>
    <cellStyle name="Обычный 21 2 2" xfId="643" xr:uid="{00000000-0005-0000-0000-0000B9020000}"/>
    <cellStyle name="Обычный 21 2 3" xfId="644" xr:uid="{00000000-0005-0000-0000-0000BA020000}"/>
    <cellStyle name="Обычный 21 2 4" xfId="645" xr:uid="{00000000-0005-0000-0000-0000BB020000}"/>
    <cellStyle name="Обычный 22" xfId="646" xr:uid="{00000000-0005-0000-0000-0000BC020000}"/>
    <cellStyle name="Обычный 22 10" xfId="647" xr:uid="{00000000-0005-0000-0000-0000BD020000}"/>
    <cellStyle name="Обычный 22 11" xfId="648" xr:uid="{00000000-0005-0000-0000-0000BE020000}"/>
    <cellStyle name="Обычный 22 12" xfId="649" xr:uid="{00000000-0005-0000-0000-0000BF020000}"/>
    <cellStyle name="Обычный 22 13" xfId="650" xr:uid="{00000000-0005-0000-0000-0000C0020000}"/>
    <cellStyle name="Обычный 22 14" xfId="651" xr:uid="{00000000-0005-0000-0000-0000C1020000}"/>
    <cellStyle name="Обычный 22 15" xfId="652" xr:uid="{00000000-0005-0000-0000-0000C2020000}"/>
    <cellStyle name="Обычный 22 16" xfId="653" xr:uid="{00000000-0005-0000-0000-0000C3020000}"/>
    <cellStyle name="Обычный 22 17" xfId="654" xr:uid="{00000000-0005-0000-0000-0000C4020000}"/>
    <cellStyle name="Обычный 22 18" xfId="655" xr:uid="{00000000-0005-0000-0000-0000C5020000}"/>
    <cellStyle name="Обычный 22 19" xfId="656" xr:uid="{00000000-0005-0000-0000-0000C6020000}"/>
    <cellStyle name="Обычный 22 2" xfId="657" xr:uid="{00000000-0005-0000-0000-0000C7020000}"/>
    <cellStyle name="Обычный 22 2 2" xfId="658" xr:uid="{00000000-0005-0000-0000-0000C8020000}"/>
    <cellStyle name="Обычный 22 2 3" xfId="659" xr:uid="{00000000-0005-0000-0000-0000C9020000}"/>
    <cellStyle name="Обычный 22 20" xfId="660" xr:uid="{00000000-0005-0000-0000-0000CA020000}"/>
    <cellStyle name="Обычный 22 21" xfId="661" xr:uid="{00000000-0005-0000-0000-0000CB020000}"/>
    <cellStyle name="Обычный 22 22" xfId="662" xr:uid="{00000000-0005-0000-0000-0000CC020000}"/>
    <cellStyle name="Обычный 22 23" xfId="663" xr:uid="{00000000-0005-0000-0000-0000CD020000}"/>
    <cellStyle name="Обычный 22 24" xfId="664" xr:uid="{00000000-0005-0000-0000-0000CE020000}"/>
    <cellStyle name="Обычный 22 25" xfId="665" xr:uid="{00000000-0005-0000-0000-0000CF020000}"/>
    <cellStyle name="Обычный 22 26" xfId="666" xr:uid="{00000000-0005-0000-0000-0000D0020000}"/>
    <cellStyle name="Обычный 22 27" xfId="667" xr:uid="{00000000-0005-0000-0000-0000D1020000}"/>
    <cellStyle name="Обычный 22 28" xfId="668" xr:uid="{00000000-0005-0000-0000-0000D2020000}"/>
    <cellStyle name="Обычный 22 29" xfId="669" xr:uid="{00000000-0005-0000-0000-0000D3020000}"/>
    <cellStyle name="Обычный 22 3" xfId="670" xr:uid="{00000000-0005-0000-0000-0000D4020000}"/>
    <cellStyle name="Обычный 22 30" xfId="671" xr:uid="{00000000-0005-0000-0000-0000D5020000}"/>
    <cellStyle name="Обычный 22 31" xfId="672" xr:uid="{00000000-0005-0000-0000-0000D6020000}"/>
    <cellStyle name="Обычный 22 32" xfId="673" xr:uid="{00000000-0005-0000-0000-0000D7020000}"/>
    <cellStyle name="Обычный 22 4" xfId="674" xr:uid="{00000000-0005-0000-0000-0000D8020000}"/>
    <cellStyle name="Обычный 22 5" xfId="675" xr:uid="{00000000-0005-0000-0000-0000D9020000}"/>
    <cellStyle name="Обычный 22 6" xfId="676" xr:uid="{00000000-0005-0000-0000-0000DA020000}"/>
    <cellStyle name="Обычный 22 7" xfId="677" xr:uid="{00000000-0005-0000-0000-0000DB020000}"/>
    <cellStyle name="Обычный 22 8" xfId="678" xr:uid="{00000000-0005-0000-0000-0000DC020000}"/>
    <cellStyle name="Обычный 22 9" xfId="679" xr:uid="{00000000-0005-0000-0000-0000DD020000}"/>
    <cellStyle name="Обычный 23" xfId="680" xr:uid="{00000000-0005-0000-0000-0000DE020000}"/>
    <cellStyle name="Обычный 24" xfId="681" xr:uid="{00000000-0005-0000-0000-0000DF020000}"/>
    <cellStyle name="Обычный 24 2" xfId="682" xr:uid="{00000000-0005-0000-0000-0000E0020000}"/>
    <cellStyle name="Обычный 24 3" xfId="683" xr:uid="{00000000-0005-0000-0000-0000E1020000}"/>
    <cellStyle name="Обычный 24 4" xfId="684" xr:uid="{00000000-0005-0000-0000-0000E2020000}"/>
    <cellStyle name="Обычный 25" xfId="685" xr:uid="{00000000-0005-0000-0000-0000E3020000}"/>
    <cellStyle name="Обычный 25 2" xfId="686" xr:uid="{00000000-0005-0000-0000-0000E4020000}"/>
    <cellStyle name="Обычный 256" xfId="687" xr:uid="{00000000-0005-0000-0000-0000E5020000}"/>
    <cellStyle name="Обычный 256 2" xfId="688" xr:uid="{00000000-0005-0000-0000-0000E6020000}"/>
    <cellStyle name="Обычный 26" xfId="689" xr:uid="{00000000-0005-0000-0000-0000E7020000}"/>
    <cellStyle name="Обычный 26 10" xfId="690" xr:uid="{00000000-0005-0000-0000-0000E8020000}"/>
    <cellStyle name="Обычный 26 11" xfId="691" xr:uid="{00000000-0005-0000-0000-0000E9020000}"/>
    <cellStyle name="Обычный 26 12" xfId="692" xr:uid="{00000000-0005-0000-0000-0000EA020000}"/>
    <cellStyle name="Обычный 26 13" xfId="693" xr:uid="{00000000-0005-0000-0000-0000EB020000}"/>
    <cellStyle name="Обычный 26 14" xfId="694" xr:uid="{00000000-0005-0000-0000-0000EC020000}"/>
    <cellStyle name="Обычный 26 15" xfId="695" xr:uid="{00000000-0005-0000-0000-0000ED020000}"/>
    <cellStyle name="Обычный 26 16" xfId="696" xr:uid="{00000000-0005-0000-0000-0000EE020000}"/>
    <cellStyle name="Обычный 26 17" xfId="697" xr:uid="{00000000-0005-0000-0000-0000EF020000}"/>
    <cellStyle name="Обычный 26 18" xfId="698" xr:uid="{00000000-0005-0000-0000-0000F0020000}"/>
    <cellStyle name="Обычный 26 19" xfId="699" xr:uid="{00000000-0005-0000-0000-0000F1020000}"/>
    <cellStyle name="Обычный 26 2" xfId="700" xr:uid="{00000000-0005-0000-0000-0000F2020000}"/>
    <cellStyle name="Обычный 26 20" xfId="701" xr:uid="{00000000-0005-0000-0000-0000F3020000}"/>
    <cellStyle name="Обычный 26 21" xfId="702" xr:uid="{00000000-0005-0000-0000-0000F4020000}"/>
    <cellStyle name="Обычный 26 22" xfId="703" xr:uid="{00000000-0005-0000-0000-0000F5020000}"/>
    <cellStyle name="Обычный 26 23" xfId="704" xr:uid="{00000000-0005-0000-0000-0000F6020000}"/>
    <cellStyle name="Обычный 26 24" xfId="705" xr:uid="{00000000-0005-0000-0000-0000F7020000}"/>
    <cellStyle name="Обычный 26 25" xfId="706" xr:uid="{00000000-0005-0000-0000-0000F8020000}"/>
    <cellStyle name="Обычный 26 26" xfId="707" xr:uid="{00000000-0005-0000-0000-0000F9020000}"/>
    <cellStyle name="Обычный 26 27" xfId="708" xr:uid="{00000000-0005-0000-0000-0000FA020000}"/>
    <cellStyle name="Обычный 26 28" xfId="709" xr:uid="{00000000-0005-0000-0000-0000FB020000}"/>
    <cellStyle name="Обычный 26 29" xfId="710" xr:uid="{00000000-0005-0000-0000-0000FC020000}"/>
    <cellStyle name="Обычный 26 3" xfId="711" xr:uid="{00000000-0005-0000-0000-0000FD020000}"/>
    <cellStyle name="Обычный 26 3 2" xfId="712" xr:uid="{00000000-0005-0000-0000-0000FE020000}"/>
    <cellStyle name="Обычный 26 30" xfId="713" xr:uid="{00000000-0005-0000-0000-0000FF020000}"/>
    <cellStyle name="Обычный 26 31" xfId="714" xr:uid="{00000000-0005-0000-0000-000000030000}"/>
    <cellStyle name="Обычный 26 32" xfId="715" xr:uid="{00000000-0005-0000-0000-000001030000}"/>
    <cellStyle name="Обычный 26 4" xfId="716" xr:uid="{00000000-0005-0000-0000-000002030000}"/>
    <cellStyle name="Обычный 26 5" xfId="717" xr:uid="{00000000-0005-0000-0000-000003030000}"/>
    <cellStyle name="Обычный 26 6" xfId="718" xr:uid="{00000000-0005-0000-0000-000004030000}"/>
    <cellStyle name="Обычный 26 7" xfId="719" xr:uid="{00000000-0005-0000-0000-000005030000}"/>
    <cellStyle name="Обычный 26 8" xfId="720" xr:uid="{00000000-0005-0000-0000-000006030000}"/>
    <cellStyle name="Обычный 26 9" xfId="721" xr:uid="{00000000-0005-0000-0000-000007030000}"/>
    <cellStyle name="Обычный 27" xfId="722" xr:uid="{00000000-0005-0000-0000-000008030000}"/>
    <cellStyle name="Обычный 27 2" xfId="723" xr:uid="{00000000-0005-0000-0000-000009030000}"/>
    <cellStyle name="Обычный 28" xfId="724" xr:uid="{00000000-0005-0000-0000-00000A030000}"/>
    <cellStyle name="Обычный 29" xfId="725" xr:uid="{00000000-0005-0000-0000-00000B030000}"/>
    <cellStyle name="Обычный 3" xfId="5" xr:uid="{00000000-0005-0000-0000-00000C030000}"/>
    <cellStyle name="Обычный 3 2" xfId="726" xr:uid="{00000000-0005-0000-0000-00000D030000}"/>
    <cellStyle name="Обычный 3 2 2" xfId="727" xr:uid="{00000000-0005-0000-0000-00000E030000}"/>
    <cellStyle name="Обычный 3 2 2 2" xfId="728" xr:uid="{00000000-0005-0000-0000-00000F030000}"/>
    <cellStyle name="Обычный 3 2 3" xfId="729" xr:uid="{00000000-0005-0000-0000-000010030000}"/>
    <cellStyle name="Обычный 3 2 4" xfId="730" xr:uid="{00000000-0005-0000-0000-000011030000}"/>
    <cellStyle name="Обычный 3 3" xfId="731" xr:uid="{00000000-0005-0000-0000-000012030000}"/>
    <cellStyle name="Обычный 3 3 2" xfId="732" xr:uid="{00000000-0005-0000-0000-000013030000}"/>
    <cellStyle name="Обычный 3 3 2 2" xfId="733" xr:uid="{00000000-0005-0000-0000-000014030000}"/>
    <cellStyle name="Обычный 3 3 3" xfId="734" xr:uid="{00000000-0005-0000-0000-000015030000}"/>
    <cellStyle name="Обычный 3 4" xfId="735" xr:uid="{00000000-0005-0000-0000-000016030000}"/>
    <cellStyle name="Обычный 3 5" xfId="736" xr:uid="{00000000-0005-0000-0000-000017030000}"/>
    <cellStyle name="Обычный 3 5 2" xfId="737" xr:uid="{00000000-0005-0000-0000-000018030000}"/>
    <cellStyle name="Обычный 3 6" xfId="738" xr:uid="{00000000-0005-0000-0000-000019030000}"/>
    <cellStyle name="Обычный 3 7" xfId="739" xr:uid="{00000000-0005-0000-0000-00001A030000}"/>
    <cellStyle name="Обычный 3 8" xfId="9" xr:uid="{00000000-0005-0000-0000-00001B030000}"/>
    <cellStyle name="Обычный 30" xfId="740" xr:uid="{00000000-0005-0000-0000-00001C030000}"/>
    <cellStyle name="Обычный 30 2" xfId="741" xr:uid="{00000000-0005-0000-0000-00001D030000}"/>
    <cellStyle name="Обычный 31" xfId="742" xr:uid="{00000000-0005-0000-0000-00001E030000}"/>
    <cellStyle name="Обычный 31 2" xfId="743" xr:uid="{00000000-0005-0000-0000-00001F030000}"/>
    <cellStyle name="Обычный 32" xfId="744" xr:uid="{00000000-0005-0000-0000-000020030000}"/>
    <cellStyle name="Обычный 32 2" xfId="745" xr:uid="{00000000-0005-0000-0000-000021030000}"/>
    <cellStyle name="Обычный 33" xfId="746" xr:uid="{00000000-0005-0000-0000-000022030000}"/>
    <cellStyle name="Обычный 33 2" xfId="747" xr:uid="{00000000-0005-0000-0000-000023030000}"/>
    <cellStyle name="Обычный 34" xfId="748" xr:uid="{00000000-0005-0000-0000-000024030000}"/>
    <cellStyle name="Обычный 34 2" xfId="749" xr:uid="{00000000-0005-0000-0000-000025030000}"/>
    <cellStyle name="Обычный 35" xfId="750" xr:uid="{00000000-0005-0000-0000-000026030000}"/>
    <cellStyle name="Обычный 35 10" xfId="751" xr:uid="{00000000-0005-0000-0000-000027030000}"/>
    <cellStyle name="Обычный 35 11" xfId="752" xr:uid="{00000000-0005-0000-0000-000028030000}"/>
    <cellStyle name="Обычный 35 12" xfId="753" xr:uid="{00000000-0005-0000-0000-000029030000}"/>
    <cellStyle name="Обычный 35 13" xfId="754" xr:uid="{00000000-0005-0000-0000-00002A030000}"/>
    <cellStyle name="Обычный 35 14" xfId="755" xr:uid="{00000000-0005-0000-0000-00002B030000}"/>
    <cellStyle name="Обычный 35 15" xfId="756" xr:uid="{00000000-0005-0000-0000-00002C030000}"/>
    <cellStyle name="Обычный 35 16" xfId="757" xr:uid="{00000000-0005-0000-0000-00002D030000}"/>
    <cellStyle name="Обычный 35 17" xfId="758" xr:uid="{00000000-0005-0000-0000-00002E030000}"/>
    <cellStyle name="Обычный 35 18" xfId="759" xr:uid="{00000000-0005-0000-0000-00002F030000}"/>
    <cellStyle name="Обычный 35 19" xfId="760" xr:uid="{00000000-0005-0000-0000-000030030000}"/>
    <cellStyle name="Обычный 35 2" xfId="761" xr:uid="{00000000-0005-0000-0000-000031030000}"/>
    <cellStyle name="Обычный 35 2 2" xfId="762" xr:uid="{00000000-0005-0000-0000-000032030000}"/>
    <cellStyle name="Обычный 35 20" xfId="763" xr:uid="{00000000-0005-0000-0000-000033030000}"/>
    <cellStyle name="Обычный 35 21" xfId="764" xr:uid="{00000000-0005-0000-0000-000034030000}"/>
    <cellStyle name="Обычный 35 22" xfId="765" xr:uid="{00000000-0005-0000-0000-000035030000}"/>
    <cellStyle name="Обычный 35 23" xfId="766" xr:uid="{00000000-0005-0000-0000-000036030000}"/>
    <cellStyle name="Обычный 35 24" xfId="767" xr:uid="{00000000-0005-0000-0000-000037030000}"/>
    <cellStyle name="Обычный 35 25" xfId="768" xr:uid="{00000000-0005-0000-0000-000038030000}"/>
    <cellStyle name="Обычный 35 26" xfId="769" xr:uid="{00000000-0005-0000-0000-000039030000}"/>
    <cellStyle name="Обычный 35 27" xfId="770" xr:uid="{00000000-0005-0000-0000-00003A030000}"/>
    <cellStyle name="Обычный 35 28" xfId="771" xr:uid="{00000000-0005-0000-0000-00003B030000}"/>
    <cellStyle name="Обычный 35 29" xfId="772" xr:uid="{00000000-0005-0000-0000-00003C030000}"/>
    <cellStyle name="Обычный 35 3" xfId="773" xr:uid="{00000000-0005-0000-0000-00003D030000}"/>
    <cellStyle name="Обычный 35 30" xfId="774" xr:uid="{00000000-0005-0000-0000-00003E030000}"/>
    <cellStyle name="Обычный 35 31" xfId="775" xr:uid="{00000000-0005-0000-0000-00003F030000}"/>
    <cellStyle name="Обычный 35 4" xfId="776" xr:uid="{00000000-0005-0000-0000-000040030000}"/>
    <cellStyle name="Обычный 35 5" xfId="777" xr:uid="{00000000-0005-0000-0000-000041030000}"/>
    <cellStyle name="Обычный 35 6" xfId="778" xr:uid="{00000000-0005-0000-0000-000042030000}"/>
    <cellStyle name="Обычный 35 7" xfId="779" xr:uid="{00000000-0005-0000-0000-000043030000}"/>
    <cellStyle name="Обычный 35 8" xfId="780" xr:uid="{00000000-0005-0000-0000-000044030000}"/>
    <cellStyle name="Обычный 35 9" xfId="781" xr:uid="{00000000-0005-0000-0000-000045030000}"/>
    <cellStyle name="Обычный 36" xfId="782" xr:uid="{00000000-0005-0000-0000-000046030000}"/>
    <cellStyle name="Обычный 36 2" xfId="783" xr:uid="{00000000-0005-0000-0000-000047030000}"/>
    <cellStyle name="Обычный 37" xfId="784" xr:uid="{00000000-0005-0000-0000-000048030000}"/>
    <cellStyle name="Обычный 37 2" xfId="785" xr:uid="{00000000-0005-0000-0000-000049030000}"/>
    <cellStyle name="Обычный 38" xfId="786" xr:uid="{00000000-0005-0000-0000-00004A030000}"/>
    <cellStyle name="Обычный 38 2" xfId="787" xr:uid="{00000000-0005-0000-0000-00004B030000}"/>
    <cellStyle name="Обычный 39" xfId="788" xr:uid="{00000000-0005-0000-0000-00004C030000}"/>
    <cellStyle name="Обычный 39 2" xfId="789" xr:uid="{00000000-0005-0000-0000-00004D030000}"/>
    <cellStyle name="Обычный 4" xfId="6" xr:uid="{00000000-0005-0000-0000-00004E030000}"/>
    <cellStyle name="Обычный 4 2" xfId="4" xr:uid="{00000000-0005-0000-0000-00004F030000}"/>
    <cellStyle name="Обычный 4 2 2" xfId="790" xr:uid="{00000000-0005-0000-0000-000050030000}"/>
    <cellStyle name="Обычный 4 2 3" xfId="791" xr:uid="{00000000-0005-0000-0000-000051030000}"/>
    <cellStyle name="Обычный 4 3" xfId="792" xr:uid="{00000000-0005-0000-0000-000052030000}"/>
    <cellStyle name="Обычный 4 3 2" xfId="793" xr:uid="{00000000-0005-0000-0000-000053030000}"/>
    <cellStyle name="Обычный 4 4" xfId="794" xr:uid="{00000000-0005-0000-0000-000054030000}"/>
    <cellStyle name="Обычный 4 4 2" xfId="795" xr:uid="{00000000-0005-0000-0000-000055030000}"/>
    <cellStyle name="Обычный 4 5" xfId="796" xr:uid="{00000000-0005-0000-0000-000056030000}"/>
    <cellStyle name="Обычный 40" xfId="797" xr:uid="{00000000-0005-0000-0000-000057030000}"/>
    <cellStyle name="Обычный 40 10" xfId="798" xr:uid="{00000000-0005-0000-0000-000058030000}"/>
    <cellStyle name="Обычный 40 11" xfId="799" xr:uid="{00000000-0005-0000-0000-000059030000}"/>
    <cellStyle name="Обычный 40 12" xfId="800" xr:uid="{00000000-0005-0000-0000-00005A030000}"/>
    <cellStyle name="Обычный 40 13" xfId="801" xr:uid="{00000000-0005-0000-0000-00005B030000}"/>
    <cellStyle name="Обычный 40 14" xfId="802" xr:uid="{00000000-0005-0000-0000-00005C030000}"/>
    <cellStyle name="Обычный 40 15" xfId="803" xr:uid="{00000000-0005-0000-0000-00005D030000}"/>
    <cellStyle name="Обычный 40 16" xfId="804" xr:uid="{00000000-0005-0000-0000-00005E030000}"/>
    <cellStyle name="Обычный 40 17" xfId="805" xr:uid="{00000000-0005-0000-0000-00005F030000}"/>
    <cellStyle name="Обычный 40 18" xfId="806" xr:uid="{00000000-0005-0000-0000-000060030000}"/>
    <cellStyle name="Обычный 40 19" xfId="807" xr:uid="{00000000-0005-0000-0000-000061030000}"/>
    <cellStyle name="Обычный 40 2" xfId="808" xr:uid="{00000000-0005-0000-0000-000062030000}"/>
    <cellStyle name="Обычный 40 2 2" xfId="809" xr:uid="{00000000-0005-0000-0000-000063030000}"/>
    <cellStyle name="Обычный 40 20" xfId="810" xr:uid="{00000000-0005-0000-0000-000064030000}"/>
    <cellStyle name="Обычный 40 21" xfId="811" xr:uid="{00000000-0005-0000-0000-000065030000}"/>
    <cellStyle name="Обычный 40 22" xfId="812" xr:uid="{00000000-0005-0000-0000-000066030000}"/>
    <cellStyle name="Обычный 40 23" xfId="813" xr:uid="{00000000-0005-0000-0000-000067030000}"/>
    <cellStyle name="Обычный 40 24" xfId="814" xr:uid="{00000000-0005-0000-0000-000068030000}"/>
    <cellStyle name="Обычный 40 25" xfId="815" xr:uid="{00000000-0005-0000-0000-000069030000}"/>
    <cellStyle name="Обычный 40 26" xfId="816" xr:uid="{00000000-0005-0000-0000-00006A030000}"/>
    <cellStyle name="Обычный 40 27" xfId="817" xr:uid="{00000000-0005-0000-0000-00006B030000}"/>
    <cellStyle name="Обычный 40 28" xfId="818" xr:uid="{00000000-0005-0000-0000-00006C030000}"/>
    <cellStyle name="Обычный 40 29" xfId="819" xr:uid="{00000000-0005-0000-0000-00006D030000}"/>
    <cellStyle name="Обычный 40 3" xfId="820" xr:uid="{00000000-0005-0000-0000-00006E030000}"/>
    <cellStyle name="Обычный 40 30" xfId="821" xr:uid="{00000000-0005-0000-0000-00006F030000}"/>
    <cellStyle name="Обычный 40 31" xfId="822" xr:uid="{00000000-0005-0000-0000-000070030000}"/>
    <cellStyle name="Обычный 40 32" xfId="823" xr:uid="{00000000-0005-0000-0000-000071030000}"/>
    <cellStyle name="Обычный 40 4" xfId="824" xr:uid="{00000000-0005-0000-0000-000072030000}"/>
    <cellStyle name="Обычный 40 5" xfId="825" xr:uid="{00000000-0005-0000-0000-000073030000}"/>
    <cellStyle name="Обычный 40 6" xfId="826" xr:uid="{00000000-0005-0000-0000-000074030000}"/>
    <cellStyle name="Обычный 40 7" xfId="827" xr:uid="{00000000-0005-0000-0000-000075030000}"/>
    <cellStyle name="Обычный 40 8" xfId="828" xr:uid="{00000000-0005-0000-0000-000076030000}"/>
    <cellStyle name="Обычный 40 9" xfId="829" xr:uid="{00000000-0005-0000-0000-000077030000}"/>
    <cellStyle name="Обычный 41" xfId="830" xr:uid="{00000000-0005-0000-0000-000078030000}"/>
    <cellStyle name="Обычный 41 10" xfId="831" xr:uid="{00000000-0005-0000-0000-000079030000}"/>
    <cellStyle name="Обычный 41 11" xfId="832" xr:uid="{00000000-0005-0000-0000-00007A030000}"/>
    <cellStyle name="Обычный 41 12" xfId="833" xr:uid="{00000000-0005-0000-0000-00007B030000}"/>
    <cellStyle name="Обычный 41 13" xfId="834" xr:uid="{00000000-0005-0000-0000-00007C030000}"/>
    <cellStyle name="Обычный 41 14" xfId="835" xr:uid="{00000000-0005-0000-0000-00007D030000}"/>
    <cellStyle name="Обычный 41 15" xfId="836" xr:uid="{00000000-0005-0000-0000-00007E030000}"/>
    <cellStyle name="Обычный 41 16" xfId="837" xr:uid="{00000000-0005-0000-0000-00007F030000}"/>
    <cellStyle name="Обычный 41 17" xfId="838" xr:uid="{00000000-0005-0000-0000-000080030000}"/>
    <cellStyle name="Обычный 41 18" xfId="839" xr:uid="{00000000-0005-0000-0000-000081030000}"/>
    <cellStyle name="Обычный 41 19" xfId="840" xr:uid="{00000000-0005-0000-0000-000082030000}"/>
    <cellStyle name="Обычный 41 2" xfId="841" xr:uid="{00000000-0005-0000-0000-000083030000}"/>
    <cellStyle name="Обычный 41 2 2" xfId="842" xr:uid="{00000000-0005-0000-0000-000084030000}"/>
    <cellStyle name="Обычный 41 20" xfId="843" xr:uid="{00000000-0005-0000-0000-000085030000}"/>
    <cellStyle name="Обычный 41 21" xfId="844" xr:uid="{00000000-0005-0000-0000-000086030000}"/>
    <cellStyle name="Обычный 41 22" xfId="845" xr:uid="{00000000-0005-0000-0000-000087030000}"/>
    <cellStyle name="Обычный 41 23" xfId="846" xr:uid="{00000000-0005-0000-0000-000088030000}"/>
    <cellStyle name="Обычный 41 24" xfId="847" xr:uid="{00000000-0005-0000-0000-000089030000}"/>
    <cellStyle name="Обычный 41 25" xfId="848" xr:uid="{00000000-0005-0000-0000-00008A030000}"/>
    <cellStyle name="Обычный 41 26" xfId="849" xr:uid="{00000000-0005-0000-0000-00008B030000}"/>
    <cellStyle name="Обычный 41 27" xfId="850" xr:uid="{00000000-0005-0000-0000-00008C030000}"/>
    <cellStyle name="Обычный 41 28" xfId="851" xr:uid="{00000000-0005-0000-0000-00008D030000}"/>
    <cellStyle name="Обычный 41 29" xfId="852" xr:uid="{00000000-0005-0000-0000-00008E030000}"/>
    <cellStyle name="Обычный 41 3" xfId="853" xr:uid="{00000000-0005-0000-0000-00008F030000}"/>
    <cellStyle name="Обычный 41 30" xfId="854" xr:uid="{00000000-0005-0000-0000-000090030000}"/>
    <cellStyle name="Обычный 41 31" xfId="855" xr:uid="{00000000-0005-0000-0000-000091030000}"/>
    <cellStyle name="Обычный 41 32" xfId="856" xr:uid="{00000000-0005-0000-0000-000092030000}"/>
    <cellStyle name="Обычный 41 4" xfId="857" xr:uid="{00000000-0005-0000-0000-000093030000}"/>
    <cellStyle name="Обычный 41 5" xfId="858" xr:uid="{00000000-0005-0000-0000-000094030000}"/>
    <cellStyle name="Обычный 41 6" xfId="859" xr:uid="{00000000-0005-0000-0000-000095030000}"/>
    <cellStyle name="Обычный 41 7" xfId="860" xr:uid="{00000000-0005-0000-0000-000096030000}"/>
    <cellStyle name="Обычный 41 8" xfId="861" xr:uid="{00000000-0005-0000-0000-000097030000}"/>
    <cellStyle name="Обычный 41 9" xfId="862" xr:uid="{00000000-0005-0000-0000-000098030000}"/>
    <cellStyle name="Обычный 42" xfId="863" xr:uid="{00000000-0005-0000-0000-000099030000}"/>
    <cellStyle name="Обычный 43" xfId="864" xr:uid="{00000000-0005-0000-0000-00009A030000}"/>
    <cellStyle name="Обычный 44" xfId="865" xr:uid="{00000000-0005-0000-0000-00009B030000}"/>
    <cellStyle name="Обычный 45" xfId="866" xr:uid="{00000000-0005-0000-0000-00009C030000}"/>
    <cellStyle name="Обычный 46" xfId="867" xr:uid="{00000000-0005-0000-0000-00009D030000}"/>
    <cellStyle name="Обычный 47" xfId="868" xr:uid="{00000000-0005-0000-0000-00009E030000}"/>
    <cellStyle name="Обычный 47 2" xfId="869" xr:uid="{00000000-0005-0000-0000-00009F030000}"/>
    <cellStyle name="Обычный 47 3" xfId="870" xr:uid="{00000000-0005-0000-0000-0000A0030000}"/>
    <cellStyle name="Обычный 47 4" xfId="871" xr:uid="{00000000-0005-0000-0000-0000A1030000}"/>
    <cellStyle name="Обычный 47 5" xfId="872" xr:uid="{00000000-0005-0000-0000-0000A2030000}"/>
    <cellStyle name="Обычный 47 6" xfId="873" xr:uid="{00000000-0005-0000-0000-0000A3030000}"/>
    <cellStyle name="Обычный 47 7" xfId="874" xr:uid="{00000000-0005-0000-0000-0000A4030000}"/>
    <cellStyle name="Обычный 48" xfId="875" xr:uid="{00000000-0005-0000-0000-0000A5030000}"/>
    <cellStyle name="Обычный 48 2" xfId="876" xr:uid="{00000000-0005-0000-0000-0000A6030000}"/>
    <cellStyle name="Обычный 48 3" xfId="877" xr:uid="{00000000-0005-0000-0000-0000A7030000}"/>
    <cellStyle name="Обычный 49" xfId="878" xr:uid="{00000000-0005-0000-0000-0000A8030000}"/>
    <cellStyle name="Обычный 5" xfId="879" xr:uid="{00000000-0005-0000-0000-0000A9030000}"/>
    <cellStyle name="Обычный 5 2" xfId="880" xr:uid="{00000000-0005-0000-0000-0000AA030000}"/>
    <cellStyle name="Обычный 5 2 2" xfId="881" xr:uid="{00000000-0005-0000-0000-0000AB030000}"/>
    <cellStyle name="Обычный 5 2 2 2" xfId="882" xr:uid="{00000000-0005-0000-0000-0000AC030000}"/>
    <cellStyle name="Обычный 5 2 3" xfId="883" xr:uid="{00000000-0005-0000-0000-0000AD030000}"/>
    <cellStyle name="Обычный 5 3" xfId="884" xr:uid="{00000000-0005-0000-0000-0000AE030000}"/>
    <cellStyle name="Обычный 5 3 2" xfId="885" xr:uid="{00000000-0005-0000-0000-0000AF030000}"/>
    <cellStyle name="Обычный 5 3 2 2" xfId="886" xr:uid="{00000000-0005-0000-0000-0000B0030000}"/>
    <cellStyle name="Обычный 5 3 3" xfId="887" xr:uid="{00000000-0005-0000-0000-0000B1030000}"/>
    <cellStyle name="Обычный 5 3 4" xfId="888" xr:uid="{00000000-0005-0000-0000-0000B2030000}"/>
    <cellStyle name="Обычный 5 4" xfId="889" xr:uid="{00000000-0005-0000-0000-0000B3030000}"/>
    <cellStyle name="Обычный 5 4 2" xfId="890" xr:uid="{00000000-0005-0000-0000-0000B4030000}"/>
    <cellStyle name="Обычный 5 5" xfId="891" xr:uid="{00000000-0005-0000-0000-0000B5030000}"/>
    <cellStyle name="Обычный 5 5 2" xfId="892" xr:uid="{00000000-0005-0000-0000-0000B6030000}"/>
    <cellStyle name="Обычный 5 6" xfId="893" xr:uid="{00000000-0005-0000-0000-0000B7030000}"/>
    <cellStyle name="Обычный 5 6 2" xfId="894" xr:uid="{00000000-0005-0000-0000-0000B8030000}"/>
    <cellStyle name="Обычный 5 7" xfId="895" xr:uid="{00000000-0005-0000-0000-0000B9030000}"/>
    <cellStyle name="Обычный 5 7 2" xfId="896" xr:uid="{00000000-0005-0000-0000-0000BA030000}"/>
    <cellStyle name="Обычный 5 8" xfId="897" xr:uid="{00000000-0005-0000-0000-0000BB030000}"/>
    <cellStyle name="Обычный 5 8 2" xfId="898" xr:uid="{00000000-0005-0000-0000-0000BC030000}"/>
    <cellStyle name="Обычный 50" xfId="899" xr:uid="{00000000-0005-0000-0000-0000BD030000}"/>
    <cellStyle name="Обычный 51" xfId="900" xr:uid="{00000000-0005-0000-0000-0000BE030000}"/>
    <cellStyle name="Обычный 52" xfId="901" xr:uid="{00000000-0005-0000-0000-0000BF030000}"/>
    <cellStyle name="Обычный 53" xfId="902" xr:uid="{00000000-0005-0000-0000-0000C0030000}"/>
    <cellStyle name="Обычный 54" xfId="903" xr:uid="{00000000-0005-0000-0000-0000C1030000}"/>
    <cellStyle name="Обычный 55" xfId="904" xr:uid="{00000000-0005-0000-0000-0000C2030000}"/>
    <cellStyle name="Обычный 56" xfId="905" xr:uid="{00000000-0005-0000-0000-0000C3030000}"/>
    <cellStyle name="Обычный 57" xfId="906" xr:uid="{00000000-0005-0000-0000-0000C4030000}"/>
    <cellStyle name="Обычный 58" xfId="907" xr:uid="{00000000-0005-0000-0000-0000C5030000}"/>
    <cellStyle name="Обычный 59" xfId="908" xr:uid="{00000000-0005-0000-0000-0000C6030000}"/>
    <cellStyle name="Обычный 6" xfId="909" xr:uid="{00000000-0005-0000-0000-0000C7030000}"/>
    <cellStyle name="Обычный 6 2" xfId="910" xr:uid="{00000000-0005-0000-0000-0000C8030000}"/>
    <cellStyle name="Обычный 6 2 2" xfId="911" xr:uid="{00000000-0005-0000-0000-0000C9030000}"/>
    <cellStyle name="Обычный 6 2 3" xfId="912" xr:uid="{00000000-0005-0000-0000-0000CA030000}"/>
    <cellStyle name="Обычный 6 3" xfId="913" xr:uid="{00000000-0005-0000-0000-0000CB030000}"/>
    <cellStyle name="Обычный 6 3 2" xfId="914" xr:uid="{00000000-0005-0000-0000-0000CC030000}"/>
    <cellStyle name="Обычный 6 4" xfId="915" xr:uid="{00000000-0005-0000-0000-0000CD030000}"/>
    <cellStyle name="Обычный 6 5" xfId="916" xr:uid="{00000000-0005-0000-0000-0000CE030000}"/>
    <cellStyle name="Обычный 6 6" xfId="917" xr:uid="{00000000-0005-0000-0000-0000CF030000}"/>
    <cellStyle name="Обычный 60" xfId="918" xr:uid="{00000000-0005-0000-0000-0000D0030000}"/>
    <cellStyle name="Обычный 61" xfId="919" xr:uid="{00000000-0005-0000-0000-0000D1030000}"/>
    <cellStyle name="Обычный 62" xfId="920" xr:uid="{00000000-0005-0000-0000-0000D2030000}"/>
    <cellStyle name="Обычный 63" xfId="921" xr:uid="{00000000-0005-0000-0000-0000D3030000}"/>
    <cellStyle name="Обычный 64" xfId="922" xr:uid="{00000000-0005-0000-0000-0000D4030000}"/>
    <cellStyle name="Обычный 65" xfId="923" xr:uid="{00000000-0005-0000-0000-0000D5030000}"/>
    <cellStyle name="Обычный 65 2" xfId="924" xr:uid="{00000000-0005-0000-0000-0000D6030000}"/>
    <cellStyle name="Обычный 66" xfId="925" xr:uid="{00000000-0005-0000-0000-0000D7030000}"/>
    <cellStyle name="Обычный 66 2" xfId="926" xr:uid="{00000000-0005-0000-0000-0000D8030000}"/>
    <cellStyle name="Обычный 66 3" xfId="927" xr:uid="{00000000-0005-0000-0000-0000D9030000}"/>
    <cellStyle name="Обычный 67" xfId="928" xr:uid="{00000000-0005-0000-0000-0000DA030000}"/>
    <cellStyle name="Обычный 68" xfId="929" xr:uid="{00000000-0005-0000-0000-0000DB030000}"/>
    <cellStyle name="Обычный 69" xfId="930" xr:uid="{00000000-0005-0000-0000-0000DC030000}"/>
    <cellStyle name="Обычный 7" xfId="931" xr:uid="{00000000-0005-0000-0000-0000DD030000}"/>
    <cellStyle name="Обычный 7 2" xfId="932" xr:uid="{00000000-0005-0000-0000-0000DE030000}"/>
    <cellStyle name="Обычный 7 2 2" xfId="933" xr:uid="{00000000-0005-0000-0000-0000DF030000}"/>
    <cellStyle name="Обычный 7 2 3" xfId="934" xr:uid="{00000000-0005-0000-0000-0000E0030000}"/>
    <cellStyle name="Обычный 7 3" xfId="935" xr:uid="{00000000-0005-0000-0000-0000E1030000}"/>
    <cellStyle name="Обычный 7 3 2" xfId="936" xr:uid="{00000000-0005-0000-0000-0000E2030000}"/>
    <cellStyle name="Обычный 7 4" xfId="937" xr:uid="{00000000-0005-0000-0000-0000E3030000}"/>
    <cellStyle name="Обычный 7 4 2" xfId="938" xr:uid="{00000000-0005-0000-0000-0000E4030000}"/>
    <cellStyle name="Обычный 7 5" xfId="939" xr:uid="{00000000-0005-0000-0000-0000E5030000}"/>
    <cellStyle name="Обычный 70" xfId="940" xr:uid="{00000000-0005-0000-0000-0000E6030000}"/>
    <cellStyle name="Обычный 71" xfId="941" xr:uid="{00000000-0005-0000-0000-0000E7030000}"/>
    <cellStyle name="Обычный 72" xfId="942" xr:uid="{00000000-0005-0000-0000-0000E8030000}"/>
    <cellStyle name="Обычный 73" xfId="943" xr:uid="{00000000-0005-0000-0000-0000E9030000}"/>
    <cellStyle name="Обычный 73 2" xfId="944" xr:uid="{00000000-0005-0000-0000-0000EA030000}"/>
    <cellStyle name="Обычный 73 3" xfId="945" xr:uid="{00000000-0005-0000-0000-0000EB030000}"/>
    <cellStyle name="Обычный 73 4" xfId="946" xr:uid="{00000000-0005-0000-0000-0000EC030000}"/>
    <cellStyle name="Обычный 74" xfId="947" xr:uid="{00000000-0005-0000-0000-0000ED030000}"/>
    <cellStyle name="Обычный 75" xfId="948" xr:uid="{00000000-0005-0000-0000-0000EE030000}"/>
    <cellStyle name="Обычный 75 2" xfId="949" xr:uid="{00000000-0005-0000-0000-0000EF030000}"/>
    <cellStyle name="Обычный 76" xfId="950" xr:uid="{00000000-0005-0000-0000-0000F0030000}"/>
    <cellStyle name="Обычный 77" xfId="951" xr:uid="{00000000-0005-0000-0000-0000F1030000}"/>
    <cellStyle name="Обычный 78" xfId="952" xr:uid="{00000000-0005-0000-0000-0000F2030000}"/>
    <cellStyle name="Обычный 78 2" xfId="953" xr:uid="{00000000-0005-0000-0000-0000F3030000}"/>
    <cellStyle name="Обычный 78 3" xfId="954" xr:uid="{00000000-0005-0000-0000-0000F4030000}"/>
    <cellStyle name="Обычный 79" xfId="955" xr:uid="{00000000-0005-0000-0000-0000F5030000}"/>
    <cellStyle name="Обычный 8" xfId="956" xr:uid="{00000000-0005-0000-0000-0000F6030000}"/>
    <cellStyle name="Обычный 8 2" xfId="957" xr:uid="{00000000-0005-0000-0000-0000F7030000}"/>
    <cellStyle name="Обычный 8 2 2" xfId="958" xr:uid="{00000000-0005-0000-0000-0000F8030000}"/>
    <cellStyle name="Обычный 8 2 3" xfId="959" xr:uid="{00000000-0005-0000-0000-0000F9030000}"/>
    <cellStyle name="Обычный 8 3" xfId="960" xr:uid="{00000000-0005-0000-0000-0000FA030000}"/>
    <cellStyle name="Обычный 8 3 2" xfId="961" xr:uid="{00000000-0005-0000-0000-0000FB030000}"/>
    <cellStyle name="Обычный 8 4" xfId="962" xr:uid="{00000000-0005-0000-0000-0000FC030000}"/>
    <cellStyle name="Обычный 8 5" xfId="963" xr:uid="{00000000-0005-0000-0000-0000FD030000}"/>
    <cellStyle name="Обычный 8 6" xfId="964" xr:uid="{00000000-0005-0000-0000-0000FE030000}"/>
    <cellStyle name="Обычный 80" xfId="965" xr:uid="{00000000-0005-0000-0000-0000FF030000}"/>
    <cellStyle name="Обычный 81" xfId="966" xr:uid="{00000000-0005-0000-0000-000000040000}"/>
    <cellStyle name="Обычный 82" xfId="967" xr:uid="{00000000-0005-0000-0000-000001040000}"/>
    <cellStyle name="Обычный 83" xfId="968" xr:uid="{00000000-0005-0000-0000-000002040000}"/>
    <cellStyle name="Обычный 84" xfId="969" xr:uid="{00000000-0005-0000-0000-000003040000}"/>
    <cellStyle name="Обычный 85" xfId="970" xr:uid="{00000000-0005-0000-0000-000004040000}"/>
    <cellStyle name="Обычный 86" xfId="971" xr:uid="{00000000-0005-0000-0000-000005040000}"/>
    <cellStyle name="Обычный 87" xfId="972" xr:uid="{00000000-0005-0000-0000-000006040000}"/>
    <cellStyle name="Обычный 87 2" xfId="973" xr:uid="{00000000-0005-0000-0000-000007040000}"/>
    <cellStyle name="Обычный 87 3" xfId="974" xr:uid="{00000000-0005-0000-0000-000008040000}"/>
    <cellStyle name="Обычный 88" xfId="975" xr:uid="{00000000-0005-0000-0000-000009040000}"/>
    <cellStyle name="Обычный 88 2" xfId="976" xr:uid="{00000000-0005-0000-0000-00000A040000}"/>
    <cellStyle name="Обычный 88 3" xfId="977" xr:uid="{00000000-0005-0000-0000-00000B040000}"/>
    <cellStyle name="Обычный 89" xfId="978" xr:uid="{00000000-0005-0000-0000-00000C040000}"/>
    <cellStyle name="Обычный 9" xfId="979" xr:uid="{00000000-0005-0000-0000-00000D040000}"/>
    <cellStyle name="Обычный 9 2" xfId="980" xr:uid="{00000000-0005-0000-0000-00000E040000}"/>
    <cellStyle name="Обычный 9 2 2" xfId="981" xr:uid="{00000000-0005-0000-0000-00000F040000}"/>
    <cellStyle name="Обычный 9 2 3" xfId="982" xr:uid="{00000000-0005-0000-0000-000010040000}"/>
    <cellStyle name="Обычный 9 3" xfId="983" xr:uid="{00000000-0005-0000-0000-000011040000}"/>
    <cellStyle name="Обычный 9 3 2" xfId="984" xr:uid="{00000000-0005-0000-0000-000012040000}"/>
    <cellStyle name="Обычный 9 4" xfId="985" xr:uid="{00000000-0005-0000-0000-000013040000}"/>
    <cellStyle name="Обычный 90" xfId="986" xr:uid="{00000000-0005-0000-0000-000014040000}"/>
    <cellStyle name="Обычный 90 2" xfId="987" xr:uid="{00000000-0005-0000-0000-000015040000}"/>
    <cellStyle name="Обычный 91" xfId="988" xr:uid="{00000000-0005-0000-0000-000016040000}"/>
    <cellStyle name="Обычный 92" xfId="989" xr:uid="{00000000-0005-0000-0000-000017040000}"/>
    <cellStyle name="Обычный 92 2" xfId="990" xr:uid="{00000000-0005-0000-0000-000018040000}"/>
    <cellStyle name="Обычный 93" xfId="991" xr:uid="{00000000-0005-0000-0000-000019040000}"/>
    <cellStyle name="Обычный 93 2" xfId="992" xr:uid="{00000000-0005-0000-0000-00001A040000}"/>
    <cellStyle name="Обычный 93 3" xfId="993" xr:uid="{00000000-0005-0000-0000-00001B040000}"/>
    <cellStyle name="Обычный 94" xfId="994" xr:uid="{00000000-0005-0000-0000-00001C040000}"/>
    <cellStyle name="Обычный 94 2" xfId="995" xr:uid="{00000000-0005-0000-0000-00001D040000}"/>
    <cellStyle name="Обычный 94 3" xfId="996" xr:uid="{00000000-0005-0000-0000-00001E040000}"/>
    <cellStyle name="Обычный 95" xfId="997" xr:uid="{00000000-0005-0000-0000-00001F040000}"/>
    <cellStyle name="Обычный 95 2" xfId="998" xr:uid="{00000000-0005-0000-0000-000020040000}"/>
    <cellStyle name="Обычный 96" xfId="999" xr:uid="{00000000-0005-0000-0000-000021040000}"/>
    <cellStyle name="Обычный 97" xfId="1000" xr:uid="{00000000-0005-0000-0000-000022040000}"/>
    <cellStyle name="Обычный 97 2" xfId="1001" xr:uid="{00000000-0005-0000-0000-000023040000}"/>
    <cellStyle name="Обычный 98" xfId="1002" xr:uid="{00000000-0005-0000-0000-000024040000}"/>
    <cellStyle name="Обычный 99" xfId="1003" xr:uid="{00000000-0005-0000-0000-000025040000}"/>
    <cellStyle name="Обычный 99 2" xfId="1004" xr:uid="{00000000-0005-0000-0000-000026040000}"/>
    <cellStyle name="Обычный 99 2 2" xfId="1005" xr:uid="{00000000-0005-0000-0000-000027040000}"/>
    <cellStyle name="Примечание 10" xfId="1006" xr:uid="{00000000-0005-0000-0000-000028040000}"/>
    <cellStyle name="Примечание 11" xfId="1007" xr:uid="{00000000-0005-0000-0000-000029040000}"/>
    <cellStyle name="Примечание 12" xfId="1008" xr:uid="{00000000-0005-0000-0000-00002A040000}"/>
    <cellStyle name="Примечание 13" xfId="1009" xr:uid="{00000000-0005-0000-0000-00002B040000}"/>
    <cellStyle name="Примечание 14" xfId="1010" xr:uid="{00000000-0005-0000-0000-00002C040000}"/>
    <cellStyle name="Примечание 15" xfId="1011" xr:uid="{00000000-0005-0000-0000-00002D040000}"/>
    <cellStyle name="Примечание 16" xfId="1012" xr:uid="{00000000-0005-0000-0000-00002E040000}"/>
    <cellStyle name="Примечание 17" xfId="1013" xr:uid="{00000000-0005-0000-0000-00002F040000}"/>
    <cellStyle name="Примечание 18" xfId="1014" xr:uid="{00000000-0005-0000-0000-000030040000}"/>
    <cellStyle name="Примечание 19" xfId="1015" xr:uid="{00000000-0005-0000-0000-000031040000}"/>
    <cellStyle name="Примечание 2" xfId="1016" xr:uid="{00000000-0005-0000-0000-000032040000}"/>
    <cellStyle name="Примечание 2 2" xfId="1017" xr:uid="{00000000-0005-0000-0000-000033040000}"/>
    <cellStyle name="Примечание 2 3" xfId="1018" xr:uid="{00000000-0005-0000-0000-000034040000}"/>
    <cellStyle name="Примечание 20" xfId="1019" xr:uid="{00000000-0005-0000-0000-000035040000}"/>
    <cellStyle name="Примечание 21" xfId="1020" xr:uid="{00000000-0005-0000-0000-000036040000}"/>
    <cellStyle name="Примечание 22" xfId="1021" xr:uid="{00000000-0005-0000-0000-000037040000}"/>
    <cellStyle name="Примечание 23" xfId="1022" xr:uid="{00000000-0005-0000-0000-000038040000}"/>
    <cellStyle name="Примечание 24" xfId="1023" xr:uid="{00000000-0005-0000-0000-000039040000}"/>
    <cellStyle name="Примечание 25" xfId="1024" xr:uid="{00000000-0005-0000-0000-00003A040000}"/>
    <cellStyle name="Примечание 26" xfId="1025" xr:uid="{00000000-0005-0000-0000-00003B040000}"/>
    <cellStyle name="Примечание 27" xfId="1026" xr:uid="{00000000-0005-0000-0000-00003C040000}"/>
    <cellStyle name="Примечание 28" xfId="1027" xr:uid="{00000000-0005-0000-0000-00003D040000}"/>
    <cellStyle name="Примечание 29" xfId="1028" xr:uid="{00000000-0005-0000-0000-00003E040000}"/>
    <cellStyle name="Примечание 3" xfId="1029" xr:uid="{00000000-0005-0000-0000-00003F040000}"/>
    <cellStyle name="Примечание 3 2" xfId="1030" xr:uid="{00000000-0005-0000-0000-000040040000}"/>
    <cellStyle name="Примечание 3 3" xfId="1031" xr:uid="{00000000-0005-0000-0000-000041040000}"/>
    <cellStyle name="Примечание 30" xfId="1032" xr:uid="{00000000-0005-0000-0000-000042040000}"/>
    <cellStyle name="Примечание 4" xfId="1033" xr:uid="{00000000-0005-0000-0000-000043040000}"/>
    <cellStyle name="Примечание 4 2" xfId="1034" xr:uid="{00000000-0005-0000-0000-000044040000}"/>
    <cellStyle name="Примечание 4 3" xfId="1035" xr:uid="{00000000-0005-0000-0000-000045040000}"/>
    <cellStyle name="Примечание 5" xfId="1036" xr:uid="{00000000-0005-0000-0000-000046040000}"/>
    <cellStyle name="Примечание 5 2" xfId="1037" xr:uid="{00000000-0005-0000-0000-000047040000}"/>
    <cellStyle name="Примечание 5 3" xfId="1038" xr:uid="{00000000-0005-0000-0000-000048040000}"/>
    <cellStyle name="Примечание 6" xfId="1039" xr:uid="{00000000-0005-0000-0000-000049040000}"/>
    <cellStyle name="Примечание 6 2" xfId="1040" xr:uid="{00000000-0005-0000-0000-00004A040000}"/>
    <cellStyle name="Примечание 6 3" xfId="1041" xr:uid="{00000000-0005-0000-0000-00004B040000}"/>
    <cellStyle name="Примечание 7" xfId="1042" xr:uid="{00000000-0005-0000-0000-00004C040000}"/>
    <cellStyle name="Примечание 7 2" xfId="1043" xr:uid="{00000000-0005-0000-0000-00004D040000}"/>
    <cellStyle name="Примечание 7 3" xfId="1044" xr:uid="{00000000-0005-0000-0000-00004E040000}"/>
    <cellStyle name="Примечание 8" xfId="1045" xr:uid="{00000000-0005-0000-0000-00004F040000}"/>
    <cellStyle name="Примечание 8 2" xfId="1046" xr:uid="{00000000-0005-0000-0000-000050040000}"/>
    <cellStyle name="Примечание 8 3" xfId="1047" xr:uid="{00000000-0005-0000-0000-000051040000}"/>
    <cellStyle name="Примечание 9" xfId="1048" xr:uid="{00000000-0005-0000-0000-000052040000}"/>
    <cellStyle name="Примечание 9 2" xfId="1049" xr:uid="{00000000-0005-0000-0000-000053040000}"/>
    <cellStyle name="Процентный" xfId="2" builtinId="5"/>
    <cellStyle name="Процентный 2" xfId="8" xr:uid="{00000000-0005-0000-0000-000055040000}"/>
    <cellStyle name="Процентный 2 2" xfId="1050" xr:uid="{00000000-0005-0000-0000-000056040000}"/>
    <cellStyle name="Процентный 2 2 2" xfId="10" xr:uid="{00000000-0005-0000-0000-000057040000}"/>
    <cellStyle name="Процентный 2 2 3" xfId="1051" xr:uid="{00000000-0005-0000-0000-000058040000}"/>
    <cellStyle name="Процентный 2 3" xfId="1052" xr:uid="{00000000-0005-0000-0000-000059040000}"/>
    <cellStyle name="Процентный 2 4" xfId="1053" xr:uid="{00000000-0005-0000-0000-00005A040000}"/>
    <cellStyle name="Процентный 2 5" xfId="1054" xr:uid="{00000000-0005-0000-0000-00005B040000}"/>
    <cellStyle name="Процентный 2 6" xfId="1055" xr:uid="{00000000-0005-0000-0000-00005C040000}"/>
    <cellStyle name="Процентный 2 7" xfId="1056" xr:uid="{00000000-0005-0000-0000-00005D040000}"/>
    <cellStyle name="Процентный 3" xfId="1057" xr:uid="{00000000-0005-0000-0000-00005E040000}"/>
    <cellStyle name="Процентный 4" xfId="1058" xr:uid="{00000000-0005-0000-0000-00005F040000}"/>
    <cellStyle name="Стиль 1" xfId="1059" xr:uid="{00000000-0005-0000-0000-000060040000}"/>
    <cellStyle name="Финансовый" xfId="3" builtinId="3"/>
    <cellStyle name="Финансовый [0] 2" xfId="1060" xr:uid="{00000000-0005-0000-0000-000062040000}"/>
    <cellStyle name="Финансовый [0] 2 2" xfId="1061" xr:uid="{00000000-0005-0000-0000-000063040000}"/>
    <cellStyle name="Финансовый [0] 67" xfId="1062" xr:uid="{00000000-0005-0000-0000-000064040000}"/>
    <cellStyle name="Финансовый 10" xfId="1063" xr:uid="{00000000-0005-0000-0000-000065040000}"/>
    <cellStyle name="Финансовый 10 2" xfId="1064" xr:uid="{00000000-0005-0000-0000-000066040000}"/>
    <cellStyle name="Финансовый 11" xfId="1065" xr:uid="{00000000-0005-0000-0000-000067040000}"/>
    <cellStyle name="Финансовый 11 2" xfId="1066" xr:uid="{00000000-0005-0000-0000-000068040000}"/>
    <cellStyle name="Финансовый 13" xfId="1067" xr:uid="{00000000-0005-0000-0000-000069040000}"/>
    <cellStyle name="Финансовый 13 2" xfId="1068" xr:uid="{00000000-0005-0000-0000-00006A040000}"/>
    <cellStyle name="Финансовый 13 3" xfId="1069" xr:uid="{00000000-0005-0000-0000-00006B040000}"/>
    <cellStyle name="Финансовый 17" xfId="1070" xr:uid="{00000000-0005-0000-0000-00006C040000}"/>
    <cellStyle name="Финансовый 19" xfId="1071" xr:uid="{00000000-0005-0000-0000-00006D040000}"/>
    <cellStyle name="Финансовый 19 2" xfId="1072" xr:uid="{00000000-0005-0000-0000-00006E040000}"/>
    <cellStyle name="Финансовый 19 3" xfId="1073" xr:uid="{00000000-0005-0000-0000-00006F040000}"/>
    <cellStyle name="Финансовый 2" xfId="7" xr:uid="{00000000-0005-0000-0000-000070040000}"/>
    <cellStyle name="Финансовый 2 10" xfId="1074" xr:uid="{00000000-0005-0000-0000-000071040000}"/>
    <cellStyle name="Финансовый 2 11" xfId="1075" xr:uid="{00000000-0005-0000-0000-000072040000}"/>
    <cellStyle name="Финансовый 2 12" xfId="1076" xr:uid="{00000000-0005-0000-0000-000073040000}"/>
    <cellStyle name="Финансовый 2 13" xfId="1077" xr:uid="{00000000-0005-0000-0000-000074040000}"/>
    <cellStyle name="Финансовый 2 14" xfId="1078" xr:uid="{00000000-0005-0000-0000-000075040000}"/>
    <cellStyle name="Финансовый 2 15" xfId="1079" xr:uid="{00000000-0005-0000-0000-000076040000}"/>
    <cellStyle name="Финансовый 2 16" xfId="1080" xr:uid="{00000000-0005-0000-0000-000077040000}"/>
    <cellStyle name="Финансовый 2 17" xfId="1081" xr:uid="{00000000-0005-0000-0000-000078040000}"/>
    <cellStyle name="Финансовый 2 18" xfId="1082" xr:uid="{00000000-0005-0000-0000-000079040000}"/>
    <cellStyle name="Финансовый 2 19" xfId="1083" xr:uid="{00000000-0005-0000-0000-00007A040000}"/>
    <cellStyle name="Финансовый 2 2" xfId="1084" xr:uid="{00000000-0005-0000-0000-00007B040000}"/>
    <cellStyle name="Финансовый 2 2 2" xfId="1085" xr:uid="{00000000-0005-0000-0000-00007C040000}"/>
    <cellStyle name="Финансовый 2 2 2 2" xfId="1086" xr:uid="{00000000-0005-0000-0000-00007D040000}"/>
    <cellStyle name="Финансовый 2 2 2 3" xfId="1087" xr:uid="{00000000-0005-0000-0000-00007E040000}"/>
    <cellStyle name="Финансовый 2 2 3" xfId="1088" xr:uid="{00000000-0005-0000-0000-00007F040000}"/>
    <cellStyle name="Финансовый 2 2 4" xfId="1089" xr:uid="{00000000-0005-0000-0000-000080040000}"/>
    <cellStyle name="Финансовый 2 20" xfId="1090" xr:uid="{00000000-0005-0000-0000-000081040000}"/>
    <cellStyle name="Финансовый 2 21" xfId="1091" xr:uid="{00000000-0005-0000-0000-000082040000}"/>
    <cellStyle name="Финансовый 2 22" xfId="1092" xr:uid="{00000000-0005-0000-0000-000083040000}"/>
    <cellStyle name="Финансовый 2 23" xfId="1093" xr:uid="{00000000-0005-0000-0000-000084040000}"/>
    <cellStyle name="Финансовый 2 24" xfId="1094" xr:uid="{00000000-0005-0000-0000-000085040000}"/>
    <cellStyle name="Финансовый 2 25" xfId="1095" xr:uid="{00000000-0005-0000-0000-000086040000}"/>
    <cellStyle name="Финансовый 2 26" xfId="1096" xr:uid="{00000000-0005-0000-0000-000087040000}"/>
    <cellStyle name="Финансовый 2 27" xfId="1097" xr:uid="{00000000-0005-0000-0000-000088040000}"/>
    <cellStyle name="Финансовый 2 28" xfId="1098" xr:uid="{00000000-0005-0000-0000-000089040000}"/>
    <cellStyle name="Финансовый 2 29" xfId="1099" xr:uid="{00000000-0005-0000-0000-00008A040000}"/>
    <cellStyle name="Финансовый 2 3" xfId="1100" xr:uid="{00000000-0005-0000-0000-00008B040000}"/>
    <cellStyle name="Финансовый 2 3 2" xfId="1101" xr:uid="{00000000-0005-0000-0000-00008C040000}"/>
    <cellStyle name="Финансовый 2 3 3" xfId="1102" xr:uid="{00000000-0005-0000-0000-00008D040000}"/>
    <cellStyle name="Финансовый 2 3 4" xfId="1103" xr:uid="{00000000-0005-0000-0000-00008E040000}"/>
    <cellStyle name="Финансовый 2 30" xfId="1104" xr:uid="{00000000-0005-0000-0000-00008F040000}"/>
    <cellStyle name="Финансовый 2 4" xfId="1105" xr:uid="{00000000-0005-0000-0000-000090040000}"/>
    <cellStyle name="Финансовый 2 4 2" xfId="1106" xr:uid="{00000000-0005-0000-0000-000091040000}"/>
    <cellStyle name="Финансовый 2 4 3" xfId="1107" xr:uid="{00000000-0005-0000-0000-000092040000}"/>
    <cellStyle name="Финансовый 2 4 4" xfId="1108" xr:uid="{00000000-0005-0000-0000-000093040000}"/>
    <cellStyle name="Финансовый 2 5" xfId="1109" xr:uid="{00000000-0005-0000-0000-000094040000}"/>
    <cellStyle name="Финансовый 2 5 2" xfId="1110" xr:uid="{00000000-0005-0000-0000-000095040000}"/>
    <cellStyle name="Финансовый 2 6" xfId="1111" xr:uid="{00000000-0005-0000-0000-000096040000}"/>
    <cellStyle name="Финансовый 2 6 2" xfId="1112" xr:uid="{00000000-0005-0000-0000-000097040000}"/>
    <cellStyle name="Финансовый 2 7" xfId="1113" xr:uid="{00000000-0005-0000-0000-000098040000}"/>
    <cellStyle name="Финансовый 2 8" xfId="1114" xr:uid="{00000000-0005-0000-0000-000099040000}"/>
    <cellStyle name="Финансовый 2 9" xfId="1115" xr:uid="{00000000-0005-0000-0000-00009A040000}"/>
    <cellStyle name="Финансовый 20" xfId="1116" xr:uid="{00000000-0005-0000-0000-00009B040000}"/>
    <cellStyle name="Финансовый 21" xfId="1117" xr:uid="{00000000-0005-0000-0000-00009C040000}"/>
    <cellStyle name="Финансовый 23" xfId="1118" xr:uid="{00000000-0005-0000-0000-00009D040000}"/>
    <cellStyle name="Финансовый 24" xfId="1119" xr:uid="{00000000-0005-0000-0000-00009E040000}"/>
    <cellStyle name="Финансовый 25" xfId="1120" xr:uid="{00000000-0005-0000-0000-00009F040000}"/>
    <cellStyle name="Финансовый 26" xfId="1121" xr:uid="{00000000-0005-0000-0000-0000A0040000}"/>
    <cellStyle name="Финансовый 27" xfId="1122" xr:uid="{00000000-0005-0000-0000-0000A1040000}"/>
    <cellStyle name="Финансовый 28" xfId="1123" xr:uid="{00000000-0005-0000-0000-0000A2040000}"/>
    <cellStyle name="Финансовый 3" xfId="1124" xr:uid="{00000000-0005-0000-0000-0000A3040000}"/>
    <cellStyle name="Финансовый 3 10" xfId="1125" xr:uid="{00000000-0005-0000-0000-0000A4040000}"/>
    <cellStyle name="Финансовый 3 11" xfId="1126" xr:uid="{00000000-0005-0000-0000-0000A5040000}"/>
    <cellStyle name="Финансовый 3 12" xfId="1127" xr:uid="{00000000-0005-0000-0000-0000A6040000}"/>
    <cellStyle name="Финансовый 3 13" xfId="1128" xr:uid="{00000000-0005-0000-0000-0000A7040000}"/>
    <cellStyle name="Финансовый 3 14" xfId="1129" xr:uid="{00000000-0005-0000-0000-0000A8040000}"/>
    <cellStyle name="Финансовый 3 15" xfId="1130" xr:uid="{00000000-0005-0000-0000-0000A9040000}"/>
    <cellStyle name="Финансовый 3 16" xfId="1131" xr:uid="{00000000-0005-0000-0000-0000AA040000}"/>
    <cellStyle name="Финансовый 3 17" xfId="1132" xr:uid="{00000000-0005-0000-0000-0000AB040000}"/>
    <cellStyle name="Финансовый 3 18" xfId="1133" xr:uid="{00000000-0005-0000-0000-0000AC040000}"/>
    <cellStyle name="Финансовый 3 19" xfId="1134" xr:uid="{00000000-0005-0000-0000-0000AD040000}"/>
    <cellStyle name="Финансовый 3 2" xfId="1135" xr:uid="{00000000-0005-0000-0000-0000AE040000}"/>
    <cellStyle name="Финансовый 3 2 2" xfId="1136" xr:uid="{00000000-0005-0000-0000-0000AF040000}"/>
    <cellStyle name="Финансовый 3 2 2 2" xfId="1137" xr:uid="{00000000-0005-0000-0000-0000B0040000}"/>
    <cellStyle name="Финансовый 3 2 2 3" xfId="1138" xr:uid="{00000000-0005-0000-0000-0000B1040000}"/>
    <cellStyle name="Финансовый 3 2 3" xfId="1139" xr:uid="{00000000-0005-0000-0000-0000B2040000}"/>
    <cellStyle name="Финансовый 3 2 3 2" xfId="1140" xr:uid="{00000000-0005-0000-0000-0000B3040000}"/>
    <cellStyle name="Финансовый 3 2 4" xfId="1141" xr:uid="{00000000-0005-0000-0000-0000B4040000}"/>
    <cellStyle name="Финансовый 3 2 5" xfId="1142" xr:uid="{00000000-0005-0000-0000-0000B5040000}"/>
    <cellStyle name="Финансовый 3 2 6" xfId="1143" xr:uid="{00000000-0005-0000-0000-0000B6040000}"/>
    <cellStyle name="Финансовый 3 20" xfId="1144" xr:uid="{00000000-0005-0000-0000-0000B7040000}"/>
    <cellStyle name="Финансовый 3 21" xfId="1145" xr:uid="{00000000-0005-0000-0000-0000B8040000}"/>
    <cellStyle name="Финансовый 3 22" xfId="1146" xr:uid="{00000000-0005-0000-0000-0000B9040000}"/>
    <cellStyle name="Финансовый 3 3" xfId="1147" xr:uid="{00000000-0005-0000-0000-0000BA040000}"/>
    <cellStyle name="Финансовый 3 3 2" xfId="1148" xr:uid="{00000000-0005-0000-0000-0000BB040000}"/>
    <cellStyle name="Финансовый 3 3 3" xfId="1149" xr:uid="{00000000-0005-0000-0000-0000BC040000}"/>
    <cellStyle name="Финансовый 3 4" xfId="1150" xr:uid="{00000000-0005-0000-0000-0000BD040000}"/>
    <cellStyle name="Финансовый 3 4 2" xfId="1151" xr:uid="{00000000-0005-0000-0000-0000BE040000}"/>
    <cellStyle name="Финансовый 3 4 3" xfId="1152" xr:uid="{00000000-0005-0000-0000-0000BF040000}"/>
    <cellStyle name="Финансовый 3 5" xfId="1153" xr:uid="{00000000-0005-0000-0000-0000C0040000}"/>
    <cellStyle name="Финансовый 3 5 2" xfId="1154" xr:uid="{00000000-0005-0000-0000-0000C1040000}"/>
    <cellStyle name="Финансовый 3 5 3" xfId="1155" xr:uid="{00000000-0005-0000-0000-0000C2040000}"/>
    <cellStyle name="Финансовый 3 5 4" xfId="1156" xr:uid="{00000000-0005-0000-0000-0000C3040000}"/>
    <cellStyle name="Финансовый 3 6" xfId="1157" xr:uid="{00000000-0005-0000-0000-0000C4040000}"/>
    <cellStyle name="Финансовый 3 6 2" xfId="1158" xr:uid="{00000000-0005-0000-0000-0000C5040000}"/>
    <cellStyle name="Финансовый 3 7" xfId="1159" xr:uid="{00000000-0005-0000-0000-0000C6040000}"/>
    <cellStyle name="Финансовый 3 7 2" xfId="1160" xr:uid="{00000000-0005-0000-0000-0000C7040000}"/>
    <cellStyle name="Финансовый 3 8" xfId="1161" xr:uid="{00000000-0005-0000-0000-0000C8040000}"/>
    <cellStyle name="Финансовый 3 9" xfId="1162" xr:uid="{00000000-0005-0000-0000-0000C9040000}"/>
    <cellStyle name="Финансовый 30" xfId="1163" xr:uid="{00000000-0005-0000-0000-0000CA040000}"/>
    <cellStyle name="Финансовый 31" xfId="1164" xr:uid="{00000000-0005-0000-0000-0000CB040000}"/>
    <cellStyle name="Финансовый 31 2" xfId="1165" xr:uid="{00000000-0005-0000-0000-0000CC040000}"/>
    <cellStyle name="Финансовый 32" xfId="1166" xr:uid="{00000000-0005-0000-0000-0000CD040000}"/>
    <cellStyle name="Финансовый 32 2" xfId="1167" xr:uid="{00000000-0005-0000-0000-0000CE040000}"/>
    <cellStyle name="Финансовый 33" xfId="1168" xr:uid="{00000000-0005-0000-0000-0000CF040000}"/>
    <cellStyle name="Финансовый 33 2" xfId="1169" xr:uid="{00000000-0005-0000-0000-0000D0040000}"/>
    <cellStyle name="Финансовый 34" xfId="1170" xr:uid="{00000000-0005-0000-0000-0000D1040000}"/>
    <cellStyle name="Финансовый 34 2" xfId="1171" xr:uid="{00000000-0005-0000-0000-0000D2040000}"/>
    <cellStyle name="Финансовый 35" xfId="1172" xr:uid="{00000000-0005-0000-0000-0000D3040000}"/>
    <cellStyle name="Финансовый 35 2" xfId="1173" xr:uid="{00000000-0005-0000-0000-0000D4040000}"/>
    <cellStyle name="Финансовый 36" xfId="1174" xr:uid="{00000000-0005-0000-0000-0000D5040000}"/>
    <cellStyle name="Финансовый 36 2" xfId="1175" xr:uid="{00000000-0005-0000-0000-0000D6040000}"/>
    <cellStyle name="Финансовый 37" xfId="1176" xr:uid="{00000000-0005-0000-0000-0000D7040000}"/>
    <cellStyle name="Финансовый 37 2" xfId="1177" xr:uid="{00000000-0005-0000-0000-0000D8040000}"/>
    <cellStyle name="Финансовый 38" xfId="1178" xr:uid="{00000000-0005-0000-0000-0000D9040000}"/>
    <cellStyle name="Финансовый 38 2" xfId="1179" xr:uid="{00000000-0005-0000-0000-0000DA040000}"/>
    <cellStyle name="Финансовый 39" xfId="1180" xr:uid="{00000000-0005-0000-0000-0000DB040000}"/>
    <cellStyle name="Финансовый 4" xfId="1181" xr:uid="{00000000-0005-0000-0000-0000DC040000}"/>
    <cellStyle name="Финансовый 4 2" xfId="1182" xr:uid="{00000000-0005-0000-0000-0000DD040000}"/>
    <cellStyle name="Финансовый 4 2 2" xfId="1183" xr:uid="{00000000-0005-0000-0000-0000DE040000}"/>
    <cellStyle name="Финансовый 4 2 2 2" xfId="1184" xr:uid="{00000000-0005-0000-0000-0000DF040000}"/>
    <cellStyle name="Финансовый 4 2 3" xfId="1185" xr:uid="{00000000-0005-0000-0000-0000E0040000}"/>
    <cellStyle name="Финансовый 4 3" xfId="1186" xr:uid="{00000000-0005-0000-0000-0000E1040000}"/>
    <cellStyle name="Финансовый 4 3 2" xfId="1187" xr:uid="{00000000-0005-0000-0000-0000E2040000}"/>
    <cellStyle name="Финансовый 4 4" xfId="1188" xr:uid="{00000000-0005-0000-0000-0000E3040000}"/>
    <cellStyle name="Финансовый 4 4 2" xfId="1189" xr:uid="{00000000-0005-0000-0000-0000E4040000}"/>
    <cellStyle name="Финансовый 4 5" xfId="1190" xr:uid="{00000000-0005-0000-0000-0000E5040000}"/>
    <cellStyle name="Финансовый 4 6" xfId="1191" xr:uid="{00000000-0005-0000-0000-0000E6040000}"/>
    <cellStyle name="Финансовый 4 7" xfId="1192" xr:uid="{00000000-0005-0000-0000-0000E7040000}"/>
    <cellStyle name="Финансовый 4 8" xfId="1193" xr:uid="{00000000-0005-0000-0000-0000E8040000}"/>
    <cellStyle name="Финансовый 4 9" xfId="1194" xr:uid="{00000000-0005-0000-0000-0000E9040000}"/>
    <cellStyle name="Финансовый 40" xfId="1195" xr:uid="{00000000-0005-0000-0000-0000EA040000}"/>
    <cellStyle name="Финансовый 41" xfId="1196" xr:uid="{00000000-0005-0000-0000-0000EB040000}"/>
    <cellStyle name="Финансовый 42" xfId="1197" xr:uid="{00000000-0005-0000-0000-0000EC040000}"/>
    <cellStyle name="Финансовый 42 2" xfId="1198" xr:uid="{00000000-0005-0000-0000-0000ED040000}"/>
    <cellStyle name="Финансовый 44" xfId="1199" xr:uid="{00000000-0005-0000-0000-0000EE040000}"/>
    <cellStyle name="Финансовый 46" xfId="1200" xr:uid="{00000000-0005-0000-0000-0000EF040000}"/>
    <cellStyle name="Финансовый 47" xfId="1201" xr:uid="{00000000-0005-0000-0000-0000F0040000}"/>
    <cellStyle name="Финансовый 5" xfId="1202" xr:uid="{00000000-0005-0000-0000-0000F1040000}"/>
    <cellStyle name="Финансовый 5 2" xfId="1203" xr:uid="{00000000-0005-0000-0000-0000F2040000}"/>
    <cellStyle name="Финансовый 5 2 2" xfId="1204" xr:uid="{00000000-0005-0000-0000-0000F3040000}"/>
    <cellStyle name="Финансовый 5 3" xfId="1205" xr:uid="{00000000-0005-0000-0000-0000F4040000}"/>
    <cellStyle name="Финансовый 5 3 2" xfId="1206" xr:uid="{00000000-0005-0000-0000-0000F5040000}"/>
    <cellStyle name="Финансовый 5 3 3" xfId="1207" xr:uid="{00000000-0005-0000-0000-0000F6040000}"/>
    <cellStyle name="Финансовый 5 4" xfId="1208" xr:uid="{00000000-0005-0000-0000-0000F7040000}"/>
    <cellStyle name="Финансовый 5 5" xfId="1209" xr:uid="{00000000-0005-0000-0000-0000F8040000}"/>
    <cellStyle name="Финансовый 6" xfId="1210" xr:uid="{00000000-0005-0000-0000-0000F9040000}"/>
    <cellStyle name="Финансовый 6 2" xfId="1211" xr:uid="{00000000-0005-0000-0000-0000FA040000}"/>
    <cellStyle name="Финансовый 6 2 2" xfId="1212" xr:uid="{00000000-0005-0000-0000-0000FB040000}"/>
    <cellStyle name="Финансовый 6 2 3" xfId="1213" xr:uid="{00000000-0005-0000-0000-0000FC040000}"/>
    <cellStyle name="Финансовый 6 3" xfId="1214" xr:uid="{00000000-0005-0000-0000-0000FD040000}"/>
    <cellStyle name="Финансовый 6 4" xfId="1215" xr:uid="{00000000-0005-0000-0000-0000FE040000}"/>
    <cellStyle name="Финансовый 7" xfId="1216" xr:uid="{00000000-0005-0000-0000-0000FF040000}"/>
    <cellStyle name="Финансовый 7 2" xfId="1217" xr:uid="{00000000-0005-0000-0000-000000050000}"/>
    <cellStyle name="Финансовый 7 2 2" xfId="1218" xr:uid="{00000000-0005-0000-0000-000001050000}"/>
    <cellStyle name="Финансовый 7 2 3" xfId="1219" xr:uid="{00000000-0005-0000-0000-000002050000}"/>
    <cellStyle name="Финансовый 7 3" xfId="1220" xr:uid="{00000000-0005-0000-0000-000003050000}"/>
    <cellStyle name="Финансовый 8" xfId="1221" xr:uid="{00000000-0005-0000-0000-000004050000}"/>
    <cellStyle name="Финансовый 8 2" xfId="1222" xr:uid="{00000000-0005-0000-0000-000005050000}"/>
    <cellStyle name="Финансовый 9" xfId="1223" xr:uid="{00000000-0005-0000-0000-000006050000}"/>
    <cellStyle name="Џђћ–…ќ’ќ›‰" xfId="1224" xr:uid="{00000000-0005-0000-0000-000007050000}"/>
  </cellStyles>
  <dxfs count="3"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35E2EB"/>
      <color rgb="FFD9F29C"/>
      <color rgb="FFFF33CC"/>
      <color rgb="FFFF00FF"/>
      <color rgb="FFFF66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.ravshanov\Downloads\crs003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.ravshanov\Downloads\crs003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Transactions of related parties"/>
      <sheetName val=" Largest risk"/>
      <sheetName val="Charge-offs and Recoveries"/>
      <sheetName val="loans_av rate"/>
      <sheetName val="loans type"/>
      <sheetName val="Bank Capital Calc (2)"/>
      <sheetName val="Deposits_av rate"/>
      <sheetName val="Economic Normatives"/>
      <sheetName val="Miscellaneous"/>
      <sheetName val="ПФ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4">
          <cell r="Z64">
            <v>83886999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45">
          <cell r="C45">
            <v>56511320290</v>
          </cell>
          <cell r="D45">
            <v>21664244002</v>
          </cell>
          <cell r="E45">
            <v>34847076288</v>
          </cell>
        </row>
        <row r="72">
          <cell r="C72">
            <v>454928207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1038977248</v>
          </cell>
          <cell r="D4">
            <v>741841838</v>
          </cell>
          <cell r="E4">
            <v>297135410</v>
          </cell>
        </row>
        <row r="7">
          <cell r="C7">
            <v>1834213566</v>
          </cell>
          <cell r="D7">
            <v>30401838</v>
          </cell>
          <cell r="E7">
            <v>1803811728</v>
          </cell>
        </row>
        <row r="10">
          <cell r="C10">
            <v>1644275155</v>
          </cell>
          <cell r="D10">
            <v>0</v>
          </cell>
          <cell r="E10">
            <v>1644275155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0">
          <cell r="C20">
            <v>326771</v>
          </cell>
          <cell r="D20">
            <v>0</v>
          </cell>
          <cell r="E20">
            <v>326771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7"/>
  <dimension ref="A1:T63"/>
  <sheetViews>
    <sheetView view="pageBreakPreview" zoomScaleSheetLayoutView="100" workbookViewId="0">
      <pane xSplit="2" ySplit="4" topLeftCell="C26" activePane="bottomRight" state="frozen"/>
      <selection pane="topRight" activeCell="C1" sqref="C1"/>
      <selection pane="bottomLeft" activeCell="A5" sqref="A5"/>
      <selection pane="bottomRight" activeCell="C46" sqref="C46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4.5703125" style="182" customWidth="1"/>
    <col min="5" max="5" width="27.42578125" style="183" customWidth="1"/>
    <col min="6" max="6" width="15.28515625" style="182" customWidth="1"/>
    <col min="7" max="7" width="9.140625" style="182"/>
    <col min="8" max="8" width="17.42578125" style="182" bestFit="1" customWidth="1"/>
    <col min="9" max="20" width="9.140625" style="182"/>
    <col min="21" max="16384" width="9.140625" style="10"/>
  </cols>
  <sheetData>
    <row r="1" spans="1:20" ht="23.25" customHeight="1">
      <c r="A1" s="239" t="s">
        <v>184</v>
      </c>
      <c r="B1" s="240"/>
      <c r="C1" s="9" t="s">
        <v>181</v>
      </c>
      <c r="E1" s="237" t="s">
        <v>205</v>
      </c>
    </row>
    <row r="2" spans="1:20">
      <c r="A2" s="47"/>
      <c r="B2" s="47"/>
      <c r="C2" s="47"/>
    </row>
    <row r="3" spans="1:20" ht="15.75">
      <c r="A3" s="11"/>
      <c r="B3" s="175" t="s">
        <v>230</v>
      </c>
      <c r="C3" s="176">
        <v>44560</v>
      </c>
    </row>
    <row r="4" spans="1:20" s="12" customFormat="1" ht="43.5" customHeight="1">
      <c r="A4" s="94" t="s">
        <v>76</v>
      </c>
      <c r="B4" s="94" t="s">
        <v>48</v>
      </c>
      <c r="C4" s="94" t="s">
        <v>3</v>
      </c>
      <c r="D4" s="184"/>
      <c r="E4" s="99"/>
      <c r="F4" s="98"/>
      <c r="G4" s="98"/>
      <c r="H4" s="98"/>
      <c r="I4" s="98"/>
      <c r="J4" s="98"/>
      <c r="K4" s="98"/>
      <c r="L4" s="98"/>
      <c r="M4" s="184"/>
      <c r="N4" s="184"/>
      <c r="O4" s="184"/>
      <c r="P4" s="184"/>
      <c r="Q4" s="184"/>
      <c r="R4" s="184"/>
      <c r="S4" s="184"/>
      <c r="T4" s="184"/>
    </row>
    <row r="5" spans="1:20" ht="12.75" customHeight="1">
      <c r="A5" s="84" t="s">
        <v>53</v>
      </c>
      <c r="B5" s="14" t="s">
        <v>133</v>
      </c>
      <c r="C5" s="15"/>
      <c r="E5" s="97"/>
      <c r="F5" s="96"/>
      <c r="G5" s="96"/>
      <c r="H5" s="96"/>
      <c r="I5" s="96"/>
      <c r="J5" s="96"/>
      <c r="K5" s="96"/>
      <c r="L5" s="96"/>
    </row>
    <row r="6" spans="1:20" ht="12.75" customHeight="1">
      <c r="A6" s="13">
        <v>1</v>
      </c>
      <c r="B6" s="14" t="s">
        <v>134</v>
      </c>
      <c r="C6" s="16"/>
      <c r="E6" s="97"/>
      <c r="F6" s="96"/>
      <c r="G6" s="96"/>
      <c r="H6" s="96"/>
      <c r="I6" s="96"/>
      <c r="J6" s="96"/>
      <c r="K6" s="96"/>
      <c r="L6" s="96"/>
    </row>
    <row r="7" spans="1:20" s="23" customFormat="1" ht="18" customHeight="1">
      <c r="A7" s="20" t="s">
        <v>137</v>
      </c>
      <c r="B7" s="21" t="s">
        <v>135</v>
      </c>
      <c r="C7" s="16">
        <f>+C8+C9</f>
        <v>4627483904</v>
      </c>
      <c r="D7" s="185"/>
      <c r="E7" s="76"/>
      <c r="F7" s="100"/>
      <c r="G7" s="100"/>
      <c r="H7" s="100"/>
      <c r="I7" s="100"/>
      <c r="J7" s="100"/>
      <c r="K7" s="100"/>
      <c r="L7" s="100"/>
      <c r="M7" s="185"/>
      <c r="N7" s="185"/>
      <c r="O7" s="185"/>
      <c r="P7" s="185"/>
      <c r="Q7" s="185"/>
      <c r="R7" s="185"/>
      <c r="S7" s="185"/>
      <c r="T7" s="185"/>
    </row>
    <row r="8" spans="1:20" s="12" customFormat="1" ht="18" customHeight="1">
      <c r="A8" s="30" t="s">
        <v>54</v>
      </c>
      <c r="B8" s="89" t="s">
        <v>55</v>
      </c>
      <c r="C8" s="48">
        <v>4627483904</v>
      </c>
      <c r="D8" s="184"/>
      <c r="E8" s="99"/>
      <c r="F8" s="98"/>
      <c r="G8" s="98"/>
      <c r="H8" s="98"/>
      <c r="I8" s="98"/>
      <c r="J8" s="98"/>
      <c r="K8" s="98"/>
      <c r="L8" s="98"/>
      <c r="M8" s="184"/>
      <c r="N8" s="184"/>
      <c r="O8" s="184"/>
      <c r="P8" s="184"/>
      <c r="Q8" s="184"/>
      <c r="R8" s="184"/>
      <c r="S8" s="184"/>
      <c r="T8" s="184"/>
    </row>
    <row r="9" spans="1:20" s="12" customFormat="1" ht="18" customHeight="1">
      <c r="A9" s="30" t="s">
        <v>56</v>
      </c>
      <c r="B9" s="89" t="s">
        <v>57</v>
      </c>
      <c r="C9" s="75">
        <v>0</v>
      </c>
      <c r="D9" s="184"/>
      <c r="E9" s="99"/>
      <c r="F9" s="98"/>
      <c r="G9" s="98"/>
      <c r="H9" s="98"/>
      <c r="I9" s="98"/>
      <c r="J9" s="98"/>
      <c r="K9" s="98"/>
      <c r="L9" s="98"/>
      <c r="M9" s="184"/>
      <c r="N9" s="184"/>
      <c r="O9" s="184"/>
      <c r="P9" s="184"/>
      <c r="Q9" s="184"/>
      <c r="R9" s="184"/>
      <c r="S9" s="184"/>
      <c r="T9" s="184"/>
    </row>
    <row r="10" spans="1:20" s="23" customFormat="1" ht="18" customHeight="1">
      <c r="A10" s="20" t="s">
        <v>138</v>
      </c>
      <c r="B10" s="21" t="s">
        <v>136</v>
      </c>
      <c r="C10" s="75"/>
      <c r="D10" s="185"/>
      <c r="E10" s="76"/>
      <c r="F10" s="100"/>
      <c r="G10" s="100"/>
      <c r="H10" s="100"/>
      <c r="I10" s="100"/>
      <c r="J10" s="100"/>
      <c r="K10" s="100"/>
      <c r="L10" s="100"/>
      <c r="M10" s="185"/>
      <c r="N10" s="185"/>
      <c r="O10" s="185"/>
      <c r="P10" s="185"/>
      <c r="Q10" s="185"/>
      <c r="R10" s="185"/>
      <c r="S10" s="185"/>
      <c r="T10" s="185"/>
    </row>
    <row r="11" spans="1:20" s="12" customFormat="1" ht="18" customHeight="1">
      <c r="A11" s="30" t="s">
        <v>139</v>
      </c>
      <c r="B11" s="89" t="s">
        <v>140</v>
      </c>
      <c r="C11" s="74">
        <f>+C12+C13-C14-C15</f>
        <v>1596218610</v>
      </c>
      <c r="D11" s="184"/>
      <c r="E11" s="99"/>
      <c r="F11" s="98"/>
      <c r="G11" s="98"/>
      <c r="H11" s="98"/>
      <c r="I11" s="98"/>
      <c r="J11" s="98"/>
      <c r="K11" s="98"/>
      <c r="L11" s="98"/>
      <c r="M11" s="184"/>
      <c r="N11" s="184"/>
      <c r="O11" s="184"/>
      <c r="P11" s="184"/>
      <c r="Q11" s="184"/>
      <c r="R11" s="184"/>
      <c r="S11" s="184"/>
      <c r="T11" s="184"/>
    </row>
    <row r="12" spans="1:20" s="12" customFormat="1" ht="18" customHeight="1">
      <c r="A12" s="30" t="s">
        <v>60</v>
      </c>
      <c r="B12" s="89" t="s">
        <v>63</v>
      </c>
      <c r="C12" s="75">
        <v>1595250627</v>
      </c>
      <c r="D12" s="184"/>
      <c r="E12" s="99"/>
      <c r="F12" s="98"/>
      <c r="G12" s="98"/>
      <c r="H12" s="98"/>
      <c r="I12" s="98"/>
      <c r="J12" s="98"/>
      <c r="K12" s="98"/>
      <c r="L12" s="98"/>
      <c r="M12" s="184"/>
      <c r="N12" s="184"/>
      <c r="O12" s="184"/>
      <c r="P12" s="184"/>
      <c r="Q12" s="184"/>
      <c r="R12" s="184"/>
      <c r="S12" s="184"/>
      <c r="T12" s="184"/>
    </row>
    <row r="13" spans="1:20" s="12" customFormat="1" ht="18" customHeight="1">
      <c r="A13" s="25" t="s">
        <v>56</v>
      </c>
      <c r="B13" s="90" t="s">
        <v>64</v>
      </c>
      <c r="C13" s="75">
        <v>967983</v>
      </c>
      <c r="D13" s="184"/>
      <c r="E13" s="99"/>
      <c r="F13" s="98"/>
      <c r="G13" s="98"/>
      <c r="H13" s="98"/>
      <c r="I13" s="98"/>
      <c r="J13" s="98"/>
      <c r="K13" s="98"/>
      <c r="L13" s="98"/>
      <c r="M13" s="184"/>
      <c r="N13" s="184"/>
      <c r="O13" s="184"/>
      <c r="P13" s="184"/>
      <c r="Q13" s="184"/>
      <c r="R13" s="184"/>
      <c r="S13" s="184"/>
      <c r="T13" s="184"/>
    </row>
    <row r="14" spans="1:20" s="23" customFormat="1" ht="18" customHeight="1">
      <c r="A14" s="37" t="s">
        <v>58</v>
      </c>
      <c r="B14" s="87" t="s">
        <v>141</v>
      </c>
      <c r="C14" s="75">
        <v>0</v>
      </c>
      <c r="D14" s="185"/>
      <c r="E14" s="76"/>
      <c r="F14" s="100"/>
      <c r="G14" s="100"/>
      <c r="H14" s="100"/>
      <c r="I14" s="100"/>
      <c r="J14" s="100"/>
      <c r="K14" s="100"/>
      <c r="L14" s="100"/>
      <c r="M14" s="185"/>
      <c r="N14" s="185"/>
      <c r="O14" s="185"/>
      <c r="P14" s="185"/>
      <c r="Q14" s="185"/>
      <c r="R14" s="185"/>
      <c r="S14" s="185"/>
      <c r="T14" s="185"/>
    </row>
    <row r="15" spans="1:20" s="23" customFormat="1" ht="18" customHeight="1">
      <c r="A15" s="37" t="s">
        <v>65</v>
      </c>
      <c r="B15" s="87" t="s">
        <v>142</v>
      </c>
      <c r="C15" s="75">
        <v>0</v>
      </c>
      <c r="D15" s="185"/>
      <c r="E15" s="76"/>
      <c r="F15" s="100"/>
      <c r="G15" s="100"/>
      <c r="H15" s="100"/>
      <c r="I15" s="100"/>
      <c r="J15" s="100"/>
      <c r="K15" s="100"/>
      <c r="L15" s="100"/>
      <c r="M15" s="185"/>
      <c r="N15" s="185"/>
      <c r="O15" s="185"/>
      <c r="P15" s="185"/>
      <c r="Q15" s="185"/>
      <c r="R15" s="185"/>
      <c r="S15" s="185"/>
      <c r="T15" s="185"/>
    </row>
    <row r="16" spans="1:20" s="12" customFormat="1" ht="18" customHeight="1">
      <c r="A16" s="25" t="s">
        <v>143</v>
      </c>
      <c r="B16" s="90" t="s">
        <v>66</v>
      </c>
      <c r="C16" s="73">
        <v>0</v>
      </c>
      <c r="D16" s="184"/>
      <c r="E16" s="99"/>
      <c r="F16" s="98"/>
      <c r="G16" s="98"/>
      <c r="H16" s="98"/>
      <c r="I16" s="98"/>
      <c r="J16" s="98"/>
      <c r="K16" s="98"/>
      <c r="L16" s="98"/>
      <c r="M16" s="184"/>
      <c r="N16" s="184"/>
      <c r="O16" s="184"/>
      <c r="P16" s="184"/>
      <c r="Q16" s="184"/>
      <c r="R16" s="184"/>
      <c r="S16" s="184"/>
      <c r="T16" s="184"/>
    </row>
    <row r="17" spans="1:20" s="12" customFormat="1" ht="18" customHeight="1">
      <c r="A17" s="25" t="s">
        <v>144</v>
      </c>
      <c r="B17" s="90" t="s">
        <v>4</v>
      </c>
      <c r="C17" s="73">
        <v>0</v>
      </c>
      <c r="D17" s="184"/>
      <c r="E17" s="99">
        <f>+'[6]Transactions of related parties'!$Z$64</f>
        <v>83886999</v>
      </c>
      <c r="F17" s="98"/>
      <c r="G17" s="98"/>
      <c r="H17" s="98"/>
      <c r="I17" s="98"/>
      <c r="J17" s="98"/>
      <c r="K17" s="98"/>
      <c r="L17" s="98"/>
      <c r="M17" s="184"/>
      <c r="N17" s="184"/>
      <c r="O17" s="184"/>
      <c r="P17" s="184"/>
      <c r="Q17" s="184"/>
      <c r="R17" s="184"/>
      <c r="S17" s="184"/>
      <c r="T17" s="184"/>
    </row>
    <row r="18" spans="1:20" s="12" customFormat="1" ht="18" customHeight="1">
      <c r="A18" s="25"/>
      <c r="B18" s="90" t="s">
        <v>145</v>
      </c>
      <c r="C18" s="74">
        <f>+C7+C10+C11+C16+C17</f>
        <v>6223702514</v>
      </c>
      <c r="D18" s="184"/>
      <c r="E18" s="99"/>
      <c r="F18" s="98"/>
      <c r="G18" s="98"/>
      <c r="H18" s="98"/>
      <c r="I18" s="98"/>
      <c r="J18" s="98"/>
      <c r="K18" s="98"/>
      <c r="L18" s="98"/>
      <c r="M18" s="184"/>
      <c r="N18" s="184"/>
      <c r="O18" s="184"/>
      <c r="P18" s="184"/>
      <c r="Q18" s="184"/>
      <c r="R18" s="184"/>
      <c r="S18" s="184"/>
      <c r="T18" s="184"/>
    </row>
    <row r="19" spans="1:20" s="12" customFormat="1" ht="18" customHeight="1">
      <c r="A19" s="25" t="s">
        <v>173</v>
      </c>
      <c r="B19" s="90" t="s">
        <v>146</v>
      </c>
      <c r="C19" s="222">
        <f>C20+C21+C22+C23+C24</f>
        <v>156748855</v>
      </c>
      <c r="D19" s="184"/>
      <c r="E19" s="99"/>
      <c r="F19" s="98"/>
      <c r="G19" s="98"/>
      <c r="H19" s="98"/>
      <c r="I19" s="98"/>
      <c r="J19" s="98"/>
      <c r="K19" s="98"/>
      <c r="L19" s="98"/>
      <c r="M19" s="184"/>
      <c r="N19" s="184"/>
      <c r="O19" s="184"/>
      <c r="P19" s="184"/>
      <c r="Q19" s="184"/>
      <c r="R19" s="184"/>
      <c r="S19" s="184"/>
      <c r="T19" s="184"/>
    </row>
    <row r="20" spans="1:20" s="12" customFormat="1" ht="22.5" customHeight="1">
      <c r="A20" s="25" t="s">
        <v>60</v>
      </c>
      <c r="B20" s="174" t="s">
        <v>206</v>
      </c>
      <c r="C20" s="73">
        <v>13083294</v>
      </c>
      <c r="D20" s="184"/>
      <c r="E20" s="99"/>
      <c r="F20" s="98"/>
      <c r="G20" s="98"/>
      <c r="H20" s="98"/>
      <c r="I20" s="98"/>
      <c r="J20" s="98"/>
      <c r="K20" s="98"/>
      <c r="L20" s="98"/>
      <c r="M20" s="184"/>
      <c r="N20" s="184"/>
      <c r="O20" s="184"/>
      <c r="P20" s="184"/>
      <c r="Q20" s="184"/>
      <c r="R20" s="184"/>
      <c r="S20" s="184"/>
      <c r="T20" s="184"/>
    </row>
    <row r="21" spans="1:20" s="12" customFormat="1" ht="29.25" customHeight="1">
      <c r="A21" s="25" t="s">
        <v>56</v>
      </c>
      <c r="B21" s="90" t="s">
        <v>13</v>
      </c>
      <c r="C21" s="73">
        <v>143665561</v>
      </c>
      <c r="D21" s="184"/>
      <c r="E21" s="99"/>
      <c r="F21" s="98"/>
      <c r="G21" s="98"/>
      <c r="H21" s="98"/>
      <c r="I21" s="98"/>
      <c r="J21" s="98"/>
      <c r="K21" s="98"/>
      <c r="L21" s="98"/>
      <c r="M21" s="184"/>
      <c r="N21" s="184"/>
      <c r="O21" s="184"/>
      <c r="P21" s="184"/>
      <c r="Q21" s="184"/>
      <c r="R21" s="184"/>
      <c r="S21" s="184"/>
      <c r="T21" s="184"/>
    </row>
    <row r="22" spans="1:20" s="12" customFormat="1" ht="22.5" customHeight="1">
      <c r="A22" s="25" t="s">
        <v>58</v>
      </c>
      <c r="B22" s="90" t="s">
        <v>5</v>
      </c>
      <c r="C22" s="73">
        <v>0</v>
      </c>
      <c r="D22" s="184"/>
      <c r="E22" s="99"/>
      <c r="F22" s="98"/>
      <c r="G22" s="98"/>
      <c r="H22" s="98"/>
      <c r="I22" s="98"/>
      <c r="J22" s="98"/>
      <c r="K22" s="98"/>
      <c r="L22" s="98"/>
      <c r="M22" s="184"/>
      <c r="N22" s="184"/>
      <c r="O22" s="184"/>
      <c r="P22" s="184"/>
      <c r="Q22" s="184"/>
      <c r="R22" s="184"/>
      <c r="S22" s="184"/>
      <c r="T22" s="184"/>
    </row>
    <row r="23" spans="1:20" s="35" customFormat="1" ht="22.5" customHeight="1">
      <c r="A23" s="173" t="s">
        <v>65</v>
      </c>
      <c r="B23" s="174" t="s">
        <v>189</v>
      </c>
      <c r="C23" s="73">
        <v>0</v>
      </c>
      <c r="D23" s="187"/>
      <c r="E23" s="109"/>
      <c r="F23" s="108"/>
      <c r="G23" s="108"/>
      <c r="H23" s="108"/>
      <c r="I23" s="108"/>
      <c r="J23" s="108"/>
      <c r="K23" s="108"/>
      <c r="L23" s="108"/>
      <c r="M23" s="187"/>
      <c r="N23" s="187"/>
      <c r="O23" s="187"/>
      <c r="P23" s="187"/>
      <c r="Q23" s="187"/>
      <c r="R23" s="187"/>
      <c r="S23" s="187"/>
      <c r="T23" s="187"/>
    </row>
    <row r="24" spans="1:20" s="208" customFormat="1" ht="22.5" customHeight="1">
      <c r="A24" s="173" t="s">
        <v>203</v>
      </c>
      <c r="B24" s="174" t="s">
        <v>204</v>
      </c>
      <c r="C24" s="73">
        <v>0</v>
      </c>
      <c r="E24" s="209"/>
    </row>
    <row r="25" spans="1:20" s="23" customFormat="1" ht="15" customHeight="1">
      <c r="A25" s="20" t="s">
        <v>147</v>
      </c>
      <c r="B25" s="21" t="s">
        <v>148</v>
      </c>
      <c r="C25" s="19">
        <f>+C18-C19</f>
        <v>6066953659</v>
      </c>
      <c r="D25" s="185"/>
      <c r="E25" s="210">
        <f>C18-C20-C21-C22-C23</f>
        <v>6066953659</v>
      </c>
      <c r="F25" s="100"/>
      <c r="G25" s="100"/>
      <c r="H25" s="100"/>
      <c r="I25" s="100"/>
      <c r="J25" s="100"/>
      <c r="K25" s="100"/>
      <c r="L25" s="100"/>
      <c r="M25" s="185"/>
      <c r="N25" s="185"/>
      <c r="O25" s="185"/>
      <c r="P25" s="185"/>
      <c r="Q25" s="185"/>
      <c r="R25" s="185"/>
      <c r="S25" s="185"/>
      <c r="T25" s="185"/>
    </row>
    <row r="26" spans="1:20" ht="16.5" customHeight="1">
      <c r="A26" s="17">
        <v>2</v>
      </c>
      <c r="B26" s="24" t="s">
        <v>149</v>
      </c>
      <c r="C26" s="18"/>
      <c r="E26" s="97"/>
      <c r="F26" s="96"/>
      <c r="G26" s="96"/>
      <c r="H26" s="96"/>
      <c r="I26" s="96"/>
      <c r="J26" s="96"/>
      <c r="K26" s="96"/>
      <c r="L26" s="96"/>
    </row>
    <row r="27" spans="1:20" s="23" customFormat="1" ht="18" customHeight="1">
      <c r="A27" s="37" t="s">
        <v>150</v>
      </c>
      <c r="B27" s="87" t="s">
        <v>59</v>
      </c>
      <c r="C27" s="85">
        <f>+C28+C29</f>
        <v>7030000</v>
      </c>
      <c r="D27" s="185"/>
      <c r="E27" s="76"/>
      <c r="F27" s="100"/>
      <c r="G27" s="100"/>
      <c r="H27" s="100"/>
      <c r="I27" s="100"/>
      <c r="J27" s="100"/>
      <c r="K27" s="100"/>
      <c r="L27" s="100"/>
      <c r="M27" s="185"/>
      <c r="N27" s="185"/>
      <c r="O27" s="185"/>
      <c r="P27" s="185"/>
      <c r="Q27" s="185"/>
      <c r="R27" s="185"/>
      <c r="S27" s="185"/>
      <c r="T27" s="185"/>
    </row>
    <row r="28" spans="1:20" s="23" customFormat="1" ht="18" customHeight="1">
      <c r="A28" s="37" t="s">
        <v>60</v>
      </c>
      <c r="B28" s="87" t="s">
        <v>61</v>
      </c>
      <c r="C28" s="200">
        <v>7030000</v>
      </c>
      <c r="D28" s="185"/>
      <c r="E28" s="186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</row>
    <row r="29" spans="1:20" s="23" customFormat="1" ht="18" customHeight="1">
      <c r="A29" s="37" t="s">
        <v>56</v>
      </c>
      <c r="B29" s="87" t="s">
        <v>62</v>
      </c>
      <c r="C29" s="200">
        <v>0</v>
      </c>
      <c r="D29" s="185"/>
      <c r="E29" s="186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</row>
    <row r="30" spans="1:20" s="23" customFormat="1" ht="18" customHeight="1">
      <c r="A30" s="37" t="s">
        <v>151</v>
      </c>
      <c r="B30" s="87" t="s">
        <v>152</v>
      </c>
      <c r="C30" s="200">
        <v>696121</v>
      </c>
      <c r="D30" s="185"/>
      <c r="E30" s="186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</row>
    <row r="31" spans="1:20">
      <c r="A31" s="25" t="s">
        <v>153</v>
      </c>
      <c r="B31" s="88" t="s">
        <v>154</v>
      </c>
      <c r="C31" s="201">
        <v>0</v>
      </c>
    </row>
    <row r="32" spans="1:20" s="23" customFormat="1" ht="29.25" customHeight="1">
      <c r="A32" s="37" t="s">
        <v>155</v>
      </c>
      <c r="B32" s="87" t="s">
        <v>12</v>
      </c>
      <c r="C32" s="200">
        <v>0</v>
      </c>
      <c r="D32" s="185"/>
      <c r="E32" s="186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</row>
    <row r="33" spans="1:20" s="27" customFormat="1">
      <c r="A33" s="26" t="s">
        <v>67</v>
      </c>
      <c r="B33" s="77" t="s">
        <v>156</v>
      </c>
      <c r="C33" s="74">
        <f>+C27+C30+C31+C32</f>
        <v>7726121</v>
      </c>
      <c r="D33" s="188"/>
      <c r="E33" s="189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</row>
    <row r="34" spans="1:20" s="27" customFormat="1" ht="16.5" customHeight="1">
      <c r="A34" s="26" t="s">
        <v>69</v>
      </c>
      <c r="B34" s="95" t="s">
        <v>157</v>
      </c>
      <c r="C34" s="19">
        <f>+C25+C33</f>
        <v>6074679780</v>
      </c>
      <c r="D34" s="190"/>
      <c r="E34" s="189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spans="1:20" s="29" customFormat="1" ht="13.5" customHeight="1">
      <c r="A35" s="28"/>
      <c r="B35" s="28" t="s">
        <v>71</v>
      </c>
      <c r="C35" s="19"/>
      <c r="D35" s="191"/>
      <c r="E35" s="192"/>
      <c r="F35" s="191"/>
      <c r="G35" s="191"/>
      <c r="H35" s="193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</row>
    <row r="36" spans="1:20" s="23" customFormat="1" ht="18" customHeight="1">
      <c r="A36" s="37" t="s">
        <v>158</v>
      </c>
      <c r="B36" s="87" t="s">
        <v>186</v>
      </c>
      <c r="C36" s="200">
        <v>998221670</v>
      </c>
      <c r="D36" s="185"/>
      <c r="E36" s="186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</row>
    <row r="37" spans="1:20" s="23" customFormat="1" ht="25.5">
      <c r="A37" s="37" t="s">
        <v>159</v>
      </c>
      <c r="B37" s="87" t="s">
        <v>16</v>
      </c>
      <c r="C37" s="120">
        <f>IF(F37&lt;(C45*1.25%),F37,(C45*1.25%))</f>
        <v>454928207</v>
      </c>
      <c r="D37" s="185"/>
      <c r="E37" s="181" t="s">
        <v>180</v>
      </c>
      <c r="F37" s="202">
        <v>454928207</v>
      </c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</row>
    <row r="38" spans="1:20" s="23" customFormat="1" ht="18" customHeight="1">
      <c r="A38" s="37" t="s">
        <v>160</v>
      </c>
      <c r="B38" s="87" t="s">
        <v>6</v>
      </c>
      <c r="C38" s="75">
        <v>7350567</v>
      </c>
      <c r="D38" s="100"/>
      <c r="E38" s="76"/>
      <c r="F38" s="178">
        <f>+[7]Balance!$C$72</f>
        <v>454928207</v>
      </c>
      <c r="G38" s="100"/>
      <c r="H38" s="100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</row>
    <row r="39" spans="1:20" s="23" customFormat="1" ht="18" customHeight="1">
      <c r="A39" s="37" t="s">
        <v>161</v>
      </c>
      <c r="B39" s="87" t="s">
        <v>162</v>
      </c>
      <c r="C39" s="75">
        <v>0</v>
      </c>
      <c r="D39" s="100"/>
      <c r="E39" s="76"/>
      <c r="F39" s="178">
        <f>+F37-F38</f>
        <v>0</v>
      </c>
      <c r="G39" s="100"/>
      <c r="H39" s="100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</row>
    <row r="40" spans="1:20" s="23" customFormat="1" ht="18" customHeight="1">
      <c r="A40" s="37" t="s">
        <v>163</v>
      </c>
      <c r="B40" s="87" t="s">
        <v>7</v>
      </c>
      <c r="C40" s="200">
        <v>566095403</v>
      </c>
      <c r="D40" s="100"/>
      <c r="E40" s="76"/>
      <c r="F40" s="100"/>
      <c r="G40" s="100"/>
      <c r="H40" s="100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</row>
    <row r="41" spans="1:20" s="23" customFormat="1" ht="18" customHeight="1">
      <c r="A41" s="37" t="s">
        <v>164</v>
      </c>
      <c r="B41" s="87" t="s">
        <v>72</v>
      </c>
      <c r="C41" s="120">
        <f>IF(C42&lt;(C34/3),0,(C42-C34/3)*-1)</f>
        <v>-1702587</v>
      </c>
      <c r="D41" s="100"/>
      <c r="E41" s="76"/>
      <c r="F41" s="100"/>
      <c r="G41" s="100"/>
      <c r="H41" s="100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</row>
    <row r="42" spans="1:20" ht="18.75" customHeight="1">
      <c r="A42" s="30"/>
      <c r="B42" s="31" t="s">
        <v>38</v>
      </c>
      <c r="C42" s="19">
        <f>SUM(C36:C40)</f>
        <v>2026595847</v>
      </c>
      <c r="D42" s="101"/>
      <c r="E42" s="97"/>
      <c r="F42" s="96"/>
      <c r="G42" s="96"/>
      <c r="H42" s="96"/>
    </row>
    <row r="43" spans="1:20" s="12" customFormat="1" ht="22.5" customHeight="1">
      <c r="A43" s="51" t="s">
        <v>70</v>
      </c>
      <c r="B43" s="32" t="s">
        <v>39</v>
      </c>
      <c r="C43" s="33">
        <f>+C41+C42</f>
        <v>2024893260</v>
      </c>
      <c r="D43" s="107"/>
      <c r="E43" s="99"/>
      <c r="F43" s="98"/>
      <c r="G43" s="98"/>
      <c r="H43" s="98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</row>
    <row r="44" spans="1:20" s="12" customFormat="1" ht="15.75" customHeight="1">
      <c r="A44" s="28" t="s">
        <v>73</v>
      </c>
      <c r="B44" s="32" t="s">
        <v>165</v>
      </c>
      <c r="C44" s="34">
        <f>+C34+C41+C42</f>
        <v>8099573040</v>
      </c>
      <c r="D44" s="107"/>
      <c r="E44" s="99"/>
      <c r="F44" s="98"/>
      <c r="G44" s="98"/>
      <c r="H44" s="98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</row>
    <row r="45" spans="1:20" s="12" customFormat="1" ht="21.75" customHeight="1">
      <c r="A45" s="28" t="s">
        <v>10</v>
      </c>
      <c r="B45" s="21" t="s">
        <v>166</v>
      </c>
      <c r="C45" s="34">
        <f>+C46+C47+C48</f>
        <v>51138054054.796928</v>
      </c>
      <c r="D45" s="98"/>
      <c r="E45" s="99"/>
      <c r="F45" s="98"/>
      <c r="G45" s="98"/>
      <c r="H45" s="98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</row>
    <row r="46" spans="1:20" s="23" customFormat="1" ht="18" customHeight="1">
      <c r="A46" s="37" t="s">
        <v>60</v>
      </c>
      <c r="B46" s="87" t="s">
        <v>17</v>
      </c>
      <c r="C46" s="120">
        <f>+'Calculation of Risk Weighted As'!I70</f>
        <v>48459343706.720001</v>
      </c>
      <c r="D46" s="100"/>
      <c r="E46" s="76"/>
      <c r="F46" s="100"/>
      <c r="G46" s="100"/>
      <c r="H46" s="100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</row>
    <row r="47" spans="1:20" s="23" customFormat="1" ht="18" customHeight="1">
      <c r="A47" s="37" t="s">
        <v>56</v>
      </c>
      <c r="B47" s="87" t="s">
        <v>8</v>
      </c>
      <c r="C47" s="85">
        <f>+'Calculation of Risk'!C21</f>
        <v>2464906855.7692308</v>
      </c>
      <c r="D47" s="100"/>
      <c r="E47" s="76"/>
      <c r="F47" s="100"/>
      <c r="G47" s="100"/>
      <c r="H47" s="100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</row>
    <row r="48" spans="1:20" s="23" customFormat="1" ht="18" customHeight="1">
      <c r="A48" s="37" t="s">
        <v>58</v>
      </c>
      <c r="B48" s="87" t="s">
        <v>9</v>
      </c>
      <c r="C48" s="85">
        <f>+'Calculation of Risk'!C27</f>
        <v>213803492.30769232</v>
      </c>
      <c r="D48" s="100"/>
      <c r="E48" s="76"/>
      <c r="F48" s="100"/>
      <c r="G48" s="100"/>
      <c r="H48" s="100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</row>
    <row r="49" spans="1:20" s="29" customFormat="1" ht="21.75" customHeight="1">
      <c r="A49" s="51" t="s">
        <v>11</v>
      </c>
      <c r="B49" s="52" t="s">
        <v>167</v>
      </c>
      <c r="C49" s="53">
        <f>IFERROR((+C25/C45),0)</f>
        <v>0.11863872748264848</v>
      </c>
      <c r="D49" s="104"/>
      <c r="E49" s="105"/>
      <c r="F49" s="104"/>
      <c r="G49" s="104"/>
      <c r="H49" s="104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</row>
    <row r="50" spans="1:20" s="29" customFormat="1" ht="21.75" customHeight="1">
      <c r="A50" s="51" t="s">
        <v>74</v>
      </c>
      <c r="B50" s="52" t="s">
        <v>168</v>
      </c>
      <c r="C50" s="53">
        <f>IFERROR((+C34/C45),0)</f>
        <v>0.11878981107671174</v>
      </c>
      <c r="D50" s="104"/>
      <c r="E50" s="105"/>
      <c r="F50" s="104"/>
      <c r="G50" s="104"/>
      <c r="H50" s="104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</row>
    <row r="51" spans="1:20" s="29" customFormat="1" ht="21.75" customHeight="1">
      <c r="A51" s="51" t="s">
        <v>40</v>
      </c>
      <c r="B51" s="52" t="s">
        <v>169</v>
      </c>
      <c r="C51" s="53">
        <f>IFERROR((+C44/C45),0)</f>
        <v>0.15838641476894899</v>
      </c>
      <c r="D51" s="104"/>
      <c r="E51" s="105"/>
      <c r="F51" s="104"/>
      <c r="G51" s="104"/>
      <c r="H51" s="104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</row>
    <row r="52" spans="1:20" s="35" customFormat="1" ht="21.75" customHeight="1">
      <c r="A52" s="28" t="s">
        <v>41</v>
      </c>
      <c r="B52" s="21" t="s">
        <v>27</v>
      </c>
      <c r="C52" s="36">
        <f>SUM(C53:C55)-C56</f>
        <v>60872043939.419998</v>
      </c>
      <c r="D52" s="108"/>
      <c r="E52" s="109"/>
      <c r="F52" s="110"/>
      <c r="G52" s="108"/>
      <c r="H52" s="108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</row>
    <row r="53" spans="1:20" s="40" customFormat="1" ht="21.75" customHeight="1">
      <c r="A53" s="37" t="s">
        <v>60</v>
      </c>
      <c r="B53" s="38" t="s">
        <v>43</v>
      </c>
      <c r="C53" s="200">
        <v>56511320290</v>
      </c>
      <c r="D53" s="111"/>
      <c r="E53" s="112"/>
      <c r="F53" s="113"/>
      <c r="G53" s="111"/>
      <c r="H53" s="111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</row>
    <row r="54" spans="1:20" s="40" customFormat="1" ht="21.75" customHeight="1">
      <c r="A54" s="37" t="s">
        <v>56</v>
      </c>
      <c r="B54" s="38" t="s">
        <v>170</v>
      </c>
      <c r="C54" s="200">
        <f>SUM('Calculation of Risk Weighted As'!E50:H58)-'Calculation of Risk Weighted As'!E52</f>
        <v>4517465969</v>
      </c>
      <c r="D54" s="113">
        <f>+'Calculation of Risk Weighted As'!I70</f>
        <v>48459343706.720001</v>
      </c>
      <c r="E54" s="112"/>
      <c r="F54" s="113"/>
      <c r="G54" s="111"/>
      <c r="H54" s="111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</row>
    <row r="55" spans="1:20" s="43" customFormat="1" ht="21.75" customHeight="1">
      <c r="A55" s="41" t="s">
        <v>58</v>
      </c>
      <c r="B55" s="42" t="s">
        <v>171</v>
      </c>
      <c r="C55" s="39">
        <f>SUM('Calculation of Risk Weighted As'!I61:I67)</f>
        <v>6535.42</v>
      </c>
      <c r="D55" s="114"/>
      <c r="E55" s="115"/>
      <c r="F55" s="114"/>
      <c r="G55" s="114"/>
      <c r="H55" s="114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</row>
    <row r="56" spans="1:20" s="43" customFormat="1" ht="21.75" customHeight="1">
      <c r="A56" s="41" t="s">
        <v>65</v>
      </c>
      <c r="B56" s="42" t="s">
        <v>172</v>
      </c>
      <c r="C56" s="78">
        <f>+C19</f>
        <v>156748855</v>
      </c>
      <c r="D56" s="114"/>
      <c r="E56" s="115"/>
      <c r="F56" s="114"/>
      <c r="G56" s="114"/>
      <c r="H56" s="114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</row>
    <row r="57" spans="1:20" s="29" customFormat="1" ht="21.75" customHeight="1">
      <c r="A57" s="51" t="s">
        <v>42</v>
      </c>
      <c r="B57" s="52" t="s">
        <v>44</v>
      </c>
      <c r="C57" s="53">
        <f>IFERROR((+C34/C52),0)</f>
        <v>9.9794246863889366E-2</v>
      </c>
      <c r="D57" s="104"/>
      <c r="E57" s="105"/>
      <c r="F57" s="104"/>
      <c r="G57" s="104"/>
      <c r="H57" s="104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</row>
    <row r="58" spans="1:20">
      <c r="B58" s="44"/>
      <c r="D58" s="96"/>
      <c r="E58" s="97"/>
      <c r="F58" s="96"/>
      <c r="G58" s="96"/>
      <c r="H58" s="96"/>
    </row>
    <row r="59" spans="1:20" s="1" customFormat="1">
      <c r="A59" s="5"/>
      <c r="B59" s="2" t="s">
        <v>0</v>
      </c>
      <c r="D59" s="8"/>
      <c r="E59" s="8"/>
      <c r="F59" s="8"/>
      <c r="G59" s="8"/>
      <c r="H59" s="8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</row>
    <row r="60" spans="1:20" s="1" customFormat="1">
      <c r="A60" s="5"/>
      <c r="B60" s="2"/>
      <c r="D60" s="8"/>
      <c r="E60" s="8"/>
      <c r="F60" s="8"/>
      <c r="G60" s="8"/>
      <c r="H60" s="8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</row>
    <row r="61" spans="1:20" s="1" customFormat="1">
      <c r="A61" s="5"/>
      <c r="B61" s="2" t="s">
        <v>1</v>
      </c>
      <c r="D61" s="8"/>
      <c r="E61" s="8"/>
      <c r="F61" s="8"/>
      <c r="G61" s="8"/>
      <c r="H61" s="8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</row>
    <row r="62" spans="1:20">
      <c r="B62" s="46"/>
      <c r="D62" s="96"/>
      <c r="E62" s="97"/>
      <c r="F62" s="96"/>
      <c r="G62" s="96"/>
      <c r="H62" s="96"/>
    </row>
    <row r="63" spans="1:20">
      <c r="D63" s="96"/>
      <c r="E63" s="97"/>
      <c r="F63" s="96"/>
      <c r="G63" s="96"/>
      <c r="H63" s="96"/>
    </row>
  </sheetData>
  <sheetProtection password="CBD4" sheet="1" objects="1" scenarios="1"/>
  <mergeCells count="1">
    <mergeCell ref="A1:B1"/>
  </mergeCells>
  <dataValidations count="1">
    <dataValidation type="date" operator="greaterThan" allowBlank="1" showInputMessage="1" showErrorMessage="1" prompt="Введите дату в формате ЧЧ.ММ.ГГГГ" sqref="C3" xr:uid="{00000000-0002-0000-0000-000000000000}">
      <formula1>DATE(96,1,1)</formula1>
    </dataValidation>
  </dataValidations>
  <printOptions horizontalCentered="1"/>
  <pageMargins left="0.19685039370078741" right="0.19685039370078741" top="0.39370078740157483" bottom="0.39370078740157483" header="0.15748031496062992" footer="0.51181102362204722"/>
  <pageSetup paperSize="9" scale="5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10"/>
  </cols>
  <sheetData>
    <row r="1" spans="1:8" ht="23.25" customHeight="1">
      <c r="A1" s="239" t="s">
        <v>184</v>
      </c>
      <c r="B1" s="240"/>
      <c r="C1" s="9" t="s">
        <v>181</v>
      </c>
    </row>
    <row r="2" spans="1:8">
      <c r="A2" s="47"/>
      <c r="B2" s="47"/>
      <c r="C2" s="47"/>
    </row>
    <row r="3" spans="1:8" ht="15.75">
      <c r="A3" s="11"/>
      <c r="B3" s="81" t="e">
        <f>#REF!</f>
        <v>#REF!</v>
      </c>
      <c r="C3" s="80" t="e">
        <f>+#REF!</f>
        <v>#REF!</v>
      </c>
    </row>
    <row r="4" spans="1:8" s="12" customFormat="1" ht="43.5" customHeight="1">
      <c r="A4" s="94" t="s">
        <v>76</v>
      </c>
      <c r="B4" s="94" t="s">
        <v>48</v>
      </c>
      <c r="C4" s="94" t="s">
        <v>3</v>
      </c>
      <c r="D4" s="98"/>
      <c r="E4" s="99"/>
      <c r="F4" s="98"/>
      <c r="G4" s="98"/>
      <c r="H4" s="98"/>
    </row>
    <row r="5" spans="1:8" ht="12.75" customHeight="1">
      <c r="A5" s="84" t="s">
        <v>53</v>
      </c>
      <c r="B5" s="14" t="s">
        <v>133</v>
      </c>
      <c r="C5" s="15"/>
    </row>
    <row r="6" spans="1:8" ht="12.75" customHeight="1">
      <c r="A6" s="13">
        <v>1</v>
      </c>
      <c r="B6" s="14" t="s">
        <v>134</v>
      </c>
      <c r="C6" s="16"/>
    </row>
    <row r="7" spans="1:8" s="23" customFormat="1" ht="18" customHeight="1">
      <c r="A7" s="20" t="s">
        <v>137</v>
      </c>
      <c r="B7" s="21" t="s">
        <v>135</v>
      </c>
      <c r="C7" s="53" t="s">
        <v>132</v>
      </c>
      <c r="D7" s="100"/>
      <c r="E7" s="76"/>
      <c r="F7" s="100"/>
      <c r="G7" s="100"/>
      <c r="H7" s="100"/>
    </row>
    <row r="8" spans="1:8" s="12" customFormat="1" ht="18" customHeight="1">
      <c r="A8" s="30" t="s">
        <v>54</v>
      </c>
      <c r="B8" s="89" t="s">
        <v>55</v>
      </c>
      <c r="C8" s="48"/>
      <c r="D8" s="98"/>
      <c r="E8" s="99"/>
      <c r="F8" s="98"/>
      <c r="G8" s="98"/>
      <c r="H8" s="98"/>
    </row>
    <row r="9" spans="1:8" s="12" customFormat="1" ht="18" customHeight="1">
      <c r="A9" s="30" t="s">
        <v>56</v>
      </c>
      <c r="B9" s="89" t="s">
        <v>57</v>
      </c>
      <c r="C9" s="49"/>
      <c r="D9" s="98"/>
      <c r="E9" s="99"/>
      <c r="F9" s="98"/>
      <c r="G9" s="98"/>
      <c r="H9" s="98"/>
    </row>
    <row r="10" spans="1:8" s="23" customFormat="1" ht="18" customHeight="1">
      <c r="A10" s="20" t="s">
        <v>138</v>
      </c>
      <c r="B10" s="21" t="s">
        <v>136</v>
      </c>
      <c r="C10" s="73">
        <v>0</v>
      </c>
      <c r="D10" s="100"/>
      <c r="E10" s="76"/>
      <c r="F10" s="100"/>
      <c r="G10" s="100"/>
      <c r="H10" s="100"/>
    </row>
    <row r="11" spans="1:8" s="12" customFormat="1" ht="18" customHeight="1">
      <c r="A11" s="30" t="s">
        <v>139</v>
      </c>
      <c r="B11" s="89" t="s">
        <v>140</v>
      </c>
      <c r="C11" s="53" t="s">
        <v>132</v>
      </c>
      <c r="D11" s="98"/>
      <c r="E11" s="99"/>
      <c r="F11" s="98"/>
      <c r="G11" s="98"/>
      <c r="H11" s="98"/>
    </row>
    <row r="12" spans="1:8" s="12" customFormat="1" ht="18" customHeight="1">
      <c r="A12" s="30" t="s">
        <v>60</v>
      </c>
      <c r="B12" s="89" t="s">
        <v>63</v>
      </c>
      <c r="C12" s="75"/>
      <c r="D12" s="98"/>
      <c r="E12" s="99"/>
      <c r="F12" s="98"/>
      <c r="G12" s="98"/>
      <c r="H12" s="98"/>
    </row>
    <row r="13" spans="1:8" s="12" customFormat="1" ht="18" customHeight="1">
      <c r="A13" s="25" t="s">
        <v>56</v>
      </c>
      <c r="B13" s="90" t="s">
        <v>64</v>
      </c>
      <c r="C13" s="75"/>
      <c r="D13" s="98"/>
      <c r="E13" s="99"/>
      <c r="F13" s="98"/>
      <c r="G13" s="98"/>
      <c r="H13" s="98"/>
    </row>
    <row r="14" spans="1:8" s="23" customFormat="1" ht="18" customHeight="1">
      <c r="A14" s="37" t="s">
        <v>58</v>
      </c>
      <c r="B14" s="87" t="s">
        <v>141</v>
      </c>
      <c r="C14" s="72"/>
      <c r="D14" s="100"/>
      <c r="E14" s="76"/>
      <c r="F14" s="100"/>
      <c r="G14" s="100"/>
      <c r="H14" s="100"/>
    </row>
    <row r="15" spans="1:8" s="23" customFormat="1" ht="18" customHeight="1">
      <c r="A15" s="37" t="s">
        <v>65</v>
      </c>
      <c r="B15" s="87" t="s">
        <v>142</v>
      </c>
      <c r="C15" s="72"/>
      <c r="D15" s="100"/>
      <c r="E15" s="76"/>
      <c r="F15" s="100"/>
      <c r="G15" s="100"/>
      <c r="H15" s="100"/>
    </row>
    <row r="16" spans="1:8" s="12" customFormat="1" ht="18" customHeight="1">
      <c r="A16" s="25" t="s">
        <v>143</v>
      </c>
      <c r="B16" s="90" t="s">
        <v>66</v>
      </c>
      <c r="C16" s="73"/>
      <c r="D16" s="98"/>
      <c r="E16" s="99"/>
      <c r="F16" s="98"/>
      <c r="G16" s="98"/>
      <c r="H16" s="98"/>
    </row>
    <row r="17" spans="1:8" s="12" customFormat="1" ht="18" customHeight="1">
      <c r="A17" s="25" t="s">
        <v>144</v>
      </c>
      <c r="B17" s="90" t="s">
        <v>4</v>
      </c>
      <c r="C17" s="73"/>
      <c r="D17" s="98"/>
      <c r="E17" s="99"/>
      <c r="F17" s="98"/>
      <c r="G17" s="98"/>
      <c r="H17" s="98"/>
    </row>
    <row r="18" spans="1:8" s="12" customFormat="1" ht="18" customHeight="1">
      <c r="A18" s="25"/>
      <c r="B18" s="90" t="s">
        <v>145</v>
      </c>
      <c r="C18" s="53" t="s">
        <v>132</v>
      </c>
      <c r="D18" s="98"/>
      <c r="E18" s="99"/>
      <c r="F18" s="98"/>
      <c r="G18" s="98"/>
      <c r="H18" s="98"/>
    </row>
    <row r="19" spans="1:8" s="12" customFormat="1" ht="18" customHeight="1">
      <c r="A19" s="25" t="s">
        <v>173</v>
      </c>
      <c r="B19" s="90" t="s">
        <v>146</v>
      </c>
      <c r="C19" s="53" t="s">
        <v>132</v>
      </c>
      <c r="D19" s="98"/>
      <c r="E19" s="99"/>
      <c r="F19" s="98"/>
      <c r="G19" s="98"/>
      <c r="H19" s="98"/>
    </row>
    <row r="20" spans="1:8" s="23" customFormat="1" ht="18" customHeight="1">
      <c r="A20" s="83" t="s">
        <v>60</v>
      </c>
      <c r="B20" s="137" t="s">
        <v>68</v>
      </c>
      <c r="C20" s="72"/>
      <c r="D20" s="100"/>
      <c r="E20" s="76"/>
      <c r="F20" s="100"/>
      <c r="G20" s="100"/>
      <c r="H20" s="100"/>
    </row>
    <row r="21" spans="1:8" s="22" customFormat="1" ht="25.5">
      <c r="A21" s="83" t="s">
        <v>56</v>
      </c>
      <c r="B21" s="87" t="s">
        <v>13</v>
      </c>
      <c r="C21" s="72"/>
      <c r="D21" s="100"/>
      <c r="E21" s="76"/>
      <c r="F21" s="100"/>
      <c r="G21" s="100"/>
      <c r="H21" s="100"/>
    </row>
    <row r="22" spans="1:8" s="23" customFormat="1" ht="18" customHeight="1">
      <c r="A22" s="83" t="s">
        <v>58</v>
      </c>
      <c r="B22" s="87" t="s">
        <v>5</v>
      </c>
      <c r="C22" s="72"/>
      <c r="D22" s="100"/>
      <c r="E22" s="76"/>
      <c r="F22" s="100"/>
      <c r="G22" s="100"/>
      <c r="H22" s="100"/>
    </row>
    <row r="23" spans="1:8" s="23" customFormat="1" ht="15" customHeight="1">
      <c r="A23" s="20" t="s">
        <v>147</v>
      </c>
      <c r="B23" s="21" t="s">
        <v>148</v>
      </c>
      <c r="C23" s="53" t="s">
        <v>132</v>
      </c>
      <c r="D23" s="100"/>
      <c r="E23" s="76"/>
      <c r="F23" s="100"/>
      <c r="G23" s="100"/>
      <c r="H23" s="100"/>
    </row>
    <row r="24" spans="1:8" ht="16.5" customHeight="1">
      <c r="A24" s="17">
        <v>2</v>
      </c>
      <c r="B24" s="24" t="s">
        <v>149</v>
      </c>
      <c r="C24" s="18"/>
    </row>
    <row r="25" spans="1:8" s="23" customFormat="1" ht="18" customHeight="1">
      <c r="A25" s="37" t="s">
        <v>150</v>
      </c>
      <c r="B25" s="87" t="s">
        <v>59</v>
      </c>
      <c r="C25" s="85">
        <f>+C26+C27</f>
        <v>0</v>
      </c>
      <c r="D25" s="100"/>
      <c r="E25" s="76"/>
      <c r="F25" s="100"/>
      <c r="G25" s="100"/>
      <c r="H25" s="100"/>
    </row>
    <row r="26" spans="1:8" s="23" customFormat="1" ht="18" customHeight="1">
      <c r="A26" s="37" t="s">
        <v>60</v>
      </c>
      <c r="B26" s="87" t="s">
        <v>61</v>
      </c>
      <c r="C26" s="72"/>
      <c r="D26" s="100"/>
      <c r="E26" s="76"/>
      <c r="F26" s="100"/>
      <c r="G26" s="100"/>
      <c r="H26" s="100"/>
    </row>
    <row r="27" spans="1:8" s="23" customFormat="1" ht="18" customHeight="1">
      <c r="A27" s="37" t="s">
        <v>56</v>
      </c>
      <c r="B27" s="87" t="s">
        <v>62</v>
      </c>
      <c r="C27" s="72"/>
      <c r="D27" s="100"/>
      <c r="E27" s="76"/>
      <c r="F27" s="100"/>
      <c r="G27" s="100"/>
      <c r="H27" s="100"/>
    </row>
    <row r="28" spans="1:8" s="23" customFormat="1" ht="18" customHeight="1">
      <c r="A28" s="37" t="s">
        <v>151</v>
      </c>
      <c r="B28" s="87" t="s">
        <v>152</v>
      </c>
      <c r="C28" s="72">
        <v>0</v>
      </c>
      <c r="D28" s="100"/>
      <c r="E28" s="76"/>
      <c r="F28" s="100"/>
      <c r="G28" s="100"/>
      <c r="H28" s="100"/>
    </row>
    <row r="29" spans="1:8">
      <c r="A29" s="25" t="s">
        <v>153</v>
      </c>
      <c r="B29" s="88" t="s">
        <v>154</v>
      </c>
      <c r="C29" s="50">
        <v>0</v>
      </c>
    </row>
    <row r="30" spans="1:8" s="23" customFormat="1" ht="29.25" customHeight="1">
      <c r="A30" s="37" t="s">
        <v>155</v>
      </c>
      <c r="B30" s="87" t="s">
        <v>12</v>
      </c>
      <c r="C30" s="72">
        <v>0</v>
      </c>
      <c r="D30" s="100"/>
      <c r="E30" s="76"/>
      <c r="F30" s="100"/>
      <c r="G30" s="100"/>
      <c r="H30" s="100"/>
    </row>
    <row r="31" spans="1:8" s="27" customFormat="1">
      <c r="A31" s="26" t="s">
        <v>67</v>
      </c>
      <c r="B31" s="77" t="s">
        <v>156</v>
      </c>
      <c r="C31" s="74">
        <f>+C25+C28+C29+C30</f>
        <v>0</v>
      </c>
      <c r="D31" s="101"/>
      <c r="E31" s="102"/>
      <c r="F31" s="103"/>
      <c r="G31" s="103"/>
      <c r="H31" s="103"/>
    </row>
    <row r="32" spans="1:8" s="27" customFormat="1" ht="16.5" customHeight="1">
      <c r="A32" s="26" t="s">
        <v>69</v>
      </c>
      <c r="B32" s="95" t="s">
        <v>157</v>
      </c>
      <c r="C32" s="53" t="s">
        <v>132</v>
      </c>
      <c r="D32" s="103"/>
      <c r="E32" s="102"/>
      <c r="F32" s="103"/>
      <c r="G32" s="103"/>
      <c r="H32" s="103"/>
    </row>
    <row r="33" spans="1:8" s="29" customFormat="1" ht="13.5" customHeight="1">
      <c r="A33" s="28"/>
      <c r="B33" s="28" t="s">
        <v>71</v>
      </c>
      <c r="C33" s="19"/>
      <c r="D33" s="104"/>
      <c r="E33" s="105"/>
      <c r="F33" s="104"/>
      <c r="G33" s="104"/>
      <c r="H33" s="106"/>
    </row>
    <row r="34" spans="1:8" s="23" customFormat="1" ht="18" customHeight="1">
      <c r="A34" s="37" t="s">
        <v>158</v>
      </c>
      <c r="B34" s="136" t="s">
        <v>186</v>
      </c>
      <c r="C34" s="72"/>
      <c r="D34" s="100"/>
      <c r="E34" s="76"/>
      <c r="F34" s="100"/>
      <c r="G34" s="100"/>
      <c r="H34" s="100"/>
    </row>
    <row r="35" spans="1:8" s="23" customFormat="1" ht="25.5">
      <c r="A35" s="37" t="s">
        <v>159</v>
      </c>
      <c r="B35" s="87" t="s">
        <v>16</v>
      </c>
      <c r="C35" s="120" t="e">
        <f>IF(#REF!&lt;(C43*1.25%),#REF!,(C43*1.25%))</f>
        <v>#REF!</v>
      </c>
      <c r="D35" s="100"/>
      <c r="E35" s="76"/>
      <c r="F35" s="100"/>
      <c r="G35" s="100"/>
      <c r="H35" s="100"/>
    </row>
    <row r="36" spans="1:8" s="23" customFormat="1" ht="18" customHeight="1">
      <c r="A36" s="37" t="s">
        <v>160</v>
      </c>
      <c r="B36" s="87" t="s">
        <v>6</v>
      </c>
      <c r="C36" s="72"/>
      <c r="D36" s="100"/>
      <c r="E36" s="76"/>
      <c r="F36" s="100"/>
      <c r="G36" s="100"/>
      <c r="H36" s="100"/>
    </row>
    <row r="37" spans="1:8" s="23" customFormat="1" ht="18" customHeight="1">
      <c r="A37" s="37" t="s">
        <v>161</v>
      </c>
      <c r="B37" s="87" t="s">
        <v>162</v>
      </c>
      <c r="C37" s="72"/>
      <c r="D37" s="100"/>
      <c r="E37" s="76"/>
      <c r="F37" s="100"/>
      <c r="G37" s="100"/>
      <c r="H37" s="100"/>
    </row>
    <row r="38" spans="1:8" s="23" customFormat="1" ht="18" customHeight="1">
      <c r="A38" s="37" t="s">
        <v>163</v>
      </c>
      <c r="B38" s="87" t="s">
        <v>7</v>
      </c>
      <c r="C38" s="72"/>
      <c r="D38" s="100"/>
      <c r="E38" s="76"/>
      <c r="F38" s="100"/>
      <c r="G38" s="100"/>
      <c r="H38" s="100"/>
    </row>
    <row r="39" spans="1:8" s="23" customFormat="1" ht="18" customHeight="1">
      <c r="A39" s="37" t="s">
        <v>164</v>
      </c>
      <c r="B39" s="87" t="s">
        <v>72</v>
      </c>
      <c r="C39" s="53" t="s">
        <v>132</v>
      </c>
      <c r="D39" s="100"/>
      <c r="E39" s="76"/>
      <c r="F39" s="100"/>
      <c r="G39" s="100"/>
      <c r="H39" s="100"/>
    </row>
    <row r="40" spans="1:8" ht="18.75" customHeight="1">
      <c r="A40" s="30"/>
      <c r="B40" s="31" t="s">
        <v>38</v>
      </c>
      <c r="C40" s="19" t="e">
        <f>SUM(C34:C38)</f>
        <v>#REF!</v>
      </c>
      <c r="D40" s="101"/>
    </row>
    <row r="41" spans="1:8" s="12" customFormat="1" ht="22.5" customHeight="1">
      <c r="A41" s="51" t="s">
        <v>70</v>
      </c>
      <c r="B41" s="32" t="s">
        <v>39</v>
      </c>
      <c r="C41" s="53" t="s">
        <v>132</v>
      </c>
      <c r="D41" s="107"/>
      <c r="E41" s="99"/>
      <c r="F41" s="98"/>
      <c r="G41" s="98"/>
      <c r="H41" s="98"/>
    </row>
    <row r="42" spans="1:8" s="12" customFormat="1" ht="15.75" customHeight="1">
      <c r="A42" s="28" t="s">
        <v>73</v>
      </c>
      <c r="B42" s="32" t="s">
        <v>165</v>
      </c>
      <c r="C42" s="53" t="s">
        <v>132</v>
      </c>
      <c r="D42" s="107"/>
      <c r="E42" s="99"/>
      <c r="F42" s="98"/>
      <c r="G42" s="98"/>
      <c r="H42" s="98"/>
    </row>
    <row r="43" spans="1:8" s="12" customFormat="1" ht="21.75" customHeight="1">
      <c r="A43" s="28" t="s">
        <v>10</v>
      </c>
      <c r="B43" s="21" t="s">
        <v>166</v>
      </c>
      <c r="C43" s="34">
        <f>+C44+C45+C46</f>
        <v>51138054054.796928</v>
      </c>
      <c r="D43" s="98"/>
      <c r="E43" s="99"/>
      <c r="F43" s="98"/>
      <c r="G43" s="98"/>
      <c r="H43" s="98"/>
    </row>
    <row r="44" spans="1:8" s="23" customFormat="1" ht="18" customHeight="1">
      <c r="A44" s="37" t="s">
        <v>60</v>
      </c>
      <c r="B44" s="87" t="s">
        <v>17</v>
      </c>
      <c r="C44" s="85">
        <f>+'Calculation of Risk Weighted As'!I70</f>
        <v>48459343706.720001</v>
      </c>
      <c r="D44" s="100"/>
      <c r="E44" s="76"/>
      <c r="F44" s="100"/>
      <c r="G44" s="100"/>
      <c r="H44" s="100"/>
    </row>
    <row r="45" spans="1:8" s="23" customFormat="1" ht="18" customHeight="1">
      <c r="A45" s="37" t="s">
        <v>56</v>
      </c>
      <c r="B45" s="87" t="s">
        <v>8</v>
      </c>
      <c r="C45" s="85">
        <f>+'Calculation of Risk'!C21</f>
        <v>2464906855.7692308</v>
      </c>
      <c r="D45" s="100"/>
      <c r="E45" s="76"/>
      <c r="F45" s="100"/>
      <c r="G45" s="100"/>
      <c r="H45" s="100"/>
    </row>
    <row r="46" spans="1:8" s="23" customFormat="1" ht="18" customHeight="1">
      <c r="A46" s="37" t="s">
        <v>58</v>
      </c>
      <c r="B46" s="87" t="s">
        <v>9</v>
      </c>
      <c r="C46" s="85">
        <f>+'Calculation of Risk'!C27</f>
        <v>213803492.30769232</v>
      </c>
      <c r="D46" s="100"/>
      <c r="E46" s="76">
        <f>+'Calculation of Risk'!G11</f>
        <v>0</v>
      </c>
      <c r="F46" s="100"/>
      <c r="G46" s="100"/>
      <c r="H46" s="100"/>
    </row>
    <row r="47" spans="1:8" s="29" customFormat="1" ht="21.75" customHeight="1">
      <c r="A47" s="51" t="s">
        <v>11</v>
      </c>
      <c r="B47" s="52" t="s">
        <v>167</v>
      </c>
      <c r="C47" s="53" t="s">
        <v>132</v>
      </c>
      <c r="D47" s="104"/>
      <c r="E47" s="105"/>
      <c r="F47" s="104"/>
      <c r="G47" s="104"/>
      <c r="H47" s="104"/>
    </row>
    <row r="48" spans="1:8" s="29" customFormat="1" ht="21.75" customHeight="1">
      <c r="A48" s="51" t="s">
        <v>74</v>
      </c>
      <c r="B48" s="52" t="s">
        <v>168</v>
      </c>
      <c r="C48" s="53" t="s">
        <v>132</v>
      </c>
      <c r="D48" s="104"/>
      <c r="E48" s="105"/>
      <c r="F48" s="104"/>
      <c r="G48" s="104"/>
      <c r="H48" s="104"/>
    </row>
    <row r="49" spans="1:8" s="29" customFormat="1" ht="21.75" customHeight="1">
      <c r="A49" s="51" t="s">
        <v>40</v>
      </c>
      <c r="B49" s="52" t="s">
        <v>169</v>
      </c>
      <c r="C49" s="53" t="s">
        <v>132</v>
      </c>
      <c r="D49" s="104"/>
      <c r="E49" s="105"/>
      <c r="F49" s="104"/>
      <c r="G49" s="104"/>
      <c r="H49" s="104"/>
    </row>
    <row r="50" spans="1:8" s="35" customFormat="1" ht="21.75" customHeight="1">
      <c r="A50" s="28" t="s">
        <v>41</v>
      </c>
      <c r="B50" s="21" t="s">
        <v>27</v>
      </c>
      <c r="C50" s="53" t="s">
        <v>132</v>
      </c>
      <c r="D50" s="108"/>
      <c r="E50" s="109"/>
      <c r="F50" s="110"/>
      <c r="G50" s="108"/>
      <c r="H50" s="108"/>
    </row>
    <row r="51" spans="1:8" s="40" customFormat="1" ht="21.75" customHeight="1">
      <c r="A51" s="37" t="s">
        <v>60</v>
      </c>
      <c r="B51" s="38" t="s">
        <v>43</v>
      </c>
      <c r="C51" s="39" t="e">
        <f>+#REF!</f>
        <v>#REF!</v>
      </c>
      <c r="D51" s="111"/>
      <c r="E51" s="112"/>
      <c r="F51" s="113"/>
      <c r="G51" s="111"/>
      <c r="H51" s="111"/>
    </row>
    <row r="52" spans="1:8" s="40" customFormat="1" ht="21.75" customHeight="1">
      <c r="A52" s="37" t="s">
        <v>56</v>
      </c>
      <c r="B52" s="38" t="s">
        <v>170</v>
      </c>
      <c r="C52" s="117">
        <f>SUM('Calculation of Risk Weighted As'!E50:H58)</f>
        <v>4517465969</v>
      </c>
      <c r="D52" s="113">
        <f>+'Calculation of Risk Weighted As'!I70</f>
        <v>48459343706.720001</v>
      </c>
      <c r="E52" s="112"/>
      <c r="F52" s="113"/>
      <c r="G52" s="111"/>
      <c r="H52" s="111"/>
    </row>
    <row r="53" spans="1:8" s="43" customFormat="1" ht="21.75" customHeight="1">
      <c r="A53" s="41" t="s">
        <v>58</v>
      </c>
      <c r="B53" s="42" t="s">
        <v>171</v>
      </c>
      <c r="C53" s="119">
        <f>SUM('Calculation of Risk Weighted As'!I61:I67)</f>
        <v>6535.42</v>
      </c>
      <c r="D53" s="116"/>
      <c r="E53" s="118"/>
      <c r="F53" s="114"/>
      <c r="G53" s="114"/>
      <c r="H53" s="114"/>
    </row>
    <row r="54" spans="1:8" s="43" customFormat="1" ht="21.75" customHeight="1">
      <c r="A54" s="41" t="s">
        <v>65</v>
      </c>
      <c r="B54" s="42" t="s">
        <v>172</v>
      </c>
      <c r="C54" s="78" t="str">
        <f>+C19</f>
        <v>Формула</v>
      </c>
      <c r="D54" s="114"/>
      <c r="E54" s="115"/>
      <c r="F54" s="114"/>
      <c r="G54" s="114"/>
      <c r="H54" s="114"/>
    </row>
    <row r="55" spans="1:8" s="29" customFormat="1" ht="21.75" customHeight="1">
      <c r="A55" s="51" t="s">
        <v>42</v>
      </c>
      <c r="B55" s="52" t="s">
        <v>44</v>
      </c>
      <c r="C55" s="53" t="s">
        <v>132</v>
      </c>
      <c r="D55" s="104"/>
      <c r="E55" s="105"/>
      <c r="F55" s="104"/>
      <c r="G55" s="104"/>
      <c r="H55" s="104"/>
    </row>
    <row r="56" spans="1:8">
      <c r="B56" s="44"/>
    </row>
    <row r="57" spans="1:8" s="1" customFormat="1">
      <c r="A57" s="5"/>
      <c r="B57" s="2" t="s">
        <v>0</v>
      </c>
      <c r="D57" s="8"/>
      <c r="E57" s="8"/>
      <c r="F57" s="8"/>
      <c r="G57" s="8"/>
      <c r="H57" s="8"/>
    </row>
    <row r="58" spans="1:8" s="1" customFormat="1">
      <c r="A58" s="5"/>
      <c r="B58" s="2"/>
      <c r="D58" s="8"/>
      <c r="E58" s="8"/>
      <c r="F58" s="8"/>
      <c r="G58" s="8"/>
      <c r="H58" s="8"/>
    </row>
    <row r="59" spans="1:8" s="1" customFormat="1">
      <c r="A59" s="5"/>
      <c r="B59" s="2" t="s">
        <v>1</v>
      </c>
      <c r="D59" s="8"/>
      <c r="E59" s="8"/>
      <c r="F59" s="8"/>
      <c r="G59" s="8"/>
      <c r="H59" s="8"/>
    </row>
    <row r="60" spans="1:8">
      <c r="B60" s="4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>
    <pageSetUpPr fitToPage="1"/>
  </sheetPr>
  <dimension ref="A1:XFC74"/>
  <sheetViews>
    <sheetView tabSelected="1" view="pageBreakPreview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1" sqref="F11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5" width="14.7109375" style="135" customWidth="1"/>
    <col min="6" max="8" width="15.28515625" style="135" customWidth="1"/>
    <col min="9" max="9" width="18.140625" style="223" customWidth="1"/>
    <col min="10" max="12" width="16.42578125" style="135" customWidth="1"/>
    <col min="13" max="15" width="10.28515625" style="135" customWidth="1"/>
    <col min="16" max="16384" width="9.140625" style="135"/>
  </cols>
  <sheetData>
    <row r="1" spans="1:11" ht="26.25" customHeight="1">
      <c r="A1" s="241" t="s">
        <v>75</v>
      </c>
      <c r="B1" s="241"/>
      <c r="C1" s="241"/>
      <c r="D1" s="241"/>
      <c r="E1" s="241"/>
      <c r="F1" s="241"/>
      <c r="G1" s="241"/>
      <c r="H1" s="241"/>
      <c r="I1" s="213" t="s">
        <v>226</v>
      </c>
    </row>
    <row r="2" spans="1:11" ht="25.5" customHeight="1">
      <c r="B2" s="143" t="str">
        <f>+'Bank Capital Calc'!B3</f>
        <v>АТБ "Ўзсаноатқурилишбанк"</v>
      </c>
      <c r="D2" s="140"/>
      <c r="E2" s="140"/>
      <c r="G2" s="246">
        <f>+'Bank Capital Calc'!C3</f>
        <v>44560</v>
      </c>
      <c r="H2" s="246"/>
      <c r="I2" s="79" t="s">
        <v>174</v>
      </c>
      <c r="J2" s="223"/>
    </row>
    <row r="3" spans="1:11">
      <c r="A3" s="243" t="s">
        <v>76</v>
      </c>
      <c r="B3" s="243" t="s">
        <v>48</v>
      </c>
      <c r="C3" s="231">
        <v>0</v>
      </c>
      <c r="D3" s="231">
        <v>0.2</v>
      </c>
      <c r="E3" s="231">
        <v>0.35</v>
      </c>
      <c r="F3" s="231">
        <v>0.5</v>
      </c>
      <c r="G3" s="231">
        <v>1</v>
      </c>
      <c r="H3" s="231">
        <v>1.5</v>
      </c>
      <c r="I3" s="231">
        <v>2</v>
      </c>
      <c r="J3" s="224"/>
      <c r="K3" s="223"/>
    </row>
    <row r="4" spans="1:11" ht="20.25" customHeight="1">
      <c r="A4" s="243"/>
      <c r="B4" s="243"/>
      <c r="C4" s="229" t="s">
        <v>77</v>
      </c>
      <c r="D4" s="229" t="s">
        <v>77</v>
      </c>
      <c r="E4" s="229" t="s">
        <v>77</v>
      </c>
      <c r="F4" s="229" t="s">
        <v>77</v>
      </c>
      <c r="G4" s="229" t="s">
        <v>77</v>
      </c>
      <c r="H4" s="229" t="s">
        <v>77</v>
      </c>
      <c r="I4" s="229" t="s">
        <v>77</v>
      </c>
      <c r="K4" s="223"/>
    </row>
    <row r="5" spans="1:11" ht="20.25" customHeight="1">
      <c r="A5" s="243"/>
      <c r="B5" s="243"/>
      <c r="C5" s="229" t="s">
        <v>196</v>
      </c>
      <c r="D5" s="229" t="s">
        <v>197</v>
      </c>
      <c r="E5" s="229" t="s">
        <v>198</v>
      </c>
      <c r="F5" s="229" t="s">
        <v>199</v>
      </c>
      <c r="G5" s="229" t="s">
        <v>200</v>
      </c>
      <c r="H5" s="229" t="s">
        <v>201</v>
      </c>
      <c r="I5" s="229" t="s">
        <v>202</v>
      </c>
      <c r="K5" s="223"/>
    </row>
    <row r="6" spans="1:11">
      <c r="A6" s="229"/>
      <c r="B6" s="230" t="s">
        <v>49</v>
      </c>
      <c r="C6" s="230" t="s">
        <v>50</v>
      </c>
      <c r="D6" s="230" t="s">
        <v>51</v>
      </c>
      <c r="E6" s="230" t="s">
        <v>52</v>
      </c>
      <c r="F6" s="230" t="s">
        <v>78</v>
      </c>
      <c r="G6" s="230" t="s">
        <v>79</v>
      </c>
      <c r="H6" s="230" t="s">
        <v>95</v>
      </c>
      <c r="I6" s="230" t="s">
        <v>115</v>
      </c>
      <c r="K6" s="223"/>
    </row>
    <row r="7" spans="1:11">
      <c r="A7" s="229"/>
      <c r="B7" s="150" t="s">
        <v>80</v>
      </c>
      <c r="C7" s="151"/>
      <c r="D7" s="151"/>
      <c r="E7" s="151"/>
      <c r="F7" s="151"/>
      <c r="G7" s="151"/>
      <c r="H7" s="151"/>
      <c r="I7" s="151"/>
      <c r="K7" s="223"/>
    </row>
    <row r="8" spans="1:11" s="130" customFormat="1">
      <c r="A8" s="229" t="s">
        <v>81</v>
      </c>
      <c r="B8" s="152" t="s">
        <v>82</v>
      </c>
      <c r="C8" s="6">
        <v>731962011</v>
      </c>
      <c r="D8" s="127"/>
      <c r="E8" s="127"/>
      <c r="F8" s="127"/>
      <c r="G8" s="127"/>
      <c r="H8" s="127"/>
      <c r="I8" s="127"/>
      <c r="J8" s="154"/>
      <c r="K8" s="155"/>
    </row>
    <row r="9" spans="1:11" s="130" customFormat="1">
      <c r="A9" s="229" t="s">
        <v>116</v>
      </c>
      <c r="B9" s="152" t="s">
        <v>83</v>
      </c>
      <c r="C9" s="127"/>
      <c r="D9" s="6">
        <v>150073722</v>
      </c>
      <c r="E9" s="127"/>
      <c r="F9" s="127"/>
      <c r="G9" s="127"/>
      <c r="H9" s="127"/>
      <c r="I9" s="127"/>
      <c r="J9" s="154"/>
      <c r="K9" s="155"/>
    </row>
    <row r="10" spans="1:11" s="130" customFormat="1">
      <c r="A10" s="229" t="s">
        <v>117</v>
      </c>
      <c r="B10" s="152" t="s">
        <v>84</v>
      </c>
      <c r="C10" s="6">
        <v>2481708653</v>
      </c>
      <c r="D10" s="6">
        <v>776724634</v>
      </c>
      <c r="E10" s="127"/>
      <c r="F10" s="127"/>
      <c r="G10" s="127"/>
      <c r="H10" s="127"/>
      <c r="I10" s="127"/>
      <c r="J10" s="154"/>
      <c r="K10" s="155"/>
    </row>
    <row r="11" spans="1:11" s="130" customFormat="1">
      <c r="A11" s="229" t="s">
        <v>118</v>
      </c>
      <c r="B11" s="152" t="s">
        <v>225</v>
      </c>
      <c r="C11" s="127"/>
      <c r="D11" s="6">
        <v>4160105268</v>
      </c>
      <c r="E11" s="127"/>
      <c r="F11" s="6">
        <v>202390748</v>
      </c>
      <c r="G11" s="6">
        <v>1483175084</v>
      </c>
      <c r="H11" s="6">
        <v>20077603</v>
      </c>
      <c r="I11" s="127"/>
      <c r="J11" s="154"/>
      <c r="K11" s="155"/>
    </row>
    <row r="12" spans="1:11" s="130" customFormat="1">
      <c r="A12" s="229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27"/>
      <c r="J12" s="154"/>
      <c r="K12" s="155"/>
    </row>
    <row r="13" spans="1:11" s="130" customFormat="1">
      <c r="A13" s="229" t="s">
        <v>18</v>
      </c>
      <c r="B13" s="152" t="s">
        <v>86</v>
      </c>
      <c r="C13" s="6">
        <v>1057702046</v>
      </c>
      <c r="D13" s="127"/>
      <c r="E13" s="127"/>
      <c r="F13" s="127"/>
      <c r="G13" s="127"/>
      <c r="H13" s="127"/>
      <c r="I13" s="127"/>
      <c r="J13" s="154"/>
      <c r="K13" s="155"/>
    </row>
    <row r="14" spans="1:11" s="130" customFormat="1" ht="38.25">
      <c r="A14" s="229" t="s">
        <v>19</v>
      </c>
      <c r="B14" s="152" t="s">
        <v>208</v>
      </c>
      <c r="C14" s="6"/>
      <c r="D14" s="6"/>
      <c r="E14" s="127"/>
      <c r="F14" s="6"/>
      <c r="G14" s="6"/>
      <c r="H14" s="6"/>
      <c r="I14" s="127"/>
      <c r="J14" s="154"/>
      <c r="K14" s="155"/>
    </row>
    <row r="15" spans="1:11" s="130" customFormat="1">
      <c r="A15" s="229" t="s">
        <v>29</v>
      </c>
      <c r="B15" s="152" t="s">
        <v>209</v>
      </c>
      <c r="C15" s="127"/>
      <c r="D15" s="6"/>
      <c r="E15" s="127"/>
      <c r="F15" s="6"/>
      <c r="G15" s="6"/>
      <c r="H15" s="6"/>
      <c r="I15" s="127"/>
      <c r="J15" s="154"/>
      <c r="K15" s="155"/>
    </row>
    <row r="16" spans="1:11" s="130" customFormat="1">
      <c r="A16" s="229" t="s">
        <v>30</v>
      </c>
      <c r="B16" s="152" t="s">
        <v>210</v>
      </c>
      <c r="C16" s="6"/>
      <c r="D16" s="6"/>
      <c r="E16" s="127"/>
      <c r="F16" s="6"/>
      <c r="G16" s="6"/>
      <c r="H16" s="6"/>
      <c r="I16" s="127"/>
      <c r="J16" s="154"/>
      <c r="K16" s="155"/>
    </row>
    <row r="17" spans="1:16383" s="130" customFormat="1" ht="25.5">
      <c r="A17" s="229" t="s">
        <v>120</v>
      </c>
      <c r="B17" s="152" t="s">
        <v>211</v>
      </c>
      <c r="C17" s="127"/>
      <c r="D17" s="127"/>
      <c r="E17" s="127"/>
      <c r="F17" s="127"/>
      <c r="G17" s="6"/>
      <c r="H17" s="127"/>
      <c r="I17" s="127"/>
      <c r="J17" s="154"/>
      <c r="K17" s="155"/>
    </row>
    <row r="18" spans="1:16383" s="130" customFormat="1" ht="51">
      <c r="A18" s="229" t="s">
        <v>121</v>
      </c>
      <c r="B18" s="152" t="s">
        <v>212</v>
      </c>
      <c r="C18" s="6"/>
      <c r="D18" s="6"/>
      <c r="E18" s="127"/>
      <c r="F18" s="6"/>
      <c r="G18" s="6"/>
      <c r="H18" s="6"/>
      <c r="I18" s="127"/>
      <c r="J18" s="154"/>
      <c r="K18" s="155"/>
    </row>
    <row r="19" spans="1:16383" s="130" customFormat="1">
      <c r="A19" s="229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29" t="s">
        <v>18</v>
      </c>
      <c r="B20" s="152" t="s">
        <v>213</v>
      </c>
      <c r="C20" s="6">
        <v>0</v>
      </c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29" t="s">
        <v>19</v>
      </c>
      <c r="B21" s="152" t="s">
        <v>214</v>
      </c>
      <c r="C21" s="6">
        <v>0</v>
      </c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29" t="s">
        <v>29</v>
      </c>
      <c r="B22" s="152" t="s">
        <v>215</v>
      </c>
      <c r="C22" s="6">
        <v>936994207</v>
      </c>
      <c r="D22" s="6">
        <v>1472156</v>
      </c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29" t="s">
        <v>30</v>
      </c>
      <c r="B23" s="152" t="s">
        <v>223</v>
      </c>
      <c r="C23" s="127"/>
      <c r="D23" s="6">
        <v>7319296930</v>
      </c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29" t="s">
        <v>31</v>
      </c>
      <c r="B24" s="152" t="s">
        <v>15</v>
      </c>
      <c r="C24" s="127"/>
      <c r="D24" s="127"/>
      <c r="E24" s="127"/>
      <c r="F24" s="127"/>
      <c r="G24" s="6">
        <v>185217039</v>
      </c>
      <c r="H24" s="127"/>
      <c r="I24" s="127"/>
      <c r="J24" s="154"/>
      <c r="K24" s="155"/>
    </row>
    <row r="25" spans="1:16383" s="130" customFormat="1" ht="25.5">
      <c r="A25" s="229" t="s">
        <v>32</v>
      </c>
      <c r="B25" s="152" t="s">
        <v>216</v>
      </c>
      <c r="C25" s="127"/>
      <c r="D25" s="127"/>
      <c r="E25" s="6">
        <v>232273508</v>
      </c>
      <c r="F25" s="6">
        <v>870670600</v>
      </c>
      <c r="G25" s="6">
        <v>1688241186</v>
      </c>
      <c r="H25" s="6">
        <v>25414291</v>
      </c>
      <c r="I25" s="127"/>
      <c r="J25" s="154"/>
      <c r="K25" s="155"/>
    </row>
    <row r="26" spans="1:16383" s="130" customFormat="1">
      <c r="A26" s="229" t="s">
        <v>33</v>
      </c>
      <c r="B26" s="152" t="s">
        <v>217</v>
      </c>
      <c r="C26" s="127"/>
      <c r="D26" s="127"/>
      <c r="E26" s="127"/>
      <c r="F26" s="127"/>
      <c r="G26" s="6">
        <v>579616439</v>
      </c>
      <c r="H26" s="6">
        <v>174419766</v>
      </c>
      <c r="I26" s="6">
        <v>169432171</v>
      </c>
      <c r="J26" s="154"/>
      <c r="K26" s="155"/>
    </row>
    <row r="27" spans="1:16383" s="130" customFormat="1">
      <c r="A27" s="229" t="s">
        <v>175</v>
      </c>
      <c r="B27" s="152" t="s">
        <v>218</v>
      </c>
      <c r="C27" s="127"/>
      <c r="D27" s="127"/>
      <c r="E27" s="127"/>
      <c r="F27" s="127"/>
      <c r="G27" s="6">
        <v>21913129416</v>
      </c>
      <c r="H27" s="6">
        <v>2794544226</v>
      </c>
      <c r="I27" s="6">
        <v>2136251747</v>
      </c>
      <c r="J27" s="154"/>
      <c r="K27" s="155"/>
    </row>
    <row r="28" spans="1:16383" s="130" customFormat="1" ht="25.5">
      <c r="A28" s="229" t="s">
        <v>185</v>
      </c>
      <c r="B28" s="152" t="s">
        <v>229</v>
      </c>
      <c r="C28" s="127"/>
      <c r="D28" s="127"/>
      <c r="E28" s="127"/>
      <c r="F28" s="127"/>
      <c r="G28" s="127"/>
      <c r="H28" s="6">
        <v>2503543998</v>
      </c>
      <c r="I28" s="6">
        <v>510771127</v>
      </c>
      <c r="J28" s="154"/>
      <c r="K28" s="155"/>
    </row>
    <row r="29" spans="1:16383" s="156" customFormat="1">
      <c r="A29" s="229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29" t="s">
        <v>60</v>
      </c>
      <c r="B30" s="152" t="s">
        <v>88</v>
      </c>
      <c r="C30" s="127"/>
      <c r="D30" s="127"/>
      <c r="E30" s="127"/>
      <c r="F30" s="127"/>
      <c r="G30" s="6">
        <v>1181891713</v>
      </c>
      <c r="H30" s="127"/>
      <c r="I30" s="127"/>
      <c r="J30" s="154"/>
      <c r="K30" s="155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229" t="s">
        <v>56</v>
      </c>
      <c r="B31" s="152" t="s">
        <v>182</v>
      </c>
      <c r="C31" s="127"/>
      <c r="D31" s="127"/>
      <c r="E31" s="127"/>
      <c r="F31" s="127"/>
      <c r="G31" s="6">
        <f>105745990-H32-H33</f>
        <v>47184123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229" t="s">
        <v>58</v>
      </c>
      <c r="B32" s="152" t="s">
        <v>45</v>
      </c>
      <c r="C32" s="127"/>
      <c r="D32" s="127"/>
      <c r="E32" s="127"/>
      <c r="F32" s="127"/>
      <c r="G32" s="127"/>
      <c r="H32" s="238">
        <v>58522043</v>
      </c>
      <c r="I32" s="127"/>
      <c r="J32" s="154"/>
      <c r="K32" s="155"/>
    </row>
    <row r="33" spans="1:12" s="130" customFormat="1">
      <c r="A33" s="229" t="s">
        <v>65</v>
      </c>
      <c r="B33" s="152" t="s">
        <v>14</v>
      </c>
      <c r="C33" s="127"/>
      <c r="D33" s="127"/>
      <c r="E33" s="127"/>
      <c r="F33" s="127"/>
      <c r="G33" s="127"/>
      <c r="H33" s="6">
        <v>39824</v>
      </c>
      <c r="I33" s="127"/>
      <c r="J33" s="154"/>
      <c r="K33" s="155"/>
    </row>
    <row r="34" spans="1:12" s="130" customFormat="1" ht="38.25">
      <c r="A34" s="229" t="s">
        <v>130</v>
      </c>
      <c r="B34" s="152" t="s">
        <v>220</v>
      </c>
      <c r="C34" s="6">
        <v>143665561</v>
      </c>
      <c r="D34" s="127"/>
      <c r="E34" s="127"/>
      <c r="F34" s="127"/>
      <c r="G34" s="127"/>
      <c r="H34" s="127"/>
      <c r="I34" s="127"/>
      <c r="J34" s="154"/>
      <c r="K34" s="155"/>
    </row>
    <row r="35" spans="1:12" s="130" customFormat="1" ht="21" customHeight="1">
      <c r="A35" s="229" t="s">
        <v>131</v>
      </c>
      <c r="B35" s="152" t="s">
        <v>89</v>
      </c>
      <c r="C35" s="127"/>
      <c r="D35" s="225"/>
      <c r="E35" s="127"/>
      <c r="F35" s="127"/>
      <c r="G35" s="6">
        <f>5850400</f>
        <v>5850400</v>
      </c>
      <c r="H35" s="127"/>
      <c r="I35" s="127"/>
      <c r="J35" s="154"/>
      <c r="K35" s="155"/>
    </row>
    <row r="36" spans="1:12" s="130" customFormat="1" ht="21" customHeight="1">
      <c r="A36" s="229" t="s">
        <v>124</v>
      </c>
      <c r="B36" s="152" t="s">
        <v>221</v>
      </c>
      <c r="C36" s="6">
        <f>'Bank Capital Calc'!C20</f>
        <v>13083294</v>
      </c>
      <c r="D36" s="228"/>
      <c r="E36" s="127"/>
      <c r="F36" s="127"/>
      <c r="G36" s="6">
        <f>64557643-C36</f>
        <v>51474349</v>
      </c>
      <c r="H36" s="127"/>
      <c r="I36" s="127"/>
      <c r="J36" s="154"/>
      <c r="K36" s="155"/>
    </row>
    <row r="37" spans="1:12" s="130" customFormat="1" ht="25.5">
      <c r="A37" s="229" t="s">
        <v>125</v>
      </c>
      <c r="B37" s="152" t="s">
        <v>224</v>
      </c>
      <c r="C37" s="127"/>
      <c r="D37" s="127"/>
      <c r="E37" s="127"/>
      <c r="F37" s="127"/>
      <c r="G37" s="127"/>
      <c r="H37" s="6">
        <v>617158</v>
      </c>
      <c r="I37" s="127"/>
      <c r="J37" s="154"/>
      <c r="K37" s="155"/>
    </row>
    <row r="38" spans="1:12" s="130" customFormat="1">
      <c r="A38" s="229" t="s">
        <v>126</v>
      </c>
      <c r="B38" s="152" t="s">
        <v>90</v>
      </c>
      <c r="C38" s="6">
        <v>0</v>
      </c>
      <c r="D38" s="6">
        <v>0</v>
      </c>
      <c r="E38" s="127"/>
      <c r="F38" s="6">
        <v>0</v>
      </c>
      <c r="G38" s="6">
        <f>1904400407-H37</f>
        <v>1903783249</v>
      </c>
      <c r="H38" s="6">
        <v>0</v>
      </c>
      <c r="I38" s="127"/>
      <c r="J38" s="154"/>
      <c r="K38" s="155"/>
    </row>
    <row r="39" spans="1:12" s="130" customFormat="1">
      <c r="A39" s="229" t="s">
        <v>127</v>
      </c>
      <c r="B39" s="152" t="s">
        <v>222</v>
      </c>
      <c r="C39" s="124">
        <f t="shared" ref="C39:I39" si="0">SUM(C8:C38)</f>
        <v>5365115772</v>
      </c>
      <c r="D39" s="124">
        <f t="shared" si="0"/>
        <v>12407672710</v>
      </c>
      <c r="E39" s="124">
        <f t="shared" si="0"/>
        <v>232273508</v>
      </c>
      <c r="F39" s="124">
        <f t="shared" si="0"/>
        <v>1073061348</v>
      </c>
      <c r="G39" s="124">
        <f t="shared" si="0"/>
        <v>29039562998</v>
      </c>
      <c r="H39" s="124">
        <f t="shared" si="0"/>
        <v>5577178909</v>
      </c>
      <c r="I39" s="124">
        <f t="shared" si="0"/>
        <v>2816455045</v>
      </c>
      <c r="J39" s="154">
        <f>SUM(C39:I39)</f>
        <v>56511320290</v>
      </c>
      <c r="K39" s="155">
        <f>+[7]Balance!$C$45</f>
        <v>56511320290</v>
      </c>
      <c r="L39" s="154">
        <f>+J39-K39</f>
        <v>0</v>
      </c>
    </row>
    <row r="40" spans="1:12" s="130" customFormat="1">
      <c r="A40" s="229" t="s">
        <v>128</v>
      </c>
      <c r="B40" s="152" t="s">
        <v>91</v>
      </c>
      <c r="C40" s="127"/>
      <c r="D40" s="124">
        <f t="shared" ref="D40:I40" si="1">D39*D3</f>
        <v>2481534542</v>
      </c>
      <c r="E40" s="124">
        <f t="shared" si="1"/>
        <v>81295727.799999997</v>
      </c>
      <c r="F40" s="124">
        <f t="shared" si="1"/>
        <v>536530674</v>
      </c>
      <c r="G40" s="124">
        <f t="shared" si="1"/>
        <v>29039562998</v>
      </c>
      <c r="H40" s="124">
        <f t="shared" si="1"/>
        <v>8365768363.5</v>
      </c>
      <c r="I40" s="124">
        <f t="shared" si="1"/>
        <v>5632910090</v>
      </c>
      <c r="J40" s="154"/>
      <c r="K40" s="155"/>
    </row>
    <row r="41" spans="1:12" s="130" customFormat="1">
      <c r="A41" s="229" t="s">
        <v>129</v>
      </c>
      <c r="B41" s="152" t="s">
        <v>92</v>
      </c>
      <c r="C41" s="127"/>
      <c r="D41" s="127"/>
      <c r="E41" s="127"/>
      <c r="F41" s="127"/>
      <c r="G41" s="127"/>
      <c r="H41" s="127"/>
      <c r="I41" s="124">
        <f>SUM(D40:I40)</f>
        <v>46137602395.300003</v>
      </c>
      <c r="J41" s="154"/>
      <c r="K41" s="155"/>
    </row>
    <row r="42" spans="1:12" s="130" customFormat="1">
      <c r="A42" s="158"/>
      <c r="B42" s="159"/>
      <c r="C42" s="129"/>
      <c r="D42" s="129"/>
      <c r="E42" s="129"/>
      <c r="F42" s="129"/>
      <c r="G42" s="129"/>
      <c r="I42" s="155"/>
    </row>
    <row r="43" spans="1:12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55"/>
    </row>
    <row r="44" spans="1:12" s="130" customFormat="1" ht="12.75" customHeight="1">
      <c r="A44" s="242" t="s">
        <v>76</v>
      </c>
      <c r="B44" s="243" t="s">
        <v>48</v>
      </c>
      <c r="C44" s="243"/>
      <c r="D44" s="242" t="s">
        <v>93</v>
      </c>
      <c r="E44" s="248">
        <v>0</v>
      </c>
      <c r="F44" s="250">
        <v>0.2</v>
      </c>
      <c r="G44" s="250">
        <v>0.5</v>
      </c>
      <c r="H44" s="250">
        <v>1</v>
      </c>
      <c r="I44" s="244" t="s">
        <v>94</v>
      </c>
      <c r="J44" s="155"/>
    </row>
    <row r="45" spans="1:12" s="130" customFormat="1" ht="9.75" customHeight="1">
      <c r="A45" s="242"/>
      <c r="B45" s="243"/>
      <c r="C45" s="243"/>
      <c r="D45" s="242"/>
      <c r="E45" s="249"/>
      <c r="F45" s="251"/>
      <c r="G45" s="251"/>
      <c r="H45" s="251"/>
      <c r="I45" s="245"/>
      <c r="J45" s="155"/>
    </row>
    <row r="46" spans="1:12" s="130" customFormat="1" ht="17.25" customHeight="1">
      <c r="A46" s="242"/>
      <c r="B46" s="243"/>
      <c r="C46" s="243"/>
      <c r="D46" s="242"/>
      <c r="E46" s="216" t="s">
        <v>77</v>
      </c>
      <c r="F46" s="216" t="s">
        <v>77</v>
      </c>
      <c r="G46" s="216" t="s">
        <v>77</v>
      </c>
      <c r="H46" s="216" t="s">
        <v>77</v>
      </c>
      <c r="I46" s="245"/>
      <c r="J46" s="155"/>
    </row>
    <row r="47" spans="1:12" s="130" customFormat="1">
      <c r="A47" s="242"/>
      <c r="B47" s="243" t="s">
        <v>49</v>
      </c>
      <c r="C47" s="243"/>
      <c r="D47" s="229" t="s">
        <v>50</v>
      </c>
      <c r="E47" s="216" t="s">
        <v>51</v>
      </c>
      <c r="F47" s="229" t="s">
        <v>52</v>
      </c>
      <c r="G47" s="229" t="s">
        <v>78</v>
      </c>
      <c r="H47" s="229" t="s">
        <v>79</v>
      </c>
      <c r="I47" s="229" t="s">
        <v>95</v>
      </c>
      <c r="J47" s="155"/>
    </row>
    <row r="48" spans="1:12" s="130" customFormat="1">
      <c r="A48" s="232" t="s">
        <v>96</v>
      </c>
      <c r="B48" s="232"/>
      <c r="C48" s="232"/>
      <c r="D48" s="232"/>
      <c r="E48" s="232"/>
      <c r="F48" s="232"/>
      <c r="G48" s="232"/>
      <c r="H48" s="232"/>
      <c r="I48" s="232"/>
      <c r="J48" s="155"/>
    </row>
    <row r="49" spans="1:10" s="130" customFormat="1">
      <c r="A49" s="233">
        <v>1</v>
      </c>
      <c r="B49" s="247" t="s">
        <v>97</v>
      </c>
      <c r="C49" s="247"/>
      <c r="D49" s="127"/>
      <c r="E49" s="127"/>
      <c r="F49" s="127"/>
      <c r="G49" s="127"/>
      <c r="H49" s="127"/>
      <c r="I49" s="127"/>
      <c r="J49" s="155"/>
    </row>
    <row r="50" spans="1:10" s="130" customFormat="1">
      <c r="A50" s="233" t="s">
        <v>54</v>
      </c>
      <c r="B50" s="247" t="s">
        <v>98</v>
      </c>
      <c r="C50" s="247"/>
      <c r="D50" s="234">
        <v>0.5</v>
      </c>
      <c r="E50" s="7"/>
      <c r="F50" s="7"/>
      <c r="G50" s="7"/>
      <c r="H50" s="7"/>
      <c r="I50" s="124">
        <f>(F50*0.1)+(G50*0.25)+(H50*0.5)</f>
        <v>0</v>
      </c>
      <c r="J50" s="155"/>
    </row>
    <row r="51" spans="1:10" s="130" customFormat="1">
      <c r="A51" s="233" t="s">
        <v>56</v>
      </c>
      <c r="B51" s="247" t="s">
        <v>99</v>
      </c>
      <c r="C51" s="247"/>
      <c r="D51" s="234">
        <v>0.2</v>
      </c>
      <c r="E51" s="7"/>
      <c r="F51" s="7">
        <v>297135410</v>
      </c>
      <c r="G51" s="7"/>
      <c r="H51" s="7">
        <v>741841838</v>
      </c>
      <c r="I51" s="124">
        <f>(F51*0.04)+(G51*0.1)+(H51*0.2)</f>
        <v>160253784</v>
      </c>
      <c r="J51" s="155"/>
    </row>
    <row r="52" spans="1:10" s="130" customFormat="1" ht="26.25" customHeight="1">
      <c r="A52" s="233">
        <v>2</v>
      </c>
      <c r="B52" s="247" t="s">
        <v>190</v>
      </c>
      <c r="C52" s="247"/>
      <c r="D52" s="234">
        <v>1</v>
      </c>
      <c r="E52" s="7"/>
      <c r="F52" s="7"/>
      <c r="G52" s="7"/>
      <c r="H52" s="7"/>
      <c r="I52" s="124">
        <f>(F52*0.2)+(G52*0.5)+(H52*1)</f>
        <v>0</v>
      </c>
      <c r="J52" s="155"/>
    </row>
    <row r="53" spans="1:10" s="130" customFormat="1">
      <c r="A53" s="233">
        <v>3</v>
      </c>
      <c r="B53" s="247" t="s">
        <v>100</v>
      </c>
      <c r="C53" s="247"/>
      <c r="D53" s="234">
        <v>1</v>
      </c>
      <c r="E53" s="7">
        <v>1587605</v>
      </c>
      <c r="F53" s="7"/>
      <c r="G53" s="127"/>
      <c r="H53" s="7">
        <f>1834213566-E53</f>
        <v>1832625961</v>
      </c>
      <c r="I53" s="124">
        <f>(F53*0.2)+(G53*0.5)+(H53*1)</f>
        <v>1832625961</v>
      </c>
      <c r="J53" s="155"/>
    </row>
    <row r="54" spans="1:10" s="130" customFormat="1">
      <c r="A54" s="233">
        <v>4</v>
      </c>
      <c r="B54" s="247" t="s">
        <v>101</v>
      </c>
      <c r="C54" s="247"/>
      <c r="D54" s="162"/>
      <c r="E54" s="127"/>
      <c r="F54" s="127"/>
      <c r="G54" s="127"/>
      <c r="H54" s="127"/>
      <c r="I54" s="127"/>
      <c r="J54" s="155"/>
    </row>
    <row r="55" spans="1:10" s="130" customFormat="1">
      <c r="A55" s="233" t="s">
        <v>54</v>
      </c>
      <c r="B55" s="247" t="s">
        <v>102</v>
      </c>
      <c r="C55" s="247"/>
      <c r="D55" s="234">
        <v>1</v>
      </c>
      <c r="E55" s="7"/>
      <c r="F55" s="7"/>
      <c r="G55" s="7"/>
      <c r="H55" s="7"/>
      <c r="I55" s="124">
        <f>(F55*0.2)+(G55*0.5)+(H55*1)</f>
        <v>0</v>
      </c>
      <c r="J55" s="155"/>
    </row>
    <row r="56" spans="1:10" s="130" customFormat="1">
      <c r="A56" s="233" t="s">
        <v>56</v>
      </c>
      <c r="B56" s="247" t="s">
        <v>103</v>
      </c>
      <c r="C56" s="247"/>
      <c r="D56" s="234">
        <v>0.5</v>
      </c>
      <c r="E56" s="7"/>
      <c r="F56" s="7"/>
      <c r="G56" s="7"/>
      <c r="H56" s="7"/>
      <c r="I56" s="124">
        <f>(F56*0.1)+(G56*0.25)+(H56*0.5)</f>
        <v>0</v>
      </c>
      <c r="J56" s="155"/>
    </row>
    <row r="57" spans="1:10" s="130" customFormat="1" ht="12.75" customHeight="1">
      <c r="A57" s="233" t="s">
        <v>58</v>
      </c>
      <c r="B57" s="247" t="s">
        <v>191</v>
      </c>
      <c r="C57" s="247"/>
      <c r="D57" s="234">
        <v>0.2</v>
      </c>
      <c r="E57" s="7"/>
      <c r="F57" s="7"/>
      <c r="G57" s="7"/>
      <c r="H57" s="7">
        <v>1644275155</v>
      </c>
      <c r="I57" s="124">
        <f>(F57*0.04)+(G57*0.1)+(H57*0.2)</f>
        <v>328855031</v>
      </c>
      <c r="J57" s="155"/>
    </row>
    <row r="58" spans="1:10" s="130" customFormat="1">
      <c r="A58" s="233" t="s">
        <v>65</v>
      </c>
      <c r="B58" s="247" t="s">
        <v>176</v>
      </c>
      <c r="C58" s="247"/>
      <c r="D58" s="234">
        <v>1</v>
      </c>
      <c r="E58" s="7"/>
      <c r="F58" s="7"/>
      <c r="G58" s="127"/>
      <c r="H58" s="7"/>
      <c r="I58" s="124">
        <f>(F58*0.2)+(G58*0.5)+(H58*1)</f>
        <v>0</v>
      </c>
      <c r="J58" s="155"/>
    </row>
    <row r="59" spans="1:10" s="130" customFormat="1">
      <c r="A59" s="233">
        <v>5</v>
      </c>
      <c r="B59" s="235" t="s">
        <v>104</v>
      </c>
      <c r="C59" s="235"/>
      <c r="D59" s="162"/>
      <c r="E59" s="127"/>
      <c r="F59" s="127"/>
      <c r="G59" s="127"/>
      <c r="H59" s="127"/>
      <c r="I59" s="127"/>
      <c r="J59" s="155"/>
    </row>
    <row r="60" spans="1:10" s="130" customFormat="1">
      <c r="A60" s="233" t="s">
        <v>54</v>
      </c>
      <c r="B60" s="235" t="s">
        <v>105</v>
      </c>
      <c r="C60" s="235"/>
      <c r="D60" s="162"/>
      <c r="E60" s="127"/>
      <c r="F60" s="127"/>
      <c r="G60" s="127"/>
      <c r="H60" s="127"/>
      <c r="I60" s="127"/>
      <c r="J60" s="155"/>
    </row>
    <row r="61" spans="1:10" s="130" customFormat="1">
      <c r="A61" s="233" t="s">
        <v>106</v>
      </c>
      <c r="B61" s="235" t="s">
        <v>192</v>
      </c>
      <c r="C61" s="235"/>
      <c r="D61" s="236">
        <v>5.0000000000000001E-3</v>
      </c>
      <c r="E61" s="7"/>
      <c r="F61" s="7"/>
      <c r="G61" s="7"/>
      <c r="H61" s="7"/>
      <c r="I61" s="124">
        <f>(F61*0.001)+(G61*0.0025)+(H61*0.005)</f>
        <v>0</v>
      </c>
      <c r="J61" s="155"/>
    </row>
    <row r="62" spans="1:10" s="130" customFormat="1">
      <c r="A62" s="233" t="s">
        <v>107</v>
      </c>
      <c r="B62" s="235" t="s">
        <v>193</v>
      </c>
      <c r="C62" s="235"/>
      <c r="D62" s="234">
        <v>0.01</v>
      </c>
      <c r="E62" s="7"/>
      <c r="F62" s="7"/>
      <c r="G62" s="7"/>
      <c r="H62" s="7"/>
      <c r="I62" s="124">
        <f>(F62*0.002)+(G62*0.005)+(H62*0.01)</f>
        <v>0</v>
      </c>
      <c r="J62" s="155"/>
    </row>
    <row r="63" spans="1:10" s="130" customFormat="1">
      <c r="A63" s="233" t="s">
        <v>108</v>
      </c>
      <c r="B63" s="235" t="s">
        <v>194</v>
      </c>
      <c r="C63" s="235"/>
      <c r="D63" s="234">
        <v>0.02</v>
      </c>
      <c r="E63" s="7"/>
      <c r="F63" s="7"/>
      <c r="G63" s="7"/>
      <c r="H63" s="7"/>
      <c r="I63" s="124">
        <f>(F63*0.004)+(G63*0.01)+(H63*0.02)</f>
        <v>0</v>
      </c>
      <c r="J63" s="155"/>
    </row>
    <row r="64" spans="1:10" s="130" customFormat="1">
      <c r="A64" s="233" t="s">
        <v>56</v>
      </c>
      <c r="B64" s="235" t="s">
        <v>195</v>
      </c>
      <c r="C64" s="235"/>
      <c r="D64" s="162"/>
      <c r="E64" s="127"/>
      <c r="F64" s="127"/>
      <c r="G64" s="127"/>
      <c r="H64" s="127"/>
      <c r="I64" s="127"/>
      <c r="J64" s="155"/>
    </row>
    <row r="65" spans="1:12" s="130" customFormat="1">
      <c r="A65" s="233" t="s">
        <v>109</v>
      </c>
      <c r="B65" s="235" t="s">
        <v>192</v>
      </c>
      <c r="C65" s="235"/>
      <c r="D65" s="234">
        <v>0.02</v>
      </c>
      <c r="E65" s="7"/>
      <c r="F65" s="7"/>
      <c r="G65" s="7"/>
      <c r="H65" s="7">
        <f>325417+1354</f>
        <v>326771</v>
      </c>
      <c r="I65" s="124">
        <f>(F65*0.004)+(G65*0.01)+(H65*0.02)</f>
        <v>6535.42</v>
      </c>
      <c r="J65" s="155"/>
    </row>
    <row r="66" spans="1:12" s="130" customFormat="1">
      <c r="A66" s="233" t="s">
        <v>110</v>
      </c>
      <c r="B66" s="235" t="s">
        <v>193</v>
      </c>
      <c r="C66" s="235"/>
      <c r="D66" s="234">
        <v>0.05</v>
      </c>
      <c r="E66" s="7"/>
      <c r="F66" s="7"/>
      <c r="G66" s="7"/>
      <c r="H66" s="7"/>
      <c r="I66" s="124">
        <f>(F66*0.01)+(G66*0.025)+(H66*0.05)</f>
        <v>0</v>
      </c>
      <c r="J66" s="155"/>
    </row>
    <row r="67" spans="1:12" s="130" customFormat="1">
      <c r="A67" s="233" t="s">
        <v>111</v>
      </c>
      <c r="B67" s="235" t="s">
        <v>194</v>
      </c>
      <c r="C67" s="235"/>
      <c r="D67" s="234">
        <v>0.08</v>
      </c>
      <c r="E67" s="7"/>
      <c r="F67" s="7"/>
      <c r="G67" s="7"/>
      <c r="H67" s="7"/>
      <c r="I67" s="124">
        <f>(F67*0.016)+(G67*0.04)+(H67*0.08)</f>
        <v>0</v>
      </c>
      <c r="J67" s="155"/>
    </row>
    <row r="68" spans="1:12" s="130" customFormat="1">
      <c r="A68" s="233">
        <v>6</v>
      </c>
      <c r="B68" s="247" t="s">
        <v>112</v>
      </c>
      <c r="C68" s="247"/>
      <c r="D68" s="162"/>
      <c r="E68" s="124">
        <f>SUM(E50:E67)</f>
        <v>1587605</v>
      </c>
      <c r="F68" s="124">
        <f>SUM(F50:F67)</f>
        <v>297135410</v>
      </c>
      <c r="G68" s="124">
        <f>SUM(G50:G67)</f>
        <v>0</v>
      </c>
      <c r="H68" s="124">
        <f>SUM(H50:H67)</f>
        <v>4219069725</v>
      </c>
      <c r="I68" s="127"/>
      <c r="J68" s="226">
        <f>SUM(E68:H68)</f>
        <v>4517792740</v>
      </c>
      <c r="K68" s="226">
        <f>+[7]Commitments!$C$4+[7]Commitments!$C$7+[7]Commitments!$C$10+[7]Commitments!$C$19+[7]Commitments!$C$20+[7]Commitments!$C$21+[7]Commitments!$C$22</f>
        <v>4517792740</v>
      </c>
      <c r="L68" s="227">
        <f>+J68-K68</f>
        <v>0</v>
      </c>
    </row>
    <row r="69" spans="1:12" s="130" customFormat="1">
      <c r="A69" s="233">
        <v>7</v>
      </c>
      <c r="B69" s="247" t="s">
        <v>113</v>
      </c>
      <c r="C69" s="247"/>
      <c r="D69" s="162"/>
      <c r="E69" s="127"/>
      <c r="F69" s="127"/>
      <c r="G69" s="127"/>
      <c r="H69" s="127"/>
      <c r="I69" s="124">
        <f>SUM(I50:I67)</f>
        <v>2321741311.4200001</v>
      </c>
      <c r="J69" s="155"/>
    </row>
    <row r="70" spans="1:12" s="130" customFormat="1">
      <c r="A70" s="233">
        <v>8</v>
      </c>
      <c r="B70" s="247" t="s">
        <v>114</v>
      </c>
      <c r="C70" s="247"/>
      <c r="D70" s="162"/>
      <c r="E70" s="127"/>
      <c r="F70" s="127"/>
      <c r="G70" s="127"/>
      <c r="H70" s="127"/>
      <c r="I70" s="124">
        <f>SUM(I69+I41)</f>
        <v>48459343706.720001</v>
      </c>
      <c r="J70" s="155">
        <f>+I70*0.15</f>
        <v>7268901556.0080004</v>
      </c>
    </row>
    <row r="71" spans="1:12">
      <c r="I71" s="135"/>
      <c r="J71" s="223"/>
    </row>
    <row r="72" spans="1:12">
      <c r="B72" s="167" t="s">
        <v>0</v>
      </c>
      <c r="C72" s="167"/>
      <c r="I72" s="135"/>
      <c r="J72" s="223"/>
    </row>
    <row r="73" spans="1:12">
      <c r="A73" s="135"/>
      <c r="B73" s="167"/>
      <c r="C73" s="167"/>
      <c r="I73" s="135"/>
      <c r="J73" s="223"/>
    </row>
    <row r="74" spans="1:12">
      <c r="A74" s="135"/>
      <c r="B74" s="167" t="s">
        <v>1</v>
      </c>
    </row>
  </sheetData>
  <sheetProtection password="CBD4" sheet="1" objects="1" scenarios="1"/>
  <mergeCells count="26">
    <mergeCell ref="B69:C69"/>
    <mergeCell ref="B70:C70"/>
    <mergeCell ref="B47:C47"/>
    <mergeCell ref="B57:C57"/>
    <mergeCell ref="B58:C58"/>
    <mergeCell ref="B52:C52"/>
    <mergeCell ref="B53:C53"/>
    <mergeCell ref="B54:C54"/>
    <mergeCell ref="B55:C55"/>
    <mergeCell ref="B56:C56"/>
    <mergeCell ref="B49:C49"/>
    <mergeCell ref="B50:C50"/>
    <mergeCell ref="B51:C51"/>
    <mergeCell ref="I44:I46"/>
    <mergeCell ref="B44:C46"/>
    <mergeCell ref="G2:H2"/>
    <mergeCell ref="B68:C68"/>
    <mergeCell ref="E44:E45"/>
    <mergeCell ref="F44:F45"/>
    <mergeCell ref="G44:G45"/>
    <mergeCell ref="H44:H45"/>
    <mergeCell ref="A1:H1"/>
    <mergeCell ref="D44:D46"/>
    <mergeCell ref="A3:A5"/>
    <mergeCell ref="B3:B5"/>
    <mergeCell ref="A44:A47"/>
  </mergeCells>
  <phoneticPr fontId="9" type="noConversion"/>
  <conditionalFormatting sqref="J39">
    <cfRule type="cellIs" dxfId="2" priority="14" operator="notEqual">
      <formula>$K$39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24:G27 E55:H56 H37:H38 E25:F25 H16 E61:H63 H57:H58 G50:G52 F16 E50:F53 C16 C8 C38:D38 G16:G18 F18 D11 D9 C18:D18 H18 E57:G57 E65:H67 D22:D23 F11:H11 C13:C14 C10:D10 D14:D16 C20:C22 F38:G38 G35:G36 C36 C34 G29:G33 H24:I28 H32:H33 I38 F14:H15 E58:F58 H50:H53" xr:uid="{00000000-0002-0000-0200-000000000000}">
      <formula1>-1E+22</formula1>
      <formula2>1E+22</formula2>
    </dataValidation>
    <dataValidation type="whole" operator="greaterThanOrEqual" allowBlank="1" showInputMessage="1" showErrorMessage="1" sqref="E54:H54 G53 E64:H64 E59:H60 G58" xr:uid="{00000000-0002-0000-02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6">
    <pageSetUpPr fitToPage="1"/>
  </sheetPr>
  <dimension ref="A1:XFC74"/>
  <sheetViews>
    <sheetView zoomScale="85" zoomScaleNormal="85" zoomScaleSheetLayoutView="70" workbookViewId="0">
      <pane xSplit="2" ySplit="6" topLeftCell="C49" activePane="bottomRight" state="frozen"/>
      <selection activeCell="K39" sqref="K39"/>
      <selection pane="topRight" activeCell="K39" sqref="K39"/>
      <selection pane="bottomLeft" activeCell="K39" sqref="K39"/>
      <selection pane="bottomRight" activeCell="H53" sqref="H53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8.140625" style="141" customWidth="1"/>
    <col min="10" max="12" width="16.42578125" style="138" customWidth="1"/>
    <col min="13" max="15" width="10.28515625" style="138" customWidth="1"/>
    <col min="16" max="19" width="9.140625" style="139"/>
    <col min="20" max="16384" width="9.140625" style="135"/>
  </cols>
  <sheetData>
    <row r="1" spans="1:19" ht="26.25" customHeight="1">
      <c r="A1" s="241" t="s">
        <v>187</v>
      </c>
      <c r="B1" s="241"/>
      <c r="C1" s="241"/>
      <c r="D1" s="241"/>
      <c r="E1" s="241"/>
      <c r="F1" s="241"/>
      <c r="G1" s="241"/>
      <c r="H1" s="241"/>
      <c r="I1" s="213" t="s">
        <v>227</v>
      </c>
    </row>
    <row r="2" spans="1:19" ht="25.5" customHeight="1" thickBot="1">
      <c r="B2" s="177" t="str">
        <f>+'Bank Capital Calc'!B3</f>
        <v>АТБ "Ўзсаноатқурилишбанк"</v>
      </c>
      <c r="D2" s="140"/>
      <c r="E2" s="140"/>
      <c r="G2" s="246">
        <f>+'Bank Capital Calc'!C3</f>
        <v>44560</v>
      </c>
      <c r="H2" s="246"/>
      <c r="I2" s="79" t="s">
        <v>174</v>
      </c>
      <c r="J2" s="141"/>
    </row>
    <row r="3" spans="1:19">
      <c r="A3" s="258" t="s">
        <v>76</v>
      </c>
      <c r="B3" s="261" t="s">
        <v>48</v>
      </c>
      <c r="C3" s="144">
        <v>0</v>
      </c>
      <c r="D3" s="144">
        <v>0.2</v>
      </c>
      <c r="E3" s="144">
        <v>0.35</v>
      </c>
      <c r="F3" s="144">
        <v>0.5</v>
      </c>
      <c r="G3" s="144">
        <v>1</v>
      </c>
      <c r="H3" s="144">
        <v>1.5</v>
      </c>
      <c r="I3" s="144">
        <v>2</v>
      </c>
      <c r="J3" s="145"/>
      <c r="K3" s="141"/>
    </row>
    <row r="4" spans="1:19" ht="20.25" customHeight="1">
      <c r="A4" s="259"/>
      <c r="B4" s="262"/>
      <c r="C4" s="146" t="s">
        <v>77</v>
      </c>
      <c r="D4" s="146" t="s">
        <v>77</v>
      </c>
      <c r="E4" s="146" t="s">
        <v>77</v>
      </c>
      <c r="F4" s="146" t="s">
        <v>77</v>
      </c>
      <c r="G4" s="146" t="s">
        <v>77</v>
      </c>
      <c r="H4" s="146" t="s">
        <v>77</v>
      </c>
      <c r="I4" s="215" t="s">
        <v>77</v>
      </c>
      <c r="K4" s="141"/>
    </row>
    <row r="5" spans="1:19" ht="20.25" customHeight="1">
      <c r="A5" s="260"/>
      <c r="B5" s="263"/>
      <c r="C5" s="199" t="s">
        <v>196</v>
      </c>
      <c r="D5" s="199" t="s">
        <v>197</v>
      </c>
      <c r="E5" s="199" t="s">
        <v>198</v>
      </c>
      <c r="F5" s="199" t="s">
        <v>199</v>
      </c>
      <c r="G5" s="199" t="s">
        <v>200</v>
      </c>
      <c r="H5" s="199" t="s">
        <v>201</v>
      </c>
      <c r="I5" s="215" t="s">
        <v>202</v>
      </c>
      <c r="K5" s="141"/>
    </row>
    <row r="6" spans="1:19">
      <c r="A6" s="148"/>
      <c r="B6" s="149" t="s">
        <v>49</v>
      </c>
      <c r="C6" s="149" t="s">
        <v>50</v>
      </c>
      <c r="D6" s="149" t="s">
        <v>51</v>
      </c>
      <c r="E6" s="149" t="s">
        <v>52</v>
      </c>
      <c r="F6" s="149" t="s">
        <v>78</v>
      </c>
      <c r="G6" s="149" t="s">
        <v>79</v>
      </c>
      <c r="H6" s="149" t="s">
        <v>95</v>
      </c>
      <c r="I6" s="217" t="s">
        <v>115</v>
      </c>
      <c r="K6" s="141"/>
    </row>
    <row r="7" spans="1:19">
      <c r="A7" s="148"/>
      <c r="B7" s="150" t="s">
        <v>80</v>
      </c>
      <c r="C7" s="151"/>
      <c r="D7" s="151"/>
      <c r="E7" s="151"/>
      <c r="F7" s="151"/>
      <c r="G7" s="151"/>
      <c r="H7" s="151"/>
      <c r="I7" s="151"/>
      <c r="K7" s="141"/>
    </row>
    <row r="8" spans="1:19" s="130" customFormat="1">
      <c r="A8" s="214" t="s">
        <v>81</v>
      </c>
      <c r="B8" s="152" t="s">
        <v>82</v>
      </c>
      <c r="C8" s="6">
        <v>180134495</v>
      </c>
      <c r="D8" s="127"/>
      <c r="E8" s="127"/>
      <c r="F8" s="127"/>
      <c r="G8" s="127"/>
      <c r="H8" s="127"/>
      <c r="I8" s="133"/>
      <c r="J8" s="125"/>
      <c r="K8" s="126"/>
      <c r="L8" s="131"/>
      <c r="M8" s="131"/>
      <c r="N8" s="131"/>
      <c r="O8" s="131"/>
      <c r="P8" s="153"/>
      <c r="Q8" s="153"/>
      <c r="R8" s="153"/>
      <c r="S8" s="153"/>
    </row>
    <row r="9" spans="1:19" s="130" customFormat="1">
      <c r="A9" s="214" t="s">
        <v>116</v>
      </c>
      <c r="B9" s="152" t="s">
        <v>83</v>
      </c>
      <c r="C9" s="127"/>
      <c r="D9" s="6">
        <v>70766266</v>
      </c>
      <c r="E9" s="127"/>
      <c r="F9" s="127"/>
      <c r="G9" s="127"/>
      <c r="H9" s="127"/>
      <c r="I9" s="133"/>
      <c r="J9" s="125"/>
      <c r="K9" s="126"/>
      <c r="L9" s="131"/>
      <c r="M9" s="131"/>
      <c r="N9" s="131"/>
      <c r="O9" s="131"/>
      <c r="P9" s="153"/>
      <c r="Q9" s="153"/>
      <c r="R9" s="153"/>
      <c r="S9" s="153"/>
    </row>
    <row r="10" spans="1:19" s="130" customFormat="1">
      <c r="A10" s="214" t="s">
        <v>117</v>
      </c>
      <c r="B10" s="152" t="s">
        <v>84</v>
      </c>
      <c r="C10" s="6">
        <v>2481708653</v>
      </c>
      <c r="D10" s="6">
        <v>0</v>
      </c>
      <c r="E10" s="127"/>
      <c r="F10" s="127"/>
      <c r="G10" s="127"/>
      <c r="H10" s="127"/>
      <c r="I10" s="133"/>
      <c r="J10" s="125"/>
      <c r="K10" s="126"/>
      <c r="L10" s="131"/>
      <c r="M10" s="131"/>
      <c r="N10" s="131"/>
      <c r="O10" s="131"/>
      <c r="P10" s="153"/>
      <c r="Q10" s="153"/>
      <c r="R10" s="153"/>
      <c r="S10" s="153"/>
    </row>
    <row r="11" spans="1:19" s="130" customFormat="1">
      <c r="A11" s="214" t="s">
        <v>118</v>
      </c>
      <c r="B11" s="152" t="s">
        <v>225</v>
      </c>
      <c r="C11" s="127"/>
      <c r="D11" s="6">
        <v>0</v>
      </c>
      <c r="E11" s="127"/>
      <c r="F11" s="6">
        <v>10019936</v>
      </c>
      <c r="G11" s="6">
        <v>662284205</v>
      </c>
      <c r="H11" s="6">
        <v>0</v>
      </c>
      <c r="I11" s="133"/>
      <c r="J11" s="125"/>
      <c r="K11" s="126"/>
      <c r="L11" s="131"/>
      <c r="M11" s="131"/>
      <c r="N11" s="131"/>
      <c r="O11" s="131"/>
      <c r="P11" s="153"/>
      <c r="Q11" s="153"/>
      <c r="R11" s="153"/>
      <c r="S11" s="153"/>
    </row>
    <row r="12" spans="1:19" s="130" customFormat="1">
      <c r="A12" s="214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33"/>
      <c r="J12" s="154"/>
      <c r="K12" s="155"/>
    </row>
    <row r="13" spans="1:19" s="130" customFormat="1">
      <c r="A13" s="214" t="s">
        <v>18</v>
      </c>
      <c r="B13" s="152" t="s">
        <v>86</v>
      </c>
      <c r="C13" s="6">
        <v>1057702047</v>
      </c>
      <c r="D13" s="127"/>
      <c r="E13" s="127"/>
      <c r="F13" s="127"/>
      <c r="G13" s="127"/>
      <c r="H13" s="127"/>
      <c r="I13" s="133"/>
      <c r="J13" s="154"/>
      <c r="K13" s="155"/>
    </row>
    <row r="14" spans="1:19" s="130" customFormat="1" ht="38.25">
      <c r="A14" s="214" t="s">
        <v>19</v>
      </c>
      <c r="B14" s="152" t="s">
        <v>208</v>
      </c>
      <c r="C14" s="6">
        <v>0</v>
      </c>
      <c r="D14" s="6">
        <v>0</v>
      </c>
      <c r="E14" s="127"/>
      <c r="F14" s="6">
        <v>0</v>
      </c>
      <c r="G14" s="6">
        <v>0</v>
      </c>
      <c r="H14" s="6">
        <v>0</v>
      </c>
      <c r="I14" s="127"/>
      <c r="J14" s="154"/>
      <c r="K14" s="155"/>
    </row>
    <row r="15" spans="1:19" s="130" customFormat="1">
      <c r="A15" s="214" t="s">
        <v>29</v>
      </c>
      <c r="B15" s="152" t="s">
        <v>209</v>
      </c>
      <c r="C15" s="127"/>
      <c r="D15" s="6">
        <v>0</v>
      </c>
      <c r="E15" s="127"/>
      <c r="F15" s="6">
        <v>0</v>
      </c>
      <c r="G15" s="6">
        <v>0</v>
      </c>
      <c r="H15" s="6">
        <v>0</v>
      </c>
      <c r="I15" s="127"/>
      <c r="J15" s="154"/>
      <c r="K15" s="155"/>
    </row>
    <row r="16" spans="1:19" s="130" customFormat="1">
      <c r="A16" s="214" t="s">
        <v>30</v>
      </c>
      <c r="B16" s="152" t="s">
        <v>210</v>
      </c>
      <c r="C16" s="6">
        <v>0</v>
      </c>
      <c r="D16" s="6">
        <v>0</v>
      </c>
      <c r="E16" s="127"/>
      <c r="F16" s="6">
        <v>0</v>
      </c>
      <c r="G16" s="6">
        <v>0</v>
      </c>
      <c r="H16" s="6">
        <v>0</v>
      </c>
      <c r="I16" s="127"/>
      <c r="J16" s="154"/>
      <c r="K16" s="155"/>
    </row>
    <row r="17" spans="1:16383" s="130" customFormat="1" ht="25.5">
      <c r="A17" s="214" t="s">
        <v>120</v>
      </c>
      <c r="B17" s="152" t="s">
        <v>211</v>
      </c>
      <c r="C17" s="127"/>
      <c r="D17" s="127"/>
      <c r="E17" s="127"/>
      <c r="F17" s="127"/>
      <c r="G17" s="6">
        <v>0</v>
      </c>
      <c r="H17" s="127"/>
      <c r="I17" s="127"/>
      <c r="J17" s="154"/>
      <c r="K17" s="155"/>
    </row>
    <row r="18" spans="1:16383" s="130" customFormat="1" ht="51">
      <c r="A18" s="214" t="s">
        <v>121</v>
      </c>
      <c r="B18" s="152" t="s">
        <v>212</v>
      </c>
      <c r="C18" s="6">
        <v>0</v>
      </c>
      <c r="D18" s="6">
        <v>0</v>
      </c>
      <c r="E18" s="127"/>
      <c r="F18" s="6">
        <v>0</v>
      </c>
      <c r="G18" s="6">
        <v>0</v>
      </c>
      <c r="H18" s="6">
        <v>0</v>
      </c>
      <c r="I18" s="127"/>
      <c r="J18" s="154"/>
      <c r="K18" s="155"/>
    </row>
    <row r="19" spans="1:16383" s="130" customFormat="1">
      <c r="A19" s="214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14" t="s">
        <v>18</v>
      </c>
      <c r="B20" s="152" t="s">
        <v>213</v>
      </c>
      <c r="C20" s="6">
        <v>0</v>
      </c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14" t="s">
        <v>19</v>
      </c>
      <c r="B21" s="152" t="s">
        <v>214</v>
      </c>
      <c r="C21" s="6">
        <v>0</v>
      </c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14" t="s">
        <v>29</v>
      </c>
      <c r="B22" s="152" t="s">
        <v>215</v>
      </c>
      <c r="C22" s="6">
        <v>8110486</v>
      </c>
      <c r="D22" s="6">
        <v>13339</v>
      </c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14" t="s">
        <v>30</v>
      </c>
      <c r="B23" s="152" t="s">
        <v>223</v>
      </c>
      <c r="C23" s="127"/>
      <c r="D23" s="6">
        <v>1119161803</v>
      </c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14" t="s">
        <v>31</v>
      </c>
      <c r="B24" s="152" t="s">
        <v>15</v>
      </c>
      <c r="C24" s="127"/>
      <c r="D24" s="127"/>
      <c r="E24" s="127"/>
      <c r="F24" s="127"/>
      <c r="G24" s="6">
        <v>185217039</v>
      </c>
      <c r="H24" s="127"/>
      <c r="I24" s="127"/>
      <c r="J24" s="154"/>
      <c r="K24" s="155"/>
    </row>
    <row r="25" spans="1:16383" s="130" customFormat="1" ht="25.5">
      <c r="A25" s="214" t="s">
        <v>32</v>
      </c>
      <c r="B25" s="152" t="s">
        <v>216</v>
      </c>
      <c r="C25" s="127"/>
      <c r="D25" s="127"/>
      <c r="E25" s="6">
        <v>232273508</v>
      </c>
      <c r="F25" s="6">
        <v>870670600</v>
      </c>
      <c r="G25" s="6">
        <v>1688241186</v>
      </c>
      <c r="H25" s="6">
        <v>25414291</v>
      </c>
      <c r="I25" s="127"/>
      <c r="J25" s="154"/>
      <c r="K25" s="155"/>
    </row>
    <row r="26" spans="1:16383" s="130" customFormat="1">
      <c r="A26" s="214" t="s">
        <v>33</v>
      </c>
      <c r="B26" s="152" t="s">
        <v>217</v>
      </c>
      <c r="C26" s="127"/>
      <c r="D26" s="127"/>
      <c r="E26" s="127"/>
      <c r="F26" s="127"/>
      <c r="G26" s="6">
        <v>579616439</v>
      </c>
      <c r="H26" s="6">
        <v>174419766</v>
      </c>
      <c r="I26" s="6">
        <v>169432171</v>
      </c>
      <c r="J26" s="154"/>
      <c r="K26" s="155"/>
    </row>
    <row r="27" spans="1:16383" s="130" customFormat="1">
      <c r="A27" s="214" t="s">
        <v>175</v>
      </c>
      <c r="B27" s="152" t="s">
        <v>218</v>
      </c>
      <c r="C27" s="127"/>
      <c r="D27" s="127"/>
      <c r="E27" s="127"/>
      <c r="F27" s="127"/>
      <c r="G27" s="6">
        <v>6590170108</v>
      </c>
      <c r="H27" s="6">
        <v>1253708190</v>
      </c>
      <c r="I27" s="6">
        <v>784627453</v>
      </c>
      <c r="J27" s="154"/>
      <c r="K27" s="155"/>
    </row>
    <row r="28" spans="1:16383" s="130" customFormat="1" ht="25.5">
      <c r="A28" s="214" t="s">
        <v>185</v>
      </c>
      <c r="B28" s="152" t="s">
        <v>229</v>
      </c>
      <c r="C28" s="127"/>
      <c r="D28" s="127"/>
      <c r="E28" s="127"/>
      <c r="F28" s="127"/>
      <c r="G28" s="127"/>
      <c r="H28" s="6">
        <v>513118821</v>
      </c>
      <c r="I28" s="6">
        <v>437366438</v>
      </c>
      <c r="J28" s="154"/>
      <c r="K28" s="155"/>
    </row>
    <row r="29" spans="1:16383" s="156" customFormat="1">
      <c r="A29" s="214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14" t="s">
        <v>60</v>
      </c>
      <c r="B30" s="152" t="s">
        <v>88</v>
      </c>
      <c r="C30" s="127"/>
      <c r="D30" s="127"/>
      <c r="E30" s="127"/>
      <c r="F30" s="127"/>
      <c r="G30" s="6">
        <v>1181891713</v>
      </c>
      <c r="H30" s="127"/>
      <c r="I30" s="127"/>
      <c r="J30" s="125"/>
      <c r="K30" s="126"/>
      <c r="L30" s="131"/>
      <c r="M30" s="131"/>
      <c r="N30" s="131"/>
      <c r="O30" s="131"/>
      <c r="P30" s="153"/>
      <c r="Q30" s="153"/>
      <c r="R30" s="153"/>
      <c r="S30" s="153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157" t="s">
        <v>56</v>
      </c>
      <c r="B31" s="152" t="s">
        <v>182</v>
      </c>
      <c r="C31" s="127"/>
      <c r="D31" s="127"/>
      <c r="E31" s="127"/>
      <c r="F31" s="127"/>
      <c r="G31" s="6">
        <f>105745990-H32-H33</f>
        <v>47184123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157" t="s">
        <v>58</v>
      </c>
      <c r="B32" s="152" t="s">
        <v>45</v>
      </c>
      <c r="C32" s="127"/>
      <c r="D32" s="127"/>
      <c r="E32" s="127"/>
      <c r="F32" s="127"/>
      <c r="G32" s="127"/>
      <c r="H32" s="238">
        <v>58522043</v>
      </c>
      <c r="I32" s="127"/>
      <c r="J32" s="168"/>
      <c r="K32" s="169"/>
      <c r="L32" s="170"/>
      <c r="M32" s="170"/>
      <c r="N32" s="170"/>
      <c r="O32" s="170"/>
      <c r="P32" s="153"/>
      <c r="Q32" s="153"/>
      <c r="R32" s="153"/>
      <c r="S32" s="153"/>
    </row>
    <row r="33" spans="1:19" s="130" customFormat="1">
      <c r="A33" s="214" t="s">
        <v>65</v>
      </c>
      <c r="B33" s="152" t="s">
        <v>14</v>
      </c>
      <c r="C33" s="127"/>
      <c r="D33" s="127"/>
      <c r="E33" s="127"/>
      <c r="F33" s="127"/>
      <c r="G33" s="127"/>
      <c r="H33" s="6">
        <v>39824</v>
      </c>
      <c r="I33" s="127"/>
      <c r="J33" s="125"/>
      <c r="K33" s="169"/>
      <c r="L33" s="170"/>
      <c r="M33" s="170"/>
      <c r="N33" s="170"/>
      <c r="O33" s="170"/>
      <c r="P33" s="153"/>
      <c r="Q33" s="153"/>
      <c r="R33" s="153"/>
      <c r="S33" s="153"/>
    </row>
    <row r="34" spans="1:19" s="130" customFormat="1" ht="38.25">
      <c r="A34" s="214" t="s">
        <v>130</v>
      </c>
      <c r="B34" s="152" t="s">
        <v>220</v>
      </c>
      <c r="C34" s="6">
        <v>140885962</v>
      </c>
      <c r="D34" s="127"/>
      <c r="E34" s="127"/>
      <c r="F34" s="127"/>
      <c r="G34" s="127"/>
      <c r="H34" s="127"/>
      <c r="I34" s="127"/>
      <c r="J34" s="125"/>
      <c r="K34" s="169"/>
      <c r="L34" s="170"/>
      <c r="M34" s="170"/>
      <c r="N34" s="170"/>
      <c r="O34" s="170"/>
      <c r="P34" s="153"/>
      <c r="Q34" s="153"/>
      <c r="R34" s="153"/>
      <c r="S34" s="153"/>
    </row>
    <row r="35" spans="1:19" s="130" customFormat="1" ht="27">
      <c r="A35" s="214" t="s">
        <v>131</v>
      </c>
      <c r="B35" s="152" t="s">
        <v>89</v>
      </c>
      <c r="C35" s="127"/>
      <c r="D35" s="225"/>
      <c r="E35" s="127"/>
      <c r="F35" s="127"/>
      <c r="G35" s="6">
        <v>5850400</v>
      </c>
      <c r="H35" s="127"/>
      <c r="I35" s="127"/>
      <c r="J35" s="168"/>
      <c r="K35" s="169"/>
      <c r="L35" s="170"/>
      <c r="M35" s="170"/>
      <c r="N35" s="170"/>
      <c r="O35" s="170"/>
      <c r="P35" s="153"/>
      <c r="Q35" s="153"/>
      <c r="R35" s="153"/>
      <c r="S35" s="153"/>
    </row>
    <row r="36" spans="1:19" s="130" customFormat="1" ht="27">
      <c r="A36" s="214" t="s">
        <v>124</v>
      </c>
      <c r="B36" s="152" t="s">
        <v>221</v>
      </c>
      <c r="C36" s="6">
        <v>13083294</v>
      </c>
      <c r="D36" s="228"/>
      <c r="E36" s="127"/>
      <c r="F36" s="127"/>
      <c r="G36" s="6">
        <v>51474349</v>
      </c>
      <c r="H36" s="127"/>
      <c r="I36" s="127"/>
      <c r="J36" s="168"/>
      <c r="K36" s="169"/>
      <c r="L36" s="170"/>
      <c r="M36" s="170"/>
      <c r="N36" s="170"/>
      <c r="O36" s="170"/>
      <c r="P36" s="153"/>
      <c r="Q36" s="153"/>
      <c r="R36" s="153"/>
      <c r="S36" s="153"/>
    </row>
    <row r="37" spans="1:19" s="130" customFormat="1" ht="25.5">
      <c r="A37" s="214" t="s">
        <v>125</v>
      </c>
      <c r="B37" s="152" t="s">
        <v>224</v>
      </c>
      <c r="C37" s="127"/>
      <c r="D37" s="127"/>
      <c r="E37" s="127"/>
      <c r="F37" s="127"/>
      <c r="G37" s="127"/>
      <c r="H37" s="6">
        <v>617158</v>
      </c>
      <c r="I37" s="127"/>
      <c r="J37" s="168"/>
      <c r="K37" s="169"/>
      <c r="L37" s="170"/>
      <c r="M37" s="170"/>
      <c r="N37" s="170"/>
      <c r="O37" s="170"/>
      <c r="P37" s="153"/>
      <c r="Q37" s="153"/>
      <c r="R37" s="153"/>
      <c r="S37" s="153"/>
    </row>
    <row r="38" spans="1:19" s="130" customFormat="1">
      <c r="A38" s="214" t="s">
        <v>126</v>
      </c>
      <c r="B38" s="152" t="s">
        <v>90</v>
      </c>
      <c r="C38" s="6">
        <v>0</v>
      </c>
      <c r="D38" s="6">
        <v>0</v>
      </c>
      <c r="E38" s="127"/>
      <c r="F38" s="6">
        <v>0</v>
      </c>
      <c r="G38" s="6">
        <f>1071135054-H37</f>
        <v>1070517896</v>
      </c>
      <c r="H38" s="6">
        <v>0</v>
      </c>
      <c r="I38" s="127"/>
      <c r="J38" s="168"/>
      <c r="K38" s="169"/>
      <c r="L38" s="170"/>
      <c r="M38" s="170"/>
      <c r="N38" s="170"/>
      <c r="O38" s="170"/>
      <c r="P38" s="153"/>
      <c r="Q38" s="153"/>
      <c r="R38" s="153"/>
      <c r="S38" s="153"/>
    </row>
    <row r="39" spans="1:19" s="130" customFormat="1">
      <c r="A39" s="214" t="s">
        <v>127</v>
      </c>
      <c r="B39" s="152" t="s">
        <v>222</v>
      </c>
      <c r="C39" s="124">
        <f t="shared" ref="C39:I39" si="0">SUM(C8:C38)</f>
        <v>3881624937</v>
      </c>
      <c r="D39" s="124">
        <f t="shared" si="0"/>
        <v>1189941408</v>
      </c>
      <c r="E39" s="124">
        <f t="shared" si="0"/>
        <v>232273508</v>
      </c>
      <c r="F39" s="124">
        <f t="shared" si="0"/>
        <v>880690536</v>
      </c>
      <c r="G39" s="124">
        <f t="shared" si="0"/>
        <v>12062447458</v>
      </c>
      <c r="H39" s="124">
        <f t="shared" si="0"/>
        <v>2025840093</v>
      </c>
      <c r="I39" s="124">
        <f t="shared" si="0"/>
        <v>1391426062</v>
      </c>
      <c r="J39" s="168">
        <f>SUM(C39:I39)</f>
        <v>21664244002</v>
      </c>
      <c r="K39" s="126">
        <f>+[7]Balance!$D$45</f>
        <v>21664244002</v>
      </c>
      <c r="L39" s="168">
        <f>+J39-K39</f>
        <v>0</v>
      </c>
      <c r="M39" s="170"/>
      <c r="N39" s="170"/>
      <c r="O39" s="170"/>
      <c r="P39" s="153"/>
      <c r="Q39" s="153"/>
      <c r="R39" s="153"/>
      <c r="S39" s="153"/>
    </row>
    <row r="40" spans="1:19" s="130" customFormat="1">
      <c r="A40" s="214" t="s">
        <v>128</v>
      </c>
      <c r="B40" s="152" t="s">
        <v>91</v>
      </c>
      <c r="C40" s="127"/>
      <c r="D40" s="124">
        <f t="shared" ref="D40:I40" si="1">D39*D3</f>
        <v>237988281.60000002</v>
      </c>
      <c r="E40" s="124">
        <f t="shared" si="1"/>
        <v>81295727.799999997</v>
      </c>
      <c r="F40" s="124">
        <f t="shared" si="1"/>
        <v>440345268</v>
      </c>
      <c r="G40" s="124">
        <f t="shared" si="1"/>
        <v>12062447458</v>
      </c>
      <c r="H40" s="124">
        <f t="shared" si="1"/>
        <v>3038760139.5</v>
      </c>
      <c r="I40" s="124">
        <f t="shared" si="1"/>
        <v>2782852124</v>
      </c>
      <c r="J40" s="168"/>
      <c r="K40" s="169"/>
      <c r="L40" s="170"/>
      <c r="M40" s="170"/>
      <c r="N40" s="170"/>
      <c r="O40" s="170"/>
      <c r="P40" s="153"/>
      <c r="Q40" s="153"/>
      <c r="R40" s="153"/>
      <c r="S40" s="153"/>
    </row>
    <row r="41" spans="1:19" s="130" customFormat="1" ht="13.5" thickBot="1">
      <c r="A41" s="214" t="s">
        <v>129</v>
      </c>
      <c r="B41" s="152" t="s">
        <v>92</v>
      </c>
      <c r="C41" s="128"/>
      <c r="D41" s="128"/>
      <c r="E41" s="128"/>
      <c r="F41" s="128"/>
      <c r="G41" s="128"/>
      <c r="H41" s="128"/>
      <c r="I41" s="124">
        <f>SUM(D40:I40)</f>
        <v>18643688998.900002</v>
      </c>
      <c r="J41" s="168"/>
      <c r="K41" s="169"/>
      <c r="L41" s="170"/>
      <c r="M41" s="170"/>
      <c r="N41" s="170"/>
      <c r="O41" s="170"/>
      <c r="P41" s="153"/>
      <c r="Q41" s="153"/>
      <c r="R41" s="153"/>
      <c r="S41" s="153"/>
    </row>
    <row r="42" spans="1:19" s="130" customFormat="1">
      <c r="A42" s="158"/>
      <c r="B42" s="159"/>
      <c r="C42" s="129"/>
      <c r="D42" s="129"/>
      <c r="E42" s="129"/>
      <c r="F42" s="129"/>
      <c r="G42" s="129"/>
      <c r="I42" s="126"/>
      <c r="J42" s="170"/>
      <c r="K42" s="170"/>
      <c r="L42" s="170"/>
      <c r="M42" s="170"/>
      <c r="N42" s="170"/>
      <c r="O42" s="170"/>
      <c r="P42" s="153"/>
      <c r="Q42" s="153"/>
      <c r="R42" s="153"/>
      <c r="S42" s="153"/>
    </row>
    <row r="43" spans="1:19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69"/>
      <c r="K43" s="170"/>
      <c r="L43" s="170"/>
      <c r="M43" s="170"/>
      <c r="N43" s="170"/>
      <c r="O43" s="170"/>
      <c r="P43" s="153"/>
      <c r="Q43" s="153"/>
      <c r="R43" s="153"/>
      <c r="S43" s="153"/>
    </row>
    <row r="44" spans="1:19" s="130" customFormat="1" ht="12.75" customHeight="1">
      <c r="A44" s="264" t="s">
        <v>76</v>
      </c>
      <c r="B44" s="266" t="s">
        <v>48</v>
      </c>
      <c r="C44" s="267"/>
      <c r="D44" s="242" t="s">
        <v>93</v>
      </c>
      <c r="E44" s="248">
        <v>0</v>
      </c>
      <c r="F44" s="250">
        <v>0.2</v>
      </c>
      <c r="G44" s="250">
        <v>0.5</v>
      </c>
      <c r="H44" s="250">
        <v>1</v>
      </c>
      <c r="I44" s="244" t="s">
        <v>94</v>
      </c>
      <c r="J44" s="169"/>
      <c r="K44" s="170"/>
      <c r="L44" s="170"/>
      <c r="M44" s="170"/>
      <c r="N44" s="170"/>
      <c r="O44" s="170"/>
      <c r="P44" s="153"/>
      <c r="Q44" s="153"/>
      <c r="R44" s="153"/>
      <c r="S44" s="153"/>
    </row>
    <row r="45" spans="1:19" s="130" customFormat="1" ht="9.75" customHeight="1">
      <c r="A45" s="265"/>
      <c r="B45" s="268"/>
      <c r="C45" s="269"/>
      <c r="D45" s="242"/>
      <c r="E45" s="249"/>
      <c r="F45" s="251"/>
      <c r="G45" s="251"/>
      <c r="H45" s="251"/>
      <c r="I45" s="245"/>
      <c r="J45" s="126"/>
      <c r="K45" s="131"/>
      <c r="L45" s="131"/>
      <c r="M45" s="131"/>
      <c r="N45" s="131"/>
      <c r="O45" s="131"/>
      <c r="P45" s="153"/>
      <c r="Q45" s="153"/>
      <c r="R45" s="153"/>
      <c r="S45" s="153"/>
    </row>
    <row r="46" spans="1:19" s="130" customFormat="1" ht="17.25" customHeight="1">
      <c r="A46" s="265"/>
      <c r="B46" s="270"/>
      <c r="C46" s="271"/>
      <c r="D46" s="242"/>
      <c r="E46" s="216" t="s">
        <v>77</v>
      </c>
      <c r="F46" s="216" t="s">
        <v>77</v>
      </c>
      <c r="G46" s="216" t="s">
        <v>77</v>
      </c>
      <c r="H46" s="216" t="s">
        <v>77</v>
      </c>
      <c r="I46" s="245"/>
      <c r="J46" s="126"/>
      <c r="K46" s="131"/>
      <c r="L46" s="131"/>
      <c r="M46" s="131"/>
      <c r="N46" s="131"/>
      <c r="O46" s="131"/>
      <c r="P46" s="153"/>
      <c r="Q46" s="153"/>
      <c r="R46" s="153"/>
      <c r="S46" s="153"/>
    </row>
    <row r="47" spans="1:19" s="130" customFormat="1">
      <c r="A47" s="265"/>
      <c r="B47" s="256" t="s">
        <v>49</v>
      </c>
      <c r="C47" s="257"/>
      <c r="D47" s="146" t="s">
        <v>50</v>
      </c>
      <c r="E47" s="216" t="s">
        <v>51</v>
      </c>
      <c r="F47" s="215" t="s">
        <v>52</v>
      </c>
      <c r="G47" s="215" t="s">
        <v>78</v>
      </c>
      <c r="H47" s="146" t="s">
        <v>79</v>
      </c>
      <c r="I47" s="147" t="s">
        <v>95</v>
      </c>
      <c r="J47" s="126"/>
      <c r="K47" s="131"/>
      <c r="L47" s="131"/>
      <c r="M47" s="131"/>
      <c r="N47" s="131"/>
      <c r="O47" s="131"/>
      <c r="P47" s="153"/>
      <c r="Q47" s="153"/>
      <c r="R47" s="153"/>
      <c r="S47" s="153"/>
    </row>
    <row r="48" spans="1:19" s="130" customFormat="1">
      <c r="A48" s="219" t="s">
        <v>96</v>
      </c>
      <c r="B48" s="220"/>
      <c r="C48" s="220"/>
      <c r="D48" s="220"/>
      <c r="E48" s="220"/>
      <c r="F48" s="220"/>
      <c r="G48" s="220"/>
      <c r="H48" s="220"/>
      <c r="I48" s="221"/>
      <c r="J48" s="126"/>
      <c r="K48" s="131"/>
      <c r="L48" s="131"/>
      <c r="M48" s="131"/>
      <c r="N48" s="131"/>
      <c r="O48" s="131"/>
      <c r="P48" s="153"/>
      <c r="Q48" s="153"/>
      <c r="R48" s="153"/>
      <c r="S48" s="153"/>
    </row>
    <row r="49" spans="1:19" s="130" customFormat="1">
      <c r="A49" s="161">
        <v>1</v>
      </c>
      <c r="B49" s="252" t="s">
        <v>97</v>
      </c>
      <c r="C49" s="253"/>
      <c r="D49" s="127"/>
      <c r="E49" s="127"/>
      <c r="F49" s="127"/>
      <c r="G49" s="127"/>
      <c r="H49" s="127"/>
      <c r="I49" s="133"/>
      <c r="J49" s="126"/>
      <c r="K49" s="131"/>
      <c r="L49" s="131"/>
      <c r="M49" s="131"/>
      <c r="N49" s="131"/>
      <c r="O49" s="131"/>
      <c r="P49" s="153"/>
      <c r="Q49" s="153"/>
      <c r="R49" s="153"/>
      <c r="S49" s="153"/>
    </row>
    <row r="50" spans="1:19" s="130" customFormat="1">
      <c r="A50" s="161" t="s">
        <v>54</v>
      </c>
      <c r="B50" s="252" t="s">
        <v>98</v>
      </c>
      <c r="C50" s="253"/>
      <c r="D50" s="212">
        <v>0.5</v>
      </c>
      <c r="E50" s="7"/>
      <c r="F50" s="7"/>
      <c r="G50" s="7"/>
      <c r="H50" s="6"/>
      <c r="I50" s="132">
        <f>(F50*0.1)+(G50*0.25)+(H50*0.5)</f>
        <v>0</v>
      </c>
      <c r="J50" s="126"/>
      <c r="K50" s="131"/>
      <c r="L50" s="131"/>
      <c r="M50" s="131"/>
      <c r="N50" s="131"/>
      <c r="O50" s="131"/>
      <c r="P50" s="153"/>
      <c r="Q50" s="153"/>
      <c r="R50" s="153"/>
      <c r="S50" s="153"/>
    </row>
    <row r="51" spans="1:19" s="130" customFormat="1">
      <c r="A51" s="161" t="s">
        <v>56</v>
      </c>
      <c r="B51" s="252" t="s">
        <v>99</v>
      </c>
      <c r="C51" s="253"/>
      <c r="D51" s="212">
        <v>0.2</v>
      </c>
      <c r="E51" s="7"/>
      <c r="F51" s="7"/>
      <c r="G51" s="7"/>
      <c r="H51" s="7">
        <v>741841838</v>
      </c>
      <c r="I51" s="132">
        <f>(F51*0.04)+(G51*0.1)+(H51*0.2)</f>
        <v>148368367.59999999</v>
      </c>
      <c r="J51" s="126"/>
      <c r="K51" s="131"/>
      <c r="L51" s="131"/>
      <c r="M51" s="131"/>
      <c r="N51" s="131"/>
      <c r="O51" s="131"/>
      <c r="P51" s="153"/>
      <c r="Q51" s="153"/>
      <c r="R51" s="153"/>
      <c r="S51" s="153"/>
    </row>
    <row r="52" spans="1:19" s="130" customFormat="1" ht="26.25" customHeight="1">
      <c r="A52" s="161">
        <v>2</v>
      </c>
      <c r="B52" s="252" t="s">
        <v>190</v>
      </c>
      <c r="C52" s="253"/>
      <c r="D52" s="212">
        <v>1</v>
      </c>
      <c r="E52" s="7"/>
      <c r="F52" s="7"/>
      <c r="G52" s="7"/>
      <c r="H52" s="6"/>
      <c r="I52" s="132">
        <f>(F52*0.2)+(G52*0.5)+(H52*1)</f>
        <v>0</v>
      </c>
      <c r="J52" s="126"/>
      <c r="K52" s="131"/>
      <c r="L52" s="131"/>
      <c r="M52" s="131"/>
      <c r="N52" s="131"/>
      <c r="O52" s="131"/>
      <c r="P52" s="153"/>
      <c r="Q52" s="153"/>
      <c r="R52" s="153"/>
      <c r="S52" s="153"/>
    </row>
    <row r="53" spans="1:19" s="130" customFormat="1">
      <c r="A53" s="161">
        <v>3</v>
      </c>
      <c r="B53" s="252" t="s">
        <v>100</v>
      </c>
      <c r="C53" s="253"/>
      <c r="D53" s="212">
        <v>1</v>
      </c>
      <c r="E53" s="7">
        <v>1587605</v>
      </c>
      <c r="F53" s="7"/>
      <c r="G53" s="127"/>
      <c r="H53" s="6">
        <f>30401838-E53</f>
        <v>28814233</v>
      </c>
      <c r="I53" s="132">
        <f>(F53*0.2)+(G53*0.5)+(H53*1)</f>
        <v>28814233</v>
      </c>
      <c r="J53" s="126"/>
      <c r="K53" s="131"/>
      <c r="L53" s="131"/>
      <c r="M53" s="131"/>
      <c r="N53" s="131"/>
      <c r="O53" s="131"/>
      <c r="P53" s="153"/>
      <c r="Q53" s="153"/>
      <c r="R53" s="153"/>
      <c r="S53" s="153"/>
    </row>
    <row r="54" spans="1:19" s="130" customFormat="1">
      <c r="A54" s="161">
        <v>4</v>
      </c>
      <c r="B54" s="252" t="s">
        <v>101</v>
      </c>
      <c r="C54" s="253"/>
      <c r="D54" s="162"/>
      <c r="E54" s="127"/>
      <c r="F54" s="127"/>
      <c r="G54" s="127"/>
      <c r="H54" s="127"/>
      <c r="I54" s="133"/>
      <c r="J54" s="126"/>
      <c r="K54" s="131"/>
      <c r="L54" s="131"/>
      <c r="M54" s="131"/>
      <c r="N54" s="131"/>
      <c r="O54" s="131"/>
      <c r="P54" s="153"/>
      <c r="Q54" s="153"/>
      <c r="R54" s="153"/>
      <c r="S54" s="153"/>
    </row>
    <row r="55" spans="1:19" s="130" customFormat="1">
      <c r="A55" s="161" t="s">
        <v>54</v>
      </c>
      <c r="B55" s="252" t="s">
        <v>102</v>
      </c>
      <c r="C55" s="253"/>
      <c r="D55" s="212">
        <v>1</v>
      </c>
      <c r="E55" s="7"/>
      <c r="F55" s="7"/>
      <c r="G55" s="7"/>
      <c r="H55" s="7"/>
      <c r="I55" s="132">
        <f>(F55*0.2)+(G55*0.5)+(H55*1)</f>
        <v>0</v>
      </c>
      <c r="J55" s="126"/>
      <c r="K55" s="131"/>
      <c r="L55" s="131"/>
      <c r="M55" s="131"/>
      <c r="N55" s="131"/>
      <c r="O55" s="131"/>
      <c r="P55" s="153"/>
      <c r="Q55" s="153"/>
      <c r="R55" s="153"/>
      <c r="S55" s="153"/>
    </row>
    <row r="56" spans="1:19" s="130" customFormat="1">
      <c r="A56" s="161" t="s">
        <v>56</v>
      </c>
      <c r="B56" s="252" t="s">
        <v>103</v>
      </c>
      <c r="C56" s="253"/>
      <c r="D56" s="212">
        <v>0.5</v>
      </c>
      <c r="E56" s="7"/>
      <c r="F56" s="7"/>
      <c r="G56" s="7"/>
      <c r="H56" s="7"/>
      <c r="I56" s="132">
        <f>(F56*0.1)+(G56*0.25)+(H56*0.5)</f>
        <v>0</v>
      </c>
      <c r="J56" s="126"/>
      <c r="K56" s="131"/>
      <c r="L56" s="131"/>
      <c r="M56" s="131"/>
      <c r="N56" s="131"/>
      <c r="O56" s="131"/>
      <c r="P56" s="153"/>
      <c r="Q56" s="153"/>
      <c r="R56" s="153"/>
      <c r="S56" s="153"/>
    </row>
    <row r="57" spans="1:19" s="130" customFormat="1" ht="12.75" customHeight="1">
      <c r="A57" s="161" t="s">
        <v>58</v>
      </c>
      <c r="B57" s="252" t="s">
        <v>191</v>
      </c>
      <c r="C57" s="253"/>
      <c r="D57" s="212">
        <v>0.2</v>
      </c>
      <c r="E57" s="7"/>
      <c r="F57" s="7"/>
      <c r="G57" s="7"/>
      <c r="H57" s="7"/>
      <c r="I57" s="132">
        <f>(F57*0.04)+(G57*0.1)+(H57*0.2)</f>
        <v>0</v>
      </c>
      <c r="J57" s="126"/>
      <c r="K57" s="131"/>
      <c r="L57" s="131"/>
      <c r="M57" s="131"/>
      <c r="N57" s="131"/>
      <c r="O57" s="131"/>
      <c r="P57" s="153"/>
      <c r="Q57" s="153"/>
      <c r="R57" s="153"/>
      <c r="S57" s="153"/>
    </row>
    <row r="58" spans="1:19" s="130" customFormat="1">
      <c r="A58" s="161" t="s">
        <v>65</v>
      </c>
      <c r="B58" s="252" t="s">
        <v>176</v>
      </c>
      <c r="C58" s="253"/>
      <c r="D58" s="212">
        <v>1</v>
      </c>
      <c r="E58" s="7"/>
      <c r="F58" s="7"/>
      <c r="G58" s="127"/>
      <c r="H58" s="7"/>
      <c r="I58" s="132">
        <f>(F58*0.2)+(G58*0.5)+(H58*1)</f>
        <v>0</v>
      </c>
      <c r="J58" s="126"/>
      <c r="K58" s="131"/>
      <c r="L58" s="131"/>
      <c r="M58" s="131"/>
      <c r="N58" s="131"/>
      <c r="O58" s="131"/>
      <c r="P58" s="153"/>
      <c r="Q58" s="153"/>
      <c r="R58" s="153"/>
      <c r="S58" s="153"/>
    </row>
    <row r="59" spans="1:19" s="130" customFormat="1">
      <c r="A59" s="161">
        <v>5</v>
      </c>
      <c r="B59" s="197" t="s">
        <v>104</v>
      </c>
      <c r="C59" s="198"/>
      <c r="D59" s="162"/>
      <c r="E59" s="127"/>
      <c r="F59" s="127"/>
      <c r="G59" s="127"/>
      <c r="H59" s="127"/>
      <c r="I59" s="133"/>
      <c r="J59" s="126"/>
      <c r="K59" s="131"/>
      <c r="L59" s="131"/>
      <c r="M59" s="131"/>
      <c r="N59" s="131"/>
      <c r="O59" s="131"/>
      <c r="P59" s="153"/>
      <c r="Q59" s="153"/>
      <c r="R59" s="153"/>
      <c r="S59" s="153"/>
    </row>
    <row r="60" spans="1:19" s="130" customFormat="1">
      <c r="A60" s="161" t="s">
        <v>54</v>
      </c>
      <c r="B60" s="197" t="s">
        <v>105</v>
      </c>
      <c r="C60" s="198"/>
      <c r="D60" s="162"/>
      <c r="E60" s="127"/>
      <c r="F60" s="127"/>
      <c r="G60" s="127"/>
      <c r="H60" s="127"/>
      <c r="I60" s="133"/>
      <c r="J60" s="126"/>
      <c r="K60" s="131"/>
      <c r="L60" s="131"/>
      <c r="M60" s="131"/>
      <c r="N60" s="131"/>
      <c r="O60" s="131"/>
      <c r="P60" s="153"/>
      <c r="Q60" s="153"/>
      <c r="R60" s="153"/>
      <c r="S60" s="153"/>
    </row>
    <row r="61" spans="1:19" s="130" customFormat="1">
      <c r="A61" s="161" t="s">
        <v>106</v>
      </c>
      <c r="B61" s="197" t="s">
        <v>192</v>
      </c>
      <c r="C61" s="198"/>
      <c r="D61" s="218">
        <v>5.0000000000000001E-3</v>
      </c>
      <c r="E61" s="7"/>
      <c r="F61" s="7"/>
      <c r="G61" s="7"/>
      <c r="H61" s="7"/>
      <c r="I61" s="132">
        <f>(F61*0.001)+(G61*0.0025)+(H61*0.005)</f>
        <v>0</v>
      </c>
      <c r="J61" s="126"/>
      <c r="K61" s="131"/>
      <c r="L61" s="131"/>
      <c r="M61" s="131"/>
      <c r="N61" s="131"/>
      <c r="O61" s="131"/>
      <c r="P61" s="153"/>
      <c r="Q61" s="153"/>
      <c r="R61" s="153"/>
      <c r="S61" s="153"/>
    </row>
    <row r="62" spans="1:19" s="130" customFormat="1">
      <c r="A62" s="161" t="s">
        <v>107</v>
      </c>
      <c r="B62" s="197" t="s">
        <v>193</v>
      </c>
      <c r="C62" s="198"/>
      <c r="D62" s="212">
        <v>0.01</v>
      </c>
      <c r="E62" s="7"/>
      <c r="F62" s="7"/>
      <c r="G62" s="7"/>
      <c r="H62" s="7"/>
      <c r="I62" s="132">
        <f>(F62*0.002)+(G62*0.005)+(H62*0.01)</f>
        <v>0</v>
      </c>
      <c r="J62" s="126"/>
      <c r="K62" s="131"/>
      <c r="L62" s="131"/>
      <c r="M62" s="131"/>
      <c r="N62" s="131"/>
      <c r="O62" s="131"/>
      <c r="P62" s="153"/>
      <c r="Q62" s="153"/>
      <c r="R62" s="153"/>
      <c r="S62" s="153"/>
    </row>
    <row r="63" spans="1:19" s="130" customFormat="1">
      <c r="A63" s="161" t="s">
        <v>108</v>
      </c>
      <c r="B63" s="197" t="s">
        <v>194</v>
      </c>
      <c r="C63" s="198"/>
      <c r="D63" s="212">
        <v>0.02</v>
      </c>
      <c r="E63" s="7"/>
      <c r="F63" s="7"/>
      <c r="G63" s="7"/>
      <c r="H63" s="7"/>
      <c r="I63" s="124">
        <f>(F63*0.004)+(G63*0.01)+(H63*0.02)</f>
        <v>0</v>
      </c>
      <c r="J63" s="126"/>
      <c r="K63" s="131"/>
      <c r="L63" s="131"/>
      <c r="M63" s="131"/>
      <c r="N63" s="131"/>
      <c r="O63" s="131"/>
      <c r="P63" s="153"/>
      <c r="Q63" s="153"/>
      <c r="R63" s="153"/>
      <c r="S63" s="153"/>
    </row>
    <row r="64" spans="1:19" s="130" customFormat="1">
      <c r="A64" s="161" t="s">
        <v>56</v>
      </c>
      <c r="B64" s="197" t="s">
        <v>195</v>
      </c>
      <c r="C64" s="198"/>
      <c r="D64" s="162"/>
      <c r="E64" s="127"/>
      <c r="F64" s="127"/>
      <c r="G64" s="127"/>
      <c r="H64" s="127"/>
      <c r="I64" s="133"/>
      <c r="J64" s="126"/>
      <c r="K64" s="131"/>
      <c r="L64" s="131"/>
      <c r="M64" s="131"/>
      <c r="N64" s="131"/>
      <c r="O64" s="131"/>
      <c r="P64" s="153"/>
      <c r="Q64" s="153"/>
      <c r="R64" s="153"/>
      <c r="S64" s="153"/>
    </row>
    <row r="65" spans="1:19" s="130" customFormat="1">
      <c r="A65" s="161" t="s">
        <v>109</v>
      </c>
      <c r="B65" s="197" t="s">
        <v>192</v>
      </c>
      <c r="C65" s="198"/>
      <c r="D65" s="212">
        <v>0.02</v>
      </c>
      <c r="E65" s="7">
        <v>0</v>
      </c>
      <c r="F65" s="7"/>
      <c r="G65" s="7"/>
      <c r="H65" s="7"/>
      <c r="I65" s="132">
        <f>(F65*0.004)+(G65*0.01)+(H65*0.02)</f>
        <v>0</v>
      </c>
      <c r="J65" s="126"/>
      <c r="K65" s="131"/>
      <c r="L65" s="131"/>
      <c r="M65" s="131"/>
      <c r="N65" s="131"/>
      <c r="O65" s="131"/>
      <c r="P65" s="153"/>
      <c r="Q65" s="153"/>
      <c r="R65" s="153"/>
      <c r="S65" s="153"/>
    </row>
    <row r="66" spans="1:19" s="130" customFormat="1">
      <c r="A66" s="161" t="s">
        <v>110</v>
      </c>
      <c r="B66" s="197" t="s">
        <v>193</v>
      </c>
      <c r="C66" s="198"/>
      <c r="D66" s="212">
        <v>0.05</v>
      </c>
      <c r="E66" s="7"/>
      <c r="F66" s="7"/>
      <c r="G66" s="7"/>
      <c r="H66" s="7"/>
      <c r="I66" s="132">
        <f>(F66*0.01)+(G66*0.025)+(H66*0.05)</f>
        <v>0</v>
      </c>
      <c r="J66" s="126"/>
      <c r="K66" s="131"/>
      <c r="L66" s="131"/>
      <c r="M66" s="131"/>
      <c r="N66" s="131"/>
      <c r="O66" s="131"/>
      <c r="P66" s="153"/>
      <c r="Q66" s="153"/>
      <c r="R66" s="153"/>
      <c r="S66" s="153"/>
    </row>
    <row r="67" spans="1:19" s="130" customFormat="1">
      <c r="A67" s="161" t="s">
        <v>111</v>
      </c>
      <c r="B67" s="197" t="s">
        <v>194</v>
      </c>
      <c r="C67" s="198"/>
      <c r="D67" s="212">
        <v>0.08</v>
      </c>
      <c r="E67" s="7"/>
      <c r="F67" s="7"/>
      <c r="G67" s="7"/>
      <c r="H67" s="7"/>
      <c r="I67" s="132">
        <f>(F67*0.016)+(G67*0.04)+(H67*0.08)</f>
        <v>0</v>
      </c>
      <c r="J67" s="126"/>
      <c r="K67" s="131"/>
      <c r="L67" s="131"/>
      <c r="M67" s="131"/>
      <c r="N67" s="131"/>
      <c r="O67" s="131"/>
      <c r="P67" s="153"/>
      <c r="Q67" s="153"/>
      <c r="R67" s="153"/>
      <c r="S67" s="153"/>
    </row>
    <row r="68" spans="1:19" s="130" customFormat="1">
      <c r="A68" s="161">
        <v>6</v>
      </c>
      <c r="B68" s="252" t="s">
        <v>112</v>
      </c>
      <c r="C68" s="253"/>
      <c r="D68" s="162"/>
      <c r="E68" s="124">
        <f>SUM(E50:E67)</f>
        <v>1587605</v>
      </c>
      <c r="F68" s="124">
        <f>SUM(F50:F67)</f>
        <v>0</v>
      </c>
      <c r="G68" s="124">
        <f>SUM(G50:G67)</f>
        <v>0</v>
      </c>
      <c r="H68" s="124">
        <f>SUM(H50:H67)</f>
        <v>770656071</v>
      </c>
      <c r="I68" s="133"/>
      <c r="J68" s="163">
        <f>SUM(E68:H68)</f>
        <v>772243676</v>
      </c>
      <c r="K68" s="163">
        <f>+[7]Commitments!$D$4+[7]Commitments!$D$7+[7]Commitments!$D$10+[7]Commitments!$D$19+[7]Commitments!$D$20+[7]Commitments!$D$21+[7]Commitments!$D$22</f>
        <v>772243676</v>
      </c>
      <c r="L68" s="164">
        <f>+J68-K68</f>
        <v>0</v>
      </c>
      <c r="M68" s="131"/>
      <c r="N68" s="131"/>
      <c r="O68" s="131"/>
      <c r="P68" s="153"/>
      <c r="Q68" s="153"/>
      <c r="R68" s="153"/>
      <c r="S68" s="153"/>
    </row>
    <row r="69" spans="1:19" s="130" customFormat="1">
      <c r="A69" s="161">
        <v>7</v>
      </c>
      <c r="B69" s="252" t="s">
        <v>113</v>
      </c>
      <c r="C69" s="253"/>
      <c r="D69" s="162"/>
      <c r="E69" s="127"/>
      <c r="F69" s="127"/>
      <c r="G69" s="127"/>
      <c r="H69" s="127"/>
      <c r="I69" s="132">
        <f>SUM(I50:I67)</f>
        <v>177182600.59999999</v>
      </c>
      <c r="J69" s="126"/>
      <c r="K69" s="131"/>
      <c r="L69" s="131"/>
      <c r="M69" s="131"/>
      <c r="N69" s="131"/>
      <c r="O69" s="131"/>
      <c r="P69" s="153"/>
      <c r="Q69" s="153"/>
      <c r="R69" s="153"/>
      <c r="S69" s="153"/>
    </row>
    <row r="70" spans="1:19" s="130" customFormat="1" ht="13.5" thickBot="1">
      <c r="A70" s="165">
        <v>8</v>
      </c>
      <c r="B70" s="254" t="s">
        <v>114</v>
      </c>
      <c r="C70" s="255"/>
      <c r="D70" s="166"/>
      <c r="E70" s="128"/>
      <c r="F70" s="128"/>
      <c r="G70" s="128"/>
      <c r="H70" s="128"/>
      <c r="I70" s="134">
        <f>SUM(I69+I41)</f>
        <v>18820871599.5</v>
      </c>
      <c r="J70" s="126">
        <f>+I70*0.15</f>
        <v>2823130739.9249997</v>
      </c>
      <c r="K70" s="131"/>
      <c r="L70" s="131"/>
      <c r="M70" s="131"/>
      <c r="N70" s="131"/>
      <c r="O70" s="131"/>
      <c r="P70" s="153"/>
      <c r="Q70" s="153"/>
      <c r="R70" s="153"/>
      <c r="S70" s="153"/>
    </row>
    <row r="71" spans="1:19">
      <c r="I71" s="135"/>
      <c r="J71" s="141"/>
    </row>
    <row r="72" spans="1:19">
      <c r="B72" s="167" t="s">
        <v>0</v>
      </c>
      <c r="C72" s="167"/>
      <c r="I72" s="135"/>
      <c r="J72" s="141"/>
    </row>
    <row r="73" spans="1:19">
      <c r="A73" s="135"/>
      <c r="B73" s="167"/>
      <c r="C73" s="167"/>
      <c r="I73" s="135"/>
      <c r="J73" s="141"/>
      <c r="K73" s="135"/>
      <c r="L73" s="135"/>
      <c r="M73" s="135"/>
      <c r="N73" s="135"/>
      <c r="O73" s="135"/>
      <c r="P73" s="135"/>
      <c r="Q73" s="135"/>
      <c r="R73" s="135"/>
      <c r="S73" s="135"/>
    </row>
    <row r="74" spans="1:19">
      <c r="A74" s="135"/>
      <c r="B74" s="167" t="s">
        <v>1</v>
      </c>
      <c r="K74" s="135"/>
      <c r="L74" s="135"/>
      <c r="M74" s="135"/>
      <c r="N74" s="135"/>
      <c r="O74" s="135"/>
      <c r="P74" s="135"/>
      <c r="Q74" s="135"/>
      <c r="R74" s="135"/>
      <c r="S74" s="135"/>
    </row>
  </sheetData>
  <sheetProtection password="CBD4" sheet="1" objects="1" scenarios="1"/>
  <mergeCells count="26">
    <mergeCell ref="A3:A5"/>
    <mergeCell ref="B3:B5"/>
    <mergeCell ref="B49:C49"/>
    <mergeCell ref="A1:H1"/>
    <mergeCell ref="G2:H2"/>
    <mergeCell ref="A44:A47"/>
    <mergeCell ref="B44:C46"/>
    <mergeCell ref="E44:E45"/>
    <mergeCell ref="F44:F45"/>
    <mergeCell ref="G44:G45"/>
    <mergeCell ref="H44:H45"/>
    <mergeCell ref="I44:I46"/>
    <mergeCell ref="B47:C47"/>
    <mergeCell ref="B50:C50"/>
    <mergeCell ref="B51:C51"/>
    <mergeCell ref="D44:D46"/>
    <mergeCell ref="B52:C52"/>
    <mergeCell ref="B53:C53"/>
    <mergeCell ref="B54:C54"/>
    <mergeCell ref="B55:C55"/>
    <mergeCell ref="B56:C56"/>
    <mergeCell ref="B57:C57"/>
    <mergeCell ref="B58:C58"/>
    <mergeCell ref="B68:C68"/>
    <mergeCell ref="B69:C69"/>
    <mergeCell ref="B70:C70"/>
  </mergeCells>
  <conditionalFormatting sqref="J39">
    <cfRule type="cellIs" dxfId="1" priority="23" operator="notEqual">
      <formula>$K$39</formula>
    </cfRule>
  </conditionalFormatting>
  <dataValidations count="2">
    <dataValidation type="whole" operator="greaterThanOrEqual" allowBlank="1" showInputMessage="1" showErrorMessage="1" sqref="E54:H54 G53 E64:H64 E59:H60 G58" xr:uid="{00000000-0002-0000-0300-000000000000}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0:H52 E58:F58 E50:E53 H55:H58 E55:G57 E65:H67 H53 E61:H63 C18:D18 G24:I24 D11 D14:D15 C8 G25:G27 F18:H18 F38:G38 D9 G16:G17 F16 C16:D16 C10:D10 E25:F25 H25:I28 H16 C20:C22 F11:H11 C13:C14 D22:D23 C38:D38 H37:H38 G35:G36 C36 F53 G29:G32 G33:H33 H32 I38 F14:H15 C34" xr:uid="{00000000-0002-0000-0300-000001000000}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7">
    <pageSetUpPr fitToPage="1"/>
  </sheetPr>
  <dimension ref="A1:XFC74"/>
  <sheetViews>
    <sheetView view="pageBreakPreview" zoomScaleSheetLayoutView="100" workbookViewId="0">
      <pane xSplit="2" ySplit="6" topLeftCell="C7" activePane="bottomRight" state="frozen"/>
      <selection activeCell="K39" sqref="K39"/>
      <selection pane="topRight" activeCell="K39" sqref="K39"/>
      <selection pane="bottomLeft" activeCell="K39" sqref="K39"/>
      <selection pane="bottomRight" activeCell="G38" sqref="G38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8.140625" style="141" customWidth="1"/>
    <col min="10" max="12" width="16.42578125" style="138" customWidth="1"/>
    <col min="13" max="15" width="10.28515625" style="138" customWidth="1"/>
    <col min="16" max="19" width="9.140625" style="139"/>
    <col min="20" max="16384" width="9.140625" style="135"/>
  </cols>
  <sheetData>
    <row r="1" spans="1:19" ht="26.25" customHeight="1">
      <c r="A1" s="241" t="s">
        <v>188</v>
      </c>
      <c r="B1" s="241"/>
      <c r="C1" s="241"/>
      <c r="D1" s="241"/>
      <c r="E1" s="241"/>
      <c r="F1" s="241"/>
      <c r="G1" s="241"/>
      <c r="H1" s="241"/>
      <c r="I1" s="213" t="s">
        <v>228</v>
      </c>
    </row>
    <row r="2" spans="1:19" ht="25.5" customHeight="1" thickBot="1">
      <c r="B2" s="177" t="str">
        <f>+'Bank Capital Calc'!B3</f>
        <v>АТБ "Ўзсаноатқурилишбанк"</v>
      </c>
      <c r="D2" s="140"/>
      <c r="E2" s="140"/>
      <c r="G2" s="246">
        <f>+'Bank Capital Calc'!C3</f>
        <v>44560</v>
      </c>
      <c r="H2" s="246"/>
      <c r="I2" s="79" t="s">
        <v>174</v>
      </c>
      <c r="J2" s="141"/>
    </row>
    <row r="3" spans="1:19">
      <c r="A3" s="258" t="s">
        <v>76</v>
      </c>
      <c r="B3" s="261" t="s">
        <v>48</v>
      </c>
      <c r="C3" s="144">
        <v>0</v>
      </c>
      <c r="D3" s="144">
        <v>0.2</v>
      </c>
      <c r="E3" s="144">
        <v>0.35</v>
      </c>
      <c r="F3" s="144">
        <v>0.5</v>
      </c>
      <c r="G3" s="144">
        <v>1</v>
      </c>
      <c r="H3" s="144">
        <v>1.5</v>
      </c>
      <c r="I3" s="144">
        <v>2</v>
      </c>
      <c r="J3" s="145"/>
      <c r="K3" s="141"/>
    </row>
    <row r="4" spans="1:19" ht="20.25" customHeight="1">
      <c r="A4" s="259"/>
      <c r="B4" s="262"/>
      <c r="C4" s="146" t="s">
        <v>77</v>
      </c>
      <c r="D4" s="146" t="s">
        <v>77</v>
      </c>
      <c r="E4" s="146" t="s">
        <v>77</v>
      </c>
      <c r="F4" s="146" t="s">
        <v>77</v>
      </c>
      <c r="G4" s="146" t="s">
        <v>77</v>
      </c>
      <c r="H4" s="146" t="s">
        <v>77</v>
      </c>
      <c r="I4" s="215" t="s">
        <v>77</v>
      </c>
      <c r="K4" s="141"/>
    </row>
    <row r="5" spans="1:19" ht="20.25" customHeight="1">
      <c r="A5" s="260"/>
      <c r="B5" s="263"/>
      <c r="C5" s="199" t="s">
        <v>196</v>
      </c>
      <c r="D5" s="199" t="s">
        <v>197</v>
      </c>
      <c r="E5" s="199" t="s">
        <v>198</v>
      </c>
      <c r="F5" s="199" t="s">
        <v>199</v>
      </c>
      <c r="G5" s="199" t="s">
        <v>200</v>
      </c>
      <c r="H5" s="199" t="s">
        <v>201</v>
      </c>
      <c r="I5" s="215" t="s">
        <v>202</v>
      </c>
      <c r="K5" s="141"/>
    </row>
    <row r="6" spans="1:19">
      <c r="A6" s="148"/>
      <c r="B6" s="149" t="s">
        <v>49</v>
      </c>
      <c r="C6" s="149" t="s">
        <v>50</v>
      </c>
      <c r="D6" s="149" t="s">
        <v>51</v>
      </c>
      <c r="E6" s="149" t="s">
        <v>52</v>
      </c>
      <c r="F6" s="149" t="s">
        <v>78</v>
      </c>
      <c r="G6" s="149" t="s">
        <v>79</v>
      </c>
      <c r="H6" s="149" t="s">
        <v>95</v>
      </c>
      <c r="I6" s="217" t="s">
        <v>115</v>
      </c>
      <c r="K6" s="141"/>
    </row>
    <row r="7" spans="1:19">
      <c r="A7" s="148"/>
      <c r="B7" s="150" t="s">
        <v>80</v>
      </c>
      <c r="C7" s="151"/>
      <c r="D7" s="151"/>
      <c r="E7" s="151"/>
      <c r="F7" s="151"/>
      <c r="G7" s="151"/>
      <c r="H7" s="151"/>
      <c r="I7" s="151"/>
      <c r="K7" s="141"/>
    </row>
    <row r="8" spans="1:19" s="130" customFormat="1">
      <c r="A8" s="203" t="s">
        <v>81</v>
      </c>
      <c r="B8" s="152" t="s">
        <v>82</v>
      </c>
      <c r="C8" s="86">
        <f>+'Calculation of Risk Weighted As'!C8-'Calculation of Risk Weighte нац'!C8</f>
        <v>551827516</v>
      </c>
      <c r="D8" s="127"/>
      <c r="E8" s="127"/>
      <c r="F8" s="127"/>
      <c r="G8" s="127"/>
      <c r="H8" s="127"/>
      <c r="I8" s="133"/>
      <c r="J8" s="125"/>
      <c r="K8" s="126"/>
      <c r="L8" s="131"/>
      <c r="M8" s="131"/>
      <c r="N8" s="131"/>
      <c r="O8" s="131"/>
      <c r="P8" s="153"/>
      <c r="Q8" s="153"/>
      <c r="R8" s="153"/>
      <c r="S8" s="153"/>
    </row>
    <row r="9" spans="1:19" s="130" customFormat="1">
      <c r="A9" s="214" t="s">
        <v>116</v>
      </c>
      <c r="B9" s="152" t="s">
        <v>83</v>
      </c>
      <c r="C9" s="127"/>
      <c r="D9" s="86">
        <f>+'Calculation of Risk Weighted As'!D9-'Calculation of Risk Weighte нац'!D9</f>
        <v>79307456</v>
      </c>
      <c r="E9" s="127"/>
      <c r="F9" s="127"/>
      <c r="G9" s="127"/>
      <c r="H9" s="127"/>
      <c r="I9" s="133"/>
      <c r="J9" s="125"/>
      <c r="K9" s="126"/>
      <c r="L9" s="131"/>
      <c r="M9" s="131"/>
      <c r="N9" s="131"/>
      <c r="O9" s="131"/>
      <c r="P9" s="153"/>
      <c r="Q9" s="153"/>
      <c r="R9" s="153"/>
      <c r="S9" s="153"/>
    </row>
    <row r="10" spans="1:19" s="130" customFormat="1">
      <c r="A10" s="214" t="s">
        <v>117</v>
      </c>
      <c r="B10" s="152" t="s">
        <v>84</v>
      </c>
      <c r="C10" s="86">
        <f>+'Calculation of Risk Weighted As'!C10-'Calculation of Risk Weighte нац'!C10</f>
        <v>0</v>
      </c>
      <c r="D10" s="86">
        <f>+'Calculation of Risk Weighted As'!D10-'Calculation of Risk Weighte нац'!D10</f>
        <v>776724634</v>
      </c>
      <c r="E10" s="127"/>
      <c r="F10" s="127"/>
      <c r="G10" s="127"/>
      <c r="H10" s="127"/>
      <c r="I10" s="133"/>
      <c r="J10" s="125"/>
      <c r="K10" s="126"/>
      <c r="L10" s="131"/>
      <c r="M10" s="131"/>
      <c r="N10" s="131"/>
      <c r="O10" s="131"/>
      <c r="P10" s="153"/>
      <c r="Q10" s="153"/>
      <c r="R10" s="153"/>
      <c r="S10" s="153"/>
    </row>
    <row r="11" spans="1:19" s="130" customFormat="1">
      <c r="A11" s="214" t="s">
        <v>118</v>
      </c>
      <c r="B11" s="152" t="s">
        <v>225</v>
      </c>
      <c r="C11" s="127"/>
      <c r="D11" s="86">
        <f>+'Calculation of Risk Weighted As'!D11-'Calculation of Risk Weighte нац'!D11</f>
        <v>4160105268</v>
      </c>
      <c r="E11" s="127"/>
      <c r="F11" s="86">
        <f>+'Calculation of Risk Weighted As'!F11-'Calculation of Risk Weighte нац'!F11</f>
        <v>192370812</v>
      </c>
      <c r="G11" s="86">
        <f>+'Calculation of Risk Weighted As'!G11-'Calculation of Risk Weighte нац'!G11</f>
        <v>820890879</v>
      </c>
      <c r="H11" s="86">
        <f>+'Calculation of Risk Weighted As'!H11-'Calculation of Risk Weighte нац'!H11</f>
        <v>20077603</v>
      </c>
      <c r="I11" s="133"/>
      <c r="J11" s="125"/>
      <c r="K11" s="126"/>
      <c r="L11" s="131"/>
      <c r="M11" s="131"/>
      <c r="N11" s="131"/>
      <c r="O11" s="131"/>
      <c r="P11" s="153"/>
      <c r="Q11" s="153"/>
      <c r="R11" s="153"/>
      <c r="S11" s="153"/>
    </row>
    <row r="12" spans="1:19" s="130" customFormat="1">
      <c r="A12" s="214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33"/>
      <c r="J12" s="154"/>
      <c r="K12" s="155"/>
    </row>
    <row r="13" spans="1:19" s="130" customFormat="1">
      <c r="A13" s="214" t="s">
        <v>18</v>
      </c>
      <c r="B13" s="152" t="s">
        <v>86</v>
      </c>
      <c r="C13" s="86">
        <f>+'Calculation of Risk Weighted As'!C13-'Calculation of Risk Weighte нац'!C13</f>
        <v>-1</v>
      </c>
      <c r="D13" s="127"/>
      <c r="E13" s="127"/>
      <c r="F13" s="127"/>
      <c r="G13" s="127"/>
      <c r="H13" s="127"/>
      <c r="I13" s="133"/>
      <c r="J13" s="154"/>
      <c r="K13" s="155"/>
    </row>
    <row r="14" spans="1:19" s="130" customFormat="1" ht="38.25">
      <c r="A14" s="214" t="s">
        <v>19</v>
      </c>
      <c r="B14" s="152" t="s">
        <v>208</v>
      </c>
      <c r="C14" s="86">
        <f>+'Calculation of Risk Weighted As'!C14-'Calculation of Risk Weighte нац'!C14</f>
        <v>0</v>
      </c>
      <c r="D14" s="86">
        <f>+'Calculation of Risk Weighted As'!D14-'Calculation of Risk Weighte нац'!D14</f>
        <v>0</v>
      </c>
      <c r="E14" s="127"/>
      <c r="F14" s="86">
        <f>+'Calculation of Risk Weighted As'!F14-'Calculation of Risk Weighte нац'!F14</f>
        <v>0</v>
      </c>
      <c r="G14" s="86">
        <f>+'Calculation of Risk Weighted As'!G14-'Calculation of Risk Weighte нац'!G14</f>
        <v>0</v>
      </c>
      <c r="H14" s="86">
        <f>+'Calculation of Risk Weighted As'!H14-'Calculation of Risk Weighte нац'!H14</f>
        <v>0</v>
      </c>
      <c r="I14" s="127"/>
      <c r="J14" s="154"/>
      <c r="K14" s="155"/>
    </row>
    <row r="15" spans="1:19" s="130" customFormat="1">
      <c r="A15" s="214" t="s">
        <v>29</v>
      </c>
      <c r="B15" s="152" t="s">
        <v>209</v>
      </c>
      <c r="C15" s="127"/>
      <c r="D15" s="86">
        <f>+'Calculation of Risk Weighted As'!D15-'Calculation of Risk Weighte нац'!D15</f>
        <v>0</v>
      </c>
      <c r="E15" s="127"/>
      <c r="F15" s="86">
        <f>+'Calculation of Risk Weighted As'!F15-'Calculation of Risk Weighte нац'!F15</f>
        <v>0</v>
      </c>
      <c r="G15" s="86">
        <f>+'Calculation of Risk Weighted As'!G15-'Calculation of Risk Weighte нац'!G15</f>
        <v>0</v>
      </c>
      <c r="H15" s="86">
        <f>+'Calculation of Risk Weighted As'!H15-'Calculation of Risk Weighte нац'!H15</f>
        <v>0</v>
      </c>
      <c r="I15" s="127"/>
      <c r="J15" s="154"/>
      <c r="K15" s="155"/>
    </row>
    <row r="16" spans="1:19" s="130" customFormat="1">
      <c r="A16" s="214" t="s">
        <v>30</v>
      </c>
      <c r="B16" s="152" t="s">
        <v>210</v>
      </c>
      <c r="C16" s="86">
        <f>+'Calculation of Risk Weighted As'!C16-'Calculation of Risk Weighte нац'!C16</f>
        <v>0</v>
      </c>
      <c r="D16" s="86">
        <f>+'Calculation of Risk Weighted As'!D16-'Calculation of Risk Weighte нац'!D16</f>
        <v>0</v>
      </c>
      <c r="E16" s="127"/>
      <c r="F16" s="86">
        <f>+'Calculation of Risk Weighted As'!F16-'Calculation of Risk Weighte нац'!F16</f>
        <v>0</v>
      </c>
      <c r="G16" s="86">
        <f>+'Calculation of Risk Weighted As'!G16-'Calculation of Risk Weighte нац'!G16</f>
        <v>0</v>
      </c>
      <c r="H16" s="86">
        <f>+'Calculation of Risk Weighted As'!H16-'Calculation of Risk Weighte нац'!H16</f>
        <v>0</v>
      </c>
      <c r="I16" s="127"/>
      <c r="J16" s="154"/>
      <c r="K16" s="155"/>
    </row>
    <row r="17" spans="1:16383" s="130" customFormat="1" ht="25.5">
      <c r="A17" s="214" t="s">
        <v>120</v>
      </c>
      <c r="B17" s="152" t="s">
        <v>211</v>
      </c>
      <c r="C17" s="127"/>
      <c r="D17" s="127"/>
      <c r="E17" s="127"/>
      <c r="F17" s="127"/>
      <c r="G17" s="86">
        <f>+'Calculation of Risk Weighted As'!G17-'Calculation of Risk Weighte нац'!G17</f>
        <v>0</v>
      </c>
      <c r="H17" s="127"/>
      <c r="I17" s="127"/>
      <c r="J17" s="154"/>
      <c r="K17" s="155"/>
    </row>
    <row r="18" spans="1:16383" s="130" customFormat="1" ht="51">
      <c r="A18" s="214" t="s">
        <v>121</v>
      </c>
      <c r="B18" s="152" t="s">
        <v>212</v>
      </c>
      <c r="C18" s="86">
        <f>+'Calculation of Risk Weighted As'!C18-'Calculation of Risk Weighte нац'!C18</f>
        <v>0</v>
      </c>
      <c r="D18" s="86">
        <f>+'Calculation of Risk Weighted As'!D18-'Calculation of Risk Weighte нац'!D18</f>
        <v>0</v>
      </c>
      <c r="E18" s="127"/>
      <c r="F18" s="86">
        <f>+'Calculation of Risk Weighted As'!F18-'Calculation of Risk Weighte нац'!F18</f>
        <v>0</v>
      </c>
      <c r="G18" s="86">
        <f>+'Calculation of Risk Weighted As'!G18-'Calculation of Risk Weighte нац'!G18</f>
        <v>0</v>
      </c>
      <c r="H18" s="86">
        <f>+'Calculation of Risk Weighted As'!H18-'Calculation of Risk Weighte нац'!H18</f>
        <v>0</v>
      </c>
      <c r="I18" s="127"/>
      <c r="J18" s="154"/>
      <c r="K18" s="155"/>
    </row>
    <row r="19" spans="1:16383" s="130" customFormat="1">
      <c r="A19" s="214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14" t="s">
        <v>18</v>
      </c>
      <c r="B20" s="152" t="s">
        <v>213</v>
      </c>
      <c r="C20" s="86">
        <f>+'Calculation of Risk Weighted As'!C20-'Calculation of Risk Weighte нац'!C20</f>
        <v>0</v>
      </c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14" t="s">
        <v>19</v>
      </c>
      <c r="B21" s="152" t="s">
        <v>214</v>
      </c>
      <c r="C21" s="86">
        <f>+'Calculation of Risk Weighted As'!C21-'Calculation of Risk Weighte нац'!C21</f>
        <v>0</v>
      </c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14" t="s">
        <v>29</v>
      </c>
      <c r="B22" s="152" t="s">
        <v>215</v>
      </c>
      <c r="C22" s="86">
        <f>+'Calculation of Risk Weighted As'!C22-'Calculation of Risk Weighte нац'!C22</f>
        <v>928883721</v>
      </c>
      <c r="D22" s="86">
        <f>+'Calculation of Risk Weighted As'!D22-'Calculation of Risk Weighte нац'!D22</f>
        <v>1458817</v>
      </c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14" t="s">
        <v>30</v>
      </c>
      <c r="B23" s="152" t="s">
        <v>223</v>
      </c>
      <c r="C23" s="127"/>
      <c r="D23" s="86">
        <f>+'Calculation of Risk Weighted As'!D23-'Calculation of Risk Weighte нац'!D23</f>
        <v>6200135127</v>
      </c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14" t="s">
        <v>31</v>
      </c>
      <c r="B24" s="152" t="s">
        <v>15</v>
      </c>
      <c r="C24" s="127"/>
      <c r="D24" s="127"/>
      <c r="E24" s="127"/>
      <c r="F24" s="127"/>
      <c r="G24" s="86">
        <f>+'Calculation of Risk Weighted As'!G24-'Calculation of Risk Weighte нац'!G24</f>
        <v>0</v>
      </c>
      <c r="H24" s="127"/>
      <c r="I24" s="127"/>
      <c r="J24" s="154"/>
      <c r="K24" s="155"/>
    </row>
    <row r="25" spans="1:16383" s="130" customFormat="1" ht="25.5">
      <c r="A25" s="214" t="s">
        <v>32</v>
      </c>
      <c r="B25" s="152" t="s">
        <v>216</v>
      </c>
      <c r="C25" s="127"/>
      <c r="D25" s="127"/>
      <c r="E25" s="86">
        <f>+'Calculation of Risk Weighted As'!E25-'Calculation of Risk Weighte нац'!E25</f>
        <v>0</v>
      </c>
      <c r="F25" s="86">
        <f>+'Calculation of Risk Weighted As'!F25-'Calculation of Risk Weighte нац'!F25</f>
        <v>0</v>
      </c>
      <c r="G25" s="86">
        <f>+'Calculation of Risk Weighted As'!G25-'Calculation of Risk Weighte нац'!G25</f>
        <v>0</v>
      </c>
      <c r="H25" s="86">
        <f>+'Calculation of Risk Weighted As'!H25-'Calculation of Risk Weighte нац'!H25</f>
        <v>0</v>
      </c>
      <c r="I25" s="127"/>
      <c r="J25" s="154"/>
      <c r="K25" s="155"/>
    </row>
    <row r="26" spans="1:16383" s="130" customFormat="1">
      <c r="A26" s="214" t="s">
        <v>33</v>
      </c>
      <c r="B26" s="152" t="s">
        <v>217</v>
      </c>
      <c r="C26" s="127"/>
      <c r="D26" s="127"/>
      <c r="E26" s="127"/>
      <c r="F26" s="127"/>
      <c r="G26" s="86">
        <f>+'Calculation of Risk Weighted As'!G26-'Calculation of Risk Weighte нац'!G26</f>
        <v>0</v>
      </c>
      <c r="H26" s="86">
        <f>+'Calculation of Risk Weighted As'!H26-'Calculation of Risk Weighte нац'!H26</f>
        <v>0</v>
      </c>
      <c r="I26" s="86">
        <f>+'Calculation of Risk Weighted As'!I26-'Calculation of Risk Weighte нац'!I26</f>
        <v>0</v>
      </c>
      <c r="J26" s="154"/>
      <c r="K26" s="155"/>
    </row>
    <row r="27" spans="1:16383" s="130" customFormat="1">
      <c r="A27" s="214" t="s">
        <v>175</v>
      </c>
      <c r="B27" s="152" t="s">
        <v>218</v>
      </c>
      <c r="C27" s="127"/>
      <c r="D27" s="127"/>
      <c r="E27" s="127"/>
      <c r="F27" s="127"/>
      <c r="G27" s="86">
        <f>+'Calculation of Risk Weighted As'!G27-'Calculation of Risk Weighte нац'!G27</f>
        <v>15322959308</v>
      </c>
      <c r="H27" s="86">
        <f>+'Calculation of Risk Weighted As'!H27-'Calculation of Risk Weighte нац'!H27</f>
        <v>1540836036</v>
      </c>
      <c r="I27" s="86">
        <f>+'Calculation of Risk Weighted As'!I27-'Calculation of Risk Weighte нац'!I27</f>
        <v>1351624294</v>
      </c>
      <c r="J27" s="154"/>
      <c r="K27" s="155"/>
    </row>
    <row r="28" spans="1:16383" s="130" customFormat="1" ht="25.5">
      <c r="A28" s="214" t="s">
        <v>185</v>
      </c>
      <c r="B28" s="152" t="s">
        <v>229</v>
      </c>
      <c r="C28" s="127"/>
      <c r="D28" s="127"/>
      <c r="E28" s="127"/>
      <c r="F28" s="127"/>
      <c r="G28" s="127"/>
      <c r="H28" s="86">
        <f>+'Calculation of Risk Weighted As'!H28-'Calculation of Risk Weighte нац'!H28</f>
        <v>1990425177</v>
      </c>
      <c r="I28" s="86">
        <f>+'Calculation of Risk Weighted As'!I28-'Calculation of Risk Weighte нац'!I28</f>
        <v>73404689</v>
      </c>
      <c r="J28" s="154"/>
      <c r="K28" s="155"/>
    </row>
    <row r="29" spans="1:16383" s="156" customFormat="1">
      <c r="A29" s="214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14" t="s">
        <v>60</v>
      </c>
      <c r="B30" s="152" t="s">
        <v>88</v>
      </c>
      <c r="C30" s="127"/>
      <c r="D30" s="127"/>
      <c r="E30" s="127"/>
      <c r="F30" s="127"/>
      <c r="G30" s="86">
        <f>+'Calculation of Risk Weighted As'!G30-'Calculation of Risk Weighte нац'!G30</f>
        <v>0</v>
      </c>
      <c r="H30" s="127"/>
      <c r="I30" s="127"/>
      <c r="J30" s="125"/>
      <c r="K30" s="126"/>
      <c r="L30" s="131"/>
      <c r="M30" s="131"/>
      <c r="N30" s="131"/>
      <c r="O30" s="131"/>
      <c r="P30" s="153"/>
      <c r="Q30" s="153"/>
      <c r="R30" s="153"/>
      <c r="S30" s="153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157" t="s">
        <v>56</v>
      </c>
      <c r="B31" s="152" t="s">
        <v>182</v>
      </c>
      <c r="C31" s="127"/>
      <c r="D31" s="127"/>
      <c r="E31" s="127"/>
      <c r="F31" s="127"/>
      <c r="G31" s="86">
        <f>+'Calculation of Risk Weighted As'!G31-'Calculation of Risk Weighte нац'!G31</f>
        <v>0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157" t="s">
        <v>58</v>
      </c>
      <c r="B32" s="152" t="s">
        <v>45</v>
      </c>
      <c r="C32" s="127"/>
      <c r="D32" s="127"/>
      <c r="E32" s="127"/>
      <c r="F32" s="127"/>
      <c r="G32" s="127"/>
      <c r="H32" s="86">
        <f>+'Calculation of Risk Weighted As'!H32-'Calculation of Risk Weighte нац'!H32</f>
        <v>0</v>
      </c>
      <c r="I32" s="127"/>
      <c r="J32" s="125"/>
      <c r="K32" s="126"/>
      <c r="L32" s="131"/>
      <c r="M32" s="131"/>
      <c r="N32" s="131"/>
      <c r="O32" s="131"/>
      <c r="P32" s="153"/>
      <c r="Q32" s="153"/>
      <c r="R32" s="153"/>
      <c r="S32" s="153"/>
    </row>
    <row r="33" spans="1:19" s="130" customFormat="1">
      <c r="A33" s="214" t="s">
        <v>65</v>
      </c>
      <c r="B33" s="152" t="s">
        <v>14</v>
      </c>
      <c r="C33" s="127"/>
      <c r="D33" s="127"/>
      <c r="E33" s="127"/>
      <c r="F33" s="127"/>
      <c r="G33" s="127"/>
      <c r="H33" s="86">
        <f>+'Calculation of Risk Weighted As'!H33-'Calculation of Risk Weighte нац'!H33</f>
        <v>0</v>
      </c>
      <c r="I33" s="127"/>
      <c r="J33" s="125"/>
      <c r="K33" s="126"/>
      <c r="L33" s="131"/>
      <c r="M33" s="131"/>
      <c r="N33" s="131"/>
      <c r="O33" s="131"/>
      <c r="P33" s="153"/>
      <c r="Q33" s="153"/>
      <c r="R33" s="153"/>
      <c r="S33" s="153"/>
    </row>
    <row r="34" spans="1:19" s="130" customFormat="1" ht="38.25">
      <c r="A34" s="214" t="s">
        <v>130</v>
      </c>
      <c r="B34" s="152" t="s">
        <v>220</v>
      </c>
      <c r="C34" s="86">
        <f>+'Calculation of Risk Weighted As'!C34-'Calculation of Risk Weighte нац'!C34</f>
        <v>2779599</v>
      </c>
      <c r="D34" s="127"/>
      <c r="E34" s="127"/>
      <c r="F34" s="127"/>
      <c r="G34" s="127"/>
      <c r="H34" s="127"/>
      <c r="I34" s="127"/>
      <c r="J34" s="125"/>
      <c r="K34" s="126"/>
      <c r="L34" s="131"/>
      <c r="M34" s="131"/>
      <c r="N34" s="131"/>
      <c r="O34" s="131"/>
      <c r="P34" s="153"/>
      <c r="Q34" s="153"/>
      <c r="R34" s="153"/>
      <c r="S34" s="153"/>
    </row>
    <row r="35" spans="1:19" s="130" customFormat="1" ht="27">
      <c r="A35" s="214" t="s">
        <v>131</v>
      </c>
      <c r="B35" s="152" t="s">
        <v>89</v>
      </c>
      <c r="C35" s="127"/>
      <c r="D35" s="225"/>
      <c r="E35" s="127"/>
      <c r="F35" s="127"/>
      <c r="G35" s="86">
        <f>+'Calculation of Risk Weighted As'!G35-'Calculation of Risk Weighte нац'!G35</f>
        <v>0</v>
      </c>
      <c r="H35" s="127"/>
      <c r="I35" s="127"/>
      <c r="J35" s="125"/>
      <c r="K35" s="126"/>
      <c r="L35" s="131"/>
      <c r="M35" s="131"/>
      <c r="N35" s="131"/>
      <c r="O35" s="131"/>
      <c r="P35" s="153"/>
      <c r="Q35" s="153"/>
      <c r="R35" s="153"/>
      <c r="S35" s="153"/>
    </row>
    <row r="36" spans="1:19" s="130" customFormat="1" ht="27">
      <c r="A36" s="214" t="s">
        <v>124</v>
      </c>
      <c r="B36" s="152" t="s">
        <v>221</v>
      </c>
      <c r="C36" s="86">
        <f>+'Calculation of Risk Weighted As'!C36-'Calculation of Risk Weighte нац'!C36</f>
        <v>0</v>
      </c>
      <c r="D36" s="228"/>
      <c r="E36" s="127"/>
      <c r="F36" s="127"/>
      <c r="G36" s="86">
        <f>+'Calculation of Risk Weighted As'!G36-'Calculation of Risk Weighte нац'!G36</f>
        <v>0</v>
      </c>
      <c r="H36" s="127"/>
      <c r="I36" s="127"/>
      <c r="J36" s="125"/>
      <c r="K36" s="126"/>
      <c r="L36" s="131"/>
      <c r="M36" s="131"/>
      <c r="N36" s="131"/>
      <c r="O36" s="131"/>
      <c r="P36" s="153"/>
      <c r="Q36" s="153"/>
      <c r="R36" s="153"/>
      <c r="S36" s="153"/>
    </row>
    <row r="37" spans="1:19" s="130" customFormat="1" ht="25.5">
      <c r="A37" s="214" t="s">
        <v>125</v>
      </c>
      <c r="B37" s="152" t="s">
        <v>224</v>
      </c>
      <c r="C37" s="127"/>
      <c r="D37" s="127"/>
      <c r="E37" s="127"/>
      <c r="F37" s="127"/>
      <c r="G37" s="127"/>
      <c r="H37" s="86">
        <f>+'Calculation of Risk Weighted As'!H37-'Calculation of Risk Weighte нац'!H37</f>
        <v>0</v>
      </c>
      <c r="I37" s="127"/>
      <c r="J37" s="125"/>
      <c r="K37" s="126"/>
      <c r="L37" s="131"/>
      <c r="M37" s="131"/>
      <c r="N37" s="131"/>
      <c r="O37" s="131"/>
      <c r="P37" s="153"/>
      <c r="Q37" s="153"/>
      <c r="R37" s="153"/>
      <c r="S37" s="153"/>
    </row>
    <row r="38" spans="1:19" s="130" customFormat="1">
      <c r="A38" s="214" t="s">
        <v>126</v>
      </c>
      <c r="B38" s="152" t="s">
        <v>90</v>
      </c>
      <c r="C38" s="86">
        <f>+'Calculation of Risk Weighted As'!C38-'Calculation of Risk Weighte нац'!C38</f>
        <v>0</v>
      </c>
      <c r="D38" s="86">
        <f>+'Calculation of Risk Weighted As'!D38-'Calculation of Risk Weighte нац'!D38</f>
        <v>0</v>
      </c>
      <c r="E38" s="127"/>
      <c r="F38" s="86">
        <f>+'Calculation of Risk Weighted As'!F38-'Calculation of Risk Weighte нац'!F38</f>
        <v>0</v>
      </c>
      <c r="G38" s="86">
        <f>+'Calculation of Risk Weighted As'!G38-'Calculation of Risk Weighte нац'!G38</f>
        <v>833265353</v>
      </c>
      <c r="H38" s="86">
        <f>+'Calculation of Risk Weighted As'!H38-'Calculation of Risk Weighte нац'!H38</f>
        <v>0</v>
      </c>
      <c r="I38" s="127"/>
      <c r="J38" s="125"/>
      <c r="K38" s="126"/>
      <c r="L38" s="131"/>
      <c r="M38" s="131"/>
      <c r="N38" s="131"/>
      <c r="O38" s="131"/>
      <c r="P38" s="153"/>
      <c r="Q38" s="153"/>
      <c r="R38" s="153"/>
      <c r="S38" s="153"/>
    </row>
    <row r="39" spans="1:19" s="130" customFormat="1">
      <c r="A39" s="214" t="s">
        <v>127</v>
      </c>
      <c r="B39" s="152" t="s">
        <v>222</v>
      </c>
      <c r="C39" s="124">
        <f t="shared" ref="C39:I39" si="0">SUM(C8:C38)</f>
        <v>1483490835</v>
      </c>
      <c r="D39" s="124">
        <f t="shared" si="0"/>
        <v>11217731302</v>
      </c>
      <c r="E39" s="124">
        <f t="shared" si="0"/>
        <v>0</v>
      </c>
      <c r="F39" s="124">
        <f t="shared" si="0"/>
        <v>192370812</v>
      </c>
      <c r="G39" s="124">
        <f t="shared" si="0"/>
        <v>16977115540</v>
      </c>
      <c r="H39" s="124">
        <f t="shared" si="0"/>
        <v>3551338816</v>
      </c>
      <c r="I39" s="124">
        <f t="shared" si="0"/>
        <v>1425028983</v>
      </c>
      <c r="J39" s="125">
        <f>SUM(C39:I39)</f>
        <v>34847076288</v>
      </c>
      <c r="K39" s="126">
        <f>+[7]Balance!$E$45</f>
        <v>34847076288</v>
      </c>
      <c r="L39" s="125">
        <f>+J39-K39</f>
        <v>0</v>
      </c>
      <c r="M39" s="131"/>
      <c r="N39" s="131"/>
      <c r="O39" s="131"/>
      <c r="P39" s="153"/>
      <c r="Q39" s="153"/>
      <c r="R39" s="153"/>
      <c r="S39" s="153"/>
    </row>
    <row r="40" spans="1:19" s="130" customFormat="1">
      <c r="A40" s="214" t="s">
        <v>128</v>
      </c>
      <c r="B40" s="152" t="s">
        <v>91</v>
      </c>
      <c r="C40" s="127"/>
      <c r="D40" s="124">
        <f t="shared" ref="D40:I40" si="1">D39*D3</f>
        <v>2243546260.4000001</v>
      </c>
      <c r="E40" s="124">
        <f t="shared" si="1"/>
        <v>0</v>
      </c>
      <c r="F40" s="124">
        <f t="shared" si="1"/>
        <v>96185406</v>
      </c>
      <c r="G40" s="124">
        <f t="shared" si="1"/>
        <v>16977115540</v>
      </c>
      <c r="H40" s="124">
        <f t="shared" si="1"/>
        <v>5327008224</v>
      </c>
      <c r="I40" s="124">
        <f t="shared" si="1"/>
        <v>2850057966</v>
      </c>
      <c r="J40" s="125"/>
      <c r="K40" s="126"/>
      <c r="L40" s="131"/>
      <c r="M40" s="131"/>
      <c r="N40" s="131"/>
      <c r="O40" s="131"/>
      <c r="P40" s="153"/>
      <c r="Q40" s="153"/>
      <c r="R40" s="153"/>
      <c r="S40" s="153"/>
    </row>
    <row r="41" spans="1:19" s="130" customFormat="1" ht="13.5" thickBot="1">
      <c r="A41" s="214" t="s">
        <v>129</v>
      </c>
      <c r="B41" s="152" t="s">
        <v>92</v>
      </c>
      <c r="C41" s="128"/>
      <c r="D41" s="128"/>
      <c r="E41" s="128"/>
      <c r="F41" s="128"/>
      <c r="G41" s="128"/>
      <c r="H41" s="128"/>
      <c r="I41" s="124">
        <f>SUM(D40:I40)</f>
        <v>27493913396.400002</v>
      </c>
      <c r="J41" s="125"/>
      <c r="K41" s="126"/>
      <c r="L41" s="131"/>
      <c r="M41" s="131"/>
      <c r="N41" s="131"/>
      <c r="O41" s="131"/>
      <c r="P41" s="153"/>
      <c r="Q41" s="153"/>
      <c r="R41" s="153"/>
      <c r="S41" s="153"/>
    </row>
    <row r="42" spans="1:19" s="130" customFormat="1">
      <c r="A42" s="158"/>
      <c r="B42" s="159"/>
      <c r="C42" s="129"/>
      <c r="D42" s="129"/>
      <c r="E42" s="129"/>
      <c r="F42" s="129"/>
      <c r="G42" s="129"/>
      <c r="I42" s="126"/>
      <c r="J42" s="131"/>
      <c r="K42" s="131"/>
      <c r="L42" s="131"/>
      <c r="M42" s="131"/>
      <c r="N42" s="131"/>
      <c r="O42" s="131"/>
      <c r="P42" s="153"/>
      <c r="Q42" s="153"/>
      <c r="R42" s="153"/>
      <c r="S42" s="153"/>
    </row>
    <row r="43" spans="1:19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26"/>
      <c r="K43" s="131"/>
      <c r="L43" s="131"/>
      <c r="M43" s="131"/>
      <c r="N43" s="131"/>
      <c r="O43" s="131"/>
      <c r="P43" s="153"/>
      <c r="Q43" s="153"/>
      <c r="R43" s="153"/>
      <c r="S43" s="153"/>
    </row>
    <row r="44" spans="1:19" s="130" customFormat="1" ht="12.75" customHeight="1">
      <c r="A44" s="264" t="s">
        <v>76</v>
      </c>
      <c r="B44" s="266" t="s">
        <v>48</v>
      </c>
      <c r="C44" s="267"/>
      <c r="D44" s="242" t="s">
        <v>93</v>
      </c>
      <c r="E44" s="248">
        <v>0</v>
      </c>
      <c r="F44" s="250">
        <v>0.2</v>
      </c>
      <c r="G44" s="250">
        <v>0.5</v>
      </c>
      <c r="H44" s="250">
        <v>1</v>
      </c>
      <c r="I44" s="244" t="s">
        <v>94</v>
      </c>
      <c r="J44" s="126"/>
      <c r="K44" s="131"/>
      <c r="L44" s="131"/>
      <c r="M44" s="131"/>
      <c r="N44" s="131"/>
      <c r="O44" s="131"/>
      <c r="P44" s="153"/>
      <c r="Q44" s="153"/>
      <c r="R44" s="153"/>
      <c r="S44" s="153"/>
    </row>
    <row r="45" spans="1:19" s="130" customFormat="1" ht="9.75" customHeight="1">
      <c r="A45" s="265"/>
      <c r="B45" s="268"/>
      <c r="C45" s="269"/>
      <c r="D45" s="242"/>
      <c r="E45" s="249"/>
      <c r="F45" s="251"/>
      <c r="G45" s="251"/>
      <c r="H45" s="251"/>
      <c r="I45" s="245"/>
      <c r="J45" s="126"/>
      <c r="K45" s="131"/>
      <c r="L45" s="131"/>
      <c r="M45" s="131"/>
      <c r="N45" s="131"/>
      <c r="O45" s="131"/>
      <c r="P45" s="153"/>
      <c r="Q45" s="153"/>
      <c r="R45" s="153"/>
      <c r="S45" s="153"/>
    </row>
    <row r="46" spans="1:19" s="130" customFormat="1" ht="17.25" customHeight="1">
      <c r="A46" s="265"/>
      <c r="B46" s="270"/>
      <c r="C46" s="271"/>
      <c r="D46" s="242"/>
      <c r="E46" s="216" t="s">
        <v>77</v>
      </c>
      <c r="F46" s="216" t="s">
        <v>77</v>
      </c>
      <c r="G46" s="216" t="s">
        <v>77</v>
      </c>
      <c r="H46" s="216" t="s">
        <v>77</v>
      </c>
      <c r="I46" s="245"/>
      <c r="J46" s="126"/>
      <c r="K46" s="131"/>
      <c r="L46" s="131"/>
      <c r="M46" s="131"/>
      <c r="N46" s="131"/>
      <c r="O46" s="131"/>
      <c r="P46" s="153"/>
      <c r="Q46" s="153"/>
      <c r="R46" s="153"/>
      <c r="S46" s="153"/>
    </row>
    <row r="47" spans="1:19" s="130" customFormat="1">
      <c r="A47" s="265"/>
      <c r="B47" s="256" t="s">
        <v>49</v>
      </c>
      <c r="C47" s="257"/>
      <c r="D47" s="211" t="s">
        <v>50</v>
      </c>
      <c r="E47" s="216" t="s">
        <v>51</v>
      </c>
      <c r="F47" s="215" t="s">
        <v>52</v>
      </c>
      <c r="G47" s="215" t="s">
        <v>78</v>
      </c>
      <c r="H47" s="204" t="s">
        <v>79</v>
      </c>
      <c r="I47" s="147" t="s">
        <v>95</v>
      </c>
      <c r="J47" s="126"/>
      <c r="K47" s="131"/>
      <c r="L47" s="131"/>
      <c r="M47" s="131"/>
      <c r="N47" s="131"/>
      <c r="O47" s="131"/>
      <c r="P47" s="153"/>
      <c r="Q47" s="153"/>
      <c r="R47" s="153"/>
      <c r="S47" s="153"/>
    </row>
    <row r="48" spans="1:19" s="130" customFormat="1">
      <c r="A48" s="219" t="s">
        <v>96</v>
      </c>
      <c r="B48" s="220"/>
      <c r="C48" s="220"/>
      <c r="D48" s="220"/>
      <c r="E48" s="220"/>
      <c r="F48" s="220"/>
      <c r="G48" s="220"/>
      <c r="H48" s="220"/>
      <c r="I48" s="221"/>
      <c r="J48" s="126"/>
      <c r="K48" s="131"/>
      <c r="L48" s="131"/>
      <c r="M48" s="131"/>
      <c r="N48" s="131"/>
      <c r="O48" s="131"/>
      <c r="P48" s="153"/>
      <c r="Q48" s="153"/>
      <c r="R48" s="153"/>
      <c r="S48" s="153"/>
    </row>
    <row r="49" spans="1:19" s="130" customFormat="1">
      <c r="A49" s="205">
        <v>1</v>
      </c>
      <c r="B49" s="252" t="s">
        <v>97</v>
      </c>
      <c r="C49" s="253"/>
      <c r="D49" s="127"/>
      <c r="E49" s="127"/>
      <c r="F49" s="127"/>
      <c r="G49" s="127"/>
      <c r="H49" s="127"/>
      <c r="I49" s="133"/>
      <c r="J49" s="126"/>
      <c r="K49" s="131"/>
      <c r="L49" s="131"/>
      <c r="M49" s="131"/>
      <c r="N49" s="131"/>
      <c r="O49" s="131"/>
      <c r="P49" s="153"/>
      <c r="Q49" s="153"/>
      <c r="R49" s="153"/>
      <c r="S49" s="153"/>
    </row>
    <row r="50" spans="1:19" s="130" customFormat="1">
      <c r="A50" s="205" t="s">
        <v>54</v>
      </c>
      <c r="B50" s="252" t="s">
        <v>98</v>
      </c>
      <c r="C50" s="253"/>
      <c r="D50" s="212">
        <v>0.5</v>
      </c>
      <c r="E50" s="86">
        <f>+'Calculation of Risk Weighted As'!E50-'Calculation of Risk Weighte нац'!E50</f>
        <v>0</v>
      </c>
      <c r="F50" s="86">
        <f>+'Calculation of Risk Weighted As'!F50-'Calculation of Risk Weighte нац'!F50</f>
        <v>0</v>
      </c>
      <c r="G50" s="86">
        <f>+'Calculation of Risk Weighted As'!G50-'Calculation of Risk Weighte нац'!G50</f>
        <v>0</v>
      </c>
      <c r="H50" s="86">
        <f>+'Calculation of Risk Weighted As'!H50-'Calculation of Risk Weighte нац'!H50</f>
        <v>0</v>
      </c>
      <c r="I50" s="132">
        <f>(F50*0.1)+(G50*0.25)+(H50*0.5)</f>
        <v>0</v>
      </c>
      <c r="J50" s="126"/>
      <c r="K50" s="131"/>
      <c r="L50" s="131"/>
      <c r="M50" s="131"/>
      <c r="N50" s="131"/>
      <c r="O50" s="131"/>
      <c r="P50" s="153"/>
      <c r="Q50" s="153"/>
      <c r="R50" s="153"/>
      <c r="S50" s="153"/>
    </row>
    <row r="51" spans="1:19" s="130" customFormat="1">
      <c r="A51" s="205" t="s">
        <v>56</v>
      </c>
      <c r="B51" s="252" t="s">
        <v>99</v>
      </c>
      <c r="C51" s="253"/>
      <c r="D51" s="212">
        <v>0.2</v>
      </c>
      <c r="E51" s="86">
        <f>+'Calculation of Risk Weighted As'!E51-'Calculation of Risk Weighte нац'!E51</f>
        <v>0</v>
      </c>
      <c r="F51" s="86">
        <f>+'Calculation of Risk Weighted As'!F51-'Calculation of Risk Weighte нац'!F51</f>
        <v>297135410</v>
      </c>
      <c r="G51" s="86">
        <f>+'Calculation of Risk Weighted As'!G51-'Calculation of Risk Weighte нац'!G51</f>
        <v>0</v>
      </c>
      <c r="H51" s="86">
        <f>+'Calculation of Risk Weighted As'!H51-'Calculation of Risk Weighte нац'!H51</f>
        <v>0</v>
      </c>
      <c r="I51" s="132">
        <f>(F51*0.04)+(G51*0.1)+(H51*0.2)</f>
        <v>11885416.4</v>
      </c>
      <c r="J51" s="126"/>
      <c r="K51" s="131"/>
      <c r="L51" s="131"/>
      <c r="M51" s="131"/>
      <c r="N51" s="131"/>
      <c r="O51" s="131"/>
      <c r="P51" s="153"/>
      <c r="Q51" s="153"/>
      <c r="R51" s="153"/>
      <c r="S51" s="153"/>
    </row>
    <row r="52" spans="1:19" s="130" customFormat="1" ht="26.25" customHeight="1">
      <c r="A52" s="205">
        <v>2</v>
      </c>
      <c r="B52" s="252" t="s">
        <v>190</v>
      </c>
      <c r="C52" s="253"/>
      <c r="D52" s="212">
        <v>1</v>
      </c>
      <c r="E52" s="86">
        <f>+'Calculation of Risk Weighted As'!E52-'Calculation of Risk Weighte нац'!E52</f>
        <v>0</v>
      </c>
      <c r="F52" s="86">
        <f>+'Calculation of Risk Weighted As'!F52-'Calculation of Risk Weighte нац'!F52</f>
        <v>0</v>
      </c>
      <c r="G52" s="86">
        <f>+'Calculation of Risk Weighted As'!G52-'Calculation of Risk Weighte нац'!G52</f>
        <v>0</v>
      </c>
      <c r="H52" s="86">
        <f>+'Calculation of Risk Weighted As'!H52-'Calculation of Risk Weighte нац'!H52</f>
        <v>0</v>
      </c>
      <c r="I52" s="132">
        <f>(F52*0.2)+(G52*0.5)+(H52*1)</f>
        <v>0</v>
      </c>
      <c r="J52" s="126"/>
      <c r="K52" s="131"/>
      <c r="L52" s="131"/>
      <c r="M52" s="131"/>
      <c r="N52" s="131"/>
      <c r="O52" s="131"/>
      <c r="P52" s="153"/>
      <c r="Q52" s="153"/>
      <c r="R52" s="153"/>
      <c r="S52" s="153"/>
    </row>
    <row r="53" spans="1:19" s="130" customFormat="1">
      <c r="A53" s="205">
        <v>3</v>
      </c>
      <c r="B53" s="252" t="s">
        <v>100</v>
      </c>
      <c r="C53" s="253"/>
      <c r="D53" s="212">
        <v>1</v>
      </c>
      <c r="E53" s="86">
        <f>+'Calculation of Risk Weighted As'!E53-'Calculation of Risk Weighte нац'!E53</f>
        <v>0</v>
      </c>
      <c r="F53" s="86">
        <f>+'Calculation of Risk Weighted As'!F53-'Calculation of Risk Weighte нац'!F53</f>
        <v>0</v>
      </c>
      <c r="G53" s="127"/>
      <c r="H53" s="86">
        <f>+'Calculation of Risk Weighted As'!H53-'Calculation of Risk Weighte нац'!H53</f>
        <v>1803811728</v>
      </c>
      <c r="I53" s="132">
        <f>(F53*0.2)+(G53*0.5)+(H53*1)</f>
        <v>1803811728</v>
      </c>
      <c r="J53" s="126"/>
      <c r="K53" s="131"/>
      <c r="L53" s="131"/>
      <c r="M53" s="131"/>
      <c r="N53" s="131"/>
      <c r="O53" s="131"/>
      <c r="P53" s="153"/>
      <c r="Q53" s="153"/>
      <c r="R53" s="153"/>
      <c r="S53" s="153"/>
    </row>
    <row r="54" spans="1:19" s="130" customFormat="1">
      <c r="A54" s="205">
        <v>4</v>
      </c>
      <c r="B54" s="252" t="s">
        <v>101</v>
      </c>
      <c r="C54" s="253"/>
      <c r="D54" s="162"/>
      <c r="E54" s="127"/>
      <c r="F54" s="127"/>
      <c r="G54" s="127"/>
      <c r="H54" s="127"/>
      <c r="I54" s="133"/>
      <c r="J54" s="126"/>
      <c r="K54" s="131"/>
      <c r="L54" s="131"/>
      <c r="M54" s="131"/>
      <c r="N54" s="131"/>
      <c r="O54" s="131"/>
      <c r="P54" s="153"/>
      <c r="Q54" s="153"/>
      <c r="R54" s="153"/>
      <c r="S54" s="153"/>
    </row>
    <row r="55" spans="1:19" s="130" customFormat="1">
      <c r="A55" s="205" t="s">
        <v>54</v>
      </c>
      <c r="B55" s="252" t="s">
        <v>102</v>
      </c>
      <c r="C55" s="253"/>
      <c r="D55" s="212">
        <v>1</v>
      </c>
      <c r="E55" s="86">
        <f>+'Calculation of Risk Weighted As'!E55-'Calculation of Risk Weighte нац'!E55</f>
        <v>0</v>
      </c>
      <c r="F55" s="86">
        <f>+'Calculation of Risk Weighted As'!F55-'Calculation of Risk Weighte нац'!F55</f>
        <v>0</v>
      </c>
      <c r="G55" s="86">
        <f>+'Calculation of Risk Weighted As'!G55-'Calculation of Risk Weighte нац'!G55</f>
        <v>0</v>
      </c>
      <c r="H55" s="86">
        <f>+'Calculation of Risk Weighted As'!H55-'Calculation of Risk Weighte нац'!H55</f>
        <v>0</v>
      </c>
      <c r="I55" s="132">
        <f>(F55*0.2)+(G55*0.5)+(H55*1)</f>
        <v>0</v>
      </c>
      <c r="J55" s="126"/>
      <c r="K55" s="131"/>
      <c r="L55" s="131"/>
      <c r="M55" s="131"/>
      <c r="N55" s="131"/>
      <c r="O55" s="131"/>
      <c r="P55" s="153"/>
      <c r="Q55" s="153"/>
      <c r="R55" s="153"/>
      <c r="S55" s="153"/>
    </row>
    <row r="56" spans="1:19" s="130" customFormat="1">
      <c r="A56" s="205" t="s">
        <v>56</v>
      </c>
      <c r="B56" s="252" t="s">
        <v>103</v>
      </c>
      <c r="C56" s="253"/>
      <c r="D56" s="212">
        <v>0.5</v>
      </c>
      <c r="E56" s="86">
        <f>+'Calculation of Risk Weighted As'!E56-'Calculation of Risk Weighte нац'!E56</f>
        <v>0</v>
      </c>
      <c r="F56" s="86">
        <f>+'Calculation of Risk Weighted As'!F56-'Calculation of Risk Weighte нац'!F56</f>
        <v>0</v>
      </c>
      <c r="G56" s="86">
        <f>+'Calculation of Risk Weighted As'!G56-'Calculation of Risk Weighte нац'!G56</f>
        <v>0</v>
      </c>
      <c r="H56" s="86">
        <f>+'Calculation of Risk Weighted As'!H56-'Calculation of Risk Weighte нац'!H56</f>
        <v>0</v>
      </c>
      <c r="I56" s="132">
        <f>(F56*0.1)+(G56*0.25)+(H56*0.5)</f>
        <v>0</v>
      </c>
      <c r="J56" s="126"/>
      <c r="K56" s="131"/>
      <c r="L56" s="131"/>
      <c r="M56" s="131"/>
      <c r="N56" s="131"/>
      <c r="O56" s="131"/>
      <c r="P56" s="153"/>
      <c r="Q56" s="153"/>
      <c r="R56" s="153"/>
      <c r="S56" s="153"/>
    </row>
    <row r="57" spans="1:19" s="130" customFormat="1" ht="12.75" customHeight="1">
      <c r="A57" s="205" t="s">
        <v>58</v>
      </c>
      <c r="B57" s="252" t="s">
        <v>191</v>
      </c>
      <c r="C57" s="253"/>
      <c r="D57" s="212">
        <v>0.2</v>
      </c>
      <c r="E57" s="86">
        <f>+'Calculation of Risk Weighted As'!E57-'Calculation of Risk Weighte нац'!E57</f>
        <v>0</v>
      </c>
      <c r="F57" s="86">
        <f>+'Calculation of Risk Weighted As'!F57-'Calculation of Risk Weighte нац'!F57</f>
        <v>0</v>
      </c>
      <c r="G57" s="86">
        <f>+'Calculation of Risk Weighted As'!G57-'Calculation of Risk Weighte нац'!G57</f>
        <v>0</v>
      </c>
      <c r="H57" s="86">
        <f>+'Calculation of Risk Weighted As'!H57-'Calculation of Risk Weighte нац'!H57</f>
        <v>1644275155</v>
      </c>
      <c r="I57" s="132">
        <f>(F57*0.04)+(G57*0.1)+(H57*0.2)</f>
        <v>328855031</v>
      </c>
      <c r="J57" s="126"/>
      <c r="K57" s="131"/>
      <c r="L57" s="131"/>
      <c r="M57" s="131"/>
      <c r="N57" s="131"/>
      <c r="O57" s="131"/>
      <c r="P57" s="153"/>
      <c r="Q57" s="153"/>
      <c r="R57" s="153"/>
      <c r="S57" s="153"/>
    </row>
    <row r="58" spans="1:19" s="130" customFormat="1">
      <c r="A58" s="205" t="s">
        <v>65</v>
      </c>
      <c r="B58" s="252" t="s">
        <v>176</v>
      </c>
      <c r="C58" s="253"/>
      <c r="D58" s="212">
        <v>1</v>
      </c>
      <c r="E58" s="86">
        <f>+'Calculation of Risk Weighted As'!E58-'Calculation of Risk Weighte нац'!E58</f>
        <v>0</v>
      </c>
      <c r="F58" s="86">
        <f>+'Calculation of Risk Weighted As'!F58-'Calculation of Risk Weighte нац'!F58</f>
        <v>0</v>
      </c>
      <c r="G58" s="127"/>
      <c r="H58" s="86">
        <f>+'Calculation of Risk Weighted As'!H58-'Calculation of Risk Weighte нац'!H58</f>
        <v>0</v>
      </c>
      <c r="I58" s="132">
        <f>(F58*0.2)+(G58*0.5)+(H58*1)</f>
        <v>0</v>
      </c>
      <c r="J58" s="126"/>
      <c r="K58" s="131"/>
      <c r="L58" s="131"/>
      <c r="M58" s="131"/>
      <c r="N58" s="131"/>
      <c r="O58" s="131"/>
      <c r="P58" s="153"/>
      <c r="Q58" s="153"/>
      <c r="R58" s="153"/>
      <c r="S58" s="153"/>
    </row>
    <row r="59" spans="1:19" s="130" customFormat="1">
      <c r="A59" s="205">
        <v>5</v>
      </c>
      <c r="B59" s="206" t="s">
        <v>104</v>
      </c>
      <c r="C59" s="207"/>
      <c r="D59" s="162"/>
      <c r="E59" s="127"/>
      <c r="F59" s="127"/>
      <c r="G59" s="127"/>
      <c r="H59" s="127"/>
      <c r="I59" s="133"/>
      <c r="J59" s="126"/>
      <c r="K59" s="131"/>
      <c r="L59" s="131"/>
      <c r="M59" s="131"/>
      <c r="N59" s="131"/>
      <c r="O59" s="131"/>
      <c r="P59" s="153"/>
      <c r="Q59" s="153"/>
      <c r="R59" s="153"/>
      <c r="S59" s="153"/>
    </row>
    <row r="60" spans="1:19" s="130" customFormat="1">
      <c r="A60" s="205" t="s">
        <v>54</v>
      </c>
      <c r="B60" s="206" t="s">
        <v>105</v>
      </c>
      <c r="C60" s="207"/>
      <c r="D60" s="162"/>
      <c r="E60" s="127"/>
      <c r="F60" s="127"/>
      <c r="G60" s="127"/>
      <c r="H60" s="127"/>
      <c r="I60" s="133"/>
      <c r="J60" s="126"/>
      <c r="K60" s="131"/>
      <c r="L60" s="131"/>
      <c r="M60" s="131"/>
      <c r="N60" s="131"/>
      <c r="O60" s="131"/>
      <c r="P60" s="153"/>
      <c r="Q60" s="153"/>
      <c r="R60" s="153"/>
      <c r="S60" s="153"/>
    </row>
    <row r="61" spans="1:19" s="130" customFormat="1">
      <c r="A61" s="205" t="s">
        <v>106</v>
      </c>
      <c r="B61" s="206" t="s">
        <v>192</v>
      </c>
      <c r="C61" s="207"/>
      <c r="D61" s="218">
        <v>5.0000000000000001E-3</v>
      </c>
      <c r="E61" s="86">
        <f>+'Calculation of Risk Weighted As'!E61-'Calculation of Risk Weighte нац'!E61</f>
        <v>0</v>
      </c>
      <c r="F61" s="86">
        <f>+'Calculation of Risk Weighted As'!F61-'Calculation of Risk Weighte нац'!F61</f>
        <v>0</v>
      </c>
      <c r="G61" s="86">
        <f>+'Calculation of Risk Weighted As'!G61-'Calculation of Risk Weighte нац'!G61</f>
        <v>0</v>
      </c>
      <c r="H61" s="86">
        <f>+'Calculation of Risk Weighted As'!H61-'Calculation of Risk Weighte нац'!H61</f>
        <v>0</v>
      </c>
      <c r="I61" s="132">
        <f>(F61*0.001)+(G61*0.0025)+(H61*0.005)</f>
        <v>0</v>
      </c>
      <c r="J61" s="126"/>
      <c r="K61" s="131"/>
      <c r="L61" s="131"/>
      <c r="M61" s="131"/>
      <c r="N61" s="131"/>
      <c r="O61" s="131"/>
      <c r="P61" s="153"/>
      <c r="Q61" s="153"/>
      <c r="R61" s="153"/>
      <c r="S61" s="153"/>
    </row>
    <row r="62" spans="1:19" s="130" customFormat="1">
      <c r="A62" s="205" t="s">
        <v>107</v>
      </c>
      <c r="B62" s="206" t="s">
        <v>193</v>
      </c>
      <c r="C62" s="207"/>
      <c r="D62" s="212">
        <v>0.01</v>
      </c>
      <c r="E62" s="86">
        <f>+'Calculation of Risk Weighted As'!E62-'Calculation of Risk Weighte нац'!E62</f>
        <v>0</v>
      </c>
      <c r="F62" s="86">
        <f>+'Calculation of Risk Weighted As'!F62-'Calculation of Risk Weighte нац'!F62</f>
        <v>0</v>
      </c>
      <c r="G62" s="86">
        <f>+'Calculation of Risk Weighted As'!G62-'Calculation of Risk Weighte нац'!G62</f>
        <v>0</v>
      </c>
      <c r="H62" s="86">
        <f>+'Calculation of Risk Weighted As'!H62-'Calculation of Risk Weighte нац'!H62</f>
        <v>0</v>
      </c>
      <c r="I62" s="132">
        <f>(F62*0.002)+(G62*0.005)+(H62*0.01)</f>
        <v>0</v>
      </c>
      <c r="J62" s="126"/>
      <c r="K62" s="131"/>
      <c r="L62" s="131"/>
      <c r="M62" s="131"/>
      <c r="N62" s="131"/>
      <c r="O62" s="131"/>
      <c r="P62" s="153"/>
      <c r="Q62" s="153"/>
      <c r="R62" s="153"/>
      <c r="S62" s="153"/>
    </row>
    <row r="63" spans="1:19" s="130" customFormat="1">
      <c r="A63" s="205" t="s">
        <v>108</v>
      </c>
      <c r="B63" s="206" t="s">
        <v>194</v>
      </c>
      <c r="C63" s="207"/>
      <c r="D63" s="212">
        <v>0.02</v>
      </c>
      <c r="E63" s="86">
        <f>+'Calculation of Risk Weighted As'!E63-'Calculation of Risk Weighte нац'!E63</f>
        <v>0</v>
      </c>
      <c r="F63" s="86">
        <f>+'Calculation of Risk Weighted As'!F63-'Calculation of Risk Weighte нац'!F63</f>
        <v>0</v>
      </c>
      <c r="G63" s="86">
        <f>+'Calculation of Risk Weighted As'!G63-'Calculation of Risk Weighte нац'!G63</f>
        <v>0</v>
      </c>
      <c r="H63" s="86">
        <f>+'Calculation of Risk Weighted As'!H63-'Calculation of Risk Weighte нац'!H63</f>
        <v>0</v>
      </c>
      <c r="I63" s="124">
        <f>(F63*0.004)+(G63*0.01)+(H63*0.02)</f>
        <v>0</v>
      </c>
      <c r="J63" s="126"/>
      <c r="K63" s="131"/>
      <c r="L63" s="131"/>
      <c r="M63" s="131"/>
      <c r="N63" s="131"/>
      <c r="O63" s="131"/>
      <c r="P63" s="153"/>
      <c r="Q63" s="153"/>
      <c r="R63" s="153"/>
      <c r="S63" s="153"/>
    </row>
    <row r="64" spans="1:19" s="130" customFormat="1">
      <c r="A64" s="205" t="s">
        <v>56</v>
      </c>
      <c r="B64" s="206" t="s">
        <v>195</v>
      </c>
      <c r="C64" s="207"/>
      <c r="D64" s="162"/>
      <c r="E64" s="127"/>
      <c r="F64" s="127"/>
      <c r="G64" s="127"/>
      <c r="H64" s="127"/>
      <c r="I64" s="133"/>
      <c r="J64" s="126"/>
      <c r="K64" s="131"/>
      <c r="L64" s="131"/>
      <c r="M64" s="131"/>
      <c r="N64" s="131"/>
      <c r="O64" s="131"/>
      <c r="P64" s="153"/>
      <c r="Q64" s="153"/>
      <c r="R64" s="153"/>
      <c r="S64" s="153"/>
    </row>
    <row r="65" spans="1:19" s="130" customFormat="1">
      <c r="A65" s="205" t="s">
        <v>109</v>
      </c>
      <c r="B65" s="206" t="s">
        <v>192</v>
      </c>
      <c r="C65" s="207"/>
      <c r="D65" s="212">
        <v>0.02</v>
      </c>
      <c r="E65" s="86">
        <f>+'Calculation of Risk Weighted As'!E65-'Calculation of Risk Weighte нац'!E65</f>
        <v>0</v>
      </c>
      <c r="F65" s="86">
        <f>+'Calculation of Risk Weighted As'!F65-'Calculation of Risk Weighte нац'!F65</f>
        <v>0</v>
      </c>
      <c r="G65" s="86">
        <f>+'Calculation of Risk Weighted As'!G65-'Calculation of Risk Weighte нац'!G65</f>
        <v>0</v>
      </c>
      <c r="H65" s="86">
        <f>+'Calculation of Risk Weighted As'!H65-'Calculation of Risk Weighte нац'!H65</f>
        <v>326771</v>
      </c>
      <c r="I65" s="132">
        <f>(F65*0.004)+(G65*0.01)+(H65*0.02)</f>
        <v>6535.42</v>
      </c>
      <c r="J65" s="126"/>
      <c r="K65" s="131"/>
      <c r="L65" s="131"/>
      <c r="M65" s="131"/>
      <c r="N65" s="131"/>
      <c r="O65" s="131"/>
      <c r="P65" s="153"/>
      <c r="Q65" s="153"/>
      <c r="R65" s="153"/>
      <c r="S65" s="153"/>
    </row>
    <row r="66" spans="1:19" s="130" customFormat="1">
      <c r="A66" s="205" t="s">
        <v>110</v>
      </c>
      <c r="B66" s="206" t="s">
        <v>193</v>
      </c>
      <c r="C66" s="207"/>
      <c r="D66" s="212">
        <v>0.05</v>
      </c>
      <c r="E66" s="86">
        <f>+'Calculation of Risk Weighted As'!E66-'Calculation of Risk Weighte нац'!E66</f>
        <v>0</v>
      </c>
      <c r="F66" s="86">
        <f>+'Calculation of Risk Weighted As'!F66-'Calculation of Risk Weighte нац'!F66</f>
        <v>0</v>
      </c>
      <c r="G66" s="86">
        <f>+'Calculation of Risk Weighted As'!G66-'Calculation of Risk Weighte нац'!G66</f>
        <v>0</v>
      </c>
      <c r="H66" s="86">
        <f>+'Calculation of Risk Weighted As'!H66-'Calculation of Risk Weighte нац'!H66</f>
        <v>0</v>
      </c>
      <c r="I66" s="132">
        <f>(F66*0.01)+(G66*0.025)+(H66*0.05)</f>
        <v>0</v>
      </c>
      <c r="J66" s="126"/>
      <c r="K66" s="131"/>
      <c r="L66" s="131"/>
      <c r="M66" s="131"/>
      <c r="N66" s="131"/>
      <c r="O66" s="131"/>
      <c r="P66" s="153"/>
      <c r="Q66" s="153"/>
      <c r="R66" s="153"/>
      <c r="S66" s="153"/>
    </row>
    <row r="67" spans="1:19" s="130" customFormat="1">
      <c r="A67" s="205" t="s">
        <v>111</v>
      </c>
      <c r="B67" s="206" t="s">
        <v>194</v>
      </c>
      <c r="C67" s="207"/>
      <c r="D67" s="212">
        <v>0.08</v>
      </c>
      <c r="E67" s="86">
        <f>+'Calculation of Risk Weighted As'!E67-'Calculation of Risk Weighte нац'!E67</f>
        <v>0</v>
      </c>
      <c r="F67" s="86">
        <f>+'Calculation of Risk Weighted As'!F67-'Calculation of Risk Weighte нац'!F67</f>
        <v>0</v>
      </c>
      <c r="G67" s="86">
        <f>+'Calculation of Risk Weighted As'!G67-'Calculation of Risk Weighte нац'!G67</f>
        <v>0</v>
      </c>
      <c r="H67" s="86">
        <f>+'Calculation of Risk Weighted As'!H67-'Calculation of Risk Weighte нац'!H67</f>
        <v>0</v>
      </c>
      <c r="I67" s="132">
        <f>(F67*0.016)+(G67*0.04)+(H67*0.08)</f>
        <v>0</v>
      </c>
      <c r="J67" s="126"/>
      <c r="K67" s="131"/>
      <c r="L67" s="131"/>
      <c r="M67" s="131"/>
      <c r="N67" s="131"/>
      <c r="O67" s="131"/>
      <c r="P67" s="153"/>
      <c r="Q67" s="153"/>
      <c r="R67" s="153"/>
      <c r="S67" s="153"/>
    </row>
    <row r="68" spans="1:19" s="130" customFormat="1">
      <c r="A68" s="205">
        <v>6</v>
      </c>
      <c r="B68" s="252" t="s">
        <v>112</v>
      </c>
      <c r="C68" s="253"/>
      <c r="D68" s="162"/>
      <c r="E68" s="124">
        <f>SUM(E50:E67)</f>
        <v>0</v>
      </c>
      <c r="F68" s="124">
        <f>SUM(F50:F67)</f>
        <v>297135410</v>
      </c>
      <c r="G68" s="124">
        <f>SUM(G50:G67)</f>
        <v>0</v>
      </c>
      <c r="H68" s="124">
        <f>SUM(H50:H67)</f>
        <v>3448413654</v>
      </c>
      <c r="I68" s="133"/>
      <c r="J68" s="163">
        <f>+E68+F68+G68+H68</f>
        <v>3745549064</v>
      </c>
      <c r="K68" s="163">
        <f>+[7]Commitments!$E$4+[7]Commitments!$E$7+[7]Commitments!$E$10+[7]Commitments!$E$19+[7]Commitments!$E$20+[7]Commitments!$E$21+[7]Commitments!$E$22</f>
        <v>3745549064</v>
      </c>
      <c r="L68" s="164">
        <f>+J68-K68</f>
        <v>0</v>
      </c>
      <c r="M68" s="131"/>
      <c r="N68" s="131"/>
      <c r="O68" s="131"/>
      <c r="P68" s="153"/>
      <c r="Q68" s="153"/>
      <c r="R68" s="153"/>
      <c r="S68" s="153"/>
    </row>
    <row r="69" spans="1:19" s="130" customFormat="1">
      <c r="A69" s="205">
        <v>7</v>
      </c>
      <c r="B69" s="252" t="s">
        <v>113</v>
      </c>
      <c r="C69" s="253"/>
      <c r="D69" s="162"/>
      <c r="E69" s="127"/>
      <c r="F69" s="127"/>
      <c r="G69" s="127"/>
      <c r="H69" s="127"/>
      <c r="I69" s="132">
        <f>SUM(I50:I67)</f>
        <v>2144558710.8200002</v>
      </c>
      <c r="J69" s="126"/>
      <c r="K69" s="131"/>
      <c r="L69" s="131"/>
      <c r="M69" s="131"/>
      <c r="N69" s="131"/>
      <c r="O69" s="131"/>
      <c r="P69" s="153"/>
      <c r="Q69" s="153"/>
      <c r="R69" s="153"/>
      <c r="S69" s="153"/>
    </row>
    <row r="70" spans="1:19" s="130" customFormat="1" ht="13.5" thickBot="1">
      <c r="A70" s="165">
        <v>8</v>
      </c>
      <c r="B70" s="254" t="s">
        <v>114</v>
      </c>
      <c r="C70" s="255"/>
      <c r="D70" s="166"/>
      <c r="E70" s="128"/>
      <c r="F70" s="128"/>
      <c r="G70" s="128"/>
      <c r="H70" s="128"/>
      <c r="I70" s="134">
        <f>SUM(I69+I41)</f>
        <v>29638472107.220001</v>
      </c>
      <c r="J70" s="126">
        <f>+I70*0.15</f>
        <v>4445770816.0830002</v>
      </c>
      <c r="K70" s="131"/>
      <c r="L70" s="131"/>
      <c r="M70" s="131"/>
      <c r="N70" s="131"/>
      <c r="O70" s="131"/>
      <c r="P70" s="153"/>
      <c r="Q70" s="153"/>
      <c r="R70" s="153"/>
      <c r="S70" s="153"/>
    </row>
    <row r="71" spans="1:19">
      <c r="I71" s="135"/>
      <c r="J71" s="141"/>
    </row>
    <row r="72" spans="1:19">
      <c r="B72" s="167" t="s">
        <v>0</v>
      </c>
      <c r="C72" s="167"/>
      <c r="I72" s="135"/>
      <c r="J72" s="141"/>
    </row>
    <row r="73" spans="1:19">
      <c r="A73" s="135"/>
      <c r="B73" s="167"/>
      <c r="C73" s="167"/>
      <c r="I73" s="135"/>
      <c r="J73" s="141"/>
      <c r="K73" s="135"/>
      <c r="L73" s="135"/>
      <c r="M73" s="135"/>
      <c r="N73" s="135"/>
      <c r="O73" s="135"/>
      <c r="P73" s="135"/>
      <c r="Q73" s="135"/>
      <c r="R73" s="135"/>
      <c r="S73" s="135"/>
    </row>
    <row r="74" spans="1:19">
      <c r="A74" s="135"/>
      <c r="B74" s="167" t="s">
        <v>1</v>
      </c>
      <c r="K74" s="135"/>
      <c r="L74" s="135"/>
      <c r="M74" s="135"/>
      <c r="N74" s="135"/>
      <c r="O74" s="135"/>
      <c r="P74" s="135"/>
      <c r="Q74" s="135"/>
      <c r="R74" s="135"/>
      <c r="S74" s="135"/>
    </row>
  </sheetData>
  <sheetProtection password="CBD4" sheet="1" objects="1" scenarios="1"/>
  <mergeCells count="26">
    <mergeCell ref="A3:A5"/>
    <mergeCell ref="B3:B5"/>
    <mergeCell ref="B49:C49"/>
    <mergeCell ref="A1:H1"/>
    <mergeCell ref="G2:H2"/>
    <mergeCell ref="A44:A47"/>
    <mergeCell ref="B44:C46"/>
    <mergeCell ref="D44:D46"/>
    <mergeCell ref="H44:H45"/>
    <mergeCell ref="G44:G45"/>
    <mergeCell ref="F44:F45"/>
    <mergeCell ref="E44:E45"/>
    <mergeCell ref="I44:I46"/>
    <mergeCell ref="B47:C47"/>
    <mergeCell ref="B53:C53"/>
    <mergeCell ref="B54:C54"/>
    <mergeCell ref="B55:C55"/>
    <mergeCell ref="B50:C50"/>
    <mergeCell ref="B51:C51"/>
    <mergeCell ref="B52:C52"/>
    <mergeCell ref="B56:C56"/>
    <mergeCell ref="B68:C68"/>
    <mergeCell ref="B69:C69"/>
    <mergeCell ref="B70:C70"/>
    <mergeCell ref="B57:C57"/>
    <mergeCell ref="B58:C58"/>
  </mergeCells>
  <conditionalFormatting sqref="J39">
    <cfRule type="cellIs" dxfId="0" priority="79" operator="notEqual">
      <formula>$K$39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2:G52 H57:H58 E55:H56 C8 E65:H67 E61:H63 E52:E53 E57:E58 F57:G57 E50:H51 H52:H53 G16:G18 E25:G25 D14:D15 H16 C10 G33:H33 H37 C13:C14 F18 F58 H32 C16:D16 C18:D18 D9:D11 F11:H11 D22:D23 F38:I38 G35:G36 H25:I28 C34 C20:C22 C38:D38 G29:G32 H18 F14:H15 F16 G26:G27 G24:I24 C36 F53" xr:uid="{00000000-0002-0000-0400-000000000000}">
      <formula1>-1E+22</formula1>
      <formula2>1E+22</formula2>
    </dataValidation>
    <dataValidation type="whole" operator="greaterThanOrEqual" allowBlank="1" showInputMessage="1" showErrorMessage="1" sqref="E54:H54 G53 E64:H64 E59:H60 G58" xr:uid="{00000000-0002-0000-04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8">
    <pageSetUpPr fitToPage="1"/>
  </sheetPr>
  <dimension ref="A1:Y32"/>
  <sheetViews>
    <sheetView view="pageBreakPreview" topLeftCell="A4" zoomScaleSheetLayoutView="100" workbookViewId="0">
      <selection activeCell="C25" sqref="C25"/>
    </sheetView>
  </sheetViews>
  <sheetFormatPr defaultRowHeight="12.75"/>
  <cols>
    <col min="1" max="1" width="8.85546875" style="54" customWidth="1"/>
    <col min="2" max="2" width="58.42578125" style="54" bestFit="1" customWidth="1"/>
    <col min="3" max="3" width="21.28515625" style="66" customWidth="1"/>
    <col min="4" max="4" width="15.5703125" style="67" customWidth="1"/>
    <col min="5" max="5" width="15" style="67" customWidth="1"/>
    <col min="6" max="15" width="9.140625" style="67"/>
    <col min="16" max="19" width="9.140625" style="121"/>
    <col min="20" max="25" width="9.140625" style="55"/>
    <col min="26" max="16384" width="9.140625" style="54"/>
  </cols>
  <sheetData>
    <row r="1" spans="1:25" s="70" customFormat="1" ht="27.75" customHeight="1">
      <c r="A1" s="272" t="s">
        <v>25</v>
      </c>
      <c r="B1" s="272"/>
      <c r="C1" s="272"/>
      <c r="D1" s="179"/>
      <c r="E1" s="179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</row>
    <row r="2" spans="1:25">
      <c r="B2" s="180" t="str">
        <f>IF(C3&gt;0," "&amp;TEXT(C3,"д ММММ, гггг"),"Число,Месяц,Год")</f>
        <v xml:space="preserve"> 30 Декабрь, 2021</v>
      </c>
      <c r="C2" s="71" t="s">
        <v>183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25" ht="15.75" customHeight="1">
      <c r="B3" s="56" t="str">
        <f>+'Bank Capital Calc'!B3</f>
        <v>АТБ "Ўзсаноатқурилишбанк"</v>
      </c>
      <c r="C3" s="82">
        <f>+'Bank Capital Calc'!C3</f>
        <v>44560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</row>
    <row r="4" spans="1:25" ht="43.5" customHeight="1">
      <c r="A4" s="94" t="s">
        <v>76</v>
      </c>
      <c r="B4" s="94" t="s">
        <v>20</v>
      </c>
      <c r="C4" s="94" t="s">
        <v>2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25" ht="21.75" customHeight="1">
      <c r="A5" s="57" t="s">
        <v>81</v>
      </c>
      <c r="B5" s="91" t="str">
        <f>+"Валовый доход банка за "&amp;(E$7-3)&amp;" год"</f>
        <v>Валовый доход банка за 2018 год</v>
      </c>
      <c r="C5" s="58">
        <f>+C6+C8-C7-C9</f>
        <v>1084453436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</row>
    <row r="6" spans="1:25" ht="21.75" customHeight="1">
      <c r="A6" s="57" t="s">
        <v>85</v>
      </c>
      <c r="B6" s="59" t="s">
        <v>21</v>
      </c>
      <c r="C6" s="4">
        <v>1506434727</v>
      </c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</row>
    <row r="7" spans="1:25" ht="21.75" customHeight="1">
      <c r="A7" s="57" t="s">
        <v>22</v>
      </c>
      <c r="B7" s="59" t="s">
        <v>23</v>
      </c>
      <c r="C7" s="4">
        <v>858326973</v>
      </c>
      <c r="E7" s="67" t="str">
        <f>RIGHT(B2,4)</f>
        <v>2021</v>
      </c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</row>
    <row r="8" spans="1:25" ht="21.75" customHeight="1">
      <c r="A8" s="57" t="s">
        <v>24</v>
      </c>
      <c r="B8" s="59" t="s">
        <v>177</v>
      </c>
      <c r="C8" s="4">
        <v>579890138</v>
      </c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</row>
    <row r="9" spans="1:25" ht="21.75" customHeight="1">
      <c r="A9" s="57" t="s">
        <v>179</v>
      </c>
      <c r="B9" s="59" t="s">
        <v>178</v>
      </c>
      <c r="C9" s="4">
        <v>143544456</v>
      </c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</row>
    <row r="10" spans="1:25" ht="21.75" customHeight="1">
      <c r="A10" s="57" t="s">
        <v>116</v>
      </c>
      <c r="B10" s="91" t="str">
        <f>+"Валовый доход банка за "&amp;(E$7-2)&amp;" год"</f>
        <v>Валовый доход банка за 2019 год</v>
      </c>
      <c r="C10" s="58">
        <f>+C11+C13-C12-C14</f>
        <v>2294837028</v>
      </c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</row>
    <row r="11" spans="1:25" ht="21.75" customHeight="1">
      <c r="A11" s="57" t="s">
        <v>85</v>
      </c>
      <c r="B11" s="59" t="s">
        <v>21</v>
      </c>
      <c r="C11" s="4">
        <v>2516104196</v>
      </c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</row>
    <row r="12" spans="1:25" ht="21.75" customHeight="1">
      <c r="A12" s="57" t="s">
        <v>22</v>
      </c>
      <c r="B12" s="59" t="s">
        <v>23</v>
      </c>
      <c r="C12" s="4">
        <v>1458728381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</row>
    <row r="13" spans="1:25" ht="21.75" customHeight="1">
      <c r="A13" s="57" t="s">
        <v>24</v>
      </c>
      <c r="B13" s="59" t="s">
        <v>177</v>
      </c>
      <c r="C13" s="4">
        <v>1422129026</v>
      </c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</row>
    <row r="14" spans="1:25" ht="21.75" customHeight="1">
      <c r="A14" s="57" t="s">
        <v>179</v>
      </c>
      <c r="B14" s="59" t="s">
        <v>178</v>
      </c>
      <c r="C14" s="4">
        <v>184667813</v>
      </c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</row>
    <row r="15" spans="1:25" ht="21.75" customHeight="1">
      <c r="A15" s="57" t="s">
        <v>117</v>
      </c>
      <c r="B15" s="91" t="str">
        <f>+"Валовый доход банка за "&amp;(E$7-1)&amp;" год"</f>
        <v>Валовый доход банка за 2020 год</v>
      </c>
      <c r="C15" s="58">
        <f>+C16+C18-C17-C19</f>
        <v>3029467361</v>
      </c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</row>
    <row r="16" spans="1:25" ht="21.75" customHeight="1">
      <c r="A16" s="57" t="s">
        <v>85</v>
      </c>
      <c r="B16" s="59" t="s">
        <v>21</v>
      </c>
      <c r="C16" s="4">
        <v>3646197554</v>
      </c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</row>
    <row r="17" spans="1:25" ht="21.75" customHeight="1">
      <c r="A17" s="57" t="s">
        <v>22</v>
      </c>
      <c r="B17" s="59" t="s">
        <v>23</v>
      </c>
      <c r="C17" s="4">
        <v>2022130996</v>
      </c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</row>
    <row r="18" spans="1:25" ht="21.75" customHeight="1">
      <c r="A18" s="57" t="s">
        <v>24</v>
      </c>
      <c r="B18" s="59" t="s">
        <v>177</v>
      </c>
      <c r="C18" s="4">
        <v>1690672392</v>
      </c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</row>
    <row r="19" spans="1:25" ht="21.75" customHeight="1">
      <c r="A19" s="57" t="s">
        <v>179</v>
      </c>
      <c r="B19" s="59" t="s">
        <v>178</v>
      </c>
      <c r="C19" s="4">
        <v>285271589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</row>
    <row r="20" spans="1:25" ht="31.5" customHeight="1">
      <c r="A20" s="57" t="s">
        <v>118</v>
      </c>
      <c r="B20" s="60" t="s">
        <v>34</v>
      </c>
      <c r="C20" s="58">
        <f>(C5+C10+C15)/3</f>
        <v>2136252608.3333333</v>
      </c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</row>
    <row r="21" spans="1:25" ht="22.5" customHeight="1">
      <c r="A21" s="57" t="s">
        <v>119</v>
      </c>
      <c r="B21" s="61" t="s">
        <v>35</v>
      </c>
      <c r="C21" s="62">
        <f>+(100/C28)*C20*15%</f>
        <v>2464906855.7692308</v>
      </c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</row>
    <row r="22" spans="1:25" ht="13.5" customHeight="1">
      <c r="A22" s="94"/>
      <c r="B22" s="94"/>
      <c r="C22" s="94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</row>
    <row r="23" spans="1:25" ht="21.75" customHeight="1">
      <c r="A23" s="57" t="s">
        <v>120</v>
      </c>
      <c r="B23" s="59" t="s">
        <v>28</v>
      </c>
      <c r="C23" s="4">
        <v>278271311</v>
      </c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</row>
    <row r="24" spans="1:25" ht="21.75" customHeight="1">
      <c r="A24" s="57" t="s">
        <v>121</v>
      </c>
      <c r="B24" s="59" t="s">
        <v>46</v>
      </c>
      <c r="C24" s="4">
        <v>0</v>
      </c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</row>
    <row r="25" spans="1:25" ht="22.5" customHeight="1">
      <c r="A25" s="57" t="s">
        <v>122</v>
      </c>
      <c r="B25" s="59" t="s">
        <v>47</v>
      </c>
      <c r="C25" s="7">
        <v>326771</v>
      </c>
    </row>
    <row r="26" spans="1:25" ht="22.5" customHeight="1">
      <c r="A26" s="57" t="s">
        <v>123</v>
      </c>
      <c r="B26" s="63" t="s">
        <v>26</v>
      </c>
      <c r="C26" s="58">
        <f>ABS(C23+(C24-C25))</f>
        <v>277944540</v>
      </c>
      <c r="D26" s="68">
        <f>+C26*0.1</f>
        <v>27794454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22"/>
    </row>
    <row r="27" spans="1:25" ht="22.5" customHeight="1">
      <c r="A27" s="57" t="s">
        <v>130</v>
      </c>
      <c r="B27" s="92" t="s">
        <v>36</v>
      </c>
      <c r="C27" s="58">
        <f>+(100/C28)*(C26*10%)</f>
        <v>213803492.30769232</v>
      </c>
    </row>
    <row r="28" spans="1:25" s="65" customFormat="1" ht="14.25">
      <c r="A28" s="57" t="s">
        <v>131</v>
      </c>
      <c r="B28" s="59" t="s">
        <v>37</v>
      </c>
      <c r="C28" s="93">
        <v>13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121"/>
      <c r="Q28" s="123"/>
      <c r="R28" s="123"/>
      <c r="S28" s="123"/>
      <c r="T28" s="64"/>
      <c r="U28" s="64"/>
      <c r="V28" s="64"/>
      <c r="W28" s="64"/>
      <c r="X28" s="64"/>
      <c r="Y28" s="64"/>
    </row>
    <row r="29" spans="1:25"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123"/>
    </row>
    <row r="30" spans="1:25">
      <c r="A30" s="3" t="s">
        <v>0</v>
      </c>
    </row>
    <row r="31" spans="1:25">
      <c r="A31" s="3"/>
    </row>
    <row r="32" spans="1:25">
      <c r="A32" s="3" t="s">
        <v>1</v>
      </c>
    </row>
  </sheetData>
  <sheetProtection password="CBD4" sheet="1" objects="1" scenarios="1"/>
  <mergeCells count="1">
    <mergeCell ref="A1:C1"/>
  </mergeCells>
  <phoneticPr fontId="24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'Bank Capital Calc'!Область_печати</vt:lpstr>
      <vt:lpstr>'Bank Capital Calc (2)'!Область_печати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Avazbek I. Ravshanov</cp:lastModifiedBy>
  <cp:lastPrinted>2021-12-22T04:26:25Z</cp:lastPrinted>
  <dcterms:created xsi:type="dcterms:W3CDTF">2014-01-27T05:06:32Z</dcterms:created>
  <dcterms:modified xsi:type="dcterms:W3CDTF">2022-01-10T13:07:38Z</dcterms:modified>
</cp:coreProperties>
</file>