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 DISK\Nodir\23 та ЖАДВАЛ\2022\12.2022\"/>
    </mc:Choice>
  </mc:AlternateContent>
  <xr:revisionPtr revIDLastSave="0" documentId="13_ncr:1_{26AEADFC-23D5-4002-8DD4-2BC9CE13F9CA}" xr6:coauthVersionLast="47" xr6:coauthVersionMax="47" xr10:uidLastSave="{00000000-0000-0000-0000-000000000000}"/>
  <workbookProtection workbookPassword="CACA" lockStructure="1"/>
  <bookViews>
    <workbookView xWindow="-120" yWindow="-120" windowWidth="29040" windowHeight="15840" tabRatio="923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Deposits_av rate" sheetId="30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7" hidden="1">[1]tab17!#REF!</definedName>
    <definedName name="___add21" localSheetId="17" hidden="1">[1]tab17!#REF!</definedName>
    <definedName name="__123Graph_A" localSheetId="17" hidden="1">'[2]tab 19'!#REF!</definedName>
    <definedName name="__123Graph_B" localSheetId="17" hidden="1">[3]tab17!#REF!</definedName>
    <definedName name="__123Graph_X" localSheetId="17" hidden="1">[3]tab17!#REF!</definedName>
    <definedName name="__2__123Graph_ACHART_1" hidden="1">[4]A!$C$31:$AJ$31</definedName>
    <definedName name="__4__123Graph_ACHART_2" hidden="1">[4]A!$C$31:$AJ$31</definedName>
    <definedName name="__add21" localSheetId="17" hidden="1">[1]tab17!#REF!</definedName>
    <definedName name="_10__123Graph_AREALEX_WAGE" localSheetId="17" hidden="1">'[2]tab 19'!#REF!</definedName>
    <definedName name="_10__123Graph_BCHART_2" hidden="1">[4]A!$C$36:$AJ$36</definedName>
    <definedName name="_10__123Graph_BREALEX_WAGE" localSheetId="17" hidden="1">#REF!</definedName>
    <definedName name="_11__123Graph_BCHART_1" hidden="1">[4]A!$C$28:$AJ$28</definedName>
    <definedName name="_12__123Graph_BREALEX_WAGE" localSheetId="17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7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7" hidden="1">#REF!</definedName>
    <definedName name="_2__123Graph_ACHART_1" hidden="1">[4]A!$C$31:$AJ$31</definedName>
    <definedName name="_20__123Graph_BREALEX_WAGE" localSheetId="17" hidden="1">#REF!</definedName>
    <definedName name="_20__123Graph_XCHART_2" hidden="1">[4]A!$C$39:$AJ$39</definedName>
    <definedName name="_22__123Graph_CCHART_2" hidden="1">[4]A!$C$38:$AJ$38</definedName>
    <definedName name="_22__123Graph_XREALEX_WAGE" localSheetId="17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7" hidden="1">#REF!</definedName>
    <definedName name="_32__123Graph_XCHART_2" hidden="1">[4]A!$C$39:$AJ$39</definedName>
    <definedName name="_36__123Graph_XREALEX_WAGE" localSheetId="17" hidden="1">#REF!</definedName>
    <definedName name="_4__123Graph_ACHART_2" hidden="1">[4]A!$C$31:$AJ$31</definedName>
    <definedName name="_5__123Graph_AREALEX_WAGE" localSheetId="17" hidden="1">'[2]tab 19'!#REF!</definedName>
    <definedName name="_6__123Graph_ACHART_2" hidden="1">[4]A!$C$31:$AJ$31</definedName>
    <definedName name="_6__123Graph_AREALEX_WAGE" localSheetId="17" hidden="1">'[5]tab 19'!#REF!</definedName>
    <definedName name="_7__123Graph_BCHART_1" hidden="1">[4]A!$C$28:$AJ$28</definedName>
    <definedName name="_8__123Graph_AREALEX_WAGE" localSheetId="17" hidden="1">'[2]tab 19'!#REF!</definedName>
    <definedName name="_8__123Graph_BCHART_1" hidden="1">[4]A!$C$28:$AJ$28</definedName>
    <definedName name="_9__123Graph_BCHART_2" hidden="1">[4]A!$C$36:$AJ$36</definedName>
    <definedName name="_add21" localSheetId="17" hidden="1">[1]tab17!#REF!</definedName>
    <definedName name="_Key1" localSheetId="17" hidden="1">#REF!</definedName>
    <definedName name="_Key2" localSheetId="17" hidden="1">#REF!</definedName>
    <definedName name="_Order1" hidden="1">255</definedName>
    <definedName name="_Order2" hidden="1">0</definedName>
    <definedName name="_Parse_Out" localSheetId="17" hidden="1">#REF!</definedName>
    <definedName name="_Sort" localSheetId="17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Interest'!$A$1:$C$76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10">'Charge-offs and Recoveries'!$A$1:$J$49</definedName>
    <definedName name="_xlnm.Print_Area" localSheetId="14">'Deposits_av rate'!$A$1:$N$16</definedName>
    <definedName name="_xlnm.Print_Area" localSheetId="15">'Economic Normatives'!$A$1:$K$47</definedName>
    <definedName name="_xlnm.Print_Area" localSheetId="1">'Income '!$A$1:$E$82</definedName>
    <definedName name="_xlnm.Print_Area" localSheetId="4">'Loans Receivable'!$A$1:$Y$89</definedName>
    <definedName name="_xlnm.Print_Area" localSheetId="13">'loans type'!$A$1:$Z$42</definedName>
    <definedName name="_xlnm.Print_Area" localSheetId="11">'loans_av rate'!$A$1:$H$44</definedName>
    <definedName name="_xlnm.Print_Area" localSheetId="16">Miscellaneous!$A$1:$C$29</definedName>
    <definedName name="_xlnm.Print_Area" localSheetId="8">'Transactions of related parties'!$A$1:$Z$90</definedName>
    <definedName name="_xlnm.Print_Area" localSheetId="17">ПФУ!$A$1:$B$39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4" i="20" l="1"/>
  <c r="I29" i="20"/>
  <c r="I27" i="20"/>
  <c r="M15" i="30"/>
  <c r="K15" i="30"/>
  <c r="G15" i="30"/>
  <c r="E15" i="30"/>
  <c r="M14" i="30"/>
  <c r="K14" i="30"/>
  <c r="G14" i="30"/>
  <c r="E14" i="30"/>
  <c r="M13" i="30"/>
  <c r="K13" i="30"/>
  <c r="E13" i="30"/>
  <c r="G13" i="30"/>
  <c r="M12" i="30"/>
  <c r="K12" i="30"/>
  <c r="G12" i="30"/>
  <c r="E12" i="30"/>
  <c r="M11" i="30"/>
  <c r="K11" i="30"/>
  <c r="G11" i="30"/>
  <c r="E11" i="30"/>
  <c r="M10" i="30"/>
  <c r="K10" i="30"/>
  <c r="G10" i="30"/>
  <c r="E10" i="30"/>
  <c r="M9" i="30"/>
  <c r="K9" i="30"/>
  <c r="G9" i="30"/>
  <c r="E9" i="30"/>
  <c r="M8" i="30"/>
  <c r="K8" i="30"/>
  <c r="E8" i="30"/>
  <c r="G8" i="30"/>
  <c r="J24" i="13" l="1"/>
  <c r="I10" i="13" l="1"/>
  <c r="H11" i="13"/>
  <c r="I11" i="13"/>
  <c r="H12" i="13"/>
  <c r="I12" i="13"/>
  <c r="H13" i="13"/>
  <c r="I13" i="13"/>
  <c r="H14" i="13"/>
  <c r="I14" i="13"/>
  <c r="H15" i="13"/>
  <c r="I15" i="13"/>
  <c r="H16" i="13"/>
  <c r="I16" i="13"/>
  <c r="H17" i="13"/>
  <c r="I17" i="13"/>
  <c r="J11" i="13" l="1"/>
  <c r="T22" i="40"/>
  <c r="K72" i="10" l="1"/>
  <c r="H20" i="13" l="1"/>
  <c r="I20" i="13"/>
  <c r="H21" i="13"/>
  <c r="I21" i="13"/>
  <c r="H22" i="13"/>
  <c r="I22" i="13"/>
  <c r="H23" i="13"/>
  <c r="I23" i="13"/>
  <c r="H24" i="13"/>
  <c r="I24" i="13"/>
  <c r="G72" i="10" l="1"/>
  <c r="W72" i="10"/>
  <c r="S72" i="10"/>
  <c r="O72" i="10"/>
  <c r="U72" i="10"/>
  <c r="Q72" i="10"/>
  <c r="M72" i="10"/>
  <c r="I72" i="10"/>
  <c r="E72" i="10"/>
  <c r="C65" i="26" l="1"/>
  <c r="C64" i="26"/>
  <c r="C63" i="26"/>
  <c r="B54" i="42" l="1"/>
  <c r="B53" i="42"/>
  <c r="B52" i="42"/>
  <c r="B51" i="42"/>
  <c r="B50" i="42"/>
  <c r="B49" i="42"/>
  <c r="B48" i="42"/>
  <c r="B47" i="42"/>
  <c r="B38" i="42"/>
  <c r="B36" i="42"/>
  <c r="B35" i="42"/>
  <c r="B33" i="42"/>
  <c r="B9" i="42"/>
  <c r="B6" i="42"/>
  <c r="I23" i="20"/>
  <c r="I22" i="20"/>
  <c r="I21" i="20"/>
  <c r="I20" i="20"/>
  <c r="I19" i="20"/>
  <c r="I18" i="20"/>
  <c r="I16" i="20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M49" i="13"/>
  <c r="G42" i="9"/>
  <c r="J92" i="24"/>
  <c r="E92" i="24" l="1"/>
  <c r="D92" i="24"/>
  <c r="C92" i="24"/>
  <c r="D14" i="6"/>
  <c r="D8" i="6"/>
  <c r="C73" i="26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J72" i="48"/>
  <c r="AI72" i="48"/>
  <c r="AN72" i="48" s="1"/>
  <c r="AH72" i="48"/>
  <c r="AK72" i="48" s="1"/>
  <c r="AE72" i="48"/>
  <c r="AB72" i="48"/>
  <c r="AA72" i="48"/>
  <c r="AF72" i="48" s="1"/>
  <c r="Z72" i="48"/>
  <c r="AC72" i="48" s="1"/>
  <c r="W72" i="48"/>
  <c r="T72" i="48"/>
  <c r="S72" i="48"/>
  <c r="X72" i="48" s="1"/>
  <c r="R72" i="48"/>
  <c r="U72" i="48" s="1"/>
  <c r="O72" i="48"/>
  <c r="L72" i="48"/>
  <c r="K72" i="48"/>
  <c r="P72" i="48" s="1"/>
  <c r="J72" i="48"/>
  <c r="M72" i="48" s="1"/>
  <c r="G72" i="48"/>
  <c r="F72" i="48"/>
  <c r="E72" i="48"/>
  <c r="H72" i="48" s="1"/>
  <c r="F54" i="48"/>
  <c r="E54" i="48"/>
  <c r="H54" i="48" s="1"/>
  <c r="Y72" i="48" l="1"/>
  <c r="AT73" i="48"/>
  <c r="I72" i="48"/>
  <c r="AS72" i="48"/>
  <c r="AP72" i="48"/>
  <c r="N73" i="48"/>
  <c r="AD73" i="48"/>
  <c r="AP73" i="48"/>
  <c r="AO72" i="48"/>
  <c r="AS73" i="48"/>
  <c r="V72" i="48"/>
  <c r="AL72" i="48"/>
  <c r="AQ72" i="48"/>
  <c r="I73" i="48"/>
  <c r="AQ73" i="48"/>
  <c r="AL73" i="48"/>
  <c r="AO73" i="48"/>
  <c r="V73" i="48"/>
  <c r="Q73" i="48"/>
  <c r="Y73" i="48"/>
  <c r="AT72" i="48"/>
  <c r="AU72" i="48" s="1"/>
  <c r="Q72" i="48"/>
  <c r="N72" i="48"/>
  <c r="AD72" i="48"/>
  <c r="AG72" i="48"/>
  <c r="AR72" i="48" l="1"/>
  <c r="AU73" i="48"/>
  <c r="AR73" i="48"/>
  <c r="AM70" i="48"/>
  <c r="AJ70" i="48"/>
  <c r="AI70" i="48"/>
  <c r="AN70" i="48" s="1"/>
  <c r="AH70" i="48"/>
  <c r="AK70" i="48" s="1"/>
  <c r="AL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V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E69" i="48"/>
  <c r="AB69" i="48"/>
  <c r="AA69" i="48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G69" i="48"/>
  <c r="F69" i="48"/>
  <c r="E69" i="48"/>
  <c r="AM68" i="48"/>
  <c r="AJ68" i="48"/>
  <c r="AI68" i="48"/>
  <c r="AN68" i="48" s="1"/>
  <c r="AH68" i="48"/>
  <c r="AE68" i="48"/>
  <c r="AB68" i="48"/>
  <c r="AA68" i="48"/>
  <c r="AF68" i="48" s="1"/>
  <c r="Z68" i="48"/>
  <c r="AC68" i="48" s="1"/>
  <c r="W68" i="48"/>
  <c r="T68" i="48"/>
  <c r="S68" i="48"/>
  <c r="X68" i="48" s="1"/>
  <c r="R68" i="48"/>
  <c r="O68" i="48"/>
  <c r="AS68" i="48" s="1"/>
  <c r="L68" i="48"/>
  <c r="K68" i="48"/>
  <c r="P68" i="48" s="1"/>
  <c r="J68" i="48"/>
  <c r="M68" i="48" s="1"/>
  <c r="G68" i="48"/>
  <c r="F68" i="48"/>
  <c r="E68" i="48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J67" i="48"/>
  <c r="M67" i="48" s="1"/>
  <c r="G67" i="48"/>
  <c r="F67" i="48"/>
  <c r="E67" i="48"/>
  <c r="H67" i="48" s="1"/>
  <c r="AM66" i="48"/>
  <c r="AJ66" i="48"/>
  <c r="AI66" i="48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N66" i="48" s="1"/>
  <c r="G66" i="48"/>
  <c r="F66" i="48"/>
  <c r="E66" i="48"/>
  <c r="AM65" i="48"/>
  <c r="AJ65" i="48"/>
  <c r="AI65" i="48"/>
  <c r="AH65" i="48"/>
  <c r="AK65" i="48" s="1"/>
  <c r="AE65" i="48"/>
  <c r="AB65" i="48"/>
  <c r="AA65" i="48"/>
  <c r="Z65" i="48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H62" i="48"/>
  <c r="AK62" i="48" s="1"/>
  <c r="AE62" i="48"/>
  <c r="AB62" i="48"/>
  <c r="AA62" i="48"/>
  <c r="Z62" i="48"/>
  <c r="AC62" i="48" s="1"/>
  <c r="W62" i="48"/>
  <c r="T62" i="48"/>
  <c r="S62" i="48"/>
  <c r="X62" i="48" s="1"/>
  <c r="R62" i="48"/>
  <c r="U62" i="48" s="1"/>
  <c r="V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E61" i="48"/>
  <c r="AB61" i="48"/>
  <c r="AA61" i="48"/>
  <c r="AF61" i="48" s="1"/>
  <c r="Z61" i="48"/>
  <c r="AC61" i="48" s="1"/>
  <c r="W61" i="48"/>
  <c r="T61" i="48"/>
  <c r="S61" i="48"/>
  <c r="X61" i="48" s="1"/>
  <c r="R61" i="48"/>
  <c r="O61" i="48"/>
  <c r="L61" i="48"/>
  <c r="K61" i="48"/>
  <c r="J61" i="48"/>
  <c r="G61" i="48"/>
  <c r="F61" i="48"/>
  <c r="E61" i="48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O60" i="48"/>
  <c r="AS60" i="48" s="1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H58" i="48"/>
  <c r="AK58" i="48" s="1"/>
  <c r="AE58" i="48"/>
  <c r="AB58" i="48"/>
  <c r="AA58" i="48"/>
  <c r="AF58" i="48" s="1"/>
  <c r="Z58" i="48"/>
  <c r="AC58" i="48" s="1"/>
  <c r="W58" i="48"/>
  <c r="T58" i="48"/>
  <c r="S58" i="48"/>
  <c r="R58" i="48"/>
  <c r="U58" i="48" s="1"/>
  <c r="O58" i="48"/>
  <c r="L58" i="48"/>
  <c r="K58" i="48"/>
  <c r="P58" i="48" s="1"/>
  <c r="J58" i="48"/>
  <c r="M58" i="48" s="1"/>
  <c r="G58" i="48"/>
  <c r="F58" i="48"/>
  <c r="E58" i="48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AM52" i="48"/>
  <c r="AJ52" i="48"/>
  <c r="AI52" i="48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AD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AM47" i="48"/>
  <c r="AJ47" i="48"/>
  <c r="AI47" i="48"/>
  <c r="AH47" i="48"/>
  <c r="AK47" i="48" s="1"/>
  <c r="AE47" i="48"/>
  <c r="AB47" i="48"/>
  <c r="AA47" i="48"/>
  <c r="Z47" i="48"/>
  <c r="W47" i="48"/>
  <c r="T47" i="48"/>
  <c r="S47" i="48"/>
  <c r="X47" i="48" s="1"/>
  <c r="R47" i="48"/>
  <c r="U47" i="48" s="1"/>
  <c r="O47" i="48"/>
  <c r="L47" i="48"/>
  <c r="K47" i="48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AG46" i="48" s="1"/>
  <c r="Z46" i="48"/>
  <c r="AC46" i="48" s="1"/>
  <c r="W46" i="48"/>
  <c r="T46" i="48"/>
  <c r="S46" i="48"/>
  <c r="X46" i="48" s="1"/>
  <c r="R46" i="48"/>
  <c r="U46" i="48" s="1"/>
  <c r="O46" i="48"/>
  <c r="L46" i="48"/>
  <c r="AP46" i="48" s="1"/>
  <c r="K46" i="48"/>
  <c r="P46" i="48" s="1"/>
  <c r="J46" i="48"/>
  <c r="M46" i="48" s="1"/>
  <c r="G46" i="48"/>
  <c r="F46" i="48"/>
  <c r="E46" i="48"/>
  <c r="H46" i="48" s="1"/>
  <c r="AM45" i="48"/>
  <c r="AJ45" i="48"/>
  <c r="AI45" i="48"/>
  <c r="AN45" i="48" s="1"/>
  <c r="AO45" i="48" s="1"/>
  <c r="AH45" i="48"/>
  <c r="AK45" i="48" s="1"/>
  <c r="AE45" i="48"/>
  <c r="AB45" i="48"/>
  <c r="AA45" i="48"/>
  <c r="AF45" i="48" s="1"/>
  <c r="Z45" i="48"/>
  <c r="W45" i="48"/>
  <c r="T45" i="48"/>
  <c r="S45" i="48"/>
  <c r="R45" i="48"/>
  <c r="U45" i="48" s="1"/>
  <c r="O45" i="48"/>
  <c r="L45" i="48"/>
  <c r="K45" i="48"/>
  <c r="J45" i="48"/>
  <c r="M45" i="48" s="1"/>
  <c r="G45" i="48"/>
  <c r="F45" i="48"/>
  <c r="E45" i="48"/>
  <c r="H45" i="48" s="1"/>
  <c r="I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M44" i="48" s="1"/>
  <c r="G44" i="48"/>
  <c r="F44" i="48"/>
  <c r="E44" i="48"/>
  <c r="H44" i="48" s="1"/>
  <c r="AM43" i="48"/>
  <c r="AJ43" i="48"/>
  <c r="AI43" i="48"/>
  <c r="AN43" i="48" s="1"/>
  <c r="AH43" i="48"/>
  <c r="AE43" i="48"/>
  <c r="AB43" i="48"/>
  <c r="AA43" i="48"/>
  <c r="AF43" i="48" s="1"/>
  <c r="Z43" i="48"/>
  <c r="AC43" i="48" s="1"/>
  <c r="W43" i="48"/>
  <c r="T43" i="48"/>
  <c r="S43" i="48"/>
  <c r="R43" i="48"/>
  <c r="O43" i="48"/>
  <c r="L43" i="48"/>
  <c r="K43" i="48"/>
  <c r="P43" i="48" s="1"/>
  <c r="J43" i="48"/>
  <c r="M43" i="48" s="1"/>
  <c r="G43" i="48"/>
  <c r="F43" i="48"/>
  <c r="E43" i="48"/>
  <c r="H43" i="48" s="1"/>
  <c r="I43" i="48" s="1"/>
  <c r="AM42" i="48"/>
  <c r="AJ42" i="48"/>
  <c r="AI42" i="48"/>
  <c r="AN42" i="48" s="1"/>
  <c r="AO42" i="48" s="1"/>
  <c r="AH42" i="48"/>
  <c r="AK42" i="48" s="1"/>
  <c r="AE42" i="48"/>
  <c r="AB42" i="48"/>
  <c r="AA42" i="48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E41" i="48"/>
  <c r="AB41" i="48"/>
  <c r="AA41" i="48"/>
  <c r="AF41" i="48" s="1"/>
  <c r="AG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AM40" i="48"/>
  <c r="AJ40" i="48"/>
  <c r="AI40" i="48"/>
  <c r="AH40" i="48"/>
  <c r="AK40" i="48" s="1"/>
  <c r="AE40" i="48"/>
  <c r="AB40" i="48"/>
  <c r="AA40" i="48"/>
  <c r="Z40" i="48"/>
  <c r="W40" i="48"/>
  <c r="T40" i="48"/>
  <c r="S40" i="48"/>
  <c r="R40" i="48"/>
  <c r="U40" i="48" s="1"/>
  <c r="O40" i="48"/>
  <c r="AS40" i="48" s="1"/>
  <c r="L40" i="48"/>
  <c r="K40" i="48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L38" i="48" s="1"/>
  <c r="AE38" i="48"/>
  <c r="AB38" i="48"/>
  <c r="AA38" i="48"/>
  <c r="AF38" i="48" s="1"/>
  <c r="Z38" i="48"/>
  <c r="AC38" i="48" s="1"/>
  <c r="W38" i="48"/>
  <c r="T38" i="48"/>
  <c r="S38" i="48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J37" i="48"/>
  <c r="M37" i="48" s="1"/>
  <c r="G37" i="48"/>
  <c r="F37" i="48"/>
  <c r="E37" i="48"/>
  <c r="H37" i="48" s="1"/>
  <c r="AM36" i="48"/>
  <c r="AJ36" i="48"/>
  <c r="AI36" i="48"/>
  <c r="AN36" i="48" s="1"/>
  <c r="AH36" i="48"/>
  <c r="AE36" i="48"/>
  <c r="AB36" i="48"/>
  <c r="AA36" i="48"/>
  <c r="AF36" i="48" s="1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N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V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H29" i="48"/>
  <c r="AE29" i="48"/>
  <c r="AB29" i="48"/>
  <c r="AA29" i="48"/>
  <c r="AF29" i="48" s="1"/>
  <c r="Z29" i="48"/>
  <c r="AC29" i="48" s="1"/>
  <c r="AD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Y28" i="48" s="1"/>
  <c r="R28" i="48"/>
  <c r="U28" i="48" s="1"/>
  <c r="O28" i="48"/>
  <c r="L28" i="48"/>
  <c r="AP28" i="48" s="1"/>
  <c r="K28" i="48"/>
  <c r="P28" i="48" s="1"/>
  <c r="J28" i="48"/>
  <c r="M28" i="48" s="1"/>
  <c r="G28" i="48"/>
  <c r="F28" i="48"/>
  <c r="E28" i="48"/>
  <c r="AM27" i="48"/>
  <c r="AJ27" i="48"/>
  <c r="AI27" i="48"/>
  <c r="AN27" i="48" s="1"/>
  <c r="AH27" i="48"/>
  <c r="AE27" i="48"/>
  <c r="AB27" i="48"/>
  <c r="AA27" i="48"/>
  <c r="AF27" i="48" s="1"/>
  <c r="Z27" i="48"/>
  <c r="W27" i="48"/>
  <c r="T27" i="48"/>
  <c r="S27" i="48"/>
  <c r="X27" i="48" s="1"/>
  <c r="R27" i="48"/>
  <c r="O27" i="48"/>
  <c r="L27" i="48"/>
  <c r="K27" i="48"/>
  <c r="J27" i="48"/>
  <c r="M27" i="48" s="1"/>
  <c r="G27" i="48"/>
  <c r="F27" i="48"/>
  <c r="E27" i="48"/>
  <c r="H27" i="48" s="1"/>
  <c r="AM26" i="48"/>
  <c r="AJ26" i="48"/>
  <c r="AI26" i="48"/>
  <c r="AN26" i="48" s="1"/>
  <c r="AH26" i="48"/>
  <c r="AE26" i="48"/>
  <c r="AB26" i="48"/>
  <c r="AA26" i="48"/>
  <c r="AF26" i="48" s="1"/>
  <c r="Z26" i="48"/>
  <c r="AC26" i="48" s="1"/>
  <c r="W26" i="48"/>
  <c r="T26" i="48"/>
  <c r="S26" i="48"/>
  <c r="X26" i="48" s="1"/>
  <c r="R26" i="48"/>
  <c r="O26" i="48"/>
  <c r="L26" i="48"/>
  <c r="K26" i="48"/>
  <c r="P26" i="48" s="1"/>
  <c r="J26" i="48"/>
  <c r="M26" i="48" s="1"/>
  <c r="G26" i="48"/>
  <c r="F26" i="48"/>
  <c r="E26" i="48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W25" i="48"/>
  <c r="T25" i="48"/>
  <c r="S25" i="48"/>
  <c r="X25" i="48" s="1"/>
  <c r="Y25" i="48" s="1"/>
  <c r="R25" i="48"/>
  <c r="U25" i="48" s="1"/>
  <c r="O25" i="48"/>
  <c r="L25" i="48"/>
  <c r="K25" i="48"/>
  <c r="P25" i="48" s="1"/>
  <c r="J25" i="48"/>
  <c r="M25" i="48" s="1"/>
  <c r="G25" i="48"/>
  <c r="F25" i="48"/>
  <c r="E25" i="48"/>
  <c r="H25" i="48" s="1"/>
  <c r="I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R24" i="48"/>
  <c r="U24" i="48" s="1"/>
  <c r="O24" i="48"/>
  <c r="L24" i="48"/>
  <c r="K24" i="48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V23" i="48" s="1"/>
  <c r="O23" i="48"/>
  <c r="L23" i="48"/>
  <c r="K23" i="48"/>
  <c r="P23" i="48" s="1"/>
  <c r="J23" i="48"/>
  <c r="G23" i="48"/>
  <c r="F23" i="48"/>
  <c r="E23" i="48"/>
  <c r="H23" i="48" s="1"/>
  <c r="AM22" i="48"/>
  <c r="AJ22" i="48"/>
  <c r="AI22" i="48"/>
  <c r="AH22" i="48"/>
  <c r="AK22" i="48" s="1"/>
  <c r="AE22" i="48"/>
  <c r="AB22" i="48"/>
  <c r="AA22" i="48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H20" i="48"/>
  <c r="AK20" i="48" s="1"/>
  <c r="AE20" i="48"/>
  <c r="AB20" i="48"/>
  <c r="AA20" i="48"/>
  <c r="Z20" i="48"/>
  <c r="AC20" i="48" s="1"/>
  <c r="W20" i="48"/>
  <c r="T20" i="48"/>
  <c r="S20" i="48"/>
  <c r="X20" i="48" s="1"/>
  <c r="R20" i="48"/>
  <c r="O20" i="48"/>
  <c r="L20" i="48"/>
  <c r="K20" i="48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O17" i="48" s="1"/>
  <c r="AH17" i="48"/>
  <c r="AK17" i="48" s="1"/>
  <c r="AE17" i="48"/>
  <c r="AB17" i="48"/>
  <c r="AA17" i="48"/>
  <c r="AF17" i="48" s="1"/>
  <c r="Z17" i="48"/>
  <c r="W17" i="48"/>
  <c r="T17" i="48"/>
  <c r="S17" i="48"/>
  <c r="X17" i="48" s="1"/>
  <c r="Y17" i="48" s="1"/>
  <c r="R17" i="48"/>
  <c r="U17" i="48" s="1"/>
  <c r="V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R15" i="48"/>
  <c r="U15" i="48" s="1"/>
  <c r="O15" i="48"/>
  <c r="L15" i="48"/>
  <c r="K15" i="48"/>
  <c r="P15" i="48" s="1"/>
  <c r="J15" i="48"/>
  <c r="M15" i="48" s="1"/>
  <c r="G15" i="48"/>
  <c r="F15" i="48"/>
  <c r="E15" i="48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H12" i="48"/>
  <c r="AE12" i="48"/>
  <c r="AB12" i="48"/>
  <c r="AP12" i="48" s="1"/>
  <c r="AA12" i="48"/>
  <c r="AF12" i="48" s="1"/>
  <c r="Z12" i="48"/>
  <c r="W12" i="48"/>
  <c r="T12" i="48"/>
  <c r="S12" i="48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E10" i="48"/>
  <c r="AB10" i="48"/>
  <c r="AA10" i="48"/>
  <c r="AF10" i="48" s="1"/>
  <c r="Z10" i="48"/>
  <c r="AC10" i="48" s="1"/>
  <c r="W10" i="48"/>
  <c r="AS10" i="48" s="1"/>
  <c r="T10" i="48"/>
  <c r="S10" i="48"/>
  <c r="X10" i="48" s="1"/>
  <c r="R10" i="48"/>
  <c r="O10" i="48"/>
  <c r="L10" i="48"/>
  <c r="K10" i="48"/>
  <c r="P10" i="48" s="1"/>
  <c r="J10" i="48"/>
  <c r="M10" i="48" s="1"/>
  <c r="G10" i="48"/>
  <c r="F10" i="48"/>
  <c r="E10" i="48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G9" i="48"/>
  <c r="F9" i="48"/>
  <c r="E9" i="48"/>
  <c r="H9" i="48" s="1"/>
  <c r="AM8" i="48"/>
  <c r="AJ8" i="48"/>
  <c r="AI8" i="48"/>
  <c r="AN8" i="48" s="1"/>
  <c r="AH8" i="48"/>
  <c r="AE8" i="48"/>
  <c r="AB8" i="48"/>
  <c r="AA8" i="48"/>
  <c r="AF8" i="48" s="1"/>
  <c r="Z8" i="48"/>
  <c r="AC8" i="48" s="1"/>
  <c r="W8" i="48"/>
  <c r="T8" i="48"/>
  <c r="S8" i="48"/>
  <c r="R8" i="48"/>
  <c r="U8" i="48" s="1"/>
  <c r="O8" i="48"/>
  <c r="L8" i="48"/>
  <c r="K8" i="48"/>
  <c r="P8" i="48" s="1"/>
  <c r="Q8" i="48" s="1"/>
  <c r="J8" i="48"/>
  <c r="M8" i="48" s="1"/>
  <c r="N8" i="48" s="1"/>
  <c r="G8" i="48"/>
  <c r="F8" i="48"/>
  <c r="E8" i="48"/>
  <c r="H8" i="48" s="1"/>
  <c r="AM7" i="48"/>
  <c r="AJ7" i="48"/>
  <c r="AI7" i="48"/>
  <c r="AN7" i="48" s="1"/>
  <c r="AH7" i="48"/>
  <c r="AK7" i="48" s="1"/>
  <c r="AL7" i="48" s="1"/>
  <c r="AE7" i="48"/>
  <c r="AB7" i="48"/>
  <c r="AA7" i="48"/>
  <c r="AF7" i="48" s="1"/>
  <c r="Z7" i="48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AK69" i="48"/>
  <c r="AF69" i="48"/>
  <c r="AG69" i="48" s="1"/>
  <c r="M69" i="48"/>
  <c r="H69" i="48"/>
  <c r="AK68" i="48"/>
  <c r="U68" i="48"/>
  <c r="H68" i="48"/>
  <c r="P67" i="48"/>
  <c r="AN66" i="48"/>
  <c r="H66" i="48"/>
  <c r="AN65" i="48"/>
  <c r="AF65" i="48"/>
  <c r="AC65" i="48"/>
  <c r="AK64" i="48"/>
  <c r="P64" i="48"/>
  <c r="Q64" i="48" s="1"/>
  <c r="AN62" i="48"/>
  <c r="AF62" i="48"/>
  <c r="AK61" i="48"/>
  <c r="U61" i="48"/>
  <c r="P61" i="48"/>
  <c r="M61" i="48"/>
  <c r="H61" i="48"/>
  <c r="U60" i="48"/>
  <c r="AF59" i="48"/>
  <c r="AN58" i="48"/>
  <c r="X58" i="48"/>
  <c r="H58" i="48"/>
  <c r="AC57" i="48"/>
  <c r="H57" i="48"/>
  <c r="AN52" i="48"/>
  <c r="AF52" i="48"/>
  <c r="U52" i="48"/>
  <c r="AC51" i="48"/>
  <c r="H50" i="48"/>
  <c r="I50" i="48" s="1"/>
  <c r="P48" i="48"/>
  <c r="H48" i="48"/>
  <c r="AN47" i="48"/>
  <c r="AF47" i="48"/>
  <c r="AC47" i="48"/>
  <c r="P47" i="48"/>
  <c r="AC45" i="48"/>
  <c r="X45" i="48"/>
  <c r="Y45" i="48" s="1"/>
  <c r="AP45" i="48"/>
  <c r="P45" i="48"/>
  <c r="AK43" i="48"/>
  <c r="X43" i="48"/>
  <c r="U43" i="48"/>
  <c r="AF42" i="48"/>
  <c r="AG42" i="48" s="1"/>
  <c r="AK41" i="48"/>
  <c r="H41" i="48"/>
  <c r="AN40" i="48"/>
  <c r="AF40" i="48"/>
  <c r="AC40" i="48"/>
  <c r="X40" i="48"/>
  <c r="P40" i="48"/>
  <c r="U39" i="48"/>
  <c r="X38" i="48"/>
  <c r="Y38" i="48" s="1"/>
  <c r="AP37" i="48"/>
  <c r="P37" i="48"/>
  <c r="AK36" i="48"/>
  <c r="M35" i="48"/>
  <c r="AN30" i="48"/>
  <c r="AN29" i="48"/>
  <c r="AK29" i="48"/>
  <c r="AN28" i="48"/>
  <c r="AO28" i="48" s="1"/>
  <c r="H28" i="48"/>
  <c r="I28" i="48" s="1"/>
  <c r="AK27" i="48"/>
  <c r="AC27" i="48"/>
  <c r="U27" i="48"/>
  <c r="P27" i="48"/>
  <c r="Q27" i="48" s="1"/>
  <c r="AK26" i="48"/>
  <c r="AL26" i="48" s="1"/>
  <c r="U26" i="48"/>
  <c r="H26" i="48"/>
  <c r="AC25" i="48"/>
  <c r="AD25" i="48" s="1"/>
  <c r="AP25" i="48"/>
  <c r="X24" i="48"/>
  <c r="P24" i="48"/>
  <c r="M23" i="48"/>
  <c r="AN22" i="48"/>
  <c r="AF22" i="48"/>
  <c r="AN20" i="48"/>
  <c r="AF20" i="48"/>
  <c r="U20" i="48"/>
  <c r="P20" i="48"/>
  <c r="AC19" i="48"/>
  <c r="AC17" i="48"/>
  <c r="P16" i="48"/>
  <c r="X15" i="48"/>
  <c r="H15" i="48"/>
  <c r="AC14" i="48"/>
  <c r="AK13" i="48"/>
  <c r="AK12" i="48"/>
  <c r="AN12" i="48"/>
  <c r="AO12" i="48" s="1"/>
  <c r="AC12" i="48"/>
  <c r="X12" i="48"/>
  <c r="U11" i="48"/>
  <c r="AK10" i="48"/>
  <c r="U10" i="48"/>
  <c r="V10" i="48" s="1"/>
  <c r="H10" i="48"/>
  <c r="M9" i="48"/>
  <c r="AK8" i="48"/>
  <c r="X8" i="48"/>
  <c r="AC7" i="48"/>
  <c r="N13" i="48" l="1"/>
  <c r="N67" i="48"/>
  <c r="AO14" i="48"/>
  <c r="I22" i="48"/>
  <c r="AS36" i="48"/>
  <c r="N9" i="48"/>
  <c r="AL23" i="48"/>
  <c r="AG24" i="48"/>
  <c r="AD9" i="48"/>
  <c r="Y10" i="48"/>
  <c r="AO26" i="48"/>
  <c r="V8" i="48"/>
  <c r="AG9" i="48"/>
  <c r="AP67" i="48"/>
  <c r="V61" i="48"/>
  <c r="V68" i="48"/>
  <c r="N69" i="48"/>
  <c r="AD51" i="48"/>
  <c r="AG51" i="48"/>
  <c r="N35" i="48"/>
  <c r="AG36" i="48"/>
  <c r="AP35" i="48"/>
  <c r="I38" i="48"/>
  <c r="AO38" i="48"/>
  <c r="N15" i="48"/>
  <c r="I23" i="48"/>
  <c r="AO23" i="48"/>
  <c r="V11" i="48"/>
  <c r="AD38" i="48"/>
  <c r="AG40" i="48"/>
  <c r="AD45" i="48"/>
  <c r="N63" i="48"/>
  <c r="N11" i="48"/>
  <c r="AD11" i="48"/>
  <c r="Q13" i="48"/>
  <c r="Y14" i="48"/>
  <c r="V19" i="48"/>
  <c r="I21" i="48"/>
  <c r="V28" i="48"/>
  <c r="AG38" i="48"/>
  <c r="AL45" i="48"/>
  <c r="AO47" i="48"/>
  <c r="AG47" i="48"/>
  <c r="AO20" i="48"/>
  <c r="AL12" i="48"/>
  <c r="AD27" i="48"/>
  <c r="AO13" i="48"/>
  <c r="AG14" i="48"/>
  <c r="Y29" i="48"/>
  <c r="V46" i="48"/>
  <c r="I52" i="48"/>
  <c r="AG57" i="48"/>
  <c r="Q65" i="48"/>
  <c r="AP20" i="48"/>
  <c r="AO21" i="48"/>
  <c r="AL27" i="48"/>
  <c r="V37" i="48"/>
  <c r="AL64" i="48"/>
  <c r="AD10" i="48"/>
  <c r="Y20" i="48"/>
  <c r="AP22" i="48"/>
  <c r="AS49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AR22" i="48" s="1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R37" i="48" s="1"/>
  <c r="AL40" i="48"/>
  <c r="V41" i="48"/>
  <c r="AP49" i="48"/>
  <c r="AL67" i="48"/>
  <c r="AQ28" i="48"/>
  <c r="AR28" i="48" s="1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AR45" i="48" s="1"/>
  <c r="N45" i="48"/>
  <c r="V13" i="48"/>
  <c r="AT23" i="48"/>
  <c r="Y23" i="48"/>
  <c r="AQ29" i="48"/>
  <c r="AQ12" i="48"/>
  <c r="AR12" i="48" s="1"/>
  <c r="AQ17" i="48"/>
  <c r="AT26" i="48"/>
  <c r="Y26" i="48"/>
  <c r="AT36" i="48"/>
  <c r="AU36" i="48" s="1"/>
  <c r="AO36" i="48"/>
  <c r="AO41" i="48"/>
  <c r="AT41" i="48"/>
  <c r="AT70" i="48"/>
  <c r="Q70" i="48"/>
  <c r="AT39" i="48"/>
  <c r="AO39" i="48"/>
  <c r="AT10" i="48"/>
  <c r="AU10" i="48" s="1"/>
  <c r="AT68" i="48"/>
  <c r="AU68" i="48" s="1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V20" i="48"/>
  <c r="AP64" i="48"/>
  <c r="Q19" i="48"/>
  <c r="Q40" i="48"/>
  <c r="V47" i="48"/>
  <c r="AT52" i="48"/>
  <c r="AT69" i="48"/>
  <c r="AQ26" i="48"/>
  <c r="AT40" i="48"/>
  <c r="AU40" i="48" s="1"/>
  <c r="AT17" i="48"/>
  <c r="AO27" i="48"/>
  <c r="AQ30" i="48"/>
  <c r="AR30" i="48" s="1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AP39" i="48"/>
  <c r="AL39" i="48"/>
  <c r="M71" i="48"/>
  <c r="AQ57" i="48"/>
  <c r="AL15" i="48"/>
  <c r="AQ25" i="48"/>
  <c r="AR25" i="48" s="1"/>
  <c r="N25" i="48"/>
  <c r="I35" i="48"/>
  <c r="H53" i="48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AO9" i="48"/>
  <c r="I15" i="48"/>
  <c r="P53" i="48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U60" i="48" s="1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52" i="48" l="1"/>
  <c r="AR67" i="48"/>
  <c r="AU57" i="48"/>
  <c r="AU58" i="48"/>
  <c r="AU49" i="48"/>
  <c r="AR40" i="48"/>
  <c r="AR35" i="48"/>
  <c r="AR50" i="48"/>
  <c r="AR20" i="48"/>
  <c r="AR7" i="48"/>
  <c r="AU23" i="48"/>
  <c r="AU18" i="48"/>
  <c r="AU16" i="48"/>
  <c r="AU21" i="48"/>
  <c r="AU6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N74" i="48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U74" i="48"/>
  <c r="AF76" i="48"/>
  <c r="AF75" i="48"/>
  <c r="M76" i="48"/>
  <c r="M75" i="48"/>
  <c r="AQ71" i="48"/>
  <c r="AP53" i="48"/>
  <c r="X75" i="48"/>
  <c r="X76" i="48"/>
  <c r="N31" i="48"/>
  <c r="AT53" i="48"/>
  <c r="AL53" i="48"/>
  <c r="AL74" i="48" s="1"/>
  <c r="I31" i="48"/>
  <c r="AR60" i="48"/>
  <c r="AQ31" i="48"/>
  <c r="P74" i="48"/>
  <c r="P77" i="48"/>
  <c r="AK74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4" i="48"/>
  <c r="M77" i="48"/>
  <c r="AG53" i="48"/>
  <c r="AG74" i="48" s="1"/>
  <c r="H77" i="48"/>
  <c r="H74" i="48"/>
  <c r="AQ53" i="48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1" i="48"/>
  <c r="AP75" i="48"/>
  <c r="AP76" i="48"/>
  <c r="AS75" i="48"/>
  <c r="AS76" i="48"/>
  <c r="AQ75" i="48"/>
  <c r="AQ76" i="48"/>
  <c r="AT75" i="48"/>
  <c r="AT76" i="48"/>
  <c r="AQ77" i="48"/>
  <c r="AQ74" i="48"/>
  <c r="AT77" i="48"/>
  <c r="AT74" i="48"/>
  <c r="AP77" i="48"/>
  <c r="AR75" i="48" l="1"/>
  <c r="AU77" i="48"/>
  <c r="AR76" i="48"/>
  <c r="AU76" i="48"/>
  <c r="AR74" i="48"/>
  <c r="AR77" i="48"/>
  <c r="AU75" i="48"/>
  <c r="H48" i="13" l="1"/>
  <c r="H47" i="13"/>
  <c r="H46" i="13"/>
  <c r="H45" i="13"/>
  <c r="H44" i="13"/>
  <c r="H41" i="13"/>
  <c r="H40" i="13"/>
  <c r="H39" i="13"/>
  <c r="H38" i="13"/>
  <c r="H37" i="13"/>
  <c r="H36" i="13"/>
  <c r="H35" i="13"/>
  <c r="H34" i="13"/>
  <c r="J23" i="13"/>
  <c r="J22" i="13"/>
  <c r="J21" i="13"/>
  <c r="J20" i="13"/>
  <c r="J17" i="13"/>
  <c r="J16" i="13"/>
  <c r="J15" i="13"/>
  <c r="J14" i="13"/>
  <c r="J13" i="13"/>
  <c r="J12" i="13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D9" i="26"/>
  <c r="S24" i="40" l="1"/>
  <c r="S25" i="40"/>
  <c r="S26" i="40"/>
  <c r="S34" i="40"/>
  <c r="C72" i="2" l="1"/>
  <c r="F16" i="24" l="1"/>
  <c r="F17" i="24"/>
  <c r="AB25" i="40" l="1"/>
  <c r="AC25" i="40"/>
  <c r="AB26" i="40"/>
  <c r="AC26" i="40"/>
  <c r="AD13" i="40"/>
  <c r="AE13" i="40"/>
  <c r="AF13" i="40"/>
  <c r="AG13" i="40"/>
  <c r="AH13" i="40"/>
  <c r="AD15" i="40"/>
  <c r="AE15" i="40"/>
  <c r="AF15" i="40"/>
  <c r="AG15" i="40"/>
  <c r="AH15" i="40"/>
  <c r="AB9" i="40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I28" i="40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I65" i="26"/>
  <c r="C15" i="35" l="1"/>
  <c r="D15" i="35" s="1"/>
  <c r="C14" i="35"/>
  <c r="D14" i="35" s="1"/>
  <c r="C25" i="35"/>
  <c r="D25" i="35" s="1"/>
  <c r="C24" i="35"/>
  <c r="D24" i="35" s="1"/>
  <c r="AA24" i="40" l="1"/>
  <c r="AA25" i="40"/>
  <c r="E24" i="30" l="1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O65" i="26"/>
  <c r="I70" i="24" l="1"/>
  <c r="H70" i="24"/>
  <c r="G70" i="24"/>
  <c r="O71" i="24" l="1"/>
  <c r="F71" i="24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G35" i="9"/>
  <c r="H33" i="9" s="1"/>
  <c r="E35" i="9"/>
  <c r="F33" i="9" s="1"/>
  <c r="C34" i="40" l="1"/>
  <c r="D34" i="40" s="1"/>
  <c r="L8" i="13"/>
  <c r="C33" i="40" l="1"/>
  <c r="D33" i="40" s="1"/>
  <c r="C32" i="40"/>
  <c r="D32" i="40" s="1"/>
  <c r="C31" i="40"/>
  <c r="D31" i="40" s="1"/>
  <c r="C29" i="40"/>
  <c r="D29" i="40" s="1"/>
  <c r="G75" i="43" l="1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G58" i="44" l="1"/>
  <c r="Z58" i="44" s="1"/>
  <c r="AA58" i="44" s="1"/>
  <c r="G57" i="44"/>
  <c r="Z57" i="44" s="1"/>
  <c r="AA57" i="44" s="1"/>
  <c r="G56" i="44"/>
  <c r="Z56" i="44" s="1"/>
  <c r="G55" i="44"/>
  <c r="Z55" i="44" s="1"/>
  <c r="G54" i="44"/>
  <c r="Z54" i="44" s="1"/>
  <c r="AA54" i="44" s="1"/>
  <c r="G53" i="44"/>
  <c r="Z53" i="44" s="1"/>
  <c r="AA53" i="44" s="1"/>
  <c r="G52" i="44"/>
  <c r="Z52" i="44" s="1"/>
  <c r="AA52" i="44" s="1"/>
  <c r="G51" i="44"/>
  <c r="Z51" i="44" s="1"/>
  <c r="AA51" i="44" s="1"/>
  <c r="G50" i="44"/>
  <c r="Z50" i="44" s="1"/>
  <c r="AA50" i="44" s="1"/>
  <c r="G49" i="44"/>
  <c r="Z49" i="44" s="1"/>
  <c r="AA49" i="44" s="1"/>
  <c r="G48" i="44"/>
  <c r="Z48" i="44" s="1"/>
  <c r="G47" i="44"/>
  <c r="Z47" i="44" s="1"/>
  <c r="G46" i="44"/>
  <c r="Z46" i="44" s="1"/>
  <c r="AA46" i="44" s="1"/>
  <c r="G45" i="44"/>
  <c r="Z45" i="44" s="1"/>
  <c r="AA45" i="44" s="1"/>
  <c r="G44" i="44"/>
  <c r="Z44" i="44" s="1"/>
  <c r="G43" i="44"/>
  <c r="Z43" i="44" s="1"/>
  <c r="G42" i="44"/>
  <c r="Z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AA53" i="43"/>
  <c r="G53" i="43"/>
  <c r="Z53" i="43" s="1"/>
  <c r="AA52" i="43"/>
  <c r="G52" i="43"/>
  <c r="Z52" i="43" s="1"/>
  <c r="AA51" i="43"/>
  <c r="G51" i="43"/>
  <c r="Z51" i="43" s="1"/>
  <c r="AA50" i="43"/>
  <c r="G50" i="43"/>
  <c r="Z50" i="43" s="1"/>
  <c r="AA49" i="43"/>
  <c r="G49" i="43"/>
  <c r="Z49" i="43" s="1"/>
  <c r="AA48" i="43"/>
  <c r="G48" i="43"/>
  <c r="Z48" i="43" s="1"/>
  <c r="AA47" i="43"/>
  <c r="G47" i="43"/>
  <c r="Z47" i="43" s="1"/>
  <c r="AA42" i="44" l="1"/>
  <c r="AA39" i="44"/>
  <c r="AA43" i="44"/>
  <c r="AA47" i="44"/>
  <c r="AA55" i="44"/>
  <c r="AA36" i="44"/>
  <c r="AA40" i="44"/>
  <c r="AA44" i="44"/>
  <c r="AA48" i="44"/>
  <c r="AA56" i="44"/>
  <c r="AA37" i="44"/>
  <c r="AA41" i="44"/>
  <c r="AA38" i="44"/>
  <c r="C25" i="40"/>
  <c r="D25" i="40" s="1"/>
  <c r="C24" i="40"/>
  <c r="D24" i="40" s="1"/>
  <c r="O59" i="26" l="1"/>
  <c r="C59" i="26" s="1"/>
  <c r="I59" i="26"/>
  <c r="C51" i="10"/>
  <c r="C51" i="48" s="1"/>
  <c r="A73" i="24" l="1"/>
  <c r="C71" i="24" l="1"/>
  <c r="C33" i="9" s="1"/>
  <c r="AC51" i="10" l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X54" i="10"/>
  <c r="AM54" i="48" s="1"/>
  <c r="W54" i="10"/>
  <c r="AJ54" i="48" s="1"/>
  <c r="V54" i="10"/>
  <c r="AI54" i="48" s="1"/>
  <c r="AN54" i="48" s="1"/>
  <c r="U54" i="10"/>
  <c r="AH54" i="48" s="1"/>
  <c r="AK54" i="48" s="1"/>
  <c r="T54" i="10"/>
  <c r="AE54" i="48" s="1"/>
  <c r="S54" i="10"/>
  <c r="AB54" i="48" s="1"/>
  <c r="R54" i="10"/>
  <c r="AA54" i="48" s="1"/>
  <c r="AF54" i="48" s="1"/>
  <c r="Q54" i="10"/>
  <c r="Z54" i="48" s="1"/>
  <c r="AC54" i="48" s="1"/>
  <c r="P54" i="10"/>
  <c r="W54" i="48" s="1"/>
  <c r="O54" i="10"/>
  <c r="T54" i="48" s="1"/>
  <c r="N54" i="10"/>
  <c r="S54" i="48" s="1"/>
  <c r="X54" i="48" s="1"/>
  <c r="M54" i="10"/>
  <c r="R54" i="48" s="1"/>
  <c r="U54" i="48" s="1"/>
  <c r="L54" i="10"/>
  <c r="O54" i="48" s="1"/>
  <c r="Q54" i="48" s="1"/>
  <c r="K54" i="10"/>
  <c r="L54" i="48" s="1"/>
  <c r="J54" i="10"/>
  <c r="K54" i="48" s="1"/>
  <c r="P54" i="48" s="1"/>
  <c r="I54" i="10"/>
  <c r="J54" i="48" s="1"/>
  <c r="M54" i="48" s="1"/>
  <c r="H54" i="10"/>
  <c r="G54" i="10"/>
  <c r="G54" i="48" s="1"/>
  <c r="I54" i="48" s="1"/>
  <c r="AB53" i="10"/>
  <c r="AA53" i="10"/>
  <c r="X53" i="10"/>
  <c r="AM53" i="48" s="1"/>
  <c r="W53" i="10"/>
  <c r="V53" i="10"/>
  <c r="AI53" i="48" s="1"/>
  <c r="U53" i="10"/>
  <c r="AH53" i="48" s="1"/>
  <c r="T53" i="10"/>
  <c r="AE53" i="48" s="1"/>
  <c r="S53" i="10"/>
  <c r="R53" i="10"/>
  <c r="AA53" i="48" s="1"/>
  <c r="Q53" i="10"/>
  <c r="Z53" i="48" s="1"/>
  <c r="P53" i="10"/>
  <c r="W53" i="48" s="1"/>
  <c r="O53" i="10"/>
  <c r="N53" i="10"/>
  <c r="S53" i="48" s="1"/>
  <c r="M53" i="10"/>
  <c r="R53" i="48" s="1"/>
  <c r="L53" i="10"/>
  <c r="O53" i="48" s="1"/>
  <c r="K53" i="10"/>
  <c r="L53" i="48" s="1"/>
  <c r="J53" i="10"/>
  <c r="K53" i="48" s="1"/>
  <c r="I53" i="10"/>
  <c r="J53" i="48" s="1"/>
  <c r="H53" i="10"/>
  <c r="G53" i="10"/>
  <c r="G53" i="48" s="1"/>
  <c r="F53" i="10"/>
  <c r="F53" i="48" s="1"/>
  <c r="E53" i="10"/>
  <c r="E53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N2" i="30"/>
  <c r="Z3" i="40"/>
  <c r="H3" i="35"/>
  <c r="J3" i="13"/>
  <c r="Y3" i="44"/>
  <c r="AB3" i="10"/>
  <c r="X3" i="9"/>
  <c r="X3" i="24"/>
  <c r="C4" i="6"/>
  <c r="Y3" i="43"/>
  <c r="Y54" i="48" l="1"/>
  <c r="AO54" i="48"/>
  <c r="AG54" i="48"/>
  <c r="AS54" i="48"/>
  <c r="AD54" i="48"/>
  <c r="AG10" i="40"/>
  <c r="AB53" i="48"/>
  <c r="AP54" i="48"/>
  <c r="V54" i="48"/>
  <c r="AL54" i="48"/>
  <c r="AQ54" i="48"/>
  <c r="AH10" i="40"/>
  <c r="AJ53" i="48"/>
  <c r="AT54" i="48"/>
  <c r="AF10" i="40"/>
  <c r="T53" i="48"/>
  <c r="N54" i="48"/>
  <c r="C54" i="10"/>
  <c r="C54" i="48" s="1"/>
  <c r="C4" i="3"/>
  <c r="C9" i="2"/>
  <c r="E3" i="2"/>
  <c r="K62" i="26"/>
  <c r="L62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AA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AA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AA43" i="43" s="1"/>
  <c r="G44" i="43"/>
  <c r="Z44" i="43" s="1"/>
  <c r="AA44" i="43" s="1"/>
  <c r="G45" i="43"/>
  <c r="Z45" i="43" s="1"/>
  <c r="AA45" i="43" s="1"/>
  <c r="G46" i="43"/>
  <c r="Z46" i="43" s="1"/>
  <c r="AA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34" i="44" l="1"/>
  <c r="AA30" i="44"/>
  <c r="AA35" i="44"/>
  <c r="AA20" i="43"/>
  <c r="AA31" i="43"/>
  <c r="AA22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16" i="43"/>
  <c r="AA28" i="43"/>
  <c r="AA19" i="43"/>
  <c r="AA18" i="43"/>
  <c r="AA17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Z9" i="43"/>
  <c r="AA12" i="43" s="1"/>
  <c r="AA15" i="44" l="1"/>
  <c r="AA16" i="44"/>
  <c r="AA17" i="44"/>
  <c r="AA18" i="44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I8" i="13"/>
  <c r="G8" i="13"/>
  <c r="F8" i="13"/>
  <c r="E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F25" i="13"/>
  <c r="I25" i="13"/>
  <c r="D49" i="13"/>
  <c r="E49" i="13"/>
  <c r="F49" i="13"/>
  <c r="G49" i="13"/>
  <c r="H49" i="13"/>
  <c r="I49" i="13"/>
  <c r="C16" i="21" l="1"/>
  <c r="C12" i="21" s="1"/>
  <c r="G3" i="13" l="1"/>
  <c r="I28" i="13" l="1"/>
  <c r="C28" i="13"/>
  <c r="J4" i="13"/>
  <c r="C4" i="13"/>
  <c r="AB31" i="10"/>
  <c r="AA31" i="10"/>
  <c r="AB71" i="10"/>
  <c r="AA71" i="10"/>
  <c r="AB74" i="10"/>
  <c r="AA74" i="10"/>
  <c r="C44" i="2"/>
  <c r="C43" i="2"/>
  <c r="C49" i="13" l="1"/>
  <c r="C25" i="13"/>
  <c r="D73" i="10" l="1"/>
  <c r="D73" i="48" s="1"/>
  <c r="D72" i="10"/>
  <c r="D72" i="48" s="1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53" i="10" l="1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V11" i="40"/>
  <c r="W11" i="40"/>
  <c r="X11" i="40"/>
  <c r="Y11" i="40"/>
  <c r="Z11" i="40"/>
  <c r="C12" i="40"/>
  <c r="D12" i="40" s="1"/>
  <c r="S12" i="40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M49" i="26" s="1"/>
  <c r="S22" i="9"/>
  <c r="R22" i="9"/>
  <c r="L49" i="26" s="1"/>
  <c r="Q22" i="9"/>
  <c r="P22" i="9"/>
  <c r="O22" i="9"/>
  <c r="N22" i="9"/>
  <c r="K49" i="26" s="1"/>
  <c r="K9" i="26" s="1"/>
  <c r="M22" i="9"/>
  <c r="L22" i="9"/>
  <c r="J49" i="26" s="1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N49" i="26" l="1"/>
  <c r="C28" i="40"/>
  <c r="D35" i="40"/>
  <c r="S36" i="40"/>
  <c r="S28" i="40"/>
  <c r="S27" i="40" s="1"/>
  <c r="T9" i="40"/>
  <c r="T8" i="40" s="1"/>
  <c r="C36" i="40"/>
  <c r="D36" i="40" s="1"/>
  <c r="C27" i="40"/>
  <c r="D27" i="40" s="1"/>
  <c r="O9" i="40"/>
  <c r="O8" i="40" s="1"/>
  <c r="AE16" i="40"/>
  <c r="U8" i="40"/>
  <c r="I9" i="40"/>
  <c r="I8" i="40" s="1"/>
  <c r="G9" i="40"/>
  <c r="I35" i="9"/>
  <c r="J35" i="9"/>
  <c r="Z9" i="40"/>
  <c r="Z8" i="40" s="1"/>
  <c r="V9" i="40"/>
  <c r="Q9" i="40"/>
  <c r="M9" i="40"/>
  <c r="M8" i="40" s="1"/>
  <c r="Y9" i="40"/>
  <c r="P9" i="40"/>
  <c r="AF14" i="40" s="1"/>
  <c r="L9" i="40"/>
  <c r="L8" i="40" s="1"/>
  <c r="X9" i="40"/>
  <c r="K9" i="40"/>
  <c r="K8" i="40" s="1"/>
  <c r="E9" i="40"/>
  <c r="W9" i="40"/>
  <c r="R9" i="40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D28" i="40" l="1"/>
  <c r="H9" i="40"/>
  <c r="E8" i="40"/>
  <c r="F9" i="40"/>
  <c r="F8" i="40" s="1"/>
  <c r="AD16" i="40"/>
  <c r="AE14" i="40"/>
  <c r="Y8" i="40"/>
  <c r="L25" i="13" s="1"/>
  <c r="L18" i="13"/>
  <c r="V8" i="40"/>
  <c r="AF11" i="40" s="1"/>
  <c r="AF16" i="40"/>
  <c r="W8" i="40"/>
  <c r="AG11" i="40" s="1"/>
  <c r="AG16" i="40"/>
  <c r="X8" i="40"/>
  <c r="AH11" i="40" s="1"/>
  <c r="AH16" i="40"/>
  <c r="Q8" i="40"/>
  <c r="AG14" i="40"/>
  <c r="R8" i="40"/>
  <c r="AH14" i="40"/>
  <c r="P8" i="40"/>
  <c r="N8" i="40"/>
  <c r="S9" i="40"/>
  <c r="S8" i="40" s="1"/>
  <c r="D11" i="40"/>
  <c r="C9" i="40"/>
  <c r="G8" i="40"/>
  <c r="D9" i="40" l="1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3" i="26"/>
  <c r="O54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J93" i="24" s="1"/>
  <c r="K85" i="24"/>
  <c r="L85" i="24"/>
  <c r="M85" i="24"/>
  <c r="N85" i="24"/>
  <c r="P85" i="24"/>
  <c r="Q85" i="24"/>
  <c r="C82" i="24"/>
  <c r="C18" i="9" s="1"/>
  <c r="O50" i="24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50" i="24"/>
  <c r="C30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9" i="10" l="1"/>
  <c r="AV9" i="48"/>
  <c r="AC21" i="10"/>
  <c r="AV21" i="48"/>
  <c r="AC47" i="10"/>
  <c r="AV47" i="48"/>
  <c r="AC7" i="10"/>
  <c r="AV7" i="48"/>
  <c r="AC29" i="10"/>
  <c r="AV29" i="48"/>
  <c r="AC35" i="10"/>
  <c r="AV35" i="48"/>
  <c r="AC25" i="10"/>
  <c r="AV25" i="48"/>
  <c r="AC19" i="10"/>
  <c r="AV19" i="48"/>
  <c r="AC13" i="10"/>
  <c r="AV13" i="48"/>
  <c r="AC49" i="10"/>
  <c r="AV49" i="48"/>
  <c r="AC27" i="10"/>
  <c r="AV27" i="48"/>
  <c r="AC37" i="10"/>
  <c r="AV37" i="48"/>
  <c r="AC41" i="10"/>
  <c r="AV41" i="48"/>
  <c r="AC43" i="10"/>
  <c r="AV43" i="48"/>
  <c r="AC11" i="10"/>
  <c r="AV11" i="48"/>
  <c r="AC23" i="10"/>
  <c r="AV23" i="48"/>
  <c r="AC45" i="10"/>
  <c r="AV45" i="48"/>
  <c r="AC17" i="10"/>
  <c r="AV17" i="48"/>
  <c r="AC39" i="10"/>
  <c r="AV39" i="48"/>
  <c r="C35" i="9"/>
  <c r="C74" i="24"/>
  <c r="C13" i="9" s="1"/>
  <c r="AV15" i="48" s="1"/>
  <c r="O85" i="24"/>
  <c r="C85" i="24" s="1"/>
  <c r="AC53" i="10" l="1"/>
  <c r="AV53" i="48"/>
  <c r="AA8" i="40"/>
  <c r="AV31" i="48"/>
  <c r="AV71" i="48"/>
  <c r="B15" i="42"/>
  <c r="AC71" i="10"/>
  <c r="AC31" i="10"/>
  <c r="C22" i="9"/>
  <c r="D19" i="9" s="1"/>
  <c r="AC15" i="10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V3" i="40"/>
  <c r="F3" i="35"/>
  <c r="U3" i="10"/>
  <c r="T3" i="9"/>
  <c r="T3" i="24"/>
  <c r="C3" i="6"/>
  <c r="C3" i="3"/>
  <c r="D3" i="2"/>
  <c r="B2" i="20"/>
  <c r="B2" i="3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W71" i="48" s="1"/>
  <c r="W77" i="48" s="1"/>
  <c r="K71" i="10"/>
  <c r="L71" i="48" s="1"/>
  <c r="L77" i="48" s="1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B18" i="42" l="1"/>
  <c r="B21" i="42"/>
  <c r="L9" i="35"/>
  <c r="K9" i="35" l="1"/>
  <c r="J9" i="35" l="1"/>
  <c r="C76" i="2" l="1"/>
  <c r="C75" i="2"/>
  <c r="C52" i="2"/>
  <c r="C51" i="2"/>
  <c r="C50" i="2"/>
  <c r="C49" i="2"/>
  <c r="C48" i="2"/>
  <c r="C41" i="2"/>
  <c r="C40" i="2"/>
  <c r="C39" i="2"/>
  <c r="C38" i="2"/>
  <c r="C37" i="2"/>
  <c r="C33" i="2"/>
  <c r="C32" i="2"/>
  <c r="C31" i="2"/>
  <c r="C30" i="2"/>
  <c r="C25" i="2"/>
  <c r="C24" i="2"/>
  <c r="C23" i="2"/>
  <c r="C21" i="2"/>
  <c r="C20" i="2"/>
  <c r="C19" i="2"/>
  <c r="C18" i="2"/>
  <c r="C14" i="2"/>
  <c r="C13" i="2"/>
  <c r="C12" i="2"/>
  <c r="C11" i="2"/>
  <c r="C10" i="2"/>
  <c r="C8" i="2"/>
  <c r="C7" i="2"/>
  <c r="C6" i="2"/>
  <c r="C53" i="2" l="1"/>
  <c r="D69" i="2"/>
  <c r="C52" i="41" l="1"/>
  <c r="C25" i="41"/>
  <c r="C31" i="41" s="1"/>
  <c r="C54" i="41"/>
  <c r="C3" i="41"/>
  <c r="B3" i="41"/>
  <c r="X71" i="10" l="1"/>
  <c r="AM71" i="48" s="1"/>
  <c r="AM77" i="48" s="1"/>
  <c r="W71" i="10"/>
  <c r="AJ71" i="48" s="1"/>
  <c r="AJ77" i="48" s="1"/>
  <c r="V71" i="10"/>
  <c r="AI71" i="48" s="1"/>
  <c r="AI77" i="48" s="1"/>
  <c r="U71" i="10"/>
  <c r="AH71" i="48" s="1"/>
  <c r="AH77" i="48" s="1"/>
  <c r="T71" i="10"/>
  <c r="AE71" i="48" s="1"/>
  <c r="AE77" i="48" s="1"/>
  <c r="S71" i="10"/>
  <c r="AB71" i="48" s="1"/>
  <c r="AB77" i="48" s="1"/>
  <c r="R71" i="10"/>
  <c r="AA71" i="48" s="1"/>
  <c r="AA77" i="48" s="1"/>
  <c r="Q71" i="10"/>
  <c r="Z71" i="48" s="1"/>
  <c r="Z77" i="48" s="1"/>
  <c r="O71" i="10"/>
  <c r="T71" i="48" s="1"/>
  <c r="T77" i="48" s="1"/>
  <c r="N71" i="10"/>
  <c r="S71" i="48" s="1"/>
  <c r="S77" i="48" s="1"/>
  <c r="M71" i="10"/>
  <c r="R71" i="48" s="1"/>
  <c r="R77" i="48" s="1"/>
  <c r="L71" i="10"/>
  <c r="O71" i="48" s="1"/>
  <c r="O77" i="48" s="1"/>
  <c r="J71" i="10"/>
  <c r="K71" i="48" s="1"/>
  <c r="K77" i="48" s="1"/>
  <c r="I71" i="10"/>
  <c r="J71" i="48" s="1"/>
  <c r="J77" i="48" s="1"/>
  <c r="H71" i="10"/>
  <c r="G71" i="10"/>
  <c r="G71" i="48" s="1"/>
  <c r="G77" i="48" s="1"/>
  <c r="F71" i="10"/>
  <c r="F71" i="48" s="1"/>
  <c r="F77" i="48" s="1"/>
  <c r="E71" i="10"/>
  <c r="E71" i="48" s="1"/>
  <c r="E77" i="48" s="1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5" i="2"/>
  <c r="D45" i="2"/>
  <c r="E53" i="2"/>
  <c r="D53" i="2"/>
  <c r="C69" i="2"/>
  <c r="B26" i="42" s="1"/>
  <c r="K80" i="10"/>
  <c r="I80" i="10"/>
  <c r="G80" i="10"/>
  <c r="E80" i="10"/>
  <c r="Q74" i="10"/>
  <c r="U74" i="10"/>
  <c r="AH74" i="48" s="1"/>
  <c r="X74" i="48" l="1"/>
  <c r="Z74" i="48"/>
  <c r="Z71" i="10"/>
  <c r="D71" i="10"/>
  <c r="D71" i="48" s="1"/>
  <c r="D77" i="48" s="1"/>
  <c r="M74" i="10"/>
  <c r="R74" i="48" s="1"/>
  <c r="Y71" i="10"/>
  <c r="C71" i="10"/>
  <c r="C71" i="48" s="1"/>
  <c r="D22" i="2"/>
  <c r="D27" i="2" s="1"/>
  <c r="D29" i="2" s="1"/>
  <c r="D34" i="2" s="1"/>
  <c r="D55" i="2" s="1"/>
  <c r="D71" i="2" s="1"/>
  <c r="E22" i="2"/>
  <c r="E27" i="2" s="1"/>
  <c r="E29" i="2" s="1"/>
  <c r="E34" i="2" s="1"/>
  <c r="E55" i="2" s="1"/>
  <c r="E71" i="2" s="1"/>
  <c r="E74" i="2" s="1"/>
  <c r="E78" i="2" s="1"/>
  <c r="Y80" i="10"/>
  <c r="D74" i="2" l="1"/>
  <c r="D78" i="2" s="1"/>
  <c r="C54" i="26" l="1"/>
  <c r="I54" i="26"/>
  <c r="O64" i="26" l="1"/>
  <c r="I64" i="26"/>
  <c r="O63" i="26" l="1"/>
  <c r="I9" i="30" l="1"/>
  <c r="J9" i="30" s="1"/>
  <c r="C9" i="30"/>
  <c r="D9" i="30" s="1"/>
  <c r="E52" i="35" l="1"/>
  <c r="C15" i="30" l="1"/>
  <c r="D15" i="30" s="1"/>
  <c r="C14" i="30"/>
  <c r="D14" i="30" s="1"/>
  <c r="C13" i="30"/>
  <c r="D13" i="30" s="1"/>
  <c r="C12" i="30"/>
  <c r="D12" i="30" s="1"/>
  <c r="C11" i="30"/>
  <c r="D11" i="30" s="1"/>
  <c r="C10" i="30"/>
  <c r="D10" i="30" s="1"/>
  <c r="I15" i="30"/>
  <c r="J15" i="30" s="1"/>
  <c r="I14" i="30"/>
  <c r="J14" i="30" s="1"/>
  <c r="I13" i="30"/>
  <c r="J13" i="30" s="1"/>
  <c r="I12" i="30"/>
  <c r="J12" i="30" s="1"/>
  <c r="I11" i="30"/>
  <c r="J11" i="30" s="1"/>
  <c r="I10" i="30"/>
  <c r="J10" i="30" s="1"/>
  <c r="I8" i="30"/>
  <c r="J8" i="30" s="1"/>
  <c r="C8" i="30"/>
  <c r="D8" i="30" s="1"/>
  <c r="C44" i="35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D35" i="35" s="1"/>
  <c r="C34" i="35"/>
  <c r="D34" i="35" s="1"/>
  <c r="C33" i="35"/>
  <c r="C32" i="35"/>
  <c r="C31" i="35"/>
  <c r="D31" i="35" s="1"/>
  <c r="C30" i="35"/>
  <c r="D30" i="35" s="1"/>
  <c r="C26" i="35"/>
  <c r="D26" i="35" s="1"/>
  <c r="C23" i="35"/>
  <c r="D23" i="35" s="1"/>
  <c r="C22" i="35"/>
  <c r="D22" i="35" s="1"/>
  <c r="C21" i="35"/>
  <c r="D21" i="35" s="1"/>
  <c r="C20" i="35"/>
  <c r="C16" i="35"/>
  <c r="D16" i="35" s="1"/>
  <c r="C13" i="35"/>
  <c r="D13" i="35" s="1"/>
  <c r="C12" i="35"/>
  <c r="D12" i="35" s="1"/>
  <c r="C11" i="35"/>
  <c r="D11" i="35" s="1"/>
  <c r="C10" i="35"/>
  <c r="D20" i="35" l="1"/>
  <c r="D10" i="35"/>
  <c r="AA12" i="40" s="1"/>
  <c r="AA31" i="40"/>
  <c r="D32" i="35"/>
  <c r="AA32" i="40"/>
  <c r="D33" i="35"/>
  <c r="AA16" i="40"/>
  <c r="AA17" i="40"/>
  <c r="AA26" i="40"/>
  <c r="AA11" i="40"/>
  <c r="AA30" i="40"/>
  <c r="AA29" i="40"/>
  <c r="AA33" i="40"/>
  <c r="AA35" i="40"/>
  <c r="AA21" i="40"/>
  <c r="AA22" i="40"/>
  <c r="AA23" i="40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C53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D28" i="35" s="1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C16" i="30"/>
  <c r="AA36" i="40" l="1"/>
  <c r="AA27" i="40"/>
  <c r="AA28" i="40"/>
  <c r="AC28" i="40"/>
  <c r="AC36" i="40"/>
  <c r="AC27" i="40"/>
  <c r="F28" i="35"/>
  <c r="AB36" i="40"/>
  <c r="AB27" i="40"/>
  <c r="AB28" i="40"/>
  <c r="C25" i="30"/>
  <c r="C26" i="30" s="1"/>
  <c r="L8" i="35"/>
  <c r="L10" i="35" s="1"/>
  <c r="J8" i="35"/>
  <c r="J10" i="35" s="1"/>
  <c r="K8" i="35"/>
  <c r="K10" i="35" s="1"/>
  <c r="G55" i="35"/>
  <c r="D16" i="30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2" i="26"/>
  <c r="I63" i="26"/>
  <c r="I62" i="26" l="1"/>
  <c r="Z34" i="9"/>
  <c r="Z24" i="9"/>
  <c r="Z23" i="9"/>
  <c r="C7" i="10" l="1"/>
  <c r="C7" i="48" s="1"/>
  <c r="M16" i="30" l="1"/>
  <c r="M28" i="30" s="1"/>
  <c r="K16" i="30"/>
  <c r="L16" i="30" s="1"/>
  <c r="I16" i="30"/>
  <c r="G16" i="30"/>
  <c r="E16" i="30"/>
  <c r="F16" i="30" s="1"/>
  <c r="K28" i="30" l="1"/>
  <c r="G25" i="30"/>
  <c r="G26" i="30" s="1"/>
  <c r="E25" i="30"/>
  <c r="E26" i="30" s="1"/>
  <c r="I28" i="30"/>
  <c r="N16" i="30"/>
  <c r="H16" i="30"/>
  <c r="J16" i="30"/>
  <c r="N9" i="26"/>
  <c r="M9" i="26"/>
  <c r="L9" i="26"/>
  <c r="J9" i="26"/>
  <c r="K2" i="30" l="1"/>
  <c r="C26" i="2" l="1"/>
  <c r="T62" i="26" l="1"/>
  <c r="S62" i="26"/>
  <c r="R62" i="26"/>
  <c r="P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AT32" i="48" s="1"/>
  <c r="I32" i="10"/>
  <c r="J32" i="48" s="1"/>
  <c r="M32" i="48" s="1"/>
  <c r="AQ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AH31" i="48" s="1"/>
  <c r="T31" i="10"/>
  <c r="AE31" i="48" s="1"/>
  <c r="S31" i="10"/>
  <c r="AB31" i="48" s="1"/>
  <c r="R31" i="10"/>
  <c r="AA31" i="48" s="1"/>
  <c r="Q31" i="10"/>
  <c r="Z31" i="48" s="1"/>
  <c r="P31" i="10"/>
  <c r="W31" i="48" s="1"/>
  <c r="O31" i="10"/>
  <c r="T31" i="48" s="1"/>
  <c r="N31" i="10"/>
  <c r="S31" i="48" s="1"/>
  <c r="M31" i="10"/>
  <c r="R31" i="48" s="1"/>
  <c r="L31" i="10"/>
  <c r="O31" i="48" s="1"/>
  <c r="K31" i="10"/>
  <c r="J31" i="10"/>
  <c r="K31" i="48" s="1"/>
  <c r="I31" i="10"/>
  <c r="H31" i="10"/>
  <c r="G31" i="10"/>
  <c r="F31" i="10"/>
  <c r="F31" i="48" s="1"/>
  <c r="E31" i="10"/>
  <c r="X74" i="10"/>
  <c r="AM74" i="48" s="1"/>
  <c r="V74" i="10"/>
  <c r="AI74" i="48" s="1"/>
  <c r="T74" i="10"/>
  <c r="AE74" i="48" s="1"/>
  <c r="R74" i="10"/>
  <c r="P74" i="10"/>
  <c r="W74" i="48" s="1"/>
  <c r="N74" i="10"/>
  <c r="S74" i="48" s="1"/>
  <c r="L74" i="10"/>
  <c r="O74" i="48" s="1"/>
  <c r="J74" i="10"/>
  <c r="K74" i="48" s="1"/>
  <c r="H74" i="10"/>
  <c r="F74" i="10"/>
  <c r="F74" i="48" s="1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Z35" i="10"/>
  <c r="Z53" i="10" s="1"/>
  <c r="G54" i="35"/>
  <c r="G56" i="35" s="1"/>
  <c r="C72" i="10"/>
  <c r="C72" i="48" s="1"/>
  <c r="C73" i="10"/>
  <c r="C73" i="48" s="1"/>
  <c r="C30" i="10"/>
  <c r="C30" i="48" s="1"/>
  <c r="C29" i="10"/>
  <c r="C29" i="48" s="1"/>
  <c r="C28" i="10"/>
  <c r="C28" i="48" s="1"/>
  <c r="C27" i="10"/>
  <c r="C27" i="48" s="1"/>
  <c r="C26" i="10"/>
  <c r="C26" i="48" s="1"/>
  <c r="C25" i="10"/>
  <c r="C25" i="48" s="1"/>
  <c r="C24" i="10"/>
  <c r="C24" i="48" s="1"/>
  <c r="C23" i="10"/>
  <c r="C23" i="48" s="1"/>
  <c r="C22" i="10"/>
  <c r="C22" i="48" s="1"/>
  <c r="C21" i="10"/>
  <c r="C21" i="48" s="1"/>
  <c r="C20" i="10"/>
  <c r="C20" i="48" s="1"/>
  <c r="C19" i="10"/>
  <c r="C19" i="48" s="1"/>
  <c r="C18" i="10"/>
  <c r="C18" i="48" s="1"/>
  <c r="C17" i="10"/>
  <c r="C17" i="48" s="1"/>
  <c r="C16" i="10"/>
  <c r="C16" i="48" s="1"/>
  <c r="C15" i="10"/>
  <c r="C15" i="48" s="1"/>
  <c r="C14" i="10"/>
  <c r="C14" i="48" s="1"/>
  <c r="C13" i="10"/>
  <c r="C13" i="48" s="1"/>
  <c r="C12" i="10"/>
  <c r="C12" i="48" s="1"/>
  <c r="C11" i="10"/>
  <c r="C11" i="48" s="1"/>
  <c r="C10" i="10"/>
  <c r="C10" i="48" s="1"/>
  <c r="C9" i="10"/>
  <c r="C9" i="48" s="1"/>
  <c r="C8" i="10"/>
  <c r="C8" i="48" s="1"/>
  <c r="C50" i="10"/>
  <c r="C50" i="48" s="1"/>
  <c r="C49" i="10"/>
  <c r="C49" i="48" s="1"/>
  <c r="C48" i="10"/>
  <c r="C48" i="48" s="1"/>
  <c r="C47" i="10"/>
  <c r="C47" i="48" s="1"/>
  <c r="C46" i="10"/>
  <c r="C46" i="48" s="1"/>
  <c r="C45" i="10"/>
  <c r="C45" i="48" s="1"/>
  <c r="C44" i="10"/>
  <c r="C44" i="48" s="1"/>
  <c r="C43" i="10"/>
  <c r="C43" i="48" s="1"/>
  <c r="C42" i="10"/>
  <c r="C42" i="48" s="1"/>
  <c r="C41" i="10"/>
  <c r="C41" i="48" s="1"/>
  <c r="C40" i="10"/>
  <c r="C40" i="48" s="1"/>
  <c r="C39" i="10"/>
  <c r="C39" i="48" s="1"/>
  <c r="C38" i="10"/>
  <c r="C38" i="48" s="1"/>
  <c r="C37" i="10"/>
  <c r="C37" i="48" s="1"/>
  <c r="C36" i="10"/>
  <c r="C36" i="48" s="1"/>
  <c r="C35" i="10"/>
  <c r="C35" i="48" s="1"/>
  <c r="Y74" i="48" l="1"/>
  <c r="AA74" i="48"/>
  <c r="O76" i="48"/>
  <c r="O75" i="48"/>
  <c r="R75" i="48"/>
  <c r="R76" i="48"/>
  <c r="S76" i="48"/>
  <c r="S75" i="48"/>
  <c r="AP32" i="48"/>
  <c r="AR32" i="48" s="1"/>
  <c r="N32" i="48"/>
  <c r="T75" i="48"/>
  <c r="T76" i="48"/>
  <c r="Q32" i="48"/>
  <c r="W75" i="48"/>
  <c r="W76" i="48"/>
  <c r="Z75" i="48"/>
  <c r="Z76" i="48"/>
  <c r="AA75" i="48"/>
  <c r="AA76" i="48"/>
  <c r="V32" i="48"/>
  <c r="AB76" i="48"/>
  <c r="AB75" i="48"/>
  <c r="AS32" i="48"/>
  <c r="AU32" i="48" s="1"/>
  <c r="Y32" i="48"/>
  <c r="AE75" i="48"/>
  <c r="AE76" i="48"/>
  <c r="AD8" i="40"/>
  <c r="AD9" i="40" s="1"/>
  <c r="E31" i="48"/>
  <c r="AH76" i="48"/>
  <c r="AH75" i="48"/>
  <c r="F76" i="48"/>
  <c r="F75" i="48"/>
  <c r="AI76" i="48"/>
  <c r="AI75" i="48"/>
  <c r="AD32" i="48"/>
  <c r="AD10" i="40"/>
  <c r="AD11" i="40" s="1"/>
  <c r="G31" i="48"/>
  <c r="AJ75" i="48"/>
  <c r="AJ76" i="48"/>
  <c r="AG32" i="48"/>
  <c r="AM76" i="48"/>
  <c r="AM75" i="48"/>
  <c r="AE8" i="40"/>
  <c r="AE9" i="40" s="1"/>
  <c r="J31" i="48"/>
  <c r="K76" i="48"/>
  <c r="K75" i="48"/>
  <c r="AL32" i="48"/>
  <c r="AE10" i="40"/>
  <c r="AE11" i="40" s="1"/>
  <c r="L31" i="48"/>
  <c r="I32" i="48"/>
  <c r="AO32" i="48"/>
  <c r="AG8" i="40"/>
  <c r="AG9" i="40" s="1"/>
  <c r="H92" i="24"/>
  <c r="H93" i="24" s="1"/>
  <c r="C54" i="35"/>
  <c r="C56" i="35" s="1"/>
  <c r="AH8" i="40"/>
  <c r="AH9" i="40" s="1"/>
  <c r="I92" i="24"/>
  <c r="I93" i="24" s="1"/>
  <c r="AF8" i="40"/>
  <c r="AF9" i="40" s="1"/>
  <c r="G92" i="24"/>
  <c r="G93" i="24" s="1"/>
  <c r="F92" i="24"/>
  <c r="F93" i="24" s="1"/>
  <c r="B14" i="42"/>
  <c r="B13" i="42" s="1"/>
  <c r="B11" i="42"/>
  <c r="C53" i="10"/>
  <c r="Y32" i="10"/>
  <c r="I74" i="10"/>
  <c r="J74" i="48" s="1"/>
  <c r="I82" i="10"/>
  <c r="M82" i="10"/>
  <c r="Q82" i="10"/>
  <c r="U82" i="10"/>
  <c r="K74" i="10"/>
  <c r="L74" i="48" s="1"/>
  <c r="K82" i="10"/>
  <c r="S74" i="10"/>
  <c r="AB74" i="48" s="1"/>
  <c r="S82" i="10"/>
  <c r="W74" i="10"/>
  <c r="AJ74" i="48" s="1"/>
  <c r="W82" i="10"/>
  <c r="O74" i="10"/>
  <c r="T74" i="48" s="1"/>
  <c r="O82" i="10"/>
  <c r="E74" i="10"/>
  <c r="E74" i="48" s="1"/>
  <c r="E82" i="10"/>
  <c r="G74" i="10"/>
  <c r="G74" i="48" s="1"/>
  <c r="G82" i="10"/>
  <c r="Z31" i="10"/>
  <c r="Y31" i="10"/>
  <c r="L49" i="13" s="1"/>
  <c r="Z32" i="10"/>
  <c r="D31" i="10"/>
  <c r="D31" i="48" s="1"/>
  <c r="D32" i="10"/>
  <c r="D32" i="48" s="1"/>
  <c r="D74" i="10"/>
  <c r="D74" i="48" s="1"/>
  <c r="C32" i="10"/>
  <c r="C32" i="48" s="1"/>
  <c r="C31" i="10"/>
  <c r="Z74" i="10"/>
  <c r="AS74" i="48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74" i="10" l="1"/>
  <c r="C74" i="48" s="1"/>
  <c r="C53" i="48"/>
  <c r="C77" i="48" s="1"/>
  <c r="C58" i="35"/>
  <c r="C60" i="35" s="1"/>
  <c r="C31" i="48"/>
  <c r="J76" i="48"/>
  <c r="J75" i="48"/>
  <c r="E75" i="48"/>
  <c r="E76" i="48"/>
  <c r="G76" i="48"/>
  <c r="G75" i="48"/>
  <c r="D76" i="48"/>
  <c r="D75" i="48"/>
  <c r="L76" i="48"/>
  <c r="L75" i="48"/>
  <c r="G58" i="35"/>
  <c r="G52" i="35" s="1"/>
  <c r="AC8" i="40"/>
  <c r="AB8" i="40" s="1"/>
  <c r="L32" i="13"/>
  <c r="C52" i="35" l="1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P9" i="26" l="1"/>
  <c r="G81" i="10" s="1"/>
  <c r="G83" i="10" s="1"/>
  <c r="C12" i="26" l="1"/>
  <c r="Z22" i="9"/>
  <c r="C70" i="3"/>
  <c r="C61" i="3"/>
  <c r="C52" i="3"/>
  <c r="C36" i="3"/>
  <c r="C28" i="3"/>
  <c r="C19" i="3"/>
  <c r="C14" i="3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Y35" i="10"/>
  <c r="Y53" i="10" s="1"/>
  <c r="C45" i="2"/>
  <c r="C7" i="6"/>
  <c r="K34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C22" i="2"/>
  <c r="C27" i="2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74" i="48" s="1"/>
  <c r="B27" i="42" l="1"/>
  <c r="B23" i="42"/>
  <c r="C34" i="2"/>
  <c r="C55" i="2" s="1"/>
  <c r="C71" i="2" s="1"/>
  <c r="B17" i="42" s="1"/>
  <c r="B16" i="42" s="1"/>
  <c r="E46" i="41"/>
  <c r="C45" i="41"/>
  <c r="C44" i="41"/>
  <c r="D52" i="41"/>
  <c r="B24" i="42" l="1"/>
  <c r="B22" i="42" s="1"/>
  <c r="B25" i="42"/>
  <c r="C74" i="2"/>
  <c r="C78" i="2" s="1"/>
  <c r="B20" i="42" s="1"/>
  <c r="B19" i="42" s="1"/>
  <c r="C46" i="41"/>
  <c r="C43" i="41" s="1"/>
  <c r="C35" i="41" s="1"/>
  <c r="C40" i="41" s="1"/>
  <c r="C8" i="6" l="1"/>
  <c r="K46" i="20"/>
  <c r="C51" i="41"/>
  <c r="C14" i="6" l="1"/>
  <c r="F14" i="24" l="1"/>
  <c r="O49" i="26" l="1"/>
  <c r="O9" i="26" s="1"/>
  <c r="C49" i="26" l="1"/>
  <c r="C9" i="26" s="1"/>
  <c r="Q9" i="26"/>
  <c r="K81" i="10" s="1"/>
  <c r="K83" i="10" l="1"/>
  <c r="Y81" i="10"/>
  <c r="Y83" i="10" s="1"/>
  <c r="Q9" i="30" l="1"/>
  <c r="E8" i="6" l="1"/>
  <c r="C93" i="24" l="1"/>
  <c r="Q14" i="30" l="1"/>
  <c r="Q11" i="30"/>
  <c r="M29" i="30" l="1"/>
  <c r="Q15" i="30"/>
  <c r="Q12" i="30"/>
  <c r="Q10" i="30" l="1"/>
  <c r="Q13" i="30"/>
  <c r="E14" i="6" l="1"/>
  <c r="B12" i="42" l="1"/>
  <c r="B39" i="42"/>
  <c r="K27" i="30"/>
  <c r="K29" i="30" s="1"/>
  <c r="I29" i="30"/>
  <c r="B10" i="42" l="1"/>
  <c r="Q8" i="30"/>
  <c r="Q16" i="30" l="1"/>
  <c r="B37" i="42" l="1"/>
  <c r="B32" i="42" l="1"/>
  <c r="K23" i="20" l="1"/>
  <c r="B29" i="42"/>
  <c r="B31" i="42" l="1"/>
  <c r="K20" i="20"/>
  <c r="B30" i="42" l="1"/>
  <c r="B34" i="42"/>
  <c r="B28" i="42" l="1"/>
  <c r="K16" i="20" l="1"/>
  <c r="K22" i="20" l="1"/>
  <c r="K19" i="20"/>
  <c r="K21" i="20" l="1"/>
  <c r="K18" i="20" l="1"/>
  <c r="I38" i="20" l="1"/>
  <c r="K38" i="20" s="1"/>
  <c r="I36" i="20"/>
  <c r="K36" i="20" s="1"/>
  <c r="B8" i="42"/>
  <c r="B7" i="42" s="1"/>
  <c r="K29" i="20"/>
  <c r="K27" i="20"/>
  <c r="I31" i="20"/>
  <c r="K31" i="20" s="1"/>
  <c r="I25" i="20"/>
  <c r="K25" i="20" s="1"/>
  <c r="I43" i="20"/>
  <c r="K43" i="20" s="1"/>
  <c r="I41" i="20"/>
  <c r="K41" i="20" s="1"/>
  <c r="I11" i="20"/>
  <c r="K11" i="20" s="1"/>
  <c r="I9" i="20"/>
  <c r="K9" i="20" s="1"/>
  <c r="B5" i="42" l="1"/>
  <c r="B4" i="42" s="1"/>
  <c r="I7" i="20" l="1"/>
  <c r="K7" i="20" s="1"/>
  <c r="I13" i="20" l="1"/>
  <c r="K13" i="20" s="1"/>
  <c r="D8" i="13" l="1"/>
  <c r="D25" i="13" s="1"/>
  <c r="J10" i="13"/>
  <c r="J8" i="13" s="1"/>
  <c r="J25" i="13" s="1"/>
  <c r="H10" i="13"/>
  <c r="H8" i="13" s="1"/>
  <c r="H25" i="13" s="1"/>
</calcChain>
</file>

<file path=xl/sharedStrings.xml><?xml version="1.0" encoding="utf-8"?>
<sst xmlns="http://schemas.openxmlformats.org/spreadsheetml/2006/main" count="2176" uniqueCount="1012">
  <si>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</si>
  <si>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</si>
  <si>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</si>
  <si>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</si>
  <si>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</si>
  <si>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</si>
  <si>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</si>
  <si>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</si>
  <si>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</si>
  <si>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</si>
  <si>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</si>
  <si>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</si>
  <si>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</si>
  <si>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</si>
  <si>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</si>
  <si>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</si>
  <si>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</si>
  <si>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</si>
  <si>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</si>
  <si>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</si>
  <si>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</si>
  <si>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</si>
  <si>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</si>
  <si>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</si>
  <si>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</si>
  <si>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</si>
  <si>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</si>
  <si>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</si>
  <si>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</si>
  <si>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</si>
  <si>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</si>
  <si>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</si>
  <si>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</si>
  <si>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</si>
  <si>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</si>
  <si>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</si>
  <si>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</si>
  <si>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</si>
  <si>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</si>
  <si>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</si>
  <si>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</si>
  <si>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</si>
  <si>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</si>
  <si>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</si>
  <si>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</si>
  <si>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</si>
  <si>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</si>
  <si>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</si>
  <si>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</si>
  <si>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</si>
  <si>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</si>
  <si>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</si>
  <si>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</si>
  <si>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</si>
  <si>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</si>
  <si>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</si>
  <si>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</si>
  <si>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</si>
  <si>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</si>
  <si>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</si>
  <si>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</si>
  <si>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</si>
  <si>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</si>
  <si>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</si>
  <si>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</si>
  <si>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</si>
  <si>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</si>
  <si>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</si>
  <si>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</si>
  <si>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</si>
  <si>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</si>
  <si>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</si>
  <si>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</si>
  <si>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</si>
  <si>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</si>
  <si>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</si>
  <si>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</si>
  <si>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</si>
  <si>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</si>
  <si>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</si>
  <si>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</si>
  <si>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</si>
  <si>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</si>
  <si>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</si>
  <si>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</si>
  <si>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</si>
  <si>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</si>
  <si>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</si>
  <si>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</si>
  <si>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</si>
  <si>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</si>
  <si>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</si>
  <si>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</si>
  <si>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</si>
  <si>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</si>
  <si>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</si>
  <si>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</si>
  <si>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</si>
  <si>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</si>
  <si>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</si>
  <si>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</si>
  <si>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</si>
  <si>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</si>
  <si>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</si>
  <si>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</si>
  <si>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</si>
  <si>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</si>
  <si>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</si>
  <si>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</si>
  <si>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</si>
  <si>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</si>
  <si>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</si>
  <si>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</si>
  <si>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</si>
  <si>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</si>
  <si>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</si>
  <si>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</si>
  <si>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</si>
  <si>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</si>
  <si>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</si>
  <si>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</si>
  <si>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</si>
  <si>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</si>
  <si>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</si>
  <si>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</si>
  <si>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</si>
  <si>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</si>
  <si>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</si>
  <si>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</si>
  <si>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</si>
  <si>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</si>
  <si>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</si>
  <si>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</si>
  <si>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</si>
  <si>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</si>
  <si>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</si>
  <si>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</si>
  <si>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</si>
  <si>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</si>
  <si>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</si>
  <si>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</si>
  <si>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</si>
  <si>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</si>
  <si>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</si>
  <si>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</si>
  <si>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</si>
  <si>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</si>
  <si>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</si>
  <si>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</si>
  <si>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</si>
  <si>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</si>
  <si>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</si>
  <si>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</si>
  <si>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</si>
  <si>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</si>
  <si>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</si>
  <si>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</si>
  <si>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</si>
  <si>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</si>
  <si>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</si>
  <si>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</si>
  <si>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</si>
  <si>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</si>
  <si>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</si>
  <si>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</si>
  <si>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</si>
  <si>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</si>
  <si>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</si>
  <si>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</si>
  <si>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</si>
  <si>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</si>
  <si>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</si>
  <si>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</si>
  <si>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</si>
  <si>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</si>
  <si>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</si>
  <si>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</si>
  <si>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</si>
  <si>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</si>
  <si>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</si>
  <si>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</si>
  <si>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</si>
  <si>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</si>
  <si>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</si>
  <si>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</si>
  <si>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</si>
  <si>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</si>
  <si>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</si>
  <si>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50</t>
  </si>
  <si>
    <t>У</t>
  </si>
  <si>
    <t>Физлица</t>
  </si>
  <si>
    <t>Юрзлица</t>
  </si>
  <si>
    <t>51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</si>
  <si>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</si>
  <si>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</si>
  <si>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</si>
  <si>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</si>
  <si>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</si>
  <si>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</si>
  <si>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</si>
  <si>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</si>
  <si>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</si>
  <si>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</si>
  <si>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</si>
  <si>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</si>
  <si>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</si>
  <si>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</si>
  <si>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</si>
  <si>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</si>
  <si>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</si>
  <si>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</si>
  <si>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</si>
  <si>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</si>
  <si>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</si>
  <si>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</si>
  <si>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</si>
  <si>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</si>
  <si>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</si>
  <si>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</si>
  <si>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</si>
  <si>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</si>
  <si>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</si>
  <si>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</si>
  <si>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</si>
  <si>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</si>
  <si>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</si>
  <si>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</si>
  <si>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</si>
  <si>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</si>
  <si>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</si>
  <si>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</si>
  <si>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</si>
  <si>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</si>
  <si>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</si>
  <si>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</si>
  <si>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</si>
  <si>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</si>
  <si>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</si>
  <si>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</si>
  <si>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</si>
  <si>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</si>
  <si>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</si>
  <si>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</si>
  <si>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</si>
  <si>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</si>
  <si>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</si>
  <si>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</si>
  <si>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</si>
  <si>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</si>
  <si>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</si>
  <si>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</si>
  <si>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</si>
  <si>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</si>
  <si>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</si>
  <si>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</si>
  <si>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</si>
  <si>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</si>
  <si>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</si>
  <si>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</si>
  <si>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</si>
  <si>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</si>
  <si>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</si>
  <si>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</si>
  <si>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</si>
  <si>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</si>
  <si>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</si>
  <si>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</si>
  <si>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</si>
  <si>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</si>
  <si>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</si>
  <si>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</si>
  <si>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</si>
  <si>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</si>
  <si>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</si>
  <si>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</si>
  <si>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</si>
  <si>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</si>
  <si>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</si>
  <si>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</si>
  <si>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</si>
  <si>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</si>
  <si>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</si>
  <si>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</si>
  <si>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</si>
  <si>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</si>
  <si>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</si>
  <si>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</si>
  <si>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</si>
  <si>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</si>
  <si>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</si>
  <si>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</si>
  <si>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</si>
  <si>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</si>
  <si>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</si>
  <si>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</si>
  <si>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</si>
  <si>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</si>
  <si>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</si>
  <si>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</si>
  <si>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</si>
  <si>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</si>
  <si>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</si>
  <si>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</si>
  <si>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</si>
  <si>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</si>
  <si>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</si>
  <si>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</si>
  <si>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</si>
  <si>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</si>
  <si>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</si>
  <si>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</si>
  <si>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</si>
  <si>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</si>
  <si>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</si>
  <si>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</si>
  <si>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</si>
  <si>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</si>
  <si>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</si>
  <si>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</si>
  <si>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</si>
  <si>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</si>
  <si>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</si>
  <si>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</si>
  <si>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</si>
  <si>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</si>
  <si>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</si>
  <si>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</si>
  <si>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</si>
  <si>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</si>
  <si>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</si>
  <si>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</si>
  <si>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</si>
  <si>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</si>
  <si>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</si>
  <si>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</si>
  <si>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</si>
  <si>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д1.</t>
  </si>
  <si>
    <t>Активлар бўйича эҳтимолий йўқотишларга қарши яратилган захираларни қайтарилиши</t>
  </si>
  <si>
    <t>д2.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</si>
  <si>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</si>
  <si>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</si>
  <si>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</si>
  <si>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</si>
  <si>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</si>
  <si>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</si>
  <si>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</si>
  <si>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</si>
  <si>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</si>
  <si>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</si>
  <si>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</si>
  <si>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</si>
  <si>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</si>
  <si>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</si>
  <si>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</si>
  <si>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</si>
  <si>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</si>
  <si>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</si>
  <si>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</si>
  <si>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</si>
  <si>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</si>
  <si>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</si>
  <si>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</si>
  <si>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</si>
  <si>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</si>
  <si>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</si>
  <si>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</si>
  <si>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</si>
  <si>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</si>
  <si>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</si>
  <si>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</si>
  <si>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</si>
  <si>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</si>
  <si>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</si>
  <si>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</si>
  <si>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</si>
  <si>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</si>
  <si>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</si>
  <si>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</si>
  <si>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</si>
  <si>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</si>
  <si>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</si>
  <si>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</si>
  <si>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</si>
  <si>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</si>
  <si>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</si>
  <si>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</si>
  <si>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</si>
  <si>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</si>
  <si>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</si>
  <si>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</si>
  <si>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</si>
  <si>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</si>
  <si>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</si>
  <si>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</si>
  <si>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</si>
  <si>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</si>
  <si>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</si>
  <si>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</si>
  <si>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</si>
  <si>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</si>
  <si>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</si>
  <si>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</si>
  <si>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</si>
  <si>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</si>
  <si>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</si>
  <si>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</si>
  <si>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</si>
  <si>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</si>
  <si>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</si>
  <si>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</si>
  <si>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</si>
  <si>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</si>
  <si>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</si>
  <si>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</si>
  <si>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</si>
  <si>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</si>
  <si>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</si>
  <si>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</si>
  <si>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</si>
  <si>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</si>
  <si>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</si>
  <si>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</si>
  <si>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</si>
  <si>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</si>
  <si>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</si>
  <si>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</si>
  <si>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</si>
  <si>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</si>
  <si>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</si>
  <si>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</si>
  <si>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</si>
  <si>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</si>
  <si>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</si>
  <si>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</si>
  <si>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</si>
  <si>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</si>
  <si>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</si>
  <si>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</si>
  <si>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</si>
  <si>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</si>
  <si>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</si>
  <si>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</si>
  <si>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</si>
  <si>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</si>
  <si>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</si>
  <si>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</si>
  <si>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</si>
  <si>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</si>
  <si>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</si>
  <si>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</si>
  <si>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</si>
  <si>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</si>
  <si>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</si>
  <si>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</si>
  <si>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</si>
  <si>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</si>
  <si>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</si>
  <si>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</si>
  <si>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</si>
  <si>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</si>
  <si>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</si>
  <si>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</si>
  <si>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</si>
  <si>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</si>
  <si>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</si>
  <si>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Кредит ва лизингларни ҳисобдан чиқариш ва қайтариш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</si>
  <si>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</si>
  <si>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</si>
  <si>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</si>
  <si>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</si>
  <si>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</si>
  <si>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</si>
  <si>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</si>
  <si>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</si>
  <si>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</si>
  <si>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</si>
  <si>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</si>
  <si>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</si>
  <si>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</si>
  <si>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</si>
  <si>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</si>
  <si>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</si>
  <si>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</si>
  <si>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 xml:space="preserve">Кредит ва лизинг бўйича эҳтимолий йўқотишларга қарши захиралар 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</si>
  <si>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</si>
  <si>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</si>
  <si>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</si>
  <si>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</si>
  <si>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</si>
  <si>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</si>
  <si>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</si>
  <si>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</si>
  <si>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</si>
  <si>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</si>
  <si>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</si>
  <si>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</si>
  <si>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</si>
  <si>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</si>
  <si>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</si>
  <si>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</si>
  <si>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</si>
  <si>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</si>
  <si>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</si>
  <si>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</si>
  <si>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</si>
  <si>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КРЕДИТ ПОРТФЕЛЬ ТАРКИБИ ТЎҒРИСИДА ҲИСОБОТ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</si>
  <si>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</si>
  <si>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</si>
  <si>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</si>
  <si>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</si>
  <si>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</si>
  <si>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</si>
  <si>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</si>
  <si>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</si>
  <si>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</si>
  <si>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</si>
  <si>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</si>
  <si>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</si>
  <si>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</si>
  <si>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</si>
  <si>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</si>
  <si>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</si>
  <si>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</si>
  <si>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</si>
  <si>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</si>
  <si>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</si>
  <si>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</si>
  <si>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</si>
  <si>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</si>
  <si>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</si>
  <si>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</si>
  <si>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</si>
  <si>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</si>
  <si>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</si>
  <si>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</si>
  <si>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</si>
  <si>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ҳукумат томонидан  ажратилган кредитлар</t>
  </si>
  <si>
    <t>бошқа мақсадли кредитлар</t>
  </si>
  <si>
    <t>БАНК ТОМОНИДАН ЖАЛБ ҚИЛИНГАН ДЕПОЗИТЛАРНИНГ ЎРТАЧА ТОРТИЛГАН ФОИЗ СТАВКАЛАРИ ТЎҒРИСИДА ҲИСОБОТ</t>
  </si>
  <si>
    <t>21-жадвал</t>
  </si>
  <si>
    <t>Жалб қилинган 
маблағларнинг муддатлари</t>
  </si>
  <si>
    <t>Жисмоний шахсларнинг депозит (омонат) лари</t>
  </si>
  <si>
    <t>Юридик шахсларнинг депозит (омонат) лари</t>
  </si>
  <si>
    <t>жами сумма</t>
  </si>
  <si>
    <t>Муддатсиз</t>
  </si>
  <si>
    <t>1-7 кун</t>
  </si>
  <si>
    <t>8-30 кун</t>
  </si>
  <si>
    <t>31-90 кун</t>
  </si>
  <si>
    <t>91-180 кун</t>
  </si>
  <si>
    <t>181-365 кун</t>
  </si>
  <si>
    <t>366-730 кун</t>
  </si>
  <si>
    <t>2 йилдан ортиқ</t>
  </si>
  <si>
    <t>Жами (1, 2, 3, 4, 5, 6, 7, 8 қаторлар йиғиндиси)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</si>
  <si>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</si>
  <si>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</si>
  <si>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</si>
  <si>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</si>
  <si>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</si>
  <si>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</si>
  <si>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</si>
  <si>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</si>
  <si>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</si>
  <si>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</si>
  <si>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</si>
  <si>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</si>
  <si>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</si>
  <si>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</si>
  <si>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</si>
  <si>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</si>
  <si>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</si>
  <si>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</si>
  <si>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</si>
  <si>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</si>
  <si>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</si>
  <si>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</si>
  <si>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</si>
  <si>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</si>
  <si>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</si>
  <si>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</si>
  <si>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</si>
  <si>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</si>
  <si>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</si>
  <si>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</si>
  <si>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</si>
  <si>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</si>
  <si>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</si>
  <si>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</si>
  <si>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Олди-сотди учун қимматли қоғозларга қилинган инвестицияларнинг жами қиймати</t>
  </si>
  <si>
    <t>Банк томонидан 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йиғиндисининг максимал қиймати</t>
  </si>
  <si>
    <t xml:space="preserve">Битта эмитентнинг нодавлат қимматли қоғозларига қилинган инвестицияларнинг максимал қиймати </t>
  </si>
  <si>
    <t>Барча эмитентларнинг устав капиталига ва бошқа қимматли қоғозларига қилинган инвестицияларнинг жами максимал суммаси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</si>
  <si>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</si>
  <si>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</si>
  <si>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</si>
  <si>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Кўчмас мулкка қилинган банк инвестицияларининг меъёрий кўрсаткичи</t>
  </si>
  <si>
    <t>Банкнинг кўчмас мулкка қилинган барча инвестицияларининг умумий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</si>
  <si>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</si>
  <si>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</si>
  <si>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Банкнинг кўчмас мулкка қилинган барча инвестицияларининг умумий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</si>
  <si>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</si>
  <si>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</si>
  <si>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</si>
  <si>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</si>
  <si>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</si>
  <si>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</si>
  <si>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</si>
  <si>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</si>
  <si>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</si>
  <si>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</si>
  <si>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</si>
  <si>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</si>
  <si>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</si>
  <si>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</si>
  <si>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</si>
  <si>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</si>
  <si>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</si>
  <si>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</si>
  <si>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</si>
  <si>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</si>
  <si>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</si>
  <si>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</si>
  <si>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</si>
  <si>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</si>
  <si>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</si>
  <si>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</si>
  <si>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</si>
  <si>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</si>
  <si>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</si>
  <si>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 xml:space="preserve">Захиралар чегирилган ҳолда харакатсиз кредитлар/жами капитал </t>
  </si>
  <si>
    <t>Захиралар чегирилган ҳолда харакатсиз кредитлар миқдори</t>
  </si>
  <si>
    <t xml:space="preserve">Жами капитал 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</si>
  <si>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</si>
  <si>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</si>
  <si>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</si>
  <si>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</si>
  <si>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</si>
  <si>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</si>
  <si>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</si>
  <si>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</si>
  <si>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Жами капитал ҳажми (мазкур давр учун ўртача)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</si>
  <si>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</si>
  <si>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</si>
  <si>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</si>
  <si>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</si>
  <si>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</si>
  <si>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</si>
  <si>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</si>
  <si>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</si>
  <si>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</si>
  <si>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Жами капитал/жами активлар</t>
  </si>
  <si>
    <t xml:space="preserve">Очиқ валюта позицияси, соф / Жами капитал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</si>
  <si>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</si>
  <si>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</si>
  <si>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</si>
  <si>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</si>
  <si>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</si>
  <si>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</si>
  <si>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</si>
  <si>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</si>
  <si>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</si>
  <si>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</si>
  <si>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</si>
  <si>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</si>
  <si>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</si>
  <si>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</si>
  <si>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</si>
  <si>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</si>
  <si>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</si>
  <si>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</si>
  <si>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</si>
  <si>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</si>
  <si>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</si>
  <si>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</si>
  <si>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</si>
  <si>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</si>
  <si>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</si>
  <si>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</si>
  <si>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</si>
  <si>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</si>
  <si>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</si>
  <si>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</si>
  <si>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</si>
  <si>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</si>
  <si>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</si>
  <si>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</si>
  <si>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</si>
  <si>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</si>
  <si>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</si>
  <si>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</si>
  <si>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</si>
  <si>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</si>
  <si>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</si>
  <si>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</si>
  <si>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</si>
  <si>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</si>
  <si>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</si>
  <si>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</si>
  <si>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</si>
  <si>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</si>
  <si>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</si>
  <si>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</si>
  <si>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</si>
  <si>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</si>
  <si>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</si>
  <si>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</si>
  <si>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</si>
  <si>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</si>
  <si>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</si>
  <si>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</si>
  <si>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</si>
  <si>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</si>
  <si>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</si>
  <si>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</si>
  <si>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</si>
  <si>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</si>
  <si>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</si>
  <si>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</si>
  <si>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</si>
  <si>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</si>
  <si>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</si>
  <si>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</si>
  <si>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</si>
  <si>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</si>
  <si>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</si>
  <si>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</si>
  <si>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</si>
  <si>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</si>
  <si>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</si>
  <si>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</si>
  <si>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</si>
  <si>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</si>
  <si>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</si>
  <si>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</si>
  <si>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</si>
  <si>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</si>
  <si>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</si>
  <si>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</si>
  <si>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</si>
  <si>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</si>
  <si>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</si>
  <si>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</si>
  <si>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</si>
  <si>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</si>
  <si>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</si>
  <si>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</si>
  <si>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</si>
  <si>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</si>
  <si>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</si>
  <si>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</si>
  <si>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</si>
  <si>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</si>
  <si>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</si>
  <si>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</si>
  <si>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</si>
  <si>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</si>
  <si>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</si>
  <si>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</si>
  <si>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</si>
  <si>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</si>
  <si>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</si>
  <si>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</si>
  <si>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</si>
  <si>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</si>
  <si>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</si>
  <si>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</si>
  <si>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</si>
  <si>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</si>
  <si>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</si>
  <si>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</si>
  <si>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</si>
  <si>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</si>
  <si>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</si>
  <si>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</si>
  <si>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</si>
  <si>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</si>
  <si>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</si>
  <si>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</si>
  <si>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</si>
  <si>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</si>
  <si>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</si>
  <si>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</si>
  <si>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</si>
  <si>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</si>
  <si>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</si>
  <si>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</si>
  <si>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</si>
  <si>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</si>
  <si>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</si>
  <si>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</si>
  <si>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</si>
  <si>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</si>
  <si>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</si>
  <si>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</si>
  <si>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</si>
  <si>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</si>
  <si>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</si>
  <si>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</si>
  <si>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</si>
  <si>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</si>
  <si>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</si>
  <si>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</si>
  <si>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</si>
  <si>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</si>
  <si>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</si>
  <si>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</si>
  <si>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</si>
  <si>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</si>
  <si>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</si>
  <si>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</si>
  <si>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</si>
  <si>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</si>
  <si>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</si>
  <si>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№6</t>
  </si>
  <si>
    <t>MCHJ "PSB CAPITAL"</t>
  </si>
  <si>
    <t>000</t>
  </si>
  <si>
    <t>CK MCHJ "PSB INSURANCE"</t>
  </si>
  <si>
    <t>Аминова Умида Пазилджановна</t>
  </si>
  <si>
    <t>Худайберганов Илхом Неъматуллаевич</t>
  </si>
  <si>
    <t>Назаров Алимжон Мирзаевич</t>
  </si>
  <si>
    <t>Мирзаев Исломжон Олимжон ўғли</t>
  </si>
  <si>
    <t>Мирзаев Муроджон Олимжон ўғли</t>
  </si>
  <si>
    <t xml:space="preserve">Холмуродов Жовли </t>
  </si>
  <si>
    <t>Норбоев Олим Чориевич</t>
  </si>
  <si>
    <t>Палванов Акмал Самандарович</t>
  </si>
  <si>
    <t>Палванов Валижон Самандарович</t>
  </si>
  <si>
    <t>Халилов Шухрат Холмирзаевич</t>
  </si>
  <si>
    <t>Хусанов Нурбек Эргашевич</t>
  </si>
  <si>
    <t>Норхужаева Дилфуза Бахритдиновна</t>
  </si>
  <si>
    <t>Норхужаев Бахритдин Нуритдинович</t>
  </si>
  <si>
    <t>Турсунова Гулрух Олимбек кизи</t>
  </si>
  <si>
    <t>Бердибеков Олимбек Турсунович</t>
  </si>
  <si>
    <t>Турсунов Отабек Олимбек угли</t>
  </si>
  <si>
    <t>Акбаржонов Азиз Акбаржон ўғли</t>
  </si>
  <si>
    <t>Юсупов Юсуфбой Косимович</t>
  </si>
  <si>
    <t>Шамирзаев Диёр Худоёрович</t>
  </si>
  <si>
    <t>Сулаймонов Одил Яхёевич</t>
  </si>
  <si>
    <t>Вохидов Ойбек Розикович</t>
  </si>
  <si>
    <t>Пулатова Ибодат Рамазоновна</t>
  </si>
  <si>
    <t>Сафаров Мухаммад Холиёр уғли</t>
  </si>
  <si>
    <t>Якубов Шухрат Исраилович</t>
  </si>
  <si>
    <t>Шерматов Мансур Нигматович</t>
  </si>
  <si>
    <t>Каримов Комилжон Иброгимович</t>
  </si>
  <si>
    <t>Каримов Камолжон Ибрагимов</t>
  </si>
  <si>
    <t>Муллажанов Бобуржон Кодирович</t>
  </si>
  <si>
    <t>Аннакличев Сахи Сапармухамедович</t>
  </si>
  <si>
    <t>Аннакличев Султан Сапармухамедович</t>
  </si>
  <si>
    <t>Машарипов Шоназар Жуманазарович</t>
  </si>
  <si>
    <t>Абдурахманов Фаррух Талипжанович</t>
  </si>
  <si>
    <t>Акбаров Хикмат Гайратович</t>
  </si>
  <si>
    <t>АО НАВОИАЗОТ</t>
  </si>
  <si>
    <t>200002933</t>
  </si>
  <si>
    <t>20151</t>
  </si>
  <si>
    <t xml:space="preserve">000 840 </t>
  </si>
  <si>
    <t>"Dehqonobod kaliy zavodi" AJ</t>
  </si>
  <si>
    <t>206887857</t>
  </si>
  <si>
    <t xml:space="preserve"> 840 </t>
  </si>
  <si>
    <t>QO`NG`IROT SODA ZAVODI</t>
  </si>
  <si>
    <t>200949269</t>
  </si>
  <si>
    <t>20130</t>
  </si>
  <si>
    <t>MAXAM - CHIRCHIQ АЖ</t>
  </si>
  <si>
    <t>200941518</t>
  </si>
  <si>
    <t xml:space="preserve">000  </t>
  </si>
  <si>
    <t>MCHJ shaklidagi SAMARKAND-NPK QUSHMA KORXONASI</t>
  </si>
  <si>
    <t>303295841</t>
  </si>
  <si>
    <t>СП ООО "CHEMISTRY INTERNATIONAL"</t>
  </si>
  <si>
    <t>308989789</t>
  </si>
  <si>
    <t>20590</t>
  </si>
  <si>
    <t>"AMMIAK VA KARBAMID ZAVODINI QURISH DIREKSIYASI" MCHJ</t>
  </si>
  <si>
    <t>305592186</t>
  </si>
  <si>
    <t>41202</t>
  </si>
  <si>
    <t>"UZKIMYOIMPEKS" MChJ</t>
  </si>
  <si>
    <t>305048781</t>
  </si>
  <si>
    <t>WINCHEMICAL МЧЖ ШАКЛИДАГИ КУШМА КОРХОНА</t>
  </si>
  <si>
    <t>305124664</t>
  </si>
  <si>
    <t>17240</t>
  </si>
  <si>
    <t>AMMOFOS-MAXAM</t>
  </si>
  <si>
    <t>200599579</t>
  </si>
  <si>
    <t>" ANGREN ISSIQLIK ELEKTR STANSIYASI" акциядорлик жамияти</t>
  </si>
  <si>
    <t>200595949</t>
  </si>
  <si>
    <t>35111</t>
  </si>
  <si>
    <t>АО "O'ZBEKISTON MILLIY ELEKTR TARMOQLARI"</t>
  </si>
  <si>
    <t>306347741</t>
  </si>
  <si>
    <t>35120</t>
  </si>
  <si>
    <t>Yangi Angren Issiqlik Elektr Stansiyasi Aksiyadorlik Jamiyati</t>
  </si>
  <si>
    <t>200595838</t>
  </si>
  <si>
    <t>000 840 978</t>
  </si>
  <si>
    <t>АО ISSIQLIK ELEKTR STANSIYALARI</t>
  </si>
  <si>
    <t>306349304</t>
  </si>
  <si>
    <t>АО "SIRDARYO ISSIQLIK ELEKTR STANSIYASI"</t>
  </si>
  <si>
    <t>201169179</t>
  </si>
  <si>
    <t>Талимаржан Иссиклик электростанцияси унитар корхонаси</t>
  </si>
  <si>
    <t>201284979</t>
  </si>
  <si>
    <t>TOSHKENT ISSIQLIK ELEKTR STANSIYA AJ</t>
  </si>
  <si>
    <t>200605388</t>
  </si>
  <si>
    <t>FARGONA ISSIQLIQ ELEQTR MARKAZI ОЧИК АКЦИОНЕРЛИК ЖАМИЯТИ</t>
  </si>
  <si>
    <t>200202146</t>
  </si>
  <si>
    <t>35300</t>
  </si>
  <si>
    <t>"TO‘RAQO‘RG‘ON ISSIQLIK ELEKTR STANSIYASINI QURISH DIREKSIYASI" unitar korxonasi</t>
  </si>
  <si>
    <t>302586084</t>
  </si>
  <si>
    <t>"NAVOIY ISSIQLIK ELEKTR STANSIYASI" aksiyadorlik jamiyati</t>
  </si>
  <si>
    <t>200850647</t>
  </si>
  <si>
    <t>"MUBORAK ISSIQLIK ELEKTR MARKAZI" АЖ</t>
  </si>
  <si>
    <t>200698044</t>
  </si>
  <si>
    <t>UZBEKISTON TEMIR YULLARI AJ</t>
  </si>
  <si>
    <t>201051951</t>
  </si>
  <si>
    <t>49200</t>
  </si>
  <si>
    <t>"О`ZBEKKO`MIR" AJ</t>
  </si>
  <si>
    <t>200899410</t>
  </si>
  <si>
    <t>05200</t>
  </si>
  <si>
    <t>AJ OZTEMIRYOLYOLOVCHI</t>
  </si>
  <si>
    <t>202472894</t>
  </si>
  <si>
    <t>49100</t>
  </si>
  <si>
    <t>"YANGI ZAMON BINO" Mas'uliyati cheklangan jamiyat</t>
  </si>
  <si>
    <t>304424670</t>
  </si>
  <si>
    <t>"QO'QON BIOKIMYO" АЖ</t>
  </si>
  <si>
    <t>200126834</t>
  </si>
  <si>
    <t>11010</t>
  </si>
  <si>
    <t>000  978</t>
  </si>
  <si>
    <t>СП ООО UZXCMG</t>
  </si>
  <si>
    <t>302821203</t>
  </si>
  <si>
    <t>O`ZBEKNEFTGAZ</t>
  </si>
  <si>
    <t>200837914</t>
  </si>
  <si>
    <t>06200</t>
  </si>
  <si>
    <t>BUXORO NEFTNI QAYTA ISHLASH ZAVODI МЧЖ</t>
  </si>
  <si>
    <t>202080378</t>
  </si>
  <si>
    <t>19200</t>
  </si>
  <si>
    <t>O`ZNEFTEGAZ BURG`ULASH ISHLARI</t>
  </si>
  <si>
    <t>306554889</t>
  </si>
  <si>
    <t>09100</t>
  </si>
  <si>
    <t>"ТЕХНОМАШ" МЧЖ</t>
  </si>
  <si>
    <t>201566753</t>
  </si>
  <si>
    <t>46730</t>
  </si>
  <si>
    <t>JIZZAX NEFT BAZA MCHJ</t>
  </si>
  <si>
    <t>200343224</t>
  </si>
  <si>
    <t>46710 </t>
  </si>
  <si>
    <t>УЗНЕФТЕГАЗКУДУКТАЪМИРЛАШ ОАЖ</t>
  </si>
  <si>
    <t>201057286</t>
  </si>
  <si>
    <t>43990 </t>
  </si>
  <si>
    <t>ANDIJON NEFT BAZASI</t>
  </si>
  <si>
    <t>200240109</t>
  </si>
  <si>
    <t>УРГАНЧ НЕФТ БАЗАСИ УНИТАР КОРХОНАСИ</t>
  </si>
  <si>
    <t>204589421</t>
  </si>
  <si>
    <t>MAXSUSENERGOGAZ АЖ</t>
  </si>
  <si>
    <t>200523522</t>
  </si>
  <si>
    <t>35300 </t>
  </si>
  <si>
    <t>ООО "SIRDARYO MEGA LUKS"</t>
  </si>
  <si>
    <t>301024585</t>
  </si>
  <si>
    <t>22220</t>
  </si>
  <si>
    <t>ООО "GLOBAL TEXTILE INFINITY"</t>
  </si>
  <si>
    <t>308285866</t>
  </si>
  <si>
    <t>13101</t>
  </si>
  <si>
    <t xml:space="preserve">  978</t>
  </si>
  <si>
    <t>"FERGANA GLOBAL TEXTILE" МЧЖ</t>
  </si>
  <si>
    <t>305785017</t>
  </si>
  <si>
    <t>ООО GLOBAL TEXTILE SOLUTIONS</t>
  </si>
  <si>
    <t>302846464</t>
  </si>
  <si>
    <t>77120</t>
  </si>
  <si>
    <t>ИП ООО "SANOAT ENERGETIKA GURUHI"</t>
  </si>
  <si>
    <t>304936120</t>
  </si>
  <si>
    <t>06100</t>
  </si>
  <si>
    <t xml:space="preserve"> 840 978</t>
  </si>
  <si>
    <t>CITIBANK N.A.</t>
  </si>
  <si>
    <t/>
  </si>
  <si>
    <t>АЖ "O''ZTRANSGAZ"</t>
  </si>
  <si>
    <t>200626188</t>
  </si>
  <si>
    <t>49500</t>
  </si>
  <si>
    <t>JPMORGAN CHASE BANK, N.A.</t>
  </si>
  <si>
    <t>G'UZOR TEKSTIL IMPEKS МЧЖ</t>
  </si>
  <si>
    <t>304720106</t>
  </si>
  <si>
    <t>13201</t>
  </si>
  <si>
    <t>ANGREN SHAKAR MChJ</t>
  </si>
  <si>
    <t>207155445</t>
  </si>
  <si>
    <t>10810</t>
  </si>
  <si>
    <t>"XORAZM SHAKAR" МЧЖ</t>
  </si>
  <si>
    <t>202586539</t>
  </si>
  <si>
    <t>MChJ "PLATINUM TRADE GROUP"</t>
  </si>
  <si>
    <t>302890356</t>
  </si>
  <si>
    <t>46320 </t>
  </si>
  <si>
    <t>"HUDUDGAZTA'MINOT" AJ</t>
  </si>
  <si>
    <t>306605769</t>
  </si>
  <si>
    <t>35220</t>
  </si>
  <si>
    <t>"TOSHKENT METALLURGIYA ZAVODI" MChJ QK</t>
  </si>
  <si>
    <t>304574612</t>
  </si>
  <si>
    <t>28910</t>
  </si>
  <si>
    <t>СП OOO AMIRSOY</t>
  </si>
  <si>
    <t>305152772</t>
  </si>
  <si>
    <t>93290</t>
  </si>
  <si>
    <t>МЧЖ "ETNA IDEAL"</t>
  </si>
  <si>
    <t>305635130</t>
  </si>
  <si>
    <t>"AYOL CARE" Масъулияти чекланган жамияти</t>
  </si>
  <si>
    <t>304718329</t>
  </si>
  <si>
    <t>86100</t>
  </si>
  <si>
    <t>ICBC STANDARD BANK PLC (Депозиты до 1 года в др. банках)</t>
  </si>
  <si>
    <t>"APK BEKABOD" MCHJ</t>
  </si>
  <si>
    <t>306912173</t>
  </si>
  <si>
    <t>01161</t>
  </si>
  <si>
    <t>"APK BUKA" МЧЖ</t>
  </si>
  <si>
    <t>307240259</t>
  </si>
  <si>
    <t>УП "APK OQOLTIN"</t>
  </si>
  <si>
    <t>306980240</t>
  </si>
  <si>
    <t>УП "APK CHINOZ"</t>
  </si>
  <si>
    <t>306713871</t>
  </si>
  <si>
    <t>10610</t>
  </si>
  <si>
    <t>МЧЖ "TEXTILE TECHNOLOGIES GROUP" ХК.</t>
  </si>
  <si>
    <t>207071646</t>
  </si>
  <si>
    <t>ТОШКЕНТ Ш., "АСАКАБАНК" АЖ БОШ ОФИСИ (Деп.сч. по локал.опер. Mastercard)</t>
  </si>
  <si>
    <t>"TEXNOPARK" MCHJ</t>
  </si>
  <si>
    <t>306493973</t>
  </si>
  <si>
    <t>27510</t>
  </si>
  <si>
    <t>"Ўзсаноатқурилишбанк" АТБ</t>
  </si>
  <si>
    <t>Fitch Ratings, S&amp;P</t>
  </si>
  <si>
    <t>ВВ-, ВВ-, прогноз "Стабильный"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</si>
</sst>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1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sz val="9"/>
      <name val="Arial"/>
      <family val="2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10"/>
      <color rgb="FFFF0000"/>
      <name val="Arial Cyr"/>
      <family val="2"/>
      <charset val="204"/>
    </font>
    <font>
      <b/>
      <sz val="20"/>
      <color rgb="FFFF000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1">
    <xf numFmtId="0" fontId="0" fillId="0" borderId="0"/>
    <xf numFmtId="0" fontId="26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8" fillId="0" borderId="17">
      <protection locked="0"/>
    </xf>
    <xf numFmtId="174" fontId="60" fillId="0" borderId="0">
      <protection locked="0"/>
    </xf>
    <xf numFmtId="175" fontId="60" fillId="0" borderId="17">
      <protection locked="0"/>
    </xf>
    <xf numFmtId="176" fontId="60" fillId="0" borderId="0">
      <protection locked="0"/>
    </xf>
    <xf numFmtId="4" fontId="60" fillId="0" borderId="0">
      <protection locked="0"/>
    </xf>
    <xf numFmtId="177" fontId="60" fillId="0" borderId="0">
      <protection locked="0"/>
    </xf>
    <xf numFmtId="175" fontId="61" fillId="0" borderId="0">
      <protection locked="0"/>
    </xf>
    <xf numFmtId="175" fontId="62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3" fillId="0" borderId="5">
      <alignment horizontal="center"/>
    </xf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64" fillId="0" borderId="0"/>
    <xf numFmtId="0" fontId="30" fillId="0" borderId="0"/>
    <xf numFmtId="9" fontId="32" fillId="0" borderId="0" applyFont="0" applyFill="0" applyBorder="0" applyAlignment="0" applyProtection="0"/>
    <xf numFmtId="0" fontId="6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1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7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68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6" fillId="0" borderId="0"/>
    <xf numFmtId="0" fontId="65" fillId="0" borderId="0"/>
    <xf numFmtId="0" fontId="2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65" fillId="0" borderId="0"/>
    <xf numFmtId="0" fontId="30" fillId="0" borderId="0"/>
    <xf numFmtId="0" fontId="6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67" fillId="0" borderId="0"/>
    <xf numFmtId="0" fontId="2" fillId="0" borderId="0"/>
    <xf numFmtId="0" fontId="6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3" fillId="0" borderId="0"/>
    <xf numFmtId="0" fontId="32" fillId="0" borderId="0"/>
    <xf numFmtId="0" fontId="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67" fillId="0" borderId="0"/>
    <xf numFmtId="0" fontId="65" fillId="0" borderId="0"/>
    <xf numFmtId="0" fontId="70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2" fillId="0" borderId="0"/>
    <xf numFmtId="0" fontId="2" fillId="0" borderId="0"/>
    <xf numFmtId="0" fontId="71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72" fillId="0" borderId="0"/>
    <xf numFmtId="0" fontId="3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3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67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32" fillId="0" borderId="0"/>
    <xf numFmtId="0" fontId="31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9" fontId="6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74" fillId="0" borderId="0"/>
    <xf numFmtId="166" fontId="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1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3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58" fillId="0" borderId="0">
      <protection locked="0"/>
    </xf>
    <xf numFmtId="0" fontId="8" fillId="0" borderId="0">
      <alignment vertical="top"/>
    </xf>
    <xf numFmtId="184" fontId="80" fillId="0" borderId="0" applyFont="0" applyFill="0" applyBorder="0" applyAlignment="0" applyProtection="0"/>
    <xf numFmtId="185" fontId="80" fillId="0" borderId="0" applyFont="0" applyFill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186" fontId="80" fillId="0" borderId="0" applyFont="0" applyFill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0" borderId="0" applyNumberFormat="0" applyBorder="0" applyAlignment="0" applyProtection="0"/>
    <xf numFmtId="0" fontId="69" fillId="25" borderId="0" applyNumberFormat="0" applyBorder="0" applyAlignment="0" applyProtection="0"/>
    <xf numFmtId="0" fontId="69" fillId="28" borderId="0" applyNumberFormat="0" applyBorder="0" applyAlignment="0" applyProtection="0"/>
    <xf numFmtId="0" fontId="69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1" fillId="37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9" borderId="0" applyNumberFormat="0" applyBorder="0" applyAlignment="0" applyProtection="0"/>
    <xf numFmtId="0" fontId="82" fillId="23" borderId="0" applyNumberFormat="0" applyBorder="0" applyAlignment="0" applyProtection="0"/>
    <xf numFmtId="0" fontId="83" fillId="40" borderId="20" applyNumberFormat="0" applyAlignment="0" applyProtection="0"/>
    <xf numFmtId="0" fontId="84" fillId="41" borderId="21" applyNumberFormat="0" applyAlignment="0" applyProtection="0"/>
    <xf numFmtId="178" fontId="85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4" fillId="0" borderId="0" applyNumberFormat="0" applyFont="0" applyFill="0" applyBorder="0" applyAlignment="0"/>
    <xf numFmtId="187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9" fontId="20" fillId="0" borderId="0" applyFont="0" applyFill="0" applyBorder="0" applyAlignment="0" applyProtection="0"/>
    <xf numFmtId="190" fontId="86" fillId="0" borderId="0"/>
    <xf numFmtId="0" fontId="87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88" fillId="2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22" applyNumberFormat="0" applyFill="0" applyAlignment="0" applyProtection="0"/>
    <xf numFmtId="0" fontId="91" fillId="0" borderId="0" applyNumberFormat="0" applyFill="0" applyBorder="0" applyAlignment="0" applyProtection="0"/>
    <xf numFmtId="173" fontId="80" fillId="0" borderId="0" applyFont="0" applyFill="0" applyBorder="0" applyAlignment="0" applyProtection="0"/>
    <xf numFmtId="0" fontId="92" fillId="27" borderId="20" applyNumberFormat="0" applyAlignment="0" applyProtection="0"/>
    <xf numFmtId="0" fontId="93" fillId="0" borderId="23" applyNumberFormat="0" applyFill="0" applyAlignment="0" applyProtection="0"/>
    <xf numFmtId="191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73" fontId="94" fillId="0" borderId="0" applyFill="0" applyBorder="0"/>
    <xf numFmtId="0" fontId="95" fillId="42" borderId="0" applyNumberFormat="0" applyBorder="0" applyAlignment="0" applyProtection="0"/>
    <xf numFmtId="0" fontId="94" fillId="0" borderId="0"/>
    <xf numFmtId="0" fontId="32" fillId="43" borderId="24" applyNumberFormat="0" applyFont="0" applyAlignment="0" applyProtection="0"/>
    <xf numFmtId="0" fontId="96" fillId="40" borderId="25" applyNumberFormat="0" applyAlignment="0" applyProtection="0"/>
    <xf numFmtId="9" fontId="30" fillId="0" borderId="0" applyFont="0" applyFill="0" applyBorder="0" applyAlignment="0" applyProtection="0"/>
    <xf numFmtId="194" fontId="8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30" fillId="0" borderId="26" applyNumberFormat="0" applyFont="0" applyFill="0" applyAlignment="0" applyProtection="0"/>
    <xf numFmtId="0" fontId="98" fillId="0" borderId="0" applyNumberForma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739">
    <xf numFmtId="0" fontId="0" fillId="0" borderId="0" xfId="0"/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Continuous"/>
    </xf>
    <xf numFmtId="0" fontId="9" fillId="0" borderId="0" xfId="0" applyFont="1"/>
    <xf numFmtId="0" fontId="8" fillId="0" borderId="0" xfId="0" applyFont="1" applyAlignment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6" fillId="0" borderId="0" xfId="4" applyNumberFormat="1" applyFont="1" applyFill="1" applyBorder="1" applyAlignment="1" applyProtection="1">
      <alignment vertical="center"/>
    </xf>
    <xf numFmtId="0" fontId="16" fillId="0" borderId="0" xfId="4" applyNumberFormat="1" applyFont="1" applyFill="1" applyBorder="1" applyAlignment="1" applyProtection="1">
      <alignment vertical="top"/>
    </xf>
    <xf numFmtId="0" fontId="16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Border="1" applyAlignment="1" applyProtection="1">
      <alignment vertical="center"/>
      <protection locked="0"/>
    </xf>
    <xf numFmtId="3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3" fontId="6" fillId="0" borderId="1" xfId="0" applyNumberFormat="1" applyFont="1" applyBorder="1" applyAlignment="1" applyProtection="1">
      <alignment horizontal="center" vertical="center" wrapText="1"/>
      <protection locked="0"/>
    </xf>
    <xf numFmtId="0" fontId="33" fillId="0" borderId="0" xfId="0" applyFont="1"/>
    <xf numFmtId="3" fontId="33" fillId="0" borderId="0" xfId="0" applyNumberFormat="1" applyFont="1" applyAlignment="1">
      <alignment horizontal="centerContinuous"/>
    </xf>
    <xf numFmtId="0" fontId="9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/>
    <xf numFmtId="0" fontId="34" fillId="0" borderId="0" xfId="0" applyFont="1" applyProtection="1">
      <protection hidden="1"/>
    </xf>
    <xf numFmtId="0" fontId="3" fillId="0" borderId="0" xfId="0" applyFont="1"/>
    <xf numFmtId="170" fontId="22" fillId="0" borderId="0" xfId="3" applyNumberFormat="1" applyFont="1" applyBorder="1" applyAlignment="1" applyProtection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170" fontId="18" fillId="0" borderId="1" xfId="3" applyNumberFormat="1" applyFont="1" applyBorder="1" applyAlignment="1" applyProtection="1">
      <alignment horizontal="left" vertical="center"/>
    </xf>
    <xf numFmtId="3" fontId="18" fillId="0" borderId="1" xfId="3" applyNumberFormat="1" applyFont="1" applyBorder="1" applyAlignment="1" applyProtection="1">
      <alignment horizontal="center" vertical="center"/>
    </xf>
    <xf numFmtId="3" fontId="19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 indent="2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 indent="2"/>
    </xf>
    <xf numFmtId="0" fontId="1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Alignment="1">
      <alignment vertical="center"/>
    </xf>
    <xf numFmtId="0" fontId="18" fillId="0" borderId="0" xfId="0" applyFont="1"/>
    <xf numFmtId="170" fontId="19" fillId="0" borderId="0" xfId="3" applyNumberFormat="1" applyFont="1" applyProtection="1"/>
    <xf numFmtId="0" fontId="18" fillId="0" borderId="0" xfId="0" applyFont="1" applyAlignment="1">
      <alignment horizontal="right"/>
    </xf>
    <xf numFmtId="171" fontId="19" fillId="0" borderId="0" xfId="0" applyNumberFormat="1" applyFont="1" applyAlignment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8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16" fillId="0" borderId="0" xfId="5" applyNumberFormat="1" applyFont="1" applyFill="1" applyBorder="1" applyAlignment="1" applyProtection="1">
      <alignment vertical="top"/>
    </xf>
    <xf numFmtId="0" fontId="16" fillId="0" borderId="0" xfId="5" applyNumberFormat="1" applyFont="1" applyFill="1" applyBorder="1" applyAlignment="1" applyProtection="1">
      <alignment horizontal="center" vertical="center"/>
    </xf>
    <xf numFmtId="0" fontId="35" fillId="0" borderId="0" xfId="5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3" applyFont="1" applyFill="1" applyBorder="1" applyAlignment="1" applyProtection="1">
      <alignment vertical="center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27" fillId="0" borderId="1" xfId="0" applyFont="1" applyBorder="1" applyAlignment="1">
      <alignment horizontal="left" vertical="center" indent="2"/>
    </xf>
    <xf numFmtId="3" fontId="16" fillId="0" borderId="0" xfId="4" applyNumberFormat="1" applyFont="1" applyFill="1" applyBorder="1" applyAlignment="1" applyProtection="1">
      <alignment vertical="top"/>
    </xf>
    <xf numFmtId="3" fontId="40" fillId="0" borderId="1" xfId="3" applyNumberFormat="1" applyFont="1" applyFill="1" applyBorder="1" applyAlignment="1" applyProtection="1">
      <alignment horizontal="center"/>
    </xf>
    <xf numFmtId="0" fontId="16" fillId="0" borderId="0" xfId="5" applyNumberFormat="1" applyFont="1" applyFill="1" applyBorder="1" applyAlignment="1" applyProtection="1">
      <alignment horizontal="center" vertical="top"/>
    </xf>
    <xf numFmtId="15" fontId="16" fillId="0" borderId="0" xfId="5" applyNumberFormat="1" applyFont="1" applyFill="1" applyBorder="1" applyAlignment="1" applyProtection="1">
      <alignment vertical="top"/>
    </xf>
    <xf numFmtId="0" fontId="41" fillId="0" borderId="0" xfId="0" applyFont="1" applyAlignment="1">
      <alignment horizontal="center" vertical="center"/>
    </xf>
    <xf numFmtId="15" fontId="31" fillId="0" borderId="0" xfId="0" applyNumberFormat="1" applyFont="1" applyAlignment="1">
      <alignment horizontal="left" wrapText="1" indent="3"/>
    </xf>
    <xf numFmtId="170" fontId="22" fillId="0" borderId="0" xfId="3" applyNumberFormat="1" applyFont="1" applyBorder="1" applyAlignment="1" applyProtection="1">
      <alignment horizontal="left" indent="2"/>
    </xf>
    <xf numFmtId="3" fontId="28" fillId="0" borderId="0" xfId="0" applyNumberFormat="1" applyFont="1"/>
    <xf numFmtId="3" fontId="42" fillId="0" borderId="0" xfId="0" applyNumberFormat="1" applyFont="1" applyAlignment="1">
      <alignment horizontal="center"/>
    </xf>
    <xf numFmtId="0" fontId="39" fillId="0" borderId="0" xfId="5" applyNumberFormat="1" applyFont="1" applyFill="1" applyBorder="1" applyAlignment="1" applyProtection="1">
      <alignment horizontal="center" vertical="top"/>
    </xf>
    <xf numFmtId="3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6" fillId="0" borderId="1" xfId="4" applyNumberFormat="1" applyFont="1" applyFill="1" applyBorder="1" applyAlignment="1" applyProtection="1">
      <alignment horizontal="center" vertical="top" wrapText="1"/>
      <protection locked="0"/>
    </xf>
    <xf numFmtId="0" fontId="4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Continuous" vertical="center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6" fillId="0" borderId="1" xfId="5" applyNumberFormat="1" applyFont="1" applyFill="1" applyBorder="1" applyAlignment="1" applyProtection="1">
      <alignment horizontal="center" vertical="center" wrapText="1"/>
    </xf>
    <xf numFmtId="1" fontId="9" fillId="0" borderId="1" xfId="0" applyNumberFormat="1" applyFont="1" applyBorder="1" applyAlignment="1">
      <alignment vertical="center"/>
    </xf>
    <xf numFmtId="9" fontId="9" fillId="0" borderId="1" xfId="0" applyNumberFormat="1" applyFont="1" applyBorder="1" applyAlignment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</xf>
    <xf numFmtId="0" fontId="31" fillId="0" borderId="1" xfId="0" applyFont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wrapText="1" indent="1"/>
    </xf>
    <xf numFmtId="9" fontId="16" fillId="0" borderId="0" xfId="2" applyFont="1" applyFill="1" applyBorder="1" applyAlignment="1" applyProtection="1">
      <alignment vertical="top"/>
    </xf>
    <xf numFmtId="9" fontId="16" fillId="0" borderId="1" xfId="2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>
      <alignment horizontal="center" vertical="center" wrapText="1"/>
    </xf>
    <xf numFmtId="3" fontId="28" fillId="3" borderId="1" xfId="0" applyNumberFormat="1" applyFont="1" applyFill="1" applyBorder="1" applyAlignment="1">
      <alignment horizontal="center" vertical="center" wrapText="1"/>
    </xf>
    <xf numFmtId="3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vertical="center" wrapText="1"/>
    </xf>
    <xf numFmtId="3" fontId="28" fillId="0" borderId="3" xfId="0" applyNumberFormat="1" applyFont="1" applyBorder="1" applyAlignment="1">
      <alignment vertical="center"/>
    </xf>
    <xf numFmtId="3" fontId="28" fillId="0" borderId="1" xfId="0" applyNumberFormat="1" applyFont="1" applyBorder="1" applyAlignment="1">
      <alignment horizontal="center" vertical="center" wrapText="1"/>
    </xf>
    <xf numFmtId="0" fontId="46" fillId="0" borderId="0" xfId="0" applyFont="1"/>
    <xf numFmtId="167" fontId="46" fillId="0" borderId="0" xfId="3" applyFont="1" applyBorder="1" applyProtection="1"/>
    <xf numFmtId="0" fontId="46" fillId="0" borderId="0" xfId="0" applyFont="1" applyAlignment="1">
      <alignment vertical="center"/>
    </xf>
    <xf numFmtId="167" fontId="46" fillId="0" borderId="0" xfId="3" applyFont="1" applyBorder="1" applyAlignment="1" applyProtection="1">
      <alignment vertical="center"/>
    </xf>
    <xf numFmtId="0" fontId="37" fillId="0" borderId="0" xfId="0" applyFont="1" applyAlignment="1">
      <alignment vertical="center"/>
    </xf>
    <xf numFmtId="3" fontId="47" fillId="0" borderId="0" xfId="0" applyNumberFormat="1" applyFont="1"/>
    <xf numFmtId="167" fontId="47" fillId="0" borderId="0" xfId="3" applyFont="1" applyBorder="1" applyProtection="1"/>
    <xf numFmtId="0" fontId="47" fillId="0" borderId="0" xfId="0" applyFont="1"/>
    <xf numFmtId="0" fontId="47" fillId="0" borderId="0" xfId="0" applyFont="1" applyAlignment="1">
      <alignment vertical="center"/>
    </xf>
    <xf numFmtId="167" fontId="47" fillId="0" borderId="0" xfId="3" applyFont="1" applyBorder="1" applyAlignment="1" applyProtection="1">
      <alignment vertical="center"/>
    </xf>
    <xf numFmtId="170" fontId="47" fillId="0" borderId="0" xfId="3" applyNumberFormat="1" applyFont="1" applyAlignment="1" applyProtection="1">
      <alignment vertical="center"/>
    </xf>
    <xf numFmtId="3" fontId="46" fillId="0" borderId="0" xfId="0" applyNumberFormat="1" applyFont="1" applyAlignment="1">
      <alignment vertical="center"/>
    </xf>
    <xf numFmtId="167" fontId="46" fillId="0" borderId="0" xfId="3" applyFont="1" applyFill="1" applyBorder="1" applyAlignment="1" applyProtection="1">
      <alignment vertical="center"/>
    </xf>
    <xf numFmtId="0" fontId="48" fillId="0" borderId="0" xfId="0" applyFont="1" applyAlignment="1">
      <alignment vertical="center"/>
    </xf>
    <xf numFmtId="167" fontId="48" fillId="0" borderId="0" xfId="3" applyFont="1" applyFill="1" applyBorder="1" applyAlignment="1" applyProtection="1">
      <alignment vertical="center"/>
    </xf>
    <xf numFmtId="3" fontId="48" fillId="0" borderId="0" xfId="0" applyNumberFormat="1" applyFont="1" applyAlignment="1">
      <alignment vertical="center"/>
    </xf>
    <xf numFmtId="167" fontId="48" fillId="0" borderId="0" xfId="3" applyFont="1" applyBorder="1" applyAlignment="1" applyProtection="1">
      <alignment vertical="center"/>
    </xf>
    <xf numFmtId="0" fontId="16" fillId="0" borderId="0" xfId="0" applyFont="1"/>
    <xf numFmtId="49" fontId="16" fillId="6" borderId="1" xfId="4" applyNumberFormat="1" applyFont="1" applyFill="1" applyBorder="1" applyAlignment="1" applyProtection="1">
      <alignment horizontal="center" vertical="center" wrapText="1"/>
    </xf>
    <xf numFmtId="3" fontId="16" fillId="6" borderId="1" xfId="4" applyNumberFormat="1" applyFont="1" applyFill="1" applyBorder="1" applyAlignment="1" applyProtection="1">
      <alignment horizontal="center" vertical="center" wrapText="1"/>
    </xf>
    <xf numFmtId="0" fontId="51" fillId="0" borderId="0" xfId="0" applyFont="1" applyAlignment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7" fontId="51" fillId="0" borderId="0" xfId="3" applyFont="1" applyBorder="1" applyAlignment="1" applyProtection="1">
      <alignment vertical="center"/>
    </xf>
    <xf numFmtId="3" fontId="51" fillId="0" borderId="1" xfId="3" applyNumberFormat="1" applyFont="1" applyFill="1" applyBorder="1" applyAlignment="1" applyProtection="1">
      <alignment horizontal="center"/>
    </xf>
    <xf numFmtId="0" fontId="39" fillId="0" borderId="0" xfId="4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Border="1"/>
    <xf numFmtId="3" fontId="9" fillId="0" borderId="0" xfId="0" applyNumberFormat="1" applyFont="1"/>
    <xf numFmtId="3" fontId="5" fillId="0" borderId="0" xfId="0" applyNumberFormat="1" applyFont="1"/>
    <xf numFmtId="171" fontId="12" fillId="0" borderId="10" xfId="0" applyNumberFormat="1" applyFont="1" applyBorder="1" applyAlignment="1">
      <alignment horizontal="centerContinuous"/>
    </xf>
    <xf numFmtId="3" fontId="53" fillId="0" borderId="0" xfId="0" applyNumberFormat="1" applyFont="1" applyAlignment="1">
      <alignment horizontal="centerContinuous"/>
    </xf>
    <xf numFmtId="3" fontId="54" fillId="0" borderId="0" xfId="0" applyNumberFormat="1" applyFont="1" applyAlignment="1">
      <alignment horizontal="centerContinuous"/>
    </xf>
    <xf numFmtId="0" fontId="54" fillId="0" borderId="0" xfId="0" applyFont="1"/>
    <xf numFmtId="3" fontId="53" fillId="0" borderId="0" xfId="0" applyNumberFormat="1" applyFont="1" applyAlignment="1">
      <alignment horizontal="center"/>
    </xf>
    <xf numFmtId="0" fontId="55" fillId="0" borderId="0" xfId="4" applyNumberFormat="1" applyFont="1" applyFill="1" applyBorder="1" applyAlignment="1" applyProtection="1">
      <alignment vertical="top"/>
    </xf>
    <xf numFmtId="3" fontId="55" fillId="0" borderId="0" xfId="4" applyNumberFormat="1" applyFont="1" applyFill="1" applyBorder="1" applyAlignment="1" applyProtection="1">
      <alignment vertical="top"/>
    </xf>
    <xf numFmtId="9" fontId="45" fillId="5" borderId="1" xfId="2" applyFont="1" applyFill="1" applyBorder="1" applyAlignment="1" applyProtection="1">
      <alignment horizontal="center" vertical="center" wrapText="1"/>
      <protection locked="0"/>
    </xf>
    <xf numFmtId="0" fontId="45" fillId="0" borderId="0" xfId="5" applyNumberFormat="1" applyFont="1" applyFill="1" applyBorder="1" applyAlignment="1" applyProtection="1">
      <alignment horizontal="center" vertical="center"/>
    </xf>
    <xf numFmtId="0" fontId="45" fillId="0" borderId="0" xfId="5" applyNumberFormat="1" applyFont="1" applyFill="1" applyBorder="1" applyAlignment="1" applyProtection="1">
      <alignment vertical="center"/>
    </xf>
    <xf numFmtId="173" fontId="16" fillId="0" borderId="1" xfId="5" applyNumberFormat="1" applyFont="1" applyFill="1" applyBorder="1" applyAlignment="1" applyProtection="1">
      <alignment horizontal="center" vertical="center" wrapText="1"/>
    </xf>
    <xf numFmtId="173" fontId="16" fillId="0" borderId="1" xfId="5" applyNumberFormat="1" applyFont="1" applyFill="1" applyBorder="1" applyAlignment="1" applyProtection="1">
      <alignment horizontal="center" vertical="center" wrapText="1"/>
      <protection locked="0"/>
    </xf>
    <xf numFmtId="173" fontId="14" fillId="0" borderId="1" xfId="5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  <protection locked="0"/>
    </xf>
    <xf numFmtId="173" fontId="17" fillId="5" borderId="1" xfId="7" applyNumberFormat="1" applyFont="1" applyFill="1" applyBorder="1" applyAlignment="1" applyProtection="1">
      <alignment horizontal="center" vertical="center" wrapText="1"/>
    </xf>
    <xf numFmtId="172" fontId="17" fillId="5" borderId="1" xfId="2" applyNumberFormat="1" applyFont="1" applyFill="1" applyBorder="1" applyAlignment="1" applyProtection="1">
      <alignment horizontal="center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</xf>
    <xf numFmtId="3" fontId="10" fillId="0" borderId="1" xfId="3" applyNumberFormat="1" applyFont="1" applyFill="1" applyBorder="1" applyAlignment="1" applyProtection="1">
      <alignment horizontal="center" vertical="center" wrapText="1"/>
    </xf>
    <xf numFmtId="0" fontId="51" fillId="20" borderId="1" xfId="0" applyFont="1" applyFill="1" applyBorder="1" applyAlignment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vertical="top"/>
    </xf>
    <xf numFmtId="9" fontId="35" fillId="0" borderId="0" xfId="10" applyFont="1" applyFill="1" applyBorder="1" applyAlignment="1" applyProtection="1">
      <alignment vertical="top"/>
    </xf>
    <xf numFmtId="0" fontId="35" fillId="0" borderId="0" xfId="9" applyNumberFormat="1" applyFont="1" applyFill="1" applyBorder="1" applyAlignment="1" applyProtection="1">
      <alignment vertical="center"/>
    </xf>
    <xf numFmtId="0" fontId="35" fillId="0" borderId="0" xfId="9" applyNumberFormat="1" applyFont="1" applyFill="1" applyBorder="1" applyAlignment="1" applyProtection="1">
      <alignment horizontal="center" vertical="center"/>
    </xf>
    <xf numFmtId="3" fontId="39" fillId="0" borderId="1" xfId="9" applyNumberFormat="1" applyFont="1" applyFill="1" applyBorder="1" applyAlignment="1" applyProtection="1">
      <alignment horizontal="center" vertical="center" wrapText="1"/>
    </xf>
    <xf numFmtId="0" fontId="57" fillId="0" borderId="0" xfId="9" applyNumberFormat="1" applyFont="1" applyFill="1" applyBorder="1" applyAlignment="1" applyProtection="1">
      <alignment horizontal="center" vertical="center"/>
    </xf>
    <xf numFmtId="0" fontId="31" fillId="20" borderId="1" xfId="0" applyFont="1" applyFill="1" applyBorder="1" applyAlignment="1">
      <alignment horizontal="left" vertical="center" wrapText="1" indent="1"/>
    </xf>
    <xf numFmtId="3" fontId="8" fillId="0" borderId="3" xfId="0" applyNumberFormat="1" applyFont="1" applyBorder="1" applyAlignment="1" applyProtection="1">
      <alignment vertical="center"/>
      <protection locked="0"/>
    </xf>
    <xf numFmtId="3" fontId="8" fillId="0" borderId="3" xfId="0" applyNumberFormat="1" applyFont="1" applyBorder="1" applyAlignment="1">
      <alignment vertical="center"/>
    </xf>
    <xf numFmtId="0" fontId="39" fillId="0" borderId="0" xfId="9" applyNumberFormat="1" applyFont="1" applyFill="1" applyBorder="1" applyAlignment="1" applyProtection="1">
      <alignment horizontal="center" vertical="center"/>
    </xf>
    <xf numFmtId="173" fontId="35" fillId="0" borderId="0" xfId="9" applyNumberFormat="1" applyFont="1" applyFill="1" applyBorder="1" applyAlignment="1" applyProtection="1">
      <alignment horizontal="center" vertical="center" wrapText="1"/>
    </xf>
    <xf numFmtId="0" fontId="16" fillId="0" borderId="0" xfId="9" applyNumberFormat="1" applyFont="1" applyFill="1" applyBorder="1" applyAlignment="1" applyProtection="1">
      <alignment horizontal="center" vertical="top"/>
    </xf>
    <xf numFmtId="0" fontId="16" fillId="0" borderId="0" xfId="9" applyNumberFormat="1" applyFont="1" applyFill="1" applyBorder="1" applyAlignment="1" applyProtection="1">
      <alignment vertical="top"/>
    </xf>
    <xf numFmtId="3" fontId="35" fillId="0" borderId="1" xfId="9" applyNumberFormat="1" applyFont="1" applyFill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39" fillId="21" borderId="1" xfId="9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79" fillId="0" borderId="0" xfId="0" applyFont="1"/>
    <xf numFmtId="14" fontId="79" fillId="0" borderId="0" xfId="0" applyNumberFormat="1" applyFont="1"/>
    <xf numFmtId="0" fontId="79" fillId="0" borderId="0" xfId="0" applyFont="1" applyAlignment="1">
      <alignment wrapText="1"/>
    </xf>
    <xf numFmtId="0" fontId="79" fillId="0" borderId="0" xfId="0" applyFont="1" applyAlignment="1">
      <alignment horizontal="center"/>
    </xf>
    <xf numFmtId="0" fontId="100" fillId="0" borderId="0" xfId="0" applyFont="1"/>
    <xf numFmtId="0" fontId="3" fillId="0" borderId="1" xfId="0" applyFont="1" applyBorder="1" applyAlignment="1">
      <alignment horizontal="left" vertical="center" wrapText="1" indent="2"/>
    </xf>
    <xf numFmtId="14" fontId="79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14" fontId="79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3" fontId="79" fillId="0" borderId="0" xfId="0" applyNumberFormat="1" applyFont="1"/>
    <xf numFmtId="10" fontId="78" fillId="0" borderId="1" xfId="1225" applyNumberFormat="1" applyFont="1" applyBorder="1" applyAlignment="1">
      <alignment horizontal="center" vertical="center" wrapText="1"/>
    </xf>
    <xf numFmtId="183" fontId="79" fillId="0" borderId="18" xfId="1225" applyNumberFormat="1" applyFont="1" applyBorder="1" applyAlignment="1">
      <alignment horizontal="center" vertical="center" wrapText="1"/>
    </xf>
    <xf numFmtId="183" fontId="79" fillId="0" borderId="19" xfId="1225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 indent="2"/>
    </xf>
    <xf numFmtId="49" fontId="6" fillId="0" borderId="1" xfId="0" applyNumberFormat="1" applyFont="1" applyBorder="1" applyAlignment="1">
      <alignment horizontal="center" vertical="center"/>
    </xf>
    <xf numFmtId="170" fontId="79" fillId="0" borderId="0" xfId="3" applyNumberFormat="1" applyFont="1" applyFill="1" applyAlignment="1" applyProtection="1">
      <alignment horizontal="center" vertical="center"/>
      <protection locked="0"/>
    </xf>
    <xf numFmtId="3" fontId="39" fillId="3" borderId="1" xfId="0" applyNumberFormat="1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3" fontId="38" fillId="0" borderId="0" xfId="0" applyNumberFormat="1" applyFont="1" applyAlignment="1">
      <alignment horizontal="center"/>
    </xf>
    <xf numFmtId="0" fontId="99" fillId="0" borderId="0" xfId="0" applyFont="1" applyAlignment="1">
      <alignment horizontal="center" vertical="center" wrapText="1"/>
    </xf>
    <xf numFmtId="0" fontId="4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wrapText="1"/>
    </xf>
    <xf numFmtId="171" fontId="3" fillId="0" borderId="0" xfId="0" applyNumberFormat="1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/>
    <xf numFmtId="3" fontId="20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Continuous" vertical="center"/>
    </xf>
    <xf numFmtId="3" fontId="36" fillId="0" borderId="0" xfId="0" applyNumberFormat="1" applyFont="1" applyAlignment="1">
      <alignment horizontal="centerContinuous"/>
    </xf>
    <xf numFmtId="0" fontId="52" fillId="0" borderId="0" xfId="0" applyFont="1"/>
    <xf numFmtId="3" fontId="5" fillId="0" borderId="0" xfId="0" applyNumberFormat="1" applyFont="1" applyAlignment="1">
      <alignment horizontal="centerContinuous"/>
    </xf>
    <xf numFmtId="0" fontId="42" fillId="0" borderId="0" xfId="0" applyFont="1" applyAlignment="1">
      <alignment horizontal="center"/>
    </xf>
    <xf numFmtId="3" fontId="50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 vertical="center" textRotation="90" wrapText="1"/>
    </xf>
    <xf numFmtId="3" fontId="4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13" fillId="0" borderId="0" xfId="0" applyNumberFormat="1" applyFont="1"/>
    <xf numFmtId="171" fontId="3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indent="2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3" fontId="29" fillId="0" borderId="1" xfId="0" applyNumberFormat="1" applyFont="1" applyBorder="1" applyAlignment="1">
      <alignment horizontal="center" vertical="center"/>
    </xf>
    <xf numFmtId="3" fontId="3" fillId="0" borderId="0" xfId="0" applyNumberFormat="1" applyFont="1"/>
    <xf numFmtId="171" fontId="3" fillId="0" borderId="0" xfId="0" applyNumberFormat="1" applyFont="1"/>
    <xf numFmtId="3" fontId="6" fillId="0" borderId="0" xfId="0" applyNumberFormat="1" applyFont="1" applyAlignment="1">
      <alignment horizontal="centerContinuous"/>
    </xf>
    <xf numFmtId="3" fontId="11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101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3" fillId="0" borderId="1" xfId="0" applyNumberFormat="1" applyFont="1" applyBorder="1" applyAlignment="1" applyProtection="1">
      <alignment horizontal="left" vertical="center" wrapText="1" indent="1"/>
      <protection locked="0"/>
    </xf>
    <xf numFmtId="0" fontId="15" fillId="0" borderId="0" xfId="0" applyFont="1" applyAlignment="1">
      <alignment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15" fillId="0" borderId="0" xfId="0" applyNumberFormat="1" applyFont="1" applyAlignment="1">
      <alignment vertical="center"/>
    </xf>
    <xf numFmtId="3" fontId="41" fillId="3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 applyProtection="1">
      <alignment horizontal="right" vertical="center" wrapText="1" indent="1"/>
      <protection locked="0"/>
    </xf>
    <xf numFmtId="3" fontId="3" fillId="0" borderId="3" xfId="1288" applyNumberFormat="1" applyBorder="1"/>
    <xf numFmtId="0" fontId="3" fillId="0" borderId="0" xfId="0" applyFont="1" applyAlignment="1">
      <alignment vertical="center" wrapText="1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1" xfId="1288" applyNumberFormat="1" applyBorder="1" applyProtection="1">
      <protection locked="0"/>
    </xf>
    <xf numFmtId="3" fontId="3" fillId="0" borderId="3" xfId="1288" applyNumberFormat="1" applyBorder="1" applyProtection="1">
      <protection locked="0"/>
    </xf>
    <xf numFmtId="0" fontId="28" fillId="0" borderId="0" xfId="0" applyFont="1"/>
    <xf numFmtId="171" fontId="6" fillId="0" borderId="0" xfId="0" applyNumberFormat="1" applyFont="1" applyAlignment="1">
      <alignment horizontal="center"/>
    </xf>
    <xf numFmtId="195" fontId="3" fillId="0" borderId="1" xfId="0" applyNumberFormat="1" applyFont="1" applyBorder="1" applyAlignment="1">
      <alignment horizontal="right" vertical="center"/>
    </xf>
    <xf numFmtId="195" fontId="3" fillId="0" borderId="1" xfId="0" applyNumberFormat="1" applyFont="1" applyBorder="1" applyAlignment="1" applyProtection="1">
      <alignment vertical="center" wrapText="1"/>
      <protection locked="0"/>
    </xf>
    <xf numFmtId="195" fontId="3" fillId="0" borderId="1" xfId="0" applyNumberFormat="1" applyFont="1" applyBorder="1" applyAlignment="1" applyProtection="1">
      <alignment vertical="center"/>
      <protection locked="0"/>
    </xf>
    <xf numFmtId="195" fontId="3" fillId="0" borderId="3" xfId="1288" applyNumberFormat="1" applyBorder="1"/>
    <xf numFmtId="195" fontId="3" fillId="0" borderId="1" xfId="0" applyNumberFormat="1" applyFont="1" applyBorder="1" applyAlignment="1" applyProtection="1">
      <alignment horizontal="right" vertical="center"/>
      <protection locked="0"/>
    </xf>
    <xf numFmtId="3" fontId="35" fillId="3" borderId="5" xfId="0" applyNumberFormat="1" applyFont="1" applyFill="1" applyBorder="1" applyAlignment="1">
      <alignment horizontal="center" vertical="center" wrapText="1"/>
    </xf>
    <xf numFmtId="15" fontId="3" fillId="0" borderId="0" xfId="0" applyNumberFormat="1" applyFont="1"/>
    <xf numFmtId="3" fontId="3" fillId="4" borderId="7" xfId="0" applyNumberFormat="1" applyFont="1" applyFill="1" applyBorder="1" applyAlignment="1">
      <alignment horizontal="right"/>
    </xf>
    <xf numFmtId="3" fontId="3" fillId="0" borderId="3" xfId="1288" applyNumberFormat="1" applyBorder="1" applyAlignment="1">
      <alignment vertical="center"/>
    </xf>
    <xf numFmtId="3" fontId="3" fillId="4" borderId="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wrapText="1"/>
    </xf>
    <xf numFmtId="196" fontId="30" fillId="0" borderId="9" xfId="4" applyNumberFormat="1" applyFont="1" applyFill="1" applyBorder="1" applyAlignment="1" applyProtection="1">
      <alignment vertical="center" wrapText="1"/>
      <protection locked="0"/>
    </xf>
    <xf numFmtId="196" fontId="30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39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8" fillId="0" borderId="5" xfId="0" applyNumberFormat="1" applyFont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 wrapText="1"/>
    </xf>
    <xf numFmtId="3" fontId="16" fillId="0" borderId="0" xfId="5" applyNumberFormat="1" applyFont="1" applyFill="1" applyBorder="1" applyAlignment="1" applyProtection="1">
      <alignment horizontal="center" vertical="center"/>
    </xf>
    <xf numFmtId="197" fontId="100" fillId="0" borderId="0" xfId="3" applyNumberFormat="1" applyFont="1" applyFill="1" applyProtection="1"/>
    <xf numFmtId="197" fontId="99" fillId="0" borderId="0" xfId="3" applyNumberFormat="1" applyFont="1" applyFill="1" applyBorder="1" applyAlignment="1" applyProtection="1">
      <alignment vertical="center" wrapText="1"/>
    </xf>
    <xf numFmtId="197" fontId="79" fillId="0" borderId="0" xfId="3" applyNumberFormat="1" applyFont="1" applyFill="1" applyProtection="1"/>
    <xf numFmtId="197" fontId="9" fillId="0" borderId="0" xfId="3" applyNumberFormat="1" applyFont="1" applyProtection="1">
      <protection locked="0"/>
    </xf>
    <xf numFmtId="3" fontId="103" fillId="0" borderId="0" xfId="0" applyNumberFormat="1" applyFont="1" applyAlignment="1">
      <alignment horizontal="center" vertical="center"/>
    </xf>
    <xf numFmtId="0" fontId="35" fillId="0" borderId="0" xfId="4" applyNumberFormat="1" applyFont="1" applyFill="1" applyBorder="1" applyAlignment="1" applyProtection="1">
      <alignment horizontal="right" vertical="top" indent="2"/>
    </xf>
    <xf numFmtId="15" fontId="35" fillId="0" borderId="0" xfId="4" applyNumberFormat="1" applyFont="1" applyFill="1" applyBorder="1" applyAlignment="1" applyProtection="1">
      <alignment horizontal="center"/>
    </xf>
    <xf numFmtId="49" fontId="14" fillId="5" borderId="1" xfId="4" applyNumberFormat="1" applyFont="1" applyFill="1" applyBorder="1" applyAlignment="1" applyProtection="1">
      <alignment horizontal="center" vertical="center" wrapText="1"/>
    </xf>
    <xf numFmtId="0" fontId="14" fillId="5" borderId="1" xfId="4" applyNumberFormat="1" applyFont="1" applyFill="1" applyBorder="1" applyAlignment="1" applyProtection="1">
      <alignment horizontal="center" vertical="center" wrapText="1"/>
    </xf>
    <xf numFmtId="3" fontId="14" fillId="5" borderId="1" xfId="4" applyNumberFormat="1" applyFont="1" applyFill="1" applyBorder="1" applyAlignment="1" applyProtection="1">
      <alignment horizontal="center" vertical="center" wrapText="1"/>
    </xf>
    <xf numFmtId="49" fontId="14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4" fillId="6" borderId="1" xfId="4" applyNumberFormat="1" applyFont="1" applyFill="1" applyBorder="1" applyAlignment="1" applyProtection="1">
      <alignment horizontal="center" vertical="center" wrapText="1"/>
    </xf>
    <xf numFmtId="49" fontId="16" fillId="0" borderId="1" xfId="4" applyNumberFormat="1" applyFont="1" applyFill="1" applyBorder="1" applyAlignment="1" applyProtection="1">
      <alignment horizontal="center" vertical="center" wrapText="1"/>
    </xf>
    <xf numFmtId="0" fontId="32" fillId="0" borderId="0" xfId="0" applyFont="1"/>
    <xf numFmtId="0" fontId="16" fillId="0" borderId="0" xfId="4" applyNumberFormat="1" applyFont="1" applyFill="1" applyBorder="1" applyAlignment="1" applyProtection="1">
      <alignment vertical="center" wrapText="1"/>
    </xf>
    <xf numFmtId="0" fontId="16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6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indent="1"/>
    </xf>
    <xf numFmtId="0" fontId="6" fillId="0" borderId="2" xfId="0" quotePrefix="1" applyFont="1" applyBorder="1" applyAlignment="1">
      <alignment horizontal="left" vertical="center" indent="1"/>
    </xf>
    <xf numFmtId="3" fontId="3" fillId="2" borderId="3" xfId="0" applyNumberFormat="1" applyFont="1" applyFill="1" applyBorder="1" applyAlignment="1">
      <alignment vertical="center"/>
    </xf>
    <xf numFmtId="0" fontId="6" fillId="0" borderId="2" xfId="0" quotePrefix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wrapText="1" indent="1"/>
    </xf>
    <xf numFmtId="0" fontId="104" fillId="0" borderId="2" xfId="0" applyFont="1" applyBorder="1" applyAlignment="1">
      <alignment horizontal="left" vertical="center" indent="1"/>
    </xf>
    <xf numFmtId="3" fontId="3" fillId="0" borderId="3" xfId="0" applyNumberFormat="1" applyFont="1" applyBorder="1" applyAlignment="1">
      <alignment vertical="center"/>
    </xf>
    <xf numFmtId="0" fontId="39" fillId="0" borderId="1" xfId="1225" applyFont="1" applyBorder="1" applyAlignment="1">
      <alignment horizontal="left" vertical="center" wrapText="1"/>
    </xf>
    <xf numFmtId="49" fontId="79" fillId="0" borderId="0" xfId="0" applyNumberFormat="1" applyFont="1"/>
    <xf numFmtId="0" fontId="35" fillId="0" borderId="18" xfId="1225" applyFont="1" applyBorder="1" applyAlignment="1">
      <alignment horizontal="left" vertical="center" wrapText="1" indent="2"/>
    </xf>
    <xf numFmtId="0" fontId="35" fillId="0" borderId="19" xfId="1225" applyFont="1" applyBorder="1" applyAlignment="1">
      <alignment horizontal="left" vertical="center" wrapText="1" indent="2"/>
    </xf>
    <xf numFmtId="0" fontId="78" fillId="0" borderId="1" xfId="1225" applyFont="1" applyBorder="1" applyAlignment="1">
      <alignment horizontal="left" vertical="center" wrapText="1"/>
    </xf>
    <xf numFmtId="0" fontId="79" fillId="0" borderId="18" xfId="1225" applyFont="1" applyBorder="1" applyAlignment="1">
      <alignment horizontal="left" vertical="center" wrapText="1" indent="2"/>
    </xf>
    <xf numFmtId="0" fontId="79" fillId="0" borderId="19" xfId="1225" applyFont="1" applyBorder="1" applyAlignment="1">
      <alignment horizontal="left" vertical="center" wrapText="1" indent="2"/>
    </xf>
    <xf numFmtId="0" fontId="5" fillId="0" borderId="0" xfId="0" applyFont="1" applyAlignment="1">
      <alignment horizontal="centerContinuous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28" fillId="0" borderId="1" xfId="0" applyFont="1" applyBorder="1" applyAlignment="1">
      <alignment horizontal="left" vertical="center" indent="2"/>
    </xf>
    <xf numFmtId="3" fontId="3" fillId="0" borderId="1" xfId="0" applyNumberFormat="1" applyFont="1" applyBorder="1" applyProtection="1">
      <protection locked="0"/>
    </xf>
    <xf numFmtId="0" fontId="3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indent="2"/>
    </xf>
    <xf numFmtId="3" fontId="3" fillId="2" borderId="3" xfId="0" applyNumberFormat="1" applyFont="1" applyFill="1" applyBorder="1"/>
    <xf numFmtId="0" fontId="6" fillId="0" borderId="1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2"/>
    </xf>
    <xf numFmtId="3" fontId="3" fillId="0" borderId="3" xfId="0" applyNumberFormat="1" applyFont="1" applyBorder="1" applyAlignment="1" applyProtection="1">
      <alignment vertical="center"/>
      <protection locked="0"/>
    </xf>
    <xf numFmtId="168" fontId="3" fillId="0" borderId="3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3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3" fontId="9" fillId="0" borderId="0" xfId="0" applyNumberFormat="1" applyFont="1" applyAlignment="1">
      <alignment vertical="top"/>
    </xf>
    <xf numFmtId="3" fontId="42" fillId="0" borderId="1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left" vertical="center"/>
    </xf>
    <xf numFmtId="170" fontId="3" fillId="0" borderId="0" xfId="3" applyNumberFormat="1" applyFont="1"/>
    <xf numFmtId="170" fontId="106" fillId="0" borderId="0" xfId="3" applyNumberFormat="1" applyFont="1"/>
    <xf numFmtId="170" fontId="3" fillId="0" borderId="0" xfId="3" applyNumberFormat="1" applyFont="1" applyProtection="1"/>
    <xf numFmtId="3" fontId="50" fillId="3" borderId="3" xfId="0" applyNumberFormat="1" applyFont="1" applyFill="1" applyBorder="1" applyAlignment="1">
      <alignment horizontal="center" vertical="center" wrapText="1"/>
    </xf>
    <xf numFmtId="3" fontId="41" fillId="3" borderId="5" xfId="0" applyNumberFormat="1" applyFont="1" applyFill="1" applyBorder="1" applyAlignment="1">
      <alignment horizontal="center" vertical="center" wrapText="1"/>
    </xf>
    <xf numFmtId="170" fontId="6" fillId="0" borderId="0" xfId="3" applyNumberFormat="1" applyFont="1" applyProtection="1"/>
    <xf numFmtId="0" fontId="3" fillId="0" borderId="2" xfId="0" applyFont="1" applyBorder="1" applyAlignment="1" applyProtection="1">
      <alignment horizontal="left" vertical="center" indent="1"/>
      <protection locked="0"/>
    </xf>
    <xf numFmtId="170" fontId="3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3" fillId="0" borderId="0" xfId="3" applyNumberFormat="1" applyFont="1" applyAlignment="1" applyProtection="1">
      <alignment vertical="center"/>
    </xf>
    <xf numFmtId="170" fontId="3" fillId="0" borderId="0" xfId="3" applyNumberFormat="1" applyFont="1" applyBorder="1" applyProtection="1"/>
    <xf numFmtId="170" fontId="3" fillId="0" borderId="0" xfId="3" applyNumberFormat="1" applyFont="1" applyAlignment="1" applyProtection="1">
      <alignment wrapText="1"/>
    </xf>
    <xf numFmtId="3" fontId="5" fillId="0" borderId="0" xfId="0" applyNumberFormat="1" applyFont="1" applyAlignment="1">
      <alignment horizontal="center" vertical="center" wrapText="1"/>
    </xf>
    <xf numFmtId="3" fontId="44" fillId="0" borderId="10" xfId="0" applyNumberFormat="1" applyFont="1" applyBorder="1"/>
    <xf numFmtId="3" fontId="29" fillId="0" borderId="1" xfId="0" applyNumberFormat="1" applyFont="1" applyBorder="1" applyAlignment="1">
      <alignment horizontal="left" vertical="center" wrapText="1" indent="1"/>
    </xf>
    <xf numFmtId="16" fontId="16" fillId="0" borderId="1" xfId="5" applyNumberFormat="1" applyFont="1" applyFill="1" applyBorder="1" applyAlignment="1" applyProtection="1">
      <alignment horizontal="left" vertical="center" wrapText="1" indent="2"/>
    </xf>
    <xf numFmtId="0" fontId="14" fillId="0" borderId="0" xfId="5" applyNumberFormat="1" applyFont="1" applyFill="1" applyBorder="1" applyAlignment="1" applyProtection="1">
      <alignment horizontal="center" vertical="center"/>
    </xf>
    <xf numFmtId="9" fontId="14" fillId="0" borderId="0" xfId="2" applyFont="1" applyFill="1" applyBorder="1" applyAlignment="1" applyProtection="1">
      <alignment horizontal="center" vertical="center"/>
    </xf>
    <xf numFmtId="15" fontId="20" fillId="0" borderId="0" xfId="5" applyNumberFormat="1" applyFont="1" applyFill="1" applyBorder="1" applyAlignment="1" applyProtection="1">
      <alignment horizontal="center"/>
    </xf>
    <xf numFmtId="3" fontId="16" fillId="3" borderId="5" xfId="0" applyNumberFormat="1" applyFont="1" applyFill="1" applyBorder="1" applyAlignment="1">
      <alignment horizontal="center" vertical="center" wrapText="1"/>
    </xf>
    <xf numFmtId="0" fontId="16" fillId="5" borderId="1" xfId="5" applyNumberFormat="1" applyFont="1" applyFill="1" applyBorder="1" applyAlignment="1" applyProtection="1">
      <alignment horizontal="left" vertical="center" wrapText="1" indent="2"/>
    </xf>
    <xf numFmtId="0" fontId="14" fillId="5" borderId="1" xfId="5" applyNumberFormat="1" applyFont="1" applyFill="1" applyBorder="1" applyAlignment="1" applyProtection="1">
      <alignment horizontal="left" vertical="center" wrapText="1" indent="2"/>
    </xf>
    <xf numFmtId="172" fontId="14" fillId="0" borderId="1" xfId="2" applyNumberFormat="1" applyFont="1" applyFill="1" applyBorder="1" applyAlignment="1" applyProtection="1">
      <alignment horizontal="center" vertical="center" wrapText="1"/>
    </xf>
    <xf numFmtId="0" fontId="107" fillId="5" borderId="1" xfId="5" applyNumberFormat="1" applyFont="1" applyFill="1" applyBorder="1" applyAlignment="1" applyProtection="1">
      <alignment horizontal="left" vertical="center" wrapText="1" indent="4"/>
    </xf>
    <xf numFmtId="0" fontId="16" fillId="5" borderId="1" xfId="5" applyNumberFormat="1" applyFont="1" applyFill="1" applyBorder="1" applyAlignment="1" applyProtection="1">
      <alignment horizontal="left" vertical="center" wrapText="1" indent="1"/>
    </xf>
    <xf numFmtId="172" fontId="1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5" applyNumberFormat="1" applyFont="1" applyFill="1" applyBorder="1" applyAlignment="1" applyProtection="1">
      <alignment horizontal="left" vertical="center" wrapText="1" indent="2"/>
    </xf>
    <xf numFmtId="0" fontId="16" fillId="0" borderId="1" xfId="5" applyNumberFormat="1" applyFont="1" applyFill="1" applyBorder="1" applyAlignment="1" applyProtection="1">
      <alignment horizontal="left" vertical="center" wrapText="1" indent="1"/>
    </xf>
    <xf numFmtId="173" fontId="16" fillId="0" borderId="0" xfId="5" applyNumberFormat="1" applyFont="1" applyFill="1" applyBorder="1" applyAlignment="1" applyProtection="1">
      <alignment horizontal="center" vertical="top"/>
    </xf>
    <xf numFmtId="0" fontId="39" fillId="0" borderId="9" xfId="9" applyNumberFormat="1" applyFont="1" applyFill="1" applyBorder="1" applyAlignment="1" applyProtection="1">
      <alignment vertical="center"/>
    </xf>
    <xf numFmtId="3" fontId="35" fillId="3" borderId="1" xfId="0" applyNumberFormat="1" applyFont="1" applyFill="1" applyBorder="1" applyAlignment="1">
      <alignment horizontal="center" vertical="center" wrapText="1"/>
    </xf>
    <xf numFmtId="3" fontId="35" fillId="0" borderId="0" xfId="9" applyNumberFormat="1" applyFont="1" applyFill="1" applyBorder="1" applyAlignment="1" applyProtection="1">
      <alignment horizontal="center" vertical="center"/>
    </xf>
    <xf numFmtId="0" fontId="35" fillId="5" borderId="1" xfId="9" applyNumberFormat="1" applyFont="1" applyFill="1" applyBorder="1" applyAlignment="1" applyProtection="1">
      <alignment horizontal="left" vertical="center" wrapText="1" indent="2"/>
    </xf>
    <xf numFmtId="0" fontId="39" fillId="5" borderId="1" xfId="9" applyNumberFormat="1" applyFont="1" applyFill="1" applyBorder="1" applyAlignment="1" applyProtection="1">
      <alignment horizontal="left" vertical="center" wrapText="1" indent="2"/>
    </xf>
    <xf numFmtId="172" fontId="39" fillId="0" borderId="1" xfId="10" applyNumberFormat="1" applyFont="1" applyFill="1" applyBorder="1" applyAlignment="1" applyProtection="1">
      <alignment horizontal="center" vertical="center" wrapText="1"/>
    </xf>
    <xf numFmtId="3" fontId="39" fillId="0" borderId="0" xfId="9" applyNumberFormat="1" applyFont="1" applyFill="1" applyBorder="1" applyAlignment="1" applyProtection="1">
      <alignment horizontal="center" vertical="center"/>
    </xf>
    <xf numFmtId="0" fontId="35" fillId="21" borderId="1" xfId="9" applyNumberFormat="1" applyFont="1" applyFill="1" applyBorder="1" applyAlignment="1" applyProtection="1">
      <alignment horizontal="center" vertical="center" wrapText="1"/>
    </xf>
    <xf numFmtId="0" fontId="35" fillId="21" borderId="1" xfId="9" applyNumberFormat="1" applyFont="1" applyFill="1" applyBorder="1" applyAlignment="1" applyProtection="1">
      <alignment horizontal="left" vertical="center" wrapText="1" indent="1"/>
    </xf>
    <xf numFmtId="172" fontId="39" fillId="21" borderId="1" xfId="10" applyNumberFormat="1" applyFont="1" applyFill="1" applyBorder="1" applyAlignment="1" applyProtection="1">
      <alignment horizontal="center" vertical="center" wrapText="1"/>
    </xf>
    <xf numFmtId="0" fontId="35" fillId="0" borderId="1" xfId="9" applyNumberFormat="1" applyFont="1" applyFill="1" applyBorder="1" applyAlignment="1" applyProtection="1">
      <alignment horizontal="center" vertical="center" wrapText="1"/>
    </xf>
    <xf numFmtId="0" fontId="35" fillId="5" borderId="1" xfId="9" applyNumberFormat="1" applyFont="1" applyFill="1" applyBorder="1" applyAlignment="1" applyProtection="1">
      <alignment horizontal="left" vertical="center" wrapText="1" indent="1"/>
    </xf>
    <xf numFmtId="172" fontId="35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7" fillId="0" borderId="1" xfId="9" applyNumberFormat="1" applyFont="1" applyFill="1" applyBorder="1" applyAlignment="1" applyProtection="1">
      <alignment horizontal="center" vertical="center" wrapText="1"/>
    </xf>
    <xf numFmtId="0" fontId="57" fillId="5" borderId="1" xfId="9" applyNumberFormat="1" applyFont="1" applyFill="1" applyBorder="1" applyAlignment="1" applyProtection="1">
      <alignment horizontal="left" vertical="center" wrapText="1" indent="1"/>
    </xf>
    <xf numFmtId="0" fontId="35" fillId="0" borderId="1" xfId="9" applyNumberFormat="1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horizontal="center" vertical="center" wrapText="1"/>
    </xf>
    <xf numFmtId="0" fontId="35" fillId="0" borderId="0" xfId="9" applyNumberFormat="1" applyFont="1" applyFill="1" applyBorder="1" applyAlignment="1" applyProtection="1">
      <alignment horizontal="left" vertical="center" wrapText="1" indent="1"/>
    </xf>
    <xf numFmtId="172" fontId="35" fillId="0" borderId="0" xfId="1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left" vertical="center" wrapText="1" indent="2"/>
    </xf>
    <xf numFmtId="3" fontId="45" fillId="0" borderId="0" xfId="5" applyNumberFormat="1" applyFont="1" applyFill="1" applyBorder="1" applyAlignment="1" applyProtection="1">
      <alignment horizontal="center" vertical="center"/>
    </xf>
    <xf numFmtId="0" fontId="21" fillId="5" borderId="1" xfId="5" applyNumberFormat="1" applyFont="1" applyFill="1" applyBorder="1" applyAlignment="1" applyProtection="1">
      <alignment horizontal="left" vertical="center" wrapText="1" indent="1"/>
    </xf>
    <xf numFmtId="3" fontId="21" fillId="0" borderId="0" xfId="5" applyNumberFormat="1" applyFont="1" applyFill="1" applyBorder="1" applyAlignment="1" applyProtection="1">
      <alignment horizontal="center" vertical="center"/>
    </xf>
    <xf numFmtId="171" fontId="6" fillId="0" borderId="0" xfId="0" quotePrefix="1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6" fillId="0" borderId="1" xfId="0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4"/>
    </xf>
    <xf numFmtId="0" fontId="104" fillId="0" borderId="1" xfId="0" applyFont="1" applyBorder="1" applyAlignment="1">
      <alignment horizontal="left" vertical="center" indent="4"/>
    </xf>
    <xf numFmtId="0" fontId="104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4"/>
    </xf>
    <xf numFmtId="0" fontId="29" fillId="0" borderId="1" xfId="0" applyFont="1" applyBorder="1" applyAlignment="1">
      <alignment horizontal="left" vertical="center" wrapText="1" indent="5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70" fontId="79" fillId="0" borderId="0" xfId="3" applyNumberFormat="1" applyFont="1" applyFill="1" applyAlignment="1" applyProtection="1">
      <alignment vertical="center"/>
    </xf>
    <xf numFmtId="170" fontId="78" fillId="0" borderId="0" xfId="3" applyNumberFormat="1" applyFont="1" applyFill="1" applyAlignment="1" applyProtection="1">
      <alignment vertical="center"/>
    </xf>
    <xf numFmtId="171" fontId="3" fillId="0" borderId="0" xfId="0" applyNumberFormat="1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196" fontId="109" fillId="0" borderId="9" xfId="4" applyNumberFormat="1" applyFont="1" applyFill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13" fillId="3" borderId="1" xfId="0" applyNumberFormat="1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 vertical="center"/>
    </xf>
    <xf numFmtId="3" fontId="13" fillId="3" borderId="1" xfId="0" applyNumberFormat="1" applyFont="1" applyFill="1" applyBorder="1"/>
    <xf numFmtId="3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left" vertical="center" indent="2"/>
    </xf>
    <xf numFmtId="3" fontId="13" fillId="0" borderId="1" xfId="0" applyNumberFormat="1" applyFont="1" applyBorder="1" applyAlignment="1">
      <alignment vertical="center"/>
    </xf>
    <xf numFmtId="3" fontId="13" fillId="3" borderId="1" xfId="0" applyNumberFormat="1" applyFont="1" applyFill="1" applyBorder="1" applyAlignment="1">
      <alignment vertical="center"/>
    </xf>
    <xf numFmtId="9" fontId="13" fillId="3" borderId="1" xfId="2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3" fontId="11" fillId="0" borderId="1" xfId="0" applyNumberFormat="1" applyFont="1" applyBorder="1" applyAlignment="1">
      <alignment horizontal="left" vertical="center" indent="2"/>
    </xf>
    <xf numFmtId="3" fontId="6" fillId="0" borderId="1" xfId="0" applyNumberFormat="1" applyFont="1" applyBorder="1" applyAlignment="1">
      <alignment horizontal="right" vertical="center" wrapText="1"/>
    </xf>
    <xf numFmtId="196" fontId="17" fillId="3" borderId="1" xfId="0" applyNumberFormat="1" applyFont="1" applyFill="1" applyBorder="1" applyAlignment="1">
      <alignment horizontal="center" vertical="center" wrapText="1"/>
    </xf>
    <xf numFmtId="170" fontId="45" fillId="0" borderId="0" xfId="3" applyNumberFormat="1" applyFont="1" applyFill="1" applyBorder="1" applyAlignment="1" applyProtection="1">
      <alignment horizontal="center" vertical="top"/>
    </xf>
    <xf numFmtId="3" fontId="45" fillId="0" borderId="0" xfId="5" applyNumberFormat="1" applyFont="1" applyFill="1" applyBorder="1" applyAlignment="1" applyProtection="1">
      <alignment horizontal="center" vertical="top"/>
    </xf>
    <xf numFmtId="170" fontId="45" fillId="0" borderId="0" xfId="3" applyNumberFormat="1" applyFont="1" applyFill="1" applyBorder="1" applyAlignment="1" applyProtection="1">
      <alignment vertical="top"/>
    </xf>
    <xf numFmtId="0" fontId="45" fillId="0" borderId="0" xfId="5" applyNumberFormat="1" applyFont="1" applyFill="1" applyBorder="1" applyAlignment="1" applyProtection="1">
      <alignment vertical="top"/>
    </xf>
    <xf numFmtId="0" fontId="110" fillId="0" borderId="0" xfId="0" applyFont="1" applyAlignment="1">
      <alignment vertical="center"/>
    </xf>
    <xf numFmtId="0" fontId="14" fillId="0" borderId="0" xfId="4" applyNumberFormat="1" applyFont="1" applyFill="1" applyBorder="1" applyAlignment="1" applyProtection="1">
      <alignment vertical="center"/>
    </xf>
    <xf numFmtId="3" fontId="38" fillId="3" borderId="5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1" fillId="0" borderId="0" xfId="0" applyFont="1"/>
    <xf numFmtId="3" fontId="111" fillId="0" borderId="0" xfId="0" applyNumberFormat="1" applyFont="1"/>
    <xf numFmtId="0" fontId="112" fillId="0" borderId="0" xfId="0" applyFont="1"/>
    <xf numFmtId="0" fontId="111" fillId="0" borderId="0" xfId="0" quotePrefix="1" applyFont="1" applyAlignment="1">
      <alignment horizontal="left"/>
    </xf>
    <xf numFmtId="0" fontId="113" fillId="0" borderId="0" xfId="0" applyFont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Border="1" applyAlignment="1">
      <alignment horizontal="center"/>
    </xf>
    <xf numFmtId="3" fontId="28" fillId="0" borderId="1" xfId="0" applyNumberFormat="1" applyFont="1" applyBorder="1"/>
    <xf numFmtId="3" fontId="28" fillId="2" borderId="3" xfId="0" applyNumberFormat="1" applyFont="1" applyFill="1" applyBorder="1"/>
    <xf numFmtId="0" fontId="112" fillId="0" borderId="0" xfId="0" applyFont="1" applyAlignment="1">
      <alignment vertical="center"/>
    </xf>
    <xf numFmtId="3" fontId="39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5" fillId="0" borderId="0" xfId="3" applyNumberFormat="1" applyFont="1" applyFill="1" applyBorder="1" applyAlignment="1" applyProtection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indent="2"/>
    </xf>
    <xf numFmtId="0" fontId="78" fillId="0" borderId="0" xfId="0" applyFont="1" applyAlignment="1">
      <alignment horizontal="left" vertical="center" wrapText="1" indent="2"/>
    </xf>
    <xf numFmtId="0" fontId="12" fillId="0" borderId="0" xfId="0" applyFont="1"/>
    <xf numFmtId="3" fontId="111" fillId="0" borderId="0" xfId="0" applyNumberFormat="1" applyFont="1" applyAlignment="1">
      <alignment horizontal="center" vertical="center"/>
    </xf>
    <xf numFmtId="3" fontId="28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8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3" fontId="0" fillId="0" borderId="1" xfId="0" applyNumberFormat="1" applyBorder="1" applyAlignment="1" applyProtection="1">
      <alignment horizontal="right" vertical="center" wrapText="1"/>
      <protection locked="0"/>
    </xf>
    <xf numFmtId="3" fontId="41" fillId="3" borderId="1" xfId="0" applyNumberFormat="1" applyFont="1" applyFill="1" applyBorder="1" applyAlignment="1">
      <alignment horizontal="center" vertical="center"/>
    </xf>
    <xf numFmtId="3" fontId="41" fillId="3" borderId="1" xfId="0" applyNumberFormat="1" applyFont="1" applyFill="1" applyBorder="1" applyAlignment="1">
      <alignment vertical="center"/>
    </xf>
    <xf numFmtId="0" fontId="41" fillId="0" borderId="0" xfId="0" applyFont="1"/>
    <xf numFmtId="3" fontId="41" fillId="0" borderId="0" xfId="0" applyNumberFormat="1" applyFont="1"/>
    <xf numFmtId="3" fontId="9" fillId="3" borderId="1" xfId="0" applyNumberFormat="1" applyFont="1" applyFill="1" applyBorder="1" applyAlignment="1">
      <alignment horizontal="center" vertical="center" wrapText="1"/>
    </xf>
    <xf numFmtId="9" fontId="9" fillId="3" borderId="1" xfId="2" applyFont="1" applyFill="1" applyBorder="1" applyAlignment="1" applyProtection="1">
      <alignment horizontal="center" vertical="center" wrapText="1"/>
    </xf>
    <xf numFmtId="9" fontId="9" fillId="0" borderId="1" xfId="0" applyNumberFormat="1" applyFont="1" applyBorder="1"/>
    <xf numFmtId="167" fontId="35" fillId="0" borderId="0" xfId="3" applyFont="1" applyFill="1" applyBorder="1" applyAlignment="1" applyProtection="1">
      <alignment horizontal="center" vertical="center"/>
    </xf>
    <xf numFmtId="167" fontId="45" fillId="0" borderId="0" xfId="3" applyFont="1" applyFill="1" applyBorder="1" applyAlignment="1" applyProtection="1">
      <alignment horizontal="center" vertical="center"/>
    </xf>
    <xf numFmtId="198" fontId="45" fillId="0" borderId="0" xfId="3" applyNumberFormat="1" applyFont="1" applyFill="1" applyBorder="1" applyAlignment="1" applyProtection="1">
      <alignment horizontal="center" vertical="top"/>
    </xf>
    <xf numFmtId="0" fontId="116" fillId="0" borderId="0" xfId="0" applyFont="1"/>
    <xf numFmtId="3" fontId="9" fillId="0" borderId="0" xfId="0" applyNumberFormat="1" applyFont="1" applyAlignment="1">
      <alignment horizontal="center" vertical="center"/>
    </xf>
    <xf numFmtId="172" fontId="35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3" fillId="0" borderId="0" xfId="3" applyFont="1"/>
    <xf numFmtId="167" fontId="14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167" fontId="16" fillId="0" borderId="0" xfId="3" applyFont="1" applyFill="1" applyBorder="1" applyAlignment="1" applyProtection="1">
      <alignment vertical="center"/>
    </xf>
    <xf numFmtId="167" fontId="14" fillId="0" borderId="0" xfId="3" applyFont="1" applyFill="1" applyBorder="1" applyAlignment="1" applyProtection="1">
      <alignment vertical="center"/>
    </xf>
    <xf numFmtId="3" fontId="11" fillId="3" borderId="1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" fontId="28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 applyProtection="1">
      <alignment vertical="center" wrapText="1"/>
      <protection locked="0"/>
    </xf>
    <xf numFmtId="3" fontId="3" fillId="0" borderId="3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horizontal="center" vertical="center"/>
      <protection locked="0"/>
    </xf>
    <xf numFmtId="3" fontId="3" fillId="0" borderId="3" xfId="0" applyNumberFormat="1" applyFont="1" applyBorder="1" applyAlignment="1">
      <alignment horizontal="right" vertical="center"/>
    </xf>
    <xf numFmtId="0" fontId="56" fillId="0" borderId="0" xfId="4" quotePrefix="1" applyNumberFormat="1" applyFont="1" applyFill="1" applyBorder="1" applyAlignment="1" applyProtection="1">
      <alignment horizontal="center" vertical="top"/>
      <protection locked="0"/>
    </xf>
    <xf numFmtId="0" fontId="117" fillId="0" borderId="0" xfId="0" applyFont="1" applyAlignment="1">
      <alignment horizontal="center"/>
    </xf>
    <xf numFmtId="3" fontId="38" fillId="3" borderId="1" xfId="0" applyNumberFormat="1" applyFont="1" applyFill="1" applyBorder="1" applyAlignment="1">
      <alignment horizontal="center" vertical="center" wrapText="1"/>
    </xf>
    <xf numFmtId="172" fontId="16" fillId="0" borderId="1" xfId="2" applyNumberFormat="1" applyFont="1" applyFill="1" applyBorder="1" applyAlignment="1" applyProtection="1">
      <alignment horizontal="center" vertical="center" wrapText="1"/>
    </xf>
    <xf numFmtId="172" fontId="35" fillId="0" borderId="1" xfId="10" applyNumberFormat="1" applyFont="1" applyFill="1" applyBorder="1" applyAlignment="1" applyProtection="1">
      <alignment horizontal="center" vertical="center" wrapText="1"/>
    </xf>
    <xf numFmtId="9" fontId="45" fillId="5" borderId="1" xfId="2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vertical="center"/>
      <protection locked="0"/>
    </xf>
    <xf numFmtId="195" fontId="28" fillId="0" borderId="1" xfId="0" applyNumberFormat="1" applyFont="1" applyBorder="1" applyAlignment="1">
      <alignment vertical="center"/>
    </xf>
    <xf numFmtId="195" fontId="11" fillId="3" borderId="1" xfId="0" applyNumberFormat="1" applyFont="1" applyFill="1" applyBorder="1" applyAlignment="1">
      <alignment horizontal="center" vertical="center" wrapText="1"/>
    </xf>
    <xf numFmtId="167" fontId="3" fillId="0" borderId="0" xfId="3" applyFont="1" applyProtection="1"/>
    <xf numFmtId="167" fontId="3" fillId="0" borderId="0" xfId="3" applyFont="1" applyBorder="1" applyProtection="1"/>
    <xf numFmtId="195" fontId="28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6" fillId="0" borderId="1" xfId="0" applyNumberFormat="1" applyFont="1" applyBorder="1" applyAlignment="1">
      <alignment vertical="center" wrapText="1"/>
    </xf>
    <xf numFmtId="195" fontId="6" fillId="0" borderId="1" xfId="0" applyNumberFormat="1" applyFont="1" applyBorder="1" applyAlignment="1">
      <alignment horizontal="center" vertical="center" wrapText="1"/>
    </xf>
    <xf numFmtId="195" fontId="28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170" fontId="106" fillId="0" borderId="0" xfId="3" applyNumberFormat="1" applyFont="1" applyProtection="1"/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196" fontId="30" fillId="0" borderId="9" xfId="4" applyNumberFormat="1" applyFont="1" applyFill="1" applyBorder="1" applyAlignment="1" applyProtection="1">
      <alignment horizontal="right" wrapText="1"/>
      <protection locked="0"/>
    </xf>
    <xf numFmtId="3" fontId="38" fillId="3" borderId="5" xfId="0" applyNumberFormat="1" applyFont="1" applyFill="1" applyBorder="1" applyAlignment="1">
      <alignment horizontal="center" vertical="center" wrapText="1"/>
    </xf>
    <xf numFmtId="3" fontId="38" fillId="3" borderId="12" xfId="0" applyNumberFormat="1" applyFont="1" applyFill="1" applyBorder="1" applyAlignment="1">
      <alignment horizontal="center" vertical="center" wrapText="1"/>
    </xf>
    <xf numFmtId="3" fontId="38" fillId="3" borderId="3" xfId="0" applyNumberFormat="1" applyFont="1" applyFill="1" applyBorder="1" applyAlignment="1">
      <alignment horizontal="center" vertical="center" wrapText="1"/>
    </xf>
    <xf numFmtId="196" fontId="39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38" fillId="3" borderId="1" xfId="0" applyNumberFormat="1" applyFont="1" applyFill="1" applyBorder="1" applyAlignment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/>
    </xf>
    <xf numFmtId="0" fontId="38" fillId="0" borderId="0" xfId="0" applyFont="1" applyAlignment="1">
      <alignment horizontal="center" vertical="center" wrapText="1"/>
    </xf>
    <xf numFmtId="3" fontId="38" fillId="3" borderId="7" xfId="0" applyNumberFormat="1" applyFont="1" applyFill="1" applyBorder="1" applyAlignment="1">
      <alignment horizontal="center" vertical="center" wrapText="1"/>
    </xf>
    <xf numFmtId="3" fontId="38" fillId="3" borderId="11" xfId="0" applyNumberFormat="1" applyFont="1" applyFill="1" applyBorder="1" applyAlignment="1">
      <alignment horizontal="center" vertical="center" wrapText="1"/>
    </xf>
    <xf numFmtId="3" fontId="38" fillId="3" borderId="15" xfId="0" applyNumberFormat="1" applyFont="1" applyFill="1" applyBorder="1" applyAlignment="1">
      <alignment horizontal="center" vertical="center" wrapText="1"/>
    </xf>
    <xf numFmtId="3" fontId="38" fillId="3" borderId="10" xfId="0" applyNumberFormat="1" applyFont="1" applyFill="1" applyBorder="1" applyAlignment="1">
      <alignment horizontal="center" vertical="center" wrapText="1"/>
    </xf>
    <xf numFmtId="3" fontId="38" fillId="3" borderId="0" xfId="0" applyNumberFormat="1" applyFont="1" applyFill="1" applyAlignment="1">
      <alignment horizontal="center" vertical="center" wrapText="1"/>
    </xf>
    <xf numFmtId="3" fontId="38" fillId="3" borderId="13" xfId="0" applyNumberFormat="1" applyFont="1" applyFill="1" applyBorder="1" applyAlignment="1">
      <alignment horizontal="center" vertical="center" wrapText="1"/>
    </xf>
    <xf numFmtId="3" fontId="38" fillId="3" borderId="2" xfId="0" applyNumberFormat="1" applyFont="1" applyFill="1" applyBorder="1" applyAlignment="1">
      <alignment horizontal="center" vertical="center" wrapText="1"/>
    </xf>
    <xf numFmtId="3" fontId="38" fillId="3" borderId="9" xfId="0" applyNumberFormat="1" applyFont="1" applyFill="1" applyBorder="1" applyAlignment="1">
      <alignment horizontal="center" vertical="center" wrapText="1"/>
    </xf>
    <xf numFmtId="3" fontId="38" fillId="3" borderId="14" xfId="0" applyNumberFormat="1" applyFont="1" applyFill="1" applyBorder="1" applyAlignment="1">
      <alignment horizontal="center" vertical="center" wrapText="1"/>
    </xf>
    <xf numFmtId="3" fontId="38" fillId="3" borderId="4" xfId="0" applyNumberFormat="1" applyFont="1" applyFill="1" applyBorder="1" applyAlignment="1">
      <alignment horizontal="center" vertical="center" wrapText="1"/>
    </xf>
    <xf numFmtId="3" fontId="38" fillId="3" borderId="8" xfId="0" applyNumberFormat="1" applyFont="1" applyFill="1" applyBorder="1" applyAlignment="1">
      <alignment horizontal="center" vertical="center" wrapText="1"/>
    </xf>
    <xf numFmtId="3" fontId="38" fillId="3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96" fontId="30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 textRotation="90" wrapText="1"/>
    </xf>
    <xf numFmtId="3" fontId="13" fillId="3" borderId="3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 wrapText="1"/>
    </xf>
    <xf numFmtId="3" fontId="13" fillId="3" borderId="5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/>
    </xf>
    <xf numFmtId="3" fontId="13" fillId="3" borderId="3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 wrapText="1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3" xfId="0" applyNumberFormat="1" applyFont="1" applyFill="1" applyBorder="1" applyAlignment="1">
      <alignment horizontal="center" vertical="center" wrapText="1"/>
    </xf>
    <xf numFmtId="3" fontId="13" fillId="3" borderId="4" xfId="0" applyNumberFormat="1" applyFont="1" applyFill="1" applyBorder="1" applyAlignment="1">
      <alignment horizontal="center" vertical="center" wrapText="1"/>
    </xf>
    <xf numFmtId="3" fontId="13" fillId="3" borderId="6" xfId="0" applyNumberFormat="1" applyFont="1" applyFill="1" applyBorder="1" applyAlignment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3" fontId="42" fillId="3" borderId="4" xfId="0" applyNumberFormat="1" applyFont="1" applyFill="1" applyBorder="1" applyAlignment="1">
      <alignment horizontal="center" vertical="center" wrapText="1"/>
    </xf>
    <xf numFmtId="3" fontId="42" fillId="3" borderId="6" xfId="0" applyNumberFormat="1" applyFont="1" applyFill="1" applyBorder="1" applyAlignment="1">
      <alignment horizontal="center" vertical="center" wrapText="1"/>
    </xf>
    <xf numFmtId="3" fontId="42" fillId="3" borderId="8" xfId="0" applyNumberFormat="1" applyFont="1" applyFill="1" applyBorder="1" applyAlignment="1">
      <alignment horizontal="center" vertical="center" wrapText="1"/>
    </xf>
    <xf numFmtId="3" fontId="28" fillId="0" borderId="4" xfId="0" applyNumberFormat="1" applyFont="1" applyBorder="1" applyAlignment="1">
      <alignment horizontal="center" vertical="center" wrapText="1"/>
    </xf>
    <xf numFmtId="3" fontId="28" fillId="0" borderId="8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textRotation="90" wrapText="1"/>
    </xf>
    <xf numFmtId="3" fontId="6" fillId="0" borderId="3" xfId="0" applyNumberFormat="1" applyFont="1" applyBorder="1" applyAlignment="1">
      <alignment horizontal="center" vertical="center" textRotation="90" wrapText="1"/>
    </xf>
    <xf numFmtId="196" fontId="85" fillId="0" borderId="9" xfId="4" applyNumberFormat="1" applyFont="1" applyFill="1" applyBorder="1" applyAlignment="1" applyProtection="1">
      <alignment horizontal="center" vertical="center" wrapText="1"/>
    </xf>
    <xf numFmtId="3" fontId="6" fillId="0" borderId="5" xfId="0" quotePrefix="1" applyNumberFormat="1" applyFont="1" applyBorder="1" applyAlignment="1">
      <alignment horizontal="center" vertical="center"/>
    </xf>
    <xf numFmtId="3" fontId="6" fillId="0" borderId="3" xfId="0" quotePrefix="1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left" vertical="center" wrapText="1" indent="1"/>
    </xf>
    <xf numFmtId="3" fontId="6" fillId="0" borderId="8" xfId="0" applyNumberFormat="1" applyFont="1" applyBorder="1" applyAlignment="1">
      <alignment horizontal="left" vertical="center" wrapText="1" indent="1"/>
    </xf>
    <xf numFmtId="3" fontId="6" fillId="0" borderId="6" xfId="0" applyNumberFormat="1" applyFont="1" applyBorder="1" applyAlignment="1">
      <alignment horizontal="left" vertical="center" wrapText="1" indent="1"/>
    </xf>
    <xf numFmtId="3" fontId="41" fillId="3" borderId="4" xfId="0" applyNumberFormat="1" applyFont="1" applyFill="1" applyBorder="1" applyAlignment="1">
      <alignment horizontal="center" vertical="center" wrapText="1"/>
    </xf>
    <xf numFmtId="3" fontId="41" fillId="3" borderId="6" xfId="0" applyNumberFormat="1" applyFont="1" applyFill="1" applyBorder="1" applyAlignment="1">
      <alignment horizontal="center" vertical="center" wrapText="1"/>
    </xf>
    <xf numFmtId="3" fontId="41" fillId="3" borderId="5" xfId="0" applyNumberFormat="1" applyFont="1" applyFill="1" applyBorder="1" applyAlignment="1">
      <alignment horizontal="center" vertical="center" textRotation="90" wrapText="1"/>
    </xf>
    <xf numFmtId="3" fontId="41" fillId="3" borderId="12" xfId="0" applyNumberFormat="1" applyFont="1" applyFill="1" applyBorder="1" applyAlignment="1">
      <alignment horizontal="center" vertical="center" textRotation="90" wrapText="1"/>
    </xf>
    <xf numFmtId="3" fontId="41" fillId="3" borderId="3" xfId="0" applyNumberFormat="1" applyFont="1" applyFill="1" applyBorder="1" applyAlignment="1">
      <alignment horizontal="center" vertical="center" textRotation="90" wrapText="1"/>
    </xf>
    <xf numFmtId="3" fontId="41" fillId="3" borderId="7" xfId="0" applyNumberFormat="1" applyFont="1" applyFill="1" applyBorder="1" applyAlignment="1">
      <alignment horizontal="center" vertical="center" wrapText="1"/>
    </xf>
    <xf numFmtId="3" fontId="41" fillId="3" borderId="15" xfId="0" applyNumberFormat="1" applyFont="1" applyFill="1" applyBorder="1" applyAlignment="1">
      <alignment horizontal="center" vertical="center" wrapText="1"/>
    </xf>
    <xf numFmtId="3" fontId="41" fillId="3" borderId="2" xfId="0" applyNumberFormat="1" applyFont="1" applyFill="1" applyBorder="1" applyAlignment="1">
      <alignment horizontal="center" vertical="center" wrapText="1"/>
    </xf>
    <xf numFmtId="3" fontId="41" fillId="3" borderId="14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indent="1"/>
    </xf>
    <xf numFmtId="3" fontId="3" fillId="0" borderId="9" xfId="0" applyNumberFormat="1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3" fontId="50" fillId="3" borderId="4" xfId="0" applyNumberFormat="1" applyFont="1" applyFill="1" applyBorder="1" applyAlignment="1">
      <alignment horizontal="center" vertical="center" wrapText="1"/>
    </xf>
    <xf numFmtId="3" fontId="50" fillId="3" borderId="8" xfId="0" applyNumberFormat="1" applyFont="1" applyFill="1" applyBorder="1" applyAlignment="1">
      <alignment horizontal="center" vertical="center" wrapText="1"/>
    </xf>
    <xf numFmtId="3" fontId="50" fillId="3" borderId="6" xfId="0" applyNumberFormat="1" applyFont="1" applyFill="1" applyBorder="1" applyAlignment="1">
      <alignment horizontal="center" vertical="center" wrapText="1"/>
    </xf>
    <xf numFmtId="3" fontId="41" fillId="3" borderId="5" xfId="0" applyNumberFormat="1" applyFont="1" applyFill="1" applyBorder="1" applyAlignment="1">
      <alignment horizontal="center" vertical="center" wrapText="1"/>
    </xf>
    <xf numFmtId="3" fontId="41" fillId="3" borderId="12" xfId="0" applyNumberFormat="1" applyFont="1" applyFill="1" applyBorder="1" applyAlignment="1">
      <alignment horizontal="center" vertical="center" wrapText="1"/>
    </xf>
    <xf numFmtId="3" fontId="41" fillId="3" borderId="3" xfId="0" applyNumberFormat="1" applyFont="1" applyFill="1" applyBorder="1" applyAlignment="1">
      <alignment horizontal="center" vertical="center" wrapText="1"/>
    </xf>
    <xf numFmtId="3" fontId="41" fillId="3" borderId="4" xfId="0" applyNumberFormat="1" applyFont="1" applyFill="1" applyBorder="1" applyAlignment="1">
      <alignment horizontal="center" vertical="center" textRotation="90" wrapText="1"/>
    </xf>
    <xf numFmtId="3" fontId="41" fillId="3" borderId="6" xfId="0" applyNumberFormat="1" applyFont="1" applyFill="1" applyBorder="1" applyAlignment="1">
      <alignment horizontal="center" vertical="center" textRotation="90" wrapText="1"/>
    </xf>
    <xf numFmtId="171" fontId="0" fillId="0" borderId="9" xfId="0" applyNumberFormat="1" applyBorder="1" applyAlignment="1">
      <alignment horizontal="center"/>
    </xf>
    <xf numFmtId="3" fontId="6" fillId="0" borderId="4" xfId="0" applyNumberFormat="1" applyFont="1" applyBorder="1" applyAlignment="1">
      <alignment horizontal="left" wrapText="1" indent="2"/>
    </xf>
    <xf numFmtId="3" fontId="6" fillId="0" borderId="8" xfId="0" applyNumberFormat="1" applyFont="1" applyBorder="1" applyAlignment="1">
      <alignment horizontal="left" wrapText="1" indent="2"/>
    </xf>
    <xf numFmtId="3" fontId="6" fillId="0" borderId="6" xfId="0" applyNumberFormat="1" applyFont="1" applyBorder="1" applyAlignment="1">
      <alignment horizontal="left" wrapText="1" indent="2"/>
    </xf>
    <xf numFmtId="3" fontId="16" fillId="3" borderId="5" xfId="0" applyNumberFormat="1" applyFont="1" applyFill="1" applyBorder="1" applyAlignment="1">
      <alignment horizontal="center" vertical="center" wrapText="1"/>
    </xf>
    <xf numFmtId="3" fontId="16" fillId="3" borderId="12" xfId="0" applyNumberFormat="1" applyFont="1" applyFill="1" applyBorder="1" applyAlignment="1">
      <alignment horizontal="center" vertical="center" wrapText="1"/>
    </xf>
    <xf numFmtId="3" fontId="16" fillId="3" borderId="3" xfId="0" applyNumberFormat="1" applyFont="1" applyFill="1" applyBorder="1" applyAlignment="1">
      <alignment horizontal="center" vertical="center" wrapText="1"/>
    </xf>
    <xf numFmtId="3" fontId="41" fillId="3" borderId="8" xfId="0" applyNumberFormat="1" applyFont="1" applyFill="1" applyBorder="1" applyAlignment="1">
      <alignment horizontal="center" vertical="center" wrapText="1"/>
    </xf>
    <xf numFmtId="3" fontId="41" fillId="3" borderId="10" xfId="0" applyNumberFormat="1" applyFont="1" applyFill="1" applyBorder="1" applyAlignment="1">
      <alignment horizontal="center" vertical="center" wrapText="1"/>
    </xf>
    <xf numFmtId="3" fontId="41" fillId="3" borderId="13" xfId="0" applyNumberFormat="1" applyFont="1" applyFill="1" applyBorder="1" applyAlignment="1">
      <alignment horizontal="center" vertical="center" wrapText="1"/>
    </xf>
    <xf numFmtId="3" fontId="41" fillId="3" borderId="9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4" fontId="41" fillId="3" borderId="5" xfId="0" applyNumberFormat="1" applyFont="1" applyFill="1" applyBorder="1" applyAlignment="1">
      <alignment horizontal="center" vertical="center" wrapText="1"/>
    </xf>
    <xf numFmtId="14" fontId="41" fillId="3" borderId="12" xfId="0" applyNumberFormat="1" applyFont="1" applyFill="1" applyBorder="1" applyAlignment="1">
      <alignment horizontal="center" vertical="center" wrapText="1"/>
    </xf>
    <xf numFmtId="14" fontId="41" fillId="3" borderId="3" xfId="0" applyNumberFormat="1" applyFont="1" applyFill="1" applyBorder="1" applyAlignment="1">
      <alignment horizontal="center" vertical="center" wrapText="1"/>
    </xf>
    <xf numFmtId="0" fontId="39" fillId="0" borderId="0" xfId="5" applyNumberFormat="1" applyFont="1" applyFill="1" applyBorder="1" applyAlignment="1" applyProtection="1">
      <alignment horizontal="center" vertical="center" wrapText="1"/>
    </xf>
    <xf numFmtId="0" fontId="14" fillId="0" borderId="0" xfId="5" applyNumberFormat="1" applyFont="1" applyFill="1" applyBorder="1" applyAlignment="1" applyProtection="1">
      <alignment horizontal="center" vertical="center"/>
    </xf>
    <xf numFmtId="3" fontId="16" fillId="3" borderId="7" xfId="0" applyNumberFormat="1" applyFont="1" applyFill="1" applyBorder="1" applyAlignment="1">
      <alignment horizontal="center" vertical="center" wrapText="1"/>
    </xf>
    <xf numFmtId="3" fontId="16" fillId="3" borderId="15" xfId="0" applyNumberFormat="1" applyFont="1" applyFill="1" applyBorder="1" applyAlignment="1">
      <alignment horizontal="center" vertical="center" wrapText="1"/>
    </xf>
    <xf numFmtId="3" fontId="16" fillId="3" borderId="2" xfId="0" applyNumberFormat="1" applyFont="1" applyFill="1" applyBorder="1" applyAlignment="1">
      <alignment horizontal="center" vertical="center" wrapText="1"/>
    </xf>
    <xf numFmtId="3" fontId="16" fillId="3" borderId="14" xfId="0" applyNumberFormat="1" applyFont="1" applyFill="1" applyBorder="1" applyAlignment="1">
      <alignment horizontal="center" vertical="center" wrapText="1"/>
    </xf>
    <xf numFmtId="3" fontId="16" fillId="3" borderId="4" xfId="0" applyNumberFormat="1" applyFont="1" applyFill="1" applyBorder="1" applyAlignment="1">
      <alignment horizontal="center" vertical="center" wrapText="1"/>
    </xf>
    <xf numFmtId="3" fontId="16" fillId="3" borderId="8" xfId="0" applyNumberFormat="1" applyFont="1" applyFill="1" applyBorder="1" applyAlignment="1">
      <alignment horizontal="center" vertical="center" wrapText="1"/>
    </xf>
    <xf numFmtId="3" fontId="16" fillId="3" borderId="6" xfId="0" applyNumberFormat="1" applyFont="1" applyFill="1" applyBorder="1" applyAlignment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wrapText="1"/>
      <protection locked="0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35" fillId="3" borderId="1" xfId="0" applyNumberFormat="1" applyFont="1" applyFill="1" applyBorder="1" applyAlignment="1">
      <alignment horizontal="center" vertical="center" wrapText="1"/>
    </xf>
    <xf numFmtId="0" fontId="108" fillId="0" borderId="0" xfId="9" applyNumberFormat="1" applyFont="1" applyFill="1" applyBorder="1" applyAlignment="1" applyProtection="1">
      <alignment horizontal="center" vertical="center" wrapText="1"/>
    </xf>
    <xf numFmtId="3" fontId="35" fillId="3" borderId="5" xfId="0" applyNumberFormat="1" applyFont="1" applyFill="1" applyBorder="1" applyAlignment="1">
      <alignment horizontal="center" vertical="center" wrapText="1"/>
    </xf>
    <xf numFmtId="3" fontId="35" fillId="3" borderId="12" xfId="0" applyNumberFormat="1" applyFont="1" applyFill="1" applyBorder="1" applyAlignment="1">
      <alignment horizontal="center" vertical="center" wrapText="1"/>
    </xf>
    <xf numFmtId="3" fontId="35" fillId="3" borderId="3" xfId="0" applyNumberFormat="1" applyFont="1" applyFill="1" applyBorder="1" applyAlignment="1">
      <alignment horizontal="center" vertical="center" wrapText="1"/>
    </xf>
    <xf numFmtId="3" fontId="35" fillId="3" borderId="7" xfId="0" applyNumberFormat="1" applyFont="1" applyFill="1" applyBorder="1" applyAlignment="1">
      <alignment horizontal="center" vertical="center" wrapText="1"/>
    </xf>
    <xf numFmtId="3" fontId="35" fillId="3" borderId="11" xfId="0" applyNumberFormat="1" applyFont="1" applyFill="1" applyBorder="1" applyAlignment="1">
      <alignment horizontal="center" vertical="center" wrapText="1"/>
    </xf>
    <xf numFmtId="3" fontId="35" fillId="3" borderId="15" xfId="0" applyNumberFormat="1" applyFont="1" applyFill="1" applyBorder="1" applyAlignment="1">
      <alignment horizontal="center" vertical="center" wrapText="1"/>
    </xf>
    <xf numFmtId="3" fontId="35" fillId="3" borderId="2" xfId="0" applyNumberFormat="1" applyFont="1" applyFill="1" applyBorder="1" applyAlignment="1">
      <alignment horizontal="center" vertical="center" wrapText="1"/>
    </xf>
    <xf numFmtId="3" fontId="35" fillId="3" borderId="9" xfId="0" applyNumberFormat="1" applyFont="1" applyFill="1" applyBorder="1" applyAlignment="1">
      <alignment horizontal="center" vertical="center" wrapText="1"/>
    </xf>
    <xf numFmtId="3" fontId="35" fillId="3" borderId="14" xfId="0" applyNumberFormat="1" applyFont="1" applyFill="1" applyBorder="1" applyAlignment="1">
      <alignment horizontal="center" vertical="center" wrapText="1"/>
    </xf>
    <xf numFmtId="3" fontId="35" fillId="3" borderId="4" xfId="0" applyNumberFormat="1" applyFont="1" applyFill="1" applyBorder="1" applyAlignment="1">
      <alignment horizontal="center" vertical="center" wrapText="1"/>
    </xf>
    <xf numFmtId="3" fontId="35" fillId="3" borderId="8" xfId="0" applyNumberFormat="1" applyFont="1" applyFill="1" applyBorder="1" applyAlignment="1">
      <alignment horizontal="center" vertical="center" wrapText="1"/>
    </xf>
    <xf numFmtId="3" fontId="35" fillId="3" borderId="6" xfId="0" applyNumberFormat="1" applyFont="1" applyFill="1" applyBorder="1" applyAlignment="1">
      <alignment horizontal="center" vertical="center" wrapText="1"/>
    </xf>
    <xf numFmtId="196" fontId="3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>
      <alignment horizontal="center" vertical="center" wrapText="1"/>
    </xf>
    <xf numFmtId="0" fontId="106" fillId="0" borderId="4" xfId="0" applyFont="1" applyBorder="1" applyAlignment="1">
      <alignment horizontal="center" vertical="center" wrapText="1"/>
    </xf>
    <xf numFmtId="0" fontId="106" fillId="0" borderId="8" xfId="0" applyFont="1" applyBorder="1" applyAlignment="1">
      <alignment horizontal="center" vertical="center" wrapText="1"/>
    </xf>
    <xf numFmtId="0" fontId="106" fillId="0" borderId="6" xfId="0" applyFont="1" applyBorder="1" applyAlignment="1">
      <alignment horizontal="center" vertical="center" wrapText="1"/>
    </xf>
    <xf numFmtId="169" fontId="8" fillId="0" borderId="5" xfId="0" applyNumberFormat="1" applyFont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0" fontId="106" fillId="0" borderId="4" xfId="0" applyFont="1" applyBorder="1" applyAlignment="1">
      <alignment horizontal="center" vertical="center"/>
    </xf>
    <xf numFmtId="0" fontId="106" fillId="0" borderId="8" xfId="0" applyFont="1" applyBorder="1" applyAlignment="1">
      <alignment horizontal="center" vertical="center"/>
    </xf>
    <xf numFmtId="0" fontId="10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106" fillId="0" borderId="7" xfId="0" applyFont="1" applyBorder="1" applyAlignment="1">
      <alignment horizontal="center" vertical="center" wrapText="1"/>
    </xf>
    <xf numFmtId="0" fontId="106" fillId="0" borderId="11" xfId="0" quotePrefix="1" applyFont="1" applyBorder="1" applyAlignment="1">
      <alignment horizontal="center" vertical="center" wrapText="1"/>
    </xf>
    <xf numFmtId="0" fontId="106" fillId="0" borderId="15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6" fillId="0" borderId="4" xfId="0" applyFont="1" applyBorder="1" applyAlignment="1">
      <alignment horizontal="center"/>
    </xf>
    <xf numFmtId="0" fontId="106" fillId="0" borderId="8" xfId="0" applyFont="1" applyBorder="1" applyAlignment="1">
      <alignment horizontal="center"/>
    </xf>
    <xf numFmtId="0" fontId="106" fillId="0" borderId="6" xfId="0" applyFont="1" applyBorder="1" applyAlignment="1">
      <alignment horizontal="center"/>
    </xf>
    <xf numFmtId="0" fontId="106" fillId="0" borderId="4" xfId="0" quotePrefix="1" applyFont="1" applyBorder="1" applyAlignment="1">
      <alignment horizontal="center" vertical="center" wrapText="1"/>
    </xf>
    <xf numFmtId="0" fontId="106" fillId="0" borderId="8" xfId="0" quotePrefix="1" applyFont="1" applyBorder="1" applyAlignment="1">
      <alignment horizontal="center" vertical="center" wrapText="1"/>
    </xf>
    <xf numFmtId="0" fontId="106" fillId="0" borderId="6" xfId="0" quotePrefix="1" applyFont="1" applyBorder="1" applyAlignment="1">
      <alignment horizontal="center" vertical="center" wrapText="1"/>
    </xf>
    <xf numFmtId="169" fontId="8" fillId="0" borderId="5" xfId="0" applyNumberFormat="1" applyFont="1" applyBorder="1" applyAlignment="1" applyProtection="1">
      <alignment horizontal="center" vertical="center"/>
      <protection locked="0"/>
    </xf>
    <xf numFmtId="169" fontId="3" fillId="0" borderId="3" xfId="0" applyNumberFormat="1" applyFont="1" applyBorder="1" applyAlignment="1" applyProtection="1">
      <alignment horizontal="center" vertical="center"/>
      <protection locked="0"/>
    </xf>
    <xf numFmtId="169" fontId="8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106" fillId="0" borderId="7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06" fillId="0" borderId="10" xfId="0" quotePrefix="1" applyFont="1" applyBorder="1" applyAlignment="1">
      <alignment horizontal="center" vertical="center" wrapText="1"/>
    </xf>
    <xf numFmtId="0" fontId="106" fillId="0" borderId="0" xfId="0" quotePrefix="1" applyFont="1" applyAlignment="1">
      <alignment horizontal="center" vertical="center" wrapText="1"/>
    </xf>
    <xf numFmtId="0" fontId="106" fillId="0" borderId="2" xfId="0" quotePrefix="1" applyFont="1" applyBorder="1" applyAlignment="1">
      <alignment horizontal="center" vertical="center" wrapText="1"/>
    </xf>
    <xf numFmtId="0" fontId="106" fillId="0" borderId="9" xfId="0" quotePrefix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9" fontId="3" fillId="0" borderId="1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9" fontId="3" fillId="0" borderId="3" xfId="0" applyNumberFormat="1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6" fillId="0" borderId="9" xfId="0" applyFont="1" applyBorder="1" applyAlignment="1">
      <alignment horizontal="center" vertical="center" wrapText="1"/>
    </xf>
    <xf numFmtId="0" fontId="106" fillId="0" borderId="14" xfId="0" applyFont="1" applyBorder="1" applyAlignment="1">
      <alignment horizontal="center" vertical="center" wrapText="1"/>
    </xf>
    <xf numFmtId="0" fontId="106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106" fillId="0" borderId="10" xfId="0" applyFont="1" applyBorder="1" applyAlignment="1">
      <alignment horizontal="center" vertical="center" wrapText="1"/>
    </xf>
    <xf numFmtId="0" fontId="106" fillId="0" borderId="13" xfId="0" quotePrefix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3" xfId="0" applyBorder="1"/>
    <xf numFmtId="0" fontId="6" fillId="0" borderId="4" xfId="0" applyFont="1" applyBorder="1" applyAlignment="1">
      <alignment horizontal="center"/>
    </xf>
    <xf numFmtId="0" fontId="106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6" fillId="0" borderId="7" xfId="0" applyFont="1" applyBorder="1" applyAlignment="1">
      <alignment horizontal="center"/>
    </xf>
    <xf numFmtId="0" fontId="106" fillId="0" borderId="11" xfId="0" applyFont="1" applyBorder="1" applyAlignment="1">
      <alignment horizontal="center"/>
    </xf>
    <xf numFmtId="0" fontId="106" fillId="0" borderId="15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15" xfId="0" applyFont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99" fillId="0" borderId="0" xfId="0" applyFont="1" applyAlignment="1">
      <alignment horizontal="center" vertical="center" wrapText="1"/>
    </xf>
  </cellXfs>
  <cellStyles count="1291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0" xfId="740" xr:uid="{00000000-0005-0000-0000-00001D030000}"/>
    <cellStyle name="Обычный 30 2" xfId="741" xr:uid="{00000000-0005-0000-0000-00001E030000}"/>
    <cellStyle name="Обычный 31" xfId="742" xr:uid="{00000000-0005-0000-0000-00001F030000}"/>
    <cellStyle name="Обычный 31 2" xfId="743" xr:uid="{00000000-0005-0000-0000-000020030000}"/>
    <cellStyle name="Обычный 32" xfId="744" xr:uid="{00000000-0005-0000-0000-000021030000}"/>
    <cellStyle name="Обычный 32 2" xfId="745" xr:uid="{00000000-0005-0000-0000-000022030000}"/>
    <cellStyle name="Обычный 33" xfId="746" xr:uid="{00000000-0005-0000-0000-000023030000}"/>
    <cellStyle name="Обычный 33 2" xfId="747" xr:uid="{00000000-0005-0000-0000-000024030000}"/>
    <cellStyle name="Обычный 34" xfId="748" xr:uid="{00000000-0005-0000-0000-000025030000}"/>
    <cellStyle name="Обычный 34 2" xfId="749" xr:uid="{00000000-0005-0000-0000-000026030000}"/>
    <cellStyle name="Обычный 35" xfId="750" xr:uid="{00000000-0005-0000-0000-000027030000}"/>
    <cellStyle name="Обычный 35 10" xfId="751" xr:uid="{00000000-0005-0000-0000-000028030000}"/>
    <cellStyle name="Обычный 35 11" xfId="752" xr:uid="{00000000-0005-0000-0000-000029030000}"/>
    <cellStyle name="Обычный 35 12" xfId="753" xr:uid="{00000000-0005-0000-0000-00002A030000}"/>
    <cellStyle name="Обычный 35 13" xfId="754" xr:uid="{00000000-0005-0000-0000-00002B030000}"/>
    <cellStyle name="Обычный 35 14" xfId="755" xr:uid="{00000000-0005-0000-0000-00002C030000}"/>
    <cellStyle name="Обычный 35 15" xfId="756" xr:uid="{00000000-0005-0000-0000-00002D030000}"/>
    <cellStyle name="Обычный 35 16" xfId="757" xr:uid="{00000000-0005-0000-0000-00002E030000}"/>
    <cellStyle name="Обычный 35 17" xfId="758" xr:uid="{00000000-0005-0000-0000-00002F030000}"/>
    <cellStyle name="Обычный 35 18" xfId="759" xr:uid="{00000000-0005-0000-0000-000030030000}"/>
    <cellStyle name="Обычный 35 19" xfId="760" xr:uid="{00000000-0005-0000-0000-000031030000}"/>
    <cellStyle name="Обычный 35 2" xfId="761" xr:uid="{00000000-0005-0000-0000-000032030000}"/>
    <cellStyle name="Обычный 35 2 2" xfId="762" xr:uid="{00000000-0005-0000-0000-000033030000}"/>
    <cellStyle name="Обычный 35 20" xfId="763" xr:uid="{00000000-0005-0000-0000-000034030000}"/>
    <cellStyle name="Обычный 35 21" xfId="764" xr:uid="{00000000-0005-0000-0000-000035030000}"/>
    <cellStyle name="Обычный 35 22" xfId="765" xr:uid="{00000000-0005-0000-0000-000036030000}"/>
    <cellStyle name="Обычный 35 23" xfId="766" xr:uid="{00000000-0005-0000-0000-000037030000}"/>
    <cellStyle name="Обычный 35 24" xfId="767" xr:uid="{00000000-0005-0000-0000-000038030000}"/>
    <cellStyle name="Обычный 35 25" xfId="768" xr:uid="{00000000-0005-0000-0000-000039030000}"/>
    <cellStyle name="Обычный 35 26" xfId="769" xr:uid="{00000000-0005-0000-0000-00003A030000}"/>
    <cellStyle name="Обычный 35 27" xfId="770" xr:uid="{00000000-0005-0000-0000-00003B030000}"/>
    <cellStyle name="Обычный 35 28" xfId="771" xr:uid="{00000000-0005-0000-0000-00003C030000}"/>
    <cellStyle name="Обычный 35 29" xfId="772" xr:uid="{00000000-0005-0000-0000-00003D030000}"/>
    <cellStyle name="Обычный 35 3" xfId="773" xr:uid="{00000000-0005-0000-0000-00003E030000}"/>
    <cellStyle name="Обычный 35 30" xfId="774" xr:uid="{00000000-0005-0000-0000-00003F030000}"/>
    <cellStyle name="Обычный 35 31" xfId="775" xr:uid="{00000000-0005-0000-0000-000040030000}"/>
    <cellStyle name="Обычный 35 4" xfId="776" xr:uid="{00000000-0005-0000-0000-000041030000}"/>
    <cellStyle name="Обычный 35 5" xfId="777" xr:uid="{00000000-0005-0000-0000-000042030000}"/>
    <cellStyle name="Обычный 35 6" xfId="778" xr:uid="{00000000-0005-0000-0000-000043030000}"/>
    <cellStyle name="Обычный 35 7" xfId="779" xr:uid="{00000000-0005-0000-0000-000044030000}"/>
    <cellStyle name="Обычный 35 8" xfId="780" xr:uid="{00000000-0005-0000-0000-000045030000}"/>
    <cellStyle name="Обычный 35 9" xfId="781" xr:uid="{00000000-0005-0000-0000-000046030000}"/>
    <cellStyle name="Обычный 36" xfId="782" xr:uid="{00000000-0005-0000-0000-000047030000}"/>
    <cellStyle name="Обычный 36 2" xfId="783" xr:uid="{00000000-0005-0000-0000-000048030000}"/>
    <cellStyle name="Обычный 37" xfId="784" xr:uid="{00000000-0005-0000-0000-000049030000}"/>
    <cellStyle name="Обычный 37 2" xfId="785" xr:uid="{00000000-0005-0000-0000-00004A030000}"/>
    <cellStyle name="Обычный 38" xfId="786" xr:uid="{00000000-0005-0000-0000-00004B030000}"/>
    <cellStyle name="Обычный 38 2" xfId="787" xr:uid="{00000000-0005-0000-0000-00004C030000}"/>
    <cellStyle name="Обычный 39" xfId="788" xr:uid="{00000000-0005-0000-0000-00004D030000}"/>
    <cellStyle name="Обычный 39 2" xfId="789" xr:uid="{00000000-0005-0000-0000-00004E030000}"/>
    <cellStyle name="Обычный 4" xfId="6" xr:uid="{00000000-0005-0000-0000-00004F030000}"/>
    <cellStyle name="Обычный 4 2" xfId="4" xr:uid="{00000000-0005-0000-0000-000050030000}"/>
    <cellStyle name="Обычный 4 2 2" xfId="790" xr:uid="{00000000-0005-0000-0000-000051030000}"/>
    <cellStyle name="Обычный 4 2 3" xfId="791" xr:uid="{00000000-0005-0000-0000-000052030000}"/>
    <cellStyle name="Обычный 4 3" xfId="792" xr:uid="{00000000-0005-0000-0000-000053030000}"/>
    <cellStyle name="Обычный 4 3 2" xfId="793" xr:uid="{00000000-0005-0000-0000-000054030000}"/>
    <cellStyle name="Обычный 4 4" xfId="794" xr:uid="{00000000-0005-0000-0000-000055030000}"/>
    <cellStyle name="Обычный 4 4 2" xfId="795" xr:uid="{00000000-0005-0000-0000-000056030000}"/>
    <cellStyle name="Обычный 4 5" xfId="796" xr:uid="{00000000-0005-0000-0000-000057030000}"/>
    <cellStyle name="Обычный 40" xfId="797" xr:uid="{00000000-0005-0000-0000-000058030000}"/>
    <cellStyle name="Обычный 40 10" xfId="798" xr:uid="{00000000-0005-0000-0000-000059030000}"/>
    <cellStyle name="Обычный 40 11" xfId="799" xr:uid="{00000000-0005-0000-0000-00005A030000}"/>
    <cellStyle name="Обычный 40 12" xfId="800" xr:uid="{00000000-0005-0000-0000-00005B030000}"/>
    <cellStyle name="Обычный 40 13" xfId="801" xr:uid="{00000000-0005-0000-0000-00005C030000}"/>
    <cellStyle name="Обычный 40 14" xfId="802" xr:uid="{00000000-0005-0000-0000-00005D030000}"/>
    <cellStyle name="Обычный 40 15" xfId="803" xr:uid="{00000000-0005-0000-0000-00005E030000}"/>
    <cellStyle name="Обычный 40 16" xfId="804" xr:uid="{00000000-0005-0000-0000-00005F030000}"/>
    <cellStyle name="Обычный 40 17" xfId="805" xr:uid="{00000000-0005-0000-0000-000060030000}"/>
    <cellStyle name="Обычный 40 18" xfId="806" xr:uid="{00000000-0005-0000-0000-000061030000}"/>
    <cellStyle name="Обычный 40 19" xfId="807" xr:uid="{00000000-0005-0000-0000-000062030000}"/>
    <cellStyle name="Обычный 40 2" xfId="808" xr:uid="{00000000-0005-0000-0000-000063030000}"/>
    <cellStyle name="Обычный 40 2 2" xfId="809" xr:uid="{00000000-0005-0000-0000-000064030000}"/>
    <cellStyle name="Обычный 40 20" xfId="810" xr:uid="{00000000-0005-0000-0000-000065030000}"/>
    <cellStyle name="Обычный 40 21" xfId="811" xr:uid="{00000000-0005-0000-0000-000066030000}"/>
    <cellStyle name="Обычный 40 22" xfId="812" xr:uid="{00000000-0005-0000-0000-000067030000}"/>
    <cellStyle name="Обычный 40 23" xfId="813" xr:uid="{00000000-0005-0000-0000-000068030000}"/>
    <cellStyle name="Обычный 40 24" xfId="814" xr:uid="{00000000-0005-0000-0000-000069030000}"/>
    <cellStyle name="Обычный 40 25" xfId="815" xr:uid="{00000000-0005-0000-0000-00006A030000}"/>
    <cellStyle name="Обычный 40 26" xfId="816" xr:uid="{00000000-0005-0000-0000-00006B030000}"/>
    <cellStyle name="Обычный 40 27" xfId="817" xr:uid="{00000000-0005-0000-0000-00006C030000}"/>
    <cellStyle name="Обычный 40 28" xfId="818" xr:uid="{00000000-0005-0000-0000-00006D030000}"/>
    <cellStyle name="Обычный 40 29" xfId="819" xr:uid="{00000000-0005-0000-0000-00006E030000}"/>
    <cellStyle name="Обычный 40 3" xfId="820" xr:uid="{00000000-0005-0000-0000-00006F030000}"/>
    <cellStyle name="Обычный 40 30" xfId="821" xr:uid="{00000000-0005-0000-0000-000070030000}"/>
    <cellStyle name="Обычный 40 31" xfId="822" xr:uid="{00000000-0005-0000-0000-000071030000}"/>
    <cellStyle name="Обычный 40 32" xfId="823" xr:uid="{00000000-0005-0000-0000-000072030000}"/>
    <cellStyle name="Обычный 40 4" xfId="824" xr:uid="{00000000-0005-0000-0000-000073030000}"/>
    <cellStyle name="Обычный 40 5" xfId="825" xr:uid="{00000000-0005-0000-0000-000074030000}"/>
    <cellStyle name="Обычный 40 6" xfId="826" xr:uid="{00000000-0005-0000-0000-000075030000}"/>
    <cellStyle name="Обычный 40 7" xfId="827" xr:uid="{00000000-0005-0000-0000-000076030000}"/>
    <cellStyle name="Обычный 40 8" xfId="828" xr:uid="{00000000-0005-0000-0000-000077030000}"/>
    <cellStyle name="Обычный 40 9" xfId="829" xr:uid="{00000000-0005-0000-0000-000078030000}"/>
    <cellStyle name="Обычный 41" xfId="830" xr:uid="{00000000-0005-0000-0000-000079030000}"/>
    <cellStyle name="Обычный 41 10" xfId="831" xr:uid="{00000000-0005-0000-0000-00007A030000}"/>
    <cellStyle name="Обычный 41 11" xfId="832" xr:uid="{00000000-0005-0000-0000-00007B030000}"/>
    <cellStyle name="Обычный 41 12" xfId="833" xr:uid="{00000000-0005-0000-0000-00007C030000}"/>
    <cellStyle name="Обычный 41 13" xfId="834" xr:uid="{00000000-0005-0000-0000-00007D030000}"/>
    <cellStyle name="Обычный 41 14" xfId="835" xr:uid="{00000000-0005-0000-0000-00007E030000}"/>
    <cellStyle name="Обычный 41 15" xfId="836" xr:uid="{00000000-0005-0000-0000-00007F030000}"/>
    <cellStyle name="Обычный 41 16" xfId="837" xr:uid="{00000000-0005-0000-0000-000080030000}"/>
    <cellStyle name="Обычный 41 17" xfId="838" xr:uid="{00000000-0005-0000-0000-000081030000}"/>
    <cellStyle name="Обычный 41 18" xfId="839" xr:uid="{00000000-0005-0000-0000-000082030000}"/>
    <cellStyle name="Обычный 41 19" xfId="840" xr:uid="{00000000-0005-0000-0000-000083030000}"/>
    <cellStyle name="Обычный 41 2" xfId="841" xr:uid="{00000000-0005-0000-0000-000084030000}"/>
    <cellStyle name="Обычный 41 2 2" xfId="842" xr:uid="{00000000-0005-0000-0000-000085030000}"/>
    <cellStyle name="Обычный 41 20" xfId="843" xr:uid="{00000000-0005-0000-0000-000086030000}"/>
    <cellStyle name="Обычный 41 21" xfId="844" xr:uid="{00000000-0005-0000-0000-000087030000}"/>
    <cellStyle name="Обычный 41 22" xfId="845" xr:uid="{00000000-0005-0000-0000-000088030000}"/>
    <cellStyle name="Обычный 41 23" xfId="846" xr:uid="{00000000-0005-0000-0000-000089030000}"/>
    <cellStyle name="Обычный 41 24" xfId="847" xr:uid="{00000000-0005-0000-0000-00008A030000}"/>
    <cellStyle name="Обычный 41 25" xfId="848" xr:uid="{00000000-0005-0000-0000-00008B030000}"/>
    <cellStyle name="Обычный 41 26" xfId="849" xr:uid="{00000000-0005-0000-0000-00008C030000}"/>
    <cellStyle name="Обычный 41 27" xfId="850" xr:uid="{00000000-0005-0000-0000-00008D030000}"/>
    <cellStyle name="Обычный 41 28" xfId="851" xr:uid="{00000000-0005-0000-0000-00008E030000}"/>
    <cellStyle name="Обычный 41 29" xfId="852" xr:uid="{00000000-0005-0000-0000-00008F030000}"/>
    <cellStyle name="Обычный 41 3" xfId="853" xr:uid="{00000000-0005-0000-0000-000090030000}"/>
    <cellStyle name="Обычный 41 30" xfId="854" xr:uid="{00000000-0005-0000-0000-000091030000}"/>
    <cellStyle name="Обычный 41 31" xfId="855" xr:uid="{00000000-0005-0000-0000-000092030000}"/>
    <cellStyle name="Обычный 41 32" xfId="856" xr:uid="{00000000-0005-0000-0000-000093030000}"/>
    <cellStyle name="Обычный 41 4" xfId="857" xr:uid="{00000000-0005-0000-0000-000094030000}"/>
    <cellStyle name="Обычный 41 5" xfId="858" xr:uid="{00000000-0005-0000-0000-000095030000}"/>
    <cellStyle name="Обычный 41 6" xfId="859" xr:uid="{00000000-0005-0000-0000-000096030000}"/>
    <cellStyle name="Обычный 41 7" xfId="860" xr:uid="{00000000-0005-0000-0000-000097030000}"/>
    <cellStyle name="Обычный 41 8" xfId="861" xr:uid="{00000000-0005-0000-0000-000098030000}"/>
    <cellStyle name="Обычный 41 9" xfId="862" xr:uid="{00000000-0005-0000-0000-000099030000}"/>
    <cellStyle name="Обычный 42" xfId="863" xr:uid="{00000000-0005-0000-0000-00009A030000}"/>
    <cellStyle name="Обычный 43" xfId="864" xr:uid="{00000000-0005-0000-0000-00009B030000}"/>
    <cellStyle name="Обычный 44" xfId="865" xr:uid="{00000000-0005-0000-0000-00009C030000}"/>
    <cellStyle name="Обычный 45" xfId="866" xr:uid="{00000000-0005-0000-0000-00009D030000}"/>
    <cellStyle name="Обычный 46" xfId="867" xr:uid="{00000000-0005-0000-0000-00009E030000}"/>
    <cellStyle name="Обычный 47" xfId="868" xr:uid="{00000000-0005-0000-0000-00009F030000}"/>
    <cellStyle name="Обычный 47 2" xfId="869" xr:uid="{00000000-0005-0000-0000-0000A0030000}"/>
    <cellStyle name="Обычный 47 3" xfId="870" xr:uid="{00000000-0005-0000-0000-0000A1030000}"/>
    <cellStyle name="Обычный 47 4" xfId="871" xr:uid="{00000000-0005-0000-0000-0000A2030000}"/>
    <cellStyle name="Обычный 47 5" xfId="872" xr:uid="{00000000-0005-0000-0000-0000A3030000}"/>
    <cellStyle name="Обычный 47 6" xfId="873" xr:uid="{00000000-0005-0000-0000-0000A4030000}"/>
    <cellStyle name="Обычный 47 7" xfId="874" xr:uid="{00000000-0005-0000-0000-0000A5030000}"/>
    <cellStyle name="Обычный 48" xfId="875" xr:uid="{00000000-0005-0000-0000-0000A6030000}"/>
    <cellStyle name="Обычный 48 2" xfId="876" xr:uid="{00000000-0005-0000-0000-0000A7030000}"/>
    <cellStyle name="Обычный 48 3" xfId="877" xr:uid="{00000000-0005-0000-0000-0000A8030000}"/>
    <cellStyle name="Обычный 49" xfId="878" xr:uid="{00000000-0005-0000-0000-0000A9030000}"/>
    <cellStyle name="Обычный 5" xfId="879" xr:uid="{00000000-0005-0000-0000-0000AA030000}"/>
    <cellStyle name="Обычный 5 2" xfId="880" xr:uid="{00000000-0005-0000-0000-0000AB030000}"/>
    <cellStyle name="Обычный 5 2 2" xfId="881" xr:uid="{00000000-0005-0000-0000-0000AC030000}"/>
    <cellStyle name="Обычный 5 2 2 2" xfId="882" xr:uid="{00000000-0005-0000-0000-0000AD030000}"/>
    <cellStyle name="Обычный 5 2 3" xfId="883" xr:uid="{00000000-0005-0000-0000-0000AE030000}"/>
    <cellStyle name="Обычный 5 3" xfId="884" xr:uid="{00000000-0005-0000-0000-0000AF030000}"/>
    <cellStyle name="Обычный 5 3 2" xfId="885" xr:uid="{00000000-0005-0000-0000-0000B0030000}"/>
    <cellStyle name="Обычный 5 3 2 2" xfId="886" xr:uid="{00000000-0005-0000-0000-0000B1030000}"/>
    <cellStyle name="Обычный 5 3 3" xfId="887" xr:uid="{00000000-0005-0000-0000-0000B2030000}"/>
    <cellStyle name="Обычный 5 3 4" xfId="888" xr:uid="{00000000-0005-0000-0000-0000B3030000}"/>
    <cellStyle name="Обычный 5 4" xfId="889" xr:uid="{00000000-0005-0000-0000-0000B4030000}"/>
    <cellStyle name="Обычный 5 4 2" xfId="890" xr:uid="{00000000-0005-0000-0000-0000B5030000}"/>
    <cellStyle name="Обычный 5 5" xfId="891" xr:uid="{00000000-0005-0000-0000-0000B6030000}"/>
    <cellStyle name="Обычный 5 5 2" xfId="892" xr:uid="{00000000-0005-0000-0000-0000B7030000}"/>
    <cellStyle name="Обычный 5 6" xfId="893" xr:uid="{00000000-0005-0000-0000-0000B8030000}"/>
    <cellStyle name="Обычный 5 6 2" xfId="894" xr:uid="{00000000-0005-0000-0000-0000B9030000}"/>
    <cellStyle name="Обычный 5 7" xfId="895" xr:uid="{00000000-0005-0000-0000-0000BA030000}"/>
    <cellStyle name="Обычный 5 7 2" xfId="896" xr:uid="{00000000-0005-0000-0000-0000BB030000}"/>
    <cellStyle name="Обычный 5 8" xfId="897" xr:uid="{00000000-0005-0000-0000-0000BC030000}"/>
    <cellStyle name="Обычный 5 8 2" xfId="898" xr:uid="{00000000-0005-0000-0000-0000BD030000}"/>
    <cellStyle name="Обычный 50" xfId="899" xr:uid="{00000000-0005-0000-0000-0000BE030000}"/>
    <cellStyle name="Обычный 51" xfId="900" xr:uid="{00000000-0005-0000-0000-0000BF030000}"/>
    <cellStyle name="Обычный 52" xfId="901" xr:uid="{00000000-0005-0000-0000-0000C0030000}"/>
    <cellStyle name="Обычный 53" xfId="902" xr:uid="{00000000-0005-0000-0000-0000C1030000}"/>
    <cellStyle name="Обычный 54" xfId="903" xr:uid="{00000000-0005-0000-0000-0000C2030000}"/>
    <cellStyle name="Обычный 55" xfId="904" xr:uid="{00000000-0005-0000-0000-0000C3030000}"/>
    <cellStyle name="Обычный 56" xfId="905" xr:uid="{00000000-0005-0000-0000-0000C4030000}"/>
    <cellStyle name="Обычный 57" xfId="906" xr:uid="{00000000-0005-0000-0000-0000C5030000}"/>
    <cellStyle name="Обычный 58" xfId="907" xr:uid="{00000000-0005-0000-0000-0000C6030000}"/>
    <cellStyle name="Обычный 59" xfId="908" xr:uid="{00000000-0005-0000-0000-0000C7030000}"/>
    <cellStyle name="Обычный 6" xfId="909" xr:uid="{00000000-0005-0000-0000-0000C8030000}"/>
    <cellStyle name="Обычный 6 2" xfId="910" xr:uid="{00000000-0005-0000-0000-0000C9030000}"/>
    <cellStyle name="Обычный 6 2 2" xfId="911" xr:uid="{00000000-0005-0000-0000-0000CA030000}"/>
    <cellStyle name="Обычный 6 2 3" xfId="912" xr:uid="{00000000-0005-0000-0000-0000CB030000}"/>
    <cellStyle name="Обычный 6 3" xfId="913" xr:uid="{00000000-0005-0000-0000-0000CC030000}"/>
    <cellStyle name="Обычный 6 3 2" xfId="914" xr:uid="{00000000-0005-0000-0000-0000CD030000}"/>
    <cellStyle name="Обычный 6 4" xfId="915" xr:uid="{00000000-0005-0000-0000-0000CE030000}"/>
    <cellStyle name="Обычный 6 5" xfId="916" xr:uid="{00000000-0005-0000-0000-0000CF030000}"/>
    <cellStyle name="Обычный 6 6" xfId="917" xr:uid="{00000000-0005-0000-0000-0000D0030000}"/>
    <cellStyle name="Обычный 60" xfId="918" xr:uid="{00000000-0005-0000-0000-0000D1030000}"/>
    <cellStyle name="Обычный 61" xfId="919" xr:uid="{00000000-0005-0000-0000-0000D2030000}"/>
    <cellStyle name="Обычный 62" xfId="920" xr:uid="{00000000-0005-0000-0000-0000D3030000}"/>
    <cellStyle name="Обычный 63" xfId="921" xr:uid="{00000000-0005-0000-0000-0000D4030000}"/>
    <cellStyle name="Обычный 64" xfId="922" xr:uid="{00000000-0005-0000-0000-0000D5030000}"/>
    <cellStyle name="Обычный 65" xfId="923" xr:uid="{00000000-0005-0000-0000-0000D6030000}"/>
    <cellStyle name="Обычный 65 2" xfId="924" xr:uid="{00000000-0005-0000-0000-0000D7030000}"/>
    <cellStyle name="Обычный 66" xfId="925" xr:uid="{00000000-0005-0000-0000-0000D8030000}"/>
    <cellStyle name="Обычный 66 2" xfId="926" xr:uid="{00000000-0005-0000-0000-0000D9030000}"/>
    <cellStyle name="Обычный 66 3" xfId="927" xr:uid="{00000000-0005-0000-0000-0000DA030000}"/>
    <cellStyle name="Обычный 67" xfId="928" xr:uid="{00000000-0005-0000-0000-0000DB030000}"/>
    <cellStyle name="Обычный 68" xfId="929" xr:uid="{00000000-0005-0000-0000-0000DC030000}"/>
    <cellStyle name="Обычный 69" xfId="930" xr:uid="{00000000-0005-0000-0000-0000DD030000}"/>
    <cellStyle name="Обычный 7" xfId="931" xr:uid="{00000000-0005-0000-0000-0000DE030000}"/>
    <cellStyle name="Обычный 7 2" xfId="932" xr:uid="{00000000-0005-0000-0000-0000DF030000}"/>
    <cellStyle name="Обычный 7 2 2" xfId="933" xr:uid="{00000000-0005-0000-0000-0000E0030000}"/>
    <cellStyle name="Обычный 7 2 3" xfId="934" xr:uid="{00000000-0005-0000-0000-0000E1030000}"/>
    <cellStyle name="Обычный 7 3" xfId="935" xr:uid="{00000000-0005-0000-0000-0000E2030000}"/>
    <cellStyle name="Обычный 7 3 2" xfId="936" xr:uid="{00000000-0005-0000-0000-0000E3030000}"/>
    <cellStyle name="Обычный 7 4" xfId="937" xr:uid="{00000000-0005-0000-0000-0000E4030000}"/>
    <cellStyle name="Обычный 7 4 2" xfId="938" xr:uid="{00000000-0005-0000-0000-0000E5030000}"/>
    <cellStyle name="Обычный 7 5" xfId="939" xr:uid="{00000000-0005-0000-0000-0000E6030000}"/>
    <cellStyle name="Обычный 70" xfId="940" xr:uid="{00000000-0005-0000-0000-0000E7030000}"/>
    <cellStyle name="Обычный 71" xfId="941" xr:uid="{00000000-0005-0000-0000-0000E8030000}"/>
    <cellStyle name="Обычный 72" xfId="942" xr:uid="{00000000-0005-0000-0000-0000E9030000}"/>
    <cellStyle name="Обычный 73" xfId="943" xr:uid="{00000000-0005-0000-0000-0000EA030000}"/>
    <cellStyle name="Обычный 73 2" xfId="944" xr:uid="{00000000-0005-0000-0000-0000EB030000}"/>
    <cellStyle name="Обычный 73 3" xfId="945" xr:uid="{00000000-0005-0000-0000-0000EC030000}"/>
    <cellStyle name="Обычный 73 4" xfId="946" xr:uid="{00000000-0005-0000-0000-0000ED030000}"/>
    <cellStyle name="Обычный 74" xfId="947" xr:uid="{00000000-0005-0000-0000-0000EE030000}"/>
    <cellStyle name="Обычный 75" xfId="948" xr:uid="{00000000-0005-0000-0000-0000EF030000}"/>
    <cellStyle name="Обычный 75 2" xfId="949" xr:uid="{00000000-0005-0000-0000-0000F0030000}"/>
    <cellStyle name="Обычный 76" xfId="950" xr:uid="{00000000-0005-0000-0000-0000F1030000}"/>
    <cellStyle name="Обычный 77" xfId="951" xr:uid="{00000000-0005-0000-0000-0000F2030000}"/>
    <cellStyle name="Обычный 78" xfId="952" xr:uid="{00000000-0005-0000-0000-0000F3030000}"/>
    <cellStyle name="Обычный 78 2" xfId="953" xr:uid="{00000000-0005-0000-0000-0000F4030000}"/>
    <cellStyle name="Обычный 78 3" xfId="954" xr:uid="{00000000-0005-0000-0000-0000F5030000}"/>
    <cellStyle name="Обычный 79" xfId="955" xr:uid="{00000000-0005-0000-0000-0000F6030000}"/>
    <cellStyle name="Обычный 8" xfId="956" xr:uid="{00000000-0005-0000-0000-0000F7030000}"/>
    <cellStyle name="Обычный 8 2" xfId="957" xr:uid="{00000000-0005-0000-0000-0000F8030000}"/>
    <cellStyle name="Обычный 8 2 2" xfId="958" xr:uid="{00000000-0005-0000-0000-0000F9030000}"/>
    <cellStyle name="Обычный 8 2 3" xfId="959" xr:uid="{00000000-0005-0000-0000-0000FA030000}"/>
    <cellStyle name="Обычный 8 3" xfId="960" xr:uid="{00000000-0005-0000-0000-0000FB030000}"/>
    <cellStyle name="Обычный 8 3 2" xfId="961" xr:uid="{00000000-0005-0000-0000-0000FC030000}"/>
    <cellStyle name="Обычный 8 4" xfId="962" xr:uid="{00000000-0005-0000-0000-0000FD030000}"/>
    <cellStyle name="Обычный 8 5" xfId="963" xr:uid="{00000000-0005-0000-0000-0000FE030000}"/>
    <cellStyle name="Обычный 8 6" xfId="964" xr:uid="{00000000-0005-0000-0000-0000FF030000}"/>
    <cellStyle name="Обычный 80" xfId="965" xr:uid="{00000000-0005-0000-0000-000000040000}"/>
    <cellStyle name="Обычный 81" xfId="966" xr:uid="{00000000-0005-0000-0000-000001040000}"/>
    <cellStyle name="Обычный 82" xfId="967" xr:uid="{00000000-0005-0000-0000-000002040000}"/>
    <cellStyle name="Обычный 83" xfId="968" xr:uid="{00000000-0005-0000-0000-000003040000}"/>
    <cellStyle name="Обычный 84" xfId="969" xr:uid="{00000000-0005-0000-0000-000004040000}"/>
    <cellStyle name="Обычный 85" xfId="970" xr:uid="{00000000-0005-0000-0000-000005040000}"/>
    <cellStyle name="Обычный 86" xfId="971" xr:uid="{00000000-0005-0000-0000-000006040000}"/>
    <cellStyle name="Обычный 87" xfId="972" xr:uid="{00000000-0005-0000-0000-000007040000}"/>
    <cellStyle name="Обычный 87 2" xfId="973" xr:uid="{00000000-0005-0000-0000-000008040000}"/>
    <cellStyle name="Обычный 87 3" xfId="974" xr:uid="{00000000-0005-0000-0000-000009040000}"/>
    <cellStyle name="Обычный 88" xfId="975" xr:uid="{00000000-0005-0000-0000-00000A040000}"/>
    <cellStyle name="Обычный 88 2" xfId="976" xr:uid="{00000000-0005-0000-0000-00000B040000}"/>
    <cellStyle name="Обычный 88 3" xfId="977" xr:uid="{00000000-0005-0000-0000-00000C040000}"/>
    <cellStyle name="Обычный 89" xfId="978" xr:uid="{00000000-0005-0000-0000-00000D040000}"/>
    <cellStyle name="Обычный 9" xfId="979" xr:uid="{00000000-0005-0000-0000-00000E040000}"/>
    <cellStyle name="Обычный 9 2" xfId="980" xr:uid="{00000000-0005-0000-0000-00000F040000}"/>
    <cellStyle name="Обычный 9 2 2" xfId="981" xr:uid="{00000000-0005-0000-0000-000010040000}"/>
    <cellStyle name="Обычный 9 2 3" xfId="982" xr:uid="{00000000-0005-0000-0000-000011040000}"/>
    <cellStyle name="Обычный 9 3" xfId="983" xr:uid="{00000000-0005-0000-0000-000012040000}"/>
    <cellStyle name="Обычный 9 3 2" xfId="984" xr:uid="{00000000-0005-0000-0000-000013040000}"/>
    <cellStyle name="Обычный 9 4" xfId="985" xr:uid="{00000000-0005-0000-0000-000014040000}"/>
    <cellStyle name="Обычный 90" xfId="986" xr:uid="{00000000-0005-0000-0000-000015040000}"/>
    <cellStyle name="Обычный 90 2" xfId="987" xr:uid="{00000000-0005-0000-0000-000016040000}"/>
    <cellStyle name="Обычный 91" xfId="988" xr:uid="{00000000-0005-0000-0000-000017040000}"/>
    <cellStyle name="Обычный 92" xfId="989" xr:uid="{00000000-0005-0000-0000-000018040000}"/>
    <cellStyle name="Обычный 92 2" xfId="990" xr:uid="{00000000-0005-0000-0000-000019040000}"/>
    <cellStyle name="Обычный 93" xfId="991" xr:uid="{00000000-0005-0000-0000-00001A040000}"/>
    <cellStyle name="Обычный 93 2" xfId="992" xr:uid="{00000000-0005-0000-0000-00001B040000}"/>
    <cellStyle name="Обычный 93 3" xfId="993" xr:uid="{00000000-0005-0000-0000-00001C040000}"/>
    <cellStyle name="Обычный 94" xfId="994" xr:uid="{00000000-0005-0000-0000-00001D040000}"/>
    <cellStyle name="Обычный 94 2" xfId="995" xr:uid="{00000000-0005-0000-0000-00001E040000}"/>
    <cellStyle name="Обычный 94 3" xfId="996" xr:uid="{00000000-0005-0000-0000-00001F040000}"/>
    <cellStyle name="Обычный 95" xfId="997" xr:uid="{00000000-0005-0000-0000-000020040000}"/>
    <cellStyle name="Обычный 95 2" xfId="998" xr:uid="{00000000-0005-0000-0000-000021040000}"/>
    <cellStyle name="Обычный 96" xfId="999" xr:uid="{00000000-0005-0000-0000-000022040000}"/>
    <cellStyle name="Обычный 97" xfId="1000" xr:uid="{00000000-0005-0000-0000-000023040000}"/>
    <cellStyle name="Обычный 97 2" xfId="1001" xr:uid="{00000000-0005-0000-0000-000024040000}"/>
    <cellStyle name="Обычный 98" xfId="1002" xr:uid="{00000000-0005-0000-0000-000025040000}"/>
    <cellStyle name="Обычный 99" xfId="1003" xr:uid="{00000000-0005-0000-0000-000026040000}"/>
    <cellStyle name="Обычный 99 2" xfId="1004" xr:uid="{00000000-0005-0000-0000-000027040000}"/>
    <cellStyle name="Обычный 99 2 2" xfId="1005" xr:uid="{00000000-0005-0000-0000-000028040000}"/>
    <cellStyle name="Обычный_Книга3" xfId="1288" xr:uid="{00000000-0005-0000-0000-000029040000}"/>
    <cellStyle name="Примечание 10" xfId="1006" xr:uid="{00000000-0005-0000-0000-00002A040000}"/>
    <cellStyle name="Примечание 11" xfId="1007" xr:uid="{00000000-0005-0000-0000-00002B040000}"/>
    <cellStyle name="Примечание 12" xfId="1008" xr:uid="{00000000-0005-0000-0000-00002C040000}"/>
    <cellStyle name="Примечание 13" xfId="1009" xr:uid="{00000000-0005-0000-0000-00002D040000}"/>
    <cellStyle name="Примечание 14" xfId="1010" xr:uid="{00000000-0005-0000-0000-00002E040000}"/>
    <cellStyle name="Примечание 15" xfId="1011" xr:uid="{00000000-0005-0000-0000-00002F040000}"/>
    <cellStyle name="Примечание 16" xfId="1012" xr:uid="{00000000-0005-0000-0000-000030040000}"/>
    <cellStyle name="Примечание 17" xfId="1013" xr:uid="{00000000-0005-0000-0000-000031040000}"/>
    <cellStyle name="Примечание 18" xfId="1014" xr:uid="{00000000-0005-0000-0000-000032040000}"/>
    <cellStyle name="Примечание 19" xfId="1015" xr:uid="{00000000-0005-0000-0000-000033040000}"/>
    <cellStyle name="Примечание 2" xfId="1016" xr:uid="{00000000-0005-0000-0000-000034040000}"/>
    <cellStyle name="Примечание 2 2" xfId="1017" xr:uid="{00000000-0005-0000-0000-000035040000}"/>
    <cellStyle name="Примечание 2 3" xfId="1018" xr:uid="{00000000-0005-0000-0000-000036040000}"/>
    <cellStyle name="Примечание 20" xfId="1019" xr:uid="{00000000-0005-0000-0000-000037040000}"/>
    <cellStyle name="Примечание 21" xfId="1020" xr:uid="{00000000-0005-0000-0000-000038040000}"/>
    <cellStyle name="Примечание 22" xfId="1021" xr:uid="{00000000-0005-0000-0000-000039040000}"/>
    <cellStyle name="Примечание 23" xfId="1022" xr:uid="{00000000-0005-0000-0000-00003A040000}"/>
    <cellStyle name="Примечание 24" xfId="1023" xr:uid="{00000000-0005-0000-0000-00003B040000}"/>
    <cellStyle name="Примечание 25" xfId="1024" xr:uid="{00000000-0005-0000-0000-00003C040000}"/>
    <cellStyle name="Примечание 26" xfId="1025" xr:uid="{00000000-0005-0000-0000-00003D040000}"/>
    <cellStyle name="Примечание 27" xfId="1026" xr:uid="{00000000-0005-0000-0000-00003E040000}"/>
    <cellStyle name="Примечание 28" xfId="1027" xr:uid="{00000000-0005-0000-0000-00003F040000}"/>
    <cellStyle name="Примечание 29" xfId="1028" xr:uid="{00000000-0005-0000-0000-000040040000}"/>
    <cellStyle name="Примечание 3" xfId="1029" xr:uid="{00000000-0005-0000-0000-000041040000}"/>
    <cellStyle name="Примечание 3 2" xfId="1030" xr:uid="{00000000-0005-0000-0000-000042040000}"/>
    <cellStyle name="Примечание 3 3" xfId="1031" xr:uid="{00000000-0005-0000-0000-000043040000}"/>
    <cellStyle name="Примечание 30" xfId="1032" xr:uid="{00000000-0005-0000-0000-000044040000}"/>
    <cellStyle name="Примечание 4" xfId="1033" xr:uid="{00000000-0005-0000-0000-000045040000}"/>
    <cellStyle name="Примечание 4 2" xfId="1034" xr:uid="{00000000-0005-0000-0000-000046040000}"/>
    <cellStyle name="Примечание 4 3" xfId="1035" xr:uid="{00000000-0005-0000-0000-000047040000}"/>
    <cellStyle name="Примечание 5" xfId="1036" xr:uid="{00000000-0005-0000-0000-000048040000}"/>
    <cellStyle name="Примечание 5 2" xfId="1037" xr:uid="{00000000-0005-0000-0000-000049040000}"/>
    <cellStyle name="Примечание 5 3" xfId="1038" xr:uid="{00000000-0005-0000-0000-00004A040000}"/>
    <cellStyle name="Примечание 6" xfId="1039" xr:uid="{00000000-0005-0000-0000-00004B040000}"/>
    <cellStyle name="Примечание 6 2" xfId="1040" xr:uid="{00000000-0005-0000-0000-00004C040000}"/>
    <cellStyle name="Примечание 6 3" xfId="1041" xr:uid="{00000000-0005-0000-0000-00004D040000}"/>
    <cellStyle name="Примечание 7" xfId="1042" xr:uid="{00000000-0005-0000-0000-00004E040000}"/>
    <cellStyle name="Примечание 7 2" xfId="1043" xr:uid="{00000000-0005-0000-0000-00004F040000}"/>
    <cellStyle name="Примечание 7 3" xfId="1044" xr:uid="{00000000-0005-0000-0000-000050040000}"/>
    <cellStyle name="Примечание 8" xfId="1045" xr:uid="{00000000-0005-0000-0000-000051040000}"/>
    <cellStyle name="Примечание 8 2" xfId="1046" xr:uid="{00000000-0005-0000-0000-000052040000}"/>
    <cellStyle name="Примечание 8 3" xfId="1047" xr:uid="{00000000-0005-0000-0000-000053040000}"/>
    <cellStyle name="Примечание 9" xfId="1048" xr:uid="{00000000-0005-0000-0000-000054040000}"/>
    <cellStyle name="Примечание 9 2" xfId="1049" xr:uid="{00000000-0005-0000-0000-000055040000}"/>
    <cellStyle name="Процентный" xfId="2" builtinId="5"/>
    <cellStyle name="Процентный 2" xfId="8" xr:uid="{00000000-0005-0000-0000-000057040000}"/>
    <cellStyle name="Процентный 2 2" xfId="1050" xr:uid="{00000000-0005-0000-0000-000058040000}"/>
    <cellStyle name="Процентный 2 2 2" xfId="10" xr:uid="{00000000-0005-0000-0000-000059040000}"/>
    <cellStyle name="Процентный 2 2 3" xfId="1051" xr:uid="{00000000-0005-0000-0000-00005A040000}"/>
    <cellStyle name="Процентный 2 3" xfId="1052" xr:uid="{00000000-0005-0000-0000-00005B040000}"/>
    <cellStyle name="Процентный 2 4" xfId="1053" xr:uid="{00000000-0005-0000-0000-00005C040000}"/>
    <cellStyle name="Процентный 2 5" xfId="1054" xr:uid="{00000000-0005-0000-0000-00005D040000}"/>
    <cellStyle name="Процентный 2 6" xfId="1055" xr:uid="{00000000-0005-0000-0000-00005E040000}"/>
    <cellStyle name="Процентный 2 7" xfId="1056" xr:uid="{00000000-0005-0000-0000-00005F040000}"/>
    <cellStyle name="Процентный 3" xfId="1057" xr:uid="{00000000-0005-0000-0000-000060040000}"/>
    <cellStyle name="Процентный 4" xfId="1058" xr:uid="{00000000-0005-0000-0000-000061040000}"/>
    <cellStyle name="Стиль 1" xfId="1059" xr:uid="{00000000-0005-0000-0000-000062040000}"/>
    <cellStyle name="Финансовый" xfId="3" builtinId="3"/>
    <cellStyle name="Финансовый [0] 2" xfId="1060" xr:uid="{00000000-0005-0000-0000-000064040000}"/>
    <cellStyle name="Финансовый [0] 2 2" xfId="1061" xr:uid="{00000000-0005-0000-0000-000065040000}"/>
    <cellStyle name="Финансовый [0] 67" xfId="1062" xr:uid="{00000000-0005-0000-0000-000066040000}"/>
    <cellStyle name="Финансовый 10" xfId="1063" xr:uid="{00000000-0005-0000-0000-000067040000}"/>
    <cellStyle name="Финансовый 10 2" xfId="1064" xr:uid="{00000000-0005-0000-0000-000068040000}"/>
    <cellStyle name="Финансовый 11" xfId="1065" xr:uid="{00000000-0005-0000-0000-000069040000}"/>
    <cellStyle name="Финансовый 11 2" xfId="1066" xr:uid="{00000000-0005-0000-0000-00006A040000}"/>
    <cellStyle name="Финансовый 12" xfId="1290" xr:uid="{00000000-0005-0000-0000-00006B040000}"/>
    <cellStyle name="Финансовый 13" xfId="1067" xr:uid="{00000000-0005-0000-0000-00006C040000}"/>
    <cellStyle name="Финансовый 13 2" xfId="1068" xr:uid="{00000000-0005-0000-0000-00006D040000}"/>
    <cellStyle name="Финансовый 13 3" xfId="1069" xr:uid="{00000000-0005-0000-0000-00006E040000}"/>
    <cellStyle name="Финансовый 17" xfId="1070" xr:uid="{00000000-0005-0000-0000-00006F040000}"/>
    <cellStyle name="Финансовый 19" xfId="1071" xr:uid="{00000000-0005-0000-0000-000070040000}"/>
    <cellStyle name="Финансовый 19 2" xfId="1072" xr:uid="{00000000-0005-0000-0000-000071040000}"/>
    <cellStyle name="Финансовый 19 3" xfId="1073" xr:uid="{00000000-0005-0000-0000-000072040000}"/>
    <cellStyle name="Финансовый 2" xfId="7" xr:uid="{00000000-0005-0000-0000-000073040000}"/>
    <cellStyle name="Финансовый 2 10" xfId="1074" xr:uid="{00000000-0005-0000-0000-000074040000}"/>
    <cellStyle name="Финансовый 2 11" xfId="1075" xr:uid="{00000000-0005-0000-0000-000075040000}"/>
    <cellStyle name="Финансовый 2 12" xfId="1076" xr:uid="{00000000-0005-0000-0000-000076040000}"/>
    <cellStyle name="Финансовый 2 13" xfId="1077" xr:uid="{00000000-0005-0000-0000-000077040000}"/>
    <cellStyle name="Финансовый 2 14" xfId="1078" xr:uid="{00000000-0005-0000-0000-000078040000}"/>
    <cellStyle name="Финансовый 2 15" xfId="1079" xr:uid="{00000000-0005-0000-0000-000079040000}"/>
    <cellStyle name="Финансовый 2 16" xfId="1080" xr:uid="{00000000-0005-0000-0000-00007A040000}"/>
    <cellStyle name="Финансовый 2 17" xfId="1081" xr:uid="{00000000-0005-0000-0000-00007B040000}"/>
    <cellStyle name="Финансовый 2 18" xfId="1082" xr:uid="{00000000-0005-0000-0000-00007C040000}"/>
    <cellStyle name="Финансовый 2 19" xfId="1083" xr:uid="{00000000-0005-0000-0000-00007D040000}"/>
    <cellStyle name="Финансовый 2 2" xfId="1084" xr:uid="{00000000-0005-0000-0000-00007E040000}"/>
    <cellStyle name="Финансовый 2 2 2" xfId="1085" xr:uid="{00000000-0005-0000-0000-00007F040000}"/>
    <cellStyle name="Финансовый 2 2 2 2" xfId="1086" xr:uid="{00000000-0005-0000-0000-000080040000}"/>
    <cellStyle name="Финансовый 2 2 2 3" xfId="1087" xr:uid="{00000000-0005-0000-0000-000081040000}"/>
    <cellStyle name="Финансовый 2 2 3" xfId="1088" xr:uid="{00000000-0005-0000-0000-000082040000}"/>
    <cellStyle name="Финансовый 2 2 4" xfId="1089" xr:uid="{00000000-0005-0000-0000-000083040000}"/>
    <cellStyle name="Финансовый 2 20" xfId="1090" xr:uid="{00000000-0005-0000-0000-000084040000}"/>
    <cellStyle name="Финансовый 2 21" xfId="1091" xr:uid="{00000000-0005-0000-0000-000085040000}"/>
    <cellStyle name="Финансовый 2 22" xfId="1092" xr:uid="{00000000-0005-0000-0000-000086040000}"/>
    <cellStyle name="Финансовый 2 23" xfId="1093" xr:uid="{00000000-0005-0000-0000-000087040000}"/>
    <cellStyle name="Финансовый 2 24" xfId="1094" xr:uid="{00000000-0005-0000-0000-000088040000}"/>
    <cellStyle name="Финансовый 2 25" xfId="1095" xr:uid="{00000000-0005-0000-0000-000089040000}"/>
    <cellStyle name="Финансовый 2 26" xfId="1096" xr:uid="{00000000-0005-0000-0000-00008A040000}"/>
    <cellStyle name="Финансовый 2 27" xfId="1097" xr:uid="{00000000-0005-0000-0000-00008B040000}"/>
    <cellStyle name="Финансовый 2 28" xfId="1098" xr:uid="{00000000-0005-0000-0000-00008C040000}"/>
    <cellStyle name="Финансовый 2 29" xfId="1099" xr:uid="{00000000-0005-0000-0000-00008D040000}"/>
    <cellStyle name="Финансовый 2 3" xfId="1100" xr:uid="{00000000-0005-0000-0000-00008E040000}"/>
    <cellStyle name="Финансовый 2 3 2" xfId="1101" xr:uid="{00000000-0005-0000-0000-00008F040000}"/>
    <cellStyle name="Финансовый 2 3 3" xfId="1102" xr:uid="{00000000-0005-0000-0000-000090040000}"/>
    <cellStyle name="Финансовый 2 3 4" xfId="1103" xr:uid="{00000000-0005-0000-0000-000091040000}"/>
    <cellStyle name="Финансовый 2 30" xfId="1104" xr:uid="{00000000-0005-0000-0000-000092040000}"/>
    <cellStyle name="Финансовый 2 4" xfId="1105" xr:uid="{00000000-0005-0000-0000-000093040000}"/>
    <cellStyle name="Финансовый 2 4 2" xfId="1106" xr:uid="{00000000-0005-0000-0000-000094040000}"/>
    <cellStyle name="Финансовый 2 4 3" xfId="1107" xr:uid="{00000000-0005-0000-0000-000095040000}"/>
    <cellStyle name="Финансовый 2 4 4" xfId="1108" xr:uid="{00000000-0005-0000-0000-000096040000}"/>
    <cellStyle name="Финансовый 2 5" xfId="1109" xr:uid="{00000000-0005-0000-0000-000097040000}"/>
    <cellStyle name="Финансовый 2 5 2" xfId="1110" xr:uid="{00000000-0005-0000-0000-000098040000}"/>
    <cellStyle name="Финансовый 2 6" xfId="1111" xr:uid="{00000000-0005-0000-0000-000099040000}"/>
    <cellStyle name="Финансовый 2 6 2" xfId="1112" xr:uid="{00000000-0005-0000-0000-00009A040000}"/>
    <cellStyle name="Финансовый 2 7" xfId="1113" xr:uid="{00000000-0005-0000-0000-00009B040000}"/>
    <cellStyle name="Финансовый 2 8" xfId="1114" xr:uid="{00000000-0005-0000-0000-00009C040000}"/>
    <cellStyle name="Финансовый 2 9" xfId="1115" xr:uid="{00000000-0005-0000-0000-00009D040000}"/>
    <cellStyle name="Финансовый 20" xfId="1116" xr:uid="{00000000-0005-0000-0000-00009E040000}"/>
    <cellStyle name="Финансовый 21" xfId="1117" xr:uid="{00000000-0005-0000-0000-00009F040000}"/>
    <cellStyle name="Финансовый 23" xfId="1118" xr:uid="{00000000-0005-0000-0000-0000A0040000}"/>
    <cellStyle name="Финансовый 24" xfId="1119" xr:uid="{00000000-0005-0000-0000-0000A1040000}"/>
    <cellStyle name="Финансовый 25" xfId="1120" xr:uid="{00000000-0005-0000-0000-0000A2040000}"/>
    <cellStyle name="Финансовый 26" xfId="1121" xr:uid="{00000000-0005-0000-0000-0000A3040000}"/>
    <cellStyle name="Финансовый 27" xfId="1122" xr:uid="{00000000-0005-0000-0000-0000A4040000}"/>
    <cellStyle name="Финансовый 28" xfId="1123" xr:uid="{00000000-0005-0000-0000-0000A5040000}"/>
    <cellStyle name="Финансовый 3" xfId="1124" xr:uid="{00000000-0005-0000-0000-0000A6040000}"/>
    <cellStyle name="Финансовый 3 10" xfId="1125" xr:uid="{00000000-0005-0000-0000-0000A7040000}"/>
    <cellStyle name="Финансовый 3 11" xfId="1126" xr:uid="{00000000-0005-0000-0000-0000A8040000}"/>
    <cellStyle name="Финансовый 3 12" xfId="1127" xr:uid="{00000000-0005-0000-0000-0000A9040000}"/>
    <cellStyle name="Финансовый 3 13" xfId="1128" xr:uid="{00000000-0005-0000-0000-0000AA040000}"/>
    <cellStyle name="Финансовый 3 14" xfId="1129" xr:uid="{00000000-0005-0000-0000-0000AB040000}"/>
    <cellStyle name="Финансовый 3 15" xfId="1130" xr:uid="{00000000-0005-0000-0000-0000AC040000}"/>
    <cellStyle name="Финансовый 3 16" xfId="1131" xr:uid="{00000000-0005-0000-0000-0000AD040000}"/>
    <cellStyle name="Финансовый 3 17" xfId="1132" xr:uid="{00000000-0005-0000-0000-0000AE040000}"/>
    <cellStyle name="Финансовый 3 18" xfId="1133" xr:uid="{00000000-0005-0000-0000-0000AF040000}"/>
    <cellStyle name="Финансовый 3 19" xfId="1134" xr:uid="{00000000-0005-0000-0000-0000B0040000}"/>
    <cellStyle name="Финансовый 3 2" xfId="1135" xr:uid="{00000000-0005-0000-0000-0000B1040000}"/>
    <cellStyle name="Финансовый 3 2 2" xfId="1136" xr:uid="{00000000-0005-0000-0000-0000B2040000}"/>
    <cellStyle name="Финансовый 3 2 2 2" xfId="1137" xr:uid="{00000000-0005-0000-0000-0000B3040000}"/>
    <cellStyle name="Финансовый 3 2 2 3" xfId="1138" xr:uid="{00000000-0005-0000-0000-0000B4040000}"/>
    <cellStyle name="Финансовый 3 2 3" xfId="1139" xr:uid="{00000000-0005-0000-0000-0000B5040000}"/>
    <cellStyle name="Финансовый 3 2 3 2" xfId="1140" xr:uid="{00000000-0005-0000-0000-0000B6040000}"/>
    <cellStyle name="Финансовый 3 2 4" xfId="1141" xr:uid="{00000000-0005-0000-0000-0000B7040000}"/>
    <cellStyle name="Финансовый 3 2 5" xfId="1142" xr:uid="{00000000-0005-0000-0000-0000B8040000}"/>
    <cellStyle name="Финансовый 3 2 6" xfId="1143" xr:uid="{00000000-0005-0000-0000-0000B9040000}"/>
    <cellStyle name="Финансовый 3 20" xfId="1144" xr:uid="{00000000-0005-0000-0000-0000BA040000}"/>
    <cellStyle name="Финансовый 3 21" xfId="1145" xr:uid="{00000000-0005-0000-0000-0000BB040000}"/>
    <cellStyle name="Финансовый 3 22" xfId="1146" xr:uid="{00000000-0005-0000-0000-0000BC040000}"/>
    <cellStyle name="Финансовый 3 3" xfId="1147" xr:uid="{00000000-0005-0000-0000-0000BD040000}"/>
    <cellStyle name="Финансовый 3 3 2" xfId="1148" xr:uid="{00000000-0005-0000-0000-0000BE040000}"/>
    <cellStyle name="Финансовый 3 3 3" xfId="1149" xr:uid="{00000000-0005-0000-0000-0000BF040000}"/>
    <cellStyle name="Финансовый 3 4" xfId="1150" xr:uid="{00000000-0005-0000-0000-0000C0040000}"/>
    <cellStyle name="Финансовый 3 4 2" xfId="1151" xr:uid="{00000000-0005-0000-0000-0000C1040000}"/>
    <cellStyle name="Финансовый 3 4 3" xfId="1152" xr:uid="{00000000-0005-0000-0000-0000C2040000}"/>
    <cellStyle name="Финансовый 3 5" xfId="1153" xr:uid="{00000000-0005-0000-0000-0000C3040000}"/>
    <cellStyle name="Финансовый 3 5 2" xfId="1154" xr:uid="{00000000-0005-0000-0000-0000C4040000}"/>
    <cellStyle name="Финансовый 3 5 3" xfId="1155" xr:uid="{00000000-0005-0000-0000-0000C5040000}"/>
    <cellStyle name="Финансовый 3 5 4" xfId="1156" xr:uid="{00000000-0005-0000-0000-0000C6040000}"/>
    <cellStyle name="Финансовый 3 6" xfId="1157" xr:uid="{00000000-0005-0000-0000-0000C7040000}"/>
    <cellStyle name="Финансовый 3 6 2" xfId="1158" xr:uid="{00000000-0005-0000-0000-0000C8040000}"/>
    <cellStyle name="Финансовый 3 7" xfId="1159" xr:uid="{00000000-0005-0000-0000-0000C9040000}"/>
    <cellStyle name="Финансовый 3 7 2" xfId="1160" xr:uid="{00000000-0005-0000-0000-0000CA040000}"/>
    <cellStyle name="Финансовый 3 8" xfId="1161" xr:uid="{00000000-0005-0000-0000-0000CB040000}"/>
    <cellStyle name="Финансовый 3 9" xfId="1162" xr:uid="{00000000-0005-0000-0000-0000CC040000}"/>
    <cellStyle name="Финансовый 30" xfId="1163" xr:uid="{00000000-0005-0000-0000-0000CD040000}"/>
    <cellStyle name="Финансовый 31" xfId="1164" xr:uid="{00000000-0005-0000-0000-0000CE040000}"/>
    <cellStyle name="Финансовый 31 2" xfId="1165" xr:uid="{00000000-0005-0000-0000-0000CF040000}"/>
    <cellStyle name="Финансовый 32" xfId="1166" xr:uid="{00000000-0005-0000-0000-0000D0040000}"/>
    <cellStyle name="Финансовый 32 2" xfId="1167" xr:uid="{00000000-0005-0000-0000-0000D1040000}"/>
    <cellStyle name="Финансовый 33" xfId="1168" xr:uid="{00000000-0005-0000-0000-0000D2040000}"/>
    <cellStyle name="Финансовый 33 2" xfId="1169" xr:uid="{00000000-0005-0000-0000-0000D3040000}"/>
    <cellStyle name="Финансовый 34" xfId="1170" xr:uid="{00000000-0005-0000-0000-0000D4040000}"/>
    <cellStyle name="Финансовый 34 2" xfId="1171" xr:uid="{00000000-0005-0000-0000-0000D5040000}"/>
    <cellStyle name="Финансовый 35" xfId="1172" xr:uid="{00000000-0005-0000-0000-0000D6040000}"/>
    <cellStyle name="Финансовый 35 2" xfId="1173" xr:uid="{00000000-0005-0000-0000-0000D7040000}"/>
    <cellStyle name="Финансовый 36" xfId="1174" xr:uid="{00000000-0005-0000-0000-0000D8040000}"/>
    <cellStyle name="Финансовый 36 2" xfId="1175" xr:uid="{00000000-0005-0000-0000-0000D9040000}"/>
    <cellStyle name="Финансовый 37" xfId="1176" xr:uid="{00000000-0005-0000-0000-0000DA040000}"/>
    <cellStyle name="Финансовый 37 2" xfId="1177" xr:uid="{00000000-0005-0000-0000-0000DB040000}"/>
    <cellStyle name="Финансовый 38" xfId="1178" xr:uid="{00000000-0005-0000-0000-0000DC040000}"/>
    <cellStyle name="Финансовый 38 2" xfId="1179" xr:uid="{00000000-0005-0000-0000-0000DD040000}"/>
    <cellStyle name="Финансовый 39" xfId="1180" xr:uid="{00000000-0005-0000-0000-0000DE040000}"/>
    <cellStyle name="Финансовый 4" xfId="1181" xr:uid="{00000000-0005-0000-0000-0000DF040000}"/>
    <cellStyle name="Финансовый 4 2" xfId="1182" xr:uid="{00000000-0005-0000-0000-0000E0040000}"/>
    <cellStyle name="Финансовый 4 2 2" xfId="1183" xr:uid="{00000000-0005-0000-0000-0000E1040000}"/>
    <cellStyle name="Финансовый 4 2 2 2" xfId="1184" xr:uid="{00000000-0005-0000-0000-0000E2040000}"/>
    <cellStyle name="Финансовый 4 2 3" xfId="1185" xr:uid="{00000000-0005-0000-0000-0000E3040000}"/>
    <cellStyle name="Финансовый 4 3" xfId="1186" xr:uid="{00000000-0005-0000-0000-0000E4040000}"/>
    <cellStyle name="Финансовый 4 3 2" xfId="1187" xr:uid="{00000000-0005-0000-0000-0000E5040000}"/>
    <cellStyle name="Финансовый 4 4" xfId="1188" xr:uid="{00000000-0005-0000-0000-0000E6040000}"/>
    <cellStyle name="Финансовый 4 4 2" xfId="1189" xr:uid="{00000000-0005-0000-0000-0000E7040000}"/>
    <cellStyle name="Финансовый 4 5" xfId="1190" xr:uid="{00000000-0005-0000-0000-0000E8040000}"/>
    <cellStyle name="Финансовый 4 6" xfId="1191" xr:uid="{00000000-0005-0000-0000-0000E9040000}"/>
    <cellStyle name="Финансовый 4 7" xfId="1192" xr:uid="{00000000-0005-0000-0000-0000EA040000}"/>
    <cellStyle name="Финансовый 4 8" xfId="1193" xr:uid="{00000000-0005-0000-0000-0000EB040000}"/>
    <cellStyle name="Финансовый 4 9" xfId="1194" xr:uid="{00000000-0005-0000-0000-0000EC040000}"/>
    <cellStyle name="Финансовый 40" xfId="1195" xr:uid="{00000000-0005-0000-0000-0000ED040000}"/>
    <cellStyle name="Финансовый 41" xfId="1196" xr:uid="{00000000-0005-0000-0000-0000EE040000}"/>
    <cellStyle name="Финансовый 42" xfId="1197" xr:uid="{00000000-0005-0000-0000-0000EF040000}"/>
    <cellStyle name="Финансовый 42 2" xfId="1198" xr:uid="{00000000-0005-0000-0000-0000F0040000}"/>
    <cellStyle name="Финансовый 44" xfId="1199" xr:uid="{00000000-0005-0000-0000-0000F1040000}"/>
    <cellStyle name="Финансовый 46" xfId="1200" xr:uid="{00000000-0005-0000-0000-0000F2040000}"/>
    <cellStyle name="Финансовый 47" xfId="1201" xr:uid="{00000000-0005-0000-0000-0000F3040000}"/>
    <cellStyle name="Финансовый 5" xfId="1202" xr:uid="{00000000-0005-0000-0000-0000F4040000}"/>
    <cellStyle name="Финансовый 5 2" xfId="1203" xr:uid="{00000000-0005-0000-0000-0000F5040000}"/>
    <cellStyle name="Финансовый 5 2 2" xfId="1204" xr:uid="{00000000-0005-0000-0000-0000F6040000}"/>
    <cellStyle name="Финансовый 5 3" xfId="1205" xr:uid="{00000000-0005-0000-0000-0000F7040000}"/>
    <cellStyle name="Финансовый 5 3 2" xfId="1206" xr:uid="{00000000-0005-0000-0000-0000F8040000}"/>
    <cellStyle name="Финансовый 5 3 3" xfId="1207" xr:uid="{00000000-0005-0000-0000-0000F9040000}"/>
    <cellStyle name="Финансовый 5 4" xfId="1208" xr:uid="{00000000-0005-0000-0000-0000FA040000}"/>
    <cellStyle name="Финансовый 5 5" xfId="1209" xr:uid="{00000000-0005-0000-0000-0000FB040000}"/>
    <cellStyle name="Финансовый 6" xfId="1210" xr:uid="{00000000-0005-0000-0000-0000FC040000}"/>
    <cellStyle name="Финансовый 6 2" xfId="1211" xr:uid="{00000000-0005-0000-0000-0000FD040000}"/>
    <cellStyle name="Финансовый 6 2 2" xfId="1212" xr:uid="{00000000-0005-0000-0000-0000FE040000}"/>
    <cellStyle name="Финансовый 6 2 3" xfId="1213" xr:uid="{00000000-0005-0000-0000-0000FF040000}"/>
    <cellStyle name="Финансовый 6 3" xfId="1214" xr:uid="{00000000-0005-0000-0000-000000050000}"/>
    <cellStyle name="Финансовый 6 4" xfId="1215" xr:uid="{00000000-0005-0000-0000-000001050000}"/>
    <cellStyle name="Финансовый 7" xfId="1216" xr:uid="{00000000-0005-0000-0000-000002050000}"/>
    <cellStyle name="Финансовый 7 2" xfId="1217" xr:uid="{00000000-0005-0000-0000-000003050000}"/>
    <cellStyle name="Финансовый 7 2 2" xfId="1218" xr:uid="{00000000-0005-0000-0000-000004050000}"/>
    <cellStyle name="Финансовый 7 2 3" xfId="1219" xr:uid="{00000000-0005-0000-0000-000005050000}"/>
    <cellStyle name="Финансовый 7 3" xfId="1220" xr:uid="{00000000-0005-0000-0000-000006050000}"/>
    <cellStyle name="Финансовый 8" xfId="1221" xr:uid="{00000000-0005-0000-0000-000007050000}"/>
    <cellStyle name="Финансовый 8 2" xfId="1222" xr:uid="{00000000-0005-0000-0000-000008050000}"/>
    <cellStyle name="Финансовый 9" xfId="1223" xr:uid="{00000000-0005-0000-0000-000009050000}"/>
    <cellStyle name="Џђћ–…ќ’ќ›‰" xfId="1224" xr:uid="{00000000-0005-0000-0000-00000A050000}"/>
  </cellStyles>
  <dxfs count="355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ont>
        <color rgb="FF9C6500"/>
      </font>
      <fill>
        <patternFill>
          <bgColor rgb="FFFD9F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00FF"/>
      <color rgb="FFCC00CC"/>
      <color rgb="FFFD9FF6"/>
      <color rgb="FFF8A4E0"/>
      <color rgb="FFFF99FF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3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3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48075884880</v>
          </cell>
          <cell r="D25">
            <v>17247742236</v>
          </cell>
          <cell r="E25">
            <v>30828142644</v>
          </cell>
        </row>
        <row r="26">
          <cell r="C26">
            <v>868812739</v>
          </cell>
        </row>
        <row r="47">
          <cell r="C47">
            <v>64263771349</v>
          </cell>
        </row>
        <row r="77">
          <cell r="C77">
            <v>588937049</v>
          </cell>
        </row>
        <row r="78">
          <cell r="C78">
            <v>7828121193</v>
          </cell>
        </row>
      </sheetData>
      <sheetData sheetId="1"/>
      <sheetData sheetId="2">
        <row r="18">
          <cell r="C18">
            <v>0.15025121729259128</v>
          </cell>
        </row>
        <row r="24">
          <cell r="C24">
            <v>2.0011300167188808</v>
          </cell>
          <cell r="D24">
            <v>2.3674871634200301</v>
          </cell>
          <cell r="E24">
            <v>1.8178767959864239</v>
          </cell>
        </row>
        <row r="29">
          <cell r="C29">
            <v>1.1036331376404158</v>
          </cell>
          <cell r="D29">
            <v>1.1040886294335608</v>
          </cell>
          <cell r="E29">
            <v>1.1034476083385498</v>
          </cell>
        </row>
        <row r="51">
          <cell r="C51">
            <v>1558320835</v>
          </cell>
        </row>
        <row r="52">
          <cell r="C52">
            <v>1510578445</v>
          </cell>
        </row>
        <row r="53">
          <cell r="C53">
            <v>2559107864</v>
          </cell>
        </row>
        <row r="54">
          <cell r="C54">
            <v>1346109254</v>
          </cell>
        </row>
        <row r="55">
          <cell r="C55">
            <v>2747024600</v>
          </cell>
        </row>
        <row r="58">
          <cell r="C58">
            <v>9721140998</v>
          </cell>
        </row>
      </sheetData>
      <sheetData sheetId="3">
        <row r="31">
          <cell r="S31">
            <v>71465006</v>
          </cell>
        </row>
      </sheetData>
      <sheetData sheetId="4"/>
      <sheetData sheetId="5">
        <row r="8">
          <cell r="D8">
            <v>82699949</v>
          </cell>
        </row>
        <row r="13">
          <cell r="D13">
            <v>6046129</v>
          </cell>
          <cell r="F13">
            <v>12099511</v>
          </cell>
          <cell r="H13">
            <v>31044861</v>
          </cell>
          <cell r="J13">
            <v>100915087</v>
          </cell>
          <cell r="L13">
            <v>125391318</v>
          </cell>
          <cell r="N13">
            <v>763</v>
          </cell>
          <cell r="P13">
            <v>0</v>
          </cell>
          <cell r="R13">
            <v>0</v>
          </cell>
        </row>
        <row r="14">
          <cell r="F14">
            <v>0</v>
          </cell>
          <cell r="H14">
            <v>0</v>
          </cell>
          <cell r="J14">
            <v>0</v>
          </cell>
        </row>
        <row r="16">
          <cell r="D16">
            <v>151186593</v>
          </cell>
        </row>
        <row r="20">
          <cell r="C20">
            <v>7007709514</v>
          </cell>
          <cell r="D20">
            <v>3322910491</v>
          </cell>
          <cell r="E20">
            <v>244733571</v>
          </cell>
          <cell r="F20">
            <v>40163161</v>
          </cell>
          <cell r="G20">
            <v>82449162</v>
          </cell>
          <cell r="H20">
            <v>61939469</v>
          </cell>
          <cell r="I20">
            <v>261994525</v>
          </cell>
          <cell r="J20">
            <v>182990699</v>
          </cell>
          <cell r="K20">
            <v>689040635</v>
          </cell>
          <cell r="L20">
            <v>304644904</v>
          </cell>
          <cell r="M20">
            <v>3103742569</v>
          </cell>
          <cell r="N20">
            <v>516524020</v>
          </cell>
          <cell r="O20">
            <v>1767338277</v>
          </cell>
          <cell r="P20">
            <v>427315843</v>
          </cell>
          <cell r="Q20">
            <v>1726520595</v>
          </cell>
          <cell r="R20">
            <v>1258103159</v>
          </cell>
          <cell r="S20">
            <v>14883528848</v>
          </cell>
        </row>
        <row r="40">
          <cell r="C40">
            <v>8084190109</v>
          </cell>
          <cell r="E40">
            <v>406231440</v>
          </cell>
          <cell r="G40">
            <v>1018249165</v>
          </cell>
          <cell r="I40">
            <v>2378461874</v>
          </cell>
          <cell r="K40">
            <v>6460874200</v>
          </cell>
          <cell r="M40">
            <v>8774706461</v>
          </cell>
        </row>
      </sheetData>
      <sheetData sheetId="6">
        <row r="9">
          <cell r="C9">
            <v>24786474</v>
          </cell>
          <cell r="D9">
            <v>0</v>
          </cell>
          <cell r="E9">
            <v>0</v>
          </cell>
          <cell r="F9">
            <v>0</v>
          </cell>
        </row>
        <row r="14">
          <cell r="C14">
            <v>9002625</v>
          </cell>
          <cell r="D14">
            <v>3867612</v>
          </cell>
          <cell r="E14">
            <v>16904928</v>
          </cell>
          <cell r="F14">
            <v>56410102</v>
          </cell>
          <cell r="G14">
            <v>263033130</v>
          </cell>
          <cell r="H14">
            <v>2071550411</v>
          </cell>
          <cell r="I14">
            <v>223572028</v>
          </cell>
          <cell r="J14">
            <v>5987744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7">
          <cell r="C17">
            <v>947964207</v>
          </cell>
          <cell r="D17">
            <v>0</v>
          </cell>
          <cell r="E17">
            <v>0</v>
          </cell>
          <cell r="F17">
            <v>0</v>
          </cell>
        </row>
        <row r="21">
          <cell r="C21">
            <v>3684799023</v>
          </cell>
          <cell r="D21">
            <v>204570410</v>
          </cell>
          <cell r="E21">
            <v>20509693</v>
          </cell>
          <cell r="F21">
            <v>79003826</v>
          </cell>
          <cell r="G21">
            <v>384395731</v>
          </cell>
          <cell r="H21">
            <v>2587218549</v>
          </cell>
          <cell r="I21">
            <v>1340022434</v>
          </cell>
          <cell r="J21">
            <v>468417436</v>
          </cell>
        </row>
      </sheetData>
      <sheetData sheetId="7"/>
      <sheetData sheetId="8">
        <row r="6">
          <cell r="C6">
            <v>1206637223</v>
          </cell>
          <cell r="D6">
            <v>233886542</v>
          </cell>
        </row>
        <row r="15">
          <cell r="C15">
            <v>2925826249</v>
          </cell>
          <cell r="D15">
            <v>275497669</v>
          </cell>
        </row>
        <row r="22">
          <cell r="C22">
            <v>14883528848</v>
          </cell>
          <cell r="D22">
            <v>6114591746</v>
          </cell>
        </row>
      </sheetData>
      <sheetData sheetId="9">
        <row r="6">
          <cell r="B6">
            <v>0</v>
          </cell>
        </row>
        <row r="7">
          <cell r="B7">
            <v>5780000</v>
          </cell>
        </row>
        <row r="15">
          <cell r="B15">
            <v>238895960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6974125949</v>
          </cell>
        </row>
        <row r="44">
          <cell r="C44">
            <v>8848699308</v>
          </cell>
        </row>
        <row r="45">
          <cell r="C45">
            <v>57651419422.532684</v>
          </cell>
        </row>
        <row r="49">
          <cell r="C49">
            <v>0.12083657085600269</v>
          </cell>
        </row>
        <row r="50">
          <cell r="C50">
            <v>0.12097058526670391</v>
          </cell>
        </row>
        <row r="51">
          <cell r="C51">
            <v>0.15348623497276015</v>
          </cell>
        </row>
        <row r="57">
          <cell r="C57">
            <v>0.10264388456071502</v>
          </cell>
        </row>
      </sheetData>
      <sheetData sheetId="1"/>
      <sheetData sheetId="2">
        <row r="24">
          <cell r="C24">
            <v>959436325</v>
          </cell>
          <cell r="D24">
            <v>513576</v>
          </cell>
        </row>
      </sheetData>
      <sheetData sheetId="3"/>
      <sheetData sheetId="4"/>
      <sheetData sheetId="5">
        <row r="26">
          <cell r="C26">
            <v>292677142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73"/>
  <sheetViews>
    <sheetView tabSelected="1" view="pageBreakPreview" zoomScale="55" zoomScaleNormal="55" zoomScaleSheetLayoutView="55" workbookViewId="0">
      <pane xSplit="3" ySplit="9" topLeftCell="D43" activePane="bottomRight" state="frozen"/>
      <selection pane="topRight" activeCell="D1" sqref="D1"/>
      <selection pane="bottomLeft" activeCell="A10" sqref="A10"/>
      <selection pane="bottomRight" activeCell="C65" sqref="C65"/>
    </sheetView>
  </sheetViews>
  <sheetFormatPr defaultRowHeight="15.75"/>
  <cols>
    <col min="1" max="1" width="8" style="10" customWidth="1"/>
    <col min="2" max="2" width="108.7109375" style="11" customWidth="1"/>
    <col min="3" max="3" width="19.42578125" style="75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10" customWidth="1"/>
    <col min="24" max="16384" width="9.140625" style="10"/>
  </cols>
  <sheetData>
    <row r="1" spans="1:24" s="73" customFormat="1" ht="27.75" customHeight="1">
      <c r="A1" s="545" t="s">
        <v>243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7" t="s">
        <v>244</v>
      </c>
      <c r="T1" s="547"/>
      <c r="V1" s="520" t="s">
        <v>812</v>
      </c>
    </row>
    <row r="2" spans="1:24" ht="8.25" customHeight="1"/>
    <row r="3" spans="1:24" s="140" customFormat="1" ht="26.25">
      <c r="B3" s="519" t="s">
        <v>1009</v>
      </c>
      <c r="C3" s="141"/>
      <c r="N3" s="280"/>
      <c r="Q3" s="543">
        <v>44925</v>
      </c>
      <c r="R3" s="543"/>
      <c r="S3" s="281"/>
      <c r="T3" s="282" t="s">
        <v>245</v>
      </c>
    </row>
    <row r="4" spans="1:24" s="131" customFormat="1" ht="30.75" customHeight="1">
      <c r="A4" s="540" t="s">
        <v>62</v>
      </c>
      <c r="B4" s="540" t="s">
        <v>230</v>
      </c>
      <c r="C4" s="540" t="s">
        <v>231</v>
      </c>
      <c r="D4" s="548" t="s">
        <v>232</v>
      </c>
      <c r="E4" s="549"/>
      <c r="F4" s="549"/>
      <c r="G4" s="549"/>
      <c r="H4" s="550"/>
      <c r="I4" s="557" t="s">
        <v>233</v>
      </c>
      <c r="J4" s="558"/>
      <c r="K4" s="558"/>
      <c r="L4" s="558"/>
      <c r="M4" s="558"/>
      <c r="N4" s="559"/>
      <c r="O4" s="544" t="s">
        <v>234</v>
      </c>
      <c r="P4" s="544"/>
      <c r="Q4" s="544"/>
      <c r="R4" s="544"/>
      <c r="S4" s="544"/>
      <c r="T4" s="544"/>
    </row>
    <row r="5" spans="1:24" s="131" customFormat="1" ht="30.75" customHeight="1">
      <c r="A5" s="541"/>
      <c r="B5" s="541"/>
      <c r="C5" s="541"/>
      <c r="D5" s="551"/>
      <c r="E5" s="552"/>
      <c r="F5" s="552"/>
      <c r="G5" s="552"/>
      <c r="H5" s="553"/>
      <c r="I5" s="540" t="s">
        <v>235</v>
      </c>
      <c r="J5" s="540" t="s">
        <v>236</v>
      </c>
      <c r="K5" s="540" t="s">
        <v>237</v>
      </c>
      <c r="L5" s="540" t="s">
        <v>238</v>
      </c>
      <c r="M5" s="540" t="s">
        <v>239</v>
      </c>
      <c r="N5" s="540" t="s">
        <v>240</v>
      </c>
      <c r="O5" s="544" t="s">
        <v>241</v>
      </c>
      <c r="P5" s="544"/>
      <c r="Q5" s="544"/>
      <c r="R5" s="544"/>
      <c r="S5" s="544"/>
      <c r="T5" s="544"/>
    </row>
    <row r="6" spans="1:24" s="131" customFormat="1" ht="30.75" customHeight="1">
      <c r="A6" s="541"/>
      <c r="B6" s="541"/>
      <c r="C6" s="541"/>
      <c r="D6" s="554"/>
      <c r="E6" s="555"/>
      <c r="F6" s="555"/>
      <c r="G6" s="555"/>
      <c r="H6" s="556"/>
      <c r="I6" s="541"/>
      <c r="J6" s="541"/>
      <c r="K6" s="541"/>
      <c r="L6" s="541"/>
      <c r="M6" s="541"/>
      <c r="N6" s="541"/>
      <c r="O6" s="544" t="s">
        <v>235</v>
      </c>
      <c r="P6" s="544" t="s">
        <v>242</v>
      </c>
      <c r="Q6" s="544"/>
      <c r="R6" s="544"/>
      <c r="S6" s="544"/>
      <c r="T6" s="544"/>
    </row>
    <row r="7" spans="1:24" s="131" customFormat="1" ht="21" customHeight="1">
      <c r="A7" s="542"/>
      <c r="B7" s="542"/>
      <c r="C7" s="542"/>
      <c r="D7" s="457" t="s">
        <v>121</v>
      </c>
      <c r="E7" s="457" t="s">
        <v>54</v>
      </c>
      <c r="F7" s="457" t="s">
        <v>56</v>
      </c>
      <c r="G7" s="457" t="s">
        <v>57</v>
      </c>
      <c r="H7" s="457" t="s">
        <v>60</v>
      </c>
      <c r="I7" s="542"/>
      <c r="J7" s="542"/>
      <c r="K7" s="542"/>
      <c r="L7" s="542"/>
      <c r="M7" s="542"/>
      <c r="N7" s="542"/>
      <c r="O7" s="544"/>
      <c r="P7" s="521" t="s">
        <v>121</v>
      </c>
      <c r="Q7" s="521" t="s">
        <v>54</v>
      </c>
      <c r="R7" s="521" t="s">
        <v>56</v>
      </c>
      <c r="S7" s="521" t="s">
        <v>57</v>
      </c>
      <c r="T7" s="521" t="s">
        <v>60</v>
      </c>
    </row>
    <row r="8" spans="1:24" s="12" customFormat="1">
      <c r="A8" s="283" t="s">
        <v>79</v>
      </c>
      <c r="B8" s="284" t="s">
        <v>80</v>
      </c>
      <c r="C8" s="285" t="s">
        <v>90</v>
      </c>
      <c r="D8" s="284" t="s">
        <v>81</v>
      </c>
      <c r="E8" s="284" t="s">
        <v>82</v>
      </c>
      <c r="F8" s="284" t="s">
        <v>91</v>
      </c>
      <c r="G8" s="284" t="s">
        <v>83</v>
      </c>
      <c r="H8" s="284" t="s">
        <v>84</v>
      </c>
      <c r="I8" s="284" t="s">
        <v>85</v>
      </c>
      <c r="J8" s="284" t="s">
        <v>86</v>
      </c>
      <c r="K8" s="284" t="s">
        <v>87</v>
      </c>
      <c r="L8" s="284" t="s">
        <v>88</v>
      </c>
      <c r="M8" s="284" t="s">
        <v>89</v>
      </c>
      <c r="N8" s="284" t="s">
        <v>155</v>
      </c>
      <c r="O8" s="284" t="s">
        <v>156</v>
      </c>
      <c r="P8" s="284" t="s">
        <v>157</v>
      </c>
      <c r="Q8" s="284" t="s">
        <v>158</v>
      </c>
      <c r="R8" s="284" t="s">
        <v>180</v>
      </c>
      <c r="S8" s="284" t="s">
        <v>189</v>
      </c>
      <c r="T8" s="284" t="s">
        <v>194</v>
      </c>
    </row>
    <row r="9" spans="1:24" s="12" customFormat="1" ht="29.25" customHeight="1">
      <c r="A9" s="286"/>
      <c r="B9" s="287" t="s">
        <v>282</v>
      </c>
      <c r="C9" s="288">
        <f>SUM(C10:C58)+C60-C59</f>
        <v>64263771349</v>
      </c>
      <c r="D9" s="288">
        <f>SUM(D10:D58)-D59+D60</f>
        <v>60944572016</v>
      </c>
      <c r="E9" s="288">
        <f>SUM(E10:E58)-E59+E60</f>
        <v>2691462008</v>
      </c>
      <c r="F9" s="288">
        <f>SUM(F10:F58)-F59+F60</f>
        <v>507333345</v>
      </c>
      <c r="G9" s="288">
        <f>SUM(G10:G58)-G59+G60</f>
        <v>1000162337</v>
      </c>
      <c r="H9" s="288">
        <f>SUM(H10:H58)-H59+H60</f>
        <v>257499868</v>
      </c>
      <c r="I9" s="288">
        <f t="shared" ref="I9:T9" si="0">SUM(I10:I60)</f>
        <v>988593441</v>
      </c>
      <c r="J9" s="288">
        <f t="shared" si="0"/>
        <v>96264988</v>
      </c>
      <c r="K9" s="288">
        <f t="shared" si="0"/>
        <v>283830528</v>
      </c>
      <c r="L9" s="288">
        <f t="shared" si="0"/>
        <v>264621199</v>
      </c>
      <c r="M9" s="288">
        <f t="shared" si="0"/>
        <v>314624827</v>
      </c>
      <c r="N9" s="288">
        <f t="shared" si="0"/>
        <v>29251899</v>
      </c>
      <c r="O9" s="288">
        <f t="shared" si="0"/>
        <v>1659124432</v>
      </c>
      <c r="P9" s="288">
        <f t="shared" si="0"/>
        <v>521866207</v>
      </c>
      <c r="Q9" s="288">
        <f t="shared" si="0"/>
        <v>384721025</v>
      </c>
      <c r="R9" s="288">
        <f t="shared" si="0"/>
        <v>109816332</v>
      </c>
      <c r="S9" s="288">
        <f t="shared" si="0"/>
        <v>419780304</v>
      </c>
      <c r="T9" s="288">
        <f t="shared" si="0"/>
        <v>222940564</v>
      </c>
      <c r="V9" s="506"/>
      <c r="W9" s="506"/>
    </row>
    <row r="10" spans="1:24" s="9" customFormat="1" ht="23.25" customHeight="1">
      <c r="A10" s="289" t="s">
        <v>2</v>
      </c>
      <c r="B10" s="104" t="s">
        <v>246</v>
      </c>
      <c r="C10" s="102">
        <f>SUM(D10:H10)-O10+P10</f>
        <v>1558319960</v>
      </c>
      <c r="D10" s="85">
        <v>1558319960</v>
      </c>
      <c r="E10" s="85">
        <v>0</v>
      </c>
      <c r="F10" s="85">
        <v>0</v>
      </c>
      <c r="G10" s="85">
        <v>0</v>
      </c>
      <c r="H10" s="85">
        <v>0</v>
      </c>
      <c r="I10" s="102">
        <f t="shared" ref="I10:I11" si="1">SUM(J10:N10)</f>
        <v>0</v>
      </c>
      <c r="J10" s="85"/>
      <c r="K10" s="85"/>
      <c r="L10" s="85"/>
      <c r="M10" s="85"/>
      <c r="N10" s="85"/>
      <c r="O10" s="102">
        <f>SUM(P10:T10)</f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9">
        <v>10100</v>
      </c>
      <c r="V10" s="507"/>
      <c r="W10" s="508"/>
      <c r="X10" s="455"/>
    </row>
    <row r="11" spans="1:24" s="9" customFormat="1" ht="23.25" customHeight="1">
      <c r="A11" s="289" t="s">
        <v>5</v>
      </c>
      <c r="B11" s="104" t="s">
        <v>760</v>
      </c>
      <c r="C11" s="102">
        <f t="shared" ref="C11:C60" si="2">SUM(D11:H11)-O11+P11</f>
        <v>1510578445</v>
      </c>
      <c r="D11" s="85">
        <v>1510578445</v>
      </c>
      <c r="E11" s="85">
        <v>0</v>
      </c>
      <c r="F11" s="85">
        <v>0</v>
      </c>
      <c r="G11" s="85">
        <v>0</v>
      </c>
      <c r="H11" s="85">
        <v>0</v>
      </c>
      <c r="I11" s="102">
        <f t="shared" si="1"/>
        <v>0</v>
      </c>
      <c r="J11" s="85"/>
      <c r="K11" s="85"/>
      <c r="L11" s="85"/>
      <c r="M11" s="85"/>
      <c r="N11" s="85"/>
      <c r="O11" s="102">
        <f t="shared" ref="O11:O60" si="3">SUM(P11:T11)</f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124">
        <v>10300</v>
      </c>
      <c r="V11" s="507"/>
      <c r="W11" s="509"/>
      <c r="X11" s="455"/>
    </row>
    <row r="12" spans="1:24" s="9" customFormat="1" ht="23.25" customHeight="1">
      <c r="A12" s="289" t="s">
        <v>6</v>
      </c>
      <c r="B12" s="104" t="s">
        <v>761</v>
      </c>
      <c r="C12" s="102">
        <f t="shared" si="2"/>
        <v>6508984468</v>
      </c>
      <c r="D12" s="85">
        <v>6508984468</v>
      </c>
      <c r="E12" s="85">
        <v>0</v>
      </c>
      <c r="F12" s="85">
        <v>0</v>
      </c>
      <c r="G12" s="85">
        <v>0</v>
      </c>
      <c r="H12" s="85">
        <v>33976380</v>
      </c>
      <c r="I12" s="102">
        <f>SUM(J12:N12)</f>
        <v>0</v>
      </c>
      <c r="J12" s="85"/>
      <c r="K12" s="85"/>
      <c r="L12" s="85"/>
      <c r="M12" s="85"/>
      <c r="N12" s="85"/>
      <c r="O12" s="102">
        <f t="shared" si="3"/>
        <v>99066225</v>
      </c>
      <c r="P12" s="85">
        <v>65089845</v>
      </c>
      <c r="Q12" s="85">
        <v>0</v>
      </c>
      <c r="R12" s="85">
        <v>0</v>
      </c>
      <c r="S12" s="85">
        <v>0</v>
      </c>
      <c r="T12" s="85">
        <v>33976380</v>
      </c>
      <c r="U12" s="124">
        <v>10500</v>
      </c>
      <c r="V12" s="455"/>
      <c r="X12" s="455"/>
    </row>
    <row r="13" spans="1:24" s="9" customFormat="1" ht="23.25" customHeight="1">
      <c r="A13" s="289" t="s">
        <v>4</v>
      </c>
      <c r="B13" s="104" t="s">
        <v>768</v>
      </c>
      <c r="C13" s="102">
        <f t="shared" si="2"/>
        <v>2655203447</v>
      </c>
      <c r="D13" s="85">
        <v>2655203447</v>
      </c>
      <c r="E13" s="85">
        <v>0</v>
      </c>
      <c r="F13" s="85">
        <v>0</v>
      </c>
      <c r="G13" s="85">
        <v>0</v>
      </c>
      <c r="H13" s="85">
        <v>0</v>
      </c>
      <c r="I13" s="102">
        <f t="shared" ref="I13:I60" si="4">SUM(J13:N13)</f>
        <v>0</v>
      </c>
      <c r="J13" s="85"/>
      <c r="K13" s="85"/>
      <c r="L13" s="85"/>
      <c r="M13" s="85"/>
      <c r="N13" s="85"/>
      <c r="O13" s="102">
        <f t="shared" si="3"/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9">
        <v>10700</v>
      </c>
      <c r="V13" s="455"/>
      <c r="X13" s="455"/>
    </row>
    <row r="14" spans="1:24" s="9" customFormat="1" ht="35.25" customHeight="1">
      <c r="A14" s="289" t="s">
        <v>3</v>
      </c>
      <c r="B14" s="104" t="s">
        <v>769</v>
      </c>
      <c r="C14" s="102">
        <f t="shared" si="2"/>
        <v>0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102">
        <f t="shared" si="4"/>
        <v>0</v>
      </c>
      <c r="J14" s="85"/>
      <c r="K14" s="85"/>
      <c r="L14" s="85"/>
      <c r="M14" s="85"/>
      <c r="N14" s="85"/>
      <c r="O14" s="102">
        <f t="shared" si="3"/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U14" s="9">
        <v>10800</v>
      </c>
      <c r="V14" s="455"/>
      <c r="X14" s="455"/>
    </row>
    <row r="15" spans="1:24" s="9" customFormat="1" ht="23.25" customHeight="1">
      <c r="A15" s="289" t="s">
        <v>8</v>
      </c>
      <c r="B15" s="104" t="s">
        <v>247</v>
      </c>
      <c r="C15" s="102">
        <f t="shared" si="2"/>
        <v>875</v>
      </c>
      <c r="D15" s="85">
        <v>875</v>
      </c>
      <c r="E15" s="85">
        <v>0</v>
      </c>
      <c r="F15" s="85">
        <v>0</v>
      </c>
      <c r="G15" s="85">
        <v>0</v>
      </c>
      <c r="H15" s="85">
        <v>0</v>
      </c>
      <c r="I15" s="102">
        <f t="shared" si="4"/>
        <v>0</v>
      </c>
      <c r="J15" s="85"/>
      <c r="K15" s="85"/>
      <c r="L15" s="85"/>
      <c r="M15" s="85"/>
      <c r="N15" s="85"/>
      <c r="O15" s="102">
        <f t="shared" si="3"/>
        <v>9</v>
      </c>
      <c r="P15" s="85">
        <v>9</v>
      </c>
      <c r="Q15" s="85">
        <v>0</v>
      </c>
      <c r="R15" s="85">
        <v>0</v>
      </c>
      <c r="S15" s="85">
        <v>0</v>
      </c>
      <c r="T15" s="85">
        <v>0</v>
      </c>
      <c r="U15" s="9">
        <v>10900</v>
      </c>
      <c r="V15" s="455"/>
      <c r="X15" s="455"/>
    </row>
    <row r="16" spans="1:24" s="9" customFormat="1" ht="23.25" customHeight="1">
      <c r="A16" s="289" t="s">
        <v>7</v>
      </c>
      <c r="B16" s="104" t="s">
        <v>770</v>
      </c>
      <c r="C16" s="102">
        <f t="shared" si="2"/>
        <v>283941159</v>
      </c>
      <c r="D16" s="85">
        <v>283941159</v>
      </c>
      <c r="E16" s="85">
        <v>0</v>
      </c>
      <c r="F16" s="85">
        <v>0</v>
      </c>
      <c r="G16" s="85">
        <v>0</v>
      </c>
      <c r="H16" s="85">
        <v>0</v>
      </c>
      <c r="I16" s="102">
        <f t="shared" si="4"/>
        <v>0</v>
      </c>
      <c r="J16" s="85"/>
      <c r="K16" s="85"/>
      <c r="L16" s="85"/>
      <c r="M16" s="85"/>
      <c r="N16" s="85"/>
      <c r="O16" s="102">
        <f t="shared" si="3"/>
        <v>2839412</v>
      </c>
      <c r="P16" s="85">
        <v>2839412</v>
      </c>
      <c r="Q16" s="85">
        <v>0</v>
      </c>
      <c r="R16" s="85">
        <v>0</v>
      </c>
      <c r="S16" s="85">
        <v>0</v>
      </c>
      <c r="T16" s="85">
        <v>0</v>
      </c>
      <c r="U16" s="9">
        <v>11100</v>
      </c>
      <c r="V16" s="455"/>
      <c r="X16" s="455"/>
    </row>
    <row r="17" spans="1:24" ht="31.5">
      <c r="A17" s="103">
        <v>8</v>
      </c>
      <c r="B17" s="104" t="s">
        <v>248</v>
      </c>
      <c r="C17" s="102">
        <f t="shared" si="2"/>
        <v>47694399</v>
      </c>
      <c r="D17" s="85">
        <v>47694399</v>
      </c>
      <c r="E17" s="85">
        <v>0</v>
      </c>
      <c r="F17" s="85">
        <v>0</v>
      </c>
      <c r="G17" s="85">
        <v>0</v>
      </c>
      <c r="H17" s="85">
        <v>0</v>
      </c>
      <c r="I17" s="102">
        <f t="shared" si="4"/>
        <v>0</v>
      </c>
      <c r="J17" s="85"/>
      <c r="K17" s="85"/>
      <c r="L17" s="85"/>
      <c r="M17" s="85"/>
      <c r="N17" s="85"/>
      <c r="O17" s="102">
        <f t="shared" si="3"/>
        <v>476944</v>
      </c>
      <c r="P17" s="85">
        <v>476944</v>
      </c>
      <c r="Q17" s="85">
        <v>0</v>
      </c>
      <c r="R17" s="85">
        <v>0</v>
      </c>
      <c r="S17" s="85">
        <v>0</v>
      </c>
      <c r="T17" s="85">
        <v>0</v>
      </c>
      <c r="U17" s="124">
        <v>11500</v>
      </c>
      <c r="V17" s="455"/>
      <c r="W17" s="9"/>
      <c r="X17" s="455"/>
    </row>
    <row r="18" spans="1:24" ht="23.25" customHeight="1">
      <c r="A18" s="103">
        <v>9</v>
      </c>
      <c r="B18" s="104" t="s">
        <v>249</v>
      </c>
      <c r="C18" s="102">
        <f t="shared" si="2"/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102">
        <f t="shared" si="4"/>
        <v>0</v>
      </c>
      <c r="J18" s="85"/>
      <c r="K18" s="85"/>
      <c r="L18" s="85"/>
      <c r="M18" s="85"/>
      <c r="N18" s="85"/>
      <c r="O18" s="102">
        <f t="shared" si="3"/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U18" s="124">
        <v>11700</v>
      </c>
      <c r="V18" s="455"/>
      <c r="W18" s="9"/>
      <c r="X18" s="455"/>
    </row>
    <row r="19" spans="1:24" ht="23.25" customHeight="1">
      <c r="A19" s="103">
        <v>10</v>
      </c>
      <c r="B19" s="291" t="s">
        <v>250</v>
      </c>
      <c r="C19" s="102">
        <f t="shared" si="2"/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102">
        <f t="shared" si="4"/>
        <v>0</v>
      </c>
      <c r="J19" s="85"/>
      <c r="K19" s="85"/>
      <c r="L19" s="85"/>
      <c r="M19" s="85"/>
      <c r="N19" s="85"/>
      <c r="O19" s="102">
        <f t="shared" si="3"/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124">
        <v>11800</v>
      </c>
      <c r="V19" s="455"/>
      <c r="W19" s="9"/>
      <c r="X19" s="455"/>
    </row>
    <row r="20" spans="1:24" ht="23.25" customHeight="1">
      <c r="A20" s="103">
        <v>11</v>
      </c>
      <c r="B20" s="104" t="s">
        <v>251</v>
      </c>
      <c r="C20" s="102">
        <f t="shared" si="2"/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102">
        <f t="shared" si="4"/>
        <v>0</v>
      </c>
      <c r="J20" s="85"/>
      <c r="K20" s="85"/>
      <c r="L20" s="85"/>
      <c r="M20" s="85"/>
      <c r="N20" s="85"/>
      <c r="O20" s="102">
        <f t="shared" si="3"/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124">
        <v>11900</v>
      </c>
      <c r="V20" s="455"/>
      <c r="W20" s="9"/>
      <c r="X20" s="455"/>
    </row>
    <row r="21" spans="1:24" ht="23.25" customHeight="1">
      <c r="A21" s="103">
        <v>12</v>
      </c>
      <c r="B21" s="104" t="s">
        <v>252</v>
      </c>
      <c r="C21" s="102">
        <f t="shared" si="2"/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102">
        <f t="shared" si="4"/>
        <v>0</v>
      </c>
      <c r="J21" s="85"/>
      <c r="K21" s="85"/>
      <c r="L21" s="85"/>
      <c r="M21" s="85"/>
      <c r="N21" s="85"/>
      <c r="O21" s="102">
        <f t="shared" si="3"/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124">
        <v>12100</v>
      </c>
      <c r="V21" s="455"/>
      <c r="W21" s="9"/>
      <c r="X21" s="455"/>
    </row>
    <row r="22" spans="1:24" ht="23.25" customHeight="1">
      <c r="A22" s="103">
        <v>13</v>
      </c>
      <c r="B22" s="104" t="s">
        <v>253</v>
      </c>
      <c r="C22" s="102">
        <f t="shared" si="2"/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102">
        <f t="shared" si="4"/>
        <v>0</v>
      </c>
      <c r="J22" s="85"/>
      <c r="K22" s="85"/>
      <c r="L22" s="85"/>
      <c r="M22" s="85"/>
      <c r="N22" s="85"/>
      <c r="O22" s="102">
        <f t="shared" si="3"/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124">
        <v>12300</v>
      </c>
      <c r="V22" s="455"/>
      <c r="W22" s="9"/>
      <c r="X22" s="455"/>
    </row>
    <row r="23" spans="1:24" ht="23.25" customHeight="1">
      <c r="A23" s="103">
        <v>14</v>
      </c>
      <c r="B23" s="104" t="s">
        <v>254</v>
      </c>
      <c r="C23" s="102">
        <f t="shared" si="2"/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102">
        <f t="shared" si="4"/>
        <v>0</v>
      </c>
      <c r="J23" s="85"/>
      <c r="K23" s="85"/>
      <c r="L23" s="85"/>
      <c r="M23" s="85"/>
      <c r="N23" s="85"/>
      <c r="O23" s="102">
        <f t="shared" si="3"/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124">
        <v>12400</v>
      </c>
      <c r="V23" s="455"/>
      <c r="W23" s="9"/>
      <c r="X23" s="455"/>
    </row>
    <row r="24" spans="1:24" ht="23.25" customHeight="1">
      <c r="A24" s="103">
        <v>15</v>
      </c>
      <c r="B24" s="104" t="s">
        <v>255</v>
      </c>
      <c r="C24" s="102">
        <f>SUM(D24:H24)-O24+P24</f>
        <v>192018693</v>
      </c>
      <c r="D24" s="85">
        <v>190619423</v>
      </c>
      <c r="E24" s="85">
        <v>824220</v>
      </c>
      <c r="F24" s="85">
        <v>492025</v>
      </c>
      <c r="G24" s="85">
        <v>571217</v>
      </c>
      <c r="H24" s="85">
        <v>23941</v>
      </c>
      <c r="I24" s="102">
        <f t="shared" si="4"/>
        <v>1330970</v>
      </c>
      <c r="J24" s="85">
        <v>184668</v>
      </c>
      <c r="K24" s="85">
        <v>261812</v>
      </c>
      <c r="L24" s="85">
        <v>365976</v>
      </c>
      <c r="M24" s="85">
        <v>494755</v>
      </c>
      <c r="N24" s="85">
        <v>23759</v>
      </c>
      <c r="O24" s="102">
        <f t="shared" si="3"/>
        <v>2418327</v>
      </c>
      <c r="P24" s="85">
        <v>1906194</v>
      </c>
      <c r="Q24" s="85">
        <v>80437</v>
      </c>
      <c r="R24" s="85">
        <v>122147</v>
      </c>
      <c r="S24" s="85">
        <v>285608</v>
      </c>
      <c r="T24" s="85">
        <v>23941</v>
      </c>
      <c r="U24" s="124">
        <v>12500</v>
      </c>
      <c r="V24" s="455"/>
      <c r="W24" s="9"/>
      <c r="X24" s="455"/>
    </row>
    <row r="25" spans="1:24" ht="23.25" customHeight="1">
      <c r="A25" s="103">
        <v>16</v>
      </c>
      <c r="B25" s="104" t="s">
        <v>256</v>
      </c>
      <c r="C25" s="102">
        <f t="shared" si="2"/>
        <v>46132525</v>
      </c>
      <c r="D25" s="85">
        <v>45113153</v>
      </c>
      <c r="E25" s="85">
        <v>1132636</v>
      </c>
      <c r="F25" s="85">
        <v>0</v>
      </c>
      <c r="G25" s="85">
        <v>0</v>
      </c>
      <c r="H25" s="85">
        <v>0</v>
      </c>
      <c r="I25" s="102">
        <f t="shared" si="4"/>
        <v>124747</v>
      </c>
      <c r="J25" s="85">
        <v>116565</v>
      </c>
      <c r="K25" s="85">
        <v>8182</v>
      </c>
      <c r="L25" s="85">
        <v>0</v>
      </c>
      <c r="M25" s="85">
        <v>0</v>
      </c>
      <c r="N25" s="85">
        <v>0</v>
      </c>
      <c r="O25" s="102">
        <f t="shared" si="3"/>
        <v>564396</v>
      </c>
      <c r="P25" s="85">
        <v>451132</v>
      </c>
      <c r="Q25" s="85">
        <v>113264</v>
      </c>
      <c r="R25" s="85">
        <v>0</v>
      </c>
      <c r="S25" s="85">
        <v>0</v>
      </c>
      <c r="T25" s="85">
        <v>0</v>
      </c>
      <c r="U25" s="124">
        <v>12600</v>
      </c>
      <c r="V25" s="455"/>
      <c r="W25" s="9"/>
      <c r="X25" s="455"/>
    </row>
    <row r="26" spans="1:24" ht="23.25" customHeight="1">
      <c r="A26" s="103">
        <v>17</v>
      </c>
      <c r="B26" s="104" t="s">
        <v>771</v>
      </c>
      <c r="C26" s="102">
        <f>SUM(D26:H26)-O26+P26</f>
        <v>2644342581</v>
      </c>
      <c r="D26" s="85">
        <v>2627395347</v>
      </c>
      <c r="E26" s="85">
        <v>18830260</v>
      </c>
      <c r="F26" s="85">
        <v>0</v>
      </c>
      <c r="G26" s="85">
        <v>0</v>
      </c>
      <c r="H26" s="85">
        <v>0</v>
      </c>
      <c r="I26" s="102">
        <f t="shared" si="4"/>
        <v>1754549</v>
      </c>
      <c r="J26" s="85">
        <v>0</v>
      </c>
      <c r="K26" s="85">
        <v>1754549</v>
      </c>
      <c r="L26" s="85">
        <v>0</v>
      </c>
      <c r="M26" s="85">
        <v>0</v>
      </c>
      <c r="N26" s="85">
        <v>0</v>
      </c>
      <c r="O26" s="102">
        <f t="shared" si="3"/>
        <v>28156979</v>
      </c>
      <c r="P26" s="85">
        <v>26273953</v>
      </c>
      <c r="Q26" s="85">
        <v>1883026</v>
      </c>
      <c r="R26" s="85">
        <v>0</v>
      </c>
      <c r="S26" s="85">
        <v>0</v>
      </c>
      <c r="T26" s="85">
        <v>0</v>
      </c>
      <c r="U26" s="124">
        <v>12700</v>
      </c>
      <c r="V26" s="455"/>
      <c r="W26" s="456"/>
      <c r="X26" s="455"/>
    </row>
    <row r="27" spans="1:24" ht="33.75" customHeight="1">
      <c r="A27" s="103">
        <v>18</v>
      </c>
      <c r="B27" s="104" t="s">
        <v>772</v>
      </c>
      <c r="C27" s="102">
        <f t="shared" si="2"/>
        <v>154873173</v>
      </c>
      <c r="D27" s="85">
        <v>107408832</v>
      </c>
      <c r="E27" s="85">
        <v>24050379</v>
      </c>
      <c r="F27" s="85">
        <v>12924812</v>
      </c>
      <c r="G27" s="85">
        <v>26417752</v>
      </c>
      <c r="H27" s="85">
        <v>335987</v>
      </c>
      <c r="I27" s="102">
        <f t="shared" si="4"/>
        <v>48886846</v>
      </c>
      <c r="J27" s="85">
        <v>762434</v>
      </c>
      <c r="K27" s="85">
        <v>14684729</v>
      </c>
      <c r="L27" s="85">
        <v>14954366</v>
      </c>
      <c r="M27" s="85">
        <v>18149330</v>
      </c>
      <c r="N27" s="85">
        <v>335987</v>
      </c>
      <c r="O27" s="102">
        <f t="shared" si="3"/>
        <v>17338677</v>
      </c>
      <c r="P27" s="85">
        <v>1074088</v>
      </c>
      <c r="Q27" s="85">
        <v>-511477</v>
      </c>
      <c r="R27" s="85">
        <v>3231203</v>
      </c>
      <c r="S27" s="85">
        <v>13208876</v>
      </c>
      <c r="T27" s="85">
        <v>335987</v>
      </c>
      <c r="U27" s="124">
        <v>12800</v>
      </c>
      <c r="V27" s="455"/>
      <c r="W27" s="456"/>
      <c r="X27" s="460"/>
    </row>
    <row r="28" spans="1:24" ht="23.25" customHeight="1">
      <c r="A28" s="103">
        <v>19</v>
      </c>
      <c r="B28" s="104" t="s">
        <v>257</v>
      </c>
      <c r="C28" s="102">
        <f t="shared" si="2"/>
        <v>2071605949</v>
      </c>
      <c r="D28" s="85">
        <v>2067731539</v>
      </c>
      <c r="E28" s="85">
        <v>0</v>
      </c>
      <c r="F28" s="85">
        <v>0</v>
      </c>
      <c r="G28" s="85">
        <v>7748821</v>
      </c>
      <c r="H28" s="85">
        <v>0</v>
      </c>
      <c r="I28" s="102">
        <f t="shared" si="4"/>
        <v>7748821</v>
      </c>
      <c r="J28" s="85">
        <v>0</v>
      </c>
      <c r="K28" s="85">
        <v>0</v>
      </c>
      <c r="L28" s="85">
        <v>0</v>
      </c>
      <c r="M28" s="85">
        <v>7748821</v>
      </c>
      <c r="N28" s="85">
        <v>0</v>
      </c>
      <c r="O28" s="102">
        <f t="shared" si="3"/>
        <v>24551726</v>
      </c>
      <c r="P28" s="85">
        <v>20677315</v>
      </c>
      <c r="Q28" s="85">
        <v>0</v>
      </c>
      <c r="R28" s="85">
        <v>0</v>
      </c>
      <c r="S28" s="85">
        <v>3874411</v>
      </c>
      <c r="T28" s="85">
        <v>0</v>
      </c>
      <c r="U28" s="124">
        <v>12900</v>
      </c>
      <c r="V28" s="455"/>
      <c r="W28" s="9"/>
      <c r="X28" s="455"/>
    </row>
    <row r="29" spans="1:24" ht="24" customHeight="1">
      <c r="A29" s="103">
        <v>20</v>
      </c>
      <c r="B29" s="104" t="s">
        <v>258</v>
      </c>
      <c r="C29" s="102">
        <f t="shared" si="2"/>
        <v>888692</v>
      </c>
      <c r="D29" s="85">
        <v>888692</v>
      </c>
      <c r="E29" s="85">
        <v>0</v>
      </c>
      <c r="F29" s="85">
        <v>0</v>
      </c>
      <c r="G29" s="85">
        <v>0</v>
      </c>
      <c r="H29" s="85">
        <v>0</v>
      </c>
      <c r="I29" s="102">
        <f t="shared" si="4"/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102">
        <f t="shared" si="3"/>
        <v>8887</v>
      </c>
      <c r="P29" s="85">
        <v>8887</v>
      </c>
      <c r="Q29" s="85">
        <v>0</v>
      </c>
      <c r="R29" s="85">
        <v>0</v>
      </c>
      <c r="S29" s="85">
        <v>0</v>
      </c>
      <c r="T29" s="85">
        <v>0</v>
      </c>
      <c r="U29" s="124">
        <v>13000</v>
      </c>
      <c r="V29" s="455"/>
      <c r="W29" s="9"/>
      <c r="X29" s="455"/>
    </row>
    <row r="30" spans="1:24" ht="33.75" customHeight="1">
      <c r="A30" s="103">
        <v>21</v>
      </c>
      <c r="B30" s="104" t="s">
        <v>259</v>
      </c>
      <c r="C30" s="102">
        <f t="shared" si="2"/>
        <v>2389804204</v>
      </c>
      <c r="D30" s="85">
        <v>2167565789</v>
      </c>
      <c r="E30" s="85">
        <v>179961956</v>
      </c>
      <c r="F30" s="85">
        <v>56340014</v>
      </c>
      <c r="G30" s="85">
        <v>43128739</v>
      </c>
      <c r="H30" s="85">
        <v>3118638</v>
      </c>
      <c r="I30" s="102">
        <f t="shared" si="4"/>
        <v>114308313</v>
      </c>
      <c r="J30" s="85">
        <v>8172378</v>
      </c>
      <c r="K30" s="85">
        <v>14726247</v>
      </c>
      <c r="L30" s="85">
        <v>61560581</v>
      </c>
      <c r="M30" s="85">
        <v>28751052</v>
      </c>
      <c r="N30" s="85">
        <v>1098055</v>
      </c>
      <c r="O30" s="102">
        <f t="shared" si="3"/>
        <v>81986590</v>
      </c>
      <c r="P30" s="85">
        <v>21675658</v>
      </c>
      <c r="Q30" s="85">
        <v>19961421</v>
      </c>
      <c r="R30" s="85">
        <v>15666503</v>
      </c>
      <c r="S30" s="85">
        <v>21564370</v>
      </c>
      <c r="T30" s="85">
        <v>3118638</v>
      </c>
      <c r="U30" s="124">
        <v>13100</v>
      </c>
      <c r="V30" s="455"/>
      <c r="W30" s="9"/>
      <c r="X30" s="455"/>
    </row>
    <row r="31" spans="1:24" ht="23.25" customHeight="1">
      <c r="A31" s="103">
        <v>22</v>
      </c>
      <c r="B31" s="104" t="s">
        <v>260</v>
      </c>
      <c r="C31" s="102">
        <f t="shared" si="2"/>
        <v>3441000</v>
      </c>
      <c r="D31" s="85">
        <v>3441000</v>
      </c>
      <c r="E31" s="85">
        <v>0</v>
      </c>
      <c r="F31" s="85">
        <v>0</v>
      </c>
      <c r="G31" s="85">
        <v>0</v>
      </c>
      <c r="H31" s="85">
        <v>0</v>
      </c>
      <c r="I31" s="102">
        <f t="shared" si="4"/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102">
        <f t="shared" si="3"/>
        <v>34410</v>
      </c>
      <c r="P31" s="85">
        <v>34410</v>
      </c>
      <c r="Q31" s="85">
        <v>0</v>
      </c>
      <c r="R31" s="85">
        <v>0</v>
      </c>
      <c r="S31" s="85">
        <v>0</v>
      </c>
      <c r="T31" s="85">
        <v>0</v>
      </c>
      <c r="U31" s="124">
        <v>13200</v>
      </c>
      <c r="V31" s="455"/>
      <c r="W31" s="9"/>
      <c r="X31" s="455"/>
    </row>
    <row r="32" spans="1:24" ht="32.25" customHeight="1">
      <c r="A32" s="103">
        <v>23</v>
      </c>
      <c r="B32" s="104" t="s">
        <v>261</v>
      </c>
      <c r="C32" s="102">
        <f t="shared" si="2"/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102">
        <f t="shared" ref="I32:I33" si="5">SUM(J32:N32)</f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102">
        <f t="shared" si="3"/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124">
        <v>13300</v>
      </c>
      <c r="V32" s="455"/>
      <c r="W32" s="9"/>
      <c r="X32" s="455"/>
    </row>
    <row r="33" spans="1:24" ht="32.25" customHeight="1">
      <c r="A33" s="103">
        <v>24</v>
      </c>
      <c r="B33" s="104" t="s">
        <v>773</v>
      </c>
      <c r="C33" s="102">
        <f t="shared" si="2"/>
        <v>1652275495</v>
      </c>
      <c r="D33" s="85">
        <v>1652275495</v>
      </c>
      <c r="E33" s="85">
        <v>0</v>
      </c>
      <c r="F33" s="85">
        <v>0</v>
      </c>
      <c r="G33" s="85">
        <v>0</v>
      </c>
      <c r="H33" s="85">
        <v>0</v>
      </c>
      <c r="I33" s="102">
        <f t="shared" si="5"/>
        <v>2104992</v>
      </c>
      <c r="J33" s="85">
        <v>2104992</v>
      </c>
      <c r="K33" s="85">
        <v>0</v>
      </c>
      <c r="L33" s="85">
        <v>0</v>
      </c>
      <c r="M33" s="85">
        <v>0</v>
      </c>
      <c r="N33" s="85">
        <v>0</v>
      </c>
      <c r="O33" s="102">
        <f t="shared" si="3"/>
        <v>16522755</v>
      </c>
      <c r="P33" s="85">
        <v>16522755</v>
      </c>
      <c r="Q33" s="85">
        <v>0</v>
      </c>
      <c r="R33" s="85">
        <v>0</v>
      </c>
      <c r="S33" s="85">
        <v>0</v>
      </c>
      <c r="T33" s="85">
        <v>0</v>
      </c>
      <c r="U33" s="124">
        <v>14300</v>
      </c>
      <c r="V33" s="455"/>
      <c r="W33" s="456"/>
      <c r="X33" s="455"/>
    </row>
    <row r="34" spans="1:24" ht="33.75" customHeight="1">
      <c r="A34" s="103">
        <v>25</v>
      </c>
      <c r="B34" s="104" t="s">
        <v>774</v>
      </c>
      <c r="C34" s="102">
        <f t="shared" si="2"/>
        <v>3482004636</v>
      </c>
      <c r="D34" s="85">
        <v>2691959341</v>
      </c>
      <c r="E34" s="85">
        <v>632888609</v>
      </c>
      <c r="F34" s="85">
        <v>154748726</v>
      </c>
      <c r="G34" s="85">
        <v>195717001</v>
      </c>
      <c r="H34" s="85">
        <v>39238546</v>
      </c>
      <c r="I34" s="102">
        <f t="shared" si="4"/>
        <v>130907677</v>
      </c>
      <c r="J34" s="85">
        <v>22955573</v>
      </c>
      <c r="K34" s="85">
        <v>30860755</v>
      </c>
      <c r="L34" s="85">
        <v>20959439</v>
      </c>
      <c r="M34" s="85">
        <v>44440642</v>
      </c>
      <c r="N34" s="85">
        <v>11691268</v>
      </c>
      <c r="O34" s="102">
        <f t="shared" si="3"/>
        <v>259467180</v>
      </c>
      <c r="P34" s="85">
        <v>26919593</v>
      </c>
      <c r="Q34" s="85">
        <v>57829778</v>
      </c>
      <c r="R34" s="85">
        <v>37620763</v>
      </c>
      <c r="S34" s="85">
        <v>97858500</v>
      </c>
      <c r="T34" s="85">
        <v>39238546</v>
      </c>
      <c r="U34" s="124">
        <v>14400</v>
      </c>
      <c r="V34" s="455"/>
      <c r="W34" s="456"/>
      <c r="X34" s="455"/>
    </row>
    <row r="35" spans="1:24" ht="23.25" customHeight="1">
      <c r="A35" s="103">
        <v>26</v>
      </c>
      <c r="B35" s="104" t="s">
        <v>262</v>
      </c>
      <c r="C35" s="102">
        <f t="shared" si="2"/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102">
        <f t="shared" si="4"/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102">
        <f t="shared" si="3"/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124">
        <v>14500</v>
      </c>
      <c r="V35" s="455"/>
      <c r="W35" s="9"/>
      <c r="X35" s="455"/>
    </row>
    <row r="36" spans="1:24" ht="23.25" customHeight="1">
      <c r="A36" s="103">
        <v>27</v>
      </c>
      <c r="B36" s="104" t="s">
        <v>263</v>
      </c>
      <c r="C36" s="102">
        <f t="shared" si="2"/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102">
        <f t="shared" si="4"/>
        <v>0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102">
        <f t="shared" si="3"/>
        <v>0</v>
      </c>
      <c r="P36" s="85">
        <v>0</v>
      </c>
      <c r="Q36" s="85">
        <v>0</v>
      </c>
      <c r="R36" s="85">
        <v>0</v>
      </c>
      <c r="S36" s="85">
        <v>0</v>
      </c>
      <c r="T36" s="85">
        <v>0</v>
      </c>
      <c r="U36" s="124">
        <v>14700</v>
      </c>
      <c r="V36" s="455"/>
      <c r="W36" s="9"/>
      <c r="X36" s="455"/>
    </row>
    <row r="37" spans="1:24" ht="23.25" customHeight="1">
      <c r="A37" s="103">
        <v>28</v>
      </c>
      <c r="B37" s="104" t="s">
        <v>264</v>
      </c>
      <c r="C37" s="102">
        <f t="shared" si="2"/>
        <v>0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102">
        <f t="shared" si="4"/>
        <v>0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102">
        <f t="shared" si="3"/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124">
        <v>14800</v>
      </c>
      <c r="V37" s="455"/>
      <c r="W37" s="9"/>
      <c r="X37" s="455"/>
    </row>
    <row r="38" spans="1:24" ht="23.25" customHeight="1">
      <c r="A38" s="103">
        <v>29</v>
      </c>
      <c r="B38" s="104" t="s">
        <v>265</v>
      </c>
      <c r="C38" s="102">
        <f t="shared" si="2"/>
        <v>5241334141</v>
      </c>
      <c r="D38" s="85">
        <v>5135808100</v>
      </c>
      <c r="E38" s="85">
        <v>85776746</v>
      </c>
      <c r="F38" s="85">
        <v>24338357</v>
      </c>
      <c r="G38" s="85">
        <v>17637737</v>
      </c>
      <c r="H38" s="85">
        <v>5564077</v>
      </c>
      <c r="I38" s="102">
        <f t="shared" si="4"/>
        <v>6015257</v>
      </c>
      <c r="J38" s="85">
        <v>889947</v>
      </c>
      <c r="K38" s="85">
        <v>1226011</v>
      </c>
      <c r="L38" s="85">
        <v>1100526</v>
      </c>
      <c r="M38" s="85">
        <v>2088847</v>
      </c>
      <c r="N38" s="85">
        <v>709926</v>
      </c>
      <c r="O38" s="102">
        <f t="shared" si="3"/>
        <v>79148957</v>
      </c>
      <c r="P38" s="85">
        <v>51358081</v>
      </c>
      <c r="Q38" s="85">
        <v>8512364</v>
      </c>
      <c r="R38" s="85">
        <v>5910979</v>
      </c>
      <c r="S38" s="85">
        <v>8473376</v>
      </c>
      <c r="T38" s="85">
        <v>4894157</v>
      </c>
      <c r="U38" s="124">
        <v>14900</v>
      </c>
      <c r="V38" s="455"/>
      <c r="W38" s="9"/>
      <c r="X38" s="455"/>
    </row>
    <row r="39" spans="1:24" ht="23.25" customHeight="1">
      <c r="A39" s="103">
        <v>30</v>
      </c>
      <c r="B39" s="104" t="s">
        <v>266</v>
      </c>
      <c r="C39" s="102">
        <f t="shared" si="2"/>
        <v>39060515</v>
      </c>
      <c r="D39" s="85">
        <v>38558672</v>
      </c>
      <c r="E39" s="85">
        <v>396943</v>
      </c>
      <c r="F39" s="85">
        <v>48347</v>
      </c>
      <c r="G39" s="85">
        <v>166667</v>
      </c>
      <c r="H39" s="85">
        <v>12186</v>
      </c>
      <c r="I39" s="102">
        <f t="shared" si="4"/>
        <v>155125</v>
      </c>
      <c r="J39" s="85">
        <v>14480</v>
      </c>
      <c r="K39" s="85">
        <v>13609</v>
      </c>
      <c r="L39" s="85">
        <v>14850</v>
      </c>
      <c r="M39" s="85">
        <v>100000</v>
      </c>
      <c r="N39" s="85">
        <v>12186</v>
      </c>
      <c r="O39" s="102">
        <f t="shared" si="3"/>
        <v>507887</v>
      </c>
      <c r="P39" s="85">
        <v>385587</v>
      </c>
      <c r="Q39" s="85">
        <v>14694</v>
      </c>
      <c r="R39" s="85">
        <v>12087</v>
      </c>
      <c r="S39" s="85">
        <v>83333</v>
      </c>
      <c r="T39" s="85">
        <v>12186</v>
      </c>
      <c r="U39" s="124">
        <v>15000</v>
      </c>
      <c r="V39" s="455"/>
      <c r="W39" s="9"/>
      <c r="X39" s="455"/>
    </row>
    <row r="40" spans="1:24" ht="33.75" customHeight="1">
      <c r="A40" s="103">
        <v>31</v>
      </c>
      <c r="B40" s="104" t="s">
        <v>775</v>
      </c>
      <c r="C40" s="102">
        <f t="shared" si="2"/>
        <v>11127289767</v>
      </c>
      <c r="D40" s="85">
        <v>10805866526</v>
      </c>
      <c r="E40" s="85">
        <v>357136934</v>
      </c>
      <c r="F40" s="85">
        <v>0</v>
      </c>
      <c r="G40" s="85">
        <v>0</v>
      </c>
      <c r="H40" s="85">
        <v>0</v>
      </c>
      <c r="I40" s="102">
        <f t="shared" si="4"/>
        <v>1727185</v>
      </c>
      <c r="J40" s="85">
        <v>393852</v>
      </c>
      <c r="K40" s="85">
        <v>1333333</v>
      </c>
      <c r="L40" s="85">
        <v>0</v>
      </c>
      <c r="M40" s="85">
        <v>0</v>
      </c>
      <c r="N40" s="85">
        <v>0</v>
      </c>
      <c r="O40" s="102">
        <f t="shared" si="3"/>
        <v>116859353</v>
      </c>
      <c r="P40" s="85">
        <v>81145660</v>
      </c>
      <c r="Q40" s="85">
        <v>35713693</v>
      </c>
      <c r="R40" s="85">
        <v>0</v>
      </c>
      <c r="S40" s="85">
        <v>0</v>
      </c>
      <c r="T40" s="85">
        <v>0</v>
      </c>
      <c r="U40" s="124">
        <v>15100</v>
      </c>
      <c r="V40" s="455"/>
      <c r="W40" s="456"/>
      <c r="X40" s="455"/>
    </row>
    <row r="41" spans="1:24" ht="23.25" customHeight="1">
      <c r="A41" s="103">
        <v>32</v>
      </c>
      <c r="B41" s="104" t="s">
        <v>267</v>
      </c>
      <c r="C41" s="102">
        <f t="shared" si="2"/>
        <v>5162543</v>
      </c>
      <c r="D41" s="85">
        <v>2160784</v>
      </c>
      <c r="E41" s="85">
        <v>1074164</v>
      </c>
      <c r="F41" s="85">
        <v>1041035</v>
      </c>
      <c r="G41" s="85">
        <v>1884435</v>
      </c>
      <c r="H41" s="85">
        <v>3193491</v>
      </c>
      <c r="I41" s="102">
        <f t="shared" si="4"/>
        <v>888693</v>
      </c>
      <c r="J41" s="85">
        <v>0</v>
      </c>
      <c r="K41" s="85">
        <v>37950</v>
      </c>
      <c r="L41" s="85">
        <v>46086</v>
      </c>
      <c r="M41" s="85">
        <v>195722</v>
      </c>
      <c r="N41" s="85">
        <v>608935</v>
      </c>
      <c r="O41" s="102">
        <f t="shared" si="3"/>
        <v>4212974</v>
      </c>
      <c r="P41" s="85">
        <v>21608</v>
      </c>
      <c r="Q41" s="85">
        <v>107416</v>
      </c>
      <c r="R41" s="85">
        <v>195258</v>
      </c>
      <c r="S41" s="85">
        <v>882546</v>
      </c>
      <c r="T41" s="85">
        <v>3006146</v>
      </c>
      <c r="U41" s="124">
        <v>15200</v>
      </c>
      <c r="V41" s="455"/>
      <c r="W41" s="9"/>
      <c r="X41" s="455"/>
    </row>
    <row r="42" spans="1:24" ht="23.25" customHeight="1">
      <c r="A42" s="103">
        <v>33</v>
      </c>
      <c r="B42" s="104" t="s">
        <v>268</v>
      </c>
      <c r="C42" s="102">
        <f t="shared" si="2"/>
        <v>5392696075</v>
      </c>
      <c r="D42" s="85">
        <v>5121993591</v>
      </c>
      <c r="E42" s="85">
        <v>147568599</v>
      </c>
      <c r="F42" s="85">
        <v>0</v>
      </c>
      <c r="G42" s="85">
        <v>275781489</v>
      </c>
      <c r="H42" s="85">
        <v>0</v>
      </c>
      <c r="I42" s="102">
        <f t="shared" si="4"/>
        <v>16834869</v>
      </c>
      <c r="J42" s="85">
        <v>3169687</v>
      </c>
      <c r="K42" s="85">
        <v>13665182</v>
      </c>
      <c r="L42" s="85">
        <v>0</v>
      </c>
      <c r="M42" s="85">
        <v>0</v>
      </c>
      <c r="N42" s="85">
        <v>0</v>
      </c>
      <c r="O42" s="102">
        <f t="shared" si="3"/>
        <v>203867540</v>
      </c>
      <c r="P42" s="85">
        <v>51219936</v>
      </c>
      <c r="Q42" s="85">
        <v>14756860</v>
      </c>
      <c r="R42" s="85">
        <v>0</v>
      </c>
      <c r="S42" s="85">
        <v>137890744</v>
      </c>
      <c r="T42" s="85">
        <v>0</v>
      </c>
      <c r="U42" s="124">
        <v>15300</v>
      </c>
      <c r="V42" s="455"/>
      <c r="W42" s="9"/>
      <c r="X42" s="455"/>
    </row>
    <row r="43" spans="1:24" ht="23.25" customHeight="1">
      <c r="A43" s="103">
        <v>34</v>
      </c>
      <c r="B43" s="104" t="s">
        <v>269</v>
      </c>
      <c r="C43" s="102">
        <f t="shared" si="2"/>
        <v>2059286</v>
      </c>
      <c r="D43" s="85">
        <v>2078572</v>
      </c>
      <c r="E43" s="85">
        <v>-19286</v>
      </c>
      <c r="F43" s="85">
        <v>0</v>
      </c>
      <c r="G43" s="85">
        <v>0</v>
      </c>
      <c r="H43" s="85">
        <v>0</v>
      </c>
      <c r="I43" s="102">
        <f t="shared" si="4"/>
        <v>0</v>
      </c>
      <c r="J43" s="85">
        <v>0</v>
      </c>
      <c r="K43" s="85">
        <v>0</v>
      </c>
      <c r="L43" s="85">
        <v>0</v>
      </c>
      <c r="M43" s="85">
        <v>0</v>
      </c>
      <c r="N43" s="85">
        <v>0</v>
      </c>
      <c r="O43" s="102">
        <f t="shared" si="3"/>
        <v>20786</v>
      </c>
      <c r="P43" s="85">
        <v>20786</v>
      </c>
      <c r="Q43" s="85">
        <v>0</v>
      </c>
      <c r="R43" s="85">
        <v>0</v>
      </c>
      <c r="S43" s="85">
        <v>0</v>
      </c>
      <c r="T43" s="85">
        <v>0</v>
      </c>
      <c r="U43" s="124">
        <v>15400</v>
      </c>
      <c r="V43" s="455"/>
      <c r="W43" s="9"/>
      <c r="X43" s="455"/>
    </row>
    <row r="44" spans="1:24" ht="33.75" customHeight="1">
      <c r="A44" s="103">
        <v>35</v>
      </c>
      <c r="B44" s="104" t="s">
        <v>270</v>
      </c>
      <c r="C44" s="102">
        <f t="shared" si="2"/>
        <v>12071110691</v>
      </c>
      <c r="D44" s="85">
        <v>10879925723</v>
      </c>
      <c r="E44" s="85">
        <v>1107278492</v>
      </c>
      <c r="F44" s="85">
        <v>122981634</v>
      </c>
      <c r="G44" s="85">
        <v>201183364</v>
      </c>
      <c r="H44" s="85">
        <v>7654167</v>
      </c>
      <c r="I44" s="102">
        <f t="shared" si="4"/>
        <v>161508676</v>
      </c>
      <c r="J44" s="85">
        <v>9367918</v>
      </c>
      <c r="K44" s="85">
        <v>63342905</v>
      </c>
      <c r="L44" s="85">
        <v>33308775</v>
      </c>
      <c r="M44" s="85">
        <v>55343245</v>
      </c>
      <c r="N44" s="85">
        <v>145833</v>
      </c>
      <c r="O44" s="102">
        <f t="shared" si="3"/>
        <v>356711946</v>
      </c>
      <c r="P44" s="85">
        <v>108799257</v>
      </c>
      <c r="Q44" s="85">
        <v>108859695</v>
      </c>
      <c r="R44" s="85">
        <v>30811112</v>
      </c>
      <c r="S44" s="85">
        <v>100587715</v>
      </c>
      <c r="T44" s="85">
        <v>7654167</v>
      </c>
      <c r="U44" s="124">
        <v>15500</v>
      </c>
      <c r="V44" s="455"/>
      <c r="W44" s="9"/>
      <c r="X44" s="455"/>
    </row>
    <row r="45" spans="1:24" ht="18" customHeight="1">
      <c r="A45" s="103">
        <v>36</v>
      </c>
      <c r="B45" s="104" t="s">
        <v>271</v>
      </c>
      <c r="C45" s="102">
        <f t="shared" si="2"/>
        <v>335566010</v>
      </c>
      <c r="D45" s="85">
        <v>335566010</v>
      </c>
      <c r="E45" s="85">
        <v>0</v>
      </c>
      <c r="F45" s="85">
        <v>0</v>
      </c>
      <c r="G45" s="85">
        <v>0</v>
      </c>
      <c r="H45" s="85">
        <v>0</v>
      </c>
      <c r="I45" s="102">
        <f t="shared" si="4"/>
        <v>0</v>
      </c>
      <c r="J45" s="85"/>
      <c r="K45" s="85"/>
      <c r="L45" s="85"/>
      <c r="M45" s="85"/>
      <c r="N45" s="85"/>
      <c r="O45" s="102">
        <f t="shared" si="3"/>
        <v>3355660</v>
      </c>
      <c r="P45" s="85">
        <v>3355660</v>
      </c>
      <c r="Q45" s="85">
        <v>0</v>
      </c>
      <c r="R45" s="85">
        <v>0</v>
      </c>
      <c r="S45" s="85">
        <v>0</v>
      </c>
      <c r="T45" s="85">
        <v>0</v>
      </c>
      <c r="U45" s="124">
        <v>15600</v>
      </c>
      <c r="V45" s="455"/>
      <c r="W45" s="9"/>
      <c r="X45" s="455"/>
    </row>
    <row r="46" spans="1:24" ht="23.25" customHeight="1">
      <c r="A46" s="103">
        <v>37</v>
      </c>
      <c r="B46" s="104" t="s">
        <v>782</v>
      </c>
      <c r="C46" s="102">
        <f t="shared" si="2"/>
        <v>71465006</v>
      </c>
      <c r="D46" s="85">
        <v>0</v>
      </c>
      <c r="E46" s="85">
        <v>0</v>
      </c>
      <c r="F46" s="85">
        <v>63874260</v>
      </c>
      <c r="G46" s="85">
        <v>60205586</v>
      </c>
      <c r="H46" s="85">
        <v>32313429</v>
      </c>
      <c r="I46" s="102">
        <f t="shared" si="4"/>
        <v>0</v>
      </c>
      <c r="J46" s="85"/>
      <c r="K46" s="85"/>
      <c r="L46" s="85"/>
      <c r="M46" s="85"/>
      <c r="N46" s="85"/>
      <c r="O46" s="102">
        <f t="shared" si="3"/>
        <v>84928269</v>
      </c>
      <c r="P46" s="85">
        <v>0</v>
      </c>
      <c r="Q46" s="85">
        <v>8301596</v>
      </c>
      <c r="R46" s="85">
        <v>14217481</v>
      </c>
      <c r="S46" s="85">
        <v>30095766</v>
      </c>
      <c r="T46" s="85">
        <v>32313426</v>
      </c>
      <c r="U46" s="124">
        <v>15700</v>
      </c>
      <c r="V46" s="455"/>
      <c r="W46" s="456"/>
      <c r="X46" s="455"/>
    </row>
    <row r="47" spans="1:24" ht="33.75" customHeight="1">
      <c r="A47" s="103">
        <v>38</v>
      </c>
      <c r="B47" s="104" t="s">
        <v>783</v>
      </c>
      <c r="C47" s="102">
        <f t="shared" si="2"/>
        <v>233090515</v>
      </c>
      <c r="D47" s="85">
        <v>227467057</v>
      </c>
      <c r="E47" s="85">
        <v>0</v>
      </c>
      <c r="F47" s="85">
        <v>7499992</v>
      </c>
      <c r="G47" s="85">
        <v>0</v>
      </c>
      <c r="H47" s="85">
        <v>3205644</v>
      </c>
      <c r="I47" s="102">
        <f t="shared" si="4"/>
        <v>0</v>
      </c>
      <c r="J47" s="85"/>
      <c r="K47" s="85"/>
      <c r="L47" s="85"/>
      <c r="M47" s="85"/>
      <c r="N47" s="85"/>
      <c r="O47" s="102">
        <f t="shared" si="3"/>
        <v>7356849</v>
      </c>
      <c r="P47" s="85">
        <v>2274671</v>
      </c>
      <c r="Q47" s="85">
        <v>0</v>
      </c>
      <c r="R47" s="85">
        <v>1876534</v>
      </c>
      <c r="S47" s="85">
        <v>0</v>
      </c>
      <c r="T47" s="85">
        <v>3205644</v>
      </c>
      <c r="U47" s="124">
        <v>15800</v>
      </c>
      <c r="V47" s="455"/>
      <c r="W47" s="456"/>
      <c r="X47" s="455"/>
    </row>
    <row r="48" spans="1:24" ht="23.25" customHeight="1">
      <c r="A48" s="103">
        <v>39</v>
      </c>
      <c r="B48" s="104" t="s">
        <v>780</v>
      </c>
      <c r="C48" s="102">
        <f t="shared" si="2"/>
        <v>5805445</v>
      </c>
      <c r="D48" s="85">
        <v>5805445</v>
      </c>
      <c r="E48" s="85">
        <v>0</v>
      </c>
      <c r="F48" s="85">
        <v>0</v>
      </c>
      <c r="G48" s="85">
        <v>0</v>
      </c>
      <c r="H48" s="85">
        <v>0</v>
      </c>
      <c r="I48" s="102">
        <f t="shared" si="4"/>
        <v>0</v>
      </c>
      <c r="J48" s="85"/>
      <c r="K48" s="85"/>
      <c r="L48" s="85"/>
      <c r="M48" s="85"/>
      <c r="N48" s="85"/>
      <c r="O48" s="102">
        <f t="shared" si="3"/>
        <v>58054</v>
      </c>
      <c r="P48" s="85">
        <v>58054</v>
      </c>
      <c r="Q48" s="85">
        <v>0</v>
      </c>
      <c r="R48" s="85">
        <v>0</v>
      </c>
      <c r="S48" s="85">
        <v>0</v>
      </c>
      <c r="T48" s="85">
        <v>0</v>
      </c>
      <c r="U48" s="124">
        <v>15900</v>
      </c>
      <c r="V48" s="455"/>
      <c r="W48" s="456"/>
      <c r="X48" s="455"/>
    </row>
    <row r="49" spans="1:30" ht="23.25" customHeight="1">
      <c r="A49" s="103">
        <v>40</v>
      </c>
      <c r="B49" s="104" t="s">
        <v>781</v>
      </c>
      <c r="C49" s="102">
        <f t="shared" si="2"/>
        <v>1805164470</v>
      </c>
      <c r="D49" s="85">
        <v>1581537458</v>
      </c>
      <c r="E49" s="85">
        <v>121751748</v>
      </c>
      <c r="F49" s="85">
        <v>54841935</v>
      </c>
      <c r="G49" s="85">
        <v>156571796</v>
      </c>
      <c r="H49" s="85">
        <v>18261861</v>
      </c>
      <c r="I49" s="102">
        <f t="shared" si="4"/>
        <v>494296721</v>
      </c>
      <c r="J49" s="85">
        <f>'Aging Analysis'!L22</f>
        <v>48132494</v>
      </c>
      <c r="K49" s="85">
        <f>'Aging Analysis'!N22+'Aging Analysis'!P22</f>
        <v>141915264</v>
      </c>
      <c r="L49" s="85">
        <f>'Aging Analysis'!R22</f>
        <v>132310600</v>
      </c>
      <c r="M49" s="85">
        <f>'Aging Analysis'!T22</f>
        <v>157312413</v>
      </c>
      <c r="N49" s="85">
        <f>'Aging Analysis'!V22+'Aging Analysis'!X22</f>
        <v>14625950</v>
      </c>
      <c r="O49" s="102">
        <f t="shared" si="3"/>
        <v>143615659</v>
      </c>
      <c r="P49" s="85">
        <v>15815331</v>
      </c>
      <c r="Q49" s="85">
        <v>127800328</v>
      </c>
      <c r="R49" s="85">
        <v>0</v>
      </c>
      <c r="S49" s="85">
        <v>0</v>
      </c>
      <c r="T49" s="85">
        <v>0</v>
      </c>
      <c r="U49" s="124">
        <v>16300</v>
      </c>
      <c r="V49" s="455"/>
      <c r="W49" s="456"/>
      <c r="X49" s="455"/>
    </row>
    <row r="50" spans="1:30" ht="23.25" customHeight="1">
      <c r="A50" s="103">
        <v>41</v>
      </c>
      <c r="B50" s="104" t="s">
        <v>779</v>
      </c>
      <c r="C50" s="102">
        <f t="shared" si="2"/>
        <v>14867045</v>
      </c>
      <c r="D50" s="85">
        <v>12584437</v>
      </c>
      <c r="E50" s="85">
        <v>1723089</v>
      </c>
      <c r="F50" s="85">
        <v>177311</v>
      </c>
      <c r="G50" s="85">
        <v>2253444</v>
      </c>
      <c r="H50" s="85">
        <v>2240385</v>
      </c>
      <c r="I50" s="102">
        <f t="shared" si="4"/>
        <v>0</v>
      </c>
      <c r="J50" s="85"/>
      <c r="K50" s="85"/>
      <c r="L50" s="85"/>
      <c r="M50" s="85"/>
      <c r="N50" s="85"/>
      <c r="O50" s="102">
        <f t="shared" si="3"/>
        <v>4237465</v>
      </c>
      <c r="P50" s="85">
        <v>125844</v>
      </c>
      <c r="Q50" s="85">
        <v>113136</v>
      </c>
      <c r="R50" s="85">
        <v>80977</v>
      </c>
      <c r="S50" s="85">
        <v>1677123</v>
      </c>
      <c r="T50" s="85">
        <v>2240385</v>
      </c>
      <c r="U50" s="124">
        <v>16400</v>
      </c>
      <c r="V50" s="455"/>
      <c r="W50" s="456"/>
      <c r="X50" s="455"/>
    </row>
    <row r="51" spans="1:30" ht="23.25" customHeight="1">
      <c r="A51" s="103">
        <v>42</v>
      </c>
      <c r="B51" s="104" t="s">
        <v>272</v>
      </c>
      <c r="C51" s="102">
        <f t="shared" si="2"/>
        <v>1973852967</v>
      </c>
      <c r="D51" s="85">
        <v>1973852967</v>
      </c>
      <c r="E51" s="85">
        <v>0</v>
      </c>
      <c r="F51" s="85">
        <v>0</v>
      </c>
      <c r="G51" s="85">
        <v>0</v>
      </c>
      <c r="H51" s="85">
        <v>0</v>
      </c>
      <c r="I51" s="102">
        <f t="shared" si="4"/>
        <v>0</v>
      </c>
      <c r="J51" s="85"/>
      <c r="K51" s="85"/>
      <c r="L51" s="85"/>
      <c r="M51" s="85"/>
      <c r="N51" s="85"/>
      <c r="O51" s="102">
        <f t="shared" si="3"/>
        <v>0</v>
      </c>
      <c r="P51" s="85">
        <v>0</v>
      </c>
      <c r="Q51" s="85">
        <v>0</v>
      </c>
      <c r="R51" s="85">
        <v>0</v>
      </c>
      <c r="S51" s="85">
        <v>0</v>
      </c>
      <c r="T51" s="85">
        <v>0</v>
      </c>
      <c r="U51" s="124">
        <v>16500</v>
      </c>
      <c r="V51" s="455"/>
      <c r="W51" s="456"/>
      <c r="X51" s="455"/>
    </row>
    <row r="52" spans="1:30" ht="23.25" customHeight="1">
      <c r="A52" s="103">
        <v>43</v>
      </c>
      <c r="B52" s="104" t="s">
        <v>273</v>
      </c>
      <c r="C52" s="102">
        <f t="shared" si="2"/>
        <v>74978867</v>
      </c>
      <c r="D52" s="85">
        <v>74978867</v>
      </c>
      <c r="E52" s="85">
        <v>0</v>
      </c>
      <c r="F52" s="85">
        <v>0</v>
      </c>
      <c r="G52" s="85">
        <v>0</v>
      </c>
      <c r="H52" s="85">
        <v>0</v>
      </c>
      <c r="I52" s="102">
        <f t="shared" si="4"/>
        <v>0</v>
      </c>
      <c r="J52" s="85"/>
      <c r="K52" s="85"/>
      <c r="L52" s="85"/>
      <c r="M52" s="85"/>
      <c r="N52" s="85"/>
      <c r="O52" s="102">
        <f t="shared" si="3"/>
        <v>0</v>
      </c>
      <c r="P52" s="85">
        <v>0</v>
      </c>
      <c r="Q52" s="85">
        <v>0</v>
      </c>
      <c r="R52" s="85">
        <v>0</v>
      </c>
      <c r="S52" s="85">
        <v>0</v>
      </c>
      <c r="T52" s="85">
        <v>0</v>
      </c>
      <c r="U52" s="124">
        <v>16600</v>
      </c>
      <c r="V52" s="455"/>
      <c r="W52" s="456"/>
      <c r="X52" s="455"/>
    </row>
    <row r="53" spans="1:30" ht="23.25" customHeight="1">
      <c r="A53" s="103">
        <v>44</v>
      </c>
      <c r="B53" s="104" t="s">
        <v>274</v>
      </c>
      <c r="C53" s="102">
        <f t="shared" si="2"/>
        <v>235154635</v>
      </c>
      <c r="D53" s="85">
        <v>215019847</v>
      </c>
      <c r="E53" s="85">
        <v>3020841</v>
      </c>
      <c r="F53" s="85">
        <v>36494</v>
      </c>
      <c r="G53" s="85">
        <v>4711168</v>
      </c>
      <c r="H53" s="85">
        <v>98485544</v>
      </c>
      <c r="I53" s="102">
        <f t="shared" si="4"/>
        <v>0</v>
      </c>
      <c r="J53" s="85"/>
      <c r="K53" s="85"/>
      <c r="L53" s="85"/>
      <c r="M53" s="85"/>
      <c r="N53" s="85"/>
      <c r="O53" s="102">
        <f t="shared" si="3"/>
        <v>86164462</v>
      </c>
      <c r="P53" s="85">
        <v>45203</v>
      </c>
      <c r="Q53" s="85">
        <v>945979</v>
      </c>
      <c r="R53" s="85">
        <v>31932</v>
      </c>
      <c r="S53" s="85">
        <v>2095979</v>
      </c>
      <c r="T53" s="85">
        <v>83045369</v>
      </c>
      <c r="U53" s="124">
        <v>16700</v>
      </c>
      <c r="V53" s="455"/>
      <c r="W53" s="456"/>
      <c r="X53" s="455"/>
    </row>
    <row r="54" spans="1:30" ht="23.25" customHeight="1">
      <c r="A54" s="103">
        <v>45</v>
      </c>
      <c r="B54" s="104" t="s">
        <v>778</v>
      </c>
      <c r="C54" s="102">
        <f t="shared" ref="C54" si="6">SUM(D54:H54)-O54+P54</f>
        <v>339298588</v>
      </c>
      <c r="D54" s="85">
        <v>326644941</v>
      </c>
      <c r="E54" s="85">
        <v>0</v>
      </c>
      <c r="F54" s="85">
        <v>7832177</v>
      </c>
      <c r="G54" s="85">
        <v>6027764</v>
      </c>
      <c r="H54" s="85">
        <v>0</v>
      </c>
      <c r="I54" s="102">
        <f t="shared" ref="I54" si="7">SUM(J54:N54)</f>
        <v>0</v>
      </c>
      <c r="J54" s="85"/>
      <c r="K54" s="85"/>
      <c r="L54" s="85"/>
      <c r="M54" s="85"/>
      <c r="N54" s="85"/>
      <c r="O54" s="102">
        <f t="shared" ref="O54" si="8">SUM(P54:T54)</f>
        <v>1310070</v>
      </c>
      <c r="P54" s="85">
        <v>103776</v>
      </c>
      <c r="Q54" s="85">
        <v>103776</v>
      </c>
      <c r="R54" s="85">
        <v>0</v>
      </c>
      <c r="S54" s="85">
        <v>1102518</v>
      </c>
      <c r="T54" s="85">
        <v>0</v>
      </c>
      <c r="U54" s="124">
        <v>16800</v>
      </c>
      <c r="V54" s="455"/>
      <c r="W54" s="456"/>
      <c r="X54" s="455"/>
    </row>
    <row r="55" spans="1:30" ht="23.25" customHeight="1">
      <c r="A55" s="103">
        <v>46</v>
      </c>
      <c r="B55" s="104" t="s">
        <v>275</v>
      </c>
      <c r="C55" s="102">
        <f t="shared" si="2"/>
        <v>0</v>
      </c>
      <c r="D55" s="85">
        <v>0</v>
      </c>
      <c r="E55" s="85">
        <v>0</v>
      </c>
      <c r="F55" s="85">
        <v>0</v>
      </c>
      <c r="G55" s="85">
        <v>0</v>
      </c>
      <c r="H55" s="85">
        <v>0</v>
      </c>
      <c r="I55" s="102">
        <f t="shared" si="4"/>
        <v>0</v>
      </c>
      <c r="J55" s="85"/>
      <c r="K55" s="85"/>
      <c r="L55" s="85"/>
      <c r="M55" s="85"/>
      <c r="N55" s="85"/>
      <c r="O55" s="102">
        <f t="shared" si="3"/>
        <v>0</v>
      </c>
      <c r="P55" s="85">
        <v>0</v>
      </c>
      <c r="Q55" s="85">
        <v>0</v>
      </c>
      <c r="R55" s="85">
        <v>0</v>
      </c>
      <c r="S55" s="85">
        <v>0</v>
      </c>
      <c r="T55" s="85">
        <v>0</v>
      </c>
      <c r="U55" s="124">
        <v>16900</v>
      </c>
      <c r="V55" s="455"/>
      <c r="W55" s="456"/>
      <c r="X55" s="455"/>
    </row>
    <row r="56" spans="1:30" ht="23.25" customHeight="1">
      <c r="A56" s="103">
        <v>47</v>
      </c>
      <c r="B56" s="104" t="s">
        <v>777</v>
      </c>
      <c r="C56" s="102">
        <f t="shared" si="2"/>
        <v>0</v>
      </c>
      <c r="D56" s="85">
        <v>0</v>
      </c>
      <c r="E56" s="85">
        <v>0</v>
      </c>
      <c r="F56" s="85">
        <v>0</v>
      </c>
      <c r="G56" s="85">
        <v>0</v>
      </c>
      <c r="H56" s="85">
        <v>0</v>
      </c>
      <c r="I56" s="102">
        <f t="shared" si="4"/>
        <v>0</v>
      </c>
      <c r="J56" s="85"/>
      <c r="K56" s="85"/>
      <c r="L56" s="85"/>
      <c r="M56" s="85"/>
      <c r="N56" s="85"/>
      <c r="O56" s="102">
        <f t="shared" si="3"/>
        <v>0</v>
      </c>
      <c r="P56" s="85">
        <v>0</v>
      </c>
      <c r="Q56" s="85">
        <v>0</v>
      </c>
      <c r="R56" s="85">
        <v>0</v>
      </c>
      <c r="S56" s="85">
        <v>0</v>
      </c>
      <c r="T56" s="85">
        <v>0</v>
      </c>
      <c r="U56" s="124">
        <v>17100</v>
      </c>
      <c r="V56" s="455"/>
      <c r="W56" s="456"/>
      <c r="X56" s="455"/>
    </row>
    <row r="57" spans="1:30" ht="23.25" customHeight="1">
      <c r="A57" s="103">
        <v>48</v>
      </c>
      <c r="B57" s="104" t="s">
        <v>276</v>
      </c>
      <c r="C57" s="102">
        <f t="shared" si="2"/>
        <v>0</v>
      </c>
      <c r="D57" s="85">
        <v>0</v>
      </c>
      <c r="E57" s="85">
        <v>0</v>
      </c>
      <c r="F57" s="85">
        <v>0</v>
      </c>
      <c r="G57" s="85">
        <v>0</v>
      </c>
      <c r="H57" s="85">
        <v>0</v>
      </c>
      <c r="I57" s="102">
        <f t="shared" si="4"/>
        <v>0</v>
      </c>
      <c r="J57" s="85"/>
      <c r="K57" s="85"/>
      <c r="L57" s="85"/>
      <c r="M57" s="85"/>
      <c r="N57" s="85"/>
      <c r="O57" s="102">
        <f t="shared" si="3"/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124">
        <v>17300</v>
      </c>
      <c r="V57" s="455"/>
      <c r="W57" s="456"/>
      <c r="X57" s="455"/>
    </row>
    <row r="58" spans="1:30" ht="35.25" customHeight="1">
      <c r="A58" s="103">
        <v>49</v>
      </c>
      <c r="B58" s="104" t="s">
        <v>776</v>
      </c>
      <c r="C58" s="102">
        <f t="shared" si="2"/>
        <v>72774486</v>
      </c>
      <c r="D58" s="85">
        <v>72774486</v>
      </c>
      <c r="E58" s="85">
        <v>0</v>
      </c>
      <c r="F58" s="85">
        <v>0</v>
      </c>
      <c r="G58" s="85">
        <v>0</v>
      </c>
      <c r="H58" s="85">
        <v>0</v>
      </c>
      <c r="I58" s="102">
        <f t="shared" si="4"/>
        <v>0</v>
      </c>
      <c r="J58" s="85"/>
      <c r="K58" s="85"/>
      <c r="L58" s="85"/>
      <c r="M58" s="85"/>
      <c r="N58" s="85"/>
      <c r="O58" s="102">
        <f t="shared" si="3"/>
        <v>727745</v>
      </c>
      <c r="P58" s="85">
        <v>727745</v>
      </c>
      <c r="Q58" s="85">
        <v>0</v>
      </c>
      <c r="R58" s="85">
        <v>0</v>
      </c>
      <c r="S58" s="85">
        <v>0</v>
      </c>
      <c r="T58" s="85">
        <v>0</v>
      </c>
      <c r="U58" s="124">
        <v>17400</v>
      </c>
      <c r="V58" s="455"/>
      <c r="W58" s="456"/>
      <c r="X58" s="455"/>
      <c r="Y58" s="292"/>
      <c r="Z58" s="292"/>
      <c r="AA58" s="292"/>
      <c r="AB58" s="292"/>
      <c r="AC58" s="292"/>
      <c r="AD58" s="292"/>
    </row>
    <row r="59" spans="1:30" ht="23.25" customHeight="1">
      <c r="A59" s="103" t="s">
        <v>188</v>
      </c>
      <c r="B59" s="104" t="s">
        <v>767</v>
      </c>
      <c r="C59" s="102">
        <f>SUM(D59:H59)-O59</f>
        <v>521866207</v>
      </c>
      <c r="D59" s="85">
        <v>521866207</v>
      </c>
      <c r="E59" s="85">
        <v>0</v>
      </c>
      <c r="F59" s="85">
        <v>0</v>
      </c>
      <c r="G59" s="85">
        <v>0</v>
      </c>
      <c r="H59" s="85">
        <v>0</v>
      </c>
      <c r="I59" s="102">
        <f t="shared" si="4"/>
        <v>0</v>
      </c>
      <c r="J59" s="85"/>
      <c r="K59" s="85"/>
      <c r="L59" s="85"/>
      <c r="M59" s="85"/>
      <c r="N59" s="85"/>
      <c r="O59" s="102">
        <f t="shared" si="3"/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124">
        <v>17700</v>
      </c>
      <c r="V59" s="455"/>
      <c r="W59" s="456"/>
      <c r="X59" s="455"/>
    </row>
    <row r="60" spans="1:30" s="292" customFormat="1" ht="23.25" customHeight="1">
      <c r="A60" s="289" t="s">
        <v>192</v>
      </c>
      <c r="B60" s="104" t="s">
        <v>277</v>
      </c>
      <c r="C60" s="102">
        <f t="shared" si="2"/>
        <v>542796803</v>
      </c>
      <c r="D60" s="85">
        <v>534693376</v>
      </c>
      <c r="E60" s="85">
        <v>8065678</v>
      </c>
      <c r="F60" s="85">
        <v>156226</v>
      </c>
      <c r="G60" s="85">
        <v>155357</v>
      </c>
      <c r="H60" s="85">
        <v>9875592</v>
      </c>
      <c r="I60" s="102">
        <f t="shared" si="4"/>
        <v>0</v>
      </c>
      <c r="J60" s="85"/>
      <c r="K60" s="85"/>
      <c r="L60" s="85"/>
      <c r="M60" s="85"/>
      <c r="N60" s="85"/>
      <c r="O60" s="102">
        <f t="shared" si="3"/>
        <v>32608239</v>
      </c>
      <c r="P60" s="85">
        <v>22458813</v>
      </c>
      <c r="Q60" s="85">
        <v>135039</v>
      </c>
      <c r="R60" s="85">
        <v>39356</v>
      </c>
      <c r="S60" s="85">
        <v>99439</v>
      </c>
      <c r="T60" s="85">
        <v>9875592</v>
      </c>
      <c r="U60" s="124">
        <v>19900</v>
      </c>
      <c r="V60" s="455"/>
      <c r="W60" s="456"/>
      <c r="X60" s="455"/>
      <c r="Y60" s="9"/>
      <c r="Z60" s="9"/>
      <c r="AA60" s="9"/>
      <c r="AB60" s="9"/>
      <c r="AC60" s="9"/>
      <c r="AD60" s="9"/>
    </row>
    <row r="61" spans="1:30" s="292" customFormat="1" ht="15" customHeight="1">
      <c r="A61" s="289"/>
      <c r="B61" s="104"/>
      <c r="C61" s="102"/>
      <c r="D61" s="102"/>
      <c r="E61" s="103"/>
      <c r="F61" s="103"/>
      <c r="G61" s="103"/>
      <c r="H61" s="103"/>
      <c r="I61" s="102"/>
      <c r="J61" s="85"/>
      <c r="K61" s="85"/>
      <c r="L61" s="85"/>
      <c r="M61" s="85"/>
      <c r="N61" s="85"/>
      <c r="O61" s="102"/>
      <c r="P61" s="87"/>
      <c r="Q61" s="87"/>
      <c r="R61" s="87"/>
      <c r="S61" s="87"/>
      <c r="T61" s="87"/>
      <c r="U61" s="124"/>
      <c r="V61" s="290"/>
      <c r="W61" s="9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25"/>
      <c r="B62" s="287" t="s">
        <v>278</v>
      </c>
      <c r="C62" s="126">
        <f t="shared" ref="C62:H62" si="9">SUM(C63:C65)</f>
        <v>3920720148</v>
      </c>
      <c r="D62" s="126">
        <f t="shared" si="9"/>
        <v>3695720549</v>
      </c>
      <c r="E62" s="126">
        <f t="shared" si="9"/>
        <v>221884934</v>
      </c>
      <c r="F62" s="126">
        <f t="shared" si="9"/>
        <v>80000</v>
      </c>
      <c r="G62" s="126">
        <f t="shared" si="9"/>
        <v>3034665</v>
      </c>
      <c r="H62" s="126">
        <f t="shared" si="9"/>
        <v>0</v>
      </c>
      <c r="I62" s="126">
        <f t="shared" ref="I62:I63" si="10">SUM(J62:N62)</f>
        <v>0</v>
      </c>
      <c r="J62" s="126">
        <f>SUM(J63:J65)</f>
        <v>0</v>
      </c>
      <c r="K62" s="126">
        <f t="shared" ref="K62:L62" si="11">SUM(K63:K65)</f>
        <v>0</v>
      </c>
      <c r="L62" s="126">
        <f t="shared" si="11"/>
        <v>0</v>
      </c>
      <c r="M62" s="126">
        <f t="shared" ref="M62:T62" si="12">SUM(M63:M65)</f>
        <v>0</v>
      </c>
      <c r="N62" s="126">
        <f t="shared" si="12"/>
        <v>0</v>
      </c>
      <c r="O62" s="126">
        <f t="shared" si="12"/>
        <v>27671391</v>
      </c>
      <c r="P62" s="126">
        <f t="shared" si="12"/>
        <v>24500000</v>
      </c>
      <c r="Q62" s="126">
        <f t="shared" si="12"/>
        <v>2860881</v>
      </c>
      <c r="R62" s="126">
        <f t="shared" si="12"/>
        <v>1500</v>
      </c>
      <c r="S62" s="126">
        <f t="shared" si="12"/>
        <v>309010</v>
      </c>
      <c r="T62" s="126">
        <f t="shared" si="12"/>
        <v>0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23.25" customHeight="1">
      <c r="A63" s="289" t="s">
        <v>2</v>
      </c>
      <c r="B63" s="104" t="s">
        <v>279</v>
      </c>
      <c r="C63" s="102">
        <f>SUM(D63:H63)</f>
        <v>1491721327</v>
      </c>
      <c r="D63" s="85">
        <v>1317365127</v>
      </c>
      <c r="E63" s="86">
        <v>174356200</v>
      </c>
      <c r="F63" s="86">
        <v>0</v>
      </c>
      <c r="G63" s="86">
        <v>0</v>
      </c>
      <c r="H63" s="86">
        <v>0</v>
      </c>
      <c r="I63" s="102">
        <f t="shared" si="10"/>
        <v>0</v>
      </c>
      <c r="J63" s="87"/>
      <c r="K63" s="87"/>
      <c r="L63" s="87"/>
      <c r="M63" s="87"/>
      <c r="N63" s="87"/>
      <c r="O63" s="102">
        <f t="shared" ref="O63" si="13">SUM(P63:T63)</f>
        <v>3557087</v>
      </c>
      <c r="P63" s="85">
        <v>2634730</v>
      </c>
      <c r="Q63" s="87">
        <v>922357</v>
      </c>
      <c r="R63" s="87">
        <v>0</v>
      </c>
      <c r="S63" s="87">
        <v>0</v>
      </c>
      <c r="T63" s="87">
        <v>0</v>
      </c>
      <c r="U63" s="124" t="s">
        <v>199</v>
      </c>
    </row>
    <row r="64" spans="1:30" ht="23.25" customHeight="1">
      <c r="A64" s="289" t="s">
        <v>5</v>
      </c>
      <c r="B64" s="104" t="s">
        <v>280</v>
      </c>
      <c r="C64" s="102">
        <f>SUM(D64:H64)</f>
        <v>1933384881</v>
      </c>
      <c r="D64" s="85">
        <v>1886666052</v>
      </c>
      <c r="E64" s="86">
        <v>46718829</v>
      </c>
      <c r="F64" s="86">
        <v>0</v>
      </c>
      <c r="G64" s="86">
        <v>0</v>
      </c>
      <c r="H64" s="86">
        <v>0</v>
      </c>
      <c r="I64" s="102">
        <f>SUM(J64:N64)</f>
        <v>0</v>
      </c>
      <c r="J64" s="87"/>
      <c r="K64" s="87"/>
      <c r="L64" s="87"/>
      <c r="M64" s="87"/>
      <c r="N64" s="87"/>
      <c r="O64" s="102">
        <f>SUM(P64:T64)</f>
        <v>20524690</v>
      </c>
      <c r="P64" s="85">
        <v>18866661</v>
      </c>
      <c r="Q64" s="87">
        <v>1658029</v>
      </c>
      <c r="R64" s="87">
        <v>0</v>
      </c>
      <c r="S64" s="87">
        <v>0</v>
      </c>
      <c r="T64" s="87">
        <v>0</v>
      </c>
      <c r="U64" s="10">
        <v>90993</v>
      </c>
    </row>
    <row r="65" spans="1:30" ht="23.25" customHeight="1">
      <c r="A65" s="289" t="s">
        <v>6</v>
      </c>
      <c r="B65" s="104" t="s">
        <v>281</v>
      </c>
      <c r="C65" s="102">
        <f>SUM(D65:H65)</f>
        <v>495613940</v>
      </c>
      <c r="D65" s="85">
        <v>491689370</v>
      </c>
      <c r="E65" s="86">
        <v>809905</v>
      </c>
      <c r="F65" s="86">
        <v>80000</v>
      </c>
      <c r="G65" s="86">
        <v>3034665</v>
      </c>
      <c r="H65" s="86">
        <v>0</v>
      </c>
      <c r="I65" s="102">
        <f>SUM(J65:N65)</f>
        <v>0</v>
      </c>
      <c r="J65" s="87"/>
      <c r="K65" s="87"/>
      <c r="L65" s="87"/>
      <c r="M65" s="87"/>
      <c r="N65" s="87"/>
      <c r="O65" s="102">
        <f>SUM(P65:T65)</f>
        <v>3589614</v>
      </c>
      <c r="P65" s="85">
        <v>2998609</v>
      </c>
      <c r="Q65" s="87">
        <v>280495</v>
      </c>
      <c r="R65" s="87">
        <v>1500</v>
      </c>
      <c r="S65" s="87">
        <v>309010</v>
      </c>
      <c r="T65" s="87">
        <v>0</v>
      </c>
      <c r="U65" s="10">
        <v>91809</v>
      </c>
    </row>
    <row r="67" spans="1:30" s="30" customFormat="1" ht="15" customHeight="1">
      <c r="B67" s="28" t="s">
        <v>788</v>
      </c>
      <c r="F67" s="185"/>
      <c r="G67" s="185"/>
      <c r="H67" s="185"/>
      <c r="I67" s="185"/>
      <c r="J67" s="185"/>
      <c r="K67" s="185"/>
      <c r="L67" s="185"/>
      <c r="M67" s="185"/>
    </row>
    <row r="68" spans="1:30" s="30" customFormat="1" ht="11.25" customHeight="1">
      <c r="B68" s="28"/>
      <c r="F68" s="185"/>
      <c r="G68" s="185"/>
      <c r="H68" s="185"/>
      <c r="I68" s="185"/>
      <c r="J68" s="185"/>
      <c r="K68" s="185"/>
      <c r="L68" s="185"/>
      <c r="M68" s="185"/>
    </row>
    <row r="69" spans="1:30" s="30" customFormat="1" ht="15" customHeight="1">
      <c r="B69" s="28" t="s">
        <v>789</v>
      </c>
      <c r="F69" s="185"/>
      <c r="G69" s="185"/>
      <c r="H69" s="185"/>
      <c r="I69" s="185"/>
      <c r="J69" s="185"/>
      <c r="K69" s="185"/>
      <c r="L69" s="185"/>
      <c r="M69" s="185"/>
    </row>
    <row r="70" spans="1:30" s="30" customFormat="1" ht="15" customHeight="1">
      <c r="B70" s="206"/>
      <c r="F70" s="185"/>
      <c r="G70" s="185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3" spans="1:30">
      <c r="C73" s="75">
        <f>+[8]Balance!$C$47</f>
        <v>64263771349</v>
      </c>
      <c r="D73" s="75"/>
    </row>
  </sheetData>
  <sheetProtection password="CACA" sheet="1" objects="1" scenarios="1"/>
  <mergeCells count="18">
    <mergeCell ref="N5:N7"/>
    <mergeCell ref="O5:T5"/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</mergeCells>
  <conditionalFormatting sqref="C9">
    <cfRule type="cellIs" dxfId="354" priority="3" operator="notEqual">
      <formula>$C$73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6 C66 R66:T66 R62:T62 Q66 D62:H62 I49:I53 D66:H66 D61:H61 I17:I18 I15:I16 I12:I14 I19:I35" unlockedFormula="1"/>
    <ignoredError sqref="T61 O49:O53 Q62 O17:O18 O12:O16 O19:O35" formulaRange="1" unlockedFormula="1"/>
    <ignoredError sqref="O36:O48 O10:O11" formulaRange="1"/>
    <ignoredError sqref="I60 I54:I58 I61 I65:N65 I59 I66:J66 L66:P66 I62 I64:N64 J62:N62 I63:N63 K66" formula="1" unlockedFormula="1"/>
    <ignoredError sqref="R61:S61 Q61 O54:O58 P62 O59 O65 O60 O61:P61 O63:O64 O62" formula="1" formulaRange="1" unlockedFormula="1"/>
    <ignoredError sqref="C60:C61 C54:C58" formula="1"/>
    <ignoredError sqref="A10:B10 A15:B15 A11 A12 A13 A14 B17:B25 A16 B28:B32 B35:B39 B41:B45 B51:B53 B55 B57 B59:B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3"/>
  <sheetViews>
    <sheetView view="pageBreakPreview" zoomScale="115" zoomScaleSheetLayoutView="115" workbookViewId="0">
      <pane xSplit="2" ySplit="4" topLeftCell="C5" activePane="bottomRight" state="frozen"/>
      <selection activeCell="J25" sqref="J25"/>
      <selection pane="topRight" activeCell="J25" sqref="J25"/>
      <selection pane="bottomLeft" activeCell="J25" sqref="J25"/>
      <selection pane="bottomRight" activeCell="C78" sqref="C78"/>
    </sheetView>
  </sheetViews>
  <sheetFormatPr defaultRowHeight="15" customHeight="1"/>
  <cols>
    <col min="1" max="1" width="5.7109375" style="210" customWidth="1"/>
    <col min="2" max="2" width="80.28515625" style="30" customWidth="1"/>
    <col min="3" max="3" width="16.85546875" style="30" customWidth="1"/>
    <col min="4" max="4" width="17.7109375" style="30" customWidth="1"/>
    <col min="5" max="5" width="16.85546875" style="30" customWidth="1"/>
    <col min="6" max="6" width="7.42578125" style="30" customWidth="1"/>
    <col min="7" max="7" width="12.140625" style="461" customWidth="1"/>
    <col min="8" max="10" width="7.42578125" style="30" customWidth="1"/>
    <col min="11" max="16384" width="9.140625" style="30"/>
  </cols>
  <sheetData>
    <row r="1" spans="1:7" ht="18.75" customHeight="1">
      <c r="A1" s="560" t="s">
        <v>283</v>
      </c>
      <c r="B1" s="560"/>
      <c r="C1" s="560"/>
      <c r="D1" s="560"/>
      <c r="E1" s="16" t="s">
        <v>284</v>
      </c>
    </row>
    <row r="2" spans="1:7" ht="7.5" customHeight="1">
      <c r="A2" s="203"/>
      <c r="B2" s="27"/>
      <c r="C2" s="16"/>
      <c r="D2" s="16"/>
      <c r="E2" s="16"/>
    </row>
    <row r="3" spans="1:7" ht="15" customHeight="1">
      <c r="A3" s="204"/>
      <c r="B3" s="202" t="str">
        <f>+'Asset quality'!B3</f>
        <v>"Ўзсаноатқурилишбанк" АТБ</v>
      </c>
      <c r="D3" s="435">
        <f>+'Asset quality'!Q3</f>
        <v>44925</v>
      </c>
      <c r="E3" s="293" t="str">
        <f>+'Asset quality'!T3</f>
        <v>минг. сўмда</v>
      </c>
    </row>
    <row r="4" spans="1:7" ht="42" customHeight="1">
      <c r="A4" s="101" t="s">
        <v>62</v>
      </c>
      <c r="B4" s="101" t="s">
        <v>285</v>
      </c>
      <c r="C4" s="101" t="s">
        <v>235</v>
      </c>
      <c r="D4" s="101" t="s">
        <v>787</v>
      </c>
      <c r="E4" s="101" t="s">
        <v>287</v>
      </c>
    </row>
    <row r="5" spans="1:7" ht="15" customHeight="1">
      <c r="A5" s="8" t="s">
        <v>288</v>
      </c>
      <c r="B5" s="294" t="s">
        <v>289</v>
      </c>
      <c r="C5" s="101"/>
      <c r="D5" s="101"/>
      <c r="E5" s="101"/>
    </row>
    <row r="6" spans="1:7" ht="15" customHeight="1">
      <c r="A6" s="205" t="s">
        <v>290</v>
      </c>
      <c r="B6" s="295" t="s">
        <v>291</v>
      </c>
      <c r="C6" s="164">
        <f>+D6+E6</f>
        <v>35844465</v>
      </c>
      <c r="D6" s="163">
        <v>35844465</v>
      </c>
      <c r="E6" s="163">
        <v>0</v>
      </c>
    </row>
    <row r="7" spans="1:7" ht="15" customHeight="1">
      <c r="A7" s="205" t="s">
        <v>292</v>
      </c>
      <c r="B7" s="295" t="s">
        <v>293</v>
      </c>
      <c r="C7" s="164">
        <f t="shared" ref="C7:C14" si="0">+D7+E7</f>
        <v>268881890</v>
      </c>
      <c r="D7" s="163">
        <v>62413635</v>
      </c>
      <c r="E7" s="163">
        <v>206468255</v>
      </c>
    </row>
    <row r="8" spans="1:7" ht="25.5">
      <c r="A8" s="205" t="s">
        <v>294</v>
      </c>
      <c r="B8" s="296" t="s">
        <v>309</v>
      </c>
      <c r="C8" s="164">
        <f t="shared" si="0"/>
        <v>1289908</v>
      </c>
      <c r="D8" s="163">
        <v>1289908</v>
      </c>
      <c r="E8" s="163">
        <v>0</v>
      </c>
    </row>
    <row r="9" spans="1:7" ht="15" customHeight="1">
      <c r="A9" s="205" t="s">
        <v>295</v>
      </c>
      <c r="B9" s="296" t="s">
        <v>296</v>
      </c>
      <c r="C9" s="164">
        <f t="shared" ref="C9" si="1">+D9+E9</f>
        <v>269037836</v>
      </c>
      <c r="D9" s="163">
        <v>267075910</v>
      </c>
      <c r="E9" s="163">
        <v>1961926</v>
      </c>
    </row>
    <row r="10" spans="1:7" ht="15" customHeight="1">
      <c r="A10" s="297" t="s">
        <v>297</v>
      </c>
      <c r="B10" s="298" t="s">
        <v>298</v>
      </c>
      <c r="C10" s="164">
        <f t="shared" si="0"/>
        <v>0</v>
      </c>
      <c r="D10" s="163">
        <v>0</v>
      </c>
      <c r="E10" s="163">
        <v>0</v>
      </c>
    </row>
    <row r="11" spans="1:7" ht="25.5">
      <c r="A11" s="297" t="s">
        <v>299</v>
      </c>
      <c r="B11" s="298" t="s">
        <v>300</v>
      </c>
      <c r="C11" s="164">
        <f t="shared" si="0"/>
        <v>0</v>
      </c>
      <c r="D11" s="163">
        <v>0</v>
      </c>
      <c r="E11" s="163">
        <v>0</v>
      </c>
    </row>
    <row r="12" spans="1:7" ht="15" customHeight="1">
      <c r="A12" s="297" t="s">
        <v>301</v>
      </c>
      <c r="B12" s="299" t="s">
        <v>302</v>
      </c>
      <c r="C12" s="164">
        <f t="shared" si="0"/>
        <v>4591911242</v>
      </c>
      <c r="D12" s="163">
        <v>2769776100</v>
      </c>
      <c r="E12" s="163">
        <v>1822135142</v>
      </c>
    </row>
    <row r="13" spans="1:7" ht="15" customHeight="1">
      <c r="A13" s="300" t="s">
        <v>303</v>
      </c>
      <c r="B13" s="301" t="s">
        <v>304</v>
      </c>
      <c r="C13" s="164">
        <f t="shared" si="0"/>
        <v>0</v>
      </c>
      <c r="D13" s="163">
        <v>0</v>
      </c>
      <c r="E13" s="163">
        <v>0</v>
      </c>
    </row>
    <row r="14" spans="1:7" ht="15" customHeight="1">
      <c r="A14" s="300" t="s">
        <v>305</v>
      </c>
      <c r="B14" s="302" t="s">
        <v>306</v>
      </c>
      <c r="C14" s="164">
        <f t="shared" si="0"/>
        <v>218264480</v>
      </c>
      <c r="D14" s="163">
        <v>95915323</v>
      </c>
      <c r="E14" s="163">
        <v>122349157</v>
      </c>
    </row>
    <row r="15" spans="1:7" ht="15" customHeight="1">
      <c r="A15" s="8" t="s">
        <v>307</v>
      </c>
      <c r="B15" s="303" t="s">
        <v>308</v>
      </c>
      <c r="C15" s="105">
        <f>SUM(C6:C14)</f>
        <v>5385229821</v>
      </c>
      <c r="D15" s="105">
        <f>SUM(D6:D14)</f>
        <v>3232315341</v>
      </c>
      <c r="E15" s="105">
        <f>SUM(E6:E14)</f>
        <v>2152914480</v>
      </c>
      <c r="G15" s="462">
        <f>+'Analysis of Interest'!C42</f>
        <v>5385229821</v>
      </c>
    </row>
    <row r="16" spans="1:7" ht="7.5" customHeight="1">
      <c r="A16" s="8"/>
      <c r="B16" s="294"/>
      <c r="C16" s="304"/>
      <c r="D16" s="304"/>
      <c r="E16" s="304"/>
    </row>
    <row r="17" spans="1:7" ht="15" customHeight="1">
      <c r="A17" s="8" t="s">
        <v>310</v>
      </c>
      <c r="B17" s="294" t="s">
        <v>311</v>
      </c>
      <c r="C17" s="101"/>
      <c r="D17" s="101"/>
      <c r="E17" s="101"/>
    </row>
    <row r="18" spans="1:7" ht="15" customHeight="1">
      <c r="A18" s="205" t="s">
        <v>312</v>
      </c>
      <c r="B18" s="295" t="s">
        <v>313</v>
      </c>
      <c r="C18" s="164">
        <f t="shared" ref="C18:C21" si="2">+D18+E18</f>
        <v>6423638</v>
      </c>
      <c r="D18" s="163">
        <v>5582656</v>
      </c>
      <c r="E18" s="163">
        <v>840982</v>
      </c>
    </row>
    <row r="19" spans="1:7" ht="15" customHeight="1">
      <c r="A19" s="205" t="s">
        <v>292</v>
      </c>
      <c r="B19" s="295" t="s">
        <v>314</v>
      </c>
      <c r="C19" s="164">
        <f t="shared" si="2"/>
        <v>783151094</v>
      </c>
      <c r="D19" s="163">
        <v>611953664</v>
      </c>
      <c r="E19" s="163">
        <v>171197430</v>
      </c>
    </row>
    <row r="20" spans="1:7" ht="15" customHeight="1">
      <c r="A20" s="205" t="s">
        <v>294</v>
      </c>
      <c r="B20" s="295" t="s">
        <v>315</v>
      </c>
      <c r="C20" s="164">
        <f t="shared" si="2"/>
        <v>0</v>
      </c>
      <c r="D20" s="163">
        <v>0</v>
      </c>
      <c r="E20" s="163">
        <v>0</v>
      </c>
    </row>
    <row r="21" spans="1:7" ht="15" customHeight="1">
      <c r="A21" s="205" t="s">
        <v>295</v>
      </c>
      <c r="B21" s="295" t="s">
        <v>316</v>
      </c>
      <c r="C21" s="164">
        <f t="shared" si="2"/>
        <v>114525305</v>
      </c>
      <c r="D21" s="163">
        <v>76606694</v>
      </c>
      <c r="E21" s="163">
        <v>37918611</v>
      </c>
    </row>
    <row r="22" spans="1:7" s="206" customFormat="1" ht="15" customHeight="1">
      <c r="A22" s="8" t="s">
        <v>297</v>
      </c>
      <c r="B22" s="294" t="s">
        <v>317</v>
      </c>
      <c r="C22" s="105">
        <f>SUM(C18:C21)</f>
        <v>904100037</v>
      </c>
      <c r="D22" s="105">
        <f>SUM(D18:D21)</f>
        <v>694143014</v>
      </c>
      <c r="E22" s="105">
        <f>SUM(E18:E21)</f>
        <v>209957023</v>
      </c>
      <c r="G22" s="463"/>
    </row>
    <row r="23" spans="1:7" ht="15.75" customHeight="1">
      <c r="A23" s="205" t="s">
        <v>299</v>
      </c>
      <c r="B23" s="295" t="s">
        <v>318</v>
      </c>
      <c r="C23" s="164">
        <f t="shared" ref="C23:C25" si="3">+D23+E23</f>
        <v>1446893800</v>
      </c>
      <c r="D23" s="163">
        <v>676650337</v>
      </c>
      <c r="E23" s="163">
        <v>770243463</v>
      </c>
    </row>
    <row r="24" spans="1:7" ht="15.75" customHeight="1">
      <c r="A24" s="300" t="s">
        <v>301</v>
      </c>
      <c r="B24" s="302" t="s">
        <v>319</v>
      </c>
      <c r="C24" s="164">
        <f t="shared" si="3"/>
        <v>1443836</v>
      </c>
      <c r="D24" s="163">
        <v>1443836</v>
      </c>
      <c r="E24" s="163">
        <v>0</v>
      </c>
    </row>
    <row r="25" spans="1:7" ht="15.75" customHeight="1">
      <c r="A25" s="300" t="s">
        <v>303</v>
      </c>
      <c r="B25" s="302" t="s">
        <v>320</v>
      </c>
      <c r="C25" s="164">
        <f t="shared" si="3"/>
        <v>437549437</v>
      </c>
      <c r="D25" s="163">
        <v>111482420</v>
      </c>
      <c r="E25" s="163">
        <v>326067017</v>
      </c>
    </row>
    <row r="26" spans="1:7" ht="15" customHeight="1">
      <c r="A26" s="305" t="s">
        <v>305</v>
      </c>
      <c r="B26" s="303" t="s">
        <v>321</v>
      </c>
      <c r="C26" s="105">
        <f>SUM(C23:C25)</f>
        <v>1885887073</v>
      </c>
      <c r="D26" s="105">
        <f>SUM(D23:D25)</f>
        <v>789576593</v>
      </c>
      <c r="E26" s="105">
        <f>SUM(E23:E25)</f>
        <v>1096310480</v>
      </c>
    </row>
    <row r="27" spans="1:7" ht="15" customHeight="1">
      <c r="A27" s="305" t="s">
        <v>307</v>
      </c>
      <c r="B27" s="303" t="s">
        <v>322</v>
      </c>
      <c r="C27" s="105">
        <f>C26+C22</f>
        <v>2789987110</v>
      </c>
      <c r="D27" s="105">
        <f>D26+D22</f>
        <v>1483719607</v>
      </c>
      <c r="E27" s="105">
        <f>E26+E22</f>
        <v>1306267503</v>
      </c>
      <c r="G27" s="462">
        <f>+'Analysis of Interest'!C72</f>
        <v>2789987110</v>
      </c>
    </row>
    <row r="28" spans="1:7" ht="7.5" customHeight="1">
      <c r="A28" s="205"/>
      <c r="B28" s="295"/>
      <c r="C28" s="304"/>
      <c r="D28" s="304"/>
      <c r="E28" s="304"/>
    </row>
    <row r="29" spans="1:7" s="206" customFormat="1" ht="25.5">
      <c r="A29" s="458" t="s">
        <v>92</v>
      </c>
      <c r="B29" s="306" t="s">
        <v>323</v>
      </c>
      <c r="C29" s="105">
        <f>C15-C27</f>
        <v>2595242711</v>
      </c>
      <c r="D29" s="105">
        <f>D15-D27</f>
        <v>1748595734</v>
      </c>
      <c r="E29" s="105">
        <f>E15-E27</f>
        <v>846646977</v>
      </c>
      <c r="G29" s="463"/>
    </row>
    <row r="30" spans="1:7" ht="15.75" customHeight="1">
      <c r="A30" s="459" t="s">
        <v>312</v>
      </c>
      <c r="B30" s="307" t="s">
        <v>324</v>
      </c>
      <c r="C30" s="164">
        <f t="shared" ref="C30:C33" si="4">+D30+E30</f>
        <v>2008948377</v>
      </c>
      <c r="D30" s="163">
        <v>425674834</v>
      </c>
      <c r="E30" s="163">
        <v>1583273543</v>
      </c>
    </row>
    <row r="31" spans="1:7" ht="15.75" customHeight="1">
      <c r="A31" s="300" t="s">
        <v>292</v>
      </c>
      <c r="B31" s="302" t="s">
        <v>325</v>
      </c>
      <c r="C31" s="164">
        <f t="shared" si="4"/>
        <v>0</v>
      </c>
      <c r="D31" s="163">
        <v>0</v>
      </c>
      <c r="E31" s="163">
        <v>0</v>
      </c>
    </row>
    <row r="32" spans="1:7" ht="15.75" customHeight="1">
      <c r="A32" s="300" t="s">
        <v>294</v>
      </c>
      <c r="B32" s="302" t="s">
        <v>326</v>
      </c>
      <c r="C32" s="164">
        <f t="shared" si="4"/>
        <v>1874998</v>
      </c>
      <c r="D32" s="163">
        <v>1581228</v>
      </c>
      <c r="E32" s="163">
        <v>293770</v>
      </c>
    </row>
    <row r="33" spans="1:8" ht="15.75" customHeight="1">
      <c r="A33" s="300" t="s">
        <v>295</v>
      </c>
      <c r="B33" s="302" t="s">
        <v>327</v>
      </c>
      <c r="C33" s="164">
        <f t="shared" si="4"/>
        <v>456006888</v>
      </c>
      <c r="D33" s="163">
        <v>252820973</v>
      </c>
      <c r="E33" s="163">
        <v>203185915</v>
      </c>
    </row>
    <row r="34" spans="1:8" ht="12.75">
      <c r="A34" s="8" t="s">
        <v>297</v>
      </c>
      <c r="B34" s="308" t="s">
        <v>328</v>
      </c>
      <c r="C34" s="105">
        <f>C29-C30-C31-C32-C33</f>
        <v>128412448</v>
      </c>
      <c r="D34" s="105">
        <f>D29-D30-D31-D32-D33</f>
        <v>1068518699</v>
      </c>
      <c r="E34" s="105">
        <f>E29-E30-E31-E32-E33</f>
        <v>-940106251</v>
      </c>
    </row>
    <row r="35" spans="1:8" ht="7.5" customHeight="1">
      <c r="A35" s="205"/>
      <c r="B35" s="295"/>
      <c r="C35" s="304"/>
      <c r="D35" s="304"/>
      <c r="E35" s="304"/>
    </row>
    <row r="36" spans="1:8" ht="15" customHeight="1">
      <c r="A36" s="8" t="s">
        <v>329</v>
      </c>
      <c r="B36" s="294" t="s">
        <v>330</v>
      </c>
      <c r="C36" s="101"/>
      <c r="D36" s="101"/>
      <c r="E36" s="101"/>
    </row>
    <row r="37" spans="1:8" ht="15" customHeight="1">
      <c r="A37" s="205" t="s">
        <v>312</v>
      </c>
      <c r="B37" s="504" t="s">
        <v>793</v>
      </c>
      <c r="C37" s="164">
        <f t="shared" ref="C37:C41" si="5">+D37+E37</f>
        <v>474409860</v>
      </c>
      <c r="D37" s="163">
        <v>363862280</v>
      </c>
      <c r="E37" s="163">
        <v>110547580</v>
      </c>
      <c r="H37" s="501"/>
    </row>
    <row r="38" spans="1:8" ht="15" customHeight="1">
      <c r="A38" s="205" t="s">
        <v>292</v>
      </c>
      <c r="B38" s="295" t="s">
        <v>331</v>
      </c>
      <c r="C38" s="164">
        <f t="shared" si="5"/>
        <v>1042504795</v>
      </c>
      <c r="D38" s="163">
        <v>189142622</v>
      </c>
      <c r="E38" s="163">
        <v>853362173</v>
      </c>
    </row>
    <row r="39" spans="1:8" ht="15" customHeight="1">
      <c r="A39" s="205" t="s">
        <v>294</v>
      </c>
      <c r="B39" s="295" t="s">
        <v>332</v>
      </c>
      <c r="C39" s="164">
        <f t="shared" si="5"/>
        <v>0</v>
      </c>
      <c r="D39" s="163">
        <v>0</v>
      </c>
      <c r="E39" s="163">
        <v>0</v>
      </c>
    </row>
    <row r="40" spans="1:8" ht="15" customHeight="1">
      <c r="A40" s="205" t="s">
        <v>295</v>
      </c>
      <c r="B40" s="295" t="s">
        <v>333</v>
      </c>
      <c r="C40" s="164">
        <f t="shared" si="5"/>
        <v>23609691</v>
      </c>
      <c r="D40" s="163">
        <v>23325363</v>
      </c>
      <c r="E40" s="163">
        <v>284328</v>
      </c>
    </row>
    <row r="41" spans="1:8" ht="15" customHeight="1">
      <c r="A41" s="205" t="s">
        <v>297</v>
      </c>
      <c r="B41" s="295" t="s">
        <v>334</v>
      </c>
      <c r="C41" s="164">
        <f t="shared" si="5"/>
        <v>1355245755</v>
      </c>
      <c r="D41" s="163">
        <v>567412819</v>
      </c>
      <c r="E41" s="163">
        <v>787832936</v>
      </c>
    </row>
    <row r="42" spans="1:8" ht="15" customHeight="1">
      <c r="A42" s="205"/>
      <c r="B42" s="309" t="s">
        <v>335</v>
      </c>
      <c r="C42" s="164"/>
      <c r="D42" s="163"/>
      <c r="E42" s="163"/>
    </row>
    <row r="43" spans="1:8" ht="15" customHeight="1">
      <c r="A43" s="205" t="s">
        <v>336</v>
      </c>
      <c r="B43" s="295" t="s">
        <v>337</v>
      </c>
      <c r="C43" s="164">
        <f>+D43+E43</f>
        <v>1287422060</v>
      </c>
      <c r="D43" s="163">
        <v>519119171</v>
      </c>
      <c r="E43" s="163">
        <v>768302889</v>
      </c>
    </row>
    <row r="44" spans="1:8" ht="15" customHeight="1">
      <c r="A44" s="205" t="s">
        <v>338</v>
      </c>
      <c r="B44" s="295" t="s">
        <v>339</v>
      </c>
      <c r="C44" s="164">
        <f>+D44+E44</f>
        <v>0</v>
      </c>
      <c r="D44" s="163">
        <v>0</v>
      </c>
      <c r="E44" s="163">
        <v>0</v>
      </c>
    </row>
    <row r="45" spans="1:8" ht="15" customHeight="1">
      <c r="A45" s="8" t="s">
        <v>299</v>
      </c>
      <c r="B45" s="294" t="s">
        <v>340</v>
      </c>
      <c r="C45" s="105">
        <f>SUM(C37:C41)</f>
        <v>2895770101</v>
      </c>
      <c r="D45" s="105">
        <f>SUM(D37:D41)</f>
        <v>1143743084</v>
      </c>
      <c r="E45" s="105">
        <f>SUM(E37:E41)</f>
        <v>1752027017</v>
      </c>
    </row>
    <row r="46" spans="1:8" ht="7.5" customHeight="1">
      <c r="A46" s="205"/>
      <c r="B46" s="295"/>
      <c r="C46" s="304"/>
      <c r="D46" s="304"/>
      <c r="E46" s="304"/>
    </row>
    <row r="47" spans="1:8" ht="15" customHeight="1">
      <c r="A47" s="8" t="s">
        <v>341</v>
      </c>
      <c r="B47" s="294" t="s">
        <v>342</v>
      </c>
      <c r="C47" s="101"/>
      <c r="D47" s="101"/>
      <c r="E47" s="101"/>
    </row>
    <row r="48" spans="1:8" ht="15" customHeight="1">
      <c r="A48" s="205" t="s">
        <v>312</v>
      </c>
      <c r="B48" s="504" t="s">
        <v>794</v>
      </c>
      <c r="C48" s="164">
        <f t="shared" ref="C48:C52" si="6">+D48+E48</f>
        <v>207700975</v>
      </c>
      <c r="D48" s="163">
        <v>122713120</v>
      </c>
      <c r="E48" s="163">
        <v>84987855</v>
      </c>
    </row>
    <row r="49" spans="1:5" ht="15" customHeight="1">
      <c r="A49" s="205" t="s">
        <v>292</v>
      </c>
      <c r="B49" s="295" t="s">
        <v>343</v>
      </c>
      <c r="C49" s="164">
        <f t="shared" si="6"/>
        <v>699232326</v>
      </c>
      <c r="D49" s="163">
        <v>4740798</v>
      </c>
      <c r="E49" s="163">
        <v>694491528</v>
      </c>
    </row>
    <row r="50" spans="1:5" ht="15" customHeight="1">
      <c r="A50" s="205" t="s">
        <v>294</v>
      </c>
      <c r="B50" s="295" t="s">
        <v>344</v>
      </c>
      <c r="C50" s="164">
        <f t="shared" si="6"/>
        <v>0</v>
      </c>
      <c r="D50" s="163">
        <v>0</v>
      </c>
      <c r="E50" s="163">
        <v>0</v>
      </c>
    </row>
    <row r="51" spans="1:5" ht="15" customHeight="1">
      <c r="A51" s="205" t="s">
        <v>295</v>
      </c>
      <c r="B51" s="295" t="s">
        <v>345</v>
      </c>
      <c r="C51" s="164">
        <f t="shared" si="6"/>
        <v>0</v>
      </c>
      <c r="D51" s="163">
        <v>0</v>
      </c>
      <c r="E51" s="163">
        <v>0</v>
      </c>
    </row>
    <row r="52" spans="1:5" ht="15" customHeight="1">
      <c r="A52" s="205" t="s">
        <v>297</v>
      </c>
      <c r="B52" s="295" t="s">
        <v>346</v>
      </c>
      <c r="C52" s="164">
        <f t="shared" si="6"/>
        <v>54553149</v>
      </c>
      <c r="D52" s="163">
        <v>51103109</v>
      </c>
      <c r="E52" s="163">
        <v>3450040</v>
      </c>
    </row>
    <row r="53" spans="1:5" ht="15" customHeight="1">
      <c r="A53" s="8" t="s">
        <v>299</v>
      </c>
      <c r="B53" s="294" t="s">
        <v>347</v>
      </c>
      <c r="C53" s="105">
        <f>SUM(C48:C52)</f>
        <v>961486450</v>
      </c>
      <c r="D53" s="105">
        <f>SUM(D48:D52)</f>
        <v>178557027</v>
      </c>
      <c r="E53" s="105">
        <f>SUM(E48:E52)</f>
        <v>782929423</v>
      </c>
    </row>
    <row r="54" spans="1:5" ht="7.5" customHeight="1">
      <c r="A54" s="8"/>
      <c r="B54" s="294"/>
      <c r="C54" s="310"/>
      <c r="D54" s="310"/>
      <c r="E54" s="310"/>
    </row>
    <row r="55" spans="1:5" ht="15" customHeight="1">
      <c r="A55" s="8" t="s">
        <v>348</v>
      </c>
      <c r="B55" s="294" t="s">
        <v>349</v>
      </c>
      <c r="C55" s="105">
        <f>C34+C45-C53</f>
        <v>2062696099</v>
      </c>
      <c r="D55" s="105">
        <f>D34+D45-D53</f>
        <v>2033704756</v>
      </c>
      <c r="E55" s="105">
        <f>E34+E45-E53</f>
        <v>28991343</v>
      </c>
    </row>
    <row r="56" spans="1:5" ht="7.5" customHeight="1">
      <c r="A56" s="8"/>
      <c r="B56" s="294"/>
      <c r="C56" s="310"/>
      <c r="D56" s="310"/>
      <c r="E56" s="310"/>
    </row>
    <row r="57" spans="1:5" ht="15" customHeight="1">
      <c r="A57" s="8" t="s">
        <v>350</v>
      </c>
      <c r="B57" s="294" t="s">
        <v>351</v>
      </c>
      <c r="C57" s="101"/>
      <c r="D57" s="101"/>
      <c r="E57" s="101"/>
    </row>
    <row r="58" spans="1:5" ht="15" customHeight="1">
      <c r="A58" s="205" t="s">
        <v>312</v>
      </c>
      <c r="B58" s="295" t="s">
        <v>352</v>
      </c>
      <c r="C58" s="163">
        <v>811430648</v>
      </c>
      <c r="D58" s="163">
        <v>811430648</v>
      </c>
      <c r="E58" s="207"/>
    </row>
    <row r="59" spans="1:5" ht="15" customHeight="1">
      <c r="A59" s="296" t="s">
        <v>353</v>
      </c>
      <c r="B59" s="295" t="s">
        <v>354</v>
      </c>
      <c r="C59" s="163">
        <v>34945643</v>
      </c>
      <c r="D59" s="163">
        <v>34945643</v>
      </c>
      <c r="E59" s="207"/>
    </row>
    <row r="60" spans="1:5" ht="15" customHeight="1">
      <c r="A60" s="205" t="s">
        <v>292</v>
      </c>
      <c r="B60" s="295" t="s">
        <v>355</v>
      </c>
      <c r="C60" s="163">
        <v>84194959</v>
      </c>
      <c r="D60" s="163">
        <v>84194959</v>
      </c>
      <c r="E60" s="207"/>
    </row>
    <row r="61" spans="1:5" ht="15" customHeight="1">
      <c r="A61" s="205" t="s">
        <v>294</v>
      </c>
      <c r="B61" s="295" t="s">
        <v>356</v>
      </c>
      <c r="C61" s="163">
        <v>13119982</v>
      </c>
      <c r="D61" s="163">
        <v>13119982</v>
      </c>
      <c r="E61" s="207"/>
    </row>
    <row r="62" spans="1:5" ht="15" customHeight="1">
      <c r="A62" s="205" t="s">
        <v>295</v>
      </c>
      <c r="B62" s="295" t="s">
        <v>357</v>
      </c>
      <c r="C62" s="163">
        <v>38506004</v>
      </c>
      <c r="D62" s="163">
        <v>38506004</v>
      </c>
      <c r="E62" s="207"/>
    </row>
    <row r="63" spans="1:5" ht="15" customHeight="1">
      <c r="A63" s="205" t="s">
        <v>297</v>
      </c>
      <c r="B63" s="295" t="s">
        <v>358</v>
      </c>
      <c r="C63" s="163">
        <v>115193184</v>
      </c>
      <c r="D63" s="163">
        <v>115193184</v>
      </c>
      <c r="E63" s="207"/>
    </row>
    <row r="64" spans="1:5" ht="15" customHeight="1">
      <c r="A64" s="205" t="s">
        <v>299</v>
      </c>
      <c r="B64" s="295" t="s">
        <v>359</v>
      </c>
      <c r="C64" s="163">
        <v>88348887</v>
      </c>
      <c r="D64" s="163">
        <v>88348887</v>
      </c>
      <c r="E64" s="207"/>
    </row>
    <row r="65" spans="1:13" ht="15" customHeight="1">
      <c r="A65" s="205" t="s">
        <v>301</v>
      </c>
      <c r="B65" s="295" t="s">
        <v>360</v>
      </c>
      <c r="C65" s="163">
        <v>1606911</v>
      </c>
      <c r="D65" s="163">
        <v>1606911</v>
      </c>
      <c r="E65" s="207"/>
    </row>
    <row r="66" spans="1:13" ht="15" customHeight="1">
      <c r="A66" s="205" t="s">
        <v>303</v>
      </c>
      <c r="B66" s="295" t="s">
        <v>361</v>
      </c>
      <c r="C66" s="163">
        <v>50626401</v>
      </c>
      <c r="D66" s="163">
        <v>50626401</v>
      </c>
      <c r="E66" s="207"/>
    </row>
    <row r="67" spans="1:13" ht="15" customHeight="1">
      <c r="A67" s="205" t="s">
        <v>305</v>
      </c>
      <c r="B67" s="295" t="s">
        <v>362</v>
      </c>
      <c r="C67" s="163">
        <v>883001</v>
      </c>
      <c r="D67" s="163">
        <v>883001</v>
      </c>
      <c r="E67" s="207"/>
    </row>
    <row r="68" spans="1:13" ht="15" customHeight="1">
      <c r="A68" s="205" t="s">
        <v>307</v>
      </c>
      <c r="B68" s="295" t="s">
        <v>363</v>
      </c>
      <c r="C68" s="163">
        <v>37021253</v>
      </c>
      <c r="D68" s="163">
        <v>37021253</v>
      </c>
      <c r="E68" s="207"/>
    </row>
    <row r="69" spans="1:13" ht="15" customHeight="1">
      <c r="A69" s="8" t="s">
        <v>364</v>
      </c>
      <c r="B69" s="294" t="s">
        <v>365</v>
      </c>
      <c r="C69" s="105">
        <f>SUM(C58:C68)-C59</f>
        <v>1240931230</v>
      </c>
      <c r="D69" s="105">
        <f>SUM(D58:D68)-D59</f>
        <v>1240931230</v>
      </c>
      <c r="E69" s="207"/>
      <c r="G69" s="464"/>
    </row>
    <row r="70" spans="1:13" ht="7.5" customHeight="1">
      <c r="A70" s="205" t="s">
        <v>9</v>
      </c>
      <c r="B70" s="295" t="s">
        <v>9</v>
      </c>
      <c r="C70" s="304"/>
      <c r="D70" s="304"/>
      <c r="E70" s="304"/>
    </row>
    <row r="71" spans="1:13" ht="15" customHeight="1">
      <c r="A71" s="8" t="s">
        <v>366</v>
      </c>
      <c r="B71" s="294" t="s">
        <v>367</v>
      </c>
      <c r="C71" s="105">
        <f>C55-C69</f>
        <v>821764869</v>
      </c>
      <c r="D71" s="105">
        <f>D55-D69</f>
        <v>792773526</v>
      </c>
      <c r="E71" s="105">
        <f>+E55-(C69-D69)</f>
        <v>28991343</v>
      </c>
      <c r="G71" s="464"/>
    </row>
    <row r="72" spans="1:13" ht="15" customHeight="1">
      <c r="A72" s="205" t="s">
        <v>312</v>
      </c>
      <c r="B72" s="295" t="s">
        <v>368</v>
      </c>
      <c r="C72" s="164">
        <f>+D72+E72</f>
        <v>232827820</v>
      </c>
      <c r="D72" s="163">
        <v>232827820</v>
      </c>
      <c r="E72" s="163"/>
    </row>
    <row r="73" spans="1:13" ht="7.5" customHeight="1">
      <c r="A73" s="205"/>
      <c r="B73" s="295"/>
      <c r="C73" s="310"/>
      <c r="D73" s="310"/>
      <c r="E73" s="310"/>
    </row>
    <row r="74" spans="1:13" ht="15" customHeight="1">
      <c r="A74" s="8" t="s">
        <v>369</v>
      </c>
      <c r="B74" s="294" t="s">
        <v>370</v>
      </c>
      <c r="C74" s="105">
        <f>C71-C72</f>
        <v>588937049</v>
      </c>
      <c r="D74" s="105">
        <f>D71-D72</f>
        <v>559945706</v>
      </c>
      <c r="E74" s="105">
        <f>E71-E72</f>
        <v>28991343</v>
      </c>
      <c r="G74" s="464"/>
    </row>
    <row r="75" spans="1:13" ht="15" customHeight="1">
      <c r="A75" s="205" t="s">
        <v>312</v>
      </c>
      <c r="B75" s="295" t="s">
        <v>371</v>
      </c>
      <c r="C75" s="164">
        <f t="shared" ref="C75:C76" si="7">+D75+E75</f>
        <v>0</v>
      </c>
      <c r="D75" s="163">
        <v>0</v>
      </c>
      <c r="E75" s="163">
        <v>0</v>
      </c>
    </row>
    <row r="76" spans="1:13" ht="15" customHeight="1">
      <c r="A76" s="205" t="s">
        <v>292</v>
      </c>
      <c r="B76" s="295" t="s">
        <v>372</v>
      </c>
      <c r="C76" s="164">
        <f t="shared" si="7"/>
        <v>0</v>
      </c>
      <c r="D76" s="163">
        <v>0</v>
      </c>
      <c r="E76" s="163">
        <v>0</v>
      </c>
    </row>
    <row r="77" spans="1:13" ht="7.5" customHeight="1">
      <c r="A77" s="8"/>
      <c r="B77" s="294"/>
      <c r="C77" s="304"/>
      <c r="D77" s="304"/>
      <c r="E77" s="304"/>
    </row>
    <row r="78" spans="1:13" ht="15" customHeight="1">
      <c r="A78" s="8" t="s">
        <v>373</v>
      </c>
      <c r="B78" s="294" t="s">
        <v>374</v>
      </c>
      <c r="C78" s="105">
        <f>C74+C75+C76</f>
        <v>588937049</v>
      </c>
      <c r="D78" s="105">
        <f>D74+D75+D76</f>
        <v>559945706</v>
      </c>
      <c r="E78" s="105">
        <f>E74+E75+E76</f>
        <v>28991343</v>
      </c>
      <c r="G78" s="464"/>
    </row>
    <row r="79" spans="1:13" ht="15" customHeight="1">
      <c r="A79" s="30"/>
    </row>
    <row r="80" spans="1:13" ht="19.5" customHeight="1">
      <c r="A80" s="30"/>
      <c r="B80" s="206" t="s">
        <v>788</v>
      </c>
      <c r="F80" s="185"/>
      <c r="G80" s="185"/>
      <c r="H80" s="185"/>
      <c r="I80" s="185"/>
      <c r="J80" s="185"/>
      <c r="K80" s="185"/>
      <c r="L80" s="185"/>
      <c r="M80" s="185"/>
    </row>
    <row r="81" spans="1:13" ht="12.75" customHeight="1">
      <c r="A81" s="30"/>
      <c r="B81" s="206"/>
      <c r="F81" s="185"/>
      <c r="G81" s="185"/>
      <c r="H81" s="185"/>
      <c r="I81" s="185"/>
      <c r="J81" s="185"/>
      <c r="K81" s="185"/>
      <c r="L81" s="185"/>
      <c r="M81" s="185"/>
    </row>
    <row r="82" spans="1:13" ht="19.5" customHeight="1">
      <c r="A82" s="30"/>
      <c r="B82" s="206" t="s">
        <v>789</v>
      </c>
      <c r="F82" s="185"/>
      <c r="G82" s="185"/>
      <c r="H82" s="185"/>
      <c r="I82" s="185"/>
      <c r="J82" s="185"/>
      <c r="K82" s="185"/>
      <c r="L82" s="185"/>
      <c r="M82" s="185"/>
    </row>
    <row r="83" spans="1:13" ht="15" customHeight="1">
      <c r="A83" s="30"/>
    </row>
    <row r="84" spans="1:13" ht="15" customHeight="1">
      <c r="A84" s="30"/>
    </row>
    <row r="85" spans="1:13" ht="15" customHeight="1">
      <c r="A85" s="30"/>
    </row>
    <row r="86" spans="1:13" ht="15" customHeight="1">
      <c r="A86" s="30"/>
    </row>
    <row r="87" spans="1:13" ht="15" customHeight="1">
      <c r="A87" s="30"/>
    </row>
    <row r="88" spans="1:13" ht="15" customHeight="1">
      <c r="A88" s="208"/>
    </row>
    <row r="89" spans="1:13" ht="15" customHeight="1">
      <c r="A89" s="208"/>
    </row>
    <row r="93" spans="1:13" ht="15" customHeight="1">
      <c r="A93" s="209"/>
    </row>
  </sheetData>
  <sheetProtection password="CACA" sheet="1" objects="1" scenarios="1"/>
  <mergeCells count="1">
    <mergeCell ref="A1:D1"/>
  </mergeCells>
  <phoneticPr fontId="15" type="noConversion"/>
  <conditionalFormatting sqref="G15">
    <cfRule type="cellIs" dxfId="353" priority="42" operator="notEqual">
      <formula>$G$15</formula>
    </cfRule>
  </conditionalFormatting>
  <conditionalFormatting sqref="C15">
    <cfRule type="cellIs" dxfId="352" priority="2" operator="notEqual">
      <formula>$G$15</formula>
    </cfRule>
  </conditionalFormatting>
  <conditionalFormatting sqref="C27">
    <cfRule type="cellIs" dxfId="351" priority="1" operator="notEqual">
      <formula>$G$27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5:F76 F17 F47 F58:F68 C58:D68 C30:F33 F29 C23:F25 C72:F72 C48:F52 C18:F21 C37:F44 C6:E14 F5:F14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8:E68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5" orientation="portrait" r:id="rId1"/>
  <headerFooter alignWithMargins="0"/>
  <ignoredErrors>
    <ignoredError sqref="C6:C8 C86:C92 C10:C21" unlockedFormula="1"/>
    <ignoredError sqref="C22:C34 C54:C57 C69:C71 C73:C79 C45:C52 C37:C41 C83:C85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="115" zoomScaleSheetLayoutView="115" workbookViewId="0">
      <pane xSplit="2" ySplit="4" topLeftCell="C5" activePane="bottomRight" state="frozen"/>
      <selection activeCell="J25" sqref="J25"/>
      <selection pane="topRight" activeCell="J25" sqref="J25"/>
      <selection pane="bottomLeft" activeCell="J25" sqref="J25"/>
      <selection pane="bottomRight" activeCell="B21" sqref="B21"/>
    </sheetView>
  </sheetViews>
  <sheetFormatPr defaultRowHeight="12.75"/>
  <cols>
    <col min="1" max="1" width="7.140625" style="213" customWidth="1"/>
    <col min="2" max="2" width="82.140625" style="30" customWidth="1"/>
    <col min="3" max="3" width="19" style="30" customWidth="1"/>
    <col min="4" max="10" width="6.42578125" style="30" customWidth="1"/>
    <col min="11" max="16384" width="9.140625" style="30"/>
  </cols>
  <sheetData>
    <row r="1" spans="1:20" s="15" customFormat="1" ht="21" customHeight="1">
      <c r="A1" s="4"/>
      <c r="B1" s="318" t="s">
        <v>376</v>
      </c>
      <c r="C1" s="16" t="s">
        <v>375</v>
      </c>
      <c r="D1" s="319"/>
      <c r="E1" s="319"/>
      <c r="F1" s="319"/>
      <c r="G1" s="319"/>
      <c r="H1" s="319"/>
    </row>
    <row r="2" spans="1:20" ht="9" customHeight="1">
      <c r="A2" s="4"/>
      <c r="B2" s="3"/>
      <c r="C2" s="16"/>
      <c r="D2" s="320"/>
      <c r="E2" s="320"/>
      <c r="F2" s="320"/>
      <c r="G2" s="320"/>
      <c r="H2" s="320"/>
    </row>
    <row r="3" spans="1:20" ht="15">
      <c r="A3" s="427"/>
      <c r="B3" s="79" t="str">
        <f>+'Asset quality'!B3</f>
        <v>"Ўзсаноатқурилишбанк" АТБ</v>
      </c>
      <c r="C3" s="269">
        <f>+'Asset quality'!Q3</f>
        <v>44925</v>
      </c>
      <c r="D3" s="320"/>
      <c r="E3" s="320"/>
      <c r="F3" s="320"/>
      <c r="G3" s="320"/>
      <c r="H3" s="320"/>
    </row>
    <row r="4" spans="1:20" ht="24" customHeight="1">
      <c r="A4" s="101" t="s">
        <v>62</v>
      </c>
      <c r="B4" s="101" t="s">
        <v>285</v>
      </c>
      <c r="C4" s="101" t="str">
        <f>+'Asset quality'!T3</f>
        <v>минг. сўмда</v>
      </c>
      <c r="D4" s="320"/>
      <c r="E4" s="320"/>
      <c r="F4" s="320"/>
      <c r="G4" s="320"/>
      <c r="H4" s="320"/>
    </row>
    <row r="5" spans="1:20">
      <c r="A5" s="428" t="s">
        <v>288</v>
      </c>
      <c r="B5" s="321" t="s">
        <v>377</v>
      </c>
      <c r="C5" s="101"/>
      <c r="D5" s="320"/>
      <c r="E5" s="320"/>
      <c r="F5" s="320"/>
      <c r="G5" s="320"/>
      <c r="H5" s="320"/>
    </row>
    <row r="6" spans="1:20">
      <c r="A6" s="429" t="s">
        <v>290</v>
      </c>
      <c r="B6" s="537" t="s">
        <v>251</v>
      </c>
      <c r="C6" s="322">
        <v>0</v>
      </c>
      <c r="D6" s="320"/>
      <c r="E6" s="320"/>
      <c r="F6" s="320"/>
      <c r="G6" s="320"/>
      <c r="H6" s="320"/>
    </row>
    <row r="7" spans="1:20">
      <c r="A7" s="429" t="s">
        <v>292</v>
      </c>
      <c r="B7" s="537" t="s">
        <v>804</v>
      </c>
      <c r="C7" s="322">
        <v>0</v>
      </c>
      <c r="D7" s="320"/>
      <c r="E7" s="320"/>
      <c r="F7" s="320"/>
      <c r="G7" s="320"/>
      <c r="H7" s="320"/>
    </row>
    <row r="8" spans="1:20">
      <c r="A8" s="430" t="s">
        <v>294</v>
      </c>
      <c r="B8" s="537" t="s">
        <v>805</v>
      </c>
      <c r="C8" s="322">
        <v>4173</v>
      </c>
      <c r="D8" s="320"/>
      <c r="E8" s="320"/>
      <c r="F8" s="320"/>
      <c r="G8" s="320"/>
      <c r="H8" s="320"/>
    </row>
    <row r="9" spans="1:20">
      <c r="A9" s="430" t="s">
        <v>295</v>
      </c>
      <c r="B9" s="537" t="s">
        <v>806</v>
      </c>
      <c r="C9" s="322">
        <v>670526003</v>
      </c>
      <c r="D9" s="320"/>
      <c r="E9" s="320"/>
      <c r="F9" s="320"/>
      <c r="G9" s="320"/>
      <c r="H9" s="320"/>
    </row>
    <row r="10" spans="1:20">
      <c r="A10" s="297" t="s">
        <v>297</v>
      </c>
      <c r="B10" s="538" t="s">
        <v>807</v>
      </c>
      <c r="C10" s="322">
        <v>901937445</v>
      </c>
      <c r="D10" s="320"/>
      <c r="E10" s="320"/>
      <c r="F10" s="320"/>
      <c r="G10" s="320"/>
      <c r="H10" s="320"/>
    </row>
    <row r="11" spans="1:20">
      <c r="A11" s="297" t="s">
        <v>299</v>
      </c>
      <c r="B11" s="538" t="s">
        <v>808</v>
      </c>
      <c r="C11" s="322">
        <v>695588564</v>
      </c>
      <c r="D11" s="320"/>
      <c r="E11" s="320"/>
      <c r="F11" s="320"/>
      <c r="G11" s="320"/>
      <c r="H11" s="320"/>
    </row>
    <row r="12" spans="1:20" ht="15.75" customHeight="1">
      <c r="A12" s="430" t="s">
        <v>301</v>
      </c>
      <c r="B12" s="538" t="s">
        <v>809</v>
      </c>
      <c r="C12" s="322">
        <v>2274341091</v>
      </c>
      <c r="D12" s="320"/>
      <c r="E12" s="320"/>
      <c r="F12" s="320"/>
      <c r="G12" s="320"/>
      <c r="H12" s="320"/>
    </row>
    <row r="13" spans="1:20">
      <c r="A13" s="430" t="s">
        <v>303</v>
      </c>
      <c r="B13" s="537" t="s">
        <v>810</v>
      </c>
      <c r="C13" s="322">
        <v>49513966</v>
      </c>
      <c r="D13" s="320"/>
      <c r="E13" s="320"/>
      <c r="F13" s="320"/>
      <c r="G13" s="320"/>
      <c r="H13" s="320"/>
    </row>
    <row r="14" spans="1:20">
      <c r="A14" s="412" t="s">
        <v>305</v>
      </c>
      <c r="B14" s="324" t="s">
        <v>378</v>
      </c>
      <c r="C14" s="475">
        <f>SUM(C6:C13)</f>
        <v>4591911242</v>
      </c>
      <c r="D14" s="320"/>
      <c r="E14" s="320"/>
      <c r="F14" s="320"/>
      <c r="G14" s="320"/>
      <c r="H14" s="320"/>
    </row>
    <row r="15" spans="1:20" ht="7.5" customHeight="1">
      <c r="A15" s="8"/>
      <c r="B15" s="294"/>
      <c r="C15" s="325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</row>
    <row r="16" spans="1:20">
      <c r="A16" s="412" t="s">
        <v>310</v>
      </c>
      <c r="B16" s="324" t="s">
        <v>379</v>
      </c>
      <c r="C16" s="101"/>
      <c r="D16" s="320"/>
      <c r="E16" s="320"/>
      <c r="F16" s="320"/>
      <c r="G16" s="320"/>
      <c r="H16" s="320"/>
    </row>
    <row r="17" spans="1:20">
      <c r="A17" s="430" t="s">
        <v>290</v>
      </c>
      <c r="B17" s="323" t="s">
        <v>291</v>
      </c>
      <c r="C17" s="322">
        <v>35844465</v>
      </c>
      <c r="D17" s="320"/>
      <c r="E17" s="320"/>
      <c r="F17" s="320"/>
      <c r="G17" s="320"/>
      <c r="H17" s="320"/>
    </row>
    <row r="18" spans="1:20">
      <c r="A18" s="430" t="s">
        <v>292</v>
      </c>
      <c r="B18" s="323" t="s">
        <v>293</v>
      </c>
      <c r="C18" s="322">
        <v>268881890</v>
      </c>
      <c r="D18" s="320"/>
      <c r="E18" s="320"/>
      <c r="F18" s="320"/>
      <c r="G18" s="320"/>
      <c r="H18" s="320"/>
    </row>
    <row r="19" spans="1:20">
      <c r="A19" s="412"/>
      <c r="B19" s="324" t="s">
        <v>380</v>
      </c>
      <c r="C19" s="475">
        <f>SUM(C17:C18)</f>
        <v>304726355</v>
      </c>
      <c r="D19" s="320"/>
      <c r="E19" s="320"/>
      <c r="F19" s="320"/>
      <c r="G19" s="320"/>
      <c r="H19" s="320"/>
    </row>
    <row r="20" spans="1:20" ht="7.5" customHeight="1">
      <c r="A20" s="8"/>
      <c r="B20" s="294"/>
      <c r="C20" s="325"/>
      <c r="D20" s="320"/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  <c r="R20" s="320"/>
      <c r="S20" s="320"/>
      <c r="T20" s="320"/>
    </row>
    <row r="21" spans="1:20" ht="25.5">
      <c r="A21" s="431" t="s">
        <v>92</v>
      </c>
      <c r="B21" s="326" t="s">
        <v>381</v>
      </c>
      <c r="C21" s="101"/>
      <c r="D21" s="320"/>
      <c r="E21" s="320"/>
      <c r="F21" s="320"/>
      <c r="G21" s="320"/>
      <c r="H21" s="320"/>
    </row>
    <row r="22" spans="1:20">
      <c r="A22" s="297" t="s">
        <v>290</v>
      </c>
      <c r="B22" s="323" t="s">
        <v>382</v>
      </c>
      <c r="C22" s="322">
        <v>102223104</v>
      </c>
      <c r="D22" s="320"/>
      <c r="E22" s="320"/>
      <c r="F22" s="320"/>
      <c r="G22" s="320"/>
      <c r="H22" s="320"/>
    </row>
    <row r="23" spans="1:20">
      <c r="A23" s="430" t="s">
        <v>292</v>
      </c>
      <c r="B23" s="323" t="s">
        <v>383</v>
      </c>
      <c r="C23" s="322">
        <v>166814732</v>
      </c>
      <c r="D23" s="320"/>
      <c r="E23" s="320"/>
      <c r="F23" s="320"/>
      <c r="G23" s="320"/>
      <c r="H23" s="320"/>
    </row>
    <row r="24" spans="1:20">
      <c r="A24" s="430" t="s">
        <v>294</v>
      </c>
      <c r="B24" s="323" t="s">
        <v>384</v>
      </c>
      <c r="C24" s="322">
        <v>0</v>
      </c>
      <c r="D24" s="320"/>
      <c r="E24" s="320"/>
      <c r="F24" s="320"/>
      <c r="G24" s="320"/>
      <c r="H24" s="320"/>
    </row>
    <row r="25" spans="1:20">
      <c r="A25" s="430" t="s">
        <v>295</v>
      </c>
      <c r="B25" s="323" t="s">
        <v>385</v>
      </c>
      <c r="C25" s="322">
        <v>0</v>
      </c>
      <c r="D25" s="320"/>
      <c r="E25" s="320"/>
      <c r="F25" s="320"/>
      <c r="G25" s="320"/>
      <c r="H25" s="320"/>
    </row>
    <row r="26" spans="1:20">
      <c r="A26" s="430" t="s">
        <v>297</v>
      </c>
      <c r="B26" s="323" t="s">
        <v>386</v>
      </c>
      <c r="C26" s="322">
        <v>0</v>
      </c>
      <c r="D26" s="320"/>
      <c r="E26" s="320"/>
      <c r="F26" s="320"/>
      <c r="G26" s="320"/>
      <c r="H26" s="320"/>
    </row>
    <row r="27" spans="1:20">
      <c r="A27" s="430" t="s">
        <v>299</v>
      </c>
      <c r="B27" s="323" t="s">
        <v>387</v>
      </c>
      <c r="C27" s="322">
        <v>0</v>
      </c>
      <c r="D27" s="320"/>
      <c r="E27" s="320"/>
      <c r="F27" s="320"/>
      <c r="G27" s="320"/>
      <c r="H27" s="320"/>
    </row>
    <row r="28" spans="1:20">
      <c r="A28" s="430" t="s">
        <v>301</v>
      </c>
      <c r="B28" s="324" t="s">
        <v>388</v>
      </c>
      <c r="C28" s="475">
        <f>SUM(C22:C27)</f>
        <v>269037836</v>
      </c>
      <c r="D28" s="320"/>
      <c r="E28" s="320"/>
      <c r="F28" s="320"/>
      <c r="G28" s="320"/>
      <c r="H28" s="320"/>
    </row>
    <row r="29" spans="1:20" ht="7.5" customHeight="1">
      <c r="A29" s="8"/>
      <c r="B29" s="294"/>
      <c r="C29" s="325"/>
      <c r="D29" s="320"/>
      <c r="E29" s="320"/>
      <c r="F29" s="320"/>
      <c r="G29" s="320"/>
      <c r="H29" s="320"/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</row>
    <row r="30" spans="1:20">
      <c r="A30" s="412" t="s">
        <v>329</v>
      </c>
      <c r="B30" s="324" t="s">
        <v>389</v>
      </c>
      <c r="C30" s="101"/>
      <c r="D30" s="320"/>
      <c r="E30" s="320"/>
      <c r="F30" s="320"/>
      <c r="G30" s="320"/>
      <c r="H30" s="320"/>
    </row>
    <row r="31" spans="1:20">
      <c r="A31" s="430" t="s">
        <v>290</v>
      </c>
      <c r="B31" s="323" t="s">
        <v>382</v>
      </c>
      <c r="C31" s="322">
        <v>0</v>
      </c>
      <c r="D31" s="320"/>
      <c r="E31" s="320"/>
      <c r="F31" s="320"/>
      <c r="G31" s="320"/>
      <c r="H31" s="320"/>
    </row>
    <row r="32" spans="1:20" ht="25.5">
      <c r="A32" s="297" t="s">
        <v>292</v>
      </c>
      <c r="B32" s="180" t="s">
        <v>390</v>
      </c>
      <c r="C32" s="322">
        <v>0</v>
      </c>
      <c r="D32" s="320"/>
      <c r="E32" s="320"/>
      <c r="F32" s="320"/>
      <c r="G32" s="320"/>
      <c r="H32" s="320"/>
    </row>
    <row r="33" spans="1:20" ht="25.5">
      <c r="A33" s="297" t="s">
        <v>294</v>
      </c>
      <c r="B33" s="180" t="s">
        <v>391</v>
      </c>
      <c r="C33" s="322">
        <v>1289908</v>
      </c>
      <c r="D33" s="320"/>
      <c r="E33" s="320"/>
      <c r="F33" s="320"/>
      <c r="G33" s="320"/>
      <c r="H33" s="320"/>
    </row>
    <row r="34" spans="1:20">
      <c r="A34" s="430" t="s">
        <v>295</v>
      </c>
      <c r="B34" s="323" t="s">
        <v>392</v>
      </c>
      <c r="C34" s="322">
        <v>0</v>
      </c>
      <c r="D34" s="320"/>
      <c r="E34" s="320"/>
      <c r="F34" s="320"/>
      <c r="G34" s="320"/>
      <c r="H34" s="320"/>
    </row>
    <row r="35" spans="1:20">
      <c r="A35" s="430" t="s">
        <v>297</v>
      </c>
      <c r="B35" s="323" t="s">
        <v>387</v>
      </c>
      <c r="C35" s="322">
        <v>0</v>
      </c>
      <c r="D35" s="320"/>
      <c r="E35" s="320"/>
      <c r="F35" s="320"/>
      <c r="G35" s="320"/>
      <c r="H35" s="320"/>
    </row>
    <row r="36" spans="1:20">
      <c r="A36" s="430" t="s">
        <v>299</v>
      </c>
      <c r="B36" s="324" t="s">
        <v>393</v>
      </c>
      <c r="C36" s="475">
        <f>SUM(C31:C35)</f>
        <v>1289908</v>
      </c>
      <c r="D36" s="320"/>
      <c r="E36" s="320"/>
      <c r="F36" s="320"/>
      <c r="G36" s="320"/>
      <c r="H36" s="320"/>
    </row>
    <row r="37" spans="1:20" ht="7.5" customHeight="1">
      <c r="A37" s="8"/>
      <c r="B37" s="294"/>
      <c r="C37" s="325"/>
      <c r="D37" s="320"/>
      <c r="E37" s="320"/>
      <c r="F37" s="320"/>
      <c r="G37" s="320"/>
      <c r="H37" s="320"/>
      <c r="I37" s="320"/>
      <c r="J37" s="320"/>
      <c r="K37" s="320"/>
      <c r="L37" s="320"/>
      <c r="M37" s="320"/>
      <c r="N37" s="320"/>
      <c r="O37" s="320"/>
      <c r="P37" s="320"/>
      <c r="Q37" s="320"/>
      <c r="R37" s="320"/>
      <c r="S37" s="320"/>
      <c r="T37" s="320"/>
    </row>
    <row r="38" spans="1:20">
      <c r="A38" s="412" t="s">
        <v>341</v>
      </c>
      <c r="B38" s="324" t="s">
        <v>394</v>
      </c>
      <c r="C38" s="101"/>
      <c r="D38" s="320"/>
      <c r="E38" s="320"/>
      <c r="F38" s="320"/>
      <c r="G38" s="320"/>
      <c r="H38" s="320"/>
    </row>
    <row r="39" spans="1:20">
      <c r="A39" s="430" t="s">
        <v>290</v>
      </c>
      <c r="B39" s="327" t="s">
        <v>395</v>
      </c>
      <c r="C39" s="322">
        <v>0</v>
      </c>
      <c r="D39" s="320"/>
      <c r="E39" s="320"/>
      <c r="F39" s="320"/>
      <c r="G39" s="320"/>
      <c r="H39" s="320"/>
    </row>
    <row r="40" spans="1:20">
      <c r="A40" s="430" t="s">
        <v>292</v>
      </c>
      <c r="B40" s="327" t="s">
        <v>306</v>
      </c>
      <c r="C40" s="322">
        <v>218264480</v>
      </c>
      <c r="D40" s="320"/>
      <c r="E40" s="320"/>
      <c r="F40" s="320"/>
      <c r="G40" s="320"/>
      <c r="H40" s="320"/>
    </row>
    <row r="41" spans="1:20" ht="7.5" customHeight="1">
      <c r="A41" s="8"/>
      <c r="B41" s="294"/>
      <c r="C41" s="325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320"/>
      <c r="P41" s="320"/>
      <c r="Q41" s="320"/>
      <c r="R41" s="320"/>
      <c r="S41" s="320"/>
      <c r="T41" s="320"/>
    </row>
    <row r="42" spans="1:20">
      <c r="A42" s="412" t="s">
        <v>348</v>
      </c>
      <c r="B42" s="324" t="s">
        <v>396</v>
      </c>
      <c r="C42" s="475">
        <f>C14+C19+C28+C36+C39+C40</f>
        <v>5385229821</v>
      </c>
      <c r="D42" s="320"/>
      <c r="E42" s="320"/>
      <c r="F42" s="320"/>
      <c r="G42" s="320"/>
      <c r="H42" s="320"/>
    </row>
    <row r="43" spans="1:20" ht="7.5" customHeight="1">
      <c r="A43" s="8"/>
      <c r="B43" s="294"/>
      <c r="C43" s="325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20"/>
      <c r="Q43" s="320"/>
      <c r="R43" s="320"/>
      <c r="S43" s="320"/>
      <c r="T43" s="320"/>
    </row>
    <row r="44" spans="1:20">
      <c r="A44" s="412" t="s">
        <v>350</v>
      </c>
      <c r="B44" s="324" t="s">
        <v>397</v>
      </c>
      <c r="C44" s="101"/>
      <c r="D44" s="320"/>
      <c r="E44" s="320"/>
      <c r="F44" s="320"/>
      <c r="G44" s="320"/>
      <c r="H44" s="320"/>
    </row>
    <row r="45" spans="1:20">
      <c r="A45" s="412" t="s">
        <v>398</v>
      </c>
      <c r="B45" s="324" t="s">
        <v>399</v>
      </c>
      <c r="C45" s="322"/>
      <c r="D45" s="320"/>
      <c r="E45" s="320"/>
      <c r="F45" s="320"/>
      <c r="G45" s="320"/>
      <c r="H45" s="320"/>
    </row>
    <row r="46" spans="1:20">
      <c r="A46" s="430" t="s">
        <v>290</v>
      </c>
      <c r="B46" s="323" t="s">
        <v>400</v>
      </c>
      <c r="C46" s="322">
        <v>4254521</v>
      </c>
      <c r="D46" s="320"/>
      <c r="E46" s="320"/>
      <c r="F46" s="320"/>
      <c r="G46" s="320"/>
      <c r="H46" s="320"/>
    </row>
    <row r="47" spans="1:20">
      <c r="A47" s="430" t="s">
        <v>292</v>
      </c>
      <c r="B47" s="323" t="s">
        <v>401</v>
      </c>
      <c r="C47" s="322">
        <v>0</v>
      </c>
      <c r="D47" s="320"/>
      <c r="E47" s="320"/>
      <c r="F47" s="320"/>
      <c r="G47" s="320"/>
      <c r="H47" s="320"/>
    </row>
    <row r="48" spans="1:20">
      <c r="A48" s="430" t="s">
        <v>294</v>
      </c>
      <c r="B48" s="323" t="s">
        <v>402</v>
      </c>
      <c r="C48" s="322">
        <v>2169117</v>
      </c>
      <c r="D48" s="320"/>
      <c r="E48" s="320"/>
      <c r="F48" s="320"/>
      <c r="G48" s="320"/>
      <c r="H48" s="320"/>
    </row>
    <row r="49" spans="1:20">
      <c r="A49" s="430" t="s">
        <v>295</v>
      </c>
      <c r="B49" s="323" t="s">
        <v>403</v>
      </c>
      <c r="C49" s="322">
        <v>0</v>
      </c>
      <c r="D49" s="320"/>
      <c r="E49" s="320"/>
      <c r="F49" s="320"/>
      <c r="G49" s="320"/>
      <c r="H49" s="320"/>
    </row>
    <row r="50" spans="1:20">
      <c r="A50" s="430" t="s">
        <v>297</v>
      </c>
      <c r="B50" s="323" t="s">
        <v>404</v>
      </c>
      <c r="C50" s="322">
        <v>0</v>
      </c>
      <c r="D50" s="320"/>
      <c r="E50" s="320"/>
      <c r="F50" s="320"/>
      <c r="G50" s="320"/>
      <c r="H50" s="320"/>
    </row>
    <row r="51" spans="1:20">
      <c r="A51" s="430" t="s">
        <v>299</v>
      </c>
      <c r="B51" s="323" t="s">
        <v>405</v>
      </c>
      <c r="C51" s="322">
        <v>0</v>
      </c>
      <c r="D51" s="320"/>
      <c r="E51" s="320"/>
      <c r="F51" s="320"/>
      <c r="G51" s="320"/>
      <c r="H51" s="320"/>
    </row>
    <row r="52" spans="1:20">
      <c r="A52" s="428" t="s">
        <v>301</v>
      </c>
      <c r="B52" s="321" t="s">
        <v>406</v>
      </c>
      <c r="C52" s="475">
        <f>SUM(C46:C51)</f>
        <v>6423638</v>
      </c>
      <c r="D52" s="320"/>
      <c r="E52" s="320"/>
      <c r="F52" s="320"/>
      <c r="G52" s="320"/>
      <c r="H52" s="320"/>
    </row>
    <row r="53" spans="1:20" ht="7.5" customHeight="1">
      <c r="A53" s="8"/>
      <c r="B53" s="294"/>
      <c r="C53" s="325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</row>
    <row r="54" spans="1:20">
      <c r="A54" s="412" t="s">
        <v>407</v>
      </c>
      <c r="B54" s="324" t="s">
        <v>408</v>
      </c>
      <c r="C54" s="101"/>
      <c r="D54" s="320"/>
      <c r="E54" s="320"/>
      <c r="F54" s="320"/>
      <c r="G54" s="320"/>
      <c r="H54" s="320"/>
    </row>
    <row r="55" spans="1:20">
      <c r="A55" s="430" t="s">
        <v>290</v>
      </c>
      <c r="B55" s="323" t="s">
        <v>400</v>
      </c>
      <c r="C55" s="322">
        <v>281418038</v>
      </c>
      <c r="D55" s="320"/>
      <c r="E55" s="320"/>
      <c r="F55" s="320"/>
      <c r="G55" s="320"/>
      <c r="H55" s="320"/>
    </row>
    <row r="56" spans="1:20">
      <c r="A56" s="430" t="s">
        <v>292</v>
      </c>
      <c r="B56" s="323" t="s">
        <v>401</v>
      </c>
      <c r="C56" s="322">
        <v>415224021</v>
      </c>
      <c r="D56" s="320"/>
      <c r="E56" s="320"/>
      <c r="F56" s="320"/>
      <c r="G56" s="320"/>
      <c r="H56" s="320"/>
    </row>
    <row r="57" spans="1:20">
      <c r="A57" s="430" t="s">
        <v>294</v>
      </c>
      <c r="B57" s="323" t="s">
        <v>402</v>
      </c>
      <c r="C57" s="322">
        <v>7101747</v>
      </c>
      <c r="D57" s="320"/>
      <c r="E57" s="320"/>
      <c r="F57" s="320"/>
      <c r="G57" s="320"/>
      <c r="H57" s="320"/>
    </row>
    <row r="58" spans="1:20">
      <c r="A58" s="430" t="s">
        <v>295</v>
      </c>
      <c r="B58" s="323" t="s">
        <v>403</v>
      </c>
      <c r="C58" s="322">
        <v>59032611</v>
      </c>
      <c r="D58" s="320"/>
      <c r="E58" s="320"/>
      <c r="F58" s="320"/>
      <c r="G58" s="320"/>
      <c r="H58" s="320"/>
    </row>
    <row r="59" spans="1:20">
      <c r="A59" s="430" t="s">
        <v>297</v>
      </c>
      <c r="B59" s="323" t="s">
        <v>404</v>
      </c>
      <c r="C59" s="322">
        <v>8258724</v>
      </c>
      <c r="D59" s="320"/>
      <c r="E59" s="320"/>
      <c r="F59" s="320"/>
      <c r="G59" s="320"/>
      <c r="H59" s="320"/>
    </row>
    <row r="60" spans="1:20">
      <c r="A60" s="430" t="s">
        <v>299</v>
      </c>
      <c r="B60" s="323" t="s">
        <v>405</v>
      </c>
      <c r="C60" s="322">
        <v>12115953</v>
      </c>
      <c r="D60" s="320"/>
      <c r="E60" s="320"/>
      <c r="F60" s="320"/>
      <c r="G60" s="320"/>
      <c r="H60" s="320"/>
    </row>
    <row r="61" spans="1:20" ht="13.5" customHeight="1">
      <c r="A61" s="428" t="s">
        <v>301</v>
      </c>
      <c r="B61" s="321" t="s">
        <v>409</v>
      </c>
      <c r="C61" s="475">
        <f>SUM(C55:C60)</f>
        <v>783151094</v>
      </c>
      <c r="D61" s="320"/>
      <c r="E61" s="320"/>
      <c r="F61" s="320"/>
      <c r="G61" s="320"/>
      <c r="H61" s="320"/>
    </row>
    <row r="62" spans="1:20" ht="7.5" customHeight="1">
      <c r="A62" s="8"/>
      <c r="B62" s="294"/>
      <c r="C62" s="325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</row>
    <row r="63" spans="1:20">
      <c r="A63" s="412" t="s">
        <v>410</v>
      </c>
      <c r="B63" s="324" t="s">
        <v>411</v>
      </c>
      <c r="C63" s="475">
        <f>C52+C61</f>
        <v>789574732</v>
      </c>
      <c r="D63" s="320"/>
      <c r="E63" s="320"/>
      <c r="F63" s="320"/>
      <c r="G63" s="320"/>
      <c r="H63" s="320"/>
    </row>
    <row r="64" spans="1:20" ht="7.5" customHeight="1">
      <c r="A64" s="8"/>
      <c r="B64" s="294"/>
      <c r="C64" s="325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320"/>
      <c r="Q64" s="320"/>
      <c r="R64" s="320"/>
      <c r="S64" s="320"/>
      <c r="T64" s="320"/>
    </row>
    <row r="65" spans="1:20">
      <c r="A65" s="412" t="s">
        <v>366</v>
      </c>
      <c r="B65" s="324" t="s">
        <v>412</v>
      </c>
      <c r="C65" s="101"/>
      <c r="D65" s="320"/>
      <c r="E65" s="320"/>
      <c r="F65" s="320"/>
      <c r="G65" s="320"/>
      <c r="H65" s="320"/>
    </row>
    <row r="66" spans="1:20">
      <c r="A66" s="430" t="s">
        <v>312</v>
      </c>
      <c r="B66" s="323" t="s">
        <v>413</v>
      </c>
      <c r="C66" s="322">
        <v>0</v>
      </c>
      <c r="D66" s="320"/>
      <c r="E66" s="320"/>
      <c r="F66" s="320"/>
      <c r="G66" s="320"/>
      <c r="H66" s="320"/>
    </row>
    <row r="67" spans="1:20">
      <c r="A67" s="430" t="s">
        <v>292</v>
      </c>
      <c r="B67" s="327" t="s">
        <v>318</v>
      </c>
      <c r="C67" s="322">
        <v>1446893800</v>
      </c>
      <c r="D67" s="320"/>
      <c r="E67" s="320"/>
      <c r="F67" s="320"/>
      <c r="G67" s="320"/>
      <c r="H67" s="320"/>
    </row>
    <row r="68" spans="1:20">
      <c r="A68" s="430" t="s">
        <v>294</v>
      </c>
      <c r="B68" s="327" t="s">
        <v>319</v>
      </c>
      <c r="C68" s="322">
        <v>1443836</v>
      </c>
      <c r="D68" s="320"/>
      <c r="E68" s="320"/>
      <c r="F68" s="320"/>
      <c r="G68" s="320"/>
      <c r="H68" s="320"/>
    </row>
    <row r="69" spans="1:20">
      <c r="A69" s="430" t="s">
        <v>295</v>
      </c>
      <c r="B69" s="327" t="s">
        <v>320</v>
      </c>
      <c r="C69" s="322">
        <v>552074742</v>
      </c>
      <c r="D69" s="320"/>
      <c r="E69" s="320"/>
      <c r="F69" s="320"/>
      <c r="G69" s="320"/>
      <c r="H69" s="320"/>
    </row>
    <row r="70" spans="1:20">
      <c r="A70" s="412" t="s">
        <v>297</v>
      </c>
      <c r="B70" s="328" t="s">
        <v>414</v>
      </c>
      <c r="C70" s="475">
        <f>SUM(C66:C69)</f>
        <v>2000412378</v>
      </c>
      <c r="D70" s="320"/>
      <c r="E70" s="320"/>
      <c r="F70" s="320"/>
      <c r="G70" s="320"/>
      <c r="H70" s="320"/>
    </row>
    <row r="71" spans="1:20" ht="7.5" customHeight="1">
      <c r="A71" s="8"/>
      <c r="B71" s="294"/>
      <c r="C71" s="476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320"/>
      <c r="Q71" s="320"/>
      <c r="R71" s="320"/>
      <c r="S71" s="320"/>
      <c r="T71" s="320"/>
    </row>
    <row r="72" spans="1:20">
      <c r="A72" s="412" t="s">
        <v>369</v>
      </c>
      <c r="B72" s="324" t="s">
        <v>415</v>
      </c>
      <c r="C72" s="475">
        <f>C63+C70</f>
        <v>2789987110</v>
      </c>
      <c r="D72" s="320"/>
      <c r="E72" s="320"/>
      <c r="F72" s="320"/>
      <c r="G72" s="320"/>
      <c r="H72" s="320"/>
    </row>
    <row r="73" spans="1:20">
      <c r="D73" s="320"/>
      <c r="E73" s="320"/>
      <c r="F73" s="320"/>
      <c r="G73" s="320"/>
      <c r="H73" s="320"/>
    </row>
    <row r="74" spans="1:20" ht="15" customHeight="1">
      <c r="A74" s="30"/>
      <c r="B74" s="206" t="s">
        <v>788</v>
      </c>
      <c r="F74" s="185"/>
      <c r="G74" s="185"/>
      <c r="H74" s="185"/>
      <c r="I74" s="185"/>
      <c r="J74" s="185"/>
      <c r="K74" s="185"/>
      <c r="L74" s="185"/>
      <c r="M74" s="185"/>
    </row>
    <row r="75" spans="1:20" ht="11.25" customHeight="1">
      <c r="A75" s="30"/>
      <c r="B75" s="206"/>
      <c r="F75" s="185"/>
      <c r="G75" s="185"/>
      <c r="H75" s="185"/>
      <c r="I75" s="185"/>
      <c r="J75" s="185"/>
      <c r="K75" s="185"/>
      <c r="L75" s="185"/>
      <c r="M75" s="185"/>
    </row>
    <row r="76" spans="1:20" ht="15" customHeight="1">
      <c r="A76" s="30"/>
      <c r="B76" s="206" t="s">
        <v>789</v>
      </c>
      <c r="F76" s="185"/>
      <c r="G76" s="185"/>
      <c r="H76" s="185"/>
      <c r="I76" s="185"/>
      <c r="J76" s="185"/>
      <c r="K76" s="185"/>
      <c r="L76" s="185"/>
      <c r="M76" s="185"/>
    </row>
    <row r="77" spans="1:20">
      <c r="D77" s="320"/>
      <c r="E77" s="320"/>
      <c r="F77" s="320"/>
      <c r="G77" s="320"/>
      <c r="H77" s="320"/>
    </row>
    <row r="78" spans="1:20">
      <c r="A78" s="432"/>
      <c r="D78" s="320"/>
      <c r="E78" s="320"/>
      <c r="F78" s="320"/>
      <c r="G78" s="320"/>
      <c r="H78" s="320"/>
    </row>
    <row r="79" spans="1:20">
      <c r="A79" s="432"/>
      <c r="D79" s="320"/>
      <c r="E79" s="320"/>
      <c r="F79" s="320"/>
      <c r="G79" s="320"/>
      <c r="H79" s="320"/>
    </row>
    <row r="80" spans="1:20">
      <c r="D80" s="320"/>
      <c r="E80" s="320"/>
      <c r="F80" s="320"/>
      <c r="G80" s="320"/>
      <c r="H80" s="320"/>
    </row>
    <row r="81" spans="4:8">
      <c r="D81" s="320"/>
      <c r="E81" s="320"/>
      <c r="F81" s="320"/>
      <c r="G81" s="320"/>
      <c r="H81" s="320"/>
    </row>
    <row r="82" spans="4:8">
      <c r="D82" s="320"/>
      <c r="E82" s="320"/>
      <c r="F82" s="320"/>
      <c r="G82" s="320"/>
      <c r="H82" s="320"/>
    </row>
    <row r="83" spans="4:8">
      <c r="D83" s="320"/>
      <c r="E83" s="320"/>
      <c r="F83" s="320"/>
      <c r="G83" s="320"/>
      <c r="H83" s="320"/>
    </row>
    <row r="84" spans="4:8">
      <c r="D84" s="320"/>
      <c r="E84" s="320"/>
      <c r="F84" s="320"/>
      <c r="G84" s="320"/>
      <c r="H84" s="320"/>
    </row>
    <row r="85" spans="4:8">
      <c r="D85" s="320"/>
      <c r="E85" s="320"/>
      <c r="F85" s="320"/>
      <c r="G85" s="320"/>
      <c r="H85" s="320"/>
    </row>
    <row r="86" spans="4:8">
      <c r="D86" s="320"/>
      <c r="E86" s="320"/>
      <c r="F86" s="320"/>
      <c r="G86" s="320"/>
      <c r="H86" s="320"/>
    </row>
    <row r="87" spans="4:8">
      <c r="D87" s="320"/>
      <c r="E87" s="320"/>
      <c r="F87" s="320"/>
      <c r="G87" s="320"/>
      <c r="H87" s="320"/>
    </row>
    <row r="88" spans="4:8">
      <c r="D88" s="320"/>
      <c r="E88" s="320"/>
      <c r="F88" s="320"/>
      <c r="G88" s="320"/>
      <c r="H88" s="320"/>
    </row>
    <row r="89" spans="4:8">
      <c r="D89" s="320"/>
      <c r="E89" s="320"/>
      <c r="F89" s="320"/>
      <c r="G89" s="320"/>
      <c r="H89" s="320"/>
    </row>
    <row r="90" spans="4:8">
      <c r="D90" s="320"/>
      <c r="E90" s="320"/>
      <c r="F90" s="320"/>
      <c r="G90" s="320"/>
      <c r="H90" s="320"/>
    </row>
    <row r="91" spans="4:8">
      <c r="D91" s="320"/>
      <c r="E91" s="320"/>
      <c r="F91" s="320"/>
      <c r="G91" s="320"/>
      <c r="H91" s="320"/>
    </row>
    <row r="92" spans="4:8">
      <c r="D92" s="320"/>
      <c r="E92" s="320"/>
      <c r="F92" s="320"/>
      <c r="G92" s="320"/>
      <c r="H92" s="320"/>
    </row>
    <row r="93" spans="4:8">
      <c r="D93" s="320"/>
      <c r="E93" s="320"/>
      <c r="F93" s="320"/>
      <c r="G93" s="320"/>
      <c r="H93" s="320"/>
    </row>
    <row r="94" spans="4:8">
      <c r="D94" s="320"/>
      <c r="E94" s="320"/>
      <c r="F94" s="320"/>
      <c r="G94" s="320"/>
      <c r="H94" s="320"/>
    </row>
    <row r="95" spans="4:8">
      <c r="D95" s="320"/>
      <c r="E95" s="320"/>
      <c r="F95" s="320"/>
      <c r="G95" s="320"/>
      <c r="H95" s="320"/>
    </row>
    <row r="96" spans="4:8">
      <c r="D96" s="320"/>
      <c r="E96" s="320"/>
      <c r="F96" s="320"/>
      <c r="G96" s="320"/>
      <c r="H96" s="320"/>
    </row>
    <row r="97" spans="4:8">
      <c r="D97" s="320"/>
      <c r="E97" s="320"/>
      <c r="F97" s="320"/>
      <c r="G97" s="320"/>
      <c r="H97" s="320"/>
    </row>
    <row r="98" spans="4:8">
      <c r="D98" s="320"/>
      <c r="E98" s="320"/>
      <c r="F98" s="320"/>
      <c r="G98" s="320"/>
      <c r="H98" s="320"/>
    </row>
  </sheetData>
  <sheetProtection password="CACA" sheet="1" objects="1" scenarios="1"/>
  <phoneticPr fontId="15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activeCell="C13" sqref="C13"/>
    </sheetView>
  </sheetViews>
  <sheetFormatPr defaultRowHeight="12.75"/>
  <cols>
    <col min="1" max="1" width="5.85546875" style="228" customWidth="1"/>
    <col min="2" max="2" width="89.42578125" style="30" customWidth="1"/>
    <col min="3" max="3" width="27.42578125" style="30" customWidth="1"/>
    <col min="4" max="5" width="15.7109375" style="30" customWidth="1"/>
    <col min="6" max="8" width="9.140625" style="30"/>
    <col min="9" max="9" width="10.28515625" style="30" bestFit="1" customWidth="1"/>
    <col min="10" max="16384" width="9.140625" style="30"/>
  </cols>
  <sheetData>
    <row r="1" spans="1:13" ht="15.75">
      <c r="A1" s="561" t="s">
        <v>416</v>
      </c>
      <c r="B1" s="561"/>
      <c r="C1" s="16" t="s">
        <v>417</v>
      </c>
    </row>
    <row r="2" spans="1:13" ht="8.25" customHeight="1">
      <c r="A2" s="4"/>
      <c r="B2" s="4"/>
      <c r="C2" s="16"/>
    </row>
    <row r="3" spans="1:13" ht="15.75">
      <c r="A3" s="225"/>
      <c r="B3" s="226" t="str">
        <f>+'Asset quality'!B3</f>
        <v>"Ўзсаноатқурилишбанк" АТБ</v>
      </c>
      <c r="C3" s="269">
        <f>+'Asset quality'!Q3</f>
        <v>44925</v>
      </c>
    </row>
    <row r="4" spans="1:13" s="15" customFormat="1" ht="33.75" customHeight="1">
      <c r="A4" s="244" t="s">
        <v>62</v>
      </c>
      <c r="B4" s="244" t="s">
        <v>285</v>
      </c>
      <c r="C4" s="244" t="str">
        <f>+'Asset quality'!T3</f>
        <v>минг. сўмда</v>
      </c>
    </row>
    <row r="5" spans="1:13" ht="18.75" customHeight="1">
      <c r="A5" s="329" t="s">
        <v>148</v>
      </c>
      <c r="B5" s="330" t="s">
        <v>418</v>
      </c>
      <c r="C5" s="253">
        <v>7700913106</v>
      </c>
    </row>
    <row r="6" spans="1:13" ht="18.75" customHeight="1">
      <c r="A6" s="331" t="s">
        <v>149</v>
      </c>
      <c r="B6" s="332" t="s">
        <v>419</v>
      </c>
      <c r="C6" s="253">
        <v>0</v>
      </c>
    </row>
    <row r="7" spans="1:13" ht="18.75" customHeight="1">
      <c r="A7" s="331" t="s">
        <v>160</v>
      </c>
      <c r="B7" s="333" t="s">
        <v>420</v>
      </c>
      <c r="C7" s="310">
        <f>SUM(C5:C6)</f>
        <v>7700913106</v>
      </c>
    </row>
    <row r="8" spans="1:13" ht="18.75" customHeight="1">
      <c r="A8" s="331" t="s">
        <v>150</v>
      </c>
      <c r="B8" s="333" t="s">
        <v>421</v>
      </c>
      <c r="C8" s="310">
        <f>+'Income '!C78</f>
        <v>588937049</v>
      </c>
      <c r="D8" s="336">
        <f>+[8]Balance!$C$77</f>
        <v>588937049</v>
      </c>
      <c r="E8" s="484">
        <f>+C8-D8</f>
        <v>0</v>
      </c>
    </row>
    <row r="9" spans="1:13" ht="18.75" customHeight="1">
      <c r="A9" s="331" t="s">
        <v>151</v>
      </c>
      <c r="B9" s="332" t="s">
        <v>422</v>
      </c>
      <c r="C9" s="334"/>
      <c r="D9" s="15"/>
    </row>
    <row r="10" spans="1:13" ht="18.75" customHeight="1">
      <c r="A10" s="331" t="s">
        <v>161</v>
      </c>
      <c r="B10" s="333" t="s">
        <v>423</v>
      </c>
      <c r="C10" s="334">
        <v>-1001834</v>
      </c>
      <c r="D10" s="15"/>
      <c r="I10" s="233"/>
    </row>
    <row r="11" spans="1:13" ht="18.75" customHeight="1">
      <c r="A11" s="331" t="s">
        <v>152</v>
      </c>
      <c r="B11" s="333" t="s">
        <v>424</v>
      </c>
      <c r="C11" s="335">
        <v>1616900</v>
      </c>
      <c r="D11" s="15"/>
    </row>
    <row r="12" spans="1:13" ht="18.75" customHeight="1">
      <c r="A12" s="331" t="s">
        <v>159</v>
      </c>
      <c r="B12" s="333" t="s">
        <v>425</v>
      </c>
      <c r="C12" s="334"/>
      <c r="D12" s="15"/>
    </row>
    <row r="13" spans="1:13" ht="18.75" customHeight="1">
      <c r="A13" s="331" t="s">
        <v>153</v>
      </c>
      <c r="B13" s="333" t="s">
        <v>426</v>
      </c>
      <c r="C13" s="334">
        <v>-459110228</v>
      </c>
      <c r="D13" s="15"/>
    </row>
    <row r="14" spans="1:13" ht="18.75" customHeight="1">
      <c r="A14" s="331" t="s">
        <v>154</v>
      </c>
      <c r="B14" s="333" t="s">
        <v>427</v>
      </c>
      <c r="C14" s="310">
        <f>C7+SUM(C8:C10)-SUM(C11:C12)+C13</f>
        <v>7828121193</v>
      </c>
      <c r="D14" s="336">
        <f>+[8]Balance!$C$78</f>
        <v>7828121193</v>
      </c>
      <c r="E14" s="484">
        <f>+C14-D14</f>
        <v>0</v>
      </c>
      <c r="I14" s="336"/>
    </row>
    <row r="15" spans="1:13">
      <c r="A15" s="213"/>
    </row>
    <row r="16" spans="1:13" ht="15" customHeight="1">
      <c r="A16" s="30"/>
      <c r="B16" s="206" t="s">
        <v>788</v>
      </c>
      <c r="F16" s="185"/>
      <c r="G16" s="185"/>
      <c r="H16" s="185"/>
      <c r="I16" s="185"/>
      <c r="J16" s="185"/>
      <c r="K16" s="185"/>
      <c r="L16" s="185"/>
      <c r="M16" s="185"/>
    </row>
    <row r="17" spans="1:13" ht="11.25" customHeight="1">
      <c r="A17" s="30"/>
      <c r="B17" s="206"/>
      <c r="F17" s="185"/>
      <c r="G17" s="185"/>
      <c r="H17" s="185"/>
      <c r="I17" s="185"/>
      <c r="J17" s="185"/>
      <c r="K17" s="185"/>
      <c r="L17" s="185"/>
      <c r="M17" s="185"/>
    </row>
    <row r="18" spans="1:13" ht="15" customHeight="1">
      <c r="A18" s="30"/>
      <c r="B18" s="206" t="s">
        <v>789</v>
      </c>
      <c r="F18" s="185"/>
      <c r="G18" s="185"/>
      <c r="H18" s="185"/>
      <c r="I18" s="185"/>
      <c r="J18" s="185"/>
      <c r="K18" s="185"/>
      <c r="L18" s="185"/>
      <c r="M18" s="185"/>
    </row>
    <row r="20" spans="1:13" ht="12.75" customHeight="1">
      <c r="A20" s="227"/>
    </row>
    <row r="21" spans="1:13">
      <c r="A21" s="227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5" type="noConversion"/>
  <conditionalFormatting sqref="C14">
    <cfRule type="cellIs" dxfId="350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zoomScale="70" zoomScaleNormal="40" zoomScaleSheetLayoutView="70" workbookViewId="0">
      <pane xSplit="3" ySplit="8" topLeftCell="D60" activePane="bottomRight" state="frozen"/>
      <selection activeCell="J25" sqref="J25"/>
      <selection pane="topRight" activeCell="J25" sqref="J25"/>
      <selection pane="bottomLeft" activeCell="J25" sqref="J25"/>
      <selection pane="bottomRight" activeCell="G63" sqref="G63"/>
    </sheetView>
  </sheetViews>
  <sheetFormatPr defaultRowHeight="12.75"/>
  <cols>
    <col min="1" max="1" width="7" style="30" customWidth="1"/>
    <col min="2" max="2" width="57.5703125" style="30" customWidth="1"/>
    <col min="3" max="3" width="18.42578125" style="30" customWidth="1"/>
    <col min="4" max="9" width="17.140625" style="30" customWidth="1"/>
    <col min="10" max="10" width="13.7109375" style="30" customWidth="1"/>
    <col min="11" max="11" width="17" style="30" customWidth="1"/>
    <col min="12" max="12" width="25.28515625" style="30" bestFit="1" customWidth="1"/>
    <col min="13" max="13" width="16.85546875" style="30" customWidth="1"/>
    <col min="14" max="25" width="17.140625" style="30" customWidth="1"/>
    <col min="26" max="16384" width="9.140625" style="30"/>
  </cols>
  <sheetData>
    <row r="1" spans="1:28" s="216" customFormat="1" ht="31.5" customHeight="1">
      <c r="A1" s="214" t="s">
        <v>714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5" t="s">
        <v>713</v>
      </c>
      <c r="X1" s="5"/>
      <c r="Y1" s="215"/>
    </row>
    <row r="2" spans="1:28" ht="9" customHeight="1">
      <c r="A2" s="5"/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5"/>
      <c r="X2" s="217"/>
      <c r="Y2" s="217"/>
    </row>
    <row r="3" spans="1:28" ht="15.75">
      <c r="A3" s="231"/>
      <c r="B3" s="218" t="str">
        <f>+'Asset quality'!B3</f>
        <v>"Ўзсаноатқурилишбанк" АТБ</v>
      </c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562">
        <f>+'Asset quality'!Q3</f>
        <v>44925</v>
      </c>
      <c r="U3" s="562"/>
      <c r="V3" s="219"/>
      <c r="W3" s="219"/>
      <c r="X3" s="337" t="str">
        <f>+'Asset quality'!T3</f>
        <v>минг. сўмда</v>
      </c>
      <c r="Y3" s="233"/>
    </row>
    <row r="4" spans="1:28" s="220" customFormat="1" ht="32.25" customHeight="1">
      <c r="A4" s="568" t="s">
        <v>62</v>
      </c>
      <c r="B4" s="568" t="s">
        <v>715</v>
      </c>
      <c r="C4" s="571" t="s">
        <v>716</v>
      </c>
      <c r="D4" s="574" t="s">
        <v>335</v>
      </c>
      <c r="E4" s="575"/>
      <c r="F4" s="567" t="s">
        <v>720</v>
      </c>
      <c r="G4" s="567"/>
      <c r="H4" s="567"/>
      <c r="I4" s="567"/>
      <c r="J4" s="564" t="s">
        <v>335</v>
      </c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</row>
    <row r="5" spans="1:28" s="220" customFormat="1" ht="18" customHeight="1">
      <c r="A5" s="569"/>
      <c r="B5" s="569"/>
      <c r="C5" s="572"/>
      <c r="D5" s="571" t="s">
        <v>286</v>
      </c>
      <c r="E5" s="571" t="s">
        <v>287</v>
      </c>
      <c r="F5" s="567" t="s">
        <v>721</v>
      </c>
      <c r="G5" s="567" t="s">
        <v>335</v>
      </c>
      <c r="H5" s="567"/>
      <c r="I5" s="567"/>
      <c r="J5" s="563" t="s">
        <v>724</v>
      </c>
      <c r="K5" s="563" t="s">
        <v>725</v>
      </c>
      <c r="L5" s="434" t="s">
        <v>335</v>
      </c>
      <c r="M5" s="565" t="s">
        <v>727</v>
      </c>
      <c r="N5" s="565" t="s">
        <v>728</v>
      </c>
      <c r="O5" s="565" t="s">
        <v>729</v>
      </c>
      <c r="P5" s="564" t="s">
        <v>335</v>
      </c>
      <c r="Q5" s="564"/>
      <c r="R5" s="563" t="s">
        <v>732</v>
      </c>
      <c r="S5" s="563" t="s">
        <v>733</v>
      </c>
      <c r="T5" s="563" t="s">
        <v>734</v>
      </c>
      <c r="U5" s="563" t="s">
        <v>735</v>
      </c>
      <c r="V5" s="563" t="s">
        <v>736</v>
      </c>
      <c r="W5" s="563" t="s">
        <v>737</v>
      </c>
      <c r="X5" s="563" t="s">
        <v>738</v>
      </c>
      <c r="Y5" s="563" t="s">
        <v>739</v>
      </c>
    </row>
    <row r="6" spans="1:28" s="220" customFormat="1" ht="102" customHeight="1">
      <c r="A6" s="570"/>
      <c r="B6" s="570"/>
      <c r="C6" s="573"/>
      <c r="D6" s="573"/>
      <c r="E6" s="573"/>
      <c r="F6" s="567"/>
      <c r="G6" s="433" t="s">
        <v>659</v>
      </c>
      <c r="H6" s="433" t="s">
        <v>661</v>
      </c>
      <c r="I6" s="433" t="s">
        <v>663</v>
      </c>
      <c r="J6" s="563"/>
      <c r="K6" s="563"/>
      <c r="L6" s="433" t="s">
        <v>726</v>
      </c>
      <c r="M6" s="566"/>
      <c r="N6" s="566"/>
      <c r="O6" s="566"/>
      <c r="P6" s="433" t="s">
        <v>730</v>
      </c>
      <c r="Q6" s="433" t="s">
        <v>731</v>
      </c>
      <c r="R6" s="563"/>
      <c r="S6" s="563"/>
      <c r="T6" s="563"/>
      <c r="U6" s="563"/>
      <c r="V6" s="563"/>
      <c r="W6" s="563"/>
      <c r="X6" s="563"/>
      <c r="Y6" s="563"/>
      <c r="AA6" s="221"/>
    </row>
    <row r="7" spans="1:28" s="223" customFormat="1" ht="15">
      <c r="A7" s="222" t="s">
        <v>66</v>
      </c>
      <c r="B7" s="338" t="s">
        <v>67</v>
      </c>
      <c r="C7" s="338" t="s">
        <v>37</v>
      </c>
      <c r="D7" s="338" t="s">
        <v>182</v>
      </c>
      <c r="E7" s="338" t="s">
        <v>183</v>
      </c>
      <c r="F7" s="338" t="s">
        <v>38</v>
      </c>
      <c r="G7" s="338" t="s">
        <v>722</v>
      </c>
      <c r="H7" s="339" t="s">
        <v>723</v>
      </c>
      <c r="I7" s="339" t="s">
        <v>740</v>
      </c>
      <c r="J7" s="339" t="s">
        <v>39</v>
      </c>
      <c r="K7" s="339" t="s">
        <v>63</v>
      </c>
      <c r="L7" s="338" t="s">
        <v>741</v>
      </c>
      <c r="M7" s="339" t="s">
        <v>64</v>
      </c>
      <c r="N7" s="339" t="s">
        <v>65</v>
      </c>
      <c r="O7" s="339" t="s">
        <v>68</v>
      </c>
      <c r="P7" s="338" t="s">
        <v>167</v>
      </c>
      <c r="Q7" s="338" t="s">
        <v>742</v>
      </c>
      <c r="R7" s="339" t="s">
        <v>69</v>
      </c>
      <c r="S7" s="339" t="s">
        <v>70</v>
      </c>
      <c r="T7" s="339" t="s">
        <v>71</v>
      </c>
      <c r="U7" s="339" t="s">
        <v>72</v>
      </c>
      <c r="V7" s="339" t="s">
        <v>73</v>
      </c>
      <c r="W7" s="339" t="s">
        <v>74</v>
      </c>
      <c r="X7" s="339" t="s">
        <v>75</v>
      </c>
      <c r="Y7" s="340" t="s">
        <v>76</v>
      </c>
    </row>
    <row r="8" spans="1:28" s="220" customFormat="1" ht="15.75" customHeight="1">
      <c r="A8" s="438"/>
      <c r="B8" s="439" t="s">
        <v>471</v>
      </c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440"/>
      <c r="O8" s="440"/>
      <c r="P8" s="440"/>
      <c r="Q8" s="440"/>
      <c r="R8" s="440"/>
      <c r="S8" s="440"/>
      <c r="T8" s="440"/>
      <c r="U8" s="440"/>
      <c r="V8" s="440"/>
      <c r="W8" s="440"/>
      <c r="X8" s="440"/>
      <c r="Y8" s="440"/>
    </row>
    <row r="9" spans="1:28" s="220" customFormat="1" ht="15.75" customHeight="1">
      <c r="A9" s="441">
        <v>10</v>
      </c>
      <c r="B9" s="442" t="s">
        <v>672</v>
      </c>
      <c r="C9" s="443">
        <f t="shared" ref="C9:C10" si="0">SUM(J9:Y9)-L9-P9-Q9</f>
        <v>9559065439</v>
      </c>
      <c r="D9" s="212">
        <v>2992378874</v>
      </c>
      <c r="E9" s="212">
        <v>6566686565</v>
      </c>
      <c r="F9" s="443">
        <f>+G9+H9+I9</f>
        <v>0</v>
      </c>
      <c r="G9" s="212">
        <v>0</v>
      </c>
      <c r="H9" s="212">
        <v>0</v>
      </c>
      <c r="I9" s="212">
        <v>0</v>
      </c>
      <c r="J9" s="212">
        <v>0</v>
      </c>
      <c r="K9" s="212">
        <v>5110248432</v>
      </c>
      <c r="L9" s="212">
        <v>4404306552</v>
      </c>
      <c r="M9" s="212">
        <v>2579996</v>
      </c>
      <c r="N9" s="212">
        <v>104883818</v>
      </c>
      <c r="O9" s="443">
        <f t="shared" ref="O9:O13" si="1">+P9+Q9</f>
        <v>55561125</v>
      </c>
      <c r="P9" s="212">
        <v>0</v>
      </c>
      <c r="Q9" s="212">
        <v>55561125</v>
      </c>
      <c r="R9" s="212">
        <v>661917992</v>
      </c>
      <c r="S9" s="212">
        <v>0</v>
      </c>
      <c r="T9" s="212">
        <v>135469078</v>
      </c>
      <c r="U9" s="212">
        <v>0</v>
      </c>
      <c r="V9" s="212">
        <v>1914735664</v>
      </c>
      <c r="W9" s="212">
        <v>4024826</v>
      </c>
      <c r="X9" s="212">
        <v>991196</v>
      </c>
      <c r="Y9" s="212">
        <v>1568653312</v>
      </c>
      <c r="AB9" s="224"/>
    </row>
    <row r="10" spans="1:28" s="220" customFormat="1" ht="15.75" customHeight="1">
      <c r="A10" s="441">
        <f t="shared" ref="A10:A66" si="2">A9+10</f>
        <v>20</v>
      </c>
      <c r="B10" s="442" t="s">
        <v>403</v>
      </c>
      <c r="C10" s="443">
        <f t="shared" si="0"/>
        <v>6958698729</v>
      </c>
      <c r="D10" s="212">
        <v>621062088</v>
      </c>
      <c r="E10" s="212">
        <v>6337636641</v>
      </c>
      <c r="F10" s="443">
        <f t="shared" ref="F10:F14" si="3">+G10+H10+I10</f>
        <v>344600281</v>
      </c>
      <c r="G10" s="212">
        <v>46812333</v>
      </c>
      <c r="H10" s="212">
        <v>288718899</v>
      </c>
      <c r="I10" s="212">
        <v>9069049</v>
      </c>
      <c r="J10" s="212">
        <v>561273</v>
      </c>
      <c r="K10" s="212">
        <v>0</v>
      </c>
      <c r="L10" s="212">
        <v>0</v>
      </c>
      <c r="M10" s="212">
        <v>9913428</v>
      </c>
      <c r="N10" s="212">
        <v>184799033</v>
      </c>
      <c r="O10" s="443">
        <f t="shared" si="1"/>
        <v>1490965564</v>
      </c>
      <c r="P10" s="212">
        <v>4855793</v>
      </c>
      <c r="Q10" s="212">
        <v>1486109771</v>
      </c>
      <c r="R10" s="212">
        <v>2388920405</v>
      </c>
      <c r="S10" s="212">
        <v>0</v>
      </c>
      <c r="T10" s="212">
        <v>0</v>
      </c>
      <c r="U10" s="212">
        <v>0</v>
      </c>
      <c r="V10" s="212">
        <v>849084580</v>
      </c>
      <c r="W10" s="212">
        <v>738362324</v>
      </c>
      <c r="X10" s="212">
        <v>0</v>
      </c>
      <c r="Y10" s="212">
        <v>1296092122</v>
      </c>
      <c r="AB10" s="224"/>
    </row>
    <row r="11" spans="1:28" s="220" customFormat="1" ht="15.75" customHeight="1">
      <c r="A11" s="441">
        <f t="shared" si="2"/>
        <v>30</v>
      </c>
      <c r="B11" s="442" t="s">
        <v>404</v>
      </c>
      <c r="C11" s="443">
        <f>SUM(J11:Y11)-L11-P11-Q11</f>
        <v>9455672521</v>
      </c>
      <c r="D11" s="212">
        <v>1907106967</v>
      </c>
      <c r="E11" s="212">
        <v>7548565554</v>
      </c>
      <c r="F11" s="443">
        <f t="shared" si="3"/>
        <v>429545142</v>
      </c>
      <c r="G11" s="212">
        <v>136589558</v>
      </c>
      <c r="H11" s="212">
        <v>270073650</v>
      </c>
      <c r="I11" s="212">
        <v>22881934</v>
      </c>
      <c r="J11" s="212">
        <v>36176</v>
      </c>
      <c r="K11" s="212">
        <v>0</v>
      </c>
      <c r="L11" s="212">
        <v>0</v>
      </c>
      <c r="M11" s="212">
        <v>66396915</v>
      </c>
      <c r="N11" s="212">
        <v>27988346</v>
      </c>
      <c r="O11" s="443">
        <f t="shared" si="1"/>
        <v>2599824005</v>
      </c>
      <c r="P11" s="212">
        <v>27105904</v>
      </c>
      <c r="Q11" s="212">
        <v>2572718101</v>
      </c>
      <c r="R11" s="212">
        <v>1118503607</v>
      </c>
      <c r="S11" s="212">
        <v>0</v>
      </c>
      <c r="T11" s="212">
        <v>0</v>
      </c>
      <c r="U11" s="212">
        <v>0</v>
      </c>
      <c r="V11" s="212">
        <v>4862465700</v>
      </c>
      <c r="W11" s="212">
        <v>556796471</v>
      </c>
      <c r="X11" s="212">
        <v>0</v>
      </c>
      <c r="Y11" s="212">
        <v>223661301</v>
      </c>
      <c r="AB11" s="224"/>
    </row>
    <row r="12" spans="1:28" s="220" customFormat="1" ht="15.75" customHeight="1">
      <c r="A12" s="441">
        <f t="shared" si="2"/>
        <v>40</v>
      </c>
      <c r="B12" s="442" t="s">
        <v>400</v>
      </c>
      <c r="C12" s="443">
        <f t="shared" ref="C12:C13" si="4">SUM(J12:Y12)-L12-P12-Q12</f>
        <v>0</v>
      </c>
      <c r="D12" s="212">
        <v>0</v>
      </c>
      <c r="E12" s="212">
        <v>0</v>
      </c>
      <c r="F12" s="443">
        <f t="shared" si="3"/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0</v>
      </c>
      <c r="M12" s="212">
        <v>0</v>
      </c>
      <c r="N12" s="212">
        <v>0</v>
      </c>
      <c r="O12" s="443">
        <f t="shared" si="1"/>
        <v>0</v>
      </c>
      <c r="P12" s="212">
        <v>0</v>
      </c>
      <c r="Q12" s="212">
        <v>0</v>
      </c>
      <c r="R12" s="212">
        <v>0</v>
      </c>
      <c r="S12" s="212">
        <v>0</v>
      </c>
      <c r="T12" s="212">
        <v>0</v>
      </c>
      <c r="U12" s="212">
        <v>0</v>
      </c>
      <c r="V12" s="212">
        <v>0</v>
      </c>
      <c r="W12" s="212">
        <v>0</v>
      </c>
      <c r="X12" s="212">
        <v>0</v>
      </c>
      <c r="Y12" s="212">
        <v>0</v>
      </c>
      <c r="AB12" s="224"/>
    </row>
    <row r="13" spans="1:28" s="220" customFormat="1" ht="15.75" customHeight="1">
      <c r="A13" s="441">
        <f>A12+10</f>
        <v>50</v>
      </c>
      <c r="B13" s="442" t="s">
        <v>677</v>
      </c>
      <c r="C13" s="443">
        <f t="shared" si="4"/>
        <v>0</v>
      </c>
      <c r="D13" s="212">
        <v>0</v>
      </c>
      <c r="E13" s="212">
        <v>0</v>
      </c>
      <c r="F13" s="443">
        <f t="shared" si="3"/>
        <v>0</v>
      </c>
      <c r="G13" s="212">
        <v>0</v>
      </c>
      <c r="H13" s="212">
        <v>0</v>
      </c>
      <c r="I13" s="212">
        <v>0</v>
      </c>
      <c r="J13" s="212">
        <v>0</v>
      </c>
      <c r="K13" s="212">
        <v>0</v>
      </c>
      <c r="L13" s="212">
        <v>0</v>
      </c>
      <c r="M13" s="212">
        <v>0</v>
      </c>
      <c r="N13" s="212">
        <v>0</v>
      </c>
      <c r="O13" s="443">
        <f t="shared" si="1"/>
        <v>0</v>
      </c>
      <c r="P13" s="212">
        <v>0</v>
      </c>
      <c r="Q13" s="212">
        <v>0</v>
      </c>
      <c r="R13" s="212">
        <v>0</v>
      </c>
      <c r="S13" s="212">
        <v>0</v>
      </c>
      <c r="T13" s="212">
        <v>0</v>
      </c>
      <c r="U13" s="212">
        <v>0</v>
      </c>
      <c r="V13" s="212">
        <v>0</v>
      </c>
      <c r="W13" s="212">
        <v>0</v>
      </c>
      <c r="X13" s="212">
        <v>0</v>
      </c>
      <c r="Y13" s="212">
        <v>0</v>
      </c>
      <c r="AB13" s="224"/>
    </row>
    <row r="14" spans="1:28" s="493" customFormat="1" ht="15.75" customHeight="1">
      <c r="A14" s="491">
        <f>A13+10</f>
        <v>60</v>
      </c>
      <c r="B14" s="491" t="s">
        <v>235</v>
      </c>
      <c r="C14" s="492">
        <f t="shared" ref="C14" si="5">SUM(J14:Y14)-L14-P14-Q14</f>
        <v>25973436689</v>
      </c>
      <c r="D14" s="492">
        <f>SUM(D9:D13)</f>
        <v>5520547929</v>
      </c>
      <c r="E14" s="492">
        <f>SUM(E9:E13)</f>
        <v>20452888760</v>
      </c>
      <c r="F14" s="492">
        <f t="shared" si="3"/>
        <v>774145423</v>
      </c>
      <c r="G14" s="492">
        <f t="shared" ref="G14" si="6">SUM(G9:G13)</f>
        <v>183401891</v>
      </c>
      <c r="H14" s="492">
        <f t="shared" ref="H14:Y14" si="7">SUM(H9:H13)</f>
        <v>558792549</v>
      </c>
      <c r="I14" s="492">
        <f t="shared" si="7"/>
        <v>31950983</v>
      </c>
      <c r="J14" s="492">
        <f t="shared" si="7"/>
        <v>597449</v>
      </c>
      <c r="K14" s="492">
        <f t="shared" si="7"/>
        <v>5110248432</v>
      </c>
      <c r="L14" s="492">
        <f t="shared" si="7"/>
        <v>4404306552</v>
      </c>
      <c r="M14" s="492">
        <f t="shared" si="7"/>
        <v>78890339</v>
      </c>
      <c r="N14" s="492">
        <f t="shared" si="7"/>
        <v>317671197</v>
      </c>
      <c r="O14" s="492">
        <f t="shared" si="7"/>
        <v>4146350694</v>
      </c>
      <c r="P14" s="492">
        <f t="shared" si="7"/>
        <v>31961697</v>
      </c>
      <c r="Q14" s="492">
        <f t="shared" si="7"/>
        <v>4114388997</v>
      </c>
      <c r="R14" s="492">
        <f t="shared" si="7"/>
        <v>4169342004</v>
      </c>
      <c r="S14" s="492">
        <f t="shared" si="7"/>
        <v>0</v>
      </c>
      <c r="T14" s="492">
        <f t="shared" si="7"/>
        <v>135469078</v>
      </c>
      <c r="U14" s="492">
        <f t="shared" si="7"/>
        <v>0</v>
      </c>
      <c r="V14" s="492">
        <f t="shared" si="7"/>
        <v>7626285944</v>
      </c>
      <c r="W14" s="492">
        <f t="shared" si="7"/>
        <v>1299183621</v>
      </c>
      <c r="X14" s="492">
        <f t="shared" si="7"/>
        <v>991196</v>
      </c>
      <c r="Y14" s="492">
        <f t="shared" si="7"/>
        <v>3088406735</v>
      </c>
      <c r="AB14" s="494"/>
    </row>
    <row r="15" spans="1:28" s="220" customFormat="1" ht="15.75" customHeight="1">
      <c r="A15" s="434"/>
      <c r="B15" s="439" t="s">
        <v>472</v>
      </c>
      <c r="C15" s="444"/>
      <c r="D15" s="444"/>
      <c r="E15" s="444"/>
      <c r="F15" s="444"/>
      <c r="G15" s="445"/>
      <c r="H15" s="444"/>
      <c r="I15" s="444"/>
      <c r="J15" s="444"/>
      <c r="K15" s="444"/>
      <c r="L15" s="444"/>
      <c r="M15" s="444"/>
      <c r="N15" s="444"/>
      <c r="O15" s="444"/>
      <c r="P15" s="444"/>
      <c r="Q15" s="444"/>
      <c r="R15" s="444"/>
      <c r="S15" s="444"/>
      <c r="T15" s="444"/>
      <c r="U15" s="444"/>
      <c r="V15" s="444"/>
      <c r="W15" s="444"/>
      <c r="X15" s="444"/>
      <c r="Y15" s="444"/>
      <c r="AB15" s="224"/>
    </row>
    <row r="16" spans="1:28" s="220" customFormat="1" ht="15.75" customHeight="1">
      <c r="A16" s="441">
        <v>70</v>
      </c>
      <c r="B16" s="442" t="s">
        <v>672</v>
      </c>
      <c r="C16" s="443">
        <f t="shared" ref="C16:C22" si="8">SUM(J16:Y16)-L16-P16-Q16</f>
        <v>0</v>
      </c>
      <c r="D16" s="212">
        <v>0</v>
      </c>
      <c r="E16" s="212">
        <v>0</v>
      </c>
      <c r="F16" s="443">
        <f t="shared" ref="F16:F22" si="9">+G16+H16+I16</f>
        <v>0</v>
      </c>
      <c r="G16" s="212">
        <v>0</v>
      </c>
      <c r="H16" s="212">
        <v>0</v>
      </c>
      <c r="I16" s="212">
        <v>0</v>
      </c>
      <c r="J16" s="212">
        <v>0</v>
      </c>
      <c r="K16" s="212">
        <v>0</v>
      </c>
      <c r="L16" s="212">
        <v>0</v>
      </c>
      <c r="M16" s="212">
        <v>0</v>
      </c>
      <c r="N16" s="212">
        <v>0</v>
      </c>
      <c r="O16" s="443">
        <f t="shared" ref="O16:O20" si="10">+P16+Q16</f>
        <v>0</v>
      </c>
      <c r="P16" s="212">
        <v>0</v>
      </c>
      <c r="Q16" s="212">
        <v>0</v>
      </c>
      <c r="R16" s="212">
        <v>0</v>
      </c>
      <c r="S16" s="212">
        <v>0</v>
      </c>
      <c r="T16" s="212">
        <v>0</v>
      </c>
      <c r="U16" s="212">
        <v>0</v>
      </c>
      <c r="V16" s="212">
        <v>0</v>
      </c>
      <c r="W16" s="212">
        <v>0</v>
      </c>
      <c r="X16" s="212">
        <v>0</v>
      </c>
      <c r="Y16" s="212">
        <v>0</v>
      </c>
      <c r="AB16" s="224"/>
    </row>
    <row r="17" spans="1:28" s="220" customFormat="1" ht="15.75" customHeight="1">
      <c r="A17" s="441">
        <f t="shared" si="2"/>
        <v>80</v>
      </c>
      <c r="B17" s="442" t="s">
        <v>403</v>
      </c>
      <c r="C17" s="443">
        <f t="shared" si="8"/>
        <v>838902053</v>
      </c>
      <c r="D17" s="212">
        <v>402022799</v>
      </c>
      <c r="E17" s="212">
        <v>436879254</v>
      </c>
      <c r="F17" s="443">
        <f t="shared" si="9"/>
        <v>32971304</v>
      </c>
      <c r="G17" s="212">
        <v>19024038</v>
      </c>
      <c r="H17" s="212">
        <v>13947266</v>
      </c>
      <c r="I17" s="212">
        <v>0</v>
      </c>
      <c r="J17" s="212">
        <v>0</v>
      </c>
      <c r="K17" s="212">
        <v>0</v>
      </c>
      <c r="L17" s="212">
        <v>0</v>
      </c>
      <c r="M17" s="212">
        <v>14478125</v>
      </c>
      <c r="N17" s="212">
        <v>0</v>
      </c>
      <c r="O17" s="443">
        <f t="shared" si="10"/>
        <v>358052465</v>
      </c>
      <c r="P17" s="212">
        <v>2478414</v>
      </c>
      <c r="Q17" s="212">
        <v>355574051</v>
      </c>
      <c r="R17" s="212">
        <v>144725800</v>
      </c>
      <c r="S17" s="212">
        <v>0</v>
      </c>
      <c r="T17" s="212">
        <v>0</v>
      </c>
      <c r="U17" s="212">
        <v>0</v>
      </c>
      <c r="V17" s="212">
        <v>92397841</v>
      </c>
      <c r="W17" s="212">
        <v>229247822</v>
      </c>
      <c r="X17" s="212">
        <v>0</v>
      </c>
      <c r="Y17" s="212">
        <v>0</v>
      </c>
      <c r="AB17" s="224"/>
    </row>
    <row r="18" spans="1:28" s="220" customFormat="1" ht="15.75" customHeight="1">
      <c r="A18" s="441">
        <f t="shared" si="2"/>
        <v>90</v>
      </c>
      <c r="B18" s="442" t="s">
        <v>404</v>
      </c>
      <c r="C18" s="443">
        <f t="shared" si="8"/>
        <v>3470971636</v>
      </c>
      <c r="D18" s="212">
        <v>1885540800</v>
      </c>
      <c r="E18" s="212">
        <v>1585430836</v>
      </c>
      <c r="F18" s="443">
        <f t="shared" si="9"/>
        <v>70014262</v>
      </c>
      <c r="G18" s="212">
        <v>10087312</v>
      </c>
      <c r="H18" s="212">
        <v>49837815</v>
      </c>
      <c r="I18" s="212">
        <v>10089135</v>
      </c>
      <c r="J18" s="212">
        <v>250000</v>
      </c>
      <c r="K18" s="212">
        <v>0</v>
      </c>
      <c r="L18" s="212">
        <v>0</v>
      </c>
      <c r="M18" s="212">
        <v>39177304</v>
      </c>
      <c r="N18" s="212">
        <v>0</v>
      </c>
      <c r="O18" s="443">
        <f t="shared" si="10"/>
        <v>705114499</v>
      </c>
      <c r="P18" s="212">
        <v>25260544</v>
      </c>
      <c r="Q18" s="212">
        <v>679853955</v>
      </c>
      <c r="R18" s="212">
        <v>248869958</v>
      </c>
      <c r="S18" s="212">
        <v>0</v>
      </c>
      <c r="T18" s="212">
        <v>0</v>
      </c>
      <c r="U18" s="212">
        <v>0</v>
      </c>
      <c r="V18" s="212">
        <v>1687360502</v>
      </c>
      <c r="W18" s="212">
        <v>787230913</v>
      </c>
      <c r="X18" s="212">
        <v>0</v>
      </c>
      <c r="Y18" s="212">
        <v>2968460</v>
      </c>
      <c r="AB18" s="224"/>
    </row>
    <row r="19" spans="1:28" s="220" customFormat="1" ht="15.75" customHeight="1">
      <c r="A19" s="441">
        <f>A18+10</f>
        <v>100</v>
      </c>
      <c r="B19" s="442" t="s">
        <v>673</v>
      </c>
      <c r="C19" s="443">
        <f t="shared" si="8"/>
        <v>171788067</v>
      </c>
      <c r="D19" s="212">
        <v>69222758</v>
      </c>
      <c r="E19" s="212">
        <v>102565309</v>
      </c>
      <c r="F19" s="443">
        <f t="shared" si="9"/>
        <v>37243840</v>
      </c>
      <c r="G19" s="212">
        <v>9188880</v>
      </c>
      <c r="H19" s="212">
        <v>16591663</v>
      </c>
      <c r="I19" s="212">
        <v>11463297</v>
      </c>
      <c r="J19" s="212">
        <v>0</v>
      </c>
      <c r="K19" s="212">
        <v>0</v>
      </c>
      <c r="L19" s="212">
        <v>0</v>
      </c>
      <c r="M19" s="212">
        <v>3948793</v>
      </c>
      <c r="N19" s="212">
        <v>0</v>
      </c>
      <c r="O19" s="443">
        <f t="shared" si="10"/>
        <v>67131807</v>
      </c>
      <c r="P19" s="212">
        <v>1760740</v>
      </c>
      <c r="Q19" s="212">
        <v>65371067</v>
      </c>
      <c r="R19" s="212">
        <v>23770438</v>
      </c>
      <c r="S19" s="212">
        <v>0</v>
      </c>
      <c r="T19" s="212">
        <v>0</v>
      </c>
      <c r="U19" s="212">
        <v>0</v>
      </c>
      <c r="V19" s="212">
        <v>74042509</v>
      </c>
      <c r="W19" s="212">
        <v>2894520</v>
      </c>
      <c r="X19" s="212">
        <v>0</v>
      </c>
      <c r="Y19" s="212">
        <v>0</v>
      </c>
      <c r="AB19" s="224"/>
    </row>
    <row r="20" spans="1:28" s="220" customFormat="1" ht="15.75" customHeight="1">
      <c r="A20" s="441">
        <f t="shared" si="2"/>
        <v>110</v>
      </c>
      <c r="B20" s="442" t="s">
        <v>400</v>
      </c>
      <c r="C20" s="443">
        <f t="shared" si="8"/>
        <v>0</v>
      </c>
      <c r="D20" s="212">
        <v>0</v>
      </c>
      <c r="E20" s="212">
        <v>0</v>
      </c>
      <c r="F20" s="443">
        <f t="shared" si="9"/>
        <v>0</v>
      </c>
      <c r="G20" s="212">
        <v>0</v>
      </c>
      <c r="H20" s="212">
        <v>0</v>
      </c>
      <c r="I20" s="212">
        <v>0</v>
      </c>
      <c r="J20" s="212">
        <v>0</v>
      </c>
      <c r="K20" s="212">
        <v>0</v>
      </c>
      <c r="L20" s="212">
        <v>0</v>
      </c>
      <c r="M20" s="212">
        <v>0</v>
      </c>
      <c r="N20" s="212">
        <v>0</v>
      </c>
      <c r="O20" s="443">
        <f t="shared" si="10"/>
        <v>0</v>
      </c>
      <c r="P20" s="212">
        <v>0</v>
      </c>
      <c r="Q20" s="212">
        <v>0</v>
      </c>
      <c r="R20" s="212">
        <v>0</v>
      </c>
      <c r="S20" s="212">
        <v>0</v>
      </c>
      <c r="T20" s="212">
        <v>0</v>
      </c>
      <c r="U20" s="212">
        <v>0</v>
      </c>
      <c r="V20" s="212">
        <v>0</v>
      </c>
      <c r="W20" s="212">
        <v>0</v>
      </c>
      <c r="X20" s="212">
        <v>0</v>
      </c>
      <c r="Y20" s="212">
        <v>0</v>
      </c>
      <c r="AB20" s="224"/>
    </row>
    <row r="21" spans="1:28" s="220" customFormat="1" ht="15.75" customHeight="1">
      <c r="A21" s="441">
        <f>A20+10</f>
        <v>120</v>
      </c>
      <c r="B21" s="442" t="s">
        <v>677</v>
      </c>
      <c r="C21" s="443">
        <f t="shared" si="8"/>
        <v>0</v>
      </c>
      <c r="D21" s="212">
        <v>0</v>
      </c>
      <c r="E21" s="212">
        <v>0</v>
      </c>
      <c r="F21" s="443">
        <f t="shared" si="9"/>
        <v>0</v>
      </c>
      <c r="G21" s="212">
        <v>0</v>
      </c>
      <c r="H21" s="212">
        <v>0</v>
      </c>
      <c r="I21" s="212">
        <v>0</v>
      </c>
      <c r="J21" s="212">
        <v>0</v>
      </c>
      <c r="K21" s="212">
        <v>0</v>
      </c>
      <c r="L21" s="212">
        <v>0</v>
      </c>
      <c r="M21" s="212">
        <v>0</v>
      </c>
      <c r="N21" s="212">
        <v>0</v>
      </c>
      <c r="O21" s="443">
        <f>+P21+Q21</f>
        <v>0</v>
      </c>
      <c r="P21" s="212">
        <v>0</v>
      </c>
      <c r="Q21" s="212">
        <v>0</v>
      </c>
      <c r="R21" s="212">
        <v>0</v>
      </c>
      <c r="S21" s="212">
        <v>0</v>
      </c>
      <c r="T21" s="212">
        <v>0</v>
      </c>
      <c r="U21" s="212">
        <v>0</v>
      </c>
      <c r="V21" s="212">
        <v>0</v>
      </c>
      <c r="W21" s="212">
        <v>0</v>
      </c>
      <c r="X21" s="212">
        <v>0</v>
      </c>
      <c r="Y21" s="212">
        <v>0</v>
      </c>
      <c r="AB21" s="224"/>
    </row>
    <row r="22" spans="1:28" s="493" customFormat="1" ht="15.75" customHeight="1">
      <c r="A22" s="491">
        <f>A21+10</f>
        <v>130</v>
      </c>
      <c r="B22" s="491" t="s">
        <v>235</v>
      </c>
      <c r="C22" s="492">
        <f t="shared" si="8"/>
        <v>4481661756</v>
      </c>
      <c r="D22" s="492">
        <f>SUM(D16:D21)</f>
        <v>2356786357</v>
      </c>
      <c r="E22" s="492">
        <f>SUM(E16:E21)</f>
        <v>2124875399</v>
      </c>
      <c r="F22" s="492">
        <f t="shared" si="9"/>
        <v>140229406</v>
      </c>
      <c r="G22" s="492">
        <f t="shared" ref="G22:I22" si="11">SUM(G17:G21)</f>
        <v>38300230</v>
      </c>
      <c r="H22" s="492">
        <f t="shared" si="11"/>
        <v>80376744</v>
      </c>
      <c r="I22" s="492">
        <f t="shared" si="11"/>
        <v>21552432</v>
      </c>
      <c r="J22" s="492">
        <f t="shared" ref="J22:Y22" si="12">SUM(J16:J21)</f>
        <v>250000</v>
      </c>
      <c r="K22" s="492">
        <f t="shared" si="12"/>
        <v>0</v>
      </c>
      <c r="L22" s="492">
        <f t="shared" si="12"/>
        <v>0</v>
      </c>
      <c r="M22" s="492">
        <f t="shared" si="12"/>
        <v>57604222</v>
      </c>
      <c r="N22" s="492">
        <f t="shared" si="12"/>
        <v>0</v>
      </c>
      <c r="O22" s="492">
        <f t="shared" si="12"/>
        <v>1130298771</v>
      </c>
      <c r="P22" s="492">
        <f t="shared" si="12"/>
        <v>29499698</v>
      </c>
      <c r="Q22" s="492">
        <f t="shared" si="12"/>
        <v>1100799073</v>
      </c>
      <c r="R22" s="492">
        <f t="shared" si="12"/>
        <v>417366196</v>
      </c>
      <c r="S22" s="492">
        <f t="shared" si="12"/>
        <v>0</v>
      </c>
      <c r="T22" s="492">
        <f t="shared" si="12"/>
        <v>0</v>
      </c>
      <c r="U22" s="492">
        <f t="shared" si="12"/>
        <v>0</v>
      </c>
      <c r="V22" s="492">
        <f t="shared" si="12"/>
        <v>1853800852</v>
      </c>
      <c r="W22" s="492">
        <f t="shared" si="12"/>
        <v>1019373255</v>
      </c>
      <c r="X22" s="492">
        <f t="shared" si="12"/>
        <v>0</v>
      </c>
      <c r="Y22" s="492">
        <f t="shared" si="12"/>
        <v>2968460</v>
      </c>
      <c r="AB22" s="494"/>
    </row>
    <row r="23" spans="1:28" s="220" customFormat="1" ht="15.75" customHeight="1">
      <c r="A23" s="434"/>
      <c r="B23" s="439" t="s">
        <v>473</v>
      </c>
      <c r="C23" s="444"/>
      <c r="D23" s="444"/>
      <c r="E23" s="444"/>
      <c r="F23" s="444"/>
      <c r="G23" s="445"/>
      <c r="H23" s="444"/>
      <c r="I23" s="444"/>
      <c r="J23" s="444"/>
      <c r="K23" s="444"/>
      <c r="L23" s="444"/>
      <c r="M23" s="444"/>
      <c r="N23" s="444"/>
      <c r="O23" s="444"/>
      <c r="P23" s="444"/>
      <c r="Q23" s="444"/>
      <c r="R23" s="444"/>
      <c r="S23" s="444"/>
      <c r="T23" s="444"/>
      <c r="U23" s="444"/>
      <c r="V23" s="444"/>
      <c r="W23" s="444"/>
      <c r="X23" s="444"/>
      <c r="Y23" s="444"/>
      <c r="AB23" s="224"/>
    </row>
    <row r="24" spans="1:28" s="220" customFormat="1" ht="15.75" customHeight="1">
      <c r="A24" s="441">
        <v>140</v>
      </c>
      <c r="B24" s="442" t="s">
        <v>672</v>
      </c>
      <c r="C24" s="443">
        <f t="shared" ref="C24:C29" si="13">SUM(J24:Y24)-L24-P24-Q24</f>
        <v>2946182415</v>
      </c>
      <c r="D24" s="212">
        <v>4183369</v>
      </c>
      <c r="E24" s="212">
        <v>2941999046</v>
      </c>
      <c r="F24" s="443">
        <f>+G24+H24+I24</f>
        <v>0</v>
      </c>
      <c r="G24" s="212">
        <v>0</v>
      </c>
      <c r="H24" s="212">
        <v>0</v>
      </c>
      <c r="I24" s="212">
        <v>0</v>
      </c>
      <c r="J24" s="212">
        <v>958841375</v>
      </c>
      <c r="K24" s="212">
        <v>1514601374</v>
      </c>
      <c r="L24" s="212">
        <v>1514601374</v>
      </c>
      <c r="M24" s="212">
        <v>0</v>
      </c>
      <c r="N24" s="212">
        <v>0</v>
      </c>
      <c r="O24" s="443">
        <f t="shared" ref="O24:O28" si="14">+P24+Q24</f>
        <v>281000</v>
      </c>
      <c r="P24" s="212">
        <v>0</v>
      </c>
      <c r="Q24" s="212">
        <v>281000</v>
      </c>
      <c r="R24" s="212">
        <v>40179434</v>
      </c>
      <c r="S24" s="212">
        <v>0</v>
      </c>
      <c r="T24" s="212">
        <v>0</v>
      </c>
      <c r="U24" s="212">
        <v>0</v>
      </c>
      <c r="V24" s="212">
        <v>432279232</v>
      </c>
      <c r="W24" s="212">
        <v>0</v>
      </c>
      <c r="X24" s="212">
        <v>0</v>
      </c>
      <c r="Y24" s="212">
        <v>0</v>
      </c>
      <c r="AB24" s="224"/>
    </row>
    <row r="25" spans="1:28" s="220" customFormat="1" ht="15.75" customHeight="1">
      <c r="A25" s="441">
        <f t="shared" si="2"/>
        <v>150</v>
      </c>
      <c r="B25" s="442" t="s">
        <v>403</v>
      </c>
      <c r="C25" s="443">
        <f t="shared" si="13"/>
        <v>0</v>
      </c>
      <c r="D25" s="212">
        <v>0</v>
      </c>
      <c r="E25" s="212">
        <v>0</v>
      </c>
      <c r="F25" s="443">
        <f t="shared" ref="F25:F29" si="15">+G25+H25+I25</f>
        <v>0</v>
      </c>
      <c r="G25" s="212">
        <v>0</v>
      </c>
      <c r="H25" s="212">
        <v>0</v>
      </c>
      <c r="I25" s="212">
        <v>0</v>
      </c>
      <c r="J25" s="212">
        <v>0</v>
      </c>
      <c r="K25" s="212">
        <v>0</v>
      </c>
      <c r="L25" s="212">
        <v>0</v>
      </c>
      <c r="M25" s="212">
        <v>0</v>
      </c>
      <c r="N25" s="212">
        <v>0</v>
      </c>
      <c r="O25" s="443">
        <f t="shared" si="14"/>
        <v>0</v>
      </c>
      <c r="P25" s="212">
        <v>0</v>
      </c>
      <c r="Q25" s="212">
        <v>0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X25" s="212">
        <v>0</v>
      </c>
      <c r="Y25" s="212">
        <v>0</v>
      </c>
      <c r="AB25" s="224"/>
    </row>
    <row r="26" spans="1:28" s="220" customFormat="1" ht="15.75" customHeight="1">
      <c r="A26" s="441">
        <f t="shared" si="2"/>
        <v>160</v>
      </c>
      <c r="B26" s="442" t="s">
        <v>404</v>
      </c>
      <c r="C26" s="443">
        <f t="shared" si="13"/>
        <v>559117995</v>
      </c>
      <c r="D26" s="212">
        <v>150846747</v>
      </c>
      <c r="E26" s="212">
        <v>408271248</v>
      </c>
      <c r="F26" s="443">
        <f t="shared" si="15"/>
        <v>31632641</v>
      </c>
      <c r="G26" s="212">
        <v>8383679</v>
      </c>
      <c r="H26" s="212">
        <v>13866148</v>
      </c>
      <c r="I26" s="212">
        <v>9382814</v>
      </c>
      <c r="J26" s="212">
        <v>0</v>
      </c>
      <c r="K26" s="212">
        <v>0</v>
      </c>
      <c r="L26" s="212">
        <v>0</v>
      </c>
      <c r="M26" s="212">
        <v>48382688</v>
      </c>
      <c r="N26" s="212">
        <v>0</v>
      </c>
      <c r="O26" s="443">
        <f t="shared" si="14"/>
        <v>281442114</v>
      </c>
      <c r="P26" s="212">
        <v>2296906</v>
      </c>
      <c r="Q26" s="212">
        <v>279145208</v>
      </c>
      <c r="R26" s="212">
        <v>33280781</v>
      </c>
      <c r="S26" s="212">
        <v>0</v>
      </c>
      <c r="T26" s="212">
        <v>0</v>
      </c>
      <c r="U26" s="212">
        <v>0</v>
      </c>
      <c r="V26" s="212">
        <v>165058278</v>
      </c>
      <c r="W26" s="212">
        <v>30954134</v>
      </c>
      <c r="X26" s="212">
        <v>0</v>
      </c>
      <c r="Y26" s="212">
        <v>0</v>
      </c>
      <c r="AB26" s="224"/>
    </row>
    <row r="27" spans="1:28" s="220" customFormat="1" ht="15.75" customHeight="1">
      <c r="A27" s="441">
        <f t="shared" si="2"/>
        <v>170</v>
      </c>
      <c r="B27" s="442" t="s">
        <v>400</v>
      </c>
      <c r="C27" s="443">
        <f t="shared" si="13"/>
        <v>0</v>
      </c>
      <c r="D27" s="212">
        <v>0</v>
      </c>
      <c r="E27" s="212">
        <v>0</v>
      </c>
      <c r="F27" s="443">
        <f t="shared" si="15"/>
        <v>0</v>
      </c>
      <c r="G27" s="212">
        <v>0</v>
      </c>
      <c r="H27" s="212">
        <v>0</v>
      </c>
      <c r="I27" s="212">
        <v>0</v>
      </c>
      <c r="J27" s="212">
        <v>0</v>
      </c>
      <c r="K27" s="212">
        <v>0</v>
      </c>
      <c r="L27" s="212">
        <v>0</v>
      </c>
      <c r="M27" s="212">
        <v>0</v>
      </c>
      <c r="N27" s="212">
        <v>0</v>
      </c>
      <c r="O27" s="443">
        <f t="shared" si="14"/>
        <v>0</v>
      </c>
      <c r="P27" s="212">
        <v>0</v>
      </c>
      <c r="Q27" s="212">
        <v>0</v>
      </c>
      <c r="R27" s="212">
        <v>0</v>
      </c>
      <c r="S27" s="212">
        <v>0</v>
      </c>
      <c r="T27" s="212">
        <v>0</v>
      </c>
      <c r="U27" s="212">
        <v>0</v>
      </c>
      <c r="V27" s="212">
        <v>0</v>
      </c>
      <c r="W27" s="212">
        <v>0</v>
      </c>
      <c r="X27" s="212">
        <v>0</v>
      </c>
      <c r="Y27" s="212">
        <v>0</v>
      </c>
      <c r="AB27" s="224"/>
    </row>
    <row r="28" spans="1:28" s="220" customFormat="1" ht="15.75" customHeight="1">
      <c r="A28" s="441">
        <f>A27+10</f>
        <v>180</v>
      </c>
      <c r="B28" s="443" t="s">
        <v>677</v>
      </c>
      <c r="C28" s="443">
        <f t="shared" si="13"/>
        <v>0</v>
      </c>
      <c r="D28" s="212">
        <v>0</v>
      </c>
      <c r="E28" s="212">
        <v>0</v>
      </c>
      <c r="F28" s="443">
        <f t="shared" si="15"/>
        <v>0</v>
      </c>
      <c r="G28" s="212">
        <v>0</v>
      </c>
      <c r="H28" s="212">
        <v>0</v>
      </c>
      <c r="I28" s="212">
        <v>0</v>
      </c>
      <c r="J28" s="212">
        <v>0</v>
      </c>
      <c r="K28" s="212">
        <v>0</v>
      </c>
      <c r="L28" s="212">
        <v>0</v>
      </c>
      <c r="M28" s="212">
        <v>0</v>
      </c>
      <c r="N28" s="212">
        <v>0</v>
      </c>
      <c r="O28" s="443">
        <f t="shared" si="14"/>
        <v>0</v>
      </c>
      <c r="P28" s="212">
        <v>0</v>
      </c>
      <c r="Q28" s="212">
        <v>0</v>
      </c>
      <c r="R28" s="212">
        <v>0</v>
      </c>
      <c r="S28" s="212">
        <v>0</v>
      </c>
      <c r="T28" s="212">
        <v>0</v>
      </c>
      <c r="U28" s="212">
        <v>0</v>
      </c>
      <c r="V28" s="212">
        <v>0</v>
      </c>
      <c r="W28" s="212">
        <v>0</v>
      </c>
      <c r="X28" s="212">
        <v>0</v>
      </c>
      <c r="Y28" s="212">
        <v>0</v>
      </c>
      <c r="AB28" s="224"/>
    </row>
    <row r="29" spans="1:28" s="493" customFormat="1" ht="15.75" customHeight="1">
      <c r="A29" s="491">
        <f>A28+10</f>
        <v>190</v>
      </c>
      <c r="B29" s="491" t="s">
        <v>235</v>
      </c>
      <c r="C29" s="492">
        <f t="shared" si="13"/>
        <v>3505300410</v>
      </c>
      <c r="D29" s="492">
        <f>SUM(D24:D28)</f>
        <v>155030116</v>
      </c>
      <c r="E29" s="492">
        <f>SUM(E24:E28)</f>
        <v>3350270294</v>
      </c>
      <c r="F29" s="492">
        <f t="shared" si="15"/>
        <v>31632641</v>
      </c>
      <c r="G29" s="492">
        <f t="shared" ref="G29:I29" si="16">SUM(G24:G28)</f>
        <v>8383679</v>
      </c>
      <c r="H29" s="492">
        <f t="shared" si="16"/>
        <v>13866148</v>
      </c>
      <c r="I29" s="492">
        <f t="shared" si="16"/>
        <v>9382814</v>
      </c>
      <c r="J29" s="492">
        <f t="shared" ref="J29:Y29" si="17">SUM(J24:J28)</f>
        <v>958841375</v>
      </c>
      <c r="K29" s="492">
        <f t="shared" si="17"/>
        <v>1514601374</v>
      </c>
      <c r="L29" s="492">
        <f t="shared" si="17"/>
        <v>1514601374</v>
      </c>
      <c r="M29" s="492">
        <f t="shared" si="17"/>
        <v>48382688</v>
      </c>
      <c r="N29" s="492">
        <f t="shared" si="17"/>
        <v>0</v>
      </c>
      <c r="O29" s="492">
        <f t="shared" si="17"/>
        <v>281723114</v>
      </c>
      <c r="P29" s="492">
        <f t="shared" si="17"/>
        <v>2296906</v>
      </c>
      <c r="Q29" s="492">
        <f t="shared" si="17"/>
        <v>279426208</v>
      </c>
      <c r="R29" s="492">
        <f t="shared" si="17"/>
        <v>73460215</v>
      </c>
      <c r="S29" s="492">
        <f t="shared" si="17"/>
        <v>0</v>
      </c>
      <c r="T29" s="492">
        <f t="shared" si="17"/>
        <v>0</v>
      </c>
      <c r="U29" s="492">
        <f t="shared" si="17"/>
        <v>0</v>
      </c>
      <c r="V29" s="492">
        <f t="shared" si="17"/>
        <v>597337510</v>
      </c>
      <c r="W29" s="492">
        <f t="shared" si="17"/>
        <v>30954134</v>
      </c>
      <c r="X29" s="492">
        <f t="shared" si="17"/>
        <v>0</v>
      </c>
      <c r="Y29" s="492">
        <f t="shared" si="17"/>
        <v>0</v>
      </c>
      <c r="AB29" s="494"/>
    </row>
    <row r="30" spans="1:28" s="220" customFormat="1" ht="15.75" customHeight="1">
      <c r="A30" s="434"/>
      <c r="B30" s="439" t="s">
        <v>474</v>
      </c>
      <c r="C30" s="444"/>
      <c r="D30" s="444"/>
      <c r="E30" s="444"/>
      <c r="F30" s="444"/>
      <c r="G30" s="445"/>
      <c r="H30" s="444"/>
      <c r="I30" s="444"/>
      <c r="J30" s="444"/>
      <c r="K30" s="444"/>
      <c r="L30" s="444"/>
      <c r="M30" s="444"/>
      <c r="N30" s="444"/>
      <c r="O30" s="444"/>
      <c r="P30" s="444"/>
      <c r="Q30" s="444"/>
      <c r="R30" s="444"/>
      <c r="S30" s="444"/>
      <c r="T30" s="444"/>
      <c r="U30" s="444"/>
      <c r="V30" s="444"/>
      <c r="W30" s="444"/>
      <c r="X30" s="444"/>
      <c r="Y30" s="444"/>
      <c r="AB30" s="224"/>
    </row>
    <row r="31" spans="1:28" s="220" customFormat="1" ht="15.75" customHeight="1">
      <c r="A31" s="441">
        <v>200</v>
      </c>
      <c r="B31" s="442" t="s">
        <v>672</v>
      </c>
      <c r="C31" s="443">
        <f t="shared" ref="C31:C36" si="18">SUM(J31:Y31)-L31-P31-Q31</f>
        <v>0</v>
      </c>
      <c r="D31" s="212">
        <v>0</v>
      </c>
      <c r="E31" s="212">
        <v>0</v>
      </c>
      <c r="F31" s="443">
        <f>+G31+H31+I31</f>
        <v>0</v>
      </c>
      <c r="G31" s="212">
        <v>0</v>
      </c>
      <c r="H31" s="212">
        <v>0</v>
      </c>
      <c r="I31" s="212">
        <v>0</v>
      </c>
      <c r="J31" s="212">
        <v>0</v>
      </c>
      <c r="K31" s="212">
        <v>0</v>
      </c>
      <c r="L31" s="212">
        <v>0</v>
      </c>
      <c r="M31" s="212">
        <v>0</v>
      </c>
      <c r="N31" s="212">
        <v>0</v>
      </c>
      <c r="O31" s="443">
        <f t="shared" ref="O31:O35" si="19">+P31+Q31</f>
        <v>0</v>
      </c>
      <c r="P31" s="212">
        <v>0</v>
      </c>
      <c r="Q31" s="212">
        <v>0</v>
      </c>
      <c r="R31" s="212">
        <v>0</v>
      </c>
      <c r="S31" s="212">
        <v>0</v>
      </c>
      <c r="T31" s="212">
        <v>0</v>
      </c>
      <c r="U31" s="212">
        <v>0</v>
      </c>
      <c r="V31" s="212">
        <v>0</v>
      </c>
      <c r="W31" s="212">
        <v>0</v>
      </c>
      <c r="X31" s="212">
        <v>0</v>
      </c>
      <c r="Y31" s="212">
        <v>0</v>
      </c>
      <c r="AB31" s="224"/>
    </row>
    <row r="32" spans="1:28" s="220" customFormat="1" ht="15.75" customHeight="1">
      <c r="A32" s="441">
        <f t="shared" si="2"/>
        <v>210</v>
      </c>
      <c r="B32" s="442" t="s">
        <v>403</v>
      </c>
      <c r="C32" s="443">
        <f t="shared" si="18"/>
        <v>50217990</v>
      </c>
      <c r="D32" s="212">
        <v>51106</v>
      </c>
      <c r="E32" s="212">
        <v>50166884</v>
      </c>
      <c r="F32" s="443">
        <f t="shared" ref="F32:F36" si="20">+G32+H32+I32</f>
        <v>0</v>
      </c>
      <c r="G32" s="212">
        <v>0</v>
      </c>
      <c r="H32" s="212">
        <v>0</v>
      </c>
      <c r="I32" s="212">
        <v>0</v>
      </c>
      <c r="J32" s="212">
        <v>0</v>
      </c>
      <c r="K32" s="212">
        <v>0</v>
      </c>
      <c r="L32" s="212">
        <v>0</v>
      </c>
      <c r="M32" s="212">
        <v>2325361</v>
      </c>
      <c r="N32" s="212">
        <v>0</v>
      </c>
      <c r="O32" s="443">
        <f t="shared" si="19"/>
        <v>32449763</v>
      </c>
      <c r="P32" s="212">
        <v>0</v>
      </c>
      <c r="Q32" s="212">
        <v>32449763</v>
      </c>
      <c r="R32" s="212">
        <v>3415018</v>
      </c>
      <c r="S32" s="212">
        <v>0</v>
      </c>
      <c r="T32" s="212">
        <v>0</v>
      </c>
      <c r="U32" s="212">
        <v>0</v>
      </c>
      <c r="V32" s="212">
        <v>11786898</v>
      </c>
      <c r="W32" s="212">
        <v>240950</v>
      </c>
      <c r="X32" s="212">
        <v>0</v>
      </c>
      <c r="Y32" s="212">
        <v>0</v>
      </c>
      <c r="AB32" s="224"/>
    </row>
    <row r="33" spans="1:28" s="220" customFormat="1" ht="15.75" customHeight="1">
      <c r="A33" s="441">
        <f t="shared" si="2"/>
        <v>220</v>
      </c>
      <c r="B33" s="442" t="s">
        <v>404</v>
      </c>
      <c r="C33" s="443">
        <f t="shared" si="18"/>
        <v>1261005857</v>
      </c>
      <c r="D33" s="212">
        <v>518177848</v>
      </c>
      <c r="E33" s="212">
        <v>742828009</v>
      </c>
      <c r="F33" s="443">
        <f t="shared" si="20"/>
        <v>106874131</v>
      </c>
      <c r="G33" s="212">
        <v>3404956</v>
      </c>
      <c r="H33" s="212">
        <v>100045006</v>
      </c>
      <c r="I33" s="212">
        <v>3424169</v>
      </c>
      <c r="J33" s="212">
        <v>111077</v>
      </c>
      <c r="K33" s="212">
        <v>0</v>
      </c>
      <c r="L33" s="212">
        <v>0</v>
      </c>
      <c r="M33" s="212">
        <v>32040088</v>
      </c>
      <c r="N33" s="212">
        <v>172080</v>
      </c>
      <c r="O33" s="443">
        <f t="shared" si="19"/>
        <v>383012929</v>
      </c>
      <c r="P33" s="212">
        <v>20142780</v>
      </c>
      <c r="Q33" s="212">
        <v>362870149</v>
      </c>
      <c r="R33" s="212">
        <v>31732933</v>
      </c>
      <c r="S33" s="212">
        <v>0</v>
      </c>
      <c r="T33" s="212">
        <v>0</v>
      </c>
      <c r="U33" s="212">
        <v>0</v>
      </c>
      <c r="V33" s="212">
        <v>732626027</v>
      </c>
      <c r="W33" s="212">
        <v>74348968</v>
      </c>
      <c r="X33" s="212">
        <v>0</v>
      </c>
      <c r="Y33" s="212">
        <v>6961755</v>
      </c>
      <c r="AB33" s="224"/>
    </row>
    <row r="34" spans="1:28" s="220" customFormat="1" ht="15.75" customHeight="1">
      <c r="A34" s="441">
        <f t="shared" si="2"/>
        <v>230</v>
      </c>
      <c r="B34" s="442" t="s">
        <v>400</v>
      </c>
      <c r="C34" s="443">
        <f t="shared" si="18"/>
        <v>0</v>
      </c>
      <c r="D34" s="212">
        <v>0</v>
      </c>
      <c r="E34" s="212">
        <v>0</v>
      </c>
      <c r="F34" s="443">
        <f t="shared" si="20"/>
        <v>0</v>
      </c>
      <c r="G34" s="212">
        <v>0</v>
      </c>
      <c r="H34" s="212">
        <v>0</v>
      </c>
      <c r="I34" s="212">
        <v>0</v>
      </c>
      <c r="J34" s="212">
        <v>0</v>
      </c>
      <c r="K34" s="212">
        <v>0</v>
      </c>
      <c r="L34" s="212">
        <v>0</v>
      </c>
      <c r="M34" s="212">
        <v>0</v>
      </c>
      <c r="N34" s="212">
        <v>0</v>
      </c>
      <c r="O34" s="443">
        <f t="shared" si="19"/>
        <v>0</v>
      </c>
      <c r="P34" s="212">
        <v>0</v>
      </c>
      <c r="Q34" s="212">
        <v>0</v>
      </c>
      <c r="R34" s="212">
        <v>0</v>
      </c>
      <c r="S34" s="212">
        <v>0</v>
      </c>
      <c r="T34" s="212">
        <v>0</v>
      </c>
      <c r="U34" s="212">
        <v>0</v>
      </c>
      <c r="V34" s="212">
        <v>0</v>
      </c>
      <c r="W34" s="212">
        <v>0</v>
      </c>
      <c r="X34" s="212">
        <v>0</v>
      </c>
      <c r="Y34" s="212">
        <v>0</v>
      </c>
      <c r="AB34" s="224"/>
    </row>
    <row r="35" spans="1:28" s="220" customFormat="1" ht="15.75" customHeight="1">
      <c r="A35" s="441">
        <f>A34+10</f>
        <v>240</v>
      </c>
      <c r="B35" s="442" t="s">
        <v>677</v>
      </c>
      <c r="C35" s="443">
        <f t="shared" si="18"/>
        <v>0</v>
      </c>
      <c r="D35" s="212">
        <v>0</v>
      </c>
      <c r="E35" s="212">
        <v>0</v>
      </c>
      <c r="F35" s="443">
        <f t="shared" si="20"/>
        <v>0</v>
      </c>
      <c r="G35" s="212">
        <v>0</v>
      </c>
      <c r="H35" s="212">
        <v>0</v>
      </c>
      <c r="I35" s="212">
        <v>0</v>
      </c>
      <c r="J35" s="212">
        <v>0</v>
      </c>
      <c r="K35" s="212">
        <v>0</v>
      </c>
      <c r="L35" s="212">
        <v>0</v>
      </c>
      <c r="M35" s="212">
        <v>0</v>
      </c>
      <c r="N35" s="212">
        <v>0</v>
      </c>
      <c r="O35" s="443">
        <f t="shared" si="19"/>
        <v>0</v>
      </c>
      <c r="P35" s="212">
        <v>0</v>
      </c>
      <c r="Q35" s="212">
        <v>0</v>
      </c>
      <c r="R35" s="212">
        <v>0</v>
      </c>
      <c r="S35" s="212">
        <v>0</v>
      </c>
      <c r="T35" s="212">
        <v>0</v>
      </c>
      <c r="U35" s="212">
        <v>0</v>
      </c>
      <c r="V35" s="212">
        <v>0</v>
      </c>
      <c r="W35" s="212">
        <v>0</v>
      </c>
      <c r="X35" s="212">
        <v>0</v>
      </c>
      <c r="Y35" s="212">
        <v>0</v>
      </c>
      <c r="AB35" s="224"/>
    </row>
    <row r="36" spans="1:28" s="493" customFormat="1" ht="15.75" customHeight="1">
      <c r="A36" s="491">
        <f>A35+10</f>
        <v>250</v>
      </c>
      <c r="B36" s="491" t="s">
        <v>235</v>
      </c>
      <c r="C36" s="492">
        <f t="shared" si="18"/>
        <v>1311223847</v>
      </c>
      <c r="D36" s="492">
        <f>SUM(D31:D35)</f>
        <v>518228954</v>
      </c>
      <c r="E36" s="492">
        <f>SUM(E31:E35)</f>
        <v>792994893</v>
      </c>
      <c r="F36" s="492">
        <f t="shared" si="20"/>
        <v>106874131</v>
      </c>
      <c r="G36" s="492">
        <f t="shared" ref="G36:I36" si="21">SUM(G31:G35)</f>
        <v>3404956</v>
      </c>
      <c r="H36" s="492">
        <f t="shared" si="21"/>
        <v>100045006</v>
      </c>
      <c r="I36" s="492">
        <f t="shared" si="21"/>
        <v>3424169</v>
      </c>
      <c r="J36" s="492">
        <f t="shared" ref="J36:Y36" si="22">SUM(J31:J35)</f>
        <v>111077</v>
      </c>
      <c r="K36" s="492">
        <f t="shared" si="22"/>
        <v>0</v>
      </c>
      <c r="L36" s="492">
        <f t="shared" si="22"/>
        <v>0</v>
      </c>
      <c r="M36" s="492">
        <f t="shared" si="22"/>
        <v>34365449</v>
      </c>
      <c r="N36" s="492">
        <f t="shared" si="22"/>
        <v>172080</v>
      </c>
      <c r="O36" s="492">
        <f t="shared" si="22"/>
        <v>415462692</v>
      </c>
      <c r="P36" s="492">
        <f t="shared" si="22"/>
        <v>20142780</v>
      </c>
      <c r="Q36" s="492">
        <f t="shared" si="22"/>
        <v>395319912</v>
      </c>
      <c r="R36" s="492">
        <f t="shared" si="22"/>
        <v>35147951</v>
      </c>
      <c r="S36" s="492">
        <f t="shared" si="22"/>
        <v>0</v>
      </c>
      <c r="T36" s="492">
        <f t="shared" si="22"/>
        <v>0</v>
      </c>
      <c r="U36" s="492">
        <f t="shared" si="22"/>
        <v>0</v>
      </c>
      <c r="V36" s="492">
        <f t="shared" si="22"/>
        <v>744412925</v>
      </c>
      <c r="W36" s="492">
        <f t="shared" si="22"/>
        <v>74589918</v>
      </c>
      <c r="X36" s="492">
        <f t="shared" si="22"/>
        <v>0</v>
      </c>
      <c r="Y36" s="492">
        <f t="shared" si="22"/>
        <v>6961755</v>
      </c>
      <c r="AB36" s="494"/>
    </row>
    <row r="37" spans="1:28" s="220" customFormat="1" ht="15.75" customHeight="1">
      <c r="A37" s="434"/>
      <c r="B37" s="439" t="s">
        <v>475</v>
      </c>
      <c r="C37" s="444"/>
      <c r="D37" s="444"/>
      <c r="E37" s="444"/>
      <c r="F37" s="444"/>
      <c r="G37" s="445"/>
      <c r="H37" s="444"/>
      <c r="I37" s="444"/>
      <c r="J37" s="444"/>
      <c r="K37" s="444"/>
      <c r="L37" s="444"/>
      <c r="M37" s="444"/>
      <c r="N37" s="444"/>
      <c r="O37" s="444"/>
      <c r="P37" s="444"/>
      <c r="Q37" s="444"/>
      <c r="R37" s="444"/>
      <c r="S37" s="444"/>
      <c r="T37" s="444"/>
      <c r="U37" s="444"/>
      <c r="V37" s="444"/>
      <c r="W37" s="444"/>
      <c r="X37" s="444"/>
      <c r="Y37" s="444"/>
      <c r="AB37" s="224"/>
    </row>
    <row r="38" spans="1:28" s="220" customFormat="1" ht="15.75" customHeight="1">
      <c r="A38" s="441">
        <v>260</v>
      </c>
      <c r="B38" s="442" t="s">
        <v>672</v>
      </c>
      <c r="C38" s="443">
        <f t="shared" ref="C38:C42" si="23">SUM(J38:Y38)-L38-P38-Q38</f>
        <v>400000</v>
      </c>
      <c r="D38" s="212">
        <v>400000</v>
      </c>
      <c r="E38" s="212">
        <v>0</v>
      </c>
      <c r="F38" s="443">
        <f>+G38+H38+I38</f>
        <v>0</v>
      </c>
      <c r="G38" s="212">
        <v>0</v>
      </c>
      <c r="H38" s="212">
        <v>0</v>
      </c>
      <c r="I38" s="212">
        <v>0</v>
      </c>
      <c r="J38" s="212">
        <v>0</v>
      </c>
      <c r="K38" s="212">
        <v>0</v>
      </c>
      <c r="L38" s="212">
        <v>0</v>
      </c>
      <c r="M38" s="212">
        <v>0</v>
      </c>
      <c r="N38" s="212">
        <v>0</v>
      </c>
      <c r="O38" s="443">
        <f t="shared" ref="O38:O42" si="24">+P38+Q38</f>
        <v>400000</v>
      </c>
      <c r="P38" s="212">
        <v>0</v>
      </c>
      <c r="Q38" s="212">
        <v>400000</v>
      </c>
      <c r="R38" s="212">
        <v>0</v>
      </c>
      <c r="S38" s="212">
        <v>0</v>
      </c>
      <c r="T38" s="212">
        <v>0</v>
      </c>
      <c r="U38" s="212">
        <v>0</v>
      </c>
      <c r="V38" s="212">
        <v>0</v>
      </c>
      <c r="W38" s="212">
        <v>0</v>
      </c>
      <c r="X38" s="212">
        <v>0</v>
      </c>
      <c r="Y38" s="212">
        <v>0</v>
      </c>
      <c r="AB38" s="224"/>
    </row>
    <row r="39" spans="1:28" s="220" customFormat="1" ht="15.75" customHeight="1">
      <c r="A39" s="441">
        <f t="shared" si="2"/>
        <v>270</v>
      </c>
      <c r="B39" s="442" t="s">
        <v>403</v>
      </c>
      <c r="C39" s="443">
        <f t="shared" si="23"/>
        <v>232072283</v>
      </c>
      <c r="D39" s="212">
        <v>3666673</v>
      </c>
      <c r="E39" s="212">
        <v>228405610</v>
      </c>
      <c r="F39" s="443">
        <f t="shared" ref="F39:F43" si="25">+G39+H39+I39</f>
        <v>176151</v>
      </c>
      <c r="G39" s="212">
        <v>176151</v>
      </c>
      <c r="H39" s="212">
        <v>0</v>
      </c>
      <c r="I39" s="212">
        <v>0</v>
      </c>
      <c r="J39" s="212">
        <v>0</v>
      </c>
      <c r="K39" s="212">
        <v>0</v>
      </c>
      <c r="L39" s="212">
        <v>0</v>
      </c>
      <c r="M39" s="212">
        <v>2677448</v>
      </c>
      <c r="N39" s="212">
        <v>0</v>
      </c>
      <c r="O39" s="443">
        <f t="shared" si="24"/>
        <v>111780563</v>
      </c>
      <c r="P39" s="212">
        <v>0</v>
      </c>
      <c r="Q39" s="212">
        <v>111780563</v>
      </c>
      <c r="R39" s="212">
        <v>10625758</v>
      </c>
      <c r="S39" s="212">
        <v>0</v>
      </c>
      <c r="T39" s="212">
        <v>0</v>
      </c>
      <c r="U39" s="212">
        <v>0</v>
      </c>
      <c r="V39" s="212">
        <v>73169728</v>
      </c>
      <c r="W39" s="212">
        <v>33818786</v>
      </c>
      <c r="X39" s="212">
        <v>0</v>
      </c>
      <c r="Y39" s="212">
        <v>0</v>
      </c>
      <c r="AB39" s="224"/>
    </row>
    <row r="40" spans="1:28" s="220" customFormat="1" ht="15.75" customHeight="1">
      <c r="A40" s="441">
        <f t="shared" si="2"/>
        <v>280</v>
      </c>
      <c r="B40" s="442" t="s">
        <v>404</v>
      </c>
      <c r="C40" s="443">
        <f t="shared" si="23"/>
        <v>2656484827</v>
      </c>
      <c r="D40" s="212">
        <v>818723732</v>
      </c>
      <c r="E40" s="212">
        <v>1837761095</v>
      </c>
      <c r="F40" s="443">
        <f t="shared" si="25"/>
        <v>155857839</v>
      </c>
      <c r="G40" s="212">
        <v>112833422</v>
      </c>
      <c r="H40" s="212">
        <v>33775945</v>
      </c>
      <c r="I40" s="212">
        <v>9248472</v>
      </c>
      <c r="J40" s="212">
        <v>150000</v>
      </c>
      <c r="K40" s="212">
        <v>0</v>
      </c>
      <c r="L40" s="212">
        <v>0</v>
      </c>
      <c r="M40" s="212">
        <v>49897108</v>
      </c>
      <c r="N40" s="212">
        <v>138064027</v>
      </c>
      <c r="O40" s="443">
        <f t="shared" si="24"/>
        <v>1086573961</v>
      </c>
      <c r="P40" s="212">
        <v>14170538</v>
      </c>
      <c r="Q40" s="212">
        <v>1072403423</v>
      </c>
      <c r="R40" s="212">
        <v>132269678</v>
      </c>
      <c r="S40" s="212">
        <v>0</v>
      </c>
      <c r="T40" s="212">
        <v>0</v>
      </c>
      <c r="U40" s="212">
        <v>0</v>
      </c>
      <c r="V40" s="212">
        <v>894155650</v>
      </c>
      <c r="W40" s="212">
        <v>355368844</v>
      </c>
      <c r="X40" s="212">
        <v>0</v>
      </c>
      <c r="Y40" s="212">
        <v>5559</v>
      </c>
      <c r="AB40" s="224"/>
    </row>
    <row r="41" spans="1:28" s="220" customFormat="1" ht="15.75" customHeight="1">
      <c r="A41" s="441">
        <f t="shared" si="2"/>
        <v>290</v>
      </c>
      <c r="B41" s="442" t="s">
        <v>400</v>
      </c>
      <c r="C41" s="443">
        <f t="shared" si="23"/>
        <v>0</v>
      </c>
      <c r="D41" s="212">
        <v>0</v>
      </c>
      <c r="E41" s="212">
        <v>0</v>
      </c>
      <c r="F41" s="443">
        <f t="shared" si="25"/>
        <v>0</v>
      </c>
      <c r="G41" s="212">
        <v>0</v>
      </c>
      <c r="H41" s="212">
        <v>0</v>
      </c>
      <c r="I41" s="212">
        <v>0</v>
      </c>
      <c r="J41" s="212">
        <v>0</v>
      </c>
      <c r="K41" s="212">
        <v>0</v>
      </c>
      <c r="L41" s="212">
        <v>0</v>
      </c>
      <c r="M41" s="212">
        <v>0</v>
      </c>
      <c r="N41" s="212">
        <v>0</v>
      </c>
      <c r="O41" s="443">
        <f t="shared" si="24"/>
        <v>0</v>
      </c>
      <c r="P41" s="212">
        <v>0</v>
      </c>
      <c r="Q41" s="212">
        <v>0</v>
      </c>
      <c r="R41" s="212">
        <v>0</v>
      </c>
      <c r="S41" s="212">
        <v>0</v>
      </c>
      <c r="T41" s="212">
        <v>0</v>
      </c>
      <c r="U41" s="212">
        <v>0</v>
      </c>
      <c r="V41" s="212">
        <v>0</v>
      </c>
      <c r="W41" s="212">
        <v>0</v>
      </c>
      <c r="X41" s="212">
        <v>0</v>
      </c>
      <c r="Y41" s="212">
        <v>0</v>
      </c>
      <c r="AB41" s="224"/>
    </row>
    <row r="42" spans="1:28" s="220" customFormat="1" ht="15.75" customHeight="1">
      <c r="A42" s="441">
        <f>A41+10</f>
        <v>300</v>
      </c>
      <c r="B42" s="442" t="s">
        <v>677</v>
      </c>
      <c r="C42" s="443">
        <f t="shared" si="23"/>
        <v>0</v>
      </c>
      <c r="D42" s="212">
        <v>0</v>
      </c>
      <c r="E42" s="212">
        <v>0</v>
      </c>
      <c r="F42" s="443">
        <f t="shared" si="25"/>
        <v>0</v>
      </c>
      <c r="G42" s="212">
        <v>0</v>
      </c>
      <c r="H42" s="212">
        <v>0</v>
      </c>
      <c r="I42" s="212">
        <v>0</v>
      </c>
      <c r="J42" s="212">
        <v>0</v>
      </c>
      <c r="K42" s="212">
        <v>0</v>
      </c>
      <c r="L42" s="212">
        <v>0</v>
      </c>
      <c r="M42" s="212">
        <v>0</v>
      </c>
      <c r="N42" s="212">
        <v>0</v>
      </c>
      <c r="O42" s="443">
        <f t="shared" si="24"/>
        <v>0</v>
      </c>
      <c r="P42" s="212">
        <v>0</v>
      </c>
      <c r="Q42" s="212">
        <v>0</v>
      </c>
      <c r="R42" s="212">
        <v>0</v>
      </c>
      <c r="S42" s="212">
        <v>0</v>
      </c>
      <c r="T42" s="212">
        <v>0</v>
      </c>
      <c r="U42" s="212">
        <v>0</v>
      </c>
      <c r="V42" s="212">
        <v>0</v>
      </c>
      <c r="W42" s="212">
        <v>0</v>
      </c>
      <c r="X42" s="212">
        <v>0</v>
      </c>
      <c r="Y42" s="212">
        <v>0</v>
      </c>
      <c r="AB42" s="224"/>
    </row>
    <row r="43" spans="1:28" s="493" customFormat="1" ht="15.75" customHeight="1">
      <c r="A43" s="491">
        <f>A42+10</f>
        <v>310</v>
      </c>
      <c r="B43" s="491" t="s">
        <v>235</v>
      </c>
      <c r="C43" s="492">
        <f t="shared" ref="C43" si="26">SUM(J43:Y43)-L43-P43-Q43</f>
        <v>2888957110</v>
      </c>
      <c r="D43" s="492">
        <f>SUM(D38:D42)</f>
        <v>822790405</v>
      </c>
      <c r="E43" s="492">
        <f>SUM(E38:E42)</f>
        <v>2066166705</v>
      </c>
      <c r="F43" s="492">
        <f t="shared" si="25"/>
        <v>156033990</v>
      </c>
      <c r="G43" s="492">
        <f t="shared" ref="G43:I43" si="27">SUM(G38:G42)</f>
        <v>113009573</v>
      </c>
      <c r="H43" s="492">
        <f t="shared" si="27"/>
        <v>33775945</v>
      </c>
      <c r="I43" s="492">
        <f t="shared" si="27"/>
        <v>9248472</v>
      </c>
      <c r="J43" s="492">
        <f t="shared" ref="J43:Y43" si="28">SUM(J38:J42)</f>
        <v>150000</v>
      </c>
      <c r="K43" s="492">
        <f t="shared" si="28"/>
        <v>0</v>
      </c>
      <c r="L43" s="492">
        <f t="shared" si="28"/>
        <v>0</v>
      </c>
      <c r="M43" s="492">
        <f t="shared" si="28"/>
        <v>52574556</v>
      </c>
      <c r="N43" s="492">
        <f t="shared" si="28"/>
        <v>138064027</v>
      </c>
      <c r="O43" s="492">
        <f t="shared" si="28"/>
        <v>1198754524</v>
      </c>
      <c r="P43" s="492">
        <f t="shared" si="28"/>
        <v>14170538</v>
      </c>
      <c r="Q43" s="492">
        <f t="shared" si="28"/>
        <v>1184583986</v>
      </c>
      <c r="R43" s="492">
        <f t="shared" si="28"/>
        <v>142895436</v>
      </c>
      <c r="S43" s="492">
        <f t="shared" si="28"/>
        <v>0</v>
      </c>
      <c r="T43" s="492">
        <f t="shared" si="28"/>
        <v>0</v>
      </c>
      <c r="U43" s="492">
        <f t="shared" si="28"/>
        <v>0</v>
      </c>
      <c r="V43" s="492">
        <f t="shared" si="28"/>
        <v>967325378</v>
      </c>
      <c r="W43" s="492">
        <f t="shared" si="28"/>
        <v>389187630</v>
      </c>
      <c r="X43" s="492">
        <f t="shared" si="28"/>
        <v>0</v>
      </c>
      <c r="Y43" s="492">
        <f t="shared" si="28"/>
        <v>5559</v>
      </c>
      <c r="AB43" s="494"/>
    </row>
    <row r="44" spans="1:28" s="220" customFormat="1" ht="15.75" customHeight="1">
      <c r="A44" s="434"/>
      <c r="B44" s="439" t="s">
        <v>476</v>
      </c>
      <c r="C44" s="444"/>
      <c r="D44" s="444"/>
      <c r="E44" s="444"/>
      <c r="F44" s="444"/>
      <c r="G44" s="445"/>
      <c r="H44" s="444"/>
      <c r="I44" s="444"/>
      <c r="J44" s="444"/>
      <c r="K44" s="444"/>
      <c r="L44" s="444"/>
      <c r="M44" s="444"/>
      <c r="N44" s="444"/>
      <c r="O44" s="444"/>
      <c r="P44" s="444"/>
      <c r="Q44" s="444"/>
      <c r="R44" s="444"/>
      <c r="S44" s="444"/>
      <c r="T44" s="444"/>
      <c r="U44" s="444"/>
      <c r="V44" s="444"/>
      <c r="W44" s="444"/>
      <c r="X44" s="444"/>
      <c r="Y44" s="444"/>
      <c r="AB44" s="224"/>
    </row>
    <row r="45" spans="1:28" s="220" customFormat="1" ht="15.75" customHeight="1">
      <c r="A45" s="441">
        <v>320</v>
      </c>
      <c r="B45" s="442" t="s">
        <v>672</v>
      </c>
      <c r="C45" s="443">
        <f t="shared" ref="C45:C50" si="29">SUM(J45:Y45)-L45-P45-Q45</f>
        <v>1216229604</v>
      </c>
      <c r="D45" s="212">
        <v>1216229604</v>
      </c>
      <c r="E45" s="212">
        <v>0</v>
      </c>
      <c r="F45" s="443">
        <f>+G45+H45+I45</f>
        <v>0</v>
      </c>
      <c r="G45" s="212">
        <v>0</v>
      </c>
      <c r="H45" s="212">
        <v>0</v>
      </c>
      <c r="I45" s="212">
        <v>0</v>
      </c>
      <c r="J45" s="212">
        <v>0</v>
      </c>
      <c r="K45" s="212">
        <v>0</v>
      </c>
      <c r="L45" s="212">
        <v>0</v>
      </c>
      <c r="M45" s="212">
        <v>0</v>
      </c>
      <c r="N45" s="212">
        <v>0</v>
      </c>
      <c r="O45" s="443">
        <f t="shared" ref="O45:O49" si="30">+P45+Q45</f>
        <v>0</v>
      </c>
      <c r="P45" s="212">
        <v>0</v>
      </c>
      <c r="Q45" s="212">
        <v>0</v>
      </c>
      <c r="R45" s="212">
        <v>3468333</v>
      </c>
      <c r="S45" s="212">
        <v>0</v>
      </c>
      <c r="T45" s="212">
        <v>0</v>
      </c>
      <c r="U45" s="212">
        <v>0</v>
      </c>
      <c r="V45" s="212">
        <v>36118127</v>
      </c>
      <c r="W45" s="212">
        <v>0</v>
      </c>
      <c r="X45" s="212">
        <v>283941159</v>
      </c>
      <c r="Y45" s="212">
        <v>892701985</v>
      </c>
      <c r="AB45" s="224"/>
    </row>
    <row r="46" spans="1:28" s="220" customFormat="1" ht="15.75" customHeight="1">
      <c r="A46" s="441">
        <f t="shared" si="2"/>
        <v>330</v>
      </c>
      <c r="B46" s="442" t="s">
        <v>403</v>
      </c>
      <c r="C46" s="443">
        <f t="shared" si="29"/>
        <v>0</v>
      </c>
      <c r="D46" s="212">
        <v>0</v>
      </c>
      <c r="E46" s="212">
        <v>0</v>
      </c>
      <c r="F46" s="443">
        <f t="shared" ref="F46:F50" si="31">+G46+H46+I46</f>
        <v>0</v>
      </c>
      <c r="G46" s="212">
        <v>0</v>
      </c>
      <c r="H46" s="212">
        <v>0</v>
      </c>
      <c r="I46" s="212">
        <v>0</v>
      </c>
      <c r="J46" s="212">
        <v>0</v>
      </c>
      <c r="K46" s="212">
        <v>0</v>
      </c>
      <c r="L46" s="212">
        <v>0</v>
      </c>
      <c r="M46" s="212">
        <v>0</v>
      </c>
      <c r="N46" s="212">
        <v>0</v>
      </c>
      <c r="O46" s="443">
        <f t="shared" si="30"/>
        <v>0</v>
      </c>
      <c r="P46" s="212">
        <v>0</v>
      </c>
      <c r="Q46" s="212">
        <v>0</v>
      </c>
      <c r="R46" s="212">
        <v>0</v>
      </c>
      <c r="S46" s="212">
        <v>0</v>
      </c>
      <c r="T46" s="212">
        <v>0</v>
      </c>
      <c r="U46" s="212">
        <v>0</v>
      </c>
      <c r="V46" s="212">
        <v>0</v>
      </c>
      <c r="W46" s="212">
        <v>0</v>
      </c>
      <c r="X46" s="212">
        <v>0</v>
      </c>
      <c r="Y46" s="212">
        <v>0</v>
      </c>
      <c r="AB46" s="224"/>
    </row>
    <row r="47" spans="1:28" s="220" customFormat="1" ht="15.75" customHeight="1">
      <c r="A47" s="441">
        <f t="shared" si="2"/>
        <v>340</v>
      </c>
      <c r="B47" s="442" t="s">
        <v>404</v>
      </c>
      <c r="C47" s="443">
        <f t="shared" si="29"/>
        <v>110338547</v>
      </c>
      <c r="D47" s="212">
        <v>85328005</v>
      </c>
      <c r="E47" s="212">
        <v>25010542</v>
      </c>
      <c r="F47" s="443">
        <f t="shared" si="31"/>
        <v>9105859</v>
      </c>
      <c r="G47" s="212">
        <v>9105859</v>
      </c>
      <c r="H47" s="212">
        <v>0</v>
      </c>
      <c r="I47" s="212">
        <v>0</v>
      </c>
      <c r="J47" s="212">
        <v>0</v>
      </c>
      <c r="K47" s="212">
        <v>0</v>
      </c>
      <c r="L47" s="212">
        <v>0</v>
      </c>
      <c r="M47" s="212">
        <v>3437759</v>
      </c>
      <c r="N47" s="212">
        <v>0</v>
      </c>
      <c r="O47" s="443">
        <f t="shared" si="30"/>
        <v>34341233</v>
      </c>
      <c r="P47" s="212">
        <v>1079468</v>
      </c>
      <c r="Q47" s="212">
        <v>33261765</v>
      </c>
      <c r="R47" s="212">
        <v>8473749</v>
      </c>
      <c r="S47" s="212">
        <v>0</v>
      </c>
      <c r="T47" s="212">
        <v>0</v>
      </c>
      <c r="U47" s="212">
        <v>0</v>
      </c>
      <c r="V47" s="212">
        <v>35538580</v>
      </c>
      <c r="W47" s="212">
        <v>28547226</v>
      </c>
      <c r="X47" s="212">
        <v>0</v>
      </c>
      <c r="Y47" s="212">
        <v>0</v>
      </c>
      <c r="AB47" s="224"/>
    </row>
    <row r="48" spans="1:28" s="220" customFormat="1" ht="15.75" customHeight="1">
      <c r="A48" s="441">
        <f t="shared" si="2"/>
        <v>350</v>
      </c>
      <c r="B48" s="442" t="s">
        <v>400</v>
      </c>
      <c r="C48" s="443">
        <f t="shared" si="29"/>
        <v>0</v>
      </c>
      <c r="D48" s="212">
        <v>0</v>
      </c>
      <c r="E48" s="212">
        <v>0</v>
      </c>
      <c r="F48" s="443">
        <f t="shared" si="31"/>
        <v>0</v>
      </c>
      <c r="G48" s="212">
        <v>0</v>
      </c>
      <c r="H48" s="212">
        <v>0</v>
      </c>
      <c r="I48" s="212">
        <v>0</v>
      </c>
      <c r="J48" s="212">
        <v>0</v>
      </c>
      <c r="K48" s="212">
        <v>0</v>
      </c>
      <c r="L48" s="212">
        <v>0</v>
      </c>
      <c r="M48" s="212">
        <v>0</v>
      </c>
      <c r="N48" s="212">
        <v>0</v>
      </c>
      <c r="O48" s="443">
        <f t="shared" si="30"/>
        <v>0</v>
      </c>
      <c r="P48" s="212">
        <v>0</v>
      </c>
      <c r="Q48" s="212">
        <v>0</v>
      </c>
      <c r="R48" s="212">
        <v>0</v>
      </c>
      <c r="S48" s="212">
        <v>0</v>
      </c>
      <c r="T48" s="212">
        <v>0</v>
      </c>
      <c r="U48" s="212">
        <v>0</v>
      </c>
      <c r="V48" s="212">
        <v>0</v>
      </c>
      <c r="W48" s="212">
        <v>0</v>
      </c>
      <c r="X48" s="212">
        <v>0</v>
      </c>
      <c r="Y48" s="212">
        <v>0</v>
      </c>
      <c r="AB48" s="224"/>
    </row>
    <row r="49" spans="1:28" s="220" customFormat="1" ht="15.75" customHeight="1">
      <c r="A49" s="441">
        <f>A48+10</f>
        <v>360</v>
      </c>
      <c r="B49" s="442" t="s">
        <v>677</v>
      </c>
      <c r="C49" s="443">
        <f t="shared" si="29"/>
        <v>0</v>
      </c>
      <c r="D49" s="212">
        <v>0</v>
      </c>
      <c r="E49" s="212">
        <v>0</v>
      </c>
      <c r="F49" s="443">
        <f t="shared" si="31"/>
        <v>0</v>
      </c>
      <c r="G49" s="212">
        <v>0</v>
      </c>
      <c r="H49" s="212">
        <v>0</v>
      </c>
      <c r="I49" s="212">
        <v>0</v>
      </c>
      <c r="J49" s="212">
        <v>0</v>
      </c>
      <c r="K49" s="212">
        <v>0</v>
      </c>
      <c r="L49" s="212">
        <v>0</v>
      </c>
      <c r="M49" s="212">
        <v>0</v>
      </c>
      <c r="N49" s="212">
        <v>0</v>
      </c>
      <c r="O49" s="443">
        <f t="shared" si="30"/>
        <v>0</v>
      </c>
      <c r="P49" s="212">
        <v>0</v>
      </c>
      <c r="Q49" s="212">
        <v>0</v>
      </c>
      <c r="R49" s="212">
        <v>0</v>
      </c>
      <c r="S49" s="212">
        <v>0</v>
      </c>
      <c r="T49" s="212">
        <v>0</v>
      </c>
      <c r="U49" s="212">
        <v>0</v>
      </c>
      <c r="V49" s="212">
        <v>0</v>
      </c>
      <c r="W49" s="212">
        <v>0</v>
      </c>
      <c r="X49" s="212">
        <v>0</v>
      </c>
      <c r="Y49" s="212">
        <v>0</v>
      </c>
      <c r="AB49" s="224"/>
    </row>
    <row r="50" spans="1:28" s="493" customFormat="1" ht="15.75" customHeight="1">
      <c r="A50" s="491">
        <f>A49+10</f>
        <v>370</v>
      </c>
      <c r="B50" s="491" t="s">
        <v>235</v>
      </c>
      <c r="C50" s="492">
        <f t="shared" si="29"/>
        <v>1326568151</v>
      </c>
      <c r="D50" s="492">
        <f>SUM(D45:D49)</f>
        <v>1301557609</v>
      </c>
      <c r="E50" s="492">
        <f>SUM(E45:E49)</f>
        <v>25010542</v>
      </c>
      <c r="F50" s="492">
        <f t="shared" si="31"/>
        <v>9105859</v>
      </c>
      <c r="G50" s="492">
        <f t="shared" ref="G50:I50" si="32">SUM(G45:G49)</f>
        <v>9105859</v>
      </c>
      <c r="H50" s="492">
        <f t="shared" si="32"/>
        <v>0</v>
      </c>
      <c r="I50" s="492">
        <f t="shared" si="32"/>
        <v>0</v>
      </c>
      <c r="J50" s="492">
        <f t="shared" ref="J50:Y50" si="33">SUM(J45:J49)</f>
        <v>0</v>
      </c>
      <c r="K50" s="492">
        <f t="shared" si="33"/>
        <v>0</v>
      </c>
      <c r="L50" s="492">
        <f t="shared" si="33"/>
        <v>0</v>
      </c>
      <c r="M50" s="492">
        <f t="shared" si="33"/>
        <v>3437759</v>
      </c>
      <c r="N50" s="492">
        <f t="shared" si="33"/>
        <v>0</v>
      </c>
      <c r="O50" s="492">
        <f t="shared" si="33"/>
        <v>34341233</v>
      </c>
      <c r="P50" s="492">
        <f t="shared" si="33"/>
        <v>1079468</v>
      </c>
      <c r="Q50" s="492">
        <f t="shared" si="33"/>
        <v>33261765</v>
      </c>
      <c r="R50" s="492">
        <f t="shared" si="33"/>
        <v>11942082</v>
      </c>
      <c r="S50" s="492">
        <f t="shared" si="33"/>
        <v>0</v>
      </c>
      <c r="T50" s="492">
        <f t="shared" si="33"/>
        <v>0</v>
      </c>
      <c r="U50" s="492">
        <f t="shared" si="33"/>
        <v>0</v>
      </c>
      <c r="V50" s="492">
        <f t="shared" si="33"/>
        <v>71656707</v>
      </c>
      <c r="W50" s="492">
        <f t="shared" si="33"/>
        <v>28547226</v>
      </c>
      <c r="X50" s="492">
        <f t="shared" si="33"/>
        <v>283941159</v>
      </c>
      <c r="Y50" s="492">
        <f t="shared" si="33"/>
        <v>892701985</v>
      </c>
      <c r="AB50" s="494"/>
    </row>
    <row r="51" spans="1:28" s="220" customFormat="1" ht="15.75" customHeight="1">
      <c r="A51" s="434"/>
      <c r="B51" s="439" t="s">
        <v>477</v>
      </c>
      <c r="C51" s="444"/>
      <c r="D51" s="444"/>
      <c r="E51" s="444"/>
      <c r="F51" s="444"/>
      <c r="G51" s="445"/>
      <c r="H51" s="444"/>
      <c r="I51" s="444"/>
      <c r="J51" s="444"/>
      <c r="K51" s="444"/>
      <c r="L51" s="444"/>
      <c r="M51" s="444"/>
      <c r="N51" s="444"/>
      <c r="O51" s="444"/>
      <c r="P51" s="444"/>
      <c r="Q51" s="444"/>
      <c r="R51" s="444"/>
      <c r="S51" s="444"/>
      <c r="T51" s="444"/>
      <c r="U51" s="444"/>
      <c r="V51" s="444"/>
      <c r="W51" s="444"/>
      <c r="X51" s="444"/>
      <c r="Y51" s="444"/>
      <c r="AB51" s="224"/>
    </row>
    <row r="52" spans="1:28" s="220" customFormat="1" ht="15.75" customHeight="1">
      <c r="A52" s="441">
        <v>380</v>
      </c>
      <c r="B52" s="442" t="s">
        <v>672</v>
      </c>
      <c r="C52" s="443">
        <f t="shared" ref="C52:C57" si="34">SUM(J52:Y52)-L52-P52-Q52</f>
        <v>0</v>
      </c>
      <c r="D52" s="212">
        <v>0</v>
      </c>
      <c r="E52" s="212">
        <v>0</v>
      </c>
      <c r="F52" s="443">
        <f t="shared" ref="F52" si="35">+G52+H52+I52</f>
        <v>0</v>
      </c>
      <c r="G52" s="212">
        <v>0</v>
      </c>
      <c r="H52" s="212">
        <v>0</v>
      </c>
      <c r="I52" s="212">
        <v>0</v>
      </c>
      <c r="J52" s="212">
        <v>0</v>
      </c>
      <c r="K52" s="212">
        <v>0</v>
      </c>
      <c r="L52" s="212">
        <v>0</v>
      </c>
      <c r="M52" s="212">
        <v>0</v>
      </c>
      <c r="N52" s="212">
        <v>0</v>
      </c>
      <c r="O52" s="443">
        <f t="shared" ref="O52:O57" si="36">+P52+Q52</f>
        <v>0</v>
      </c>
      <c r="P52" s="212">
        <v>0</v>
      </c>
      <c r="Q52" s="212">
        <v>0</v>
      </c>
      <c r="R52" s="212">
        <v>0</v>
      </c>
      <c r="S52" s="212">
        <v>0</v>
      </c>
      <c r="T52" s="212">
        <v>0</v>
      </c>
      <c r="U52" s="212">
        <v>0</v>
      </c>
      <c r="V52" s="212">
        <v>0</v>
      </c>
      <c r="W52" s="212">
        <v>0</v>
      </c>
      <c r="X52" s="212">
        <v>0</v>
      </c>
      <c r="Y52" s="212">
        <v>0</v>
      </c>
      <c r="AB52" s="224"/>
    </row>
    <row r="53" spans="1:28" s="220" customFormat="1" ht="15.75" customHeight="1">
      <c r="A53" s="441">
        <f t="shared" si="2"/>
        <v>390</v>
      </c>
      <c r="B53" s="442" t="s">
        <v>403</v>
      </c>
      <c r="C53" s="443">
        <f t="shared" si="34"/>
        <v>0</v>
      </c>
      <c r="D53" s="212">
        <v>0</v>
      </c>
      <c r="E53" s="212">
        <v>0</v>
      </c>
      <c r="F53" s="443">
        <f>+G53+H53+I53</f>
        <v>0</v>
      </c>
      <c r="G53" s="212">
        <v>0</v>
      </c>
      <c r="H53" s="212">
        <v>0</v>
      </c>
      <c r="I53" s="212">
        <v>0</v>
      </c>
      <c r="J53" s="212">
        <v>0</v>
      </c>
      <c r="K53" s="212">
        <v>0</v>
      </c>
      <c r="L53" s="212">
        <v>0</v>
      </c>
      <c r="M53" s="212">
        <v>0</v>
      </c>
      <c r="N53" s="212">
        <v>0</v>
      </c>
      <c r="O53" s="443">
        <f t="shared" si="36"/>
        <v>0</v>
      </c>
      <c r="P53" s="212">
        <v>0</v>
      </c>
      <c r="Q53" s="212">
        <v>0</v>
      </c>
      <c r="R53" s="212">
        <v>0</v>
      </c>
      <c r="S53" s="212">
        <v>0</v>
      </c>
      <c r="T53" s="212">
        <v>0</v>
      </c>
      <c r="U53" s="212">
        <v>0</v>
      </c>
      <c r="V53" s="212">
        <v>0</v>
      </c>
      <c r="W53" s="212">
        <v>0</v>
      </c>
      <c r="X53" s="212">
        <v>0</v>
      </c>
      <c r="Y53" s="212">
        <v>0</v>
      </c>
      <c r="AB53" s="224"/>
    </row>
    <row r="54" spans="1:28" s="220" customFormat="1" ht="15.75" customHeight="1">
      <c r="A54" s="441">
        <f t="shared" si="2"/>
        <v>400</v>
      </c>
      <c r="B54" s="442" t="s">
        <v>404</v>
      </c>
      <c r="C54" s="443">
        <f t="shared" si="34"/>
        <v>0</v>
      </c>
      <c r="D54" s="212">
        <v>0</v>
      </c>
      <c r="E54" s="212">
        <v>0</v>
      </c>
      <c r="F54" s="443">
        <f t="shared" ref="F54:F58" si="37">+G54+H54+I54</f>
        <v>0</v>
      </c>
      <c r="G54" s="212">
        <v>0</v>
      </c>
      <c r="H54" s="212">
        <v>0</v>
      </c>
      <c r="I54" s="212">
        <v>0</v>
      </c>
      <c r="J54" s="212">
        <v>0</v>
      </c>
      <c r="K54" s="212">
        <v>0</v>
      </c>
      <c r="L54" s="212">
        <v>0</v>
      </c>
      <c r="M54" s="212">
        <v>0</v>
      </c>
      <c r="N54" s="212">
        <v>0</v>
      </c>
      <c r="O54" s="443">
        <f t="shared" si="36"/>
        <v>0</v>
      </c>
      <c r="P54" s="212">
        <v>0</v>
      </c>
      <c r="Q54" s="212">
        <v>0</v>
      </c>
      <c r="R54" s="212">
        <v>0</v>
      </c>
      <c r="S54" s="212">
        <v>0</v>
      </c>
      <c r="T54" s="212">
        <v>0</v>
      </c>
      <c r="U54" s="212">
        <v>0</v>
      </c>
      <c r="V54" s="212">
        <v>0</v>
      </c>
      <c r="W54" s="212">
        <v>0</v>
      </c>
      <c r="X54" s="212">
        <v>0</v>
      </c>
      <c r="Y54" s="212">
        <v>0</v>
      </c>
      <c r="AB54" s="224"/>
    </row>
    <row r="55" spans="1:28" s="220" customFormat="1" ht="15.75" customHeight="1">
      <c r="A55" s="441">
        <f t="shared" si="2"/>
        <v>410</v>
      </c>
      <c r="B55" s="442" t="s">
        <v>400</v>
      </c>
      <c r="C55" s="443">
        <f t="shared" si="34"/>
        <v>0</v>
      </c>
      <c r="D55" s="212">
        <v>0</v>
      </c>
      <c r="E55" s="212">
        <v>0</v>
      </c>
      <c r="F55" s="443">
        <f t="shared" si="37"/>
        <v>0</v>
      </c>
      <c r="G55" s="212">
        <v>0</v>
      </c>
      <c r="H55" s="212">
        <v>0</v>
      </c>
      <c r="I55" s="212">
        <v>0</v>
      </c>
      <c r="J55" s="212">
        <v>0</v>
      </c>
      <c r="K55" s="212">
        <v>0</v>
      </c>
      <c r="L55" s="212">
        <v>0</v>
      </c>
      <c r="M55" s="212">
        <v>0</v>
      </c>
      <c r="N55" s="212">
        <v>0</v>
      </c>
      <c r="O55" s="443">
        <f t="shared" si="36"/>
        <v>0</v>
      </c>
      <c r="P55" s="212">
        <v>0</v>
      </c>
      <c r="Q55" s="212">
        <v>0</v>
      </c>
      <c r="R55" s="212">
        <v>0</v>
      </c>
      <c r="S55" s="212">
        <v>0</v>
      </c>
      <c r="T55" s="212">
        <v>0</v>
      </c>
      <c r="U55" s="212">
        <v>0</v>
      </c>
      <c r="V55" s="212">
        <v>0</v>
      </c>
      <c r="W55" s="212">
        <v>0</v>
      </c>
      <c r="X55" s="212">
        <v>0</v>
      </c>
      <c r="Y55" s="212">
        <v>0</v>
      </c>
      <c r="AB55" s="224"/>
    </row>
    <row r="56" spans="1:28" s="220" customFormat="1" ht="15.75" customHeight="1">
      <c r="A56" s="441">
        <v>485</v>
      </c>
      <c r="B56" s="442" t="s">
        <v>675</v>
      </c>
      <c r="C56" s="443">
        <f t="shared" ref="C56" si="38">SUM(J56:Y56)-L56-P56-Q56</f>
        <v>10242602</v>
      </c>
      <c r="D56" s="212">
        <v>10242602</v>
      </c>
      <c r="E56" s="212">
        <v>0</v>
      </c>
      <c r="F56" s="443">
        <f t="shared" si="37"/>
        <v>6118961</v>
      </c>
      <c r="G56" s="212">
        <v>1041035</v>
      </c>
      <c r="H56" s="212">
        <v>1884435</v>
      </c>
      <c r="I56" s="212">
        <v>3193491</v>
      </c>
      <c r="J56" s="212">
        <v>0</v>
      </c>
      <c r="K56" s="212">
        <v>0</v>
      </c>
      <c r="L56" s="212">
        <v>0</v>
      </c>
      <c r="M56" s="212">
        <v>0</v>
      </c>
      <c r="N56" s="212">
        <v>0</v>
      </c>
      <c r="O56" s="443">
        <f t="shared" si="36"/>
        <v>0</v>
      </c>
      <c r="P56" s="212">
        <v>0</v>
      </c>
      <c r="Q56" s="212">
        <v>0</v>
      </c>
      <c r="R56" s="212">
        <v>0</v>
      </c>
      <c r="S56" s="212">
        <v>0</v>
      </c>
      <c r="T56" s="212">
        <v>0</v>
      </c>
      <c r="U56" s="212">
        <v>0</v>
      </c>
      <c r="V56" s="212">
        <v>4855226</v>
      </c>
      <c r="W56" s="212">
        <v>5387376</v>
      </c>
      <c r="X56" s="212">
        <v>0</v>
      </c>
      <c r="Y56" s="212">
        <v>0</v>
      </c>
      <c r="AB56" s="224"/>
    </row>
    <row r="57" spans="1:28" s="220" customFormat="1" ht="15.75" customHeight="1">
      <c r="A57" s="441">
        <f>A55+10</f>
        <v>420</v>
      </c>
      <c r="B57" s="442" t="s">
        <v>677</v>
      </c>
      <c r="C57" s="443">
        <f t="shared" si="34"/>
        <v>0</v>
      </c>
      <c r="D57" s="212">
        <v>0</v>
      </c>
      <c r="E57" s="212">
        <v>0</v>
      </c>
      <c r="F57" s="443">
        <f t="shared" si="37"/>
        <v>0</v>
      </c>
      <c r="G57" s="212">
        <v>0</v>
      </c>
      <c r="H57" s="212">
        <v>0</v>
      </c>
      <c r="I57" s="212">
        <v>0</v>
      </c>
      <c r="J57" s="212">
        <v>0</v>
      </c>
      <c r="K57" s="212">
        <v>0</v>
      </c>
      <c r="L57" s="212">
        <v>0</v>
      </c>
      <c r="M57" s="212">
        <v>0</v>
      </c>
      <c r="N57" s="212">
        <v>0</v>
      </c>
      <c r="O57" s="443">
        <f t="shared" si="36"/>
        <v>0</v>
      </c>
      <c r="P57" s="212">
        <v>0</v>
      </c>
      <c r="Q57" s="212">
        <v>0</v>
      </c>
      <c r="R57" s="212">
        <v>0</v>
      </c>
      <c r="S57" s="212">
        <v>0</v>
      </c>
      <c r="T57" s="212">
        <v>0</v>
      </c>
      <c r="U57" s="212">
        <v>0</v>
      </c>
      <c r="V57" s="212">
        <v>0</v>
      </c>
      <c r="W57" s="212">
        <v>0</v>
      </c>
      <c r="X57" s="212">
        <v>0</v>
      </c>
      <c r="Y57" s="212">
        <v>0</v>
      </c>
      <c r="AB57" s="224"/>
    </row>
    <row r="58" spans="1:28" s="493" customFormat="1" ht="15.75" customHeight="1">
      <c r="A58" s="491">
        <f>A57+10</f>
        <v>430</v>
      </c>
      <c r="B58" s="491" t="s">
        <v>235</v>
      </c>
      <c r="C58" s="492">
        <f t="shared" ref="C58:C71" si="39">SUM(J58:Y58)-L58-P58-Q58</f>
        <v>10242602</v>
      </c>
      <c r="D58" s="492">
        <f>SUM(D52:D57)</f>
        <v>10242602</v>
      </c>
      <c r="E58" s="492">
        <f>SUM(E52:E57)</f>
        <v>0</v>
      </c>
      <c r="F58" s="492">
        <f t="shared" si="37"/>
        <v>6118961</v>
      </c>
      <c r="G58" s="492">
        <f t="shared" ref="G58:I58" si="40">SUM(G53:G57)</f>
        <v>1041035</v>
      </c>
      <c r="H58" s="492">
        <f t="shared" si="40"/>
        <v>1884435</v>
      </c>
      <c r="I58" s="492">
        <f t="shared" si="40"/>
        <v>3193491</v>
      </c>
      <c r="J58" s="492">
        <f t="shared" ref="J58:Y58" si="41">SUM(J52:J57)</f>
        <v>0</v>
      </c>
      <c r="K58" s="492">
        <f t="shared" si="41"/>
        <v>0</v>
      </c>
      <c r="L58" s="492">
        <f t="shared" si="41"/>
        <v>0</v>
      </c>
      <c r="M58" s="492">
        <f t="shared" si="41"/>
        <v>0</v>
      </c>
      <c r="N58" s="492">
        <f t="shared" si="41"/>
        <v>0</v>
      </c>
      <c r="O58" s="492">
        <f t="shared" si="41"/>
        <v>0</v>
      </c>
      <c r="P58" s="492">
        <f t="shared" si="41"/>
        <v>0</v>
      </c>
      <c r="Q58" s="492">
        <f t="shared" si="41"/>
        <v>0</v>
      </c>
      <c r="R58" s="492">
        <f t="shared" si="41"/>
        <v>0</v>
      </c>
      <c r="S58" s="492">
        <f t="shared" si="41"/>
        <v>0</v>
      </c>
      <c r="T58" s="492">
        <f t="shared" si="41"/>
        <v>0</v>
      </c>
      <c r="U58" s="492">
        <f t="shared" si="41"/>
        <v>0</v>
      </c>
      <c r="V58" s="492">
        <f t="shared" si="41"/>
        <v>4855226</v>
      </c>
      <c r="W58" s="492">
        <f t="shared" si="41"/>
        <v>5387376</v>
      </c>
      <c r="X58" s="492">
        <f t="shared" si="41"/>
        <v>0</v>
      </c>
      <c r="Y58" s="492">
        <f t="shared" si="41"/>
        <v>0</v>
      </c>
      <c r="AB58" s="494"/>
    </row>
    <row r="59" spans="1:28" s="220" customFormat="1" ht="15.75" customHeight="1">
      <c r="A59" s="434"/>
      <c r="B59" s="439" t="s">
        <v>478</v>
      </c>
      <c r="C59" s="444"/>
      <c r="D59" s="446"/>
      <c r="E59" s="446"/>
      <c r="F59" s="444"/>
      <c r="G59" s="447"/>
      <c r="H59" s="446"/>
      <c r="I59" s="446"/>
      <c r="J59" s="446"/>
      <c r="K59" s="446"/>
      <c r="L59" s="446"/>
      <c r="M59" s="446"/>
      <c r="N59" s="446"/>
      <c r="O59" s="444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AB59" s="224"/>
    </row>
    <row r="60" spans="1:28" s="220" customFormat="1" ht="15.75" customHeight="1">
      <c r="A60" s="441">
        <v>440</v>
      </c>
      <c r="B60" s="442" t="s">
        <v>672</v>
      </c>
      <c r="C60" s="443">
        <f t="shared" si="39"/>
        <v>371292768</v>
      </c>
      <c r="D60" s="212">
        <v>303940008</v>
      </c>
      <c r="E60" s="212">
        <v>67352760</v>
      </c>
      <c r="F60" s="443">
        <f t="shared" ref="F60:F65" si="42">+G60+H60+I60</f>
        <v>0</v>
      </c>
      <c r="G60" s="212">
        <v>0</v>
      </c>
      <c r="H60" s="212">
        <v>0</v>
      </c>
      <c r="I60" s="212">
        <v>0</v>
      </c>
      <c r="J60" s="212">
        <v>0</v>
      </c>
      <c r="K60" s="212">
        <v>186764141</v>
      </c>
      <c r="L60" s="212">
        <v>0</v>
      </c>
      <c r="M60" s="212">
        <v>44888589</v>
      </c>
      <c r="N60" s="212">
        <v>0</v>
      </c>
      <c r="O60" s="443">
        <f t="shared" ref="O60:O71" si="43">+P60+Q60</f>
        <v>74372260</v>
      </c>
      <c r="P60" s="212">
        <v>0</v>
      </c>
      <c r="Q60" s="212">
        <v>74372260</v>
      </c>
      <c r="R60" s="212">
        <v>0</v>
      </c>
      <c r="S60" s="212">
        <v>0</v>
      </c>
      <c r="T60" s="212">
        <v>0</v>
      </c>
      <c r="U60" s="212">
        <v>0</v>
      </c>
      <c r="V60" s="212">
        <v>61567272</v>
      </c>
      <c r="W60" s="212">
        <v>3700506</v>
      </c>
      <c r="X60" s="212">
        <v>0</v>
      </c>
      <c r="Y60" s="212">
        <v>0</v>
      </c>
      <c r="AB60" s="224"/>
    </row>
    <row r="61" spans="1:28" s="220" customFormat="1" ht="15.75" customHeight="1">
      <c r="A61" s="441">
        <f t="shared" si="2"/>
        <v>450</v>
      </c>
      <c r="B61" s="442" t="s">
        <v>403</v>
      </c>
      <c r="C61" s="443">
        <f t="shared" si="39"/>
        <v>1000399446</v>
      </c>
      <c r="D61" s="212">
        <v>112434647</v>
      </c>
      <c r="E61" s="212">
        <v>887964799</v>
      </c>
      <c r="F61" s="443">
        <f t="shared" si="42"/>
        <v>0</v>
      </c>
      <c r="G61" s="212">
        <v>0</v>
      </c>
      <c r="H61" s="212">
        <v>0</v>
      </c>
      <c r="I61" s="212">
        <v>0</v>
      </c>
      <c r="J61" s="212">
        <v>0</v>
      </c>
      <c r="K61" s="212">
        <v>0</v>
      </c>
      <c r="L61" s="212">
        <v>0</v>
      </c>
      <c r="M61" s="212">
        <v>49272825</v>
      </c>
      <c r="N61" s="212">
        <v>0</v>
      </c>
      <c r="O61" s="443">
        <f t="shared" si="43"/>
        <v>621359008</v>
      </c>
      <c r="P61" s="212">
        <v>879781</v>
      </c>
      <c r="Q61" s="212">
        <v>620479227</v>
      </c>
      <c r="R61" s="212">
        <v>79218572</v>
      </c>
      <c r="S61" s="212">
        <v>0</v>
      </c>
      <c r="T61" s="212">
        <v>0</v>
      </c>
      <c r="U61" s="212">
        <v>0</v>
      </c>
      <c r="V61" s="212">
        <v>180121277</v>
      </c>
      <c r="W61" s="212">
        <v>70427764</v>
      </c>
      <c r="X61" s="212">
        <v>0</v>
      </c>
      <c r="Y61" s="212">
        <v>0</v>
      </c>
      <c r="AB61" s="224"/>
    </row>
    <row r="62" spans="1:28" s="220" customFormat="1" ht="15.75" customHeight="1">
      <c r="A62" s="441">
        <f t="shared" si="2"/>
        <v>460</v>
      </c>
      <c r="B62" s="442" t="s">
        <v>404</v>
      </c>
      <c r="C62" s="443">
        <f t="shared" si="39"/>
        <v>1741375646</v>
      </c>
      <c r="D62" s="212">
        <v>680757154</v>
      </c>
      <c r="E62" s="212">
        <v>1060618492</v>
      </c>
      <c r="F62" s="443">
        <f t="shared" si="42"/>
        <v>84207389</v>
      </c>
      <c r="G62" s="212">
        <v>55124153</v>
      </c>
      <c r="H62" s="212">
        <v>23289729</v>
      </c>
      <c r="I62" s="212">
        <v>5793507</v>
      </c>
      <c r="J62" s="212">
        <v>0</v>
      </c>
      <c r="K62" s="212">
        <v>0</v>
      </c>
      <c r="L62" s="212">
        <v>0</v>
      </c>
      <c r="M62" s="212">
        <v>40576522</v>
      </c>
      <c r="N62" s="212">
        <v>0</v>
      </c>
      <c r="O62" s="443">
        <f t="shared" si="43"/>
        <v>517277509</v>
      </c>
      <c r="P62" s="212">
        <v>22369046</v>
      </c>
      <c r="Q62" s="212">
        <v>494908463</v>
      </c>
      <c r="R62" s="212">
        <v>118968811</v>
      </c>
      <c r="S62" s="212">
        <v>0</v>
      </c>
      <c r="T62" s="212">
        <v>0</v>
      </c>
      <c r="U62" s="212">
        <v>381944</v>
      </c>
      <c r="V62" s="212">
        <v>927182069</v>
      </c>
      <c r="W62" s="212">
        <v>134771393</v>
      </c>
      <c r="X62" s="212">
        <v>2203856</v>
      </c>
      <c r="Y62" s="212">
        <v>13542</v>
      </c>
      <c r="AB62" s="224"/>
    </row>
    <row r="63" spans="1:28" s="220" customFormat="1" ht="15.75" customHeight="1">
      <c r="A63" s="441">
        <f t="shared" si="2"/>
        <v>470</v>
      </c>
      <c r="B63" s="442" t="s">
        <v>669</v>
      </c>
      <c r="C63" s="443">
        <f t="shared" si="39"/>
        <v>0</v>
      </c>
      <c r="D63" s="212">
        <v>0</v>
      </c>
      <c r="E63" s="212">
        <v>0</v>
      </c>
      <c r="F63" s="443">
        <f t="shared" si="42"/>
        <v>0</v>
      </c>
      <c r="G63" s="212">
        <v>0</v>
      </c>
      <c r="H63" s="212">
        <v>0</v>
      </c>
      <c r="I63" s="212">
        <v>0</v>
      </c>
      <c r="J63" s="212">
        <v>0</v>
      </c>
      <c r="K63" s="212">
        <v>0</v>
      </c>
      <c r="L63" s="212">
        <v>0</v>
      </c>
      <c r="M63" s="212">
        <v>0</v>
      </c>
      <c r="N63" s="212">
        <v>0</v>
      </c>
      <c r="O63" s="443">
        <f t="shared" si="43"/>
        <v>0</v>
      </c>
      <c r="P63" s="212">
        <v>0</v>
      </c>
      <c r="Q63" s="212">
        <v>0</v>
      </c>
      <c r="R63" s="212">
        <v>0</v>
      </c>
      <c r="S63" s="212">
        <v>0</v>
      </c>
      <c r="T63" s="212">
        <v>0</v>
      </c>
      <c r="U63" s="212">
        <v>0</v>
      </c>
      <c r="V63" s="212">
        <v>0</v>
      </c>
      <c r="W63" s="212">
        <v>0</v>
      </c>
      <c r="X63" s="212">
        <v>0</v>
      </c>
      <c r="Y63" s="212">
        <v>0</v>
      </c>
      <c r="AB63" s="224"/>
    </row>
    <row r="64" spans="1:28" s="220" customFormat="1" ht="15.75" customHeight="1">
      <c r="A64" s="441">
        <f t="shared" si="2"/>
        <v>480</v>
      </c>
      <c r="B64" s="442" t="s">
        <v>671</v>
      </c>
      <c r="C64" s="443">
        <f t="shared" si="39"/>
        <v>0</v>
      </c>
      <c r="D64" s="212">
        <v>0</v>
      </c>
      <c r="E64" s="212">
        <v>0</v>
      </c>
      <c r="F64" s="443">
        <f t="shared" si="42"/>
        <v>0</v>
      </c>
      <c r="G64" s="212">
        <v>0</v>
      </c>
      <c r="H64" s="212">
        <v>0</v>
      </c>
      <c r="I64" s="212">
        <v>0</v>
      </c>
      <c r="J64" s="212">
        <v>0</v>
      </c>
      <c r="K64" s="212">
        <v>0</v>
      </c>
      <c r="L64" s="212">
        <v>0</v>
      </c>
      <c r="M64" s="212">
        <v>0</v>
      </c>
      <c r="N64" s="212">
        <v>0</v>
      </c>
      <c r="O64" s="443">
        <f t="shared" si="43"/>
        <v>0</v>
      </c>
      <c r="P64" s="212">
        <v>0</v>
      </c>
      <c r="Q64" s="212">
        <v>0</v>
      </c>
      <c r="R64" s="212">
        <v>0</v>
      </c>
      <c r="S64" s="212">
        <v>0</v>
      </c>
      <c r="T64" s="212">
        <v>0</v>
      </c>
      <c r="U64" s="212">
        <v>0</v>
      </c>
      <c r="V64" s="212">
        <v>0</v>
      </c>
      <c r="W64" s="212">
        <v>0</v>
      </c>
      <c r="X64" s="212">
        <v>0</v>
      </c>
      <c r="Y64" s="212">
        <v>0</v>
      </c>
      <c r="AB64" s="224"/>
    </row>
    <row r="65" spans="1:28" s="220" customFormat="1" ht="15.75" customHeight="1">
      <c r="A65" s="441">
        <f t="shared" si="2"/>
        <v>490</v>
      </c>
      <c r="B65" s="442" t="s">
        <v>400</v>
      </c>
      <c r="C65" s="443">
        <f t="shared" si="39"/>
        <v>0</v>
      </c>
      <c r="D65" s="212">
        <v>0</v>
      </c>
      <c r="E65" s="212">
        <v>0</v>
      </c>
      <c r="F65" s="443">
        <f t="shared" si="42"/>
        <v>0</v>
      </c>
      <c r="G65" s="212">
        <v>0</v>
      </c>
      <c r="H65" s="212">
        <v>0</v>
      </c>
      <c r="I65" s="212">
        <v>0</v>
      </c>
      <c r="J65" s="212">
        <v>0</v>
      </c>
      <c r="K65" s="212">
        <v>0</v>
      </c>
      <c r="L65" s="212">
        <v>0</v>
      </c>
      <c r="M65" s="212">
        <v>0</v>
      </c>
      <c r="N65" s="212">
        <v>0</v>
      </c>
      <c r="O65" s="443">
        <f t="shared" si="43"/>
        <v>0</v>
      </c>
      <c r="P65" s="212">
        <v>0</v>
      </c>
      <c r="Q65" s="212">
        <v>0</v>
      </c>
      <c r="R65" s="212">
        <v>0</v>
      </c>
      <c r="S65" s="212">
        <v>0</v>
      </c>
      <c r="T65" s="212">
        <v>0</v>
      </c>
      <c r="U65" s="212">
        <v>0</v>
      </c>
      <c r="V65" s="212">
        <v>0</v>
      </c>
      <c r="W65" s="212">
        <v>0</v>
      </c>
      <c r="X65" s="212">
        <v>0</v>
      </c>
      <c r="Y65" s="212">
        <v>0</v>
      </c>
      <c r="AB65" s="224"/>
    </row>
    <row r="66" spans="1:28" s="220" customFormat="1" ht="15.75" customHeight="1">
      <c r="A66" s="441">
        <f t="shared" si="2"/>
        <v>500</v>
      </c>
      <c r="B66" s="442" t="s">
        <v>719</v>
      </c>
      <c r="C66" s="443">
        <f t="shared" si="39"/>
        <v>2059286</v>
      </c>
      <c r="D66" s="212">
        <v>2059286</v>
      </c>
      <c r="E66" s="212">
        <v>0</v>
      </c>
      <c r="F66" s="443">
        <f t="shared" ref="F66:F71" si="44">+G66+H66+I66</f>
        <v>0</v>
      </c>
      <c r="G66" s="212">
        <v>0</v>
      </c>
      <c r="H66" s="212">
        <v>0</v>
      </c>
      <c r="I66" s="212">
        <v>0</v>
      </c>
      <c r="J66" s="212">
        <v>0</v>
      </c>
      <c r="K66" s="212">
        <v>0</v>
      </c>
      <c r="L66" s="212">
        <v>0</v>
      </c>
      <c r="M66" s="212">
        <v>228995</v>
      </c>
      <c r="N66" s="212">
        <v>0</v>
      </c>
      <c r="O66" s="443">
        <f t="shared" si="43"/>
        <v>1500000</v>
      </c>
      <c r="P66" s="212">
        <v>0</v>
      </c>
      <c r="Q66" s="212">
        <v>1500000</v>
      </c>
      <c r="R66" s="212">
        <v>0</v>
      </c>
      <c r="S66" s="212">
        <v>0</v>
      </c>
      <c r="T66" s="212">
        <v>0</v>
      </c>
      <c r="U66" s="212">
        <v>0</v>
      </c>
      <c r="V66" s="212">
        <v>0</v>
      </c>
      <c r="W66" s="212">
        <v>330291</v>
      </c>
      <c r="X66" s="212">
        <v>0</v>
      </c>
      <c r="Y66" s="212">
        <v>0</v>
      </c>
      <c r="AB66" s="224"/>
    </row>
    <row r="67" spans="1:28" s="220" customFormat="1" ht="15.75" customHeight="1">
      <c r="A67" s="441">
        <f t="shared" ref="A67:A85" si="45">A66+10</f>
        <v>510</v>
      </c>
      <c r="B67" s="442" t="s">
        <v>675</v>
      </c>
      <c r="C67" s="443">
        <f t="shared" si="39"/>
        <v>0</v>
      </c>
      <c r="D67" s="212">
        <v>0</v>
      </c>
      <c r="E67" s="212">
        <v>0</v>
      </c>
      <c r="F67" s="443">
        <f t="shared" si="44"/>
        <v>0</v>
      </c>
      <c r="G67" s="212">
        <v>0</v>
      </c>
      <c r="H67" s="212">
        <v>0</v>
      </c>
      <c r="I67" s="212">
        <v>0</v>
      </c>
      <c r="J67" s="212">
        <v>0</v>
      </c>
      <c r="K67" s="212">
        <v>0</v>
      </c>
      <c r="L67" s="212">
        <v>0</v>
      </c>
      <c r="M67" s="212">
        <v>0</v>
      </c>
      <c r="N67" s="212">
        <v>0</v>
      </c>
      <c r="O67" s="443">
        <f t="shared" si="43"/>
        <v>0</v>
      </c>
      <c r="P67" s="212">
        <v>0</v>
      </c>
      <c r="Q67" s="212">
        <v>0</v>
      </c>
      <c r="R67" s="212">
        <v>0</v>
      </c>
      <c r="S67" s="212">
        <v>0</v>
      </c>
      <c r="T67" s="212">
        <v>0</v>
      </c>
      <c r="U67" s="212">
        <v>0</v>
      </c>
      <c r="V67" s="212">
        <v>0</v>
      </c>
      <c r="W67" s="212">
        <v>0</v>
      </c>
      <c r="X67" s="212">
        <v>0</v>
      </c>
      <c r="Y67" s="212">
        <v>0</v>
      </c>
      <c r="AB67" s="224"/>
    </row>
    <row r="68" spans="1:28" s="220" customFormat="1" ht="15.75" customHeight="1">
      <c r="A68" s="441">
        <f t="shared" si="45"/>
        <v>520</v>
      </c>
      <c r="B68" s="442" t="s">
        <v>676</v>
      </c>
      <c r="C68" s="443">
        <f t="shared" si="39"/>
        <v>0</v>
      </c>
      <c r="D68" s="212">
        <v>0</v>
      </c>
      <c r="E68" s="212">
        <v>0</v>
      </c>
      <c r="F68" s="443">
        <f t="shared" si="44"/>
        <v>0</v>
      </c>
      <c r="G68" s="212">
        <v>0</v>
      </c>
      <c r="H68" s="212">
        <v>0</v>
      </c>
      <c r="I68" s="212">
        <v>0</v>
      </c>
      <c r="J68" s="212">
        <v>0</v>
      </c>
      <c r="K68" s="212">
        <v>0</v>
      </c>
      <c r="L68" s="212">
        <v>0</v>
      </c>
      <c r="M68" s="212">
        <v>0</v>
      </c>
      <c r="N68" s="212">
        <v>0</v>
      </c>
      <c r="O68" s="443">
        <f t="shared" si="43"/>
        <v>0</v>
      </c>
      <c r="P68" s="212">
        <v>0</v>
      </c>
      <c r="Q68" s="212">
        <v>0</v>
      </c>
      <c r="R68" s="212">
        <v>0</v>
      </c>
      <c r="S68" s="212">
        <v>0</v>
      </c>
      <c r="T68" s="212">
        <v>0</v>
      </c>
      <c r="U68" s="212">
        <v>0</v>
      </c>
      <c r="V68" s="212">
        <v>0</v>
      </c>
      <c r="W68" s="212">
        <v>0</v>
      </c>
      <c r="X68" s="212">
        <v>0</v>
      </c>
      <c r="Y68" s="212">
        <v>0</v>
      </c>
      <c r="AB68" s="224"/>
    </row>
    <row r="69" spans="1:28" s="220" customFormat="1" ht="15.75" customHeight="1">
      <c r="A69" s="441">
        <f>A68+10</f>
        <v>530</v>
      </c>
      <c r="B69" s="442" t="s">
        <v>677</v>
      </c>
      <c r="C69" s="443">
        <f t="shared" si="39"/>
        <v>0</v>
      </c>
      <c r="D69" s="212">
        <v>0</v>
      </c>
      <c r="E69" s="212">
        <v>0</v>
      </c>
      <c r="F69" s="443">
        <f t="shared" si="44"/>
        <v>0</v>
      </c>
      <c r="G69" s="212">
        <v>0</v>
      </c>
      <c r="H69" s="212">
        <v>0</v>
      </c>
      <c r="I69" s="212">
        <v>0</v>
      </c>
      <c r="J69" s="212">
        <v>0</v>
      </c>
      <c r="K69" s="212">
        <v>0</v>
      </c>
      <c r="L69" s="212">
        <v>0</v>
      </c>
      <c r="M69" s="212">
        <v>0</v>
      </c>
      <c r="N69" s="212">
        <v>0</v>
      </c>
      <c r="O69" s="443">
        <f t="shared" si="43"/>
        <v>0</v>
      </c>
      <c r="P69" s="212">
        <v>0</v>
      </c>
      <c r="Q69" s="212">
        <v>0</v>
      </c>
      <c r="R69" s="212">
        <v>0</v>
      </c>
      <c r="S69" s="212">
        <v>0</v>
      </c>
      <c r="T69" s="212">
        <v>0</v>
      </c>
      <c r="U69" s="212">
        <v>0</v>
      </c>
      <c r="V69" s="212">
        <v>0</v>
      </c>
      <c r="W69" s="212">
        <v>0</v>
      </c>
      <c r="X69" s="212">
        <v>0</v>
      </c>
      <c r="Y69" s="212">
        <v>0</v>
      </c>
      <c r="AB69" s="224"/>
    </row>
    <row r="70" spans="1:28" s="493" customFormat="1" ht="15.75" customHeight="1">
      <c r="A70" s="491">
        <f>A69+10</f>
        <v>540</v>
      </c>
      <c r="B70" s="491" t="s">
        <v>235</v>
      </c>
      <c r="C70" s="492">
        <f t="shared" si="39"/>
        <v>3115127146</v>
      </c>
      <c r="D70" s="492">
        <f>SUM(D60:D69)</f>
        <v>1099191095</v>
      </c>
      <c r="E70" s="492">
        <f>SUM(E60:E69)</f>
        <v>2015936051</v>
      </c>
      <c r="F70" s="492">
        <f t="shared" si="44"/>
        <v>84207389</v>
      </c>
      <c r="G70" s="492">
        <f>SUM(G60:G69)</f>
        <v>55124153</v>
      </c>
      <c r="H70" s="492">
        <f>SUM(H60:H69)</f>
        <v>23289729</v>
      </c>
      <c r="I70" s="492">
        <f>SUM(I60:I69)</f>
        <v>5793507</v>
      </c>
      <c r="J70" s="492">
        <f t="shared" ref="J70:Y70" si="46">SUM(J60:J69)</f>
        <v>0</v>
      </c>
      <c r="K70" s="492">
        <f t="shared" si="46"/>
        <v>186764141</v>
      </c>
      <c r="L70" s="492">
        <f t="shared" si="46"/>
        <v>0</v>
      </c>
      <c r="M70" s="492">
        <f t="shared" si="46"/>
        <v>134966931</v>
      </c>
      <c r="N70" s="492">
        <f t="shared" si="46"/>
        <v>0</v>
      </c>
      <c r="O70" s="492">
        <f t="shared" si="46"/>
        <v>1214508777</v>
      </c>
      <c r="P70" s="492">
        <f t="shared" si="46"/>
        <v>23248827</v>
      </c>
      <c r="Q70" s="492">
        <f t="shared" si="46"/>
        <v>1191259950</v>
      </c>
      <c r="R70" s="492">
        <f t="shared" si="46"/>
        <v>198187383</v>
      </c>
      <c r="S70" s="492">
        <f t="shared" si="46"/>
        <v>0</v>
      </c>
      <c r="T70" s="492">
        <f t="shared" si="46"/>
        <v>0</v>
      </c>
      <c r="U70" s="492">
        <f t="shared" si="46"/>
        <v>381944</v>
      </c>
      <c r="V70" s="492">
        <f t="shared" si="46"/>
        <v>1168870618</v>
      </c>
      <c r="W70" s="492">
        <f t="shared" si="46"/>
        <v>209229954</v>
      </c>
      <c r="X70" s="492">
        <f t="shared" si="46"/>
        <v>2203856</v>
      </c>
      <c r="Y70" s="492">
        <f t="shared" si="46"/>
        <v>13542</v>
      </c>
      <c r="AB70" s="494"/>
    </row>
    <row r="71" spans="1:28" s="220" customFormat="1" ht="17.25" customHeight="1">
      <c r="A71" s="441">
        <v>550</v>
      </c>
      <c r="B71" s="448" t="s">
        <v>717</v>
      </c>
      <c r="C71" s="443">
        <f t="shared" si="39"/>
        <v>5463367169</v>
      </c>
      <c r="D71" s="212">
        <v>5463367169</v>
      </c>
      <c r="E71" s="212">
        <v>0</v>
      </c>
      <c r="F71" s="443">
        <f t="shared" si="44"/>
        <v>50338680</v>
      </c>
      <c r="G71" s="212">
        <v>25017834</v>
      </c>
      <c r="H71" s="212">
        <v>18412252</v>
      </c>
      <c r="I71" s="212">
        <v>6908594</v>
      </c>
      <c r="J71" s="212">
        <v>0</v>
      </c>
      <c r="K71" s="212">
        <v>63556</v>
      </c>
      <c r="L71" s="212">
        <v>0</v>
      </c>
      <c r="M71" s="212">
        <v>173176262</v>
      </c>
      <c r="N71" s="212">
        <v>0</v>
      </c>
      <c r="O71" s="443">
        <f t="shared" si="43"/>
        <v>3156481451</v>
      </c>
      <c r="P71" s="212">
        <v>3154985645</v>
      </c>
      <c r="Q71" s="212">
        <v>1495806</v>
      </c>
      <c r="R71" s="212">
        <v>0</v>
      </c>
      <c r="S71" s="212">
        <v>0</v>
      </c>
      <c r="T71" s="212">
        <v>0</v>
      </c>
      <c r="U71" s="212">
        <v>164730</v>
      </c>
      <c r="V71" s="212">
        <v>1351507963</v>
      </c>
      <c r="W71" s="212">
        <v>779861704</v>
      </c>
      <c r="X71" s="212">
        <v>1051960</v>
      </c>
      <c r="Y71" s="212">
        <v>1059543</v>
      </c>
    </row>
    <row r="72" spans="1:28" s="220" customFormat="1" ht="15.75" customHeight="1">
      <c r="A72" s="434"/>
      <c r="B72" s="439" t="s">
        <v>718</v>
      </c>
      <c r="C72" s="444"/>
      <c r="D72" s="444"/>
      <c r="E72" s="444"/>
      <c r="F72" s="444"/>
      <c r="G72" s="445"/>
      <c r="H72" s="444"/>
      <c r="I72" s="444"/>
      <c r="J72" s="444"/>
      <c r="K72" s="444"/>
      <c r="L72" s="444"/>
      <c r="M72" s="444"/>
      <c r="N72" s="444"/>
      <c r="O72" s="444"/>
      <c r="P72" s="444"/>
      <c r="Q72" s="444"/>
      <c r="R72" s="444"/>
      <c r="S72" s="444"/>
      <c r="T72" s="444"/>
      <c r="U72" s="444"/>
      <c r="V72" s="444"/>
      <c r="W72" s="444"/>
      <c r="X72" s="444"/>
      <c r="Y72" s="444"/>
      <c r="AB72" s="224"/>
    </row>
    <row r="73" spans="1:28" s="220" customFormat="1" ht="15.75" customHeight="1">
      <c r="A73" s="441">
        <f>A71+10</f>
        <v>560</v>
      </c>
      <c r="B73" s="442" t="s">
        <v>401</v>
      </c>
      <c r="C73" s="443">
        <f t="shared" ref="C73:C85" si="47">SUM(J73:Y73)-L73-P73-Q73</f>
        <v>5463367169</v>
      </c>
      <c r="D73" s="443">
        <f t="shared" ref="D73:Y73" si="48">+D71</f>
        <v>5463367169</v>
      </c>
      <c r="E73" s="443">
        <f t="shared" ref="E73" si="49">+E71</f>
        <v>0</v>
      </c>
      <c r="F73" s="443">
        <f t="shared" si="48"/>
        <v>50338680</v>
      </c>
      <c r="G73" s="443">
        <f t="shared" ref="G73" si="50">+G71</f>
        <v>25017834</v>
      </c>
      <c r="H73" s="443">
        <f t="shared" si="48"/>
        <v>18412252</v>
      </c>
      <c r="I73" s="443">
        <f t="shared" si="48"/>
        <v>6908594</v>
      </c>
      <c r="J73" s="443">
        <f t="shared" si="48"/>
        <v>0</v>
      </c>
      <c r="K73" s="443">
        <f t="shared" si="48"/>
        <v>63556</v>
      </c>
      <c r="L73" s="443">
        <f t="shared" si="48"/>
        <v>0</v>
      </c>
      <c r="M73" s="443">
        <f t="shared" si="48"/>
        <v>173176262</v>
      </c>
      <c r="N73" s="443">
        <f t="shared" si="48"/>
        <v>0</v>
      </c>
      <c r="O73" s="443">
        <f t="shared" si="48"/>
        <v>3156481451</v>
      </c>
      <c r="P73" s="443">
        <f t="shared" si="48"/>
        <v>3154985645</v>
      </c>
      <c r="Q73" s="443">
        <f t="shared" si="48"/>
        <v>1495806</v>
      </c>
      <c r="R73" s="443">
        <f t="shared" si="48"/>
        <v>0</v>
      </c>
      <c r="S73" s="443">
        <f t="shared" si="48"/>
        <v>0</v>
      </c>
      <c r="T73" s="443">
        <f t="shared" si="48"/>
        <v>0</v>
      </c>
      <c r="U73" s="443">
        <f t="shared" si="48"/>
        <v>164730</v>
      </c>
      <c r="V73" s="443">
        <f t="shared" si="48"/>
        <v>1351507963</v>
      </c>
      <c r="W73" s="443">
        <f t="shared" si="48"/>
        <v>779861704</v>
      </c>
      <c r="X73" s="443">
        <f t="shared" si="48"/>
        <v>1051960</v>
      </c>
      <c r="Y73" s="443">
        <f t="shared" si="48"/>
        <v>1059543</v>
      </c>
      <c r="AB73" s="224"/>
    </row>
    <row r="74" spans="1:28" s="220" customFormat="1" ht="15.75" customHeight="1">
      <c r="A74" s="441">
        <f t="shared" si="45"/>
        <v>570</v>
      </c>
      <c r="B74" s="442" t="s">
        <v>672</v>
      </c>
      <c r="C74" s="443">
        <f t="shared" si="47"/>
        <v>14093170226</v>
      </c>
      <c r="D74" s="443">
        <f t="shared" ref="D74:F76" si="51">D9+D16+D24+D31+D38+D45+D52+D60</f>
        <v>4517131855</v>
      </c>
      <c r="E74" s="443">
        <f t="shared" si="51"/>
        <v>9576038371</v>
      </c>
      <c r="F74" s="443">
        <f t="shared" si="51"/>
        <v>0</v>
      </c>
      <c r="G74" s="443">
        <f t="shared" ref="G74" si="52">G9+G16+G24+G31+G38+G45+G52+G60</f>
        <v>0</v>
      </c>
      <c r="H74" s="443">
        <f t="shared" ref="H74:Y74" si="53">H9+H16+H24+H31+H38+H45+H52+H60</f>
        <v>0</v>
      </c>
      <c r="I74" s="443">
        <f t="shared" si="53"/>
        <v>0</v>
      </c>
      <c r="J74" s="443">
        <f t="shared" si="53"/>
        <v>958841375</v>
      </c>
      <c r="K74" s="443">
        <f t="shared" si="53"/>
        <v>6811613947</v>
      </c>
      <c r="L74" s="443">
        <f t="shared" si="53"/>
        <v>5918907926</v>
      </c>
      <c r="M74" s="443">
        <f t="shared" si="53"/>
        <v>47468585</v>
      </c>
      <c r="N74" s="443">
        <f t="shared" si="53"/>
        <v>104883818</v>
      </c>
      <c r="O74" s="443">
        <f t="shared" si="53"/>
        <v>130614385</v>
      </c>
      <c r="P74" s="443">
        <f t="shared" si="53"/>
        <v>0</v>
      </c>
      <c r="Q74" s="443">
        <f t="shared" si="53"/>
        <v>130614385</v>
      </c>
      <c r="R74" s="443">
        <f t="shared" si="53"/>
        <v>705565759</v>
      </c>
      <c r="S74" s="443">
        <f t="shared" si="53"/>
        <v>0</v>
      </c>
      <c r="T74" s="443">
        <f t="shared" si="53"/>
        <v>135469078</v>
      </c>
      <c r="U74" s="443">
        <f t="shared" si="53"/>
        <v>0</v>
      </c>
      <c r="V74" s="443">
        <f t="shared" si="53"/>
        <v>2444700295</v>
      </c>
      <c r="W74" s="443">
        <f t="shared" si="53"/>
        <v>7725332</v>
      </c>
      <c r="X74" s="443">
        <f t="shared" si="53"/>
        <v>284932355</v>
      </c>
      <c r="Y74" s="443">
        <f t="shared" si="53"/>
        <v>2461355297</v>
      </c>
      <c r="AB74" s="224"/>
    </row>
    <row r="75" spans="1:28" s="220" customFormat="1" ht="15.75" customHeight="1">
      <c r="A75" s="441">
        <f t="shared" si="45"/>
        <v>580</v>
      </c>
      <c r="B75" s="442" t="s">
        <v>403</v>
      </c>
      <c r="C75" s="443">
        <f t="shared" si="47"/>
        <v>9080290501</v>
      </c>
      <c r="D75" s="443">
        <f t="shared" si="51"/>
        <v>1139237313</v>
      </c>
      <c r="E75" s="443">
        <f t="shared" si="51"/>
        <v>7941053188</v>
      </c>
      <c r="F75" s="443">
        <f t="shared" si="51"/>
        <v>377747736</v>
      </c>
      <c r="G75" s="443">
        <f t="shared" ref="G75" si="54">G10+G17+G25+G32+G39+G46+G53+G61</f>
        <v>66012522</v>
      </c>
      <c r="H75" s="443">
        <f t="shared" ref="H75:Y75" si="55">H10+H17+H25+H32+H39+H46+H53+H61</f>
        <v>302666165</v>
      </c>
      <c r="I75" s="443">
        <f t="shared" si="55"/>
        <v>9069049</v>
      </c>
      <c r="J75" s="443">
        <f t="shared" si="55"/>
        <v>561273</v>
      </c>
      <c r="K75" s="443">
        <f t="shared" si="55"/>
        <v>0</v>
      </c>
      <c r="L75" s="443">
        <f t="shared" si="55"/>
        <v>0</v>
      </c>
      <c r="M75" s="443">
        <f t="shared" si="55"/>
        <v>78667187</v>
      </c>
      <c r="N75" s="443">
        <f t="shared" si="55"/>
        <v>184799033</v>
      </c>
      <c r="O75" s="443">
        <f t="shared" si="55"/>
        <v>2614607363</v>
      </c>
      <c r="P75" s="443">
        <f t="shared" si="55"/>
        <v>8213988</v>
      </c>
      <c r="Q75" s="443">
        <f t="shared" si="55"/>
        <v>2606393375</v>
      </c>
      <c r="R75" s="443">
        <f t="shared" si="55"/>
        <v>2626905553</v>
      </c>
      <c r="S75" s="443">
        <f t="shared" si="55"/>
        <v>0</v>
      </c>
      <c r="T75" s="443">
        <f t="shared" si="55"/>
        <v>0</v>
      </c>
      <c r="U75" s="443">
        <f t="shared" si="55"/>
        <v>0</v>
      </c>
      <c r="V75" s="443">
        <f t="shared" si="55"/>
        <v>1206560324</v>
      </c>
      <c r="W75" s="443">
        <f t="shared" si="55"/>
        <v>1072097646</v>
      </c>
      <c r="X75" s="443">
        <f t="shared" si="55"/>
        <v>0</v>
      </c>
      <c r="Y75" s="443">
        <f t="shared" si="55"/>
        <v>1296092122</v>
      </c>
      <c r="AB75" s="224"/>
    </row>
    <row r="76" spans="1:28" s="220" customFormat="1" ht="15.75" customHeight="1">
      <c r="A76" s="441">
        <f t="shared" si="45"/>
        <v>590</v>
      </c>
      <c r="B76" s="442" t="s">
        <v>404</v>
      </c>
      <c r="C76" s="443">
        <f t="shared" si="47"/>
        <v>19254967029</v>
      </c>
      <c r="D76" s="443">
        <f t="shared" si="51"/>
        <v>6046481253</v>
      </c>
      <c r="E76" s="443">
        <f t="shared" si="51"/>
        <v>13208485776</v>
      </c>
      <c r="F76" s="443">
        <f t="shared" si="51"/>
        <v>887237263</v>
      </c>
      <c r="G76" s="443">
        <f t="shared" ref="G76" si="56">G11+G18+G26+G33+G40+G47+G54+G62</f>
        <v>335528939</v>
      </c>
      <c r="H76" s="443">
        <f t="shared" ref="H76:Y76" si="57">H11+H18+H26+H33+H40+H47+H54+H62</f>
        <v>490888293</v>
      </c>
      <c r="I76" s="443">
        <f t="shared" si="57"/>
        <v>60820031</v>
      </c>
      <c r="J76" s="443">
        <f t="shared" si="57"/>
        <v>547253</v>
      </c>
      <c r="K76" s="443">
        <f t="shared" si="57"/>
        <v>0</v>
      </c>
      <c r="L76" s="443">
        <f t="shared" si="57"/>
        <v>0</v>
      </c>
      <c r="M76" s="443">
        <f t="shared" si="57"/>
        <v>279908384</v>
      </c>
      <c r="N76" s="443">
        <f t="shared" si="57"/>
        <v>166224453</v>
      </c>
      <c r="O76" s="443">
        <f t="shared" si="57"/>
        <v>5607586250</v>
      </c>
      <c r="P76" s="443">
        <f t="shared" si="57"/>
        <v>112425186</v>
      </c>
      <c r="Q76" s="443">
        <f t="shared" si="57"/>
        <v>5495161064</v>
      </c>
      <c r="R76" s="443">
        <f t="shared" si="57"/>
        <v>1692099517</v>
      </c>
      <c r="S76" s="443">
        <f t="shared" si="57"/>
        <v>0</v>
      </c>
      <c r="T76" s="443">
        <f t="shared" si="57"/>
        <v>0</v>
      </c>
      <c r="U76" s="443">
        <f t="shared" si="57"/>
        <v>381944</v>
      </c>
      <c r="V76" s="443">
        <f t="shared" si="57"/>
        <v>9304386806</v>
      </c>
      <c r="W76" s="443">
        <f t="shared" si="57"/>
        <v>1968017949</v>
      </c>
      <c r="X76" s="443">
        <f t="shared" si="57"/>
        <v>2203856</v>
      </c>
      <c r="Y76" s="443">
        <f t="shared" si="57"/>
        <v>233610617</v>
      </c>
      <c r="AB76" s="224"/>
    </row>
    <row r="77" spans="1:28" s="220" customFormat="1" ht="15.75" customHeight="1">
      <c r="A77" s="441">
        <f t="shared" si="45"/>
        <v>600</v>
      </c>
      <c r="B77" s="442" t="s">
        <v>673</v>
      </c>
      <c r="C77" s="443">
        <f t="shared" si="47"/>
        <v>171788067</v>
      </c>
      <c r="D77" s="443">
        <f>D19</f>
        <v>69222758</v>
      </c>
      <c r="E77" s="443">
        <f>E19</f>
        <v>102565309</v>
      </c>
      <c r="F77" s="443">
        <f>F19</f>
        <v>37243840</v>
      </c>
      <c r="G77" s="443">
        <f t="shared" ref="G77" si="58">G19</f>
        <v>9188880</v>
      </c>
      <c r="H77" s="443">
        <f t="shared" ref="H77:Y77" si="59">H19</f>
        <v>16591663</v>
      </c>
      <c r="I77" s="443">
        <f t="shared" si="59"/>
        <v>11463297</v>
      </c>
      <c r="J77" s="443">
        <f t="shared" si="59"/>
        <v>0</v>
      </c>
      <c r="K77" s="443">
        <f t="shared" si="59"/>
        <v>0</v>
      </c>
      <c r="L77" s="443">
        <f t="shared" si="59"/>
        <v>0</v>
      </c>
      <c r="M77" s="443">
        <f t="shared" si="59"/>
        <v>3948793</v>
      </c>
      <c r="N77" s="443">
        <f t="shared" si="59"/>
        <v>0</v>
      </c>
      <c r="O77" s="443">
        <f t="shared" si="59"/>
        <v>67131807</v>
      </c>
      <c r="P77" s="443">
        <f t="shared" si="59"/>
        <v>1760740</v>
      </c>
      <c r="Q77" s="443">
        <f t="shared" si="59"/>
        <v>65371067</v>
      </c>
      <c r="R77" s="443">
        <f t="shared" si="59"/>
        <v>23770438</v>
      </c>
      <c r="S77" s="443">
        <f t="shared" si="59"/>
        <v>0</v>
      </c>
      <c r="T77" s="443">
        <f t="shared" si="59"/>
        <v>0</v>
      </c>
      <c r="U77" s="443">
        <f t="shared" si="59"/>
        <v>0</v>
      </c>
      <c r="V77" s="443">
        <f t="shared" si="59"/>
        <v>74042509</v>
      </c>
      <c r="W77" s="443">
        <f t="shared" si="59"/>
        <v>2894520</v>
      </c>
      <c r="X77" s="443">
        <f t="shared" si="59"/>
        <v>0</v>
      </c>
      <c r="Y77" s="443">
        <f t="shared" si="59"/>
        <v>0</v>
      </c>
      <c r="AB77" s="224"/>
    </row>
    <row r="78" spans="1:28" s="220" customFormat="1" ht="15.75" customHeight="1">
      <c r="A78" s="441">
        <f t="shared" si="45"/>
        <v>610</v>
      </c>
      <c r="B78" s="442" t="s">
        <v>671</v>
      </c>
      <c r="C78" s="443">
        <f t="shared" si="47"/>
        <v>0</v>
      </c>
      <c r="D78" s="443">
        <f t="shared" ref="D78:Y78" si="60">D64</f>
        <v>0</v>
      </c>
      <c r="E78" s="443">
        <f t="shared" ref="E78" si="61">E64</f>
        <v>0</v>
      </c>
      <c r="F78" s="443">
        <f t="shared" si="60"/>
        <v>0</v>
      </c>
      <c r="G78" s="443">
        <f t="shared" ref="G78" si="62">G64</f>
        <v>0</v>
      </c>
      <c r="H78" s="443">
        <f t="shared" si="60"/>
        <v>0</v>
      </c>
      <c r="I78" s="443">
        <f t="shared" si="60"/>
        <v>0</v>
      </c>
      <c r="J78" s="443">
        <f t="shared" si="60"/>
        <v>0</v>
      </c>
      <c r="K78" s="443">
        <f t="shared" si="60"/>
        <v>0</v>
      </c>
      <c r="L78" s="443">
        <f t="shared" si="60"/>
        <v>0</v>
      </c>
      <c r="M78" s="443">
        <f t="shared" si="60"/>
        <v>0</v>
      </c>
      <c r="N78" s="443">
        <f t="shared" si="60"/>
        <v>0</v>
      </c>
      <c r="O78" s="443">
        <f t="shared" si="60"/>
        <v>0</v>
      </c>
      <c r="P78" s="443">
        <f t="shared" si="60"/>
        <v>0</v>
      </c>
      <c r="Q78" s="443">
        <f t="shared" si="60"/>
        <v>0</v>
      </c>
      <c r="R78" s="443">
        <f t="shared" si="60"/>
        <v>0</v>
      </c>
      <c r="S78" s="443">
        <f t="shared" si="60"/>
        <v>0</v>
      </c>
      <c r="T78" s="443">
        <f t="shared" si="60"/>
        <v>0</v>
      </c>
      <c r="U78" s="443">
        <f t="shared" si="60"/>
        <v>0</v>
      </c>
      <c r="V78" s="443">
        <f t="shared" si="60"/>
        <v>0</v>
      </c>
      <c r="W78" s="443">
        <f t="shared" si="60"/>
        <v>0</v>
      </c>
      <c r="X78" s="443">
        <f t="shared" si="60"/>
        <v>0</v>
      </c>
      <c r="Y78" s="443">
        <f t="shared" si="60"/>
        <v>0</v>
      </c>
      <c r="AB78" s="224"/>
    </row>
    <row r="79" spans="1:28" s="220" customFormat="1" ht="15.75" customHeight="1">
      <c r="A79" s="441">
        <f t="shared" si="45"/>
        <v>620</v>
      </c>
      <c r="B79" s="442" t="s">
        <v>669</v>
      </c>
      <c r="C79" s="443">
        <f t="shared" si="47"/>
        <v>0</v>
      </c>
      <c r="D79" s="443">
        <f t="shared" ref="D79:Y79" si="63">D63</f>
        <v>0</v>
      </c>
      <c r="E79" s="443">
        <f t="shared" ref="E79" si="64">E63</f>
        <v>0</v>
      </c>
      <c r="F79" s="443">
        <f t="shared" si="63"/>
        <v>0</v>
      </c>
      <c r="G79" s="443">
        <f t="shared" ref="G79" si="65">G63</f>
        <v>0</v>
      </c>
      <c r="H79" s="443">
        <f t="shared" si="63"/>
        <v>0</v>
      </c>
      <c r="I79" s="443">
        <f t="shared" si="63"/>
        <v>0</v>
      </c>
      <c r="J79" s="443">
        <f t="shared" si="63"/>
        <v>0</v>
      </c>
      <c r="K79" s="443">
        <f t="shared" si="63"/>
        <v>0</v>
      </c>
      <c r="L79" s="443">
        <f t="shared" si="63"/>
        <v>0</v>
      </c>
      <c r="M79" s="443">
        <f t="shared" si="63"/>
        <v>0</v>
      </c>
      <c r="N79" s="443">
        <f t="shared" si="63"/>
        <v>0</v>
      </c>
      <c r="O79" s="443">
        <f t="shared" si="63"/>
        <v>0</v>
      </c>
      <c r="P79" s="443">
        <f t="shared" si="63"/>
        <v>0</v>
      </c>
      <c r="Q79" s="443">
        <f t="shared" si="63"/>
        <v>0</v>
      </c>
      <c r="R79" s="443">
        <f t="shared" si="63"/>
        <v>0</v>
      </c>
      <c r="S79" s="443">
        <f t="shared" si="63"/>
        <v>0</v>
      </c>
      <c r="T79" s="443">
        <f t="shared" si="63"/>
        <v>0</v>
      </c>
      <c r="U79" s="443">
        <f t="shared" si="63"/>
        <v>0</v>
      </c>
      <c r="V79" s="443">
        <f t="shared" si="63"/>
        <v>0</v>
      </c>
      <c r="W79" s="443">
        <f t="shared" si="63"/>
        <v>0</v>
      </c>
      <c r="X79" s="443">
        <f t="shared" si="63"/>
        <v>0</v>
      </c>
      <c r="Y79" s="443">
        <f t="shared" si="63"/>
        <v>0</v>
      </c>
      <c r="AB79" s="224"/>
    </row>
    <row r="80" spans="1:28" s="220" customFormat="1" ht="15.75" customHeight="1">
      <c r="A80" s="441">
        <f t="shared" si="45"/>
        <v>630</v>
      </c>
      <c r="B80" s="442" t="s">
        <v>400</v>
      </c>
      <c r="C80" s="443">
        <f t="shared" si="47"/>
        <v>0</v>
      </c>
      <c r="D80" s="443">
        <f>D12+D20+D27+D34+D41+D48+D55+D65</f>
        <v>0</v>
      </c>
      <c r="E80" s="443">
        <f>E12+E20+E27+E34+E41+E48+E55+E65</f>
        <v>0</v>
      </c>
      <c r="F80" s="443">
        <f>F12+F20+F27+F34+F41+F48+F55+F65</f>
        <v>0</v>
      </c>
      <c r="G80" s="443">
        <f t="shared" ref="G80" si="66">G12+G20+G27+G34+G41+G48+G55+G65</f>
        <v>0</v>
      </c>
      <c r="H80" s="443">
        <f t="shared" ref="H80:Y80" si="67">H12+H20+H27+H34+H41+H48+H55+H65</f>
        <v>0</v>
      </c>
      <c r="I80" s="443">
        <f t="shared" si="67"/>
        <v>0</v>
      </c>
      <c r="J80" s="443">
        <f t="shared" si="67"/>
        <v>0</v>
      </c>
      <c r="K80" s="443">
        <f t="shared" si="67"/>
        <v>0</v>
      </c>
      <c r="L80" s="443">
        <f t="shared" si="67"/>
        <v>0</v>
      </c>
      <c r="M80" s="443">
        <f t="shared" si="67"/>
        <v>0</v>
      </c>
      <c r="N80" s="443">
        <f t="shared" si="67"/>
        <v>0</v>
      </c>
      <c r="O80" s="443">
        <f t="shared" si="67"/>
        <v>0</v>
      </c>
      <c r="P80" s="443">
        <f t="shared" si="67"/>
        <v>0</v>
      </c>
      <c r="Q80" s="443">
        <f t="shared" si="67"/>
        <v>0</v>
      </c>
      <c r="R80" s="443">
        <f t="shared" si="67"/>
        <v>0</v>
      </c>
      <c r="S80" s="443">
        <f t="shared" si="67"/>
        <v>0</v>
      </c>
      <c r="T80" s="443">
        <f t="shared" si="67"/>
        <v>0</v>
      </c>
      <c r="U80" s="443">
        <f t="shared" si="67"/>
        <v>0</v>
      </c>
      <c r="V80" s="443">
        <f t="shared" si="67"/>
        <v>0</v>
      </c>
      <c r="W80" s="443">
        <f t="shared" si="67"/>
        <v>0</v>
      </c>
      <c r="X80" s="443">
        <f t="shared" si="67"/>
        <v>0</v>
      </c>
      <c r="Y80" s="443">
        <f t="shared" si="67"/>
        <v>0</v>
      </c>
      <c r="AB80" s="224"/>
    </row>
    <row r="81" spans="1:28" s="220" customFormat="1" ht="15.75" customHeight="1">
      <c r="A81" s="441">
        <f t="shared" si="45"/>
        <v>640</v>
      </c>
      <c r="B81" s="442" t="s">
        <v>719</v>
      </c>
      <c r="C81" s="443">
        <f t="shared" si="47"/>
        <v>2059286</v>
      </c>
      <c r="D81" s="443">
        <f t="shared" ref="D81:Y81" si="68">D66</f>
        <v>2059286</v>
      </c>
      <c r="E81" s="443">
        <f t="shared" ref="E81" si="69">E66</f>
        <v>0</v>
      </c>
      <c r="F81" s="443">
        <f t="shared" si="68"/>
        <v>0</v>
      </c>
      <c r="G81" s="443">
        <f t="shared" ref="G81" si="70">G66</f>
        <v>0</v>
      </c>
      <c r="H81" s="443">
        <f t="shared" si="68"/>
        <v>0</v>
      </c>
      <c r="I81" s="443">
        <f t="shared" si="68"/>
        <v>0</v>
      </c>
      <c r="J81" s="443">
        <f t="shared" si="68"/>
        <v>0</v>
      </c>
      <c r="K81" s="443">
        <f t="shared" si="68"/>
        <v>0</v>
      </c>
      <c r="L81" s="443">
        <f t="shared" si="68"/>
        <v>0</v>
      </c>
      <c r="M81" s="443">
        <f t="shared" si="68"/>
        <v>228995</v>
      </c>
      <c r="N81" s="443">
        <f t="shared" si="68"/>
        <v>0</v>
      </c>
      <c r="O81" s="443">
        <f t="shared" si="68"/>
        <v>1500000</v>
      </c>
      <c r="P81" s="443">
        <f t="shared" si="68"/>
        <v>0</v>
      </c>
      <c r="Q81" s="443">
        <f t="shared" si="68"/>
        <v>1500000</v>
      </c>
      <c r="R81" s="443">
        <f t="shared" si="68"/>
        <v>0</v>
      </c>
      <c r="S81" s="443">
        <f t="shared" si="68"/>
        <v>0</v>
      </c>
      <c r="T81" s="443">
        <f t="shared" si="68"/>
        <v>0</v>
      </c>
      <c r="U81" s="443">
        <f t="shared" si="68"/>
        <v>0</v>
      </c>
      <c r="V81" s="443">
        <f t="shared" si="68"/>
        <v>0</v>
      </c>
      <c r="W81" s="443">
        <f t="shared" si="68"/>
        <v>330291</v>
      </c>
      <c r="X81" s="443">
        <f t="shared" si="68"/>
        <v>0</v>
      </c>
      <c r="Y81" s="443">
        <f t="shared" si="68"/>
        <v>0</v>
      </c>
      <c r="AB81" s="224"/>
    </row>
    <row r="82" spans="1:28" s="220" customFormat="1" ht="15.75" customHeight="1">
      <c r="A82" s="441">
        <f t="shared" si="45"/>
        <v>650</v>
      </c>
      <c r="B82" s="442" t="s">
        <v>675</v>
      </c>
      <c r="C82" s="443">
        <f>SUM(J82:Y82)-L82-P82-Q82</f>
        <v>10242602</v>
      </c>
      <c r="D82" s="443">
        <f>+D56+D67</f>
        <v>10242602</v>
      </c>
      <c r="E82" s="443">
        <f>+E56+E67</f>
        <v>0</v>
      </c>
      <c r="F82" s="443">
        <f>+F56+F67</f>
        <v>6118961</v>
      </c>
      <c r="G82" s="443">
        <f t="shared" ref="G82" si="71">+G56+G67</f>
        <v>1041035</v>
      </c>
      <c r="H82" s="443">
        <f t="shared" ref="H82:Y82" si="72">+H56+H67</f>
        <v>1884435</v>
      </c>
      <c r="I82" s="443">
        <f t="shared" si="72"/>
        <v>3193491</v>
      </c>
      <c r="J82" s="443">
        <f t="shared" si="72"/>
        <v>0</v>
      </c>
      <c r="K82" s="443">
        <f t="shared" si="72"/>
        <v>0</v>
      </c>
      <c r="L82" s="443">
        <f t="shared" si="72"/>
        <v>0</v>
      </c>
      <c r="M82" s="443">
        <f t="shared" si="72"/>
        <v>0</v>
      </c>
      <c r="N82" s="443">
        <f t="shared" si="72"/>
        <v>0</v>
      </c>
      <c r="O82" s="443">
        <f t="shared" si="72"/>
        <v>0</v>
      </c>
      <c r="P82" s="443">
        <f t="shared" si="72"/>
        <v>0</v>
      </c>
      <c r="Q82" s="443">
        <f t="shared" si="72"/>
        <v>0</v>
      </c>
      <c r="R82" s="443">
        <f t="shared" si="72"/>
        <v>0</v>
      </c>
      <c r="S82" s="443">
        <f t="shared" si="72"/>
        <v>0</v>
      </c>
      <c r="T82" s="443">
        <f t="shared" si="72"/>
        <v>0</v>
      </c>
      <c r="U82" s="443">
        <f t="shared" si="72"/>
        <v>0</v>
      </c>
      <c r="V82" s="443">
        <f t="shared" si="72"/>
        <v>4855226</v>
      </c>
      <c r="W82" s="443">
        <f t="shared" si="72"/>
        <v>5387376</v>
      </c>
      <c r="X82" s="443">
        <f t="shared" si="72"/>
        <v>0</v>
      </c>
      <c r="Y82" s="443">
        <f t="shared" si="72"/>
        <v>0</v>
      </c>
      <c r="AB82" s="224"/>
    </row>
    <row r="83" spans="1:28" s="220" customFormat="1" ht="15.75" customHeight="1">
      <c r="A83" s="441">
        <f t="shared" si="45"/>
        <v>660</v>
      </c>
      <c r="B83" s="442" t="s">
        <v>676</v>
      </c>
      <c r="C83" s="443">
        <f t="shared" si="47"/>
        <v>0</v>
      </c>
      <c r="D83" s="443">
        <f t="shared" ref="D83:Y83" si="73">D68</f>
        <v>0</v>
      </c>
      <c r="E83" s="443">
        <f t="shared" ref="E83" si="74">E68</f>
        <v>0</v>
      </c>
      <c r="F83" s="443">
        <f t="shared" si="73"/>
        <v>0</v>
      </c>
      <c r="G83" s="443">
        <f t="shared" ref="G83" si="75">G68</f>
        <v>0</v>
      </c>
      <c r="H83" s="443">
        <f t="shared" si="73"/>
        <v>0</v>
      </c>
      <c r="I83" s="443">
        <f t="shared" si="73"/>
        <v>0</v>
      </c>
      <c r="J83" s="443">
        <f t="shared" si="73"/>
        <v>0</v>
      </c>
      <c r="K83" s="443">
        <f t="shared" si="73"/>
        <v>0</v>
      </c>
      <c r="L83" s="443">
        <f t="shared" si="73"/>
        <v>0</v>
      </c>
      <c r="M83" s="443">
        <f t="shared" si="73"/>
        <v>0</v>
      </c>
      <c r="N83" s="443">
        <f t="shared" si="73"/>
        <v>0</v>
      </c>
      <c r="O83" s="443">
        <f t="shared" si="73"/>
        <v>0</v>
      </c>
      <c r="P83" s="443">
        <f t="shared" si="73"/>
        <v>0</v>
      </c>
      <c r="Q83" s="443">
        <f t="shared" si="73"/>
        <v>0</v>
      </c>
      <c r="R83" s="443">
        <f t="shared" si="73"/>
        <v>0</v>
      </c>
      <c r="S83" s="443">
        <f t="shared" si="73"/>
        <v>0</v>
      </c>
      <c r="T83" s="443">
        <f t="shared" si="73"/>
        <v>0</v>
      </c>
      <c r="U83" s="443">
        <f t="shared" si="73"/>
        <v>0</v>
      </c>
      <c r="V83" s="443">
        <f t="shared" si="73"/>
        <v>0</v>
      </c>
      <c r="W83" s="443">
        <f t="shared" si="73"/>
        <v>0</v>
      </c>
      <c r="X83" s="443">
        <f t="shared" si="73"/>
        <v>0</v>
      </c>
      <c r="Y83" s="443">
        <f t="shared" si="73"/>
        <v>0</v>
      </c>
      <c r="AB83" s="224"/>
    </row>
    <row r="84" spans="1:28" s="220" customFormat="1" ht="15.75" customHeight="1">
      <c r="A84" s="441">
        <f>A83+10</f>
        <v>670</v>
      </c>
      <c r="B84" s="442" t="s">
        <v>677</v>
      </c>
      <c r="C84" s="443">
        <f t="shared" si="47"/>
        <v>0</v>
      </c>
      <c r="D84" s="443">
        <f>D13+D21+D28+D35+D42+D49+D57+D69</f>
        <v>0</v>
      </c>
      <c r="E84" s="443">
        <f>E13+E21+E28+E35+E42+E49+E57+E69</f>
        <v>0</v>
      </c>
      <c r="F84" s="443">
        <f>F13+F21+F28+F35+F42+F49+F57+F69</f>
        <v>0</v>
      </c>
      <c r="G84" s="443">
        <f t="shared" ref="G84" si="76">G13+G21+G28+G35+G42+G49+G57+G69</f>
        <v>0</v>
      </c>
      <c r="H84" s="443">
        <f t="shared" ref="H84:Y84" si="77">H13+H21+H28+H35+H42+H49+H57+H69</f>
        <v>0</v>
      </c>
      <c r="I84" s="443">
        <f t="shared" si="77"/>
        <v>0</v>
      </c>
      <c r="J84" s="443">
        <f t="shared" si="77"/>
        <v>0</v>
      </c>
      <c r="K84" s="443">
        <f t="shared" si="77"/>
        <v>0</v>
      </c>
      <c r="L84" s="443">
        <f t="shared" si="77"/>
        <v>0</v>
      </c>
      <c r="M84" s="443">
        <f t="shared" si="77"/>
        <v>0</v>
      </c>
      <c r="N84" s="443">
        <f t="shared" si="77"/>
        <v>0</v>
      </c>
      <c r="O84" s="443">
        <f t="shared" si="77"/>
        <v>0</v>
      </c>
      <c r="P84" s="443">
        <f t="shared" si="77"/>
        <v>0</v>
      </c>
      <c r="Q84" s="443">
        <f t="shared" si="77"/>
        <v>0</v>
      </c>
      <c r="R84" s="443">
        <f t="shared" si="77"/>
        <v>0</v>
      </c>
      <c r="S84" s="443">
        <f t="shared" si="77"/>
        <v>0</v>
      </c>
      <c r="T84" s="443">
        <f t="shared" si="77"/>
        <v>0</v>
      </c>
      <c r="U84" s="443">
        <f t="shared" si="77"/>
        <v>0</v>
      </c>
      <c r="V84" s="443">
        <f t="shared" si="77"/>
        <v>0</v>
      </c>
      <c r="W84" s="443">
        <f t="shared" si="77"/>
        <v>0</v>
      </c>
      <c r="X84" s="443">
        <f t="shared" si="77"/>
        <v>0</v>
      </c>
      <c r="Y84" s="443">
        <f t="shared" si="77"/>
        <v>0</v>
      </c>
      <c r="AB84" s="224"/>
    </row>
    <row r="85" spans="1:28" s="493" customFormat="1" ht="15.75" customHeight="1">
      <c r="A85" s="491">
        <f t="shared" si="45"/>
        <v>680</v>
      </c>
      <c r="B85" s="491" t="s">
        <v>678</v>
      </c>
      <c r="C85" s="492">
        <f t="shared" si="47"/>
        <v>48075884880</v>
      </c>
      <c r="D85" s="492">
        <f>SUM(D73:D84)</f>
        <v>17247742236</v>
      </c>
      <c r="E85" s="492">
        <f>SUM(E73:E84)</f>
        <v>30828142644</v>
      </c>
      <c r="F85" s="492">
        <f>SUM(F73:F84)</f>
        <v>1358686480</v>
      </c>
      <c r="G85" s="492">
        <f t="shared" ref="G85" si="78">SUM(G73:G84)</f>
        <v>436789210</v>
      </c>
      <c r="H85" s="492">
        <f t="shared" ref="H85:Y85" si="79">SUM(H73:H84)</f>
        <v>830442808</v>
      </c>
      <c r="I85" s="492">
        <f t="shared" si="79"/>
        <v>91454462</v>
      </c>
      <c r="J85" s="492">
        <f t="shared" si="79"/>
        <v>959949901</v>
      </c>
      <c r="K85" s="492">
        <f t="shared" si="79"/>
        <v>6811677503</v>
      </c>
      <c r="L85" s="492">
        <f t="shared" si="79"/>
        <v>5918907926</v>
      </c>
      <c r="M85" s="492">
        <f t="shared" si="79"/>
        <v>583398206</v>
      </c>
      <c r="N85" s="492">
        <f t="shared" si="79"/>
        <v>455907304</v>
      </c>
      <c r="O85" s="492">
        <f t="shared" si="79"/>
        <v>11577921256</v>
      </c>
      <c r="P85" s="492">
        <f t="shared" si="79"/>
        <v>3277385559</v>
      </c>
      <c r="Q85" s="492">
        <f t="shared" si="79"/>
        <v>8300535697</v>
      </c>
      <c r="R85" s="492">
        <f t="shared" si="79"/>
        <v>5048341267</v>
      </c>
      <c r="S85" s="492">
        <f t="shared" si="79"/>
        <v>0</v>
      </c>
      <c r="T85" s="492">
        <f t="shared" si="79"/>
        <v>135469078</v>
      </c>
      <c r="U85" s="492">
        <f t="shared" si="79"/>
        <v>546674</v>
      </c>
      <c r="V85" s="492">
        <f t="shared" si="79"/>
        <v>14386053123</v>
      </c>
      <c r="W85" s="492">
        <f t="shared" si="79"/>
        <v>3836314818</v>
      </c>
      <c r="X85" s="492">
        <f t="shared" si="79"/>
        <v>288188171</v>
      </c>
      <c r="Y85" s="492">
        <f t="shared" si="79"/>
        <v>3992117579</v>
      </c>
      <c r="AB85" s="494"/>
    </row>
    <row r="86" spans="1:28" ht="19.5" customHeight="1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</row>
    <row r="87" spans="1:28" ht="15.75" customHeight="1">
      <c r="B87" s="480" t="s">
        <v>788</v>
      </c>
      <c r="F87" s="185"/>
      <c r="G87" s="185"/>
      <c r="H87" s="185"/>
      <c r="I87" s="185"/>
      <c r="J87" s="185"/>
      <c r="K87" s="185"/>
      <c r="L87" s="185"/>
      <c r="M87" s="185"/>
    </row>
    <row r="88" spans="1:28" ht="15.75" customHeight="1">
      <c r="B88" s="480"/>
      <c r="F88" s="185"/>
      <c r="G88" s="185"/>
      <c r="H88" s="185"/>
      <c r="I88" s="185"/>
      <c r="J88" s="185"/>
      <c r="K88" s="185"/>
      <c r="L88" s="185"/>
      <c r="M88" s="185"/>
    </row>
    <row r="89" spans="1:28" ht="15.75" customHeight="1">
      <c r="B89" s="480" t="s">
        <v>789</v>
      </c>
      <c r="F89" s="185"/>
      <c r="G89" s="185"/>
      <c r="H89" s="185"/>
      <c r="I89" s="185"/>
      <c r="J89" s="185"/>
      <c r="K89" s="185"/>
      <c r="L89" s="185"/>
      <c r="M89" s="185"/>
    </row>
    <row r="90" spans="1:28">
      <c r="B90" s="206"/>
      <c r="C90" s="233"/>
    </row>
    <row r="91" spans="1:28">
      <c r="C91" s="233"/>
    </row>
    <row r="92" spans="1:28">
      <c r="C92" s="233">
        <f>+[8]Balance!C25</f>
        <v>48075884880</v>
      </c>
      <c r="D92" s="233">
        <f>+[8]Balance!D25</f>
        <v>17247742236</v>
      </c>
      <c r="E92" s="233">
        <f>+[8]Balance!E25</f>
        <v>30828142644</v>
      </c>
      <c r="F92" s="233">
        <f>+'Asset Classification'!M31+'Asset Classification'!Q31+'Asset Classification'!U31</f>
        <v>1358686480</v>
      </c>
      <c r="G92" s="233">
        <f>+'Asset Classification'!M31</f>
        <v>436789210</v>
      </c>
      <c r="H92" s="233">
        <f>+'Asset Classification'!Q31</f>
        <v>830442808</v>
      </c>
      <c r="I92" s="233">
        <f>+'Asset Classification'!U31</f>
        <v>91454462</v>
      </c>
      <c r="J92" s="233">
        <f>+'[9]Calculation of Risk Weighted As'!$C$24+'[9]Calculation of Risk Weighted As'!$D$24</f>
        <v>959949901</v>
      </c>
      <c r="K92" s="233"/>
    </row>
    <row r="93" spans="1:28">
      <c r="C93" s="233">
        <f t="shared" ref="C93:J93" si="80">+C85-C92</f>
        <v>0</v>
      </c>
      <c r="D93" s="233">
        <f t="shared" si="80"/>
        <v>0</v>
      </c>
      <c r="E93" s="233">
        <f t="shared" si="80"/>
        <v>0</v>
      </c>
      <c r="F93" s="233">
        <f t="shared" si="80"/>
        <v>0</v>
      </c>
      <c r="G93" s="233">
        <f t="shared" si="80"/>
        <v>0</v>
      </c>
      <c r="H93" s="233">
        <f t="shared" si="80"/>
        <v>0</v>
      </c>
      <c r="I93" s="233">
        <f t="shared" si="80"/>
        <v>0</v>
      </c>
      <c r="J93" s="233">
        <f t="shared" si="80"/>
        <v>0</v>
      </c>
    </row>
    <row r="94" spans="1:28">
      <c r="C94" s="233"/>
    </row>
    <row r="95" spans="1:28">
      <c r="C95" s="233"/>
    </row>
  </sheetData>
  <sheetProtection password="CACA" sheet="1" objects="1" scenarios="1"/>
  <mergeCells count="25">
    <mergeCell ref="F5:F6"/>
    <mergeCell ref="F4:I4"/>
    <mergeCell ref="G5:I5"/>
    <mergeCell ref="A4:A6"/>
    <mergeCell ref="B4:B6"/>
    <mergeCell ref="C4:C6"/>
    <mergeCell ref="D4:E4"/>
    <mergeCell ref="D5:D6"/>
    <mergeCell ref="E5:E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25" type="noConversion"/>
  <conditionalFormatting sqref="C9">
    <cfRule type="cellIs" dxfId="349" priority="23" operator="notEqual">
      <formula>D9+E9</formula>
    </cfRule>
  </conditionalFormatting>
  <conditionalFormatting sqref="C10:C13">
    <cfRule type="cellIs" dxfId="348" priority="20" operator="notEqual">
      <formula>D10+E10</formula>
    </cfRule>
  </conditionalFormatting>
  <conditionalFormatting sqref="C16">
    <cfRule type="cellIs" dxfId="347" priority="19" operator="notEqual">
      <formula>D16+E16</formula>
    </cfRule>
  </conditionalFormatting>
  <conditionalFormatting sqref="C17:C20">
    <cfRule type="cellIs" dxfId="346" priority="18" operator="notEqual">
      <formula>D17+E17</formula>
    </cfRule>
  </conditionalFormatting>
  <conditionalFormatting sqref="C21">
    <cfRule type="cellIs" dxfId="345" priority="17" operator="notEqual">
      <formula>D21+E21</formula>
    </cfRule>
  </conditionalFormatting>
  <conditionalFormatting sqref="C24:C28">
    <cfRule type="cellIs" dxfId="344" priority="16" operator="notEqual">
      <formula>D24+E24</formula>
    </cfRule>
  </conditionalFormatting>
  <conditionalFormatting sqref="C31:C35">
    <cfRule type="cellIs" dxfId="343" priority="15" operator="notEqual">
      <formula>D31+E31</formula>
    </cfRule>
  </conditionalFormatting>
  <conditionalFormatting sqref="C38:C42">
    <cfRule type="cellIs" dxfId="342" priority="14" operator="notEqual">
      <formula>D38+E38</formula>
    </cfRule>
  </conditionalFormatting>
  <conditionalFormatting sqref="C45:C49">
    <cfRule type="cellIs" dxfId="341" priority="13" operator="notEqual">
      <formula>D45+E45</formula>
    </cfRule>
  </conditionalFormatting>
  <conditionalFormatting sqref="C52:C57">
    <cfRule type="cellIs" dxfId="340" priority="12" operator="notEqual">
      <formula>D52+E52</formula>
    </cfRule>
  </conditionalFormatting>
  <conditionalFormatting sqref="C60:C69">
    <cfRule type="cellIs" dxfId="339" priority="11" operator="notEqual">
      <formula>D60+E60</formula>
    </cfRule>
  </conditionalFormatting>
  <conditionalFormatting sqref="C73:C84">
    <cfRule type="cellIs" dxfId="338" priority="10" operator="notEqual">
      <formula>D73+E73</formula>
    </cfRule>
  </conditionalFormatting>
  <conditionalFormatting sqref="C71">
    <cfRule type="cellIs" dxfId="337" priority="9" operator="notEqual">
      <formula>D71+E71</formula>
    </cfRule>
  </conditionalFormatting>
  <conditionalFormatting sqref="J85">
    <cfRule type="cellIs" dxfId="336" priority="8" operator="lessThan">
      <formula>$J$92</formula>
    </cfRule>
  </conditionalFormatting>
  <conditionalFormatting sqref="C85">
    <cfRule type="cellIs" dxfId="335" priority="7" operator="notEqual">
      <formula>C92</formula>
    </cfRule>
  </conditionalFormatting>
  <conditionalFormatting sqref="D85">
    <cfRule type="cellIs" dxfId="334" priority="6" operator="notEqual">
      <formula>D92</formula>
    </cfRule>
  </conditionalFormatting>
  <conditionalFormatting sqref="E85">
    <cfRule type="cellIs" dxfId="333" priority="5" operator="notEqual">
      <formula>E92</formula>
    </cfRule>
  </conditionalFormatting>
  <conditionalFormatting sqref="F85">
    <cfRule type="cellIs" dxfId="332" priority="4" operator="notEqual">
      <formula>F92</formula>
    </cfRule>
  </conditionalFormatting>
  <conditionalFormatting sqref="G85">
    <cfRule type="cellIs" dxfId="331" priority="3" operator="notEqual">
      <formula>G92</formula>
    </cfRule>
  </conditionalFormatting>
  <conditionalFormatting sqref="H85">
    <cfRule type="cellIs" dxfId="330" priority="2" operator="notEqual">
      <formula>H92</formula>
    </cfRule>
  </conditionalFormatting>
  <conditionalFormatting sqref="I85">
    <cfRule type="cellIs" dxfId="329" priority="1" operator="notEqual">
      <formula>I92</formula>
    </cfRule>
  </conditionalFormatting>
  <dataValidations disablePrompts="1"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Z42"/>
  <sheetViews>
    <sheetView view="pageBreakPreview" zoomScale="65" zoomScaleNormal="71" zoomScaleSheetLayoutView="65" workbookViewId="0">
      <pane xSplit="4" ySplit="8" topLeftCell="E15" activePane="bottomRight" state="frozen"/>
      <selection activeCell="J25" sqref="J25"/>
      <selection pane="topRight" activeCell="J25" sqref="J25"/>
      <selection pane="bottomLeft" activeCell="J25" sqref="J25"/>
      <selection pane="bottomRight" activeCell="D32" sqref="D32"/>
    </sheetView>
  </sheetViews>
  <sheetFormatPr defaultRowHeight="15"/>
  <cols>
    <col min="1" max="1" width="5" style="6" customWidth="1"/>
    <col min="2" max="2" width="48.140625" style="6" customWidth="1"/>
    <col min="3" max="3" width="19.140625" style="6" customWidth="1"/>
    <col min="4" max="4" width="7.140625" style="6" customWidth="1"/>
    <col min="5" max="5" width="21.85546875" style="6" customWidth="1"/>
    <col min="6" max="6" width="8.5703125" style="6" customWidth="1"/>
    <col min="7" max="7" width="21.85546875" style="6" customWidth="1"/>
    <col min="8" max="8" width="7.140625" style="6" customWidth="1"/>
    <col min="9" max="10" width="17.28515625" style="6" customWidth="1"/>
    <col min="11" max="11" width="8.7109375" style="6" customWidth="1"/>
    <col min="12" max="23" width="15" style="6" customWidth="1"/>
    <col min="24" max="25" width="13.140625" style="6" customWidth="1"/>
    <col min="26" max="26" width="14.28515625" style="185" bestFit="1" customWidth="1"/>
    <col min="27" max="16384" width="9.140625" style="6"/>
  </cols>
  <sheetData>
    <row r="1" spans="1:26" s="138" customFormat="1" ht="36.75" customHeight="1">
      <c r="A1" s="136" t="s">
        <v>697</v>
      </c>
      <c r="B1" s="137"/>
      <c r="C1" s="137"/>
      <c r="D1" s="137"/>
      <c r="E1" s="137"/>
      <c r="F1" s="137"/>
      <c r="G1" s="137"/>
      <c r="H1" s="137"/>
      <c r="I1" s="136"/>
      <c r="J1" s="136"/>
      <c r="K1" s="136"/>
      <c r="L1" s="136"/>
      <c r="M1" s="136"/>
      <c r="N1" s="136"/>
      <c r="O1" s="136"/>
      <c r="P1" s="136"/>
      <c r="Q1" s="136"/>
      <c r="R1" s="137"/>
      <c r="S1" s="137"/>
      <c r="T1" s="137"/>
      <c r="U1" s="137"/>
      <c r="W1" s="139"/>
      <c r="X1" s="341" t="s">
        <v>698</v>
      </c>
      <c r="Y1" s="137"/>
    </row>
    <row r="2" spans="1:26" s="21" customFormat="1" ht="18">
      <c r="A2" s="135"/>
      <c r="B2" s="22"/>
      <c r="C2" s="22"/>
      <c r="D2" s="22"/>
      <c r="E2" s="22"/>
      <c r="F2" s="22"/>
      <c r="G2" s="22"/>
      <c r="H2" s="22"/>
      <c r="I2" s="5"/>
      <c r="J2" s="5"/>
      <c r="K2" s="5"/>
      <c r="L2" s="22"/>
      <c r="M2" s="22"/>
      <c r="N2" s="22"/>
      <c r="O2" s="22"/>
      <c r="P2" s="22"/>
      <c r="Q2" s="22"/>
      <c r="R2" s="22"/>
      <c r="S2" s="22"/>
      <c r="U2" s="22"/>
      <c r="V2" s="22"/>
      <c r="W2" s="22"/>
      <c r="X2" s="22"/>
    </row>
    <row r="3" spans="1:26" ht="18">
      <c r="A3" s="132"/>
      <c r="B3" s="200" t="str">
        <f>+'Asset quality'!B3</f>
        <v>"Ўзсаноатқурилишбанк" АТБ</v>
      </c>
      <c r="D3" s="133"/>
      <c r="E3" s="133"/>
      <c r="F3" s="133"/>
      <c r="G3" s="133"/>
      <c r="H3" s="133"/>
      <c r="I3" s="133"/>
      <c r="J3" s="134"/>
      <c r="K3" s="134"/>
      <c r="L3" s="134"/>
      <c r="M3" s="133"/>
      <c r="N3" s="133"/>
      <c r="O3" s="133"/>
      <c r="P3" s="133"/>
      <c r="Q3" s="133"/>
      <c r="R3" s="133"/>
      <c r="S3" s="133"/>
      <c r="T3" s="576">
        <f>+'Asset quality'!Q3</f>
        <v>44925</v>
      </c>
      <c r="U3" s="576"/>
      <c r="X3" s="342" t="str">
        <f>+'Asset quality'!T3</f>
        <v>минг. сўмда</v>
      </c>
      <c r="Z3" s="6"/>
    </row>
    <row r="4" spans="1:26" ht="30" customHeight="1">
      <c r="A4" s="581" t="s">
        <v>62</v>
      </c>
      <c r="B4" s="581" t="s">
        <v>285</v>
      </c>
      <c r="C4" s="581" t="s">
        <v>699</v>
      </c>
      <c r="D4" s="581" t="s">
        <v>77</v>
      </c>
      <c r="E4" s="581" t="s">
        <v>700</v>
      </c>
      <c r="F4" s="581" t="s">
        <v>77</v>
      </c>
      <c r="G4" s="581" t="s">
        <v>701</v>
      </c>
      <c r="H4" s="581" t="s">
        <v>77</v>
      </c>
      <c r="I4" s="577" t="s">
        <v>702</v>
      </c>
      <c r="J4" s="578"/>
      <c r="K4" s="581" t="s">
        <v>77</v>
      </c>
      <c r="L4" s="584" t="s">
        <v>703</v>
      </c>
      <c r="M4" s="586"/>
      <c r="N4" s="586"/>
      <c r="O4" s="586"/>
      <c r="P4" s="586"/>
      <c r="Q4" s="586"/>
      <c r="R4" s="586"/>
      <c r="S4" s="586"/>
      <c r="T4" s="586"/>
      <c r="U4" s="586"/>
      <c r="V4" s="586"/>
      <c r="W4" s="586"/>
      <c r="X4" s="586"/>
      <c r="Y4" s="585"/>
    </row>
    <row r="5" spans="1:26" ht="25.5" customHeight="1">
      <c r="A5" s="582"/>
      <c r="B5" s="582"/>
      <c r="C5" s="582"/>
      <c r="D5" s="582"/>
      <c r="E5" s="582"/>
      <c r="F5" s="582"/>
      <c r="G5" s="582"/>
      <c r="H5" s="582"/>
      <c r="I5" s="579"/>
      <c r="J5" s="580"/>
      <c r="K5" s="582"/>
      <c r="L5" s="584" t="s">
        <v>704</v>
      </c>
      <c r="M5" s="585"/>
      <c r="N5" s="584" t="s">
        <v>705</v>
      </c>
      <c r="O5" s="585"/>
      <c r="P5" s="584" t="s">
        <v>706</v>
      </c>
      <c r="Q5" s="585"/>
      <c r="R5" s="584" t="s">
        <v>548</v>
      </c>
      <c r="S5" s="585"/>
      <c r="T5" s="584" t="s">
        <v>549</v>
      </c>
      <c r="U5" s="585"/>
      <c r="V5" s="584" t="s">
        <v>550</v>
      </c>
      <c r="W5" s="585"/>
      <c r="X5" s="584" t="s">
        <v>551</v>
      </c>
      <c r="Y5" s="585"/>
    </row>
    <row r="6" spans="1:26" ht="47.25">
      <c r="A6" s="583"/>
      <c r="B6" s="583"/>
      <c r="C6" s="583"/>
      <c r="D6" s="583"/>
      <c r="E6" s="583"/>
      <c r="F6" s="583"/>
      <c r="G6" s="583"/>
      <c r="H6" s="583"/>
      <c r="I6" s="100" t="s">
        <v>707</v>
      </c>
      <c r="J6" s="100" t="s">
        <v>708</v>
      </c>
      <c r="K6" s="583"/>
      <c r="L6" s="100" t="s">
        <v>707</v>
      </c>
      <c r="M6" s="100" t="s">
        <v>708</v>
      </c>
      <c r="N6" s="100" t="s">
        <v>707</v>
      </c>
      <c r="O6" s="100" t="s">
        <v>708</v>
      </c>
      <c r="P6" s="100" t="s">
        <v>707</v>
      </c>
      <c r="Q6" s="100" t="s">
        <v>708</v>
      </c>
      <c r="R6" s="100" t="s">
        <v>707</v>
      </c>
      <c r="S6" s="100" t="s">
        <v>708</v>
      </c>
      <c r="T6" s="100" t="s">
        <v>707</v>
      </c>
      <c r="U6" s="100" t="s">
        <v>708</v>
      </c>
      <c r="V6" s="100" t="s">
        <v>707</v>
      </c>
      <c r="W6" s="100" t="s">
        <v>708</v>
      </c>
      <c r="X6" s="100" t="s">
        <v>707</v>
      </c>
      <c r="Y6" s="100" t="s">
        <v>708</v>
      </c>
    </row>
    <row r="7" spans="1:26" ht="15.75">
      <c r="A7" s="100"/>
      <c r="B7" s="100" t="s">
        <v>67</v>
      </c>
      <c r="C7" s="100" t="s">
        <v>37</v>
      </c>
      <c r="D7" s="100" t="s">
        <v>38</v>
      </c>
      <c r="E7" s="100" t="s">
        <v>39</v>
      </c>
      <c r="F7" s="100" t="s">
        <v>63</v>
      </c>
      <c r="G7" s="100" t="s">
        <v>64</v>
      </c>
      <c r="H7" s="100" t="s">
        <v>65</v>
      </c>
      <c r="I7" s="100" t="s">
        <v>68</v>
      </c>
      <c r="J7" s="100" t="s">
        <v>167</v>
      </c>
      <c r="K7" s="100" t="s">
        <v>69</v>
      </c>
      <c r="L7" s="100" t="s">
        <v>70</v>
      </c>
      <c r="M7" s="100" t="s">
        <v>166</v>
      </c>
      <c r="N7" s="100" t="s">
        <v>71</v>
      </c>
      <c r="O7" s="100" t="s">
        <v>168</v>
      </c>
      <c r="P7" s="100" t="s">
        <v>72</v>
      </c>
      <c r="Q7" s="100" t="s">
        <v>169</v>
      </c>
      <c r="R7" s="100" t="s">
        <v>73</v>
      </c>
      <c r="S7" s="100" t="s">
        <v>170</v>
      </c>
      <c r="T7" s="100" t="s">
        <v>74</v>
      </c>
      <c r="U7" s="100" t="s">
        <v>171</v>
      </c>
      <c r="V7" s="100" t="s">
        <v>75</v>
      </c>
      <c r="W7" s="100" t="s">
        <v>172</v>
      </c>
      <c r="X7" s="100" t="s">
        <v>76</v>
      </c>
      <c r="Y7" s="100" t="s">
        <v>173</v>
      </c>
    </row>
    <row r="8" spans="1:26" s="23" customFormat="1" ht="27.75" customHeight="1">
      <c r="A8" s="100"/>
      <c r="B8" s="100" t="s">
        <v>668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243"/>
    </row>
    <row r="9" spans="1:26" s="23" customFormat="1" ht="26.25" customHeight="1">
      <c r="A9" s="343">
        <v>1</v>
      </c>
      <c r="B9" s="344" t="s">
        <v>669</v>
      </c>
      <c r="C9" s="25">
        <f>+'Loans Receivable'!C79</f>
        <v>0</v>
      </c>
      <c r="D9" s="93">
        <f t="shared" ref="D9:D20" si="0">IF(C$22=0,"",C9/C$22)</f>
        <v>0</v>
      </c>
      <c r="E9" s="26"/>
      <c r="F9" s="93">
        <f t="shared" ref="F9:F20" si="1">IF(E$22=0,"",E9/E$22)</f>
        <v>0</v>
      </c>
      <c r="G9" s="26"/>
      <c r="H9" s="93">
        <f t="shared" ref="H9:H20" si="2">IF($G$22=0,"",G9/$G$22)</f>
        <v>0</v>
      </c>
      <c r="I9" s="25">
        <f t="shared" ref="I9:J20" si="3">+L9+N9+P9+R9+T9+V9+X9</f>
        <v>0</v>
      </c>
      <c r="J9" s="25">
        <f>+M9+O9+T9+S9+U9+W9+Y9</f>
        <v>0</v>
      </c>
      <c r="K9" s="93">
        <f t="shared" ref="K9:K20" si="4">IF($Z$22=0,"",Z9/$Z$22)</f>
        <v>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45">
        <f>+I9+J9</f>
        <v>0</v>
      </c>
    </row>
    <row r="10" spans="1:26" s="23" customFormat="1" ht="26.25" customHeight="1">
      <c r="A10" s="343">
        <v>2</v>
      </c>
      <c r="B10" s="344" t="s">
        <v>671</v>
      </c>
      <c r="C10" s="25">
        <f>+'Loans Receivable'!C78</f>
        <v>0</v>
      </c>
      <c r="D10" s="93">
        <f t="shared" si="0"/>
        <v>0</v>
      </c>
      <c r="E10" s="26"/>
      <c r="F10" s="93">
        <f t="shared" si="1"/>
        <v>0</v>
      </c>
      <c r="G10" s="26"/>
      <c r="H10" s="93">
        <f t="shared" si="2"/>
        <v>0</v>
      </c>
      <c r="I10" s="25">
        <f t="shared" si="3"/>
        <v>0</v>
      </c>
      <c r="J10" s="25">
        <f t="shared" si="3"/>
        <v>0</v>
      </c>
      <c r="K10" s="93">
        <f t="shared" si="4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45">
        <f t="shared" ref="Z10:Z35" si="5">+I10+J10</f>
        <v>0</v>
      </c>
    </row>
    <row r="11" spans="1:26" s="23" customFormat="1" ht="26.25" customHeight="1">
      <c r="A11" s="343">
        <v>3</v>
      </c>
      <c r="B11" s="344" t="s">
        <v>400</v>
      </c>
      <c r="C11" s="25">
        <f>+'Loans Receivable'!C80</f>
        <v>0</v>
      </c>
      <c r="D11" s="93">
        <f t="shared" si="0"/>
        <v>0</v>
      </c>
      <c r="E11" s="26"/>
      <c r="F11" s="93">
        <f t="shared" si="1"/>
        <v>0</v>
      </c>
      <c r="G11" s="26"/>
      <c r="H11" s="93">
        <f t="shared" si="2"/>
        <v>0</v>
      </c>
      <c r="I11" s="25">
        <f t="shared" si="3"/>
        <v>0</v>
      </c>
      <c r="J11" s="25">
        <f t="shared" si="3"/>
        <v>0</v>
      </c>
      <c r="K11" s="93">
        <f t="shared" si="4"/>
        <v>0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45">
        <f t="shared" si="5"/>
        <v>0</v>
      </c>
    </row>
    <row r="12" spans="1:26" s="23" customFormat="1" ht="26.25" customHeight="1">
      <c r="A12" s="343">
        <v>4</v>
      </c>
      <c r="B12" s="344" t="s">
        <v>401</v>
      </c>
      <c r="C12" s="25">
        <f>+'Loans Receivable'!C73</f>
        <v>5463367169</v>
      </c>
      <c r="D12" s="93">
        <f t="shared" si="0"/>
        <v>0.11364049112433103</v>
      </c>
      <c r="E12" s="26">
        <v>9541830</v>
      </c>
      <c r="F12" s="93">
        <f t="shared" si="1"/>
        <v>2.894397204410213E-2</v>
      </c>
      <c r="G12" s="26">
        <v>1711326</v>
      </c>
      <c r="H12" s="93">
        <f t="shared" si="2"/>
        <v>1.0942452608655966E-2</v>
      </c>
      <c r="I12" s="25">
        <f t="shared" si="3"/>
        <v>7346228</v>
      </c>
      <c r="J12" s="25">
        <f t="shared" si="3"/>
        <v>4378892</v>
      </c>
      <c r="K12" s="93">
        <f t="shared" si="4"/>
        <v>1.6912068290628052E-2</v>
      </c>
      <c r="L12" s="26">
        <v>1074616</v>
      </c>
      <c r="M12" s="26">
        <v>2473682</v>
      </c>
      <c r="N12" s="26">
        <v>813701</v>
      </c>
      <c r="O12" s="26">
        <v>336955</v>
      </c>
      <c r="P12" s="26">
        <v>674122</v>
      </c>
      <c r="Q12" s="26">
        <v>270739</v>
      </c>
      <c r="R12" s="26">
        <v>1466502</v>
      </c>
      <c r="S12" s="26">
        <v>348343</v>
      </c>
      <c r="T12" s="26">
        <v>2583601</v>
      </c>
      <c r="U12" s="26">
        <v>724568</v>
      </c>
      <c r="V12" s="26">
        <v>733686</v>
      </c>
      <c r="W12" s="26">
        <v>224605</v>
      </c>
      <c r="X12" s="26">
        <v>0</v>
      </c>
      <c r="Y12" s="26">
        <v>0</v>
      </c>
      <c r="Z12" s="245">
        <f t="shared" si="5"/>
        <v>11725120</v>
      </c>
    </row>
    <row r="13" spans="1:26" s="23" customFormat="1" ht="26.25" customHeight="1">
      <c r="A13" s="343">
        <v>5</v>
      </c>
      <c r="B13" s="344" t="s">
        <v>402</v>
      </c>
      <c r="C13" s="25">
        <f>+'Loans Receivable'!C74</f>
        <v>14093170226</v>
      </c>
      <c r="D13" s="93">
        <f t="shared" si="0"/>
        <v>0.29314427100358759</v>
      </c>
      <c r="E13" s="26">
        <v>9742376</v>
      </c>
      <c r="F13" s="93">
        <f t="shared" si="1"/>
        <v>2.9552303760089157E-2</v>
      </c>
      <c r="G13" s="26">
        <v>0</v>
      </c>
      <c r="H13" s="93">
        <f t="shared" si="2"/>
        <v>0</v>
      </c>
      <c r="I13" s="25">
        <f t="shared" si="3"/>
        <v>3481735</v>
      </c>
      <c r="J13" s="25">
        <f t="shared" si="3"/>
        <v>820795</v>
      </c>
      <c r="K13" s="93">
        <f t="shared" si="4"/>
        <v>6.205879443662487E-3</v>
      </c>
      <c r="L13" s="26">
        <v>393852</v>
      </c>
      <c r="M13" s="26">
        <v>446437</v>
      </c>
      <c r="N13" s="26">
        <v>2666667</v>
      </c>
      <c r="O13" s="26">
        <v>374358</v>
      </c>
      <c r="P13" s="26">
        <v>421216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45">
        <f t="shared" si="5"/>
        <v>4302530</v>
      </c>
    </row>
    <row r="14" spans="1:26" s="23" customFormat="1" ht="26.25" customHeight="1">
      <c r="A14" s="343">
        <v>6</v>
      </c>
      <c r="B14" s="344" t="s">
        <v>403</v>
      </c>
      <c r="C14" s="25">
        <f>+'Loans Receivable'!C75</f>
        <v>9080290501</v>
      </c>
      <c r="D14" s="93">
        <f t="shared" si="0"/>
        <v>0.18887412106225179</v>
      </c>
      <c r="E14" s="26">
        <v>9669020</v>
      </c>
      <c r="F14" s="93">
        <f t="shared" si="1"/>
        <v>2.9329787323172218E-2</v>
      </c>
      <c r="G14" s="26">
        <v>5188589</v>
      </c>
      <c r="H14" s="93">
        <f t="shared" si="2"/>
        <v>3.3176548032516101E-2</v>
      </c>
      <c r="I14" s="25">
        <f t="shared" si="3"/>
        <v>47188479</v>
      </c>
      <c r="J14" s="25">
        <f t="shared" si="3"/>
        <v>54022771</v>
      </c>
      <c r="K14" s="93">
        <f t="shared" si="4"/>
        <v>0.14598499390878969</v>
      </c>
      <c r="L14" s="26">
        <v>3369687</v>
      </c>
      <c r="M14" s="26">
        <v>51164011</v>
      </c>
      <c r="N14" s="26">
        <v>3246003</v>
      </c>
      <c r="O14" s="26">
        <v>258667</v>
      </c>
      <c r="P14" s="26">
        <v>11680881</v>
      </c>
      <c r="Q14" s="26">
        <v>0</v>
      </c>
      <c r="R14" s="26">
        <v>13826655</v>
      </c>
      <c r="S14" s="26">
        <v>273229</v>
      </c>
      <c r="T14" s="26">
        <v>15065253</v>
      </c>
      <c r="U14" s="26">
        <v>2326864</v>
      </c>
      <c r="V14" s="26">
        <v>0</v>
      </c>
      <c r="W14" s="26">
        <v>0</v>
      </c>
      <c r="X14" s="26">
        <v>0</v>
      </c>
      <c r="Y14" s="26">
        <v>0</v>
      </c>
      <c r="Z14" s="245">
        <f t="shared" si="5"/>
        <v>101211250</v>
      </c>
    </row>
    <row r="15" spans="1:26" s="23" customFormat="1" ht="26.25" customHeight="1">
      <c r="A15" s="343">
        <v>7</v>
      </c>
      <c r="B15" s="344" t="s">
        <v>404</v>
      </c>
      <c r="C15" s="25">
        <f>+'Loans Receivable'!C76</f>
        <v>19254967029</v>
      </c>
      <c r="D15" s="93">
        <f t="shared" si="0"/>
        <v>0.40051196305718417</v>
      </c>
      <c r="E15" s="26">
        <v>296813214</v>
      </c>
      <c r="F15" s="93">
        <f t="shared" si="1"/>
        <v>0.9003465130206787</v>
      </c>
      <c r="G15" s="26">
        <v>147248642</v>
      </c>
      <c r="H15" s="93">
        <f t="shared" si="2"/>
        <v>0.94152796531692295</v>
      </c>
      <c r="I15" s="25">
        <f t="shared" si="3"/>
        <v>424144654</v>
      </c>
      <c r="J15" s="25">
        <f t="shared" si="3"/>
        <v>133005898</v>
      </c>
      <c r="K15" s="93">
        <f t="shared" si="4"/>
        <v>0.80362232400053168</v>
      </c>
      <c r="L15" s="26">
        <v>43241798</v>
      </c>
      <c r="M15" s="26">
        <v>47119344</v>
      </c>
      <c r="N15" s="26">
        <v>35396391</v>
      </c>
      <c r="O15" s="26">
        <v>17670132</v>
      </c>
      <c r="P15" s="26">
        <v>86198154</v>
      </c>
      <c r="Q15" s="26">
        <v>8131320</v>
      </c>
      <c r="R15" s="26">
        <v>116819260</v>
      </c>
      <c r="S15" s="26">
        <v>22582178</v>
      </c>
      <c r="T15" s="26">
        <v>133241936</v>
      </c>
      <c r="U15" s="26">
        <v>36579419</v>
      </c>
      <c r="V15" s="26">
        <v>9247115</v>
      </c>
      <c r="W15" s="26">
        <v>923505</v>
      </c>
      <c r="X15" s="26">
        <v>0</v>
      </c>
      <c r="Y15" s="26">
        <v>0</v>
      </c>
      <c r="Z15" s="245">
        <f t="shared" si="5"/>
        <v>557150552</v>
      </c>
    </row>
    <row r="16" spans="1:26" s="23" customFormat="1" ht="26.25" customHeight="1">
      <c r="A16" s="343">
        <v>8</v>
      </c>
      <c r="B16" s="344" t="s">
        <v>709</v>
      </c>
      <c r="C16" s="25">
        <f>+'Loans Receivable'!C77</f>
        <v>171788067</v>
      </c>
      <c r="D16" s="93">
        <f t="shared" si="0"/>
        <v>3.5732689565421889E-3</v>
      </c>
      <c r="E16" s="26">
        <v>3660807</v>
      </c>
      <c r="F16" s="93">
        <f t="shared" si="1"/>
        <v>1.1104609437272869E-2</v>
      </c>
      <c r="G16" s="26">
        <v>2244718</v>
      </c>
      <c r="H16" s="93">
        <f t="shared" si="2"/>
        <v>1.4353034041904935E-2</v>
      </c>
      <c r="I16" s="25">
        <f t="shared" si="3"/>
        <v>11246932</v>
      </c>
      <c r="J16" s="25">
        <f t="shared" si="3"/>
        <v>5744647</v>
      </c>
      <c r="K16" s="93">
        <f t="shared" si="4"/>
        <v>2.4508298798954848E-2</v>
      </c>
      <c r="L16" s="26">
        <v>52541</v>
      </c>
      <c r="M16" s="26">
        <v>2276772</v>
      </c>
      <c r="N16" s="26">
        <v>561273</v>
      </c>
      <c r="O16" s="26">
        <v>969267</v>
      </c>
      <c r="P16" s="26">
        <v>218906</v>
      </c>
      <c r="Q16" s="26">
        <v>23478</v>
      </c>
      <c r="R16" s="26">
        <v>152097</v>
      </c>
      <c r="S16" s="26">
        <v>136477</v>
      </c>
      <c r="T16" s="26">
        <v>6225901</v>
      </c>
      <c r="U16" s="26">
        <v>806374</v>
      </c>
      <c r="V16" s="26">
        <v>4036214</v>
      </c>
      <c r="W16" s="26">
        <v>1532279</v>
      </c>
      <c r="X16" s="26">
        <v>0</v>
      </c>
      <c r="Y16" s="26">
        <v>0</v>
      </c>
      <c r="Z16" s="245">
        <f t="shared" si="5"/>
        <v>16991579</v>
      </c>
    </row>
    <row r="17" spans="1:26" s="23" customFormat="1" ht="26.25" customHeight="1">
      <c r="A17" s="343">
        <v>9</v>
      </c>
      <c r="B17" s="345" t="s">
        <v>710</v>
      </c>
      <c r="C17" s="25">
        <f>+'Loans Receivable'!C81</f>
        <v>2059286</v>
      </c>
      <c r="D17" s="93">
        <f t="shared" si="0"/>
        <v>4.2834073780234909E-5</v>
      </c>
      <c r="E17" s="26">
        <v>0</v>
      </c>
      <c r="F17" s="93">
        <f t="shared" si="1"/>
        <v>0</v>
      </c>
      <c r="G17" s="26">
        <v>0</v>
      </c>
      <c r="H17" s="93">
        <f t="shared" si="2"/>
        <v>0</v>
      </c>
      <c r="I17" s="25">
        <f t="shared" si="3"/>
        <v>0</v>
      </c>
      <c r="J17" s="25">
        <f t="shared" si="3"/>
        <v>0</v>
      </c>
      <c r="K17" s="93">
        <f t="shared" si="4"/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45">
        <f t="shared" si="5"/>
        <v>0</v>
      </c>
    </row>
    <row r="18" spans="1:26" s="23" customFormat="1" ht="38.25" customHeight="1">
      <c r="A18" s="343">
        <v>10</v>
      </c>
      <c r="B18" s="345" t="s">
        <v>675</v>
      </c>
      <c r="C18" s="25">
        <f>+'Loans Receivable'!C82</f>
        <v>10242602</v>
      </c>
      <c r="D18" s="93">
        <f t="shared" si="0"/>
        <v>2.13050722322971E-4</v>
      </c>
      <c r="E18" s="26">
        <v>238287</v>
      </c>
      <c r="F18" s="93">
        <f t="shared" si="1"/>
        <v>7.2281441468491521E-4</v>
      </c>
      <c r="G18" s="26">
        <v>0</v>
      </c>
      <c r="H18" s="93">
        <f t="shared" si="2"/>
        <v>0</v>
      </c>
      <c r="I18" s="25">
        <f t="shared" si="3"/>
        <v>888693</v>
      </c>
      <c r="J18" s="25">
        <f t="shared" si="3"/>
        <v>1029274</v>
      </c>
      <c r="K18" s="93">
        <f t="shared" si="4"/>
        <v>2.7664355574331871E-3</v>
      </c>
      <c r="L18" s="26">
        <v>0</v>
      </c>
      <c r="M18" s="26">
        <v>346988</v>
      </c>
      <c r="N18" s="26">
        <v>20791</v>
      </c>
      <c r="O18" s="26">
        <v>10927</v>
      </c>
      <c r="P18" s="26">
        <v>17159</v>
      </c>
      <c r="Q18" s="26">
        <v>10029</v>
      </c>
      <c r="R18" s="26">
        <v>46086</v>
      </c>
      <c r="S18" s="26">
        <v>89136</v>
      </c>
      <c r="T18" s="26">
        <v>195722</v>
      </c>
      <c r="U18" s="26">
        <v>143457</v>
      </c>
      <c r="V18" s="26">
        <v>182126</v>
      </c>
      <c r="W18" s="26">
        <v>94110</v>
      </c>
      <c r="X18" s="26">
        <v>426809</v>
      </c>
      <c r="Y18" s="26">
        <v>334627</v>
      </c>
      <c r="Z18" s="245">
        <f t="shared" si="5"/>
        <v>1917967</v>
      </c>
    </row>
    <row r="19" spans="1:26" s="23" customFormat="1" ht="26.25" customHeight="1">
      <c r="A19" s="343">
        <v>11</v>
      </c>
      <c r="B19" s="345" t="s">
        <v>676</v>
      </c>
      <c r="C19" s="25">
        <f>+'Loans Receivable'!C83</f>
        <v>0</v>
      </c>
      <c r="D19" s="93">
        <f t="shared" si="0"/>
        <v>0</v>
      </c>
      <c r="E19" s="26">
        <v>0</v>
      </c>
      <c r="F19" s="93">
        <f t="shared" si="1"/>
        <v>0</v>
      </c>
      <c r="G19" s="26">
        <v>0</v>
      </c>
      <c r="H19" s="93">
        <f t="shared" si="2"/>
        <v>0</v>
      </c>
      <c r="I19" s="25">
        <f t="shared" si="3"/>
        <v>0</v>
      </c>
      <c r="J19" s="25">
        <f t="shared" si="3"/>
        <v>0</v>
      </c>
      <c r="K19" s="93">
        <f t="shared" si="4"/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45">
        <f t="shared" si="5"/>
        <v>0</v>
      </c>
    </row>
    <row r="20" spans="1:26" s="23" customFormat="1" ht="26.25" customHeight="1">
      <c r="A20" s="343">
        <v>12</v>
      </c>
      <c r="B20" s="345" t="s">
        <v>677</v>
      </c>
      <c r="C20" s="25">
        <f>+'Loans Receivable'!C84</f>
        <v>0</v>
      </c>
      <c r="D20" s="93">
        <f t="shared" si="0"/>
        <v>0</v>
      </c>
      <c r="E20" s="26">
        <v>0</v>
      </c>
      <c r="F20" s="93">
        <f t="shared" si="1"/>
        <v>0</v>
      </c>
      <c r="G20" s="26">
        <v>0</v>
      </c>
      <c r="H20" s="93">
        <f t="shared" si="2"/>
        <v>0</v>
      </c>
      <c r="I20" s="25">
        <f t="shared" si="3"/>
        <v>0</v>
      </c>
      <c r="J20" s="25">
        <f t="shared" si="3"/>
        <v>0</v>
      </c>
      <c r="K20" s="93">
        <f t="shared" si="4"/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45">
        <f t="shared" si="5"/>
        <v>0</v>
      </c>
    </row>
    <row r="21" spans="1:26" s="23" customFormat="1" ht="18.75" customHeight="1">
      <c r="A21" s="24"/>
      <c r="B21" s="25"/>
      <c r="C21" s="25"/>
      <c r="D21" s="93"/>
      <c r="E21" s="92"/>
      <c r="F21" s="93"/>
      <c r="G21" s="92"/>
      <c r="H21" s="93"/>
      <c r="I21" s="25"/>
      <c r="J21" s="93"/>
      <c r="K21" s="9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45">
        <f>+I21+J21</f>
        <v>0</v>
      </c>
    </row>
    <row r="22" spans="1:26" s="23" customFormat="1" ht="27.75" customHeight="1">
      <c r="A22" s="100">
        <v>13</v>
      </c>
      <c r="B22" s="100" t="s">
        <v>678</v>
      </c>
      <c r="C22" s="495">
        <f>SUM(C9:C20)</f>
        <v>48075884880</v>
      </c>
      <c r="D22" s="496">
        <f>IF(C$22=0,"",C22/C$22)</f>
        <v>1</v>
      </c>
      <c r="E22" s="495">
        <f>SUM(E9:E20)</f>
        <v>329665534</v>
      </c>
      <c r="F22" s="496">
        <f>IF(E$22=0,"",E22/E$22)</f>
        <v>1</v>
      </c>
      <c r="G22" s="495">
        <f>SUM(G9:G20)</f>
        <v>156393275</v>
      </c>
      <c r="H22" s="496">
        <f>IF($G$22=0,"",G22/$G$22)</f>
        <v>1</v>
      </c>
      <c r="I22" s="495">
        <f>SUM(I9:I20)</f>
        <v>494296721</v>
      </c>
      <c r="J22" s="495">
        <f>SUM(J9:J20)</f>
        <v>199002277</v>
      </c>
      <c r="K22" s="496">
        <f>IF($Z$22=0,"",Z22/$Z$22)</f>
        <v>1</v>
      </c>
      <c r="L22" s="495">
        <f t="shared" ref="L22:Y22" si="6">SUM(L9:L20)</f>
        <v>48132494</v>
      </c>
      <c r="M22" s="495">
        <f t="shared" si="6"/>
        <v>103827234</v>
      </c>
      <c r="N22" s="495">
        <f t="shared" si="6"/>
        <v>42704826</v>
      </c>
      <c r="O22" s="495">
        <f t="shared" si="6"/>
        <v>19620306</v>
      </c>
      <c r="P22" s="495">
        <f t="shared" si="6"/>
        <v>99210438</v>
      </c>
      <c r="Q22" s="495">
        <f t="shared" si="6"/>
        <v>8435566</v>
      </c>
      <c r="R22" s="495">
        <f t="shared" si="6"/>
        <v>132310600</v>
      </c>
      <c r="S22" s="495">
        <f t="shared" si="6"/>
        <v>23429363</v>
      </c>
      <c r="T22" s="495">
        <f t="shared" si="6"/>
        <v>157312413</v>
      </c>
      <c r="U22" s="495">
        <f t="shared" si="6"/>
        <v>40580682</v>
      </c>
      <c r="V22" s="495">
        <f t="shared" si="6"/>
        <v>14199141</v>
      </c>
      <c r="W22" s="495">
        <f t="shared" si="6"/>
        <v>2774499</v>
      </c>
      <c r="X22" s="495">
        <f t="shared" si="6"/>
        <v>426809</v>
      </c>
      <c r="Y22" s="495">
        <f t="shared" si="6"/>
        <v>334627</v>
      </c>
      <c r="Z22" s="245">
        <f t="shared" si="5"/>
        <v>693298998</v>
      </c>
    </row>
    <row r="23" spans="1:26" s="23" customFormat="1" ht="18.75" customHeight="1">
      <c r="A23" s="343"/>
      <c r="B23" s="344"/>
      <c r="C23" s="25"/>
      <c r="D23" s="497"/>
      <c r="E23" s="92"/>
      <c r="F23" s="93"/>
      <c r="G23" s="92"/>
      <c r="H23" s="497"/>
      <c r="I23" s="25"/>
      <c r="J23" s="93"/>
      <c r="K23" s="497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45">
        <f t="shared" si="5"/>
        <v>0</v>
      </c>
    </row>
    <row r="24" spans="1:26" s="23" customFormat="1" ht="27.75" customHeight="1">
      <c r="A24" s="100"/>
      <c r="B24" s="100" t="s">
        <v>679</v>
      </c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243">
        <f t="shared" si="5"/>
        <v>0</v>
      </c>
    </row>
    <row r="25" spans="1:26" s="23" customFormat="1" ht="26.25" customHeight="1">
      <c r="A25" s="24">
        <v>14</v>
      </c>
      <c r="B25" s="436" t="s">
        <v>471</v>
      </c>
      <c r="C25" s="25">
        <f>+'Loans Receivable'!C14</f>
        <v>25973436689</v>
      </c>
      <c r="D25" s="93">
        <f t="shared" ref="D25:D32" si="7">IF(C$35=0,"",C25/C$35)</f>
        <v>0.54025914975524836</v>
      </c>
      <c r="E25" s="26">
        <v>150027294</v>
      </c>
      <c r="F25" s="93">
        <f t="shared" ref="F25:F33" si="8">IF($E$35=0,"",E25/$E$35)</f>
        <v>0.45508941192499669</v>
      </c>
      <c r="G25" s="26">
        <v>91038174</v>
      </c>
      <c r="H25" s="93">
        <f t="shared" ref="H25:H33" si="9">IF($G$35=0,"",G25/$G$35)</f>
        <v>0.5821105415178498</v>
      </c>
      <c r="I25" s="25">
        <f t="shared" ref="I25:J32" si="10">+L25+N25+P25+R25+T25+V25+X25</f>
        <v>223468386</v>
      </c>
      <c r="J25" s="25">
        <f t="shared" si="10"/>
        <v>106525185</v>
      </c>
      <c r="K25" s="93">
        <f t="shared" ref="K25:K33" si="11">IF($Z$35=0,"",Z25/$Z$35)</f>
        <v>0.47597583719571451</v>
      </c>
      <c r="L25" s="26">
        <v>18792123</v>
      </c>
      <c r="M25" s="26">
        <v>64950098</v>
      </c>
      <c r="N25" s="26">
        <v>25030864</v>
      </c>
      <c r="O25" s="26">
        <v>14806158</v>
      </c>
      <c r="P25" s="26">
        <v>40121655</v>
      </c>
      <c r="Q25" s="26">
        <v>2324621</v>
      </c>
      <c r="R25" s="26">
        <v>55627970</v>
      </c>
      <c r="S25" s="26">
        <v>2629302</v>
      </c>
      <c r="T25" s="26">
        <v>83749941</v>
      </c>
      <c r="U25" s="26">
        <v>21762591</v>
      </c>
      <c r="V25" s="26">
        <v>145833</v>
      </c>
      <c r="W25" s="26">
        <v>52415</v>
      </c>
      <c r="X25" s="26">
        <v>0</v>
      </c>
      <c r="Y25" s="26">
        <v>0</v>
      </c>
      <c r="Z25" s="245">
        <f t="shared" si="5"/>
        <v>329993571</v>
      </c>
    </row>
    <row r="26" spans="1:26" s="23" customFormat="1" ht="26.25" customHeight="1">
      <c r="A26" s="24">
        <v>15</v>
      </c>
      <c r="B26" s="436" t="s">
        <v>472</v>
      </c>
      <c r="C26" s="25">
        <f>+'Loans Receivable'!C22</f>
        <v>4481661756</v>
      </c>
      <c r="D26" s="93">
        <f t="shared" si="7"/>
        <v>9.3220577576189581E-2</v>
      </c>
      <c r="E26" s="26">
        <v>90115429</v>
      </c>
      <c r="F26" s="93">
        <f t="shared" si="8"/>
        <v>0.27335411107913998</v>
      </c>
      <c r="G26" s="26">
        <v>14074906</v>
      </c>
      <c r="H26" s="93">
        <f t="shared" si="9"/>
        <v>8.9996874865623216E-2</v>
      </c>
      <c r="I26" s="25">
        <f t="shared" si="10"/>
        <v>70212702</v>
      </c>
      <c r="J26" s="25">
        <f t="shared" si="10"/>
        <v>27065280</v>
      </c>
      <c r="K26" s="93">
        <f t="shared" si="11"/>
        <v>0.1403117302644652</v>
      </c>
      <c r="L26" s="26">
        <v>8877669</v>
      </c>
      <c r="M26" s="26">
        <v>15758057</v>
      </c>
      <c r="N26" s="26">
        <v>3461787</v>
      </c>
      <c r="O26" s="26">
        <v>1811421</v>
      </c>
      <c r="P26" s="26">
        <v>19402635</v>
      </c>
      <c r="Q26" s="26">
        <v>461247</v>
      </c>
      <c r="R26" s="26">
        <v>9347300</v>
      </c>
      <c r="S26" s="26">
        <v>1300830</v>
      </c>
      <c r="T26" s="26">
        <v>23177876</v>
      </c>
      <c r="U26" s="26">
        <v>5931353</v>
      </c>
      <c r="V26" s="26">
        <v>5945435</v>
      </c>
      <c r="W26" s="26">
        <v>1802372</v>
      </c>
      <c r="X26" s="26">
        <v>0</v>
      </c>
      <c r="Y26" s="26">
        <v>0</v>
      </c>
      <c r="Z26" s="245">
        <f t="shared" si="5"/>
        <v>97277982</v>
      </c>
    </row>
    <row r="27" spans="1:26" s="23" customFormat="1" ht="26.25" customHeight="1">
      <c r="A27" s="24">
        <v>16</v>
      </c>
      <c r="B27" s="436" t="s">
        <v>473</v>
      </c>
      <c r="C27" s="25">
        <f>+'Loans Receivable'!C29</f>
        <v>3505300410</v>
      </c>
      <c r="D27" s="93">
        <f t="shared" si="7"/>
        <v>7.2911823022070596E-2</v>
      </c>
      <c r="E27" s="26">
        <v>4744500</v>
      </c>
      <c r="F27" s="93">
        <f t="shared" si="8"/>
        <v>1.4391859356459143E-2</v>
      </c>
      <c r="G27" s="26">
        <v>9278723</v>
      </c>
      <c r="H27" s="93">
        <f t="shared" si="9"/>
        <v>5.9329424490918804E-2</v>
      </c>
      <c r="I27" s="25">
        <f t="shared" si="10"/>
        <v>25773249</v>
      </c>
      <c r="J27" s="25">
        <f t="shared" si="10"/>
        <v>3989332</v>
      </c>
      <c r="K27" s="93">
        <f t="shared" si="11"/>
        <v>4.2928925450430262E-2</v>
      </c>
      <c r="L27" s="26">
        <v>1398426</v>
      </c>
      <c r="M27" s="26">
        <v>1282817</v>
      </c>
      <c r="N27" s="26">
        <v>512649</v>
      </c>
      <c r="O27" s="26">
        <v>193017</v>
      </c>
      <c r="P27" s="26">
        <v>6734519</v>
      </c>
      <c r="Q27" s="26">
        <v>98139</v>
      </c>
      <c r="R27" s="26">
        <v>168882</v>
      </c>
      <c r="S27" s="26">
        <v>29066</v>
      </c>
      <c r="T27" s="26">
        <v>11572222</v>
      </c>
      <c r="U27" s="26">
        <v>2201867</v>
      </c>
      <c r="V27" s="26">
        <v>5386551</v>
      </c>
      <c r="W27" s="26">
        <v>184426</v>
      </c>
      <c r="X27" s="26">
        <v>0</v>
      </c>
      <c r="Y27" s="26">
        <v>0</v>
      </c>
      <c r="Z27" s="245">
        <f t="shared" si="5"/>
        <v>29762581</v>
      </c>
    </row>
    <row r="28" spans="1:26" s="23" customFormat="1" ht="26.25" customHeight="1">
      <c r="A28" s="24">
        <v>17</v>
      </c>
      <c r="B28" s="436" t="s">
        <v>474</v>
      </c>
      <c r="C28" s="25">
        <f>+'Loans Receivable'!C36</f>
        <v>1311223847</v>
      </c>
      <c r="D28" s="93">
        <f t="shared" si="7"/>
        <v>2.7274044986855372E-2</v>
      </c>
      <c r="E28" s="26">
        <v>8739643</v>
      </c>
      <c r="F28" s="93">
        <f t="shared" si="8"/>
        <v>2.6510636080021639E-2</v>
      </c>
      <c r="G28" s="26">
        <v>19101309</v>
      </c>
      <c r="H28" s="93">
        <f t="shared" si="9"/>
        <v>0.12213638342185749</v>
      </c>
      <c r="I28" s="25">
        <f t="shared" si="10"/>
        <v>49667336</v>
      </c>
      <c r="J28" s="25">
        <f t="shared" si="10"/>
        <v>18979950</v>
      </c>
      <c r="K28" s="93">
        <f t="shared" si="11"/>
        <v>9.9015412106509354E-2</v>
      </c>
      <c r="L28" s="26">
        <v>5152208</v>
      </c>
      <c r="M28" s="26">
        <v>3265904</v>
      </c>
      <c r="N28" s="26">
        <v>1075051</v>
      </c>
      <c r="O28" s="26">
        <v>164607</v>
      </c>
      <c r="P28" s="26">
        <v>1502729</v>
      </c>
      <c r="Q28" s="26">
        <v>4673</v>
      </c>
      <c r="R28" s="26">
        <v>25848379</v>
      </c>
      <c r="S28" s="26">
        <v>11138412</v>
      </c>
      <c r="T28" s="26">
        <v>15731466</v>
      </c>
      <c r="U28" s="26">
        <v>4296336</v>
      </c>
      <c r="V28" s="26">
        <v>357503</v>
      </c>
      <c r="W28" s="26">
        <v>110018</v>
      </c>
      <c r="X28" s="26">
        <v>0</v>
      </c>
      <c r="Y28" s="26">
        <v>0</v>
      </c>
      <c r="Z28" s="245">
        <f t="shared" si="5"/>
        <v>68647286</v>
      </c>
    </row>
    <row r="29" spans="1:26" s="23" customFormat="1" ht="26.25" customHeight="1">
      <c r="A29" s="24">
        <v>18</v>
      </c>
      <c r="B29" s="437" t="s">
        <v>711</v>
      </c>
      <c r="C29" s="25">
        <f>+'Loans Receivable'!C43</f>
        <v>2888957110</v>
      </c>
      <c r="D29" s="93">
        <f t="shared" si="7"/>
        <v>6.0091605535935379E-2</v>
      </c>
      <c r="E29" s="26">
        <v>56289986</v>
      </c>
      <c r="F29" s="93">
        <f t="shared" si="8"/>
        <v>0.1707487747263261</v>
      </c>
      <c r="G29" s="26">
        <v>13674645</v>
      </c>
      <c r="H29" s="93">
        <f t="shared" si="9"/>
        <v>8.7437551262993879E-2</v>
      </c>
      <c r="I29" s="25">
        <f t="shared" si="10"/>
        <v>97251982</v>
      </c>
      <c r="J29" s="25">
        <f t="shared" si="10"/>
        <v>22632924</v>
      </c>
      <c r="K29" s="93">
        <f t="shared" si="11"/>
        <v>0.17291948545409552</v>
      </c>
      <c r="L29" s="26">
        <v>6625092</v>
      </c>
      <c r="M29" s="26">
        <v>8117954</v>
      </c>
      <c r="N29" s="26">
        <v>10706096</v>
      </c>
      <c r="O29" s="26">
        <v>1689674</v>
      </c>
      <c r="P29" s="26">
        <v>29003647</v>
      </c>
      <c r="Q29" s="26">
        <v>4801942</v>
      </c>
      <c r="R29" s="26">
        <v>38386796</v>
      </c>
      <c r="S29" s="26">
        <v>7554300</v>
      </c>
      <c r="T29" s="26">
        <v>12192585</v>
      </c>
      <c r="U29" s="26">
        <v>430060</v>
      </c>
      <c r="V29" s="26">
        <v>337766</v>
      </c>
      <c r="W29" s="26">
        <v>38994</v>
      </c>
      <c r="X29" s="26">
        <v>0</v>
      </c>
      <c r="Y29" s="26">
        <v>0</v>
      </c>
      <c r="Z29" s="245">
        <f t="shared" si="5"/>
        <v>119884906</v>
      </c>
    </row>
    <row r="30" spans="1:26" s="23" customFormat="1" ht="38.25" customHeight="1">
      <c r="A30" s="24">
        <v>19</v>
      </c>
      <c r="B30" s="437" t="s">
        <v>476</v>
      </c>
      <c r="C30" s="25">
        <f>+'Loans Receivable'!C50</f>
        <v>1326568151</v>
      </c>
      <c r="D30" s="93">
        <f t="shared" si="7"/>
        <v>2.7593213402336444E-2</v>
      </c>
      <c r="E30" s="26">
        <v>0</v>
      </c>
      <c r="F30" s="93">
        <f t="shared" si="8"/>
        <v>0</v>
      </c>
      <c r="G30" s="26">
        <v>4490184</v>
      </c>
      <c r="H30" s="93">
        <f t="shared" si="9"/>
        <v>2.8710850898160424E-2</v>
      </c>
      <c r="I30" s="25">
        <f t="shared" si="10"/>
        <v>988575</v>
      </c>
      <c r="J30" s="25">
        <f t="shared" si="10"/>
        <v>741033</v>
      </c>
      <c r="K30" s="93">
        <f t="shared" si="11"/>
        <v>2.4947504683974749E-3</v>
      </c>
      <c r="L30" s="26">
        <v>917073</v>
      </c>
      <c r="M30" s="26">
        <v>730013</v>
      </c>
      <c r="N30" s="26">
        <v>21502</v>
      </c>
      <c r="O30" s="26">
        <v>1760</v>
      </c>
      <c r="P30" s="26">
        <v>50000</v>
      </c>
      <c r="Q30" s="26">
        <v>9260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45">
        <f t="shared" si="5"/>
        <v>1729608</v>
      </c>
    </row>
    <row r="31" spans="1:26" s="23" customFormat="1" ht="26.25" customHeight="1">
      <c r="A31" s="24">
        <v>20</v>
      </c>
      <c r="B31" s="436" t="s">
        <v>712</v>
      </c>
      <c r="C31" s="25">
        <f>+'Loans Receivable'!C58</f>
        <v>10242602</v>
      </c>
      <c r="D31" s="93">
        <f t="shared" si="7"/>
        <v>2.13050722322971E-4</v>
      </c>
      <c r="E31" s="26">
        <v>238287</v>
      </c>
      <c r="F31" s="93">
        <f t="shared" si="8"/>
        <v>7.2281441468491521E-4</v>
      </c>
      <c r="G31" s="26">
        <v>0</v>
      </c>
      <c r="H31" s="93">
        <f t="shared" si="9"/>
        <v>0</v>
      </c>
      <c r="I31" s="25">
        <f t="shared" si="10"/>
        <v>888693</v>
      </c>
      <c r="J31" s="25">
        <f t="shared" si="10"/>
        <v>1029274</v>
      </c>
      <c r="K31" s="93">
        <f t="shared" si="11"/>
        <v>2.7664355574331871E-3</v>
      </c>
      <c r="L31" s="26">
        <v>0</v>
      </c>
      <c r="M31" s="26">
        <v>346988</v>
      </c>
      <c r="N31" s="26">
        <v>20791</v>
      </c>
      <c r="O31" s="26">
        <v>10927</v>
      </c>
      <c r="P31" s="26">
        <v>17159</v>
      </c>
      <c r="Q31" s="26">
        <v>10029</v>
      </c>
      <c r="R31" s="26">
        <v>46086</v>
      </c>
      <c r="S31" s="26">
        <v>89136</v>
      </c>
      <c r="T31" s="26">
        <v>195722</v>
      </c>
      <c r="U31" s="26">
        <v>143457</v>
      </c>
      <c r="V31" s="26">
        <v>182126</v>
      </c>
      <c r="W31" s="26">
        <v>94110</v>
      </c>
      <c r="X31" s="26">
        <v>426809</v>
      </c>
      <c r="Y31" s="26">
        <v>334627</v>
      </c>
      <c r="Z31" s="245">
        <f t="shared" si="5"/>
        <v>1917967</v>
      </c>
    </row>
    <row r="32" spans="1:26" s="23" customFormat="1" ht="26.25" customHeight="1">
      <c r="A32" s="24">
        <v>21</v>
      </c>
      <c r="B32" s="436" t="s">
        <v>478</v>
      </c>
      <c r="C32" s="25">
        <f>+'Loans Receivable'!C70</f>
        <v>3115127146</v>
      </c>
      <c r="D32" s="93">
        <f t="shared" si="7"/>
        <v>6.4796043874710274E-2</v>
      </c>
      <c r="E32" s="26">
        <v>9968565</v>
      </c>
      <c r="F32" s="93">
        <f t="shared" si="8"/>
        <v>3.0238420374269395E-2</v>
      </c>
      <c r="G32" s="26">
        <v>3024008</v>
      </c>
      <c r="H32" s="93">
        <f t="shared" si="9"/>
        <v>1.9335920933940414E-2</v>
      </c>
      <c r="I32" s="25">
        <f t="shared" si="10"/>
        <v>18699570</v>
      </c>
      <c r="J32" s="25">
        <f t="shared" si="10"/>
        <v>13660407</v>
      </c>
      <c r="K32" s="93">
        <f t="shared" si="11"/>
        <v>4.6675355212326443E-2</v>
      </c>
      <c r="L32" s="26">
        <v>5295287</v>
      </c>
      <c r="M32" s="26">
        <v>6901721</v>
      </c>
      <c r="N32" s="26">
        <v>1062385</v>
      </c>
      <c r="O32" s="26">
        <v>605787</v>
      </c>
      <c r="P32" s="26">
        <v>1703972</v>
      </c>
      <c r="Q32" s="26">
        <v>454916</v>
      </c>
      <c r="R32" s="26">
        <v>1418685</v>
      </c>
      <c r="S32" s="26">
        <v>339974</v>
      </c>
      <c r="T32" s="26">
        <v>8109000</v>
      </c>
      <c r="U32" s="26">
        <v>5090450</v>
      </c>
      <c r="V32" s="26">
        <v>1110241</v>
      </c>
      <c r="W32" s="26">
        <v>267559</v>
      </c>
      <c r="X32" s="26">
        <v>0</v>
      </c>
      <c r="Y32" s="26">
        <v>0</v>
      </c>
      <c r="Z32" s="245">
        <f t="shared" si="5"/>
        <v>32359977</v>
      </c>
    </row>
    <row r="33" spans="1:26" s="23" customFormat="1" ht="26.25" customHeight="1">
      <c r="A33" s="24">
        <v>22</v>
      </c>
      <c r="B33" s="436" t="s">
        <v>401</v>
      </c>
      <c r="C33" s="25">
        <f>+'Loans Receivable'!C71</f>
        <v>5463367169</v>
      </c>
      <c r="D33" s="93">
        <f t="shared" ref="D33" si="12">IF(C$35=0,"",C33/C$35)</f>
        <v>0.11364049112433103</v>
      </c>
      <c r="E33" s="26">
        <v>9541830</v>
      </c>
      <c r="F33" s="93">
        <f t="shared" si="8"/>
        <v>2.894397204410213E-2</v>
      </c>
      <c r="G33" s="26">
        <v>1711326</v>
      </c>
      <c r="H33" s="93">
        <f t="shared" si="9"/>
        <v>1.0942452608655966E-2</v>
      </c>
      <c r="I33" s="25">
        <f t="shared" ref="I33" si="13">+L33+N33+P33+R33+T33+V33+X33</f>
        <v>7346228</v>
      </c>
      <c r="J33" s="25">
        <f t="shared" ref="J33" si="14">+M33+O33+Q33+S33+U33+W33+Y33</f>
        <v>4378892</v>
      </c>
      <c r="K33" s="93">
        <f t="shared" si="11"/>
        <v>1.6912068290628052E-2</v>
      </c>
      <c r="L33" s="26">
        <v>1074616</v>
      </c>
      <c r="M33" s="26">
        <v>2473682</v>
      </c>
      <c r="N33" s="26">
        <v>813701</v>
      </c>
      <c r="O33" s="26">
        <v>336955</v>
      </c>
      <c r="P33" s="26">
        <v>674122</v>
      </c>
      <c r="Q33" s="26">
        <v>270739</v>
      </c>
      <c r="R33" s="26">
        <v>1466502</v>
      </c>
      <c r="S33" s="26">
        <v>348343</v>
      </c>
      <c r="T33" s="26">
        <v>2583601</v>
      </c>
      <c r="U33" s="26">
        <v>724568</v>
      </c>
      <c r="V33" s="26">
        <v>733686</v>
      </c>
      <c r="W33" s="26">
        <v>224605</v>
      </c>
      <c r="X33" s="26">
        <v>0</v>
      </c>
      <c r="Y33" s="26">
        <v>0</v>
      </c>
      <c r="Z33" s="245">
        <f t="shared" si="5"/>
        <v>11725120</v>
      </c>
    </row>
    <row r="34" spans="1:26" s="23" customFormat="1" ht="18.75" customHeight="1">
      <c r="A34" s="24"/>
      <c r="B34" s="25"/>
      <c r="C34" s="25"/>
      <c r="D34" s="93"/>
      <c r="E34" s="92"/>
      <c r="F34" s="93"/>
      <c r="G34" s="92"/>
      <c r="H34" s="93"/>
      <c r="I34" s="25"/>
      <c r="J34" s="93"/>
      <c r="K34" s="93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45">
        <f t="shared" si="5"/>
        <v>0</v>
      </c>
    </row>
    <row r="35" spans="1:26" s="23" customFormat="1" ht="27.75" customHeight="1">
      <c r="A35" s="346">
        <v>23</v>
      </c>
      <c r="B35" s="346" t="s">
        <v>678</v>
      </c>
      <c r="C35" s="495">
        <f>SUM(C25:C33)</f>
        <v>48075884880</v>
      </c>
      <c r="D35" s="496">
        <f>IF(C$35=0,"",C35/C$35)</f>
        <v>1</v>
      </c>
      <c r="E35" s="495">
        <f>SUM(E25:E33)</f>
        <v>329665534</v>
      </c>
      <c r="F35" s="496">
        <f>IF($E$35=0,"",E35/$E$35)</f>
        <v>1</v>
      </c>
      <c r="G35" s="495">
        <f>SUM(G25:G33)</f>
        <v>156393275</v>
      </c>
      <c r="H35" s="496">
        <f>IF($G$35=0,"",G35/$G$35)</f>
        <v>1</v>
      </c>
      <c r="I35" s="495">
        <f>SUM(I25:I33)</f>
        <v>494296721</v>
      </c>
      <c r="J35" s="495">
        <f>SUM(J25:J33)</f>
        <v>199002277</v>
      </c>
      <c r="K35" s="496">
        <f>IF($Z$35=0,"",Z35/$Z$35)</f>
        <v>1</v>
      </c>
      <c r="L35" s="495">
        <f t="shared" ref="L35:Y35" si="15">SUM(L25:L33)</f>
        <v>48132494</v>
      </c>
      <c r="M35" s="495">
        <f t="shared" si="15"/>
        <v>103827234</v>
      </c>
      <c r="N35" s="495">
        <f t="shared" si="15"/>
        <v>42704826</v>
      </c>
      <c r="O35" s="495">
        <f t="shared" si="15"/>
        <v>19620306</v>
      </c>
      <c r="P35" s="495">
        <f t="shared" si="15"/>
        <v>99210438</v>
      </c>
      <c r="Q35" s="495">
        <f t="shared" si="15"/>
        <v>8435566</v>
      </c>
      <c r="R35" s="495">
        <f t="shared" si="15"/>
        <v>132310600</v>
      </c>
      <c r="S35" s="495">
        <f t="shared" si="15"/>
        <v>23429363</v>
      </c>
      <c r="T35" s="495">
        <f t="shared" si="15"/>
        <v>157312413</v>
      </c>
      <c r="U35" s="495">
        <f t="shared" si="15"/>
        <v>40580682</v>
      </c>
      <c r="V35" s="495">
        <f t="shared" si="15"/>
        <v>14199141</v>
      </c>
      <c r="W35" s="495">
        <f t="shared" si="15"/>
        <v>2774499</v>
      </c>
      <c r="X35" s="495">
        <f t="shared" si="15"/>
        <v>426809</v>
      </c>
      <c r="Y35" s="495">
        <f t="shared" si="15"/>
        <v>334627</v>
      </c>
      <c r="Z35" s="245">
        <f t="shared" si="5"/>
        <v>693298998</v>
      </c>
    </row>
    <row r="36" spans="1:26" ht="22.5" customHeight="1">
      <c r="A36" s="27"/>
    </row>
    <row r="37" spans="1:26" s="30" customFormat="1" ht="18.75" customHeight="1">
      <c r="B37" s="28" t="s">
        <v>788</v>
      </c>
      <c r="F37" s="185"/>
      <c r="G37" s="185"/>
      <c r="H37" s="185"/>
      <c r="I37" s="185"/>
      <c r="J37" s="185"/>
      <c r="K37" s="185"/>
      <c r="L37" s="185"/>
      <c r="M37" s="185"/>
    </row>
    <row r="38" spans="1:26" s="30" customFormat="1" ht="18.75" customHeight="1">
      <c r="B38" s="28"/>
      <c r="F38" s="185"/>
      <c r="G38" s="185"/>
      <c r="H38" s="185"/>
      <c r="I38" s="185"/>
      <c r="J38" s="185"/>
      <c r="K38" s="185"/>
      <c r="L38" s="185"/>
      <c r="M38" s="185"/>
    </row>
    <row r="39" spans="1:26" s="30" customFormat="1" ht="18.75" customHeight="1">
      <c r="B39" s="28" t="s">
        <v>789</v>
      </c>
      <c r="F39" s="185"/>
      <c r="G39" s="185"/>
      <c r="H39" s="185"/>
      <c r="I39" s="185"/>
      <c r="J39" s="185"/>
      <c r="K39" s="185"/>
      <c r="L39" s="185"/>
      <c r="M39" s="185"/>
    </row>
    <row r="40" spans="1:26" ht="15.75">
      <c r="A40" s="27"/>
      <c r="B40" s="28"/>
    </row>
    <row r="42" spans="1:26">
      <c r="G42" s="133">
        <f>+'[8]Bank Assets Analysis'!$S$31</f>
        <v>71465006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5" type="noConversion"/>
  <conditionalFormatting sqref="G35">
    <cfRule type="cellIs" dxfId="328" priority="736" operator="lessThan">
      <formula>$G$42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zoomScale="85" zoomScaleNormal="62" zoomScaleSheetLayoutView="85" workbookViewId="0">
      <pane xSplit="4" ySplit="6" topLeftCell="E64" activePane="bottomRight" state="frozen"/>
      <selection pane="topRight" activeCell="E1" sqref="E1"/>
      <selection pane="bottomLeft" activeCell="A7" sqref="A7"/>
      <selection pane="bottomRight" activeCell="Y51" sqref="Y51"/>
    </sheetView>
  </sheetViews>
  <sheetFormatPr defaultColWidth="9.42578125" defaultRowHeight="12.75"/>
  <cols>
    <col min="1" max="1" width="5" style="30" customWidth="1"/>
    <col min="2" max="2" width="47.42578125" style="30" customWidth="1"/>
    <col min="3" max="4" width="21.28515625" style="30" customWidth="1"/>
    <col min="5" max="7" width="18.7109375" style="30" customWidth="1"/>
    <col min="8" max="8" width="17" style="30" customWidth="1"/>
    <col min="9" max="11" width="18" style="30" customWidth="1"/>
    <col min="12" max="12" width="17" style="30" customWidth="1"/>
    <col min="13" max="14" width="14.7109375" style="30" customWidth="1"/>
    <col min="15" max="15" width="13.7109375" style="30" customWidth="1"/>
    <col min="16" max="16" width="17" style="30" customWidth="1"/>
    <col min="17" max="19" width="14.7109375" style="30" customWidth="1"/>
    <col min="20" max="20" width="17" style="30" customWidth="1"/>
    <col min="21" max="21" width="18" style="30" customWidth="1"/>
    <col min="22" max="22" width="17" style="30" customWidth="1"/>
    <col min="23" max="23" width="14.42578125" style="30" customWidth="1"/>
    <col min="24" max="24" width="12.42578125" style="30" customWidth="1"/>
    <col min="25" max="25" width="17" style="30" bestFit="1" customWidth="1"/>
    <col min="26" max="28" width="14.7109375" style="30" customWidth="1"/>
    <col min="29" max="29" width="19.140625" style="185" customWidth="1"/>
    <col min="30" max="30" width="14.7109375" style="185" customWidth="1"/>
    <col min="31" max="36" width="9.42578125" style="185"/>
    <col min="37" max="16384" width="9.42578125" style="30"/>
  </cols>
  <sheetData>
    <row r="1" spans="1:36" ht="21" customHeight="1">
      <c r="A1" s="347" t="s">
        <v>652</v>
      </c>
      <c r="B1" s="235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X1" s="230"/>
      <c r="Y1" s="230"/>
      <c r="Z1" s="348" t="s">
        <v>653</v>
      </c>
      <c r="AA1" s="230"/>
    </row>
    <row r="2" spans="1:36" ht="12.75" customHeight="1">
      <c r="A2" s="347"/>
      <c r="B2" s="235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X2" s="230"/>
      <c r="Y2" s="230"/>
      <c r="Z2" s="348"/>
      <c r="AA2" s="230"/>
    </row>
    <row r="3" spans="1:36" ht="15.75">
      <c r="A3" s="233"/>
      <c r="B3" s="83" t="str">
        <f>+'Asset quality'!B3</f>
        <v>"Ўзсаноатқурилишбанк" АТБ</v>
      </c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576">
        <f>+'Asset quality'!Q3</f>
        <v>44925</v>
      </c>
      <c r="V3" s="576"/>
      <c r="W3" s="82"/>
      <c r="X3" s="233"/>
      <c r="Y3" s="233"/>
      <c r="AA3" s="231"/>
      <c r="AB3" s="349" t="str">
        <f>+'Asset quality'!T3</f>
        <v>минг. сўмда</v>
      </c>
    </row>
    <row r="4" spans="1:36" ht="125.25" customHeight="1">
      <c r="A4" s="350" t="s">
        <v>62</v>
      </c>
      <c r="B4" s="351" t="s">
        <v>285</v>
      </c>
      <c r="C4" s="352" t="s">
        <v>654</v>
      </c>
      <c r="D4" s="352" t="s">
        <v>655</v>
      </c>
      <c r="E4" s="352" t="s">
        <v>656</v>
      </c>
      <c r="F4" s="352" t="s">
        <v>655</v>
      </c>
      <c r="G4" s="352" t="s">
        <v>790</v>
      </c>
      <c r="H4" s="352" t="s">
        <v>655</v>
      </c>
      <c r="I4" s="352" t="s">
        <v>657</v>
      </c>
      <c r="J4" s="352" t="s">
        <v>655</v>
      </c>
      <c r="K4" s="352" t="s">
        <v>658</v>
      </c>
      <c r="L4" s="352" t="s">
        <v>655</v>
      </c>
      <c r="M4" s="352" t="s">
        <v>659</v>
      </c>
      <c r="N4" s="352" t="s">
        <v>655</v>
      </c>
      <c r="O4" s="352" t="s">
        <v>660</v>
      </c>
      <c r="P4" s="352" t="s">
        <v>655</v>
      </c>
      <c r="Q4" s="352" t="s">
        <v>661</v>
      </c>
      <c r="R4" s="352" t="s">
        <v>655</v>
      </c>
      <c r="S4" s="352" t="s">
        <v>662</v>
      </c>
      <c r="T4" s="352" t="s">
        <v>655</v>
      </c>
      <c r="U4" s="352" t="s">
        <v>663</v>
      </c>
      <c r="V4" s="352" t="s">
        <v>655</v>
      </c>
      <c r="W4" s="352" t="s">
        <v>664</v>
      </c>
      <c r="X4" s="352" t="s">
        <v>655</v>
      </c>
      <c r="Y4" s="352" t="s">
        <v>665</v>
      </c>
      <c r="Z4" s="352" t="s">
        <v>655</v>
      </c>
      <c r="AA4" s="352" t="s">
        <v>666</v>
      </c>
      <c r="AB4" s="352" t="s">
        <v>667</v>
      </c>
    </row>
    <row r="5" spans="1:36" s="15" customFormat="1" ht="25.5">
      <c r="A5" s="14" t="s">
        <v>67</v>
      </c>
      <c r="B5" s="14" t="s">
        <v>37</v>
      </c>
      <c r="C5" s="14" t="s">
        <v>38</v>
      </c>
      <c r="D5" s="14" t="s">
        <v>743</v>
      </c>
      <c r="E5" s="14" t="s">
        <v>39</v>
      </c>
      <c r="F5" s="14" t="s">
        <v>744</v>
      </c>
      <c r="G5" s="14" t="s">
        <v>63</v>
      </c>
      <c r="H5" s="14" t="s">
        <v>745</v>
      </c>
      <c r="I5" s="14" t="s">
        <v>64</v>
      </c>
      <c r="J5" s="14" t="s">
        <v>746</v>
      </c>
      <c r="K5" s="14" t="s">
        <v>65</v>
      </c>
      <c r="L5" s="14" t="s">
        <v>747</v>
      </c>
      <c r="M5" s="14" t="s">
        <v>68</v>
      </c>
      <c r="N5" s="14" t="s">
        <v>748</v>
      </c>
      <c r="O5" s="14" t="s">
        <v>69</v>
      </c>
      <c r="P5" s="14" t="s">
        <v>749</v>
      </c>
      <c r="Q5" s="14" t="s">
        <v>70</v>
      </c>
      <c r="R5" s="14" t="s">
        <v>750</v>
      </c>
      <c r="S5" s="14" t="s">
        <v>71</v>
      </c>
      <c r="T5" s="14" t="s">
        <v>751</v>
      </c>
      <c r="U5" s="14" t="s">
        <v>72</v>
      </c>
      <c r="V5" s="14" t="s">
        <v>752</v>
      </c>
      <c r="W5" s="14" t="s">
        <v>73</v>
      </c>
      <c r="X5" s="14" t="s">
        <v>753</v>
      </c>
      <c r="Y5" s="14" t="s">
        <v>32</v>
      </c>
      <c r="Z5" s="14" t="s">
        <v>754</v>
      </c>
      <c r="AA5" s="14" t="s">
        <v>156</v>
      </c>
      <c r="AB5" s="14" t="s">
        <v>157</v>
      </c>
      <c r="AC5" s="243"/>
      <c r="AD5" s="243"/>
      <c r="AE5" s="243"/>
      <c r="AF5" s="243"/>
      <c r="AG5" s="243"/>
      <c r="AH5" s="243"/>
      <c r="AI5" s="243"/>
      <c r="AJ5" s="243"/>
    </row>
    <row r="6" spans="1:36" s="512" customFormat="1" ht="27.75" customHeight="1">
      <c r="A6" s="510"/>
      <c r="B6" s="510" t="s">
        <v>668</v>
      </c>
      <c r="C6" s="510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  <c r="Y6" s="510"/>
      <c r="Z6" s="510"/>
      <c r="AA6" s="510"/>
      <c r="AB6" s="510"/>
    </row>
    <row r="7" spans="1:36" s="15" customFormat="1" ht="23.25" customHeight="1">
      <c r="A7" s="351">
        <v>1</v>
      </c>
      <c r="B7" s="148" t="s">
        <v>669</v>
      </c>
      <c r="C7" s="488">
        <f t="shared" ref="C7:C30" si="0">E7+I7+M7+Q7+U7</f>
        <v>0</v>
      </c>
      <c r="D7" s="486">
        <f>F7+J7+N7+R7+V7</f>
        <v>0</v>
      </c>
      <c r="E7" s="487"/>
      <c r="F7" s="487"/>
      <c r="G7" s="487"/>
      <c r="H7" s="487"/>
      <c r="I7" s="487"/>
      <c r="J7" s="487"/>
      <c r="K7" s="487"/>
      <c r="L7" s="487"/>
      <c r="M7" s="487"/>
      <c r="N7" s="487"/>
      <c r="O7" s="487"/>
      <c r="P7" s="487"/>
      <c r="Q7" s="487"/>
      <c r="R7" s="487"/>
      <c r="S7" s="487"/>
      <c r="T7" s="487"/>
      <c r="U7" s="487"/>
      <c r="V7" s="487"/>
      <c r="W7" s="487"/>
      <c r="X7" s="487"/>
      <c r="Y7" s="485">
        <f t="shared" ref="Y7:Y30" si="1">+W7+S7+O7+K7</f>
        <v>0</v>
      </c>
      <c r="Z7" s="486">
        <f t="shared" ref="Z7:Z30" si="2">+X7+T7+P7+L7</f>
        <v>0</v>
      </c>
      <c r="AA7" s="17"/>
      <c r="AB7" s="17"/>
      <c r="AC7" s="245">
        <f>+'Aging Analysis'!C9</f>
        <v>0</v>
      </c>
      <c r="AD7" s="243"/>
      <c r="AE7" s="243"/>
      <c r="AF7" s="243"/>
      <c r="AG7" s="243"/>
      <c r="AH7" s="243"/>
      <c r="AI7" s="243"/>
      <c r="AJ7" s="243"/>
    </row>
    <row r="8" spans="1:36" s="15" customFormat="1" ht="14.25" customHeight="1">
      <c r="A8" s="351"/>
      <c r="B8" s="353" t="s">
        <v>670</v>
      </c>
      <c r="C8" s="488">
        <f t="shared" si="0"/>
        <v>0</v>
      </c>
      <c r="D8" s="486">
        <f t="shared" ref="D8:D30" si="3">F8+J8+N8+R8+V8</f>
        <v>0</v>
      </c>
      <c r="E8" s="489"/>
      <c r="F8" s="487"/>
      <c r="G8" s="489"/>
      <c r="H8" s="487"/>
      <c r="I8" s="489"/>
      <c r="J8" s="487"/>
      <c r="K8" s="489"/>
      <c r="L8" s="487"/>
      <c r="M8" s="489"/>
      <c r="N8" s="487"/>
      <c r="O8" s="489"/>
      <c r="P8" s="487"/>
      <c r="Q8" s="489"/>
      <c r="R8" s="487"/>
      <c r="S8" s="489"/>
      <c r="T8" s="487"/>
      <c r="U8" s="489"/>
      <c r="V8" s="487"/>
      <c r="W8" s="489"/>
      <c r="X8" s="487"/>
      <c r="Y8" s="485">
        <f t="shared" si="1"/>
        <v>0</v>
      </c>
      <c r="Z8" s="486">
        <f t="shared" si="2"/>
        <v>0</v>
      </c>
      <c r="AA8" s="17"/>
      <c r="AB8" s="17"/>
      <c r="AD8" s="243"/>
      <c r="AE8" s="243"/>
      <c r="AF8" s="243"/>
      <c r="AG8" s="243"/>
      <c r="AH8" s="243"/>
      <c r="AI8" s="243"/>
      <c r="AJ8" s="243"/>
    </row>
    <row r="9" spans="1:36" s="15" customFormat="1" ht="23.25" customHeight="1">
      <c r="A9" s="351">
        <v>2</v>
      </c>
      <c r="B9" s="148" t="s">
        <v>671</v>
      </c>
      <c r="C9" s="488">
        <f t="shared" si="0"/>
        <v>0</v>
      </c>
      <c r="D9" s="486">
        <f t="shared" si="3"/>
        <v>0</v>
      </c>
      <c r="E9" s="489"/>
      <c r="F9" s="487"/>
      <c r="G9" s="489"/>
      <c r="H9" s="487"/>
      <c r="I9" s="489"/>
      <c r="J9" s="487"/>
      <c r="K9" s="489"/>
      <c r="L9" s="487"/>
      <c r="M9" s="489"/>
      <c r="N9" s="487"/>
      <c r="O9" s="489"/>
      <c r="P9" s="487"/>
      <c r="Q9" s="489"/>
      <c r="R9" s="487"/>
      <c r="S9" s="489"/>
      <c r="T9" s="487"/>
      <c r="U9" s="489"/>
      <c r="V9" s="487"/>
      <c r="W9" s="489"/>
      <c r="X9" s="487"/>
      <c r="Y9" s="485">
        <f t="shared" si="1"/>
        <v>0</v>
      </c>
      <c r="Z9" s="486">
        <f t="shared" si="2"/>
        <v>0</v>
      </c>
      <c r="AA9" s="17"/>
      <c r="AB9" s="17"/>
      <c r="AC9" s="245">
        <f>+'Aging Analysis'!C10</f>
        <v>0</v>
      </c>
      <c r="AD9" s="243"/>
      <c r="AE9" s="243"/>
      <c r="AF9" s="243"/>
      <c r="AG9" s="243"/>
      <c r="AH9" s="243"/>
      <c r="AI9" s="243"/>
      <c r="AJ9" s="243"/>
    </row>
    <row r="10" spans="1:36" s="15" customFormat="1" ht="14.25" customHeight="1">
      <c r="A10" s="351"/>
      <c r="B10" s="353" t="s">
        <v>670</v>
      </c>
      <c r="C10" s="488">
        <f t="shared" si="0"/>
        <v>0</v>
      </c>
      <c r="D10" s="486">
        <f t="shared" si="3"/>
        <v>0</v>
      </c>
      <c r="E10" s="489"/>
      <c r="F10" s="487"/>
      <c r="G10" s="489"/>
      <c r="H10" s="487"/>
      <c r="I10" s="489"/>
      <c r="J10" s="487"/>
      <c r="K10" s="489"/>
      <c r="L10" s="487"/>
      <c r="M10" s="489"/>
      <c r="N10" s="487"/>
      <c r="O10" s="489"/>
      <c r="P10" s="487"/>
      <c r="Q10" s="489"/>
      <c r="R10" s="487"/>
      <c r="S10" s="489"/>
      <c r="T10" s="487"/>
      <c r="U10" s="489"/>
      <c r="V10" s="487"/>
      <c r="W10" s="489"/>
      <c r="X10" s="487"/>
      <c r="Y10" s="485">
        <f t="shared" si="1"/>
        <v>0</v>
      </c>
      <c r="Z10" s="486">
        <f t="shared" si="2"/>
        <v>0</v>
      </c>
      <c r="AA10" s="17"/>
      <c r="AB10" s="17"/>
      <c r="AD10" s="243"/>
      <c r="AE10" s="243"/>
      <c r="AF10" s="243"/>
      <c r="AG10" s="243"/>
      <c r="AH10" s="243"/>
      <c r="AI10" s="243"/>
      <c r="AJ10" s="243"/>
    </row>
    <row r="11" spans="1:36" s="15" customFormat="1" ht="23.25" customHeight="1">
      <c r="A11" s="351">
        <v>3</v>
      </c>
      <c r="B11" s="148" t="s">
        <v>400</v>
      </c>
      <c r="C11" s="488">
        <f t="shared" si="0"/>
        <v>0</v>
      </c>
      <c r="D11" s="486">
        <f t="shared" si="3"/>
        <v>0</v>
      </c>
      <c r="E11" s="489"/>
      <c r="F11" s="487"/>
      <c r="G11" s="489"/>
      <c r="H11" s="487"/>
      <c r="I11" s="489"/>
      <c r="J11" s="487"/>
      <c r="K11" s="489"/>
      <c r="L11" s="487"/>
      <c r="M11" s="489"/>
      <c r="N11" s="487"/>
      <c r="O11" s="489"/>
      <c r="P11" s="487"/>
      <c r="Q11" s="489"/>
      <c r="R11" s="487"/>
      <c r="S11" s="489"/>
      <c r="T11" s="487"/>
      <c r="U11" s="489"/>
      <c r="V11" s="487"/>
      <c r="W11" s="489"/>
      <c r="X11" s="487"/>
      <c r="Y11" s="485">
        <f t="shared" si="1"/>
        <v>0</v>
      </c>
      <c r="Z11" s="486">
        <f t="shared" si="2"/>
        <v>0</v>
      </c>
      <c r="AA11" s="17"/>
      <c r="AB11" s="17"/>
      <c r="AC11" s="245">
        <f>+'Aging Analysis'!C11</f>
        <v>0</v>
      </c>
      <c r="AD11" s="243"/>
      <c r="AE11" s="243"/>
      <c r="AF11" s="243"/>
      <c r="AG11" s="243"/>
      <c r="AH11" s="243"/>
      <c r="AI11" s="243"/>
      <c r="AJ11" s="243"/>
    </row>
    <row r="12" spans="1:36" s="15" customFormat="1" ht="14.25" customHeight="1">
      <c r="A12" s="351"/>
      <c r="B12" s="353" t="s">
        <v>670</v>
      </c>
      <c r="C12" s="488">
        <f t="shared" si="0"/>
        <v>0</v>
      </c>
      <c r="D12" s="486">
        <f t="shared" si="3"/>
        <v>0</v>
      </c>
      <c r="E12" s="489"/>
      <c r="F12" s="487"/>
      <c r="G12" s="489"/>
      <c r="H12" s="487"/>
      <c r="I12" s="489"/>
      <c r="J12" s="487"/>
      <c r="K12" s="489"/>
      <c r="L12" s="487"/>
      <c r="M12" s="489"/>
      <c r="N12" s="487"/>
      <c r="O12" s="489"/>
      <c r="P12" s="487"/>
      <c r="Q12" s="489"/>
      <c r="R12" s="487"/>
      <c r="S12" s="489"/>
      <c r="T12" s="487"/>
      <c r="U12" s="489"/>
      <c r="V12" s="487"/>
      <c r="W12" s="489"/>
      <c r="X12" s="487"/>
      <c r="Y12" s="485">
        <f t="shared" si="1"/>
        <v>0</v>
      </c>
      <c r="Z12" s="486">
        <f t="shared" si="2"/>
        <v>0</v>
      </c>
      <c r="AA12" s="17"/>
      <c r="AB12" s="17"/>
      <c r="AD12" s="243"/>
      <c r="AE12" s="243"/>
      <c r="AF12" s="243"/>
      <c r="AG12" s="243"/>
      <c r="AH12" s="243"/>
      <c r="AI12" s="243"/>
      <c r="AJ12" s="243"/>
    </row>
    <row r="13" spans="1:36" s="15" customFormat="1" ht="23.25" customHeight="1">
      <c r="A13" s="351">
        <v>4</v>
      </c>
      <c r="B13" s="148" t="s">
        <v>401</v>
      </c>
      <c r="C13" s="488">
        <f t="shared" si="0"/>
        <v>5463367169</v>
      </c>
      <c r="D13" s="486">
        <f t="shared" si="3"/>
        <v>0</v>
      </c>
      <c r="E13" s="489">
        <v>5326427523</v>
      </c>
      <c r="F13" s="487">
        <v>0</v>
      </c>
      <c r="G13" s="489">
        <v>53264275</v>
      </c>
      <c r="H13" s="487">
        <v>0</v>
      </c>
      <c r="I13" s="489">
        <v>86600966</v>
      </c>
      <c r="J13" s="487">
        <v>0</v>
      </c>
      <c r="K13" s="489">
        <v>8592799</v>
      </c>
      <c r="L13" s="487">
        <v>0</v>
      </c>
      <c r="M13" s="489">
        <v>25017834</v>
      </c>
      <c r="N13" s="487">
        <v>0</v>
      </c>
      <c r="O13" s="489">
        <v>6063606</v>
      </c>
      <c r="P13" s="487">
        <v>0</v>
      </c>
      <c r="Q13" s="489">
        <v>18412252</v>
      </c>
      <c r="R13" s="487">
        <v>0</v>
      </c>
      <c r="S13" s="489">
        <v>8853606</v>
      </c>
      <c r="T13" s="487">
        <v>0</v>
      </c>
      <c r="U13" s="489">
        <v>6908594</v>
      </c>
      <c r="V13" s="487">
        <v>0</v>
      </c>
      <c r="W13" s="489">
        <v>6238672</v>
      </c>
      <c r="X13" s="487">
        <v>0</v>
      </c>
      <c r="Y13" s="485">
        <f t="shared" si="1"/>
        <v>29748683</v>
      </c>
      <c r="Z13" s="486">
        <f t="shared" si="2"/>
        <v>0</v>
      </c>
      <c r="AA13" s="17">
        <v>0</v>
      </c>
      <c r="AB13" s="17">
        <v>16092828</v>
      </c>
      <c r="AC13" s="245">
        <f>+'Aging Analysis'!C12</f>
        <v>5463367169</v>
      </c>
      <c r="AD13" s="243"/>
      <c r="AE13" s="243"/>
      <c r="AF13" s="243"/>
      <c r="AG13" s="243"/>
      <c r="AH13" s="243"/>
      <c r="AI13" s="243"/>
      <c r="AJ13" s="243"/>
    </row>
    <row r="14" spans="1:36" s="15" customFormat="1" ht="14.25" customHeight="1">
      <c r="A14" s="351"/>
      <c r="B14" s="353" t="s">
        <v>670</v>
      </c>
      <c r="C14" s="488">
        <f t="shared" si="0"/>
        <v>0</v>
      </c>
      <c r="D14" s="486">
        <f t="shared" si="3"/>
        <v>0</v>
      </c>
      <c r="E14" s="489">
        <v>0</v>
      </c>
      <c r="F14" s="487">
        <v>0</v>
      </c>
      <c r="G14" s="489">
        <v>0</v>
      </c>
      <c r="H14" s="487">
        <v>0</v>
      </c>
      <c r="I14" s="489">
        <v>0</v>
      </c>
      <c r="J14" s="487">
        <v>0</v>
      </c>
      <c r="K14" s="489">
        <v>0</v>
      </c>
      <c r="L14" s="487">
        <v>0</v>
      </c>
      <c r="M14" s="489">
        <v>0</v>
      </c>
      <c r="N14" s="487">
        <v>0</v>
      </c>
      <c r="O14" s="489">
        <v>0</v>
      </c>
      <c r="P14" s="487">
        <v>0</v>
      </c>
      <c r="Q14" s="489">
        <v>0</v>
      </c>
      <c r="R14" s="487">
        <v>0</v>
      </c>
      <c r="S14" s="489">
        <v>0</v>
      </c>
      <c r="T14" s="487">
        <v>0</v>
      </c>
      <c r="U14" s="489">
        <v>0</v>
      </c>
      <c r="V14" s="487">
        <v>0</v>
      </c>
      <c r="W14" s="489">
        <v>0</v>
      </c>
      <c r="X14" s="487">
        <v>0</v>
      </c>
      <c r="Y14" s="485">
        <f t="shared" si="1"/>
        <v>0</v>
      </c>
      <c r="Z14" s="486">
        <f t="shared" si="2"/>
        <v>0</v>
      </c>
      <c r="AA14" s="17"/>
      <c r="AB14" s="17"/>
      <c r="AD14" s="243"/>
      <c r="AE14" s="243"/>
      <c r="AF14" s="243"/>
      <c r="AG14" s="243"/>
      <c r="AH14" s="243"/>
      <c r="AI14" s="243"/>
      <c r="AJ14" s="243"/>
    </row>
    <row r="15" spans="1:36" s="15" customFormat="1" ht="23.25" customHeight="1">
      <c r="A15" s="351">
        <v>5</v>
      </c>
      <c r="B15" s="148" t="s">
        <v>672</v>
      </c>
      <c r="C15" s="488">
        <f t="shared" si="0"/>
        <v>14093170226</v>
      </c>
      <c r="D15" s="486">
        <f t="shared" si="3"/>
        <v>9576038371</v>
      </c>
      <c r="E15" s="489">
        <v>13717203032</v>
      </c>
      <c r="F15" s="487">
        <v>9508685611</v>
      </c>
      <c r="G15" s="489">
        <v>110259025</v>
      </c>
      <c r="H15" s="487">
        <v>0</v>
      </c>
      <c r="I15" s="489">
        <v>375967194</v>
      </c>
      <c r="J15" s="487">
        <v>67352760</v>
      </c>
      <c r="K15" s="489">
        <v>37596719</v>
      </c>
      <c r="L15" s="487">
        <v>6735276</v>
      </c>
      <c r="M15" s="489">
        <v>0</v>
      </c>
      <c r="N15" s="487">
        <v>0</v>
      </c>
      <c r="O15" s="489">
        <v>0</v>
      </c>
      <c r="P15" s="487">
        <v>0</v>
      </c>
      <c r="Q15" s="489">
        <v>0</v>
      </c>
      <c r="R15" s="487">
        <v>0</v>
      </c>
      <c r="S15" s="489">
        <v>0</v>
      </c>
      <c r="T15" s="487">
        <v>0</v>
      </c>
      <c r="U15" s="489">
        <v>0</v>
      </c>
      <c r="V15" s="487">
        <v>0</v>
      </c>
      <c r="W15" s="489">
        <v>0</v>
      </c>
      <c r="X15" s="487">
        <v>0</v>
      </c>
      <c r="Y15" s="485">
        <f t="shared" si="1"/>
        <v>37596719</v>
      </c>
      <c r="Z15" s="486">
        <f t="shared" si="2"/>
        <v>6735276</v>
      </c>
      <c r="AA15" s="17">
        <v>0</v>
      </c>
      <c r="AB15" s="17">
        <v>0</v>
      </c>
      <c r="AC15" s="245">
        <f>+'Aging Analysis'!C13</f>
        <v>14093170226</v>
      </c>
      <c r="AD15" s="243"/>
      <c r="AE15" s="243"/>
      <c r="AF15" s="243"/>
      <c r="AG15" s="243"/>
      <c r="AH15" s="243"/>
      <c r="AI15" s="243"/>
      <c r="AJ15" s="243"/>
    </row>
    <row r="16" spans="1:36" s="15" customFormat="1" ht="14.25" customHeight="1">
      <c r="A16" s="351"/>
      <c r="B16" s="353" t="s">
        <v>670</v>
      </c>
      <c r="C16" s="488">
        <f t="shared" si="0"/>
        <v>0</v>
      </c>
      <c r="D16" s="486">
        <f t="shared" si="3"/>
        <v>0</v>
      </c>
      <c r="E16" s="489">
        <v>0</v>
      </c>
      <c r="F16" s="487">
        <v>0</v>
      </c>
      <c r="G16" s="489">
        <v>0</v>
      </c>
      <c r="H16" s="487">
        <v>0</v>
      </c>
      <c r="I16" s="489">
        <v>0</v>
      </c>
      <c r="J16" s="487">
        <v>0</v>
      </c>
      <c r="K16" s="489">
        <v>0</v>
      </c>
      <c r="L16" s="487">
        <v>0</v>
      </c>
      <c r="M16" s="489">
        <v>0</v>
      </c>
      <c r="N16" s="487">
        <v>0</v>
      </c>
      <c r="O16" s="489">
        <v>0</v>
      </c>
      <c r="P16" s="487">
        <v>0</v>
      </c>
      <c r="Q16" s="489">
        <v>0</v>
      </c>
      <c r="R16" s="487">
        <v>0</v>
      </c>
      <c r="S16" s="489">
        <v>0</v>
      </c>
      <c r="T16" s="487">
        <v>0</v>
      </c>
      <c r="U16" s="489">
        <v>0</v>
      </c>
      <c r="V16" s="487">
        <v>0</v>
      </c>
      <c r="W16" s="489">
        <v>0</v>
      </c>
      <c r="X16" s="487">
        <v>0</v>
      </c>
      <c r="Y16" s="485">
        <f t="shared" si="1"/>
        <v>0</v>
      </c>
      <c r="Z16" s="486">
        <f t="shared" si="2"/>
        <v>0</v>
      </c>
      <c r="AA16" s="17"/>
      <c r="AB16" s="17"/>
      <c r="AD16" s="243"/>
      <c r="AE16" s="243"/>
      <c r="AF16" s="243"/>
      <c r="AG16" s="243"/>
      <c r="AH16" s="243"/>
      <c r="AI16" s="243"/>
      <c r="AJ16" s="243"/>
    </row>
    <row r="17" spans="1:36" s="15" customFormat="1" ht="23.25" customHeight="1">
      <c r="A17" s="351">
        <v>6</v>
      </c>
      <c r="B17" s="148" t="s">
        <v>403</v>
      </c>
      <c r="C17" s="488">
        <f t="shared" si="0"/>
        <v>9080290501</v>
      </c>
      <c r="D17" s="486">
        <f t="shared" si="3"/>
        <v>7941053189</v>
      </c>
      <c r="E17" s="489">
        <v>8484483815</v>
      </c>
      <c r="F17" s="487">
        <v>7364846691</v>
      </c>
      <c r="G17" s="489">
        <v>84844838</v>
      </c>
      <c r="H17" s="487">
        <v>0</v>
      </c>
      <c r="I17" s="489">
        <v>218058951</v>
      </c>
      <c r="J17" s="487">
        <v>217658951</v>
      </c>
      <c r="K17" s="489">
        <v>21805895</v>
      </c>
      <c r="L17" s="487">
        <v>21765895</v>
      </c>
      <c r="M17" s="489">
        <v>66012521</v>
      </c>
      <c r="N17" s="487">
        <v>46812333</v>
      </c>
      <c r="O17" s="489">
        <v>16503130</v>
      </c>
      <c r="P17" s="487">
        <v>11703083</v>
      </c>
      <c r="Q17" s="489">
        <v>302666165</v>
      </c>
      <c r="R17" s="487">
        <v>302666165</v>
      </c>
      <c r="S17" s="489">
        <v>151333083</v>
      </c>
      <c r="T17" s="487">
        <v>151333083</v>
      </c>
      <c r="U17" s="489">
        <v>9069049</v>
      </c>
      <c r="V17" s="487">
        <v>9069049</v>
      </c>
      <c r="W17" s="489">
        <v>9069049</v>
      </c>
      <c r="X17" s="487">
        <v>9069049</v>
      </c>
      <c r="Y17" s="485">
        <f t="shared" si="1"/>
        <v>198711157</v>
      </c>
      <c r="Z17" s="486">
        <f t="shared" si="2"/>
        <v>193871110</v>
      </c>
      <c r="AA17" s="17">
        <v>0</v>
      </c>
      <c r="AB17" s="17">
        <v>0</v>
      </c>
      <c r="AC17" s="245">
        <f>+'Aging Analysis'!C14</f>
        <v>9080290501</v>
      </c>
      <c r="AD17" s="243"/>
      <c r="AE17" s="243"/>
      <c r="AF17" s="243"/>
      <c r="AG17" s="243"/>
      <c r="AH17" s="243"/>
      <c r="AI17" s="243"/>
      <c r="AJ17" s="243"/>
    </row>
    <row r="18" spans="1:36" s="15" customFormat="1" ht="14.25" customHeight="1">
      <c r="A18" s="351"/>
      <c r="B18" s="353" t="s">
        <v>670</v>
      </c>
      <c r="C18" s="488">
        <f t="shared" si="0"/>
        <v>0</v>
      </c>
      <c r="D18" s="486">
        <f t="shared" si="3"/>
        <v>0</v>
      </c>
      <c r="E18" s="489">
        <v>0</v>
      </c>
      <c r="F18" s="487">
        <v>0</v>
      </c>
      <c r="G18" s="489">
        <v>0</v>
      </c>
      <c r="H18" s="487">
        <v>0</v>
      </c>
      <c r="I18" s="489">
        <v>0</v>
      </c>
      <c r="J18" s="487">
        <v>0</v>
      </c>
      <c r="K18" s="489">
        <v>0</v>
      </c>
      <c r="L18" s="487">
        <v>0</v>
      </c>
      <c r="M18" s="489">
        <v>0</v>
      </c>
      <c r="N18" s="487">
        <v>0</v>
      </c>
      <c r="O18" s="489">
        <v>0</v>
      </c>
      <c r="P18" s="487">
        <v>0</v>
      </c>
      <c r="Q18" s="489">
        <v>0</v>
      </c>
      <c r="R18" s="487">
        <v>0</v>
      </c>
      <c r="S18" s="489">
        <v>0</v>
      </c>
      <c r="T18" s="487">
        <v>0</v>
      </c>
      <c r="U18" s="489">
        <v>0</v>
      </c>
      <c r="V18" s="487">
        <v>0</v>
      </c>
      <c r="W18" s="489">
        <v>0</v>
      </c>
      <c r="X18" s="487">
        <v>0</v>
      </c>
      <c r="Y18" s="485">
        <f t="shared" si="1"/>
        <v>0</v>
      </c>
      <c r="Z18" s="486">
        <f t="shared" si="2"/>
        <v>0</v>
      </c>
      <c r="AA18" s="17"/>
      <c r="AB18" s="17"/>
      <c r="AD18" s="243"/>
      <c r="AE18" s="243"/>
      <c r="AF18" s="243"/>
      <c r="AG18" s="243"/>
      <c r="AH18" s="243"/>
      <c r="AI18" s="243"/>
      <c r="AJ18" s="243"/>
    </row>
    <row r="19" spans="1:36" s="15" customFormat="1" ht="23.25" customHeight="1">
      <c r="A19" s="351">
        <v>7</v>
      </c>
      <c r="B19" s="148" t="s">
        <v>404</v>
      </c>
      <c r="C19" s="488">
        <f t="shared" si="0"/>
        <v>19254967029</v>
      </c>
      <c r="D19" s="486">
        <f t="shared" si="3"/>
        <v>13208485774</v>
      </c>
      <c r="E19" s="489">
        <v>16537850982</v>
      </c>
      <c r="F19" s="487">
        <v>11383471585</v>
      </c>
      <c r="G19" s="489">
        <v>165378510</v>
      </c>
      <c r="H19" s="487">
        <v>0</v>
      </c>
      <c r="I19" s="489">
        <v>1829878783</v>
      </c>
      <c r="J19" s="487">
        <v>1356486852</v>
      </c>
      <c r="K19" s="489">
        <v>182987879</v>
      </c>
      <c r="L19" s="487">
        <v>135648686</v>
      </c>
      <c r="M19" s="489">
        <v>335528940</v>
      </c>
      <c r="N19" s="487">
        <v>181918056</v>
      </c>
      <c r="O19" s="489">
        <v>82728319</v>
      </c>
      <c r="P19" s="487">
        <v>44413096</v>
      </c>
      <c r="Q19" s="489">
        <v>490888293</v>
      </c>
      <c r="R19" s="487">
        <v>252257337</v>
      </c>
      <c r="S19" s="489">
        <v>245440179</v>
      </c>
      <c r="T19" s="487">
        <v>126128669</v>
      </c>
      <c r="U19" s="489">
        <v>60820031</v>
      </c>
      <c r="V19" s="487">
        <v>34351944</v>
      </c>
      <c r="W19" s="489">
        <v>60820030</v>
      </c>
      <c r="X19" s="487">
        <v>34351944</v>
      </c>
      <c r="Y19" s="485">
        <f t="shared" si="1"/>
        <v>571976407</v>
      </c>
      <c r="Z19" s="486">
        <f t="shared" si="2"/>
        <v>340542395</v>
      </c>
      <c r="AA19" s="17">
        <v>926786525</v>
      </c>
      <c r="AB19" s="17">
        <v>46859020</v>
      </c>
      <c r="AC19" s="245">
        <f>+'Aging Analysis'!C15</f>
        <v>19254967029</v>
      </c>
      <c r="AD19" s="243"/>
      <c r="AE19" s="243"/>
      <c r="AF19" s="243"/>
      <c r="AG19" s="243"/>
      <c r="AH19" s="243"/>
      <c r="AI19" s="243"/>
      <c r="AJ19" s="243"/>
    </row>
    <row r="20" spans="1:36" s="15" customFormat="1" ht="14.25" customHeight="1">
      <c r="A20" s="351"/>
      <c r="B20" s="353" t="s">
        <v>670</v>
      </c>
      <c r="C20" s="488">
        <f t="shared" si="0"/>
        <v>0</v>
      </c>
      <c r="D20" s="486">
        <f t="shared" si="3"/>
        <v>0</v>
      </c>
      <c r="E20" s="489">
        <v>0</v>
      </c>
      <c r="F20" s="487">
        <v>0</v>
      </c>
      <c r="G20" s="489">
        <v>0</v>
      </c>
      <c r="H20" s="487">
        <v>0</v>
      </c>
      <c r="I20" s="489">
        <v>0</v>
      </c>
      <c r="J20" s="487">
        <v>0</v>
      </c>
      <c r="K20" s="489">
        <v>0</v>
      </c>
      <c r="L20" s="487">
        <v>0</v>
      </c>
      <c r="M20" s="489">
        <v>0</v>
      </c>
      <c r="N20" s="487">
        <v>0</v>
      </c>
      <c r="O20" s="489">
        <v>0</v>
      </c>
      <c r="P20" s="487">
        <v>0</v>
      </c>
      <c r="Q20" s="489">
        <v>0</v>
      </c>
      <c r="R20" s="487">
        <v>0</v>
      </c>
      <c r="S20" s="489">
        <v>0</v>
      </c>
      <c r="T20" s="487">
        <v>0</v>
      </c>
      <c r="U20" s="489">
        <v>0</v>
      </c>
      <c r="V20" s="487">
        <v>0</v>
      </c>
      <c r="W20" s="489">
        <v>0</v>
      </c>
      <c r="X20" s="487">
        <v>0</v>
      </c>
      <c r="Y20" s="485">
        <f t="shared" si="1"/>
        <v>0</v>
      </c>
      <c r="Z20" s="486">
        <f t="shared" si="2"/>
        <v>0</v>
      </c>
      <c r="AA20" s="17"/>
      <c r="AB20" s="17"/>
      <c r="AD20" s="243"/>
      <c r="AE20" s="243"/>
      <c r="AF20" s="243"/>
      <c r="AG20" s="243"/>
      <c r="AH20" s="243"/>
      <c r="AI20" s="243"/>
      <c r="AJ20" s="243"/>
    </row>
    <row r="21" spans="1:36" s="15" customFormat="1" ht="23.25" customHeight="1">
      <c r="A21" s="351">
        <v>8</v>
      </c>
      <c r="B21" s="148" t="s">
        <v>673</v>
      </c>
      <c r="C21" s="488">
        <f t="shared" si="0"/>
        <v>171788067</v>
      </c>
      <c r="D21" s="486">
        <f t="shared" si="3"/>
        <v>102565310</v>
      </c>
      <c r="E21" s="489">
        <v>89223633</v>
      </c>
      <c r="F21" s="487">
        <v>50848569</v>
      </c>
      <c r="G21" s="489">
        <v>892236</v>
      </c>
      <c r="H21" s="487">
        <v>0</v>
      </c>
      <c r="I21" s="489">
        <v>45320594</v>
      </c>
      <c r="J21" s="487">
        <v>43464476</v>
      </c>
      <c r="K21" s="489">
        <v>4532059</v>
      </c>
      <c r="L21" s="487">
        <v>4346448</v>
      </c>
      <c r="M21" s="489">
        <v>9188880</v>
      </c>
      <c r="N21" s="487">
        <v>0</v>
      </c>
      <c r="O21" s="489">
        <v>2297220</v>
      </c>
      <c r="P21" s="487">
        <v>0</v>
      </c>
      <c r="Q21" s="489">
        <v>16591663</v>
      </c>
      <c r="R21" s="487">
        <v>8252265</v>
      </c>
      <c r="S21" s="489">
        <v>8295831</v>
      </c>
      <c r="T21" s="487">
        <v>4126132</v>
      </c>
      <c r="U21" s="489">
        <v>11463297</v>
      </c>
      <c r="V21" s="487">
        <v>0</v>
      </c>
      <c r="W21" s="489">
        <v>11463297</v>
      </c>
      <c r="X21" s="487">
        <v>0</v>
      </c>
      <c r="Y21" s="485">
        <f t="shared" si="1"/>
        <v>26588407</v>
      </c>
      <c r="Z21" s="486">
        <f t="shared" si="2"/>
        <v>8472580</v>
      </c>
      <c r="AA21" s="17">
        <v>0</v>
      </c>
      <c r="AB21" s="17">
        <v>5719014</v>
      </c>
      <c r="AC21" s="245">
        <f>+'Aging Analysis'!C16</f>
        <v>171788067</v>
      </c>
      <c r="AD21" s="243"/>
      <c r="AE21" s="243"/>
      <c r="AF21" s="243"/>
      <c r="AG21" s="243"/>
      <c r="AH21" s="243"/>
      <c r="AI21" s="243"/>
      <c r="AJ21" s="243"/>
    </row>
    <row r="22" spans="1:36" s="15" customFormat="1" ht="14.25" customHeight="1">
      <c r="A22" s="351"/>
      <c r="B22" s="353" t="s">
        <v>670</v>
      </c>
      <c r="C22" s="488">
        <f t="shared" si="0"/>
        <v>0</v>
      </c>
      <c r="D22" s="486">
        <f t="shared" si="3"/>
        <v>0</v>
      </c>
      <c r="E22" s="489">
        <v>0</v>
      </c>
      <c r="F22" s="487">
        <v>0</v>
      </c>
      <c r="G22" s="489">
        <v>0</v>
      </c>
      <c r="H22" s="487">
        <v>0</v>
      </c>
      <c r="I22" s="489">
        <v>0</v>
      </c>
      <c r="J22" s="487">
        <v>0</v>
      </c>
      <c r="K22" s="489">
        <v>0</v>
      </c>
      <c r="L22" s="487">
        <v>0</v>
      </c>
      <c r="M22" s="489">
        <v>0</v>
      </c>
      <c r="N22" s="487">
        <v>0</v>
      </c>
      <c r="O22" s="489">
        <v>0</v>
      </c>
      <c r="P22" s="487">
        <v>0</v>
      </c>
      <c r="Q22" s="489">
        <v>0</v>
      </c>
      <c r="R22" s="487">
        <v>0</v>
      </c>
      <c r="S22" s="489">
        <v>0</v>
      </c>
      <c r="T22" s="487">
        <v>0</v>
      </c>
      <c r="U22" s="489">
        <v>0</v>
      </c>
      <c r="V22" s="487">
        <v>0</v>
      </c>
      <c r="W22" s="489">
        <v>0</v>
      </c>
      <c r="X22" s="487">
        <v>0</v>
      </c>
      <c r="Y22" s="485">
        <f t="shared" si="1"/>
        <v>0</v>
      </c>
      <c r="Z22" s="486">
        <f t="shared" si="2"/>
        <v>0</v>
      </c>
      <c r="AA22" s="17"/>
      <c r="AB22" s="17"/>
      <c r="AD22" s="243"/>
      <c r="AE22" s="243"/>
      <c r="AF22" s="243"/>
      <c r="AG22" s="243"/>
      <c r="AH22" s="243"/>
      <c r="AI22" s="243"/>
      <c r="AJ22" s="243"/>
    </row>
    <row r="23" spans="1:36" s="15" customFormat="1" ht="23.25" customHeight="1">
      <c r="A23" s="351">
        <v>9</v>
      </c>
      <c r="B23" s="148" t="s">
        <v>674</v>
      </c>
      <c r="C23" s="488">
        <f t="shared" si="0"/>
        <v>2059286</v>
      </c>
      <c r="D23" s="486">
        <f t="shared" si="3"/>
        <v>0</v>
      </c>
      <c r="E23" s="489">
        <v>2059286</v>
      </c>
      <c r="F23" s="487">
        <v>0</v>
      </c>
      <c r="G23" s="489">
        <v>20593</v>
      </c>
      <c r="H23" s="487">
        <v>0</v>
      </c>
      <c r="I23" s="489">
        <v>0</v>
      </c>
      <c r="J23" s="487">
        <v>0</v>
      </c>
      <c r="K23" s="489">
        <v>0</v>
      </c>
      <c r="L23" s="487">
        <v>0</v>
      </c>
      <c r="M23" s="489">
        <v>0</v>
      </c>
      <c r="N23" s="487">
        <v>0</v>
      </c>
      <c r="O23" s="489">
        <v>0</v>
      </c>
      <c r="P23" s="487">
        <v>0</v>
      </c>
      <c r="Q23" s="489">
        <v>0</v>
      </c>
      <c r="R23" s="487">
        <v>0</v>
      </c>
      <c r="S23" s="489">
        <v>0</v>
      </c>
      <c r="T23" s="487">
        <v>0</v>
      </c>
      <c r="U23" s="489">
        <v>0</v>
      </c>
      <c r="V23" s="487">
        <v>0</v>
      </c>
      <c r="W23" s="489">
        <v>0</v>
      </c>
      <c r="X23" s="487">
        <v>0</v>
      </c>
      <c r="Y23" s="485">
        <f t="shared" si="1"/>
        <v>0</v>
      </c>
      <c r="Z23" s="486">
        <f t="shared" si="2"/>
        <v>0</v>
      </c>
      <c r="AA23" s="17">
        <v>0</v>
      </c>
      <c r="AB23" s="17">
        <v>0</v>
      </c>
      <c r="AC23" s="245">
        <f>+'Aging Analysis'!C17</f>
        <v>2059286</v>
      </c>
      <c r="AD23" s="243"/>
      <c r="AE23" s="243"/>
      <c r="AF23" s="243"/>
      <c r="AG23" s="243"/>
      <c r="AH23" s="243"/>
      <c r="AI23" s="243"/>
      <c r="AJ23" s="243"/>
    </row>
    <row r="24" spans="1:36" s="15" customFormat="1" ht="14.25" customHeight="1">
      <c r="A24" s="351"/>
      <c r="B24" s="353" t="s">
        <v>670</v>
      </c>
      <c r="C24" s="488">
        <f t="shared" si="0"/>
        <v>0</v>
      </c>
      <c r="D24" s="486">
        <f t="shared" si="3"/>
        <v>0</v>
      </c>
      <c r="E24" s="489">
        <v>0</v>
      </c>
      <c r="F24" s="487">
        <v>0</v>
      </c>
      <c r="G24" s="489">
        <v>0</v>
      </c>
      <c r="H24" s="487">
        <v>0</v>
      </c>
      <c r="I24" s="489">
        <v>0</v>
      </c>
      <c r="J24" s="487">
        <v>0</v>
      </c>
      <c r="K24" s="489">
        <v>0</v>
      </c>
      <c r="L24" s="487">
        <v>0</v>
      </c>
      <c r="M24" s="489">
        <v>0</v>
      </c>
      <c r="N24" s="487">
        <v>0</v>
      </c>
      <c r="O24" s="489">
        <v>0</v>
      </c>
      <c r="P24" s="487">
        <v>0</v>
      </c>
      <c r="Q24" s="489">
        <v>0</v>
      </c>
      <c r="R24" s="487">
        <v>0</v>
      </c>
      <c r="S24" s="489">
        <v>0</v>
      </c>
      <c r="T24" s="487">
        <v>0</v>
      </c>
      <c r="U24" s="489">
        <v>0</v>
      </c>
      <c r="V24" s="487">
        <v>0</v>
      </c>
      <c r="W24" s="489">
        <v>0</v>
      </c>
      <c r="X24" s="487">
        <v>0</v>
      </c>
      <c r="Y24" s="485">
        <f t="shared" si="1"/>
        <v>0</v>
      </c>
      <c r="Z24" s="486">
        <f t="shared" si="2"/>
        <v>0</v>
      </c>
      <c r="AA24" s="17"/>
      <c r="AB24" s="17"/>
      <c r="AD24" s="243"/>
      <c r="AE24" s="243"/>
      <c r="AF24" s="243"/>
      <c r="AG24" s="243"/>
      <c r="AH24" s="243"/>
      <c r="AI24" s="243"/>
      <c r="AJ24" s="243"/>
    </row>
    <row r="25" spans="1:36" s="15" customFormat="1" ht="23.25" customHeight="1">
      <c r="A25" s="351">
        <v>10</v>
      </c>
      <c r="B25" s="148" t="s">
        <v>675</v>
      </c>
      <c r="C25" s="488">
        <f t="shared" si="0"/>
        <v>10242602</v>
      </c>
      <c r="D25" s="486">
        <f t="shared" si="3"/>
        <v>0</v>
      </c>
      <c r="E25" s="489">
        <v>3049477</v>
      </c>
      <c r="F25" s="487">
        <v>0</v>
      </c>
      <c r="G25" s="489">
        <v>30495</v>
      </c>
      <c r="H25" s="487">
        <v>0</v>
      </c>
      <c r="I25" s="489">
        <v>1074164</v>
      </c>
      <c r="J25" s="487">
        <v>0</v>
      </c>
      <c r="K25" s="489">
        <v>107416</v>
      </c>
      <c r="L25" s="487">
        <v>0</v>
      </c>
      <c r="M25" s="489">
        <v>1041035</v>
      </c>
      <c r="N25" s="487">
        <v>0</v>
      </c>
      <c r="O25" s="489">
        <v>195258</v>
      </c>
      <c r="P25" s="487">
        <v>0</v>
      </c>
      <c r="Q25" s="489">
        <v>1884435</v>
      </c>
      <c r="R25" s="487">
        <v>0</v>
      </c>
      <c r="S25" s="489">
        <v>882546</v>
      </c>
      <c r="T25" s="487">
        <v>0</v>
      </c>
      <c r="U25" s="489">
        <v>3193491</v>
      </c>
      <c r="V25" s="487">
        <v>0</v>
      </c>
      <c r="W25" s="489">
        <v>3006146</v>
      </c>
      <c r="X25" s="487">
        <v>0</v>
      </c>
      <c r="Y25" s="485">
        <f t="shared" si="1"/>
        <v>4191366</v>
      </c>
      <c r="Z25" s="486">
        <f t="shared" si="2"/>
        <v>0</v>
      </c>
      <c r="AA25" s="17">
        <v>0</v>
      </c>
      <c r="AB25" s="17">
        <v>1288476</v>
      </c>
      <c r="AC25" s="245">
        <f>+'Aging Analysis'!C18</f>
        <v>10242602</v>
      </c>
      <c r="AD25" s="243"/>
      <c r="AE25" s="243"/>
      <c r="AF25" s="243"/>
      <c r="AG25" s="243"/>
      <c r="AH25" s="243"/>
      <c r="AI25" s="243"/>
      <c r="AJ25" s="243"/>
    </row>
    <row r="26" spans="1:36" s="15" customFormat="1" ht="14.25" customHeight="1">
      <c r="A26" s="351"/>
      <c r="B26" s="353" t="s">
        <v>670</v>
      </c>
      <c r="C26" s="488">
        <f t="shared" si="0"/>
        <v>0</v>
      </c>
      <c r="D26" s="486">
        <f t="shared" si="3"/>
        <v>0</v>
      </c>
      <c r="E26" s="489"/>
      <c r="F26" s="487"/>
      <c r="G26" s="489"/>
      <c r="H26" s="487"/>
      <c r="I26" s="489"/>
      <c r="J26" s="487"/>
      <c r="K26" s="489"/>
      <c r="L26" s="487"/>
      <c r="M26" s="489"/>
      <c r="N26" s="487"/>
      <c r="O26" s="489"/>
      <c r="P26" s="487"/>
      <c r="Q26" s="489"/>
      <c r="R26" s="487"/>
      <c r="S26" s="489"/>
      <c r="T26" s="487"/>
      <c r="U26" s="489"/>
      <c r="V26" s="487"/>
      <c r="W26" s="489"/>
      <c r="X26" s="487"/>
      <c r="Y26" s="485">
        <f t="shared" si="1"/>
        <v>0</v>
      </c>
      <c r="Z26" s="486">
        <f t="shared" si="2"/>
        <v>0</v>
      </c>
      <c r="AA26" s="17"/>
      <c r="AB26" s="17"/>
      <c r="AD26" s="243"/>
      <c r="AE26" s="243"/>
      <c r="AF26" s="243"/>
      <c r="AG26" s="243"/>
      <c r="AH26" s="243"/>
      <c r="AI26" s="243"/>
      <c r="AJ26" s="243"/>
    </row>
    <row r="27" spans="1:36" s="15" customFormat="1" ht="23.25" customHeight="1">
      <c r="A27" s="351">
        <v>11</v>
      </c>
      <c r="B27" s="148" t="s">
        <v>676</v>
      </c>
      <c r="C27" s="488">
        <f t="shared" si="0"/>
        <v>0</v>
      </c>
      <c r="D27" s="486">
        <f t="shared" si="3"/>
        <v>0</v>
      </c>
      <c r="E27" s="489"/>
      <c r="F27" s="487"/>
      <c r="G27" s="489"/>
      <c r="H27" s="487"/>
      <c r="I27" s="489"/>
      <c r="J27" s="487"/>
      <c r="K27" s="489"/>
      <c r="L27" s="487"/>
      <c r="M27" s="489"/>
      <c r="N27" s="487"/>
      <c r="O27" s="489"/>
      <c r="P27" s="487"/>
      <c r="Q27" s="489"/>
      <c r="R27" s="487"/>
      <c r="S27" s="489"/>
      <c r="T27" s="487"/>
      <c r="U27" s="489"/>
      <c r="V27" s="487"/>
      <c r="W27" s="489"/>
      <c r="X27" s="487"/>
      <c r="Y27" s="485">
        <f t="shared" si="1"/>
        <v>0</v>
      </c>
      <c r="Z27" s="486">
        <f t="shared" si="2"/>
        <v>0</v>
      </c>
      <c r="AA27" s="17">
        <v>0</v>
      </c>
      <c r="AB27" s="17">
        <v>0</v>
      </c>
      <c r="AC27" s="245">
        <f>+'Aging Analysis'!C19</f>
        <v>0</v>
      </c>
      <c r="AD27" s="243"/>
      <c r="AE27" s="243"/>
      <c r="AF27" s="243"/>
      <c r="AG27" s="243"/>
      <c r="AH27" s="243"/>
      <c r="AI27" s="243"/>
      <c r="AJ27" s="243"/>
    </row>
    <row r="28" spans="1:36" s="15" customFormat="1" ht="14.25" customHeight="1">
      <c r="A28" s="351"/>
      <c r="B28" s="353" t="s">
        <v>670</v>
      </c>
      <c r="C28" s="488">
        <f t="shared" si="0"/>
        <v>0</v>
      </c>
      <c r="D28" s="486">
        <f t="shared" si="3"/>
        <v>0</v>
      </c>
      <c r="E28" s="489"/>
      <c r="F28" s="487"/>
      <c r="G28" s="489"/>
      <c r="H28" s="487"/>
      <c r="I28" s="489"/>
      <c r="J28" s="487"/>
      <c r="K28" s="489"/>
      <c r="L28" s="487"/>
      <c r="M28" s="489"/>
      <c r="N28" s="487"/>
      <c r="O28" s="489"/>
      <c r="P28" s="487"/>
      <c r="Q28" s="489"/>
      <c r="R28" s="487"/>
      <c r="S28" s="489"/>
      <c r="T28" s="487"/>
      <c r="U28" s="489"/>
      <c r="V28" s="487"/>
      <c r="W28" s="489"/>
      <c r="X28" s="487"/>
      <c r="Y28" s="485">
        <f t="shared" si="1"/>
        <v>0</v>
      </c>
      <c r="Z28" s="486">
        <f t="shared" si="2"/>
        <v>0</v>
      </c>
      <c r="AA28" s="17"/>
      <c r="AB28" s="17"/>
      <c r="AD28" s="243"/>
      <c r="AE28" s="243"/>
      <c r="AF28" s="243"/>
      <c r="AG28" s="243"/>
      <c r="AH28" s="243"/>
      <c r="AI28" s="243"/>
      <c r="AJ28" s="243"/>
    </row>
    <row r="29" spans="1:36" s="15" customFormat="1" ht="23.25" customHeight="1">
      <c r="A29" s="351">
        <v>12</v>
      </c>
      <c r="B29" s="148" t="s">
        <v>677</v>
      </c>
      <c r="C29" s="488">
        <f t="shared" si="0"/>
        <v>0</v>
      </c>
      <c r="D29" s="486">
        <f t="shared" si="3"/>
        <v>0</v>
      </c>
      <c r="E29" s="489"/>
      <c r="F29" s="487"/>
      <c r="G29" s="489"/>
      <c r="H29" s="487"/>
      <c r="I29" s="489"/>
      <c r="J29" s="487"/>
      <c r="K29" s="489"/>
      <c r="L29" s="487"/>
      <c r="M29" s="489"/>
      <c r="N29" s="487"/>
      <c r="O29" s="489"/>
      <c r="P29" s="487"/>
      <c r="Q29" s="489"/>
      <c r="R29" s="487"/>
      <c r="S29" s="489"/>
      <c r="T29" s="487"/>
      <c r="U29" s="489"/>
      <c r="V29" s="487"/>
      <c r="W29" s="489"/>
      <c r="X29" s="487"/>
      <c r="Y29" s="485">
        <f t="shared" si="1"/>
        <v>0</v>
      </c>
      <c r="Z29" s="486">
        <f t="shared" si="2"/>
        <v>0</v>
      </c>
      <c r="AA29" s="17">
        <v>0</v>
      </c>
      <c r="AB29" s="17">
        <v>386400</v>
      </c>
      <c r="AC29" s="245">
        <f>+'Aging Analysis'!C20</f>
        <v>0</v>
      </c>
      <c r="AD29" s="243"/>
      <c r="AE29" s="243"/>
      <c r="AF29" s="243"/>
      <c r="AG29" s="243"/>
      <c r="AH29" s="243"/>
      <c r="AI29" s="243"/>
      <c r="AJ29" s="243"/>
    </row>
    <row r="30" spans="1:36" s="15" customFormat="1" ht="14.25" customHeight="1">
      <c r="A30" s="351"/>
      <c r="B30" s="353" t="s">
        <v>670</v>
      </c>
      <c r="C30" s="488">
        <f t="shared" si="0"/>
        <v>0</v>
      </c>
      <c r="D30" s="486">
        <f t="shared" si="3"/>
        <v>0</v>
      </c>
      <c r="E30" s="489"/>
      <c r="F30" s="486"/>
      <c r="G30" s="489"/>
      <c r="H30" s="486"/>
      <c r="I30" s="489"/>
      <c r="J30" s="486"/>
      <c r="K30" s="489"/>
      <c r="L30" s="486"/>
      <c r="M30" s="489"/>
      <c r="N30" s="486"/>
      <c r="O30" s="489"/>
      <c r="P30" s="486"/>
      <c r="Q30" s="489"/>
      <c r="R30" s="486"/>
      <c r="S30" s="489"/>
      <c r="T30" s="486"/>
      <c r="U30" s="489"/>
      <c r="V30" s="486"/>
      <c r="W30" s="489"/>
      <c r="X30" s="486"/>
      <c r="Y30" s="485">
        <f t="shared" si="1"/>
        <v>0</v>
      </c>
      <c r="Z30" s="486">
        <f t="shared" si="2"/>
        <v>0</v>
      </c>
      <c r="AA30" s="17"/>
      <c r="AB30" s="17"/>
      <c r="AC30" s="243"/>
      <c r="AD30" s="243"/>
      <c r="AE30" s="243"/>
      <c r="AF30" s="243"/>
      <c r="AG30" s="243"/>
      <c r="AH30" s="243"/>
      <c r="AI30" s="243"/>
      <c r="AJ30" s="243"/>
    </row>
    <row r="31" spans="1:36" s="512" customFormat="1" ht="28.5" customHeight="1">
      <c r="A31" s="510">
        <v>13</v>
      </c>
      <c r="B31" s="510" t="s">
        <v>678</v>
      </c>
      <c r="C31" s="510">
        <f t="shared" ref="C31:AB31" si="4">+C7+C9+C11+C13+C15+C17+C19+C21+C23+C25+C27+C29</f>
        <v>48075884880</v>
      </c>
      <c r="D31" s="510">
        <f t="shared" si="4"/>
        <v>30828142644</v>
      </c>
      <c r="E31" s="510">
        <f t="shared" si="4"/>
        <v>44160297748</v>
      </c>
      <c r="F31" s="510">
        <f t="shared" si="4"/>
        <v>28307852456</v>
      </c>
      <c r="G31" s="510">
        <f t="shared" si="4"/>
        <v>414689972</v>
      </c>
      <c r="H31" s="510">
        <f t="shared" si="4"/>
        <v>0</v>
      </c>
      <c r="I31" s="510">
        <f t="shared" si="4"/>
        <v>2556900652</v>
      </c>
      <c r="J31" s="510">
        <f t="shared" si="4"/>
        <v>1684963039</v>
      </c>
      <c r="K31" s="510">
        <f t="shared" si="4"/>
        <v>255622767</v>
      </c>
      <c r="L31" s="510">
        <f t="shared" si="4"/>
        <v>168496305</v>
      </c>
      <c r="M31" s="510">
        <f t="shared" si="4"/>
        <v>436789210</v>
      </c>
      <c r="N31" s="510">
        <f t="shared" si="4"/>
        <v>228730389</v>
      </c>
      <c r="O31" s="510">
        <f t="shared" si="4"/>
        <v>107787533</v>
      </c>
      <c r="P31" s="510">
        <f t="shared" si="4"/>
        <v>56116179</v>
      </c>
      <c r="Q31" s="510">
        <f t="shared" si="4"/>
        <v>830442808</v>
      </c>
      <c r="R31" s="510">
        <f t="shared" si="4"/>
        <v>563175767</v>
      </c>
      <c r="S31" s="510">
        <f t="shared" si="4"/>
        <v>414805245</v>
      </c>
      <c r="T31" s="510">
        <f t="shared" si="4"/>
        <v>281587884</v>
      </c>
      <c r="U31" s="510">
        <f t="shared" si="4"/>
        <v>91454462</v>
      </c>
      <c r="V31" s="510">
        <f t="shared" si="4"/>
        <v>43420993</v>
      </c>
      <c r="W31" s="510">
        <f t="shared" si="4"/>
        <v>90597194</v>
      </c>
      <c r="X31" s="510">
        <f t="shared" si="4"/>
        <v>43420993</v>
      </c>
      <c r="Y31" s="510">
        <f t="shared" si="4"/>
        <v>868812739</v>
      </c>
      <c r="Z31" s="510">
        <f t="shared" si="4"/>
        <v>549621361</v>
      </c>
      <c r="AA31" s="510">
        <f>+AA7+AA9+AA11+AA13+AA15+AA17+AA19+AA21+AA23+AA25+AA27+AA29</f>
        <v>926786525</v>
      </c>
      <c r="AB31" s="510">
        <f t="shared" si="4"/>
        <v>70345738</v>
      </c>
      <c r="AC31" s="511">
        <f>+'Loans Receivable'!C85</f>
        <v>48075884880</v>
      </c>
    </row>
    <row r="32" spans="1:36" s="15" customFormat="1" ht="13.5" customHeight="1">
      <c r="A32" s="351"/>
      <c r="B32" s="355" t="s">
        <v>670</v>
      </c>
      <c r="C32" s="14">
        <f t="shared" ref="C32:Z32" si="5">+C8+C10+C12+C14+C16+C18+C20+C22+C24+C26+C28+C30</f>
        <v>0</v>
      </c>
      <c r="D32" s="106">
        <f t="shared" si="5"/>
        <v>0</v>
      </c>
      <c r="E32" s="14">
        <f t="shared" si="5"/>
        <v>0</v>
      </c>
      <c r="F32" s="14">
        <f t="shared" si="5"/>
        <v>0</v>
      </c>
      <c r="G32" s="14">
        <f t="shared" si="5"/>
        <v>0</v>
      </c>
      <c r="H32" s="14">
        <f t="shared" si="5"/>
        <v>0</v>
      </c>
      <c r="I32" s="14">
        <f t="shared" si="5"/>
        <v>0</v>
      </c>
      <c r="J32" s="14">
        <f t="shared" si="5"/>
        <v>0</v>
      </c>
      <c r="K32" s="14">
        <f t="shared" si="5"/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/>
      <c r="AB32" s="14"/>
      <c r="AC32" s="243"/>
      <c r="AD32" s="243"/>
      <c r="AE32" s="243"/>
      <c r="AF32" s="243"/>
      <c r="AG32" s="243"/>
      <c r="AH32" s="243"/>
      <c r="AI32" s="243"/>
      <c r="AJ32" s="243"/>
    </row>
    <row r="33" spans="1:36" s="512" customFormat="1" ht="27.75" customHeight="1">
      <c r="A33" s="510"/>
      <c r="B33" s="510" t="s">
        <v>679</v>
      </c>
      <c r="C33" s="510"/>
      <c r="D33" s="510"/>
      <c r="E33" s="510"/>
      <c r="F33" s="510"/>
      <c r="G33" s="510"/>
      <c r="H33" s="510"/>
      <c r="I33" s="510"/>
      <c r="J33" s="510"/>
      <c r="K33" s="510"/>
      <c r="L33" s="510"/>
      <c r="M33" s="510"/>
      <c r="N33" s="510"/>
      <c r="O33" s="510"/>
      <c r="P33" s="510"/>
      <c r="Q33" s="510"/>
      <c r="R33" s="510"/>
      <c r="S33" s="510"/>
      <c r="T33" s="510"/>
      <c r="U33" s="510"/>
      <c r="V33" s="510"/>
      <c r="W33" s="510"/>
      <c r="X33" s="510"/>
      <c r="Y33" s="510"/>
      <c r="Z33" s="510"/>
      <c r="AA33" s="510"/>
      <c r="AB33" s="510"/>
    </row>
    <row r="34" spans="1:36" s="15" customFormat="1" ht="7.5" customHeight="1">
      <c r="A34" s="14"/>
      <c r="B34" s="14"/>
      <c r="C34" s="14"/>
      <c r="D34" s="10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243"/>
      <c r="AD34" s="243"/>
      <c r="AE34" s="243"/>
      <c r="AF34" s="243"/>
      <c r="AG34" s="243"/>
      <c r="AH34" s="243"/>
      <c r="AI34" s="243"/>
      <c r="AJ34" s="243"/>
    </row>
    <row r="35" spans="1:36" s="15" customFormat="1" ht="23.25" customHeight="1">
      <c r="A35" s="351">
        <v>14</v>
      </c>
      <c r="B35" s="354" t="s">
        <v>471</v>
      </c>
      <c r="C35" s="488">
        <f t="shared" ref="C35:D50" si="6">E35+I35+M35+Q35+U35</f>
        <v>25973436689</v>
      </c>
      <c r="D35" s="149">
        <f t="shared" si="6"/>
        <v>20452888759</v>
      </c>
      <c r="E35" s="20">
        <v>23956057531</v>
      </c>
      <c r="F35" s="490">
        <v>18751236268</v>
      </c>
      <c r="G35" s="20">
        <v>212647570</v>
      </c>
      <c r="H35" s="490">
        <v>0</v>
      </c>
      <c r="I35" s="20">
        <v>1243233736</v>
      </c>
      <c r="J35" s="490">
        <v>1012742617</v>
      </c>
      <c r="K35" s="20">
        <v>124323374</v>
      </c>
      <c r="L35" s="490">
        <v>101274262</v>
      </c>
      <c r="M35" s="20">
        <v>183401890</v>
      </c>
      <c r="N35" s="490">
        <v>163938428</v>
      </c>
      <c r="O35" s="20">
        <v>45850473</v>
      </c>
      <c r="P35" s="490">
        <v>40984608</v>
      </c>
      <c r="Q35" s="20">
        <v>558792549</v>
      </c>
      <c r="R35" s="490">
        <v>497220482</v>
      </c>
      <c r="S35" s="20">
        <v>279392307</v>
      </c>
      <c r="T35" s="490">
        <v>248610241</v>
      </c>
      <c r="U35" s="20">
        <v>31950983</v>
      </c>
      <c r="V35" s="490">
        <v>27750964</v>
      </c>
      <c r="W35" s="20">
        <v>31950983</v>
      </c>
      <c r="X35" s="490">
        <v>27750964</v>
      </c>
      <c r="Y35" s="148">
        <f>+W35+S35+O35+K35</f>
        <v>481517137</v>
      </c>
      <c r="Z35" s="149">
        <f>+X35+T35+P35+L35</f>
        <v>418620075</v>
      </c>
      <c r="AA35" s="17">
        <v>926786525</v>
      </c>
      <c r="AB35" s="17">
        <v>171235</v>
      </c>
      <c r="AC35" s="245">
        <f>+'Aging Analysis'!C25</f>
        <v>25973436689</v>
      </c>
      <c r="AD35" s="243"/>
      <c r="AE35" s="243"/>
      <c r="AF35" s="243"/>
      <c r="AG35" s="243"/>
      <c r="AH35" s="243"/>
      <c r="AI35" s="243"/>
      <c r="AJ35" s="243"/>
    </row>
    <row r="36" spans="1:36" s="15" customFormat="1" ht="14.25" customHeight="1">
      <c r="A36" s="351"/>
      <c r="B36" s="355" t="s">
        <v>670</v>
      </c>
      <c r="C36" s="488">
        <f t="shared" si="6"/>
        <v>0</v>
      </c>
      <c r="D36" s="149">
        <f t="shared" si="6"/>
        <v>0</v>
      </c>
      <c r="E36" s="20">
        <v>0</v>
      </c>
      <c r="F36" s="490">
        <v>0</v>
      </c>
      <c r="G36" s="20">
        <v>0</v>
      </c>
      <c r="H36" s="490">
        <v>0</v>
      </c>
      <c r="I36" s="20">
        <v>0</v>
      </c>
      <c r="J36" s="490">
        <v>0</v>
      </c>
      <c r="K36" s="20">
        <v>0</v>
      </c>
      <c r="L36" s="490">
        <v>0</v>
      </c>
      <c r="M36" s="20">
        <v>0</v>
      </c>
      <c r="N36" s="490">
        <v>0</v>
      </c>
      <c r="O36" s="20">
        <v>0</v>
      </c>
      <c r="P36" s="490">
        <v>0</v>
      </c>
      <c r="Q36" s="20">
        <v>0</v>
      </c>
      <c r="R36" s="490">
        <v>0</v>
      </c>
      <c r="S36" s="20">
        <v>0</v>
      </c>
      <c r="T36" s="490">
        <v>0</v>
      </c>
      <c r="U36" s="20">
        <v>0</v>
      </c>
      <c r="V36" s="490">
        <v>0</v>
      </c>
      <c r="W36" s="20">
        <v>0</v>
      </c>
      <c r="X36" s="490">
        <v>0</v>
      </c>
      <c r="Y36" s="354">
        <f t="shared" ref="Y36:Y50" si="7">+W36+S36+O36+K36</f>
        <v>0</v>
      </c>
      <c r="Z36" s="149">
        <f t="shared" ref="Z36:Z50" si="8">+X36+T36+P36+L36</f>
        <v>0</v>
      </c>
      <c r="AA36" s="17"/>
      <c r="AB36" s="17"/>
      <c r="AD36" s="243"/>
      <c r="AE36" s="243"/>
      <c r="AF36" s="243"/>
      <c r="AG36" s="243"/>
      <c r="AH36" s="243"/>
      <c r="AI36" s="243"/>
      <c r="AJ36" s="243"/>
    </row>
    <row r="37" spans="1:36" s="15" customFormat="1" ht="23.25" customHeight="1">
      <c r="A37" s="351">
        <v>15</v>
      </c>
      <c r="B37" s="354" t="s">
        <v>472</v>
      </c>
      <c r="C37" s="488">
        <f t="shared" si="6"/>
        <v>4481661756</v>
      </c>
      <c r="D37" s="149">
        <f t="shared" si="6"/>
        <v>2124875399</v>
      </c>
      <c r="E37" s="20">
        <v>3903598762</v>
      </c>
      <c r="F37" s="490">
        <v>1717697080</v>
      </c>
      <c r="G37" s="20">
        <v>39035988</v>
      </c>
      <c r="H37" s="490">
        <v>0</v>
      </c>
      <c r="I37" s="20">
        <v>437833588</v>
      </c>
      <c r="J37" s="490">
        <v>373231039</v>
      </c>
      <c r="K37" s="20">
        <v>43783359</v>
      </c>
      <c r="L37" s="490">
        <v>37323104</v>
      </c>
      <c r="M37" s="20">
        <v>38300230</v>
      </c>
      <c r="N37" s="490">
        <v>1622384</v>
      </c>
      <c r="O37" s="20">
        <v>9575058</v>
      </c>
      <c r="P37" s="490">
        <v>405596</v>
      </c>
      <c r="Q37" s="20">
        <v>80376744</v>
      </c>
      <c r="R37" s="490">
        <v>32324896</v>
      </c>
      <c r="S37" s="20">
        <v>40188372</v>
      </c>
      <c r="T37" s="490">
        <v>16162448</v>
      </c>
      <c r="U37" s="20">
        <v>21552432</v>
      </c>
      <c r="V37" s="490">
        <v>0</v>
      </c>
      <c r="W37" s="20">
        <v>21552432</v>
      </c>
      <c r="X37" s="490">
        <v>0</v>
      </c>
      <c r="Y37" s="148">
        <f t="shared" si="7"/>
        <v>115099221</v>
      </c>
      <c r="Z37" s="149">
        <f t="shared" si="8"/>
        <v>53891148</v>
      </c>
      <c r="AA37" s="17">
        <v>0</v>
      </c>
      <c r="AB37" s="17">
        <v>43302779</v>
      </c>
      <c r="AC37" s="245">
        <f>+'Aging Analysis'!C26</f>
        <v>4481661756</v>
      </c>
      <c r="AD37" s="243"/>
      <c r="AE37" s="243"/>
      <c r="AF37" s="243"/>
      <c r="AG37" s="243"/>
      <c r="AH37" s="243"/>
      <c r="AI37" s="243"/>
      <c r="AJ37" s="243"/>
    </row>
    <row r="38" spans="1:36" s="15" customFormat="1" ht="14.25" customHeight="1">
      <c r="A38" s="351"/>
      <c r="B38" s="355" t="s">
        <v>670</v>
      </c>
      <c r="C38" s="488">
        <f t="shared" si="6"/>
        <v>0</v>
      </c>
      <c r="D38" s="149">
        <f t="shared" si="6"/>
        <v>0</v>
      </c>
      <c r="E38" s="20">
        <v>0</v>
      </c>
      <c r="F38" s="490">
        <v>0</v>
      </c>
      <c r="G38" s="20">
        <v>0</v>
      </c>
      <c r="H38" s="490">
        <v>0</v>
      </c>
      <c r="I38" s="20">
        <v>0</v>
      </c>
      <c r="J38" s="490">
        <v>0</v>
      </c>
      <c r="K38" s="20">
        <v>0</v>
      </c>
      <c r="L38" s="490">
        <v>0</v>
      </c>
      <c r="M38" s="20">
        <v>0</v>
      </c>
      <c r="N38" s="490">
        <v>0</v>
      </c>
      <c r="O38" s="20">
        <v>0</v>
      </c>
      <c r="P38" s="490">
        <v>0</v>
      </c>
      <c r="Q38" s="20">
        <v>0</v>
      </c>
      <c r="R38" s="490">
        <v>0</v>
      </c>
      <c r="S38" s="20">
        <v>0</v>
      </c>
      <c r="T38" s="490">
        <v>0</v>
      </c>
      <c r="U38" s="20">
        <v>0</v>
      </c>
      <c r="V38" s="490">
        <v>0</v>
      </c>
      <c r="W38" s="20">
        <v>0</v>
      </c>
      <c r="X38" s="490">
        <v>0</v>
      </c>
      <c r="Y38" s="354">
        <f t="shared" si="7"/>
        <v>0</v>
      </c>
      <c r="Z38" s="149">
        <f t="shared" si="8"/>
        <v>0</v>
      </c>
      <c r="AA38" s="17"/>
      <c r="AB38" s="17"/>
      <c r="AD38" s="243"/>
      <c r="AE38" s="243"/>
      <c r="AF38" s="243"/>
      <c r="AG38" s="243"/>
      <c r="AH38" s="243"/>
      <c r="AI38" s="243"/>
      <c r="AJ38" s="243"/>
    </row>
    <row r="39" spans="1:36" s="15" customFormat="1" ht="23.25" customHeight="1">
      <c r="A39" s="351">
        <v>16</v>
      </c>
      <c r="B39" s="354" t="s">
        <v>473</v>
      </c>
      <c r="C39" s="488">
        <f t="shared" si="6"/>
        <v>3505300410</v>
      </c>
      <c r="D39" s="149">
        <f t="shared" si="6"/>
        <v>3350270294</v>
      </c>
      <c r="E39" s="20">
        <v>3388441418</v>
      </c>
      <c r="F39" s="490">
        <v>3274590974</v>
      </c>
      <c r="G39" s="20">
        <v>33884414</v>
      </c>
      <c r="H39" s="490">
        <v>0</v>
      </c>
      <c r="I39" s="20">
        <v>85226351</v>
      </c>
      <c r="J39" s="490">
        <v>60007783</v>
      </c>
      <c r="K39" s="20">
        <v>8522635</v>
      </c>
      <c r="L39" s="490">
        <v>6000778</v>
      </c>
      <c r="M39" s="20">
        <v>8383679</v>
      </c>
      <c r="N39" s="490">
        <v>5124797</v>
      </c>
      <c r="O39" s="20">
        <v>2095920</v>
      </c>
      <c r="P39" s="490">
        <v>1281199</v>
      </c>
      <c r="Q39" s="20">
        <v>13866148</v>
      </c>
      <c r="R39" s="490">
        <v>1163926</v>
      </c>
      <c r="S39" s="20">
        <v>6933074</v>
      </c>
      <c r="T39" s="490">
        <v>581963</v>
      </c>
      <c r="U39" s="20">
        <v>9382814</v>
      </c>
      <c r="V39" s="490">
        <v>9382814</v>
      </c>
      <c r="W39" s="20">
        <v>9382814</v>
      </c>
      <c r="X39" s="490">
        <v>9382814</v>
      </c>
      <c r="Y39" s="148">
        <f t="shared" si="7"/>
        <v>26934443</v>
      </c>
      <c r="Z39" s="149">
        <f t="shared" si="8"/>
        <v>17246754</v>
      </c>
      <c r="AA39" s="17">
        <v>0</v>
      </c>
      <c r="AB39" s="17">
        <v>741143</v>
      </c>
      <c r="AC39" s="245">
        <f>+'Aging Analysis'!C27</f>
        <v>3505300410</v>
      </c>
      <c r="AD39" s="243"/>
      <c r="AE39" s="243"/>
      <c r="AF39" s="243"/>
      <c r="AG39" s="243"/>
      <c r="AH39" s="243"/>
      <c r="AI39" s="243"/>
      <c r="AJ39" s="243"/>
    </row>
    <row r="40" spans="1:36" s="15" customFormat="1" ht="14.25" customHeight="1">
      <c r="A40" s="351"/>
      <c r="B40" s="355" t="s">
        <v>670</v>
      </c>
      <c r="C40" s="488">
        <f t="shared" si="6"/>
        <v>0</v>
      </c>
      <c r="D40" s="149">
        <f t="shared" si="6"/>
        <v>0</v>
      </c>
      <c r="E40" s="20">
        <v>0</v>
      </c>
      <c r="F40" s="490">
        <v>0</v>
      </c>
      <c r="G40" s="20">
        <v>0</v>
      </c>
      <c r="H40" s="490">
        <v>0</v>
      </c>
      <c r="I40" s="20">
        <v>0</v>
      </c>
      <c r="J40" s="490">
        <v>0</v>
      </c>
      <c r="K40" s="20">
        <v>0</v>
      </c>
      <c r="L40" s="490">
        <v>0</v>
      </c>
      <c r="M40" s="20">
        <v>0</v>
      </c>
      <c r="N40" s="490">
        <v>0</v>
      </c>
      <c r="O40" s="20">
        <v>0</v>
      </c>
      <c r="P40" s="490">
        <v>0</v>
      </c>
      <c r="Q40" s="20">
        <v>0</v>
      </c>
      <c r="R40" s="490">
        <v>0</v>
      </c>
      <c r="S40" s="20">
        <v>0</v>
      </c>
      <c r="T40" s="490">
        <v>0</v>
      </c>
      <c r="U40" s="20">
        <v>0</v>
      </c>
      <c r="V40" s="490">
        <v>0</v>
      </c>
      <c r="W40" s="20">
        <v>0</v>
      </c>
      <c r="X40" s="490">
        <v>0</v>
      </c>
      <c r="Y40" s="354">
        <f t="shared" si="7"/>
        <v>0</v>
      </c>
      <c r="Z40" s="149">
        <f t="shared" si="8"/>
        <v>0</v>
      </c>
      <c r="AA40" s="17"/>
      <c r="AB40" s="17"/>
      <c r="AD40" s="243"/>
      <c r="AE40" s="243"/>
      <c r="AF40" s="243"/>
      <c r="AG40" s="243"/>
      <c r="AH40" s="243"/>
      <c r="AI40" s="243"/>
      <c r="AJ40" s="243"/>
    </row>
    <row r="41" spans="1:36" s="15" customFormat="1" ht="23.25" customHeight="1">
      <c r="A41" s="351">
        <v>17</v>
      </c>
      <c r="B41" s="354" t="s">
        <v>474</v>
      </c>
      <c r="C41" s="488">
        <f t="shared" si="6"/>
        <v>1311223847</v>
      </c>
      <c r="D41" s="149">
        <f t="shared" si="6"/>
        <v>792994893</v>
      </c>
      <c r="E41" s="20">
        <v>1150663799</v>
      </c>
      <c r="F41" s="490">
        <v>759231946</v>
      </c>
      <c r="G41" s="20">
        <v>11506638</v>
      </c>
      <c r="H41" s="490">
        <v>0</v>
      </c>
      <c r="I41" s="20">
        <v>53685917</v>
      </c>
      <c r="J41" s="490">
        <v>27589522</v>
      </c>
      <c r="K41" s="20">
        <v>5368592</v>
      </c>
      <c r="L41" s="490">
        <v>2758952</v>
      </c>
      <c r="M41" s="20">
        <v>3404956</v>
      </c>
      <c r="N41" s="490">
        <v>281898</v>
      </c>
      <c r="O41" s="20">
        <v>851239</v>
      </c>
      <c r="P41" s="490">
        <v>70474</v>
      </c>
      <c r="Q41" s="20">
        <v>100045006</v>
      </c>
      <c r="R41" s="490">
        <v>5891527</v>
      </c>
      <c r="S41" s="20">
        <v>50022503</v>
      </c>
      <c r="T41" s="490">
        <v>2945763</v>
      </c>
      <c r="U41" s="20">
        <v>3424169</v>
      </c>
      <c r="V41" s="490">
        <v>0</v>
      </c>
      <c r="W41" s="20">
        <v>3424169</v>
      </c>
      <c r="X41" s="490">
        <v>0</v>
      </c>
      <c r="Y41" s="148">
        <f t="shared" si="7"/>
        <v>59666503</v>
      </c>
      <c r="Z41" s="149">
        <f t="shared" si="8"/>
        <v>5775189</v>
      </c>
      <c r="AA41" s="17">
        <v>0</v>
      </c>
      <c r="AB41" s="17">
        <v>1615558</v>
      </c>
      <c r="AC41" s="245">
        <f>+'Aging Analysis'!C28</f>
        <v>1311223847</v>
      </c>
      <c r="AD41" s="243"/>
      <c r="AE41" s="243"/>
      <c r="AF41" s="243"/>
      <c r="AG41" s="243"/>
      <c r="AH41" s="243"/>
      <c r="AI41" s="243"/>
      <c r="AJ41" s="243"/>
    </row>
    <row r="42" spans="1:36" s="15" customFormat="1" ht="14.25" customHeight="1">
      <c r="A42" s="351"/>
      <c r="B42" s="355" t="s">
        <v>670</v>
      </c>
      <c r="C42" s="488">
        <f t="shared" si="6"/>
        <v>0</v>
      </c>
      <c r="D42" s="149">
        <f t="shared" si="6"/>
        <v>0</v>
      </c>
      <c r="E42" s="20">
        <v>0</v>
      </c>
      <c r="F42" s="490">
        <v>0</v>
      </c>
      <c r="G42" s="20">
        <v>0</v>
      </c>
      <c r="H42" s="490">
        <v>0</v>
      </c>
      <c r="I42" s="20">
        <v>0</v>
      </c>
      <c r="J42" s="490">
        <v>0</v>
      </c>
      <c r="K42" s="20">
        <v>0</v>
      </c>
      <c r="L42" s="490">
        <v>0</v>
      </c>
      <c r="M42" s="20">
        <v>0</v>
      </c>
      <c r="N42" s="490">
        <v>0</v>
      </c>
      <c r="O42" s="20">
        <v>0</v>
      </c>
      <c r="P42" s="490">
        <v>0</v>
      </c>
      <c r="Q42" s="20">
        <v>0</v>
      </c>
      <c r="R42" s="490">
        <v>0</v>
      </c>
      <c r="S42" s="20">
        <v>0</v>
      </c>
      <c r="T42" s="490">
        <v>0</v>
      </c>
      <c r="U42" s="20">
        <v>0</v>
      </c>
      <c r="V42" s="490">
        <v>0</v>
      </c>
      <c r="W42" s="20">
        <v>0</v>
      </c>
      <c r="X42" s="490">
        <v>0</v>
      </c>
      <c r="Y42" s="354">
        <f t="shared" si="7"/>
        <v>0</v>
      </c>
      <c r="Z42" s="149">
        <f t="shared" si="8"/>
        <v>0</v>
      </c>
      <c r="AA42" s="17"/>
      <c r="AB42" s="17"/>
      <c r="AD42" s="243"/>
      <c r="AE42" s="243"/>
      <c r="AF42" s="243"/>
      <c r="AG42" s="243"/>
      <c r="AH42" s="243"/>
      <c r="AI42" s="243"/>
      <c r="AJ42" s="243"/>
    </row>
    <row r="43" spans="1:36" s="15" customFormat="1" ht="23.25" customHeight="1">
      <c r="A43" s="351">
        <v>18</v>
      </c>
      <c r="B43" s="354" t="s">
        <v>475</v>
      </c>
      <c r="C43" s="488">
        <f t="shared" si="6"/>
        <v>2888957110</v>
      </c>
      <c r="D43" s="149">
        <f t="shared" si="6"/>
        <v>2066166704</v>
      </c>
      <c r="E43" s="20">
        <v>2538581387</v>
      </c>
      <c r="F43" s="490">
        <v>1875127540</v>
      </c>
      <c r="G43" s="20">
        <v>25385814</v>
      </c>
      <c r="H43" s="490">
        <v>0</v>
      </c>
      <c r="I43" s="20">
        <v>194341734</v>
      </c>
      <c r="J43" s="490">
        <v>124588010</v>
      </c>
      <c r="K43" s="20">
        <v>19434173</v>
      </c>
      <c r="L43" s="490">
        <v>12458801</v>
      </c>
      <c r="M43" s="20">
        <v>113009572</v>
      </c>
      <c r="N43" s="490">
        <v>39407159</v>
      </c>
      <c r="O43" s="20">
        <v>28252393</v>
      </c>
      <c r="P43" s="490">
        <v>9851790</v>
      </c>
      <c r="Q43" s="20">
        <v>33775945</v>
      </c>
      <c r="R43" s="490">
        <v>20756780</v>
      </c>
      <c r="S43" s="20">
        <v>16887972</v>
      </c>
      <c r="T43" s="490">
        <v>10378390</v>
      </c>
      <c r="U43" s="20">
        <v>9248472</v>
      </c>
      <c r="V43" s="490">
        <v>6287215</v>
      </c>
      <c r="W43" s="20">
        <v>9248472</v>
      </c>
      <c r="X43" s="490">
        <v>6287215</v>
      </c>
      <c r="Y43" s="148">
        <f t="shared" si="7"/>
        <v>73823010</v>
      </c>
      <c r="Z43" s="149">
        <f t="shared" si="8"/>
        <v>38976196</v>
      </c>
      <c r="AA43" s="17">
        <v>0</v>
      </c>
      <c r="AB43" s="17">
        <v>3044109</v>
      </c>
      <c r="AC43" s="245">
        <f>+'Aging Analysis'!C29</f>
        <v>2888957110</v>
      </c>
      <c r="AD43" s="243"/>
      <c r="AE43" s="243"/>
      <c r="AF43" s="243"/>
      <c r="AG43" s="243"/>
      <c r="AH43" s="243"/>
      <c r="AI43" s="243"/>
      <c r="AJ43" s="243"/>
    </row>
    <row r="44" spans="1:36" s="15" customFormat="1" ht="14.25" customHeight="1">
      <c r="A44" s="351"/>
      <c r="B44" s="355" t="s">
        <v>670</v>
      </c>
      <c r="C44" s="488">
        <f t="shared" si="6"/>
        <v>0</v>
      </c>
      <c r="D44" s="149">
        <f t="shared" si="6"/>
        <v>0</v>
      </c>
      <c r="E44" s="20">
        <v>0</v>
      </c>
      <c r="F44" s="490">
        <v>0</v>
      </c>
      <c r="G44" s="20">
        <v>0</v>
      </c>
      <c r="H44" s="490">
        <v>0</v>
      </c>
      <c r="I44" s="20">
        <v>0</v>
      </c>
      <c r="J44" s="490">
        <v>0</v>
      </c>
      <c r="K44" s="20">
        <v>0</v>
      </c>
      <c r="L44" s="490">
        <v>0</v>
      </c>
      <c r="M44" s="20">
        <v>0</v>
      </c>
      <c r="N44" s="490">
        <v>0</v>
      </c>
      <c r="O44" s="20">
        <v>0</v>
      </c>
      <c r="P44" s="490">
        <v>0</v>
      </c>
      <c r="Q44" s="20">
        <v>0</v>
      </c>
      <c r="R44" s="490">
        <v>0</v>
      </c>
      <c r="S44" s="20">
        <v>0</v>
      </c>
      <c r="T44" s="490">
        <v>0</v>
      </c>
      <c r="U44" s="20">
        <v>0</v>
      </c>
      <c r="V44" s="490">
        <v>0</v>
      </c>
      <c r="W44" s="20">
        <v>0</v>
      </c>
      <c r="X44" s="490">
        <v>0</v>
      </c>
      <c r="Y44" s="354">
        <f t="shared" si="7"/>
        <v>0</v>
      </c>
      <c r="Z44" s="149">
        <f t="shared" si="8"/>
        <v>0</v>
      </c>
      <c r="AA44" s="17"/>
      <c r="AB44" s="17"/>
      <c r="AD44" s="243"/>
      <c r="AE44" s="243"/>
      <c r="AF44" s="243"/>
      <c r="AG44" s="243"/>
      <c r="AH44" s="243"/>
      <c r="AI44" s="243"/>
      <c r="AJ44" s="243"/>
    </row>
    <row r="45" spans="1:36" s="15" customFormat="1" ht="23.25" customHeight="1">
      <c r="A45" s="351">
        <v>19</v>
      </c>
      <c r="B45" s="354" t="s">
        <v>476</v>
      </c>
      <c r="C45" s="488">
        <f t="shared" si="6"/>
        <v>1326568151</v>
      </c>
      <c r="D45" s="149">
        <f t="shared" si="6"/>
        <v>25010543</v>
      </c>
      <c r="E45" s="20">
        <v>1310552678</v>
      </c>
      <c r="F45" s="490">
        <v>16254684</v>
      </c>
      <c r="G45" s="20">
        <v>13105527</v>
      </c>
      <c r="H45" s="490">
        <v>0</v>
      </c>
      <c r="I45" s="20">
        <v>6909614</v>
      </c>
      <c r="J45" s="490">
        <v>0</v>
      </c>
      <c r="K45" s="20">
        <v>690961</v>
      </c>
      <c r="L45" s="490">
        <v>0</v>
      </c>
      <c r="M45" s="20">
        <v>9105859</v>
      </c>
      <c r="N45" s="490">
        <v>8755859</v>
      </c>
      <c r="O45" s="20">
        <v>1122546</v>
      </c>
      <c r="P45" s="490">
        <v>1122546</v>
      </c>
      <c r="Q45" s="20">
        <v>0</v>
      </c>
      <c r="R45" s="490">
        <v>0</v>
      </c>
      <c r="S45" s="20">
        <v>0</v>
      </c>
      <c r="T45" s="490">
        <v>0</v>
      </c>
      <c r="U45" s="20">
        <v>0</v>
      </c>
      <c r="V45" s="490">
        <v>0</v>
      </c>
      <c r="W45" s="20">
        <v>0</v>
      </c>
      <c r="X45" s="490">
        <v>0</v>
      </c>
      <c r="Y45" s="148">
        <f t="shared" si="7"/>
        <v>1813507</v>
      </c>
      <c r="Z45" s="149">
        <f t="shared" si="8"/>
        <v>1122546</v>
      </c>
      <c r="AA45" s="17">
        <v>0</v>
      </c>
      <c r="AB45" s="17">
        <v>40572</v>
      </c>
      <c r="AC45" s="245">
        <f>+'Aging Analysis'!C30</f>
        <v>1326568151</v>
      </c>
      <c r="AD45" s="243"/>
      <c r="AE45" s="243"/>
      <c r="AF45" s="243"/>
      <c r="AG45" s="243"/>
      <c r="AH45" s="243"/>
      <c r="AI45" s="243"/>
      <c r="AJ45" s="243"/>
    </row>
    <row r="46" spans="1:36" s="15" customFormat="1" ht="14.25" customHeight="1">
      <c r="A46" s="351"/>
      <c r="B46" s="355" t="s">
        <v>670</v>
      </c>
      <c r="C46" s="488">
        <f t="shared" si="6"/>
        <v>0</v>
      </c>
      <c r="D46" s="149">
        <f t="shared" si="6"/>
        <v>0</v>
      </c>
      <c r="E46" s="20">
        <v>0</v>
      </c>
      <c r="F46" s="490">
        <v>0</v>
      </c>
      <c r="G46" s="20">
        <v>0</v>
      </c>
      <c r="H46" s="490">
        <v>0</v>
      </c>
      <c r="I46" s="20">
        <v>0</v>
      </c>
      <c r="J46" s="490">
        <v>0</v>
      </c>
      <c r="K46" s="20">
        <v>0</v>
      </c>
      <c r="L46" s="490">
        <v>0</v>
      </c>
      <c r="M46" s="20">
        <v>0</v>
      </c>
      <c r="N46" s="490">
        <v>0</v>
      </c>
      <c r="O46" s="20">
        <v>0</v>
      </c>
      <c r="P46" s="490">
        <v>0</v>
      </c>
      <c r="Q46" s="20">
        <v>0</v>
      </c>
      <c r="R46" s="490">
        <v>0</v>
      </c>
      <c r="S46" s="20">
        <v>0</v>
      </c>
      <c r="T46" s="490">
        <v>0</v>
      </c>
      <c r="U46" s="20">
        <v>0</v>
      </c>
      <c r="V46" s="490">
        <v>0</v>
      </c>
      <c r="W46" s="20">
        <v>0</v>
      </c>
      <c r="X46" s="490">
        <v>0</v>
      </c>
      <c r="Y46" s="354">
        <f t="shared" si="7"/>
        <v>0</v>
      </c>
      <c r="Z46" s="149">
        <f t="shared" si="8"/>
        <v>0</v>
      </c>
      <c r="AA46" s="17"/>
      <c r="AB46" s="17"/>
      <c r="AD46" s="243"/>
      <c r="AE46" s="243"/>
      <c r="AF46" s="243"/>
      <c r="AG46" s="243"/>
      <c r="AH46" s="243"/>
      <c r="AI46" s="243"/>
      <c r="AJ46" s="243"/>
    </row>
    <row r="47" spans="1:36" s="15" customFormat="1" ht="23.25" customHeight="1">
      <c r="A47" s="351">
        <v>20</v>
      </c>
      <c r="B47" s="354" t="s">
        <v>477</v>
      </c>
      <c r="C47" s="488">
        <f t="shared" si="6"/>
        <v>10242602</v>
      </c>
      <c r="D47" s="149">
        <f t="shared" si="6"/>
        <v>0</v>
      </c>
      <c r="E47" s="20">
        <v>3049477</v>
      </c>
      <c r="F47" s="490">
        <v>0</v>
      </c>
      <c r="G47" s="20">
        <v>30495</v>
      </c>
      <c r="H47" s="490">
        <v>0</v>
      </c>
      <c r="I47" s="20">
        <v>1074164</v>
      </c>
      <c r="J47" s="490">
        <v>0</v>
      </c>
      <c r="K47" s="20">
        <v>107416</v>
      </c>
      <c r="L47" s="490">
        <v>0</v>
      </c>
      <c r="M47" s="20">
        <v>1041035</v>
      </c>
      <c r="N47" s="490">
        <v>0</v>
      </c>
      <c r="O47" s="20">
        <v>195258</v>
      </c>
      <c r="P47" s="490">
        <v>0</v>
      </c>
      <c r="Q47" s="20">
        <v>1884435</v>
      </c>
      <c r="R47" s="490">
        <v>0</v>
      </c>
      <c r="S47" s="20">
        <v>882546</v>
      </c>
      <c r="T47" s="490">
        <v>0</v>
      </c>
      <c r="U47" s="20">
        <v>3193491</v>
      </c>
      <c r="V47" s="490">
        <v>0</v>
      </c>
      <c r="W47" s="20">
        <v>3006146</v>
      </c>
      <c r="X47" s="490">
        <v>0</v>
      </c>
      <c r="Y47" s="148">
        <f t="shared" si="7"/>
        <v>4191366</v>
      </c>
      <c r="Z47" s="149">
        <f t="shared" si="8"/>
        <v>0</v>
      </c>
      <c r="AA47" s="17">
        <v>0</v>
      </c>
      <c r="AB47" s="17">
        <v>1288476</v>
      </c>
      <c r="AC47" s="245">
        <f>+'Aging Analysis'!C31</f>
        <v>10242602</v>
      </c>
      <c r="AD47" s="243"/>
      <c r="AE47" s="243"/>
      <c r="AF47" s="243"/>
      <c r="AG47" s="243"/>
      <c r="AH47" s="243"/>
      <c r="AI47" s="243"/>
      <c r="AJ47" s="243"/>
    </row>
    <row r="48" spans="1:36" s="15" customFormat="1" ht="14.25" customHeight="1">
      <c r="A48" s="351"/>
      <c r="B48" s="355" t="s">
        <v>670</v>
      </c>
      <c r="C48" s="488">
        <f t="shared" si="6"/>
        <v>0</v>
      </c>
      <c r="D48" s="149">
        <f t="shared" si="6"/>
        <v>0</v>
      </c>
      <c r="E48" s="20">
        <v>0</v>
      </c>
      <c r="F48" s="490">
        <v>0</v>
      </c>
      <c r="G48" s="20">
        <v>0</v>
      </c>
      <c r="H48" s="490">
        <v>0</v>
      </c>
      <c r="I48" s="20">
        <v>0</v>
      </c>
      <c r="J48" s="490">
        <v>0</v>
      </c>
      <c r="K48" s="20">
        <v>0</v>
      </c>
      <c r="L48" s="490">
        <v>0</v>
      </c>
      <c r="M48" s="20">
        <v>0</v>
      </c>
      <c r="N48" s="490">
        <v>0</v>
      </c>
      <c r="O48" s="20">
        <v>0</v>
      </c>
      <c r="P48" s="490">
        <v>0</v>
      </c>
      <c r="Q48" s="20">
        <v>0</v>
      </c>
      <c r="R48" s="490">
        <v>0</v>
      </c>
      <c r="S48" s="20">
        <v>0</v>
      </c>
      <c r="T48" s="490">
        <v>0</v>
      </c>
      <c r="U48" s="20">
        <v>0</v>
      </c>
      <c r="V48" s="490">
        <v>0</v>
      </c>
      <c r="W48" s="20">
        <v>0</v>
      </c>
      <c r="X48" s="490">
        <v>0</v>
      </c>
      <c r="Y48" s="354">
        <f t="shared" si="7"/>
        <v>0</v>
      </c>
      <c r="Z48" s="149">
        <f t="shared" si="8"/>
        <v>0</v>
      </c>
      <c r="AA48" s="17"/>
      <c r="AB48" s="17"/>
      <c r="AD48" s="243"/>
      <c r="AE48" s="243"/>
      <c r="AF48" s="243"/>
      <c r="AG48" s="243"/>
      <c r="AH48" s="243"/>
      <c r="AI48" s="243"/>
      <c r="AJ48" s="243"/>
    </row>
    <row r="49" spans="1:36" s="15" customFormat="1" ht="23.25" customHeight="1">
      <c r="A49" s="351">
        <v>21</v>
      </c>
      <c r="B49" s="354" t="s">
        <v>478</v>
      </c>
      <c r="C49" s="488">
        <f t="shared" si="6"/>
        <v>3115127146</v>
      </c>
      <c r="D49" s="149">
        <f t="shared" si="6"/>
        <v>2015936052</v>
      </c>
      <c r="E49" s="20">
        <v>2582925173</v>
      </c>
      <c r="F49" s="490">
        <v>1913713964</v>
      </c>
      <c r="G49" s="20">
        <v>25829251</v>
      </c>
      <c r="H49" s="490">
        <v>0</v>
      </c>
      <c r="I49" s="20">
        <v>447994582</v>
      </c>
      <c r="J49" s="490">
        <v>86804068</v>
      </c>
      <c r="K49" s="20">
        <v>44799458</v>
      </c>
      <c r="L49" s="490">
        <v>8680408</v>
      </c>
      <c r="M49" s="20">
        <v>55124155</v>
      </c>
      <c r="N49" s="490">
        <v>9599864</v>
      </c>
      <c r="O49" s="20">
        <v>13781040</v>
      </c>
      <c r="P49" s="490">
        <v>2399966</v>
      </c>
      <c r="Q49" s="20">
        <v>23289729</v>
      </c>
      <c r="R49" s="490">
        <v>5818156</v>
      </c>
      <c r="S49" s="20">
        <v>11644865</v>
      </c>
      <c r="T49" s="490">
        <v>2909079</v>
      </c>
      <c r="U49" s="20">
        <v>5793507</v>
      </c>
      <c r="V49" s="490">
        <v>0</v>
      </c>
      <c r="W49" s="20">
        <v>5793506</v>
      </c>
      <c r="X49" s="490">
        <v>0</v>
      </c>
      <c r="Y49" s="148">
        <f t="shared" si="7"/>
        <v>76018869</v>
      </c>
      <c r="Z49" s="149">
        <f t="shared" si="8"/>
        <v>13989453</v>
      </c>
      <c r="AA49" s="17">
        <v>0</v>
      </c>
      <c r="AB49" s="17">
        <v>4049038</v>
      </c>
      <c r="AC49" s="245">
        <f>+'Aging Analysis'!C32</f>
        <v>3115127146</v>
      </c>
      <c r="AD49" s="243"/>
      <c r="AE49" s="243"/>
      <c r="AF49" s="243"/>
      <c r="AG49" s="243"/>
      <c r="AH49" s="243"/>
      <c r="AI49" s="243"/>
      <c r="AJ49" s="243"/>
    </row>
    <row r="50" spans="1:36" s="15" customFormat="1" ht="14.25" customHeight="1">
      <c r="A50" s="351"/>
      <c r="B50" s="355" t="s">
        <v>670</v>
      </c>
      <c r="C50" s="488">
        <f t="shared" si="6"/>
        <v>0</v>
      </c>
      <c r="D50" s="149">
        <f t="shared" si="6"/>
        <v>0</v>
      </c>
      <c r="E50" s="20">
        <v>0</v>
      </c>
      <c r="F50" s="490">
        <v>0</v>
      </c>
      <c r="G50" s="20">
        <v>0</v>
      </c>
      <c r="H50" s="490">
        <v>0</v>
      </c>
      <c r="I50" s="20">
        <v>0</v>
      </c>
      <c r="J50" s="490">
        <v>0</v>
      </c>
      <c r="K50" s="20">
        <v>0</v>
      </c>
      <c r="L50" s="490">
        <v>0</v>
      </c>
      <c r="M50" s="20">
        <v>0</v>
      </c>
      <c r="N50" s="490">
        <v>0</v>
      </c>
      <c r="O50" s="20">
        <v>0</v>
      </c>
      <c r="P50" s="490">
        <v>0</v>
      </c>
      <c r="Q50" s="20">
        <v>0</v>
      </c>
      <c r="R50" s="490">
        <v>0</v>
      </c>
      <c r="S50" s="20">
        <v>0</v>
      </c>
      <c r="T50" s="490">
        <v>0</v>
      </c>
      <c r="U50" s="20">
        <v>0</v>
      </c>
      <c r="V50" s="490">
        <v>0</v>
      </c>
      <c r="W50" s="20">
        <v>0</v>
      </c>
      <c r="X50" s="490">
        <v>0</v>
      </c>
      <c r="Y50" s="354">
        <f t="shared" si="7"/>
        <v>0</v>
      </c>
      <c r="Z50" s="149">
        <f t="shared" si="8"/>
        <v>0</v>
      </c>
      <c r="AA50" s="17"/>
      <c r="AB50" s="17"/>
      <c r="AC50" s="243"/>
      <c r="AD50" s="243"/>
      <c r="AE50" s="243"/>
      <c r="AF50" s="243"/>
      <c r="AG50" s="243"/>
      <c r="AH50" s="243"/>
      <c r="AI50" s="243"/>
      <c r="AJ50" s="243"/>
    </row>
    <row r="51" spans="1:36" s="15" customFormat="1" ht="23.25" customHeight="1">
      <c r="A51" s="351">
        <v>22</v>
      </c>
      <c r="B51" s="354" t="s">
        <v>401</v>
      </c>
      <c r="C51" s="488">
        <f t="shared" ref="C51:C54" si="9">E51+I51+M51+Q51+U51</f>
        <v>5463367169</v>
      </c>
      <c r="D51" s="149">
        <f t="shared" ref="D51:D52" si="10">F51+J51+N51+R51+V51</f>
        <v>0</v>
      </c>
      <c r="E51" s="20">
        <v>5326427523</v>
      </c>
      <c r="F51" s="490">
        <v>0</v>
      </c>
      <c r="G51" s="20">
        <v>53264275</v>
      </c>
      <c r="H51" s="490">
        <v>0</v>
      </c>
      <c r="I51" s="20">
        <v>86600966</v>
      </c>
      <c r="J51" s="490">
        <v>0</v>
      </c>
      <c r="K51" s="20">
        <v>8592799</v>
      </c>
      <c r="L51" s="490">
        <v>0</v>
      </c>
      <c r="M51" s="20">
        <v>25017834</v>
      </c>
      <c r="N51" s="490">
        <v>0</v>
      </c>
      <c r="O51" s="20">
        <v>6063606</v>
      </c>
      <c r="P51" s="490">
        <v>0</v>
      </c>
      <c r="Q51" s="20">
        <v>18412252</v>
      </c>
      <c r="R51" s="490">
        <v>0</v>
      </c>
      <c r="S51" s="20">
        <v>8853606</v>
      </c>
      <c r="T51" s="490">
        <v>0</v>
      </c>
      <c r="U51" s="20">
        <v>6908594</v>
      </c>
      <c r="V51" s="490">
        <v>0</v>
      </c>
      <c r="W51" s="20">
        <v>6238672</v>
      </c>
      <c r="X51" s="490">
        <v>0</v>
      </c>
      <c r="Y51" s="354">
        <f t="shared" ref="Y51:Y52" si="11">+W51+S51+O51+K51</f>
        <v>29748683</v>
      </c>
      <c r="Z51" s="149">
        <f t="shared" ref="Z51:Z52" si="12">+X51+T51+P51+L51</f>
        <v>0</v>
      </c>
      <c r="AA51" s="17">
        <v>0</v>
      </c>
      <c r="AB51" s="17">
        <v>16092828</v>
      </c>
      <c r="AC51" s="245">
        <f>+'Aging Analysis'!C33</f>
        <v>5463367169</v>
      </c>
      <c r="AD51" s="243"/>
      <c r="AE51" s="243"/>
      <c r="AF51" s="243"/>
      <c r="AG51" s="243"/>
      <c r="AH51" s="243"/>
      <c r="AI51" s="243"/>
      <c r="AJ51" s="243"/>
    </row>
    <row r="52" spans="1:36" s="15" customFormat="1" ht="14.25" customHeight="1">
      <c r="A52" s="351"/>
      <c r="B52" s="355" t="s">
        <v>670</v>
      </c>
      <c r="C52" s="488">
        <f t="shared" si="9"/>
        <v>0</v>
      </c>
      <c r="D52" s="149">
        <f t="shared" si="10"/>
        <v>0</v>
      </c>
      <c r="E52" s="20"/>
      <c r="F52" s="149"/>
      <c r="G52" s="20"/>
      <c r="H52" s="149"/>
      <c r="I52" s="20"/>
      <c r="J52" s="149"/>
      <c r="K52" s="20"/>
      <c r="L52" s="149"/>
      <c r="M52" s="20"/>
      <c r="N52" s="149"/>
      <c r="O52" s="20"/>
      <c r="P52" s="149"/>
      <c r="Q52" s="20"/>
      <c r="R52" s="149"/>
      <c r="S52" s="20"/>
      <c r="T52" s="149"/>
      <c r="U52" s="20"/>
      <c r="V52" s="149"/>
      <c r="W52" s="20"/>
      <c r="X52" s="149"/>
      <c r="Y52" s="354">
        <f t="shared" si="11"/>
        <v>0</v>
      </c>
      <c r="Z52" s="149">
        <f t="shared" si="12"/>
        <v>0</v>
      </c>
      <c r="AA52" s="17"/>
      <c r="AB52" s="17"/>
      <c r="AC52" s="243"/>
      <c r="AD52" s="243"/>
      <c r="AE52" s="243"/>
      <c r="AF52" s="243"/>
      <c r="AG52" s="243"/>
      <c r="AH52" s="243"/>
      <c r="AI52" s="243"/>
      <c r="AJ52" s="243"/>
    </row>
    <row r="53" spans="1:36" s="512" customFormat="1" ht="28.5" customHeight="1">
      <c r="A53" s="510">
        <v>23</v>
      </c>
      <c r="B53" s="510" t="s">
        <v>678</v>
      </c>
      <c r="C53" s="510">
        <f>+C35+C37+C39+C41+C43+C45+C47+C49+C51</f>
        <v>48075884880</v>
      </c>
      <c r="D53" s="510">
        <f t="shared" ref="D53:AB53" si="13">+D35+D37+D39+D41+D43+D45+D47+D49+D51</f>
        <v>30828142644</v>
      </c>
      <c r="E53" s="510">
        <f t="shared" si="13"/>
        <v>44160297748</v>
      </c>
      <c r="F53" s="510">
        <f t="shared" si="13"/>
        <v>28307852456</v>
      </c>
      <c r="G53" s="510">
        <f t="shared" si="13"/>
        <v>414689972</v>
      </c>
      <c r="H53" s="510">
        <f t="shared" si="13"/>
        <v>0</v>
      </c>
      <c r="I53" s="510">
        <f t="shared" si="13"/>
        <v>2556900652</v>
      </c>
      <c r="J53" s="510">
        <f t="shared" si="13"/>
        <v>1684963039</v>
      </c>
      <c r="K53" s="510">
        <f t="shared" si="13"/>
        <v>255622767</v>
      </c>
      <c r="L53" s="510">
        <f t="shared" si="13"/>
        <v>168496305</v>
      </c>
      <c r="M53" s="510">
        <f t="shared" si="13"/>
        <v>436789210</v>
      </c>
      <c r="N53" s="510">
        <f t="shared" si="13"/>
        <v>228730389</v>
      </c>
      <c r="O53" s="510">
        <f t="shared" si="13"/>
        <v>107787533</v>
      </c>
      <c r="P53" s="510">
        <f t="shared" si="13"/>
        <v>56116179</v>
      </c>
      <c r="Q53" s="510">
        <f t="shared" si="13"/>
        <v>830442808</v>
      </c>
      <c r="R53" s="510">
        <f t="shared" si="13"/>
        <v>563175767</v>
      </c>
      <c r="S53" s="510">
        <f t="shared" si="13"/>
        <v>414805245</v>
      </c>
      <c r="T53" s="510">
        <f t="shared" si="13"/>
        <v>281587884</v>
      </c>
      <c r="U53" s="510">
        <f t="shared" si="13"/>
        <v>91454462</v>
      </c>
      <c r="V53" s="510">
        <f t="shared" si="13"/>
        <v>43420993</v>
      </c>
      <c r="W53" s="510">
        <f t="shared" si="13"/>
        <v>90597194</v>
      </c>
      <c r="X53" s="510">
        <f t="shared" si="13"/>
        <v>43420993</v>
      </c>
      <c r="Y53" s="510">
        <f t="shared" si="13"/>
        <v>868812739</v>
      </c>
      <c r="Z53" s="510">
        <f t="shared" si="13"/>
        <v>549621361</v>
      </c>
      <c r="AA53" s="510">
        <f t="shared" si="13"/>
        <v>926786525</v>
      </c>
      <c r="AB53" s="510">
        <f t="shared" si="13"/>
        <v>70345738</v>
      </c>
      <c r="AC53" s="511">
        <f>+'Aging Analysis'!C35</f>
        <v>48075884880</v>
      </c>
    </row>
    <row r="54" spans="1:36" s="15" customFormat="1" ht="23.25" customHeight="1">
      <c r="A54" s="351"/>
      <c r="B54" s="355" t="s">
        <v>670</v>
      </c>
      <c r="C54" s="449">
        <f t="shared" si="9"/>
        <v>0</v>
      </c>
      <c r="D54" s="106">
        <f t="shared" ref="D54:AB54" si="14">+D36+D38+D40+D42+D44+D46+D48+D50+D52</f>
        <v>0</v>
      </c>
      <c r="E54" s="20">
        <v>0</v>
      </c>
      <c r="F54" s="20">
        <v>0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0</v>
      </c>
      <c r="M54" s="20">
        <f t="shared" si="14"/>
        <v>0</v>
      </c>
      <c r="N54" s="20">
        <f t="shared" si="14"/>
        <v>0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0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0</v>
      </c>
      <c r="Y54" s="14">
        <f t="shared" si="14"/>
        <v>0</v>
      </c>
      <c r="Z54" s="14">
        <f t="shared" si="14"/>
        <v>0</v>
      </c>
      <c r="AA54" s="14">
        <f t="shared" si="14"/>
        <v>0</v>
      </c>
      <c r="AB54" s="14">
        <f t="shared" si="14"/>
        <v>0</v>
      </c>
      <c r="AC54" s="243"/>
      <c r="AD54" s="243"/>
      <c r="AE54" s="243"/>
      <c r="AF54" s="243"/>
      <c r="AG54" s="243"/>
      <c r="AH54" s="243"/>
      <c r="AI54" s="243"/>
      <c r="AJ54" s="243"/>
    </row>
    <row r="55" spans="1:36" s="512" customFormat="1" ht="27.75" customHeight="1">
      <c r="A55" s="510"/>
      <c r="B55" s="510" t="s">
        <v>680</v>
      </c>
      <c r="C55" s="510"/>
      <c r="D55" s="510"/>
      <c r="E55" s="510"/>
      <c r="F55" s="510"/>
      <c r="G55" s="510"/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0"/>
      <c r="AA55" s="510"/>
      <c r="AB55" s="510"/>
    </row>
    <row r="56" spans="1:36" s="15" customFormat="1" ht="7.5" customHeight="1">
      <c r="A56" s="14"/>
      <c r="B56" s="14"/>
      <c r="C56" s="14"/>
      <c r="D56" s="10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243"/>
      <c r="AD56" s="243"/>
      <c r="AE56" s="243"/>
      <c r="AF56" s="243"/>
      <c r="AG56" s="243"/>
      <c r="AH56" s="243"/>
      <c r="AI56" s="243"/>
      <c r="AJ56" s="243"/>
    </row>
    <row r="57" spans="1:36" s="15" customFormat="1" ht="21.75" customHeight="1">
      <c r="A57" s="351">
        <v>24</v>
      </c>
      <c r="B57" s="354" t="s">
        <v>681</v>
      </c>
      <c r="C57" s="488">
        <f t="shared" ref="C57:D73" si="15">E57+I57+M57+Q57+U57</f>
        <v>1609455410</v>
      </c>
      <c r="D57" s="486">
        <f t="shared" si="15"/>
        <v>762257731</v>
      </c>
      <c r="E57" s="489">
        <v>1563148657</v>
      </c>
      <c r="F57" s="487">
        <v>746646348</v>
      </c>
      <c r="G57" s="489">
        <v>11072659</v>
      </c>
      <c r="H57" s="487">
        <v>0</v>
      </c>
      <c r="I57" s="489">
        <v>32482518</v>
      </c>
      <c r="J57" s="487">
        <v>14447457</v>
      </c>
      <c r="K57" s="489">
        <v>3244039</v>
      </c>
      <c r="L57" s="487">
        <v>1444746</v>
      </c>
      <c r="M57" s="489">
        <v>6808733</v>
      </c>
      <c r="N57" s="487">
        <v>0</v>
      </c>
      <c r="O57" s="489">
        <v>1702183</v>
      </c>
      <c r="P57" s="487">
        <v>0</v>
      </c>
      <c r="Q57" s="489">
        <v>6960712</v>
      </c>
      <c r="R57" s="487">
        <v>1163926</v>
      </c>
      <c r="S57" s="489">
        <v>3425026</v>
      </c>
      <c r="T57" s="487">
        <v>581963</v>
      </c>
      <c r="U57" s="489">
        <v>54790</v>
      </c>
      <c r="V57" s="487">
        <v>0</v>
      </c>
      <c r="W57" s="489">
        <v>54790</v>
      </c>
      <c r="X57" s="487">
        <v>0</v>
      </c>
      <c r="Y57" s="148">
        <f>+W57+S57+O57+K57</f>
        <v>8426038</v>
      </c>
      <c r="Z57" s="486">
        <f>+X57+T57+P57+L57</f>
        <v>2026709</v>
      </c>
      <c r="AA57" s="17">
        <v>0</v>
      </c>
      <c r="AB57" s="17">
        <v>39604505</v>
      </c>
      <c r="AC57" s="243"/>
      <c r="AD57" s="243"/>
      <c r="AE57" s="243"/>
      <c r="AF57" s="243"/>
      <c r="AG57" s="243"/>
      <c r="AH57" s="243"/>
      <c r="AI57" s="243"/>
      <c r="AJ57" s="243"/>
    </row>
    <row r="58" spans="1:36" s="15" customFormat="1" ht="21.75" customHeight="1">
      <c r="A58" s="351">
        <v>25</v>
      </c>
      <c r="B58" s="354" t="s">
        <v>682</v>
      </c>
      <c r="C58" s="488">
        <f t="shared" si="15"/>
        <v>1164312118</v>
      </c>
      <c r="D58" s="486">
        <f t="shared" si="15"/>
        <v>721413632</v>
      </c>
      <c r="E58" s="489">
        <v>945578117</v>
      </c>
      <c r="F58" s="487">
        <v>555045506</v>
      </c>
      <c r="G58" s="489">
        <v>10254993</v>
      </c>
      <c r="H58" s="487">
        <v>0</v>
      </c>
      <c r="I58" s="489">
        <v>185854595</v>
      </c>
      <c r="J58" s="487">
        <v>154267901</v>
      </c>
      <c r="K58" s="489">
        <v>18568920</v>
      </c>
      <c r="L58" s="487">
        <v>15426790</v>
      </c>
      <c r="M58" s="489">
        <v>14531742</v>
      </c>
      <c r="N58" s="487">
        <v>9174922</v>
      </c>
      <c r="O58" s="489">
        <v>3624680</v>
      </c>
      <c r="P58" s="487">
        <v>2293731</v>
      </c>
      <c r="Q58" s="489">
        <v>6710429</v>
      </c>
      <c r="R58" s="487">
        <v>2925303</v>
      </c>
      <c r="S58" s="489">
        <v>3354940</v>
      </c>
      <c r="T58" s="487">
        <v>1462651</v>
      </c>
      <c r="U58" s="489">
        <v>11637235</v>
      </c>
      <c r="V58" s="487">
        <v>0</v>
      </c>
      <c r="W58" s="489">
        <v>11637235</v>
      </c>
      <c r="X58" s="487">
        <v>0</v>
      </c>
      <c r="Y58" s="148">
        <f t="shared" ref="Y58:Z70" si="16">+W58+S58+O58+K58</f>
        <v>37185775</v>
      </c>
      <c r="Z58" s="486">
        <f t="shared" si="16"/>
        <v>19183172</v>
      </c>
      <c r="AA58" s="17">
        <v>0</v>
      </c>
      <c r="AB58" s="17">
        <v>2355090</v>
      </c>
      <c r="AC58" s="243"/>
      <c r="AD58" s="243"/>
      <c r="AE58" s="243"/>
      <c r="AF58" s="243"/>
      <c r="AG58" s="243"/>
      <c r="AH58" s="243"/>
      <c r="AI58" s="243"/>
      <c r="AJ58" s="243"/>
    </row>
    <row r="59" spans="1:36" s="15" customFormat="1" ht="21.75" customHeight="1">
      <c r="A59" s="351">
        <v>26</v>
      </c>
      <c r="B59" s="354" t="s">
        <v>683</v>
      </c>
      <c r="C59" s="488">
        <f t="shared" si="15"/>
        <v>1681535519</v>
      </c>
      <c r="D59" s="486">
        <f t="shared" si="15"/>
        <v>1147783044</v>
      </c>
      <c r="E59" s="489">
        <v>1322950032</v>
      </c>
      <c r="F59" s="487">
        <v>901942901</v>
      </c>
      <c r="G59" s="489">
        <v>11745891</v>
      </c>
      <c r="H59" s="487">
        <v>0</v>
      </c>
      <c r="I59" s="489">
        <v>248858552</v>
      </c>
      <c r="J59" s="487">
        <v>172270296</v>
      </c>
      <c r="K59" s="489">
        <v>24885855</v>
      </c>
      <c r="L59" s="487">
        <v>17227030</v>
      </c>
      <c r="M59" s="489">
        <v>33081958</v>
      </c>
      <c r="N59" s="487">
        <v>28198628</v>
      </c>
      <c r="O59" s="489">
        <v>7102970</v>
      </c>
      <c r="P59" s="487">
        <v>5983238</v>
      </c>
      <c r="Q59" s="489">
        <v>60460173</v>
      </c>
      <c r="R59" s="487">
        <v>33967822</v>
      </c>
      <c r="S59" s="489">
        <v>30230086</v>
      </c>
      <c r="T59" s="487">
        <v>16983911</v>
      </c>
      <c r="U59" s="489">
        <v>16184804</v>
      </c>
      <c r="V59" s="487">
        <v>11403397</v>
      </c>
      <c r="W59" s="489">
        <v>16184804</v>
      </c>
      <c r="X59" s="487">
        <v>11403397</v>
      </c>
      <c r="Y59" s="148">
        <f t="shared" si="16"/>
        <v>78403715</v>
      </c>
      <c r="Z59" s="486">
        <f t="shared" si="16"/>
        <v>51597576</v>
      </c>
      <c r="AA59" s="17">
        <v>0</v>
      </c>
      <c r="AB59" s="17">
        <v>1989864</v>
      </c>
      <c r="AC59" s="243"/>
      <c r="AD59" s="243"/>
      <c r="AE59" s="243"/>
      <c r="AF59" s="243"/>
      <c r="AG59" s="243"/>
      <c r="AH59" s="243"/>
      <c r="AI59" s="243"/>
      <c r="AJ59" s="243"/>
    </row>
    <row r="60" spans="1:36" s="15" customFormat="1" ht="21.75" customHeight="1">
      <c r="A60" s="351">
        <v>27</v>
      </c>
      <c r="B60" s="354" t="s">
        <v>684</v>
      </c>
      <c r="C60" s="488">
        <f t="shared" si="15"/>
        <v>1143106711</v>
      </c>
      <c r="D60" s="486">
        <f t="shared" si="15"/>
        <v>779723418</v>
      </c>
      <c r="E60" s="489">
        <v>1116767407</v>
      </c>
      <c r="F60" s="487">
        <v>765428208</v>
      </c>
      <c r="G60" s="489">
        <v>10609211</v>
      </c>
      <c r="H60" s="487">
        <v>0</v>
      </c>
      <c r="I60" s="489">
        <v>15988883</v>
      </c>
      <c r="J60" s="487">
        <v>12769174</v>
      </c>
      <c r="K60" s="489">
        <v>1598751</v>
      </c>
      <c r="L60" s="487">
        <v>1276917</v>
      </c>
      <c r="M60" s="489">
        <v>5895379</v>
      </c>
      <c r="N60" s="487">
        <v>0</v>
      </c>
      <c r="O60" s="489">
        <v>1471630</v>
      </c>
      <c r="P60" s="487">
        <v>0</v>
      </c>
      <c r="Q60" s="489">
        <v>4336384</v>
      </c>
      <c r="R60" s="487">
        <v>1526036</v>
      </c>
      <c r="S60" s="489">
        <v>2168192</v>
      </c>
      <c r="T60" s="487">
        <v>763018</v>
      </c>
      <c r="U60" s="489">
        <v>118658</v>
      </c>
      <c r="V60" s="487">
        <v>0</v>
      </c>
      <c r="W60" s="489">
        <v>118658</v>
      </c>
      <c r="X60" s="487">
        <v>0</v>
      </c>
      <c r="Y60" s="148">
        <f t="shared" si="16"/>
        <v>5357231</v>
      </c>
      <c r="Z60" s="486">
        <f t="shared" si="16"/>
        <v>2039935</v>
      </c>
      <c r="AA60" s="17">
        <v>0</v>
      </c>
      <c r="AB60" s="17">
        <v>4204861</v>
      </c>
      <c r="AC60" s="243"/>
      <c r="AD60" s="243"/>
      <c r="AE60" s="243"/>
      <c r="AF60" s="243"/>
      <c r="AG60" s="243"/>
      <c r="AH60" s="243"/>
      <c r="AI60" s="243"/>
      <c r="AJ60" s="243"/>
    </row>
    <row r="61" spans="1:36" s="15" customFormat="1" ht="21.75" customHeight="1">
      <c r="A61" s="351">
        <v>28</v>
      </c>
      <c r="B61" s="354" t="s">
        <v>685</v>
      </c>
      <c r="C61" s="488">
        <f t="shared" si="15"/>
        <v>1213232734</v>
      </c>
      <c r="D61" s="486">
        <f t="shared" si="15"/>
        <v>249604507</v>
      </c>
      <c r="E61" s="489">
        <v>1080232255</v>
      </c>
      <c r="F61" s="487">
        <v>176970426</v>
      </c>
      <c r="G61" s="489">
        <v>14498781</v>
      </c>
      <c r="H61" s="487">
        <v>0</v>
      </c>
      <c r="I61" s="489">
        <v>122540249</v>
      </c>
      <c r="J61" s="487">
        <v>71990097</v>
      </c>
      <c r="K61" s="489">
        <v>12254025</v>
      </c>
      <c r="L61" s="487">
        <v>7199010</v>
      </c>
      <c r="M61" s="489">
        <v>7708222</v>
      </c>
      <c r="N61" s="487">
        <v>281898</v>
      </c>
      <c r="O61" s="489">
        <v>1905013</v>
      </c>
      <c r="P61" s="487">
        <v>70474</v>
      </c>
      <c r="Q61" s="489">
        <v>1777504</v>
      </c>
      <c r="R61" s="487">
        <v>362086</v>
      </c>
      <c r="S61" s="489">
        <v>780970</v>
      </c>
      <c r="T61" s="487">
        <v>181043</v>
      </c>
      <c r="U61" s="489">
        <v>974504</v>
      </c>
      <c r="V61" s="487">
        <v>0</v>
      </c>
      <c r="W61" s="489">
        <v>974504</v>
      </c>
      <c r="X61" s="487">
        <v>0</v>
      </c>
      <c r="Y61" s="148">
        <f t="shared" si="16"/>
        <v>15914512</v>
      </c>
      <c r="Z61" s="486">
        <f t="shared" si="16"/>
        <v>7450527</v>
      </c>
      <c r="AA61" s="17">
        <v>0</v>
      </c>
      <c r="AB61" s="17">
        <v>1761094</v>
      </c>
      <c r="AC61" s="243"/>
      <c r="AD61" s="243"/>
      <c r="AE61" s="243"/>
      <c r="AF61" s="243"/>
      <c r="AG61" s="243"/>
      <c r="AH61" s="243"/>
      <c r="AI61" s="243"/>
      <c r="AJ61" s="243"/>
    </row>
    <row r="62" spans="1:36" s="15" customFormat="1" ht="21.75" customHeight="1">
      <c r="A62" s="351">
        <v>29</v>
      </c>
      <c r="B62" s="354" t="s">
        <v>686</v>
      </c>
      <c r="C62" s="488">
        <f t="shared" si="15"/>
        <v>1300102322</v>
      </c>
      <c r="D62" s="486">
        <f t="shared" si="15"/>
        <v>759172492</v>
      </c>
      <c r="E62" s="489">
        <v>1249883007</v>
      </c>
      <c r="F62" s="487">
        <v>750682363</v>
      </c>
      <c r="G62" s="489">
        <v>11790777</v>
      </c>
      <c r="H62" s="487">
        <v>0</v>
      </c>
      <c r="I62" s="489">
        <v>28063230</v>
      </c>
      <c r="J62" s="487">
        <v>6990083</v>
      </c>
      <c r="K62" s="489">
        <v>2806323</v>
      </c>
      <c r="L62" s="487">
        <v>699008</v>
      </c>
      <c r="M62" s="489">
        <v>19825663</v>
      </c>
      <c r="N62" s="487">
        <v>0</v>
      </c>
      <c r="O62" s="489">
        <v>4900131</v>
      </c>
      <c r="P62" s="487">
        <v>0</v>
      </c>
      <c r="Q62" s="489">
        <v>2141270</v>
      </c>
      <c r="R62" s="487">
        <v>1500046</v>
      </c>
      <c r="S62" s="489">
        <v>1070635</v>
      </c>
      <c r="T62" s="487">
        <v>750023</v>
      </c>
      <c r="U62" s="489">
        <v>189152</v>
      </c>
      <c r="V62" s="487">
        <v>0</v>
      </c>
      <c r="W62" s="489">
        <v>189152</v>
      </c>
      <c r="X62" s="487">
        <v>0</v>
      </c>
      <c r="Y62" s="148">
        <f t="shared" si="16"/>
        <v>8966241</v>
      </c>
      <c r="Z62" s="486">
        <f t="shared" si="16"/>
        <v>1449031</v>
      </c>
      <c r="AA62" s="17">
        <v>0</v>
      </c>
      <c r="AB62" s="17">
        <v>664480</v>
      </c>
      <c r="AC62" s="243"/>
      <c r="AD62" s="243"/>
      <c r="AE62" s="243"/>
      <c r="AF62" s="243"/>
      <c r="AG62" s="243"/>
      <c r="AH62" s="243"/>
      <c r="AI62" s="243"/>
      <c r="AJ62" s="243"/>
    </row>
    <row r="63" spans="1:36" s="15" customFormat="1" ht="21.75" customHeight="1">
      <c r="A63" s="351">
        <v>30</v>
      </c>
      <c r="B63" s="354" t="s">
        <v>687</v>
      </c>
      <c r="C63" s="488">
        <f t="shared" si="15"/>
        <v>662112229</v>
      </c>
      <c r="D63" s="486">
        <f t="shared" si="15"/>
        <v>395478229</v>
      </c>
      <c r="E63" s="489">
        <v>400127582</v>
      </c>
      <c r="F63" s="487">
        <v>208736685</v>
      </c>
      <c r="G63" s="489">
        <v>4925718</v>
      </c>
      <c r="H63" s="487">
        <v>0</v>
      </c>
      <c r="I63" s="489">
        <v>229672343</v>
      </c>
      <c r="J63" s="487">
        <v>186447889</v>
      </c>
      <c r="K63" s="489">
        <v>22967234</v>
      </c>
      <c r="L63" s="487">
        <v>18644789</v>
      </c>
      <c r="M63" s="489">
        <v>1169582</v>
      </c>
      <c r="N63" s="487">
        <v>293655</v>
      </c>
      <c r="O63" s="489">
        <v>292395</v>
      </c>
      <c r="P63" s="487">
        <v>73414</v>
      </c>
      <c r="Q63" s="489">
        <v>25900607</v>
      </c>
      <c r="R63" s="487">
        <v>0</v>
      </c>
      <c r="S63" s="489">
        <v>12950304</v>
      </c>
      <c r="T63" s="487">
        <v>0</v>
      </c>
      <c r="U63" s="489">
        <v>5242115</v>
      </c>
      <c r="V63" s="487">
        <v>0</v>
      </c>
      <c r="W63" s="489">
        <v>5242115</v>
      </c>
      <c r="X63" s="487">
        <v>0</v>
      </c>
      <c r="Y63" s="148">
        <f t="shared" si="16"/>
        <v>41452048</v>
      </c>
      <c r="Z63" s="486">
        <f t="shared" si="16"/>
        <v>18718203</v>
      </c>
      <c r="AA63" s="17">
        <v>0</v>
      </c>
      <c r="AB63" s="17">
        <v>226507</v>
      </c>
      <c r="AC63" s="243"/>
      <c r="AD63" s="243"/>
      <c r="AE63" s="243"/>
      <c r="AF63" s="243"/>
      <c r="AG63" s="243"/>
      <c r="AH63" s="243"/>
      <c r="AI63" s="243"/>
      <c r="AJ63" s="243"/>
    </row>
    <row r="64" spans="1:36" s="15" customFormat="1" ht="21.75" customHeight="1">
      <c r="A64" s="351">
        <v>31</v>
      </c>
      <c r="B64" s="354" t="s">
        <v>688</v>
      </c>
      <c r="C64" s="488">
        <f t="shared" si="15"/>
        <v>1780027645</v>
      </c>
      <c r="D64" s="486">
        <f t="shared" si="15"/>
        <v>1127987565</v>
      </c>
      <c r="E64" s="489">
        <v>1661081207</v>
      </c>
      <c r="F64" s="487">
        <v>1041005359</v>
      </c>
      <c r="G64" s="489">
        <v>12742160</v>
      </c>
      <c r="H64" s="487">
        <v>0</v>
      </c>
      <c r="I64" s="489">
        <v>103243447</v>
      </c>
      <c r="J64" s="487">
        <v>74124766</v>
      </c>
      <c r="K64" s="489">
        <v>10323469</v>
      </c>
      <c r="L64" s="487">
        <v>7412477</v>
      </c>
      <c r="M64" s="489">
        <v>2557424</v>
      </c>
      <c r="N64" s="487">
        <v>522812</v>
      </c>
      <c r="O64" s="489">
        <v>639356</v>
      </c>
      <c r="P64" s="487">
        <v>130703</v>
      </c>
      <c r="Q64" s="489">
        <v>4058476</v>
      </c>
      <c r="R64" s="487">
        <v>3265579</v>
      </c>
      <c r="S64" s="489">
        <v>2029238</v>
      </c>
      <c r="T64" s="487">
        <v>1632790</v>
      </c>
      <c r="U64" s="489">
        <v>9087091</v>
      </c>
      <c r="V64" s="487">
        <v>9069049</v>
      </c>
      <c r="W64" s="489">
        <v>9087091</v>
      </c>
      <c r="X64" s="487">
        <v>9069049</v>
      </c>
      <c r="Y64" s="148">
        <f t="shared" si="16"/>
        <v>22079154</v>
      </c>
      <c r="Z64" s="486">
        <f t="shared" si="16"/>
        <v>18245019</v>
      </c>
      <c r="AA64" s="17">
        <v>0</v>
      </c>
      <c r="AB64" s="17">
        <v>194839</v>
      </c>
      <c r="AC64" s="243"/>
      <c r="AD64" s="243"/>
      <c r="AE64" s="243"/>
      <c r="AF64" s="243"/>
      <c r="AG64" s="243"/>
      <c r="AH64" s="243"/>
      <c r="AI64" s="243"/>
      <c r="AJ64" s="243"/>
    </row>
    <row r="65" spans="1:36" s="15" customFormat="1" ht="21.75" customHeight="1">
      <c r="A65" s="351">
        <v>32</v>
      </c>
      <c r="B65" s="354" t="s">
        <v>689</v>
      </c>
      <c r="C65" s="488">
        <f t="shared" si="15"/>
        <v>989325279</v>
      </c>
      <c r="D65" s="486">
        <f t="shared" si="15"/>
        <v>344966652</v>
      </c>
      <c r="E65" s="489">
        <v>675112858</v>
      </c>
      <c r="F65" s="487">
        <v>96369727</v>
      </c>
      <c r="G65" s="489">
        <v>5848868</v>
      </c>
      <c r="H65" s="487">
        <v>0</v>
      </c>
      <c r="I65" s="489">
        <v>271661212</v>
      </c>
      <c r="J65" s="487">
        <v>226572660</v>
      </c>
      <c r="K65" s="489">
        <v>27165784</v>
      </c>
      <c r="L65" s="487">
        <v>22657266</v>
      </c>
      <c r="M65" s="489">
        <v>10756940</v>
      </c>
      <c r="N65" s="487">
        <v>8438205</v>
      </c>
      <c r="O65" s="489">
        <v>2689235</v>
      </c>
      <c r="P65" s="487">
        <v>2109551</v>
      </c>
      <c r="Q65" s="489">
        <v>24533068</v>
      </c>
      <c r="R65" s="487">
        <v>10218422</v>
      </c>
      <c r="S65" s="489">
        <v>12266534</v>
      </c>
      <c r="T65" s="487">
        <v>5109211</v>
      </c>
      <c r="U65" s="489">
        <v>7261201</v>
      </c>
      <c r="V65" s="487">
        <v>3367638</v>
      </c>
      <c r="W65" s="489">
        <v>7261199</v>
      </c>
      <c r="X65" s="487">
        <v>3367638</v>
      </c>
      <c r="Y65" s="148">
        <f t="shared" si="16"/>
        <v>49382752</v>
      </c>
      <c r="Z65" s="486">
        <f t="shared" si="16"/>
        <v>33243666</v>
      </c>
      <c r="AA65" s="17">
        <v>0</v>
      </c>
      <c r="AB65" s="17">
        <v>3486824</v>
      </c>
      <c r="AC65" s="243"/>
      <c r="AD65" s="243"/>
      <c r="AE65" s="243"/>
      <c r="AF65" s="243"/>
      <c r="AG65" s="243"/>
      <c r="AH65" s="243"/>
      <c r="AI65" s="243"/>
      <c r="AJ65" s="243"/>
    </row>
    <row r="66" spans="1:36" s="15" customFormat="1" ht="21.75" customHeight="1">
      <c r="A66" s="351">
        <v>33</v>
      </c>
      <c r="B66" s="354" t="s">
        <v>690</v>
      </c>
      <c r="C66" s="488">
        <f t="shared" si="15"/>
        <v>2106753229</v>
      </c>
      <c r="D66" s="486">
        <f t="shared" si="15"/>
        <v>1377515551</v>
      </c>
      <c r="E66" s="489">
        <v>1788617469</v>
      </c>
      <c r="F66" s="487">
        <v>1142013251</v>
      </c>
      <c r="G66" s="489">
        <v>18700461</v>
      </c>
      <c r="H66" s="487">
        <v>0</v>
      </c>
      <c r="I66" s="489">
        <v>249212833</v>
      </c>
      <c r="J66" s="487">
        <v>191796389</v>
      </c>
      <c r="K66" s="489">
        <v>24921283</v>
      </c>
      <c r="L66" s="487">
        <v>19179639</v>
      </c>
      <c r="M66" s="489">
        <v>40908120</v>
      </c>
      <c r="N66" s="487">
        <v>24440931</v>
      </c>
      <c r="O66" s="489">
        <v>10227030</v>
      </c>
      <c r="P66" s="487">
        <v>6110233</v>
      </c>
      <c r="Q66" s="489">
        <v>25755025</v>
      </c>
      <c r="R66" s="487">
        <v>19264980</v>
      </c>
      <c r="S66" s="489">
        <v>12877513</v>
      </c>
      <c r="T66" s="487">
        <v>9632490</v>
      </c>
      <c r="U66" s="489">
        <v>2259782</v>
      </c>
      <c r="V66" s="487">
        <v>0</v>
      </c>
      <c r="W66" s="489">
        <v>2259782</v>
      </c>
      <c r="X66" s="487">
        <v>0</v>
      </c>
      <c r="Y66" s="148">
        <f t="shared" si="16"/>
        <v>50285608</v>
      </c>
      <c r="Z66" s="486">
        <f t="shared" si="16"/>
        <v>34922362</v>
      </c>
      <c r="AA66" s="17">
        <v>0</v>
      </c>
      <c r="AB66" s="17">
        <v>1800060</v>
      </c>
      <c r="AC66" s="243"/>
      <c r="AD66" s="243"/>
      <c r="AE66" s="243"/>
      <c r="AF66" s="243"/>
      <c r="AG66" s="243"/>
      <c r="AH66" s="243"/>
      <c r="AI66" s="243"/>
      <c r="AJ66" s="243"/>
    </row>
    <row r="67" spans="1:36" s="15" customFormat="1" ht="21.75" customHeight="1">
      <c r="A67" s="351">
        <v>34</v>
      </c>
      <c r="B67" s="354" t="s">
        <v>691</v>
      </c>
      <c r="C67" s="488">
        <f>E67+I67+M67+Q67+U67</f>
        <v>27440382717</v>
      </c>
      <c r="D67" s="486">
        <f t="shared" si="15"/>
        <v>19050773520</v>
      </c>
      <c r="E67" s="489">
        <v>25950594298</v>
      </c>
      <c r="F67" s="487">
        <v>18171857227</v>
      </c>
      <c r="G67" s="489">
        <v>259258661</v>
      </c>
      <c r="H67" s="487">
        <v>0</v>
      </c>
      <c r="I67" s="489">
        <v>854580370</v>
      </c>
      <c r="J67" s="487">
        <v>456927377</v>
      </c>
      <c r="K67" s="489">
        <v>85413106</v>
      </c>
      <c r="L67" s="487">
        <v>45692738</v>
      </c>
      <c r="M67" s="489">
        <v>226059285</v>
      </c>
      <c r="N67" s="487">
        <v>106887764</v>
      </c>
      <c r="O67" s="489">
        <v>56430546</v>
      </c>
      <c r="P67" s="487">
        <v>26721941</v>
      </c>
      <c r="Q67" s="489">
        <v>384421176</v>
      </c>
      <c r="R67" s="487">
        <v>298936490</v>
      </c>
      <c r="S67" s="489">
        <v>191961782</v>
      </c>
      <c r="T67" s="487">
        <v>149468245</v>
      </c>
      <c r="U67" s="489">
        <v>24727588</v>
      </c>
      <c r="V67" s="487">
        <v>16164662</v>
      </c>
      <c r="W67" s="489">
        <v>23870322</v>
      </c>
      <c r="X67" s="487">
        <v>16164662</v>
      </c>
      <c r="Y67" s="148">
        <f>+W67+S67+O67+K67</f>
        <v>357675756</v>
      </c>
      <c r="Z67" s="486">
        <f>+X67+T67+P67+L67</f>
        <v>238047586</v>
      </c>
      <c r="AA67" s="17">
        <v>926786525</v>
      </c>
      <c r="AB67" s="17">
        <v>4864549</v>
      </c>
      <c r="AC67" s="243"/>
      <c r="AD67" s="243"/>
      <c r="AE67" s="243"/>
      <c r="AF67" s="243"/>
      <c r="AG67" s="243"/>
      <c r="AH67" s="243"/>
      <c r="AI67" s="243"/>
      <c r="AJ67" s="243"/>
    </row>
    <row r="68" spans="1:36" s="15" customFormat="1" ht="21.75" customHeight="1">
      <c r="A68" s="351">
        <v>35</v>
      </c>
      <c r="B68" s="354" t="s">
        <v>692</v>
      </c>
      <c r="C68" s="488">
        <f t="shared" si="15"/>
        <v>3391807355</v>
      </c>
      <c r="D68" s="486">
        <f t="shared" si="15"/>
        <v>1838243439</v>
      </c>
      <c r="E68" s="489">
        <v>3186466009</v>
      </c>
      <c r="F68" s="487">
        <v>1672749889</v>
      </c>
      <c r="G68" s="489">
        <v>23872359</v>
      </c>
      <c r="H68" s="487">
        <v>0</v>
      </c>
      <c r="I68" s="489">
        <v>48848166</v>
      </c>
      <c r="J68" s="487">
        <v>23872219</v>
      </c>
      <c r="K68" s="489">
        <v>4884810</v>
      </c>
      <c r="L68" s="487">
        <v>2387222</v>
      </c>
      <c r="M68" s="489">
        <v>22722517</v>
      </c>
      <c r="N68" s="487">
        <v>21970307</v>
      </c>
      <c r="O68" s="489">
        <v>5612282</v>
      </c>
      <c r="P68" s="487">
        <v>5492577</v>
      </c>
      <c r="Q68" s="489">
        <v>133410771</v>
      </c>
      <c r="R68" s="487">
        <v>119651024</v>
      </c>
      <c r="S68" s="489">
        <v>66701418</v>
      </c>
      <c r="T68" s="487">
        <v>59825512</v>
      </c>
      <c r="U68" s="489">
        <v>359892</v>
      </c>
      <c r="V68" s="487">
        <v>0</v>
      </c>
      <c r="W68" s="489">
        <v>359892</v>
      </c>
      <c r="X68" s="487">
        <v>0</v>
      </c>
      <c r="Y68" s="148">
        <f t="shared" si="16"/>
        <v>77558402</v>
      </c>
      <c r="Z68" s="486">
        <f t="shared" si="16"/>
        <v>67705311</v>
      </c>
      <c r="AA68" s="17">
        <v>0</v>
      </c>
      <c r="AB68" s="17">
        <v>1767420</v>
      </c>
      <c r="AC68" s="243"/>
      <c r="AD68" s="243"/>
      <c r="AE68" s="243"/>
      <c r="AF68" s="243"/>
      <c r="AG68" s="243"/>
      <c r="AH68" s="243"/>
      <c r="AI68" s="243"/>
      <c r="AJ68" s="243"/>
    </row>
    <row r="69" spans="1:36" s="15" customFormat="1" ht="21.75" customHeight="1">
      <c r="A69" s="351">
        <v>36</v>
      </c>
      <c r="B69" s="354" t="s">
        <v>693</v>
      </c>
      <c r="C69" s="488">
        <f t="shared" si="15"/>
        <v>2526849905</v>
      </c>
      <c r="D69" s="486">
        <f t="shared" si="15"/>
        <v>1618525496</v>
      </c>
      <c r="E69" s="489">
        <v>2353480979</v>
      </c>
      <c r="F69" s="487">
        <v>1493798292</v>
      </c>
      <c r="G69" s="489">
        <v>12354706</v>
      </c>
      <c r="H69" s="487">
        <v>0</v>
      </c>
      <c r="I69" s="489">
        <v>67394006</v>
      </c>
      <c r="J69" s="487">
        <v>50190983</v>
      </c>
      <c r="K69" s="489">
        <v>6739401</v>
      </c>
      <c r="L69" s="487">
        <v>5019098</v>
      </c>
      <c r="M69" s="489">
        <v>29804204</v>
      </c>
      <c r="N69" s="487">
        <v>25525536</v>
      </c>
      <c r="O69" s="489">
        <v>7450222</v>
      </c>
      <c r="P69" s="487">
        <v>6381384</v>
      </c>
      <c r="Q69" s="489">
        <v>72950745</v>
      </c>
      <c r="R69" s="487">
        <v>46493432</v>
      </c>
      <c r="S69" s="489">
        <v>36475373</v>
      </c>
      <c r="T69" s="487">
        <v>23246716</v>
      </c>
      <c r="U69" s="489">
        <v>3219971</v>
      </c>
      <c r="V69" s="487">
        <v>2517253</v>
      </c>
      <c r="W69" s="489">
        <v>3219971</v>
      </c>
      <c r="X69" s="487">
        <v>2517253</v>
      </c>
      <c r="Y69" s="148">
        <f t="shared" si="16"/>
        <v>53884967</v>
      </c>
      <c r="Z69" s="486">
        <f t="shared" si="16"/>
        <v>37164451</v>
      </c>
      <c r="AA69" s="17">
        <v>0</v>
      </c>
      <c r="AB69" s="17">
        <v>765649</v>
      </c>
      <c r="AC69" s="243"/>
      <c r="AD69" s="243"/>
      <c r="AE69" s="243"/>
      <c r="AF69" s="243"/>
      <c r="AG69" s="243"/>
      <c r="AH69" s="243"/>
      <c r="AI69" s="243"/>
      <c r="AJ69" s="243"/>
    </row>
    <row r="70" spans="1:36" s="15" customFormat="1" ht="21.75" customHeight="1">
      <c r="A70" s="351">
        <v>37</v>
      </c>
      <c r="B70" s="354" t="s">
        <v>694</v>
      </c>
      <c r="C70" s="488">
        <f t="shared" si="15"/>
        <v>1066881707</v>
      </c>
      <c r="D70" s="486">
        <f t="shared" si="15"/>
        <v>654697368</v>
      </c>
      <c r="E70" s="489">
        <v>866257871</v>
      </c>
      <c r="F70" s="487">
        <v>584606274</v>
      </c>
      <c r="G70" s="489">
        <v>7014727</v>
      </c>
      <c r="H70" s="487">
        <v>0</v>
      </c>
      <c r="I70" s="489">
        <v>98500248</v>
      </c>
      <c r="J70" s="487">
        <v>42295748</v>
      </c>
      <c r="K70" s="489">
        <v>9849767</v>
      </c>
      <c r="L70" s="487">
        <v>4229575</v>
      </c>
      <c r="M70" s="489">
        <v>14959441</v>
      </c>
      <c r="N70" s="487">
        <v>2995731</v>
      </c>
      <c r="O70" s="489">
        <v>3739860</v>
      </c>
      <c r="P70" s="487">
        <v>748933</v>
      </c>
      <c r="Q70" s="489">
        <v>77026468</v>
      </c>
      <c r="R70" s="487">
        <v>23900621</v>
      </c>
      <c r="S70" s="489">
        <v>38513234</v>
      </c>
      <c r="T70" s="487">
        <v>11950311</v>
      </c>
      <c r="U70" s="489">
        <v>10137679</v>
      </c>
      <c r="V70" s="487">
        <v>898994</v>
      </c>
      <c r="W70" s="489">
        <v>10137679</v>
      </c>
      <c r="X70" s="487">
        <v>898994</v>
      </c>
      <c r="Y70" s="148">
        <f t="shared" si="16"/>
        <v>62240540</v>
      </c>
      <c r="Z70" s="486">
        <f t="shared" si="16"/>
        <v>17827813</v>
      </c>
      <c r="AA70" s="17">
        <v>0</v>
      </c>
      <c r="AB70" s="17">
        <v>6659996</v>
      </c>
      <c r="AC70" s="243"/>
      <c r="AD70" s="243"/>
      <c r="AE70" s="243"/>
      <c r="AF70" s="243"/>
      <c r="AG70" s="243"/>
      <c r="AH70" s="243"/>
      <c r="AI70" s="243"/>
      <c r="AJ70" s="243"/>
    </row>
    <row r="71" spans="1:36" s="512" customFormat="1" ht="28.5" customHeight="1">
      <c r="A71" s="510">
        <v>38</v>
      </c>
      <c r="B71" s="510" t="s">
        <v>678</v>
      </c>
      <c r="C71" s="510">
        <f t="shared" ref="C71:AB71" si="17">SUM(C57:C70)</f>
        <v>48075884880</v>
      </c>
      <c r="D71" s="510">
        <f t="shared" si="17"/>
        <v>30828142644</v>
      </c>
      <c r="E71" s="510">
        <f t="shared" si="17"/>
        <v>44160297748</v>
      </c>
      <c r="F71" s="510">
        <f t="shared" si="17"/>
        <v>28307852456</v>
      </c>
      <c r="G71" s="510">
        <f t="shared" si="17"/>
        <v>414689972</v>
      </c>
      <c r="H71" s="510">
        <f t="shared" si="17"/>
        <v>0</v>
      </c>
      <c r="I71" s="510">
        <f t="shared" si="17"/>
        <v>2556900652</v>
      </c>
      <c r="J71" s="510">
        <f t="shared" si="17"/>
        <v>1684963039</v>
      </c>
      <c r="K71" s="510">
        <f t="shared" si="17"/>
        <v>255622767</v>
      </c>
      <c r="L71" s="510">
        <f t="shared" si="17"/>
        <v>168496305</v>
      </c>
      <c r="M71" s="510">
        <f t="shared" si="17"/>
        <v>436789210</v>
      </c>
      <c r="N71" s="510">
        <f t="shared" si="17"/>
        <v>228730389</v>
      </c>
      <c r="O71" s="510">
        <f t="shared" si="17"/>
        <v>107787533</v>
      </c>
      <c r="P71" s="510">
        <f t="shared" si="17"/>
        <v>56116179</v>
      </c>
      <c r="Q71" s="510">
        <f t="shared" si="17"/>
        <v>830442808</v>
      </c>
      <c r="R71" s="510">
        <f t="shared" si="17"/>
        <v>563175767</v>
      </c>
      <c r="S71" s="510">
        <f t="shared" si="17"/>
        <v>414805245</v>
      </c>
      <c r="T71" s="510">
        <f t="shared" si="17"/>
        <v>281587884</v>
      </c>
      <c r="U71" s="510">
        <f t="shared" si="17"/>
        <v>91454462</v>
      </c>
      <c r="V71" s="510">
        <f t="shared" si="17"/>
        <v>43420993</v>
      </c>
      <c r="W71" s="510">
        <f t="shared" si="17"/>
        <v>90597194</v>
      </c>
      <c r="X71" s="510">
        <f t="shared" si="17"/>
        <v>43420993</v>
      </c>
      <c r="Y71" s="510">
        <f t="shared" si="17"/>
        <v>868812739</v>
      </c>
      <c r="Z71" s="510">
        <f t="shared" si="17"/>
        <v>549621361</v>
      </c>
      <c r="AA71" s="510">
        <f t="shared" si="17"/>
        <v>926786525</v>
      </c>
      <c r="AB71" s="510">
        <f t="shared" si="17"/>
        <v>70345738</v>
      </c>
      <c r="AC71" s="511">
        <f>+'Loans Receivable'!C85</f>
        <v>48075884880</v>
      </c>
    </row>
    <row r="72" spans="1:36" s="15" customFormat="1" ht="21.75" customHeight="1">
      <c r="A72" s="351">
        <v>39</v>
      </c>
      <c r="B72" s="354" t="s">
        <v>695</v>
      </c>
      <c r="C72" s="488">
        <f t="shared" ref="C72" si="18">E72+I72+M72+Q72+U72</f>
        <v>10074076340</v>
      </c>
      <c r="D72" s="486">
        <f t="shared" si="15"/>
        <v>0</v>
      </c>
      <c r="E72" s="489">
        <f>'Asset quality'!D12+'Asset quality'!D17+'Asset quality'!D47+'Asset quality'!D48+'Asset quality'!D49+'Asset quality'!D50+'Asset quality'!D53+'Asset quality'!D54+'Asset quality'!D58+'Asset quality'!D60</f>
        <v>9533205914</v>
      </c>
      <c r="F72" s="487"/>
      <c r="G72" s="489">
        <f>'Asset quality'!P12+'Asset quality'!P17+'Asset quality'!P47+'Asset quality'!P48+'Asset quality'!P49+'Asset quality'!P50+'Asset quality'!P53+'Asset quality'!P54+'Asset quality'!P58+'Asset quality'!P60+'Asset quality'!P62+9</f>
        <v>131676235</v>
      </c>
      <c r="H72" s="487"/>
      <c r="I72" s="489">
        <f>'Asset quality'!E12+'Asset quality'!E17+'Asset quality'!E47+'Asset quality'!E48+'Asset quality'!E49+'Asset quality'!E50+'Asset quality'!E53+'Asset quality'!E54+'Asset quality'!E58+'Asset quality'!E60</f>
        <v>134561356</v>
      </c>
      <c r="J72" s="487"/>
      <c r="K72" s="489">
        <f>'Asset quality'!Q12+'Asset quality'!Q17+'Asset quality'!Q47+'Asset quality'!Q48+'Asset quality'!Q49+'Asset quality'!Q50+'Asset quality'!Q53+'Asset quality'!Q54+'Asset quality'!Q58+'Asset quality'!Q60+'Asset quality'!Q62</f>
        <v>131959139</v>
      </c>
      <c r="L72" s="487"/>
      <c r="M72" s="489">
        <f>'Asset quality'!F12+'Asset quality'!F17+'Asset quality'!F47+'Asset quality'!F48+'Asset quality'!F49+'Asset quality'!F50+'Asset quality'!F53+'Asset quality'!F54+'Asset quality'!F58+'Asset quality'!F60</f>
        <v>70544135</v>
      </c>
      <c r="N72" s="487"/>
      <c r="O72" s="489">
        <f>'Asset quality'!R12+'Asset quality'!R17+'Asset quality'!R47+'Asset quality'!R48+'Asset quality'!R49+'Asset quality'!R50+'Asset quality'!R53+'Asset quality'!R54+'Asset quality'!R58+'Asset quality'!R60+'Asset quality'!R62</f>
        <v>2030299</v>
      </c>
      <c r="P72" s="487"/>
      <c r="Q72" s="489">
        <f>'Asset quality'!G12+'Asset quality'!G17+'Asset quality'!G47+'Asset quality'!G48+'Asset quality'!G49+'Asset quality'!G50+'Asset quality'!G53+'Asset quality'!G54+'Asset quality'!G58+'Asset quality'!G60</f>
        <v>169719529</v>
      </c>
      <c r="R72" s="487"/>
      <c r="S72" s="489">
        <f>'Asset quality'!S12+'Asset quality'!S17+'Asset quality'!S47+'Asset quality'!S48+'Asset quality'!S49+'Asset quality'!S50+'Asset quality'!S53+'Asset quality'!S54+'Asset quality'!S58+'Asset quality'!S60+'Asset quality'!S62</f>
        <v>5284069</v>
      </c>
      <c r="T72" s="487"/>
      <c r="U72" s="489">
        <f>'Asset quality'!H12+'Asset quality'!H17+'Asset quality'!H47+'Asset quality'!H48+'Asset quality'!H49+'Asset quality'!H50+'Asset quality'!H53+'Asset quality'!H54+'Asset quality'!H58+'Asset quality'!H60</f>
        <v>166045406</v>
      </c>
      <c r="V72" s="487"/>
      <c r="W72" s="489">
        <f>'Asset quality'!T12+'Asset quality'!T17+'Asset quality'!T47+'Asset quality'!T48+'Asset quality'!T49+'Asset quality'!T50+'Asset quality'!T53+'Asset quality'!T54+'Asset quality'!T58+'Asset quality'!T60+'Asset quality'!T62</f>
        <v>132343370</v>
      </c>
      <c r="X72" s="487"/>
      <c r="Y72" s="148">
        <f t="shared" ref="Y72:Z72" si="19">+W72+S72+O72+K72</f>
        <v>271616877</v>
      </c>
      <c r="Z72" s="486">
        <f t="shared" si="19"/>
        <v>0</v>
      </c>
      <c r="AA72" s="17"/>
      <c r="AB72" s="17"/>
      <c r="AC72" s="243"/>
      <c r="AD72" s="243"/>
      <c r="AE72" s="243"/>
      <c r="AF72" s="243"/>
      <c r="AG72" s="243"/>
      <c r="AH72" s="243"/>
      <c r="AI72" s="243"/>
      <c r="AJ72" s="243"/>
    </row>
    <row r="73" spans="1:36" s="15" customFormat="1" ht="21.75" customHeight="1">
      <c r="A73" s="351"/>
      <c r="B73" s="354" t="s">
        <v>670</v>
      </c>
      <c r="C73" s="488">
        <f t="shared" ref="C73" si="20">E73+I73+M73+Q73+U73</f>
        <v>0</v>
      </c>
      <c r="D73" s="486">
        <f t="shared" si="15"/>
        <v>0</v>
      </c>
      <c r="E73" s="489"/>
      <c r="F73" s="487"/>
      <c r="G73" s="489"/>
      <c r="H73" s="487"/>
      <c r="I73" s="489"/>
      <c r="J73" s="487"/>
      <c r="K73" s="489"/>
      <c r="L73" s="487"/>
      <c r="M73" s="489"/>
      <c r="N73" s="487"/>
      <c r="O73" s="489"/>
      <c r="P73" s="487"/>
      <c r="Q73" s="489"/>
      <c r="R73" s="487"/>
      <c r="S73" s="489"/>
      <c r="T73" s="487"/>
      <c r="U73" s="489"/>
      <c r="V73" s="487"/>
      <c r="W73" s="489"/>
      <c r="X73" s="487"/>
      <c r="Y73" s="148">
        <f t="shared" ref="Y73" si="21">+W73+S73+O73+K73</f>
        <v>0</v>
      </c>
      <c r="Z73" s="486">
        <f t="shared" ref="Z73" si="22">+X73+T73+P73+L73</f>
        <v>0</v>
      </c>
      <c r="AA73" s="17"/>
      <c r="AB73" s="17"/>
      <c r="AC73" s="243"/>
      <c r="AD73" s="243"/>
      <c r="AE73" s="243"/>
      <c r="AF73" s="243"/>
      <c r="AG73" s="243"/>
      <c r="AH73" s="243"/>
      <c r="AI73" s="243"/>
      <c r="AJ73" s="243"/>
    </row>
    <row r="74" spans="1:36" s="512" customFormat="1" ht="28.5" customHeight="1">
      <c r="A74" s="510">
        <v>40</v>
      </c>
      <c r="B74" s="510" t="s">
        <v>696</v>
      </c>
      <c r="C74" s="510">
        <f t="shared" ref="C74:AB74" si="23">+C53+C72</f>
        <v>58149961220</v>
      </c>
      <c r="D74" s="510">
        <f t="shared" si="23"/>
        <v>30828142644</v>
      </c>
      <c r="E74" s="510">
        <f t="shared" si="23"/>
        <v>53693503662</v>
      </c>
      <c r="F74" s="510">
        <f t="shared" si="23"/>
        <v>28307852456</v>
      </c>
      <c r="G74" s="510">
        <f>+G53+G72</f>
        <v>546366207</v>
      </c>
      <c r="H74" s="510">
        <f>+H53+H72</f>
        <v>0</v>
      </c>
      <c r="I74" s="510">
        <f t="shared" si="23"/>
        <v>2691462008</v>
      </c>
      <c r="J74" s="510">
        <f t="shared" si="23"/>
        <v>1684963039</v>
      </c>
      <c r="K74" s="510">
        <f t="shared" si="23"/>
        <v>387581906</v>
      </c>
      <c r="L74" s="510">
        <f t="shared" si="23"/>
        <v>168496305</v>
      </c>
      <c r="M74" s="510">
        <f t="shared" si="23"/>
        <v>507333345</v>
      </c>
      <c r="N74" s="510">
        <f t="shared" si="23"/>
        <v>228730389</v>
      </c>
      <c r="O74" s="510">
        <f t="shared" si="23"/>
        <v>109817832</v>
      </c>
      <c r="P74" s="510">
        <f t="shared" si="23"/>
        <v>56116179</v>
      </c>
      <c r="Q74" s="510">
        <f t="shared" si="23"/>
        <v>1000162337</v>
      </c>
      <c r="R74" s="510">
        <f t="shared" si="23"/>
        <v>563175767</v>
      </c>
      <c r="S74" s="510">
        <f t="shared" si="23"/>
        <v>420089314</v>
      </c>
      <c r="T74" s="510">
        <f t="shared" si="23"/>
        <v>281587884</v>
      </c>
      <c r="U74" s="510">
        <f t="shared" si="23"/>
        <v>257499868</v>
      </c>
      <c r="V74" s="510">
        <f t="shared" si="23"/>
        <v>43420993</v>
      </c>
      <c r="W74" s="510">
        <f t="shared" si="23"/>
        <v>222940564</v>
      </c>
      <c r="X74" s="510">
        <f t="shared" si="23"/>
        <v>43420993</v>
      </c>
      <c r="Y74" s="510">
        <f t="shared" si="23"/>
        <v>1140429616</v>
      </c>
      <c r="Z74" s="510">
        <f t="shared" si="23"/>
        <v>549621361</v>
      </c>
      <c r="AA74" s="510">
        <f t="shared" si="23"/>
        <v>926786525</v>
      </c>
      <c r="AB74" s="510">
        <f t="shared" si="23"/>
        <v>70345738</v>
      </c>
    </row>
    <row r="76" spans="1:36" ht="15" customHeight="1">
      <c r="B76" s="206" t="s">
        <v>788</v>
      </c>
      <c r="F76" s="185"/>
      <c r="G76" s="185"/>
      <c r="H76" s="185"/>
      <c r="I76" s="185"/>
      <c r="J76" s="185"/>
      <c r="K76" s="185"/>
      <c r="L76" s="185"/>
      <c r="M76" s="185"/>
      <c r="AC76" s="30"/>
      <c r="AD76" s="30"/>
      <c r="AE76" s="30"/>
      <c r="AF76" s="30"/>
      <c r="AG76" s="30"/>
      <c r="AH76" s="30"/>
      <c r="AI76" s="30"/>
      <c r="AJ76" s="30"/>
    </row>
    <row r="77" spans="1:36" ht="11.25" customHeight="1">
      <c r="B77" s="206"/>
      <c r="F77" s="185"/>
      <c r="G77" s="185"/>
      <c r="H77" s="185"/>
      <c r="I77" s="185"/>
      <c r="J77" s="185"/>
      <c r="K77" s="185"/>
      <c r="L77" s="185"/>
      <c r="M77" s="185"/>
      <c r="AC77" s="30"/>
      <c r="AD77" s="30"/>
      <c r="AE77" s="30"/>
      <c r="AF77" s="30"/>
      <c r="AG77" s="30"/>
      <c r="AH77" s="30"/>
      <c r="AI77" s="30"/>
      <c r="AJ77" s="30"/>
    </row>
    <row r="78" spans="1:36" ht="15" customHeight="1">
      <c r="B78" s="206" t="s">
        <v>789</v>
      </c>
      <c r="F78" s="185"/>
      <c r="G78" s="185"/>
      <c r="H78" s="185"/>
      <c r="I78" s="185"/>
      <c r="J78" s="185"/>
      <c r="K78" s="185"/>
      <c r="L78" s="185"/>
      <c r="M78" s="185"/>
      <c r="AC78" s="30"/>
      <c r="AD78" s="30"/>
      <c r="AE78" s="30"/>
      <c r="AF78" s="30"/>
      <c r="AG78" s="30"/>
      <c r="AH78" s="30"/>
      <c r="AI78" s="30"/>
      <c r="AJ78" s="30"/>
    </row>
    <row r="79" spans="1:36">
      <c r="B79" s="206"/>
    </row>
    <row r="80" spans="1:36">
      <c r="E80" s="233">
        <f>SUM('Asset quality'!D20:D46)+'Asset quality'!D16</f>
        <v>44160297748</v>
      </c>
      <c r="F80" s="233"/>
      <c r="G80" s="233">
        <f>SUM('Asset quality'!P20:P46)+'Asset quality'!P16</f>
        <v>414689972</v>
      </c>
      <c r="H80" s="233"/>
      <c r="I80" s="233">
        <f>SUM('Asset quality'!E20:E46)+'Asset quality'!E16</f>
        <v>2556900652</v>
      </c>
      <c r="K80" s="233">
        <f>SUM('Asset quality'!Q20:Q46)+'Asset quality'!Q16</f>
        <v>255622767</v>
      </c>
      <c r="L80" s="233"/>
      <c r="M80" s="233">
        <f>SUM('Asset quality'!F20:F46)+'Asset quality'!F16</f>
        <v>436789210</v>
      </c>
      <c r="O80" s="233">
        <f>SUM('Asset quality'!R20:R46)+'Asset quality'!R16</f>
        <v>107787533</v>
      </c>
      <c r="P80" s="233"/>
      <c r="Q80" s="233">
        <f>SUM('Asset quality'!G20:G46)+'Asset quality'!G16</f>
        <v>830442808</v>
      </c>
      <c r="S80" s="233">
        <f>SUM('Asset quality'!S20:S46)+'Asset quality'!S16</f>
        <v>414805245</v>
      </c>
      <c r="T80" s="233"/>
      <c r="U80" s="233">
        <f>SUM('Asset quality'!H20:H46)+'Asset quality'!H16</f>
        <v>91454462</v>
      </c>
      <c r="W80" s="233">
        <f>SUM('Asset quality'!T20:T46)+'Asset quality'!T16</f>
        <v>90597194</v>
      </c>
      <c r="Y80" s="233">
        <f>+W80+S80+O80+K80</f>
        <v>868812739</v>
      </c>
    </row>
    <row r="81" spans="5:36">
      <c r="E81" s="233"/>
      <c r="G81" s="233">
        <f>+'Asset quality'!P9+'Asset quality'!P62</f>
        <v>546366207</v>
      </c>
      <c r="I81" s="233"/>
      <c r="K81" s="233">
        <f>+'Asset quality'!Q9+'Asset quality'!Q62</f>
        <v>387581906</v>
      </c>
      <c r="M81" s="233"/>
      <c r="O81" s="233">
        <f>+'Asset quality'!R9+'Asset quality'!R62</f>
        <v>109817832</v>
      </c>
      <c r="S81" s="233">
        <f>+'Asset quality'!S9+'Asset quality'!S62</f>
        <v>420089314</v>
      </c>
      <c r="U81" s="233"/>
      <c r="W81" s="233">
        <f>+'Asset quality'!T9+'Asset quality'!T62</f>
        <v>222940564</v>
      </c>
      <c r="Y81" s="233">
        <f>+W81+S81+O81+K81</f>
        <v>1140429616</v>
      </c>
    </row>
    <row r="82" spans="5:36">
      <c r="E82" s="356">
        <f>+E80-E53</f>
        <v>0</v>
      </c>
      <c r="F82" s="356"/>
      <c r="G82" s="356">
        <f>+G80-G53</f>
        <v>0</v>
      </c>
      <c r="I82" s="356">
        <f>+I80-I53</f>
        <v>0</v>
      </c>
      <c r="K82" s="356">
        <f>+K80-K53</f>
        <v>0</v>
      </c>
      <c r="M82" s="356">
        <f>+M80-M53</f>
        <v>0</v>
      </c>
      <c r="O82" s="356">
        <f>+O80-O53</f>
        <v>0</v>
      </c>
      <c r="Q82" s="356">
        <f>+Q80-Q53</f>
        <v>0</v>
      </c>
      <c r="S82" s="356">
        <f>+S80-S53</f>
        <v>0</v>
      </c>
      <c r="U82" s="356">
        <f>+U80-U53</f>
        <v>0</v>
      </c>
      <c r="W82" s="356">
        <f>+W80-W53</f>
        <v>0</v>
      </c>
      <c r="Y82" s="356">
        <f>+Y80-Y53</f>
        <v>0</v>
      </c>
    </row>
    <row r="83" spans="5:36">
      <c r="E83" s="357"/>
      <c r="F83" s="356"/>
      <c r="G83" s="505">
        <f>+G81-G74</f>
        <v>0</v>
      </c>
      <c r="I83" s="356"/>
      <c r="K83" s="356">
        <f>+K81-K74</f>
        <v>0</v>
      </c>
      <c r="M83" s="356"/>
      <c r="O83" s="356">
        <f>+O81-O74</f>
        <v>0</v>
      </c>
      <c r="Q83" s="356"/>
      <c r="S83" s="356">
        <f>+S81-S74</f>
        <v>0</v>
      </c>
      <c r="U83" s="356"/>
      <c r="W83" s="356">
        <f>+W81-W74</f>
        <v>0</v>
      </c>
      <c r="Y83" s="356">
        <f>+Y81-Y74</f>
        <v>0</v>
      </c>
    </row>
    <row r="84" spans="5:36">
      <c r="AC84" s="30"/>
      <c r="AD84" s="30"/>
      <c r="AE84" s="30"/>
      <c r="AF84" s="30"/>
      <c r="AG84" s="30"/>
      <c r="AH84" s="30"/>
      <c r="AI84" s="30"/>
      <c r="AJ84" s="30"/>
    </row>
    <row r="87" spans="5:36" ht="79.5" customHeight="1"/>
  </sheetData>
  <sheetProtection password="CACA" sheet="1" objects="1" scenarios="1"/>
  <mergeCells count="1">
    <mergeCell ref="U3:V3"/>
  </mergeCells>
  <phoneticPr fontId="15" type="noConversion"/>
  <conditionalFormatting sqref="D31">
    <cfRule type="cellIs" dxfId="327" priority="178" operator="notEqual">
      <formula>$D$53</formula>
    </cfRule>
  </conditionalFormatting>
  <conditionalFormatting sqref="E31">
    <cfRule type="cellIs" dxfId="326" priority="177" operator="notEqual">
      <formula>$E$53</formula>
    </cfRule>
  </conditionalFormatting>
  <conditionalFormatting sqref="F31">
    <cfRule type="cellIs" dxfId="325" priority="176" operator="notEqual">
      <formula>$F$53</formula>
    </cfRule>
  </conditionalFormatting>
  <conditionalFormatting sqref="G31">
    <cfRule type="cellIs" dxfId="324" priority="175" operator="notEqual">
      <formula>$G$53</formula>
    </cfRule>
  </conditionalFormatting>
  <conditionalFormatting sqref="H31">
    <cfRule type="cellIs" dxfId="323" priority="174" operator="notEqual">
      <formula>$H$53</formula>
    </cfRule>
  </conditionalFormatting>
  <conditionalFormatting sqref="I31">
    <cfRule type="cellIs" dxfId="322" priority="173" operator="notEqual">
      <formula>$I$53</formula>
    </cfRule>
  </conditionalFormatting>
  <conditionalFormatting sqref="J31">
    <cfRule type="cellIs" dxfId="321" priority="171" operator="notEqual">
      <formula>$J$53</formula>
    </cfRule>
  </conditionalFormatting>
  <conditionalFormatting sqref="K31">
    <cfRule type="cellIs" dxfId="320" priority="170" operator="notEqual">
      <formula>$K$53</formula>
    </cfRule>
  </conditionalFormatting>
  <conditionalFormatting sqref="L31">
    <cfRule type="cellIs" dxfId="319" priority="169" operator="notEqual">
      <formula>$L$53</formula>
    </cfRule>
  </conditionalFormatting>
  <conditionalFormatting sqref="M31">
    <cfRule type="cellIs" dxfId="318" priority="167" operator="notEqual">
      <formula>$M$53</formula>
    </cfRule>
  </conditionalFormatting>
  <conditionalFormatting sqref="N31">
    <cfRule type="cellIs" dxfId="317" priority="166" operator="notEqual">
      <formula>$N$53</formula>
    </cfRule>
  </conditionalFormatting>
  <conditionalFormatting sqref="O31">
    <cfRule type="cellIs" dxfId="316" priority="165" operator="notEqual">
      <formula>$O$53</formula>
    </cfRule>
  </conditionalFormatting>
  <conditionalFormatting sqref="P31">
    <cfRule type="cellIs" dxfId="315" priority="164" operator="notEqual">
      <formula>$P$53</formula>
    </cfRule>
  </conditionalFormatting>
  <conditionalFormatting sqref="Q31">
    <cfRule type="cellIs" dxfId="314" priority="162" operator="notEqual">
      <formula>$Q$53</formula>
    </cfRule>
  </conditionalFormatting>
  <conditionalFormatting sqref="R31">
    <cfRule type="cellIs" dxfId="313" priority="161" operator="notEqual">
      <formula>$R$53</formula>
    </cfRule>
  </conditionalFormatting>
  <conditionalFormatting sqref="S31">
    <cfRule type="cellIs" dxfId="312" priority="160" operator="notEqual">
      <formula>$S$53</formula>
    </cfRule>
  </conditionalFormatting>
  <conditionalFormatting sqref="T31">
    <cfRule type="cellIs" dxfId="311" priority="159" operator="notEqual">
      <formula>$T$53</formula>
    </cfRule>
  </conditionalFormatting>
  <conditionalFormatting sqref="U31">
    <cfRule type="cellIs" dxfId="310" priority="158" operator="notEqual">
      <formula>$U$53</formula>
    </cfRule>
  </conditionalFormatting>
  <conditionalFormatting sqref="V31">
    <cfRule type="cellIs" dxfId="309" priority="157" operator="notEqual">
      <formula>$V$53</formula>
    </cfRule>
  </conditionalFormatting>
  <conditionalFormatting sqref="W31">
    <cfRule type="cellIs" dxfId="308" priority="156" operator="notEqual">
      <formula>$W$53</formula>
    </cfRule>
  </conditionalFormatting>
  <conditionalFormatting sqref="X31">
    <cfRule type="cellIs" dxfId="307" priority="155" operator="notEqual">
      <formula>$X$53</formula>
    </cfRule>
  </conditionalFormatting>
  <conditionalFormatting sqref="Y31">
    <cfRule type="cellIs" dxfId="306" priority="154" operator="notEqual">
      <formula>$Y$53</formula>
    </cfRule>
  </conditionalFormatting>
  <conditionalFormatting sqref="D32">
    <cfRule type="cellIs" dxfId="305" priority="151" operator="notEqual">
      <formula>$D$54</formula>
    </cfRule>
  </conditionalFormatting>
  <conditionalFormatting sqref="I32">
    <cfRule type="cellIs" dxfId="304" priority="141" operator="notEqual">
      <formula>$I$54</formula>
    </cfRule>
  </conditionalFormatting>
  <conditionalFormatting sqref="J32">
    <cfRule type="cellIs" dxfId="303" priority="140" operator="notEqual">
      <formula>$J$54</formula>
    </cfRule>
  </conditionalFormatting>
  <conditionalFormatting sqref="K32">
    <cfRule type="cellIs" dxfId="302" priority="139" operator="notEqual">
      <formula>$K$54</formula>
    </cfRule>
  </conditionalFormatting>
  <conditionalFormatting sqref="L32">
    <cfRule type="cellIs" dxfId="301" priority="138" operator="notEqual">
      <formula>$L$54</formula>
    </cfRule>
  </conditionalFormatting>
  <conditionalFormatting sqref="M32">
    <cfRule type="cellIs" dxfId="300" priority="137" operator="notEqual">
      <formula>$M$54</formula>
    </cfRule>
  </conditionalFormatting>
  <conditionalFormatting sqref="N32">
    <cfRule type="cellIs" dxfId="299" priority="136" operator="notEqual">
      <formula>$N$54</formula>
    </cfRule>
  </conditionalFormatting>
  <conditionalFormatting sqref="O32">
    <cfRule type="cellIs" dxfId="298" priority="135" operator="notEqual">
      <formula>$O$54</formula>
    </cfRule>
  </conditionalFormatting>
  <conditionalFormatting sqref="P32">
    <cfRule type="cellIs" dxfId="297" priority="134" operator="notEqual">
      <formula>$P$54</formula>
    </cfRule>
  </conditionalFormatting>
  <conditionalFormatting sqref="Q32">
    <cfRule type="cellIs" dxfId="296" priority="133" operator="notEqual">
      <formula>$Q$54</formula>
    </cfRule>
  </conditionalFormatting>
  <conditionalFormatting sqref="R32">
    <cfRule type="cellIs" dxfId="295" priority="132" operator="notEqual">
      <formula>$R$54</formula>
    </cfRule>
  </conditionalFormatting>
  <conditionalFormatting sqref="S32">
    <cfRule type="cellIs" dxfId="294" priority="131" operator="notEqual">
      <formula>$S$54</formula>
    </cfRule>
  </conditionalFormatting>
  <conditionalFormatting sqref="T32">
    <cfRule type="cellIs" dxfId="293" priority="130" operator="notEqual">
      <formula>$T$54</formula>
    </cfRule>
  </conditionalFormatting>
  <conditionalFormatting sqref="U32">
    <cfRule type="cellIs" dxfId="292" priority="129" operator="notEqual">
      <formula>$U$54</formula>
    </cfRule>
  </conditionalFormatting>
  <conditionalFormatting sqref="V32">
    <cfRule type="cellIs" dxfId="291" priority="128" operator="notEqual">
      <formula>$V$54</formula>
    </cfRule>
  </conditionalFormatting>
  <conditionalFormatting sqref="W32">
    <cfRule type="cellIs" dxfId="290" priority="127" operator="notEqual">
      <formula>$W$54</formula>
    </cfRule>
  </conditionalFormatting>
  <conditionalFormatting sqref="X32">
    <cfRule type="cellIs" dxfId="289" priority="126" operator="notEqual">
      <formula>$X$54</formula>
    </cfRule>
  </conditionalFormatting>
  <conditionalFormatting sqref="Y32">
    <cfRule type="cellIs" dxfId="288" priority="125" operator="notEqual">
      <formula>$Y$54</formula>
    </cfRule>
  </conditionalFormatting>
  <conditionalFormatting sqref="Z32:AB32">
    <cfRule type="cellIs" dxfId="287" priority="124" operator="notEqual">
      <formula>$Z$54</formula>
    </cfRule>
  </conditionalFormatting>
  <conditionalFormatting sqref="E32">
    <cfRule type="cellIs" dxfId="286" priority="123" operator="notEqual">
      <formula>$E$54</formula>
    </cfRule>
  </conditionalFormatting>
  <conditionalFormatting sqref="F32">
    <cfRule type="cellIs" dxfId="285" priority="122" operator="notEqual">
      <formula>$F$54</formula>
    </cfRule>
  </conditionalFormatting>
  <conditionalFormatting sqref="G32">
    <cfRule type="cellIs" dxfId="284" priority="121" operator="notEqual">
      <formula>$G$54</formula>
    </cfRule>
  </conditionalFormatting>
  <conditionalFormatting sqref="H32">
    <cfRule type="cellIs" dxfId="283" priority="119" operator="notEqual">
      <formula>$H$50</formula>
    </cfRule>
  </conditionalFormatting>
  <conditionalFormatting sqref="G74">
    <cfRule type="cellIs" dxfId="282" priority="51" operator="notEqual">
      <formula>$G$81</formula>
    </cfRule>
    <cfRule type="cellIs" dxfId="281" priority="116" operator="notEqual">
      <formula>$G$81</formula>
    </cfRule>
  </conditionalFormatting>
  <conditionalFormatting sqref="K74">
    <cfRule type="cellIs" dxfId="280" priority="50" operator="notEqual">
      <formula>$K$81</formula>
    </cfRule>
    <cfRule type="cellIs" dxfId="279" priority="114" operator="notEqual">
      <formula>$K$81</formula>
    </cfRule>
  </conditionalFormatting>
  <conditionalFormatting sqref="S74">
    <cfRule type="cellIs" dxfId="278" priority="48" operator="notEqual">
      <formula>$S$81</formula>
    </cfRule>
    <cfRule type="cellIs" dxfId="277" priority="110" operator="notEqual">
      <formula>$S$81</formula>
    </cfRule>
  </conditionalFormatting>
  <conditionalFormatting sqref="W74">
    <cfRule type="cellIs" dxfId="276" priority="47" operator="notEqual">
      <formula>$W$81</formula>
    </cfRule>
    <cfRule type="cellIs" dxfId="275" priority="108" operator="notEqual">
      <formula>$W$81</formula>
    </cfRule>
  </conditionalFormatting>
  <conditionalFormatting sqref="Y74">
    <cfRule type="cellIs" dxfId="274" priority="46" operator="notEqual">
      <formula>$Y$81</formula>
    </cfRule>
    <cfRule type="cellIs" dxfId="273" priority="105" operator="notEqual">
      <formula>$Y$81</formula>
    </cfRule>
  </conditionalFormatting>
  <conditionalFormatting sqref="O74">
    <cfRule type="cellIs" dxfId="272" priority="49" operator="notEqual">
      <formula>$O$81</formula>
    </cfRule>
    <cfRule type="cellIs" dxfId="271" priority="103" operator="notEqual">
      <formula>$O$81</formula>
    </cfRule>
  </conditionalFormatting>
  <conditionalFormatting sqref="G71">
    <cfRule type="cellIs" dxfId="270" priority="45" operator="notEqual">
      <formula>$G$80</formula>
    </cfRule>
    <cfRule type="cellIs" dxfId="269" priority="78" operator="notEqual">
      <formula>$G$31</formula>
    </cfRule>
  </conditionalFormatting>
  <conditionalFormatting sqref="K71">
    <cfRule type="cellIs" dxfId="268" priority="43" operator="notEqual">
      <formula>$K$80</formula>
    </cfRule>
    <cfRule type="cellIs" dxfId="267" priority="77" operator="notEqual">
      <formula>$K$31</formula>
    </cfRule>
  </conditionalFormatting>
  <conditionalFormatting sqref="S71">
    <cfRule type="cellIs" dxfId="266" priority="39" operator="notEqual">
      <formula>$S$80</formula>
    </cfRule>
    <cfRule type="cellIs" dxfId="265" priority="76" operator="notEqual">
      <formula>$S$31</formula>
    </cfRule>
  </conditionalFormatting>
  <conditionalFormatting sqref="W71">
    <cfRule type="cellIs" dxfId="264" priority="37" operator="notEqual">
      <formula>$W$80</formula>
    </cfRule>
    <cfRule type="cellIs" dxfId="263" priority="75" operator="notEqual">
      <formula>$W$31</formula>
    </cfRule>
  </conditionalFormatting>
  <conditionalFormatting sqref="Y71">
    <cfRule type="cellIs" dxfId="262" priority="36" operator="notEqual">
      <formula>$Y$80</formula>
    </cfRule>
    <cfRule type="cellIs" dxfId="261" priority="74" operator="notEqual">
      <formula>$Y$31</formula>
    </cfRule>
  </conditionalFormatting>
  <conditionalFormatting sqref="O71">
    <cfRule type="cellIs" dxfId="260" priority="41" operator="notEqual">
      <formula>$O$80</formula>
    </cfRule>
    <cfRule type="cellIs" dxfId="259" priority="73" operator="notEqual">
      <formula>$O$31</formula>
    </cfRule>
  </conditionalFormatting>
  <conditionalFormatting sqref="E71">
    <cfRule type="cellIs" dxfId="258" priority="35" operator="notEqual">
      <formula>$E$80</formula>
    </cfRule>
    <cfRule type="cellIs" dxfId="257" priority="72" operator="notEqual">
      <formula>$E$31</formula>
    </cfRule>
  </conditionalFormatting>
  <conditionalFormatting sqref="M71">
    <cfRule type="cellIs" dxfId="256" priority="42" operator="notEqual">
      <formula>$M$80</formula>
    </cfRule>
    <cfRule type="cellIs" dxfId="255" priority="70" operator="notEqual">
      <formula>$M$31</formula>
    </cfRule>
  </conditionalFormatting>
  <conditionalFormatting sqref="Q71">
    <cfRule type="cellIs" dxfId="254" priority="40" operator="notEqual">
      <formula>$Q$80</formula>
    </cfRule>
    <cfRule type="cellIs" dxfId="253" priority="69" operator="notEqual">
      <formula>$Q$31</formula>
    </cfRule>
  </conditionalFormatting>
  <conditionalFormatting sqref="U71">
    <cfRule type="cellIs" dxfId="252" priority="38" operator="notEqual">
      <formula>$U$80</formula>
    </cfRule>
    <cfRule type="cellIs" dxfId="251" priority="68" operator="notEqual">
      <formula>$U$31</formula>
    </cfRule>
  </conditionalFormatting>
  <conditionalFormatting sqref="H53">
    <cfRule type="cellIs" dxfId="250" priority="67" operator="notEqual">
      <formula>H71</formula>
    </cfRule>
  </conditionalFormatting>
  <conditionalFormatting sqref="J71">
    <cfRule type="cellIs" dxfId="249" priority="66" operator="notEqual">
      <formula>$J$31</formula>
    </cfRule>
  </conditionalFormatting>
  <conditionalFormatting sqref="I71">
    <cfRule type="cellIs" dxfId="248" priority="44" operator="notEqual">
      <formula>$I$80</formula>
    </cfRule>
  </conditionalFormatting>
  <conditionalFormatting sqref="G53">
    <cfRule type="cellIs" dxfId="247" priority="572" operator="notEqual">
      <formula>$G$71</formula>
    </cfRule>
  </conditionalFormatting>
  <conditionalFormatting sqref="K53">
    <cfRule type="cellIs" dxfId="246" priority="573" operator="notEqual">
      <formula>$K$71</formula>
    </cfRule>
  </conditionalFormatting>
  <conditionalFormatting sqref="S53">
    <cfRule type="cellIs" dxfId="245" priority="574" operator="notEqual">
      <formula>$S$71</formula>
    </cfRule>
  </conditionalFormatting>
  <conditionalFormatting sqref="W53">
    <cfRule type="cellIs" dxfId="244" priority="575" operator="notEqual">
      <formula>$W$71</formula>
    </cfRule>
  </conditionalFormatting>
  <conditionalFormatting sqref="Y53">
    <cfRule type="cellIs" dxfId="243" priority="576" operator="notEqual">
      <formula>$Y$71</formula>
    </cfRule>
  </conditionalFormatting>
  <conditionalFormatting sqref="O53">
    <cfRule type="cellIs" dxfId="242" priority="577" operator="notEqual">
      <formula>$O$71</formula>
    </cfRule>
  </conditionalFormatting>
  <conditionalFormatting sqref="E53">
    <cfRule type="cellIs" dxfId="241" priority="578" operator="notEqual">
      <formula>$E$71</formula>
    </cfRule>
  </conditionalFormatting>
  <conditionalFormatting sqref="M53">
    <cfRule type="cellIs" dxfId="240" priority="579" operator="notEqual">
      <formula>$M$71</formula>
    </cfRule>
  </conditionalFormatting>
  <conditionalFormatting sqref="Q53">
    <cfRule type="cellIs" dxfId="239" priority="580" operator="notEqual">
      <formula>$Q$71</formula>
    </cfRule>
  </conditionalFormatting>
  <conditionalFormatting sqref="U53">
    <cfRule type="cellIs" dxfId="238" priority="581" operator="notEqual">
      <formula>$U$71</formula>
    </cfRule>
  </conditionalFormatting>
  <conditionalFormatting sqref="D53">
    <cfRule type="cellIs" dxfId="237" priority="582" operator="notEqual">
      <formula>$D$71</formula>
    </cfRule>
  </conditionalFormatting>
  <conditionalFormatting sqref="F53">
    <cfRule type="cellIs" dxfId="236" priority="583" operator="notEqual">
      <formula>$F$71</formula>
    </cfRule>
  </conditionalFormatting>
  <conditionalFormatting sqref="I53">
    <cfRule type="cellIs" dxfId="235" priority="584" operator="notEqual">
      <formula>$I$71</formula>
    </cfRule>
  </conditionalFormatting>
  <conditionalFormatting sqref="J53">
    <cfRule type="cellIs" dxfId="234" priority="585" operator="notEqual">
      <formula>$J$71</formula>
    </cfRule>
  </conditionalFormatting>
  <conditionalFormatting sqref="L53">
    <cfRule type="cellIs" dxfId="233" priority="586" operator="notEqual">
      <formula>$L$71</formula>
    </cfRule>
  </conditionalFormatting>
  <conditionalFormatting sqref="N53">
    <cfRule type="cellIs" dxfId="232" priority="587" operator="notEqual">
      <formula>$N$71</formula>
    </cfRule>
  </conditionalFormatting>
  <conditionalFormatting sqref="P53">
    <cfRule type="cellIs" dxfId="231" priority="588" operator="notEqual">
      <formula>$P$71</formula>
    </cfRule>
  </conditionalFormatting>
  <conditionalFormatting sqref="R53">
    <cfRule type="cellIs" dxfId="230" priority="589" operator="notEqual">
      <formula>$R$71</formula>
    </cfRule>
  </conditionalFormatting>
  <conditionalFormatting sqref="T53">
    <cfRule type="cellIs" dxfId="229" priority="590" operator="notEqual">
      <formula>$T$71</formula>
    </cfRule>
  </conditionalFormatting>
  <conditionalFormatting sqref="V53">
    <cfRule type="cellIs" dxfId="228" priority="591" operator="notEqual">
      <formula>$V$71</formula>
    </cfRule>
  </conditionalFormatting>
  <conditionalFormatting sqref="X53">
    <cfRule type="cellIs" dxfId="227" priority="592" operator="notEqual">
      <formula>$X$71</formula>
    </cfRule>
  </conditionalFormatting>
  <conditionalFormatting sqref="AB53">
    <cfRule type="cellIs" dxfId="226" priority="593" operator="notEqual">
      <formula>$AB$71</formula>
    </cfRule>
  </conditionalFormatting>
  <conditionalFormatting sqref="C7">
    <cfRule type="cellIs" dxfId="225" priority="33" operator="notEqual">
      <formula>AC7</formula>
    </cfRule>
  </conditionalFormatting>
  <conditionalFormatting sqref="AA31">
    <cfRule type="cellIs" dxfId="224" priority="13" operator="notEqual">
      <formula>$AA$53</formula>
    </cfRule>
  </conditionalFormatting>
  <conditionalFormatting sqref="Z53">
    <cfRule type="cellIs" dxfId="223" priority="12" operator="notEqual">
      <formula>$Z$71</formula>
    </cfRule>
  </conditionalFormatting>
  <conditionalFormatting sqref="AA53">
    <cfRule type="cellIs" dxfId="222" priority="11" operator="notEqual">
      <formula>$AA$71</formula>
    </cfRule>
  </conditionalFormatting>
  <conditionalFormatting sqref="AB31">
    <cfRule type="cellIs" dxfId="221" priority="10" operator="notEqual">
      <formula>$AB$53</formula>
    </cfRule>
  </conditionalFormatting>
  <conditionalFormatting sqref="C31">
    <cfRule type="cellIs" dxfId="220" priority="3" operator="notEqual">
      <formula>AC31</formula>
    </cfRule>
  </conditionalFormatting>
  <conditionalFormatting sqref="C53">
    <cfRule type="cellIs" dxfId="219" priority="2" operator="notEqual">
      <formula>AC53</formula>
    </cfRule>
  </conditionalFormatting>
  <conditionalFormatting sqref="C71">
    <cfRule type="cellIs" dxfId="218" priority="1" operator="notEqual">
      <formula>AC71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0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87"/>
  <sheetViews>
    <sheetView view="pageBreakPreview" zoomScale="70" zoomScaleNormal="62" zoomScaleSheetLayoutView="70" workbookViewId="0">
      <pane xSplit="2" ySplit="6" topLeftCell="C7" activePane="bottomRight" state="frozen"/>
      <selection activeCell="J25" sqref="J25"/>
      <selection pane="topRight" activeCell="J25" sqref="J25"/>
      <selection pane="bottomLeft" activeCell="J25" sqref="J25"/>
      <selection pane="bottomRight" activeCell="H59" sqref="H59"/>
    </sheetView>
  </sheetViews>
  <sheetFormatPr defaultColWidth="9.42578125" defaultRowHeight="12.75"/>
  <cols>
    <col min="1" max="1" width="5" style="30" customWidth="1"/>
    <col min="2" max="2" width="47.42578125" style="30" customWidth="1"/>
    <col min="3" max="3" width="17.28515625" style="30" customWidth="1"/>
    <col min="4" max="4" width="16.85546875" style="30" customWidth="1"/>
    <col min="5" max="6" width="18.28515625" style="30" customWidth="1"/>
    <col min="7" max="8" width="15.42578125" style="30" customWidth="1"/>
    <col min="9" max="9" width="12.28515625" style="30" customWidth="1"/>
    <col min="10" max="11" width="18.28515625" style="30" customWidth="1"/>
    <col min="12" max="13" width="15.42578125" style="30" customWidth="1"/>
    <col min="14" max="14" width="13.28515625" style="30" customWidth="1"/>
    <col min="15" max="16" width="15.42578125" style="30" customWidth="1"/>
    <col min="17" max="17" width="14.28515625" style="30" customWidth="1"/>
    <col min="18" max="19" width="18.28515625" style="30" customWidth="1"/>
    <col min="20" max="21" width="15.42578125" style="30" customWidth="1"/>
    <col min="22" max="22" width="13.7109375" style="30" customWidth="1"/>
    <col min="23" max="24" width="15.42578125" style="30" customWidth="1"/>
    <col min="25" max="25" width="12.7109375" style="30" customWidth="1"/>
    <col min="26" max="27" width="18.28515625" style="30" customWidth="1"/>
    <col min="28" max="29" width="15.42578125" style="30" customWidth="1"/>
    <col min="30" max="30" width="13.7109375" style="30" customWidth="1"/>
    <col min="31" max="32" width="15.42578125" style="30" customWidth="1"/>
    <col min="33" max="33" width="13.7109375" style="30" customWidth="1"/>
    <col min="34" max="35" width="18.28515625" style="30" customWidth="1"/>
    <col min="36" max="37" width="15.42578125" style="30" customWidth="1"/>
    <col min="38" max="38" width="13.7109375" style="30" customWidth="1"/>
    <col min="39" max="40" width="15.42578125" style="30" customWidth="1"/>
    <col min="41" max="41" width="14.42578125" style="30" customWidth="1"/>
    <col min="42" max="43" width="15.42578125" style="30" customWidth="1"/>
    <col min="44" max="44" width="17.140625" style="30" customWidth="1"/>
    <col min="45" max="46" width="15.42578125" style="30" customWidth="1"/>
    <col min="47" max="47" width="14.42578125" style="30" customWidth="1"/>
    <col min="48" max="48" width="15.5703125" style="185" customWidth="1"/>
    <col min="49" max="49" width="14.7109375" style="185" customWidth="1"/>
    <col min="50" max="55" width="9.42578125" style="185"/>
    <col min="56" max="16384" width="9.42578125" style="30"/>
  </cols>
  <sheetData>
    <row r="1" spans="1:55" ht="21" customHeight="1">
      <c r="A1" s="347" t="s">
        <v>811</v>
      </c>
      <c r="B1" s="235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K1" s="230"/>
      <c r="AL1" s="230"/>
      <c r="AM1" s="230"/>
      <c r="AN1" s="230"/>
      <c r="AO1" s="230"/>
      <c r="AP1" s="230"/>
      <c r="AQ1" s="230"/>
      <c r="AR1" s="230"/>
      <c r="AS1" s="348"/>
      <c r="AT1" s="348" t="s">
        <v>803</v>
      </c>
      <c r="AU1" s="348"/>
    </row>
    <row r="2" spans="1:55" ht="12.75" customHeight="1">
      <c r="A2" s="347"/>
      <c r="B2" s="235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K2" s="230"/>
      <c r="AL2" s="230"/>
      <c r="AM2" s="230"/>
      <c r="AN2" s="230"/>
      <c r="AO2" s="230"/>
      <c r="AP2" s="230"/>
      <c r="AQ2" s="230"/>
      <c r="AR2" s="230"/>
      <c r="AS2" s="348"/>
      <c r="AT2" s="348"/>
      <c r="AU2" s="348"/>
    </row>
    <row r="3" spans="1:55" ht="15.75">
      <c r="A3" s="233"/>
      <c r="B3" s="83" t="str">
        <f>+'Asset quality'!B3</f>
        <v>"Ўзсаноатқурилишбанк" АТБ</v>
      </c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591">
        <f>+'Asset quality'!Q3</f>
        <v>44925</v>
      </c>
      <c r="AI3" s="591"/>
      <c r="AJ3" s="82"/>
      <c r="AK3" s="233"/>
      <c r="AL3" s="233"/>
      <c r="AM3" s="233"/>
      <c r="AN3" s="233"/>
      <c r="AO3" s="233"/>
      <c r="AP3" s="233"/>
      <c r="AQ3" s="233"/>
      <c r="AR3" s="233"/>
      <c r="AT3" s="349"/>
      <c r="AU3" s="349" t="str">
        <f>+'Asset quality'!T3</f>
        <v>минг. сўмда</v>
      </c>
    </row>
    <row r="4" spans="1:55" ht="51" customHeight="1">
      <c r="A4" s="592" t="s">
        <v>62</v>
      </c>
      <c r="B4" s="594" t="s">
        <v>285</v>
      </c>
      <c r="C4" s="589" t="s">
        <v>654</v>
      </c>
      <c r="D4" s="589" t="s">
        <v>655</v>
      </c>
      <c r="E4" s="589" t="s">
        <v>656</v>
      </c>
      <c r="F4" s="589" t="s">
        <v>655</v>
      </c>
      <c r="G4" s="587" t="s">
        <v>796</v>
      </c>
      <c r="H4" s="588"/>
      <c r="I4" s="588"/>
      <c r="J4" s="589" t="s">
        <v>657</v>
      </c>
      <c r="K4" s="589" t="s">
        <v>655</v>
      </c>
      <c r="L4" s="587" t="s">
        <v>797</v>
      </c>
      <c r="M4" s="588"/>
      <c r="N4" s="588"/>
      <c r="O4" s="587" t="s">
        <v>655</v>
      </c>
      <c r="P4" s="588"/>
      <c r="Q4" s="588"/>
      <c r="R4" s="589" t="s">
        <v>659</v>
      </c>
      <c r="S4" s="589" t="s">
        <v>655</v>
      </c>
      <c r="T4" s="587" t="s">
        <v>798</v>
      </c>
      <c r="U4" s="588"/>
      <c r="V4" s="588"/>
      <c r="W4" s="587" t="s">
        <v>655</v>
      </c>
      <c r="X4" s="588"/>
      <c r="Y4" s="588"/>
      <c r="Z4" s="589" t="s">
        <v>661</v>
      </c>
      <c r="AA4" s="589" t="s">
        <v>655</v>
      </c>
      <c r="AB4" s="587" t="s">
        <v>799</v>
      </c>
      <c r="AC4" s="588"/>
      <c r="AD4" s="588"/>
      <c r="AE4" s="587" t="s">
        <v>655</v>
      </c>
      <c r="AF4" s="588"/>
      <c r="AG4" s="588"/>
      <c r="AH4" s="589" t="s">
        <v>663</v>
      </c>
      <c r="AI4" s="589" t="s">
        <v>655</v>
      </c>
      <c r="AJ4" s="587" t="s">
        <v>800</v>
      </c>
      <c r="AK4" s="588"/>
      <c r="AL4" s="588"/>
      <c r="AM4" s="587" t="s">
        <v>655</v>
      </c>
      <c r="AN4" s="588"/>
      <c r="AO4" s="588"/>
      <c r="AP4" s="587" t="s">
        <v>665</v>
      </c>
      <c r="AQ4" s="588"/>
      <c r="AR4" s="588"/>
      <c r="AS4" s="587" t="s">
        <v>655</v>
      </c>
      <c r="AT4" s="588"/>
      <c r="AU4" s="588"/>
    </row>
    <row r="5" spans="1:55" ht="51" customHeight="1">
      <c r="A5" s="593"/>
      <c r="B5" s="595"/>
      <c r="C5" s="590"/>
      <c r="D5" s="590"/>
      <c r="E5" s="590"/>
      <c r="F5" s="590"/>
      <c r="G5" s="14" t="s">
        <v>801</v>
      </c>
      <c r="H5" s="14" t="s">
        <v>802</v>
      </c>
      <c r="I5" s="14" t="s">
        <v>468</v>
      </c>
      <c r="J5" s="590"/>
      <c r="K5" s="590"/>
      <c r="L5" s="14" t="s">
        <v>801</v>
      </c>
      <c r="M5" s="14" t="s">
        <v>802</v>
      </c>
      <c r="N5" s="14" t="s">
        <v>468</v>
      </c>
      <c r="O5" s="14" t="s">
        <v>801</v>
      </c>
      <c r="P5" s="14" t="s">
        <v>802</v>
      </c>
      <c r="Q5" s="14" t="s">
        <v>468</v>
      </c>
      <c r="R5" s="590"/>
      <c r="S5" s="590"/>
      <c r="T5" s="14" t="s">
        <v>801</v>
      </c>
      <c r="U5" s="14" t="s">
        <v>802</v>
      </c>
      <c r="V5" s="14" t="s">
        <v>468</v>
      </c>
      <c r="W5" s="14" t="s">
        <v>801</v>
      </c>
      <c r="X5" s="14" t="s">
        <v>802</v>
      </c>
      <c r="Y5" s="14" t="s">
        <v>468</v>
      </c>
      <c r="Z5" s="590"/>
      <c r="AA5" s="590"/>
      <c r="AB5" s="14" t="s">
        <v>801</v>
      </c>
      <c r="AC5" s="14" t="s">
        <v>802</v>
      </c>
      <c r="AD5" s="14" t="s">
        <v>468</v>
      </c>
      <c r="AE5" s="14" t="s">
        <v>801</v>
      </c>
      <c r="AF5" s="14" t="s">
        <v>802</v>
      </c>
      <c r="AG5" s="14" t="s">
        <v>468</v>
      </c>
      <c r="AH5" s="590"/>
      <c r="AI5" s="590"/>
      <c r="AJ5" s="14" t="s">
        <v>801</v>
      </c>
      <c r="AK5" s="14" t="s">
        <v>802</v>
      </c>
      <c r="AL5" s="14" t="s">
        <v>468</v>
      </c>
      <c r="AM5" s="14" t="s">
        <v>801</v>
      </c>
      <c r="AN5" s="14" t="s">
        <v>802</v>
      </c>
      <c r="AO5" s="14" t="s">
        <v>468</v>
      </c>
      <c r="AP5" s="14" t="s">
        <v>801</v>
      </c>
      <c r="AQ5" s="14" t="s">
        <v>802</v>
      </c>
      <c r="AR5" s="14" t="s">
        <v>468</v>
      </c>
      <c r="AS5" s="14" t="s">
        <v>801</v>
      </c>
      <c r="AT5" s="14" t="s">
        <v>802</v>
      </c>
      <c r="AU5" s="14" t="s">
        <v>468</v>
      </c>
    </row>
    <row r="6" spans="1:55" s="512" customFormat="1" ht="27.75" customHeight="1">
      <c r="A6" s="510"/>
      <c r="B6" s="510" t="s">
        <v>668</v>
      </c>
      <c r="C6" s="510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  <c r="AO6" s="510"/>
      <c r="AP6" s="510"/>
      <c r="AQ6" s="510"/>
      <c r="AR6" s="510"/>
      <c r="AS6" s="510"/>
      <c r="AT6" s="510"/>
      <c r="AU6" s="510"/>
    </row>
    <row r="7" spans="1:55" s="15" customFormat="1" ht="23.25" customHeight="1">
      <c r="A7" s="351">
        <v>1</v>
      </c>
      <c r="B7" s="148" t="s">
        <v>669</v>
      </c>
      <c r="C7" s="530">
        <f>+'Asset Classification'!C7</f>
        <v>0</v>
      </c>
      <c r="D7" s="531">
        <f>+'Asset Classification'!D7</f>
        <v>0</v>
      </c>
      <c r="E7" s="531">
        <f>+'Asset Classification'!E7</f>
        <v>0</v>
      </c>
      <c r="F7" s="531">
        <f>+'Asset Classification'!F7</f>
        <v>0</v>
      </c>
      <c r="G7" s="531">
        <f>+'Asset Classification'!G7</f>
        <v>0</v>
      </c>
      <c r="H7" s="531">
        <f>+E7*1%</f>
        <v>0</v>
      </c>
      <c r="I7" s="531">
        <f>+G7-H7</f>
        <v>0</v>
      </c>
      <c r="J7" s="531">
        <f>+'Asset Classification'!I7</f>
        <v>0</v>
      </c>
      <c r="K7" s="531">
        <f>+'Asset Classification'!J7</f>
        <v>0</v>
      </c>
      <c r="L7" s="531">
        <f>+'Asset Classification'!K7</f>
        <v>0</v>
      </c>
      <c r="M7" s="531">
        <f>+J7*10%</f>
        <v>0</v>
      </c>
      <c r="N7" s="531">
        <f>+L7-M7</f>
        <v>0</v>
      </c>
      <c r="O7" s="531">
        <f>+'Asset Classification'!L7</f>
        <v>0</v>
      </c>
      <c r="P7" s="531">
        <f>+K7*10%</f>
        <v>0</v>
      </c>
      <c r="Q7" s="531">
        <f>+O7-P7</f>
        <v>0</v>
      </c>
      <c r="R7" s="531">
        <f>+'Asset Classification'!M7</f>
        <v>0</v>
      </c>
      <c r="S7" s="531">
        <f>+'Asset Classification'!N7</f>
        <v>0</v>
      </c>
      <c r="T7" s="531">
        <f>+'Asset Classification'!O7</f>
        <v>0</v>
      </c>
      <c r="U7" s="531">
        <f>+R7*25%</f>
        <v>0</v>
      </c>
      <c r="V7" s="531">
        <f>+T7-U7</f>
        <v>0</v>
      </c>
      <c r="W7" s="531">
        <f>+'Asset Classification'!P7</f>
        <v>0</v>
      </c>
      <c r="X7" s="531">
        <f>+S7*25%</f>
        <v>0</v>
      </c>
      <c r="Y7" s="531">
        <f>+W7-X7</f>
        <v>0</v>
      </c>
      <c r="Z7" s="531">
        <f>+'Asset Classification'!Q7</f>
        <v>0</v>
      </c>
      <c r="AA7" s="531">
        <f>+'Asset Classification'!R7</f>
        <v>0</v>
      </c>
      <c r="AB7" s="531">
        <f>+'Asset Classification'!S7</f>
        <v>0</v>
      </c>
      <c r="AC7" s="531">
        <f>+Z7*50%</f>
        <v>0</v>
      </c>
      <c r="AD7" s="531">
        <f>+AB7-AC7</f>
        <v>0</v>
      </c>
      <c r="AE7" s="531">
        <f>+'Asset Classification'!T7</f>
        <v>0</v>
      </c>
      <c r="AF7" s="531">
        <f>+AA7*50%</f>
        <v>0</v>
      </c>
      <c r="AG7" s="531">
        <f>+AE7-AF7</f>
        <v>0</v>
      </c>
      <c r="AH7" s="531">
        <f>+'Asset Classification'!U7</f>
        <v>0</v>
      </c>
      <c r="AI7" s="531">
        <f>+'Asset Classification'!V7</f>
        <v>0</v>
      </c>
      <c r="AJ7" s="531">
        <f>+'Asset Classification'!W7</f>
        <v>0</v>
      </c>
      <c r="AK7" s="531">
        <f>+AH7*100%</f>
        <v>0</v>
      </c>
      <c r="AL7" s="531">
        <f>+AJ7-AK7</f>
        <v>0</v>
      </c>
      <c r="AM7" s="531">
        <f>+'Asset Classification'!X7</f>
        <v>0</v>
      </c>
      <c r="AN7" s="531">
        <f>+AI7*100%</f>
        <v>0</v>
      </c>
      <c r="AO7" s="531">
        <f>+AM7-AN7</f>
        <v>0</v>
      </c>
      <c r="AP7" s="526">
        <f>+L7+T7+AB7+AJ7</f>
        <v>0</v>
      </c>
      <c r="AQ7" s="526">
        <f>+M7+U7+AC7+AK7</f>
        <v>0</v>
      </c>
      <c r="AR7" s="526">
        <f>+AP7-AQ7</f>
        <v>0</v>
      </c>
      <c r="AS7" s="531">
        <f t="shared" ref="AS7:AT30" si="0">+O7+W7+AE7+AM7</f>
        <v>0</v>
      </c>
      <c r="AT7" s="531">
        <f t="shared" si="0"/>
        <v>0</v>
      </c>
      <c r="AU7" s="531">
        <f>+AS7-AT7</f>
        <v>0</v>
      </c>
      <c r="AV7" s="245">
        <f>+'Aging Analysis'!C9</f>
        <v>0</v>
      </c>
      <c r="AW7" s="243"/>
      <c r="AX7" s="243"/>
      <c r="AY7" s="243"/>
      <c r="AZ7" s="243"/>
      <c r="BA7" s="243"/>
      <c r="BB7" s="243"/>
      <c r="BC7" s="243"/>
    </row>
    <row r="8" spans="1:55" s="15" customFormat="1" ht="14.25" customHeight="1">
      <c r="A8" s="351"/>
      <c r="B8" s="353" t="s">
        <v>670</v>
      </c>
      <c r="C8" s="530">
        <f>+'Asset Classification'!C8</f>
        <v>0</v>
      </c>
      <c r="D8" s="531">
        <f>+'Asset Classification'!D8</f>
        <v>0</v>
      </c>
      <c r="E8" s="532">
        <f>+'Asset Classification'!E8</f>
        <v>0</v>
      </c>
      <c r="F8" s="531">
        <f>+'Asset Classification'!F8</f>
        <v>0</v>
      </c>
      <c r="G8" s="532">
        <f>+'Asset Classification'!G8</f>
        <v>0</v>
      </c>
      <c r="H8" s="531">
        <f t="shared" ref="H8:H30" si="1">+E8*1%</f>
        <v>0</v>
      </c>
      <c r="I8" s="531">
        <f t="shared" ref="I8:I30" si="2">+G8-H8</f>
        <v>0</v>
      </c>
      <c r="J8" s="532">
        <f>+'Asset Classification'!I8</f>
        <v>0</v>
      </c>
      <c r="K8" s="531">
        <f>+'Asset Classification'!J8</f>
        <v>0</v>
      </c>
      <c r="L8" s="532">
        <f>+'Asset Classification'!K8</f>
        <v>0</v>
      </c>
      <c r="M8" s="531">
        <f t="shared" ref="M8:M30" si="3">+J8*10%</f>
        <v>0</v>
      </c>
      <c r="N8" s="531">
        <f t="shared" ref="N8:N30" si="4">+L8-M8</f>
        <v>0</v>
      </c>
      <c r="O8" s="531">
        <f>+'Asset Classification'!L8</f>
        <v>0</v>
      </c>
      <c r="P8" s="531">
        <f t="shared" ref="P8:P30" si="5">+K8*10%</f>
        <v>0</v>
      </c>
      <c r="Q8" s="531">
        <f t="shared" ref="Q8:Q30" si="6">+O8-P8</f>
        <v>0</v>
      </c>
      <c r="R8" s="532">
        <f>+'Asset Classification'!M8</f>
        <v>0</v>
      </c>
      <c r="S8" s="531">
        <f>+'Asset Classification'!N8</f>
        <v>0</v>
      </c>
      <c r="T8" s="532">
        <f>+'Asset Classification'!O8</f>
        <v>0</v>
      </c>
      <c r="U8" s="531">
        <f t="shared" ref="U8:U30" si="7">+R8*25%</f>
        <v>0</v>
      </c>
      <c r="V8" s="531">
        <f t="shared" ref="V8:V30" si="8">+T8-U8</f>
        <v>0</v>
      </c>
      <c r="W8" s="531">
        <f>+'Asset Classification'!P8</f>
        <v>0</v>
      </c>
      <c r="X8" s="531">
        <f t="shared" ref="X8:X30" si="9">+S8*25%</f>
        <v>0</v>
      </c>
      <c r="Y8" s="531">
        <f t="shared" ref="Y8:Y30" si="10">+W8-X8</f>
        <v>0</v>
      </c>
      <c r="Z8" s="532">
        <f>+'Asset Classification'!Q8</f>
        <v>0</v>
      </c>
      <c r="AA8" s="531">
        <f>+'Asset Classification'!R8</f>
        <v>0</v>
      </c>
      <c r="AB8" s="532">
        <f>+'Asset Classification'!S8</f>
        <v>0</v>
      </c>
      <c r="AC8" s="531">
        <f t="shared" ref="AC8:AC30" si="11">+Z8*50%</f>
        <v>0</v>
      </c>
      <c r="AD8" s="531">
        <f t="shared" ref="AD8:AD30" si="12">+AB8-AC8</f>
        <v>0</v>
      </c>
      <c r="AE8" s="531">
        <f>+'Asset Classification'!T8</f>
        <v>0</v>
      </c>
      <c r="AF8" s="531">
        <f t="shared" ref="AF8:AF30" si="13">+AA8*50%</f>
        <v>0</v>
      </c>
      <c r="AG8" s="531">
        <f t="shared" ref="AG8:AG30" si="14">+AE8-AF8</f>
        <v>0</v>
      </c>
      <c r="AH8" s="532">
        <f>+'Asset Classification'!U8</f>
        <v>0</v>
      </c>
      <c r="AI8" s="531">
        <f>+'Asset Classification'!V8</f>
        <v>0</v>
      </c>
      <c r="AJ8" s="532">
        <f>+'Asset Classification'!W8</f>
        <v>0</v>
      </c>
      <c r="AK8" s="531">
        <f t="shared" ref="AK8:AK30" si="15">+AH8*100%</f>
        <v>0</v>
      </c>
      <c r="AL8" s="531">
        <f t="shared" ref="AL8:AL30" si="16">+AJ8-AK8</f>
        <v>0</v>
      </c>
      <c r="AM8" s="531">
        <f>+'Asset Classification'!X8</f>
        <v>0</v>
      </c>
      <c r="AN8" s="531">
        <f t="shared" ref="AN8:AN30" si="17">+AI8*100%</f>
        <v>0</v>
      </c>
      <c r="AO8" s="531">
        <f t="shared" ref="AO8:AO30" si="18">+AM8-AN8</f>
        <v>0</v>
      </c>
      <c r="AP8" s="526">
        <f t="shared" ref="AP8:AQ30" si="19">+L8+T8+AB8+AJ8</f>
        <v>0</v>
      </c>
      <c r="AQ8" s="526">
        <f t="shared" si="19"/>
        <v>0</v>
      </c>
      <c r="AR8" s="526">
        <f t="shared" ref="AR8:AR30" si="20">+AP8-AQ8</f>
        <v>0</v>
      </c>
      <c r="AS8" s="531">
        <f t="shared" si="0"/>
        <v>0</v>
      </c>
      <c r="AT8" s="531">
        <f t="shared" si="0"/>
        <v>0</v>
      </c>
      <c r="AU8" s="531">
        <f t="shared" ref="AU8:AU30" si="21">+AS8-AT8</f>
        <v>0</v>
      </c>
      <c r="AW8" s="243"/>
      <c r="AX8" s="243"/>
      <c r="AY8" s="243"/>
      <c r="AZ8" s="243"/>
      <c r="BA8" s="243"/>
      <c r="BB8" s="243"/>
      <c r="BC8" s="243"/>
    </row>
    <row r="9" spans="1:55" s="15" customFormat="1" ht="23.25" customHeight="1">
      <c r="A9" s="351">
        <v>2</v>
      </c>
      <c r="B9" s="148" t="s">
        <v>671</v>
      </c>
      <c r="C9" s="530">
        <f>+'Asset Classification'!C9</f>
        <v>0</v>
      </c>
      <c r="D9" s="531">
        <f>+'Asset Classification'!D9</f>
        <v>0</v>
      </c>
      <c r="E9" s="532">
        <f>+'Asset Classification'!E9</f>
        <v>0</v>
      </c>
      <c r="F9" s="531">
        <f>+'Asset Classification'!F9</f>
        <v>0</v>
      </c>
      <c r="G9" s="532">
        <f>+'Asset Classification'!G9</f>
        <v>0</v>
      </c>
      <c r="H9" s="531">
        <f t="shared" si="1"/>
        <v>0</v>
      </c>
      <c r="I9" s="531">
        <f t="shared" si="2"/>
        <v>0</v>
      </c>
      <c r="J9" s="532">
        <f>+'Asset Classification'!I9</f>
        <v>0</v>
      </c>
      <c r="K9" s="531">
        <f>+'Asset Classification'!J9</f>
        <v>0</v>
      </c>
      <c r="L9" s="532">
        <f>+'Asset Classification'!K9</f>
        <v>0</v>
      </c>
      <c r="M9" s="531">
        <f t="shared" si="3"/>
        <v>0</v>
      </c>
      <c r="N9" s="531">
        <f t="shared" si="4"/>
        <v>0</v>
      </c>
      <c r="O9" s="531">
        <f>+'Asset Classification'!L9</f>
        <v>0</v>
      </c>
      <c r="P9" s="531">
        <f t="shared" si="5"/>
        <v>0</v>
      </c>
      <c r="Q9" s="531">
        <f t="shared" si="6"/>
        <v>0</v>
      </c>
      <c r="R9" s="532">
        <f>+'Asset Classification'!M9</f>
        <v>0</v>
      </c>
      <c r="S9" s="531">
        <f>+'Asset Classification'!N9</f>
        <v>0</v>
      </c>
      <c r="T9" s="532">
        <f>+'Asset Classification'!O9</f>
        <v>0</v>
      </c>
      <c r="U9" s="531">
        <f t="shared" si="7"/>
        <v>0</v>
      </c>
      <c r="V9" s="531">
        <f t="shared" si="8"/>
        <v>0</v>
      </c>
      <c r="W9" s="531">
        <f>+'Asset Classification'!P9</f>
        <v>0</v>
      </c>
      <c r="X9" s="531">
        <f t="shared" si="9"/>
        <v>0</v>
      </c>
      <c r="Y9" s="531">
        <f t="shared" si="10"/>
        <v>0</v>
      </c>
      <c r="Z9" s="532">
        <f>+'Asset Classification'!Q9</f>
        <v>0</v>
      </c>
      <c r="AA9" s="531">
        <f>+'Asset Classification'!R9</f>
        <v>0</v>
      </c>
      <c r="AB9" s="532">
        <f>+'Asset Classification'!S9</f>
        <v>0</v>
      </c>
      <c r="AC9" s="531">
        <f t="shared" si="11"/>
        <v>0</v>
      </c>
      <c r="AD9" s="531">
        <f t="shared" si="12"/>
        <v>0</v>
      </c>
      <c r="AE9" s="531">
        <f>+'Asset Classification'!T9</f>
        <v>0</v>
      </c>
      <c r="AF9" s="531">
        <f t="shared" si="13"/>
        <v>0</v>
      </c>
      <c r="AG9" s="531">
        <f t="shared" si="14"/>
        <v>0</v>
      </c>
      <c r="AH9" s="532">
        <f>+'Asset Classification'!U9</f>
        <v>0</v>
      </c>
      <c r="AI9" s="531">
        <f>+'Asset Classification'!V9</f>
        <v>0</v>
      </c>
      <c r="AJ9" s="532">
        <f>+'Asset Classification'!W9</f>
        <v>0</v>
      </c>
      <c r="AK9" s="531">
        <f t="shared" si="15"/>
        <v>0</v>
      </c>
      <c r="AL9" s="531">
        <f t="shared" si="16"/>
        <v>0</v>
      </c>
      <c r="AM9" s="531">
        <f>+'Asset Classification'!X9</f>
        <v>0</v>
      </c>
      <c r="AN9" s="531">
        <f t="shared" si="17"/>
        <v>0</v>
      </c>
      <c r="AO9" s="531">
        <f t="shared" si="18"/>
        <v>0</v>
      </c>
      <c r="AP9" s="526">
        <f t="shared" si="19"/>
        <v>0</v>
      </c>
      <c r="AQ9" s="526">
        <f t="shared" si="19"/>
        <v>0</v>
      </c>
      <c r="AR9" s="526">
        <f t="shared" si="20"/>
        <v>0</v>
      </c>
      <c r="AS9" s="531">
        <f t="shared" si="0"/>
        <v>0</v>
      </c>
      <c r="AT9" s="531">
        <f t="shared" si="0"/>
        <v>0</v>
      </c>
      <c r="AU9" s="531">
        <f t="shared" si="21"/>
        <v>0</v>
      </c>
      <c r="AV9" s="245">
        <f>+'Aging Analysis'!C10</f>
        <v>0</v>
      </c>
      <c r="AW9" s="243"/>
      <c r="AX9" s="243"/>
      <c r="AY9" s="243"/>
      <c r="AZ9" s="243"/>
      <c r="BA9" s="243"/>
      <c r="BB9" s="243"/>
      <c r="BC9" s="243"/>
    </row>
    <row r="10" spans="1:55" s="15" customFormat="1" ht="14.25" customHeight="1">
      <c r="A10" s="351"/>
      <c r="B10" s="353" t="s">
        <v>670</v>
      </c>
      <c r="C10" s="530">
        <f>+'Asset Classification'!C10</f>
        <v>0</v>
      </c>
      <c r="D10" s="531">
        <f>+'Asset Classification'!D10</f>
        <v>0</v>
      </c>
      <c r="E10" s="532">
        <f>+'Asset Classification'!E10</f>
        <v>0</v>
      </c>
      <c r="F10" s="531">
        <f>+'Asset Classification'!F10</f>
        <v>0</v>
      </c>
      <c r="G10" s="532">
        <f>+'Asset Classification'!G10</f>
        <v>0</v>
      </c>
      <c r="H10" s="531">
        <f t="shared" si="1"/>
        <v>0</v>
      </c>
      <c r="I10" s="531">
        <f t="shared" si="2"/>
        <v>0</v>
      </c>
      <c r="J10" s="532">
        <f>+'Asset Classification'!I10</f>
        <v>0</v>
      </c>
      <c r="K10" s="531">
        <f>+'Asset Classification'!J10</f>
        <v>0</v>
      </c>
      <c r="L10" s="532">
        <f>+'Asset Classification'!K10</f>
        <v>0</v>
      </c>
      <c r="M10" s="531">
        <f t="shared" si="3"/>
        <v>0</v>
      </c>
      <c r="N10" s="531">
        <f t="shared" si="4"/>
        <v>0</v>
      </c>
      <c r="O10" s="531">
        <f>+'Asset Classification'!L10</f>
        <v>0</v>
      </c>
      <c r="P10" s="531">
        <f t="shared" si="5"/>
        <v>0</v>
      </c>
      <c r="Q10" s="531">
        <f t="shared" si="6"/>
        <v>0</v>
      </c>
      <c r="R10" s="532">
        <f>+'Asset Classification'!M10</f>
        <v>0</v>
      </c>
      <c r="S10" s="531">
        <f>+'Asset Classification'!N10</f>
        <v>0</v>
      </c>
      <c r="T10" s="532">
        <f>+'Asset Classification'!O10</f>
        <v>0</v>
      </c>
      <c r="U10" s="531">
        <f t="shared" si="7"/>
        <v>0</v>
      </c>
      <c r="V10" s="531">
        <f t="shared" si="8"/>
        <v>0</v>
      </c>
      <c r="W10" s="531">
        <f>+'Asset Classification'!P10</f>
        <v>0</v>
      </c>
      <c r="X10" s="531">
        <f t="shared" si="9"/>
        <v>0</v>
      </c>
      <c r="Y10" s="531">
        <f t="shared" si="10"/>
        <v>0</v>
      </c>
      <c r="Z10" s="532">
        <f>+'Asset Classification'!Q10</f>
        <v>0</v>
      </c>
      <c r="AA10" s="531">
        <f>+'Asset Classification'!R10</f>
        <v>0</v>
      </c>
      <c r="AB10" s="532">
        <f>+'Asset Classification'!S10</f>
        <v>0</v>
      </c>
      <c r="AC10" s="531">
        <f t="shared" si="11"/>
        <v>0</v>
      </c>
      <c r="AD10" s="531">
        <f t="shared" si="12"/>
        <v>0</v>
      </c>
      <c r="AE10" s="531">
        <f>+'Asset Classification'!T10</f>
        <v>0</v>
      </c>
      <c r="AF10" s="531">
        <f t="shared" si="13"/>
        <v>0</v>
      </c>
      <c r="AG10" s="531">
        <f t="shared" si="14"/>
        <v>0</v>
      </c>
      <c r="AH10" s="532">
        <f>+'Asset Classification'!U10</f>
        <v>0</v>
      </c>
      <c r="AI10" s="531">
        <f>+'Asset Classification'!V10</f>
        <v>0</v>
      </c>
      <c r="AJ10" s="532">
        <f>+'Asset Classification'!W10</f>
        <v>0</v>
      </c>
      <c r="AK10" s="531">
        <f t="shared" si="15"/>
        <v>0</v>
      </c>
      <c r="AL10" s="531">
        <f t="shared" si="16"/>
        <v>0</v>
      </c>
      <c r="AM10" s="531">
        <f>+'Asset Classification'!X10</f>
        <v>0</v>
      </c>
      <c r="AN10" s="531">
        <f t="shared" si="17"/>
        <v>0</v>
      </c>
      <c r="AO10" s="531">
        <f t="shared" si="18"/>
        <v>0</v>
      </c>
      <c r="AP10" s="526">
        <f t="shared" si="19"/>
        <v>0</v>
      </c>
      <c r="AQ10" s="526">
        <f t="shared" si="19"/>
        <v>0</v>
      </c>
      <c r="AR10" s="526">
        <f t="shared" si="20"/>
        <v>0</v>
      </c>
      <c r="AS10" s="531">
        <f t="shared" si="0"/>
        <v>0</v>
      </c>
      <c r="AT10" s="531">
        <f t="shared" si="0"/>
        <v>0</v>
      </c>
      <c r="AU10" s="531">
        <f t="shared" si="21"/>
        <v>0</v>
      </c>
      <c r="AW10" s="243"/>
      <c r="AX10" s="243"/>
      <c r="AY10" s="243"/>
      <c r="AZ10" s="243"/>
      <c r="BA10" s="243"/>
      <c r="BB10" s="243"/>
      <c r="BC10" s="243"/>
    </row>
    <row r="11" spans="1:55" s="15" customFormat="1" ht="23.25" customHeight="1">
      <c r="A11" s="351">
        <v>3</v>
      </c>
      <c r="B11" s="148" t="s">
        <v>400</v>
      </c>
      <c r="C11" s="530">
        <f>+'Asset Classification'!C11</f>
        <v>0</v>
      </c>
      <c r="D11" s="531">
        <f>+'Asset Classification'!D11</f>
        <v>0</v>
      </c>
      <c r="E11" s="532">
        <f>+'Asset Classification'!E11</f>
        <v>0</v>
      </c>
      <c r="F11" s="531">
        <f>+'Asset Classification'!F11</f>
        <v>0</v>
      </c>
      <c r="G11" s="532">
        <f>+'Asset Classification'!G11</f>
        <v>0</v>
      </c>
      <c r="H11" s="531">
        <f t="shared" si="1"/>
        <v>0</v>
      </c>
      <c r="I11" s="531">
        <f t="shared" si="2"/>
        <v>0</v>
      </c>
      <c r="J11" s="532">
        <f>+'Asset Classification'!I11</f>
        <v>0</v>
      </c>
      <c r="K11" s="531">
        <f>+'Asset Classification'!J11</f>
        <v>0</v>
      </c>
      <c r="L11" s="532">
        <f>+'Asset Classification'!K11</f>
        <v>0</v>
      </c>
      <c r="M11" s="531">
        <f t="shared" si="3"/>
        <v>0</v>
      </c>
      <c r="N11" s="531">
        <f t="shared" si="4"/>
        <v>0</v>
      </c>
      <c r="O11" s="531">
        <f>+'Asset Classification'!L11</f>
        <v>0</v>
      </c>
      <c r="P11" s="531">
        <f t="shared" si="5"/>
        <v>0</v>
      </c>
      <c r="Q11" s="531">
        <f t="shared" si="6"/>
        <v>0</v>
      </c>
      <c r="R11" s="532">
        <f>+'Asset Classification'!M11</f>
        <v>0</v>
      </c>
      <c r="S11" s="531">
        <f>+'Asset Classification'!N11</f>
        <v>0</v>
      </c>
      <c r="T11" s="532">
        <f>+'Asset Classification'!O11</f>
        <v>0</v>
      </c>
      <c r="U11" s="531">
        <f t="shared" si="7"/>
        <v>0</v>
      </c>
      <c r="V11" s="531">
        <f t="shared" si="8"/>
        <v>0</v>
      </c>
      <c r="W11" s="531">
        <f>+'Asset Classification'!P11</f>
        <v>0</v>
      </c>
      <c r="X11" s="531">
        <f t="shared" si="9"/>
        <v>0</v>
      </c>
      <c r="Y11" s="531">
        <f t="shared" si="10"/>
        <v>0</v>
      </c>
      <c r="Z11" s="532">
        <f>+'Asset Classification'!Q11</f>
        <v>0</v>
      </c>
      <c r="AA11" s="531">
        <f>+'Asset Classification'!R11</f>
        <v>0</v>
      </c>
      <c r="AB11" s="532">
        <f>+'Asset Classification'!S11</f>
        <v>0</v>
      </c>
      <c r="AC11" s="531">
        <f t="shared" si="11"/>
        <v>0</v>
      </c>
      <c r="AD11" s="531">
        <f t="shared" si="12"/>
        <v>0</v>
      </c>
      <c r="AE11" s="531">
        <f>+'Asset Classification'!T11</f>
        <v>0</v>
      </c>
      <c r="AF11" s="531">
        <f t="shared" si="13"/>
        <v>0</v>
      </c>
      <c r="AG11" s="531">
        <f t="shared" si="14"/>
        <v>0</v>
      </c>
      <c r="AH11" s="532">
        <f>+'Asset Classification'!U11</f>
        <v>0</v>
      </c>
      <c r="AI11" s="531">
        <f>+'Asset Classification'!V11</f>
        <v>0</v>
      </c>
      <c r="AJ11" s="532">
        <f>+'Asset Classification'!W11</f>
        <v>0</v>
      </c>
      <c r="AK11" s="531">
        <f t="shared" si="15"/>
        <v>0</v>
      </c>
      <c r="AL11" s="531">
        <f t="shared" si="16"/>
        <v>0</v>
      </c>
      <c r="AM11" s="531">
        <f>+'Asset Classification'!X11</f>
        <v>0</v>
      </c>
      <c r="AN11" s="531">
        <f t="shared" si="17"/>
        <v>0</v>
      </c>
      <c r="AO11" s="531">
        <f t="shared" si="18"/>
        <v>0</v>
      </c>
      <c r="AP11" s="526">
        <f t="shared" si="19"/>
        <v>0</v>
      </c>
      <c r="AQ11" s="526">
        <f t="shared" si="19"/>
        <v>0</v>
      </c>
      <c r="AR11" s="526">
        <f t="shared" si="20"/>
        <v>0</v>
      </c>
      <c r="AS11" s="531">
        <f t="shared" si="0"/>
        <v>0</v>
      </c>
      <c r="AT11" s="531">
        <f t="shared" si="0"/>
        <v>0</v>
      </c>
      <c r="AU11" s="531">
        <f t="shared" si="21"/>
        <v>0</v>
      </c>
      <c r="AV11" s="245">
        <f>+'Aging Analysis'!C11</f>
        <v>0</v>
      </c>
      <c r="AW11" s="243"/>
      <c r="AX11" s="243"/>
      <c r="AY11" s="243"/>
      <c r="AZ11" s="243"/>
      <c r="BA11" s="243"/>
      <c r="BB11" s="243"/>
      <c r="BC11" s="243"/>
    </row>
    <row r="12" spans="1:55" s="15" customFormat="1" ht="14.25" customHeight="1">
      <c r="A12" s="351"/>
      <c r="B12" s="353" t="s">
        <v>670</v>
      </c>
      <c r="C12" s="530">
        <f>+'Asset Classification'!C12</f>
        <v>0</v>
      </c>
      <c r="D12" s="531">
        <f>+'Asset Classification'!D12</f>
        <v>0</v>
      </c>
      <c r="E12" s="532">
        <f>+'Asset Classification'!E12</f>
        <v>0</v>
      </c>
      <c r="F12" s="531">
        <f>+'Asset Classification'!F12</f>
        <v>0</v>
      </c>
      <c r="G12" s="532">
        <f>+'Asset Classification'!G12</f>
        <v>0</v>
      </c>
      <c r="H12" s="531">
        <f t="shared" si="1"/>
        <v>0</v>
      </c>
      <c r="I12" s="531">
        <f t="shared" si="2"/>
        <v>0</v>
      </c>
      <c r="J12" s="532">
        <f>+'Asset Classification'!I12</f>
        <v>0</v>
      </c>
      <c r="K12" s="531">
        <f>+'Asset Classification'!J12</f>
        <v>0</v>
      </c>
      <c r="L12" s="532">
        <f>+'Asset Classification'!K12</f>
        <v>0</v>
      </c>
      <c r="M12" s="531">
        <f t="shared" si="3"/>
        <v>0</v>
      </c>
      <c r="N12" s="531">
        <f t="shared" si="4"/>
        <v>0</v>
      </c>
      <c r="O12" s="531">
        <f>+'Asset Classification'!L12</f>
        <v>0</v>
      </c>
      <c r="P12" s="531">
        <f t="shared" si="5"/>
        <v>0</v>
      </c>
      <c r="Q12" s="531">
        <f t="shared" si="6"/>
        <v>0</v>
      </c>
      <c r="R12" s="532">
        <f>+'Asset Classification'!M12</f>
        <v>0</v>
      </c>
      <c r="S12" s="531">
        <f>+'Asset Classification'!N12</f>
        <v>0</v>
      </c>
      <c r="T12" s="532">
        <f>+'Asset Classification'!O12</f>
        <v>0</v>
      </c>
      <c r="U12" s="531">
        <f t="shared" si="7"/>
        <v>0</v>
      </c>
      <c r="V12" s="531">
        <f t="shared" si="8"/>
        <v>0</v>
      </c>
      <c r="W12" s="531">
        <f>+'Asset Classification'!P12</f>
        <v>0</v>
      </c>
      <c r="X12" s="531">
        <f t="shared" si="9"/>
        <v>0</v>
      </c>
      <c r="Y12" s="531">
        <f t="shared" si="10"/>
        <v>0</v>
      </c>
      <c r="Z12" s="532">
        <f>+'Asset Classification'!Q12</f>
        <v>0</v>
      </c>
      <c r="AA12" s="531">
        <f>+'Asset Classification'!R12</f>
        <v>0</v>
      </c>
      <c r="AB12" s="532">
        <f>+'Asset Classification'!S12</f>
        <v>0</v>
      </c>
      <c r="AC12" s="531">
        <f t="shared" si="11"/>
        <v>0</v>
      </c>
      <c r="AD12" s="531">
        <f t="shared" si="12"/>
        <v>0</v>
      </c>
      <c r="AE12" s="531">
        <f>+'Asset Classification'!T12</f>
        <v>0</v>
      </c>
      <c r="AF12" s="531">
        <f t="shared" si="13"/>
        <v>0</v>
      </c>
      <c r="AG12" s="531">
        <f t="shared" si="14"/>
        <v>0</v>
      </c>
      <c r="AH12" s="532">
        <f>+'Asset Classification'!U12</f>
        <v>0</v>
      </c>
      <c r="AI12" s="531">
        <f>+'Asset Classification'!V12</f>
        <v>0</v>
      </c>
      <c r="AJ12" s="532">
        <f>+'Asset Classification'!W12</f>
        <v>0</v>
      </c>
      <c r="AK12" s="531">
        <f t="shared" si="15"/>
        <v>0</v>
      </c>
      <c r="AL12" s="531">
        <f t="shared" si="16"/>
        <v>0</v>
      </c>
      <c r="AM12" s="531">
        <f>+'Asset Classification'!X12</f>
        <v>0</v>
      </c>
      <c r="AN12" s="531">
        <f t="shared" si="17"/>
        <v>0</v>
      </c>
      <c r="AO12" s="531">
        <f t="shared" si="18"/>
        <v>0</v>
      </c>
      <c r="AP12" s="526">
        <f t="shared" si="19"/>
        <v>0</v>
      </c>
      <c r="AQ12" s="526">
        <f t="shared" si="19"/>
        <v>0</v>
      </c>
      <c r="AR12" s="526">
        <f t="shared" si="20"/>
        <v>0</v>
      </c>
      <c r="AS12" s="531">
        <f t="shared" si="0"/>
        <v>0</v>
      </c>
      <c r="AT12" s="531">
        <f t="shared" si="0"/>
        <v>0</v>
      </c>
      <c r="AU12" s="531">
        <f t="shared" si="21"/>
        <v>0</v>
      </c>
      <c r="AW12" s="243"/>
      <c r="AX12" s="243"/>
      <c r="AY12" s="243"/>
      <c r="AZ12" s="243"/>
      <c r="BA12" s="243"/>
      <c r="BB12" s="243"/>
      <c r="BC12" s="243"/>
    </row>
    <row r="13" spans="1:55" s="15" customFormat="1" ht="23.25" customHeight="1">
      <c r="A13" s="351">
        <v>4</v>
      </c>
      <c r="B13" s="148" t="s">
        <v>401</v>
      </c>
      <c r="C13" s="530">
        <f>+'Asset Classification'!C13</f>
        <v>5463367169</v>
      </c>
      <c r="D13" s="531">
        <f>+'Asset Classification'!D13</f>
        <v>0</v>
      </c>
      <c r="E13" s="532">
        <f>+'Asset Classification'!E13</f>
        <v>5326427523</v>
      </c>
      <c r="F13" s="531">
        <f>+'Asset Classification'!F13</f>
        <v>0</v>
      </c>
      <c r="G13" s="532">
        <f>+'Asset Classification'!G13</f>
        <v>53264275</v>
      </c>
      <c r="H13" s="531">
        <f t="shared" si="1"/>
        <v>53264275.230000004</v>
      </c>
      <c r="I13" s="531">
        <f t="shared" si="2"/>
        <v>-0.23000000417232513</v>
      </c>
      <c r="J13" s="532">
        <f>+'Asset Classification'!I13</f>
        <v>86600966</v>
      </c>
      <c r="K13" s="531">
        <f>+'Asset Classification'!J13</f>
        <v>0</v>
      </c>
      <c r="L13" s="532">
        <f>+'Asset Classification'!K13</f>
        <v>8592799</v>
      </c>
      <c r="M13" s="531">
        <f t="shared" si="3"/>
        <v>8660096.5999999996</v>
      </c>
      <c r="N13" s="531">
        <f t="shared" si="4"/>
        <v>-67297.599999999627</v>
      </c>
      <c r="O13" s="531">
        <f>+'Asset Classification'!L13</f>
        <v>0</v>
      </c>
      <c r="P13" s="531">
        <f t="shared" si="5"/>
        <v>0</v>
      </c>
      <c r="Q13" s="531">
        <f t="shared" si="6"/>
        <v>0</v>
      </c>
      <c r="R13" s="532">
        <f>+'Asset Classification'!M13</f>
        <v>25017834</v>
      </c>
      <c r="S13" s="531">
        <f>+'Asset Classification'!N13</f>
        <v>0</v>
      </c>
      <c r="T13" s="532">
        <f>+'Asset Classification'!O13</f>
        <v>6063606</v>
      </c>
      <c r="U13" s="531">
        <f t="shared" si="7"/>
        <v>6254458.5</v>
      </c>
      <c r="V13" s="531">
        <f t="shared" si="8"/>
        <v>-190852.5</v>
      </c>
      <c r="W13" s="531">
        <f>+'Asset Classification'!P13</f>
        <v>0</v>
      </c>
      <c r="X13" s="531">
        <f t="shared" si="9"/>
        <v>0</v>
      </c>
      <c r="Y13" s="531">
        <f t="shared" si="10"/>
        <v>0</v>
      </c>
      <c r="Z13" s="532">
        <f>+'Asset Classification'!Q13</f>
        <v>18412252</v>
      </c>
      <c r="AA13" s="531">
        <f>+'Asset Classification'!R13</f>
        <v>0</v>
      </c>
      <c r="AB13" s="532">
        <f>+'Asset Classification'!S13</f>
        <v>8853606</v>
      </c>
      <c r="AC13" s="531">
        <f t="shared" si="11"/>
        <v>9206126</v>
      </c>
      <c r="AD13" s="531">
        <f t="shared" si="12"/>
        <v>-352520</v>
      </c>
      <c r="AE13" s="531">
        <f>+'Asset Classification'!T13</f>
        <v>0</v>
      </c>
      <c r="AF13" s="531">
        <f t="shared" si="13"/>
        <v>0</v>
      </c>
      <c r="AG13" s="531">
        <f t="shared" si="14"/>
        <v>0</v>
      </c>
      <c r="AH13" s="532">
        <f>+'Asset Classification'!U13</f>
        <v>6908594</v>
      </c>
      <c r="AI13" s="531">
        <f>+'Asset Classification'!V13</f>
        <v>0</v>
      </c>
      <c r="AJ13" s="532">
        <f>+'Asset Classification'!W13</f>
        <v>6238672</v>
      </c>
      <c r="AK13" s="531">
        <f t="shared" si="15"/>
        <v>6908594</v>
      </c>
      <c r="AL13" s="531">
        <f t="shared" si="16"/>
        <v>-669922</v>
      </c>
      <c r="AM13" s="531">
        <f>+'Asset Classification'!X13</f>
        <v>0</v>
      </c>
      <c r="AN13" s="531">
        <f t="shared" si="17"/>
        <v>0</v>
      </c>
      <c r="AO13" s="531">
        <f t="shared" si="18"/>
        <v>0</v>
      </c>
      <c r="AP13" s="526">
        <f t="shared" si="19"/>
        <v>29748683</v>
      </c>
      <c r="AQ13" s="526">
        <f t="shared" si="19"/>
        <v>31029275.100000001</v>
      </c>
      <c r="AR13" s="526">
        <f t="shared" si="20"/>
        <v>-1280592.1000000015</v>
      </c>
      <c r="AS13" s="531">
        <f t="shared" si="0"/>
        <v>0</v>
      </c>
      <c r="AT13" s="531">
        <f t="shared" si="0"/>
        <v>0</v>
      </c>
      <c r="AU13" s="531">
        <f t="shared" si="21"/>
        <v>0</v>
      </c>
      <c r="AV13" s="245">
        <f>+'Aging Analysis'!C12</f>
        <v>5463367169</v>
      </c>
      <c r="AW13" s="243"/>
      <c r="AX13" s="243"/>
      <c r="AY13" s="243"/>
      <c r="AZ13" s="243"/>
      <c r="BA13" s="243"/>
      <c r="BB13" s="243"/>
      <c r="BC13" s="243"/>
    </row>
    <row r="14" spans="1:55" s="15" customFormat="1" ht="14.25" customHeight="1">
      <c r="A14" s="351"/>
      <c r="B14" s="353" t="s">
        <v>670</v>
      </c>
      <c r="C14" s="530">
        <f>+'Asset Classification'!C14</f>
        <v>0</v>
      </c>
      <c r="D14" s="531">
        <f>+'Asset Classification'!D14</f>
        <v>0</v>
      </c>
      <c r="E14" s="532">
        <f>+'Asset Classification'!E14</f>
        <v>0</v>
      </c>
      <c r="F14" s="531">
        <f>+'Asset Classification'!F14</f>
        <v>0</v>
      </c>
      <c r="G14" s="532">
        <f>+'Asset Classification'!G14</f>
        <v>0</v>
      </c>
      <c r="H14" s="531">
        <f t="shared" si="1"/>
        <v>0</v>
      </c>
      <c r="I14" s="531">
        <f t="shared" si="2"/>
        <v>0</v>
      </c>
      <c r="J14" s="532">
        <f>+'Asset Classification'!I14</f>
        <v>0</v>
      </c>
      <c r="K14" s="531">
        <f>+'Asset Classification'!J14</f>
        <v>0</v>
      </c>
      <c r="L14" s="532">
        <f>+'Asset Classification'!K14</f>
        <v>0</v>
      </c>
      <c r="M14" s="531">
        <f t="shared" si="3"/>
        <v>0</v>
      </c>
      <c r="N14" s="531">
        <f t="shared" si="4"/>
        <v>0</v>
      </c>
      <c r="O14" s="531">
        <f>+'Asset Classification'!L14</f>
        <v>0</v>
      </c>
      <c r="P14" s="531">
        <f t="shared" si="5"/>
        <v>0</v>
      </c>
      <c r="Q14" s="531">
        <f t="shared" si="6"/>
        <v>0</v>
      </c>
      <c r="R14" s="532">
        <f>+'Asset Classification'!M14</f>
        <v>0</v>
      </c>
      <c r="S14" s="531">
        <f>+'Asset Classification'!N14</f>
        <v>0</v>
      </c>
      <c r="T14" s="532">
        <f>+'Asset Classification'!O14</f>
        <v>0</v>
      </c>
      <c r="U14" s="531">
        <f t="shared" si="7"/>
        <v>0</v>
      </c>
      <c r="V14" s="531">
        <f t="shared" si="8"/>
        <v>0</v>
      </c>
      <c r="W14" s="531">
        <f>+'Asset Classification'!P14</f>
        <v>0</v>
      </c>
      <c r="X14" s="531">
        <f t="shared" si="9"/>
        <v>0</v>
      </c>
      <c r="Y14" s="531">
        <f t="shared" si="10"/>
        <v>0</v>
      </c>
      <c r="Z14" s="532">
        <f>+'Asset Classification'!Q14</f>
        <v>0</v>
      </c>
      <c r="AA14" s="531">
        <f>+'Asset Classification'!R14</f>
        <v>0</v>
      </c>
      <c r="AB14" s="532">
        <f>+'Asset Classification'!S14</f>
        <v>0</v>
      </c>
      <c r="AC14" s="531">
        <f t="shared" si="11"/>
        <v>0</v>
      </c>
      <c r="AD14" s="531">
        <f t="shared" si="12"/>
        <v>0</v>
      </c>
      <c r="AE14" s="531">
        <f>+'Asset Classification'!T14</f>
        <v>0</v>
      </c>
      <c r="AF14" s="531">
        <f t="shared" si="13"/>
        <v>0</v>
      </c>
      <c r="AG14" s="531">
        <f t="shared" si="14"/>
        <v>0</v>
      </c>
      <c r="AH14" s="532">
        <f>+'Asset Classification'!U14</f>
        <v>0</v>
      </c>
      <c r="AI14" s="531">
        <f>+'Asset Classification'!V14</f>
        <v>0</v>
      </c>
      <c r="AJ14" s="532">
        <f>+'Asset Classification'!W14</f>
        <v>0</v>
      </c>
      <c r="AK14" s="531">
        <f t="shared" si="15"/>
        <v>0</v>
      </c>
      <c r="AL14" s="531">
        <f t="shared" si="16"/>
        <v>0</v>
      </c>
      <c r="AM14" s="531">
        <f>+'Asset Classification'!X14</f>
        <v>0</v>
      </c>
      <c r="AN14" s="531">
        <f t="shared" si="17"/>
        <v>0</v>
      </c>
      <c r="AO14" s="531">
        <f t="shared" si="18"/>
        <v>0</v>
      </c>
      <c r="AP14" s="526">
        <f t="shared" si="19"/>
        <v>0</v>
      </c>
      <c r="AQ14" s="526">
        <f t="shared" si="19"/>
        <v>0</v>
      </c>
      <c r="AR14" s="526">
        <f t="shared" si="20"/>
        <v>0</v>
      </c>
      <c r="AS14" s="531">
        <f t="shared" si="0"/>
        <v>0</v>
      </c>
      <c r="AT14" s="531">
        <f t="shared" si="0"/>
        <v>0</v>
      </c>
      <c r="AU14" s="531">
        <f t="shared" si="21"/>
        <v>0</v>
      </c>
      <c r="AW14" s="243"/>
      <c r="AX14" s="243"/>
      <c r="AY14" s="243"/>
      <c r="AZ14" s="243"/>
      <c r="BA14" s="243"/>
      <c r="BB14" s="243"/>
      <c r="BC14" s="243"/>
    </row>
    <row r="15" spans="1:55" s="15" customFormat="1" ht="23.25" customHeight="1">
      <c r="A15" s="351">
        <v>5</v>
      </c>
      <c r="B15" s="148" t="s">
        <v>672</v>
      </c>
      <c r="C15" s="530">
        <f>+'Asset Classification'!C15</f>
        <v>14093170226</v>
      </c>
      <c r="D15" s="531">
        <f>+'Asset Classification'!D15</f>
        <v>9576038371</v>
      </c>
      <c r="E15" s="532">
        <f>+'Asset Classification'!E15</f>
        <v>13717203032</v>
      </c>
      <c r="F15" s="531">
        <f>+'Asset Classification'!F15</f>
        <v>9508685611</v>
      </c>
      <c r="G15" s="532">
        <f>+'Asset Classification'!G15</f>
        <v>110259025</v>
      </c>
      <c r="H15" s="531">
        <f t="shared" si="1"/>
        <v>137172030.31999999</v>
      </c>
      <c r="I15" s="531">
        <f t="shared" si="2"/>
        <v>-26913005.319999993</v>
      </c>
      <c r="J15" s="532">
        <f>+'Asset Classification'!I15</f>
        <v>375967194</v>
      </c>
      <c r="K15" s="531">
        <f>+'Asset Classification'!J15</f>
        <v>67352760</v>
      </c>
      <c r="L15" s="532">
        <f>+'Asset Classification'!K15</f>
        <v>37596719</v>
      </c>
      <c r="M15" s="531">
        <f t="shared" si="3"/>
        <v>37596719.399999999</v>
      </c>
      <c r="N15" s="531">
        <f t="shared" si="4"/>
        <v>-0.39999999850988388</v>
      </c>
      <c r="O15" s="531">
        <f>+'Asset Classification'!L15</f>
        <v>6735276</v>
      </c>
      <c r="P15" s="531">
        <f t="shared" si="5"/>
        <v>6735276</v>
      </c>
      <c r="Q15" s="531">
        <f t="shared" si="6"/>
        <v>0</v>
      </c>
      <c r="R15" s="532">
        <f>+'Asset Classification'!M15</f>
        <v>0</v>
      </c>
      <c r="S15" s="531">
        <f>+'Asset Classification'!N15</f>
        <v>0</v>
      </c>
      <c r="T15" s="532">
        <f>+'Asset Classification'!O15</f>
        <v>0</v>
      </c>
      <c r="U15" s="531">
        <f t="shared" si="7"/>
        <v>0</v>
      </c>
      <c r="V15" s="531">
        <f t="shared" si="8"/>
        <v>0</v>
      </c>
      <c r="W15" s="531">
        <f>+'Asset Classification'!P15</f>
        <v>0</v>
      </c>
      <c r="X15" s="531">
        <f t="shared" si="9"/>
        <v>0</v>
      </c>
      <c r="Y15" s="531">
        <f t="shared" si="10"/>
        <v>0</v>
      </c>
      <c r="Z15" s="532">
        <f>+'Asset Classification'!Q15</f>
        <v>0</v>
      </c>
      <c r="AA15" s="531">
        <f>+'Asset Classification'!R15</f>
        <v>0</v>
      </c>
      <c r="AB15" s="532">
        <f>+'Asset Classification'!S15</f>
        <v>0</v>
      </c>
      <c r="AC15" s="531">
        <f t="shared" si="11"/>
        <v>0</v>
      </c>
      <c r="AD15" s="531">
        <f t="shared" si="12"/>
        <v>0</v>
      </c>
      <c r="AE15" s="531">
        <f>+'Asset Classification'!T15</f>
        <v>0</v>
      </c>
      <c r="AF15" s="531">
        <f t="shared" si="13"/>
        <v>0</v>
      </c>
      <c r="AG15" s="531">
        <f t="shared" si="14"/>
        <v>0</v>
      </c>
      <c r="AH15" s="532">
        <f>+'Asset Classification'!U15</f>
        <v>0</v>
      </c>
      <c r="AI15" s="531">
        <f>+'Asset Classification'!V15</f>
        <v>0</v>
      </c>
      <c r="AJ15" s="532">
        <f>+'Asset Classification'!W15</f>
        <v>0</v>
      </c>
      <c r="AK15" s="531">
        <f t="shared" si="15"/>
        <v>0</v>
      </c>
      <c r="AL15" s="531">
        <f t="shared" si="16"/>
        <v>0</v>
      </c>
      <c r="AM15" s="531">
        <f>+'Asset Classification'!X15</f>
        <v>0</v>
      </c>
      <c r="AN15" s="531">
        <f t="shared" si="17"/>
        <v>0</v>
      </c>
      <c r="AO15" s="531">
        <f t="shared" si="18"/>
        <v>0</v>
      </c>
      <c r="AP15" s="526">
        <f t="shared" si="19"/>
        <v>37596719</v>
      </c>
      <c r="AQ15" s="526">
        <f t="shared" si="19"/>
        <v>37596719.399999999</v>
      </c>
      <c r="AR15" s="526">
        <f t="shared" si="20"/>
        <v>-0.39999999850988388</v>
      </c>
      <c r="AS15" s="531">
        <f t="shared" si="0"/>
        <v>6735276</v>
      </c>
      <c r="AT15" s="531">
        <f t="shared" si="0"/>
        <v>6735276</v>
      </c>
      <c r="AU15" s="531">
        <f t="shared" si="21"/>
        <v>0</v>
      </c>
      <c r="AV15" s="245">
        <f>+'Aging Analysis'!C13</f>
        <v>14093170226</v>
      </c>
      <c r="AW15" s="243"/>
      <c r="AX15" s="243"/>
      <c r="AY15" s="243"/>
      <c r="AZ15" s="243"/>
      <c r="BA15" s="243"/>
      <c r="BB15" s="243"/>
      <c r="BC15" s="243"/>
    </row>
    <row r="16" spans="1:55" s="15" customFormat="1" ht="14.25" customHeight="1">
      <c r="A16" s="351"/>
      <c r="B16" s="353" t="s">
        <v>670</v>
      </c>
      <c r="C16" s="530">
        <f>+'Asset Classification'!C16</f>
        <v>0</v>
      </c>
      <c r="D16" s="531">
        <f>+'Asset Classification'!D16</f>
        <v>0</v>
      </c>
      <c r="E16" s="532">
        <f>+'Asset Classification'!E16</f>
        <v>0</v>
      </c>
      <c r="F16" s="531">
        <f>+'Asset Classification'!F16</f>
        <v>0</v>
      </c>
      <c r="G16" s="532">
        <f>+'Asset Classification'!G16</f>
        <v>0</v>
      </c>
      <c r="H16" s="531">
        <f t="shared" si="1"/>
        <v>0</v>
      </c>
      <c r="I16" s="531">
        <f t="shared" si="2"/>
        <v>0</v>
      </c>
      <c r="J16" s="532">
        <f>+'Asset Classification'!I16</f>
        <v>0</v>
      </c>
      <c r="K16" s="531">
        <f>+'Asset Classification'!J16</f>
        <v>0</v>
      </c>
      <c r="L16" s="532">
        <f>+'Asset Classification'!K16</f>
        <v>0</v>
      </c>
      <c r="M16" s="531">
        <f t="shared" si="3"/>
        <v>0</v>
      </c>
      <c r="N16" s="531">
        <f t="shared" si="4"/>
        <v>0</v>
      </c>
      <c r="O16" s="531">
        <f>+'Asset Classification'!L16</f>
        <v>0</v>
      </c>
      <c r="P16" s="531">
        <f t="shared" si="5"/>
        <v>0</v>
      </c>
      <c r="Q16" s="531">
        <f t="shared" si="6"/>
        <v>0</v>
      </c>
      <c r="R16" s="532">
        <f>+'Asset Classification'!M16</f>
        <v>0</v>
      </c>
      <c r="S16" s="531">
        <f>+'Asset Classification'!N16</f>
        <v>0</v>
      </c>
      <c r="T16" s="532">
        <f>+'Asset Classification'!O16</f>
        <v>0</v>
      </c>
      <c r="U16" s="531">
        <f t="shared" si="7"/>
        <v>0</v>
      </c>
      <c r="V16" s="531">
        <f t="shared" si="8"/>
        <v>0</v>
      </c>
      <c r="W16" s="531">
        <f>+'Asset Classification'!P16</f>
        <v>0</v>
      </c>
      <c r="X16" s="531">
        <f t="shared" si="9"/>
        <v>0</v>
      </c>
      <c r="Y16" s="531">
        <f t="shared" si="10"/>
        <v>0</v>
      </c>
      <c r="Z16" s="532">
        <f>+'Asset Classification'!Q16</f>
        <v>0</v>
      </c>
      <c r="AA16" s="531">
        <f>+'Asset Classification'!R16</f>
        <v>0</v>
      </c>
      <c r="AB16" s="532">
        <f>+'Asset Classification'!S16</f>
        <v>0</v>
      </c>
      <c r="AC16" s="531">
        <f t="shared" si="11"/>
        <v>0</v>
      </c>
      <c r="AD16" s="531">
        <f t="shared" si="12"/>
        <v>0</v>
      </c>
      <c r="AE16" s="531">
        <f>+'Asset Classification'!T16</f>
        <v>0</v>
      </c>
      <c r="AF16" s="531">
        <f t="shared" si="13"/>
        <v>0</v>
      </c>
      <c r="AG16" s="531">
        <f t="shared" si="14"/>
        <v>0</v>
      </c>
      <c r="AH16" s="532">
        <f>+'Asset Classification'!U16</f>
        <v>0</v>
      </c>
      <c r="AI16" s="531">
        <f>+'Asset Classification'!V16</f>
        <v>0</v>
      </c>
      <c r="AJ16" s="532">
        <f>+'Asset Classification'!W16</f>
        <v>0</v>
      </c>
      <c r="AK16" s="531">
        <f t="shared" si="15"/>
        <v>0</v>
      </c>
      <c r="AL16" s="531">
        <f t="shared" si="16"/>
        <v>0</v>
      </c>
      <c r="AM16" s="531">
        <f>+'Asset Classification'!X16</f>
        <v>0</v>
      </c>
      <c r="AN16" s="531">
        <f t="shared" si="17"/>
        <v>0</v>
      </c>
      <c r="AO16" s="531">
        <f t="shared" si="18"/>
        <v>0</v>
      </c>
      <c r="AP16" s="526">
        <f t="shared" si="19"/>
        <v>0</v>
      </c>
      <c r="AQ16" s="526">
        <f t="shared" si="19"/>
        <v>0</v>
      </c>
      <c r="AR16" s="526">
        <f t="shared" si="20"/>
        <v>0</v>
      </c>
      <c r="AS16" s="531">
        <f t="shared" si="0"/>
        <v>0</v>
      </c>
      <c r="AT16" s="531">
        <f t="shared" si="0"/>
        <v>0</v>
      </c>
      <c r="AU16" s="531">
        <f t="shared" si="21"/>
        <v>0</v>
      </c>
      <c r="AW16" s="243"/>
      <c r="AX16" s="243"/>
      <c r="AY16" s="243"/>
      <c r="AZ16" s="243"/>
      <c r="BA16" s="243"/>
      <c r="BB16" s="243"/>
      <c r="BC16" s="243"/>
    </row>
    <row r="17" spans="1:55" s="15" customFormat="1" ht="23.25" customHeight="1">
      <c r="A17" s="351">
        <v>6</v>
      </c>
      <c r="B17" s="148" t="s">
        <v>403</v>
      </c>
      <c r="C17" s="530">
        <f>+'Asset Classification'!C17</f>
        <v>9080290501</v>
      </c>
      <c r="D17" s="531">
        <f>+'Asset Classification'!D17</f>
        <v>7941053189</v>
      </c>
      <c r="E17" s="532">
        <f>+'Asset Classification'!E17</f>
        <v>8484483815</v>
      </c>
      <c r="F17" s="531">
        <f>+'Asset Classification'!F17</f>
        <v>7364846691</v>
      </c>
      <c r="G17" s="532">
        <f>+'Asset Classification'!G17</f>
        <v>84844838</v>
      </c>
      <c r="H17" s="531">
        <f t="shared" si="1"/>
        <v>84844838.150000006</v>
      </c>
      <c r="I17" s="531">
        <f t="shared" si="2"/>
        <v>-0.15000000596046448</v>
      </c>
      <c r="J17" s="532">
        <f>+'Asset Classification'!I17</f>
        <v>218058951</v>
      </c>
      <c r="K17" s="531">
        <f>+'Asset Classification'!J17</f>
        <v>217658951</v>
      </c>
      <c r="L17" s="532">
        <f>+'Asset Classification'!K17</f>
        <v>21805895</v>
      </c>
      <c r="M17" s="531">
        <f t="shared" si="3"/>
        <v>21805895.100000001</v>
      </c>
      <c r="N17" s="531">
        <f t="shared" si="4"/>
        <v>-0.10000000149011612</v>
      </c>
      <c r="O17" s="531">
        <f>+'Asset Classification'!L17</f>
        <v>21765895</v>
      </c>
      <c r="P17" s="531">
        <f t="shared" si="5"/>
        <v>21765895.100000001</v>
      </c>
      <c r="Q17" s="531">
        <f t="shared" si="6"/>
        <v>-0.10000000149011612</v>
      </c>
      <c r="R17" s="532">
        <f>+'Asset Classification'!M17</f>
        <v>66012521</v>
      </c>
      <c r="S17" s="531">
        <f>+'Asset Classification'!N17</f>
        <v>46812333</v>
      </c>
      <c r="T17" s="532">
        <f>+'Asset Classification'!O17</f>
        <v>16503130</v>
      </c>
      <c r="U17" s="531">
        <f t="shared" si="7"/>
        <v>16503130.25</v>
      </c>
      <c r="V17" s="531">
        <f t="shared" si="8"/>
        <v>-0.25</v>
      </c>
      <c r="W17" s="531">
        <f>+'Asset Classification'!P17</f>
        <v>11703083</v>
      </c>
      <c r="X17" s="531">
        <f t="shared" si="9"/>
        <v>11703083.25</v>
      </c>
      <c r="Y17" s="531">
        <f t="shared" si="10"/>
        <v>-0.25</v>
      </c>
      <c r="Z17" s="532">
        <f>+'Asset Classification'!Q17</f>
        <v>302666165</v>
      </c>
      <c r="AA17" s="531">
        <f>+'Asset Classification'!R17</f>
        <v>302666165</v>
      </c>
      <c r="AB17" s="532">
        <f>+'Asset Classification'!S17</f>
        <v>151333083</v>
      </c>
      <c r="AC17" s="531">
        <f t="shared" si="11"/>
        <v>151333082.5</v>
      </c>
      <c r="AD17" s="531">
        <f t="shared" si="12"/>
        <v>0.5</v>
      </c>
      <c r="AE17" s="531">
        <f>+'Asset Classification'!T17</f>
        <v>151333083</v>
      </c>
      <c r="AF17" s="531">
        <f t="shared" si="13"/>
        <v>151333082.5</v>
      </c>
      <c r="AG17" s="531">
        <f t="shared" si="14"/>
        <v>0.5</v>
      </c>
      <c r="AH17" s="532">
        <f>+'Asset Classification'!U17</f>
        <v>9069049</v>
      </c>
      <c r="AI17" s="531">
        <f>+'Asset Classification'!V17</f>
        <v>9069049</v>
      </c>
      <c r="AJ17" s="532">
        <f>+'Asset Classification'!W17</f>
        <v>9069049</v>
      </c>
      <c r="AK17" s="531">
        <f t="shared" si="15"/>
        <v>9069049</v>
      </c>
      <c r="AL17" s="531">
        <f t="shared" si="16"/>
        <v>0</v>
      </c>
      <c r="AM17" s="531">
        <f>+'Asset Classification'!X17</f>
        <v>9069049</v>
      </c>
      <c r="AN17" s="531">
        <f t="shared" si="17"/>
        <v>9069049</v>
      </c>
      <c r="AO17" s="531">
        <f t="shared" si="18"/>
        <v>0</v>
      </c>
      <c r="AP17" s="526">
        <f t="shared" si="19"/>
        <v>198711157</v>
      </c>
      <c r="AQ17" s="526">
        <f t="shared" si="19"/>
        <v>198711156.84999999</v>
      </c>
      <c r="AR17" s="526">
        <f t="shared" si="20"/>
        <v>0.15000000596046448</v>
      </c>
      <c r="AS17" s="531">
        <f t="shared" si="0"/>
        <v>193871110</v>
      </c>
      <c r="AT17" s="531">
        <f t="shared" si="0"/>
        <v>193871109.84999999</v>
      </c>
      <c r="AU17" s="531">
        <f t="shared" si="21"/>
        <v>0.15000000596046448</v>
      </c>
      <c r="AV17" s="245">
        <f>+'Aging Analysis'!C14</f>
        <v>9080290501</v>
      </c>
      <c r="AW17" s="243"/>
      <c r="AX17" s="243"/>
      <c r="AY17" s="243"/>
      <c r="AZ17" s="243"/>
      <c r="BA17" s="243"/>
      <c r="BB17" s="243"/>
      <c r="BC17" s="243"/>
    </row>
    <row r="18" spans="1:55" s="15" customFormat="1" ht="14.25" customHeight="1">
      <c r="A18" s="351"/>
      <c r="B18" s="353" t="s">
        <v>670</v>
      </c>
      <c r="C18" s="530">
        <f>+'Asset Classification'!C18</f>
        <v>0</v>
      </c>
      <c r="D18" s="531">
        <f>+'Asset Classification'!D18</f>
        <v>0</v>
      </c>
      <c r="E18" s="532">
        <f>+'Asset Classification'!E18</f>
        <v>0</v>
      </c>
      <c r="F18" s="531">
        <f>+'Asset Classification'!F18</f>
        <v>0</v>
      </c>
      <c r="G18" s="532">
        <f>+'Asset Classification'!G18</f>
        <v>0</v>
      </c>
      <c r="H18" s="531">
        <f t="shared" si="1"/>
        <v>0</v>
      </c>
      <c r="I18" s="531">
        <f t="shared" si="2"/>
        <v>0</v>
      </c>
      <c r="J18" s="532">
        <f>+'Asset Classification'!I18</f>
        <v>0</v>
      </c>
      <c r="K18" s="531">
        <f>+'Asset Classification'!J18</f>
        <v>0</v>
      </c>
      <c r="L18" s="532">
        <f>+'Asset Classification'!K18</f>
        <v>0</v>
      </c>
      <c r="M18" s="531">
        <f t="shared" si="3"/>
        <v>0</v>
      </c>
      <c r="N18" s="531">
        <f t="shared" si="4"/>
        <v>0</v>
      </c>
      <c r="O18" s="531">
        <f>+'Asset Classification'!L18</f>
        <v>0</v>
      </c>
      <c r="P18" s="531">
        <f t="shared" si="5"/>
        <v>0</v>
      </c>
      <c r="Q18" s="531">
        <f t="shared" si="6"/>
        <v>0</v>
      </c>
      <c r="R18" s="532">
        <f>+'Asset Classification'!M18</f>
        <v>0</v>
      </c>
      <c r="S18" s="531">
        <f>+'Asset Classification'!N18</f>
        <v>0</v>
      </c>
      <c r="T18" s="532">
        <f>+'Asset Classification'!O18</f>
        <v>0</v>
      </c>
      <c r="U18" s="531">
        <f t="shared" si="7"/>
        <v>0</v>
      </c>
      <c r="V18" s="531">
        <f t="shared" si="8"/>
        <v>0</v>
      </c>
      <c r="W18" s="531">
        <f>+'Asset Classification'!P18</f>
        <v>0</v>
      </c>
      <c r="X18" s="531">
        <f t="shared" si="9"/>
        <v>0</v>
      </c>
      <c r="Y18" s="531">
        <f t="shared" si="10"/>
        <v>0</v>
      </c>
      <c r="Z18" s="532">
        <f>+'Asset Classification'!Q18</f>
        <v>0</v>
      </c>
      <c r="AA18" s="531">
        <f>+'Asset Classification'!R18</f>
        <v>0</v>
      </c>
      <c r="AB18" s="532">
        <f>+'Asset Classification'!S18</f>
        <v>0</v>
      </c>
      <c r="AC18" s="531">
        <f t="shared" si="11"/>
        <v>0</v>
      </c>
      <c r="AD18" s="531">
        <f t="shared" si="12"/>
        <v>0</v>
      </c>
      <c r="AE18" s="531">
        <f>+'Asset Classification'!T18</f>
        <v>0</v>
      </c>
      <c r="AF18" s="531">
        <f t="shared" si="13"/>
        <v>0</v>
      </c>
      <c r="AG18" s="531">
        <f t="shared" si="14"/>
        <v>0</v>
      </c>
      <c r="AH18" s="532">
        <f>+'Asset Classification'!U18</f>
        <v>0</v>
      </c>
      <c r="AI18" s="531">
        <f>+'Asset Classification'!V18</f>
        <v>0</v>
      </c>
      <c r="AJ18" s="532">
        <f>+'Asset Classification'!W18</f>
        <v>0</v>
      </c>
      <c r="AK18" s="531">
        <f t="shared" si="15"/>
        <v>0</v>
      </c>
      <c r="AL18" s="531">
        <f t="shared" si="16"/>
        <v>0</v>
      </c>
      <c r="AM18" s="531">
        <f>+'Asset Classification'!X18</f>
        <v>0</v>
      </c>
      <c r="AN18" s="531">
        <f t="shared" si="17"/>
        <v>0</v>
      </c>
      <c r="AO18" s="531">
        <f t="shared" si="18"/>
        <v>0</v>
      </c>
      <c r="AP18" s="526">
        <f t="shared" si="19"/>
        <v>0</v>
      </c>
      <c r="AQ18" s="526">
        <f t="shared" si="19"/>
        <v>0</v>
      </c>
      <c r="AR18" s="526">
        <f t="shared" si="20"/>
        <v>0</v>
      </c>
      <c r="AS18" s="531">
        <f t="shared" si="0"/>
        <v>0</v>
      </c>
      <c r="AT18" s="531">
        <f t="shared" si="0"/>
        <v>0</v>
      </c>
      <c r="AU18" s="531">
        <f t="shared" si="21"/>
        <v>0</v>
      </c>
      <c r="AW18" s="243"/>
      <c r="AX18" s="243"/>
      <c r="AY18" s="243"/>
      <c r="AZ18" s="243"/>
      <c r="BA18" s="243"/>
      <c r="BB18" s="243"/>
      <c r="BC18" s="243"/>
    </row>
    <row r="19" spans="1:55" s="15" customFormat="1" ht="23.25" customHeight="1">
      <c r="A19" s="351">
        <v>7</v>
      </c>
      <c r="B19" s="148" t="s">
        <v>404</v>
      </c>
      <c r="C19" s="530">
        <f>+'Asset Classification'!C19</f>
        <v>19254967029</v>
      </c>
      <c r="D19" s="531">
        <f>+'Asset Classification'!D19</f>
        <v>13208485774</v>
      </c>
      <c r="E19" s="532">
        <f>+'Asset Classification'!E19</f>
        <v>16537850982</v>
      </c>
      <c r="F19" s="531">
        <f>+'Asset Classification'!F19</f>
        <v>11383471585</v>
      </c>
      <c r="G19" s="532">
        <f>+'Asset Classification'!G19</f>
        <v>165378510</v>
      </c>
      <c r="H19" s="531">
        <f t="shared" si="1"/>
        <v>165378509.81999999</v>
      </c>
      <c r="I19" s="531">
        <f t="shared" si="2"/>
        <v>0.18000000715255737</v>
      </c>
      <c r="J19" s="532">
        <f>+'Asset Classification'!I19</f>
        <v>1829878783</v>
      </c>
      <c r="K19" s="531">
        <f>+'Asset Classification'!J19</f>
        <v>1356486852</v>
      </c>
      <c r="L19" s="532">
        <f>+'Asset Classification'!K19</f>
        <v>182987879</v>
      </c>
      <c r="M19" s="531">
        <f t="shared" si="3"/>
        <v>182987878.30000001</v>
      </c>
      <c r="N19" s="531">
        <f t="shared" si="4"/>
        <v>0.69999998807907104</v>
      </c>
      <c r="O19" s="531">
        <f>+'Asset Classification'!L19</f>
        <v>135648686</v>
      </c>
      <c r="P19" s="531">
        <f t="shared" si="5"/>
        <v>135648685.20000002</v>
      </c>
      <c r="Q19" s="531">
        <f t="shared" si="6"/>
        <v>0.79999998211860657</v>
      </c>
      <c r="R19" s="532">
        <f>+'Asset Classification'!M19</f>
        <v>335528940</v>
      </c>
      <c r="S19" s="531">
        <f>+'Asset Classification'!N19</f>
        <v>181918056</v>
      </c>
      <c r="T19" s="532">
        <f>+'Asset Classification'!O19</f>
        <v>82728319</v>
      </c>
      <c r="U19" s="531">
        <f t="shared" si="7"/>
        <v>83882235</v>
      </c>
      <c r="V19" s="531">
        <f t="shared" si="8"/>
        <v>-1153916</v>
      </c>
      <c r="W19" s="531">
        <f>+'Asset Classification'!P19</f>
        <v>44413096</v>
      </c>
      <c r="X19" s="531">
        <f t="shared" si="9"/>
        <v>45479514</v>
      </c>
      <c r="Y19" s="531">
        <f t="shared" si="10"/>
        <v>-1066418</v>
      </c>
      <c r="Z19" s="532">
        <f>+'Asset Classification'!Q19</f>
        <v>490888293</v>
      </c>
      <c r="AA19" s="531">
        <f>+'Asset Classification'!R19</f>
        <v>252257337</v>
      </c>
      <c r="AB19" s="532">
        <f>+'Asset Classification'!S19</f>
        <v>245440179</v>
      </c>
      <c r="AC19" s="531">
        <f t="shared" si="11"/>
        <v>245444146.5</v>
      </c>
      <c r="AD19" s="531">
        <f t="shared" si="12"/>
        <v>-3967.5</v>
      </c>
      <c r="AE19" s="531">
        <f>+'Asset Classification'!T19</f>
        <v>126128669</v>
      </c>
      <c r="AF19" s="531">
        <f t="shared" si="13"/>
        <v>126128668.5</v>
      </c>
      <c r="AG19" s="531">
        <f t="shared" si="14"/>
        <v>0.5</v>
      </c>
      <c r="AH19" s="532">
        <f>+'Asset Classification'!U19</f>
        <v>60820031</v>
      </c>
      <c r="AI19" s="531">
        <f>+'Asset Classification'!V19</f>
        <v>34351944</v>
      </c>
      <c r="AJ19" s="532">
        <f>+'Asset Classification'!W19</f>
        <v>60820030</v>
      </c>
      <c r="AK19" s="531">
        <f t="shared" si="15"/>
        <v>60820031</v>
      </c>
      <c r="AL19" s="531">
        <f t="shared" si="16"/>
        <v>-1</v>
      </c>
      <c r="AM19" s="531">
        <f>+'Asset Classification'!X19</f>
        <v>34351944</v>
      </c>
      <c r="AN19" s="531">
        <f t="shared" si="17"/>
        <v>34351944</v>
      </c>
      <c r="AO19" s="531">
        <f t="shared" si="18"/>
        <v>0</v>
      </c>
      <c r="AP19" s="526">
        <f t="shared" si="19"/>
        <v>571976407</v>
      </c>
      <c r="AQ19" s="526">
        <f t="shared" si="19"/>
        <v>573134290.79999995</v>
      </c>
      <c r="AR19" s="526">
        <f t="shared" si="20"/>
        <v>-1157883.7999999523</v>
      </c>
      <c r="AS19" s="531">
        <f t="shared" si="0"/>
        <v>340542395</v>
      </c>
      <c r="AT19" s="531">
        <f t="shared" si="0"/>
        <v>341608811.70000005</v>
      </c>
      <c r="AU19" s="531">
        <f t="shared" si="21"/>
        <v>-1066416.7000000477</v>
      </c>
      <c r="AV19" s="245">
        <f>+'Aging Analysis'!C15</f>
        <v>19254967029</v>
      </c>
      <c r="AW19" s="243"/>
      <c r="AX19" s="243"/>
      <c r="AY19" s="243"/>
      <c r="AZ19" s="243"/>
      <c r="BA19" s="243"/>
      <c r="BB19" s="243"/>
      <c r="BC19" s="243"/>
    </row>
    <row r="20" spans="1:55" s="15" customFormat="1" ht="14.25" customHeight="1">
      <c r="A20" s="351"/>
      <c r="B20" s="353" t="s">
        <v>670</v>
      </c>
      <c r="C20" s="530">
        <f>+'Asset Classification'!C20</f>
        <v>0</v>
      </c>
      <c r="D20" s="531">
        <f>+'Asset Classification'!D20</f>
        <v>0</v>
      </c>
      <c r="E20" s="532">
        <f>+'Asset Classification'!E20</f>
        <v>0</v>
      </c>
      <c r="F20" s="531">
        <f>+'Asset Classification'!F20</f>
        <v>0</v>
      </c>
      <c r="G20" s="532">
        <f>+'Asset Classification'!G20</f>
        <v>0</v>
      </c>
      <c r="H20" s="531">
        <f t="shared" si="1"/>
        <v>0</v>
      </c>
      <c r="I20" s="531">
        <f t="shared" si="2"/>
        <v>0</v>
      </c>
      <c r="J20" s="532">
        <f>+'Asset Classification'!I20</f>
        <v>0</v>
      </c>
      <c r="K20" s="531">
        <f>+'Asset Classification'!J20</f>
        <v>0</v>
      </c>
      <c r="L20" s="532">
        <f>+'Asset Classification'!K20</f>
        <v>0</v>
      </c>
      <c r="M20" s="531">
        <f t="shared" si="3"/>
        <v>0</v>
      </c>
      <c r="N20" s="531">
        <f t="shared" si="4"/>
        <v>0</v>
      </c>
      <c r="O20" s="531">
        <f>+'Asset Classification'!L20</f>
        <v>0</v>
      </c>
      <c r="P20" s="531">
        <f t="shared" si="5"/>
        <v>0</v>
      </c>
      <c r="Q20" s="531">
        <f t="shared" si="6"/>
        <v>0</v>
      </c>
      <c r="R20" s="532">
        <f>+'Asset Classification'!M20</f>
        <v>0</v>
      </c>
      <c r="S20" s="531">
        <f>+'Asset Classification'!N20</f>
        <v>0</v>
      </c>
      <c r="T20" s="532">
        <f>+'Asset Classification'!O20</f>
        <v>0</v>
      </c>
      <c r="U20" s="531">
        <f t="shared" si="7"/>
        <v>0</v>
      </c>
      <c r="V20" s="531">
        <f t="shared" si="8"/>
        <v>0</v>
      </c>
      <c r="W20" s="531">
        <f>+'Asset Classification'!P20</f>
        <v>0</v>
      </c>
      <c r="X20" s="531">
        <f t="shared" si="9"/>
        <v>0</v>
      </c>
      <c r="Y20" s="531">
        <f t="shared" si="10"/>
        <v>0</v>
      </c>
      <c r="Z20" s="532">
        <f>+'Asset Classification'!Q20</f>
        <v>0</v>
      </c>
      <c r="AA20" s="531">
        <f>+'Asset Classification'!R20</f>
        <v>0</v>
      </c>
      <c r="AB20" s="532">
        <f>+'Asset Classification'!S20</f>
        <v>0</v>
      </c>
      <c r="AC20" s="531">
        <f t="shared" si="11"/>
        <v>0</v>
      </c>
      <c r="AD20" s="531">
        <f t="shared" si="12"/>
        <v>0</v>
      </c>
      <c r="AE20" s="531">
        <f>+'Asset Classification'!T20</f>
        <v>0</v>
      </c>
      <c r="AF20" s="531">
        <f t="shared" si="13"/>
        <v>0</v>
      </c>
      <c r="AG20" s="531">
        <f t="shared" si="14"/>
        <v>0</v>
      </c>
      <c r="AH20" s="532">
        <f>+'Asset Classification'!U20</f>
        <v>0</v>
      </c>
      <c r="AI20" s="531">
        <f>+'Asset Classification'!V20</f>
        <v>0</v>
      </c>
      <c r="AJ20" s="532">
        <f>+'Asset Classification'!W20</f>
        <v>0</v>
      </c>
      <c r="AK20" s="531">
        <f t="shared" si="15"/>
        <v>0</v>
      </c>
      <c r="AL20" s="531">
        <f t="shared" si="16"/>
        <v>0</v>
      </c>
      <c r="AM20" s="531">
        <f>+'Asset Classification'!X20</f>
        <v>0</v>
      </c>
      <c r="AN20" s="531">
        <f t="shared" si="17"/>
        <v>0</v>
      </c>
      <c r="AO20" s="531">
        <f t="shared" si="18"/>
        <v>0</v>
      </c>
      <c r="AP20" s="526">
        <f t="shared" si="19"/>
        <v>0</v>
      </c>
      <c r="AQ20" s="526">
        <f t="shared" si="19"/>
        <v>0</v>
      </c>
      <c r="AR20" s="526">
        <f t="shared" si="20"/>
        <v>0</v>
      </c>
      <c r="AS20" s="531">
        <f t="shared" si="0"/>
        <v>0</v>
      </c>
      <c r="AT20" s="531">
        <f t="shared" si="0"/>
        <v>0</v>
      </c>
      <c r="AU20" s="531">
        <f t="shared" si="21"/>
        <v>0</v>
      </c>
      <c r="AW20" s="243"/>
      <c r="AX20" s="243"/>
      <c r="AY20" s="243"/>
      <c r="AZ20" s="243"/>
      <c r="BA20" s="243"/>
      <c r="BB20" s="243"/>
      <c r="BC20" s="243"/>
    </row>
    <row r="21" spans="1:55" s="15" customFormat="1" ht="23.25" customHeight="1">
      <c r="A21" s="351">
        <v>8</v>
      </c>
      <c r="B21" s="148" t="s">
        <v>673</v>
      </c>
      <c r="C21" s="530">
        <f>+'Asset Classification'!C21</f>
        <v>171788067</v>
      </c>
      <c r="D21" s="531">
        <f>+'Asset Classification'!D21</f>
        <v>102565310</v>
      </c>
      <c r="E21" s="532">
        <f>+'Asset Classification'!E21</f>
        <v>89223633</v>
      </c>
      <c r="F21" s="531">
        <f>+'Asset Classification'!F21</f>
        <v>50848569</v>
      </c>
      <c r="G21" s="532">
        <f>+'Asset Classification'!G21</f>
        <v>892236</v>
      </c>
      <c r="H21" s="531">
        <f t="shared" si="1"/>
        <v>892236.33000000007</v>
      </c>
      <c r="I21" s="531">
        <f t="shared" si="2"/>
        <v>-0.33000000007450581</v>
      </c>
      <c r="J21" s="532">
        <f>+'Asset Classification'!I21</f>
        <v>45320594</v>
      </c>
      <c r="K21" s="531">
        <f>+'Asset Classification'!J21</f>
        <v>43464476</v>
      </c>
      <c r="L21" s="532">
        <f>+'Asset Classification'!K21</f>
        <v>4532059</v>
      </c>
      <c r="M21" s="531">
        <f t="shared" si="3"/>
        <v>4532059.4000000004</v>
      </c>
      <c r="N21" s="531">
        <f t="shared" si="4"/>
        <v>-0.40000000037252903</v>
      </c>
      <c r="O21" s="531">
        <f>+'Asset Classification'!L21</f>
        <v>4346448</v>
      </c>
      <c r="P21" s="531">
        <f t="shared" si="5"/>
        <v>4346447.6000000006</v>
      </c>
      <c r="Q21" s="531">
        <f t="shared" si="6"/>
        <v>0.39999999944120646</v>
      </c>
      <c r="R21" s="532">
        <f>+'Asset Classification'!M21</f>
        <v>9188880</v>
      </c>
      <c r="S21" s="531">
        <f>+'Asset Classification'!N21</f>
        <v>0</v>
      </c>
      <c r="T21" s="532">
        <f>+'Asset Classification'!O21</f>
        <v>2297220</v>
      </c>
      <c r="U21" s="531">
        <f t="shared" si="7"/>
        <v>2297220</v>
      </c>
      <c r="V21" s="531">
        <f t="shared" si="8"/>
        <v>0</v>
      </c>
      <c r="W21" s="531">
        <f>+'Asset Classification'!P21</f>
        <v>0</v>
      </c>
      <c r="X21" s="531">
        <f t="shared" si="9"/>
        <v>0</v>
      </c>
      <c r="Y21" s="531">
        <f t="shared" si="10"/>
        <v>0</v>
      </c>
      <c r="Z21" s="532">
        <f>+'Asset Classification'!Q21</f>
        <v>16591663</v>
      </c>
      <c r="AA21" s="531">
        <f>+'Asset Classification'!R21</f>
        <v>8252265</v>
      </c>
      <c r="AB21" s="532">
        <f>+'Asset Classification'!S21</f>
        <v>8295831</v>
      </c>
      <c r="AC21" s="531">
        <f t="shared" si="11"/>
        <v>8295831.5</v>
      </c>
      <c r="AD21" s="531">
        <f t="shared" si="12"/>
        <v>-0.5</v>
      </c>
      <c r="AE21" s="531">
        <f>+'Asset Classification'!T21</f>
        <v>4126132</v>
      </c>
      <c r="AF21" s="531">
        <f t="shared" si="13"/>
        <v>4126132.5</v>
      </c>
      <c r="AG21" s="531">
        <f t="shared" si="14"/>
        <v>-0.5</v>
      </c>
      <c r="AH21" s="532">
        <f>+'Asset Classification'!U21</f>
        <v>11463297</v>
      </c>
      <c r="AI21" s="531">
        <f>+'Asset Classification'!V21</f>
        <v>0</v>
      </c>
      <c r="AJ21" s="532">
        <f>+'Asset Classification'!W21</f>
        <v>11463297</v>
      </c>
      <c r="AK21" s="531">
        <f t="shared" si="15"/>
        <v>11463297</v>
      </c>
      <c r="AL21" s="531">
        <f t="shared" si="16"/>
        <v>0</v>
      </c>
      <c r="AM21" s="531">
        <f>+'Asset Classification'!X21</f>
        <v>0</v>
      </c>
      <c r="AN21" s="531">
        <f t="shared" si="17"/>
        <v>0</v>
      </c>
      <c r="AO21" s="531">
        <f t="shared" si="18"/>
        <v>0</v>
      </c>
      <c r="AP21" s="526">
        <f t="shared" si="19"/>
        <v>26588407</v>
      </c>
      <c r="AQ21" s="526">
        <f t="shared" si="19"/>
        <v>26588407.899999999</v>
      </c>
      <c r="AR21" s="526">
        <f t="shared" si="20"/>
        <v>-0.89999999850988388</v>
      </c>
      <c r="AS21" s="531">
        <f t="shared" si="0"/>
        <v>8472580</v>
      </c>
      <c r="AT21" s="531">
        <f t="shared" si="0"/>
        <v>8472580.1000000015</v>
      </c>
      <c r="AU21" s="531">
        <f t="shared" si="21"/>
        <v>-0.10000000149011612</v>
      </c>
      <c r="AV21" s="245">
        <f>+'Aging Analysis'!C16</f>
        <v>171788067</v>
      </c>
      <c r="AW21" s="243"/>
      <c r="AX21" s="243"/>
      <c r="AY21" s="243"/>
      <c r="AZ21" s="243"/>
      <c r="BA21" s="243"/>
      <c r="BB21" s="243"/>
      <c r="BC21" s="243"/>
    </row>
    <row r="22" spans="1:55" s="15" customFormat="1" ht="14.25" customHeight="1">
      <c r="A22" s="351"/>
      <c r="B22" s="353" t="s">
        <v>670</v>
      </c>
      <c r="C22" s="530">
        <f>+'Asset Classification'!C22</f>
        <v>0</v>
      </c>
      <c r="D22" s="531">
        <f>+'Asset Classification'!D22</f>
        <v>0</v>
      </c>
      <c r="E22" s="532">
        <f>+'Asset Classification'!E22</f>
        <v>0</v>
      </c>
      <c r="F22" s="531">
        <f>+'Asset Classification'!F22</f>
        <v>0</v>
      </c>
      <c r="G22" s="532">
        <f>+'Asset Classification'!G22</f>
        <v>0</v>
      </c>
      <c r="H22" s="531">
        <f t="shared" si="1"/>
        <v>0</v>
      </c>
      <c r="I22" s="531">
        <f t="shared" si="2"/>
        <v>0</v>
      </c>
      <c r="J22" s="532">
        <f>+'Asset Classification'!I22</f>
        <v>0</v>
      </c>
      <c r="K22" s="531">
        <f>+'Asset Classification'!J22</f>
        <v>0</v>
      </c>
      <c r="L22" s="532">
        <f>+'Asset Classification'!K22</f>
        <v>0</v>
      </c>
      <c r="M22" s="531">
        <f t="shared" si="3"/>
        <v>0</v>
      </c>
      <c r="N22" s="531">
        <f t="shared" si="4"/>
        <v>0</v>
      </c>
      <c r="O22" s="531">
        <f>+'Asset Classification'!L22</f>
        <v>0</v>
      </c>
      <c r="P22" s="531">
        <f t="shared" si="5"/>
        <v>0</v>
      </c>
      <c r="Q22" s="531">
        <f t="shared" si="6"/>
        <v>0</v>
      </c>
      <c r="R22" s="532">
        <f>+'Asset Classification'!M22</f>
        <v>0</v>
      </c>
      <c r="S22" s="531">
        <f>+'Asset Classification'!N22</f>
        <v>0</v>
      </c>
      <c r="T22" s="532">
        <f>+'Asset Classification'!O22</f>
        <v>0</v>
      </c>
      <c r="U22" s="531">
        <f t="shared" si="7"/>
        <v>0</v>
      </c>
      <c r="V22" s="531">
        <f t="shared" si="8"/>
        <v>0</v>
      </c>
      <c r="W22" s="531">
        <f>+'Asset Classification'!P22</f>
        <v>0</v>
      </c>
      <c r="X22" s="531">
        <f t="shared" si="9"/>
        <v>0</v>
      </c>
      <c r="Y22" s="531">
        <f t="shared" si="10"/>
        <v>0</v>
      </c>
      <c r="Z22" s="532">
        <f>+'Asset Classification'!Q22</f>
        <v>0</v>
      </c>
      <c r="AA22" s="531">
        <f>+'Asset Classification'!R22</f>
        <v>0</v>
      </c>
      <c r="AB22" s="532">
        <f>+'Asset Classification'!S22</f>
        <v>0</v>
      </c>
      <c r="AC22" s="531">
        <f t="shared" si="11"/>
        <v>0</v>
      </c>
      <c r="AD22" s="531">
        <f t="shared" si="12"/>
        <v>0</v>
      </c>
      <c r="AE22" s="531">
        <f>+'Asset Classification'!T22</f>
        <v>0</v>
      </c>
      <c r="AF22" s="531">
        <f t="shared" si="13"/>
        <v>0</v>
      </c>
      <c r="AG22" s="531">
        <f t="shared" si="14"/>
        <v>0</v>
      </c>
      <c r="AH22" s="532">
        <f>+'Asset Classification'!U22</f>
        <v>0</v>
      </c>
      <c r="AI22" s="531">
        <f>+'Asset Classification'!V22</f>
        <v>0</v>
      </c>
      <c r="AJ22" s="532">
        <f>+'Asset Classification'!W22</f>
        <v>0</v>
      </c>
      <c r="AK22" s="531">
        <f t="shared" si="15"/>
        <v>0</v>
      </c>
      <c r="AL22" s="531">
        <f t="shared" si="16"/>
        <v>0</v>
      </c>
      <c r="AM22" s="531">
        <f>+'Asset Classification'!X22</f>
        <v>0</v>
      </c>
      <c r="AN22" s="531">
        <f t="shared" si="17"/>
        <v>0</v>
      </c>
      <c r="AO22" s="531">
        <f t="shared" si="18"/>
        <v>0</v>
      </c>
      <c r="AP22" s="526">
        <f t="shared" si="19"/>
        <v>0</v>
      </c>
      <c r="AQ22" s="526">
        <f t="shared" si="19"/>
        <v>0</v>
      </c>
      <c r="AR22" s="526">
        <f t="shared" si="20"/>
        <v>0</v>
      </c>
      <c r="AS22" s="531">
        <f t="shared" si="0"/>
        <v>0</v>
      </c>
      <c r="AT22" s="531">
        <f t="shared" si="0"/>
        <v>0</v>
      </c>
      <c r="AU22" s="531">
        <f t="shared" si="21"/>
        <v>0</v>
      </c>
      <c r="AW22" s="243"/>
      <c r="AX22" s="243"/>
      <c r="AY22" s="243"/>
      <c r="AZ22" s="243"/>
      <c r="BA22" s="243"/>
      <c r="BB22" s="243"/>
      <c r="BC22" s="243"/>
    </row>
    <row r="23" spans="1:55" s="15" customFormat="1" ht="23.25" customHeight="1">
      <c r="A23" s="351">
        <v>9</v>
      </c>
      <c r="B23" s="148" t="s">
        <v>674</v>
      </c>
      <c r="C23" s="530">
        <f>+'Asset Classification'!C23</f>
        <v>2059286</v>
      </c>
      <c r="D23" s="531">
        <f>+'Asset Classification'!D23</f>
        <v>0</v>
      </c>
      <c r="E23" s="532">
        <f>+'Asset Classification'!E23</f>
        <v>2059286</v>
      </c>
      <c r="F23" s="531">
        <f>+'Asset Classification'!F23</f>
        <v>0</v>
      </c>
      <c r="G23" s="532">
        <f>+'Asset Classification'!G23</f>
        <v>20593</v>
      </c>
      <c r="H23" s="531">
        <f t="shared" si="1"/>
        <v>20592.86</v>
      </c>
      <c r="I23" s="531">
        <f t="shared" si="2"/>
        <v>0.13999999999941792</v>
      </c>
      <c r="J23" s="532">
        <f>+'Asset Classification'!I23</f>
        <v>0</v>
      </c>
      <c r="K23" s="531">
        <f>+'Asset Classification'!J23</f>
        <v>0</v>
      </c>
      <c r="L23" s="532">
        <f>+'Asset Classification'!K23</f>
        <v>0</v>
      </c>
      <c r="M23" s="531">
        <f t="shared" si="3"/>
        <v>0</v>
      </c>
      <c r="N23" s="531">
        <f t="shared" si="4"/>
        <v>0</v>
      </c>
      <c r="O23" s="531">
        <f>+'Asset Classification'!L23</f>
        <v>0</v>
      </c>
      <c r="P23" s="531">
        <f t="shared" si="5"/>
        <v>0</v>
      </c>
      <c r="Q23" s="531">
        <f t="shared" si="6"/>
        <v>0</v>
      </c>
      <c r="R23" s="532">
        <f>+'Asset Classification'!M23</f>
        <v>0</v>
      </c>
      <c r="S23" s="531">
        <f>+'Asset Classification'!N23</f>
        <v>0</v>
      </c>
      <c r="T23" s="532">
        <f>+'Asset Classification'!O23</f>
        <v>0</v>
      </c>
      <c r="U23" s="531">
        <f t="shared" si="7"/>
        <v>0</v>
      </c>
      <c r="V23" s="531">
        <f t="shared" si="8"/>
        <v>0</v>
      </c>
      <c r="W23" s="531">
        <f>+'Asset Classification'!P23</f>
        <v>0</v>
      </c>
      <c r="X23" s="531">
        <f t="shared" si="9"/>
        <v>0</v>
      </c>
      <c r="Y23" s="531">
        <f t="shared" si="10"/>
        <v>0</v>
      </c>
      <c r="Z23" s="532">
        <f>+'Asset Classification'!Q23</f>
        <v>0</v>
      </c>
      <c r="AA23" s="531">
        <f>+'Asset Classification'!R23</f>
        <v>0</v>
      </c>
      <c r="AB23" s="532">
        <f>+'Asset Classification'!S23</f>
        <v>0</v>
      </c>
      <c r="AC23" s="531">
        <f t="shared" si="11"/>
        <v>0</v>
      </c>
      <c r="AD23" s="531">
        <f t="shared" si="12"/>
        <v>0</v>
      </c>
      <c r="AE23" s="531">
        <f>+'Asset Classification'!T23</f>
        <v>0</v>
      </c>
      <c r="AF23" s="531">
        <f t="shared" si="13"/>
        <v>0</v>
      </c>
      <c r="AG23" s="531">
        <f t="shared" si="14"/>
        <v>0</v>
      </c>
      <c r="AH23" s="532">
        <f>+'Asset Classification'!U23</f>
        <v>0</v>
      </c>
      <c r="AI23" s="531">
        <f>+'Asset Classification'!V23</f>
        <v>0</v>
      </c>
      <c r="AJ23" s="532">
        <f>+'Asset Classification'!W23</f>
        <v>0</v>
      </c>
      <c r="AK23" s="531">
        <f t="shared" si="15"/>
        <v>0</v>
      </c>
      <c r="AL23" s="531">
        <f t="shared" si="16"/>
        <v>0</v>
      </c>
      <c r="AM23" s="531">
        <f>+'Asset Classification'!X23</f>
        <v>0</v>
      </c>
      <c r="AN23" s="531">
        <f t="shared" si="17"/>
        <v>0</v>
      </c>
      <c r="AO23" s="531">
        <f t="shared" si="18"/>
        <v>0</v>
      </c>
      <c r="AP23" s="526">
        <f t="shared" si="19"/>
        <v>0</v>
      </c>
      <c r="AQ23" s="526">
        <f t="shared" si="19"/>
        <v>0</v>
      </c>
      <c r="AR23" s="526">
        <f t="shared" si="20"/>
        <v>0</v>
      </c>
      <c r="AS23" s="531">
        <f t="shared" si="0"/>
        <v>0</v>
      </c>
      <c r="AT23" s="531">
        <f t="shared" si="0"/>
        <v>0</v>
      </c>
      <c r="AU23" s="531">
        <f t="shared" si="21"/>
        <v>0</v>
      </c>
      <c r="AV23" s="245">
        <f>+'Aging Analysis'!C17</f>
        <v>2059286</v>
      </c>
      <c r="AW23" s="243"/>
      <c r="AX23" s="243"/>
      <c r="AY23" s="243"/>
      <c r="AZ23" s="243"/>
      <c r="BA23" s="243"/>
      <c r="BB23" s="243"/>
      <c r="BC23" s="243"/>
    </row>
    <row r="24" spans="1:55" s="15" customFormat="1" ht="14.25" customHeight="1">
      <c r="A24" s="351"/>
      <c r="B24" s="353" t="s">
        <v>670</v>
      </c>
      <c r="C24" s="530">
        <f>+'Asset Classification'!C24</f>
        <v>0</v>
      </c>
      <c r="D24" s="531">
        <f>+'Asset Classification'!D24</f>
        <v>0</v>
      </c>
      <c r="E24" s="532">
        <f>+'Asset Classification'!E24</f>
        <v>0</v>
      </c>
      <c r="F24" s="531">
        <f>+'Asset Classification'!F24</f>
        <v>0</v>
      </c>
      <c r="G24" s="532">
        <f>+'Asset Classification'!G24</f>
        <v>0</v>
      </c>
      <c r="H24" s="531">
        <f t="shared" si="1"/>
        <v>0</v>
      </c>
      <c r="I24" s="531">
        <f t="shared" si="2"/>
        <v>0</v>
      </c>
      <c r="J24" s="532">
        <f>+'Asset Classification'!I24</f>
        <v>0</v>
      </c>
      <c r="K24" s="531">
        <f>+'Asset Classification'!J24</f>
        <v>0</v>
      </c>
      <c r="L24" s="532">
        <f>+'Asset Classification'!K24</f>
        <v>0</v>
      </c>
      <c r="M24" s="531">
        <f t="shared" si="3"/>
        <v>0</v>
      </c>
      <c r="N24" s="531">
        <f t="shared" si="4"/>
        <v>0</v>
      </c>
      <c r="O24" s="531">
        <f>+'Asset Classification'!L24</f>
        <v>0</v>
      </c>
      <c r="P24" s="531">
        <f t="shared" si="5"/>
        <v>0</v>
      </c>
      <c r="Q24" s="531">
        <f t="shared" si="6"/>
        <v>0</v>
      </c>
      <c r="R24" s="532">
        <f>+'Asset Classification'!M24</f>
        <v>0</v>
      </c>
      <c r="S24" s="531">
        <f>+'Asset Classification'!N24</f>
        <v>0</v>
      </c>
      <c r="T24" s="532">
        <f>+'Asset Classification'!O24</f>
        <v>0</v>
      </c>
      <c r="U24" s="531">
        <f t="shared" si="7"/>
        <v>0</v>
      </c>
      <c r="V24" s="531">
        <f t="shared" si="8"/>
        <v>0</v>
      </c>
      <c r="W24" s="531">
        <f>+'Asset Classification'!P24</f>
        <v>0</v>
      </c>
      <c r="X24" s="531">
        <f t="shared" si="9"/>
        <v>0</v>
      </c>
      <c r="Y24" s="531">
        <f t="shared" si="10"/>
        <v>0</v>
      </c>
      <c r="Z24" s="532">
        <f>+'Asset Classification'!Q24</f>
        <v>0</v>
      </c>
      <c r="AA24" s="531">
        <f>+'Asset Classification'!R24</f>
        <v>0</v>
      </c>
      <c r="AB24" s="532">
        <f>+'Asset Classification'!S24</f>
        <v>0</v>
      </c>
      <c r="AC24" s="531">
        <f t="shared" si="11"/>
        <v>0</v>
      </c>
      <c r="AD24" s="531">
        <f t="shared" si="12"/>
        <v>0</v>
      </c>
      <c r="AE24" s="531">
        <f>+'Asset Classification'!T24</f>
        <v>0</v>
      </c>
      <c r="AF24" s="531">
        <f t="shared" si="13"/>
        <v>0</v>
      </c>
      <c r="AG24" s="531">
        <f t="shared" si="14"/>
        <v>0</v>
      </c>
      <c r="AH24" s="532">
        <f>+'Asset Classification'!U24</f>
        <v>0</v>
      </c>
      <c r="AI24" s="531">
        <f>+'Asset Classification'!V24</f>
        <v>0</v>
      </c>
      <c r="AJ24" s="532">
        <f>+'Asset Classification'!W24</f>
        <v>0</v>
      </c>
      <c r="AK24" s="531">
        <f t="shared" si="15"/>
        <v>0</v>
      </c>
      <c r="AL24" s="531">
        <f t="shared" si="16"/>
        <v>0</v>
      </c>
      <c r="AM24" s="531">
        <f>+'Asset Classification'!X24</f>
        <v>0</v>
      </c>
      <c r="AN24" s="531">
        <f t="shared" si="17"/>
        <v>0</v>
      </c>
      <c r="AO24" s="531">
        <f t="shared" si="18"/>
        <v>0</v>
      </c>
      <c r="AP24" s="526">
        <f t="shared" si="19"/>
        <v>0</v>
      </c>
      <c r="AQ24" s="526">
        <f t="shared" si="19"/>
        <v>0</v>
      </c>
      <c r="AR24" s="526">
        <f t="shared" si="20"/>
        <v>0</v>
      </c>
      <c r="AS24" s="531">
        <f t="shared" si="0"/>
        <v>0</v>
      </c>
      <c r="AT24" s="531">
        <f t="shared" si="0"/>
        <v>0</v>
      </c>
      <c r="AU24" s="531">
        <f t="shared" si="21"/>
        <v>0</v>
      </c>
      <c r="AW24" s="243"/>
      <c r="AX24" s="243"/>
      <c r="AY24" s="243"/>
      <c r="AZ24" s="243"/>
      <c r="BA24" s="243"/>
      <c r="BB24" s="243"/>
      <c r="BC24" s="243"/>
    </row>
    <row r="25" spans="1:55" s="15" customFormat="1" ht="23.25" customHeight="1">
      <c r="A25" s="351">
        <v>10</v>
      </c>
      <c r="B25" s="148" t="s">
        <v>675</v>
      </c>
      <c r="C25" s="530">
        <f>+'Asset Classification'!C25</f>
        <v>10242602</v>
      </c>
      <c r="D25" s="531">
        <f>+'Asset Classification'!D25</f>
        <v>0</v>
      </c>
      <c r="E25" s="532">
        <f>+'Asset Classification'!E25</f>
        <v>3049477</v>
      </c>
      <c r="F25" s="531">
        <f>+'Asset Classification'!F25</f>
        <v>0</v>
      </c>
      <c r="G25" s="532">
        <f>+'Asset Classification'!G25</f>
        <v>30495</v>
      </c>
      <c r="H25" s="531">
        <f t="shared" si="1"/>
        <v>30494.77</v>
      </c>
      <c r="I25" s="531">
        <f t="shared" si="2"/>
        <v>0.22999999999956344</v>
      </c>
      <c r="J25" s="532">
        <f>+'Asset Classification'!I25</f>
        <v>1074164</v>
      </c>
      <c r="K25" s="531">
        <f>+'Asset Classification'!J25</f>
        <v>0</v>
      </c>
      <c r="L25" s="532">
        <f>+'Asset Classification'!K25</f>
        <v>107416</v>
      </c>
      <c r="M25" s="531">
        <f t="shared" si="3"/>
        <v>107416.40000000001</v>
      </c>
      <c r="N25" s="531">
        <f t="shared" si="4"/>
        <v>-0.40000000000873115</v>
      </c>
      <c r="O25" s="531">
        <f>+'Asset Classification'!L25</f>
        <v>0</v>
      </c>
      <c r="P25" s="531">
        <f t="shared" si="5"/>
        <v>0</v>
      </c>
      <c r="Q25" s="531">
        <f t="shared" si="6"/>
        <v>0</v>
      </c>
      <c r="R25" s="532">
        <f>+'Asset Classification'!M25</f>
        <v>1041035</v>
      </c>
      <c r="S25" s="531">
        <f>+'Asset Classification'!N25</f>
        <v>0</v>
      </c>
      <c r="T25" s="532">
        <f>+'Asset Classification'!O25</f>
        <v>195258</v>
      </c>
      <c r="U25" s="531">
        <f t="shared" si="7"/>
        <v>260258.75</v>
      </c>
      <c r="V25" s="531">
        <f t="shared" si="8"/>
        <v>-65000.75</v>
      </c>
      <c r="W25" s="531">
        <f>+'Asset Classification'!P25</f>
        <v>0</v>
      </c>
      <c r="X25" s="531">
        <f t="shared" si="9"/>
        <v>0</v>
      </c>
      <c r="Y25" s="531">
        <f t="shared" si="10"/>
        <v>0</v>
      </c>
      <c r="Z25" s="532">
        <f>+'Asset Classification'!Q25</f>
        <v>1884435</v>
      </c>
      <c r="AA25" s="531">
        <f>+'Asset Classification'!R25</f>
        <v>0</v>
      </c>
      <c r="AB25" s="532">
        <f>+'Asset Classification'!S25</f>
        <v>882546</v>
      </c>
      <c r="AC25" s="531">
        <f t="shared" si="11"/>
        <v>942217.5</v>
      </c>
      <c r="AD25" s="531">
        <f t="shared" si="12"/>
        <v>-59671.5</v>
      </c>
      <c r="AE25" s="531">
        <f>+'Asset Classification'!T25</f>
        <v>0</v>
      </c>
      <c r="AF25" s="531">
        <f t="shared" si="13"/>
        <v>0</v>
      </c>
      <c r="AG25" s="531">
        <f t="shared" si="14"/>
        <v>0</v>
      </c>
      <c r="AH25" s="532">
        <f>+'Asset Classification'!U25</f>
        <v>3193491</v>
      </c>
      <c r="AI25" s="531">
        <f>+'Asset Classification'!V25</f>
        <v>0</v>
      </c>
      <c r="AJ25" s="532">
        <f>+'Asset Classification'!W25</f>
        <v>3006146</v>
      </c>
      <c r="AK25" s="531">
        <f t="shared" si="15"/>
        <v>3193491</v>
      </c>
      <c r="AL25" s="531">
        <f t="shared" si="16"/>
        <v>-187345</v>
      </c>
      <c r="AM25" s="531">
        <f>+'Asset Classification'!X25</f>
        <v>0</v>
      </c>
      <c r="AN25" s="531">
        <f t="shared" si="17"/>
        <v>0</v>
      </c>
      <c r="AO25" s="531">
        <f t="shared" si="18"/>
        <v>0</v>
      </c>
      <c r="AP25" s="526">
        <f t="shared" si="19"/>
        <v>4191366</v>
      </c>
      <c r="AQ25" s="526">
        <f t="shared" si="19"/>
        <v>4503383.6500000004</v>
      </c>
      <c r="AR25" s="526">
        <f t="shared" si="20"/>
        <v>-312017.65000000037</v>
      </c>
      <c r="AS25" s="531">
        <f t="shared" si="0"/>
        <v>0</v>
      </c>
      <c r="AT25" s="531">
        <f t="shared" si="0"/>
        <v>0</v>
      </c>
      <c r="AU25" s="531">
        <f t="shared" si="21"/>
        <v>0</v>
      </c>
      <c r="AV25" s="245">
        <f>+'Aging Analysis'!C18</f>
        <v>10242602</v>
      </c>
      <c r="AW25" s="243"/>
      <c r="AX25" s="243"/>
      <c r="AY25" s="243"/>
      <c r="AZ25" s="243"/>
      <c r="BA25" s="243"/>
      <c r="BB25" s="243"/>
      <c r="BC25" s="243"/>
    </row>
    <row r="26" spans="1:55" s="15" customFormat="1" ht="14.25" customHeight="1">
      <c r="A26" s="351"/>
      <c r="B26" s="353" t="s">
        <v>670</v>
      </c>
      <c r="C26" s="530">
        <f>+'Asset Classification'!C26</f>
        <v>0</v>
      </c>
      <c r="D26" s="531">
        <f>+'Asset Classification'!D26</f>
        <v>0</v>
      </c>
      <c r="E26" s="532">
        <f>+'Asset Classification'!E26</f>
        <v>0</v>
      </c>
      <c r="F26" s="531">
        <f>+'Asset Classification'!F26</f>
        <v>0</v>
      </c>
      <c r="G26" s="532">
        <f>+'Asset Classification'!G26</f>
        <v>0</v>
      </c>
      <c r="H26" s="531">
        <f t="shared" si="1"/>
        <v>0</v>
      </c>
      <c r="I26" s="531">
        <f t="shared" si="2"/>
        <v>0</v>
      </c>
      <c r="J26" s="532">
        <f>+'Asset Classification'!I26</f>
        <v>0</v>
      </c>
      <c r="K26" s="531">
        <f>+'Asset Classification'!J26</f>
        <v>0</v>
      </c>
      <c r="L26" s="532">
        <f>+'Asset Classification'!K26</f>
        <v>0</v>
      </c>
      <c r="M26" s="531">
        <f t="shared" si="3"/>
        <v>0</v>
      </c>
      <c r="N26" s="531">
        <f t="shared" si="4"/>
        <v>0</v>
      </c>
      <c r="O26" s="531">
        <f>+'Asset Classification'!L26</f>
        <v>0</v>
      </c>
      <c r="P26" s="531">
        <f t="shared" si="5"/>
        <v>0</v>
      </c>
      <c r="Q26" s="531">
        <f t="shared" si="6"/>
        <v>0</v>
      </c>
      <c r="R26" s="532">
        <f>+'Asset Classification'!M26</f>
        <v>0</v>
      </c>
      <c r="S26" s="531">
        <f>+'Asset Classification'!N26</f>
        <v>0</v>
      </c>
      <c r="T26" s="532">
        <f>+'Asset Classification'!O26</f>
        <v>0</v>
      </c>
      <c r="U26" s="531">
        <f t="shared" si="7"/>
        <v>0</v>
      </c>
      <c r="V26" s="531">
        <f t="shared" si="8"/>
        <v>0</v>
      </c>
      <c r="W26" s="531">
        <f>+'Asset Classification'!P26</f>
        <v>0</v>
      </c>
      <c r="X26" s="531">
        <f t="shared" si="9"/>
        <v>0</v>
      </c>
      <c r="Y26" s="531">
        <f t="shared" si="10"/>
        <v>0</v>
      </c>
      <c r="Z26" s="532">
        <f>+'Asset Classification'!Q26</f>
        <v>0</v>
      </c>
      <c r="AA26" s="531">
        <f>+'Asset Classification'!R26</f>
        <v>0</v>
      </c>
      <c r="AB26" s="532">
        <f>+'Asset Classification'!S26</f>
        <v>0</v>
      </c>
      <c r="AC26" s="531">
        <f t="shared" si="11"/>
        <v>0</v>
      </c>
      <c r="AD26" s="531">
        <f t="shared" si="12"/>
        <v>0</v>
      </c>
      <c r="AE26" s="531">
        <f>+'Asset Classification'!T26</f>
        <v>0</v>
      </c>
      <c r="AF26" s="531">
        <f t="shared" si="13"/>
        <v>0</v>
      </c>
      <c r="AG26" s="531">
        <f t="shared" si="14"/>
        <v>0</v>
      </c>
      <c r="AH26" s="532">
        <f>+'Asset Classification'!U26</f>
        <v>0</v>
      </c>
      <c r="AI26" s="531">
        <f>+'Asset Classification'!V26</f>
        <v>0</v>
      </c>
      <c r="AJ26" s="532">
        <f>+'Asset Classification'!W26</f>
        <v>0</v>
      </c>
      <c r="AK26" s="531">
        <f t="shared" si="15"/>
        <v>0</v>
      </c>
      <c r="AL26" s="531">
        <f t="shared" si="16"/>
        <v>0</v>
      </c>
      <c r="AM26" s="531">
        <f>+'Asset Classification'!X26</f>
        <v>0</v>
      </c>
      <c r="AN26" s="531">
        <f t="shared" si="17"/>
        <v>0</v>
      </c>
      <c r="AO26" s="531">
        <f t="shared" si="18"/>
        <v>0</v>
      </c>
      <c r="AP26" s="526">
        <f t="shared" si="19"/>
        <v>0</v>
      </c>
      <c r="AQ26" s="526">
        <f t="shared" si="19"/>
        <v>0</v>
      </c>
      <c r="AR26" s="526">
        <f t="shared" si="20"/>
        <v>0</v>
      </c>
      <c r="AS26" s="531">
        <f t="shared" si="0"/>
        <v>0</v>
      </c>
      <c r="AT26" s="531">
        <f t="shared" si="0"/>
        <v>0</v>
      </c>
      <c r="AU26" s="531">
        <f t="shared" si="21"/>
        <v>0</v>
      </c>
      <c r="AW26" s="243"/>
      <c r="AX26" s="243"/>
      <c r="AY26" s="243"/>
      <c r="AZ26" s="243"/>
      <c r="BA26" s="243"/>
      <c r="BB26" s="243"/>
      <c r="BC26" s="243"/>
    </row>
    <row r="27" spans="1:55" s="15" customFormat="1" ht="23.25" customHeight="1">
      <c r="A27" s="351">
        <v>11</v>
      </c>
      <c r="B27" s="148" t="s">
        <v>676</v>
      </c>
      <c r="C27" s="530">
        <f>+'Asset Classification'!C27</f>
        <v>0</v>
      </c>
      <c r="D27" s="531">
        <f>+'Asset Classification'!D27</f>
        <v>0</v>
      </c>
      <c r="E27" s="532">
        <f>+'Asset Classification'!E27</f>
        <v>0</v>
      </c>
      <c r="F27" s="531">
        <f>+'Asset Classification'!F27</f>
        <v>0</v>
      </c>
      <c r="G27" s="532">
        <f>+'Asset Classification'!G27</f>
        <v>0</v>
      </c>
      <c r="H27" s="531">
        <f t="shared" si="1"/>
        <v>0</v>
      </c>
      <c r="I27" s="531">
        <f t="shared" si="2"/>
        <v>0</v>
      </c>
      <c r="J27" s="532">
        <f>+'Asset Classification'!I27</f>
        <v>0</v>
      </c>
      <c r="K27" s="531">
        <f>+'Asset Classification'!J27</f>
        <v>0</v>
      </c>
      <c r="L27" s="532">
        <f>+'Asset Classification'!K27</f>
        <v>0</v>
      </c>
      <c r="M27" s="531">
        <f t="shared" si="3"/>
        <v>0</v>
      </c>
      <c r="N27" s="531">
        <f t="shared" si="4"/>
        <v>0</v>
      </c>
      <c r="O27" s="531">
        <f>+'Asset Classification'!L27</f>
        <v>0</v>
      </c>
      <c r="P27" s="531">
        <f t="shared" si="5"/>
        <v>0</v>
      </c>
      <c r="Q27" s="531">
        <f t="shared" si="6"/>
        <v>0</v>
      </c>
      <c r="R27" s="532">
        <f>+'Asset Classification'!M27</f>
        <v>0</v>
      </c>
      <c r="S27" s="531">
        <f>+'Asset Classification'!N27</f>
        <v>0</v>
      </c>
      <c r="T27" s="532">
        <f>+'Asset Classification'!O27</f>
        <v>0</v>
      </c>
      <c r="U27" s="531">
        <f t="shared" si="7"/>
        <v>0</v>
      </c>
      <c r="V27" s="531">
        <f t="shared" si="8"/>
        <v>0</v>
      </c>
      <c r="W27" s="531">
        <f>+'Asset Classification'!P27</f>
        <v>0</v>
      </c>
      <c r="X27" s="531">
        <f t="shared" si="9"/>
        <v>0</v>
      </c>
      <c r="Y27" s="531">
        <f t="shared" si="10"/>
        <v>0</v>
      </c>
      <c r="Z27" s="532">
        <f>+'Asset Classification'!Q27</f>
        <v>0</v>
      </c>
      <c r="AA27" s="531">
        <f>+'Asset Classification'!R27</f>
        <v>0</v>
      </c>
      <c r="AB27" s="532">
        <f>+'Asset Classification'!S27</f>
        <v>0</v>
      </c>
      <c r="AC27" s="531">
        <f t="shared" si="11"/>
        <v>0</v>
      </c>
      <c r="AD27" s="531">
        <f t="shared" si="12"/>
        <v>0</v>
      </c>
      <c r="AE27" s="531">
        <f>+'Asset Classification'!T27</f>
        <v>0</v>
      </c>
      <c r="AF27" s="531">
        <f t="shared" si="13"/>
        <v>0</v>
      </c>
      <c r="AG27" s="531">
        <f t="shared" si="14"/>
        <v>0</v>
      </c>
      <c r="AH27" s="532">
        <f>+'Asset Classification'!U27</f>
        <v>0</v>
      </c>
      <c r="AI27" s="531">
        <f>+'Asset Classification'!V27</f>
        <v>0</v>
      </c>
      <c r="AJ27" s="532">
        <f>+'Asset Classification'!W27</f>
        <v>0</v>
      </c>
      <c r="AK27" s="531">
        <f t="shared" si="15"/>
        <v>0</v>
      </c>
      <c r="AL27" s="531">
        <f t="shared" si="16"/>
        <v>0</v>
      </c>
      <c r="AM27" s="531">
        <f>+'Asset Classification'!X27</f>
        <v>0</v>
      </c>
      <c r="AN27" s="531">
        <f t="shared" si="17"/>
        <v>0</v>
      </c>
      <c r="AO27" s="531">
        <f t="shared" si="18"/>
        <v>0</v>
      </c>
      <c r="AP27" s="526">
        <f t="shared" si="19"/>
        <v>0</v>
      </c>
      <c r="AQ27" s="526">
        <f t="shared" si="19"/>
        <v>0</v>
      </c>
      <c r="AR27" s="526">
        <f t="shared" si="20"/>
        <v>0</v>
      </c>
      <c r="AS27" s="531">
        <f t="shared" si="0"/>
        <v>0</v>
      </c>
      <c r="AT27" s="531">
        <f t="shared" si="0"/>
        <v>0</v>
      </c>
      <c r="AU27" s="531">
        <f t="shared" si="21"/>
        <v>0</v>
      </c>
      <c r="AV27" s="245">
        <f>+'Aging Analysis'!C19</f>
        <v>0</v>
      </c>
      <c r="AW27" s="243"/>
      <c r="AX27" s="243"/>
      <c r="AY27" s="243"/>
      <c r="AZ27" s="243"/>
      <c r="BA27" s="243"/>
      <c r="BB27" s="243"/>
      <c r="BC27" s="243"/>
    </row>
    <row r="28" spans="1:55" s="15" customFormat="1" ht="14.25" customHeight="1">
      <c r="A28" s="351"/>
      <c r="B28" s="353" t="s">
        <v>670</v>
      </c>
      <c r="C28" s="530">
        <f>+'Asset Classification'!C28</f>
        <v>0</v>
      </c>
      <c r="D28" s="531">
        <f>+'Asset Classification'!D28</f>
        <v>0</v>
      </c>
      <c r="E28" s="532">
        <f>+'Asset Classification'!E28</f>
        <v>0</v>
      </c>
      <c r="F28" s="531">
        <f>+'Asset Classification'!F28</f>
        <v>0</v>
      </c>
      <c r="G28" s="532">
        <f>+'Asset Classification'!G28</f>
        <v>0</v>
      </c>
      <c r="H28" s="531">
        <f t="shared" si="1"/>
        <v>0</v>
      </c>
      <c r="I28" s="531">
        <f t="shared" si="2"/>
        <v>0</v>
      </c>
      <c r="J28" s="532">
        <f>+'Asset Classification'!I28</f>
        <v>0</v>
      </c>
      <c r="K28" s="531">
        <f>+'Asset Classification'!J28</f>
        <v>0</v>
      </c>
      <c r="L28" s="532">
        <f>+'Asset Classification'!K28</f>
        <v>0</v>
      </c>
      <c r="M28" s="531">
        <f t="shared" si="3"/>
        <v>0</v>
      </c>
      <c r="N28" s="531">
        <f t="shared" si="4"/>
        <v>0</v>
      </c>
      <c r="O28" s="531">
        <f>+'Asset Classification'!L28</f>
        <v>0</v>
      </c>
      <c r="P28" s="531">
        <f t="shared" si="5"/>
        <v>0</v>
      </c>
      <c r="Q28" s="531">
        <f t="shared" si="6"/>
        <v>0</v>
      </c>
      <c r="R28" s="532">
        <f>+'Asset Classification'!M28</f>
        <v>0</v>
      </c>
      <c r="S28" s="531">
        <f>+'Asset Classification'!N28</f>
        <v>0</v>
      </c>
      <c r="T28" s="532">
        <f>+'Asset Classification'!O28</f>
        <v>0</v>
      </c>
      <c r="U28" s="531">
        <f t="shared" si="7"/>
        <v>0</v>
      </c>
      <c r="V28" s="531">
        <f t="shared" si="8"/>
        <v>0</v>
      </c>
      <c r="W28" s="531">
        <f>+'Asset Classification'!P28</f>
        <v>0</v>
      </c>
      <c r="X28" s="531">
        <f t="shared" si="9"/>
        <v>0</v>
      </c>
      <c r="Y28" s="531">
        <f t="shared" si="10"/>
        <v>0</v>
      </c>
      <c r="Z28" s="532">
        <f>+'Asset Classification'!Q28</f>
        <v>0</v>
      </c>
      <c r="AA28" s="531">
        <f>+'Asset Classification'!R28</f>
        <v>0</v>
      </c>
      <c r="AB28" s="532">
        <f>+'Asset Classification'!S28</f>
        <v>0</v>
      </c>
      <c r="AC28" s="531">
        <f t="shared" si="11"/>
        <v>0</v>
      </c>
      <c r="AD28" s="531">
        <f t="shared" si="12"/>
        <v>0</v>
      </c>
      <c r="AE28" s="531">
        <f>+'Asset Classification'!T28</f>
        <v>0</v>
      </c>
      <c r="AF28" s="531">
        <f t="shared" si="13"/>
        <v>0</v>
      </c>
      <c r="AG28" s="531">
        <f t="shared" si="14"/>
        <v>0</v>
      </c>
      <c r="AH28" s="532">
        <f>+'Asset Classification'!U28</f>
        <v>0</v>
      </c>
      <c r="AI28" s="531">
        <f>+'Asset Classification'!V28</f>
        <v>0</v>
      </c>
      <c r="AJ28" s="532">
        <f>+'Asset Classification'!W28</f>
        <v>0</v>
      </c>
      <c r="AK28" s="531">
        <f t="shared" si="15"/>
        <v>0</v>
      </c>
      <c r="AL28" s="531">
        <f t="shared" si="16"/>
        <v>0</v>
      </c>
      <c r="AM28" s="531">
        <f>+'Asset Classification'!X28</f>
        <v>0</v>
      </c>
      <c r="AN28" s="531">
        <f t="shared" si="17"/>
        <v>0</v>
      </c>
      <c r="AO28" s="531">
        <f t="shared" si="18"/>
        <v>0</v>
      </c>
      <c r="AP28" s="526">
        <f t="shared" si="19"/>
        <v>0</v>
      </c>
      <c r="AQ28" s="526">
        <f t="shared" si="19"/>
        <v>0</v>
      </c>
      <c r="AR28" s="526">
        <f t="shared" si="20"/>
        <v>0</v>
      </c>
      <c r="AS28" s="531">
        <f t="shared" si="0"/>
        <v>0</v>
      </c>
      <c r="AT28" s="531">
        <f t="shared" si="0"/>
        <v>0</v>
      </c>
      <c r="AU28" s="531">
        <f t="shared" si="21"/>
        <v>0</v>
      </c>
      <c r="AW28" s="243"/>
      <c r="AX28" s="243"/>
      <c r="AY28" s="243"/>
      <c r="AZ28" s="243"/>
      <c r="BA28" s="243"/>
      <c r="BB28" s="243"/>
      <c r="BC28" s="243"/>
    </row>
    <row r="29" spans="1:55" s="15" customFormat="1" ht="23.25" customHeight="1">
      <c r="A29" s="351">
        <v>12</v>
      </c>
      <c r="B29" s="148" t="s">
        <v>677</v>
      </c>
      <c r="C29" s="530">
        <f>+'Asset Classification'!C29</f>
        <v>0</v>
      </c>
      <c r="D29" s="531">
        <f>+'Asset Classification'!D29</f>
        <v>0</v>
      </c>
      <c r="E29" s="532">
        <f>+'Asset Classification'!E29</f>
        <v>0</v>
      </c>
      <c r="F29" s="531">
        <f>+'Asset Classification'!F29</f>
        <v>0</v>
      </c>
      <c r="G29" s="532">
        <f>+'Asset Classification'!G29</f>
        <v>0</v>
      </c>
      <c r="H29" s="531">
        <f t="shared" si="1"/>
        <v>0</v>
      </c>
      <c r="I29" s="531">
        <f t="shared" si="2"/>
        <v>0</v>
      </c>
      <c r="J29" s="532">
        <f>+'Asset Classification'!I29</f>
        <v>0</v>
      </c>
      <c r="K29" s="531">
        <f>+'Asset Classification'!J29</f>
        <v>0</v>
      </c>
      <c r="L29" s="532">
        <f>+'Asset Classification'!K29</f>
        <v>0</v>
      </c>
      <c r="M29" s="531">
        <f t="shared" si="3"/>
        <v>0</v>
      </c>
      <c r="N29" s="531">
        <f t="shared" si="4"/>
        <v>0</v>
      </c>
      <c r="O29" s="531">
        <f>+'Asset Classification'!L29</f>
        <v>0</v>
      </c>
      <c r="P29" s="531">
        <f t="shared" si="5"/>
        <v>0</v>
      </c>
      <c r="Q29" s="531">
        <f t="shared" si="6"/>
        <v>0</v>
      </c>
      <c r="R29" s="532">
        <f>+'Asset Classification'!M29</f>
        <v>0</v>
      </c>
      <c r="S29" s="531">
        <f>+'Asset Classification'!N29</f>
        <v>0</v>
      </c>
      <c r="T29" s="532">
        <f>+'Asset Classification'!O29</f>
        <v>0</v>
      </c>
      <c r="U29" s="531">
        <f t="shared" si="7"/>
        <v>0</v>
      </c>
      <c r="V29" s="531">
        <f t="shared" si="8"/>
        <v>0</v>
      </c>
      <c r="W29" s="531">
        <f>+'Asset Classification'!P29</f>
        <v>0</v>
      </c>
      <c r="X29" s="531">
        <f t="shared" si="9"/>
        <v>0</v>
      </c>
      <c r="Y29" s="531">
        <f t="shared" si="10"/>
        <v>0</v>
      </c>
      <c r="Z29" s="532">
        <f>+'Asset Classification'!Q29</f>
        <v>0</v>
      </c>
      <c r="AA29" s="531">
        <f>+'Asset Classification'!R29</f>
        <v>0</v>
      </c>
      <c r="AB29" s="532">
        <f>+'Asset Classification'!S29</f>
        <v>0</v>
      </c>
      <c r="AC29" s="531">
        <f t="shared" si="11"/>
        <v>0</v>
      </c>
      <c r="AD29" s="531">
        <f t="shared" si="12"/>
        <v>0</v>
      </c>
      <c r="AE29" s="531">
        <f>+'Asset Classification'!T29</f>
        <v>0</v>
      </c>
      <c r="AF29" s="531">
        <f t="shared" si="13"/>
        <v>0</v>
      </c>
      <c r="AG29" s="531">
        <f t="shared" si="14"/>
        <v>0</v>
      </c>
      <c r="AH29" s="532">
        <f>+'Asset Classification'!U29</f>
        <v>0</v>
      </c>
      <c r="AI29" s="531">
        <f>+'Asset Classification'!V29</f>
        <v>0</v>
      </c>
      <c r="AJ29" s="532">
        <f>+'Asset Classification'!W29</f>
        <v>0</v>
      </c>
      <c r="AK29" s="531">
        <f t="shared" si="15"/>
        <v>0</v>
      </c>
      <c r="AL29" s="531">
        <f t="shared" si="16"/>
        <v>0</v>
      </c>
      <c r="AM29" s="531">
        <f>+'Asset Classification'!X29</f>
        <v>0</v>
      </c>
      <c r="AN29" s="531">
        <f t="shared" si="17"/>
        <v>0</v>
      </c>
      <c r="AO29" s="531">
        <f t="shared" si="18"/>
        <v>0</v>
      </c>
      <c r="AP29" s="526">
        <f t="shared" si="19"/>
        <v>0</v>
      </c>
      <c r="AQ29" s="526">
        <f t="shared" si="19"/>
        <v>0</v>
      </c>
      <c r="AR29" s="526">
        <f t="shared" si="20"/>
        <v>0</v>
      </c>
      <c r="AS29" s="531">
        <f t="shared" si="0"/>
        <v>0</v>
      </c>
      <c r="AT29" s="531">
        <f t="shared" si="0"/>
        <v>0</v>
      </c>
      <c r="AU29" s="531">
        <f t="shared" si="21"/>
        <v>0</v>
      </c>
      <c r="AV29" s="245">
        <f>+'Aging Analysis'!C20</f>
        <v>0</v>
      </c>
      <c r="AW29" s="243"/>
      <c r="AX29" s="243"/>
      <c r="AY29" s="243"/>
      <c r="AZ29" s="243"/>
      <c r="BA29" s="243"/>
      <c r="BB29" s="243"/>
      <c r="BC29" s="243"/>
    </row>
    <row r="30" spans="1:55" s="15" customFormat="1" ht="14.25" customHeight="1">
      <c r="A30" s="351"/>
      <c r="B30" s="353" t="s">
        <v>670</v>
      </c>
      <c r="C30" s="530">
        <f>+'Asset Classification'!C30</f>
        <v>0</v>
      </c>
      <c r="D30" s="531">
        <f>+'Asset Classification'!D30</f>
        <v>0</v>
      </c>
      <c r="E30" s="532">
        <f>+'Asset Classification'!E30</f>
        <v>0</v>
      </c>
      <c r="F30" s="531">
        <f>+'Asset Classification'!F30</f>
        <v>0</v>
      </c>
      <c r="G30" s="532">
        <f>+'Asset Classification'!G30</f>
        <v>0</v>
      </c>
      <c r="H30" s="531">
        <f t="shared" si="1"/>
        <v>0</v>
      </c>
      <c r="I30" s="531">
        <f t="shared" si="2"/>
        <v>0</v>
      </c>
      <c r="J30" s="532">
        <f>+'Asset Classification'!I30</f>
        <v>0</v>
      </c>
      <c r="K30" s="531">
        <f>+'Asset Classification'!J30</f>
        <v>0</v>
      </c>
      <c r="L30" s="532">
        <f>+'Asset Classification'!K30</f>
        <v>0</v>
      </c>
      <c r="M30" s="531">
        <f t="shared" si="3"/>
        <v>0</v>
      </c>
      <c r="N30" s="531">
        <f t="shared" si="4"/>
        <v>0</v>
      </c>
      <c r="O30" s="531">
        <f>+'Asset Classification'!L30</f>
        <v>0</v>
      </c>
      <c r="P30" s="531">
        <f t="shared" si="5"/>
        <v>0</v>
      </c>
      <c r="Q30" s="531">
        <f t="shared" si="6"/>
        <v>0</v>
      </c>
      <c r="R30" s="532">
        <f>+'Asset Classification'!M30</f>
        <v>0</v>
      </c>
      <c r="S30" s="531">
        <f>+'Asset Classification'!N30</f>
        <v>0</v>
      </c>
      <c r="T30" s="532">
        <f>+'Asset Classification'!O30</f>
        <v>0</v>
      </c>
      <c r="U30" s="531">
        <f t="shared" si="7"/>
        <v>0</v>
      </c>
      <c r="V30" s="531">
        <f t="shared" si="8"/>
        <v>0</v>
      </c>
      <c r="W30" s="531">
        <f>+'Asset Classification'!P30</f>
        <v>0</v>
      </c>
      <c r="X30" s="531">
        <f t="shared" si="9"/>
        <v>0</v>
      </c>
      <c r="Y30" s="531">
        <f t="shared" si="10"/>
        <v>0</v>
      </c>
      <c r="Z30" s="532">
        <f>+'Asset Classification'!Q30</f>
        <v>0</v>
      </c>
      <c r="AA30" s="531">
        <f>+'Asset Classification'!R30</f>
        <v>0</v>
      </c>
      <c r="AB30" s="532">
        <f>+'Asset Classification'!S30</f>
        <v>0</v>
      </c>
      <c r="AC30" s="531">
        <f t="shared" si="11"/>
        <v>0</v>
      </c>
      <c r="AD30" s="531">
        <f t="shared" si="12"/>
        <v>0</v>
      </c>
      <c r="AE30" s="531">
        <f>+'Asset Classification'!T30</f>
        <v>0</v>
      </c>
      <c r="AF30" s="531">
        <f t="shared" si="13"/>
        <v>0</v>
      </c>
      <c r="AG30" s="531">
        <f t="shared" si="14"/>
        <v>0</v>
      </c>
      <c r="AH30" s="532">
        <f>+'Asset Classification'!U30</f>
        <v>0</v>
      </c>
      <c r="AI30" s="531">
        <f>+'Asset Classification'!V30</f>
        <v>0</v>
      </c>
      <c r="AJ30" s="532">
        <f>+'Asset Classification'!W30</f>
        <v>0</v>
      </c>
      <c r="AK30" s="531">
        <f t="shared" si="15"/>
        <v>0</v>
      </c>
      <c r="AL30" s="531">
        <f t="shared" si="16"/>
        <v>0</v>
      </c>
      <c r="AM30" s="531">
        <f>+'Asset Classification'!X30</f>
        <v>0</v>
      </c>
      <c r="AN30" s="531">
        <f t="shared" si="17"/>
        <v>0</v>
      </c>
      <c r="AO30" s="531">
        <f t="shared" si="18"/>
        <v>0</v>
      </c>
      <c r="AP30" s="526">
        <f t="shared" si="19"/>
        <v>0</v>
      </c>
      <c r="AQ30" s="526">
        <f t="shared" si="19"/>
        <v>0</v>
      </c>
      <c r="AR30" s="526">
        <f t="shared" si="20"/>
        <v>0</v>
      </c>
      <c r="AS30" s="531">
        <f t="shared" si="0"/>
        <v>0</v>
      </c>
      <c r="AT30" s="531">
        <f t="shared" si="0"/>
        <v>0</v>
      </c>
      <c r="AU30" s="531">
        <f t="shared" si="21"/>
        <v>0</v>
      </c>
      <c r="AV30" s="243"/>
      <c r="AW30" s="243"/>
      <c r="AX30" s="243"/>
      <c r="AY30" s="243"/>
      <c r="AZ30" s="243"/>
      <c r="BA30" s="243"/>
      <c r="BB30" s="243"/>
      <c r="BC30" s="243"/>
    </row>
    <row r="31" spans="1:55" s="512" customFormat="1" ht="28.5" customHeight="1">
      <c r="A31" s="510">
        <v>13</v>
      </c>
      <c r="B31" s="510" t="s">
        <v>678</v>
      </c>
      <c r="C31" s="527">
        <f>+'Asset Classification'!C31</f>
        <v>48075884880</v>
      </c>
      <c r="D31" s="527">
        <f>+'Asset Classification'!D31</f>
        <v>30828142644</v>
      </c>
      <c r="E31" s="527">
        <f>+'Asset Classification'!E31</f>
        <v>44160297748</v>
      </c>
      <c r="F31" s="527">
        <f>+'Asset Classification'!F31</f>
        <v>28307852456</v>
      </c>
      <c r="G31" s="527">
        <f>+'Asset Classification'!G31</f>
        <v>414689972</v>
      </c>
      <c r="H31" s="527">
        <f t="shared" ref="H31:I31" si="22">+H7+H9+H11+H13+H15+H17+H19+H21+H23+H25+H27+H29</f>
        <v>441602977.48000002</v>
      </c>
      <c r="I31" s="527">
        <f t="shared" si="22"/>
        <v>-26913005.479999993</v>
      </c>
      <c r="J31" s="527">
        <f>+'Asset Classification'!I31</f>
        <v>2556900652</v>
      </c>
      <c r="K31" s="527">
        <f>+'Asset Classification'!J31</f>
        <v>1684963039</v>
      </c>
      <c r="L31" s="527">
        <f>+'Asset Classification'!K31</f>
        <v>255622767</v>
      </c>
      <c r="M31" s="527">
        <f t="shared" ref="M31:N31" si="23">+M7+M9+M11+M13+M15+M17+M19+M21+M23+M25+M27+M29</f>
        <v>255690065.20000002</v>
      </c>
      <c r="N31" s="527">
        <f t="shared" si="23"/>
        <v>-67298.20000001193</v>
      </c>
      <c r="O31" s="527">
        <f>+'Asset Classification'!L31</f>
        <v>168496305</v>
      </c>
      <c r="P31" s="527">
        <f t="shared" ref="P31:Q31" si="24">+P7+P9+P11+P13+P15+P17+P19+P21+P23+P25+P27+P29</f>
        <v>168496303.90000001</v>
      </c>
      <c r="Q31" s="527">
        <f t="shared" si="24"/>
        <v>1.0999999800696969</v>
      </c>
      <c r="R31" s="527">
        <f>+'Asset Classification'!M31</f>
        <v>436789210</v>
      </c>
      <c r="S31" s="527">
        <f>+'Asset Classification'!N31</f>
        <v>228730389</v>
      </c>
      <c r="T31" s="527">
        <f>+'Asset Classification'!O31</f>
        <v>107787533</v>
      </c>
      <c r="U31" s="527">
        <f t="shared" ref="U31:V31" si="25">+U7+U9+U11+U13+U15+U17+U19+U21+U23+U25+U27+U29</f>
        <v>109197302.5</v>
      </c>
      <c r="V31" s="527">
        <f t="shared" si="25"/>
        <v>-1409769.5</v>
      </c>
      <c r="W31" s="527">
        <f>+'Asset Classification'!P31</f>
        <v>56116179</v>
      </c>
      <c r="X31" s="527">
        <f t="shared" ref="X31:Y31" si="26">+X7+X9+X11+X13+X15+X17+X19+X21+X23+X25+X27+X29</f>
        <v>57182597.25</v>
      </c>
      <c r="Y31" s="527">
        <f t="shared" si="26"/>
        <v>-1066418.25</v>
      </c>
      <c r="Z31" s="527">
        <f>+'Asset Classification'!Q31</f>
        <v>830442808</v>
      </c>
      <c r="AA31" s="527">
        <f>+'Asset Classification'!R31</f>
        <v>563175767</v>
      </c>
      <c r="AB31" s="527">
        <f>+'Asset Classification'!S31</f>
        <v>414805245</v>
      </c>
      <c r="AC31" s="527">
        <f t="shared" ref="AC31:AD31" si="27">+AC7+AC9+AC11+AC13+AC15+AC17+AC19+AC21+AC23+AC25+AC27+AC29</f>
        <v>415221404</v>
      </c>
      <c r="AD31" s="527">
        <f t="shared" si="27"/>
        <v>-416159</v>
      </c>
      <c r="AE31" s="527">
        <f>+'Asset Classification'!T31</f>
        <v>281587884</v>
      </c>
      <c r="AF31" s="527">
        <f t="shared" ref="AF31:AG31" si="28">+AF7+AF9+AF11+AF13+AF15+AF17+AF19+AF21+AF23+AF25+AF27+AF29</f>
        <v>281587883.5</v>
      </c>
      <c r="AG31" s="527">
        <f t="shared" si="28"/>
        <v>0.5</v>
      </c>
      <c r="AH31" s="527">
        <f>+'Asset Classification'!U31</f>
        <v>91454462</v>
      </c>
      <c r="AI31" s="527">
        <f>+'Asset Classification'!V31</f>
        <v>43420993</v>
      </c>
      <c r="AJ31" s="527">
        <f>+'Asset Classification'!W31</f>
        <v>90597194</v>
      </c>
      <c r="AK31" s="527">
        <f t="shared" ref="AK31:AL31" si="29">+AK7+AK9+AK11+AK13+AK15+AK17+AK19+AK21+AK23+AK25+AK27+AK29</f>
        <v>91454462</v>
      </c>
      <c r="AL31" s="527">
        <f t="shared" si="29"/>
        <v>-857268</v>
      </c>
      <c r="AM31" s="527">
        <f>+'Asset Classification'!X31</f>
        <v>43420993</v>
      </c>
      <c r="AN31" s="527">
        <f t="shared" ref="AN31:AU31" si="30">+AN7+AN9+AN11+AN13+AN15+AN17+AN19+AN21+AN23+AN25+AN27+AN29</f>
        <v>43420993</v>
      </c>
      <c r="AO31" s="527">
        <f t="shared" si="30"/>
        <v>0</v>
      </c>
      <c r="AP31" s="527">
        <f t="shared" si="30"/>
        <v>868812739</v>
      </c>
      <c r="AQ31" s="527">
        <f t="shared" si="30"/>
        <v>871563233.69999993</v>
      </c>
      <c r="AR31" s="527">
        <f t="shared" si="30"/>
        <v>-2750494.6999999452</v>
      </c>
      <c r="AS31" s="527">
        <f t="shared" si="30"/>
        <v>549621361</v>
      </c>
      <c r="AT31" s="527">
        <f t="shared" si="30"/>
        <v>550687777.6500001</v>
      </c>
      <c r="AU31" s="527">
        <f t="shared" si="30"/>
        <v>-1066416.6500000432</v>
      </c>
      <c r="AV31" s="511">
        <f>+'Loans Receivable'!C85</f>
        <v>48075884880</v>
      </c>
    </row>
    <row r="32" spans="1:55" s="15" customFormat="1" ht="13.5" customHeight="1">
      <c r="A32" s="351"/>
      <c r="B32" s="355" t="s">
        <v>670</v>
      </c>
      <c r="C32" s="530">
        <f>+'Asset Classification'!C32</f>
        <v>0</v>
      </c>
      <c r="D32" s="531">
        <f>+'Asset Classification'!D32</f>
        <v>0</v>
      </c>
      <c r="E32" s="532">
        <f>+'Asset Classification'!E32</f>
        <v>0</v>
      </c>
      <c r="F32" s="531">
        <f>+'Asset Classification'!F32</f>
        <v>0</v>
      </c>
      <c r="G32" s="532">
        <f>+'Asset Classification'!G32</f>
        <v>0</v>
      </c>
      <c r="H32" s="531">
        <f t="shared" ref="H32" si="31">+E32*1%</f>
        <v>0</v>
      </c>
      <c r="I32" s="531">
        <f t="shared" ref="I32" si="32">+G32-H32</f>
        <v>0</v>
      </c>
      <c r="J32" s="532">
        <f>+'Asset Classification'!I32</f>
        <v>0</v>
      </c>
      <c r="K32" s="531">
        <f>+'Asset Classification'!J32</f>
        <v>0</v>
      </c>
      <c r="L32" s="532">
        <f>+'Asset Classification'!K32</f>
        <v>0</v>
      </c>
      <c r="M32" s="531">
        <f t="shared" ref="M32" si="33">+J32*10%</f>
        <v>0</v>
      </c>
      <c r="N32" s="531">
        <f t="shared" ref="N32" si="34">+L32-M32</f>
        <v>0</v>
      </c>
      <c r="O32" s="531">
        <f>+'Asset Classification'!L32</f>
        <v>0</v>
      </c>
      <c r="P32" s="531">
        <f t="shared" ref="P32" si="35">+K32*10%</f>
        <v>0</v>
      </c>
      <c r="Q32" s="531">
        <f t="shared" ref="Q32" si="36">+O32-P32</f>
        <v>0</v>
      </c>
      <c r="R32" s="532">
        <f>+'Asset Classification'!M32</f>
        <v>0</v>
      </c>
      <c r="S32" s="531">
        <f>+'Asset Classification'!N32</f>
        <v>0</v>
      </c>
      <c r="T32" s="532">
        <f>+'Asset Classification'!O32</f>
        <v>0</v>
      </c>
      <c r="U32" s="531">
        <f t="shared" ref="U32" si="37">+R32*25%</f>
        <v>0</v>
      </c>
      <c r="V32" s="531">
        <f t="shared" ref="V32" si="38">+T32-U32</f>
        <v>0</v>
      </c>
      <c r="W32" s="531">
        <f>+'Asset Classification'!P32</f>
        <v>0</v>
      </c>
      <c r="X32" s="531">
        <f t="shared" ref="X32" si="39">+S32*25%</f>
        <v>0</v>
      </c>
      <c r="Y32" s="531">
        <f t="shared" ref="Y32" si="40">+W32-X32</f>
        <v>0</v>
      </c>
      <c r="Z32" s="532">
        <f>+'Asset Classification'!Q32</f>
        <v>0</v>
      </c>
      <c r="AA32" s="531">
        <f>+'Asset Classification'!R32</f>
        <v>0</v>
      </c>
      <c r="AB32" s="532">
        <f>+'Asset Classification'!S32</f>
        <v>0</v>
      </c>
      <c r="AC32" s="531">
        <f t="shared" ref="AC32" si="41">+Z32*50%</f>
        <v>0</v>
      </c>
      <c r="AD32" s="531">
        <f t="shared" ref="AD32" si="42">+AB32-AC32</f>
        <v>0</v>
      </c>
      <c r="AE32" s="531">
        <f>+'Asset Classification'!T32</f>
        <v>0</v>
      </c>
      <c r="AF32" s="531">
        <f t="shared" ref="AF32" si="43">+AA32*50%</f>
        <v>0</v>
      </c>
      <c r="AG32" s="531">
        <f t="shared" ref="AG32" si="44">+AE32-AF32</f>
        <v>0</v>
      </c>
      <c r="AH32" s="532">
        <f>+'Asset Classification'!U32</f>
        <v>0</v>
      </c>
      <c r="AI32" s="531">
        <f>+'Asset Classification'!V32</f>
        <v>0</v>
      </c>
      <c r="AJ32" s="532">
        <f>+'Asset Classification'!W32</f>
        <v>0</v>
      </c>
      <c r="AK32" s="531">
        <f t="shared" ref="AK32" si="45">+AH32*100%</f>
        <v>0</v>
      </c>
      <c r="AL32" s="531">
        <f t="shared" ref="AL32" si="46">+AJ32-AK32</f>
        <v>0</v>
      </c>
      <c r="AM32" s="531">
        <f>+'Asset Classification'!X32</f>
        <v>0</v>
      </c>
      <c r="AN32" s="531">
        <f t="shared" ref="AN32" si="47">+AI32*100%</f>
        <v>0</v>
      </c>
      <c r="AO32" s="531">
        <f t="shared" ref="AO32" si="48">+AM32-AN32</f>
        <v>0</v>
      </c>
      <c r="AP32" s="526">
        <f t="shared" ref="AP32" si="49">+L32+T32+AB32+AJ32</f>
        <v>0</v>
      </c>
      <c r="AQ32" s="526">
        <f t="shared" ref="AQ32" si="50">+M32+U32+AC32+AK32</f>
        <v>0</v>
      </c>
      <c r="AR32" s="526">
        <f t="shared" ref="AR32" si="51">+AP32-AQ32</f>
        <v>0</v>
      </c>
      <c r="AS32" s="531">
        <f t="shared" ref="AS32" si="52">+O32+W32+AE32+AM32</f>
        <v>0</v>
      </c>
      <c r="AT32" s="531">
        <f t="shared" ref="AT32" si="53">+P32+X32+AF32+AN32</f>
        <v>0</v>
      </c>
      <c r="AU32" s="531">
        <f t="shared" ref="AU32" si="54">+AS32-AT32</f>
        <v>0</v>
      </c>
      <c r="AV32" s="243"/>
      <c r="AW32" s="243"/>
      <c r="AX32" s="243"/>
      <c r="AY32" s="243"/>
      <c r="AZ32" s="243"/>
      <c r="BA32" s="243"/>
      <c r="BB32" s="243"/>
      <c r="BC32" s="243"/>
    </row>
    <row r="33" spans="1:55" s="512" customFormat="1" ht="27.75" customHeight="1">
      <c r="A33" s="510"/>
      <c r="B33" s="510" t="s">
        <v>679</v>
      </c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7"/>
      <c r="AB33" s="527"/>
      <c r="AC33" s="527"/>
      <c r="AD33" s="527"/>
      <c r="AE33" s="527"/>
      <c r="AF33" s="527"/>
      <c r="AG33" s="527"/>
      <c r="AH33" s="527"/>
      <c r="AI33" s="527"/>
      <c r="AJ33" s="527"/>
      <c r="AK33" s="527"/>
      <c r="AL33" s="527"/>
      <c r="AM33" s="527"/>
      <c r="AN33" s="527"/>
      <c r="AO33" s="527"/>
      <c r="AP33" s="527"/>
      <c r="AQ33" s="527"/>
      <c r="AR33" s="527"/>
      <c r="AS33" s="527"/>
      <c r="AT33" s="527"/>
      <c r="AU33" s="527"/>
    </row>
    <row r="34" spans="1:55" s="15" customFormat="1" ht="7.5" customHeight="1">
      <c r="A34" s="14"/>
      <c r="B34" s="14"/>
      <c r="C34" s="533"/>
      <c r="D34" s="534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3"/>
      <c r="AL34" s="533"/>
      <c r="AM34" s="533"/>
      <c r="AN34" s="533"/>
      <c r="AO34" s="533"/>
      <c r="AP34" s="533"/>
      <c r="AQ34" s="533"/>
      <c r="AR34" s="533"/>
      <c r="AS34" s="533"/>
      <c r="AT34" s="533"/>
      <c r="AU34" s="533"/>
      <c r="AV34" s="243"/>
      <c r="AW34" s="243"/>
      <c r="AX34" s="243"/>
      <c r="AY34" s="243"/>
      <c r="AZ34" s="243"/>
      <c r="BA34" s="243"/>
      <c r="BB34" s="243"/>
      <c r="BC34" s="243"/>
    </row>
    <row r="35" spans="1:55" s="15" customFormat="1" ht="23.25" customHeight="1">
      <c r="A35" s="351">
        <v>14</v>
      </c>
      <c r="B35" s="354" t="s">
        <v>471</v>
      </c>
      <c r="C35" s="530">
        <f>+'Asset Classification'!C35</f>
        <v>25973436689</v>
      </c>
      <c r="D35" s="535">
        <f>+'Asset Classification'!D35</f>
        <v>20452888759</v>
      </c>
      <c r="E35" s="533">
        <f>+'Asset Classification'!E35</f>
        <v>23956057531</v>
      </c>
      <c r="F35" s="535">
        <f>+'Asset Classification'!F35</f>
        <v>18751236268</v>
      </c>
      <c r="G35" s="533">
        <f>+'Asset Classification'!G35</f>
        <v>212647570</v>
      </c>
      <c r="H35" s="531">
        <f t="shared" ref="H35:H52" si="55">+E35*1%</f>
        <v>239560575.31</v>
      </c>
      <c r="I35" s="531">
        <f t="shared" ref="I35:I52" si="56">+G35-H35</f>
        <v>-26913005.310000002</v>
      </c>
      <c r="J35" s="533">
        <f>+'Asset Classification'!I35</f>
        <v>1243233736</v>
      </c>
      <c r="K35" s="535">
        <f>+'Asset Classification'!J35</f>
        <v>1012742617</v>
      </c>
      <c r="L35" s="533">
        <f>+'Asset Classification'!K35</f>
        <v>124323374</v>
      </c>
      <c r="M35" s="531">
        <f t="shared" ref="M35:M52" si="57">+J35*10%</f>
        <v>124323373.60000001</v>
      </c>
      <c r="N35" s="531">
        <f t="shared" ref="N35:N52" si="58">+L35-M35</f>
        <v>0.39999999105930328</v>
      </c>
      <c r="O35" s="535">
        <f>+'Asset Classification'!L35</f>
        <v>101274262</v>
      </c>
      <c r="P35" s="531">
        <f t="shared" ref="P35:P52" si="59">+K35*10%</f>
        <v>101274261.7</v>
      </c>
      <c r="Q35" s="531">
        <f t="shared" ref="Q35:Q52" si="60">+O35-P35</f>
        <v>0.29999999701976776</v>
      </c>
      <c r="R35" s="533">
        <f>+'Asset Classification'!M35</f>
        <v>183401890</v>
      </c>
      <c r="S35" s="535">
        <f>+'Asset Classification'!N35</f>
        <v>163938428</v>
      </c>
      <c r="T35" s="533">
        <f>+'Asset Classification'!O35</f>
        <v>45850473</v>
      </c>
      <c r="U35" s="531">
        <f t="shared" ref="U35:U52" si="61">+R35*25%</f>
        <v>45850472.5</v>
      </c>
      <c r="V35" s="531">
        <f t="shared" ref="V35:V52" si="62">+T35-U35</f>
        <v>0.5</v>
      </c>
      <c r="W35" s="535">
        <f>+'Asset Classification'!P35</f>
        <v>40984608</v>
      </c>
      <c r="X35" s="531">
        <f t="shared" ref="X35:X52" si="63">+S35*25%</f>
        <v>40984607</v>
      </c>
      <c r="Y35" s="531">
        <f t="shared" ref="Y35:Y52" si="64">+W35-X35</f>
        <v>1</v>
      </c>
      <c r="Z35" s="533">
        <f>+'Asset Classification'!Q35</f>
        <v>558792549</v>
      </c>
      <c r="AA35" s="535">
        <f>+'Asset Classification'!R35</f>
        <v>497220482</v>
      </c>
      <c r="AB35" s="533">
        <f>+'Asset Classification'!S35</f>
        <v>279392307</v>
      </c>
      <c r="AC35" s="531">
        <f t="shared" ref="AC35:AC52" si="65">+Z35*50%</f>
        <v>279396274.5</v>
      </c>
      <c r="AD35" s="531">
        <f t="shared" ref="AD35:AD52" si="66">+AB35-AC35</f>
        <v>-3967.5</v>
      </c>
      <c r="AE35" s="535">
        <f>+'Asset Classification'!T35</f>
        <v>248610241</v>
      </c>
      <c r="AF35" s="531">
        <f t="shared" ref="AF35:AF52" si="67">+AA35*50%</f>
        <v>248610241</v>
      </c>
      <c r="AG35" s="531">
        <f t="shared" ref="AG35:AG52" si="68">+AE35-AF35</f>
        <v>0</v>
      </c>
      <c r="AH35" s="533">
        <f>+'Asset Classification'!U35</f>
        <v>31950983</v>
      </c>
      <c r="AI35" s="535">
        <f>+'Asset Classification'!V35</f>
        <v>27750964</v>
      </c>
      <c r="AJ35" s="533">
        <f>+'Asset Classification'!W35</f>
        <v>31950983</v>
      </c>
      <c r="AK35" s="531">
        <f t="shared" ref="AK35:AK52" si="69">+AH35*100%</f>
        <v>31950983</v>
      </c>
      <c r="AL35" s="531">
        <f t="shared" ref="AL35:AL52" si="70">+AJ35-AK35</f>
        <v>0</v>
      </c>
      <c r="AM35" s="535">
        <f>+'Asset Classification'!X35</f>
        <v>27750964</v>
      </c>
      <c r="AN35" s="531">
        <f t="shared" ref="AN35:AN52" si="71">+AI35*100%</f>
        <v>27750964</v>
      </c>
      <c r="AO35" s="531">
        <f t="shared" ref="AO35:AO52" si="72">+AM35-AN35</f>
        <v>0</v>
      </c>
      <c r="AP35" s="526">
        <f t="shared" ref="AP35:AQ52" si="73">+L35+T35+AB35+AJ35</f>
        <v>481517137</v>
      </c>
      <c r="AQ35" s="526">
        <f t="shared" si="73"/>
        <v>481521103.60000002</v>
      </c>
      <c r="AR35" s="526">
        <f t="shared" ref="AR35:AR52" si="74">+AP35-AQ35</f>
        <v>-3966.6000000238419</v>
      </c>
      <c r="AS35" s="531">
        <f t="shared" ref="AS35:AT52" si="75">+O35+W35+AE35+AM35</f>
        <v>418620075</v>
      </c>
      <c r="AT35" s="531">
        <f t="shared" si="75"/>
        <v>418620073.69999999</v>
      </c>
      <c r="AU35" s="531">
        <f t="shared" ref="AU35:AU52" si="76">+AS35-AT35</f>
        <v>1.300000011920929</v>
      </c>
      <c r="AV35" s="245">
        <f>+'Aging Analysis'!C25</f>
        <v>25973436689</v>
      </c>
      <c r="AW35" s="243"/>
      <c r="AX35" s="243"/>
      <c r="AY35" s="243"/>
      <c r="AZ35" s="243"/>
      <c r="BA35" s="243"/>
      <c r="BB35" s="243"/>
      <c r="BC35" s="243"/>
    </row>
    <row r="36" spans="1:55" s="15" customFormat="1" ht="14.25" customHeight="1">
      <c r="A36" s="351"/>
      <c r="B36" s="355" t="s">
        <v>670</v>
      </c>
      <c r="C36" s="530">
        <f>+'Asset Classification'!C36</f>
        <v>0</v>
      </c>
      <c r="D36" s="535">
        <f>+'Asset Classification'!D36</f>
        <v>0</v>
      </c>
      <c r="E36" s="533">
        <f>+'Asset Classification'!E36</f>
        <v>0</v>
      </c>
      <c r="F36" s="535">
        <f>+'Asset Classification'!F36</f>
        <v>0</v>
      </c>
      <c r="G36" s="533">
        <f>+'Asset Classification'!G36</f>
        <v>0</v>
      </c>
      <c r="H36" s="531">
        <f t="shared" si="55"/>
        <v>0</v>
      </c>
      <c r="I36" s="531">
        <f t="shared" si="56"/>
        <v>0</v>
      </c>
      <c r="J36" s="533">
        <f>+'Asset Classification'!I36</f>
        <v>0</v>
      </c>
      <c r="K36" s="535">
        <f>+'Asset Classification'!J36</f>
        <v>0</v>
      </c>
      <c r="L36" s="533">
        <f>+'Asset Classification'!K36</f>
        <v>0</v>
      </c>
      <c r="M36" s="531">
        <f t="shared" si="57"/>
        <v>0</v>
      </c>
      <c r="N36" s="531">
        <f t="shared" si="58"/>
        <v>0</v>
      </c>
      <c r="O36" s="535">
        <f>+'Asset Classification'!L36</f>
        <v>0</v>
      </c>
      <c r="P36" s="531">
        <f t="shared" si="59"/>
        <v>0</v>
      </c>
      <c r="Q36" s="531">
        <f t="shared" si="60"/>
        <v>0</v>
      </c>
      <c r="R36" s="533">
        <f>+'Asset Classification'!M36</f>
        <v>0</v>
      </c>
      <c r="S36" s="535">
        <f>+'Asset Classification'!N36</f>
        <v>0</v>
      </c>
      <c r="T36" s="533">
        <f>+'Asset Classification'!O36</f>
        <v>0</v>
      </c>
      <c r="U36" s="531">
        <f t="shared" si="61"/>
        <v>0</v>
      </c>
      <c r="V36" s="531">
        <f t="shared" si="62"/>
        <v>0</v>
      </c>
      <c r="W36" s="535">
        <f>+'Asset Classification'!P36</f>
        <v>0</v>
      </c>
      <c r="X36" s="531">
        <f t="shared" si="63"/>
        <v>0</v>
      </c>
      <c r="Y36" s="531">
        <f t="shared" si="64"/>
        <v>0</v>
      </c>
      <c r="Z36" s="533">
        <f>+'Asset Classification'!Q36</f>
        <v>0</v>
      </c>
      <c r="AA36" s="535">
        <f>+'Asset Classification'!R36</f>
        <v>0</v>
      </c>
      <c r="AB36" s="533">
        <f>+'Asset Classification'!S36</f>
        <v>0</v>
      </c>
      <c r="AC36" s="531">
        <f t="shared" si="65"/>
        <v>0</v>
      </c>
      <c r="AD36" s="531">
        <f t="shared" si="66"/>
        <v>0</v>
      </c>
      <c r="AE36" s="535">
        <f>+'Asset Classification'!T36</f>
        <v>0</v>
      </c>
      <c r="AF36" s="531">
        <f t="shared" si="67"/>
        <v>0</v>
      </c>
      <c r="AG36" s="531">
        <f t="shared" si="68"/>
        <v>0</v>
      </c>
      <c r="AH36" s="533">
        <f>+'Asset Classification'!U36</f>
        <v>0</v>
      </c>
      <c r="AI36" s="535">
        <f>+'Asset Classification'!V36</f>
        <v>0</v>
      </c>
      <c r="AJ36" s="533">
        <f>+'Asset Classification'!W36</f>
        <v>0</v>
      </c>
      <c r="AK36" s="531">
        <f t="shared" si="69"/>
        <v>0</v>
      </c>
      <c r="AL36" s="531">
        <f t="shared" si="70"/>
        <v>0</v>
      </c>
      <c r="AM36" s="535">
        <f>+'Asset Classification'!X36</f>
        <v>0</v>
      </c>
      <c r="AN36" s="531">
        <f t="shared" si="71"/>
        <v>0</v>
      </c>
      <c r="AO36" s="531">
        <f t="shared" si="72"/>
        <v>0</v>
      </c>
      <c r="AP36" s="526">
        <f t="shared" si="73"/>
        <v>0</v>
      </c>
      <c r="AQ36" s="526">
        <f t="shared" si="73"/>
        <v>0</v>
      </c>
      <c r="AR36" s="526">
        <f t="shared" si="74"/>
        <v>0</v>
      </c>
      <c r="AS36" s="531">
        <f t="shared" si="75"/>
        <v>0</v>
      </c>
      <c r="AT36" s="531">
        <f t="shared" si="75"/>
        <v>0</v>
      </c>
      <c r="AU36" s="531">
        <f t="shared" si="76"/>
        <v>0</v>
      </c>
      <c r="AW36" s="243"/>
      <c r="AX36" s="243"/>
      <c r="AY36" s="243"/>
      <c r="AZ36" s="243"/>
      <c r="BA36" s="243"/>
      <c r="BB36" s="243"/>
      <c r="BC36" s="243"/>
    </row>
    <row r="37" spans="1:55" s="15" customFormat="1" ht="23.25" customHeight="1">
      <c r="A37" s="351">
        <v>15</v>
      </c>
      <c r="B37" s="354" t="s">
        <v>472</v>
      </c>
      <c r="C37" s="530">
        <f>+'Asset Classification'!C37</f>
        <v>4481661756</v>
      </c>
      <c r="D37" s="535">
        <f>+'Asset Classification'!D37</f>
        <v>2124875399</v>
      </c>
      <c r="E37" s="533">
        <f>+'Asset Classification'!E37</f>
        <v>3903598762</v>
      </c>
      <c r="F37" s="535">
        <f>+'Asset Classification'!F37</f>
        <v>1717697080</v>
      </c>
      <c r="G37" s="533">
        <f>+'Asset Classification'!G37</f>
        <v>39035988</v>
      </c>
      <c r="H37" s="531">
        <f t="shared" si="55"/>
        <v>39035987.619999997</v>
      </c>
      <c r="I37" s="531">
        <f t="shared" si="56"/>
        <v>0.38000000268220901</v>
      </c>
      <c r="J37" s="533">
        <f>+'Asset Classification'!I37</f>
        <v>437833588</v>
      </c>
      <c r="K37" s="535">
        <f>+'Asset Classification'!J37</f>
        <v>373231039</v>
      </c>
      <c r="L37" s="533">
        <f>+'Asset Classification'!K37</f>
        <v>43783359</v>
      </c>
      <c r="M37" s="531">
        <f t="shared" si="57"/>
        <v>43783358.800000004</v>
      </c>
      <c r="N37" s="531">
        <f t="shared" si="58"/>
        <v>0.19999999552965164</v>
      </c>
      <c r="O37" s="535">
        <f>+'Asset Classification'!L37</f>
        <v>37323104</v>
      </c>
      <c r="P37" s="531">
        <f t="shared" si="59"/>
        <v>37323103.899999999</v>
      </c>
      <c r="Q37" s="531">
        <f t="shared" si="60"/>
        <v>0.10000000149011612</v>
      </c>
      <c r="R37" s="533">
        <f>+'Asset Classification'!M37</f>
        <v>38300230</v>
      </c>
      <c r="S37" s="535">
        <f>+'Asset Classification'!N37</f>
        <v>1622384</v>
      </c>
      <c r="T37" s="533">
        <f>+'Asset Classification'!O37</f>
        <v>9575058</v>
      </c>
      <c r="U37" s="531">
        <f t="shared" si="61"/>
        <v>9575057.5</v>
      </c>
      <c r="V37" s="531">
        <f t="shared" si="62"/>
        <v>0.5</v>
      </c>
      <c r="W37" s="535">
        <f>+'Asset Classification'!P37</f>
        <v>405596</v>
      </c>
      <c r="X37" s="531">
        <f t="shared" si="63"/>
        <v>405596</v>
      </c>
      <c r="Y37" s="531">
        <f t="shared" si="64"/>
        <v>0</v>
      </c>
      <c r="Z37" s="533">
        <f>+'Asset Classification'!Q37</f>
        <v>80376744</v>
      </c>
      <c r="AA37" s="535">
        <f>+'Asset Classification'!R37</f>
        <v>32324896</v>
      </c>
      <c r="AB37" s="533">
        <f>+'Asset Classification'!S37</f>
        <v>40188372</v>
      </c>
      <c r="AC37" s="531">
        <f t="shared" si="65"/>
        <v>40188372</v>
      </c>
      <c r="AD37" s="531">
        <f t="shared" si="66"/>
        <v>0</v>
      </c>
      <c r="AE37" s="535">
        <f>+'Asset Classification'!T37</f>
        <v>16162448</v>
      </c>
      <c r="AF37" s="531">
        <f t="shared" si="67"/>
        <v>16162448</v>
      </c>
      <c r="AG37" s="531">
        <f t="shared" si="68"/>
        <v>0</v>
      </c>
      <c r="AH37" s="533">
        <f>+'Asset Classification'!U37</f>
        <v>21552432</v>
      </c>
      <c r="AI37" s="535">
        <f>+'Asset Classification'!V37</f>
        <v>0</v>
      </c>
      <c r="AJ37" s="533">
        <f>+'Asset Classification'!W37</f>
        <v>21552432</v>
      </c>
      <c r="AK37" s="531">
        <f t="shared" si="69"/>
        <v>21552432</v>
      </c>
      <c r="AL37" s="531">
        <f t="shared" si="70"/>
        <v>0</v>
      </c>
      <c r="AM37" s="535">
        <f>+'Asset Classification'!X37</f>
        <v>0</v>
      </c>
      <c r="AN37" s="531">
        <f t="shared" si="71"/>
        <v>0</v>
      </c>
      <c r="AO37" s="531">
        <f t="shared" si="72"/>
        <v>0</v>
      </c>
      <c r="AP37" s="526">
        <f t="shared" si="73"/>
        <v>115099221</v>
      </c>
      <c r="AQ37" s="526">
        <f t="shared" si="73"/>
        <v>115099220.30000001</v>
      </c>
      <c r="AR37" s="526">
        <f t="shared" si="74"/>
        <v>0.69999998807907104</v>
      </c>
      <c r="AS37" s="531">
        <f t="shared" si="75"/>
        <v>53891148</v>
      </c>
      <c r="AT37" s="531">
        <f t="shared" si="75"/>
        <v>53891147.899999999</v>
      </c>
      <c r="AU37" s="531">
        <f t="shared" si="76"/>
        <v>0.10000000149011612</v>
      </c>
      <c r="AV37" s="245">
        <f>+'Aging Analysis'!C26</f>
        <v>4481661756</v>
      </c>
      <c r="AW37" s="243"/>
      <c r="AX37" s="243"/>
      <c r="AY37" s="243"/>
      <c r="AZ37" s="243"/>
      <c r="BA37" s="243"/>
      <c r="BB37" s="243"/>
      <c r="BC37" s="243"/>
    </row>
    <row r="38" spans="1:55" s="15" customFormat="1" ht="14.25" customHeight="1">
      <c r="A38" s="351"/>
      <c r="B38" s="355" t="s">
        <v>670</v>
      </c>
      <c r="C38" s="530">
        <f>+'Asset Classification'!C38</f>
        <v>0</v>
      </c>
      <c r="D38" s="535">
        <f>+'Asset Classification'!D38</f>
        <v>0</v>
      </c>
      <c r="E38" s="533">
        <f>+'Asset Classification'!E38</f>
        <v>0</v>
      </c>
      <c r="F38" s="535">
        <f>+'Asset Classification'!F38</f>
        <v>0</v>
      </c>
      <c r="G38" s="533">
        <f>+'Asset Classification'!G38</f>
        <v>0</v>
      </c>
      <c r="H38" s="531">
        <f t="shared" si="55"/>
        <v>0</v>
      </c>
      <c r="I38" s="531">
        <f t="shared" si="56"/>
        <v>0</v>
      </c>
      <c r="J38" s="533">
        <f>+'Asset Classification'!I38</f>
        <v>0</v>
      </c>
      <c r="K38" s="535">
        <f>+'Asset Classification'!J38</f>
        <v>0</v>
      </c>
      <c r="L38" s="533">
        <f>+'Asset Classification'!K38</f>
        <v>0</v>
      </c>
      <c r="M38" s="531">
        <f t="shared" si="57"/>
        <v>0</v>
      </c>
      <c r="N38" s="531">
        <f t="shared" si="58"/>
        <v>0</v>
      </c>
      <c r="O38" s="535">
        <f>+'Asset Classification'!L38</f>
        <v>0</v>
      </c>
      <c r="P38" s="531">
        <f t="shared" si="59"/>
        <v>0</v>
      </c>
      <c r="Q38" s="531">
        <f t="shared" si="60"/>
        <v>0</v>
      </c>
      <c r="R38" s="533">
        <f>+'Asset Classification'!M38</f>
        <v>0</v>
      </c>
      <c r="S38" s="535">
        <f>+'Asset Classification'!N38</f>
        <v>0</v>
      </c>
      <c r="T38" s="533">
        <f>+'Asset Classification'!O38</f>
        <v>0</v>
      </c>
      <c r="U38" s="531">
        <f t="shared" si="61"/>
        <v>0</v>
      </c>
      <c r="V38" s="531">
        <f t="shared" si="62"/>
        <v>0</v>
      </c>
      <c r="W38" s="535">
        <f>+'Asset Classification'!P38</f>
        <v>0</v>
      </c>
      <c r="X38" s="531">
        <f t="shared" si="63"/>
        <v>0</v>
      </c>
      <c r="Y38" s="531">
        <f t="shared" si="64"/>
        <v>0</v>
      </c>
      <c r="Z38" s="533">
        <f>+'Asset Classification'!Q38</f>
        <v>0</v>
      </c>
      <c r="AA38" s="535">
        <f>+'Asset Classification'!R38</f>
        <v>0</v>
      </c>
      <c r="AB38" s="533">
        <f>+'Asset Classification'!S38</f>
        <v>0</v>
      </c>
      <c r="AC38" s="531">
        <f t="shared" si="65"/>
        <v>0</v>
      </c>
      <c r="AD38" s="531">
        <f t="shared" si="66"/>
        <v>0</v>
      </c>
      <c r="AE38" s="535">
        <f>+'Asset Classification'!T38</f>
        <v>0</v>
      </c>
      <c r="AF38" s="531">
        <f t="shared" si="67"/>
        <v>0</v>
      </c>
      <c r="AG38" s="531">
        <f t="shared" si="68"/>
        <v>0</v>
      </c>
      <c r="AH38" s="533">
        <f>+'Asset Classification'!U38</f>
        <v>0</v>
      </c>
      <c r="AI38" s="535">
        <f>+'Asset Classification'!V38</f>
        <v>0</v>
      </c>
      <c r="AJ38" s="533">
        <f>+'Asset Classification'!W38</f>
        <v>0</v>
      </c>
      <c r="AK38" s="531">
        <f t="shared" si="69"/>
        <v>0</v>
      </c>
      <c r="AL38" s="531">
        <f t="shared" si="70"/>
        <v>0</v>
      </c>
      <c r="AM38" s="535">
        <f>+'Asset Classification'!X38</f>
        <v>0</v>
      </c>
      <c r="AN38" s="531">
        <f t="shared" si="71"/>
        <v>0</v>
      </c>
      <c r="AO38" s="531">
        <f t="shared" si="72"/>
        <v>0</v>
      </c>
      <c r="AP38" s="526">
        <f t="shared" si="73"/>
        <v>0</v>
      </c>
      <c r="AQ38" s="526">
        <f t="shared" si="73"/>
        <v>0</v>
      </c>
      <c r="AR38" s="526">
        <f t="shared" si="74"/>
        <v>0</v>
      </c>
      <c r="AS38" s="531">
        <f t="shared" si="75"/>
        <v>0</v>
      </c>
      <c r="AT38" s="531">
        <f t="shared" si="75"/>
        <v>0</v>
      </c>
      <c r="AU38" s="531">
        <f t="shared" si="76"/>
        <v>0</v>
      </c>
      <c r="AW38" s="243"/>
      <c r="AX38" s="243"/>
      <c r="AY38" s="243"/>
      <c r="AZ38" s="243"/>
      <c r="BA38" s="243"/>
      <c r="BB38" s="243"/>
      <c r="BC38" s="243"/>
    </row>
    <row r="39" spans="1:55" s="15" customFormat="1" ht="23.25" customHeight="1">
      <c r="A39" s="351">
        <v>16</v>
      </c>
      <c r="B39" s="354" t="s">
        <v>473</v>
      </c>
      <c r="C39" s="530">
        <f>+'Asset Classification'!C39</f>
        <v>3505300410</v>
      </c>
      <c r="D39" s="535">
        <f>+'Asset Classification'!D39</f>
        <v>3350270294</v>
      </c>
      <c r="E39" s="533">
        <f>+'Asset Classification'!E39</f>
        <v>3388441418</v>
      </c>
      <c r="F39" s="535">
        <f>+'Asset Classification'!F39</f>
        <v>3274590974</v>
      </c>
      <c r="G39" s="533">
        <f>+'Asset Classification'!G39</f>
        <v>33884414</v>
      </c>
      <c r="H39" s="531">
        <f t="shared" si="55"/>
        <v>33884414.18</v>
      </c>
      <c r="I39" s="531">
        <f t="shared" si="56"/>
        <v>-0.17999999970197678</v>
      </c>
      <c r="J39" s="533">
        <f>+'Asset Classification'!I39</f>
        <v>85226351</v>
      </c>
      <c r="K39" s="535">
        <f>+'Asset Classification'!J39</f>
        <v>60007783</v>
      </c>
      <c r="L39" s="533">
        <f>+'Asset Classification'!K39</f>
        <v>8522635</v>
      </c>
      <c r="M39" s="531">
        <f t="shared" si="57"/>
        <v>8522635.0999999996</v>
      </c>
      <c r="N39" s="531">
        <f t="shared" si="58"/>
        <v>-9.999999962747097E-2</v>
      </c>
      <c r="O39" s="535">
        <f>+'Asset Classification'!L39</f>
        <v>6000778</v>
      </c>
      <c r="P39" s="531">
        <f t="shared" si="59"/>
        <v>6000778.3000000007</v>
      </c>
      <c r="Q39" s="531">
        <f t="shared" si="60"/>
        <v>-0.30000000074505806</v>
      </c>
      <c r="R39" s="533">
        <f>+'Asset Classification'!M39</f>
        <v>8383679</v>
      </c>
      <c r="S39" s="535">
        <f>+'Asset Classification'!N39</f>
        <v>5124797</v>
      </c>
      <c r="T39" s="533">
        <f>+'Asset Classification'!O39</f>
        <v>2095920</v>
      </c>
      <c r="U39" s="531">
        <f t="shared" si="61"/>
        <v>2095919.75</v>
      </c>
      <c r="V39" s="531">
        <f t="shared" si="62"/>
        <v>0.25</v>
      </c>
      <c r="W39" s="535">
        <f>+'Asset Classification'!P39</f>
        <v>1281199</v>
      </c>
      <c r="X39" s="531">
        <f t="shared" si="63"/>
        <v>1281199.25</v>
      </c>
      <c r="Y39" s="531">
        <f t="shared" si="64"/>
        <v>-0.25</v>
      </c>
      <c r="Z39" s="533">
        <f>+'Asset Classification'!Q39</f>
        <v>13866148</v>
      </c>
      <c r="AA39" s="535">
        <f>+'Asset Classification'!R39</f>
        <v>1163926</v>
      </c>
      <c r="AB39" s="533">
        <f>+'Asset Classification'!S39</f>
        <v>6933074</v>
      </c>
      <c r="AC39" s="531">
        <f t="shared" si="65"/>
        <v>6933074</v>
      </c>
      <c r="AD39" s="531">
        <f t="shared" si="66"/>
        <v>0</v>
      </c>
      <c r="AE39" s="535">
        <f>+'Asset Classification'!T39</f>
        <v>581963</v>
      </c>
      <c r="AF39" s="531">
        <f t="shared" si="67"/>
        <v>581963</v>
      </c>
      <c r="AG39" s="531">
        <f t="shared" si="68"/>
        <v>0</v>
      </c>
      <c r="AH39" s="533">
        <f>+'Asset Classification'!U39</f>
        <v>9382814</v>
      </c>
      <c r="AI39" s="535">
        <f>+'Asset Classification'!V39</f>
        <v>9382814</v>
      </c>
      <c r="AJ39" s="533">
        <f>+'Asset Classification'!W39</f>
        <v>9382814</v>
      </c>
      <c r="AK39" s="531">
        <f t="shared" si="69"/>
        <v>9382814</v>
      </c>
      <c r="AL39" s="531">
        <f t="shared" si="70"/>
        <v>0</v>
      </c>
      <c r="AM39" s="535">
        <f>+'Asset Classification'!X39</f>
        <v>9382814</v>
      </c>
      <c r="AN39" s="531">
        <f t="shared" si="71"/>
        <v>9382814</v>
      </c>
      <c r="AO39" s="531">
        <f t="shared" si="72"/>
        <v>0</v>
      </c>
      <c r="AP39" s="526">
        <f t="shared" si="73"/>
        <v>26934443</v>
      </c>
      <c r="AQ39" s="526">
        <f t="shared" si="73"/>
        <v>26934442.850000001</v>
      </c>
      <c r="AR39" s="526">
        <f t="shared" si="74"/>
        <v>0.14999999850988388</v>
      </c>
      <c r="AS39" s="531">
        <f t="shared" si="75"/>
        <v>17246754</v>
      </c>
      <c r="AT39" s="531">
        <f t="shared" si="75"/>
        <v>17246754.550000001</v>
      </c>
      <c r="AU39" s="531">
        <f t="shared" si="76"/>
        <v>-0.55000000074505806</v>
      </c>
      <c r="AV39" s="245">
        <f>+'Aging Analysis'!C27</f>
        <v>3505300410</v>
      </c>
      <c r="AW39" s="243"/>
      <c r="AX39" s="243"/>
      <c r="AY39" s="243"/>
      <c r="AZ39" s="243"/>
      <c r="BA39" s="243"/>
      <c r="BB39" s="243"/>
      <c r="BC39" s="243"/>
    </row>
    <row r="40" spans="1:55" s="15" customFormat="1" ht="14.25" customHeight="1">
      <c r="A40" s="351"/>
      <c r="B40" s="355" t="s">
        <v>670</v>
      </c>
      <c r="C40" s="530">
        <f>+'Asset Classification'!C40</f>
        <v>0</v>
      </c>
      <c r="D40" s="535">
        <f>+'Asset Classification'!D40</f>
        <v>0</v>
      </c>
      <c r="E40" s="533">
        <f>+'Asset Classification'!E40</f>
        <v>0</v>
      </c>
      <c r="F40" s="535">
        <f>+'Asset Classification'!F40</f>
        <v>0</v>
      </c>
      <c r="G40" s="533">
        <f>+'Asset Classification'!G40</f>
        <v>0</v>
      </c>
      <c r="H40" s="531">
        <f t="shared" si="55"/>
        <v>0</v>
      </c>
      <c r="I40" s="531">
        <f t="shared" si="56"/>
        <v>0</v>
      </c>
      <c r="J40" s="533">
        <f>+'Asset Classification'!I40</f>
        <v>0</v>
      </c>
      <c r="K40" s="535">
        <f>+'Asset Classification'!J40</f>
        <v>0</v>
      </c>
      <c r="L40" s="533">
        <f>+'Asset Classification'!K40</f>
        <v>0</v>
      </c>
      <c r="M40" s="531">
        <f t="shared" si="57"/>
        <v>0</v>
      </c>
      <c r="N40" s="531">
        <f t="shared" si="58"/>
        <v>0</v>
      </c>
      <c r="O40" s="535">
        <f>+'Asset Classification'!L40</f>
        <v>0</v>
      </c>
      <c r="P40" s="531">
        <f t="shared" si="59"/>
        <v>0</v>
      </c>
      <c r="Q40" s="531">
        <f t="shared" si="60"/>
        <v>0</v>
      </c>
      <c r="R40" s="533">
        <f>+'Asset Classification'!M40</f>
        <v>0</v>
      </c>
      <c r="S40" s="535">
        <f>+'Asset Classification'!N40</f>
        <v>0</v>
      </c>
      <c r="T40" s="533">
        <f>+'Asset Classification'!O40</f>
        <v>0</v>
      </c>
      <c r="U40" s="531">
        <f t="shared" si="61"/>
        <v>0</v>
      </c>
      <c r="V40" s="531">
        <f t="shared" si="62"/>
        <v>0</v>
      </c>
      <c r="W40" s="535">
        <f>+'Asset Classification'!P40</f>
        <v>0</v>
      </c>
      <c r="X40" s="531">
        <f t="shared" si="63"/>
        <v>0</v>
      </c>
      <c r="Y40" s="531">
        <f t="shared" si="64"/>
        <v>0</v>
      </c>
      <c r="Z40" s="533">
        <f>+'Asset Classification'!Q40</f>
        <v>0</v>
      </c>
      <c r="AA40" s="535">
        <f>+'Asset Classification'!R40</f>
        <v>0</v>
      </c>
      <c r="AB40" s="533">
        <f>+'Asset Classification'!S40</f>
        <v>0</v>
      </c>
      <c r="AC40" s="531">
        <f t="shared" si="65"/>
        <v>0</v>
      </c>
      <c r="AD40" s="531">
        <f t="shared" si="66"/>
        <v>0</v>
      </c>
      <c r="AE40" s="535">
        <f>+'Asset Classification'!T40</f>
        <v>0</v>
      </c>
      <c r="AF40" s="531">
        <f t="shared" si="67"/>
        <v>0</v>
      </c>
      <c r="AG40" s="531">
        <f t="shared" si="68"/>
        <v>0</v>
      </c>
      <c r="AH40" s="533">
        <f>+'Asset Classification'!U40</f>
        <v>0</v>
      </c>
      <c r="AI40" s="535">
        <f>+'Asset Classification'!V40</f>
        <v>0</v>
      </c>
      <c r="AJ40" s="533">
        <f>+'Asset Classification'!W40</f>
        <v>0</v>
      </c>
      <c r="AK40" s="531">
        <f t="shared" si="69"/>
        <v>0</v>
      </c>
      <c r="AL40" s="531">
        <f t="shared" si="70"/>
        <v>0</v>
      </c>
      <c r="AM40" s="535">
        <f>+'Asset Classification'!X40</f>
        <v>0</v>
      </c>
      <c r="AN40" s="531">
        <f t="shared" si="71"/>
        <v>0</v>
      </c>
      <c r="AO40" s="531">
        <f t="shared" si="72"/>
        <v>0</v>
      </c>
      <c r="AP40" s="526">
        <f t="shared" si="73"/>
        <v>0</v>
      </c>
      <c r="AQ40" s="526">
        <f t="shared" si="73"/>
        <v>0</v>
      </c>
      <c r="AR40" s="526">
        <f t="shared" si="74"/>
        <v>0</v>
      </c>
      <c r="AS40" s="531">
        <f t="shared" si="75"/>
        <v>0</v>
      </c>
      <c r="AT40" s="531">
        <f t="shared" si="75"/>
        <v>0</v>
      </c>
      <c r="AU40" s="531">
        <f t="shared" si="76"/>
        <v>0</v>
      </c>
      <c r="AW40" s="243"/>
      <c r="AX40" s="243"/>
      <c r="AY40" s="243"/>
      <c r="AZ40" s="243"/>
      <c r="BA40" s="243"/>
      <c r="BB40" s="243"/>
      <c r="BC40" s="243"/>
    </row>
    <row r="41" spans="1:55" s="15" customFormat="1" ht="23.25" customHeight="1">
      <c r="A41" s="351">
        <v>17</v>
      </c>
      <c r="B41" s="354" t="s">
        <v>474</v>
      </c>
      <c r="C41" s="530">
        <f>+'Asset Classification'!C41</f>
        <v>1311223847</v>
      </c>
      <c r="D41" s="535">
        <f>+'Asset Classification'!D41</f>
        <v>792994893</v>
      </c>
      <c r="E41" s="533">
        <f>+'Asset Classification'!E41</f>
        <v>1150663799</v>
      </c>
      <c r="F41" s="535">
        <f>+'Asset Classification'!F41</f>
        <v>759231946</v>
      </c>
      <c r="G41" s="533">
        <f>+'Asset Classification'!G41</f>
        <v>11506638</v>
      </c>
      <c r="H41" s="531">
        <f t="shared" si="55"/>
        <v>11506637.99</v>
      </c>
      <c r="I41" s="531">
        <f t="shared" si="56"/>
        <v>9.9999997764825821E-3</v>
      </c>
      <c r="J41" s="533">
        <f>+'Asset Classification'!I41</f>
        <v>53685917</v>
      </c>
      <c r="K41" s="535">
        <f>+'Asset Classification'!J41</f>
        <v>27589522</v>
      </c>
      <c r="L41" s="533">
        <f>+'Asset Classification'!K41</f>
        <v>5368592</v>
      </c>
      <c r="M41" s="531">
        <f t="shared" si="57"/>
        <v>5368591.7</v>
      </c>
      <c r="N41" s="531">
        <f t="shared" si="58"/>
        <v>0.29999999981373549</v>
      </c>
      <c r="O41" s="535">
        <f>+'Asset Classification'!L41</f>
        <v>2758952</v>
      </c>
      <c r="P41" s="531">
        <f t="shared" si="59"/>
        <v>2758952.2</v>
      </c>
      <c r="Q41" s="531">
        <f t="shared" si="60"/>
        <v>-0.20000000018626451</v>
      </c>
      <c r="R41" s="533">
        <f>+'Asset Classification'!M41</f>
        <v>3404956</v>
      </c>
      <c r="S41" s="535">
        <f>+'Asset Classification'!N41</f>
        <v>281898</v>
      </c>
      <c r="T41" s="533">
        <f>+'Asset Classification'!O41</f>
        <v>851239</v>
      </c>
      <c r="U41" s="531">
        <f t="shared" si="61"/>
        <v>851239</v>
      </c>
      <c r="V41" s="531">
        <f t="shared" si="62"/>
        <v>0</v>
      </c>
      <c r="W41" s="535">
        <f>+'Asset Classification'!P41</f>
        <v>70474</v>
      </c>
      <c r="X41" s="531">
        <f t="shared" si="63"/>
        <v>70474.5</v>
      </c>
      <c r="Y41" s="531">
        <f t="shared" si="64"/>
        <v>-0.5</v>
      </c>
      <c r="Z41" s="533">
        <f>+'Asset Classification'!Q41</f>
        <v>100045006</v>
      </c>
      <c r="AA41" s="535">
        <f>+'Asset Classification'!R41</f>
        <v>5891527</v>
      </c>
      <c r="AB41" s="533">
        <f>+'Asset Classification'!S41</f>
        <v>50022503</v>
      </c>
      <c r="AC41" s="531">
        <f t="shared" si="65"/>
        <v>50022503</v>
      </c>
      <c r="AD41" s="531">
        <f t="shared" si="66"/>
        <v>0</v>
      </c>
      <c r="AE41" s="535">
        <f>+'Asset Classification'!T41</f>
        <v>2945763</v>
      </c>
      <c r="AF41" s="531">
        <f t="shared" si="67"/>
        <v>2945763.5</v>
      </c>
      <c r="AG41" s="531">
        <f t="shared" si="68"/>
        <v>-0.5</v>
      </c>
      <c r="AH41" s="533">
        <f>+'Asset Classification'!U41</f>
        <v>3424169</v>
      </c>
      <c r="AI41" s="535">
        <f>+'Asset Classification'!V41</f>
        <v>0</v>
      </c>
      <c r="AJ41" s="533">
        <f>+'Asset Classification'!W41</f>
        <v>3424169</v>
      </c>
      <c r="AK41" s="531">
        <f t="shared" si="69"/>
        <v>3424169</v>
      </c>
      <c r="AL41" s="531">
        <f t="shared" si="70"/>
        <v>0</v>
      </c>
      <c r="AM41" s="535">
        <f>+'Asset Classification'!X41</f>
        <v>0</v>
      </c>
      <c r="AN41" s="531">
        <f t="shared" si="71"/>
        <v>0</v>
      </c>
      <c r="AO41" s="531">
        <f t="shared" si="72"/>
        <v>0</v>
      </c>
      <c r="AP41" s="526">
        <f t="shared" si="73"/>
        <v>59666503</v>
      </c>
      <c r="AQ41" s="526">
        <f t="shared" si="73"/>
        <v>59666502.700000003</v>
      </c>
      <c r="AR41" s="526">
        <f t="shared" si="74"/>
        <v>0.29999999701976776</v>
      </c>
      <c r="AS41" s="531">
        <f t="shared" si="75"/>
        <v>5775189</v>
      </c>
      <c r="AT41" s="531">
        <f t="shared" si="75"/>
        <v>5775190.2000000002</v>
      </c>
      <c r="AU41" s="531">
        <f t="shared" si="76"/>
        <v>-1.2000000001862645</v>
      </c>
      <c r="AV41" s="245">
        <f>+'Aging Analysis'!C28</f>
        <v>1311223847</v>
      </c>
      <c r="AW41" s="243"/>
      <c r="AX41" s="243"/>
      <c r="AY41" s="243"/>
      <c r="AZ41" s="243"/>
      <c r="BA41" s="243"/>
      <c r="BB41" s="243"/>
      <c r="BC41" s="243"/>
    </row>
    <row r="42" spans="1:55" s="15" customFormat="1" ht="14.25" customHeight="1">
      <c r="A42" s="351"/>
      <c r="B42" s="355" t="s">
        <v>670</v>
      </c>
      <c r="C42" s="530">
        <f>+'Asset Classification'!C42</f>
        <v>0</v>
      </c>
      <c r="D42" s="535">
        <f>+'Asset Classification'!D42</f>
        <v>0</v>
      </c>
      <c r="E42" s="533">
        <f>+'Asset Classification'!E42</f>
        <v>0</v>
      </c>
      <c r="F42" s="535">
        <f>+'Asset Classification'!F42</f>
        <v>0</v>
      </c>
      <c r="G42" s="533">
        <f>+'Asset Classification'!G42</f>
        <v>0</v>
      </c>
      <c r="H42" s="531">
        <f t="shared" si="55"/>
        <v>0</v>
      </c>
      <c r="I42" s="531">
        <f t="shared" si="56"/>
        <v>0</v>
      </c>
      <c r="J42" s="533">
        <f>+'Asset Classification'!I42</f>
        <v>0</v>
      </c>
      <c r="K42" s="535">
        <f>+'Asset Classification'!J42</f>
        <v>0</v>
      </c>
      <c r="L42" s="533">
        <f>+'Asset Classification'!K42</f>
        <v>0</v>
      </c>
      <c r="M42" s="531">
        <f t="shared" si="57"/>
        <v>0</v>
      </c>
      <c r="N42" s="531">
        <f t="shared" si="58"/>
        <v>0</v>
      </c>
      <c r="O42" s="535">
        <f>+'Asset Classification'!L42</f>
        <v>0</v>
      </c>
      <c r="P42" s="531">
        <f t="shared" si="59"/>
        <v>0</v>
      </c>
      <c r="Q42" s="531">
        <f t="shared" si="60"/>
        <v>0</v>
      </c>
      <c r="R42" s="533">
        <f>+'Asset Classification'!M42</f>
        <v>0</v>
      </c>
      <c r="S42" s="535">
        <f>+'Asset Classification'!N42</f>
        <v>0</v>
      </c>
      <c r="T42" s="533">
        <f>+'Asset Classification'!O42</f>
        <v>0</v>
      </c>
      <c r="U42" s="531">
        <f t="shared" si="61"/>
        <v>0</v>
      </c>
      <c r="V42" s="531">
        <f t="shared" si="62"/>
        <v>0</v>
      </c>
      <c r="W42" s="535">
        <f>+'Asset Classification'!P42</f>
        <v>0</v>
      </c>
      <c r="X42" s="531">
        <f t="shared" si="63"/>
        <v>0</v>
      </c>
      <c r="Y42" s="531">
        <f t="shared" si="64"/>
        <v>0</v>
      </c>
      <c r="Z42" s="533">
        <f>+'Asset Classification'!Q42</f>
        <v>0</v>
      </c>
      <c r="AA42" s="535">
        <f>+'Asset Classification'!R42</f>
        <v>0</v>
      </c>
      <c r="AB42" s="533">
        <f>+'Asset Classification'!S42</f>
        <v>0</v>
      </c>
      <c r="AC42" s="531">
        <f t="shared" si="65"/>
        <v>0</v>
      </c>
      <c r="AD42" s="531">
        <f t="shared" si="66"/>
        <v>0</v>
      </c>
      <c r="AE42" s="535">
        <f>+'Asset Classification'!T42</f>
        <v>0</v>
      </c>
      <c r="AF42" s="531">
        <f t="shared" si="67"/>
        <v>0</v>
      </c>
      <c r="AG42" s="531">
        <f t="shared" si="68"/>
        <v>0</v>
      </c>
      <c r="AH42" s="533">
        <f>+'Asset Classification'!U42</f>
        <v>0</v>
      </c>
      <c r="AI42" s="535">
        <f>+'Asset Classification'!V42</f>
        <v>0</v>
      </c>
      <c r="AJ42" s="533">
        <f>+'Asset Classification'!W42</f>
        <v>0</v>
      </c>
      <c r="AK42" s="531">
        <f t="shared" si="69"/>
        <v>0</v>
      </c>
      <c r="AL42" s="531">
        <f t="shared" si="70"/>
        <v>0</v>
      </c>
      <c r="AM42" s="535">
        <f>+'Asset Classification'!X42</f>
        <v>0</v>
      </c>
      <c r="AN42" s="531">
        <f t="shared" si="71"/>
        <v>0</v>
      </c>
      <c r="AO42" s="531">
        <f t="shared" si="72"/>
        <v>0</v>
      </c>
      <c r="AP42" s="526">
        <f t="shared" si="73"/>
        <v>0</v>
      </c>
      <c r="AQ42" s="526">
        <f t="shared" si="73"/>
        <v>0</v>
      </c>
      <c r="AR42" s="526">
        <f t="shared" si="74"/>
        <v>0</v>
      </c>
      <c r="AS42" s="531">
        <f t="shared" si="75"/>
        <v>0</v>
      </c>
      <c r="AT42" s="531">
        <f t="shared" si="75"/>
        <v>0</v>
      </c>
      <c r="AU42" s="531">
        <f t="shared" si="76"/>
        <v>0</v>
      </c>
      <c r="AW42" s="243"/>
      <c r="AX42" s="243"/>
      <c r="AY42" s="243"/>
      <c r="AZ42" s="243"/>
      <c r="BA42" s="243"/>
      <c r="BB42" s="243"/>
      <c r="BC42" s="243"/>
    </row>
    <row r="43" spans="1:55" s="15" customFormat="1" ht="23.25" customHeight="1">
      <c r="A43" s="351">
        <v>18</v>
      </c>
      <c r="B43" s="354" t="s">
        <v>475</v>
      </c>
      <c r="C43" s="530">
        <f>+'Asset Classification'!C43</f>
        <v>2888957110</v>
      </c>
      <c r="D43" s="535">
        <f>+'Asset Classification'!D43</f>
        <v>2066166704</v>
      </c>
      <c r="E43" s="533">
        <f>+'Asset Classification'!E43</f>
        <v>2538581387</v>
      </c>
      <c r="F43" s="535">
        <f>+'Asset Classification'!F43</f>
        <v>1875127540</v>
      </c>
      <c r="G43" s="533">
        <f>+'Asset Classification'!G43</f>
        <v>25385814</v>
      </c>
      <c r="H43" s="531">
        <f t="shared" si="55"/>
        <v>25385813.870000001</v>
      </c>
      <c r="I43" s="531">
        <f t="shared" si="56"/>
        <v>0.12999999895691872</v>
      </c>
      <c r="J43" s="533">
        <f>+'Asset Classification'!I43</f>
        <v>194341734</v>
      </c>
      <c r="K43" s="535">
        <f>+'Asset Classification'!J43</f>
        <v>124588010</v>
      </c>
      <c r="L43" s="533">
        <f>+'Asset Classification'!K43</f>
        <v>19434173</v>
      </c>
      <c r="M43" s="531">
        <f t="shared" si="57"/>
        <v>19434173.400000002</v>
      </c>
      <c r="N43" s="531">
        <f t="shared" si="58"/>
        <v>-0.40000000223517418</v>
      </c>
      <c r="O43" s="535">
        <f>+'Asset Classification'!L43</f>
        <v>12458801</v>
      </c>
      <c r="P43" s="531">
        <f t="shared" si="59"/>
        <v>12458801</v>
      </c>
      <c r="Q43" s="531">
        <f t="shared" si="60"/>
        <v>0</v>
      </c>
      <c r="R43" s="533">
        <f>+'Asset Classification'!M43</f>
        <v>113009572</v>
      </c>
      <c r="S43" s="535">
        <f>+'Asset Classification'!N43</f>
        <v>39407159</v>
      </c>
      <c r="T43" s="533">
        <f>+'Asset Classification'!O43</f>
        <v>28252393</v>
      </c>
      <c r="U43" s="531">
        <f t="shared" si="61"/>
        <v>28252393</v>
      </c>
      <c r="V43" s="531">
        <f t="shared" si="62"/>
        <v>0</v>
      </c>
      <c r="W43" s="535">
        <f>+'Asset Classification'!P43</f>
        <v>9851790</v>
      </c>
      <c r="X43" s="531">
        <f t="shared" si="63"/>
        <v>9851789.75</v>
      </c>
      <c r="Y43" s="531">
        <f t="shared" si="64"/>
        <v>0.25</v>
      </c>
      <c r="Z43" s="533">
        <f>+'Asset Classification'!Q43</f>
        <v>33775945</v>
      </c>
      <c r="AA43" s="535">
        <f>+'Asset Classification'!R43</f>
        <v>20756780</v>
      </c>
      <c r="AB43" s="533">
        <f>+'Asset Classification'!S43</f>
        <v>16887972</v>
      </c>
      <c r="AC43" s="531">
        <f t="shared" si="65"/>
        <v>16887972.5</v>
      </c>
      <c r="AD43" s="531">
        <f t="shared" si="66"/>
        <v>-0.5</v>
      </c>
      <c r="AE43" s="535">
        <f>+'Asset Classification'!T43</f>
        <v>10378390</v>
      </c>
      <c r="AF43" s="531">
        <f t="shared" si="67"/>
        <v>10378390</v>
      </c>
      <c r="AG43" s="531">
        <f t="shared" si="68"/>
        <v>0</v>
      </c>
      <c r="AH43" s="533">
        <f>+'Asset Classification'!U43</f>
        <v>9248472</v>
      </c>
      <c r="AI43" s="535">
        <f>+'Asset Classification'!V43</f>
        <v>6287215</v>
      </c>
      <c r="AJ43" s="533">
        <f>+'Asset Classification'!W43</f>
        <v>9248472</v>
      </c>
      <c r="AK43" s="531">
        <f t="shared" si="69"/>
        <v>9248472</v>
      </c>
      <c r="AL43" s="531">
        <f t="shared" si="70"/>
        <v>0</v>
      </c>
      <c r="AM43" s="535">
        <f>+'Asset Classification'!X43</f>
        <v>6287215</v>
      </c>
      <c r="AN43" s="531">
        <f t="shared" si="71"/>
        <v>6287215</v>
      </c>
      <c r="AO43" s="531">
        <f t="shared" si="72"/>
        <v>0</v>
      </c>
      <c r="AP43" s="526">
        <f t="shared" si="73"/>
        <v>73823010</v>
      </c>
      <c r="AQ43" s="526">
        <f t="shared" si="73"/>
        <v>73823010.900000006</v>
      </c>
      <c r="AR43" s="526">
        <f t="shared" si="74"/>
        <v>-0.90000000596046448</v>
      </c>
      <c r="AS43" s="531">
        <f t="shared" si="75"/>
        <v>38976196</v>
      </c>
      <c r="AT43" s="531">
        <f t="shared" si="75"/>
        <v>38976195.75</v>
      </c>
      <c r="AU43" s="531">
        <f t="shared" si="76"/>
        <v>0.25</v>
      </c>
      <c r="AV43" s="245">
        <f>+'Aging Analysis'!C29</f>
        <v>2888957110</v>
      </c>
      <c r="AW43" s="243"/>
      <c r="AX43" s="243"/>
      <c r="AY43" s="243"/>
      <c r="AZ43" s="243"/>
      <c r="BA43" s="243"/>
      <c r="BB43" s="243"/>
      <c r="BC43" s="243"/>
    </row>
    <row r="44" spans="1:55" s="15" customFormat="1" ht="14.25" customHeight="1">
      <c r="A44" s="351"/>
      <c r="B44" s="355" t="s">
        <v>670</v>
      </c>
      <c r="C44" s="530">
        <f>+'Asset Classification'!C44</f>
        <v>0</v>
      </c>
      <c r="D44" s="535">
        <f>+'Asset Classification'!D44</f>
        <v>0</v>
      </c>
      <c r="E44" s="533">
        <f>+'Asset Classification'!E44</f>
        <v>0</v>
      </c>
      <c r="F44" s="535">
        <f>+'Asset Classification'!F44</f>
        <v>0</v>
      </c>
      <c r="G44" s="533">
        <f>+'Asset Classification'!G44</f>
        <v>0</v>
      </c>
      <c r="H44" s="531">
        <f t="shared" si="55"/>
        <v>0</v>
      </c>
      <c r="I44" s="531">
        <f t="shared" si="56"/>
        <v>0</v>
      </c>
      <c r="J44" s="533">
        <f>+'Asset Classification'!I44</f>
        <v>0</v>
      </c>
      <c r="K44" s="535">
        <f>+'Asset Classification'!J44</f>
        <v>0</v>
      </c>
      <c r="L44" s="533">
        <f>+'Asset Classification'!K44</f>
        <v>0</v>
      </c>
      <c r="M44" s="531">
        <f t="shared" si="57"/>
        <v>0</v>
      </c>
      <c r="N44" s="531">
        <f t="shared" si="58"/>
        <v>0</v>
      </c>
      <c r="O44" s="535">
        <f>+'Asset Classification'!L44</f>
        <v>0</v>
      </c>
      <c r="P44" s="531">
        <f t="shared" si="59"/>
        <v>0</v>
      </c>
      <c r="Q44" s="531">
        <f t="shared" si="60"/>
        <v>0</v>
      </c>
      <c r="R44" s="533">
        <f>+'Asset Classification'!M44</f>
        <v>0</v>
      </c>
      <c r="S44" s="535">
        <f>+'Asset Classification'!N44</f>
        <v>0</v>
      </c>
      <c r="T44" s="533">
        <f>+'Asset Classification'!O44</f>
        <v>0</v>
      </c>
      <c r="U44" s="531">
        <f t="shared" si="61"/>
        <v>0</v>
      </c>
      <c r="V44" s="531">
        <f t="shared" si="62"/>
        <v>0</v>
      </c>
      <c r="W44" s="535">
        <f>+'Asset Classification'!P44</f>
        <v>0</v>
      </c>
      <c r="X44" s="531">
        <f t="shared" si="63"/>
        <v>0</v>
      </c>
      <c r="Y44" s="531">
        <f t="shared" si="64"/>
        <v>0</v>
      </c>
      <c r="Z44" s="533">
        <f>+'Asset Classification'!Q44</f>
        <v>0</v>
      </c>
      <c r="AA44" s="535">
        <f>+'Asset Classification'!R44</f>
        <v>0</v>
      </c>
      <c r="AB44" s="533">
        <f>+'Asset Classification'!S44</f>
        <v>0</v>
      </c>
      <c r="AC44" s="531">
        <f t="shared" si="65"/>
        <v>0</v>
      </c>
      <c r="AD44" s="531">
        <f t="shared" si="66"/>
        <v>0</v>
      </c>
      <c r="AE44" s="535">
        <f>+'Asset Classification'!T44</f>
        <v>0</v>
      </c>
      <c r="AF44" s="531">
        <f t="shared" si="67"/>
        <v>0</v>
      </c>
      <c r="AG44" s="531">
        <f t="shared" si="68"/>
        <v>0</v>
      </c>
      <c r="AH44" s="533">
        <f>+'Asset Classification'!U44</f>
        <v>0</v>
      </c>
      <c r="AI44" s="535">
        <f>+'Asset Classification'!V44</f>
        <v>0</v>
      </c>
      <c r="AJ44" s="533">
        <f>+'Asset Classification'!W44</f>
        <v>0</v>
      </c>
      <c r="AK44" s="531">
        <f t="shared" si="69"/>
        <v>0</v>
      </c>
      <c r="AL44" s="531">
        <f t="shared" si="70"/>
        <v>0</v>
      </c>
      <c r="AM44" s="535">
        <f>+'Asset Classification'!X44</f>
        <v>0</v>
      </c>
      <c r="AN44" s="531">
        <f t="shared" si="71"/>
        <v>0</v>
      </c>
      <c r="AO44" s="531">
        <f t="shared" si="72"/>
        <v>0</v>
      </c>
      <c r="AP44" s="526">
        <f t="shared" si="73"/>
        <v>0</v>
      </c>
      <c r="AQ44" s="526">
        <f t="shared" si="73"/>
        <v>0</v>
      </c>
      <c r="AR44" s="526">
        <f t="shared" si="74"/>
        <v>0</v>
      </c>
      <c r="AS44" s="531">
        <f t="shared" si="75"/>
        <v>0</v>
      </c>
      <c r="AT44" s="531">
        <f t="shared" si="75"/>
        <v>0</v>
      </c>
      <c r="AU44" s="531">
        <f t="shared" si="76"/>
        <v>0</v>
      </c>
      <c r="AW44" s="243"/>
      <c r="AX44" s="243"/>
      <c r="AY44" s="243"/>
      <c r="AZ44" s="243"/>
      <c r="BA44" s="243"/>
      <c r="BB44" s="243"/>
      <c r="BC44" s="243"/>
    </row>
    <row r="45" spans="1:55" s="15" customFormat="1" ht="23.25" customHeight="1">
      <c r="A45" s="351">
        <v>19</v>
      </c>
      <c r="B45" s="354" t="s">
        <v>476</v>
      </c>
      <c r="C45" s="530">
        <f>+'Asset Classification'!C45</f>
        <v>1326568151</v>
      </c>
      <c r="D45" s="535">
        <f>+'Asset Classification'!D45</f>
        <v>25010543</v>
      </c>
      <c r="E45" s="533">
        <f>+'Asset Classification'!E45</f>
        <v>1310552678</v>
      </c>
      <c r="F45" s="535">
        <f>+'Asset Classification'!F45</f>
        <v>16254684</v>
      </c>
      <c r="G45" s="533">
        <f>+'Asset Classification'!G45</f>
        <v>13105527</v>
      </c>
      <c r="H45" s="531">
        <f t="shared" si="55"/>
        <v>13105526.780000001</v>
      </c>
      <c r="I45" s="531">
        <f t="shared" si="56"/>
        <v>0.2199999988079071</v>
      </c>
      <c r="J45" s="533">
        <f>+'Asset Classification'!I45</f>
        <v>6909614</v>
      </c>
      <c r="K45" s="535">
        <f>+'Asset Classification'!J45</f>
        <v>0</v>
      </c>
      <c r="L45" s="533">
        <f>+'Asset Classification'!K45</f>
        <v>690961</v>
      </c>
      <c r="M45" s="531">
        <f t="shared" si="57"/>
        <v>690961.4</v>
      </c>
      <c r="N45" s="531">
        <f t="shared" si="58"/>
        <v>-0.40000000002328306</v>
      </c>
      <c r="O45" s="535">
        <f>+'Asset Classification'!L45</f>
        <v>0</v>
      </c>
      <c r="P45" s="531">
        <f t="shared" si="59"/>
        <v>0</v>
      </c>
      <c r="Q45" s="531">
        <f t="shared" si="60"/>
        <v>0</v>
      </c>
      <c r="R45" s="533">
        <f>+'Asset Classification'!M45</f>
        <v>9105859</v>
      </c>
      <c r="S45" s="535">
        <f>+'Asset Classification'!N45</f>
        <v>8755859</v>
      </c>
      <c r="T45" s="533">
        <f>+'Asset Classification'!O45</f>
        <v>1122546</v>
      </c>
      <c r="U45" s="531">
        <f t="shared" si="61"/>
        <v>2276464.75</v>
      </c>
      <c r="V45" s="531">
        <f t="shared" si="62"/>
        <v>-1153918.75</v>
      </c>
      <c r="W45" s="535">
        <f>+'Asset Classification'!P45</f>
        <v>1122546</v>
      </c>
      <c r="X45" s="531">
        <f t="shared" si="63"/>
        <v>2188964.75</v>
      </c>
      <c r="Y45" s="531">
        <f t="shared" si="64"/>
        <v>-1066418.75</v>
      </c>
      <c r="Z45" s="533">
        <f>+'Asset Classification'!Q45</f>
        <v>0</v>
      </c>
      <c r="AA45" s="535">
        <f>+'Asset Classification'!R45</f>
        <v>0</v>
      </c>
      <c r="AB45" s="533">
        <f>+'Asset Classification'!S45</f>
        <v>0</v>
      </c>
      <c r="AC45" s="531">
        <f t="shared" si="65"/>
        <v>0</v>
      </c>
      <c r="AD45" s="531">
        <f t="shared" si="66"/>
        <v>0</v>
      </c>
      <c r="AE45" s="535">
        <f>+'Asset Classification'!T45</f>
        <v>0</v>
      </c>
      <c r="AF45" s="531">
        <f t="shared" si="67"/>
        <v>0</v>
      </c>
      <c r="AG45" s="531">
        <f t="shared" si="68"/>
        <v>0</v>
      </c>
      <c r="AH45" s="533">
        <f>+'Asset Classification'!U45</f>
        <v>0</v>
      </c>
      <c r="AI45" s="535">
        <f>+'Asset Classification'!V45</f>
        <v>0</v>
      </c>
      <c r="AJ45" s="533">
        <f>+'Asset Classification'!W45</f>
        <v>0</v>
      </c>
      <c r="AK45" s="531">
        <f t="shared" si="69"/>
        <v>0</v>
      </c>
      <c r="AL45" s="531">
        <f t="shared" si="70"/>
        <v>0</v>
      </c>
      <c r="AM45" s="535">
        <f>+'Asset Classification'!X45</f>
        <v>0</v>
      </c>
      <c r="AN45" s="531">
        <f t="shared" si="71"/>
        <v>0</v>
      </c>
      <c r="AO45" s="531">
        <f t="shared" si="72"/>
        <v>0</v>
      </c>
      <c r="AP45" s="526">
        <f t="shared" si="73"/>
        <v>1813507</v>
      </c>
      <c r="AQ45" s="526">
        <f t="shared" si="73"/>
        <v>2967426.15</v>
      </c>
      <c r="AR45" s="526">
        <f t="shared" si="74"/>
        <v>-1153919.1499999999</v>
      </c>
      <c r="AS45" s="531">
        <f t="shared" si="75"/>
        <v>1122546</v>
      </c>
      <c r="AT45" s="531">
        <f t="shared" si="75"/>
        <v>2188964.75</v>
      </c>
      <c r="AU45" s="531">
        <f t="shared" si="76"/>
        <v>-1066418.75</v>
      </c>
      <c r="AV45" s="245">
        <f>+'Aging Analysis'!C30</f>
        <v>1326568151</v>
      </c>
      <c r="AW45" s="243"/>
      <c r="AX45" s="243"/>
      <c r="AY45" s="243"/>
      <c r="AZ45" s="243"/>
      <c r="BA45" s="243"/>
      <c r="BB45" s="243"/>
      <c r="BC45" s="243"/>
    </row>
    <row r="46" spans="1:55" s="15" customFormat="1" ht="14.25" customHeight="1">
      <c r="A46" s="351"/>
      <c r="B46" s="355" t="s">
        <v>670</v>
      </c>
      <c r="C46" s="530">
        <f>+'Asset Classification'!C46</f>
        <v>0</v>
      </c>
      <c r="D46" s="535">
        <f>+'Asset Classification'!D46</f>
        <v>0</v>
      </c>
      <c r="E46" s="533">
        <f>+'Asset Classification'!E46</f>
        <v>0</v>
      </c>
      <c r="F46" s="535">
        <f>+'Asset Classification'!F46</f>
        <v>0</v>
      </c>
      <c r="G46" s="533">
        <f>+'Asset Classification'!G46</f>
        <v>0</v>
      </c>
      <c r="H46" s="531">
        <f t="shared" si="55"/>
        <v>0</v>
      </c>
      <c r="I46" s="531">
        <f t="shared" si="56"/>
        <v>0</v>
      </c>
      <c r="J46" s="533">
        <f>+'Asset Classification'!I46</f>
        <v>0</v>
      </c>
      <c r="K46" s="535">
        <f>+'Asset Classification'!J46</f>
        <v>0</v>
      </c>
      <c r="L46" s="533">
        <f>+'Asset Classification'!K46</f>
        <v>0</v>
      </c>
      <c r="M46" s="531">
        <f t="shared" si="57"/>
        <v>0</v>
      </c>
      <c r="N46" s="531">
        <f t="shared" si="58"/>
        <v>0</v>
      </c>
      <c r="O46" s="535">
        <f>+'Asset Classification'!L46</f>
        <v>0</v>
      </c>
      <c r="P46" s="531">
        <f t="shared" si="59"/>
        <v>0</v>
      </c>
      <c r="Q46" s="531">
        <f t="shared" si="60"/>
        <v>0</v>
      </c>
      <c r="R46" s="533">
        <f>+'Asset Classification'!M46</f>
        <v>0</v>
      </c>
      <c r="S46" s="535">
        <f>+'Asset Classification'!N46</f>
        <v>0</v>
      </c>
      <c r="T46" s="533">
        <f>+'Asset Classification'!O46</f>
        <v>0</v>
      </c>
      <c r="U46" s="531">
        <f t="shared" si="61"/>
        <v>0</v>
      </c>
      <c r="V46" s="531">
        <f t="shared" si="62"/>
        <v>0</v>
      </c>
      <c r="W46" s="535">
        <f>+'Asset Classification'!P46</f>
        <v>0</v>
      </c>
      <c r="X46" s="531">
        <f t="shared" si="63"/>
        <v>0</v>
      </c>
      <c r="Y46" s="531">
        <f t="shared" si="64"/>
        <v>0</v>
      </c>
      <c r="Z46" s="533">
        <f>+'Asset Classification'!Q46</f>
        <v>0</v>
      </c>
      <c r="AA46" s="535">
        <f>+'Asset Classification'!R46</f>
        <v>0</v>
      </c>
      <c r="AB46" s="533">
        <f>+'Asset Classification'!S46</f>
        <v>0</v>
      </c>
      <c r="AC46" s="531">
        <f t="shared" si="65"/>
        <v>0</v>
      </c>
      <c r="AD46" s="531">
        <f t="shared" si="66"/>
        <v>0</v>
      </c>
      <c r="AE46" s="535">
        <f>+'Asset Classification'!T46</f>
        <v>0</v>
      </c>
      <c r="AF46" s="531">
        <f t="shared" si="67"/>
        <v>0</v>
      </c>
      <c r="AG46" s="531">
        <f t="shared" si="68"/>
        <v>0</v>
      </c>
      <c r="AH46" s="533">
        <f>+'Asset Classification'!U46</f>
        <v>0</v>
      </c>
      <c r="AI46" s="535">
        <f>+'Asset Classification'!V46</f>
        <v>0</v>
      </c>
      <c r="AJ46" s="533">
        <f>+'Asset Classification'!W46</f>
        <v>0</v>
      </c>
      <c r="AK46" s="531">
        <f t="shared" si="69"/>
        <v>0</v>
      </c>
      <c r="AL46" s="531">
        <f t="shared" si="70"/>
        <v>0</v>
      </c>
      <c r="AM46" s="535">
        <f>+'Asset Classification'!X46</f>
        <v>0</v>
      </c>
      <c r="AN46" s="531">
        <f t="shared" si="71"/>
        <v>0</v>
      </c>
      <c r="AO46" s="531">
        <f t="shared" si="72"/>
        <v>0</v>
      </c>
      <c r="AP46" s="526">
        <f t="shared" si="73"/>
        <v>0</v>
      </c>
      <c r="AQ46" s="526">
        <f t="shared" si="73"/>
        <v>0</v>
      </c>
      <c r="AR46" s="526">
        <f t="shared" si="74"/>
        <v>0</v>
      </c>
      <c r="AS46" s="531">
        <f t="shared" si="75"/>
        <v>0</v>
      </c>
      <c r="AT46" s="531">
        <f t="shared" si="75"/>
        <v>0</v>
      </c>
      <c r="AU46" s="531">
        <f t="shared" si="76"/>
        <v>0</v>
      </c>
      <c r="AW46" s="243"/>
      <c r="AX46" s="243"/>
      <c r="AY46" s="243"/>
      <c r="AZ46" s="243"/>
      <c r="BA46" s="243"/>
      <c r="BB46" s="243"/>
      <c r="BC46" s="243"/>
    </row>
    <row r="47" spans="1:55" s="15" customFormat="1" ht="23.25" customHeight="1">
      <c r="A47" s="351">
        <v>20</v>
      </c>
      <c r="B47" s="354" t="s">
        <v>477</v>
      </c>
      <c r="C47" s="530">
        <f>+'Asset Classification'!C47</f>
        <v>10242602</v>
      </c>
      <c r="D47" s="535">
        <f>+'Asset Classification'!D47</f>
        <v>0</v>
      </c>
      <c r="E47" s="533">
        <f>+'Asset Classification'!E47</f>
        <v>3049477</v>
      </c>
      <c r="F47" s="535">
        <f>+'Asset Classification'!F47</f>
        <v>0</v>
      </c>
      <c r="G47" s="533">
        <f>+'Asset Classification'!G47</f>
        <v>30495</v>
      </c>
      <c r="H47" s="531">
        <f t="shared" si="55"/>
        <v>30494.77</v>
      </c>
      <c r="I47" s="531">
        <f t="shared" si="56"/>
        <v>0.22999999999956344</v>
      </c>
      <c r="J47" s="533">
        <f>+'Asset Classification'!I47</f>
        <v>1074164</v>
      </c>
      <c r="K47" s="535">
        <f>+'Asset Classification'!J47</f>
        <v>0</v>
      </c>
      <c r="L47" s="533">
        <f>+'Asset Classification'!K47</f>
        <v>107416</v>
      </c>
      <c r="M47" s="531">
        <f t="shared" si="57"/>
        <v>107416.40000000001</v>
      </c>
      <c r="N47" s="531">
        <f t="shared" si="58"/>
        <v>-0.40000000000873115</v>
      </c>
      <c r="O47" s="535">
        <f>+'Asset Classification'!L47</f>
        <v>0</v>
      </c>
      <c r="P47" s="531">
        <f t="shared" si="59"/>
        <v>0</v>
      </c>
      <c r="Q47" s="531">
        <f t="shared" si="60"/>
        <v>0</v>
      </c>
      <c r="R47" s="533">
        <f>+'Asset Classification'!M47</f>
        <v>1041035</v>
      </c>
      <c r="S47" s="535">
        <f>+'Asset Classification'!N47</f>
        <v>0</v>
      </c>
      <c r="T47" s="533">
        <f>+'Asset Classification'!O47</f>
        <v>195258</v>
      </c>
      <c r="U47" s="531">
        <f t="shared" si="61"/>
        <v>260258.75</v>
      </c>
      <c r="V47" s="531">
        <f t="shared" si="62"/>
        <v>-65000.75</v>
      </c>
      <c r="W47" s="535">
        <f>+'Asset Classification'!P47</f>
        <v>0</v>
      </c>
      <c r="X47" s="531">
        <f t="shared" si="63"/>
        <v>0</v>
      </c>
      <c r="Y47" s="531">
        <f t="shared" si="64"/>
        <v>0</v>
      </c>
      <c r="Z47" s="533">
        <f>+'Asset Classification'!Q47</f>
        <v>1884435</v>
      </c>
      <c r="AA47" s="535">
        <f>+'Asset Classification'!R47</f>
        <v>0</v>
      </c>
      <c r="AB47" s="533">
        <f>+'Asset Classification'!S47</f>
        <v>882546</v>
      </c>
      <c r="AC47" s="531">
        <f t="shared" si="65"/>
        <v>942217.5</v>
      </c>
      <c r="AD47" s="531">
        <f t="shared" si="66"/>
        <v>-59671.5</v>
      </c>
      <c r="AE47" s="535">
        <f>+'Asset Classification'!T47</f>
        <v>0</v>
      </c>
      <c r="AF47" s="531">
        <f t="shared" si="67"/>
        <v>0</v>
      </c>
      <c r="AG47" s="531">
        <f t="shared" si="68"/>
        <v>0</v>
      </c>
      <c r="AH47" s="533">
        <f>+'Asset Classification'!U47</f>
        <v>3193491</v>
      </c>
      <c r="AI47" s="535">
        <f>+'Asset Classification'!V47</f>
        <v>0</v>
      </c>
      <c r="AJ47" s="533">
        <f>+'Asset Classification'!W47</f>
        <v>3006146</v>
      </c>
      <c r="AK47" s="531">
        <f t="shared" si="69"/>
        <v>3193491</v>
      </c>
      <c r="AL47" s="531">
        <f t="shared" si="70"/>
        <v>-187345</v>
      </c>
      <c r="AM47" s="535">
        <f>+'Asset Classification'!X47</f>
        <v>0</v>
      </c>
      <c r="AN47" s="531">
        <f t="shared" si="71"/>
        <v>0</v>
      </c>
      <c r="AO47" s="531">
        <f t="shared" si="72"/>
        <v>0</v>
      </c>
      <c r="AP47" s="526">
        <f t="shared" si="73"/>
        <v>4191366</v>
      </c>
      <c r="AQ47" s="526">
        <f t="shared" si="73"/>
        <v>4503383.6500000004</v>
      </c>
      <c r="AR47" s="526">
        <f t="shared" si="74"/>
        <v>-312017.65000000037</v>
      </c>
      <c r="AS47" s="531">
        <f t="shared" si="75"/>
        <v>0</v>
      </c>
      <c r="AT47" s="531">
        <f t="shared" si="75"/>
        <v>0</v>
      </c>
      <c r="AU47" s="531">
        <f t="shared" si="76"/>
        <v>0</v>
      </c>
      <c r="AV47" s="245">
        <f>+'Aging Analysis'!C31</f>
        <v>10242602</v>
      </c>
      <c r="AW47" s="243"/>
      <c r="AX47" s="243"/>
      <c r="AY47" s="243"/>
      <c r="AZ47" s="243"/>
      <c r="BA47" s="243"/>
      <c r="BB47" s="243"/>
      <c r="BC47" s="243"/>
    </row>
    <row r="48" spans="1:55" s="15" customFormat="1" ht="14.25" customHeight="1">
      <c r="A48" s="351"/>
      <c r="B48" s="355" t="s">
        <v>670</v>
      </c>
      <c r="C48" s="530">
        <f>+'Asset Classification'!C48</f>
        <v>0</v>
      </c>
      <c r="D48" s="535">
        <f>+'Asset Classification'!D48</f>
        <v>0</v>
      </c>
      <c r="E48" s="533">
        <f>+'Asset Classification'!E48</f>
        <v>0</v>
      </c>
      <c r="F48" s="535">
        <f>+'Asset Classification'!F48</f>
        <v>0</v>
      </c>
      <c r="G48" s="533">
        <f>+'Asset Classification'!G48</f>
        <v>0</v>
      </c>
      <c r="H48" s="531">
        <f t="shared" si="55"/>
        <v>0</v>
      </c>
      <c r="I48" s="531">
        <f t="shared" si="56"/>
        <v>0</v>
      </c>
      <c r="J48" s="533">
        <f>+'Asset Classification'!I48</f>
        <v>0</v>
      </c>
      <c r="K48" s="535">
        <f>+'Asset Classification'!J48</f>
        <v>0</v>
      </c>
      <c r="L48" s="533">
        <f>+'Asset Classification'!K48</f>
        <v>0</v>
      </c>
      <c r="M48" s="531">
        <f t="shared" si="57"/>
        <v>0</v>
      </c>
      <c r="N48" s="531">
        <f t="shared" si="58"/>
        <v>0</v>
      </c>
      <c r="O48" s="535">
        <f>+'Asset Classification'!L48</f>
        <v>0</v>
      </c>
      <c r="P48" s="531">
        <f t="shared" si="59"/>
        <v>0</v>
      </c>
      <c r="Q48" s="531">
        <f t="shared" si="60"/>
        <v>0</v>
      </c>
      <c r="R48" s="533">
        <f>+'Asset Classification'!M48</f>
        <v>0</v>
      </c>
      <c r="S48" s="535">
        <f>+'Asset Classification'!N48</f>
        <v>0</v>
      </c>
      <c r="T48" s="533">
        <f>+'Asset Classification'!O48</f>
        <v>0</v>
      </c>
      <c r="U48" s="531">
        <f t="shared" si="61"/>
        <v>0</v>
      </c>
      <c r="V48" s="531">
        <f t="shared" si="62"/>
        <v>0</v>
      </c>
      <c r="W48" s="535">
        <f>+'Asset Classification'!P48</f>
        <v>0</v>
      </c>
      <c r="X48" s="531">
        <f t="shared" si="63"/>
        <v>0</v>
      </c>
      <c r="Y48" s="531">
        <f t="shared" si="64"/>
        <v>0</v>
      </c>
      <c r="Z48" s="533">
        <f>+'Asset Classification'!Q48</f>
        <v>0</v>
      </c>
      <c r="AA48" s="535">
        <f>+'Asset Classification'!R48</f>
        <v>0</v>
      </c>
      <c r="AB48" s="533">
        <f>+'Asset Classification'!S48</f>
        <v>0</v>
      </c>
      <c r="AC48" s="531">
        <f t="shared" si="65"/>
        <v>0</v>
      </c>
      <c r="AD48" s="531">
        <f t="shared" si="66"/>
        <v>0</v>
      </c>
      <c r="AE48" s="535">
        <f>+'Asset Classification'!T48</f>
        <v>0</v>
      </c>
      <c r="AF48" s="531">
        <f t="shared" si="67"/>
        <v>0</v>
      </c>
      <c r="AG48" s="531">
        <f t="shared" si="68"/>
        <v>0</v>
      </c>
      <c r="AH48" s="533">
        <f>+'Asset Classification'!U48</f>
        <v>0</v>
      </c>
      <c r="AI48" s="535">
        <f>+'Asset Classification'!V48</f>
        <v>0</v>
      </c>
      <c r="AJ48" s="533">
        <f>+'Asset Classification'!W48</f>
        <v>0</v>
      </c>
      <c r="AK48" s="531">
        <f t="shared" si="69"/>
        <v>0</v>
      </c>
      <c r="AL48" s="531">
        <f t="shared" si="70"/>
        <v>0</v>
      </c>
      <c r="AM48" s="535">
        <f>+'Asset Classification'!X48</f>
        <v>0</v>
      </c>
      <c r="AN48" s="531">
        <f t="shared" si="71"/>
        <v>0</v>
      </c>
      <c r="AO48" s="531">
        <f t="shared" si="72"/>
        <v>0</v>
      </c>
      <c r="AP48" s="526">
        <f t="shared" si="73"/>
        <v>0</v>
      </c>
      <c r="AQ48" s="526">
        <f t="shared" si="73"/>
        <v>0</v>
      </c>
      <c r="AR48" s="526">
        <f t="shared" si="74"/>
        <v>0</v>
      </c>
      <c r="AS48" s="531">
        <f t="shared" si="75"/>
        <v>0</v>
      </c>
      <c r="AT48" s="531">
        <f t="shared" si="75"/>
        <v>0</v>
      </c>
      <c r="AU48" s="531">
        <f t="shared" si="76"/>
        <v>0</v>
      </c>
      <c r="AW48" s="243"/>
      <c r="AX48" s="243"/>
      <c r="AY48" s="243"/>
      <c r="AZ48" s="243"/>
      <c r="BA48" s="243"/>
      <c r="BB48" s="243"/>
      <c r="BC48" s="243"/>
    </row>
    <row r="49" spans="1:55" s="15" customFormat="1" ht="23.25" customHeight="1">
      <c r="A49" s="351">
        <v>21</v>
      </c>
      <c r="B49" s="354" t="s">
        <v>478</v>
      </c>
      <c r="C49" s="530">
        <f>+'Asset Classification'!C49</f>
        <v>3115127146</v>
      </c>
      <c r="D49" s="535">
        <f>+'Asset Classification'!D49</f>
        <v>2015936052</v>
      </c>
      <c r="E49" s="533">
        <f>+'Asset Classification'!E49</f>
        <v>2582925173</v>
      </c>
      <c r="F49" s="535">
        <f>+'Asset Classification'!F49</f>
        <v>1913713964</v>
      </c>
      <c r="G49" s="533">
        <f>+'Asset Classification'!G49</f>
        <v>25829251</v>
      </c>
      <c r="H49" s="531">
        <f t="shared" si="55"/>
        <v>25829251.73</v>
      </c>
      <c r="I49" s="531">
        <f t="shared" si="56"/>
        <v>-0.73000000044703484</v>
      </c>
      <c r="J49" s="533">
        <f>+'Asset Classification'!I49</f>
        <v>447994582</v>
      </c>
      <c r="K49" s="535">
        <f>+'Asset Classification'!J49</f>
        <v>86804068</v>
      </c>
      <c r="L49" s="533">
        <f>+'Asset Classification'!K49</f>
        <v>44799458</v>
      </c>
      <c r="M49" s="531">
        <f t="shared" si="57"/>
        <v>44799458.200000003</v>
      </c>
      <c r="N49" s="531">
        <f t="shared" si="58"/>
        <v>-0.20000000298023224</v>
      </c>
      <c r="O49" s="535">
        <f>+'Asset Classification'!L49</f>
        <v>8680408</v>
      </c>
      <c r="P49" s="531">
        <f t="shared" si="59"/>
        <v>8680406.8000000007</v>
      </c>
      <c r="Q49" s="531">
        <f t="shared" si="60"/>
        <v>1.1999999992549419</v>
      </c>
      <c r="R49" s="533">
        <f>+'Asset Classification'!M49</f>
        <v>55124155</v>
      </c>
      <c r="S49" s="535">
        <f>+'Asset Classification'!N49</f>
        <v>9599864</v>
      </c>
      <c r="T49" s="533">
        <f>+'Asset Classification'!O49</f>
        <v>13781040</v>
      </c>
      <c r="U49" s="531">
        <f t="shared" si="61"/>
        <v>13781038.75</v>
      </c>
      <c r="V49" s="531">
        <f t="shared" si="62"/>
        <v>1.25</v>
      </c>
      <c r="W49" s="535">
        <f>+'Asset Classification'!P49</f>
        <v>2399966</v>
      </c>
      <c r="X49" s="531">
        <f t="shared" si="63"/>
        <v>2399966</v>
      </c>
      <c r="Y49" s="531">
        <f t="shared" si="64"/>
        <v>0</v>
      </c>
      <c r="Z49" s="533">
        <f>+'Asset Classification'!Q49</f>
        <v>23289729</v>
      </c>
      <c r="AA49" s="535">
        <f>+'Asset Classification'!R49</f>
        <v>5818156</v>
      </c>
      <c r="AB49" s="533">
        <f>+'Asset Classification'!S49</f>
        <v>11644865</v>
      </c>
      <c r="AC49" s="531">
        <f t="shared" si="65"/>
        <v>11644864.5</v>
      </c>
      <c r="AD49" s="531">
        <f t="shared" si="66"/>
        <v>0.5</v>
      </c>
      <c r="AE49" s="535">
        <f>+'Asset Classification'!T49</f>
        <v>2909079</v>
      </c>
      <c r="AF49" s="531">
        <f t="shared" si="67"/>
        <v>2909078</v>
      </c>
      <c r="AG49" s="531">
        <f t="shared" si="68"/>
        <v>1</v>
      </c>
      <c r="AH49" s="533">
        <f>+'Asset Classification'!U49</f>
        <v>5793507</v>
      </c>
      <c r="AI49" s="535">
        <f>+'Asset Classification'!V49</f>
        <v>0</v>
      </c>
      <c r="AJ49" s="533">
        <f>+'Asset Classification'!W49</f>
        <v>5793506</v>
      </c>
      <c r="AK49" s="531">
        <f t="shared" si="69"/>
        <v>5793507</v>
      </c>
      <c r="AL49" s="531">
        <f t="shared" si="70"/>
        <v>-1</v>
      </c>
      <c r="AM49" s="535">
        <f>+'Asset Classification'!X49</f>
        <v>0</v>
      </c>
      <c r="AN49" s="531">
        <f t="shared" si="71"/>
        <v>0</v>
      </c>
      <c r="AO49" s="531">
        <f t="shared" si="72"/>
        <v>0</v>
      </c>
      <c r="AP49" s="526">
        <f t="shared" si="73"/>
        <v>76018869</v>
      </c>
      <c r="AQ49" s="526">
        <f t="shared" si="73"/>
        <v>76018868.450000003</v>
      </c>
      <c r="AR49" s="526">
        <f t="shared" si="74"/>
        <v>0.54999999701976776</v>
      </c>
      <c r="AS49" s="531">
        <f t="shared" si="75"/>
        <v>13989453</v>
      </c>
      <c r="AT49" s="531">
        <f t="shared" si="75"/>
        <v>13989450.800000001</v>
      </c>
      <c r="AU49" s="531">
        <f t="shared" si="76"/>
        <v>2.1999999992549419</v>
      </c>
      <c r="AV49" s="245">
        <f>+'Aging Analysis'!C32</f>
        <v>3115127146</v>
      </c>
      <c r="AW49" s="243"/>
      <c r="AX49" s="243"/>
      <c r="AY49" s="243"/>
      <c r="AZ49" s="243"/>
      <c r="BA49" s="243"/>
      <c r="BB49" s="243"/>
      <c r="BC49" s="243"/>
    </row>
    <row r="50" spans="1:55" s="15" customFormat="1" ht="14.25" customHeight="1">
      <c r="A50" s="351"/>
      <c r="B50" s="355" t="s">
        <v>670</v>
      </c>
      <c r="C50" s="530">
        <f>+'Asset Classification'!C50</f>
        <v>0</v>
      </c>
      <c r="D50" s="535">
        <f>+'Asset Classification'!D50</f>
        <v>0</v>
      </c>
      <c r="E50" s="533">
        <f>+'Asset Classification'!E50</f>
        <v>0</v>
      </c>
      <c r="F50" s="535">
        <f>+'Asset Classification'!F50</f>
        <v>0</v>
      </c>
      <c r="G50" s="533">
        <f>+'Asset Classification'!G50</f>
        <v>0</v>
      </c>
      <c r="H50" s="531">
        <f t="shared" si="55"/>
        <v>0</v>
      </c>
      <c r="I50" s="531">
        <f t="shared" si="56"/>
        <v>0</v>
      </c>
      <c r="J50" s="533">
        <f>+'Asset Classification'!I50</f>
        <v>0</v>
      </c>
      <c r="K50" s="535">
        <f>+'Asset Classification'!J50</f>
        <v>0</v>
      </c>
      <c r="L50" s="533">
        <f>+'Asset Classification'!K50</f>
        <v>0</v>
      </c>
      <c r="M50" s="531">
        <f t="shared" si="57"/>
        <v>0</v>
      </c>
      <c r="N50" s="531">
        <f t="shared" si="58"/>
        <v>0</v>
      </c>
      <c r="O50" s="535">
        <f>+'Asset Classification'!L50</f>
        <v>0</v>
      </c>
      <c r="P50" s="531">
        <f t="shared" si="59"/>
        <v>0</v>
      </c>
      <c r="Q50" s="531">
        <f t="shared" si="60"/>
        <v>0</v>
      </c>
      <c r="R50" s="533">
        <f>+'Asset Classification'!M50</f>
        <v>0</v>
      </c>
      <c r="S50" s="535">
        <f>+'Asset Classification'!N50</f>
        <v>0</v>
      </c>
      <c r="T50" s="533">
        <f>+'Asset Classification'!O50</f>
        <v>0</v>
      </c>
      <c r="U50" s="531">
        <f t="shared" si="61"/>
        <v>0</v>
      </c>
      <c r="V50" s="531">
        <f t="shared" si="62"/>
        <v>0</v>
      </c>
      <c r="W50" s="535">
        <f>+'Asset Classification'!P50</f>
        <v>0</v>
      </c>
      <c r="X50" s="531">
        <f t="shared" si="63"/>
        <v>0</v>
      </c>
      <c r="Y50" s="531">
        <f t="shared" si="64"/>
        <v>0</v>
      </c>
      <c r="Z50" s="533">
        <f>+'Asset Classification'!Q50</f>
        <v>0</v>
      </c>
      <c r="AA50" s="535">
        <f>+'Asset Classification'!R50</f>
        <v>0</v>
      </c>
      <c r="AB50" s="533">
        <f>+'Asset Classification'!S50</f>
        <v>0</v>
      </c>
      <c r="AC50" s="531">
        <f t="shared" si="65"/>
        <v>0</v>
      </c>
      <c r="AD50" s="531">
        <f t="shared" si="66"/>
        <v>0</v>
      </c>
      <c r="AE50" s="535">
        <f>+'Asset Classification'!T50</f>
        <v>0</v>
      </c>
      <c r="AF50" s="531">
        <f t="shared" si="67"/>
        <v>0</v>
      </c>
      <c r="AG50" s="531">
        <f t="shared" si="68"/>
        <v>0</v>
      </c>
      <c r="AH50" s="533">
        <f>+'Asset Classification'!U50</f>
        <v>0</v>
      </c>
      <c r="AI50" s="535">
        <f>+'Asset Classification'!V50</f>
        <v>0</v>
      </c>
      <c r="AJ50" s="533">
        <f>+'Asset Classification'!W50</f>
        <v>0</v>
      </c>
      <c r="AK50" s="531">
        <f t="shared" si="69"/>
        <v>0</v>
      </c>
      <c r="AL50" s="531">
        <f t="shared" si="70"/>
        <v>0</v>
      </c>
      <c r="AM50" s="535">
        <f>+'Asset Classification'!X50</f>
        <v>0</v>
      </c>
      <c r="AN50" s="531">
        <f t="shared" si="71"/>
        <v>0</v>
      </c>
      <c r="AO50" s="531">
        <f t="shared" si="72"/>
        <v>0</v>
      </c>
      <c r="AP50" s="526">
        <f t="shared" si="73"/>
        <v>0</v>
      </c>
      <c r="AQ50" s="526">
        <f t="shared" si="73"/>
        <v>0</v>
      </c>
      <c r="AR50" s="526">
        <f t="shared" si="74"/>
        <v>0</v>
      </c>
      <c r="AS50" s="531">
        <f t="shared" si="75"/>
        <v>0</v>
      </c>
      <c r="AT50" s="531">
        <f t="shared" si="75"/>
        <v>0</v>
      </c>
      <c r="AU50" s="531">
        <f t="shared" si="76"/>
        <v>0</v>
      </c>
      <c r="AV50" s="243"/>
      <c r="AW50" s="243"/>
      <c r="AX50" s="243"/>
      <c r="AY50" s="243"/>
      <c r="AZ50" s="243"/>
      <c r="BA50" s="243"/>
      <c r="BB50" s="243"/>
      <c r="BC50" s="243"/>
    </row>
    <row r="51" spans="1:55" s="15" customFormat="1" ht="23.25" customHeight="1">
      <c r="A51" s="351">
        <v>22</v>
      </c>
      <c r="B51" s="354" t="s">
        <v>401</v>
      </c>
      <c r="C51" s="530">
        <f>+'Asset Classification'!C51</f>
        <v>5463367169</v>
      </c>
      <c r="D51" s="535">
        <f>+'Asset Classification'!D51</f>
        <v>0</v>
      </c>
      <c r="E51" s="533">
        <f>+'Asset Classification'!E51</f>
        <v>5326427523</v>
      </c>
      <c r="F51" s="535">
        <f>+'Asset Classification'!F51</f>
        <v>0</v>
      </c>
      <c r="G51" s="533">
        <f>+'Asset Classification'!G51</f>
        <v>53264275</v>
      </c>
      <c r="H51" s="531">
        <f t="shared" si="55"/>
        <v>53264275.230000004</v>
      </c>
      <c r="I51" s="531">
        <f t="shared" si="56"/>
        <v>-0.23000000417232513</v>
      </c>
      <c r="J51" s="533">
        <f>+'Asset Classification'!I51</f>
        <v>86600966</v>
      </c>
      <c r="K51" s="535">
        <f>+'Asset Classification'!J51</f>
        <v>0</v>
      </c>
      <c r="L51" s="533">
        <f>+'Asset Classification'!K51</f>
        <v>8592799</v>
      </c>
      <c r="M51" s="531">
        <f t="shared" si="57"/>
        <v>8660096.5999999996</v>
      </c>
      <c r="N51" s="531">
        <f t="shared" si="58"/>
        <v>-67297.599999999627</v>
      </c>
      <c r="O51" s="535">
        <f>+'Asset Classification'!L51</f>
        <v>0</v>
      </c>
      <c r="P51" s="531">
        <f t="shared" si="59"/>
        <v>0</v>
      </c>
      <c r="Q51" s="531">
        <f t="shared" si="60"/>
        <v>0</v>
      </c>
      <c r="R51" s="533">
        <f>+'Asset Classification'!M51</f>
        <v>25017834</v>
      </c>
      <c r="S51" s="535">
        <f>+'Asset Classification'!N51</f>
        <v>0</v>
      </c>
      <c r="T51" s="533">
        <f>+'Asset Classification'!O51</f>
        <v>6063606</v>
      </c>
      <c r="U51" s="531">
        <f t="shared" si="61"/>
        <v>6254458.5</v>
      </c>
      <c r="V51" s="531">
        <f t="shared" si="62"/>
        <v>-190852.5</v>
      </c>
      <c r="W51" s="535">
        <f>+'Asset Classification'!P51</f>
        <v>0</v>
      </c>
      <c r="X51" s="531">
        <f t="shared" si="63"/>
        <v>0</v>
      </c>
      <c r="Y51" s="531">
        <f t="shared" si="64"/>
        <v>0</v>
      </c>
      <c r="Z51" s="533">
        <f>+'Asset Classification'!Q51</f>
        <v>18412252</v>
      </c>
      <c r="AA51" s="535">
        <f>+'Asset Classification'!R51</f>
        <v>0</v>
      </c>
      <c r="AB51" s="533">
        <f>+'Asset Classification'!S51</f>
        <v>8853606</v>
      </c>
      <c r="AC51" s="531">
        <f t="shared" si="65"/>
        <v>9206126</v>
      </c>
      <c r="AD51" s="531">
        <f t="shared" si="66"/>
        <v>-352520</v>
      </c>
      <c r="AE51" s="535">
        <f>+'Asset Classification'!T51</f>
        <v>0</v>
      </c>
      <c r="AF51" s="531">
        <f t="shared" si="67"/>
        <v>0</v>
      </c>
      <c r="AG51" s="531">
        <f t="shared" si="68"/>
        <v>0</v>
      </c>
      <c r="AH51" s="533">
        <f>+'Asset Classification'!U51</f>
        <v>6908594</v>
      </c>
      <c r="AI51" s="535">
        <f>+'Asset Classification'!V51</f>
        <v>0</v>
      </c>
      <c r="AJ51" s="533">
        <f>+'Asset Classification'!W51</f>
        <v>6238672</v>
      </c>
      <c r="AK51" s="531">
        <f t="shared" si="69"/>
        <v>6908594</v>
      </c>
      <c r="AL51" s="531">
        <f t="shared" si="70"/>
        <v>-669922</v>
      </c>
      <c r="AM51" s="535">
        <f>+'Asset Classification'!X51</f>
        <v>0</v>
      </c>
      <c r="AN51" s="531">
        <f t="shared" si="71"/>
        <v>0</v>
      </c>
      <c r="AO51" s="531">
        <f t="shared" si="72"/>
        <v>0</v>
      </c>
      <c r="AP51" s="526">
        <f t="shared" si="73"/>
        <v>29748683</v>
      </c>
      <c r="AQ51" s="526">
        <f t="shared" si="73"/>
        <v>31029275.100000001</v>
      </c>
      <c r="AR51" s="526">
        <f t="shared" si="74"/>
        <v>-1280592.1000000015</v>
      </c>
      <c r="AS51" s="531">
        <f t="shared" si="75"/>
        <v>0</v>
      </c>
      <c r="AT51" s="531">
        <f t="shared" si="75"/>
        <v>0</v>
      </c>
      <c r="AU51" s="531">
        <f t="shared" si="76"/>
        <v>0</v>
      </c>
      <c r="AV51" s="245">
        <f>+'Aging Analysis'!C33</f>
        <v>5463367169</v>
      </c>
      <c r="AW51" s="243"/>
      <c r="AX51" s="243"/>
      <c r="AY51" s="243"/>
      <c r="AZ51" s="243"/>
      <c r="BA51" s="243"/>
      <c r="BB51" s="243"/>
      <c r="BC51" s="243"/>
    </row>
    <row r="52" spans="1:55" s="15" customFormat="1" ht="14.25" customHeight="1">
      <c r="A52" s="351"/>
      <c r="B52" s="355" t="s">
        <v>670</v>
      </c>
      <c r="C52" s="530">
        <f>+'Asset Classification'!C52</f>
        <v>0</v>
      </c>
      <c r="D52" s="535">
        <f>+'Asset Classification'!D52</f>
        <v>0</v>
      </c>
      <c r="E52" s="533">
        <f>+'Asset Classification'!E52</f>
        <v>0</v>
      </c>
      <c r="F52" s="535">
        <f>+'Asset Classification'!F52</f>
        <v>0</v>
      </c>
      <c r="G52" s="533">
        <f>+'Asset Classification'!G52</f>
        <v>0</v>
      </c>
      <c r="H52" s="531">
        <f t="shared" si="55"/>
        <v>0</v>
      </c>
      <c r="I52" s="531">
        <f t="shared" si="56"/>
        <v>0</v>
      </c>
      <c r="J52" s="533">
        <f>+'Asset Classification'!I52</f>
        <v>0</v>
      </c>
      <c r="K52" s="535">
        <f>+'Asset Classification'!J52</f>
        <v>0</v>
      </c>
      <c r="L52" s="533">
        <f>+'Asset Classification'!K52</f>
        <v>0</v>
      </c>
      <c r="M52" s="531">
        <f t="shared" si="57"/>
        <v>0</v>
      </c>
      <c r="N52" s="531">
        <f t="shared" si="58"/>
        <v>0</v>
      </c>
      <c r="O52" s="535">
        <f>+'Asset Classification'!L52</f>
        <v>0</v>
      </c>
      <c r="P52" s="531">
        <f t="shared" si="59"/>
        <v>0</v>
      </c>
      <c r="Q52" s="531">
        <f t="shared" si="60"/>
        <v>0</v>
      </c>
      <c r="R52" s="533">
        <f>+'Asset Classification'!M52</f>
        <v>0</v>
      </c>
      <c r="S52" s="535">
        <f>+'Asset Classification'!N52</f>
        <v>0</v>
      </c>
      <c r="T52" s="533">
        <f>+'Asset Classification'!O52</f>
        <v>0</v>
      </c>
      <c r="U52" s="531">
        <f t="shared" si="61"/>
        <v>0</v>
      </c>
      <c r="V52" s="531">
        <f t="shared" si="62"/>
        <v>0</v>
      </c>
      <c r="W52" s="535">
        <f>+'Asset Classification'!P52</f>
        <v>0</v>
      </c>
      <c r="X52" s="531">
        <f t="shared" si="63"/>
        <v>0</v>
      </c>
      <c r="Y52" s="531">
        <f t="shared" si="64"/>
        <v>0</v>
      </c>
      <c r="Z52" s="533">
        <f>+'Asset Classification'!Q52</f>
        <v>0</v>
      </c>
      <c r="AA52" s="535">
        <f>+'Asset Classification'!R52</f>
        <v>0</v>
      </c>
      <c r="AB52" s="533">
        <f>+'Asset Classification'!S52</f>
        <v>0</v>
      </c>
      <c r="AC52" s="531">
        <f t="shared" si="65"/>
        <v>0</v>
      </c>
      <c r="AD52" s="531">
        <f t="shared" si="66"/>
        <v>0</v>
      </c>
      <c r="AE52" s="535">
        <f>+'Asset Classification'!T52</f>
        <v>0</v>
      </c>
      <c r="AF52" s="531">
        <f t="shared" si="67"/>
        <v>0</v>
      </c>
      <c r="AG52" s="531">
        <f t="shared" si="68"/>
        <v>0</v>
      </c>
      <c r="AH52" s="533">
        <f>+'Asset Classification'!U52</f>
        <v>0</v>
      </c>
      <c r="AI52" s="535">
        <f>+'Asset Classification'!V52</f>
        <v>0</v>
      </c>
      <c r="AJ52" s="533">
        <f>+'Asset Classification'!W52</f>
        <v>0</v>
      </c>
      <c r="AK52" s="531">
        <f t="shared" si="69"/>
        <v>0</v>
      </c>
      <c r="AL52" s="531">
        <f t="shared" si="70"/>
        <v>0</v>
      </c>
      <c r="AM52" s="535">
        <f>+'Asset Classification'!X52</f>
        <v>0</v>
      </c>
      <c r="AN52" s="531">
        <f t="shared" si="71"/>
        <v>0</v>
      </c>
      <c r="AO52" s="531">
        <f t="shared" si="72"/>
        <v>0</v>
      </c>
      <c r="AP52" s="526">
        <f t="shared" si="73"/>
        <v>0</v>
      </c>
      <c r="AQ52" s="526">
        <f t="shared" si="73"/>
        <v>0</v>
      </c>
      <c r="AR52" s="526">
        <f t="shared" si="74"/>
        <v>0</v>
      </c>
      <c r="AS52" s="531">
        <f t="shared" si="75"/>
        <v>0</v>
      </c>
      <c r="AT52" s="531">
        <f t="shared" si="75"/>
        <v>0</v>
      </c>
      <c r="AU52" s="531">
        <f t="shared" si="76"/>
        <v>0</v>
      </c>
      <c r="AV52" s="243"/>
      <c r="AW52" s="243"/>
      <c r="AX52" s="243"/>
      <c r="AY52" s="243"/>
      <c r="AZ52" s="243"/>
      <c r="BA52" s="243"/>
      <c r="BB52" s="243"/>
      <c r="BC52" s="243"/>
    </row>
    <row r="53" spans="1:55" s="512" customFormat="1" ht="28.5" customHeight="1">
      <c r="A53" s="510">
        <v>23</v>
      </c>
      <c r="B53" s="510" t="s">
        <v>678</v>
      </c>
      <c r="C53" s="527">
        <f>+'Asset Classification'!C53</f>
        <v>48075884880</v>
      </c>
      <c r="D53" s="527">
        <f>+'Asset Classification'!D53</f>
        <v>30828142644</v>
      </c>
      <c r="E53" s="527">
        <f>+'Asset Classification'!E53</f>
        <v>44160297748</v>
      </c>
      <c r="F53" s="527">
        <f>+'Asset Classification'!F53</f>
        <v>28307852456</v>
      </c>
      <c r="G53" s="527">
        <f>+'Asset Classification'!G53</f>
        <v>414689972</v>
      </c>
      <c r="H53" s="527">
        <f t="shared" ref="H53:I53" si="77">+H35+H37+H39+H41+H43+H45+H47+H49+H51</f>
        <v>441602977.48000002</v>
      </c>
      <c r="I53" s="527">
        <f t="shared" si="77"/>
        <v>-26913005.480000008</v>
      </c>
      <c r="J53" s="527">
        <f>+'Asset Classification'!I53</f>
        <v>2556900652</v>
      </c>
      <c r="K53" s="527">
        <f>+'Asset Classification'!J53</f>
        <v>1684963039</v>
      </c>
      <c r="L53" s="527">
        <f>+'Asset Classification'!K53</f>
        <v>255622767</v>
      </c>
      <c r="M53" s="527">
        <f t="shared" ref="M53:N53" si="78">+M35+M37+M39+M41+M43+M45+M47+M49+M51</f>
        <v>255690065.20000002</v>
      </c>
      <c r="N53" s="527">
        <f t="shared" si="78"/>
        <v>-67298.2000000181</v>
      </c>
      <c r="O53" s="527">
        <f>+'Asset Classification'!L53</f>
        <v>168496305</v>
      </c>
      <c r="P53" s="527">
        <f t="shared" ref="P53:Q53" si="79">+P35+P37+P39+P41+P43+P45+P47+P49+P51</f>
        <v>168496303.90000001</v>
      </c>
      <c r="Q53" s="527">
        <f t="shared" si="79"/>
        <v>1.0999999968335032</v>
      </c>
      <c r="R53" s="527">
        <f>+'Asset Classification'!M53</f>
        <v>436789210</v>
      </c>
      <c r="S53" s="527">
        <f>+'Asset Classification'!N53</f>
        <v>228730389</v>
      </c>
      <c r="T53" s="527">
        <f>+'Asset Classification'!O53</f>
        <v>107787533</v>
      </c>
      <c r="U53" s="527">
        <f t="shared" ref="U53:V53" si="80">+U35+U37+U39+U41+U43+U45+U47+U49+U51</f>
        <v>109197302.5</v>
      </c>
      <c r="V53" s="527">
        <f t="shared" si="80"/>
        <v>-1409769.5</v>
      </c>
      <c r="W53" s="527">
        <f>+'Asset Classification'!P53</f>
        <v>56116179</v>
      </c>
      <c r="X53" s="527">
        <f t="shared" ref="X53:Y53" si="81">+X35+X37+X39+X41+X43+X45+X47+X49+X51</f>
        <v>57182597.25</v>
      </c>
      <c r="Y53" s="527">
        <f t="shared" si="81"/>
        <v>-1066418.25</v>
      </c>
      <c r="Z53" s="527">
        <f>+'Asset Classification'!Q53</f>
        <v>830442808</v>
      </c>
      <c r="AA53" s="527">
        <f>+'Asset Classification'!R53</f>
        <v>563175767</v>
      </c>
      <c r="AB53" s="527">
        <f>+'Asset Classification'!S53</f>
        <v>414805245</v>
      </c>
      <c r="AC53" s="527">
        <f t="shared" ref="AC53:AG53" si="82">+AC35+AC37+AC39+AC41+AC43+AC45+AC47+AC49+AC51</f>
        <v>415221404</v>
      </c>
      <c r="AD53" s="527">
        <f t="shared" si="82"/>
        <v>-416159</v>
      </c>
      <c r="AE53" s="527">
        <f>+'Asset Classification'!T53</f>
        <v>281587884</v>
      </c>
      <c r="AF53" s="527">
        <f t="shared" si="82"/>
        <v>281587883.5</v>
      </c>
      <c r="AG53" s="527">
        <f t="shared" si="82"/>
        <v>0.5</v>
      </c>
      <c r="AH53" s="527">
        <f>+'Asset Classification'!U53</f>
        <v>91454462</v>
      </c>
      <c r="AI53" s="527">
        <f>+'Asset Classification'!V53</f>
        <v>43420993</v>
      </c>
      <c r="AJ53" s="527">
        <f>+'Asset Classification'!W53</f>
        <v>90597194</v>
      </c>
      <c r="AK53" s="527">
        <f t="shared" ref="AK53:AL53" si="83">+AK35+AK37+AK39+AK41+AK43+AK45+AK47+AK49+AK51</f>
        <v>91454462</v>
      </c>
      <c r="AL53" s="527">
        <f t="shared" si="83"/>
        <v>-857268</v>
      </c>
      <c r="AM53" s="527">
        <f>+'Asset Classification'!X53</f>
        <v>43420993</v>
      </c>
      <c r="AN53" s="527">
        <f t="shared" ref="AN53:AU53" si="84">+AN35+AN37+AN39+AN41+AN43+AN45+AN47+AN49+AN51</f>
        <v>43420993</v>
      </c>
      <c r="AO53" s="527">
        <f t="shared" si="84"/>
        <v>0</v>
      </c>
      <c r="AP53" s="527">
        <f t="shared" si="84"/>
        <v>868812739</v>
      </c>
      <c r="AQ53" s="527">
        <f t="shared" si="84"/>
        <v>871563233.70000017</v>
      </c>
      <c r="AR53" s="527">
        <f t="shared" si="84"/>
        <v>-2750494.7000000509</v>
      </c>
      <c r="AS53" s="527">
        <f t="shared" si="84"/>
        <v>549621361</v>
      </c>
      <c r="AT53" s="527">
        <f t="shared" si="84"/>
        <v>550687777.64999998</v>
      </c>
      <c r="AU53" s="527">
        <f t="shared" si="84"/>
        <v>-1066416.6499999883</v>
      </c>
      <c r="AV53" s="511">
        <f>+'Aging Analysis'!C35</f>
        <v>48075884880</v>
      </c>
    </row>
    <row r="54" spans="1:55" s="15" customFormat="1" ht="23.25" customHeight="1">
      <c r="A54" s="351"/>
      <c r="B54" s="355" t="s">
        <v>670</v>
      </c>
      <c r="C54" s="530">
        <f>+'Asset Classification'!C54</f>
        <v>0</v>
      </c>
      <c r="D54" s="535">
        <f>+'Asset Classification'!D54</f>
        <v>0</v>
      </c>
      <c r="E54" s="533">
        <f>+'Asset Classification'!E54</f>
        <v>0</v>
      </c>
      <c r="F54" s="535">
        <f>+'Asset Classification'!F54</f>
        <v>0</v>
      </c>
      <c r="G54" s="533">
        <f>+'Asset Classification'!G54</f>
        <v>0</v>
      </c>
      <c r="H54" s="531">
        <f t="shared" ref="H54" si="85">+E54*1%</f>
        <v>0</v>
      </c>
      <c r="I54" s="531">
        <f t="shared" ref="I54" si="86">+G54-H54</f>
        <v>0</v>
      </c>
      <c r="J54" s="533">
        <f>+'Asset Classification'!I54</f>
        <v>0</v>
      </c>
      <c r="K54" s="535">
        <f>+'Asset Classification'!J54</f>
        <v>0</v>
      </c>
      <c r="L54" s="533">
        <f>+'Asset Classification'!K54</f>
        <v>0</v>
      </c>
      <c r="M54" s="531">
        <f t="shared" ref="M54" si="87">+J54*10%</f>
        <v>0</v>
      </c>
      <c r="N54" s="531">
        <f t="shared" ref="N54" si="88">+L54-M54</f>
        <v>0</v>
      </c>
      <c r="O54" s="535">
        <f>+'Asset Classification'!L54</f>
        <v>0</v>
      </c>
      <c r="P54" s="531">
        <f t="shared" ref="P54" si="89">+K54*10%</f>
        <v>0</v>
      </c>
      <c r="Q54" s="531">
        <f t="shared" ref="Q54" si="90">+O54-P54</f>
        <v>0</v>
      </c>
      <c r="R54" s="533">
        <f>+'Asset Classification'!M54</f>
        <v>0</v>
      </c>
      <c r="S54" s="535">
        <f>+'Asset Classification'!N54</f>
        <v>0</v>
      </c>
      <c r="T54" s="533">
        <f>+'Asset Classification'!O54</f>
        <v>0</v>
      </c>
      <c r="U54" s="531">
        <f t="shared" ref="U54" si="91">+R54*25%</f>
        <v>0</v>
      </c>
      <c r="V54" s="531">
        <f t="shared" ref="V54" si="92">+T54-U54</f>
        <v>0</v>
      </c>
      <c r="W54" s="535">
        <f>+'Asset Classification'!P54</f>
        <v>0</v>
      </c>
      <c r="X54" s="531">
        <f t="shared" ref="X54" si="93">+S54*25%</f>
        <v>0</v>
      </c>
      <c r="Y54" s="531">
        <f t="shared" ref="Y54" si="94">+W54-X54</f>
        <v>0</v>
      </c>
      <c r="Z54" s="533">
        <f>+'Asset Classification'!Q54</f>
        <v>0</v>
      </c>
      <c r="AA54" s="535">
        <f>+'Asset Classification'!R54</f>
        <v>0</v>
      </c>
      <c r="AB54" s="533">
        <f>+'Asset Classification'!S54</f>
        <v>0</v>
      </c>
      <c r="AC54" s="531">
        <f t="shared" ref="AC54" si="95">+Z54*50%</f>
        <v>0</v>
      </c>
      <c r="AD54" s="531">
        <f t="shared" ref="AD54" si="96">+AB54-AC54</f>
        <v>0</v>
      </c>
      <c r="AE54" s="535">
        <f>+'Asset Classification'!T54</f>
        <v>0</v>
      </c>
      <c r="AF54" s="531">
        <f t="shared" ref="AF54" si="97">+AA54*50%</f>
        <v>0</v>
      </c>
      <c r="AG54" s="531">
        <f t="shared" ref="AG54" si="98">+AE54-AF54</f>
        <v>0</v>
      </c>
      <c r="AH54" s="533">
        <f>+'Asset Classification'!U54</f>
        <v>0</v>
      </c>
      <c r="AI54" s="535">
        <f>+'Asset Classification'!V54</f>
        <v>0</v>
      </c>
      <c r="AJ54" s="533">
        <f>+'Asset Classification'!W54</f>
        <v>0</v>
      </c>
      <c r="AK54" s="531">
        <f t="shared" ref="AK54" si="99">+AH54*100%</f>
        <v>0</v>
      </c>
      <c r="AL54" s="531">
        <f t="shared" ref="AL54" si="100">+AJ54-AK54</f>
        <v>0</v>
      </c>
      <c r="AM54" s="535">
        <f>+'Asset Classification'!X54</f>
        <v>0</v>
      </c>
      <c r="AN54" s="531">
        <f t="shared" ref="AN54" si="101">+AI54*100%</f>
        <v>0</v>
      </c>
      <c r="AO54" s="531">
        <f t="shared" ref="AO54" si="102">+AM54-AN54</f>
        <v>0</v>
      </c>
      <c r="AP54" s="526">
        <f t="shared" ref="AP54" si="103">+L54+T54+AB54+AJ54</f>
        <v>0</v>
      </c>
      <c r="AQ54" s="526">
        <f t="shared" ref="AQ54" si="104">+M54+U54+AC54+AK54</f>
        <v>0</v>
      </c>
      <c r="AR54" s="526">
        <f t="shared" ref="AR54" si="105">+AP54-AQ54</f>
        <v>0</v>
      </c>
      <c r="AS54" s="531">
        <f t="shared" ref="AS54" si="106">+O54+W54+AE54+AM54</f>
        <v>0</v>
      </c>
      <c r="AT54" s="531">
        <f t="shared" ref="AT54" si="107">+P54+X54+AF54+AN54</f>
        <v>0</v>
      </c>
      <c r="AU54" s="531">
        <f t="shared" ref="AU54" si="108">+AS54-AT54</f>
        <v>0</v>
      </c>
      <c r="AV54" s="243"/>
      <c r="AW54" s="243"/>
      <c r="AX54" s="243"/>
      <c r="AY54" s="243"/>
      <c r="AZ54" s="243"/>
      <c r="BA54" s="243"/>
      <c r="BB54" s="243"/>
      <c r="BC54" s="243"/>
    </row>
    <row r="55" spans="1:55" s="512" customFormat="1" ht="27.75" customHeight="1">
      <c r="A55" s="510"/>
      <c r="B55" s="510" t="s">
        <v>680</v>
      </c>
      <c r="C55" s="527"/>
      <c r="D55" s="527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527"/>
      <c r="X55" s="527"/>
      <c r="Y55" s="527"/>
      <c r="Z55" s="527"/>
      <c r="AA55" s="527"/>
      <c r="AB55" s="527"/>
      <c r="AC55" s="527"/>
      <c r="AD55" s="527"/>
      <c r="AE55" s="527"/>
      <c r="AF55" s="527"/>
      <c r="AG55" s="527"/>
      <c r="AH55" s="527"/>
      <c r="AI55" s="527"/>
      <c r="AJ55" s="527"/>
      <c r="AK55" s="527"/>
      <c r="AL55" s="527"/>
      <c r="AM55" s="527"/>
      <c r="AN55" s="527"/>
      <c r="AO55" s="527"/>
      <c r="AP55" s="527"/>
      <c r="AQ55" s="527"/>
      <c r="AR55" s="527"/>
      <c r="AS55" s="527"/>
      <c r="AT55" s="527"/>
      <c r="AU55" s="527"/>
    </row>
    <row r="56" spans="1:55" s="15" customFormat="1" ht="7.5" customHeight="1">
      <c r="A56" s="14"/>
      <c r="B56" s="14"/>
      <c r="C56" s="533"/>
      <c r="D56" s="534"/>
      <c r="E56" s="533"/>
      <c r="F56" s="533"/>
      <c r="G56" s="533"/>
      <c r="H56" s="533"/>
      <c r="I56" s="533"/>
      <c r="J56" s="533"/>
      <c r="K56" s="533"/>
      <c r="L56" s="533"/>
      <c r="M56" s="533"/>
      <c r="N56" s="533"/>
      <c r="O56" s="533"/>
      <c r="P56" s="533"/>
      <c r="Q56" s="533"/>
      <c r="R56" s="533"/>
      <c r="S56" s="533"/>
      <c r="T56" s="533"/>
      <c r="U56" s="533"/>
      <c r="V56" s="533"/>
      <c r="W56" s="533"/>
      <c r="X56" s="533"/>
      <c r="Y56" s="533"/>
      <c r="Z56" s="533"/>
      <c r="AA56" s="533"/>
      <c r="AB56" s="533"/>
      <c r="AC56" s="533"/>
      <c r="AD56" s="533"/>
      <c r="AE56" s="533"/>
      <c r="AF56" s="533"/>
      <c r="AG56" s="533"/>
      <c r="AH56" s="533"/>
      <c r="AI56" s="533"/>
      <c r="AJ56" s="533"/>
      <c r="AK56" s="533"/>
      <c r="AL56" s="533"/>
      <c r="AM56" s="533"/>
      <c r="AN56" s="533"/>
      <c r="AO56" s="533"/>
      <c r="AP56" s="533"/>
      <c r="AQ56" s="533"/>
      <c r="AR56" s="533"/>
      <c r="AS56" s="533"/>
      <c r="AT56" s="533"/>
      <c r="AU56" s="533"/>
      <c r="AV56" s="243"/>
      <c r="AW56" s="243"/>
      <c r="AX56" s="243"/>
      <c r="AY56" s="243"/>
      <c r="AZ56" s="243"/>
      <c r="BA56" s="243"/>
      <c r="BB56" s="243"/>
      <c r="BC56" s="243"/>
    </row>
    <row r="57" spans="1:55" s="15" customFormat="1" ht="21.75" customHeight="1">
      <c r="A57" s="351">
        <v>24</v>
      </c>
      <c r="B57" s="354" t="s">
        <v>681</v>
      </c>
      <c r="C57" s="530">
        <f>+'Asset Classification'!C57</f>
        <v>1609455410</v>
      </c>
      <c r="D57" s="531">
        <f>+'Asset Classification'!D57</f>
        <v>762257731</v>
      </c>
      <c r="E57" s="532">
        <f>+'Asset Classification'!E57</f>
        <v>1563148657</v>
      </c>
      <c r="F57" s="531">
        <f>+'Asset Classification'!F57</f>
        <v>746646348</v>
      </c>
      <c r="G57" s="532">
        <f>+'Asset Classification'!G57</f>
        <v>11072659</v>
      </c>
      <c r="H57" s="531">
        <f t="shared" ref="H57:H70" si="109">+E57*1%</f>
        <v>15631486.57</v>
      </c>
      <c r="I57" s="531">
        <f t="shared" ref="I57:I70" si="110">+G57-H57</f>
        <v>-4558827.57</v>
      </c>
      <c r="J57" s="532">
        <f>+'Asset Classification'!I57</f>
        <v>32482518</v>
      </c>
      <c r="K57" s="531">
        <f>+'Asset Classification'!J57</f>
        <v>14447457</v>
      </c>
      <c r="L57" s="532">
        <f>+'Asset Classification'!K57</f>
        <v>3244039</v>
      </c>
      <c r="M57" s="531">
        <f t="shared" ref="M57:M70" si="111">+J57*10%</f>
        <v>3248251.8000000003</v>
      </c>
      <c r="N57" s="531">
        <f t="shared" ref="N57:N70" si="112">+L57-M57</f>
        <v>-4212.8000000002794</v>
      </c>
      <c r="O57" s="531">
        <f>+'Asset Classification'!L57</f>
        <v>1444746</v>
      </c>
      <c r="P57" s="531">
        <f t="shared" ref="P57:P70" si="113">+K57*10%</f>
        <v>1444745.7000000002</v>
      </c>
      <c r="Q57" s="531">
        <f t="shared" ref="Q57:Q70" si="114">+O57-P57</f>
        <v>0.29999999981373549</v>
      </c>
      <c r="R57" s="532">
        <f>+'Asset Classification'!M57</f>
        <v>6808733</v>
      </c>
      <c r="S57" s="531">
        <f>+'Asset Classification'!N57</f>
        <v>0</v>
      </c>
      <c r="T57" s="532">
        <f>+'Asset Classification'!O57</f>
        <v>1702183</v>
      </c>
      <c r="U57" s="531">
        <f t="shared" ref="U57:U70" si="115">+R57*25%</f>
        <v>1702183.25</v>
      </c>
      <c r="V57" s="531">
        <f t="shared" ref="V57:V70" si="116">+T57-U57</f>
        <v>-0.25</v>
      </c>
      <c r="W57" s="531">
        <f>+'Asset Classification'!P57</f>
        <v>0</v>
      </c>
      <c r="X57" s="531">
        <f t="shared" ref="X57:X70" si="117">+S57*25%</f>
        <v>0</v>
      </c>
      <c r="Y57" s="531">
        <f t="shared" ref="Y57:Y70" si="118">+W57-X57</f>
        <v>0</v>
      </c>
      <c r="Z57" s="532">
        <f>+'Asset Classification'!Q57</f>
        <v>6960712</v>
      </c>
      <c r="AA57" s="531">
        <f>+'Asset Classification'!R57</f>
        <v>1163926</v>
      </c>
      <c r="AB57" s="532">
        <f>+'Asset Classification'!S57</f>
        <v>3425026</v>
      </c>
      <c r="AC57" s="531">
        <f t="shared" ref="AC57:AC70" si="119">+Z57*50%</f>
        <v>3480356</v>
      </c>
      <c r="AD57" s="531">
        <f t="shared" ref="AD57:AD70" si="120">+AB57-AC57</f>
        <v>-55330</v>
      </c>
      <c r="AE57" s="531">
        <f>+'Asset Classification'!T57</f>
        <v>581963</v>
      </c>
      <c r="AF57" s="531">
        <f t="shared" ref="AF57:AF70" si="121">+AA57*50%</f>
        <v>581963</v>
      </c>
      <c r="AG57" s="531">
        <f t="shared" ref="AG57:AG70" si="122">+AE57-AF57</f>
        <v>0</v>
      </c>
      <c r="AH57" s="532">
        <f>+'Asset Classification'!U57</f>
        <v>54790</v>
      </c>
      <c r="AI57" s="531">
        <f>+'Asset Classification'!V57</f>
        <v>0</v>
      </c>
      <c r="AJ57" s="532">
        <f>+'Asset Classification'!W57</f>
        <v>54790</v>
      </c>
      <c r="AK57" s="531">
        <f t="shared" ref="AK57:AK70" si="123">+AH57*100%</f>
        <v>54790</v>
      </c>
      <c r="AL57" s="531">
        <f t="shared" ref="AL57:AL70" si="124">+AJ57-AK57</f>
        <v>0</v>
      </c>
      <c r="AM57" s="531">
        <f>+'Asset Classification'!X57</f>
        <v>0</v>
      </c>
      <c r="AN57" s="531">
        <f t="shared" ref="AN57:AN70" si="125">+AI57*100%</f>
        <v>0</v>
      </c>
      <c r="AO57" s="531">
        <f t="shared" ref="AO57:AO70" si="126">+AM57-AN57</f>
        <v>0</v>
      </c>
      <c r="AP57" s="526">
        <f t="shared" ref="AP57:AQ70" si="127">+L57+T57+AB57+AJ57</f>
        <v>8426038</v>
      </c>
      <c r="AQ57" s="526">
        <f t="shared" si="127"/>
        <v>8485581.0500000007</v>
      </c>
      <c r="AR57" s="526">
        <f t="shared" ref="AR57:AR70" si="128">+AP57-AQ57</f>
        <v>-59543.050000000745</v>
      </c>
      <c r="AS57" s="531">
        <f t="shared" ref="AS57:AT70" si="129">+O57+W57+AE57+AM57</f>
        <v>2026709</v>
      </c>
      <c r="AT57" s="531">
        <f t="shared" si="129"/>
        <v>2026708.7000000002</v>
      </c>
      <c r="AU57" s="531">
        <f t="shared" ref="AU57:AU70" si="130">+AS57-AT57</f>
        <v>0.29999999981373549</v>
      </c>
      <c r="AV57" s="243"/>
      <c r="AW57" s="243"/>
      <c r="AX57" s="243"/>
      <c r="AY57" s="243"/>
      <c r="AZ57" s="243"/>
      <c r="BA57" s="243"/>
      <c r="BB57" s="243"/>
      <c r="BC57" s="243"/>
    </row>
    <row r="58" spans="1:55" s="15" customFormat="1" ht="21.75" customHeight="1">
      <c r="A58" s="351">
        <v>25</v>
      </c>
      <c r="B58" s="354" t="s">
        <v>682</v>
      </c>
      <c r="C58" s="530">
        <f>+'Asset Classification'!C58</f>
        <v>1164312118</v>
      </c>
      <c r="D58" s="531">
        <f>+'Asset Classification'!D58</f>
        <v>721413632</v>
      </c>
      <c r="E58" s="532">
        <f>+'Asset Classification'!E58</f>
        <v>945578117</v>
      </c>
      <c r="F58" s="531">
        <f>+'Asset Classification'!F58</f>
        <v>555045506</v>
      </c>
      <c r="G58" s="532">
        <f>+'Asset Classification'!G58</f>
        <v>10254993</v>
      </c>
      <c r="H58" s="531">
        <f t="shared" si="109"/>
        <v>9455781.1699999999</v>
      </c>
      <c r="I58" s="531">
        <f t="shared" si="110"/>
        <v>799211.83000000007</v>
      </c>
      <c r="J58" s="532">
        <f>+'Asset Classification'!I58</f>
        <v>185854595</v>
      </c>
      <c r="K58" s="531">
        <f>+'Asset Classification'!J58</f>
        <v>154267901</v>
      </c>
      <c r="L58" s="532">
        <f>+'Asset Classification'!K58</f>
        <v>18568920</v>
      </c>
      <c r="M58" s="531">
        <f t="shared" si="111"/>
        <v>18585459.5</v>
      </c>
      <c r="N58" s="531">
        <f t="shared" si="112"/>
        <v>-16539.5</v>
      </c>
      <c r="O58" s="531">
        <f>+'Asset Classification'!L58</f>
        <v>15426790</v>
      </c>
      <c r="P58" s="531">
        <f t="shared" si="113"/>
        <v>15426790.100000001</v>
      </c>
      <c r="Q58" s="531">
        <f t="shared" si="114"/>
        <v>-0.10000000149011612</v>
      </c>
      <c r="R58" s="532">
        <f>+'Asset Classification'!M58</f>
        <v>14531742</v>
      </c>
      <c r="S58" s="531">
        <f>+'Asset Classification'!N58</f>
        <v>9174922</v>
      </c>
      <c r="T58" s="532">
        <f>+'Asset Classification'!O58</f>
        <v>3624680</v>
      </c>
      <c r="U58" s="531">
        <f t="shared" si="115"/>
        <v>3632935.5</v>
      </c>
      <c r="V58" s="531">
        <f t="shared" si="116"/>
        <v>-8255.5</v>
      </c>
      <c r="W58" s="531">
        <f>+'Asset Classification'!P58</f>
        <v>2293731</v>
      </c>
      <c r="X58" s="531">
        <f t="shared" si="117"/>
        <v>2293730.5</v>
      </c>
      <c r="Y58" s="531">
        <f t="shared" si="118"/>
        <v>0.5</v>
      </c>
      <c r="Z58" s="532">
        <f>+'Asset Classification'!Q58</f>
        <v>6710429</v>
      </c>
      <c r="AA58" s="531">
        <f>+'Asset Classification'!R58</f>
        <v>2925303</v>
      </c>
      <c r="AB58" s="532">
        <f>+'Asset Classification'!S58</f>
        <v>3354940</v>
      </c>
      <c r="AC58" s="531">
        <f t="shared" si="119"/>
        <v>3355214.5</v>
      </c>
      <c r="AD58" s="531">
        <f t="shared" si="120"/>
        <v>-274.5</v>
      </c>
      <c r="AE58" s="531">
        <f>+'Asset Classification'!T58</f>
        <v>1462651</v>
      </c>
      <c r="AF58" s="531">
        <f t="shared" si="121"/>
        <v>1462651.5</v>
      </c>
      <c r="AG58" s="531">
        <f t="shared" si="122"/>
        <v>-0.5</v>
      </c>
      <c r="AH58" s="532">
        <f>+'Asset Classification'!U58</f>
        <v>11637235</v>
      </c>
      <c r="AI58" s="531">
        <f>+'Asset Classification'!V58</f>
        <v>0</v>
      </c>
      <c r="AJ58" s="532">
        <f>+'Asset Classification'!W58</f>
        <v>11637235</v>
      </c>
      <c r="AK58" s="531">
        <f t="shared" si="123"/>
        <v>11637235</v>
      </c>
      <c r="AL58" s="531">
        <f t="shared" si="124"/>
        <v>0</v>
      </c>
      <c r="AM58" s="531">
        <f>+'Asset Classification'!X58</f>
        <v>0</v>
      </c>
      <c r="AN58" s="531">
        <f t="shared" si="125"/>
        <v>0</v>
      </c>
      <c r="AO58" s="531">
        <f t="shared" si="126"/>
        <v>0</v>
      </c>
      <c r="AP58" s="526">
        <f t="shared" si="127"/>
        <v>37185775</v>
      </c>
      <c r="AQ58" s="526">
        <f t="shared" si="127"/>
        <v>37210844.5</v>
      </c>
      <c r="AR58" s="526">
        <f t="shared" si="128"/>
        <v>-25069.5</v>
      </c>
      <c r="AS58" s="531">
        <f t="shared" si="129"/>
        <v>19183172</v>
      </c>
      <c r="AT58" s="531">
        <f t="shared" si="129"/>
        <v>19183172.100000001</v>
      </c>
      <c r="AU58" s="531">
        <f t="shared" si="130"/>
        <v>-0.10000000149011612</v>
      </c>
      <c r="AV58" s="243"/>
      <c r="AW58" s="243"/>
      <c r="AX58" s="243"/>
      <c r="AY58" s="243"/>
      <c r="AZ58" s="243"/>
      <c r="BA58" s="243"/>
      <c r="BB58" s="243"/>
      <c r="BC58" s="243"/>
    </row>
    <row r="59" spans="1:55" s="15" customFormat="1" ht="21.75" customHeight="1">
      <c r="A59" s="351">
        <v>26</v>
      </c>
      <c r="B59" s="354" t="s">
        <v>683</v>
      </c>
      <c r="C59" s="530">
        <f>+'Asset Classification'!C59</f>
        <v>1681535519</v>
      </c>
      <c r="D59" s="531">
        <f>+'Asset Classification'!D59</f>
        <v>1147783044</v>
      </c>
      <c r="E59" s="532">
        <f>+'Asset Classification'!E59</f>
        <v>1322950032</v>
      </c>
      <c r="F59" s="531">
        <f>+'Asset Classification'!F59</f>
        <v>901942901</v>
      </c>
      <c r="G59" s="532">
        <f>+'Asset Classification'!G59</f>
        <v>11745891</v>
      </c>
      <c r="H59" s="531">
        <f t="shared" si="109"/>
        <v>13229500.32</v>
      </c>
      <c r="I59" s="531">
        <f t="shared" si="110"/>
        <v>-1483609.3200000003</v>
      </c>
      <c r="J59" s="532">
        <f>+'Asset Classification'!I59</f>
        <v>248858552</v>
      </c>
      <c r="K59" s="531">
        <f>+'Asset Classification'!J59</f>
        <v>172270296</v>
      </c>
      <c r="L59" s="532">
        <f>+'Asset Classification'!K59</f>
        <v>24885855</v>
      </c>
      <c r="M59" s="531">
        <f t="shared" si="111"/>
        <v>24885855.200000003</v>
      </c>
      <c r="N59" s="531">
        <f t="shared" si="112"/>
        <v>-0.20000000298023224</v>
      </c>
      <c r="O59" s="531">
        <f>+'Asset Classification'!L59</f>
        <v>17227030</v>
      </c>
      <c r="P59" s="531">
        <f t="shared" si="113"/>
        <v>17227029.600000001</v>
      </c>
      <c r="Q59" s="531">
        <f t="shared" si="114"/>
        <v>0.39999999850988388</v>
      </c>
      <c r="R59" s="532">
        <f>+'Asset Classification'!M59</f>
        <v>33081958</v>
      </c>
      <c r="S59" s="531">
        <f>+'Asset Classification'!N59</f>
        <v>28198628</v>
      </c>
      <c r="T59" s="532">
        <f>+'Asset Classification'!O59</f>
        <v>7102970</v>
      </c>
      <c r="U59" s="531">
        <f t="shared" si="115"/>
        <v>8270489.5</v>
      </c>
      <c r="V59" s="531">
        <f t="shared" si="116"/>
        <v>-1167519.5</v>
      </c>
      <c r="W59" s="531">
        <f>+'Asset Classification'!P59</f>
        <v>5983238</v>
      </c>
      <c r="X59" s="531">
        <f t="shared" si="117"/>
        <v>7049657</v>
      </c>
      <c r="Y59" s="531">
        <f t="shared" si="118"/>
        <v>-1066419</v>
      </c>
      <c r="Z59" s="532">
        <f>+'Asset Classification'!Q59</f>
        <v>60460173</v>
      </c>
      <c r="AA59" s="531">
        <f>+'Asset Classification'!R59</f>
        <v>33967822</v>
      </c>
      <c r="AB59" s="532">
        <f>+'Asset Classification'!S59</f>
        <v>30230086</v>
      </c>
      <c r="AC59" s="531">
        <f t="shared" si="119"/>
        <v>30230086.5</v>
      </c>
      <c r="AD59" s="531">
        <f t="shared" si="120"/>
        <v>-0.5</v>
      </c>
      <c r="AE59" s="531">
        <f>+'Asset Classification'!T59</f>
        <v>16983911</v>
      </c>
      <c r="AF59" s="531">
        <f t="shared" si="121"/>
        <v>16983911</v>
      </c>
      <c r="AG59" s="531">
        <f t="shared" si="122"/>
        <v>0</v>
      </c>
      <c r="AH59" s="532">
        <f>+'Asset Classification'!U59</f>
        <v>16184804</v>
      </c>
      <c r="AI59" s="531">
        <f>+'Asset Classification'!V59</f>
        <v>11403397</v>
      </c>
      <c r="AJ59" s="532">
        <f>+'Asset Classification'!W59</f>
        <v>16184804</v>
      </c>
      <c r="AK59" s="531">
        <f t="shared" si="123"/>
        <v>16184804</v>
      </c>
      <c r="AL59" s="531">
        <f t="shared" si="124"/>
        <v>0</v>
      </c>
      <c r="AM59" s="531">
        <f>+'Asset Classification'!X59</f>
        <v>11403397</v>
      </c>
      <c r="AN59" s="531">
        <f t="shared" si="125"/>
        <v>11403397</v>
      </c>
      <c r="AO59" s="531">
        <f t="shared" si="126"/>
        <v>0</v>
      </c>
      <c r="AP59" s="526">
        <f t="shared" si="127"/>
        <v>78403715</v>
      </c>
      <c r="AQ59" s="526">
        <f t="shared" si="127"/>
        <v>79571235.200000003</v>
      </c>
      <c r="AR59" s="526">
        <f t="shared" si="128"/>
        <v>-1167520.200000003</v>
      </c>
      <c r="AS59" s="531">
        <f t="shared" si="129"/>
        <v>51597576</v>
      </c>
      <c r="AT59" s="531">
        <f t="shared" si="129"/>
        <v>52663994.600000001</v>
      </c>
      <c r="AU59" s="531">
        <f t="shared" si="130"/>
        <v>-1066418.6000000015</v>
      </c>
      <c r="AV59" s="243"/>
      <c r="AW59" s="243"/>
      <c r="AX59" s="243"/>
      <c r="AY59" s="243"/>
      <c r="AZ59" s="243"/>
      <c r="BA59" s="243"/>
      <c r="BB59" s="243"/>
      <c r="BC59" s="243"/>
    </row>
    <row r="60" spans="1:55" s="15" customFormat="1" ht="21.75" customHeight="1">
      <c r="A60" s="351">
        <v>27</v>
      </c>
      <c r="B60" s="354" t="s">
        <v>684</v>
      </c>
      <c r="C60" s="530">
        <f>+'Asset Classification'!C60</f>
        <v>1143106711</v>
      </c>
      <c r="D60" s="531">
        <f>+'Asset Classification'!D60</f>
        <v>779723418</v>
      </c>
      <c r="E60" s="532">
        <f>+'Asset Classification'!E60</f>
        <v>1116767407</v>
      </c>
      <c r="F60" s="531">
        <f>+'Asset Classification'!F60</f>
        <v>765428208</v>
      </c>
      <c r="G60" s="532">
        <f>+'Asset Classification'!G60</f>
        <v>10609211</v>
      </c>
      <c r="H60" s="531">
        <f t="shared" si="109"/>
        <v>11167674.07</v>
      </c>
      <c r="I60" s="531">
        <f t="shared" si="110"/>
        <v>-558463.0700000003</v>
      </c>
      <c r="J60" s="532">
        <f>+'Asset Classification'!I60</f>
        <v>15988883</v>
      </c>
      <c r="K60" s="531">
        <f>+'Asset Classification'!J60</f>
        <v>12769174</v>
      </c>
      <c r="L60" s="532">
        <f>+'Asset Classification'!K60</f>
        <v>1598751</v>
      </c>
      <c r="M60" s="531">
        <f t="shared" si="111"/>
        <v>1598888.3</v>
      </c>
      <c r="N60" s="531">
        <f t="shared" si="112"/>
        <v>-137.30000000004657</v>
      </c>
      <c r="O60" s="531">
        <f>+'Asset Classification'!L60</f>
        <v>1276917</v>
      </c>
      <c r="P60" s="531">
        <f t="shared" si="113"/>
        <v>1276917.4000000001</v>
      </c>
      <c r="Q60" s="531">
        <f t="shared" si="114"/>
        <v>-0.40000000013969839</v>
      </c>
      <c r="R60" s="532">
        <f>+'Asset Classification'!M60</f>
        <v>5895379</v>
      </c>
      <c r="S60" s="531">
        <f>+'Asset Classification'!N60</f>
        <v>0</v>
      </c>
      <c r="T60" s="532">
        <f>+'Asset Classification'!O60</f>
        <v>1471630</v>
      </c>
      <c r="U60" s="531">
        <f t="shared" si="115"/>
        <v>1473844.75</v>
      </c>
      <c r="V60" s="531">
        <f t="shared" si="116"/>
        <v>-2214.75</v>
      </c>
      <c r="W60" s="531">
        <f>+'Asset Classification'!P60</f>
        <v>0</v>
      </c>
      <c r="X60" s="531">
        <f t="shared" si="117"/>
        <v>0</v>
      </c>
      <c r="Y60" s="531">
        <f t="shared" si="118"/>
        <v>0</v>
      </c>
      <c r="Z60" s="532">
        <f>+'Asset Classification'!Q60</f>
        <v>4336384</v>
      </c>
      <c r="AA60" s="531">
        <f>+'Asset Classification'!R60</f>
        <v>1526036</v>
      </c>
      <c r="AB60" s="532">
        <f>+'Asset Classification'!S60</f>
        <v>2168192</v>
      </c>
      <c r="AC60" s="531">
        <f t="shared" si="119"/>
        <v>2168192</v>
      </c>
      <c r="AD60" s="531">
        <f t="shared" si="120"/>
        <v>0</v>
      </c>
      <c r="AE60" s="531">
        <f>+'Asset Classification'!T60</f>
        <v>763018</v>
      </c>
      <c r="AF60" s="531">
        <f t="shared" si="121"/>
        <v>763018</v>
      </c>
      <c r="AG60" s="531">
        <f t="shared" si="122"/>
        <v>0</v>
      </c>
      <c r="AH60" s="532">
        <f>+'Asset Classification'!U60</f>
        <v>118658</v>
      </c>
      <c r="AI60" s="531">
        <f>+'Asset Classification'!V60</f>
        <v>0</v>
      </c>
      <c r="AJ60" s="532">
        <f>+'Asset Classification'!W60</f>
        <v>118658</v>
      </c>
      <c r="AK60" s="531">
        <f t="shared" si="123"/>
        <v>118658</v>
      </c>
      <c r="AL60" s="531">
        <f t="shared" si="124"/>
        <v>0</v>
      </c>
      <c r="AM60" s="531">
        <f>+'Asset Classification'!X60</f>
        <v>0</v>
      </c>
      <c r="AN60" s="531">
        <f t="shared" si="125"/>
        <v>0</v>
      </c>
      <c r="AO60" s="531">
        <f t="shared" si="126"/>
        <v>0</v>
      </c>
      <c r="AP60" s="526">
        <f t="shared" si="127"/>
        <v>5357231</v>
      </c>
      <c r="AQ60" s="526">
        <f t="shared" si="127"/>
        <v>5359583.05</v>
      </c>
      <c r="AR60" s="526">
        <f t="shared" si="128"/>
        <v>-2352.0499999998137</v>
      </c>
      <c r="AS60" s="531">
        <f t="shared" si="129"/>
        <v>2039935</v>
      </c>
      <c r="AT60" s="531">
        <f t="shared" si="129"/>
        <v>2039935.4000000001</v>
      </c>
      <c r="AU60" s="531">
        <f t="shared" si="130"/>
        <v>-0.40000000013969839</v>
      </c>
      <c r="AV60" s="243"/>
      <c r="AW60" s="243"/>
      <c r="AX60" s="243"/>
      <c r="AY60" s="243"/>
      <c r="AZ60" s="243"/>
      <c r="BA60" s="243"/>
      <c r="BB60" s="243"/>
      <c r="BC60" s="243"/>
    </row>
    <row r="61" spans="1:55" s="15" customFormat="1" ht="21.75" customHeight="1">
      <c r="A61" s="351">
        <v>28</v>
      </c>
      <c r="B61" s="354" t="s">
        <v>685</v>
      </c>
      <c r="C61" s="530">
        <f>+'Asset Classification'!C61</f>
        <v>1213232734</v>
      </c>
      <c r="D61" s="531">
        <f>+'Asset Classification'!D61</f>
        <v>249604507</v>
      </c>
      <c r="E61" s="532">
        <f>+'Asset Classification'!E61</f>
        <v>1080232255</v>
      </c>
      <c r="F61" s="531">
        <f>+'Asset Classification'!F61</f>
        <v>176970426</v>
      </c>
      <c r="G61" s="532">
        <f>+'Asset Classification'!G61</f>
        <v>14498781</v>
      </c>
      <c r="H61" s="531">
        <f t="shared" si="109"/>
        <v>10802322.550000001</v>
      </c>
      <c r="I61" s="531">
        <f t="shared" si="110"/>
        <v>3696458.4499999993</v>
      </c>
      <c r="J61" s="532">
        <f>+'Asset Classification'!I61</f>
        <v>122540249</v>
      </c>
      <c r="K61" s="531">
        <f>+'Asset Classification'!J61</f>
        <v>71990097</v>
      </c>
      <c r="L61" s="532">
        <f>+'Asset Classification'!K61</f>
        <v>12254025</v>
      </c>
      <c r="M61" s="531">
        <f t="shared" si="111"/>
        <v>12254024.9</v>
      </c>
      <c r="N61" s="531">
        <f t="shared" si="112"/>
        <v>9.999999962747097E-2</v>
      </c>
      <c r="O61" s="531">
        <f>+'Asset Classification'!L61</f>
        <v>7199010</v>
      </c>
      <c r="P61" s="531">
        <f t="shared" si="113"/>
        <v>7199009.7000000002</v>
      </c>
      <c r="Q61" s="531">
        <f t="shared" si="114"/>
        <v>0.29999999981373549</v>
      </c>
      <c r="R61" s="532">
        <f>+'Asset Classification'!M61</f>
        <v>7708222</v>
      </c>
      <c r="S61" s="531">
        <f>+'Asset Classification'!N61</f>
        <v>281898</v>
      </c>
      <c r="T61" s="532">
        <f>+'Asset Classification'!O61</f>
        <v>1905013</v>
      </c>
      <c r="U61" s="531">
        <f t="shared" si="115"/>
        <v>1927055.5</v>
      </c>
      <c r="V61" s="531">
        <f t="shared" si="116"/>
        <v>-22042.5</v>
      </c>
      <c r="W61" s="531">
        <f>+'Asset Classification'!P61</f>
        <v>70474</v>
      </c>
      <c r="X61" s="531">
        <f t="shared" si="117"/>
        <v>70474.5</v>
      </c>
      <c r="Y61" s="531">
        <f t="shared" si="118"/>
        <v>-0.5</v>
      </c>
      <c r="Z61" s="532">
        <f>+'Asset Classification'!Q61</f>
        <v>1777504</v>
      </c>
      <c r="AA61" s="531">
        <f>+'Asset Classification'!R61</f>
        <v>362086</v>
      </c>
      <c r="AB61" s="532">
        <f>+'Asset Classification'!S61</f>
        <v>780970</v>
      </c>
      <c r="AC61" s="531">
        <f t="shared" si="119"/>
        <v>888752</v>
      </c>
      <c r="AD61" s="531">
        <f t="shared" si="120"/>
        <v>-107782</v>
      </c>
      <c r="AE61" s="531">
        <f>+'Asset Classification'!T61</f>
        <v>181043</v>
      </c>
      <c r="AF61" s="531">
        <f t="shared" si="121"/>
        <v>181043</v>
      </c>
      <c r="AG61" s="531">
        <f t="shared" si="122"/>
        <v>0</v>
      </c>
      <c r="AH61" s="532">
        <f>+'Asset Classification'!U61</f>
        <v>974504</v>
      </c>
      <c r="AI61" s="531">
        <f>+'Asset Classification'!V61</f>
        <v>0</v>
      </c>
      <c r="AJ61" s="532">
        <f>+'Asset Classification'!W61</f>
        <v>974504</v>
      </c>
      <c r="AK61" s="531">
        <f t="shared" si="123"/>
        <v>974504</v>
      </c>
      <c r="AL61" s="531">
        <f t="shared" si="124"/>
        <v>0</v>
      </c>
      <c r="AM61" s="531">
        <f>+'Asset Classification'!X61</f>
        <v>0</v>
      </c>
      <c r="AN61" s="531">
        <f t="shared" si="125"/>
        <v>0</v>
      </c>
      <c r="AO61" s="531">
        <f t="shared" si="126"/>
        <v>0</v>
      </c>
      <c r="AP61" s="526">
        <f t="shared" si="127"/>
        <v>15914512</v>
      </c>
      <c r="AQ61" s="526">
        <f t="shared" si="127"/>
        <v>16044336.4</v>
      </c>
      <c r="AR61" s="526">
        <f t="shared" si="128"/>
        <v>-129824.40000000037</v>
      </c>
      <c r="AS61" s="531">
        <f t="shared" si="129"/>
        <v>7450527</v>
      </c>
      <c r="AT61" s="531">
        <f t="shared" si="129"/>
        <v>7450527.2000000002</v>
      </c>
      <c r="AU61" s="531">
        <f t="shared" si="130"/>
        <v>-0.20000000018626451</v>
      </c>
      <c r="AV61" s="243"/>
      <c r="AW61" s="243"/>
      <c r="AX61" s="243"/>
      <c r="AY61" s="243"/>
      <c r="AZ61" s="243"/>
      <c r="BA61" s="243"/>
      <c r="BB61" s="243"/>
      <c r="BC61" s="243"/>
    </row>
    <row r="62" spans="1:55" s="15" customFormat="1" ht="21.75" customHeight="1">
      <c r="A62" s="351">
        <v>29</v>
      </c>
      <c r="B62" s="354" t="s">
        <v>686</v>
      </c>
      <c r="C62" s="530">
        <f>+'Asset Classification'!C62</f>
        <v>1300102322</v>
      </c>
      <c r="D62" s="531">
        <f>+'Asset Classification'!D62</f>
        <v>759172492</v>
      </c>
      <c r="E62" s="532">
        <f>+'Asset Classification'!E62</f>
        <v>1249883007</v>
      </c>
      <c r="F62" s="531">
        <f>+'Asset Classification'!F62</f>
        <v>750682363</v>
      </c>
      <c r="G62" s="532">
        <f>+'Asset Classification'!G62</f>
        <v>11790777</v>
      </c>
      <c r="H62" s="531">
        <f t="shared" si="109"/>
        <v>12498830.07</v>
      </c>
      <c r="I62" s="531">
        <f t="shared" si="110"/>
        <v>-708053.0700000003</v>
      </c>
      <c r="J62" s="532">
        <f>+'Asset Classification'!I62</f>
        <v>28063230</v>
      </c>
      <c r="K62" s="531">
        <f>+'Asset Classification'!J62</f>
        <v>6990083</v>
      </c>
      <c r="L62" s="532">
        <f>+'Asset Classification'!K62</f>
        <v>2806323</v>
      </c>
      <c r="M62" s="531">
        <f t="shared" si="111"/>
        <v>2806323</v>
      </c>
      <c r="N62" s="531">
        <f t="shared" si="112"/>
        <v>0</v>
      </c>
      <c r="O62" s="531">
        <f>+'Asset Classification'!L62</f>
        <v>699008</v>
      </c>
      <c r="P62" s="531">
        <f t="shared" si="113"/>
        <v>699008.3</v>
      </c>
      <c r="Q62" s="531">
        <f t="shared" si="114"/>
        <v>-0.30000000004656613</v>
      </c>
      <c r="R62" s="532">
        <f>+'Asset Classification'!M62</f>
        <v>19825663</v>
      </c>
      <c r="S62" s="531">
        <f>+'Asset Classification'!N62</f>
        <v>0</v>
      </c>
      <c r="T62" s="532">
        <f>+'Asset Classification'!O62</f>
        <v>4900131</v>
      </c>
      <c r="U62" s="531">
        <f t="shared" si="115"/>
        <v>4956415.75</v>
      </c>
      <c r="V62" s="531">
        <f t="shared" si="116"/>
        <v>-56284.75</v>
      </c>
      <c r="W62" s="531">
        <f>+'Asset Classification'!P62</f>
        <v>0</v>
      </c>
      <c r="X62" s="531">
        <f t="shared" si="117"/>
        <v>0</v>
      </c>
      <c r="Y62" s="531">
        <f t="shared" si="118"/>
        <v>0</v>
      </c>
      <c r="Z62" s="532">
        <f>+'Asset Classification'!Q62</f>
        <v>2141270</v>
      </c>
      <c r="AA62" s="531">
        <f>+'Asset Classification'!R62</f>
        <v>1500046</v>
      </c>
      <c r="AB62" s="532">
        <f>+'Asset Classification'!S62</f>
        <v>1070635</v>
      </c>
      <c r="AC62" s="531">
        <f t="shared" si="119"/>
        <v>1070635</v>
      </c>
      <c r="AD62" s="531">
        <f t="shared" si="120"/>
        <v>0</v>
      </c>
      <c r="AE62" s="531">
        <f>+'Asset Classification'!T62</f>
        <v>750023</v>
      </c>
      <c r="AF62" s="531">
        <f t="shared" si="121"/>
        <v>750023</v>
      </c>
      <c r="AG62" s="531">
        <f t="shared" si="122"/>
        <v>0</v>
      </c>
      <c r="AH62" s="532">
        <f>+'Asset Classification'!U62</f>
        <v>189152</v>
      </c>
      <c r="AI62" s="531">
        <f>+'Asset Classification'!V62</f>
        <v>0</v>
      </c>
      <c r="AJ62" s="532">
        <f>+'Asset Classification'!W62</f>
        <v>189152</v>
      </c>
      <c r="AK62" s="531">
        <f t="shared" si="123"/>
        <v>189152</v>
      </c>
      <c r="AL62" s="531">
        <f t="shared" si="124"/>
        <v>0</v>
      </c>
      <c r="AM62" s="531">
        <f>+'Asset Classification'!X62</f>
        <v>0</v>
      </c>
      <c r="AN62" s="531">
        <f t="shared" si="125"/>
        <v>0</v>
      </c>
      <c r="AO62" s="531">
        <f t="shared" si="126"/>
        <v>0</v>
      </c>
      <c r="AP62" s="526">
        <f t="shared" si="127"/>
        <v>8966241</v>
      </c>
      <c r="AQ62" s="526">
        <f t="shared" si="127"/>
        <v>9022525.75</v>
      </c>
      <c r="AR62" s="526">
        <f t="shared" si="128"/>
        <v>-56284.75</v>
      </c>
      <c r="AS62" s="531">
        <f t="shared" si="129"/>
        <v>1449031</v>
      </c>
      <c r="AT62" s="531">
        <f t="shared" si="129"/>
        <v>1449031.3</v>
      </c>
      <c r="AU62" s="531">
        <f t="shared" si="130"/>
        <v>-0.30000000004656613</v>
      </c>
      <c r="AV62" s="243"/>
      <c r="AW62" s="243"/>
      <c r="AX62" s="243"/>
      <c r="AY62" s="243"/>
      <c r="AZ62" s="243"/>
      <c r="BA62" s="243"/>
      <c r="BB62" s="243"/>
      <c r="BC62" s="243"/>
    </row>
    <row r="63" spans="1:55" s="15" customFormat="1" ht="21.75" customHeight="1">
      <c r="A63" s="351">
        <v>30</v>
      </c>
      <c r="B63" s="354" t="s">
        <v>687</v>
      </c>
      <c r="C63" s="530">
        <f>+'Asset Classification'!C63</f>
        <v>662112229</v>
      </c>
      <c r="D63" s="531">
        <f>+'Asset Classification'!D63</f>
        <v>395478229</v>
      </c>
      <c r="E63" s="532">
        <f>+'Asset Classification'!E63</f>
        <v>400127582</v>
      </c>
      <c r="F63" s="531">
        <f>+'Asset Classification'!F63</f>
        <v>208736685</v>
      </c>
      <c r="G63" s="532">
        <f>+'Asset Classification'!G63</f>
        <v>4925718</v>
      </c>
      <c r="H63" s="531">
        <f t="shared" si="109"/>
        <v>4001275.8200000003</v>
      </c>
      <c r="I63" s="531">
        <f t="shared" si="110"/>
        <v>924442.1799999997</v>
      </c>
      <c r="J63" s="532">
        <f>+'Asset Classification'!I63</f>
        <v>229672343</v>
      </c>
      <c r="K63" s="531">
        <f>+'Asset Classification'!J63</f>
        <v>186447889</v>
      </c>
      <c r="L63" s="532">
        <f>+'Asset Classification'!K63</f>
        <v>22967234</v>
      </c>
      <c r="M63" s="531">
        <f t="shared" si="111"/>
        <v>22967234.300000001</v>
      </c>
      <c r="N63" s="531">
        <f t="shared" si="112"/>
        <v>-0.30000000074505806</v>
      </c>
      <c r="O63" s="531">
        <f>+'Asset Classification'!L63</f>
        <v>18644789</v>
      </c>
      <c r="P63" s="531">
        <f t="shared" si="113"/>
        <v>18644788.900000002</v>
      </c>
      <c r="Q63" s="531">
        <f t="shared" si="114"/>
        <v>9.9999997764825821E-2</v>
      </c>
      <c r="R63" s="532">
        <f>+'Asset Classification'!M63</f>
        <v>1169582</v>
      </c>
      <c r="S63" s="531">
        <f>+'Asset Classification'!N63</f>
        <v>293655</v>
      </c>
      <c r="T63" s="532">
        <f>+'Asset Classification'!O63</f>
        <v>292395</v>
      </c>
      <c r="U63" s="531">
        <f t="shared" si="115"/>
        <v>292395.5</v>
      </c>
      <c r="V63" s="531">
        <f t="shared" si="116"/>
        <v>-0.5</v>
      </c>
      <c r="W63" s="531">
        <f>+'Asset Classification'!P63</f>
        <v>73414</v>
      </c>
      <c r="X63" s="531">
        <f t="shared" si="117"/>
        <v>73413.75</v>
      </c>
      <c r="Y63" s="531">
        <f t="shared" si="118"/>
        <v>0.25</v>
      </c>
      <c r="Z63" s="532">
        <f>+'Asset Classification'!Q63</f>
        <v>25900607</v>
      </c>
      <c r="AA63" s="531">
        <f>+'Asset Classification'!R63</f>
        <v>0</v>
      </c>
      <c r="AB63" s="532">
        <f>+'Asset Classification'!S63</f>
        <v>12950304</v>
      </c>
      <c r="AC63" s="531">
        <f t="shared" si="119"/>
        <v>12950303.5</v>
      </c>
      <c r="AD63" s="531">
        <f t="shared" si="120"/>
        <v>0.5</v>
      </c>
      <c r="AE63" s="531">
        <f>+'Asset Classification'!T63</f>
        <v>0</v>
      </c>
      <c r="AF63" s="531">
        <f t="shared" si="121"/>
        <v>0</v>
      </c>
      <c r="AG63" s="531">
        <f t="shared" si="122"/>
        <v>0</v>
      </c>
      <c r="AH63" s="532">
        <f>+'Asset Classification'!U63</f>
        <v>5242115</v>
      </c>
      <c r="AI63" s="531">
        <f>+'Asset Classification'!V63</f>
        <v>0</v>
      </c>
      <c r="AJ63" s="532">
        <f>+'Asset Classification'!W63</f>
        <v>5242115</v>
      </c>
      <c r="AK63" s="531">
        <f t="shared" si="123"/>
        <v>5242115</v>
      </c>
      <c r="AL63" s="531">
        <f t="shared" si="124"/>
        <v>0</v>
      </c>
      <c r="AM63" s="531">
        <f>+'Asset Classification'!X63</f>
        <v>0</v>
      </c>
      <c r="AN63" s="531">
        <f t="shared" si="125"/>
        <v>0</v>
      </c>
      <c r="AO63" s="531">
        <f t="shared" si="126"/>
        <v>0</v>
      </c>
      <c r="AP63" s="526">
        <f t="shared" si="127"/>
        <v>41452048</v>
      </c>
      <c r="AQ63" s="526">
        <f t="shared" si="127"/>
        <v>41452048.299999997</v>
      </c>
      <c r="AR63" s="526">
        <f t="shared" si="128"/>
        <v>-0.29999999701976776</v>
      </c>
      <c r="AS63" s="531">
        <f t="shared" si="129"/>
        <v>18718203</v>
      </c>
      <c r="AT63" s="531">
        <f t="shared" si="129"/>
        <v>18718202.650000002</v>
      </c>
      <c r="AU63" s="531">
        <f t="shared" si="130"/>
        <v>0.34999999776482582</v>
      </c>
      <c r="AV63" s="243"/>
      <c r="AW63" s="243"/>
      <c r="AX63" s="243"/>
      <c r="AY63" s="243"/>
      <c r="AZ63" s="243"/>
      <c r="BA63" s="243"/>
      <c r="BB63" s="243"/>
      <c r="BC63" s="243"/>
    </row>
    <row r="64" spans="1:55" s="15" customFormat="1" ht="21.75" customHeight="1">
      <c r="A64" s="351">
        <v>31</v>
      </c>
      <c r="B64" s="354" t="s">
        <v>688</v>
      </c>
      <c r="C64" s="530">
        <f>+'Asset Classification'!C64</f>
        <v>1780027645</v>
      </c>
      <c r="D64" s="531">
        <f>+'Asset Classification'!D64</f>
        <v>1127987565</v>
      </c>
      <c r="E64" s="532">
        <f>+'Asset Classification'!E64</f>
        <v>1661081207</v>
      </c>
      <c r="F64" s="531">
        <f>+'Asset Classification'!F64</f>
        <v>1041005359</v>
      </c>
      <c r="G64" s="532">
        <f>+'Asset Classification'!G64</f>
        <v>12742160</v>
      </c>
      <c r="H64" s="531">
        <f t="shared" si="109"/>
        <v>16610812.07</v>
      </c>
      <c r="I64" s="531">
        <f t="shared" si="110"/>
        <v>-3868652.0700000003</v>
      </c>
      <c r="J64" s="532">
        <f>+'Asset Classification'!I64</f>
        <v>103243447</v>
      </c>
      <c r="K64" s="531">
        <f>+'Asset Classification'!J64</f>
        <v>74124766</v>
      </c>
      <c r="L64" s="532">
        <f>+'Asset Classification'!K64</f>
        <v>10323469</v>
      </c>
      <c r="M64" s="531">
        <f t="shared" si="111"/>
        <v>10324344.700000001</v>
      </c>
      <c r="N64" s="531">
        <f t="shared" si="112"/>
        <v>-875.70000000111759</v>
      </c>
      <c r="O64" s="531">
        <f>+'Asset Classification'!L64</f>
        <v>7412477</v>
      </c>
      <c r="P64" s="531">
        <f t="shared" si="113"/>
        <v>7412476.6000000006</v>
      </c>
      <c r="Q64" s="531">
        <f t="shared" si="114"/>
        <v>0.39999999944120646</v>
      </c>
      <c r="R64" s="532">
        <f>+'Asset Classification'!M64</f>
        <v>2557424</v>
      </c>
      <c r="S64" s="531">
        <f>+'Asset Classification'!N64</f>
        <v>522812</v>
      </c>
      <c r="T64" s="532">
        <f>+'Asset Classification'!O64</f>
        <v>639356</v>
      </c>
      <c r="U64" s="531">
        <f t="shared" si="115"/>
        <v>639356</v>
      </c>
      <c r="V64" s="531">
        <f t="shared" si="116"/>
        <v>0</v>
      </c>
      <c r="W64" s="531">
        <f>+'Asset Classification'!P64</f>
        <v>130703</v>
      </c>
      <c r="X64" s="531">
        <f t="shared" si="117"/>
        <v>130703</v>
      </c>
      <c r="Y64" s="531">
        <f t="shared" si="118"/>
        <v>0</v>
      </c>
      <c r="Z64" s="532">
        <f>+'Asset Classification'!Q64</f>
        <v>4058476</v>
      </c>
      <c r="AA64" s="531">
        <f>+'Asset Classification'!R64</f>
        <v>3265579</v>
      </c>
      <c r="AB64" s="532">
        <f>+'Asset Classification'!S64</f>
        <v>2029238</v>
      </c>
      <c r="AC64" s="531">
        <f t="shared" si="119"/>
        <v>2029238</v>
      </c>
      <c r="AD64" s="531">
        <f t="shared" si="120"/>
        <v>0</v>
      </c>
      <c r="AE64" s="531">
        <f>+'Asset Classification'!T64</f>
        <v>1632790</v>
      </c>
      <c r="AF64" s="531">
        <f t="shared" si="121"/>
        <v>1632789.5</v>
      </c>
      <c r="AG64" s="531">
        <f t="shared" si="122"/>
        <v>0.5</v>
      </c>
      <c r="AH64" s="532">
        <f>+'Asset Classification'!U64</f>
        <v>9087091</v>
      </c>
      <c r="AI64" s="531">
        <f>+'Asset Classification'!V64</f>
        <v>9069049</v>
      </c>
      <c r="AJ64" s="532">
        <f>+'Asset Classification'!W64</f>
        <v>9087091</v>
      </c>
      <c r="AK64" s="531">
        <f t="shared" si="123"/>
        <v>9087091</v>
      </c>
      <c r="AL64" s="531">
        <f t="shared" si="124"/>
        <v>0</v>
      </c>
      <c r="AM64" s="531">
        <f>+'Asset Classification'!X64</f>
        <v>9069049</v>
      </c>
      <c r="AN64" s="531">
        <f t="shared" si="125"/>
        <v>9069049</v>
      </c>
      <c r="AO64" s="531">
        <f t="shared" si="126"/>
        <v>0</v>
      </c>
      <c r="AP64" s="526">
        <f t="shared" si="127"/>
        <v>22079154</v>
      </c>
      <c r="AQ64" s="526">
        <f t="shared" si="127"/>
        <v>22080029.700000003</v>
      </c>
      <c r="AR64" s="526">
        <f t="shared" si="128"/>
        <v>-875.70000000298023</v>
      </c>
      <c r="AS64" s="531">
        <f t="shared" si="129"/>
        <v>18245019</v>
      </c>
      <c r="AT64" s="531">
        <f t="shared" si="129"/>
        <v>18245018.100000001</v>
      </c>
      <c r="AU64" s="531">
        <f t="shared" si="130"/>
        <v>0.89999999850988388</v>
      </c>
      <c r="AV64" s="243"/>
      <c r="AW64" s="243"/>
      <c r="AX64" s="243"/>
      <c r="AY64" s="243"/>
      <c r="AZ64" s="243"/>
      <c r="BA64" s="243"/>
      <c r="BB64" s="243"/>
      <c r="BC64" s="243"/>
    </row>
    <row r="65" spans="1:55" s="15" customFormat="1" ht="21.75" customHeight="1">
      <c r="A65" s="351">
        <v>32</v>
      </c>
      <c r="B65" s="354" t="s">
        <v>689</v>
      </c>
      <c r="C65" s="530">
        <f>+'Asset Classification'!C65</f>
        <v>989325279</v>
      </c>
      <c r="D65" s="531">
        <f>+'Asset Classification'!D65</f>
        <v>344966652</v>
      </c>
      <c r="E65" s="532">
        <f>+'Asset Classification'!E65</f>
        <v>675112858</v>
      </c>
      <c r="F65" s="531">
        <f>+'Asset Classification'!F65</f>
        <v>96369727</v>
      </c>
      <c r="G65" s="532">
        <f>+'Asset Classification'!G65</f>
        <v>5848868</v>
      </c>
      <c r="H65" s="531">
        <f t="shared" si="109"/>
        <v>6751128.5800000001</v>
      </c>
      <c r="I65" s="531">
        <f t="shared" si="110"/>
        <v>-902260.58000000007</v>
      </c>
      <c r="J65" s="532">
        <f>+'Asset Classification'!I65</f>
        <v>271661212</v>
      </c>
      <c r="K65" s="531">
        <f>+'Asset Classification'!J65</f>
        <v>226572660</v>
      </c>
      <c r="L65" s="532">
        <f>+'Asset Classification'!K65</f>
        <v>27165784</v>
      </c>
      <c r="M65" s="531">
        <f t="shared" si="111"/>
        <v>27166121.200000003</v>
      </c>
      <c r="N65" s="531">
        <f t="shared" si="112"/>
        <v>-337.20000000298023</v>
      </c>
      <c r="O65" s="531">
        <f>+'Asset Classification'!L65</f>
        <v>22657266</v>
      </c>
      <c r="P65" s="531">
        <f t="shared" si="113"/>
        <v>22657266</v>
      </c>
      <c r="Q65" s="531">
        <f t="shared" si="114"/>
        <v>0</v>
      </c>
      <c r="R65" s="532">
        <f>+'Asset Classification'!M65</f>
        <v>10756940</v>
      </c>
      <c r="S65" s="531">
        <f>+'Asset Classification'!N65</f>
        <v>8438205</v>
      </c>
      <c r="T65" s="532">
        <f>+'Asset Classification'!O65</f>
        <v>2689235</v>
      </c>
      <c r="U65" s="531">
        <f t="shared" si="115"/>
        <v>2689235</v>
      </c>
      <c r="V65" s="531">
        <f t="shared" si="116"/>
        <v>0</v>
      </c>
      <c r="W65" s="531">
        <f>+'Asset Classification'!P65</f>
        <v>2109551</v>
      </c>
      <c r="X65" s="531">
        <f t="shared" si="117"/>
        <v>2109551.25</v>
      </c>
      <c r="Y65" s="531">
        <f t="shared" si="118"/>
        <v>-0.25</v>
      </c>
      <c r="Z65" s="532">
        <f>+'Asset Classification'!Q65</f>
        <v>24533068</v>
      </c>
      <c r="AA65" s="531">
        <f>+'Asset Classification'!R65</f>
        <v>10218422</v>
      </c>
      <c r="AB65" s="532">
        <f>+'Asset Classification'!S65</f>
        <v>12266534</v>
      </c>
      <c r="AC65" s="531">
        <f t="shared" si="119"/>
        <v>12266534</v>
      </c>
      <c r="AD65" s="531">
        <f t="shared" si="120"/>
        <v>0</v>
      </c>
      <c r="AE65" s="531">
        <f>+'Asset Classification'!T65</f>
        <v>5109211</v>
      </c>
      <c r="AF65" s="531">
        <f t="shared" si="121"/>
        <v>5109211</v>
      </c>
      <c r="AG65" s="531">
        <f t="shared" si="122"/>
        <v>0</v>
      </c>
      <c r="AH65" s="532">
        <f>+'Asset Classification'!U65</f>
        <v>7261201</v>
      </c>
      <c r="AI65" s="531">
        <f>+'Asset Classification'!V65</f>
        <v>3367638</v>
      </c>
      <c r="AJ65" s="532">
        <f>+'Asset Classification'!W65</f>
        <v>7261199</v>
      </c>
      <c r="AK65" s="531">
        <f t="shared" si="123"/>
        <v>7261201</v>
      </c>
      <c r="AL65" s="531">
        <f t="shared" si="124"/>
        <v>-2</v>
      </c>
      <c r="AM65" s="531">
        <f>+'Asset Classification'!X65</f>
        <v>3367638</v>
      </c>
      <c r="AN65" s="531">
        <f t="shared" si="125"/>
        <v>3367638</v>
      </c>
      <c r="AO65" s="531">
        <f t="shared" si="126"/>
        <v>0</v>
      </c>
      <c r="AP65" s="526">
        <f t="shared" si="127"/>
        <v>49382752</v>
      </c>
      <c r="AQ65" s="526">
        <f t="shared" si="127"/>
        <v>49383091.200000003</v>
      </c>
      <c r="AR65" s="526">
        <f t="shared" si="128"/>
        <v>-339.20000000298023</v>
      </c>
      <c r="AS65" s="531">
        <f t="shared" si="129"/>
        <v>33243666</v>
      </c>
      <c r="AT65" s="531">
        <f t="shared" si="129"/>
        <v>33243666.25</v>
      </c>
      <c r="AU65" s="531">
        <f t="shared" si="130"/>
        <v>-0.25</v>
      </c>
      <c r="AV65" s="243"/>
      <c r="AW65" s="243"/>
      <c r="AX65" s="243"/>
      <c r="AY65" s="243"/>
      <c r="AZ65" s="243"/>
      <c r="BA65" s="243"/>
      <c r="BB65" s="243"/>
      <c r="BC65" s="243"/>
    </row>
    <row r="66" spans="1:55" s="15" customFormat="1" ht="21.75" customHeight="1">
      <c r="A66" s="351">
        <v>33</v>
      </c>
      <c r="B66" s="354" t="s">
        <v>690</v>
      </c>
      <c r="C66" s="530">
        <f>+'Asset Classification'!C66</f>
        <v>2106753229</v>
      </c>
      <c r="D66" s="531">
        <f>+'Asset Classification'!D66</f>
        <v>1377515551</v>
      </c>
      <c r="E66" s="532">
        <f>+'Asset Classification'!E66</f>
        <v>1788617469</v>
      </c>
      <c r="F66" s="531">
        <f>+'Asset Classification'!F66</f>
        <v>1142013251</v>
      </c>
      <c r="G66" s="532">
        <f>+'Asset Classification'!G66</f>
        <v>18700461</v>
      </c>
      <c r="H66" s="531">
        <f t="shared" si="109"/>
        <v>17886174.690000001</v>
      </c>
      <c r="I66" s="531">
        <f t="shared" si="110"/>
        <v>814286.30999999866</v>
      </c>
      <c r="J66" s="532">
        <f>+'Asset Classification'!I66</f>
        <v>249212833</v>
      </c>
      <c r="K66" s="531">
        <f>+'Asset Classification'!J66</f>
        <v>191796389</v>
      </c>
      <c r="L66" s="532">
        <f>+'Asset Classification'!K66</f>
        <v>24921283</v>
      </c>
      <c r="M66" s="531">
        <f t="shared" si="111"/>
        <v>24921283.300000001</v>
      </c>
      <c r="N66" s="531">
        <f t="shared" si="112"/>
        <v>-0.30000000074505806</v>
      </c>
      <c r="O66" s="531">
        <f>+'Asset Classification'!L66</f>
        <v>19179639</v>
      </c>
      <c r="P66" s="531">
        <f t="shared" si="113"/>
        <v>19179638.900000002</v>
      </c>
      <c r="Q66" s="531">
        <f t="shared" si="114"/>
        <v>9.9999997764825821E-2</v>
      </c>
      <c r="R66" s="532">
        <f>+'Asset Classification'!M66</f>
        <v>40908120</v>
      </c>
      <c r="S66" s="531">
        <f>+'Asset Classification'!N66</f>
        <v>24440931</v>
      </c>
      <c r="T66" s="532">
        <f>+'Asset Classification'!O66</f>
        <v>10227030</v>
      </c>
      <c r="U66" s="531">
        <f t="shared" si="115"/>
        <v>10227030</v>
      </c>
      <c r="V66" s="531">
        <f t="shared" si="116"/>
        <v>0</v>
      </c>
      <c r="W66" s="531">
        <f>+'Asset Classification'!P66</f>
        <v>6110233</v>
      </c>
      <c r="X66" s="531">
        <f t="shared" si="117"/>
        <v>6110232.75</v>
      </c>
      <c r="Y66" s="531">
        <f t="shared" si="118"/>
        <v>0.25</v>
      </c>
      <c r="Z66" s="532">
        <f>+'Asset Classification'!Q66</f>
        <v>25755025</v>
      </c>
      <c r="AA66" s="531">
        <f>+'Asset Classification'!R66</f>
        <v>19264980</v>
      </c>
      <c r="AB66" s="532">
        <f>+'Asset Classification'!S66</f>
        <v>12877513</v>
      </c>
      <c r="AC66" s="531">
        <f t="shared" si="119"/>
        <v>12877512.5</v>
      </c>
      <c r="AD66" s="531">
        <f t="shared" si="120"/>
        <v>0.5</v>
      </c>
      <c r="AE66" s="531">
        <f>+'Asset Classification'!T66</f>
        <v>9632490</v>
      </c>
      <c r="AF66" s="531">
        <f t="shared" si="121"/>
        <v>9632490</v>
      </c>
      <c r="AG66" s="531">
        <f t="shared" si="122"/>
        <v>0</v>
      </c>
      <c r="AH66" s="532">
        <f>+'Asset Classification'!U66</f>
        <v>2259782</v>
      </c>
      <c r="AI66" s="531">
        <f>+'Asset Classification'!V66</f>
        <v>0</v>
      </c>
      <c r="AJ66" s="532">
        <f>+'Asset Classification'!W66</f>
        <v>2259782</v>
      </c>
      <c r="AK66" s="531">
        <f t="shared" si="123"/>
        <v>2259782</v>
      </c>
      <c r="AL66" s="531">
        <f t="shared" si="124"/>
        <v>0</v>
      </c>
      <c r="AM66" s="531">
        <f>+'Asset Classification'!X66</f>
        <v>0</v>
      </c>
      <c r="AN66" s="531">
        <f t="shared" si="125"/>
        <v>0</v>
      </c>
      <c r="AO66" s="531">
        <f t="shared" si="126"/>
        <v>0</v>
      </c>
      <c r="AP66" s="526">
        <f t="shared" si="127"/>
        <v>50285608</v>
      </c>
      <c r="AQ66" s="526">
        <f t="shared" si="127"/>
        <v>50285607.799999997</v>
      </c>
      <c r="AR66" s="526">
        <f t="shared" si="128"/>
        <v>0.20000000298023224</v>
      </c>
      <c r="AS66" s="531">
        <f t="shared" si="129"/>
        <v>34922362</v>
      </c>
      <c r="AT66" s="531">
        <f t="shared" si="129"/>
        <v>34922361.650000006</v>
      </c>
      <c r="AU66" s="531">
        <f t="shared" si="130"/>
        <v>0.34999999403953552</v>
      </c>
      <c r="AV66" s="243"/>
      <c r="AW66" s="243"/>
      <c r="AX66" s="243"/>
      <c r="AY66" s="243"/>
      <c r="AZ66" s="243"/>
      <c r="BA66" s="243"/>
      <c r="BB66" s="243"/>
      <c r="BC66" s="243"/>
    </row>
    <row r="67" spans="1:55" s="15" customFormat="1" ht="21.75" customHeight="1">
      <c r="A67" s="351">
        <v>34</v>
      </c>
      <c r="B67" s="354" t="s">
        <v>691</v>
      </c>
      <c r="C67" s="530">
        <f>+'Asset Classification'!C67</f>
        <v>27440382717</v>
      </c>
      <c r="D67" s="531">
        <f>+'Asset Classification'!D67</f>
        <v>19050773520</v>
      </c>
      <c r="E67" s="532">
        <f>+'Asset Classification'!E67</f>
        <v>25950594298</v>
      </c>
      <c r="F67" s="531">
        <f>+'Asset Classification'!F67</f>
        <v>18171857227</v>
      </c>
      <c r="G67" s="532">
        <f>+'Asset Classification'!G67</f>
        <v>259258661</v>
      </c>
      <c r="H67" s="531">
        <f t="shared" si="109"/>
        <v>259505942.98000002</v>
      </c>
      <c r="I67" s="531">
        <f t="shared" si="110"/>
        <v>-247281.98000001907</v>
      </c>
      <c r="J67" s="532">
        <f>+'Asset Classification'!I67</f>
        <v>854580370</v>
      </c>
      <c r="K67" s="531">
        <f>+'Asset Classification'!J67</f>
        <v>456927377</v>
      </c>
      <c r="L67" s="532">
        <f>+'Asset Classification'!K67</f>
        <v>85413106</v>
      </c>
      <c r="M67" s="531">
        <f t="shared" si="111"/>
        <v>85458037</v>
      </c>
      <c r="N67" s="531">
        <f t="shared" si="112"/>
        <v>-44931</v>
      </c>
      <c r="O67" s="531">
        <f>+'Asset Classification'!L67</f>
        <v>45692738</v>
      </c>
      <c r="P67" s="531">
        <f t="shared" si="113"/>
        <v>45692737.700000003</v>
      </c>
      <c r="Q67" s="531">
        <f t="shared" si="114"/>
        <v>0.29999999701976776</v>
      </c>
      <c r="R67" s="532">
        <f>+'Asset Classification'!M67</f>
        <v>226059285</v>
      </c>
      <c r="S67" s="531">
        <f>+'Asset Classification'!N67</f>
        <v>106887764</v>
      </c>
      <c r="T67" s="532">
        <f>+'Asset Classification'!O67</f>
        <v>56430546</v>
      </c>
      <c r="U67" s="531">
        <f t="shared" si="115"/>
        <v>56514821.25</v>
      </c>
      <c r="V67" s="531">
        <f t="shared" si="116"/>
        <v>-84275.25</v>
      </c>
      <c r="W67" s="531">
        <f>+'Asset Classification'!P67</f>
        <v>26721941</v>
      </c>
      <c r="X67" s="531">
        <f t="shared" si="117"/>
        <v>26721941</v>
      </c>
      <c r="Y67" s="531">
        <f t="shared" si="118"/>
        <v>0</v>
      </c>
      <c r="Z67" s="532">
        <f>+'Asset Classification'!Q67</f>
        <v>384421176</v>
      </c>
      <c r="AA67" s="531">
        <f>+'Asset Classification'!R67</f>
        <v>298936490</v>
      </c>
      <c r="AB67" s="532">
        <f>+'Asset Classification'!S67</f>
        <v>191961782</v>
      </c>
      <c r="AC67" s="531">
        <f t="shared" si="119"/>
        <v>192210588</v>
      </c>
      <c r="AD67" s="531">
        <f t="shared" si="120"/>
        <v>-248806</v>
      </c>
      <c r="AE67" s="531">
        <f>+'Asset Classification'!T67</f>
        <v>149468245</v>
      </c>
      <c r="AF67" s="531">
        <f t="shared" si="121"/>
        <v>149468245</v>
      </c>
      <c r="AG67" s="531">
        <f t="shared" si="122"/>
        <v>0</v>
      </c>
      <c r="AH67" s="532">
        <f>+'Asset Classification'!U67</f>
        <v>24727588</v>
      </c>
      <c r="AI67" s="531">
        <f>+'Asset Classification'!V67</f>
        <v>16164662</v>
      </c>
      <c r="AJ67" s="532">
        <f>+'Asset Classification'!W67</f>
        <v>23870322</v>
      </c>
      <c r="AK67" s="531">
        <f t="shared" si="123"/>
        <v>24727588</v>
      </c>
      <c r="AL67" s="531">
        <f t="shared" si="124"/>
        <v>-857266</v>
      </c>
      <c r="AM67" s="531">
        <f>+'Asset Classification'!X67</f>
        <v>16164662</v>
      </c>
      <c r="AN67" s="531">
        <f t="shared" si="125"/>
        <v>16164662</v>
      </c>
      <c r="AO67" s="531">
        <f t="shared" si="126"/>
        <v>0</v>
      </c>
      <c r="AP67" s="526">
        <f t="shared" si="127"/>
        <v>357675756</v>
      </c>
      <c r="AQ67" s="526">
        <f t="shared" si="127"/>
        <v>358911034.25</v>
      </c>
      <c r="AR67" s="526">
        <f t="shared" si="128"/>
        <v>-1235278.25</v>
      </c>
      <c r="AS67" s="531">
        <f t="shared" si="129"/>
        <v>238047586</v>
      </c>
      <c r="AT67" s="531">
        <f t="shared" si="129"/>
        <v>238047585.69999999</v>
      </c>
      <c r="AU67" s="531">
        <f t="shared" si="130"/>
        <v>0.30000001192092896</v>
      </c>
      <c r="AV67" s="243"/>
      <c r="AW67" s="243"/>
      <c r="AX67" s="243"/>
      <c r="AY67" s="243"/>
      <c r="AZ67" s="243"/>
      <c r="BA67" s="243"/>
      <c r="BB67" s="243"/>
      <c r="BC67" s="243"/>
    </row>
    <row r="68" spans="1:55" s="15" customFormat="1" ht="21.75" customHeight="1">
      <c r="A68" s="351">
        <v>35</v>
      </c>
      <c r="B68" s="354" t="s">
        <v>692</v>
      </c>
      <c r="C68" s="530">
        <f>+'Asset Classification'!C68</f>
        <v>3391807355</v>
      </c>
      <c r="D68" s="531">
        <f>+'Asset Classification'!D68</f>
        <v>1838243439</v>
      </c>
      <c r="E68" s="532">
        <f>+'Asset Classification'!E68</f>
        <v>3186466009</v>
      </c>
      <c r="F68" s="531">
        <f>+'Asset Classification'!F68</f>
        <v>1672749889</v>
      </c>
      <c r="G68" s="532">
        <f>+'Asset Classification'!G68</f>
        <v>23872359</v>
      </c>
      <c r="H68" s="531">
        <f t="shared" si="109"/>
        <v>31864660.09</v>
      </c>
      <c r="I68" s="531">
        <f t="shared" si="110"/>
        <v>-7992301.0899999999</v>
      </c>
      <c r="J68" s="532">
        <f>+'Asset Classification'!I68</f>
        <v>48848166</v>
      </c>
      <c r="K68" s="531">
        <f>+'Asset Classification'!J68</f>
        <v>23872219</v>
      </c>
      <c r="L68" s="532">
        <f>+'Asset Classification'!K68</f>
        <v>4884810</v>
      </c>
      <c r="M68" s="531">
        <f t="shared" si="111"/>
        <v>4884816.6000000006</v>
      </c>
      <c r="N68" s="531">
        <f t="shared" si="112"/>
        <v>-6.6000000005587935</v>
      </c>
      <c r="O68" s="531">
        <f>+'Asset Classification'!L68</f>
        <v>2387222</v>
      </c>
      <c r="P68" s="531">
        <f t="shared" si="113"/>
        <v>2387221.9</v>
      </c>
      <c r="Q68" s="531">
        <f t="shared" si="114"/>
        <v>0.10000000009313226</v>
      </c>
      <c r="R68" s="532">
        <f>+'Asset Classification'!M68</f>
        <v>22722517</v>
      </c>
      <c r="S68" s="531">
        <f>+'Asset Classification'!N68</f>
        <v>21970307</v>
      </c>
      <c r="T68" s="532">
        <f>+'Asset Classification'!O68</f>
        <v>5612282</v>
      </c>
      <c r="U68" s="531">
        <f t="shared" si="115"/>
        <v>5680629.25</v>
      </c>
      <c r="V68" s="531">
        <f t="shared" si="116"/>
        <v>-68347.25</v>
      </c>
      <c r="W68" s="531">
        <f>+'Asset Classification'!P68</f>
        <v>5492577</v>
      </c>
      <c r="X68" s="531">
        <f t="shared" si="117"/>
        <v>5492576.75</v>
      </c>
      <c r="Y68" s="531">
        <f t="shared" si="118"/>
        <v>0.25</v>
      </c>
      <c r="Z68" s="532">
        <f>+'Asset Classification'!Q68</f>
        <v>133410771</v>
      </c>
      <c r="AA68" s="531">
        <f>+'Asset Classification'!R68</f>
        <v>119651024</v>
      </c>
      <c r="AB68" s="532">
        <f>+'Asset Classification'!S68</f>
        <v>66701418</v>
      </c>
      <c r="AC68" s="531">
        <f t="shared" si="119"/>
        <v>66705385.5</v>
      </c>
      <c r="AD68" s="531">
        <f t="shared" si="120"/>
        <v>-3967.5</v>
      </c>
      <c r="AE68" s="531">
        <f>+'Asset Classification'!T68</f>
        <v>59825512</v>
      </c>
      <c r="AF68" s="531">
        <f t="shared" si="121"/>
        <v>59825512</v>
      </c>
      <c r="AG68" s="531">
        <f t="shared" si="122"/>
        <v>0</v>
      </c>
      <c r="AH68" s="532">
        <f>+'Asset Classification'!U68</f>
        <v>359892</v>
      </c>
      <c r="AI68" s="531">
        <f>+'Asset Classification'!V68</f>
        <v>0</v>
      </c>
      <c r="AJ68" s="532">
        <f>+'Asset Classification'!W68</f>
        <v>359892</v>
      </c>
      <c r="AK68" s="531">
        <f t="shared" si="123"/>
        <v>359892</v>
      </c>
      <c r="AL68" s="531">
        <f t="shared" si="124"/>
        <v>0</v>
      </c>
      <c r="AM68" s="531">
        <f>+'Asset Classification'!X68</f>
        <v>0</v>
      </c>
      <c r="AN68" s="531">
        <f t="shared" si="125"/>
        <v>0</v>
      </c>
      <c r="AO68" s="531">
        <f t="shared" si="126"/>
        <v>0</v>
      </c>
      <c r="AP68" s="526">
        <f t="shared" si="127"/>
        <v>77558402</v>
      </c>
      <c r="AQ68" s="526">
        <f t="shared" si="127"/>
        <v>77630723.349999994</v>
      </c>
      <c r="AR68" s="526">
        <f t="shared" si="128"/>
        <v>-72321.34999999404</v>
      </c>
      <c r="AS68" s="531">
        <f t="shared" si="129"/>
        <v>67705311</v>
      </c>
      <c r="AT68" s="531">
        <f t="shared" si="129"/>
        <v>67705310.650000006</v>
      </c>
      <c r="AU68" s="531">
        <f t="shared" si="130"/>
        <v>0.34999999403953552</v>
      </c>
      <c r="AV68" s="243"/>
      <c r="AW68" s="243"/>
      <c r="AX68" s="243"/>
      <c r="AY68" s="243"/>
      <c r="AZ68" s="243"/>
      <c r="BA68" s="243"/>
      <c r="BB68" s="243"/>
      <c r="BC68" s="243"/>
    </row>
    <row r="69" spans="1:55" s="15" customFormat="1" ht="21.75" customHeight="1">
      <c r="A69" s="351">
        <v>36</v>
      </c>
      <c r="B69" s="354" t="s">
        <v>693</v>
      </c>
      <c r="C69" s="530">
        <f>+'Asset Classification'!C69</f>
        <v>2526849905</v>
      </c>
      <c r="D69" s="531">
        <f>+'Asset Classification'!D69</f>
        <v>1618525496</v>
      </c>
      <c r="E69" s="532">
        <f>+'Asset Classification'!E69</f>
        <v>2353480979</v>
      </c>
      <c r="F69" s="531">
        <f>+'Asset Classification'!F69</f>
        <v>1493798292</v>
      </c>
      <c r="G69" s="532">
        <f>+'Asset Classification'!G69</f>
        <v>12354706</v>
      </c>
      <c r="H69" s="531">
        <f t="shared" si="109"/>
        <v>23534809.789999999</v>
      </c>
      <c r="I69" s="531">
        <f t="shared" si="110"/>
        <v>-11180103.789999999</v>
      </c>
      <c r="J69" s="532">
        <f>+'Asset Classification'!I69</f>
        <v>67394006</v>
      </c>
      <c r="K69" s="531">
        <f>+'Asset Classification'!J69</f>
        <v>50190983</v>
      </c>
      <c r="L69" s="532">
        <f>+'Asset Classification'!K69</f>
        <v>6739401</v>
      </c>
      <c r="M69" s="531">
        <f t="shared" si="111"/>
        <v>6739400.6000000006</v>
      </c>
      <c r="N69" s="531">
        <f t="shared" si="112"/>
        <v>0.39999999944120646</v>
      </c>
      <c r="O69" s="531">
        <f>+'Asset Classification'!L69</f>
        <v>5019098</v>
      </c>
      <c r="P69" s="531">
        <f t="shared" si="113"/>
        <v>5019098.3</v>
      </c>
      <c r="Q69" s="531">
        <f t="shared" si="114"/>
        <v>-0.29999999981373549</v>
      </c>
      <c r="R69" s="532">
        <f>+'Asset Classification'!M69</f>
        <v>29804204</v>
      </c>
      <c r="S69" s="531">
        <f>+'Asset Classification'!N69</f>
        <v>25525536</v>
      </c>
      <c r="T69" s="532">
        <f>+'Asset Classification'!O69</f>
        <v>7450222</v>
      </c>
      <c r="U69" s="531">
        <f t="shared" si="115"/>
        <v>7451051</v>
      </c>
      <c r="V69" s="531">
        <f t="shared" si="116"/>
        <v>-829</v>
      </c>
      <c r="W69" s="531">
        <f>+'Asset Classification'!P69</f>
        <v>6381384</v>
      </c>
      <c r="X69" s="531">
        <f t="shared" si="117"/>
        <v>6381384</v>
      </c>
      <c r="Y69" s="531">
        <f t="shared" si="118"/>
        <v>0</v>
      </c>
      <c r="Z69" s="532">
        <f>+'Asset Classification'!Q69</f>
        <v>72950745</v>
      </c>
      <c r="AA69" s="531">
        <f>+'Asset Classification'!R69</f>
        <v>46493432</v>
      </c>
      <c r="AB69" s="532">
        <f>+'Asset Classification'!S69</f>
        <v>36475373</v>
      </c>
      <c r="AC69" s="531">
        <f t="shared" si="119"/>
        <v>36475372.5</v>
      </c>
      <c r="AD69" s="531">
        <f t="shared" si="120"/>
        <v>0.5</v>
      </c>
      <c r="AE69" s="531">
        <f>+'Asset Classification'!T69</f>
        <v>23246716</v>
      </c>
      <c r="AF69" s="531">
        <f t="shared" si="121"/>
        <v>23246716</v>
      </c>
      <c r="AG69" s="531">
        <f t="shared" si="122"/>
        <v>0</v>
      </c>
      <c r="AH69" s="532">
        <f>+'Asset Classification'!U69</f>
        <v>3219971</v>
      </c>
      <c r="AI69" s="531">
        <f>+'Asset Classification'!V69</f>
        <v>2517253</v>
      </c>
      <c r="AJ69" s="532">
        <f>+'Asset Classification'!W69</f>
        <v>3219971</v>
      </c>
      <c r="AK69" s="531">
        <f t="shared" si="123"/>
        <v>3219971</v>
      </c>
      <c r="AL69" s="531">
        <f t="shared" si="124"/>
        <v>0</v>
      </c>
      <c r="AM69" s="531">
        <f>+'Asset Classification'!X69</f>
        <v>2517253</v>
      </c>
      <c r="AN69" s="531">
        <f t="shared" si="125"/>
        <v>2517253</v>
      </c>
      <c r="AO69" s="531">
        <f t="shared" si="126"/>
        <v>0</v>
      </c>
      <c r="AP69" s="526">
        <f t="shared" si="127"/>
        <v>53884967</v>
      </c>
      <c r="AQ69" s="526">
        <f t="shared" si="127"/>
        <v>53885795.100000001</v>
      </c>
      <c r="AR69" s="526">
        <f t="shared" si="128"/>
        <v>-828.10000000149012</v>
      </c>
      <c r="AS69" s="531">
        <f t="shared" si="129"/>
        <v>37164451</v>
      </c>
      <c r="AT69" s="531">
        <f t="shared" si="129"/>
        <v>37164451.299999997</v>
      </c>
      <c r="AU69" s="531">
        <f t="shared" si="130"/>
        <v>-0.29999999701976776</v>
      </c>
      <c r="AV69" s="243"/>
      <c r="AW69" s="243"/>
      <c r="AX69" s="243"/>
      <c r="AY69" s="243"/>
      <c r="AZ69" s="243"/>
      <c r="BA69" s="243"/>
      <c r="BB69" s="243"/>
      <c r="BC69" s="243"/>
    </row>
    <row r="70" spans="1:55" s="15" customFormat="1" ht="21.75" customHeight="1">
      <c r="A70" s="351">
        <v>37</v>
      </c>
      <c r="B70" s="354" t="s">
        <v>694</v>
      </c>
      <c r="C70" s="530">
        <f>+'Asset Classification'!C70</f>
        <v>1066881707</v>
      </c>
      <c r="D70" s="531">
        <f>+'Asset Classification'!D70</f>
        <v>654697368</v>
      </c>
      <c r="E70" s="532">
        <f>+'Asset Classification'!E70</f>
        <v>866257871</v>
      </c>
      <c r="F70" s="531">
        <f>+'Asset Classification'!F70</f>
        <v>584606274</v>
      </c>
      <c r="G70" s="532">
        <f>+'Asset Classification'!G70</f>
        <v>7014727</v>
      </c>
      <c r="H70" s="531">
        <f t="shared" si="109"/>
        <v>8662578.7100000009</v>
      </c>
      <c r="I70" s="531">
        <f t="shared" si="110"/>
        <v>-1647851.7100000009</v>
      </c>
      <c r="J70" s="532">
        <f>+'Asset Classification'!I70</f>
        <v>98500248</v>
      </c>
      <c r="K70" s="531">
        <f>+'Asset Classification'!J70</f>
        <v>42295748</v>
      </c>
      <c r="L70" s="532">
        <f>+'Asset Classification'!K70</f>
        <v>9849767</v>
      </c>
      <c r="M70" s="531">
        <f t="shared" si="111"/>
        <v>9850024.8000000007</v>
      </c>
      <c r="N70" s="531">
        <f t="shared" si="112"/>
        <v>-257.80000000074506</v>
      </c>
      <c r="O70" s="531">
        <f>+'Asset Classification'!L70</f>
        <v>4229575</v>
      </c>
      <c r="P70" s="531">
        <f t="shared" si="113"/>
        <v>4229574.8</v>
      </c>
      <c r="Q70" s="531">
        <f t="shared" si="114"/>
        <v>0.20000000018626451</v>
      </c>
      <c r="R70" s="532">
        <f>+'Asset Classification'!M70</f>
        <v>14959441</v>
      </c>
      <c r="S70" s="531">
        <f>+'Asset Classification'!N70</f>
        <v>2995731</v>
      </c>
      <c r="T70" s="532">
        <f>+'Asset Classification'!O70</f>
        <v>3739860</v>
      </c>
      <c r="U70" s="531">
        <f t="shared" si="115"/>
        <v>3739860.25</v>
      </c>
      <c r="V70" s="531">
        <f t="shared" si="116"/>
        <v>-0.25</v>
      </c>
      <c r="W70" s="531">
        <f>+'Asset Classification'!P70</f>
        <v>748933</v>
      </c>
      <c r="X70" s="531">
        <f t="shared" si="117"/>
        <v>748932.75</v>
      </c>
      <c r="Y70" s="531">
        <f t="shared" si="118"/>
        <v>0.25</v>
      </c>
      <c r="Z70" s="532">
        <f>+'Asset Classification'!Q70</f>
        <v>77026468</v>
      </c>
      <c r="AA70" s="531">
        <f>+'Asset Classification'!R70</f>
        <v>23900621</v>
      </c>
      <c r="AB70" s="532">
        <f>+'Asset Classification'!S70</f>
        <v>38513234</v>
      </c>
      <c r="AC70" s="531">
        <f t="shared" si="119"/>
        <v>38513234</v>
      </c>
      <c r="AD70" s="531">
        <f t="shared" si="120"/>
        <v>0</v>
      </c>
      <c r="AE70" s="531">
        <f>+'Asset Classification'!T70</f>
        <v>11950311</v>
      </c>
      <c r="AF70" s="531">
        <f t="shared" si="121"/>
        <v>11950310.5</v>
      </c>
      <c r="AG70" s="531">
        <f t="shared" si="122"/>
        <v>0.5</v>
      </c>
      <c r="AH70" s="532">
        <f>+'Asset Classification'!U70</f>
        <v>10137679</v>
      </c>
      <c r="AI70" s="531">
        <f>+'Asset Classification'!V70</f>
        <v>898994</v>
      </c>
      <c r="AJ70" s="532">
        <f>+'Asset Classification'!W70</f>
        <v>10137679</v>
      </c>
      <c r="AK70" s="531">
        <f t="shared" si="123"/>
        <v>10137679</v>
      </c>
      <c r="AL70" s="531">
        <f t="shared" si="124"/>
        <v>0</v>
      </c>
      <c r="AM70" s="531">
        <f>+'Asset Classification'!X70</f>
        <v>898994</v>
      </c>
      <c r="AN70" s="531">
        <f t="shared" si="125"/>
        <v>898994</v>
      </c>
      <c r="AO70" s="531">
        <f t="shared" si="126"/>
        <v>0</v>
      </c>
      <c r="AP70" s="526">
        <f t="shared" si="127"/>
        <v>62240540</v>
      </c>
      <c r="AQ70" s="526">
        <f t="shared" si="127"/>
        <v>62240798.049999997</v>
      </c>
      <c r="AR70" s="526">
        <f t="shared" si="128"/>
        <v>-258.04999999701977</v>
      </c>
      <c r="AS70" s="531">
        <f t="shared" si="129"/>
        <v>17827813</v>
      </c>
      <c r="AT70" s="531">
        <f t="shared" si="129"/>
        <v>17827812.050000001</v>
      </c>
      <c r="AU70" s="531">
        <f t="shared" si="130"/>
        <v>0.94999999925494194</v>
      </c>
      <c r="AV70" s="243"/>
      <c r="AW70" s="243"/>
      <c r="AX70" s="243"/>
      <c r="AY70" s="243"/>
      <c r="AZ70" s="243"/>
      <c r="BA70" s="243"/>
      <c r="BB70" s="243"/>
      <c r="BC70" s="243"/>
    </row>
    <row r="71" spans="1:55" s="512" customFormat="1" ht="28.5" customHeight="1">
      <c r="A71" s="510">
        <v>38</v>
      </c>
      <c r="B71" s="510" t="s">
        <v>678</v>
      </c>
      <c r="C71" s="527">
        <f>+'Asset Classification'!C71</f>
        <v>48075884880</v>
      </c>
      <c r="D71" s="527">
        <f>+'Asset Classification'!D71</f>
        <v>30828142644</v>
      </c>
      <c r="E71" s="527">
        <f>+'Asset Classification'!E71</f>
        <v>44160297748</v>
      </c>
      <c r="F71" s="527">
        <f>+'Asset Classification'!F71</f>
        <v>28307852456</v>
      </c>
      <c r="G71" s="527">
        <f>+'Asset Classification'!G71</f>
        <v>414689972</v>
      </c>
      <c r="H71" s="527">
        <f t="shared" ref="H71:I71" si="131">SUM(H57:H70)</f>
        <v>441602977.47999996</v>
      </c>
      <c r="I71" s="527">
        <f t="shared" si="131"/>
        <v>-26913005.480000023</v>
      </c>
      <c r="J71" s="527">
        <f>+'Asset Classification'!I71</f>
        <v>2556900652</v>
      </c>
      <c r="K71" s="527">
        <f>+'Asset Classification'!J71</f>
        <v>1684963039</v>
      </c>
      <c r="L71" s="527">
        <f>+'Asset Classification'!K71</f>
        <v>255622767</v>
      </c>
      <c r="M71" s="527">
        <f t="shared" ref="M71:N71" si="132">SUM(M57:M70)</f>
        <v>255690065.20000002</v>
      </c>
      <c r="N71" s="527">
        <f t="shared" si="132"/>
        <v>-67298.200000011129</v>
      </c>
      <c r="O71" s="527">
        <f>+'Asset Classification'!L71</f>
        <v>168496305</v>
      </c>
      <c r="P71" s="527">
        <f t="shared" ref="P71:Q71" si="133">SUM(P57:P70)</f>
        <v>168496303.90000004</v>
      </c>
      <c r="Q71" s="527">
        <f t="shared" si="133"/>
        <v>1.0999999889172614</v>
      </c>
      <c r="R71" s="527">
        <f>+'Asset Classification'!M71</f>
        <v>436789210</v>
      </c>
      <c r="S71" s="527">
        <f>+'Asset Classification'!N71</f>
        <v>228730389</v>
      </c>
      <c r="T71" s="527">
        <f>+'Asset Classification'!O71</f>
        <v>107787533</v>
      </c>
      <c r="U71" s="527">
        <f t="shared" ref="U71:Y71" si="134">SUM(U57:U70)</f>
        <v>109197302.5</v>
      </c>
      <c r="V71" s="527">
        <f t="shared" si="134"/>
        <v>-1409769.5</v>
      </c>
      <c r="W71" s="527">
        <f>+'Asset Classification'!P71</f>
        <v>56116179</v>
      </c>
      <c r="X71" s="527">
        <f t="shared" si="134"/>
        <v>57182597.25</v>
      </c>
      <c r="Y71" s="527">
        <f t="shared" si="134"/>
        <v>-1066418.25</v>
      </c>
      <c r="Z71" s="527">
        <f>+'Asset Classification'!Q71</f>
        <v>830442808</v>
      </c>
      <c r="AA71" s="527">
        <f>+'Asset Classification'!R71</f>
        <v>563175767</v>
      </c>
      <c r="AB71" s="527">
        <f>+'Asset Classification'!S71</f>
        <v>414805245</v>
      </c>
      <c r="AC71" s="527">
        <f t="shared" ref="AC71:AD71" si="135">SUM(AC57:AC70)</f>
        <v>415221404</v>
      </c>
      <c r="AD71" s="527">
        <f t="shared" si="135"/>
        <v>-416159</v>
      </c>
      <c r="AE71" s="527">
        <f>+'Asset Classification'!T71</f>
        <v>281587884</v>
      </c>
      <c r="AF71" s="527">
        <f t="shared" ref="AF71:AG71" si="136">SUM(AF57:AF70)</f>
        <v>281587883.5</v>
      </c>
      <c r="AG71" s="527">
        <f t="shared" si="136"/>
        <v>0.5</v>
      </c>
      <c r="AH71" s="527">
        <f>+'Asset Classification'!U71</f>
        <v>91454462</v>
      </c>
      <c r="AI71" s="527">
        <f>+'Asset Classification'!V71</f>
        <v>43420993</v>
      </c>
      <c r="AJ71" s="527">
        <f>+'Asset Classification'!W71</f>
        <v>90597194</v>
      </c>
      <c r="AK71" s="527">
        <f t="shared" ref="AK71:AL71" si="137">SUM(AK57:AK70)</f>
        <v>91454462</v>
      </c>
      <c r="AL71" s="527">
        <f t="shared" si="137"/>
        <v>-857268</v>
      </c>
      <c r="AM71" s="527">
        <f>+'Asset Classification'!X71</f>
        <v>43420993</v>
      </c>
      <c r="AN71" s="527">
        <f t="shared" ref="AN71:AU71" si="138">SUM(AN57:AN70)</f>
        <v>43420993</v>
      </c>
      <c r="AO71" s="527">
        <f t="shared" si="138"/>
        <v>0</v>
      </c>
      <c r="AP71" s="527">
        <f t="shared" si="138"/>
        <v>868812739</v>
      </c>
      <c r="AQ71" s="527">
        <f t="shared" si="138"/>
        <v>871563233.70000005</v>
      </c>
      <c r="AR71" s="527">
        <f t="shared" si="138"/>
        <v>-2750494.6999999965</v>
      </c>
      <c r="AS71" s="527">
        <f t="shared" si="138"/>
        <v>549621361</v>
      </c>
      <c r="AT71" s="527">
        <f t="shared" si="138"/>
        <v>550687777.64999998</v>
      </c>
      <c r="AU71" s="527">
        <f t="shared" si="138"/>
        <v>-1066416.650000005</v>
      </c>
      <c r="AV71" s="511">
        <f>+'Loans Receivable'!C85</f>
        <v>48075884880</v>
      </c>
    </row>
    <row r="72" spans="1:55" s="15" customFormat="1" ht="21.75" customHeight="1">
      <c r="A72" s="351">
        <v>39</v>
      </c>
      <c r="B72" s="354" t="s">
        <v>695</v>
      </c>
      <c r="C72" s="530">
        <f>+'Asset Classification'!C72</f>
        <v>10074076340</v>
      </c>
      <c r="D72" s="531">
        <f>+'Asset Classification'!D72</f>
        <v>0</v>
      </c>
      <c r="E72" s="532">
        <f>+'Asset Classification'!E72</f>
        <v>9533205914</v>
      </c>
      <c r="F72" s="531">
        <f>+'Asset Classification'!F72</f>
        <v>0</v>
      </c>
      <c r="G72" s="532">
        <f>+'Asset Classification'!G72</f>
        <v>131676235</v>
      </c>
      <c r="H72" s="531">
        <f t="shared" ref="H72:H73" si="139">+E72*1%</f>
        <v>95332059.140000001</v>
      </c>
      <c r="I72" s="531">
        <f t="shared" ref="I72:I73" si="140">+G72-H72</f>
        <v>36344175.859999999</v>
      </c>
      <c r="J72" s="532">
        <f>+'Asset Classification'!I72</f>
        <v>134561356</v>
      </c>
      <c r="K72" s="531">
        <f>+'Asset Classification'!J72</f>
        <v>0</v>
      </c>
      <c r="L72" s="532">
        <f>+'Asset Classification'!K72</f>
        <v>131959139</v>
      </c>
      <c r="M72" s="531">
        <f t="shared" ref="M72:M73" si="141">+J72*10%</f>
        <v>13456135.600000001</v>
      </c>
      <c r="N72" s="531">
        <f t="shared" ref="N72:N73" si="142">+L72-M72</f>
        <v>118503003.40000001</v>
      </c>
      <c r="O72" s="531">
        <f>+'Asset Classification'!L72</f>
        <v>0</v>
      </c>
      <c r="P72" s="531">
        <f t="shared" ref="P72:P73" si="143">+K72*10%</f>
        <v>0</v>
      </c>
      <c r="Q72" s="531">
        <f t="shared" ref="Q72:Q73" si="144">+O72-P72</f>
        <v>0</v>
      </c>
      <c r="R72" s="532">
        <f>+'Asset Classification'!M72</f>
        <v>70544135</v>
      </c>
      <c r="S72" s="531">
        <f>+'Asset Classification'!N72</f>
        <v>0</v>
      </c>
      <c r="T72" s="532">
        <f>+'Asset Classification'!O72</f>
        <v>2030299</v>
      </c>
      <c r="U72" s="531">
        <f t="shared" ref="U72:U73" si="145">+R72*25%</f>
        <v>17636033.75</v>
      </c>
      <c r="V72" s="531">
        <f t="shared" ref="V72:V73" si="146">+T72-U72</f>
        <v>-15605734.75</v>
      </c>
      <c r="W72" s="531">
        <f>+'Asset Classification'!P72</f>
        <v>0</v>
      </c>
      <c r="X72" s="531">
        <f t="shared" ref="X72:X73" si="147">+S72*25%</f>
        <v>0</v>
      </c>
      <c r="Y72" s="531">
        <f t="shared" ref="Y72:Y73" si="148">+W72-X72</f>
        <v>0</v>
      </c>
      <c r="Z72" s="532">
        <f>+'Asset Classification'!Q72</f>
        <v>169719529</v>
      </c>
      <c r="AA72" s="531">
        <f>+'Asset Classification'!R72</f>
        <v>0</v>
      </c>
      <c r="AB72" s="532">
        <f>+'Asset Classification'!S72</f>
        <v>5284069</v>
      </c>
      <c r="AC72" s="531">
        <f t="shared" ref="AC72:AC73" si="149">+Z72*50%</f>
        <v>84859764.5</v>
      </c>
      <c r="AD72" s="531">
        <f t="shared" ref="AD72:AD73" si="150">+AB72-AC72</f>
        <v>-79575695.5</v>
      </c>
      <c r="AE72" s="531">
        <f>+'Asset Classification'!T72</f>
        <v>0</v>
      </c>
      <c r="AF72" s="531">
        <f t="shared" ref="AF72:AF73" si="151">+AA72*50%</f>
        <v>0</v>
      </c>
      <c r="AG72" s="531">
        <f t="shared" ref="AG72:AG73" si="152">+AE72-AF72</f>
        <v>0</v>
      </c>
      <c r="AH72" s="532">
        <f>+'Asset Classification'!U72</f>
        <v>166045406</v>
      </c>
      <c r="AI72" s="531">
        <f>+'Asset Classification'!V72</f>
        <v>0</v>
      </c>
      <c r="AJ72" s="532">
        <f>+'Asset Classification'!W72</f>
        <v>132343370</v>
      </c>
      <c r="AK72" s="531">
        <f t="shared" ref="AK72:AK73" si="153">+AH72*100%</f>
        <v>166045406</v>
      </c>
      <c r="AL72" s="531">
        <f t="shared" ref="AL72:AL73" si="154">+AJ72-AK72</f>
        <v>-33702036</v>
      </c>
      <c r="AM72" s="531">
        <f>+'Asset Classification'!X72</f>
        <v>0</v>
      </c>
      <c r="AN72" s="531">
        <f t="shared" ref="AN72:AN73" si="155">+AI72*100%</f>
        <v>0</v>
      </c>
      <c r="AO72" s="531">
        <f t="shared" ref="AO72:AO73" si="156">+AM72-AN72</f>
        <v>0</v>
      </c>
      <c r="AP72" s="526">
        <f t="shared" ref="AP72:AP73" si="157">+L72+T72+AB72+AJ72</f>
        <v>271616877</v>
      </c>
      <c r="AQ72" s="526">
        <f t="shared" ref="AQ72:AQ73" si="158">+M72+U72+AC72+AK72</f>
        <v>281997339.85000002</v>
      </c>
      <c r="AR72" s="526">
        <f t="shared" ref="AR72:AR73" si="159">+AP72-AQ72</f>
        <v>-10380462.850000024</v>
      </c>
      <c r="AS72" s="531">
        <f t="shared" ref="AS72:AS73" si="160">+O72+W72+AE72+AM72</f>
        <v>0</v>
      </c>
      <c r="AT72" s="531">
        <f t="shared" ref="AT72:AT73" si="161">+P72+X72+AF72+AN72</f>
        <v>0</v>
      </c>
      <c r="AU72" s="531">
        <f t="shared" ref="AU72:AU73" si="162">+AS72-AT72</f>
        <v>0</v>
      </c>
      <c r="AV72" s="243"/>
      <c r="AW72" s="243"/>
      <c r="AX72" s="243"/>
      <c r="AY72" s="243"/>
      <c r="AZ72" s="243"/>
      <c r="BA72" s="243"/>
      <c r="BB72" s="243"/>
      <c r="BC72" s="243"/>
    </row>
    <row r="73" spans="1:55" s="15" customFormat="1" ht="21.75" customHeight="1">
      <c r="A73" s="351"/>
      <c r="B73" s="354" t="s">
        <v>670</v>
      </c>
      <c r="C73" s="530">
        <f>+'Asset Classification'!C73</f>
        <v>0</v>
      </c>
      <c r="D73" s="531">
        <f>+'Asset Classification'!D73</f>
        <v>0</v>
      </c>
      <c r="E73" s="532">
        <f>+'Asset Classification'!E73</f>
        <v>0</v>
      </c>
      <c r="F73" s="531">
        <f>+'Asset Classification'!F73</f>
        <v>0</v>
      </c>
      <c r="G73" s="532">
        <f>+'Asset Classification'!G73</f>
        <v>0</v>
      </c>
      <c r="H73" s="531">
        <f t="shared" si="139"/>
        <v>0</v>
      </c>
      <c r="I73" s="531">
        <f t="shared" si="140"/>
        <v>0</v>
      </c>
      <c r="J73" s="532">
        <f>+'Asset Classification'!I73</f>
        <v>0</v>
      </c>
      <c r="K73" s="531">
        <f>+'Asset Classification'!J73</f>
        <v>0</v>
      </c>
      <c r="L73" s="532">
        <f>+'Asset Classification'!K73</f>
        <v>0</v>
      </c>
      <c r="M73" s="531">
        <f t="shared" si="141"/>
        <v>0</v>
      </c>
      <c r="N73" s="531">
        <f t="shared" si="142"/>
        <v>0</v>
      </c>
      <c r="O73" s="531">
        <f>+'Asset Classification'!L73</f>
        <v>0</v>
      </c>
      <c r="P73" s="531">
        <f t="shared" si="143"/>
        <v>0</v>
      </c>
      <c r="Q73" s="531">
        <f t="shared" si="144"/>
        <v>0</v>
      </c>
      <c r="R73" s="532">
        <f>+'Asset Classification'!M73</f>
        <v>0</v>
      </c>
      <c r="S73" s="531">
        <f>+'Asset Classification'!N73</f>
        <v>0</v>
      </c>
      <c r="T73" s="532">
        <f>+'Asset Classification'!O73</f>
        <v>0</v>
      </c>
      <c r="U73" s="531">
        <f t="shared" si="145"/>
        <v>0</v>
      </c>
      <c r="V73" s="531">
        <f t="shared" si="146"/>
        <v>0</v>
      </c>
      <c r="W73" s="531">
        <f>+'Asset Classification'!P73</f>
        <v>0</v>
      </c>
      <c r="X73" s="531">
        <f t="shared" si="147"/>
        <v>0</v>
      </c>
      <c r="Y73" s="531">
        <f t="shared" si="148"/>
        <v>0</v>
      </c>
      <c r="Z73" s="532">
        <f>+'Asset Classification'!Q73</f>
        <v>0</v>
      </c>
      <c r="AA73" s="531">
        <f>+'Asset Classification'!R73</f>
        <v>0</v>
      </c>
      <c r="AB73" s="532">
        <f>+'Asset Classification'!S73</f>
        <v>0</v>
      </c>
      <c r="AC73" s="531">
        <f t="shared" si="149"/>
        <v>0</v>
      </c>
      <c r="AD73" s="531">
        <f t="shared" si="150"/>
        <v>0</v>
      </c>
      <c r="AE73" s="531">
        <f>+'Asset Classification'!T73</f>
        <v>0</v>
      </c>
      <c r="AF73" s="531">
        <f t="shared" si="151"/>
        <v>0</v>
      </c>
      <c r="AG73" s="531">
        <f t="shared" si="152"/>
        <v>0</v>
      </c>
      <c r="AH73" s="532">
        <f>+'Asset Classification'!U73</f>
        <v>0</v>
      </c>
      <c r="AI73" s="531">
        <f>+'Asset Classification'!V73</f>
        <v>0</v>
      </c>
      <c r="AJ73" s="532">
        <f>+'Asset Classification'!W73</f>
        <v>0</v>
      </c>
      <c r="AK73" s="531">
        <f t="shared" si="153"/>
        <v>0</v>
      </c>
      <c r="AL73" s="531">
        <f t="shared" si="154"/>
        <v>0</v>
      </c>
      <c r="AM73" s="531">
        <f>+'Asset Classification'!X73</f>
        <v>0</v>
      </c>
      <c r="AN73" s="531">
        <f t="shared" si="155"/>
        <v>0</v>
      </c>
      <c r="AO73" s="531">
        <f t="shared" si="156"/>
        <v>0</v>
      </c>
      <c r="AP73" s="526">
        <f t="shared" si="157"/>
        <v>0</v>
      </c>
      <c r="AQ73" s="526">
        <f t="shared" si="158"/>
        <v>0</v>
      </c>
      <c r="AR73" s="526">
        <f t="shared" si="159"/>
        <v>0</v>
      </c>
      <c r="AS73" s="531">
        <f t="shared" si="160"/>
        <v>0</v>
      </c>
      <c r="AT73" s="531">
        <f t="shared" si="161"/>
        <v>0</v>
      </c>
      <c r="AU73" s="531">
        <f t="shared" si="162"/>
        <v>0</v>
      </c>
      <c r="AV73" s="243"/>
      <c r="AW73" s="243"/>
      <c r="AX73" s="243"/>
      <c r="AY73" s="243"/>
      <c r="AZ73" s="243"/>
      <c r="BA73" s="243"/>
      <c r="BB73" s="243"/>
      <c r="BC73" s="243"/>
    </row>
    <row r="74" spans="1:55" s="512" customFormat="1" ht="28.5" customHeight="1">
      <c r="A74" s="510">
        <v>40</v>
      </c>
      <c r="B74" s="510" t="s">
        <v>696</v>
      </c>
      <c r="C74" s="527">
        <f>+'Asset Classification'!C74</f>
        <v>58149961220</v>
      </c>
      <c r="D74" s="527">
        <f>+'Asset Classification'!D74</f>
        <v>30828142644</v>
      </c>
      <c r="E74" s="527">
        <f>+'Asset Classification'!E74</f>
        <v>53693503662</v>
      </c>
      <c r="F74" s="527">
        <f>+'Asset Classification'!F74</f>
        <v>28307852456</v>
      </c>
      <c r="G74" s="527">
        <f>+'Asset Classification'!G74</f>
        <v>546366207</v>
      </c>
      <c r="H74" s="527">
        <f t="shared" ref="H74:I74" si="163">+H53+H72</f>
        <v>536935036.62</v>
      </c>
      <c r="I74" s="527">
        <f t="shared" si="163"/>
        <v>9431170.3799999915</v>
      </c>
      <c r="J74" s="527">
        <f>+'Asset Classification'!I74</f>
        <v>2691462008</v>
      </c>
      <c r="K74" s="527">
        <f>+'Asset Classification'!J74</f>
        <v>1684963039</v>
      </c>
      <c r="L74" s="527">
        <f>+'Asset Classification'!K74</f>
        <v>387581906</v>
      </c>
      <c r="M74" s="527">
        <f t="shared" ref="M74:N74" si="164">+M53+M72</f>
        <v>269146200.80000001</v>
      </c>
      <c r="N74" s="527">
        <f t="shared" si="164"/>
        <v>118435705.19999999</v>
      </c>
      <c r="O74" s="527">
        <f>+'Asset Classification'!L74</f>
        <v>168496305</v>
      </c>
      <c r="P74" s="527">
        <f t="shared" ref="P74:Q74" si="165">+P53+P72</f>
        <v>168496303.90000001</v>
      </c>
      <c r="Q74" s="527">
        <f t="shared" si="165"/>
        <v>1.0999999968335032</v>
      </c>
      <c r="R74" s="527">
        <f>+'Asset Classification'!M74</f>
        <v>507333345</v>
      </c>
      <c r="S74" s="527">
        <f>+'Asset Classification'!N74</f>
        <v>228730389</v>
      </c>
      <c r="T74" s="527">
        <f>+'Asset Classification'!O74</f>
        <v>109817832</v>
      </c>
      <c r="U74" s="527">
        <f t="shared" ref="U74:V74" si="166">+U53+U72</f>
        <v>126833336.25</v>
      </c>
      <c r="V74" s="527">
        <f t="shared" si="166"/>
        <v>-17015504.25</v>
      </c>
      <c r="W74" s="527">
        <f>+'Asset Classification'!P74</f>
        <v>56116179</v>
      </c>
      <c r="X74" s="527">
        <f>+'Asset Classification'!Q74</f>
        <v>1000162337</v>
      </c>
      <c r="Y74" s="527">
        <f>+'Asset Classification'!R74</f>
        <v>563175767</v>
      </c>
      <c r="Z74" s="527">
        <f>+'Asset Classification'!Q74</f>
        <v>1000162337</v>
      </c>
      <c r="AA74" s="527">
        <f>+'Asset Classification'!R74</f>
        <v>563175767</v>
      </c>
      <c r="AB74" s="527">
        <f>+'Asset Classification'!S74</f>
        <v>420089314</v>
      </c>
      <c r="AC74" s="527">
        <f t="shared" ref="AC74:AD74" si="167">+AC53+AC72</f>
        <v>500081168.5</v>
      </c>
      <c r="AD74" s="527">
        <f t="shared" si="167"/>
        <v>-79991854.5</v>
      </c>
      <c r="AE74" s="527">
        <f>+'Asset Classification'!T74</f>
        <v>281587884</v>
      </c>
      <c r="AF74" s="527">
        <f t="shared" ref="AF74:AG74" si="168">+AF53+AF72</f>
        <v>281587883.5</v>
      </c>
      <c r="AG74" s="527">
        <f t="shared" si="168"/>
        <v>0.5</v>
      </c>
      <c r="AH74" s="527">
        <f>+'Asset Classification'!U74</f>
        <v>257499868</v>
      </c>
      <c r="AI74" s="527">
        <f>+'Asset Classification'!V74</f>
        <v>43420993</v>
      </c>
      <c r="AJ74" s="527">
        <f>+'Asset Classification'!W74</f>
        <v>222940564</v>
      </c>
      <c r="AK74" s="527">
        <f t="shared" ref="AK74:AL74" si="169">+AK53+AK72</f>
        <v>257499868</v>
      </c>
      <c r="AL74" s="527">
        <f t="shared" si="169"/>
        <v>-34559304</v>
      </c>
      <c r="AM74" s="527">
        <f>+'Asset Classification'!X74</f>
        <v>43420993</v>
      </c>
      <c r="AN74" s="527">
        <f t="shared" ref="AN74:AU74" si="170">+AN53+AN72</f>
        <v>43420993</v>
      </c>
      <c r="AO74" s="527">
        <f t="shared" si="170"/>
        <v>0</v>
      </c>
      <c r="AP74" s="527">
        <f>+'Asset Classification'!Y74</f>
        <v>1140429616</v>
      </c>
      <c r="AQ74" s="527">
        <f t="shared" si="170"/>
        <v>1153560573.5500002</v>
      </c>
      <c r="AR74" s="527">
        <f t="shared" si="170"/>
        <v>-13130957.550000075</v>
      </c>
      <c r="AS74" s="527">
        <f>+'Asset Classification'!Z74</f>
        <v>549621361</v>
      </c>
      <c r="AT74" s="527">
        <f t="shared" si="170"/>
        <v>550687777.64999998</v>
      </c>
      <c r="AU74" s="527">
        <f t="shared" si="170"/>
        <v>-1066416.6499999883</v>
      </c>
    </row>
    <row r="75" spans="1:55">
      <c r="C75" s="528">
        <f>+C31-C53</f>
        <v>0</v>
      </c>
      <c r="D75" s="528">
        <f>+D31-D53</f>
        <v>0</v>
      </c>
      <c r="E75" s="528">
        <f>+E31-E53</f>
        <v>0</v>
      </c>
      <c r="F75" s="528">
        <f t="shared" ref="F75:AU75" si="171">+F31-F53</f>
        <v>0</v>
      </c>
      <c r="G75" s="528">
        <f t="shared" si="171"/>
        <v>0</v>
      </c>
      <c r="H75" s="528">
        <f t="shared" si="171"/>
        <v>0</v>
      </c>
      <c r="I75" s="528"/>
      <c r="J75" s="528">
        <f t="shared" si="171"/>
        <v>0</v>
      </c>
      <c r="K75" s="528">
        <f t="shared" si="171"/>
        <v>0</v>
      </c>
      <c r="L75" s="528">
        <f t="shared" si="171"/>
        <v>0</v>
      </c>
      <c r="M75" s="528">
        <f t="shared" si="171"/>
        <v>0</v>
      </c>
      <c r="N75" s="528"/>
      <c r="O75" s="528">
        <f t="shared" si="171"/>
        <v>0</v>
      </c>
      <c r="P75" s="528">
        <f t="shared" si="171"/>
        <v>0</v>
      </c>
      <c r="Q75" s="528"/>
      <c r="R75" s="528">
        <f t="shared" si="171"/>
        <v>0</v>
      </c>
      <c r="S75" s="528">
        <f t="shared" si="171"/>
        <v>0</v>
      </c>
      <c r="T75" s="528">
        <f t="shared" si="171"/>
        <v>0</v>
      </c>
      <c r="U75" s="528">
        <f t="shared" si="171"/>
        <v>0</v>
      </c>
      <c r="V75" s="528"/>
      <c r="W75" s="528">
        <f t="shared" si="171"/>
        <v>0</v>
      </c>
      <c r="X75" s="528">
        <f t="shared" si="171"/>
        <v>0</v>
      </c>
      <c r="Y75" s="528"/>
      <c r="Z75" s="528">
        <f t="shared" si="171"/>
        <v>0</v>
      </c>
      <c r="AA75" s="528">
        <f t="shared" si="171"/>
        <v>0</v>
      </c>
      <c r="AB75" s="528">
        <f t="shared" si="171"/>
        <v>0</v>
      </c>
      <c r="AC75" s="528">
        <f t="shared" si="171"/>
        <v>0</v>
      </c>
      <c r="AD75" s="528"/>
      <c r="AE75" s="528">
        <f t="shared" si="171"/>
        <v>0</v>
      </c>
      <c r="AF75" s="528">
        <f t="shared" si="171"/>
        <v>0</v>
      </c>
      <c r="AG75" s="528"/>
      <c r="AH75" s="528">
        <f t="shared" si="171"/>
        <v>0</v>
      </c>
      <c r="AI75" s="528">
        <f t="shared" si="171"/>
        <v>0</v>
      </c>
      <c r="AJ75" s="528">
        <f t="shared" si="171"/>
        <v>0</v>
      </c>
      <c r="AK75" s="528">
        <f t="shared" si="171"/>
        <v>0</v>
      </c>
      <c r="AL75" s="528"/>
      <c r="AM75" s="528">
        <f t="shared" si="171"/>
        <v>0</v>
      </c>
      <c r="AN75" s="528">
        <f t="shared" si="171"/>
        <v>0</v>
      </c>
      <c r="AO75" s="528"/>
      <c r="AP75" s="528">
        <f t="shared" si="171"/>
        <v>0</v>
      </c>
      <c r="AQ75" s="528">
        <f t="shared" si="171"/>
        <v>0</v>
      </c>
      <c r="AR75" s="528">
        <f t="shared" si="171"/>
        <v>1.0570511221885681E-7</v>
      </c>
      <c r="AS75" s="528">
        <f t="shared" si="171"/>
        <v>0</v>
      </c>
      <c r="AT75" s="528">
        <f t="shared" si="171"/>
        <v>0</v>
      </c>
      <c r="AU75" s="528">
        <f t="shared" si="171"/>
        <v>-5.4948031902313232E-8</v>
      </c>
    </row>
    <row r="76" spans="1:55" ht="15" customHeight="1">
      <c r="B76" s="206" t="s">
        <v>788</v>
      </c>
      <c r="C76" s="528">
        <f>+C31-C71</f>
        <v>0</v>
      </c>
      <c r="D76" s="528">
        <f>+D31-D71</f>
        <v>0</v>
      </c>
      <c r="E76" s="528">
        <f>+E31-E71</f>
        <v>0</v>
      </c>
      <c r="F76" s="528">
        <f t="shared" ref="F76:AU76" si="172">+F31-F71</f>
        <v>0</v>
      </c>
      <c r="G76" s="528">
        <f t="shared" si="172"/>
        <v>0</v>
      </c>
      <c r="H76" s="528">
        <f t="shared" si="172"/>
        <v>0</v>
      </c>
      <c r="I76" s="528"/>
      <c r="J76" s="528">
        <f t="shared" si="172"/>
        <v>0</v>
      </c>
      <c r="K76" s="528">
        <f t="shared" si="172"/>
        <v>0</v>
      </c>
      <c r="L76" s="528">
        <f t="shared" si="172"/>
        <v>0</v>
      </c>
      <c r="M76" s="528">
        <f t="shared" si="172"/>
        <v>0</v>
      </c>
      <c r="N76" s="528"/>
      <c r="O76" s="528">
        <f t="shared" si="172"/>
        <v>0</v>
      </c>
      <c r="P76" s="528">
        <f t="shared" si="172"/>
        <v>0</v>
      </c>
      <c r="Q76" s="528"/>
      <c r="R76" s="528">
        <f t="shared" si="172"/>
        <v>0</v>
      </c>
      <c r="S76" s="528">
        <f t="shared" si="172"/>
        <v>0</v>
      </c>
      <c r="T76" s="528">
        <f t="shared" si="172"/>
        <v>0</v>
      </c>
      <c r="U76" s="528">
        <f t="shared" si="172"/>
        <v>0</v>
      </c>
      <c r="V76" s="528"/>
      <c r="W76" s="528">
        <f t="shared" si="172"/>
        <v>0</v>
      </c>
      <c r="X76" s="528">
        <f t="shared" si="172"/>
        <v>0</v>
      </c>
      <c r="Y76" s="528"/>
      <c r="Z76" s="528">
        <f t="shared" si="172"/>
        <v>0</v>
      </c>
      <c r="AA76" s="528">
        <f t="shared" si="172"/>
        <v>0</v>
      </c>
      <c r="AB76" s="528">
        <f t="shared" si="172"/>
        <v>0</v>
      </c>
      <c r="AC76" s="528">
        <f t="shared" si="172"/>
        <v>0</v>
      </c>
      <c r="AD76" s="528"/>
      <c r="AE76" s="528">
        <f t="shared" si="172"/>
        <v>0</v>
      </c>
      <c r="AF76" s="528">
        <f t="shared" si="172"/>
        <v>0</v>
      </c>
      <c r="AG76" s="528"/>
      <c r="AH76" s="528">
        <f t="shared" si="172"/>
        <v>0</v>
      </c>
      <c r="AI76" s="528">
        <f t="shared" si="172"/>
        <v>0</v>
      </c>
      <c r="AJ76" s="528">
        <f t="shared" si="172"/>
        <v>0</v>
      </c>
      <c r="AK76" s="528">
        <f t="shared" si="172"/>
        <v>0</v>
      </c>
      <c r="AL76" s="528"/>
      <c r="AM76" s="528">
        <f t="shared" si="172"/>
        <v>0</v>
      </c>
      <c r="AN76" s="528">
        <f t="shared" si="172"/>
        <v>0</v>
      </c>
      <c r="AO76" s="528"/>
      <c r="AP76" s="528">
        <f t="shared" si="172"/>
        <v>0</v>
      </c>
      <c r="AQ76" s="528">
        <f t="shared" si="172"/>
        <v>0</v>
      </c>
      <c r="AR76" s="528">
        <f t="shared" si="172"/>
        <v>5.1222741603851318E-8</v>
      </c>
      <c r="AS76" s="528">
        <f t="shared" si="172"/>
        <v>0</v>
      </c>
      <c r="AT76" s="528">
        <f t="shared" si="172"/>
        <v>0</v>
      </c>
      <c r="AU76" s="528">
        <f t="shared" si="172"/>
        <v>-3.8184225559234619E-8</v>
      </c>
      <c r="AV76" s="30"/>
      <c r="AW76" s="30"/>
      <c r="AX76" s="30"/>
      <c r="AY76" s="30"/>
      <c r="AZ76" s="30"/>
      <c r="BA76" s="30"/>
      <c r="BB76" s="30"/>
      <c r="BC76" s="30"/>
    </row>
    <row r="77" spans="1:55" ht="11.25" customHeight="1">
      <c r="B77" s="206"/>
      <c r="C77" s="529">
        <f>+C53-C71</f>
        <v>0</v>
      </c>
      <c r="D77" s="529">
        <f>+D53-D71</f>
        <v>0</v>
      </c>
      <c r="E77" s="529">
        <f>+E53-E71</f>
        <v>0</v>
      </c>
      <c r="F77" s="529">
        <f t="shared" ref="F77:AU77" si="173">+F53-F71</f>
        <v>0</v>
      </c>
      <c r="G77" s="529">
        <f t="shared" si="173"/>
        <v>0</v>
      </c>
      <c r="H77" s="529">
        <f t="shared" si="173"/>
        <v>0</v>
      </c>
      <c r="I77" s="529"/>
      <c r="J77" s="529">
        <f t="shared" si="173"/>
        <v>0</v>
      </c>
      <c r="K77" s="529">
        <f t="shared" si="173"/>
        <v>0</v>
      </c>
      <c r="L77" s="529">
        <f t="shared" si="173"/>
        <v>0</v>
      </c>
      <c r="M77" s="529">
        <f t="shared" si="173"/>
        <v>0</v>
      </c>
      <c r="N77" s="529"/>
      <c r="O77" s="529">
        <f t="shared" si="173"/>
        <v>0</v>
      </c>
      <c r="P77" s="529">
        <f t="shared" si="173"/>
        <v>0</v>
      </c>
      <c r="Q77" s="529"/>
      <c r="R77" s="529">
        <f t="shared" si="173"/>
        <v>0</v>
      </c>
      <c r="S77" s="529">
        <f t="shared" si="173"/>
        <v>0</v>
      </c>
      <c r="T77" s="529">
        <f t="shared" si="173"/>
        <v>0</v>
      </c>
      <c r="U77" s="529">
        <f t="shared" si="173"/>
        <v>0</v>
      </c>
      <c r="V77" s="529"/>
      <c r="W77" s="529">
        <f t="shared" si="173"/>
        <v>0</v>
      </c>
      <c r="X77" s="529">
        <f t="shared" si="173"/>
        <v>0</v>
      </c>
      <c r="Y77" s="529"/>
      <c r="Z77" s="529">
        <f t="shared" si="173"/>
        <v>0</v>
      </c>
      <c r="AA77" s="529">
        <f t="shared" si="173"/>
        <v>0</v>
      </c>
      <c r="AB77" s="529">
        <f t="shared" si="173"/>
        <v>0</v>
      </c>
      <c r="AC77" s="529">
        <f t="shared" si="173"/>
        <v>0</v>
      </c>
      <c r="AD77" s="529"/>
      <c r="AE77" s="529">
        <f t="shared" si="173"/>
        <v>0</v>
      </c>
      <c r="AF77" s="529">
        <f t="shared" si="173"/>
        <v>0</v>
      </c>
      <c r="AG77" s="529"/>
      <c r="AH77" s="529">
        <f t="shared" si="173"/>
        <v>0</v>
      </c>
      <c r="AI77" s="529">
        <f t="shared" si="173"/>
        <v>0</v>
      </c>
      <c r="AJ77" s="529">
        <f t="shared" si="173"/>
        <v>0</v>
      </c>
      <c r="AK77" s="529">
        <f t="shared" si="173"/>
        <v>0</v>
      </c>
      <c r="AL77" s="529"/>
      <c r="AM77" s="529">
        <f t="shared" si="173"/>
        <v>0</v>
      </c>
      <c r="AN77" s="529">
        <f t="shared" si="173"/>
        <v>0</v>
      </c>
      <c r="AO77" s="529"/>
      <c r="AP77" s="529">
        <f t="shared" si="173"/>
        <v>0</v>
      </c>
      <c r="AQ77" s="529">
        <f t="shared" si="173"/>
        <v>0</v>
      </c>
      <c r="AR77" s="529">
        <f t="shared" si="173"/>
        <v>-5.4482370615005493E-8</v>
      </c>
      <c r="AS77" s="529">
        <f t="shared" si="173"/>
        <v>0</v>
      </c>
      <c r="AT77" s="529">
        <f t="shared" si="173"/>
        <v>0</v>
      </c>
      <c r="AU77" s="529">
        <f t="shared" si="173"/>
        <v>1.6763806343078613E-8</v>
      </c>
      <c r="AV77" s="30"/>
      <c r="AW77" s="30"/>
      <c r="AX77" s="30"/>
      <c r="AY77" s="30"/>
      <c r="AZ77" s="30"/>
      <c r="BA77" s="30"/>
      <c r="BB77" s="30"/>
      <c r="BC77" s="30"/>
    </row>
    <row r="78" spans="1:55" ht="15" customHeight="1">
      <c r="B78" s="206" t="s">
        <v>789</v>
      </c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V78" s="185"/>
      <c r="Y78" s="185"/>
      <c r="AD78" s="185"/>
      <c r="AG78" s="185"/>
      <c r="AL78" s="185"/>
      <c r="AO78" s="185"/>
      <c r="AV78" s="30"/>
      <c r="AW78" s="30"/>
      <c r="AX78" s="30"/>
      <c r="AY78" s="30"/>
      <c r="AZ78" s="30"/>
      <c r="BA78" s="30"/>
      <c r="BB78" s="30"/>
      <c r="BC78" s="30"/>
    </row>
    <row r="79" spans="1:55">
      <c r="B79" s="206"/>
    </row>
    <row r="80" spans="1:55">
      <c r="AV80" s="30"/>
      <c r="AW80" s="30"/>
      <c r="AX80" s="30"/>
      <c r="AY80" s="30"/>
    </row>
    <row r="81" spans="5:55">
      <c r="AV81" s="30"/>
      <c r="AW81" s="30"/>
      <c r="AX81" s="30"/>
      <c r="AY81" s="30"/>
    </row>
    <row r="82" spans="5:55">
      <c r="AV82" s="30"/>
      <c r="AW82" s="30"/>
      <c r="AX82" s="30"/>
      <c r="AY82" s="30"/>
    </row>
    <row r="83" spans="5:55">
      <c r="E83" s="536"/>
      <c r="F83" s="358"/>
      <c r="G83" s="528"/>
      <c r="H83" s="528"/>
      <c r="I83" s="528"/>
      <c r="J83" s="358"/>
      <c r="L83" s="358"/>
      <c r="M83" s="358"/>
      <c r="N83" s="358"/>
      <c r="R83" s="358"/>
      <c r="T83" s="358"/>
      <c r="U83" s="358"/>
      <c r="V83" s="358"/>
      <c r="Z83" s="358"/>
      <c r="AB83" s="358"/>
      <c r="AC83" s="358"/>
      <c r="AD83" s="358"/>
      <c r="AF83" s="358"/>
      <c r="AG83" s="358"/>
      <c r="AH83" s="358"/>
      <c r="AJ83" s="358"/>
      <c r="AK83" s="358"/>
      <c r="AL83" s="358"/>
      <c r="AN83" s="358"/>
      <c r="AO83" s="358"/>
      <c r="AP83" s="358"/>
      <c r="AQ83" s="358"/>
      <c r="AR83" s="358"/>
    </row>
    <row r="84" spans="5:55">
      <c r="AV84" s="30"/>
      <c r="AW84" s="30"/>
      <c r="AX84" s="30"/>
      <c r="AY84" s="30"/>
      <c r="AZ84" s="30"/>
      <c r="BA84" s="30"/>
      <c r="BB84" s="30"/>
      <c r="BC84" s="30"/>
    </row>
    <row r="87" spans="5:55" ht="79.5" customHeight="1"/>
  </sheetData>
  <sheetProtection password="CACA" sheet="1" objects="1" scenarios="1"/>
  <mergeCells count="26"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</mergeCells>
  <conditionalFormatting sqref="G53">
    <cfRule type="cellIs" dxfId="217" priority="66" operator="notEqual">
      <formula>$G$71</formula>
    </cfRule>
  </conditionalFormatting>
  <conditionalFormatting sqref="E53">
    <cfRule type="cellIs" dxfId="216" priority="67" operator="notEqual">
      <formula>$E$71</formula>
    </cfRule>
  </conditionalFormatting>
  <conditionalFormatting sqref="D53">
    <cfRule type="cellIs" dxfId="215" priority="68" operator="notEqual">
      <formula>$D$71</formula>
    </cfRule>
  </conditionalFormatting>
  <conditionalFormatting sqref="F53">
    <cfRule type="cellIs" dxfId="214" priority="69" operator="notEqual">
      <formula>$F$71</formula>
    </cfRule>
  </conditionalFormatting>
  <conditionalFormatting sqref="O53">
    <cfRule type="cellIs" dxfId="213" priority="70" operator="notEqual">
      <formula>$O$71</formula>
    </cfRule>
  </conditionalFormatting>
  <conditionalFormatting sqref="C7">
    <cfRule type="cellIs" dxfId="212" priority="10" operator="notEqual">
      <formula>AV7</formula>
    </cfRule>
  </conditionalFormatting>
  <conditionalFormatting sqref="C31">
    <cfRule type="cellIs" dxfId="211" priority="9" operator="notEqual">
      <formula>AV31</formula>
    </cfRule>
  </conditionalFormatting>
  <conditionalFormatting sqref="C53">
    <cfRule type="cellIs" dxfId="210" priority="8" operator="notEqual">
      <formula>AV53</formula>
    </cfRule>
  </conditionalFormatting>
  <dataValidations disablePrompts="1"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8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view="pageBreakPreview" zoomScale="85" zoomScaleNormal="40" zoomScaleSheetLayoutView="85" workbookViewId="0">
      <pane xSplit="7" ySplit="8" topLeftCell="H9" activePane="bottomRight" state="frozen"/>
      <selection activeCell="J25" sqref="J25"/>
      <selection pane="topRight" activeCell="J25" sqref="J25"/>
      <selection pane="bottomLeft" activeCell="J25" sqref="J25"/>
      <selection pane="bottomRight" activeCell="H16" sqref="H16"/>
    </sheetView>
  </sheetViews>
  <sheetFormatPr defaultRowHeight="12.75"/>
  <cols>
    <col min="1" max="1" width="5.140625" style="30" customWidth="1"/>
    <col min="2" max="2" width="43.42578125" style="30" customWidth="1"/>
    <col min="3" max="3" width="14.140625" style="30" customWidth="1"/>
    <col min="4" max="6" width="10.140625" style="30" customWidth="1"/>
    <col min="7" max="8" width="14.28515625" style="30" customWidth="1"/>
    <col min="9" max="19" width="13.85546875" style="30" customWidth="1"/>
    <col min="20" max="20" width="8.28515625" style="30" customWidth="1"/>
    <col min="21" max="21" width="10.140625" style="30" customWidth="1"/>
    <col min="22" max="22" width="14" style="30" customWidth="1"/>
    <col min="23" max="23" width="9.85546875" style="30" customWidth="1"/>
    <col min="24" max="24" width="14" style="30" customWidth="1"/>
    <col min="25" max="25" width="13.28515625" style="30" customWidth="1"/>
    <col min="26" max="26" width="14.7109375" style="30" customWidth="1"/>
    <col min="27" max="27" width="26.140625" style="358" customWidth="1"/>
    <col min="28" max="16384" width="9.140625" style="30"/>
  </cols>
  <sheetData>
    <row r="1" spans="1:27" ht="20.25">
      <c r="A1" s="610" t="s">
        <v>428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Y1" s="348" t="s">
        <v>429</v>
      </c>
    </row>
    <row r="2" spans="1:27">
      <c r="A2" s="257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Q2" s="231"/>
      <c r="R2" s="231"/>
      <c r="S2" s="231"/>
      <c r="T2" s="231"/>
    </row>
    <row r="3" spans="1:27" ht="15.75">
      <c r="A3" s="233"/>
      <c r="B3" s="83" t="str">
        <f>+'Asset quality'!B3</f>
        <v>"Ўзсаноатқурилишбанк" АТБ</v>
      </c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619"/>
      <c r="O3" s="619"/>
      <c r="P3" s="619"/>
      <c r="Q3" s="233"/>
      <c r="R3" s="233"/>
      <c r="T3" s="231"/>
      <c r="U3" s="562">
        <f>+'Asset quality'!Q3</f>
        <v>44925</v>
      </c>
      <c r="V3" s="562"/>
      <c r="W3" s="272"/>
      <c r="Y3" s="609" t="str">
        <f>+'Asset quality'!T3</f>
        <v>минг. сўмда</v>
      </c>
      <c r="Z3" s="609"/>
    </row>
    <row r="4" spans="1:27" ht="27.75" customHeight="1">
      <c r="A4" s="614" t="s">
        <v>62</v>
      </c>
      <c r="B4" s="614" t="s">
        <v>430</v>
      </c>
      <c r="C4" s="601" t="s">
        <v>431</v>
      </c>
      <c r="D4" s="601" t="s">
        <v>432</v>
      </c>
      <c r="E4" s="601" t="s">
        <v>433</v>
      </c>
      <c r="F4" s="601" t="s">
        <v>434</v>
      </c>
      <c r="G4" s="601" t="s">
        <v>435</v>
      </c>
      <c r="H4" s="611" t="s">
        <v>335</v>
      </c>
      <c r="I4" s="612"/>
      <c r="J4" s="612"/>
      <c r="K4" s="612"/>
      <c r="L4" s="612"/>
      <c r="M4" s="612"/>
      <c r="N4" s="612"/>
      <c r="O4" s="612"/>
      <c r="P4" s="612"/>
      <c r="Q4" s="612"/>
      <c r="R4" s="612"/>
      <c r="S4" s="613"/>
      <c r="T4" s="601" t="s">
        <v>436</v>
      </c>
      <c r="U4" s="604" t="s">
        <v>437</v>
      </c>
      <c r="V4" s="605"/>
      <c r="W4" s="601" t="s">
        <v>438</v>
      </c>
      <c r="X4" s="601" t="s">
        <v>439</v>
      </c>
      <c r="Y4" s="601" t="s">
        <v>440</v>
      </c>
      <c r="Z4" s="601" t="s">
        <v>441</v>
      </c>
    </row>
    <row r="5" spans="1:27" ht="27.75" customHeight="1">
      <c r="A5" s="615"/>
      <c r="B5" s="615"/>
      <c r="C5" s="602"/>
      <c r="D5" s="602"/>
      <c r="E5" s="602"/>
      <c r="F5" s="602"/>
      <c r="G5" s="602"/>
      <c r="H5" s="611" t="s">
        <v>442</v>
      </c>
      <c r="I5" s="612"/>
      <c r="J5" s="612"/>
      <c r="K5" s="613"/>
      <c r="L5" s="611" t="s">
        <v>443</v>
      </c>
      <c r="M5" s="612"/>
      <c r="N5" s="612"/>
      <c r="O5" s="612"/>
      <c r="P5" s="612"/>
      <c r="Q5" s="612"/>
      <c r="R5" s="612"/>
      <c r="S5" s="613"/>
      <c r="T5" s="602"/>
      <c r="U5" s="606"/>
      <c r="V5" s="607"/>
      <c r="W5" s="602"/>
      <c r="X5" s="602"/>
      <c r="Y5" s="602"/>
      <c r="Z5" s="602"/>
    </row>
    <row r="6" spans="1:27" ht="108.75" customHeight="1">
      <c r="A6" s="615"/>
      <c r="B6" s="615"/>
      <c r="C6" s="602"/>
      <c r="D6" s="602"/>
      <c r="E6" s="602"/>
      <c r="F6" s="602"/>
      <c r="G6" s="602"/>
      <c r="H6" s="601" t="s">
        <v>444</v>
      </c>
      <c r="I6" s="601" t="s">
        <v>445</v>
      </c>
      <c r="J6" s="601" t="s">
        <v>446</v>
      </c>
      <c r="K6" s="601" t="s">
        <v>447</v>
      </c>
      <c r="L6" s="617" t="s">
        <v>448</v>
      </c>
      <c r="M6" s="618"/>
      <c r="N6" s="617" t="s">
        <v>449</v>
      </c>
      <c r="O6" s="618"/>
      <c r="P6" s="617" t="s">
        <v>450</v>
      </c>
      <c r="Q6" s="618"/>
      <c r="R6" s="617" t="s">
        <v>451</v>
      </c>
      <c r="S6" s="618"/>
      <c r="T6" s="602"/>
      <c r="U6" s="601" t="s">
        <v>452</v>
      </c>
      <c r="V6" s="601" t="s">
        <v>164</v>
      </c>
      <c r="W6" s="602"/>
      <c r="X6" s="602"/>
      <c r="Y6" s="602"/>
      <c r="Z6" s="602"/>
    </row>
    <row r="7" spans="1:27" ht="41.25" customHeight="1">
      <c r="A7" s="616"/>
      <c r="B7" s="616"/>
      <c r="C7" s="603"/>
      <c r="D7" s="603"/>
      <c r="E7" s="603"/>
      <c r="F7" s="603"/>
      <c r="G7" s="603"/>
      <c r="H7" s="603"/>
      <c r="I7" s="603"/>
      <c r="J7" s="603"/>
      <c r="K7" s="603"/>
      <c r="L7" s="359" t="s">
        <v>453</v>
      </c>
      <c r="M7" s="359" t="s">
        <v>454</v>
      </c>
      <c r="N7" s="359" t="s">
        <v>453</v>
      </c>
      <c r="O7" s="359" t="s">
        <v>454</v>
      </c>
      <c r="P7" s="359" t="s">
        <v>453</v>
      </c>
      <c r="Q7" s="359" t="s">
        <v>454</v>
      </c>
      <c r="R7" s="359" t="s">
        <v>453</v>
      </c>
      <c r="S7" s="359" t="s">
        <v>454</v>
      </c>
      <c r="T7" s="603"/>
      <c r="U7" s="603"/>
      <c r="V7" s="603"/>
      <c r="W7" s="603"/>
      <c r="X7" s="603"/>
      <c r="Y7" s="603"/>
      <c r="Z7" s="603"/>
    </row>
    <row r="8" spans="1:27" s="256" customFormat="1" ht="15">
      <c r="A8" s="246"/>
      <c r="B8" s="246" t="s">
        <v>79</v>
      </c>
      <c r="C8" s="246" t="s">
        <v>80</v>
      </c>
      <c r="D8" s="246" t="s">
        <v>90</v>
      </c>
      <c r="E8" s="246" t="s">
        <v>81</v>
      </c>
      <c r="F8" s="246" t="s">
        <v>82</v>
      </c>
      <c r="G8" s="246" t="s">
        <v>91</v>
      </c>
      <c r="H8" s="246" t="s">
        <v>229</v>
      </c>
      <c r="I8" s="246" t="s">
        <v>228</v>
      </c>
      <c r="J8" s="246" t="s">
        <v>227</v>
      </c>
      <c r="K8" s="246" t="s">
        <v>226</v>
      </c>
      <c r="L8" s="599" t="s">
        <v>225</v>
      </c>
      <c r="M8" s="600"/>
      <c r="N8" s="599" t="s">
        <v>224</v>
      </c>
      <c r="O8" s="600"/>
      <c r="P8" s="599" t="s">
        <v>223</v>
      </c>
      <c r="Q8" s="600"/>
      <c r="R8" s="599" t="s">
        <v>222</v>
      </c>
      <c r="S8" s="600"/>
      <c r="T8" s="246" t="s">
        <v>83</v>
      </c>
      <c r="U8" s="246" t="s">
        <v>84</v>
      </c>
      <c r="V8" s="246" t="s">
        <v>85</v>
      </c>
      <c r="W8" s="246" t="s">
        <v>86</v>
      </c>
      <c r="X8" s="246" t="s">
        <v>87</v>
      </c>
      <c r="Y8" s="246" t="s">
        <v>88</v>
      </c>
      <c r="Z8" s="246" t="s">
        <v>89</v>
      </c>
      <c r="AA8" s="361"/>
    </row>
    <row r="9" spans="1:27" s="249" customFormat="1">
      <c r="A9" s="514">
        <v>1</v>
      </c>
      <c r="B9" s="515" t="s">
        <v>813</v>
      </c>
      <c r="C9" s="516">
        <v>305678140</v>
      </c>
      <c r="D9" s="516">
        <v>70220</v>
      </c>
      <c r="E9" s="517" t="s">
        <v>814</v>
      </c>
      <c r="F9" s="517">
        <v>1</v>
      </c>
      <c r="G9" s="248">
        <f t="shared" ref="G9:G40" si="0">+H9+I9+J9+K9+M9+O9+Q9+S9</f>
        <v>168775868</v>
      </c>
      <c r="H9" s="334"/>
      <c r="I9" s="334">
        <v>0</v>
      </c>
      <c r="J9" s="334">
        <v>168775868</v>
      </c>
      <c r="K9" s="334"/>
      <c r="L9" s="334"/>
      <c r="M9" s="334"/>
      <c r="N9" s="334"/>
      <c r="O9" s="334"/>
      <c r="P9" s="334">
        <v>0</v>
      </c>
      <c r="Q9" s="516">
        <v>0</v>
      </c>
      <c r="R9" s="516"/>
      <c r="S9" s="516"/>
      <c r="T9" s="516"/>
      <c r="U9" s="516"/>
      <c r="V9" s="516"/>
      <c r="W9" s="362">
        <v>1</v>
      </c>
      <c r="X9" s="516">
        <v>0</v>
      </c>
      <c r="Y9" s="516"/>
      <c r="Z9" s="518">
        <f t="shared" ref="Z9:Z40" si="1">+G9-V9-X9</f>
        <v>168775868</v>
      </c>
      <c r="AA9" s="363">
        <f t="shared" ref="AA9:AA72" si="2">SUMIF($F$9:$F$88,$F9,$Z$9:$Z$88)</f>
        <v>168775868</v>
      </c>
    </row>
    <row r="10" spans="1:27" s="249" customFormat="1">
      <c r="A10" s="14">
        <v>2</v>
      </c>
      <c r="B10" s="251" t="s">
        <v>815</v>
      </c>
      <c r="C10" s="253">
        <v>305880294</v>
      </c>
      <c r="D10" s="253">
        <v>65120</v>
      </c>
      <c r="E10" s="252" t="s">
        <v>814</v>
      </c>
      <c r="F10" s="252">
        <v>2</v>
      </c>
      <c r="G10" s="248">
        <f t="shared" si="0"/>
        <v>45501750</v>
      </c>
      <c r="H10" s="17"/>
      <c r="I10" s="17">
        <v>0</v>
      </c>
      <c r="J10" s="17">
        <v>45501750</v>
      </c>
      <c r="K10" s="17"/>
      <c r="L10" s="17"/>
      <c r="M10" s="17"/>
      <c r="N10" s="17"/>
      <c r="O10" s="17"/>
      <c r="P10" s="17">
        <v>0</v>
      </c>
      <c r="Q10" s="253">
        <v>0</v>
      </c>
      <c r="R10" s="253"/>
      <c r="S10" s="253"/>
      <c r="T10" s="253"/>
      <c r="U10" s="253"/>
      <c r="V10" s="253"/>
      <c r="W10" s="362">
        <v>1</v>
      </c>
      <c r="X10" s="253">
        <v>0</v>
      </c>
      <c r="Y10" s="253"/>
      <c r="Z10" s="250">
        <f t="shared" si="1"/>
        <v>45501750</v>
      </c>
      <c r="AA10" s="363">
        <f t="shared" si="2"/>
        <v>45501750</v>
      </c>
    </row>
    <row r="11" spans="1:27" s="249" customFormat="1">
      <c r="A11" s="14">
        <v>3</v>
      </c>
      <c r="B11" s="251" t="s">
        <v>816</v>
      </c>
      <c r="C11" s="253">
        <v>447541589</v>
      </c>
      <c r="D11" s="253"/>
      <c r="E11" s="252" t="s">
        <v>814</v>
      </c>
      <c r="F11" s="252">
        <v>3</v>
      </c>
      <c r="G11" s="248">
        <f t="shared" si="0"/>
        <v>463756</v>
      </c>
      <c r="H11" s="17"/>
      <c r="I11" s="17">
        <v>453756</v>
      </c>
      <c r="J11" s="17"/>
      <c r="K11" s="17"/>
      <c r="L11" s="17"/>
      <c r="M11" s="17"/>
      <c r="N11" s="17"/>
      <c r="O11" s="17"/>
      <c r="P11" s="17">
        <v>50000</v>
      </c>
      <c r="Q11" s="253">
        <v>10000</v>
      </c>
      <c r="R11" s="253"/>
      <c r="S11" s="251"/>
      <c r="T11" s="251"/>
      <c r="U11" s="253"/>
      <c r="V11" s="253"/>
      <c r="W11" s="362" t="s">
        <v>2</v>
      </c>
      <c r="X11" s="253">
        <v>0</v>
      </c>
      <c r="Y11" s="251"/>
      <c r="Z11" s="250">
        <f t="shared" si="1"/>
        <v>463756</v>
      </c>
      <c r="AA11" s="363">
        <f t="shared" si="2"/>
        <v>463756</v>
      </c>
    </row>
    <row r="12" spans="1:27" s="249" customFormat="1">
      <c r="A12" s="14">
        <v>4</v>
      </c>
      <c r="B12" s="251" t="s">
        <v>817</v>
      </c>
      <c r="C12" s="253">
        <v>500500455</v>
      </c>
      <c r="D12" s="253"/>
      <c r="E12" s="252" t="s">
        <v>814</v>
      </c>
      <c r="F12" s="252">
        <v>4</v>
      </c>
      <c r="G12" s="248">
        <f t="shared" si="0"/>
        <v>428168</v>
      </c>
      <c r="H12" s="17"/>
      <c r="I12" s="17">
        <v>415206</v>
      </c>
      <c r="J12" s="17"/>
      <c r="K12" s="17"/>
      <c r="L12" s="17"/>
      <c r="M12" s="17"/>
      <c r="N12" s="17"/>
      <c r="O12" s="17"/>
      <c r="P12" s="17">
        <v>64810</v>
      </c>
      <c r="Q12" s="253">
        <v>12962</v>
      </c>
      <c r="R12" s="253"/>
      <c r="S12" s="251"/>
      <c r="T12" s="251"/>
      <c r="U12" s="253"/>
      <c r="V12" s="253"/>
      <c r="W12" s="362" t="s">
        <v>2</v>
      </c>
      <c r="X12" s="253">
        <v>0</v>
      </c>
      <c r="Y12" s="251"/>
      <c r="Z12" s="250">
        <f t="shared" si="1"/>
        <v>428168</v>
      </c>
      <c r="AA12" s="363">
        <f t="shared" si="2"/>
        <v>428168</v>
      </c>
    </row>
    <row r="13" spans="1:27" s="249" customFormat="1">
      <c r="A13" s="14">
        <v>5</v>
      </c>
      <c r="B13" s="251" t="s">
        <v>818</v>
      </c>
      <c r="C13" s="251">
        <v>466644284</v>
      </c>
      <c r="D13" s="253"/>
      <c r="E13" s="252" t="s">
        <v>814</v>
      </c>
      <c r="F13" s="252">
        <v>5</v>
      </c>
      <c r="G13" s="248">
        <f t="shared" si="0"/>
        <v>345430</v>
      </c>
      <c r="H13" s="251"/>
      <c r="I13" s="251">
        <v>345430</v>
      </c>
      <c r="J13" s="251"/>
      <c r="K13" s="17"/>
      <c r="L13" s="251"/>
      <c r="M13" s="17"/>
      <c r="N13" s="17"/>
      <c r="O13" s="17"/>
      <c r="P13" s="17">
        <v>0</v>
      </c>
      <c r="Q13" s="253">
        <v>0</v>
      </c>
      <c r="R13" s="253"/>
      <c r="S13" s="251"/>
      <c r="T13" s="251"/>
      <c r="U13" s="253"/>
      <c r="V13" s="253"/>
      <c r="W13" s="362" t="s">
        <v>2</v>
      </c>
      <c r="X13" s="253">
        <v>0</v>
      </c>
      <c r="Y13" s="251"/>
      <c r="Z13" s="250">
        <f t="shared" si="1"/>
        <v>345430</v>
      </c>
      <c r="AA13" s="363">
        <f t="shared" si="2"/>
        <v>394878</v>
      </c>
    </row>
    <row r="14" spans="1:27" s="249" customFormat="1">
      <c r="A14" s="14">
        <v>6</v>
      </c>
      <c r="B14" s="251" t="s">
        <v>819</v>
      </c>
      <c r="C14" s="251">
        <v>480297125</v>
      </c>
      <c r="D14" s="253"/>
      <c r="E14" s="252" t="s">
        <v>814</v>
      </c>
      <c r="F14" s="252">
        <v>5</v>
      </c>
      <c r="G14" s="248">
        <f t="shared" si="0"/>
        <v>37858</v>
      </c>
      <c r="H14" s="17"/>
      <c r="I14" s="17">
        <v>37858</v>
      </c>
      <c r="J14" s="17"/>
      <c r="K14" s="17"/>
      <c r="L14" s="17"/>
      <c r="M14" s="17"/>
      <c r="N14" s="17"/>
      <c r="O14" s="17"/>
      <c r="P14" s="17">
        <v>0</v>
      </c>
      <c r="Q14" s="253">
        <v>0</v>
      </c>
      <c r="R14" s="253"/>
      <c r="S14" s="251"/>
      <c r="T14" s="251"/>
      <c r="U14" s="253"/>
      <c r="V14" s="253"/>
      <c r="W14" s="362" t="s">
        <v>2</v>
      </c>
      <c r="X14" s="253">
        <v>0</v>
      </c>
      <c r="Y14" s="251"/>
      <c r="Z14" s="250">
        <f t="shared" si="1"/>
        <v>37858</v>
      </c>
      <c r="AA14" s="363">
        <f t="shared" si="2"/>
        <v>394878</v>
      </c>
    </row>
    <row r="15" spans="1:27" s="249" customFormat="1">
      <c r="A15" s="14">
        <v>7</v>
      </c>
      <c r="B15" s="251" t="s">
        <v>820</v>
      </c>
      <c r="C15" s="253">
        <v>564476452</v>
      </c>
      <c r="D15" s="253"/>
      <c r="E15" s="252" t="s">
        <v>814</v>
      </c>
      <c r="F15" s="252">
        <v>5</v>
      </c>
      <c r="G15" s="248">
        <f t="shared" si="0"/>
        <v>11590</v>
      </c>
      <c r="H15" s="17"/>
      <c r="I15" s="17">
        <v>11590</v>
      </c>
      <c r="J15" s="17"/>
      <c r="K15" s="17"/>
      <c r="L15" s="17"/>
      <c r="M15" s="251"/>
      <c r="N15" s="17"/>
      <c r="O15" s="17"/>
      <c r="P15" s="17">
        <v>0</v>
      </c>
      <c r="Q15" s="17">
        <v>0</v>
      </c>
      <c r="R15" s="251"/>
      <c r="S15" s="253"/>
      <c r="T15" s="253"/>
      <c r="U15" s="17"/>
      <c r="V15" s="253"/>
      <c r="W15" s="362" t="s">
        <v>2</v>
      </c>
      <c r="X15" s="253">
        <v>0</v>
      </c>
      <c r="Y15" s="253"/>
      <c r="Z15" s="250">
        <f t="shared" si="1"/>
        <v>11590</v>
      </c>
      <c r="AA15" s="363">
        <f t="shared" si="2"/>
        <v>394878</v>
      </c>
    </row>
    <row r="16" spans="1:27" s="249" customFormat="1">
      <c r="A16" s="14">
        <v>8</v>
      </c>
      <c r="B16" s="251" t="s">
        <v>821</v>
      </c>
      <c r="C16" s="251">
        <v>490047114</v>
      </c>
      <c r="D16" s="253"/>
      <c r="E16" s="252" t="s">
        <v>814</v>
      </c>
      <c r="F16" s="252">
        <v>6</v>
      </c>
      <c r="G16" s="248">
        <f t="shared" si="0"/>
        <v>101145</v>
      </c>
      <c r="H16" s="17"/>
      <c r="I16" s="17">
        <v>101145</v>
      </c>
      <c r="J16" s="17"/>
      <c r="K16" s="17"/>
      <c r="L16" s="17"/>
      <c r="M16" s="251"/>
      <c r="N16" s="17"/>
      <c r="O16" s="17"/>
      <c r="P16" s="17">
        <v>0</v>
      </c>
      <c r="Q16" s="17">
        <v>0</v>
      </c>
      <c r="R16" s="251"/>
      <c r="S16" s="253"/>
      <c r="T16" s="253"/>
      <c r="U16" s="17"/>
      <c r="V16" s="253"/>
      <c r="W16" s="362" t="s">
        <v>2</v>
      </c>
      <c r="X16" s="253">
        <v>0</v>
      </c>
      <c r="Y16" s="253"/>
      <c r="Z16" s="250">
        <f t="shared" si="1"/>
        <v>101145</v>
      </c>
      <c r="AA16" s="363">
        <f t="shared" si="2"/>
        <v>320292</v>
      </c>
    </row>
    <row r="17" spans="1:27" s="249" customFormat="1">
      <c r="A17" s="14">
        <v>9</v>
      </c>
      <c r="B17" s="251" t="s">
        <v>822</v>
      </c>
      <c r="C17" s="253">
        <v>494338262</v>
      </c>
      <c r="D17" s="253"/>
      <c r="E17" s="252" t="s">
        <v>814</v>
      </c>
      <c r="F17" s="252">
        <v>6</v>
      </c>
      <c r="G17" s="248">
        <f t="shared" si="0"/>
        <v>219147</v>
      </c>
      <c r="H17" s="17"/>
      <c r="I17" s="254">
        <v>219147</v>
      </c>
      <c r="J17" s="17"/>
      <c r="K17" s="17"/>
      <c r="L17" s="17"/>
      <c r="M17" s="251"/>
      <c r="N17" s="17"/>
      <c r="O17" s="17"/>
      <c r="P17" s="17">
        <v>0</v>
      </c>
      <c r="Q17" s="17">
        <v>0</v>
      </c>
      <c r="R17" s="251"/>
      <c r="S17" s="253"/>
      <c r="T17" s="253"/>
      <c r="U17" s="17"/>
      <c r="V17" s="253"/>
      <c r="W17" s="362" t="s">
        <v>2</v>
      </c>
      <c r="X17" s="253">
        <v>0</v>
      </c>
      <c r="Y17" s="253"/>
      <c r="Z17" s="250">
        <f t="shared" si="1"/>
        <v>219147</v>
      </c>
      <c r="AA17" s="363">
        <f t="shared" si="2"/>
        <v>320292</v>
      </c>
    </row>
    <row r="18" spans="1:27" s="249" customFormat="1">
      <c r="A18" s="14">
        <v>10</v>
      </c>
      <c r="B18" s="251" t="s">
        <v>823</v>
      </c>
      <c r="C18" s="253">
        <v>491312227</v>
      </c>
      <c r="D18" s="253"/>
      <c r="E18" s="252" t="s">
        <v>814</v>
      </c>
      <c r="F18" s="252">
        <v>7</v>
      </c>
      <c r="G18" s="248">
        <f t="shared" si="0"/>
        <v>277046</v>
      </c>
      <c r="H18" s="17"/>
      <c r="I18" s="254">
        <v>264277</v>
      </c>
      <c r="J18" s="17"/>
      <c r="K18" s="17"/>
      <c r="L18" s="17"/>
      <c r="M18" s="251"/>
      <c r="N18" s="17"/>
      <c r="O18" s="17"/>
      <c r="P18" s="17">
        <v>63845</v>
      </c>
      <c r="Q18" s="17">
        <v>12769</v>
      </c>
      <c r="R18" s="251"/>
      <c r="S18" s="253"/>
      <c r="T18" s="253"/>
      <c r="U18" s="17"/>
      <c r="V18" s="253"/>
      <c r="W18" s="362" t="s">
        <v>2</v>
      </c>
      <c r="X18" s="253">
        <v>0</v>
      </c>
      <c r="Y18" s="253"/>
      <c r="Z18" s="250">
        <f t="shared" si="1"/>
        <v>277046</v>
      </c>
      <c r="AA18" s="363">
        <f t="shared" si="2"/>
        <v>301924</v>
      </c>
    </row>
    <row r="19" spans="1:27" s="249" customFormat="1">
      <c r="A19" s="14">
        <v>11</v>
      </c>
      <c r="B19" s="251" t="s">
        <v>824</v>
      </c>
      <c r="C19" s="251">
        <v>515471706</v>
      </c>
      <c r="D19" s="251"/>
      <c r="E19" s="252" t="s">
        <v>814</v>
      </c>
      <c r="F19" s="252">
        <v>7</v>
      </c>
      <c r="G19" s="248">
        <f t="shared" si="0"/>
        <v>24878</v>
      </c>
      <c r="H19" s="17"/>
      <c r="I19" s="17">
        <v>24878</v>
      </c>
      <c r="J19" s="17"/>
      <c r="K19" s="17"/>
      <c r="L19" s="17"/>
      <c r="M19" s="251"/>
      <c r="N19" s="17"/>
      <c r="O19" s="17"/>
      <c r="P19" s="17">
        <v>0</v>
      </c>
      <c r="Q19" s="17">
        <v>0</v>
      </c>
      <c r="R19" s="251"/>
      <c r="S19" s="253"/>
      <c r="T19" s="253"/>
      <c r="U19" s="253"/>
      <c r="V19" s="253"/>
      <c r="W19" s="362" t="s">
        <v>2</v>
      </c>
      <c r="X19" s="253">
        <v>0</v>
      </c>
      <c r="Y19" s="253"/>
      <c r="Z19" s="250">
        <f t="shared" si="1"/>
        <v>24878</v>
      </c>
      <c r="AA19" s="363">
        <f t="shared" si="2"/>
        <v>301924</v>
      </c>
    </row>
    <row r="20" spans="1:27" s="249" customFormat="1">
      <c r="A20" s="14">
        <v>12</v>
      </c>
      <c r="B20" s="251" t="s">
        <v>825</v>
      </c>
      <c r="C20" s="251">
        <v>495897232</v>
      </c>
      <c r="D20" s="251"/>
      <c r="E20" s="252" t="s">
        <v>814</v>
      </c>
      <c r="F20" s="252">
        <v>8</v>
      </c>
      <c r="G20" s="248">
        <f t="shared" si="0"/>
        <v>238265</v>
      </c>
      <c r="H20" s="17"/>
      <c r="I20" s="254">
        <v>238263</v>
      </c>
      <c r="J20" s="17"/>
      <c r="K20" s="17"/>
      <c r="L20" s="17"/>
      <c r="M20" s="251"/>
      <c r="N20" s="17"/>
      <c r="O20" s="17"/>
      <c r="P20" s="17">
        <v>1</v>
      </c>
      <c r="Q20" s="17">
        <v>2</v>
      </c>
      <c r="R20" s="251"/>
      <c r="S20" s="253"/>
      <c r="T20" s="253"/>
      <c r="U20" s="253"/>
      <c r="V20" s="253"/>
      <c r="W20" s="362" t="s">
        <v>2</v>
      </c>
      <c r="X20" s="253">
        <v>0</v>
      </c>
      <c r="Y20" s="253"/>
      <c r="Z20" s="250">
        <f t="shared" si="1"/>
        <v>238265</v>
      </c>
      <c r="AA20" s="363">
        <f t="shared" si="2"/>
        <v>238265</v>
      </c>
    </row>
    <row r="21" spans="1:27" s="249" customFormat="1">
      <c r="A21" s="14">
        <v>13</v>
      </c>
      <c r="B21" s="251" t="s">
        <v>826</v>
      </c>
      <c r="C21" s="251">
        <v>495108358</v>
      </c>
      <c r="D21" s="251"/>
      <c r="E21" s="252" t="s">
        <v>814</v>
      </c>
      <c r="F21" s="252">
        <v>9</v>
      </c>
      <c r="G21" s="248">
        <f t="shared" si="0"/>
        <v>231876</v>
      </c>
      <c r="H21" s="17"/>
      <c r="I21" s="254">
        <v>226876</v>
      </c>
      <c r="J21" s="17"/>
      <c r="K21" s="17"/>
      <c r="L21" s="17"/>
      <c r="M21" s="251"/>
      <c r="N21" s="17"/>
      <c r="O21" s="17"/>
      <c r="P21" s="17">
        <v>25000</v>
      </c>
      <c r="Q21" s="17">
        <v>5000</v>
      </c>
      <c r="R21" s="251"/>
      <c r="S21" s="253"/>
      <c r="T21" s="253"/>
      <c r="U21" s="253"/>
      <c r="V21" s="253"/>
      <c r="W21" s="362" t="s">
        <v>2</v>
      </c>
      <c r="X21" s="253">
        <v>0</v>
      </c>
      <c r="Y21" s="253"/>
      <c r="Z21" s="250">
        <f t="shared" si="1"/>
        <v>231876</v>
      </c>
      <c r="AA21" s="363">
        <f t="shared" si="2"/>
        <v>231876</v>
      </c>
    </row>
    <row r="22" spans="1:27" s="249" customFormat="1">
      <c r="A22" s="14">
        <v>14</v>
      </c>
      <c r="B22" s="251" t="s">
        <v>827</v>
      </c>
      <c r="C22" s="251">
        <v>492888672</v>
      </c>
      <c r="D22" s="251"/>
      <c r="E22" s="252" t="s">
        <v>814</v>
      </c>
      <c r="F22" s="252">
        <v>10</v>
      </c>
      <c r="G22" s="248">
        <f t="shared" si="0"/>
        <v>192893</v>
      </c>
      <c r="H22" s="17"/>
      <c r="I22" s="254">
        <v>192893</v>
      </c>
      <c r="J22" s="17"/>
      <c r="K22" s="17"/>
      <c r="L22" s="17"/>
      <c r="M22" s="251"/>
      <c r="N22" s="17"/>
      <c r="O22" s="17"/>
      <c r="P22" s="17">
        <v>0</v>
      </c>
      <c r="Q22" s="17">
        <v>0</v>
      </c>
      <c r="R22" s="251"/>
      <c r="S22" s="253"/>
      <c r="T22" s="253"/>
      <c r="U22" s="253"/>
      <c r="V22" s="253"/>
      <c r="W22" s="362" t="s">
        <v>2</v>
      </c>
      <c r="X22" s="253">
        <v>0</v>
      </c>
      <c r="Y22" s="253"/>
      <c r="Z22" s="250">
        <f t="shared" si="1"/>
        <v>192893</v>
      </c>
      <c r="AA22" s="363">
        <f t="shared" si="2"/>
        <v>209529</v>
      </c>
    </row>
    <row r="23" spans="1:27" s="249" customFormat="1">
      <c r="A23" s="14">
        <v>15</v>
      </c>
      <c r="B23" s="251" t="s">
        <v>828</v>
      </c>
      <c r="C23" s="251">
        <v>454086756</v>
      </c>
      <c r="D23" s="251"/>
      <c r="E23" s="252" t="s">
        <v>814</v>
      </c>
      <c r="F23" s="252">
        <v>10</v>
      </c>
      <c r="G23" s="248">
        <f t="shared" si="0"/>
        <v>16636</v>
      </c>
      <c r="H23" s="251"/>
      <c r="I23" s="251">
        <v>8292</v>
      </c>
      <c r="J23" s="251"/>
      <c r="K23" s="251"/>
      <c r="L23" s="251"/>
      <c r="M23" s="251"/>
      <c r="N23" s="17"/>
      <c r="O23" s="17"/>
      <c r="P23" s="17">
        <v>41719</v>
      </c>
      <c r="Q23" s="17">
        <v>8344</v>
      </c>
      <c r="R23" s="251"/>
      <c r="S23" s="253"/>
      <c r="T23" s="253"/>
      <c r="U23" s="253"/>
      <c r="V23" s="253"/>
      <c r="W23" s="362" t="s">
        <v>2</v>
      </c>
      <c r="X23" s="253">
        <v>0</v>
      </c>
      <c r="Y23" s="253"/>
      <c r="Z23" s="250">
        <f t="shared" si="1"/>
        <v>16636</v>
      </c>
      <c r="AA23" s="363">
        <f t="shared" si="2"/>
        <v>209529</v>
      </c>
    </row>
    <row r="24" spans="1:27" s="249" customFormat="1">
      <c r="A24" s="14">
        <v>16</v>
      </c>
      <c r="B24" s="251" t="s">
        <v>829</v>
      </c>
      <c r="C24" s="253">
        <v>623019809</v>
      </c>
      <c r="D24" s="253"/>
      <c r="E24" s="252" t="s">
        <v>814</v>
      </c>
      <c r="F24" s="252">
        <v>11</v>
      </c>
      <c r="G24" s="248">
        <f t="shared" si="0"/>
        <v>42832</v>
      </c>
      <c r="H24" s="251"/>
      <c r="I24" s="254">
        <v>42781</v>
      </c>
      <c r="J24" s="251"/>
      <c r="K24" s="251"/>
      <c r="L24" s="251"/>
      <c r="M24" s="251"/>
      <c r="N24" s="17"/>
      <c r="O24" s="17"/>
      <c r="P24" s="17">
        <v>256</v>
      </c>
      <c r="Q24" s="17">
        <v>51</v>
      </c>
      <c r="R24" s="251"/>
      <c r="S24" s="253"/>
      <c r="T24" s="253"/>
      <c r="U24" s="253"/>
      <c r="V24" s="253"/>
      <c r="W24" s="362" t="s">
        <v>2</v>
      </c>
      <c r="X24" s="253">
        <v>0</v>
      </c>
      <c r="Y24" s="253"/>
      <c r="Z24" s="250">
        <f t="shared" si="1"/>
        <v>42832</v>
      </c>
      <c r="AA24" s="363">
        <f t="shared" si="2"/>
        <v>139731</v>
      </c>
    </row>
    <row r="25" spans="1:27" s="249" customFormat="1">
      <c r="A25" s="14">
        <v>17</v>
      </c>
      <c r="B25" s="364" t="s">
        <v>830</v>
      </c>
      <c r="C25" s="251">
        <v>501652543</v>
      </c>
      <c r="D25" s="251"/>
      <c r="E25" s="252" t="s">
        <v>814</v>
      </c>
      <c r="F25" s="252">
        <v>11</v>
      </c>
      <c r="G25" s="248">
        <f t="shared" si="0"/>
        <v>82815</v>
      </c>
      <c r="H25" s="251"/>
      <c r="I25" s="254">
        <v>82815</v>
      </c>
      <c r="J25" s="251"/>
      <c r="K25" s="251"/>
      <c r="L25" s="251"/>
      <c r="M25" s="251"/>
      <c r="N25" s="17"/>
      <c r="O25" s="17"/>
      <c r="P25" s="17">
        <v>0</v>
      </c>
      <c r="Q25" s="17">
        <v>0</v>
      </c>
      <c r="R25" s="251"/>
      <c r="S25" s="253"/>
      <c r="T25" s="253"/>
      <c r="U25" s="253"/>
      <c r="V25" s="253"/>
      <c r="W25" s="362" t="s">
        <v>2</v>
      </c>
      <c r="X25" s="253">
        <v>0</v>
      </c>
      <c r="Y25" s="253"/>
      <c r="Z25" s="250">
        <f t="shared" si="1"/>
        <v>82815</v>
      </c>
      <c r="AA25" s="363">
        <f t="shared" si="2"/>
        <v>139731</v>
      </c>
    </row>
    <row r="26" spans="1:27" s="249" customFormat="1">
      <c r="A26" s="14">
        <v>18</v>
      </c>
      <c r="B26" s="364" t="s">
        <v>831</v>
      </c>
      <c r="C26" s="251">
        <v>623020018</v>
      </c>
      <c r="D26" s="253"/>
      <c r="E26" s="252" t="s">
        <v>814</v>
      </c>
      <c r="F26" s="252">
        <v>11</v>
      </c>
      <c r="G26" s="248">
        <f t="shared" si="0"/>
        <v>14084</v>
      </c>
      <c r="H26" s="251"/>
      <c r="I26" s="251">
        <v>13970</v>
      </c>
      <c r="J26" s="251"/>
      <c r="K26" s="251"/>
      <c r="L26" s="251"/>
      <c r="M26" s="251"/>
      <c r="N26" s="17"/>
      <c r="O26" s="17"/>
      <c r="P26" s="17">
        <v>568</v>
      </c>
      <c r="Q26" s="17">
        <v>114</v>
      </c>
      <c r="R26" s="251"/>
      <c r="S26" s="251"/>
      <c r="T26" s="251"/>
      <c r="U26" s="251"/>
      <c r="V26" s="251"/>
      <c r="W26" s="362" t="s">
        <v>2</v>
      </c>
      <c r="X26" s="253">
        <v>0</v>
      </c>
      <c r="Y26" s="251"/>
      <c r="Z26" s="250">
        <f t="shared" si="1"/>
        <v>14084</v>
      </c>
      <c r="AA26" s="363">
        <f t="shared" si="2"/>
        <v>139731</v>
      </c>
    </row>
    <row r="27" spans="1:27" s="249" customFormat="1">
      <c r="A27" s="14">
        <v>19</v>
      </c>
      <c r="B27" s="364" t="s">
        <v>832</v>
      </c>
      <c r="C27" s="251">
        <v>487879638</v>
      </c>
      <c r="D27" s="251"/>
      <c r="E27" s="252" t="s">
        <v>814</v>
      </c>
      <c r="F27" s="252">
        <v>12</v>
      </c>
      <c r="G27" s="248">
        <f t="shared" si="0"/>
        <v>104699</v>
      </c>
      <c r="H27" s="251"/>
      <c r="I27" s="254">
        <v>99606</v>
      </c>
      <c r="J27" s="251"/>
      <c r="K27" s="251"/>
      <c r="L27" s="251"/>
      <c r="M27" s="251"/>
      <c r="N27" s="17"/>
      <c r="O27" s="17"/>
      <c r="P27" s="17">
        <v>25465</v>
      </c>
      <c r="Q27" s="17">
        <v>5093</v>
      </c>
      <c r="R27" s="251"/>
      <c r="S27" s="251"/>
      <c r="T27" s="251"/>
      <c r="U27" s="251"/>
      <c r="V27" s="251"/>
      <c r="W27" s="362" t="s">
        <v>2</v>
      </c>
      <c r="X27" s="253">
        <v>0</v>
      </c>
      <c r="Y27" s="251"/>
      <c r="Z27" s="250">
        <f t="shared" si="1"/>
        <v>104699</v>
      </c>
      <c r="AA27" s="363">
        <f t="shared" si="2"/>
        <v>104699</v>
      </c>
    </row>
    <row r="28" spans="1:27" s="249" customFormat="1">
      <c r="A28" s="14">
        <v>20</v>
      </c>
      <c r="B28" s="364" t="s">
        <v>833</v>
      </c>
      <c r="C28" s="251">
        <v>489835628</v>
      </c>
      <c r="D28" s="251"/>
      <c r="E28" s="252" t="s">
        <v>814</v>
      </c>
      <c r="F28" s="252">
        <v>13</v>
      </c>
      <c r="G28" s="248">
        <f t="shared" si="0"/>
        <v>102760</v>
      </c>
      <c r="H28" s="251"/>
      <c r="I28" s="254">
        <v>92764</v>
      </c>
      <c r="J28" s="251"/>
      <c r="K28" s="251"/>
      <c r="L28" s="251"/>
      <c r="M28" s="251"/>
      <c r="N28" s="17"/>
      <c r="O28" s="17"/>
      <c r="P28" s="17">
        <v>49981</v>
      </c>
      <c r="Q28" s="17">
        <v>9996</v>
      </c>
      <c r="R28" s="251"/>
      <c r="S28" s="251"/>
      <c r="T28" s="251"/>
      <c r="U28" s="251"/>
      <c r="V28" s="251"/>
      <c r="W28" s="362" t="s">
        <v>2</v>
      </c>
      <c r="X28" s="253">
        <v>0</v>
      </c>
      <c r="Y28" s="251"/>
      <c r="Z28" s="250">
        <f t="shared" si="1"/>
        <v>102760</v>
      </c>
      <c r="AA28" s="363">
        <f t="shared" si="2"/>
        <v>102760</v>
      </c>
    </row>
    <row r="29" spans="1:27" s="249" customFormat="1">
      <c r="A29" s="14">
        <v>21</v>
      </c>
      <c r="B29" s="364" t="s">
        <v>834</v>
      </c>
      <c r="C29" s="251">
        <v>497068763</v>
      </c>
      <c r="D29" s="251"/>
      <c r="E29" s="252" t="s">
        <v>814</v>
      </c>
      <c r="F29" s="252">
        <v>14</v>
      </c>
      <c r="G29" s="248">
        <f t="shared" si="0"/>
        <v>101800</v>
      </c>
      <c r="H29" s="251"/>
      <c r="I29" s="254">
        <v>99785</v>
      </c>
      <c r="J29" s="251"/>
      <c r="K29" s="251"/>
      <c r="L29" s="251"/>
      <c r="M29" s="251"/>
      <c r="N29" s="17"/>
      <c r="O29" s="17"/>
      <c r="P29" s="17">
        <v>10073</v>
      </c>
      <c r="Q29" s="17">
        <v>2015</v>
      </c>
      <c r="R29" s="251"/>
      <c r="S29" s="251"/>
      <c r="T29" s="251"/>
      <c r="U29" s="251"/>
      <c r="V29" s="251"/>
      <c r="W29" s="362" t="s">
        <v>2</v>
      </c>
      <c r="X29" s="253">
        <v>0</v>
      </c>
      <c r="Y29" s="251"/>
      <c r="Z29" s="250">
        <f t="shared" si="1"/>
        <v>101800</v>
      </c>
      <c r="AA29" s="363">
        <f t="shared" si="2"/>
        <v>101800</v>
      </c>
    </row>
    <row r="30" spans="1:27" s="249" customFormat="1">
      <c r="A30" s="14">
        <v>22</v>
      </c>
      <c r="B30" s="364" t="s">
        <v>835</v>
      </c>
      <c r="C30" s="251">
        <v>518064275</v>
      </c>
      <c r="D30" s="251"/>
      <c r="E30" s="252" t="s">
        <v>814</v>
      </c>
      <c r="F30" s="252">
        <v>15</v>
      </c>
      <c r="G30" s="248">
        <f t="shared" si="0"/>
        <v>80034</v>
      </c>
      <c r="H30" s="251"/>
      <c r="I30" s="254">
        <v>80034</v>
      </c>
      <c r="J30" s="251"/>
      <c r="K30" s="251"/>
      <c r="L30" s="251"/>
      <c r="M30" s="251"/>
      <c r="N30" s="17"/>
      <c r="O30" s="17"/>
      <c r="P30" s="17">
        <v>0</v>
      </c>
      <c r="Q30" s="17">
        <v>0</v>
      </c>
      <c r="R30" s="251"/>
      <c r="S30" s="251"/>
      <c r="T30" s="251"/>
      <c r="U30" s="251"/>
      <c r="V30" s="251"/>
      <c r="W30" s="362" t="s">
        <v>2</v>
      </c>
      <c r="X30" s="253">
        <v>0</v>
      </c>
      <c r="Y30" s="251"/>
      <c r="Z30" s="250">
        <f t="shared" si="1"/>
        <v>80034</v>
      </c>
      <c r="AA30" s="363">
        <f t="shared" si="2"/>
        <v>80034</v>
      </c>
    </row>
    <row r="31" spans="1:27" s="249" customFormat="1">
      <c r="A31" s="14">
        <v>23</v>
      </c>
      <c r="B31" s="364" t="s">
        <v>836</v>
      </c>
      <c r="C31" s="251">
        <v>492346745</v>
      </c>
      <c r="D31" s="251"/>
      <c r="E31" s="252" t="s">
        <v>814</v>
      </c>
      <c r="F31" s="252">
        <v>16</v>
      </c>
      <c r="G31" s="248">
        <f t="shared" si="0"/>
        <v>25535</v>
      </c>
      <c r="H31" s="251"/>
      <c r="I31" s="254">
        <v>19412</v>
      </c>
      <c r="J31" s="251"/>
      <c r="K31" s="251"/>
      <c r="L31" s="251"/>
      <c r="M31" s="251"/>
      <c r="N31" s="17"/>
      <c r="O31" s="17"/>
      <c r="P31" s="17">
        <v>30614</v>
      </c>
      <c r="Q31" s="17">
        <v>6123</v>
      </c>
      <c r="R31" s="251"/>
      <c r="S31" s="251"/>
      <c r="T31" s="251"/>
      <c r="U31" s="251"/>
      <c r="V31" s="251"/>
      <c r="W31" s="362" t="s">
        <v>2</v>
      </c>
      <c r="X31" s="253">
        <v>0</v>
      </c>
      <c r="Y31" s="251"/>
      <c r="Z31" s="250">
        <f t="shared" si="1"/>
        <v>25535</v>
      </c>
      <c r="AA31" s="363">
        <f t="shared" si="2"/>
        <v>47068</v>
      </c>
    </row>
    <row r="32" spans="1:27" s="249" customFormat="1">
      <c r="A32" s="14">
        <v>24</v>
      </c>
      <c r="B32" s="364" t="s">
        <v>837</v>
      </c>
      <c r="C32" s="251">
        <v>506273354</v>
      </c>
      <c r="D32" s="251"/>
      <c r="E32" s="252" t="s">
        <v>814</v>
      </c>
      <c r="F32" s="252">
        <v>16</v>
      </c>
      <c r="G32" s="248">
        <f t="shared" si="0"/>
        <v>21533</v>
      </c>
      <c r="H32" s="251"/>
      <c r="I32" s="254">
        <v>21533</v>
      </c>
      <c r="J32" s="251"/>
      <c r="K32" s="251"/>
      <c r="L32" s="251"/>
      <c r="M32" s="251"/>
      <c r="N32" s="251"/>
      <c r="O32" s="251"/>
      <c r="P32" s="251">
        <v>0</v>
      </c>
      <c r="Q32" s="251">
        <v>0</v>
      </c>
      <c r="R32" s="251"/>
      <c r="S32" s="251"/>
      <c r="T32" s="251"/>
      <c r="U32" s="251"/>
      <c r="V32" s="251"/>
      <c r="W32" s="362" t="s">
        <v>2</v>
      </c>
      <c r="X32" s="253">
        <v>0</v>
      </c>
      <c r="Y32" s="251"/>
      <c r="Z32" s="250">
        <f t="shared" si="1"/>
        <v>21533</v>
      </c>
      <c r="AA32" s="363">
        <f t="shared" si="2"/>
        <v>47068</v>
      </c>
    </row>
    <row r="33" spans="1:27" s="249" customFormat="1">
      <c r="A33" s="14">
        <v>25</v>
      </c>
      <c r="B33" s="251" t="s">
        <v>838</v>
      </c>
      <c r="C33" s="251">
        <v>501222064</v>
      </c>
      <c r="D33" s="251"/>
      <c r="E33" s="252" t="s">
        <v>814</v>
      </c>
      <c r="F33" s="252">
        <v>17</v>
      </c>
      <c r="G33" s="248">
        <f t="shared" si="0"/>
        <v>45428</v>
      </c>
      <c r="H33" s="251"/>
      <c r="I33" s="254">
        <v>44105</v>
      </c>
      <c r="J33" s="251"/>
      <c r="K33" s="251"/>
      <c r="L33" s="251"/>
      <c r="M33" s="251"/>
      <c r="N33" s="17"/>
      <c r="O33" s="17"/>
      <c r="P33" s="17">
        <v>6613</v>
      </c>
      <c r="Q33" s="17">
        <v>1323</v>
      </c>
      <c r="R33" s="251"/>
      <c r="S33" s="251"/>
      <c r="T33" s="251"/>
      <c r="U33" s="251"/>
      <c r="V33" s="251"/>
      <c r="W33" s="362" t="s">
        <v>2</v>
      </c>
      <c r="X33" s="253">
        <v>0</v>
      </c>
      <c r="Y33" s="251"/>
      <c r="Z33" s="250">
        <f t="shared" si="1"/>
        <v>45428</v>
      </c>
      <c r="AA33" s="363">
        <f t="shared" si="2"/>
        <v>45428</v>
      </c>
    </row>
    <row r="34" spans="1:27" s="249" customFormat="1">
      <c r="A34" s="14">
        <v>26</v>
      </c>
      <c r="B34" s="364" t="s">
        <v>839</v>
      </c>
      <c r="C34" s="251">
        <v>492121274</v>
      </c>
      <c r="D34" s="251"/>
      <c r="E34" s="252" t="s">
        <v>814</v>
      </c>
      <c r="F34" s="252">
        <v>18</v>
      </c>
      <c r="G34" s="248">
        <f t="shared" si="0"/>
        <v>35926</v>
      </c>
      <c r="H34" s="251"/>
      <c r="I34" s="255">
        <v>35926</v>
      </c>
      <c r="J34" s="251"/>
      <c r="K34" s="251"/>
      <c r="L34" s="251"/>
      <c r="M34" s="251"/>
      <c r="N34" s="17"/>
      <c r="O34" s="17"/>
      <c r="P34" s="17">
        <v>0</v>
      </c>
      <c r="Q34" s="17">
        <v>0</v>
      </c>
      <c r="R34" s="251"/>
      <c r="S34" s="251"/>
      <c r="T34" s="251"/>
      <c r="U34" s="251"/>
      <c r="V34" s="251"/>
      <c r="W34" s="362" t="s">
        <v>2</v>
      </c>
      <c r="X34" s="253">
        <v>0</v>
      </c>
      <c r="Y34" s="251"/>
      <c r="Z34" s="250">
        <f t="shared" si="1"/>
        <v>35926</v>
      </c>
      <c r="AA34" s="363">
        <f t="shared" si="2"/>
        <v>35926</v>
      </c>
    </row>
    <row r="35" spans="1:27" s="249" customFormat="1">
      <c r="A35" s="14">
        <v>27</v>
      </c>
      <c r="B35" s="364" t="s">
        <v>840</v>
      </c>
      <c r="C35" s="251">
        <v>458359475</v>
      </c>
      <c r="D35" s="251"/>
      <c r="E35" s="252" t="s">
        <v>814</v>
      </c>
      <c r="F35" s="252">
        <v>19</v>
      </c>
      <c r="G35" s="248">
        <f t="shared" si="0"/>
        <v>26026</v>
      </c>
      <c r="H35" s="251"/>
      <c r="I35" s="251">
        <v>20026</v>
      </c>
      <c r="J35" s="251"/>
      <c r="K35" s="251"/>
      <c r="L35" s="251"/>
      <c r="M35" s="251"/>
      <c r="N35" s="17"/>
      <c r="O35" s="17"/>
      <c r="P35" s="17">
        <v>30000</v>
      </c>
      <c r="Q35" s="17">
        <v>6000</v>
      </c>
      <c r="R35" s="251"/>
      <c r="S35" s="251"/>
      <c r="T35" s="251"/>
      <c r="U35" s="251"/>
      <c r="V35" s="251"/>
      <c r="W35" s="362" t="s">
        <v>2</v>
      </c>
      <c r="X35" s="253">
        <v>0</v>
      </c>
      <c r="Y35" s="251"/>
      <c r="Z35" s="250">
        <f t="shared" si="1"/>
        <v>26026</v>
      </c>
      <c r="AA35" s="363">
        <f t="shared" si="2"/>
        <v>26026</v>
      </c>
    </row>
    <row r="36" spans="1:27" s="249" customFormat="1">
      <c r="A36" s="14">
        <v>28</v>
      </c>
      <c r="B36" s="364" t="s">
        <v>841</v>
      </c>
      <c r="C36" s="251">
        <v>491764693</v>
      </c>
      <c r="D36" s="251"/>
      <c r="E36" s="252" t="s">
        <v>814</v>
      </c>
      <c r="F36" s="252">
        <v>20</v>
      </c>
      <c r="G36" s="248">
        <f t="shared" si="0"/>
        <v>10000</v>
      </c>
      <c r="H36" s="251"/>
      <c r="I36" s="254">
        <v>0</v>
      </c>
      <c r="J36" s="251"/>
      <c r="K36" s="251"/>
      <c r="L36" s="251"/>
      <c r="M36" s="251"/>
      <c r="N36" s="17"/>
      <c r="O36" s="17"/>
      <c r="P36" s="17">
        <v>50000</v>
      </c>
      <c r="Q36" s="17">
        <v>10000</v>
      </c>
      <c r="R36" s="251"/>
      <c r="S36" s="251"/>
      <c r="T36" s="251"/>
      <c r="U36" s="251"/>
      <c r="V36" s="251"/>
      <c r="W36" s="362">
        <v>1</v>
      </c>
      <c r="X36" s="253">
        <v>0</v>
      </c>
      <c r="Y36" s="251"/>
      <c r="Z36" s="250">
        <f t="shared" si="1"/>
        <v>10000</v>
      </c>
      <c r="AA36" s="363">
        <f t="shared" si="2"/>
        <v>19922</v>
      </c>
    </row>
    <row r="37" spans="1:27" s="249" customFormat="1">
      <c r="A37" s="14">
        <v>29</v>
      </c>
      <c r="B37" s="364" t="s">
        <v>842</v>
      </c>
      <c r="C37" s="251">
        <v>513620362</v>
      </c>
      <c r="D37" s="251"/>
      <c r="E37" s="252" t="s">
        <v>814</v>
      </c>
      <c r="F37" s="252">
        <v>20</v>
      </c>
      <c r="G37" s="248">
        <f t="shared" si="0"/>
        <v>9922</v>
      </c>
      <c r="H37" s="251"/>
      <c r="I37" s="254">
        <v>4394</v>
      </c>
      <c r="J37" s="251"/>
      <c r="K37" s="251"/>
      <c r="L37" s="251"/>
      <c r="M37" s="251"/>
      <c r="N37" s="17"/>
      <c r="O37" s="17"/>
      <c r="P37" s="17">
        <v>27638</v>
      </c>
      <c r="Q37" s="17">
        <v>5528</v>
      </c>
      <c r="R37" s="251"/>
      <c r="S37" s="251"/>
      <c r="T37" s="251"/>
      <c r="U37" s="251"/>
      <c r="V37" s="251"/>
      <c r="W37" s="362" t="s">
        <v>2</v>
      </c>
      <c r="X37" s="253">
        <v>0</v>
      </c>
      <c r="Y37" s="251"/>
      <c r="Z37" s="250">
        <f t="shared" si="1"/>
        <v>9922</v>
      </c>
      <c r="AA37" s="363">
        <f t="shared" si="2"/>
        <v>19922</v>
      </c>
    </row>
    <row r="38" spans="1:27" s="249" customFormat="1">
      <c r="A38" s="14">
        <v>30</v>
      </c>
      <c r="B38" s="251" t="s">
        <v>843</v>
      </c>
      <c r="C38" s="251">
        <v>485258160</v>
      </c>
      <c r="D38" s="251"/>
      <c r="E38" s="252" t="s">
        <v>814</v>
      </c>
      <c r="F38" s="252">
        <v>21</v>
      </c>
      <c r="G38" s="248">
        <f t="shared" si="0"/>
        <v>16009</v>
      </c>
      <c r="H38" s="251"/>
      <c r="I38" s="251">
        <v>11</v>
      </c>
      <c r="J38" s="251"/>
      <c r="K38" s="251"/>
      <c r="L38" s="251"/>
      <c r="M38" s="251"/>
      <c r="N38" s="17"/>
      <c r="O38" s="17"/>
      <c r="P38" s="17">
        <v>79989</v>
      </c>
      <c r="Q38" s="17">
        <v>15998</v>
      </c>
      <c r="R38" s="251"/>
      <c r="S38" s="251"/>
      <c r="T38" s="251"/>
      <c r="U38" s="251"/>
      <c r="V38" s="251"/>
      <c r="W38" s="362" t="s">
        <v>2</v>
      </c>
      <c r="X38" s="253">
        <v>0</v>
      </c>
      <c r="Y38" s="251"/>
      <c r="Z38" s="250">
        <f t="shared" si="1"/>
        <v>16009</v>
      </c>
      <c r="AA38" s="363">
        <f t="shared" si="2"/>
        <v>16009</v>
      </c>
    </row>
    <row r="39" spans="1:27" s="249" customFormat="1">
      <c r="A39" s="14">
        <v>31</v>
      </c>
      <c r="B39" s="251" t="s">
        <v>844</v>
      </c>
      <c r="C39" s="251">
        <v>483307299</v>
      </c>
      <c r="D39" s="251"/>
      <c r="E39" s="252" t="s">
        <v>814</v>
      </c>
      <c r="F39" s="252">
        <v>22</v>
      </c>
      <c r="G39" s="248">
        <f t="shared" si="0"/>
        <v>10000</v>
      </c>
      <c r="H39" s="251"/>
      <c r="I39" s="251">
        <v>0</v>
      </c>
      <c r="J39" s="251"/>
      <c r="K39" s="251"/>
      <c r="L39" s="251"/>
      <c r="M39" s="251"/>
      <c r="N39" s="17"/>
      <c r="O39" s="17"/>
      <c r="P39" s="17">
        <v>50000</v>
      </c>
      <c r="Q39" s="17">
        <v>10000</v>
      </c>
      <c r="R39" s="251"/>
      <c r="S39" s="251"/>
      <c r="T39" s="251"/>
      <c r="U39" s="251"/>
      <c r="V39" s="251"/>
      <c r="W39" s="362">
        <v>1</v>
      </c>
      <c r="X39" s="253">
        <v>0</v>
      </c>
      <c r="Y39" s="251"/>
      <c r="Z39" s="250">
        <f t="shared" si="1"/>
        <v>10000</v>
      </c>
      <c r="AA39" s="363">
        <f t="shared" si="2"/>
        <v>13313</v>
      </c>
    </row>
    <row r="40" spans="1:27" s="249" customFormat="1">
      <c r="A40" s="14">
        <v>32</v>
      </c>
      <c r="B40" s="251" t="s">
        <v>845</v>
      </c>
      <c r="C40" s="251">
        <v>491511121</v>
      </c>
      <c r="D40" s="251"/>
      <c r="E40" s="252" t="s">
        <v>814</v>
      </c>
      <c r="F40" s="252">
        <v>22</v>
      </c>
      <c r="G40" s="248">
        <f t="shared" si="0"/>
        <v>3313</v>
      </c>
      <c r="H40" s="251"/>
      <c r="I40" s="251">
        <v>3313</v>
      </c>
      <c r="J40" s="251"/>
      <c r="K40" s="251"/>
      <c r="L40" s="251"/>
      <c r="M40" s="251"/>
      <c r="N40" s="17"/>
      <c r="O40" s="17"/>
      <c r="P40" s="17">
        <v>0</v>
      </c>
      <c r="Q40" s="17">
        <v>0</v>
      </c>
      <c r="R40" s="251"/>
      <c r="S40" s="251"/>
      <c r="T40" s="251"/>
      <c r="U40" s="251"/>
      <c r="V40" s="251"/>
      <c r="W40" s="362" t="s">
        <v>2</v>
      </c>
      <c r="X40" s="253">
        <v>0</v>
      </c>
      <c r="Y40" s="251"/>
      <c r="Z40" s="250">
        <f t="shared" si="1"/>
        <v>3313</v>
      </c>
      <c r="AA40" s="363">
        <f t="shared" si="2"/>
        <v>13313</v>
      </c>
    </row>
    <row r="41" spans="1:27" s="249" customFormat="1">
      <c r="A41" s="14">
        <v>33</v>
      </c>
      <c r="B41" s="364" t="s">
        <v>846</v>
      </c>
      <c r="C41" s="251">
        <v>505277183</v>
      </c>
      <c r="D41" s="253"/>
      <c r="E41" s="252" t="s">
        <v>814</v>
      </c>
      <c r="F41" s="252">
        <v>23</v>
      </c>
      <c r="G41" s="248">
        <f t="shared" ref="G41:G88" si="3">+H41+I41+J41+K41+M41+O41+Q41+S41</f>
        <v>13136</v>
      </c>
      <c r="H41" s="251"/>
      <c r="I41" s="254">
        <v>3136</v>
      </c>
      <c r="J41" s="251"/>
      <c r="K41" s="251"/>
      <c r="L41" s="251"/>
      <c r="M41" s="251"/>
      <c r="N41" s="17"/>
      <c r="O41" s="17"/>
      <c r="P41" s="17">
        <v>50000</v>
      </c>
      <c r="Q41" s="17">
        <v>10000</v>
      </c>
      <c r="R41" s="251"/>
      <c r="S41" s="251"/>
      <c r="T41" s="251"/>
      <c r="U41" s="251"/>
      <c r="V41" s="251"/>
      <c r="W41" s="362" t="s">
        <v>6</v>
      </c>
      <c r="X41" s="253">
        <v>674</v>
      </c>
      <c r="Y41" s="251"/>
      <c r="Z41" s="250">
        <f t="shared" ref="Z41:Z88" si="4">+G41-V41-X41</f>
        <v>12462</v>
      </c>
      <c r="AA41" s="363">
        <f t="shared" si="2"/>
        <v>12462</v>
      </c>
    </row>
    <row r="42" spans="1:27" s="249" customFormat="1">
      <c r="A42" s="14">
        <v>34</v>
      </c>
      <c r="B42" s="364" t="s">
        <v>847</v>
      </c>
      <c r="C42" s="251">
        <v>484760765</v>
      </c>
      <c r="D42" s="253"/>
      <c r="E42" s="252" t="s">
        <v>814</v>
      </c>
      <c r="F42" s="252">
        <v>24</v>
      </c>
      <c r="G42" s="248">
        <f t="shared" si="3"/>
        <v>10000</v>
      </c>
      <c r="H42" s="251"/>
      <c r="I42" s="251">
        <v>0</v>
      </c>
      <c r="J42" s="251"/>
      <c r="K42" s="251"/>
      <c r="L42" s="251"/>
      <c r="M42" s="251"/>
      <c r="N42" s="17"/>
      <c r="O42" s="17"/>
      <c r="P42" s="17">
        <v>50000</v>
      </c>
      <c r="Q42" s="17">
        <v>10000</v>
      </c>
      <c r="R42" s="251"/>
      <c r="S42" s="251"/>
      <c r="T42" s="251"/>
      <c r="U42" s="251"/>
      <c r="V42" s="251"/>
      <c r="W42" s="362">
        <v>1</v>
      </c>
      <c r="X42" s="253">
        <v>0</v>
      </c>
      <c r="Y42" s="251"/>
      <c r="Z42" s="250">
        <f t="shared" si="4"/>
        <v>10000</v>
      </c>
      <c r="AA42" s="363">
        <f t="shared" si="2"/>
        <v>10000</v>
      </c>
    </row>
    <row r="43" spans="1:27" s="249" customFormat="1">
      <c r="A43" s="14">
        <v>35</v>
      </c>
      <c r="B43" s="364" t="s">
        <v>848</v>
      </c>
      <c r="C43" s="251">
        <v>485880308</v>
      </c>
      <c r="D43" s="253"/>
      <c r="E43" s="252" t="s">
        <v>814</v>
      </c>
      <c r="F43" s="252">
        <v>25</v>
      </c>
      <c r="G43" s="248">
        <f t="shared" si="3"/>
        <v>6631</v>
      </c>
      <c r="H43" s="251"/>
      <c r="I43" s="251">
        <v>5789</v>
      </c>
      <c r="J43" s="251"/>
      <c r="K43" s="251"/>
      <c r="L43" s="251"/>
      <c r="M43" s="251"/>
      <c r="N43" s="17"/>
      <c r="O43" s="17"/>
      <c r="P43" s="17">
        <v>4211</v>
      </c>
      <c r="Q43" s="17">
        <v>842</v>
      </c>
      <c r="R43" s="251"/>
      <c r="S43" s="251"/>
      <c r="T43" s="251"/>
      <c r="U43" s="251"/>
      <c r="V43" s="251"/>
      <c r="W43" s="362" t="s">
        <v>2</v>
      </c>
      <c r="X43" s="253">
        <v>0</v>
      </c>
      <c r="Y43" s="251"/>
      <c r="Z43" s="250">
        <f t="shared" si="4"/>
        <v>6631</v>
      </c>
      <c r="AA43" s="363">
        <f t="shared" si="2"/>
        <v>6631</v>
      </c>
    </row>
    <row r="44" spans="1:27" s="249" customFormat="1">
      <c r="A44" s="14">
        <v>36</v>
      </c>
      <c r="B44" s="251"/>
      <c r="C44" s="251"/>
      <c r="D44" s="251"/>
      <c r="E44" s="252"/>
      <c r="F44" s="252"/>
      <c r="G44" s="248">
        <f t="shared" si="3"/>
        <v>0</v>
      </c>
      <c r="H44" s="251"/>
      <c r="I44" s="251"/>
      <c r="J44" s="251"/>
      <c r="K44" s="251"/>
      <c r="L44" s="251"/>
      <c r="M44" s="251"/>
      <c r="N44" s="17"/>
      <c r="O44" s="17"/>
      <c r="P44" s="17"/>
      <c r="Q44" s="17"/>
      <c r="R44" s="251"/>
      <c r="S44" s="251"/>
      <c r="T44" s="251"/>
      <c r="U44" s="251"/>
      <c r="V44" s="251"/>
      <c r="W44" s="362"/>
      <c r="X44" s="251"/>
      <c r="Y44" s="251"/>
      <c r="Z44" s="250">
        <f t="shared" si="4"/>
        <v>0</v>
      </c>
      <c r="AA44" s="363">
        <f t="shared" si="2"/>
        <v>0</v>
      </c>
    </row>
    <row r="45" spans="1:27" s="249" customFormat="1">
      <c r="A45" s="14">
        <v>37</v>
      </c>
      <c r="B45" s="251"/>
      <c r="C45" s="251"/>
      <c r="D45" s="251"/>
      <c r="E45" s="252"/>
      <c r="F45" s="252"/>
      <c r="G45" s="248">
        <f t="shared" si="3"/>
        <v>0</v>
      </c>
      <c r="H45" s="251"/>
      <c r="I45" s="251"/>
      <c r="J45" s="251"/>
      <c r="K45" s="251"/>
      <c r="L45" s="251"/>
      <c r="M45" s="251"/>
      <c r="N45" s="17"/>
      <c r="O45" s="17"/>
      <c r="P45" s="17"/>
      <c r="Q45" s="17"/>
      <c r="R45" s="251"/>
      <c r="S45" s="251"/>
      <c r="T45" s="251"/>
      <c r="U45" s="251"/>
      <c r="V45" s="251"/>
      <c r="W45" s="362"/>
      <c r="X45" s="251"/>
      <c r="Y45" s="251"/>
      <c r="Z45" s="250">
        <f t="shared" si="4"/>
        <v>0</v>
      </c>
      <c r="AA45" s="363">
        <f t="shared" si="2"/>
        <v>0</v>
      </c>
    </row>
    <row r="46" spans="1:27" s="249" customFormat="1">
      <c r="A46" s="14">
        <v>38</v>
      </c>
      <c r="B46" s="251"/>
      <c r="C46" s="251"/>
      <c r="D46" s="251"/>
      <c r="E46" s="252"/>
      <c r="F46" s="252"/>
      <c r="G46" s="248">
        <f t="shared" si="3"/>
        <v>0</v>
      </c>
      <c r="H46" s="251"/>
      <c r="I46" s="251"/>
      <c r="J46" s="251"/>
      <c r="K46" s="251"/>
      <c r="L46" s="251"/>
      <c r="M46" s="251"/>
      <c r="N46" s="17"/>
      <c r="O46" s="17"/>
      <c r="P46" s="17"/>
      <c r="Q46" s="17"/>
      <c r="R46" s="251"/>
      <c r="S46" s="251"/>
      <c r="T46" s="251"/>
      <c r="U46" s="251"/>
      <c r="V46" s="251"/>
      <c r="W46" s="362"/>
      <c r="X46" s="251"/>
      <c r="Y46" s="251"/>
      <c r="Z46" s="250">
        <f t="shared" si="4"/>
        <v>0</v>
      </c>
      <c r="AA46" s="363">
        <f t="shared" si="2"/>
        <v>0</v>
      </c>
    </row>
    <row r="47" spans="1:27" s="249" customFormat="1">
      <c r="A47" s="14">
        <v>39</v>
      </c>
      <c r="B47" s="251"/>
      <c r="C47" s="251"/>
      <c r="D47" s="251"/>
      <c r="E47" s="252"/>
      <c r="F47" s="252"/>
      <c r="G47" s="248">
        <f t="shared" ref="G47:G53" si="5">+H47+I47+J47+K47+M47+O47+Q47+S47</f>
        <v>0</v>
      </c>
      <c r="H47" s="251"/>
      <c r="I47" s="251"/>
      <c r="J47" s="251"/>
      <c r="K47" s="251"/>
      <c r="L47" s="251"/>
      <c r="M47" s="251"/>
      <c r="N47" s="17"/>
      <c r="O47" s="17"/>
      <c r="P47" s="17"/>
      <c r="Q47" s="17"/>
      <c r="R47" s="251"/>
      <c r="S47" s="251"/>
      <c r="T47" s="251"/>
      <c r="U47" s="251"/>
      <c r="V47" s="251"/>
      <c r="W47" s="362"/>
      <c r="X47" s="251"/>
      <c r="Y47" s="251"/>
      <c r="Z47" s="250">
        <f t="shared" ref="Z47:Z53" si="6">+G47-V47-X47</f>
        <v>0</v>
      </c>
      <c r="AA47" s="363">
        <f t="shared" si="2"/>
        <v>0</v>
      </c>
    </row>
    <row r="48" spans="1:27" s="249" customFormat="1">
      <c r="A48" s="14">
        <v>40</v>
      </c>
      <c r="B48" s="251"/>
      <c r="C48" s="251"/>
      <c r="D48" s="251"/>
      <c r="E48" s="252"/>
      <c r="F48" s="252"/>
      <c r="G48" s="248">
        <f t="shared" si="5"/>
        <v>0</v>
      </c>
      <c r="H48" s="251"/>
      <c r="I48" s="251"/>
      <c r="J48" s="251"/>
      <c r="K48" s="251"/>
      <c r="L48" s="251"/>
      <c r="M48" s="251"/>
      <c r="N48" s="17"/>
      <c r="O48" s="17"/>
      <c r="P48" s="17"/>
      <c r="Q48" s="17"/>
      <c r="R48" s="251"/>
      <c r="S48" s="251"/>
      <c r="T48" s="251"/>
      <c r="U48" s="251"/>
      <c r="V48" s="251"/>
      <c r="W48" s="251"/>
      <c r="X48" s="251"/>
      <c r="Y48" s="251"/>
      <c r="Z48" s="250">
        <f t="shared" si="6"/>
        <v>0</v>
      </c>
      <c r="AA48" s="363">
        <f t="shared" si="2"/>
        <v>0</v>
      </c>
    </row>
    <row r="49" spans="1:27" s="249" customFormat="1">
      <c r="A49" s="14">
        <v>41</v>
      </c>
      <c r="B49" s="251"/>
      <c r="C49" s="251"/>
      <c r="D49" s="251"/>
      <c r="E49" s="252"/>
      <c r="F49" s="252"/>
      <c r="G49" s="248">
        <f t="shared" si="5"/>
        <v>0</v>
      </c>
      <c r="H49" s="251"/>
      <c r="I49" s="251"/>
      <c r="J49" s="251"/>
      <c r="K49" s="251"/>
      <c r="L49" s="251"/>
      <c r="M49" s="251"/>
      <c r="N49" s="17"/>
      <c r="O49" s="17"/>
      <c r="P49" s="17"/>
      <c r="Q49" s="17"/>
      <c r="R49" s="251"/>
      <c r="S49" s="251"/>
      <c r="T49" s="251"/>
      <c r="U49" s="251"/>
      <c r="V49" s="251"/>
      <c r="W49" s="251"/>
      <c r="X49" s="251"/>
      <c r="Y49" s="251"/>
      <c r="Z49" s="250">
        <f t="shared" si="6"/>
        <v>0</v>
      </c>
      <c r="AA49" s="363">
        <f t="shared" si="2"/>
        <v>0</v>
      </c>
    </row>
    <row r="50" spans="1:27" s="249" customFormat="1">
      <c r="A50" s="14">
        <v>42</v>
      </c>
      <c r="B50" s="251"/>
      <c r="C50" s="251"/>
      <c r="D50" s="251"/>
      <c r="E50" s="252"/>
      <c r="F50" s="252"/>
      <c r="G50" s="248">
        <f t="shared" si="5"/>
        <v>0</v>
      </c>
      <c r="H50" s="251"/>
      <c r="I50" s="251"/>
      <c r="J50" s="251"/>
      <c r="K50" s="251"/>
      <c r="L50" s="251"/>
      <c r="M50" s="251"/>
      <c r="N50" s="17"/>
      <c r="O50" s="17"/>
      <c r="P50" s="17"/>
      <c r="Q50" s="17"/>
      <c r="R50" s="251"/>
      <c r="S50" s="251"/>
      <c r="T50" s="251"/>
      <c r="U50" s="251"/>
      <c r="V50" s="251"/>
      <c r="W50" s="251"/>
      <c r="X50" s="251"/>
      <c r="Y50" s="251"/>
      <c r="Z50" s="250">
        <f t="shared" si="6"/>
        <v>0</v>
      </c>
      <c r="AA50" s="363">
        <f t="shared" si="2"/>
        <v>0</v>
      </c>
    </row>
    <row r="51" spans="1:27" s="249" customFormat="1">
      <c r="A51" s="14">
        <v>43</v>
      </c>
      <c r="B51" s="251"/>
      <c r="C51" s="251"/>
      <c r="D51" s="251"/>
      <c r="E51" s="252"/>
      <c r="F51" s="252"/>
      <c r="G51" s="248">
        <f t="shared" si="5"/>
        <v>0</v>
      </c>
      <c r="H51" s="251"/>
      <c r="I51" s="251"/>
      <c r="J51" s="251"/>
      <c r="K51" s="251"/>
      <c r="L51" s="251"/>
      <c r="M51" s="251"/>
      <c r="N51" s="17"/>
      <c r="O51" s="17"/>
      <c r="P51" s="17"/>
      <c r="Q51" s="17"/>
      <c r="R51" s="251"/>
      <c r="S51" s="251"/>
      <c r="T51" s="251"/>
      <c r="U51" s="251"/>
      <c r="V51" s="251"/>
      <c r="W51" s="251"/>
      <c r="X51" s="251"/>
      <c r="Y51" s="251"/>
      <c r="Z51" s="250">
        <f t="shared" si="6"/>
        <v>0</v>
      </c>
      <c r="AA51" s="363">
        <f t="shared" si="2"/>
        <v>0</v>
      </c>
    </row>
    <row r="52" spans="1:27" s="249" customFormat="1">
      <c r="A52" s="14">
        <v>44</v>
      </c>
      <c r="B52" s="251"/>
      <c r="C52" s="251"/>
      <c r="D52" s="251"/>
      <c r="E52" s="252"/>
      <c r="F52" s="252"/>
      <c r="G52" s="248">
        <f t="shared" si="5"/>
        <v>0</v>
      </c>
      <c r="H52" s="251"/>
      <c r="I52" s="251"/>
      <c r="J52" s="251"/>
      <c r="K52" s="251"/>
      <c r="L52" s="251"/>
      <c r="M52" s="251"/>
      <c r="N52" s="17"/>
      <c r="O52" s="17"/>
      <c r="P52" s="17"/>
      <c r="Q52" s="17"/>
      <c r="R52" s="251"/>
      <c r="S52" s="251"/>
      <c r="T52" s="251"/>
      <c r="U52" s="251"/>
      <c r="V52" s="251"/>
      <c r="W52" s="251"/>
      <c r="X52" s="251"/>
      <c r="Y52" s="251"/>
      <c r="Z52" s="250">
        <f t="shared" si="6"/>
        <v>0</v>
      </c>
      <c r="AA52" s="363">
        <f t="shared" si="2"/>
        <v>0</v>
      </c>
    </row>
    <row r="53" spans="1:27" s="249" customFormat="1">
      <c r="A53" s="14">
        <v>45</v>
      </c>
      <c r="B53" s="251"/>
      <c r="C53" s="251"/>
      <c r="D53" s="251"/>
      <c r="E53" s="252"/>
      <c r="F53" s="252"/>
      <c r="G53" s="248">
        <f t="shared" si="5"/>
        <v>0</v>
      </c>
      <c r="H53" s="251"/>
      <c r="I53" s="251"/>
      <c r="J53" s="251"/>
      <c r="K53" s="251"/>
      <c r="L53" s="251"/>
      <c r="M53" s="251"/>
      <c r="N53" s="17"/>
      <c r="O53" s="17"/>
      <c r="P53" s="17"/>
      <c r="Q53" s="17"/>
      <c r="R53" s="251"/>
      <c r="S53" s="251"/>
      <c r="T53" s="251"/>
      <c r="U53" s="251"/>
      <c r="V53" s="251"/>
      <c r="W53" s="251"/>
      <c r="X53" s="251"/>
      <c r="Y53" s="251"/>
      <c r="Z53" s="250">
        <f t="shared" si="6"/>
        <v>0</v>
      </c>
      <c r="AA53" s="363">
        <f t="shared" si="2"/>
        <v>0</v>
      </c>
    </row>
    <row r="54" spans="1:27" s="249" customFormat="1">
      <c r="A54" s="14">
        <v>46</v>
      </c>
      <c r="B54" s="251"/>
      <c r="C54" s="251"/>
      <c r="D54" s="251"/>
      <c r="E54" s="252"/>
      <c r="F54" s="252"/>
      <c r="G54" s="248">
        <f t="shared" ref="G54:G75" si="7">+H54+I54+J54+K54+M54+O54+Q54+S54</f>
        <v>0</v>
      </c>
      <c r="H54" s="251"/>
      <c r="I54" s="251"/>
      <c r="J54" s="251"/>
      <c r="K54" s="251"/>
      <c r="L54" s="251"/>
      <c r="M54" s="251"/>
      <c r="N54" s="17"/>
      <c r="O54" s="17"/>
      <c r="P54" s="17"/>
      <c r="Q54" s="17"/>
      <c r="R54" s="251"/>
      <c r="S54" s="251"/>
      <c r="T54" s="251"/>
      <c r="U54" s="251"/>
      <c r="V54" s="251"/>
      <c r="W54" s="251"/>
      <c r="X54" s="251"/>
      <c r="Y54" s="251"/>
      <c r="Z54" s="250">
        <f t="shared" ref="Z54:Z75" si="8">+G54-V54-X54</f>
        <v>0</v>
      </c>
      <c r="AA54" s="363">
        <f t="shared" si="2"/>
        <v>0</v>
      </c>
    </row>
    <row r="55" spans="1:27" s="249" customFormat="1">
      <c r="A55" s="14">
        <v>47</v>
      </c>
      <c r="B55" s="251"/>
      <c r="C55" s="251"/>
      <c r="D55" s="251"/>
      <c r="E55" s="252"/>
      <c r="F55" s="252"/>
      <c r="G55" s="248">
        <f t="shared" si="7"/>
        <v>0</v>
      </c>
      <c r="H55" s="251"/>
      <c r="I55" s="251"/>
      <c r="J55" s="251"/>
      <c r="K55" s="251"/>
      <c r="L55" s="251"/>
      <c r="M55" s="251"/>
      <c r="N55" s="17"/>
      <c r="O55" s="17"/>
      <c r="P55" s="17"/>
      <c r="Q55" s="17"/>
      <c r="R55" s="251"/>
      <c r="S55" s="251"/>
      <c r="T55" s="251"/>
      <c r="U55" s="251"/>
      <c r="V55" s="251"/>
      <c r="W55" s="251"/>
      <c r="X55" s="251"/>
      <c r="Y55" s="251"/>
      <c r="Z55" s="250">
        <f t="shared" si="8"/>
        <v>0</v>
      </c>
      <c r="AA55" s="363">
        <f t="shared" si="2"/>
        <v>0</v>
      </c>
    </row>
    <row r="56" spans="1:27" s="249" customFormat="1">
      <c r="A56" s="14">
        <v>48</v>
      </c>
      <c r="B56" s="251"/>
      <c r="C56" s="251"/>
      <c r="D56" s="251"/>
      <c r="E56" s="252"/>
      <c r="F56" s="252"/>
      <c r="G56" s="248">
        <f t="shared" si="7"/>
        <v>0</v>
      </c>
      <c r="H56" s="251"/>
      <c r="I56" s="251"/>
      <c r="J56" s="251"/>
      <c r="K56" s="251"/>
      <c r="L56" s="251"/>
      <c r="M56" s="251"/>
      <c r="N56" s="17"/>
      <c r="O56" s="17"/>
      <c r="P56" s="17"/>
      <c r="Q56" s="17"/>
      <c r="R56" s="251"/>
      <c r="S56" s="251"/>
      <c r="T56" s="251"/>
      <c r="U56" s="251"/>
      <c r="V56" s="251"/>
      <c r="W56" s="251"/>
      <c r="X56" s="251"/>
      <c r="Y56" s="251"/>
      <c r="Z56" s="250">
        <f t="shared" si="8"/>
        <v>0</v>
      </c>
      <c r="AA56" s="363">
        <f t="shared" si="2"/>
        <v>0</v>
      </c>
    </row>
    <row r="57" spans="1:27" s="249" customFormat="1">
      <c r="A57" s="14">
        <v>49</v>
      </c>
      <c r="B57" s="251"/>
      <c r="C57" s="251"/>
      <c r="D57" s="251"/>
      <c r="E57" s="252"/>
      <c r="F57" s="252"/>
      <c r="G57" s="248">
        <f t="shared" si="7"/>
        <v>0</v>
      </c>
      <c r="H57" s="251"/>
      <c r="I57" s="251"/>
      <c r="J57" s="251"/>
      <c r="K57" s="251"/>
      <c r="L57" s="251"/>
      <c r="M57" s="251"/>
      <c r="N57" s="17"/>
      <c r="O57" s="17"/>
      <c r="P57" s="17"/>
      <c r="Q57" s="17"/>
      <c r="R57" s="251"/>
      <c r="S57" s="251"/>
      <c r="T57" s="251"/>
      <c r="U57" s="251"/>
      <c r="V57" s="251"/>
      <c r="W57" s="251"/>
      <c r="X57" s="251"/>
      <c r="Y57" s="251"/>
      <c r="Z57" s="250">
        <f t="shared" si="8"/>
        <v>0</v>
      </c>
      <c r="AA57" s="363">
        <f t="shared" si="2"/>
        <v>0</v>
      </c>
    </row>
    <row r="58" spans="1:27" s="249" customFormat="1">
      <c r="A58" s="14">
        <v>50</v>
      </c>
      <c r="B58" s="251"/>
      <c r="C58" s="251"/>
      <c r="D58" s="251"/>
      <c r="E58" s="252"/>
      <c r="F58" s="252"/>
      <c r="G58" s="248">
        <f t="shared" si="7"/>
        <v>0</v>
      </c>
      <c r="H58" s="251"/>
      <c r="I58" s="251"/>
      <c r="J58" s="251"/>
      <c r="K58" s="251"/>
      <c r="L58" s="251"/>
      <c r="M58" s="251"/>
      <c r="N58" s="17"/>
      <c r="O58" s="17"/>
      <c r="P58" s="17"/>
      <c r="Q58" s="17"/>
      <c r="R58" s="251"/>
      <c r="S58" s="251"/>
      <c r="T58" s="251"/>
      <c r="U58" s="251"/>
      <c r="V58" s="251"/>
      <c r="W58" s="251"/>
      <c r="X58" s="251"/>
      <c r="Y58" s="251"/>
      <c r="Z58" s="250">
        <f t="shared" si="8"/>
        <v>0</v>
      </c>
      <c r="AA58" s="363">
        <f t="shared" si="2"/>
        <v>0</v>
      </c>
    </row>
    <row r="59" spans="1:27" s="249" customFormat="1">
      <c r="A59" s="14">
        <v>51</v>
      </c>
      <c r="B59" s="251"/>
      <c r="C59" s="251"/>
      <c r="D59" s="251"/>
      <c r="E59" s="252"/>
      <c r="F59" s="252"/>
      <c r="G59" s="248">
        <f t="shared" si="7"/>
        <v>0</v>
      </c>
      <c r="H59" s="251"/>
      <c r="I59" s="251"/>
      <c r="J59" s="251"/>
      <c r="K59" s="251"/>
      <c r="L59" s="251"/>
      <c r="M59" s="251"/>
      <c r="N59" s="17"/>
      <c r="O59" s="17"/>
      <c r="P59" s="17"/>
      <c r="Q59" s="17"/>
      <c r="R59" s="251"/>
      <c r="S59" s="251"/>
      <c r="T59" s="251"/>
      <c r="U59" s="251"/>
      <c r="V59" s="251"/>
      <c r="W59" s="251"/>
      <c r="X59" s="251"/>
      <c r="Y59" s="251"/>
      <c r="Z59" s="250">
        <f t="shared" si="8"/>
        <v>0</v>
      </c>
      <c r="AA59" s="363">
        <f t="shared" si="2"/>
        <v>0</v>
      </c>
    </row>
    <row r="60" spans="1:27" s="249" customFormat="1">
      <c r="A60" s="14">
        <v>52</v>
      </c>
      <c r="B60" s="251"/>
      <c r="C60" s="251"/>
      <c r="D60" s="251"/>
      <c r="E60" s="252"/>
      <c r="F60" s="252"/>
      <c r="G60" s="248">
        <f t="shared" si="7"/>
        <v>0</v>
      </c>
      <c r="H60" s="251"/>
      <c r="I60" s="251"/>
      <c r="J60" s="251"/>
      <c r="K60" s="251"/>
      <c r="L60" s="251"/>
      <c r="M60" s="251"/>
      <c r="N60" s="17"/>
      <c r="O60" s="17"/>
      <c r="P60" s="17"/>
      <c r="Q60" s="17"/>
      <c r="R60" s="251"/>
      <c r="S60" s="251"/>
      <c r="T60" s="251"/>
      <c r="U60" s="251"/>
      <c r="V60" s="251"/>
      <c r="W60" s="251"/>
      <c r="X60" s="251"/>
      <c r="Y60" s="251"/>
      <c r="Z60" s="250">
        <f t="shared" si="8"/>
        <v>0</v>
      </c>
      <c r="AA60" s="363">
        <f t="shared" si="2"/>
        <v>0</v>
      </c>
    </row>
    <row r="61" spans="1:27" s="249" customFormat="1">
      <c r="A61" s="14">
        <v>53</v>
      </c>
      <c r="B61" s="251"/>
      <c r="C61" s="251"/>
      <c r="D61" s="251"/>
      <c r="E61" s="252"/>
      <c r="F61" s="252"/>
      <c r="G61" s="248">
        <f t="shared" si="7"/>
        <v>0</v>
      </c>
      <c r="H61" s="251"/>
      <c r="I61" s="251"/>
      <c r="J61" s="251"/>
      <c r="K61" s="251"/>
      <c r="L61" s="251"/>
      <c r="M61" s="251"/>
      <c r="N61" s="17"/>
      <c r="O61" s="17"/>
      <c r="P61" s="17"/>
      <c r="Q61" s="17"/>
      <c r="R61" s="251"/>
      <c r="S61" s="251"/>
      <c r="T61" s="251"/>
      <c r="U61" s="251"/>
      <c r="V61" s="251"/>
      <c r="W61" s="251"/>
      <c r="X61" s="251"/>
      <c r="Y61" s="251"/>
      <c r="Z61" s="250">
        <f t="shared" si="8"/>
        <v>0</v>
      </c>
      <c r="AA61" s="363">
        <f t="shared" si="2"/>
        <v>0</v>
      </c>
    </row>
    <row r="62" spans="1:27" s="249" customFormat="1">
      <c r="A62" s="14">
        <v>54</v>
      </c>
      <c r="B62" s="251"/>
      <c r="C62" s="251"/>
      <c r="D62" s="251"/>
      <c r="E62" s="252"/>
      <c r="F62" s="252"/>
      <c r="G62" s="248">
        <f t="shared" si="7"/>
        <v>0</v>
      </c>
      <c r="H62" s="251"/>
      <c r="I62" s="251"/>
      <c r="J62" s="251"/>
      <c r="K62" s="251"/>
      <c r="L62" s="251"/>
      <c r="M62" s="251"/>
      <c r="N62" s="17"/>
      <c r="O62" s="17"/>
      <c r="P62" s="17"/>
      <c r="Q62" s="17"/>
      <c r="R62" s="251"/>
      <c r="S62" s="251"/>
      <c r="T62" s="251"/>
      <c r="U62" s="251"/>
      <c r="V62" s="251"/>
      <c r="W62" s="251"/>
      <c r="X62" s="251"/>
      <c r="Y62" s="251"/>
      <c r="Z62" s="250">
        <f t="shared" si="8"/>
        <v>0</v>
      </c>
      <c r="AA62" s="363">
        <f t="shared" si="2"/>
        <v>0</v>
      </c>
    </row>
    <row r="63" spans="1:27" s="249" customFormat="1">
      <c r="A63" s="14">
        <v>55</v>
      </c>
      <c r="B63" s="251"/>
      <c r="C63" s="251"/>
      <c r="D63" s="251"/>
      <c r="E63" s="252"/>
      <c r="F63" s="252"/>
      <c r="G63" s="248">
        <f t="shared" si="7"/>
        <v>0</v>
      </c>
      <c r="H63" s="251"/>
      <c r="I63" s="251"/>
      <c r="J63" s="251"/>
      <c r="K63" s="251"/>
      <c r="L63" s="251"/>
      <c r="M63" s="251"/>
      <c r="N63" s="17"/>
      <c r="O63" s="17"/>
      <c r="P63" s="17"/>
      <c r="Q63" s="17"/>
      <c r="R63" s="251"/>
      <c r="S63" s="251"/>
      <c r="T63" s="251"/>
      <c r="U63" s="251"/>
      <c r="V63" s="251"/>
      <c r="W63" s="251"/>
      <c r="X63" s="251"/>
      <c r="Y63" s="251"/>
      <c r="Z63" s="250">
        <f t="shared" si="8"/>
        <v>0</v>
      </c>
      <c r="AA63" s="363">
        <f t="shared" si="2"/>
        <v>0</v>
      </c>
    </row>
    <row r="64" spans="1:27" s="249" customFormat="1">
      <c r="A64" s="14">
        <v>56</v>
      </c>
      <c r="B64" s="251"/>
      <c r="C64" s="251"/>
      <c r="D64" s="251"/>
      <c r="E64" s="252"/>
      <c r="F64" s="252"/>
      <c r="G64" s="248">
        <f t="shared" si="7"/>
        <v>0</v>
      </c>
      <c r="H64" s="251"/>
      <c r="I64" s="251"/>
      <c r="J64" s="251"/>
      <c r="K64" s="251"/>
      <c r="L64" s="251"/>
      <c r="M64" s="251"/>
      <c r="N64" s="17"/>
      <c r="O64" s="17"/>
      <c r="P64" s="17"/>
      <c r="Q64" s="17"/>
      <c r="R64" s="251"/>
      <c r="S64" s="251"/>
      <c r="T64" s="251"/>
      <c r="U64" s="251"/>
      <c r="V64" s="251"/>
      <c r="W64" s="251"/>
      <c r="X64" s="251"/>
      <c r="Y64" s="251"/>
      <c r="Z64" s="250">
        <f t="shared" si="8"/>
        <v>0</v>
      </c>
      <c r="AA64" s="363">
        <f t="shared" si="2"/>
        <v>0</v>
      </c>
    </row>
    <row r="65" spans="1:27" s="249" customFormat="1">
      <c r="A65" s="14">
        <v>57</v>
      </c>
      <c r="B65" s="251"/>
      <c r="C65" s="251"/>
      <c r="D65" s="251"/>
      <c r="E65" s="252"/>
      <c r="F65" s="252"/>
      <c r="G65" s="248">
        <f t="shared" si="7"/>
        <v>0</v>
      </c>
      <c r="H65" s="251"/>
      <c r="I65" s="251"/>
      <c r="J65" s="251"/>
      <c r="K65" s="251"/>
      <c r="L65" s="251"/>
      <c r="M65" s="251"/>
      <c r="N65" s="17"/>
      <c r="O65" s="17"/>
      <c r="P65" s="17"/>
      <c r="Q65" s="17"/>
      <c r="R65" s="251"/>
      <c r="S65" s="251"/>
      <c r="T65" s="251"/>
      <c r="U65" s="251"/>
      <c r="V65" s="251"/>
      <c r="W65" s="251"/>
      <c r="X65" s="251"/>
      <c r="Y65" s="251"/>
      <c r="Z65" s="250">
        <f t="shared" si="8"/>
        <v>0</v>
      </c>
      <c r="AA65" s="363">
        <f t="shared" si="2"/>
        <v>0</v>
      </c>
    </row>
    <row r="66" spans="1:27" s="249" customFormat="1">
      <c r="A66" s="14">
        <v>58</v>
      </c>
      <c r="B66" s="251"/>
      <c r="C66" s="251"/>
      <c r="D66" s="251"/>
      <c r="E66" s="252"/>
      <c r="F66" s="252"/>
      <c r="G66" s="248">
        <f t="shared" si="7"/>
        <v>0</v>
      </c>
      <c r="H66" s="251"/>
      <c r="I66" s="251"/>
      <c r="J66" s="251"/>
      <c r="K66" s="251"/>
      <c r="L66" s="251"/>
      <c r="M66" s="251"/>
      <c r="N66" s="17"/>
      <c r="O66" s="17"/>
      <c r="P66" s="17"/>
      <c r="Q66" s="17"/>
      <c r="R66" s="251"/>
      <c r="S66" s="251"/>
      <c r="T66" s="251"/>
      <c r="U66" s="251"/>
      <c r="V66" s="251"/>
      <c r="W66" s="251"/>
      <c r="X66" s="251"/>
      <c r="Y66" s="251"/>
      <c r="Z66" s="250">
        <f t="shared" si="8"/>
        <v>0</v>
      </c>
      <c r="AA66" s="363">
        <f t="shared" si="2"/>
        <v>0</v>
      </c>
    </row>
    <row r="67" spans="1:27" s="249" customFormat="1">
      <c r="A67" s="14">
        <v>59</v>
      </c>
      <c r="B67" s="251"/>
      <c r="C67" s="251"/>
      <c r="D67" s="251"/>
      <c r="E67" s="252"/>
      <c r="F67" s="252"/>
      <c r="G67" s="248">
        <f t="shared" si="7"/>
        <v>0</v>
      </c>
      <c r="H67" s="251"/>
      <c r="I67" s="251"/>
      <c r="J67" s="251"/>
      <c r="K67" s="251"/>
      <c r="L67" s="251"/>
      <c r="M67" s="251"/>
      <c r="N67" s="17"/>
      <c r="O67" s="17"/>
      <c r="P67" s="17"/>
      <c r="Q67" s="17"/>
      <c r="R67" s="251"/>
      <c r="S67" s="251"/>
      <c r="T67" s="251"/>
      <c r="U67" s="251"/>
      <c r="V67" s="251"/>
      <c r="W67" s="251"/>
      <c r="X67" s="251"/>
      <c r="Y67" s="251"/>
      <c r="Z67" s="250">
        <f t="shared" si="8"/>
        <v>0</v>
      </c>
      <c r="AA67" s="363">
        <f t="shared" si="2"/>
        <v>0</v>
      </c>
    </row>
    <row r="68" spans="1:27" s="249" customFormat="1">
      <c r="A68" s="14">
        <v>60</v>
      </c>
      <c r="B68" s="251"/>
      <c r="C68" s="251"/>
      <c r="D68" s="251"/>
      <c r="E68" s="252"/>
      <c r="F68" s="252"/>
      <c r="G68" s="248">
        <f t="shared" si="7"/>
        <v>0</v>
      </c>
      <c r="H68" s="251"/>
      <c r="I68" s="251"/>
      <c r="J68" s="251"/>
      <c r="K68" s="251"/>
      <c r="L68" s="251"/>
      <c r="M68" s="251"/>
      <c r="N68" s="17"/>
      <c r="O68" s="17"/>
      <c r="P68" s="17"/>
      <c r="Q68" s="17"/>
      <c r="R68" s="251"/>
      <c r="S68" s="251"/>
      <c r="T68" s="251"/>
      <c r="U68" s="251"/>
      <c r="V68" s="251"/>
      <c r="W68" s="251"/>
      <c r="X68" s="251"/>
      <c r="Y68" s="251"/>
      <c r="Z68" s="250">
        <f t="shared" si="8"/>
        <v>0</v>
      </c>
      <c r="AA68" s="363">
        <f t="shared" si="2"/>
        <v>0</v>
      </c>
    </row>
    <row r="69" spans="1:27" s="249" customFormat="1">
      <c r="A69" s="14">
        <v>61</v>
      </c>
      <c r="B69" s="251"/>
      <c r="C69" s="251"/>
      <c r="D69" s="251"/>
      <c r="E69" s="252"/>
      <c r="F69" s="252"/>
      <c r="G69" s="248">
        <f t="shared" si="7"/>
        <v>0</v>
      </c>
      <c r="H69" s="251"/>
      <c r="I69" s="251"/>
      <c r="J69" s="251"/>
      <c r="K69" s="251"/>
      <c r="L69" s="251"/>
      <c r="M69" s="251"/>
      <c r="N69" s="17"/>
      <c r="O69" s="17"/>
      <c r="P69" s="17"/>
      <c r="Q69" s="17"/>
      <c r="R69" s="251"/>
      <c r="S69" s="251"/>
      <c r="T69" s="251"/>
      <c r="U69" s="251"/>
      <c r="V69" s="251"/>
      <c r="W69" s="251"/>
      <c r="X69" s="251"/>
      <c r="Y69" s="251"/>
      <c r="Z69" s="250">
        <f t="shared" si="8"/>
        <v>0</v>
      </c>
      <c r="AA69" s="363">
        <f t="shared" si="2"/>
        <v>0</v>
      </c>
    </row>
    <row r="70" spans="1:27" s="249" customFormat="1">
      <c r="A70" s="14">
        <v>62</v>
      </c>
      <c r="B70" s="251"/>
      <c r="C70" s="251"/>
      <c r="D70" s="251"/>
      <c r="E70" s="252"/>
      <c r="F70" s="252"/>
      <c r="G70" s="248">
        <f t="shared" si="7"/>
        <v>0</v>
      </c>
      <c r="H70" s="251"/>
      <c r="I70" s="251"/>
      <c r="J70" s="251"/>
      <c r="K70" s="251"/>
      <c r="L70" s="251"/>
      <c r="M70" s="251"/>
      <c r="N70" s="17"/>
      <c r="O70" s="17"/>
      <c r="P70" s="17"/>
      <c r="Q70" s="17"/>
      <c r="R70" s="251"/>
      <c r="S70" s="251"/>
      <c r="T70" s="251"/>
      <c r="U70" s="251"/>
      <c r="V70" s="251"/>
      <c r="W70" s="251"/>
      <c r="X70" s="251"/>
      <c r="Y70" s="251"/>
      <c r="Z70" s="250">
        <f t="shared" si="8"/>
        <v>0</v>
      </c>
      <c r="AA70" s="363">
        <f t="shared" si="2"/>
        <v>0</v>
      </c>
    </row>
    <row r="71" spans="1:27" s="249" customFormat="1">
      <c r="A71" s="14">
        <v>63</v>
      </c>
      <c r="B71" s="251"/>
      <c r="C71" s="251"/>
      <c r="D71" s="251"/>
      <c r="E71" s="252"/>
      <c r="F71" s="252"/>
      <c r="G71" s="248">
        <f t="shared" si="7"/>
        <v>0</v>
      </c>
      <c r="H71" s="251"/>
      <c r="I71" s="251"/>
      <c r="J71" s="251"/>
      <c r="K71" s="251"/>
      <c r="L71" s="251"/>
      <c r="M71" s="251"/>
      <c r="N71" s="17"/>
      <c r="O71" s="17"/>
      <c r="P71" s="17"/>
      <c r="Q71" s="17"/>
      <c r="R71" s="251"/>
      <c r="S71" s="251"/>
      <c r="T71" s="251"/>
      <c r="U71" s="251"/>
      <c r="V71" s="251"/>
      <c r="W71" s="251"/>
      <c r="X71" s="251"/>
      <c r="Y71" s="251"/>
      <c r="Z71" s="250">
        <f t="shared" si="8"/>
        <v>0</v>
      </c>
      <c r="AA71" s="363">
        <f t="shared" si="2"/>
        <v>0</v>
      </c>
    </row>
    <row r="72" spans="1:27" s="249" customFormat="1">
      <c r="A72" s="14">
        <v>64</v>
      </c>
      <c r="B72" s="251"/>
      <c r="C72" s="251"/>
      <c r="D72" s="251"/>
      <c r="E72" s="252"/>
      <c r="F72" s="252"/>
      <c r="G72" s="248">
        <f t="shared" si="7"/>
        <v>0</v>
      </c>
      <c r="H72" s="251"/>
      <c r="I72" s="251"/>
      <c r="J72" s="251"/>
      <c r="K72" s="251"/>
      <c r="L72" s="251"/>
      <c r="M72" s="251"/>
      <c r="N72" s="17"/>
      <c r="O72" s="17"/>
      <c r="P72" s="17"/>
      <c r="Q72" s="17"/>
      <c r="R72" s="251"/>
      <c r="S72" s="251"/>
      <c r="T72" s="251"/>
      <c r="U72" s="251"/>
      <c r="V72" s="251"/>
      <c r="W72" s="251"/>
      <c r="X72" s="251"/>
      <c r="Y72" s="251"/>
      <c r="Z72" s="250">
        <f t="shared" si="8"/>
        <v>0</v>
      </c>
      <c r="AA72" s="363">
        <f t="shared" si="2"/>
        <v>0</v>
      </c>
    </row>
    <row r="73" spans="1:27" s="249" customFormat="1">
      <c r="A73" s="14">
        <v>65</v>
      </c>
      <c r="B73" s="251"/>
      <c r="C73" s="251"/>
      <c r="D73" s="251"/>
      <c r="E73" s="252"/>
      <c r="F73" s="252"/>
      <c r="G73" s="248">
        <f t="shared" si="7"/>
        <v>0</v>
      </c>
      <c r="H73" s="251"/>
      <c r="I73" s="251"/>
      <c r="J73" s="251"/>
      <c r="K73" s="251"/>
      <c r="L73" s="251"/>
      <c r="M73" s="251"/>
      <c r="N73" s="17"/>
      <c r="O73" s="17"/>
      <c r="P73" s="17"/>
      <c r="Q73" s="17"/>
      <c r="R73" s="251"/>
      <c r="S73" s="251"/>
      <c r="T73" s="251"/>
      <c r="U73" s="251"/>
      <c r="V73" s="251"/>
      <c r="W73" s="251"/>
      <c r="X73" s="251"/>
      <c r="Y73" s="251"/>
      <c r="Z73" s="250">
        <f t="shared" si="8"/>
        <v>0</v>
      </c>
      <c r="AA73" s="363">
        <f t="shared" ref="AA73:AA88" si="9">SUMIF($F$9:$F$88,$F73,$Z$9:$Z$88)</f>
        <v>0</v>
      </c>
    </row>
    <row r="74" spans="1:27" s="249" customFormat="1">
      <c r="A74" s="14">
        <v>66</v>
      </c>
      <c r="B74" s="251"/>
      <c r="C74" s="251"/>
      <c r="D74" s="251"/>
      <c r="E74" s="252"/>
      <c r="F74" s="252"/>
      <c r="G74" s="248">
        <f t="shared" si="7"/>
        <v>0</v>
      </c>
      <c r="H74" s="251"/>
      <c r="I74" s="251"/>
      <c r="J74" s="251"/>
      <c r="K74" s="251"/>
      <c r="L74" s="251"/>
      <c r="M74" s="251"/>
      <c r="N74" s="17"/>
      <c r="O74" s="17"/>
      <c r="P74" s="17"/>
      <c r="Q74" s="17"/>
      <c r="R74" s="251"/>
      <c r="S74" s="251"/>
      <c r="T74" s="251"/>
      <c r="U74" s="251"/>
      <c r="V74" s="251"/>
      <c r="W74" s="251"/>
      <c r="X74" s="251"/>
      <c r="Y74" s="251"/>
      <c r="Z74" s="250">
        <f t="shared" si="8"/>
        <v>0</v>
      </c>
      <c r="AA74" s="363">
        <f t="shared" si="9"/>
        <v>0</v>
      </c>
    </row>
    <row r="75" spans="1:27" s="249" customFormat="1">
      <c r="A75" s="14">
        <v>67</v>
      </c>
      <c r="B75" s="251"/>
      <c r="C75" s="251"/>
      <c r="D75" s="251"/>
      <c r="E75" s="252"/>
      <c r="F75" s="252"/>
      <c r="G75" s="248">
        <f t="shared" si="7"/>
        <v>0</v>
      </c>
      <c r="H75" s="251"/>
      <c r="I75" s="251"/>
      <c r="J75" s="251"/>
      <c r="K75" s="251"/>
      <c r="L75" s="251"/>
      <c r="M75" s="251"/>
      <c r="N75" s="17"/>
      <c r="O75" s="17"/>
      <c r="P75" s="17"/>
      <c r="Q75" s="17"/>
      <c r="R75" s="251"/>
      <c r="S75" s="251"/>
      <c r="T75" s="251"/>
      <c r="U75" s="251"/>
      <c r="V75" s="251"/>
      <c r="W75" s="251"/>
      <c r="X75" s="251"/>
      <c r="Y75" s="251"/>
      <c r="Z75" s="250">
        <f t="shared" si="8"/>
        <v>0</v>
      </c>
      <c r="AA75" s="363">
        <f t="shared" si="9"/>
        <v>0</v>
      </c>
    </row>
    <row r="76" spans="1:27" s="249" customFormat="1">
      <c r="A76" s="14">
        <v>68</v>
      </c>
      <c r="B76" s="251"/>
      <c r="C76" s="251"/>
      <c r="D76" s="251"/>
      <c r="E76" s="252"/>
      <c r="F76" s="252"/>
      <c r="G76" s="248">
        <f t="shared" si="3"/>
        <v>0</v>
      </c>
      <c r="H76" s="251"/>
      <c r="I76" s="251"/>
      <c r="J76" s="251"/>
      <c r="K76" s="251"/>
      <c r="L76" s="251"/>
      <c r="M76" s="251"/>
      <c r="N76" s="17"/>
      <c r="O76" s="17"/>
      <c r="P76" s="17"/>
      <c r="Q76" s="17"/>
      <c r="R76" s="251"/>
      <c r="S76" s="251"/>
      <c r="T76" s="251"/>
      <c r="U76" s="251"/>
      <c r="V76" s="251"/>
      <c r="W76" s="251"/>
      <c r="X76" s="251"/>
      <c r="Y76" s="251"/>
      <c r="Z76" s="250">
        <f t="shared" si="4"/>
        <v>0</v>
      </c>
      <c r="AA76" s="363">
        <f t="shared" si="9"/>
        <v>0</v>
      </c>
    </row>
    <row r="77" spans="1:27" s="249" customFormat="1">
      <c r="A77" s="14">
        <v>69</v>
      </c>
      <c r="B77" s="251"/>
      <c r="C77" s="251"/>
      <c r="D77" s="251"/>
      <c r="E77" s="252"/>
      <c r="F77" s="252"/>
      <c r="G77" s="248">
        <f t="shared" si="3"/>
        <v>0</v>
      </c>
      <c r="H77" s="251"/>
      <c r="I77" s="251"/>
      <c r="J77" s="251"/>
      <c r="K77" s="251"/>
      <c r="L77" s="251"/>
      <c r="M77" s="251"/>
      <c r="N77" s="17"/>
      <c r="O77" s="17"/>
      <c r="P77" s="17"/>
      <c r="Q77" s="17"/>
      <c r="R77" s="251"/>
      <c r="S77" s="251"/>
      <c r="T77" s="251"/>
      <c r="U77" s="251"/>
      <c r="V77" s="251"/>
      <c r="W77" s="251"/>
      <c r="X77" s="251"/>
      <c r="Y77" s="251"/>
      <c r="Z77" s="250">
        <f t="shared" si="4"/>
        <v>0</v>
      </c>
      <c r="AA77" s="363">
        <f t="shared" si="9"/>
        <v>0</v>
      </c>
    </row>
    <row r="78" spans="1:27" s="249" customFormat="1">
      <c r="A78" s="14">
        <v>70</v>
      </c>
      <c r="B78" s="251"/>
      <c r="C78" s="251"/>
      <c r="D78" s="251"/>
      <c r="E78" s="252"/>
      <c r="F78" s="252"/>
      <c r="G78" s="248">
        <f t="shared" si="3"/>
        <v>0</v>
      </c>
      <c r="H78" s="251"/>
      <c r="I78" s="251"/>
      <c r="J78" s="251"/>
      <c r="K78" s="251"/>
      <c r="L78" s="251"/>
      <c r="M78" s="251"/>
      <c r="N78" s="17"/>
      <c r="O78" s="17"/>
      <c r="P78" s="17"/>
      <c r="Q78" s="17"/>
      <c r="R78" s="251"/>
      <c r="S78" s="251"/>
      <c r="T78" s="251"/>
      <c r="U78" s="251"/>
      <c r="V78" s="251"/>
      <c r="W78" s="251"/>
      <c r="X78" s="251"/>
      <c r="Y78" s="251"/>
      <c r="Z78" s="250">
        <f t="shared" si="4"/>
        <v>0</v>
      </c>
      <c r="AA78" s="363">
        <f t="shared" si="9"/>
        <v>0</v>
      </c>
    </row>
    <row r="79" spans="1:27" s="249" customFormat="1">
      <c r="A79" s="14">
        <v>71</v>
      </c>
      <c r="B79" s="251"/>
      <c r="C79" s="251"/>
      <c r="D79" s="251"/>
      <c r="E79" s="252"/>
      <c r="F79" s="252"/>
      <c r="G79" s="248">
        <f t="shared" si="3"/>
        <v>0</v>
      </c>
      <c r="H79" s="251"/>
      <c r="I79" s="251"/>
      <c r="J79" s="251"/>
      <c r="K79" s="251"/>
      <c r="L79" s="251"/>
      <c r="M79" s="251"/>
      <c r="N79" s="17"/>
      <c r="O79" s="17"/>
      <c r="P79" s="17"/>
      <c r="Q79" s="17"/>
      <c r="R79" s="251"/>
      <c r="S79" s="251"/>
      <c r="T79" s="251"/>
      <c r="U79" s="251"/>
      <c r="V79" s="251"/>
      <c r="W79" s="251"/>
      <c r="X79" s="251"/>
      <c r="Y79" s="251"/>
      <c r="Z79" s="250">
        <f t="shared" si="4"/>
        <v>0</v>
      </c>
      <c r="AA79" s="363">
        <f t="shared" si="9"/>
        <v>0</v>
      </c>
    </row>
    <row r="80" spans="1:27" s="249" customFormat="1">
      <c r="A80" s="14">
        <v>72</v>
      </c>
      <c r="B80" s="251"/>
      <c r="C80" s="251"/>
      <c r="D80" s="251"/>
      <c r="E80" s="252"/>
      <c r="F80" s="252"/>
      <c r="G80" s="248">
        <f t="shared" si="3"/>
        <v>0</v>
      </c>
      <c r="H80" s="251"/>
      <c r="I80" s="251"/>
      <c r="J80" s="251"/>
      <c r="K80" s="251"/>
      <c r="L80" s="251"/>
      <c r="M80" s="251"/>
      <c r="N80" s="17"/>
      <c r="O80" s="17"/>
      <c r="P80" s="17"/>
      <c r="Q80" s="17"/>
      <c r="R80" s="251"/>
      <c r="S80" s="251"/>
      <c r="T80" s="251"/>
      <c r="U80" s="251"/>
      <c r="V80" s="251"/>
      <c r="W80" s="251"/>
      <c r="X80" s="251"/>
      <c r="Y80" s="251"/>
      <c r="Z80" s="250">
        <f t="shared" si="4"/>
        <v>0</v>
      </c>
      <c r="AA80" s="363">
        <f t="shared" si="9"/>
        <v>0</v>
      </c>
    </row>
    <row r="81" spans="1:27" s="249" customFormat="1">
      <c r="A81" s="14">
        <v>73</v>
      </c>
      <c r="B81" s="251"/>
      <c r="C81" s="251"/>
      <c r="D81" s="251"/>
      <c r="E81" s="252"/>
      <c r="F81" s="252"/>
      <c r="G81" s="248">
        <f t="shared" si="3"/>
        <v>0</v>
      </c>
      <c r="H81" s="251"/>
      <c r="I81" s="251"/>
      <c r="J81" s="251"/>
      <c r="K81" s="251"/>
      <c r="L81" s="251"/>
      <c r="M81" s="251"/>
      <c r="N81" s="17"/>
      <c r="O81" s="17"/>
      <c r="P81" s="17"/>
      <c r="Q81" s="17"/>
      <c r="R81" s="251"/>
      <c r="S81" s="251"/>
      <c r="T81" s="251"/>
      <c r="U81" s="251"/>
      <c r="V81" s="251"/>
      <c r="W81" s="251"/>
      <c r="X81" s="251"/>
      <c r="Y81" s="251"/>
      <c r="Z81" s="250">
        <f t="shared" si="4"/>
        <v>0</v>
      </c>
      <c r="AA81" s="363">
        <f t="shared" si="9"/>
        <v>0</v>
      </c>
    </row>
    <row r="82" spans="1:27" s="249" customFormat="1">
      <c r="A82" s="14">
        <v>74</v>
      </c>
      <c r="B82" s="251"/>
      <c r="C82" s="251"/>
      <c r="D82" s="251"/>
      <c r="E82" s="252"/>
      <c r="F82" s="252"/>
      <c r="G82" s="248">
        <f t="shared" si="3"/>
        <v>0</v>
      </c>
      <c r="H82" s="251"/>
      <c r="I82" s="251"/>
      <c r="J82" s="251"/>
      <c r="K82" s="251"/>
      <c r="L82" s="251"/>
      <c r="M82" s="251"/>
      <c r="N82" s="17"/>
      <c r="O82" s="17"/>
      <c r="P82" s="17"/>
      <c r="Q82" s="17"/>
      <c r="R82" s="251"/>
      <c r="S82" s="251"/>
      <c r="T82" s="251"/>
      <c r="U82" s="251"/>
      <c r="V82" s="251"/>
      <c r="W82" s="251"/>
      <c r="X82" s="251"/>
      <c r="Y82" s="251"/>
      <c r="Z82" s="250">
        <f t="shared" si="4"/>
        <v>0</v>
      </c>
      <c r="AA82" s="363">
        <f t="shared" si="9"/>
        <v>0</v>
      </c>
    </row>
    <row r="83" spans="1:27" s="249" customFormat="1">
      <c r="A83" s="14">
        <v>75</v>
      </c>
      <c r="B83" s="251"/>
      <c r="C83" s="251"/>
      <c r="D83" s="251"/>
      <c r="E83" s="252"/>
      <c r="F83" s="252"/>
      <c r="G83" s="248">
        <f t="shared" si="3"/>
        <v>0</v>
      </c>
      <c r="H83" s="251"/>
      <c r="I83" s="251"/>
      <c r="J83" s="251"/>
      <c r="K83" s="251"/>
      <c r="L83" s="251"/>
      <c r="M83" s="251"/>
      <c r="N83" s="17"/>
      <c r="O83" s="17"/>
      <c r="P83" s="17"/>
      <c r="Q83" s="17"/>
      <c r="R83" s="251"/>
      <c r="S83" s="251"/>
      <c r="T83" s="251"/>
      <c r="U83" s="251"/>
      <c r="V83" s="251"/>
      <c r="W83" s="251"/>
      <c r="X83" s="251"/>
      <c r="Y83" s="251"/>
      <c r="Z83" s="250">
        <f t="shared" si="4"/>
        <v>0</v>
      </c>
      <c r="AA83" s="363">
        <f t="shared" si="9"/>
        <v>0</v>
      </c>
    </row>
    <row r="84" spans="1:27" s="249" customFormat="1">
      <c r="A84" s="14">
        <v>76</v>
      </c>
      <c r="B84" s="251"/>
      <c r="C84" s="251"/>
      <c r="D84" s="251"/>
      <c r="E84" s="252"/>
      <c r="F84" s="252"/>
      <c r="G84" s="248">
        <f t="shared" si="3"/>
        <v>0</v>
      </c>
      <c r="H84" s="251"/>
      <c r="I84" s="251"/>
      <c r="J84" s="251"/>
      <c r="K84" s="251"/>
      <c r="L84" s="251"/>
      <c r="M84" s="251"/>
      <c r="N84" s="17"/>
      <c r="O84" s="17"/>
      <c r="P84" s="17"/>
      <c r="Q84" s="17"/>
      <c r="R84" s="251"/>
      <c r="S84" s="251"/>
      <c r="T84" s="251"/>
      <c r="U84" s="251"/>
      <c r="V84" s="251"/>
      <c r="W84" s="251"/>
      <c r="X84" s="251"/>
      <c r="Y84" s="251"/>
      <c r="Z84" s="250">
        <f t="shared" si="4"/>
        <v>0</v>
      </c>
      <c r="AA84" s="363">
        <f t="shared" si="9"/>
        <v>0</v>
      </c>
    </row>
    <row r="85" spans="1:27" s="249" customFormat="1">
      <c r="A85" s="14">
        <v>77</v>
      </c>
      <c r="B85" s="251"/>
      <c r="C85" s="251"/>
      <c r="D85" s="251"/>
      <c r="E85" s="252"/>
      <c r="F85" s="252"/>
      <c r="G85" s="248">
        <f t="shared" si="3"/>
        <v>0</v>
      </c>
      <c r="H85" s="251"/>
      <c r="I85" s="251"/>
      <c r="J85" s="251"/>
      <c r="K85" s="251"/>
      <c r="L85" s="251"/>
      <c r="M85" s="251"/>
      <c r="N85" s="17"/>
      <c r="O85" s="17"/>
      <c r="P85" s="17"/>
      <c r="Q85" s="17"/>
      <c r="R85" s="251"/>
      <c r="S85" s="251"/>
      <c r="T85" s="251"/>
      <c r="U85" s="251"/>
      <c r="V85" s="251"/>
      <c r="W85" s="251"/>
      <c r="X85" s="251"/>
      <c r="Y85" s="251"/>
      <c r="Z85" s="250">
        <f t="shared" si="4"/>
        <v>0</v>
      </c>
      <c r="AA85" s="363">
        <f t="shared" si="9"/>
        <v>0</v>
      </c>
    </row>
    <row r="86" spans="1:27" s="249" customFormat="1">
      <c r="A86" s="14">
        <v>78</v>
      </c>
      <c r="B86" s="251"/>
      <c r="C86" s="251"/>
      <c r="D86" s="251"/>
      <c r="E86" s="252"/>
      <c r="F86" s="252"/>
      <c r="G86" s="248">
        <f t="shared" si="3"/>
        <v>0</v>
      </c>
      <c r="H86" s="251"/>
      <c r="I86" s="251"/>
      <c r="J86" s="251"/>
      <c r="K86" s="251"/>
      <c r="L86" s="251"/>
      <c r="M86" s="251"/>
      <c r="N86" s="17"/>
      <c r="O86" s="17"/>
      <c r="P86" s="17"/>
      <c r="Q86" s="17"/>
      <c r="R86" s="251"/>
      <c r="S86" s="251"/>
      <c r="T86" s="251"/>
      <c r="U86" s="251"/>
      <c r="V86" s="251"/>
      <c r="W86" s="251"/>
      <c r="X86" s="251"/>
      <c r="Y86" s="251"/>
      <c r="Z86" s="250">
        <f t="shared" si="4"/>
        <v>0</v>
      </c>
      <c r="AA86" s="363">
        <f t="shared" si="9"/>
        <v>0</v>
      </c>
    </row>
    <row r="87" spans="1:27" s="249" customFormat="1">
      <c r="A87" s="14">
        <v>79</v>
      </c>
      <c r="B87" s="251"/>
      <c r="C87" s="251"/>
      <c r="D87" s="251"/>
      <c r="E87" s="252"/>
      <c r="F87" s="252"/>
      <c r="G87" s="248">
        <f t="shared" si="3"/>
        <v>0</v>
      </c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0">
        <f t="shared" si="4"/>
        <v>0</v>
      </c>
      <c r="AA87" s="363">
        <f t="shared" si="9"/>
        <v>0</v>
      </c>
    </row>
    <row r="88" spans="1:27" s="249" customFormat="1">
      <c r="A88" s="14">
        <v>80</v>
      </c>
      <c r="B88" s="251"/>
      <c r="C88" s="251"/>
      <c r="D88" s="251"/>
      <c r="E88" s="252"/>
      <c r="F88" s="252"/>
      <c r="G88" s="248">
        <f t="shared" si="3"/>
        <v>0</v>
      </c>
      <c r="H88" s="251"/>
      <c r="I88" s="251"/>
      <c r="J88" s="251"/>
      <c r="K88" s="251"/>
      <c r="L88" s="251"/>
      <c r="M88" s="251"/>
      <c r="N88" s="17"/>
      <c r="O88" s="17"/>
      <c r="P88" s="17"/>
      <c r="Q88" s="17"/>
      <c r="R88" s="251"/>
      <c r="S88" s="251"/>
      <c r="T88" s="251"/>
      <c r="U88" s="251"/>
      <c r="V88" s="251"/>
      <c r="W88" s="251"/>
      <c r="X88" s="251"/>
      <c r="Y88" s="251"/>
      <c r="Z88" s="250">
        <f t="shared" si="4"/>
        <v>0</v>
      </c>
      <c r="AA88" s="363">
        <f t="shared" si="9"/>
        <v>0</v>
      </c>
    </row>
    <row r="89" spans="1:27" s="15" customFormat="1" ht="29.25" customHeight="1">
      <c r="A89" s="596" t="s">
        <v>455</v>
      </c>
      <c r="B89" s="597"/>
      <c r="C89" s="597"/>
      <c r="D89" s="597"/>
      <c r="E89" s="597"/>
      <c r="F89" s="598"/>
      <c r="G89" s="266">
        <f t="shared" ref="G89:T89" si="10">SUM(G9:G88)</f>
        <v>217628789</v>
      </c>
      <c r="H89" s="266">
        <f t="shared" si="10"/>
        <v>0</v>
      </c>
      <c r="I89" s="266">
        <f t="shared" si="10"/>
        <v>3209011</v>
      </c>
      <c r="J89" s="266">
        <f t="shared" si="10"/>
        <v>214277618</v>
      </c>
      <c r="K89" s="266">
        <f t="shared" si="10"/>
        <v>0</v>
      </c>
      <c r="L89" s="266">
        <f t="shared" si="10"/>
        <v>0</v>
      </c>
      <c r="M89" s="266">
        <f t="shared" si="10"/>
        <v>0</v>
      </c>
      <c r="N89" s="266">
        <f t="shared" si="10"/>
        <v>0</v>
      </c>
      <c r="O89" s="266">
        <f t="shared" si="10"/>
        <v>0</v>
      </c>
      <c r="P89" s="266">
        <f t="shared" si="10"/>
        <v>710783</v>
      </c>
      <c r="Q89" s="266">
        <f t="shared" si="10"/>
        <v>142160</v>
      </c>
      <c r="R89" s="266">
        <f t="shared" si="10"/>
        <v>0</v>
      </c>
      <c r="S89" s="266">
        <f t="shared" si="10"/>
        <v>0</v>
      </c>
      <c r="T89" s="266">
        <f t="shared" si="10"/>
        <v>0</v>
      </c>
      <c r="U89" s="267"/>
      <c r="V89" s="266">
        <f>SUM(V9:V88)</f>
        <v>0</v>
      </c>
      <c r="W89" s="267"/>
      <c r="X89" s="266">
        <f>SUM(X9:X88)</f>
        <v>674</v>
      </c>
      <c r="Y89" s="266">
        <f>SUM(Y9:Y88)</f>
        <v>0</v>
      </c>
      <c r="Z89" s="266">
        <f>SUM(Z9:Z88)</f>
        <v>217628115</v>
      </c>
      <c r="AA89" s="363"/>
    </row>
    <row r="90" spans="1:27" s="15" customFormat="1" ht="29.25" customHeight="1">
      <c r="A90" s="596" t="s">
        <v>456</v>
      </c>
      <c r="B90" s="597"/>
      <c r="C90" s="597"/>
      <c r="D90" s="597"/>
      <c r="E90" s="597"/>
      <c r="F90" s="598"/>
      <c r="G90" s="266">
        <f>+SUMIF($F$9:$F$88,$AA$90,$G$9:$G$88)</f>
        <v>168775868</v>
      </c>
      <c r="H90" s="266">
        <f>+SUMIF($F$9:$F$88,$AA$90,$H$9:$H$88)</f>
        <v>0</v>
      </c>
      <c r="I90" s="266">
        <f>+SUMIF($F$9:$F$88,$AA$90,$I$9:$I$88)</f>
        <v>0</v>
      </c>
      <c r="J90" s="266">
        <f>+SUMIF($F$9:$F$88,$AA$90,$J$9:$J$88)</f>
        <v>168775868</v>
      </c>
      <c r="K90" s="266">
        <f>+SUMIF($F$9:$F$88,$AA$90,$K$9:$K$88)</f>
        <v>0</v>
      </c>
      <c r="L90" s="266">
        <f>+SUMIF($F$9:$F$88,$AA$90,$L$9:$L$88)</f>
        <v>0</v>
      </c>
      <c r="M90" s="266">
        <f>+SUMIF($F$9:$F$88,$AA$90,$M$9:$M$88)</f>
        <v>0</v>
      </c>
      <c r="N90" s="266">
        <f>+SUMIF($F$9:$F$88,$AA$90,$N$9:$N$88)</f>
        <v>0</v>
      </c>
      <c r="O90" s="266">
        <f>+SUMIF($F$9:$F$88,$AA$90,$O$9:$O$88)</f>
        <v>0</v>
      </c>
      <c r="P90" s="266">
        <f>+SUMIF($F$9:$F$88,$AA$90,$P$9:$P$88)</f>
        <v>0</v>
      </c>
      <c r="Q90" s="266">
        <f>+SUMIF($F$9:$F$88,$AA$90,$Q$9:$Q$88)</f>
        <v>0</v>
      </c>
      <c r="R90" s="266">
        <f>+SUMIF($F$9:$F$88,$AA$90,$R$9:$R$88)</f>
        <v>0</v>
      </c>
      <c r="S90" s="266">
        <f>+SUMIF($F$9:$F$88,$AA$90,$S$9:$S$88)</f>
        <v>0</v>
      </c>
      <c r="T90" s="266">
        <f>+SUMIF($F$9:$F$88,$AA$90,$T$9:$T$88)</f>
        <v>0</v>
      </c>
      <c r="U90" s="267"/>
      <c r="V90" s="266">
        <f>+SUMIF($F$9:$F$88,$AA$90,$V$9:$V$88)</f>
        <v>0</v>
      </c>
      <c r="W90" s="267"/>
      <c r="X90" s="266">
        <f>+SUMIF($F$9:$F$88,$AA$90,$X$9:$X$88)</f>
        <v>0</v>
      </c>
      <c r="Y90" s="266">
        <f>+SUMIF($F$9:$F$88,$AA$90,$Y$9:$Y$88)</f>
        <v>0</v>
      </c>
      <c r="Z90" s="266">
        <f>+MAX(AA9:AA88)</f>
        <v>168775868</v>
      </c>
      <c r="AA90" s="363">
        <f>INDEX($F$9:$F$88,MATCH($Z90,$AA$9:$AA$88,0))</f>
        <v>1</v>
      </c>
    </row>
    <row r="91" spans="1:27" s="15" customFormat="1">
      <c r="AA91" s="365"/>
    </row>
    <row r="92" spans="1:27" ht="16.5" customHeight="1">
      <c r="B92" s="206" t="s">
        <v>788</v>
      </c>
      <c r="F92" s="185"/>
      <c r="G92" s="185"/>
      <c r="H92" s="185"/>
      <c r="I92" s="185"/>
      <c r="J92" s="185"/>
      <c r="K92" s="185"/>
      <c r="L92" s="185"/>
      <c r="M92" s="185"/>
      <c r="AA92" s="30"/>
    </row>
    <row r="93" spans="1:27" ht="11.25" customHeight="1">
      <c r="B93" s="206"/>
      <c r="F93" s="185"/>
      <c r="G93" s="185"/>
      <c r="H93" s="185"/>
      <c r="I93" s="185"/>
      <c r="J93" s="185"/>
      <c r="K93" s="185"/>
      <c r="L93" s="185"/>
      <c r="M93" s="185"/>
      <c r="AA93" s="30"/>
    </row>
    <row r="94" spans="1:27" ht="16.5" customHeight="1">
      <c r="B94" s="206" t="s">
        <v>789</v>
      </c>
      <c r="F94" s="185"/>
      <c r="G94" s="185"/>
      <c r="H94" s="185"/>
      <c r="I94" s="185"/>
      <c r="J94" s="185"/>
      <c r="K94" s="185"/>
      <c r="L94" s="185"/>
      <c r="M94" s="185"/>
      <c r="AA94" s="30"/>
    </row>
    <row r="95" spans="1:27" s="15" customFormat="1">
      <c r="B95" s="211"/>
      <c r="AA95" s="365"/>
    </row>
    <row r="96" spans="1:27" s="15" customFormat="1">
      <c r="B96" s="211"/>
      <c r="AA96" s="365"/>
    </row>
    <row r="97" spans="2:27" s="15" customFormat="1">
      <c r="B97" s="211"/>
      <c r="AA97" s="365"/>
    </row>
    <row r="98" spans="2:27" s="15" customFormat="1">
      <c r="AA98" s="365"/>
    </row>
    <row r="99" spans="2:27" s="15" customFormat="1" ht="15.75">
      <c r="B99" s="608"/>
      <c r="C99" s="608"/>
      <c r="D99" s="608"/>
      <c r="E99" s="608"/>
      <c r="F99" s="608"/>
      <c r="G99" s="608"/>
      <c r="H99" s="608"/>
      <c r="I99" s="608"/>
      <c r="J99" s="608"/>
      <c r="K99" s="608"/>
      <c r="L99" s="608"/>
      <c r="M99" s="608"/>
      <c r="N99" s="608"/>
      <c r="O99" s="608"/>
      <c r="P99" s="608"/>
      <c r="Q99" s="608"/>
      <c r="R99" s="608"/>
      <c r="S99" s="608"/>
      <c r="T99" s="608"/>
      <c r="AA99" s="365"/>
    </row>
    <row r="100" spans="2:27">
      <c r="AA100" s="366"/>
    </row>
    <row r="101" spans="2:27">
      <c r="AA101" s="366"/>
    </row>
    <row r="102" spans="2:27">
      <c r="AA102" s="366"/>
    </row>
    <row r="103" spans="2:27">
      <c r="AA103" s="366"/>
    </row>
    <row r="104" spans="2:27">
      <c r="AA104" s="366"/>
    </row>
    <row r="105" spans="2:27">
      <c r="AA105" s="366"/>
    </row>
    <row r="106" spans="2:27">
      <c r="AA106" s="366"/>
    </row>
    <row r="107" spans="2:27">
      <c r="AA107" s="366"/>
    </row>
    <row r="108" spans="2:27">
      <c r="AA108" s="366"/>
    </row>
    <row r="109" spans="2:27">
      <c r="AA109" s="366"/>
    </row>
    <row r="110" spans="2:27">
      <c r="AA110" s="366"/>
    </row>
    <row r="111" spans="2:27">
      <c r="AA111" s="366"/>
    </row>
    <row r="112" spans="2:27">
      <c r="AA112" s="366"/>
    </row>
    <row r="113" spans="27:27">
      <c r="AA113" s="366"/>
    </row>
    <row r="114" spans="27:27">
      <c r="AA114" s="366"/>
    </row>
    <row r="115" spans="27:27">
      <c r="AA115" s="366"/>
    </row>
    <row r="116" spans="27:27">
      <c r="AA116" s="366"/>
    </row>
    <row r="117" spans="27:27">
      <c r="AA117" s="366"/>
    </row>
    <row r="118" spans="27:27">
      <c r="AA118" s="366"/>
    </row>
    <row r="119" spans="27:27">
      <c r="AA119" s="366"/>
    </row>
    <row r="120" spans="27:27">
      <c r="AA120" s="366"/>
    </row>
    <row r="121" spans="27:27">
      <c r="AA121" s="366"/>
    </row>
    <row r="122" spans="27:27">
      <c r="AA122" s="366"/>
    </row>
    <row r="123" spans="27:27">
      <c r="AA123" s="366"/>
    </row>
    <row r="124" spans="27:27">
      <c r="AA124" s="366"/>
    </row>
    <row r="125" spans="27:27">
      <c r="AA125" s="366"/>
    </row>
    <row r="126" spans="27:27">
      <c r="AA126" s="366"/>
    </row>
    <row r="127" spans="27:27">
      <c r="AA127" s="366"/>
    </row>
    <row r="128" spans="27:27">
      <c r="AA128" s="366"/>
    </row>
    <row r="129" spans="27:27">
      <c r="AA129" s="366"/>
    </row>
    <row r="130" spans="27:27">
      <c r="AA130" s="366"/>
    </row>
    <row r="131" spans="27:27">
      <c r="AA131" s="366"/>
    </row>
  </sheetData>
  <sheetProtection password="CACA" sheet="1" objects="1" scenarios="1"/>
  <mergeCells count="37">
    <mergeCell ref="U3:V3"/>
    <mergeCell ref="D4:D7"/>
    <mergeCell ref="E4:E7"/>
    <mergeCell ref="H5:K5"/>
    <mergeCell ref="L5:S5"/>
    <mergeCell ref="H6:H7"/>
    <mergeCell ref="P6:Q6"/>
    <mergeCell ref="R6:S6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Z4:Z7"/>
    <mergeCell ref="U6:U7"/>
    <mergeCell ref="V6:V7"/>
    <mergeCell ref="T4:T7"/>
    <mergeCell ref="U4:V5"/>
    <mergeCell ref="W4:W7"/>
    <mergeCell ref="X4:X7"/>
    <mergeCell ref="Y4:Y7"/>
    <mergeCell ref="A89:F89"/>
    <mergeCell ref="A90:F90"/>
    <mergeCell ref="L8:M8"/>
    <mergeCell ref="N8:O8"/>
    <mergeCell ref="P8:Q8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4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70" zoomScaleNormal="40" zoomScaleSheetLayoutView="70" workbookViewId="0">
      <pane xSplit="7" ySplit="8" topLeftCell="H31" activePane="bottomRight" state="frozen"/>
      <selection activeCell="J25" sqref="J25"/>
      <selection pane="topRight" activeCell="J25" sqref="J25"/>
      <selection pane="bottomLeft" activeCell="J25" sqref="J25"/>
      <selection pane="bottomRight" activeCell="H50" sqref="H50"/>
    </sheetView>
  </sheetViews>
  <sheetFormatPr defaultRowHeight="12.75"/>
  <cols>
    <col min="1" max="1" width="5.140625" style="30" customWidth="1"/>
    <col min="2" max="2" width="43.42578125" style="30" customWidth="1"/>
    <col min="3" max="3" width="14.140625" style="30" customWidth="1"/>
    <col min="4" max="6" width="10.140625" style="30" customWidth="1"/>
    <col min="7" max="8" width="14.28515625" style="30" customWidth="1"/>
    <col min="9" max="19" width="13.85546875" style="30" customWidth="1"/>
    <col min="20" max="20" width="8.28515625" style="30" customWidth="1"/>
    <col min="21" max="21" width="10.140625" style="30" customWidth="1"/>
    <col min="22" max="22" width="14" style="30" customWidth="1"/>
    <col min="23" max="23" width="9.85546875" style="30" customWidth="1"/>
    <col min="24" max="24" width="14" style="30" customWidth="1"/>
    <col min="25" max="25" width="13.28515625" style="30" customWidth="1"/>
    <col min="26" max="26" width="14.7109375" style="30" customWidth="1"/>
    <col min="27" max="27" width="17.42578125" style="358" customWidth="1"/>
    <col min="28" max="16384" width="9.140625" style="30"/>
  </cols>
  <sheetData>
    <row r="1" spans="1:27" ht="20.25">
      <c r="A1" s="610" t="s">
        <v>457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Y1" s="348" t="s">
        <v>458</v>
      </c>
    </row>
    <row r="2" spans="1:27">
      <c r="A2" s="257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Q2" s="231"/>
      <c r="R2" s="231"/>
      <c r="S2" s="231"/>
      <c r="T2" s="231"/>
    </row>
    <row r="3" spans="1:27" ht="15.75">
      <c r="A3" s="233"/>
      <c r="B3" s="83" t="str">
        <f>+'Asset quality'!B3</f>
        <v>"Ўзсаноатқурилишбанк" АТБ</v>
      </c>
      <c r="D3" s="233"/>
      <c r="E3" s="233"/>
      <c r="F3" s="233"/>
      <c r="G3" s="233"/>
      <c r="H3" s="233"/>
      <c r="I3" s="233"/>
      <c r="J3" s="233"/>
      <c r="K3" s="233"/>
      <c r="L3" s="233"/>
      <c r="M3" s="233"/>
      <c r="Q3" s="233"/>
      <c r="R3" s="233"/>
      <c r="T3" s="231"/>
      <c r="U3" s="562">
        <f>+'Asset quality'!Q3</f>
        <v>44925</v>
      </c>
      <c r="V3" s="562"/>
      <c r="W3" s="270"/>
      <c r="Y3" s="609" t="str">
        <f>+'Asset quality'!T3</f>
        <v>минг. сўмда</v>
      </c>
      <c r="Z3" s="609"/>
    </row>
    <row r="4" spans="1:27" ht="27.75" customHeight="1">
      <c r="A4" s="614" t="s">
        <v>62</v>
      </c>
      <c r="B4" s="614" t="s">
        <v>430</v>
      </c>
      <c r="C4" s="601" t="s">
        <v>431</v>
      </c>
      <c r="D4" s="601" t="s">
        <v>432</v>
      </c>
      <c r="E4" s="601" t="s">
        <v>433</v>
      </c>
      <c r="F4" s="601" t="s">
        <v>434</v>
      </c>
      <c r="G4" s="601" t="s">
        <v>435</v>
      </c>
      <c r="H4" s="611" t="s">
        <v>335</v>
      </c>
      <c r="I4" s="612"/>
      <c r="J4" s="612"/>
      <c r="K4" s="612"/>
      <c r="L4" s="612"/>
      <c r="M4" s="612"/>
      <c r="N4" s="612"/>
      <c r="O4" s="612"/>
      <c r="P4" s="612"/>
      <c r="Q4" s="612"/>
      <c r="R4" s="612"/>
      <c r="S4" s="612"/>
      <c r="T4" s="601" t="s">
        <v>436</v>
      </c>
      <c r="U4" s="604" t="s">
        <v>437</v>
      </c>
      <c r="V4" s="605"/>
      <c r="W4" s="601" t="s">
        <v>438</v>
      </c>
      <c r="X4" s="601" t="s">
        <v>439</v>
      </c>
      <c r="Y4" s="601" t="s">
        <v>440</v>
      </c>
      <c r="Z4" s="601" t="s">
        <v>441</v>
      </c>
    </row>
    <row r="5" spans="1:27" ht="27.75" customHeight="1">
      <c r="A5" s="615"/>
      <c r="B5" s="615"/>
      <c r="C5" s="602"/>
      <c r="D5" s="602"/>
      <c r="E5" s="602"/>
      <c r="F5" s="602"/>
      <c r="G5" s="602"/>
      <c r="H5" s="611" t="s">
        <v>442</v>
      </c>
      <c r="I5" s="612"/>
      <c r="J5" s="612"/>
      <c r="K5" s="612"/>
      <c r="L5" s="611" t="s">
        <v>443</v>
      </c>
      <c r="M5" s="612"/>
      <c r="N5" s="612"/>
      <c r="O5" s="612"/>
      <c r="P5" s="612"/>
      <c r="Q5" s="612"/>
      <c r="R5" s="612"/>
      <c r="S5" s="612"/>
      <c r="T5" s="602"/>
      <c r="U5" s="606"/>
      <c r="V5" s="607"/>
      <c r="W5" s="602"/>
      <c r="X5" s="602"/>
      <c r="Y5" s="602"/>
      <c r="Z5" s="602"/>
    </row>
    <row r="6" spans="1:27" ht="108.75" customHeight="1">
      <c r="A6" s="615"/>
      <c r="B6" s="615"/>
      <c r="C6" s="602"/>
      <c r="D6" s="602"/>
      <c r="E6" s="602"/>
      <c r="F6" s="602"/>
      <c r="G6" s="602"/>
      <c r="H6" s="601" t="s">
        <v>444</v>
      </c>
      <c r="I6" s="601" t="s">
        <v>445</v>
      </c>
      <c r="J6" s="601" t="s">
        <v>446</v>
      </c>
      <c r="K6" s="601" t="s">
        <v>447</v>
      </c>
      <c r="L6" s="617" t="s">
        <v>448</v>
      </c>
      <c r="M6" s="618"/>
      <c r="N6" s="617" t="s">
        <v>449</v>
      </c>
      <c r="O6" s="618"/>
      <c r="P6" s="617" t="s">
        <v>450</v>
      </c>
      <c r="Q6" s="618"/>
      <c r="R6" s="617" t="s">
        <v>451</v>
      </c>
      <c r="S6" s="618"/>
      <c r="T6" s="602"/>
      <c r="U6" s="601" t="s">
        <v>452</v>
      </c>
      <c r="V6" s="601" t="s">
        <v>164</v>
      </c>
      <c r="W6" s="602"/>
      <c r="X6" s="602"/>
      <c r="Y6" s="602"/>
      <c r="Z6" s="602"/>
    </row>
    <row r="7" spans="1:27" ht="41.25" customHeight="1">
      <c r="A7" s="616"/>
      <c r="B7" s="616"/>
      <c r="C7" s="603"/>
      <c r="D7" s="603"/>
      <c r="E7" s="603"/>
      <c r="F7" s="603"/>
      <c r="G7" s="603"/>
      <c r="H7" s="603"/>
      <c r="I7" s="603"/>
      <c r="J7" s="603"/>
      <c r="K7" s="603"/>
      <c r="L7" s="359" t="s">
        <v>453</v>
      </c>
      <c r="M7" s="359" t="s">
        <v>454</v>
      </c>
      <c r="N7" s="359" t="s">
        <v>453</v>
      </c>
      <c r="O7" s="359" t="s">
        <v>454</v>
      </c>
      <c r="P7" s="359" t="s">
        <v>453</v>
      </c>
      <c r="Q7" s="359" t="s">
        <v>454</v>
      </c>
      <c r="R7" s="359" t="s">
        <v>453</v>
      </c>
      <c r="S7" s="359" t="s">
        <v>454</v>
      </c>
      <c r="T7" s="603"/>
      <c r="U7" s="603"/>
      <c r="V7" s="603"/>
      <c r="W7" s="603"/>
      <c r="X7" s="603"/>
      <c r="Y7" s="603"/>
      <c r="Z7" s="603"/>
    </row>
    <row r="8" spans="1:27" s="256" customFormat="1" ht="15">
      <c r="A8" s="360"/>
      <c r="B8" s="360" t="s">
        <v>79</v>
      </c>
      <c r="C8" s="360" t="s">
        <v>80</v>
      </c>
      <c r="D8" s="360" t="s">
        <v>90</v>
      </c>
      <c r="E8" s="360" t="s">
        <v>81</v>
      </c>
      <c r="F8" s="360" t="s">
        <v>82</v>
      </c>
      <c r="G8" s="246" t="s">
        <v>91</v>
      </c>
      <c r="H8" s="360" t="s">
        <v>229</v>
      </c>
      <c r="I8" s="360" t="s">
        <v>228</v>
      </c>
      <c r="J8" s="360" t="s">
        <v>227</v>
      </c>
      <c r="K8" s="360" t="s">
        <v>226</v>
      </c>
      <c r="L8" s="599" t="s">
        <v>225</v>
      </c>
      <c r="M8" s="600"/>
      <c r="N8" s="599" t="s">
        <v>224</v>
      </c>
      <c r="O8" s="600"/>
      <c r="P8" s="599" t="s">
        <v>223</v>
      </c>
      <c r="Q8" s="600"/>
      <c r="R8" s="599" t="s">
        <v>222</v>
      </c>
      <c r="S8" s="600"/>
      <c r="T8" s="360" t="s">
        <v>83</v>
      </c>
      <c r="U8" s="360" t="s">
        <v>84</v>
      </c>
      <c r="V8" s="360" t="s">
        <v>85</v>
      </c>
      <c r="W8" s="360" t="s">
        <v>86</v>
      </c>
      <c r="X8" s="360" t="s">
        <v>87</v>
      </c>
      <c r="Y8" s="360" t="s">
        <v>88</v>
      </c>
      <c r="Z8" s="360" t="s">
        <v>89</v>
      </c>
      <c r="AA8" s="361"/>
    </row>
    <row r="9" spans="1:27" s="249" customFormat="1">
      <c r="A9" s="14">
        <v>1</v>
      </c>
      <c r="B9" s="251" t="s">
        <v>849</v>
      </c>
      <c r="C9" s="253" t="s">
        <v>850</v>
      </c>
      <c r="D9" s="253" t="s">
        <v>851</v>
      </c>
      <c r="E9" s="252" t="s">
        <v>852</v>
      </c>
      <c r="F9" s="252">
        <v>1</v>
      </c>
      <c r="G9" s="261">
        <f t="shared" ref="G9:G65" si="0">+H9+I9+J9+K9+M9+O9+Q9+S9</f>
        <v>1635927839</v>
      </c>
      <c r="H9" s="259"/>
      <c r="I9" s="259">
        <v>1622787971</v>
      </c>
      <c r="J9" s="259"/>
      <c r="K9" s="259">
        <v>13139868</v>
      </c>
      <c r="L9" s="259">
        <v>0</v>
      </c>
      <c r="M9" s="259">
        <v>0</v>
      </c>
      <c r="N9" s="260">
        <v>0</v>
      </c>
      <c r="O9" s="259">
        <v>0</v>
      </c>
      <c r="P9" s="259"/>
      <c r="Q9" s="259"/>
      <c r="R9" s="259"/>
      <c r="S9" s="259"/>
      <c r="T9" s="262" t="s">
        <v>962</v>
      </c>
      <c r="U9" s="262">
        <v>3</v>
      </c>
      <c r="V9" s="259">
        <v>1500062747</v>
      </c>
      <c r="W9" s="251">
        <v>1</v>
      </c>
      <c r="X9" s="259"/>
      <c r="Y9" s="259"/>
      <c r="Z9" s="258">
        <f t="shared" ref="Z9:Z65" si="1">+G9-V9-X9</f>
        <v>135865092</v>
      </c>
      <c r="AA9" s="363">
        <f t="shared" ref="AA9:AA40" si="2">SUMIF($F$9:$F$88,$F9,$Z$9:$Z$88)</f>
        <v>421519693.32489014</v>
      </c>
    </row>
    <row r="10" spans="1:27" s="249" customFormat="1">
      <c r="A10" s="14">
        <v>2</v>
      </c>
      <c r="B10" s="251" t="s">
        <v>853</v>
      </c>
      <c r="C10" s="253" t="s">
        <v>854</v>
      </c>
      <c r="D10" s="253" t="s">
        <v>851</v>
      </c>
      <c r="E10" s="252" t="s">
        <v>855</v>
      </c>
      <c r="F10" s="252">
        <v>1</v>
      </c>
      <c r="G10" s="261">
        <f t="shared" si="0"/>
        <v>920561904</v>
      </c>
      <c r="H10" s="259"/>
      <c r="I10" s="259">
        <v>920561904</v>
      </c>
      <c r="J10" s="259"/>
      <c r="K10" s="259">
        <v>0</v>
      </c>
      <c r="L10" s="259">
        <v>0</v>
      </c>
      <c r="M10" s="259">
        <v>0</v>
      </c>
      <c r="N10" s="260">
        <v>0</v>
      </c>
      <c r="O10" s="259">
        <v>0</v>
      </c>
      <c r="P10" s="259"/>
      <c r="Q10" s="259"/>
      <c r="R10" s="259"/>
      <c r="S10" s="259"/>
      <c r="T10" s="262" t="s">
        <v>962</v>
      </c>
      <c r="U10" s="262">
        <v>3</v>
      </c>
      <c r="V10" s="259">
        <v>920561904.12592995</v>
      </c>
      <c r="W10" s="362" t="s">
        <v>2</v>
      </c>
      <c r="X10" s="259"/>
      <c r="Y10" s="262"/>
      <c r="Z10" s="258">
        <f t="shared" si="1"/>
        <v>-0.12592995166778564</v>
      </c>
      <c r="AA10" s="363">
        <f t="shared" si="2"/>
        <v>421519693.32489014</v>
      </c>
    </row>
    <row r="11" spans="1:27" s="249" customFormat="1">
      <c r="A11" s="14">
        <v>3</v>
      </c>
      <c r="B11" s="251" t="s">
        <v>856</v>
      </c>
      <c r="C11" s="253" t="s">
        <v>857</v>
      </c>
      <c r="D11" s="253" t="s">
        <v>858</v>
      </c>
      <c r="E11" s="252" t="s">
        <v>852</v>
      </c>
      <c r="F11" s="252">
        <v>1</v>
      </c>
      <c r="G11" s="261">
        <f t="shared" si="0"/>
        <v>590095495</v>
      </c>
      <c r="H11" s="259"/>
      <c r="I11" s="259">
        <v>590095495</v>
      </c>
      <c r="J11" s="259"/>
      <c r="K11" s="259">
        <v>0</v>
      </c>
      <c r="L11" s="259">
        <v>0</v>
      </c>
      <c r="M11" s="259">
        <v>0</v>
      </c>
      <c r="N11" s="260">
        <v>0</v>
      </c>
      <c r="O11" s="259">
        <v>0</v>
      </c>
      <c r="P11" s="259"/>
      <c r="Q11" s="259"/>
      <c r="R11" s="259"/>
      <c r="S11" s="259"/>
      <c r="T11" s="262" t="s">
        <v>962</v>
      </c>
      <c r="U11" s="259">
        <v>3</v>
      </c>
      <c r="V11" s="259">
        <v>590095494.54917991</v>
      </c>
      <c r="W11" s="362" t="s">
        <v>2</v>
      </c>
      <c r="X11" s="259"/>
      <c r="Y11" s="262"/>
      <c r="Z11" s="258">
        <f t="shared" si="1"/>
        <v>0.45082008838653564</v>
      </c>
      <c r="AA11" s="363">
        <f t="shared" si="2"/>
        <v>421519693.32489014</v>
      </c>
    </row>
    <row r="12" spans="1:27" s="249" customFormat="1">
      <c r="A12" s="14">
        <v>4</v>
      </c>
      <c r="B12" s="251" t="s">
        <v>859</v>
      </c>
      <c r="C12" s="253" t="s">
        <v>860</v>
      </c>
      <c r="D12" s="253" t="s">
        <v>851</v>
      </c>
      <c r="E12" s="252" t="s">
        <v>861</v>
      </c>
      <c r="F12" s="252">
        <v>1</v>
      </c>
      <c r="G12" s="261">
        <f t="shared" si="0"/>
        <v>81544292</v>
      </c>
      <c r="H12" s="259"/>
      <c r="I12" s="259">
        <v>62474783</v>
      </c>
      <c r="J12" s="259"/>
      <c r="K12" s="259">
        <v>0</v>
      </c>
      <c r="L12" s="259">
        <v>0</v>
      </c>
      <c r="M12" s="259">
        <v>0</v>
      </c>
      <c r="N12" s="260">
        <v>0</v>
      </c>
      <c r="O12" s="259">
        <v>0</v>
      </c>
      <c r="P12" s="259">
        <v>38139018</v>
      </c>
      <c r="Q12" s="259">
        <v>19069509</v>
      </c>
      <c r="R12" s="259"/>
      <c r="S12" s="259"/>
      <c r="T12" s="262" t="s">
        <v>962</v>
      </c>
      <c r="U12" s="259"/>
      <c r="V12" s="259">
        <v>0</v>
      </c>
      <c r="W12" s="362" t="s">
        <v>2</v>
      </c>
      <c r="X12" s="259"/>
      <c r="Y12" s="259"/>
      <c r="Z12" s="258">
        <f t="shared" si="1"/>
        <v>81544292</v>
      </c>
      <c r="AA12" s="363">
        <f t="shared" si="2"/>
        <v>421519693.32489014</v>
      </c>
    </row>
    <row r="13" spans="1:27" s="249" customFormat="1" ht="25.5">
      <c r="A13" s="14">
        <v>5</v>
      </c>
      <c r="B13" s="251" t="s">
        <v>862</v>
      </c>
      <c r="C13" s="253" t="s">
        <v>863</v>
      </c>
      <c r="D13" s="253" t="s">
        <v>858</v>
      </c>
      <c r="E13" s="252" t="s">
        <v>855</v>
      </c>
      <c r="F13" s="252">
        <v>1</v>
      </c>
      <c r="G13" s="261">
        <f t="shared" si="0"/>
        <v>78729885</v>
      </c>
      <c r="H13" s="259"/>
      <c r="I13" s="259">
        <v>78729803</v>
      </c>
      <c r="J13" s="259"/>
      <c r="K13" s="259">
        <v>82</v>
      </c>
      <c r="L13" s="259">
        <v>0</v>
      </c>
      <c r="M13" s="259">
        <v>0</v>
      </c>
      <c r="N13" s="260">
        <v>0</v>
      </c>
      <c r="O13" s="259">
        <v>0</v>
      </c>
      <c r="P13" s="259"/>
      <c r="Q13" s="259"/>
      <c r="R13" s="259"/>
      <c r="S13" s="259"/>
      <c r="T13" s="262" t="s">
        <v>962</v>
      </c>
      <c r="U13" s="259"/>
      <c r="V13" s="259">
        <v>0</v>
      </c>
      <c r="W13" s="362" t="s">
        <v>5</v>
      </c>
      <c r="X13" s="259">
        <v>7859447</v>
      </c>
      <c r="Y13" s="259"/>
      <c r="Z13" s="258">
        <f t="shared" si="1"/>
        <v>70870438</v>
      </c>
      <c r="AA13" s="363">
        <f t="shared" si="2"/>
        <v>421519693.32489014</v>
      </c>
    </row>
    <row r="14" spans="1:27" s="249" customFormat="1">
      <c r="A14" s="14">
        <v>6</v>
      </c>
      <c r="B14" s="251" t="s">
        <v>864</v>
      </c>
      <c r="C14" s="253" t="s">
        <v>865</v>
      </c>
      <c r="D14" s="253" t="s">
        <v>866</v>
      </c>
      <c r="E14" s="252" t="s">
        <v>852</v>
      </c>
      <c r="F14" s="252">
        <v>1</v>
      </c>
      <c r="G14" s="261">
        <f t="shared" si="0"/>
        <v>65111264</v>
      </c>
      <c r="H14" s="259"/>
      <c r="I14" s="259">
        <v>62565451</v>
      </c>
      <c r="J14" s="259"/>
      <c r="K14" s="259">
        <v>0</v>
      </c>
      <c r="L14" s="259">
        <v>2545813</v>
      </c>
      <c r="M14" s="259">
        <v>2545813</v>
      </c>
      <c r="N14" s="260">
        <v>0</v>
      </c>
      <c r="O14" s="259">
        <v>0</v>
      </c>
      <c r="P14" s="259"/>
      <c r="Q14" s="253"/>
      <c r="R14" s="259"/>
      <c r="S14" s="259"/>
      <c r="T14" s="262" t="s">
        <v>962</v>
      </c>
      <c r="U14" s="259"/>
      <c r="V14" s="259">
        <v>0</v>
      </c>
      <c r="W14" s="362" t="s">
        <v>2</v>
      </c>
      <c r="X14" s="259">
        <v>0</v>
      </c>
      <c r="Y14" s="259"/>
      <c r="Z14" s="258">
        <f t="shared" si="1"/>
        <v>65111264</v>
      </c>
      <c r="AA14" s="363">
        <f t="shared" si="2"/>
        <v>421519693.32489014</v>
      </c>
    </row>
    <row r="15" spans="1:27" s="249" customFormat="1" ht="25.5">
      <c r="A15" s="14">
        <v>7</v>
      </c>
      <c r="B15" s="251" t="s">
        <v>867</v>
      </c>
      <c r="C15" s="253" t="s">
        <v>868</v>
      </c>
      <c r="D15" s="253" t="s">
        <v>869</v>
      </c>
      <c r="E15" s="252" t="s">
        <v>855</v>
      </c>
      <c r="F15" s="252">
        <v>1</v>
      </c>
      <c r="G15" s="261">
        <f t="shared" si="0"/>
        <v>57066355</v>
      </c>
      <c r="H15" s="259"/>
      <c r="I15" s="259">
        <v>55725399</v>
      </c>
      <c r="J15" s="259"/>
      <c r="K15" s="259">
        <v>1340956</v>
      </c>
      <c r="L15" s="259">
        <v>0</v>
      </c>
      <c r="M15" s="259">
        <v>0</v>
      </c>
      <c r="N15" s="260">
        <v>0</v>
      </c>
      <c r="O15" s="259">
        <v>0</v>
      </c>
      <c r="P15" s="259"/>
      <c r="Q15" s="260"/>
      <c r="R15" s="259"/>
      <c r="S15" s="259"/>
      <c r="T15" s="262" t="s">
        <v>962</v>
      </c>
      <c r="U15" s="259"/>
      <c r="V15" s="259">
        <v>0</v>
      </c>
      <c r="W15" s="362" t="s">
        <v>2</v>
      </c>
      <c r="X15" s="259">
        <v>0</v>
      </c>
      <c r="Y15" s="259"/>
      <c r="Z15" s="258">
        <f t="shared" si="1"/>
        <v>57066355</v>
      </c>
      <c r="AA15" s="363">
        <f t="shared" si="2"/>
        <v>421519693.32489014</v>
      </c>
    </row>
    <row r="16" spans="1:27" s="249" customFormat="1">
      <c r="A16" s="14">
        <v>8</v>
      </c>
      <c r="B16" s="251" t="s">
        <v>870</v>
      </c>
      <c r="C16" s="253" t="s">
        <v>871</v>
      </c>
      <c r="D16" s="253">
        <v>46120</v>
      </c>
      <c r="E16" s="252" t="s">
        <v>9</v>
      </c>
      <c r="F16" s="252">
        <v>1</v>
      </c>
      <c r="G16" s="261">
        <f t="shared" si="0"/>
        <v>7674762</v>
      </c>
      <c r="H16" s="259"/>
      <c r="I16" s="259">
        <v>0</v>
      </c>
      <c r="J16" s="259"/>
      <c r="K16" s="259">
        <v>0</v>
      </c>
      <c r="L16" s="259">
        <v>7674762</v>
      </c>
      <c r="M16" s="259">
        <v>7674762</v>
      </c>
      <c r="N16" s="260">
        <v>0</v>
      </c>
      <c r="O16" s="259">
        <v>0</v>
      </c>
      <c r="P16" s="259"/>
      <c r="Q16" s="260"/>
      <c r="R16" s="259"/>
      <c r="S16" s="259"/>
      <c r="T16" s="262" t="s">
        <v>962</v>
      </c>
      <c r="U16" s="259"/>
      <c r="V16" s="259">
        <v>0</v>
      </c>
      <c r="W16" s="362" t="s">
        <v>962</v>
      </c>
      <c r="X16" s="259">
        <v>0</v>
      </c>
      <c r="Y16" s="259"/>
      <c r="Z16" s="258">
        <f t="shared" si="1"/>
        <v>7674762</v>
      </c>
      <c r="AA16" s="363">
        <f t="shared" si="2"/>
        <v>421519693.32489014</v>
      </c>
    </row>
    <row r="17" spans="1:27" s="249" customFormat="1" ht="25.5">
      <c r="A17" s="14">
        <v>9</v>
      </c>
      <c r="B17" s="251" t="s">
        <v>872</v>
      </c>
      <c r="C17" s="253" t="s">
        <v>873</v>
      </c>
      <c r="D17" s="253" t="s">
        <v>874</v>
      </c>
      <c r="E17" s="252" t="s">
        <v>855</v>
      </c>
      <c r="F17" s="252">
        <v>1</v>
      </c>
      <c r="G17" s="261">
        <f t="shared" si="0"/>
        <v>3386029</v>
      </c>
      <c r="H17" s="259"/>
      <c r="I17" s="259">
        <v>3386029</v>
      </c>
      <c r="J17" s="259"/>
      <c r="K17" s="259">
        <v>0</v>
      </c>
      <c r="L17" s="259">
        <v>0</v>
      </c>
      <c r="M17" s="259">
        <v>0</v>
      </c>
      <c r="N17" s="260">
        <v>0</v>
      </c>
      <c r="O17" s="259">
        <v>0</v>
      </c>
      <c r="P17" s="259"/>
      <c r="Q17" s="260"/>
      <c r="R17" s="259"/>
      <c r="S17" s="259"/>
      <c r="T17" s="262" t="s">
        <v>962</v>
      </c>
      <c r="U17" s="259"/>
      <c r="V17" s="259">
        <v>0</v>
      </c>
      <c r="W17" s="362" t="s">
        <v>2</v>
      </c>
      <c r="X17" s="259">
        <v>0</v>
      </c>
      <c r="Y17" s="259"/>
      <c r="Z17" s="258">
        <f t="shared" si="1"/>
        <v>3386029</v>
      </c>
      <c r="AA17" s="363">
        <f t="shared" si="2"/>
        <v>421519693.32489014</v>
      </c>
    </row>
    <row r="18" spans="1:27" s="249" customFormat="1">
      <c r="A18" s="14">
        <v>10</v>
      </c>
      <c r="B18" s="251" t="s">
        <v>875</v>
      </c>
      <c r="C18" s="253" t="s">
        <v>876</v>
      </c>
      <c r="D18" s="253" t="s">
        <v>851</v>
      </c>
      <c r="E18" s="252" t="s">
        <v>9</v>
      </c>
      <c r="F18" s="252">
        <v>1</v>
      </c>
      <c r="G18" s="261">
        <f t="shared" si="0"/>
        <v>1461</v>
      </c>
      <c r="H18" s="259"/>
      <c r="I18" s="259">
        <v>0</v>
      </c>
      <c r="J18" s="259"/>
      <c r="K18" s="259">
        <v>1461</v>
      </c>
      <c r="L18" s="259">
        <v>0</v>
      </c>
      <c r="M18" s="259">
        <v>0</v>
      </c>
      <c r="N18" s="260">
        <v>0</v>
      </c>
      <c r="O18" s="259">
        <v>0</v>
      </c>
      <c r="P18" s="259"/>
      <c r="Q18" s="259"/>
      <c r="R18" s="259"/>
      <c r="S18" s="259"/>
      <c r="T18" s="262" t="s">
        <v>962</v>
      </c>
      <c r="U18" s="259"/>
      <c r="V18" s="259">
        <v>0</v>
      </c>
      <c r="W18" s="362" t="s">
        <v>962</v>
      </c>
      <c r="X18" s="259">
        <v>0</v>
      </c>
      <c r="Y18" s="259"/>
      <c r="Z18" s="258">
        <f t="shared" si="1"/>
        <v>1461</v>
      </c>
      <c r="AA18" s="363">
        <f t="shared" si="2"/>
        <v>421519693.32489014</v>
      </c>
    </row>
    <row r="19" spans="1:27" s="249" customFormat="1" ht="25.5">
      <c r="A19" s="14">
        <v>11</v>
      </c>
      <c r="B19" s="251" t="s">
        <v>877</v>
      </c>
      <c r="C19" s="253" t="s">
        <v>878</v>
      </c>
      <c r="D19" s="253" t="s">
        <v>879</v>
      </c>
      <c r="E19" s="252" t="s">
        <v>855</v>
      </c>
      <c r="F19" s="252">
        <v>2</v>
      </c>
      <c r="G19" s="261">
        <f t="shared" si="0"/>
        <v>1369381730</v>
      </c>
      <c r="H19" s="259"/>
      <c r="I19" s="259">
        <v>1369381730</v>
      </c>
      <c r="J19" s="259"/>
      <c r="K19" s="259">
        <v>0</v>
      </c>
      <c r="L19" s="259">
        <v>0</v>
      </c>
      <c r="M19" s="259">
        <v>0</v>
      </c>
      <c r="N19" s="260">
        <v>0</v>
      </c>
      <c r="O19" s="259">
        <v>0</v>
      </c>
      <c r="P19" s="259"/>
      <c r="Q19" s="259"/>
      <c r="R19" s="259"/>
      <c r="S19" s="259"/>
      <c r="T19" s="262" t="s">
        <v>962</v>
      </c>
      <c r="U19" s="259">
        <v>3</v>
      </c>
      <c r="V19" s="259">
        <v>1369381730.2287202</v>
      </c>
      <c r="W19" s="362" t="s">
        <v>2</v>
      </c>
      <c r="X19" s="259">
        <v>0</v>
      </c>
      <c r="Y19" s="259"/>
      <c r="Z19" s="258">
        <f t="shared" si="1"/>
        <v>-0.22872018814086914</v>
      </c>
      <c r="AA19" s="363">
        <f t="shared" si="2"/>
        <v>1330866017.5471199</v>
      </c>
    </row>
    <row r="20" spans="1:27" s="249" customFormat="1" ht="25.5">
      <c r="A20" s="14">
        <v>12</v>
      </c>
      <c r="B20" s="251" t="s">
        <v>880</v>
      </c>
      <c r="C20" s="253" t="s">
        <v>881</v>
      </c>
      <c r="D20" s="253" t="s">
        <v>882</v>
      </c>
      <c r="E20" s="252" t="s">
        <v>855</v>
      </c>
      <c r="F20" s="252">
        <v>2</v>
      </c>
      <c r="G20" s="261">
        <f t="shared" si="0"/>
        <v>721843141</v>
      </c>
      <c r="H20" s="259"/>
      <c r="I20" s="259">
        <v>249408676</v>
      </c>
      <c r="J20" s="259"/>
      <c r="K20" s="259">
        <v>1119501</v>
      </c>
      <c r="L20" s="259">
        <v>0</v>
      </c>
      <c r="M20" s="259">
        <v>0</v>
      </c>
      <c r="N20" s="260">
        <v>471314964</v>
      </c>
      <c r="O20" s="259">
        <v>471314964</v>
      </c>
      <c r="P20" s="259"/>
      <c r="Q20" s="259"/>
      <c r="R20" s="259"/>
      <c r="S20" s="259"/>
      <c r="T20" s="262" t="s">
        <v>962</v>
      </c>
      <c r="U20" s="259">
        <v>2</v>
      </c>
      <c r="V20" s="259">
        <v>327290670.46100003</v>
      </c>
      <c r="W20" s="362" t="s">
        <v>2</v>
      </c>
      <c r="X20" s="259">
        <v>0</v>
      </c>
      <c r="Y20" s="259"/>
      <c r="Z20" s="258">
        <f t="shared" si="1"/>
        <v>394552470.53899997</v>
      </c>
      <c r="AA20" s="363">
        <f t="shared" si="2"/>
        <v>1330866017.5471199</v>
      </c>
    </row>
    <row r="21" spans="1:27" s="249" customFormat="1" ht="25.5">
      <c r="A21" s="14">
        <v>13</v>
      </c>
      <c r="B21" s="251" t="s">
        <v>883</v>
      </c>
      <c r="C21" s="253" t="s">
        <v>884</v>
      </c>
      <c r="D21" s="253" t="s">
        <v>879</v>
      </c>
      <c r="E21" s="252" t="s">
        <v>885</v>
      </c>
      <c r="F21" s="252">
        <v>2</v>
      </c>
      <c r="G21" s="261">
        <f t="shared" si="0"/>
        <v>519460559</v>
      </c>
      <c r="H21" s="259"/>
      <c r="I21" s="259">
        <v>519460558</v>
      </c>
      <c r="J21" s="259"/>
      <c r="K21" s="259">
        <v>1</v>
      </c>
      <c r="L21" s="259">
        <v>0</v>
      </c>
      <c r="M21" s="259">
        <v>0</v>
      </c>
      <c r="N21" s="260">
        <v>0</v>
      </c>
      <c r="O21" s="259">
        <v>0</v>
      </c>
      <c r="P21" s="259"/>
      <c r="Q21" s="253"/>
      <c r="R21" s="259"/>
      <c r="S21" s="259"/>
      <c r="T21" s="262" t="s">
        <v>962</v>
      </c>
      <c r="U21" s="259"/>
      <c r="V21" s="259">
        <v>0</v>
      </c>
      <c r="W21" s="362" t="s">
        <v>2</v>
      </c>
      <c r="X21" s="259">
        <v>0</v>
      </c>
      <c r="Y21" s="259"/>
      <c r="Z21" s="258">
        <f t="shared" si="1"/>
        <v>519460559</v>
      </c>
      <c r="AA21" s="363">
        <f t="shared" si="2"/>
        <v>1330866017.5471199</v>
      </c>
    </row>
    <row r="22" spans="1:27" s="249" customFormat="1">
      <c r="A22" s="14">
        <v>14</v>
      </c>
      <c r="B22" s="251" t="s">
        <v>886</v>
      </c>
      <c r="C22" s="253" t="s">
        <v>887</v>
      </c>
      <c r="D22" s="253" t="s">
        <v>879</v>
      </c>
      <c r="E22" s="252" t="s">
        <v>861</v>
      </c>
      <c r="F22" s="252">
        <v>2</v>
      </c>
      <c r="G22" s="261">
        <f t="shared" si="0"/>
        <v>253934317</v>
      </c>
      <c r="H22" s="259"/>
      <c r="I22" s="259">
        <v>253933799</v>
      </c>
      <c r="J22" s="259"/>
      <c r="K22" s="259">
        <v>518</v>
      </c>
      <c r="L22" s="259">
        <v>0</v>
      </c>
      <c r="M22" s="259">
        <v>0</v>
      </c>
      <c r="N22" s="260">
        <v>0</v>
      </c>
      <c r="O22" s="259">
        <v>0</v>
      </c>
      <c r="P22" s="259"/>
      <c r="Q22" s="260"/>
      <c r="R22" s="259"/>
      <c r="S22" s="259"/>
      <c r="T22" s="262" t="s">
        <v>962</v>
      </c>
      <c r="U22" s="259"/>
      <c r="V22" s="259">
        <v>0</v>
      </c>
      <c r="W22" s="362" t="s">
        <v>2</v>
      </c>
      <c r="X22" s="259">
        <v>0</v>
      </c>
      <c r="Y22" s="259"/>
      <c r="Z22" s="258">
        <f t="shared" si="1"/>
        <v>253934317</v>
      </c>
      <c r="AA22" s="363">
        <f t="shared" si="2"/>
        <v>1330866017.5471199</v>
      </c>
    </row>
    <row r="23" spans="1:27" s="249" customFormat="1" ht="25.5">
      <c r="A23" s="14">
        <v>15</v>
      </c>
      <c r="B23" s="251" t="s">
        <v>888</v>
      </c>
      <c r="C23" s="253" t="s">
        <v>889</v>
      </c>
      <c r="D23" s="253" t="s">
        <v>879</v>
      </c>
      <c r="E23" s="252" t="s">
        <v>861</v>
      </c>
      <c r="F23" s="252">
        <v>2</v>
      </c>
      <c r="G23" s="261">
        <f t="shared" si="0"/>
        <v>103088002</v>
      </c>
      <c r="H23" s="259"/>
      <c r="I23" s="259">
        <v>103088002</v>
      </c>
      <c r="J23" s="259"/>
      <c r="K23" s="259">
        <v>0</v>
      </c>
      <c r="L23" s="259">
        <v>0</v>
      </c>
      <c r="M23" s="259">
        <v>0</v>
      </c>
      <c r="N23" s="260">
        <v>0</v>
      </c>
      <c r="O23" s="259">
        <v>0</v>
      </c>
      <c r="P23" s="259"/>
      <c r="Q23" s="260"/>
      <c r="R23" s="259"/>
      <c r="S23" s="259"/>
      <c r="T23" s="262" t="s">
        <v>962</v>
      </c>
      <c r="U23" s="259">
        <v>3</v>
      </c>
      <c r="V23" s="259">
        <v>103088001.76316001</v>
      </c>
      <c r="W23" s="362" t="s">
        <v>2</v>
      </c>
      <c r="X23" s="259">
        <v>0</v>
      </c>
      <c r="Y23" s="259"/>
      <c r="Z23" s="258">
        <f t="shared" si="1"/>
        <v>0.23683999478816986</v>
      </c>
      <c r="AA23" s="363">
        <f t="shared" si="2"/>
        <v>1330866017.5471199</v>
      </c>
    </row>
    <row r="24" spans="1:27" s="249" customFormat="1" ht="25.5">
      <c r="A24" s="14">
        <v>16</v>
      </c>
      <c r="B24" s="251" t="s">
        <v>890</v>
      </c>
      <c r="C24" s="253" t="s">
        <v>891</v>
      </c>
      <c r="D24" s="253" t="s">
        <v>879</v>
      </c>
      <c r="E24" s="252" t="s">
        <v>861</v>
      </c>
      <c r="F24" s="252">
        <v>2</v>
      </c>
      <c r="G24" s="261">
        <f t="shared" si="0"/>
        <v>100211723</v>
      </c>
      <c r="H24" s="259"/>
      <c r="I24" s="259">
        <v>100000000</v>
      </c>
      <c r="J24" s="259"/>
      <c r="K24" s="259">
        <v>0</v>
      </c>
      <c r="L24" s="259">
        <v>211723</v>
      </c>
      <c r="M24" s="259">
        <v>211723</v>
      </c>
      <c r="N24" s="260">
        <v>0</v>
      </c>
      <c r="O24" s="259">
        <v>0</v>
      </c>
      <c r="P24" s="259"/>
      <c r="Q24" s="260"/>
      <c r="R24" s="259"/>
      <c r="S24" s="259"/>
      <c r="T24" s="262" t="s">
        <v>962</v>
      </c>
      <c r="U24" s="259"/>
      <c r="V24" s="259">
        <v>0</v>
      </c>
      <c r="W24" s="362" t="s">
        <v>2</v>
      </c>
      <c r="X24" s="259">
        <v>0</v>
      </c>
      <c r="Y24" s="259"/>
      <c r="Z24" s="258">
        <f t="shared" si="1"/>
        <v>100211723</v>
      </c>
      <c r="AA24" s="363">
        <f t="shared" si="2"/>
        <v>1330866017.5471199</v>
      </c>
    </row>
    <row r="25" spans="1:27" s="249" customFormat="1">
      <c r="A25" s="14">
        <v>17</v>
      </c>
      <c r="B25" s="251" t="s">
        <v>892</v>
      </c>
      <c r="C25" s="253" t="s">
        <v>893</v>
      </c>
      <c r="D25" s="253" t="s">
        <v>879</v>
      </c>
      <c r="E25" s="252" t="s">
        <v>861</v>
      </c>
      <c r="F25" s="252">
        <v>2</v>
      </c>
      <c r="G25" s="261">
        <f t="shared" si="0"/>
        <v>58528440</v>
      </c>
      <c r="H25" s="259"/>
      <c r="I25" s="259">
        <v>58528440</v>
      </c>
      <c r="J25" s="259"/>
      <c r="K25" s="259">
        <v>0</v>
      </c>
      <c r="L25" s="259">
        <v>0</v>
      </c>
      <c r="M25" s="259">
        <v>0</v>
      </c>
      <c r="N25" s="260">
        <v>0</v>
      </c>
      <c r="O25" s="259">
        <v>0</v>
      </c>
      <c r="P25" s="259"/>
      <c r="Q25" s="260"/>
      <c r="R25" s="259"/>
      <c r="S25" s="259"/>
      <c r="T25" s="262" t="s">
        <v>962</v>
      </c>
      <c r="U25" s="259"/>
      <c r="V25" s="259">
        <v>0</v>
      </c>
      <c r="W25" s="362" t="s">
        <v>2</v>
      </c>
      <c r="X25" s="259">
        <v>0</v>
      </c>
      <c r="Y25" s="259"/>
      <c r="Z25" s="258">
        <f t="shared" si="1"/>
        <v>58528440</v>
      </c>
      <c r="AA25" s="363">
        <f t="shared" si="2"/>
        <v>1330866017.5471199</v>
      </c>
    </row>
    <row r="26" spans="1:27" s="249" customFormat="1" ht="25.5">
      <c r="A26" s="14">
        <v>18</v>
      </c>
      <c r="B26" s="251" t="s">
        <v>894</v>
      </c>
      <c r="C26" s="253" t="s">
        <v>895</v>
      </c>
      <c r="D26" s="253" t="s">
        <v>896</v>
      </c>
      <c r="E26" s="252" t="s">
        <v>861</v>
      </c>
      <c r="F26" s="252">
        <v>2</v>
      </c>
      <c r="G26" s="261">
        <f t="shared" si="0"/>
        <v>4177469</v>
      </c>
      <c r="H26" s="259"/>
      <c r="I26" s="259">
        <v>4177455</v>
      </c>
      <c r="J26" s="259"/>
      <c r="K26" s="259">
        <v>14</v>
      </c>
      <c r="L26" s="259">
        <v>0</v>
      </c>
      <c r="M26" s="259">
        <v>0</v>
      </c>
      <c r="N26" s="260">
        <v>0</v>
      </c>
      <c r="O26" s="259">
        <v>0</v>
      </c>
      <c r="P26" s="259"/>
      <c r="Q26" s="260"/>
      <c r="R26" s="259"/>
      <c r="S26" s="259"/>
      <c r="T26" s="262" t="s">
        <v>962</v>
      </c>
      <c r="U26" s="259"/>
      <c r="V26" s="259">
        <v>0</v>
      </c>
      <c r="W26" s="362" t="s">
        <v>2</v>
      </c>
      <c r="X26" s="259">
        <v>0</v>
      </c>
      <c r="Y26" s="259"/>
      <c r="Z26" s="258">
        <f t="shared" si="1"/>
        <v>4177469</v>
      </c>
      <c r="AA26" s="363">
        <f t="shared" si="2"/>
        <v>1330866017.5471199</v>
      </c>
    </row>
    <row r="27" spans="1:27" s="249" customFormat="1" ht="38.25">
      <c r="A27" s="14">
        <v>19</v>
      </c>
      <c r="B27" s="251" t="s">
        <v>897</v>
      </c>
      <c r="C27" s="253" t="s">
        <v>898</v>
      </c>
      <c r="D27" s="253" t="s">
        <v>879</v>
      </c>
      <c r="E27" s="252" t="s">
        <v>9</v>
      </c>
      <c r="F27" s="252">
        <v>2</v>
      </c>
      <c r="G27" s="261">
        <f t="shared" si="0"/>
        <v>1035</v>
      </c>
      <c r="H27" s="259"/>
      <c r="I27" s="259">
        <v>0</v>
      </c>
      <c r="J27" s="259"/>
      <c r="K27" s="259">
        <v>1035</v>
      </c>
      <c r="L27" s="259">
        <v>0</v>
      </c>
      <c r="M27" s="259">
        <v>0</v>
      </c>
      <c r="N27" s="260">
        <v>0</v>
      </c>
      <c r="O27" s="259">
        <v>0</v>
      </c>
      <c r="P27" s="259"/>
      <c r="Q27" s="260"/>
      <c r="R27" s="259"/>
      <c r="S27" s="259"/>
      <c r="T27" s="262" t="s">
        <v>962</v>
      </c>
      <c r="U27" s="259"/>
      <c r="V27" s="259">
        <v>0</v>
      </c>
      <c r="W27" s="362" t="s">
        <v>962</v>
      </c>
      <c r="X27" s="259">
        <v>0</v>
      </c>
      <c r="Y27" s="259"/>
      <c r="Z27" s="258">
        <f t="shared" si="1"/>
        <v>1035</v>
      </c>
      <c r="AA27" s="363">
        <f t="shared" si="2"/>
        <v>1330866017.5471199</v>
      </c>
    </row>
    <row r="28" spans="1:27" s="249" customFormat="1" ht="25.5">
      <c r="A28" s="14">
        <v>20</v>
      </c>
      <c r="B28" s="251" t="s">
        <v>899</v>
      </c>
      <c r="C28" s="253" t="s">
        <v>900</v>
      </c>
      <c r="D28" s="253" t="s">
        <v>879</v>
      </c>
      <c r="E28" s="252" t="s">
        <v>9</v>
      </c>
      <c r="F28" s="252">
        <v>2</v>
      </c>
      <c r="G28" s="261">
        <f t="shared" si="0"/>
        <v>2</v>
      </c>
      <c r="H28" s="259"/>
      <c r="I28" s="259">
        <v>0</v>
      </c>
      <c r="J28" s="259"/>
      <c r="K28" s="259">
        <v>2</v>
      </c>
      <c r="L28" s="259">
        <v>0</v>
      </c>
      <c r="M28" s="259">
        <v>0</v>
      </c>
      <c r="N28" s="260">
        <v>0</v>
      </c>
      <c r="O28" s="259">
        <v>0</v>
      </c>
      <c r="P28" s="259"/>
      <c r="Q28" s="260"/>
      <c r="R28" s="259"/>
      <c r="S28" s="259"/>
      <c r="T28" s="262" t="s">
        <v>962</v>
      </c>
      <c r="U28" s="259"/>
      <c r="V28" s="259">
        <v>0</v>
      </c>
      <c r="W28" s="362" t="s">
        <v>962</v>
      </c>
      <c r="X28" s="259">
        <v>0</v>
      </c>
      <c r="Y28" s="259"/>
      <c r="Z28" s="258">
        <f t="shared" si="1"/>
        <v>2</v>
      </c>
      <c r="AA28" s="363">
        <f t="shared" si="2"/>
        <v>1330866017.5471199</v>
      </c>
    </row>
    <row r="29" spans="1:27" s="249" customFormat="1">
      <c r="A29" s="14">
        <v>21</v>
      </c>
      <c r="B29" s="251" t="s">
        <v>901</v>
      </c>
      <c r="C29" s="253" t="s">
        <v>902</v>
      </c>
      <c r="D29" s="253" t="s">
        <v>879</v>
      </c>
      <c r="E29" s="252" t="s">
        <v>9</v>
      </c>
      <c r="F29" s="252">
        <v>2</v>
      </c>
      <c r="G29" s="261">
        <f t="shared" si="0"/>
        <v>2</v>
      </c>
      <c r="H29" s="259"/>
      <c r="I29" s="259">
        <v>0</v>
      </c>
      <c r="J29" s="259"/>
      <c r="K29" s="259">
        <v>2</v>
      </c>
      <c r="L29" s="259">
        <v>0</v>
      </c>
      <c r="M29" s="259">
        <v>0</v>
      </c>
      <c r="N29" s="260">
        <v>0</v>
      </c>
      <c r="O29" s="259">
        <v>0</v>
      </c>
      <c r="P29" s="259"/>
      <c r="Q29" s="260"/>
      <c r="R29" s="259"/>
      <c r="S29" s="259"/>
      <c r="T29" s="262" t="s">
        <v>962</v>
      </c>
      <c r="U29" s="259"/>
      <c r="V29" s="259">
        <v>0</v>
      </c>
      <c r="W29" s="362" t="s">
        <v>962</v>
      </c>
      <c r="X29" s="259">
        <v>0</v>
      </c>
      <c r="Y29" s="259"/>
      <c r="Z29" s="258">
        <f t="shared" si="1"/>
        <v>2</v>
      </c>
      <c r="AA29" s="363">
        <f t="shared" si="2"/>
        <v>1330866017.5471199</v>
      </c>
    </row>
    <row r="30" spans="1:27" s="249" customFormat="1">
      <c r="A30" s="14">
        <v>22</v>
      </c>
      <c r="B30" s="251" t="s">
        <v>903</v>
      </c>
      <c r="C30" s="253" t="s">
        <v>904</v>
      </c>
      <c r="D30" s="253" t="s">
        <v>905</v>
      </c>
      <c r="E30" s="252" t="s">
        <v>855</v>
      </c>
      <c r="F30" s="252">
        <v>3</v>
      </c>
      <c r="G30" s="261">
        <f t="shared" si="0"/>
        <v>1920666925</v>
      </c>
      <c r="H30" s="259"/>
      <c r="I30" s="259">
        <v>1865797292</v>
      </c>
      <c r="J30" s="259"/>
      <c r="K30" s="259">
        <v>252827</v>
      </c>
      <c r="L30" s="259">
        <v>0</v>
      </c>
      <c r="M30" s="259">
        <v>0</v>
      </c>
      <c r="N30" s="260">
        <v>0</v>
      </c>
      <c r="O30" s="259">
        <v>0</v>
      </c>
      <c r="P30" s="259">
        <v>109233611</v>
      </c>
      <c r="Q30" s="260">
        <v>54616806</v>
      </c>
      <c r="R30" s="259"/>
      <c r="S30" s="259"/>
      <c r="T30" s="262" t="s">
        <v>962</v>
      </c>
      <c r="U30" s="259">
        <v>3</v>
      </c>
      <c r="V30" s="259">
        <v>1865797292</v>
      </c>
      <c r="W30" s="362" t="s">
        <v>2</v>
      </c>
      <c r="X30" s="259">
        <v>0</v>
      </c>
      <c r="Y30" s="259"/>
      <c r="Z30" s="258">
        <f t="shared" si="1"/>
        <v>54869633</v>
      </c>
      <c r="AA30" s="363">
        <f t="shared" si="2"/>
        <v>503716304</v>
      </c>
    </row>
    <row r="31" spans="1:27" s="249" customFormat="1">
      <c r="A31" s="14">
        <v>23</v>
      </c>
      <c r="B31" s="251" t="s">
        <v>906</v>
      </c>
      <c r="C31" s="253" t="s">
        <v>907</v>
      </c>
      <c r="D31" s="253" t="s">
        <v>908</v>
      </c>
      <c r="E31" s="252" t="s">
        <v>852</v>
      </c>
      <c r="F31" s="252">
        <v>3</v>
      </c>
      <c r="G31" s="261">
        <f t="shared" si="0"/>
        <v>682516462</v>
      </c>
      <c r="H31" s="259"/>
      <c r="I31" s="259">
        <v>682516370</v>
      </c>
      <c r="J31" s="259"/>
      <c r="K31" s="259">
        <v>92</v>
      </c>
      <c r="L31" s="259">
        <v>0</v>
      </c>
      <c r="M31" s="259">
        <v>0</v>
      </c>
      <c r="N31" s="260">
        <v>0</v>
      </c>
      <c r="O31" s="259">
        <v>0</v>
      </c>
      <c r="P31" s="259">
        <v>0</v>
      </c>
      <c r="Q31" s="260">
        <v>0</v>
      </c>
      <c r="R31" s="259"/>
      <c r="S31" s="259"/>
      <c r="T31" s="262" t="s">
        <v>962</v>
      </c>
      <c r="U31" s="259">
        <v>3</v>
      </c>
      <c r="V31" s="259">
        <v>681713663</v>
      </c>
      <c r="W31" s="362" t="s">
        <v>2</v>
      </c>
      <c r="X31" s="259">
        <v>0</v>
      </c>
      <c r="Y31" s="259"/>
      <c r="Z31" s="258">
        <f t="shared" si="1"/>
        <v>802799</v>
      </c>
      <c r="AA31" s="363">
        <f t="shared" si="2"/>
        <v>503716304</v>
      </c>
    </row>
    <row r="32" spans="1:27" s="249" customFormat="1">
      <c r="A32" s="14">
        <v>24</v>
      </c>
      <c r="B32" s="251" t="s">
        <v>909</v>
      </c>
      <c r="C32" s="253" t="s">
        <v>910</v>
      </c>
      <c r="D32" s="253" t="s">
        <v>911</v>
      </c>
      <c r="E32" s="252" t="s">
        <v>855</v>
      </c>
      <c r="F32" s="252">
        <v>3</v>
      </c>
      <c r="G32" s="261">
        <f t="shared" si="0"/>
        <v>134037161</v>
      </c>
      <c r="H32" s="259"/>
      <c r="I32" s="259">
        <v>130833269</v>
      </c>
      <c r="J32" s="259"/>
      <c r="K32" s="259">
        <v>3203892</v>
      </c>
      <c r="L32" s="259">
        <v>0</v>
      </c>
      <c r="M32" s="259">
        <v>0</v>
      </c>
      <c r="N32" s="260">
        <v>0</v>
      </c>
      <c r="O32" s="259">
        <v>0</v>
      </c>
      <c r="P32" s="259">
        <v>0</v>
      </c>
      <c r="Q32" s="260">
        <v>0</v>
      </c>
      <c r="R32" s="259"/>
      <c r="S32" s="259"/>
      <c r="T32" s="262" t="s">
        <v>962</v>
      </c>
      <c r="U32" s="259"/>
      <c r="V32" s="259">
        <v>0</v>
      </c>
      <c r="W32" s="362" t="s">
        <v>2</v>
      </c>
      <c r="X32" s="259">
        <v>0</v>
      </c>
      <c r="Y32" s="259"/>
      <c r="Z32" s="258">
        <f t="shared" si="1"/>
        <v>134037161</v>
      </c>
      <c r="AA32" s="363">
        <f t="shared" si="2"/>
        <v>503716304</v>
      </c>
    </row>
    <row r="33" spans="1:27" s="249" customFormat="1" ht="25.5">
      <c r="A33" s="14">
        <v>25</v>
      </c>
      <c r="B33" s="251" t="s">
        <v>912</v>
      </c>
      <c r="C33" s="253" t="s">
        <v>913</v>
      </c>
      <c r="D33" s="253" t="s">
        <v>869</v>
      </c>
      <c r="E33" s="253" t="s">
        <v>855</v>
      </c>
      <c r="F33" s="252">
        <v>3</v>
      </c>
      <c r="G33" s="261">
        <f t="shared" si="0"/>
        <v>280867160</v>
      </c>
      <c r="H33" s="259"/>
      <c r="I33" s="259">
        <v>280867160</v>
      </c>
      <c r="J33" s="259"/>
      <c r="K33" s="259">
        <v>0</v>
      </c>
      <c r="L33" s="259">
        <v>0</v>
      </c>
      <c r="M33" s="259">
        <v>0</v>
      </c>
      <c r="N33" s="260">
        <v>0</v>
      </c>
      <c r="O33" s="259">
        <v>0</v>
      </c>
      <c r="P33" s="259">
        <v>0</v>
      </c>
      <c r="Q33" s="260">
        <v>0</v>
      </c>
      <c r="R33" s="259"/>
      <c r="S33" s="259"/>
      <c r="T33" s="262" t="s">
        <v>962</v>
      </c>
      <c r="U33" s="259"/>
      <c r="V33" s="259">
        <v>0</v>
      </c>
      <c r="W33" s="262" t="s">
        <v>2</v>
      </c>
      <c r="X33" s="259">
        <v>0</v>
      </c>
      <c r="Y33" s="259"/>
      <c r="Z33" s="258">
        <f t="shared" si="1"/>
        <v>280867160</v>
      </c>
      <c r="AA33" s="363">
        <f t="shared" si="2"/>
        <v>503716304</v>
      </c>
    </row>
    <row r="34" spans="1:27" s="249" customFormat="1">
      <c r="A34" s="14">
        <v>26</v>
      </c>
      <c r="B34" s="251" t="s">
        <v>914</v>
      </c>
      <c r="C34" s="253" t="s">
        <v>915</v>
      </c>
      <c r="D34" s="253" t="s">
        <v>916</v>
      </c>
      <c r="E34" s="252" t="s">
        <v>917</v>
      </c>
      <c r="F34" s="252">
        <v>3</v>
      </c>
      <c r="G34" s="261">
        <f t="shared" ref="G34:G58" si="3">+H34+I34+J34+K34+M34+O34+Q34+S34</f>
        <v>32303517</v>
      </c>
      <c r="H34" s="259"/>
      <c r="I34" s="259">
        <v>32303517</v>
      </c>
      <c r="J34" s="259"/>
      <c r="K34" s="259">
        <v>0</v>
      </c>
      <c r="L34" s="259">
        <v>0</v>
      </c>
      <c r="M34" s="259">
        <v>0</v>
      </c>
      <c r="N34" s="260">
        <v>0</v>
      </c>
      <c r="O34" s="259">
        <v>0</v>
      </c>
      <c r="P34" s="259">
        <v>0</v>
      </c>
      <c r="Q34" s="259">
        <v>0</v>
      </c>
      <c r="R34" s="259"/>
      <c r="S34" s="259"/>
      <c r="T34" s="262" t="s">
        <v>962</v>
      </c>
      <c r="U34" s="259"/>
      <c r="V34" s="259">
        <v>0</v>
      </c>
      <c r="W34" s="362" t="s">
        <v>2</v>
      </c>
      <c r="X34" s="259">
        <v>0</v>
      </c>
      <c r="Y34" s="259"/>
      <c r="Z34" s="258">
        <f t="shared" ref="Z34:Z58" si="4">+G34-V34-X34</f>
        <v>32303517</v>
      </c>
      <c r="AA34" s="363">
        <f t="shared" si="2"/>
        <v>503716304</v>
      </c>
    </row>
    <row r="35" spans="1:27" s="249" customFormat="1">
      <c r="A35" s="14">
        <v>27</v>
      </c>
      <c r="B35" s="251" t="s">
        <v>918</v>
      </c>
      <c r="C35" s="253" t="s">
        <v>919</v>
      </c>
      <c r="D35" s="253">
        <v>28920</v>
      </c>
      <c r="E35" s="252" t="s">
        <v>9</v>
      </c>
      <c r="F35" s="252">
        <v>3</v>
      </c>
      <c r="G35" s="261">
        <f t="shared" si="3"/>
        <v>836034</v>
      </c>
      <c r="H35" s="259"/>
      <c r="I35" s="259">
        <v>0</v>
      </c>
      <c r="J35" s="259"/>
      <c r="K35" s="259">
        <v>0</v>
      </c>
      <c r="L35" s="259">
        <v>0</v>
      </c>
      <c r="M35" s="259">
        <v>0</v>
      </c>
      <c r="N35" s="260">
        <v>836034</v>
      </c>
      <c r="O35" s="259">
        <v>836034</v>
      </c>
      <c r="P35" s="259">
        <v>0</v>
      </c>
      <c r="Q35" s="259">
        <v>0</v>
      </c>
      <c r="R35" s="259"/>
      <c r="S35" s="259"/>
      <c r="T35" s="262" t="s">
        <v>962</v>
      </c>
      <c r="U35" s="259"/>
      <c r="V35" s="259">
        <v>0</v>
      </c>
      <c r="W35" s="362" t="s">
        <v>962</v>
      </c>
      <c r="X35" s="259">
        <v>0</v>
      </c>
      <c r="Y35" s="259"/>
      <c r="Z35" s="258">
        <f t="shared" si="4"/>
        <v>836034</v>
      </c>
      <c r="AA35" s="363">
        <f t="shared" si="2"/>
        <v>503716304</v>
      </c>
    </row>
    <row r="36" spans="1:27" s="249" customFormat="1">
      <c r="A36" s="14">
        <v>28</v>
      </c>
      <c r="B36" s="251" t="s">
        <v>920</v>
      </c>
      <c r="C36" s="253" t="s">
        <v>921</v>
      </c>
      <c r="D36" s="253" t="s">
        <v>922</v>
      </c>
      <c r="E36" s="252" t="s">
        <v>852</v>
      </c>
      <c r="F36" s="252">
        <v>4</v>
      </c>
      <c r="G36" s="261">
        <f t="shared" si="3"/>
        <v>1851865929.5</v>
      </c>
      <c r="H36" s="259"/>
      <c r="I36" s="259">
        <v>1715423363</v>
      </c>
      <c r="J36" s="259"/>
      <c r="K36" s="259">
        <v>0</v>
      </c>
      <c r="L36" s="259">
        <v>136200000</v>
      </c>
      <c r="M36" s="259">
        <v>136200000</v>
      </c>
      <c r="N36" s="260">
        <v>0</v>
      </c>
      <c r="O36" s="259">
        <v>0</v>
      </c>
      <c r="P36" s="259">
        <v>485133</v>
      </c>
      <c r="Q36" s="259">
        <v>242566.5</v>
      </c>
      <c r="R36" s="259"/>
      <c r="S36" s="259"/>
      <c r="T36" s="262" t="s">
        <v>962</v>
      </c>
      <c r="U36" s="259">
        <v>6</v>
      </c>
      <c r="V36" s="259">
        <v>808036173</v>
      </c>
      <c r="W36" s="362" t="s">
        <v>2</v>
      </c>
      <c r="X36" s="259">
        <v>0</v>
      </c>
      <c r="Y36" s="259"/>
      <c r="Z36" s="258">
        <f t="shared" si="4"/>
        <v>1043829756.5</v>
      </c>
      <c r="AA36" s="363">
        <f t="shared" si="2"/>
        <v>1271637929.5</v>
      </c>
    </row>
    <row r="37" spans="1:27" s="249" customFormat="1" ht="25.5">
      <c r="A37" s="14">
        <v>29</v>
      </c>
      <c r="B37" s="251" t="s">
        <v>923</v>
      </c>
      <c r="C37" s="253" t="s">
        <v>924</v>
      </c>
      <c r="D37" s="253" t="s">
        <v>925</v>
      </c>
      <c r="E37" s="252" t="s">
        <v>855</v>
      </c>
      <c r="F37" s="252">
        <v>4</v>
      </c>
      <c r="G37" s="261">
        <f t="shared" si="3"/>
        <v>125548347</v>
      </c>
      <c r="H37" s="259"/>
      <c r="I37" s="259">
        <v>112228176</v>
      </c>
      <c r="J37" s="259"/>
      <c r="K37" s="259">
        <v>511</v>
      </c>
      <c r="L37" s="259">
        <v>13256458</v>
      </c>
      <c r="M37" s="259">
        <v>13256458</v>
      </c>
      <c r="N37" s="260">
        <v>0</v>
      </c>
      <c r="O37" s="259">
        <v>0</v>
      </c>
      <c r="P37" s="259">
        <v>0</v>
      </c>
      <c r="Q37" s="259">
        <v>0</v>
      </c>
      <c r="R37" s="259">
        <v>63202</v>
      </c>
      <c r="S37" s="259">
        <v>63202</v>
      </c>
      <c r="T37" s="262" t="s">
        <v>962</v>
      </c>
      <c r="U37" s="259"/>
      <c r="V37" s="259">
        <v>0</v>
      </c>
      <c r="W37" s="362" t="s">
        <v>2</v>
      </c>
      <c r="X37" s="259">
        <v>0</v>
      </c>
      <c r="Y37" s="259"/>
      <c r="Z37" s="258">
        <f t="shared" si="4"/>
        <v>125548347</v>
      </c>
      <c r="AA37" s="363">
        <f t="shared" si="2"/>
        <v>1271637929.5</v>
      </c>
    </row>
    <row r="38" spans="1:27" s="249" customFormat="1">
      <c r="A38" s="14">
        <v>30</v>
      </c>
      <c r="B38" s="251" t="s">
        <v>926</v>
      </c>
      <c r="C38" s="253" t="s">
        <v>927</v>
      </c>
      <c r="D38" s="253" t="s">
        <v>928</v>
      </c>
      <c r="E38" s="252" t="s">
        <v>861</v>
      </c>
      <c r="F38" s="252">
        <v>4</v>
      </c>
      <c r="G38" s="261">
        <f t="shared" si="3"/>
        <v>100332362</v>
      </c>
      <c r="H38" s="259"/>
      <c r="I38" s="259">
        <v>100332362</v>
      </c>
      <c r="J38" s="259"/>
      <c r="K38" s="259">
        <v>0</v>
      </c>
      <c r="L38" s="259">
        <v>0</v>
      </c>
      <c r="M38" s="259">
        <v>0</v>
      </c>
      <c r="N38" s="260">
        <v>0</v>
      </c>
      <c r="O38" s="259">
        <v>0</v>
      </c>
      <c r="P38" s="259">
        <v>0</v>
      </c>
      <c r="Q38" s="259">
        <v>0</v>
      </c>
      <c r="R38" s="259">
        <v>0</v>
      </c>
      <c r="S38" s="259">
        <v>0</v>
      </c>
      <c r="T38" s="262" t="s">
        <v>962</v>
      </c>
      <c r="U38" s="259"/>
      <c r="V38" s="259">
        <v>0</v>
      </c>
      <c r="W38" s="362" t="s">
        <v>2</v>
      </c>
      <c r="X38" s="259">
        <v>0</v>
      </c>
      <c r="Y38" s="259"/>
      <c r="Z38" s="258">
        <f t="shared" si="4"/>
        <v>100332362</v>
      </c>
      <c r="AA38" s="363">
        <f t="shared" si="2"/>
        <v>1271637929.5</v>
      </c>
    </row>
    <row r="39" spans="1:27" s="249" customFormat="1">
      <c r="A39" s="14">
        <v>31</v>
      </c>
      <c r="B39" s="251" t="s">
        <v>929</v>
      </c>
      <c r="C39" s="253" t="s">
        <v>930</v>
      </c>
      <c r="D39" s="253" t="s">
        <v>931</v>
      </c>
      <c r="E39" s="252" t="s">
        <v>861</v>
      </c>
      <c r="F39" s="252">
        <v>4</v>
      </c>
      <c r="G39" s="261">
        <f t="shared" si="3"/>
        <v>2533781</v>
      </c>
      <c r="H39" s="259"/>
      <c r="I39" s="259">
        <v>2435463</v>
      </c>
      <c r="J39" s="259"/>
      <c r="K39" s="259">
        <v>98318</v>
      </c>
      <c r="L39" s="259">
        <v>0</v>
      </c>
      <c r="M39" s="259">
        <v>0</v>
      </c>
      <c r="N39" s="260">
        <v>0</v>
      </c>
      <c r="O39" s="259">
        <v>0</v>
      </c>
      <c r="P39" s="259">
        <v>0</v>
      </c>
      <c r="Q39" s="259">
        <v>0</v>
      </c>
      <c r="R39" s="259">
        <v>0</v>
      </c>
      <c r="S39" s="259">
        <v>0</v>
      </c>
      <c r="T39" s="262">
        <v>1</v>
      </c>
      <c r="U39" s="259"/>
      <c r="V39" s="259">
        <v>0</v>
      </c>
      <c r="W39" s="262" t="s">
        <v>6</v>
      </c>
      <c r="X39" s="259">
        <v>606522</v>
      </c>
      <c r="Y39" s="259"/>
      <c r="Z39" s="258">
        <f t="shared" si="4"/>
        <v>1927259</v>
      </c>
      <c r="AA39" s="363">
        <f t="shared" si="2"/>
        <v>1271637929.5</v>
      </c>
    </row>
    <row r="40" spans="1:27" s="249" customFormat="1">
      <c r="A40" s="14">
        <v>32</v>
      </c>
      <c r="B40" s="251" t="s">
        <v>932</v>
      </c>
      <c r="C40" s="253" t="s">
        <v>933</v>
      </c>
      <c r="D40" s="253" t="s">
        <v>934</v>
      </c>
      <c r="E40" s="252" t="s">
        <v>9</v>
      </c>
      <c r="F40" s="252">
        <v>4</v>
      </c>
      <c r="G40" s="261">
        <f t="shared" si="3"/>
        <v>97</v>
      </c>
      <c r="H40" s="259"/>
      <c r="I40" s="259">
        <v>0</v>
      </c>
      <c r="J40" s="259"/>
      <c r="K40" s="259">
        <v>97</v>
      </c>
      <c r="L40" s="259">
        <v>0</v>
      </c>
      <c r="M40" s="259">
        <v>0</v>
      </c>
      <c r="N40" s="260">
        <v>0</v>
      </c>
      <c r="O40" s="259">
        <v>0</v>
      </c>
      <c r="P40" s="259">
        <v>0</v>
      </c>
      <c r="Q40" s="259">
        <v>0</v>
      </c>
      <c r="R40" s="259">
        <v>0</v>
      </c>
      <c r="S40" s="259">
        <v>0</v>
      </c>
      <c r="T40" s="262" t="s">
        <v>962</v>
      </c>
      <c r="U40" s="259"/>
      <c r="V40" s="259">
        <v>0</v>
      </c>
      <c r="W40" s="262" t="s">
        <v>962</v>
      </c>
      <c r="X40" s="259">
        <v>0</v>
      </c>
      <c r="Y40" s="259"/>
      <c r="Z40" s="258">
        <f t="shared" si="4"/>
        <v>97</v>
      </c>
      <c r="AA40" s="363">
        <f t="shared" si="2"/>
        <v>1271637929.5</v>
      </c>
    </row>
    <row r="41" spans="1:27" s="249" customFormat="1">
      <c r="A41" s="14">
        <v>33</v>
      </c>
      <c r="B41" s="251" t="s">
        <v>935</v>
      </c>
      <c r="C41" s="253" t="s">
        <v>936</v>
      </c>
      <c r="D41" s="253" t="s">
        <v>937</v>
      </c>
      <c r="E41" s="252" t="s">
        <v>9</v>
      </c>
      <c r="F41" s="252">
        <v>4</v>
      </c>
      <c r="G41" s="261">
        <f t="shared" si="3"/>
        <v>67</v>
      </c>
      <c r="H41" s="259"/>
      <c r="I41" s="259">
        <v>0</v>
      </c>
      <c r="J41" s="259"/>
      <c r="K41" s="259">
        <v>67</v>
      </c>
      <c r="L41" s="259">
        <v>0</v>
      </c>
      <c r="M41" s="259">
        <v>0</v>
      </c>
      <c r="N41" s="260">
        <v>0</v>
      </c>
      <c r="O41" s="259">
        <v>0</v>
      </c>
      <c r="P41" s="259">
        <v>0</v>
      </c>
      <c r="Q41" s="260">
        <v>0</v>
      </c>
      <c r="R41" s="259">
        <v>0</v>
      </c>
      <c r="S41" s="259">
        <v>0</v>
      </c>
      <c r="T41" s="262" t="s">
        <v>962</v>
      </c>
      <c r="U41" s="259"/>
      <c r="V41" s="259">
        <v>0</v>
      </c>
      <c r="W41" s="262" t="s">
        <v>962</v>
      </c>
      <c r="X41" s="259">
        <v>0</v>
      </c>
      <c r="Y41" s="259"/>
      <c r="Z41" s="258">
        <f t="shared" si="4"/>
        <v>67</v>
      </c>
      <c r="AA41" s="363">
        <f t="shared" ref="AA41:AA72" si="5">SUMIF($F$9:$F$88,$F41,$Z$9:$Z$88)</f>
        <v>1271637929.5</v>
      </c>
    </row>
    <row r="42" spans="1:27" s="249" customFormat="1">
      <c r="A42" s="14">
        <v>34</v>
      </c>
      <c r="B42" s="251" t="s">
        <v>938</v>
      </c>
      <c r="C42" s="253" t="s">
        <v>939</v>
      </c>
      <c r="D42" s="253" t="s">
        <v>934</v>
      </c>
      <c r="E42" s="252" t="s">
        <v>9</v>
      </c>
      <c r="F42" s="252">
        <v>4</v>
      </c>
      <c r="G42" s="261">
        <f t="shared" si="3"/>
        <v>35</v>
      </c>
      <c r="H42" s="259"/>
      <c r="I42" s="259">
        <v>0</v>
      </c>
      <c r="J42" s="259"/>
      <c r="K42" s="259">
        <v>35</v>
      </c>
      <c r="L42" s="259">
        <v>0</v>
      </c>
      <c r="M42" s="259">
        <v>0</v>
      </c>
      <c r="N42" s="260">
        <v>0</v>
      </c>
      <c r="O42" s="259">
        <v>0</v>
      </c>
      <c r="P42" s="259">
        <v>0</v>
      </c>
      <c r="Q42" s="260">
        <v>0</v>
      </c>
      <c r="R42" s="259">
        <v>0</v>
      </c>
      <c r="S42" s="259">
        <v>0</v>
      </c>
      <c r="T42" s="262" t="s">
        <v>962</v>
      </c>
      <c r="U42" s="259"/>
      <c r="V42" s="259">
        <v>0</v>
      </c>
      <c r="W42" s="262" t="s">
        <v>962</v>
      </c>
      <c r="X42" s="259">
        <v>0</v>
      </c>
      <c r="Y42" s="259"/>
      <c r="Z42" s="258">
        <f t="shared" si="4"/>
        <v>35</v>
      </c>
      <c r="AA42" s="363">
        <f t="shared" si="5"/>
        <v>1271637929.5</v>
      </c>
    </row>
    <row r="43" spans="1:27" s="249" customFormat="1" ht="25.5">
      <c r="A43" s="14">
        <v>35</v>
      </c>
      <c r="B43" s="251" t="s">
        <v>940</v>
      </c>
      <c r="C43" s="253" t="s">
        <v>941</v>
      </c>
      <c r="D43" s="253" t="s">
        <v>934</v>
      </c>
      <c r="E43" s="252" t="s">
        <v>9</v>
      </c>
      <c r="F43" s="252">
        <v>4</v>
      </c>
      <c r="G43" s="261">
        <f t="shared" si="3"/>
        <v>3</v>
      </c>
      <c r="H43" s="259"/>
      <c r="I43" s="259">
        <v>0</v>
      </c>
      <c r="J43" s="259"/>
      <c r="K43" s="259">
        <v>3</v>
      </c>
      <c r="L43" s="259">
        <v>0</v>
      </c>
      <c r="M43" s="259">
        <v>0</v>
      </c>
      <c r="N43" s="260">
        <v>0</v>
      </c>
      <c r="O43" s="259">
        <v>0</v>
      </c>
      <c r="P43" s="259">
        <v>0</v>
      </c>
      <c r="Q43" s="260">
        <v>0</v>
      </c>
      <c r="R43" s="259">
        <v>0</v>
      </c>
      <c r="S43" s="259">
        <v>0</v>
      </c>
      <c r="T43" s="262" t="s">
        <v>962</v>
      </c>
      <c r="U43" s="259"/>
      <c r="V43" s="259">
        <v>0</v>
      </c>
      <c r="W43" s="262" t="s">
        <v>962</v>
      </c>
      <c r="X43" s="259">
        <v>0</v>
      </c>
      <c r="Y43" s="259"/>
      <c r="Z43" s="258">
        <f t="shared" si="4"/>
        <v>3</v>
      </c>
      <c r="AA43" s="363">
        <f t="shared" si="5"/>
        <v>1271637929.5</v>
      </c>
    </row>
    <row r="44" spans="1:27" s="249" customFormat="1">
      <c r="A44" s="14">
        <v>36</v>
      </c>
      <c r="B44" s="251" t="s">
        <v>942</v>
      </c>
      <c r="C44" s="253" t="s">
        <v>943</v>
      </c>
      <c r="D44" s="253" t="s">
        <v>944</v>
      </c>
      <c r="E44" s="252" t="s">
        <v>9</v>
      </c>
      <c r="F44" s="252">
        <v>4</v>
      </c>
      <c r="G44" s="261">
        <f t="shared" si="3"/>
        <v>3</v>
      </c>
      <c r="H44" s="259"/>
      <c r="I44" s="259">
        <v>0</v>
      </c>
      <c r="J44" s="259"/>
      <c r="K44" s="259">
        <v>3</v>
      </c>
      <c r="L44" s="259">
        <v>0</v>
      </c>
      <c r="M44" s="259">
        <v>0</v>
      </c>
      <c r="N44" s="260">
        <v>0</v>
      </c>
      <c r="O44" s="259">
        <v>0</v>
      </c>
      <c r="P44" s="259">
        <v>0</v>
      </c>
      <c r="Q44" s="260">
        <v>0</v>
      </c>
      <c r="R44" s="259">
        <v>0</v>
      </c>
      <c r="S44" s="259">
        <v>0</v>
      </c>
      <c r="T44" s="262" t="s">
        <v>962</v>
      </c>
      <c r="U44" s="259"/>
      <c r="V44" s="259">
        <v>0</v>
      </c>
      <c r="W44" s="262" t="s">
        <v>962</v>
      </c>
      <c r="X44" s="259">
        <v>0</v>
      </c>
      <c r="Y44" s="259"/>
      <c r="Z44" s="258">
        <f t="shared" si="4"/>
        <v>3</v>
      </c>
      <c r="AA44" s="363">
        <f t="shared" si="5"/>
        <v>1271637929.5</v>
      </c>
    </row>
    <row r="45" spans="1:27" s="249" customFormat="1">
      <c r="A45" s="14">
        <v>37</v>
      </c>
      <c r="B45" s="251" t="s">
        <v>945</v>
      </c>
      <c r="C45" s="253" t="s">
        <v>946</v>
      </c>
      <c r="D45" s="253" t="s">
        <v>947</v>
      </c>
      <c r="E45" s="252" t="s">
        <v>885</v>
      </c>
      <c r="F45" s="252">
        <v>5</v>
      </c>
      <c r="G45" s="261">
        <f t="shared" si="3"/>
        <v>1679394630</v>
      </c>
      <c r="H45" s="259"/>
      <c r="I45" s="259">
        <v>1570824353</v>
      </c>
      <c r="J45" s="259"/>
      <c r="K45" s="259">
        <v>108570277</v>
      </c>
      <c r="L45" s="259">
        <v>0</v>
      </c>
      <c r="M45" s="259">
        <v>0</v>
      </c>
      <c r="N45" s="260">
        <v>0</v>
      </c>
      <c r="O45" s="259">
        <v>0</v>
      </c>
      <c r="P45" s="259">
        <v>0</v>
      </c>
      <c r="Q45" s="260">
        <v>0</v>
      </c>
      <c r="R45" s="259">
        <v>0</v>
      </c>
      <c r="S45" s="259">
        <v>0</v>
      </c>
      <c r="T45" s="262" t="s">
        <v>962</v>
      </c>
      <c r="U45" s="259"/>
      <c r="V45" s="259">
        <v>0</v>
      </c>
      <c r="W45" s="262" t="s">
        <v>2</v>
      </c>
      <c r="X45" s="259">
        <v>0</v>
      </c>
      <c r="Y45" s="259"/>
      <c r="Z45" s="258">
        <f t="shared" si="4"/>
        <v>1679394630</v>
      </c>
      <c r="AA45" s="363">
        <f t="shared" si="5"/>
        <v>1679394630</v>
      </c>
    </row>
    <row r="46" spans="1:27" s="249" customFormat="1">
      <c r="A46" s="14">
        <v>38</v>
      </c>
      <c r="B46" s="251" t="s">
        <v>948</v>
      </c>
      <c r="C46" s="253" t="s">
        <v>949</v>
      </c>
      <c r="D46" s="253" t="s">
        <v>950</v>
      </c>
      <c r="E46" s="252" t="s">
        <v>951</v>
      </c>
      <c r="F46" s="252">
        <v>6</v>
      </c>
      <c r="G46" s="261">
        <f t="shared" si="3"/>
        <v>884361656</v>
      </c>
      <c r="H46" s="259"/>
      <c r="I46" s="259">
        <v>765618716</v>
      </c>
      <c r="J46" s="259"/>
      <c r="K46" s="259">
        <v>0</v>
      </c>
      <c r="L46" s="259">
        <v>118742940</v>
      </c>
      <c r="M46" s="259">
        <v>118742940</v>
      </c>
      <c r="N46" s="260">
        <v>0</v>
      </c>
      <c r="O46" s="259">
        <v>0</v>
      </c>
      <c r="P46" s="259">
        <v>0</v>
      </c>
      <c r="Q46" s="260">
        <v>0</v>
      </c>
      <c r="R46" s="259">
        <v>0</v>
      </c>
      <c r="S46" s="259">
        <v>0</v>
      </c>
      <c r="T46" s="262" t="s">
        <v>962</v>
      </c>
      <c r="U46" s="259"/>
      <c r="V46" s="259">
        <v>0</v>
      </c>
      <c r="W46" s="262" t="s">
        <v>2</v>
      </c>
      <c r="X46" s="259">
        <v>0</v>
      </c>
      <c r="Y46" s="259"/>
      <c r="Z46" s="258">
        <f t="shared" si="4"/>
        <v>884361656</v>
      </c>
      <c r="AA46" s="363">
        <f t="shared" si="5"/>
        <v>1419099072</v>
      </c>
    </row>
    <row r="47" spans="1:27" s="249" customFormat="1">
      <c r="A47" s="14">
        <v>39</v>
      </c>
      <c r="B47" s="251" t="s">
        <v>952</v>
      </c>
      <c r="C47" s="251" t="s">
        <v>953</v>
      </c>
      <c r="D47" s="253" t="s">
        <v>950</v>
      </c>
      <c r="E47" s="253" t="s">
        <v>917</v>
      </c>
      <c r="F47" s="252">
        <v>6</v>
      </c>
      <c r="G47" s="261">
        <f t="shared" si="3"/>
        <v>507297161</v>
      </c>
      <c r="H47" s="259"/>
      <c r="I47" s="259">
        <v>506887570</v>
      </c>
      <c r="J47" s="259"/>
      <c r="K47" s="259">
        <v>409591</v>
      </c>
      <c r="L47" s="259">
        <v>0</v>
      </c>
      <c r="M47" s="259">
        <v>0</v>
      </c>
      <c r="N47" s="260">
        <v>0</v>
      </c>
      <c r="O47" s="259">
        <v>0</v>
      </c>
      <c r="P47" s="259">
        <v>0</v>
      </c>
      <c r="Q47" s="260">
        <v>0</v>
      </c>
      <c r="R47" s="259">
        <v>0</v>
      </c>
      <c r="S47" s="259">
        <v>0</v>
      </c>
      <c r="T47" s="262" t="s">
        <v>962</v>
      </c>
      <c r="U47" s="259"/>
      <c r="V47" s="259">
        <v>0</v>
      </c>
      <c r="W47" s="262" t="s">
        <v>2</v>
      </c>
      <c r="X47" s="259">
        <v>0</v>
      </c>
      <c r="Y47" s="259"/>
      <c r="Z47" s="258">
        <f t="shared" si="4"/>
        <v>507297161</v>
      </c>
      <c r="AA47" s="363">
        <f t="shared" si="5"/>
        <v>1419099072</v>
      </c>
    </row>
    <row r="48" spans="1:27" s="249" customFormat="1">
      <c r="A48" s="14">
        <v>40</v>
      </c>
      <c r="B48" s="251" t="s">
        <v>954</v>
      </c>
      <c r="C48" s="251" t="s">
        <v>955</v>
      </c>
      <c r="D48" s="251" t="s">
        <v>956</v>
      </c>
      <c r="E48" s="252" t="s">
        <v>861</v>
      </c>
      <c r="F48" s="252">
        <v>6</v>
      </c>
      <c r="G48" s="261">
        <f t="shared" si="3"/>
        <v>27440255</v>
      </c>
      <c r="H48" s="259"/>
      <c r="I48" s="259">
        <v>27440255</v>
      </c>
      <c r="J48" s="259"/>
      <c r="K48" s="259">
        <v>0</v>
      </c>
      <c r="L48" s="259">
        <v>0</v>
      </c>
      <c r="M48" s="259">
        <v>0</v>
      </c>
      <c r="N48" s="260">
        <v>0</v>
      </c>
      <c r="O48" s="259">
        <v>0</v>
      </c>
      <c r="P48" s="259">
        <v>0</v>
      </c>
      <c r="Q48" s="260">
        <v>0</v>
      </c>
      <c r="R48" s="259">
        <v>0</v>
      </c>
      <c r="S48" s="259">
        <v>0</v>
      </c>
      <c r="T48" s="262" t="s">
        <v>962</v>
      </c>
      <c r="U48" s="259"/>
      <c r="V48" s="259">
        <v>0</v>
      </c>
      <c r="W48" s="262" t="s">
        <v>2</v>
      </c>
      <c r="X48" s="259">
        <v>0</v>
      </c>
      <c r="Y48" s="259"/>
      <c r="Z48" s="258">
        <f t="shared" si="4"/>
        <v>27440255</v>
      </c>
      <c r="AA48" s="363">
        <f t="shared" si="5"/>
        <v>1419099072</v>
      </c>
    </row>
    <row r="49" spans="1:27" s="249" customFormat="1">
      <c r="A49" s="14">
        <v>41</v>
      </c>
      <c r="B49" s="251" t="s">
        <v>957</v>
      </c>
      <c r="C49" s="251" t="s">
        <v>958</v>
      </c>
      <c r="D49" s="251" t="s">
        <v>959</v>
      </c>
      <c r="E49" s="252" t="s">
        <v>960</v>
      </c>
      <c r="F49" s="252">
        <v>7</v>
      </c>
      <c r="G49" s="261">
        <f t="shared" si="3"/>
        <v>1354778547</v>
      </c>
      <c r="H49" s="259"/>
      <c r="I49" s="259">
        <v>1354778547</v>
      </c>
      <c r="J49" s="259"/>
      <c r="K49" s="259">
        <v>0</v>
      </c>
      <c r="L49" s="259">
        <v>0</v>
      </c>
      <c r="M49" s="259">
        <v>0</v>
      </c>
      <c r="N49" s="260">
        <v>0</v>
      </c>
      <c r="O49" s="260">
        <v>0</v>
      </c>
      <c r="P49" s="260">
        <v>0</v>
      </c>
      <c r="Q49" s="260">
        <v>0</v>
      </c>
      <c r="R49" s="259">
        <v>0</v>
      </c>
      <c r="S49" s="259">
        <v>0</v>
      </c>
      <c r="T49" s="262" t="s">
        <v>962</v>
      </c>
      <c r="U49" s="259"/>
      <c r="V49" s="259">
        <v>0</v>
      </c>
      <c r="W49" s="262" t="s">
        <v>2</v>
      </c>
      <c r="X49" s="259">
        <v>0</v>
      </c>
      <c r="Y49" s="259"/>
      <c r="Z49" s="258">
        <f t="shared" si="4"/>
        <v>1354778547</v>
      </c>
      <c r="AA49" s="363">
        <f t="shared" si="5"/>
        <v>1354778547</v>
      </c>
    </row>
    <row r="50" spans="1:27" s="249" customFormat="1">
      <c r="A50" s="14">
        <v>42</v>
      </c>
      <c r="B50" s="251" t="s">
        <v>961</v>
      </c>
      <c r="C50" s="251" t="s">
        <v>962</v>
      </c>
      <c r="D50" s="251" t="s">
        <v>962</v>
      </c>
      <c r="E50" s="252" t="s">
        <v>9</v>
      </c>
      <c r="F50" s="252">
        <v>8</v>
      </c>
      <c r="G50" s="261">
        <f t="shared" si="3"/>
        <v>1221988783</v>
      </c>
      <c r="H50" s="259">
        <v>1221988783</v>
      </c>
      <c r="I50" s="259">
        <v>0</v>
      </c>
      <c r="J50" s="259"/>
      <c r="K50" s="259">
        <v>0</v>
      </c>
      <c r="L50" s="259">
        <v>0</v>
      </c>
      <c r="M50" s="259">
        <v>0</v>
      </c>
      <c r="N50" s="260">
        <v>0</v>
      </c>
      <c r="O50" s="260">
        <v>0</v>
      </c>
      <c r="P50" s="260">
        <v>0</v>
      </c>
      <c r="Q50" s="260">
        <v>0</v>
      </c>
      <c r="R50" s="259">
        <v>0</v>
      </c>
      <c r="S50" s="259">
        <v>0</v>
      </c>
      <c r="T50" s="262" t="s">
        <v>962</v>
      </c>
      <c r="U50" s="259"/>
      <c r="V50" s="259">
        <v>0</v>
      </c>
      <c r="W50" s="262" t="s">
        <v>962</v>
      </c>
      <c r="X50" s="259">
        <v>0</v>
      </c>
      <c r="Y50" s="259"/>
      <c r="Z50" s="258">
        <f t="shared" si="4"/>
        <v>1221988783</v>
      </c>
      <c r="AA50" s="363">
        <f t="shared" si="5"/>
        <v>1221988783</v>
      </c>
    </row>
    <row r="51" spans="1:27" s="249" customFormat="1">
      <c r="A51" s="14">
        <v>43</v>
      </c>
      <c r="B51" s="251" t="s">
        <v>963</v>
      </c>
      <c r="C51" s="251" t="s">
        <v>964</v>
      </c>
      <c r="D51" s="251" t="s">
        <v>965</v>
      </c>
      <c r="E51" s="252" t="s">
        <v>855</v>
      </c>
      <c r="F51" s="252">
        <v>9</v>
      </c>
      <c r="G51" s="261">
        <f t="shared" si="3"/>
        <v>1185933375</v>
      </c>
      <c r="H51" s="259"/>
      <c r="I51" s="259">
        <v>1023416679</v>
      </c>
      <c r="J51" s="259"/>
      <c r="K51" s="259">
        <v>68800533</v>
      </c>
      <c r="L51" s="259">
        <v>93716163</v>
      </c>
      <c r="M51" s="259">
        <v>93716163</v>
      </c>
      <c r="N51" s="260">
        <v>0</v>
      </c>
      <c r="O51" s="260">
        <v>0</v>
      </c>
      <c r="P51" s="260">
        <v>0</v>
      </c>
      <c r="Q51" s="260">
        <v>0</v>
      </c>
      <c r="R51" s="259">
        <v>0</v>
      </c>
      <c r="S51" s="259">
        <v>0</v>
      </c>
      <c r="T51" s="262" t="s">
        <v>962</v>
      </c>
      <c r="U51" s="259">
        <v>2</v>
      </c>
      <c r="V51" s="259">
        <v>1023416679</v>
      </c>
      <c r="W51" s="259" t="s">
        <v>2</v>
      </c>
      <c r="X51" s="259">
        <v>0</v>
      </c>
      <c r="Y51" s="259"/>
      <c r="Z51" s="258">
        <f t="shared" si="4"/>
        <v>162516696</v>
      </c>
      <c r="AA51" s="363">
        <f t="shared" si="5"/>
        <v>162516696</v>
      </c>
    </row>
    <row r="52" spans="1:27" s="249" customFormat="1">
      <c r="A52" s="14">
        <v>44</v>
      </c>
      <c r="B52" s="251" t="s">
        <v>966</v>
      </c>
      <c r="C52" s="251" t="s">
        <v>962</v>
      </c>
      <c r="D52" s="251" t="s">
        <v>962</v>
      </c>
      <c r="E52" s="252" t="s">
        <v>9</v>
      </c>
      <c r="F52" s="252">
        <v>10</v>
      </c>
      <c r="G52" s="261">
        <f t="shared" si="3"/>
        <v>1119578640</v>
      </c>
      <c r="H52" s="259">
        <v>1119578640</v>
      </c>
      <c r="I52" s="259">
        <v>0</v>
      </c>
      <c r="J52" s="259"/>
      <c r="K52" s="259">
        <v>0</v>
      </c>
      <c r="L52" s="259">
        <v>0</v>
      </c>
      <c r="M52" s="259">
        <v>0</v>
      </c>
      <c r="N52" s="260">
        <v>0</v>
      </c>
      <c r="O52" s="260">
        <v>0</v>
      </c>
      <c r="P52" s="259">
        <v>0</v>
      </c>
      <c r="Q52" s="260">
        <v>0</v>
      </c>
      <c r="R52" s="259">
        <v>0</v>
      </c>
      <c r="S52" s="259">
        <v>0</v>
      </c>
      <c r="T52" s="262" t="s">
        <v>962</v>
      </c>
      <c r="U52" s="259"/>
      <c r="V52" s="259">
        <v>0</v>
      </c>
      <c r="W52" s="259" t="s">
        <v>962</v>
      </c>
      <c r="X52" s="259">
        <v>0</v>
      </c>
      <c r="Y52" s="259"/>
      <c r="Z52" s="258">
        <f t="shared" si="4"/>
        <v>1119578640</v>
      </c>
      <c r="AA52" s="363">
        <f t="shared" si="5"/>
        <v>1119578640</v>
      </c>
    </row>
    <row r="53" spans="1:27" s="249" customFormat="1">
      <c r="A53" s="14">
        <v>45</v>
      </c>
      <c r="B53" s="251" t="s">
        <v>967</v>
      </c>
      <c r="C53" s="251" t="s">
        <v>968</v>
      </c>
      <c r="D53" s="251" t="s">
        <v>969</v>
      </c>
      <c r="E53" s="252" t="s">
        <v>885</v>
      </c>
      <c r="F53" s="252">
        <v>11</v>
      </c>
      <c r="G53" s="261">
        <f t="shared" si="3"/>
        <v>1087418403</v>
      </c>
      <c r="H53" s="259"/>
      <c r="I53" s="259">
        <v>1007418755</v>
      </c>
      <c r="J53" s="259"/>
      <c r="K53" s="259">
        <v>79999648</v>
      </c>
      <c r="L53" s="259">
        <v>0</v>
      </c>
      <c r="M53" s="259">
        <v>0</v>
      </c>
      <c r="N53" s="260">
        <v>0</v>
      </c>
      <c r="O53" s="260">
        <v>0</v>
      </c>
      <c r="P53" s="259">
        <v>0</v>
      </c>
      <c r="Q53" s="260">
        <v>0</v>
      </c>
      <c r="R53" s="259">
        <v>0</v>
      </c>
      <c r="S53" s="259">
        <v>0</v>
      </c>
      <c r="T53" s="262" t="s">
        <v>962</v>
      </c>
      <c r="U53" s="259"/>
      <c r="V53" s="259">
        <v>0</v>
      </c>
      <c r="W53" s="259" t="s">
        <v>2</v>
      </c>
      <c r="X53" s="259">
        <v>0</v>
      </c>
      <c r="Y53" s="259"/>
      <c r="Z53" s="258">
        <f t="shared" si="4"/>
        <v>1087418403</v>
      </c>
      <c r="AA53" s="363">
        <f t="shared" si="5"/>
        <v>1087418403</v>
      </c>
    </row>
    <row r="54" spans="1:27" s="249" customFormat="1">
      <c r="A54" s="14">
        <v>46</v>
      </c>
      <c r="B54" s="251" t="s">
        <v>970</v>
      </c>
      <c r="C54" s="251" t="s">
        <v>971</v>
      </c>
      <c r="D54" s="251" t="s">
        <v>972</v>
      </c>
      <c r="E54" s="252" t="s">
        <v>855</v>
      </c>
      <c r="F54" s="252">
        <v>12</v>
      </c>
      <c r="G54" s="261">
        <f t="shared" si="3"/>
        <v>541942706</v>
      </c>
      <c r="H54" s="259"/>
      <c r="I54" s="259">
        <v>373560806</v>
      </c>
      <c r="J54" s="259"/>
      <c r="K54" s="259">
        <v>0</v>
      </c>
      <c r="L54" s="259">
        <v>0</v>
      </c>
      <c r="M54" s="259">
        <v>0</v>
      </c>
      <c r="N54" s="260">
        <v>168381900</v>
      </c>
      <c r="O54" s="260">
        <v>168381900</v>
      </c>
      <c r="P54" s="259">
        <v>0</v>
      </c>
      <c r="Q54" s="260">
        <v>0</v>
      </c>
      <c r="R54" s="259">
        <v>0</v>
      </c>
      <c r="S54" s="259">
        <v>0</v>
      </c>
      <c r="T54" s="262" t="s">
        <v>962</v>
      </c>
      <c r="U54" s="259"/>
      <c r="V54" s="259">
        <v>0</v>
      </c>
      <c r="W54" s="259" t="s">
        <v>2</v>
      </c>
      <c r="X54" s="259">
        <v>0</v>
      </c>
      <c r="Y54" s="259"/>
      <c r="Z54" s="258">
        <f t="shared" si="4"/>
        <v>541942706</v>
      </c>
      <c r="AA54" s="363">
        <f t="shared" si="5"/>
        <v>1019105296</v>
      </c>
    </row>
    <row r="55" spans="1:27" s="249" customFormat="1">
      <c r="A55" s="14">
        <v>47</v>
      </c>
      <c r="B55" s="251" t="s">
        <v>973</v>
      </c>
      <c r="C55" s="251" t="s">
        <v>974</v>
      </c>
      <c r="D55" s="251" t="s">
        <v>972</v>
      </c>
      <c r="E55" s="252" t="s">
        <v>855</v>
      </c>
      <c r="F55" s="252">
        <v>12</v>
      </c>
      <c r="G55" s="261">
        <f t="shared" si="3"/>
        <v>477155805</v>
      </c>
      <c r="H55" s="259"/>
      <c r="I55" s="259">
        <v>421028505</v>
      </c>
      <c r="J55" s="259"/>
      <c r="K55" s="259">
        <v>0</v>
      </c>
      <c r="L55" s="259">
        <v>0</v>
      </c>
      <c r="M55" s="259">
        <v>0</v>
      </c>
      <c r="N55" s="260">
        <v>56127300</v>
      </c>
      <c r="O55" s="260">
        <v>56127300</v>
      </c>
      <c r="P55" s="17">
        <v>0</v>
      </c>
      <c r="Q55" s="260">
        <v>0</v>
      </c>
      <c r="R55" s="259">
        <v>0</v>
      </c>
      <c r="S55" s="259">
        <v>0</v>
      </c>
      <c r="T55" s="262" t="s">
        <v>962</v>
      </c>
      <c r="U55" s="259"/>
      <c r="V55" s="259">
        <v>0</v>
      </c>
      <c r="W55" s="259" t="s">
        <v>2</v>
      </c>
      <c r="X55" s="259">
        <v>0</v>
      </c>
      <c r="Y55" s="259"/>
      <c r="Z55" s="258">
        <f t="shared" si="4"/>
        <v>477155805</v>
      </c>
      <c r="AA55" s="363">
        <f t="shared" si="5"/>
        <v>1019105296</v>
      </c>
    </row>
    <row r="56" spans="1:27" s="249" customFormat="1">
      <c r="A56" s="14">
        <v>48</v>
      </c>
      <c r="B56" s="251" t="s">
        <v>975</v>
      </c>
      <c r="C56" s="251" t="s">
        <v>976</v>
      </c>
      <c r="D56" s="251" t="s">
        <v>977</v>
      </c>
      <c r="E56" s="252" t="s">
        <v>9</v>
      </c>
      <c r="F56" s="252">
        <v>12</v>
      </c>
      <c r="G56" s="261">
        <f t="shared" si="3"/>
        <v>6785</v>
      </c>
      <c r="H56" s="259"/>
      <c r="I56" s="259">
        <v>0</v>
      </c>
      <c r="J56" s="259"/>
      <c r="K56" s="259">
        <v>6785</v>
      </c>
      <c r="L56" s="259">
        <v>0</v>
      </c>
      <c r="M56" s="259">
        <v>0</v>
      </c>
      <c r="N56" s="260">
        <v>0</v>
      </c>
      <c r="O56" s="260">
        <v>0</v>
      </c>
      <c r="P56" s="260">
        <v>0</v>
      </c>
      <c r="Q56" s="260">
        <v>0</v>
      </c>
      <c r="R56" s="259">
        <v>0</v>
      </c>
      <c r="S56" s="259">
        <v>0</v>
      </c>
      <c r="T56" s="262" t="s">
        <v>962</v>
      </c>
      <c r="U56" s="259"/>
      <c r="V56" s="259">
        <v>0</v>
      </c>
      <c r="W56" s="259" t="s">
        <v>962</v>
      </c>
      <c r="X56" s="259">
        <v>0</v>
      </c>
      <c r="Y56" s="259"/>
      <c r="Z56" s="258">
        <f t="shared" si="4"/>
        <v>6785</v>
      </c>
      <c r="AA56" s="363">
        <f t="shared" si="5"/>
        <v>1019105296</v>
      </c>
    </row>
    <row r="57" spans="1:27" s="249" customFormat="1">
      <c r="A57" s="14">
        <v>49</v>
      </c>
      <c r="B57" s="251" t="s">
        <v>978</v>
      </c>
      <c r="C57" s="251" t="s">
        <v>979</v>
      </c>
      <c r="D57" s="251" t="s">
        <v>980</v>
      </c>
      <c r="E57" s="252" t="s">
        <v>861</v>
      </c>
      <c r="F57" s="252">
        <v>13</v>
      </c>
      <c r="G57" s="261">
        <f t="shared" si="3"/>
        <v>995346578</v>
      </c>
      <c r="H57" s="259"/>
      <c r="I57" s="259">
        <v>995288005</v>
      </c>
      <c r="J57" s="259"/>
      <c r="K57" s="259">
        <v>25005</v>
      </c>
      <c r="L57" s="259">
        <v>0</v>
      </c>
      <c r="M57" s="259">
        <v>0</v>
      </c>
      <c r="N57" s="260">
        <v>0</v>
      </c>
      <c r="O57" s="260">
        <v>0</v>
      </c>
      <c r="P57" s="260">
        <v>67136</v>
      </c>
      <c r="Q57" s="260">
        <v>33568</v>
      </c>
      <c r="R57" s="259">
        <v>0</v>
      </c>
      <c r="S57" s="259">
        <v>0</v>
      </c>
      <c r="T57" s="262" t="s">
        <v>962</v>
      </c>
      <c r="U57" s="259"/>
      <c r="V57" s="259">
        <v>0</v>
      </c>
      <c r="W57" s="259" t="s">
        <v>2</v>
      </c>
      <c r="X57" s="259">
        <v>0</v>
      </c>
      <c r="Y57" s="259"/>
      <c r="Z57" s="258">
        <f t="shared" si="4"/>
        <v>995346578</v>
      </c>
      <c r="AA57" s="363">
        <f t="shared" si="5"/>
        <v>995346578</v>
      </c>
    </row>
    <row r="58" spans="1:27" s="249" customFormat="1" ht="25.5">
      <c r="A58" s="14">
        <v>50</v>
      </c>
      <c r="B58" s="251" t="s">
        <v>981</v>
      </c>
      <c r="C58" s="251" t="s">
        <v>982</v>
      </c>
      <c r="D58" s="251" t="s">
        <v>983</v>
      </c>
      <c r="E58" s="252" t="s">
        <v>960</v>
      </c>
      <c r="F58" s="252">
        <v>14</v>
      </c>
      <c r="G58" s="261">
        <f t="shared" si="3"/>
        <v>955906116</v>
      </c>
      <c r="H58" s="259"/>
      <c r="I58" s="259">
        <v>955906113</v>
      </c>
      <c r="J58" s="259"/>
      <c r="K58" s="259">
        <v>0</v>
      </c>
      <c r="L58" s="259">
        <v>0</v>
      </c>
      <c r="M58" s="259">
        <v>0</v>
      </c>
      <c r="N58" s="260">
        <v>0</v>
      </c>
      <c r="O58" s="260">
        <v>0</v>
      </c>
      <c r="P58" s="260">
        <v>5</v>
      </c>
      <c r="Q58" s="260">
        <v>3</v>
      </c>
      <c r="R58" s="259">
        <v>0</v>
      </c>
      <c r="S58" s="259">
        <v>0</v>
      </c>
      <c r="T58" s="259" t="s">
        <v>962</v>
      </c>
      <c r="U58" s="259"/>
      <c r="V58" s="259">
        <v>0</v>
      </c>
      <c r="W58" s="259" t="s">
        <v>2</v>
      </c>
      <c r="X58" s="259">
        <v>0</v>
      </c>
      <c r="Y58" s="259"/>
      <c r="Z58" s="258">
        <f t="shared" si="4"/>
        <v>955906116</v>
      </c>
      <c r="AA58" s="363">
        <f t="shared" si="5"/>
        <v>955906116</v>
      </c>
    </row>
    <row r="59" spans="1:27" s="249" customFormat="1">
      <c r="A59" s="14">
        <v>51</v>
      </c>
      <c r="B59" s="251" t="s">
        <v>984</v>
      </c>
      <c r="C59" s="253" t="s">
        <v>985</v>
      </c>
      <c r="D59" s="253" t="s">
        <v>986</v>
      </c>
      <c r="E59" s="252" t="s">
        <v>885</v>
      </c>
      <c r="F59" s="252">
        <v>15</v>
      </c>
      <c r="G59" s="261">
        <f t="shared" si="0"/>
        <v>938853517</v>
      </c>
      <c r="H59" s="259"/>
      <c r="I59" s="259">
        <v>789919681</v>
      </c>
      <c r="J59" s="259"/>
      <c r="K59" s="259">
        <v>44285008</v>
      </c>
      <c r="L59" s="259">
        <v>104648828</v>
      </c>
      <c r="M59" s="259">
        <v>104648828</v>
      </c>
      <c r="N59" s="260">
        <v>0</v>
      </c>
      <c r="O59" s="259">
        <v>0</v>
      </c>
      <c r="P59" s="259">
        <v>0</v>
      </c>
      <c r="Q59" s="259">
        <v>0</v>
      </c>
      <c r="R59" s="259">
        <v>0</v>
      </c>
      <c r="S59" s="259">
        <v>0</v>
      </c>
      <c r="T59" s="262" t="s">
        <v>962</v>
      </c>
      <c r="U59" s="259"/>
      <c r="V59" s="259">
        <v>0</v>
      </c>
      <c r="W59" s="362" t="s">
        <v>2</v>
      </c>
      <c r="X59" s="259">
        <v>0</v>
      </c>
      <c r="Y59" s="259"/>
      <c r="Z59" s="258">
        <f t="shared" si="1"/>
        <v>938853517</v>
      </c>
      <c r="AA59" s="363">
        <f t="shared" si="5"/>
        <v>945586821</v>
      </c>
    </row>
    <row r="60" spans="1:27" s="249" customFormat="1">
      <c r="A60" s="14">
        <v>52</v>
      </c>
      <c r="B60" s="251" t="s">
        <v>987</v>
      </c>
      <c r="C60" s="253" t="s">
        <v>988</v>
      </c>
      <c r="D60" s="253" t="s">
        <v>869</v>
      </c>
      <c r="E60" s="252" t="s">
        <v>861</v>
      </c>
      <c r="F60" s="252">
        <v>15</v>
      </c>
      <c r="G60" s="261">
        <f t="shared" si="0"/>
        <v>4073565</v>
      </c>
      <c r="H60" s="259"/>
      <c r="I60" s="259">
        <v>4073565</v>
      </c>
      <c r="J60" s="259"/>
      <c r="K60" s="259">
        <v>0</v>
      </c>
      <c r="L60" s="259">
        <v>0</v>
      </c>
      <c r="M60" s="259">
        <v>0</v>
      </c>
      <c r="N60" s="260">
        <v>0</v>
      </c>
      <c r="O60" s="259">
        <v>0</v>
      </c>
      <c r="P60" s="259">
        <v>0</v>
      </c>
      <c r="Q60" s="259">
        <v>0</v>
      </c>
      <c r="R60" s="259">
        <v>0</v>
      </c>
      <c r="S60" s="259">
        <v>0</v>
      </c>
      <c r="T60" s="262" t="s">
        <v>962</v>
      </c>
      <c r="U60" s="259"/>
      <c r="V60" s="259">
        <v>0</v>
      </c>
      <c r="W60" s="362" t="s">
        <v>2</v>
      </c>
      <c r="X60" s="259">
        <v>0</v>
      </c>
      <c r="Y60" s="259"/>
      <c r="Z60" s="258">
        <f t="shared" si="1"/>
        <v>4073565</v>
      </c>
      <c r="AA60" s="363">
        <f t="shared" si="5"/>
        <v>945586821</v>
      </c>
    </row>
    <row r="61" spans="1:27" s="249" customFormat="1">
      <c r="A61" s="14">
        <v>53</v>
      </c>
      <c r="B61" s="251" t="s">
        <v>989</v>
      </c>
      <c r="C61" s="253" t="s">
        <v>990</v>
      </c>
      <c r="D61" s="253" t="s">
        <v>991</v>
      </c>
      <c r="E61" s="252" t="s">
        <v>861</v>
      </c>
      <c r="F61" s="252">
        <v>15</v>
      </c>
      <c r="G61" s="261">
        <f t="shared" si="0"/>
        <v>2944179</v>
      </c>
      <c r="H61" s="259"/>
      <c r="I61" s="259">
        <v>2855486</v>
      </c>
      <c r="J61" s="259"/>
      <c r="K61" s="259">
        <v>88693</v>
      </c>
      <c r="L61" s="259">
        <v>0</v>
      </c>
      <c r="M61" s="259">
        <v>0</v>
      </c>
      <c r="N61" s="260">
        <v>0</v>
      </c>
      <c r="O61" s="259">
        <v>0</v>
      </c>
      <c r="P61" s="259">
        <v>0</v>
      </c>
      <c r="Q61" s="259">
        <v>0</v>
      </c>
      <c r="R61" s="259">
        <v>0</v>
      </c>
      <c r="S61" s="259">
        <v>0</v>
      </c>
      <c r="T61" s="262">
        <v>1</v>
      </c>
      <c r="U61" s="259"/>
      <c r="V61" s="259">
        <v>0</v>
      </c>
      <c r="W61" s="362" t="s">
        <v>5</v>
      </c>
      <c r="X61" s="259">
        <v>284440</v>
      </c>
      <c r="Y61" s="259"/>
      <c r="Z61" s="258">
        <f t="shared" si="1"/>
        <v>2659739</v>
      </c>
      <c r="AA61" s="363">
        <f t="shared" si="5"/>
        <v>945586821</v>
      </c>
    </row>
    <row r="62" spans="1:27" s="249" customFormat="1" ht="25.5">
      <c r="A62" s="14">
        <v>54</v>
      </c>
      <c r="B62" s="251" t="s">
        <v>992</v>
      </c>
      <c r="C62" s="253" t="s">
        <v>962</v>
      </c>
      <c r="D62" s="253" t="s">
        <v>962</v>
      </c>
      <c r="E62" s="252" t="s">
        <v>9</v>
      </c>
      <c r="F62" s="252">
        <v>16</v>
      </c>
      <c r="G62" s="261">
        <f t="shared" si="0"/>
        <v>829031870</v>
      </c>
      <c r="H62" s="259">
        <v>828196720</v>
      </c>
      <c r="I62" s="259">
        <v>0</v>
      </c>
      <c r="J62" s="259"/>
      <c r="K62" s="259">
        <v>835150</v>
      </c>
      <c r="L62" s="259">
        <v>0</v>
      </c>
      <c r="M62" s="259">
        <v>0</v>
      </c>
      <c r="N62" s="260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62" t="s">
        <v>962</v>
      </c>
      <c r="U62" s="259"/>
      <c r="V62" s="259">
        <v>0</v>
      </c>
      <c r="W62" s="362" t="s">
        <v>962</v>
      </c>
      <c r="X62" s="259">
        <v>0</v>
      </c>
      <c r="Y62" s="259"/>
      <c r="Z62" s="258">
        <f t="shared" si="1"/>
        <v>829031870</v>
      </c>
      <c r="AA62" s="363">
        <f t="shared" si="5"/>
        <v>829031870</v>
      </c>
    </row>
    <row r="63" spans="1:27" s="249" customFormat="1">
      <c r="A63" s="14">
        <v>55</v>
      </c>
      <c r="B63" s="251" t="s">
        <v>993</v>
      </c>
      <c r="C63" s="253" t="s">
        <v>994</v>
      </c>
      <c r="D63" s="253" t="s">
        <v>995</v>
      </c>
      <c r="E63" s="252" t="s">
        <v>861</v>
      </c>
      <c r="F63" s="252">
        <v>17</v>
      </c>
      <c r="G63" s="261">
        <f t="shared" si="0"/>
        <v>272975058</v>
      </c>
      <c r="H63" s="259"/>
      <c r="I63" s="259">
        <v>269249658</v>
      </c>
      <c r="J63" s="259"/>
      <c r="K63" s="259">
        <v>78178</v>
      </c>
      <c r="L63" s="259">
        <v>0</v>
      </c>
      <c r="M63" s="259">
        <v>0</v>
      </c>
      <c r="N63" s="260">
        <v>0</v>
      </c>
      <c r="O63" s="259">
        <v>0</v>
      </c>
      <c r="P63" s="259">
        <v>7294443</v>
      </c>
      <c r="Q63" s="259">
        <v>3647222</v>
      </c>
      <c r="R63" s="259">
        <v>0</v>
      </c>
      <c r="S63" s="259">
        <v>0</v>
      </c>
      <c r="T63" s="262" t="s">
        <v>962</v>
      </c>
      <c r="U63" s="259"/>
      <c r="V63" s="259">
        <v>0</v>
      </c>
      <c r="W63" s="362" t="s">
        <v>2</v>
      </c>
      <c r="X63" s="259">
        <v>0</v>
      </c>
      <c r="Y63" s="259"/>
      <c r="Z63" s="258">
        <f t="shared" si="1"/>
        <v>272975058</v>
      </c>
      <c r="AA63" s="363">
        <f t="shared" si="5"/>
        <v>813344579</v>
      </c>
    </row>
    <row r="64" spans="1:27" s="249" customFormat="1">
      <c r="A64" s="14">
        <v>56</v>
      </c>
      <c r="B64" s="251" t="s">
        <v>996</v>
      </c>
      <c r="C64" s="253" t="s">
        <v>997</v>
      </c>
      <c r="D64" s="253" t="s">
        <v>995</v>
      </c>
      <c r="E64" s="252" t="s">
        <v>861</v>
      </c>
      <c r="F64" s="252">
        <v>17</v>
      </c>
      <c r="G64" s="261">
        <f t="shared" si="0"/>
        <v>259064830</v>
      </c>
      <c r="H64" s="259"/>
      <c r="I64" s="259">
        <v>258278599</v>
      </c>
      <c r="J64" s="259"/>
      <c r="K64" s="259">
        <v>104222</v>
      </c>
      <c r="L64" s="259">
        <v>0</v>
      </c>
      <c r="M64" s="259">
        <v>0</v>
      </c>
      <c r="N64" s="260">
        <v>0</v>
      </c>
      <c r="O64" s="259">
        <v>0</v>
      </c>
      <c r="P64" s="259">
        <v>1364018</v>
      </c>
      <c r="Q64" s="259">
        <v>682009</v>
      </c>
      <c r="R64" s="259">
        <v>0</v>
      </c>
      <c r="S64" s="259">
        <v>0</v>
      </c>
      <c r="T64" s="262" t="s">
        <v>962</v>
      </c>
      <c r="U64" s="259"/>
      <c r="V64" s="259">
        <v>0</v>
      </c>
      <c r="W64" s="262" t="s">
        <v>2</v>
      </c>
      <c r="X64" s="259">
        <v>0</v>
      </c>
      <c r="Y64" s="259"/>
      <c r="Z64" s="258">
        <f t="shared" si="1"/>
        <v>259064830</v>
      </c>
      <c r="AA64" s="363">
        <f t="shared" si="5"/>
        <v>813344579</v>
      </c>
    </row>
    <row r="65" spans="1:27" s="249" customFormat="1">
      <c r="A65" s="14">
        <v>57</v>
      </c>
      <c r="B65" s="251" t="s">
        <v>998</v>
      </c>
      <c r="C65" s="253" t="s">
        <v>999</v>
      </c>
      <c r="D65" s="253" t="s">
        <v>995</v>
      </c>
      <c r="E65" s="252" t="s">
        <v>861</v>
      </c>
      <c r="F65" s="252">
        <v>17</v>
      </c>
      <c r="G65" s="261">
        <f t="shared" si="0"/>
        <v>114897165</v>
      </c>
      <c r="H65" s="259"/>
      <c r="I65" s="259">
        <v>111955401</v>
      </c>
      <c r="J65" s="259"/>
      <c r="K65" s="259">
        <v>22165</v>
      </c>
      <c r="L65" s="259">
        <v>0</v>
      </c>
      <c r="M65" s="259">
        <v>0</v>
      </c>
      <c r="N65" s="260">
        <v>0</v>
      </c>
      <c r="O65" s="259">
        <v>0</v>
      </c>
      <c r="P65" s="259">
        <v>5839198</v>
      </c>
      <c r="Q65" s="259">
        <v>2919599</v>
      </c>
      <c r="R65" s="259">
        <v>0</v>
      </c>
      <c r="S65" s="259">
        <v>0</v>
      </c>
      <c r="T65" s="262" t="s">
        <v>962</v>
      </c>
      <c r="U65" s="259"/>
      <c r="V65" s="259">
        <v>0</v>
      </c>
      <c r="W65" s="262" t="s">
        <v>2</v>
      </c>
      <c r="X65" s="259">
        <v>0</v>
      </c>
      <c r="Y65" s="259"/>
      <c r="Z65" s="258">
        <f t="shared" si="1"/>
        <v>114897165</v>
      </c>
      <c r="AA65" s="363">
        <f t="shared" si="5"/>
        <v>813344579</v>
      </c>
    </row>
    <row r="66" spans="1:27" s="249" customFormat="1">
      <c r="A66" s="14">
        <v>58</v>
      </c>
      <c r="B66" s="251" t="s">
        <v>1000</v>
      </c>
      <c r="C66" s="253" t="s">
        <v>1001</v>
      </c>
      <c r="D66" s="253" t="s">
        <v>1002</v>
      </c>
      <c r="E66" s="252" t="s">
        <v>861</v>
      </c>
      <c r="F66" s="252">
        <v>17</v>
      </c>
      <c r="G66" s="261">
        <f t="shared" ref="G66:G88" si="6">+H66+I66+J66+K66+M66+O66+Q66+S66</f>
        <v>92966956</v>
      </c>
      <c r="H66" s="259"/>
      <c r="I66" s="259">
        <v>92780068</v>
      </c>
      <c r="J66" s="259"/>
      <c r="K66" s="259">
        <v>22984</v>
      </c>
      <c r="L66" s="259">
        <v>0</v>
      </c>
      <c r="M66" s="259">
        <v>0</v>
      </c>
      <c r="N66" s="260">
        <v>0</v>
      </c>
      <c r="O66" s="259">
        <v>0</v>
      </c>
      <c r="P66" s="259">
        <v>327808</v>
      </c>
      <c r="Q66" s="260">
        <v>163904</v>
      </c>
      <c r="R66" s="259">
        <v>0</v>
      </c>
      <c r="S66" s="259">
        <v>0</v>
      </c>
      <c r="T66" s="262" t="s">
        <v>962</v>
      </c>
      <c r="U66" s="259"/>
      <c r="V66" s="259">
        <v>0</v>
      </c>
      <c r="W66" s="262" t="s">
        <v>2</v>
      </c>
      <c r="X66" s="259">
        <v>0</v>
      </c>
      <c r="Y66" s="259"/>
      <c r="Z66" s="258">
        <f t="shared" ref="Z66:Z88" si="7">+G66-V66-X66</f>
        <v>92966956</v>
      </c>
      <c r="AA66" s="363">
        <f t="shared" si="5"/>
        <v>813344579</v>
      </c>
    </row>
    <row r="67" spans="1:27" s="249" customFormat="1">
      <c r="A67" s="14">
        <v>59</v>
      </c>
      <c r="B67" s="251" t="s">
        <v>1003</v>
      </c>
      <c r="C67" s="253" t="s">
        <v>1004</v>
      </c>
      <c r="D67" s="253" t="s">
        <v>950</v>
      </c>
      <c r="E67" s="252" t="s">
        <v>960</v>
      </c>
      <c r="F67" s="252">
        <v>17</v>
      </c>
      <c r="G67" s="261">
        <f t="shared" si="6"/>
        <v>78075613</v>
      </c>
      <c r="H67" s="259"/>
      <c r="I67" s="259">
        <v>46935838</v>
      </c>
      <c r="J67" s="259"/>
      <c r="K67" s="259">
        <v>1001232</v>
      </c>
      <c r="L67" s="259">
        <v>0</v>
      </c>
      <c r="M67" s="259">
        <v>0</v>
      </c>
      <c r="N67" s="260">
        <v>30138543</v>
      </c>
      <c r="O67" s="259">
        <v>30138543</v>
      </c>
      <c r="P67" s="259">
        <v>0</v>
      </c>
      <c r="Q67" s="260">
        <v>0</v>
      </c>
      <c r="R67" s="259">
        <v>0</v>
      </c>
      <c r="S67" s="259">
        <v>0</v>
      </c>
      <c r="T67" s="262" t="s">
        <v>962</v>
      </c>
      <c r="U67" s="259"/>
      <c r="V67" s="259">
        <v>0</v>
      </c>
      <c r="W67" s="262" t="s">
        <v>5</v>
      </c>
      <c r="X67" s="259">
        <v>4635043</v>
      </c>
      <c r="Y67" s="259"/>
      <c r="Z67" s="258">
        <f t="shared" si="7"/>
        <v>73440570</v>
      </c>
      <c r="AA67" s="363">
        <f t="shared" si="5"/>
        <v>813344579</v>
      </c>
    </row>
    <row r="68" spans="1:27" s="249" customFormat="1" ht="25.5">
      <c r="A68" s="14">
        <v>60</v>
      </c>
      <c r="B68" s="251" t="s">
        <v>1005</v>
      </c>
      <c r="C68" s="253" t="s">
        <v>962</v>
      </c>
      <c r="D68" s="253" t="s">
        <v>962</v>
      </c>
      <c r="E68" s="252" t="s">
        <v>9</v>
      </c>
      <c r="F68" s="252">
        <v>18</v>
      </c>
      <c r="G68" s="261">
        <f t="shared" si="6"/>
        <v>737140494</v>
      </c>
      <c r="H68" s="259">
        <v>17393635</v>
      </c>
      <c r="I68" s="259">
        <v>0</v>
      </c>
      <c r="J68" s="259"/>
      <c r="K68" s="259">
        <v>38177</v>
      </c>
      <c r="L68" s="259">
        <v>0</v>
      </c>
      <c r="M68" s="259">
        <v>0</v>
      </c>
      <c r="N68" s="260">
        <v>719708682</v>
      </c>
      <c r="O68" s="259">
        <v>719708682</v>
      </c>
      <c r="P68" s="259">
        <v>0</v>
      </c>
      <c r="Q68" s="260">
        <v>0</v>
      </c>
      <c r="R68" s="259">
        <v>0</v>
      </c>
      <c r="S68" s="259">
        <v>0</v>
      </c>
      <c r="T68" s="262" t="s">
        <v>962</v>
      </c>
      <c r="U68" s="259"/>
      <c r="V68" s="259">
        <v>0</v>
      </c>
      <c r="W68" s="262" t="s">
        <v>962</v>
      </c>
      <c r="X68" s="259">
        <v>0</v>
      </c>
      <c r="Y68" s="259"/>
      <c r="Z68" s="258">
        <f t="shared" si="7"/>
        <v>737140494</v>
      </c>
      <c r="AA68" s="363">
        <f t="shared" si="5"/>
        <v>737140494</v>
      </c>
    </row>
    <row r="69" spans="1:27" s="249" customFormat="1">
      <c r="A69" s="14">
        <v>61</v>
      </c>
      <c r="B69" s="251" t="s">
        <v>1006</v>
      </c>
      <c r="C69" s="253" t="s">
        <v>1007</v>
      </c>
      <c r="D69" s="253" t="s">
        <v>1008</v>
      </c>
      <c r="E69" s="252" t="s">
        <v>885</v>
      </c>
      <c r="F69" s="252">
        <v>19</v>
      </c>
      <c r="G69" s="261">
        <f t="shared" si="6"/>
        <v>736145024</v>
      </c>
      <c r="H69" s="259"/>
      <c r="I69" s="259">
        <v>727637798</v>
      </c>
      <c r="J69" s="259"/>
      <c r="K69" s="259">
        <v>7036768</v>
      </c>
      <c r="L69" s="259">
        <v>0</v>
      </c>
      <c r="M69" s="259">
        <v>0</v>
      </c>
      <c r="N69" s="260">
        <v>0</v>
      </c>
      <c r="O69" s="259">
        <v>0</v>
      </c>
      <c r="P69" s="259">
        <v>2940916</v>
      </c>
      <c r="Q69" s="260">
        <v>1470458</v>
      </c>
      <c r="R69" s="259">
        <v>0</v>
      </c>
      <c r="S69" s="259">
        <v>0</v>
      </c>
      <c r="T69" s="262" t="s">
        <v>962</v>
      </c>
      <c r="U69" s="259"/>
      <c r="V69" s="259">
        <v>0</v>
      </c>
      <c r="W69" s="262" t="s">
        <v>2</v>
      </c>
      <c r="X69" s="259">
        <v>0</v>
      </c>
      <c r="Y69" s="259"/>
      <c r="Z69" s="258">
        <f t="shared" si="7"/>
        <v>736145024</v>
      </c>
      <c r="AA69" s="363">
        <f t="shared" si="5"/>
        <v>736145024</v>
      </c>
    </row>
    <row r="70" spans="1:27" s="249" customFormat="1">
      <c r="A70" s="14">
        <v>62</v>
      </c>
      <c r="B70" s="251"/>
      <c r="C70" s="253"/>
      <c r="D70" s="253"/>
      <c r="E70" s="252"/>
      <c r="F70" s="252"/>
      <c r="G70" s="261">
        <f t="shared" si="6"/>
        <v>0</v>
      </c>
      <c r="H70" s="259"/>
      <c r="I70" s="259"/>
      <c r="J70" s="259"/>
      <c r="K70" s="259"/>
      <c r="L70" s="259"/>
      <c r="M70" s="259"/>
      <c r="N70" s="260"/>
      <c r="O70" s="259"/>
      <c r="P70" s="259"/>
      <c r="Q70" s="260"/>
      <c r="R70" s="259"/>
      <c r="S70" s="259"/>
      <c r="T70" s="262"/>
      <c r="U70" s="259"/>
      <c r="V70" s="259"/>
      <c r="W70" s="262"/>
      <c r="X70" s="259"/>
      <c r="Y70" s="259"/>
      <c r="Z70" s="258">
        <f t="shared" si="7"/>
        <v>0</v>
      </c>
      <c r="AA70" s="363">
        <f t="shared" si="5"/>
        <v>0</v>
      </c>
    </row>
    <row r="71" spans="1:27" s="249" customFormat="1">
      <c r="A71" s="14">
        <v>63</v>
      </c>
      <c r="B71" s="251"/>
      <c r="C71" s="253"/>
      <c r="D71" s="253"/>
      <c r="E71" s="252"/>
      <c r="F71" s="252"/>
      <c r="G71" s="261">
        <f t="shared" si="6"/>
        <v>0</v>
      </c>
      <c r="H71" s="259"/>
      <c r="I71" s="259"/>
      <c r="J71" s="259"/>
      <c r="K71" s="259"/>
      <c r="L71" s="259"/>
      <c r="M71" s="259"/>
      <c r="N71" s="260"/>
      <c r="O71" s="259"/>
      <c r="P71" s="259"/>
      <c r="Q71" s="260"/>
      <c r="R71" s="259"/>
      <c r="S71" s="259"/>
      <c r="T71" s="262"/>
      <c r="U71" s="259"/>
      <c r="V71" s="259"/>
      <c r="W71" s="262"/>
      <c r="X71" s="259"/>
      <c r="Y71" s="259"/>
      <c r="Z71" s="258">
        <f t="shared" si="7"/>
        <v>0</v>
      </c>
      <c r="AA71" s="363">
        <f t="shared" si="5"/>
        <v>0</v>
      </c>
    </row>
    <row r="72" spans="1:27" s="249" customFormat="1">
      <c r="A72" s="14">
        <v>64</v>
      </c>
      <c r="B72" s="251"/>
      <c r="C72" s="251"/>
      <c r="D72" s="253"/>
      <c r="E72" s="253"/>
      <c r="F72" s="252"/>
      <c r="G72" s="261">
        <f t="shared" si="6"/>
        <v>0</v>
      </c>
      <c r="H72" s="259"/>
      <c r="I72" s="259"/>
      <c r="J72" s="259"/>
      <c r="K72" s="259"/>
      <c r="L72" s="259"/>
      <c r="M72" s="259"/>
      <c r="N72" s="260"/>
      <c r="O72" s="259"/>
      <c r="P72" s="259"/>
      <c r="Q72" s="260"/>
      <c r="R72" s="259"/>
      <c r="S72" s="259"/>
      <c r="T72" s="262"/>
      <c r="U72" s="259"/>
      <c r="V72" s="259"/>
      <c r="W72" s="262"/>
      <c r="X72" s="259"/>
      <c r="Y72" s="259"/>
      <c r="Z72" s="258">
        <f t="shared" si="7"/>
        <v>0</v>
      </c>
      <c r="AA72" s="363">
        <f t="shared" si="5"/>
        <v>0</v>
      </c>
    </row>
    <row r="73" spans="1:27" s="249" customFormat="1">
      <c r="A73" s="14">
        <v>65</v>
      </c>
      <c r="B73" s="251"/>
      <c r="C73" s="251"/>
      <c r="D73" s="251"/>
      <c r="E73" s="252"/>
      <c r="F73" s="252"/>
      <c r="G73" s="261">
        <f t="shared" si="6"/>
        <v>0</v>
      </c>
      <c r="H73" s="259"/>
      <c r="I73" s="259"/>
      <c r="J73" s="259"/>
      <c r="K73" s="259"/>
      <c r="L73" s="259"/>
      <c r="M73" s="259"/>
      <c r="N73" s="260"/>
      <c r="O73" s="259"/>
      <c r="P73" s="259"/>
      <c r="Q73" s="260"/>
      <c r="R73" s="259"/>
      <c r="S73" s="259"/>
      <c r="T73" s="262"/>
      <c r="U73" s="259"/>
      <c r="V73" s="259"/>
      <c r="W73" s="262"/>
      <c r="X73" s="259"/>
      <c r="Y73" s="259"/>
      <c r="Z73" s="258">
        <f t="shared" si="7"/>
        <v>0</v>
      </c>
      <c r="AA73" s="363">
        <f t="shared" ref="AA73:AA88" si="8">SUMIF($F$9:$F$88,$F73,$Z$9:$Z$88)</f>
        <v>0</v>
      </c>
    </row>
    <row r="74" spans="1:27" s="249" customFormat="1">
      <c r="A74" s="14">
        <v>66</v>
      </c>
      <c r="B74" s="251"/>
      <c r="C74" s="251"/>
      <c r="D74" s="251"/>
      <c r="E74" s="252"/>
      <c r="F74" s="252"/>
      <c r="G74" s="261">
        <f t="shared" si="6"/>
        <v>0</v>
      </c>
      <c r="H74" s="259"/>
      <c r="I74" s="259"/>
      <c r="J74" s="259"/>
      <c r="K74" s="259"/>
      <c r="L74" s="259"/>
      <c r="M74" s="259"/>
      <c r="N74" s="260"/>
      <c r="O74" s="260"/>
      <c r="P74" s="260"/>
      <c r="Q74" s="260"/>
      <c r="R74" s="259"/>
      <c r="S74" s="259"/>
      <c r="T74" s="262"/>
      <c r="U74" s="259"/>
      <c r="V74" s="259"/>
      <c r="W74" s="262"/>
      <c r="X74" s="259"/>
      <c r="Y74" s="259"/>
      <c r="Z74" s="258">
        <f t="shared" si="7"/>
        <v>0</v>
      </c>
      <c r="AA74" s="363">
        <f t="shared" si="8"/>
        <v>0</v>
      </c>
    </row>
    <row r="75" spans="1:27" s="249" customFormat="1">
      <c r="A75" s="14">
        <v>67</v>
      </c>
      <c r="B75" s="251"/>
      <c r="C75" s="251"/>
      <c r="D75" s="251"/>
      <c r="E75" s="252"/>
      <c r="F75" s="252"/>
      <c r="G75" s="261">
        <f t="shared" si="6"/>
        <v>0</v>
      </c>
      <c r="H75" s="259"/>
      <c r="I75" s="259"/>
      <c r="J75" s="259"/>
      <c r="K75" s="259"/>
      <c r="L75" s="259"/>
      <c r="M75" s="259"/>
      <c r="N75" s="260"/>
      <c r="O75" s="260"/>
      <c r="P75" s="260"/>
      <c r="Q75" s="260"/>
      <c r="R75" s="259"/>
      <c r="S75" s="259"/>
      <c r="T75" s="262"/>
      <c r="U75" s="259"/>
      <c r="V75" s="259"/>
      <c r="W75" s="262"/>
      <c r="X75" s="259"/>
      <c r="Y75" s="259"/>
      <c r="Z75" s="258">
        <f t="shared" si="7"/>
        <v>0</v>
      </c>
      <c r="AA75" s="363">
        <f t="shared" si="8"/>
        <v>0</v>
      </c>
    </row>
    <row r="76" spans="1:27" s="249" customFormat="1">
      <c r="A76" s="14">
        <v>68</v>
      </c>
      <c r="B76" s="251"/>
      <c r="C76" s="251"/>
      <c r="D76" s="251"/>
      <c r="E76" s="252"/>
      <c r="F76" s="252"/>
      <c r="G76" s="261">
        <f t="shared" si="6"/>
        <v>0</v>
      </c>
      <c r="H76" s="259"/>
      <c r="I76" s="259"/>
      <c r="J76" s="259"/>
      <c r="K76" s="259"/>
      <c r="L76" s="259"/>
      <c r="M76" s="259"/>
      <c r="N76" s="260"/>
      <c r="O76" s="260"/>
      <c r="P76" s="260"/>
      <c r="Q76" s="260"/>
      <c r="R76" s="259"/>
      <c r="S76" s="259"/>
      <c r="T76" s="262"/>
      <c r="U76" s="259"/>
      <c r="V76" s="259"/>
      <c r="W76" s="259"/>
      <c r="X76" s="259"/>
      <c r="Y76" s="259"/>
      <c r="Z76" s="258">
        <f t="shared" si="7"/>
        <v>0</v>
      </c>
      <c r="AA76" s="363">
        <f t="shared" si="8"/>
        <v>0</v>
      </c>
    </row>
    <row r="77" spans="1:27" s="249" customFormat="1">
      <c r="A77" s="14">
        <v>69</v>
      </c>
      <c r="B77" s="251"/>
      <c r="C77" s="251"/>
      <c r="D77" s="251"/>
      <c r="E77" s="252"/>
      <c r="F77" s="252"/>
      <c r="G77" s="261">
        <f t="shared" si="6"/>
        <v>0</v>
      </c>
      <c r="H77" s="259"/>
      <c r="I77" s="259"/>
      <c r="J77" s="259"/>
      <c r="K77" s="259"/>
      <c r="L77" s="259"/>
      <c r="M77" s="259"/>
      <c r="N77" s="260"/>
      <c r="O77" s="260"/>
      <c r="P77" s="259"/>
      <c r="Q77" s="260"/>
      <c r="R77" s="259"/>
      <c r="S77" s="259"/>
      <c r="T77" s="262"/>
      <c r="U77" s="259"/>
      <c r="V77" s="259"/>
      <c r="W77" s="259"/>
      <c r="X77" s="259"/>
      <c r="Y77" s="259"/>
      <c r="Z77" s="258">
        <f t="shared" si="7"/>
        <v>0</v>
      </c>
      <c r="AA77" s="363">
        <f t="shared" si="8"/>
        <v>0</v>
      </c>
    </row>
    <row r="78" spans="1:27" s="249" customFormat="1">
      <c r="A78" s="14">
        <v>70</v>
      </c>
      <c r="B78" s="251"/>
      <c r="C78" s="251"/>
      <c r="D78" s="251"/>
      <c r="E78" s="252"/>
      <c r="F78" s="252"/>
      <c r="G78" s="261">
        <f t="shared" si="6"/>
        <v>0</v>
      </c>
      <c r="H78" s="259"/>
      <c r="I78" s="259"/>
      <c r="J78" s="259"/>
      <c r="K78" s="259"/>
      <c r="L78" s="259"/>
      <c r="M78" s="259"/>
      <c r="N78" s="260"/>
      <c r="O78" s="260"/>
      <c r="P78" s="259"/>
      <c r="Q78" s="260"/>
      <c r="R78" s="259"/>
      <c r="S78" s="259"/>
      <c r="T78" s="262"/>
      <c r="U78" s="259"/>
      <c r="V78" s="259"/>
      <c r="W78" s="259"/>
      <c r="X78" s="259"/>
      <c r="Y78" s="259"/>
      <c r="Z78" s="258">
        <f t="shared" si="7"/>
        <v>0</v>
      </c>
      <c r="AA78" s="363">
        <f t="shared" si="8"/>
        <v>0</v>
      </c>
    </row>
    <row r="79" spans="1:27" s="249" customFormat="1">
      <c r="A79" s="14">
        <v>71</v>
      </c>
      <c r="B79" s="251"/>
      <c r="C79" s="251"/>
      <c r="D79" s="251"/>
      <c r="E79" s="252"/>
      <c r="F79" s="252"/>
      <c r="G79" s="261">
        <f t="shared" si="6"/>
        <v>0</v>
      </c>
      <c r="H79" s="259"/>
      <c r="I79" s="259"/>
      <c r="J79" s="259"/>
      <c r="K79" s="259"/>
      <c r="L79" s="259"/>
      <c r="M79" s="259"/>
      <c r="N79" s="260"/>
      <c r="O79" s="260"/>
      <c r="P79" s="259"/>
      <c r="Q79" s="260"/>
      <c r="R79" s="259"/>
      <c r="S79" s="259"/>
      <c r="T79" s="262"/>
      <c r="U79" s="259"/>
      <c r="V79" s="259"/>
      <c r="W79" s="259"/>
      <c r="X79" s="259"/>
      <c r="Y79" s="259"/>
      <c r="Z79" s="258">
        <f t="shared" si="7"/>
        <v>0</v>
      </c>
      <c r="AA79" s="363">
        <f t="shared" si="8"/>
        <v>0</v>
      </c>
    </row>
    <row r="80" spans="1:27" s="249" customFormat="1">
      <c r="A80" s="14">
        <v>72</v>
      </c>
      <c r="B80" s="251"/>
      <c r="C80" s="251"/>
      <c r="D80" s="251"/>
      <c r="E80" s="252"/>
      <c r="F80" s="252"/>
      <c r="G80" s="261">
        <f t="shared" si="6"/>
        <v>0</v>
      </c>
      <c r="H80" s="259"/>
      <c r="I80" s="259"/>
      <c r="J80" s="259"/>
      <c r="K80" s="259"/>
      <c r="L80" s="259"/>
      <c r="M80" s="259"/>
      <c r="N80" s="260"/>
      <c r="O80" s="260"/>
      <c r="P80" s="17"/>
      <c r="Q80" s="260"/>
      <c r="R80" s="259"/>
      <c r="S80" s="259"/>
      <c r="T80" s="262"/>
      <c r="U80" s="259"/>
      <c r="V80" s="259"/>
      <c r="W80" s="259"/>
      <c r="X80" s="259"/>
      <c r="Y80" s="259"/>
      <c r="Z80" s="258">
        <f t="shared" si="7"/>
        <v>0</v>
      </c>
      <c r="AA80" s="363">
        <f t="shared" si="8"/>
        <v>0</v>
      </c>
    </row>
    <row r="81" spans="1:27" s="249" customFormat="1">
      <c r="A81" s="14">
        <v>73</v>
      </c>
      <c r="B81" s="251"/>
      <c r="C81" s="251"/>
      <c r="D81" s="251"/>
      <c r="E81" s="252"/>
      <c r="F81" s="252"/>
      <c r="G81" s="261">
        <f t="shared" si="6"/>
        <v>0</v>
      </c>
      <c r="H81" s="259"/>
      <c r="I81" s="259"/>
      <c r="J81" s="259"/>
      <c r="K81" s="259"/>
      <c r="L81" s="259"/>
      <c r="M81" s="259"/>
      <c r="N81" s="260"/>
      <c r="O81" s="260"/>
      <c r="P81" s="260"/>
      <c r="Q81" s="260"/>
      <c r="R81" s="259"/>
      <c r="S81" s="259"/>
      <c r="T81" s="262"/>
      <c r="U81" s="259"/>
      <c r="V81" s="259"/>
      <c r="W81" s="259"/>
      <c r="X81" s="259"/>
      <c r="Y81" s="259"/>
      <c r="Z81" s="258">
        <f t="shared" si="7"/>
        <v>0</v>
      </c>
      <c r="AA81" s="363">
        <f t="shared" si="8"/>
        <v>0</v>
      </c>
    </row>
    <row r="82" spans="1:27" s="249" customFormat="1">
      <c r="A82" s="14">
        <v>74</v>
      </c>
      <c r="B82" s="251"/>
      <c r="C82" s="251"/>
      <c r="D82" s="251"/>
      <c r="E82" s="252"/>
      <c r="F82" s="252"/>
      <c r="G82" s="261">
        <f t="shared" si="6"/>
        <v>0</v>
      </c>
      <c r="H82" s="259"/>
      <c r="I82" s="259"/>
      <c r="J82" s="259"/>
      <c r="K82" s="259"/>
      <c r="L82" s="259"/>
      <c r="M82" s="259"/>
      <c r="N82" s="260"/>
      <c r="O82" s="260"/>
      <c r="P82" s="260"/>
      <c r="Q82" s="260"/>
      <c r="R82" s="259"/>
      <c r="S82" s="259"/>
      <c r="T82" s="262"/>
      <c r="U82" s="259"/>
      <c r="V82" s="259"/>
      <c r="W82" s="259"/>
      <c r="X82" s="259"/>
      <c r="Y82" s="259"/>
      <c r="Z82" s="258">
        <f t="shared" si="7"/>
        <v>0</v>
      </c>
      <c r="AA82" s="363">
        <f t="shared" si="8"/>
        <v>0</v>
      </c>
    </row>
    <row r="83" spans="1:27" s="249" customFormat="1">
      <c r="A83" s="14">
        <v>75</v>
      </c>
      <c r="B83" s="251"/>
      <c r="C83" s="251"/>
      <c r="D83" s="251"/>
      <c r="E83" s="252"/>
      <c r="F83" s="252"/>
      <c r="G83" s="261">
        <f t="shared" si="6"/>
        <v>0</v>
      </c>
      <c r="H83" s="259"/>
      <c r="I83" s="259"/>
      <c r="J83" s="259"/>
      <c r="K83" s="259"/>
      <c r="L83" s="259"/>
      <c r="M83" s="259"/>
      <c r="N83" s="260"/>
      <c r="O83" s="260"/>
      <c r="P83" s="260"/>
      <c r="Q83" s="260"/>
      <c r="R83" s="259"/>
      <c r="S83" s="259"/>
      <c r="T83" s="259"/>
      <c r="U83" s="259"/>
      <c r="V83" s="259"/>
      <c r="W83" s="259"/>
      <c r="X83" s="259"/>
      <c r="Y83" s="259"/>
      <c r="Z83" s="258">
        <f t="shared" si="7"/>
        <v>0</v>
      </c>
      <c r="AA83" s="363">
        <f t="shared" si="8"/>
        <v>0</v>
      </c>
    </row>
    <row r="84" spans="1:27" s="249" customFormat="1">
      <c r="A84" s="14">
        <v>76</v>
      </c>
      <c r="B84" s="251"/>
      <c r="C84" s="251"/>
      <c r="D84" s="251"/>
      <c r="E84" s="252"/>
      <c r="F84" s="252"/>
      <c r="G84" s="261">
        <f t="shared" si="6"/>
        <v>0</v>
      </c>
      <c r="H84" s="259"/>
      <c r="I84" s="259"/>
      <c r="J84" s="259"/>
      <c r="K84" s="259"/>
      <c r="L84" s="259"/>
      <c r="M84" s="259"/>
      <c r="N84" s="260"/>
      <c r="O84" s="260"/>
      <c r="P84" s="260"/>
      <c r="Q84" s="260"/>
      <c r="R84" s="259"/>
      <c r="S84" s="259"/>
      <c r="T84" s="259"/>
      <c r="U84" s="259"/>
      <c r="V84" s="259"/>
      <c r="W84" s="259"/>
      <c r="X84" s="259"/>
      <c r="Y84" s="259"/>
      <c r="Z84" s="258">
        <f t="shared" si="7"/>
        <v>0</v>
      </c>
      <c r="AA84" s="363">
        <f t="shared" si="8"/>
        <v>0</v>
      </c>
    </row>
    <row r="85" spans="1:27" s="249" customFormat="1">
      <c r="A85" s="14">
        <v>77</v>
      </c>
      <c r="B85" s="251"/>
      <c r="C85" s="251"/>
      <c r="D85" s="251"/>
      <c r="E85" s="252"/>
      <c r="F85" s="252"/>
      <c r="G85" s="261">
        <f t="shared" si="6"/>
        <v>0</v>
      </c>
      <c r="H85" s="259"/>
      <c r="I85" s="259"/>
      <c r="J85" s="259"/>
      <c r="K85" s="259"/>
      <c r="L85" s="259"/>
      <c r="M85" s="259"/>
      <c r="N85" s="260"/>
      <c r="O85" s="260"/>
      <c r="P85" s="260"/>
      <c r="Q85" s="260"/>
      <c r="R85" s="259"/>
      <c r="S85" s="259"/>
      <c r="T85" s="259"/>
      <c r="U85" s="259"/>
      <c r="V85" s="259"/>
      <c r="W85" s="259"/>
      <c r="X85" s="259"/>
      <c r="Y85" s="259"/>
      <c r="Z85" s="258">
        <f t="shared" si="7"/>
        <v>0</v>
      </c>
      <c r="AA85" s="363">
        <f t="shared" si="8"/>
        <v>0</v>
      </c>
    </row>
    <row r="86" spans="1:27" s="249" customFormat="1">
      <c r="A86" s="14">
        <v>78</v>
      </c>
      <c r="B86" s="251"/>
      <c r="C86" s="251"/>
      <c r="D86" s="251"/>
      <c r="E86" s="252"/>
      <c r="F86" s="252"/>
      <c r="G86" s="261">
        <f t="shared" si="6"/>
        <v>0</v>
      </c>
      <c r="H86" s="259"/>
      <c r="I86" s="259"/>
      <c r="J86" s="259"/>
      <c r="K86" s="259"/>
      <c r="L86" s="259"/>
      <c r="M86" s="259"/>
      <c r="N86" s="260"/>
      <c r="O86" s="260"/>
      <c r="P86" s="260"/>
      <c r="Q86" s="260"/>
      <c r="R86" s="259"/>
      <c r="S86" s="259"/>
      <c r="T86" s="259"/>
      <c r="U86" s="259"/>
      <c r="V86" s="259"/>
      <c r="W86" s="259"/>
      <c r="X86" s="259"/>
      <c r="Y86" s="259"/>
      <c r="Z86" s="258">
        <f t="shared" si="7"/>
        <v>0</v>
      </c>
      <c r="AA86" s="363">
        <f t="shared" si="8"/>
        <v>0</v>
      </c>
    </row>
    <row r="87" spans="1:27" s="249" customFormat="1">
      <c r="A87" s="14">
        <v>79</v>
      </c>
      <c r="B87" s="251"/>
      <c r="C87" s="251"/>
      <c r="D87" s="251"/>
      <c r="E87" s="252"/>
      <c r="F87" s="252"/>
      <c r="G87" s="261">
        <f t="shared" si="6"/>
        <v>0</v>
      </c>
      <c r="H87" s="259"/>
      <c r="I87" s="259"/>
      <c r="J87" s="259"/>
      <c r="K87" s="259"/>
      <c r="L87" s="259"/>
      <c r="M87" s="259"/>
      <c r="N87" s="260"/>
      <c r="O87" s="260"/>
      <c r="P87" s="260"/>
      <c r="Q87" s="260"/>
      <c r="R87" s="259"/>
      <c r="S87" s="259"/>
      <c r="T87" s="259"/>
      <c r="U87" s="259"/>
      <c r="V87" s="259"/>
      <c r="W87" s="259"/>
      <c r="X87" s="259"/>
      <c r="Y87" s="259"/>
      <c r="Z87" s="258">
        <f t="shared" si="7"/>
        <v>0</v>
      </c>
      <c r="AA87" s="363">
        <f t="shared" si="8"/>
        <v>0</v>
      </c>
    </row>
    <row r="88" spans="1:27" s="249" customFormat="1">
      <c r="A88" s="14">
        <v>80</v>
      </c>
      <c r="B88" s="251"/>
      <c r="C88" s="251"/>
      <c r="D88" s="251"/>
      <c r="E88" s="252"/>
      <c r="F88" s="252"/>
      <c r="G88" s="261">
        <f t="shared" si="6"/>
        <v>0</v>
      </c>
      <c r="H88" s="259"/>
      <c r="I88" s="259"/>
      <c r="J88" s="259"/>
      <c r="K88" s="259"/>
      <c r="L88" s="259"/>
      <c r="M88" s="259"/>
      <c r="N88" s="260"/>
      <c r="O88" s="260"/>
      <c r="P88" s="260"/>
      <c r="Q88" s="260"/>
      <c r="R88" s="259"/>
      <c r="S88" s="259"/>
      <c r="T88" s="259"/>
      <c r="U88" s="259"/>
      <c r="V88" s="259"/>
      <c r="W88" s="259"/>
      <c r="X88" s="259"/>
      <c r="Y88" s="259"/>
      <c r="Z88" s="258">
        <f t="shared" si="7"/>
        <v>0</v>
      </c>
      <c r="AA88" s="363">
        <f t="shared" si="8"/>
        <v>0</v>
      </c>
    </row>
    <row r="89" spans="1:27" s="268" customFormat="1" ht="19.5" customHeight="1">
      <c r="A89" s="620" t="s">
        <v>459</v>
      </c>
      <c r="B89" s="621"/>
      <c r="C89" s="621"/>
      <c r="D89" s="621"/>
      <c r="E89" s="621"/>
      <c r="F89" s="622"/>
      <c r="G89" s="248">
        <f>SUM(G9:G88)</f>
        <v>27806951300.5</v>
      </c>
      <c r="H89" s="248">
        <f t="shared" ref="H89:V89" si="9">SUM(H9:H88)</f>
        <v>3187157778</v>
      </c>
      <c r="I89" s="248">
        <f t="shared" si="9"/>
        <v>22282896865</v>
      </c>
      <c r="J89" s="248">
        <f t="shared" si="9"/>
        <v>0</v>
      </c>
      <c r="K89" s="248">
        <f t="shared" si="9"/>
        <v>330483701</v>
      </c>
      <c r="L89" s="248">
        <f t="shared" si="9"/>
        <v>476996687</v>
      </c>
      <c r="M89" s="248">
        <f t="shared" si="9"/>
        <v>476996687</v>
      </c>
      <c r="N89" s="248">
        <f t="shared" si="9"/>
        <v>1446507423</v>
      </c>
      <c r="O89" s="248">
        <f t="shared" si="9"/>
        <v>1446507423</v>
      </c>
      <c r="P89" s="248">
        <f t="shared" si="9"/>
        <v>165691286</v>
      </c>
      <c r="Q89" s="248">
        <f t="shared" si="9"/>
        <v>82845644.5</v>
      </c>
      <c r="R89" s="248">
        <f t="shared" si="9"/>
        <v>63202</v>
      </c>
      <c r="S89" s="248">
        <f t="shared" si="9"/>
        <v>63202</v>
      </c>
      <c r="T89" s="248">
        <f t="shared" si="9"/>
        <v>2</v>
      </c>
      <c r="U89" s="265"/>
      <c r="V89" s="248">
        <f t="shared" si="9"/>
        <v>9189444355.1279907</v>
      </c>
      <c r="W89" s="265"/>
      <c r="X89" s="248">
        <f t="shared" ref="X89:Z89" si="10">SUM(X9:X88)</f>
        <v>13385452</v>
      </c>
      <c r="Y89" s="248">
        <f t="shared" si="10"/>
        <v>0</v>
      </c>
      <c r="Z89" s="248">
        <f t="shared" si="10"/>
        <v>18604121493.372009</v>
      </c>
      <c r="AA89" s="367"/>
    </row>
    <row r="90" spans="1:27" s="268" customFormat="1" ht="19.5" customHeight="1">
      <c r="A90" s="620" t="s">
        <v>460</v>
      </c>
      <c r="B90" s="621"/>
      <c r="C90" s="621"/>
      <c r="D90" s="621"/>
      <c r="E90" s="621"/>
      <c r="F90" s="622"/>
      <c r="G90" s="248">
        <f>+SUMIF($F$9:$F$88,$AA$90,$G$9:$G$88)</f>
        <v>1679394630</v>
      </c>
      <c r="H90" s="248">
        <f>+SUMIF($F$9:$F$88,$AA$90,$H$9:$H$88)</f>
        <v>0</v>
      </c>
      <c r="I90" s="248">
        <f>+SUMIF($F$9:$F$88,$AA$90,$I$9:$I$88)</f>
        <v>1570824353</v>
      </c>
      <c r="J90" s="248">
        <f>+SUMIF($F$9:$F$88,$AA$90,$J$9:$J$88)</f>
        <v>0</v>
      </c>
      <c r="K90" s="248">
        <f>+SUMIF($F$9:$F$88,$AA$90,$K$9:$K$88)</f>
        <v>108570277</v>
      </c>
      <c r="L90" s="248">
        <f>+SUMIF($F$9:$F$88,$AA$90,$L$9:$L$88)</f>
        <v>0</v>
      </c>
      <c r="M90" s="248">
        <f>+SUMIF($F$9:$F$88,$AA$90,$M$9:$M$88)</f>
        <v>0</v>
      </c>
      <c r="N90" s="248">
        <f>+SUMIF($F$9:$F$88,$AA$90,$N$9:$N$88)</f>
        <v>0</v>
      </c>
      <c r="O90" s="248">
        <f>+SUMIF($F$9:$F$88,$AA$90,$O$9:$O$88)</f>
        <v>0</v>
      </c>
      <c r="P90" s="248">
        <f>+SUMIF($F$9:$F$88,$AA$90,$P$9:$P$88)</f>
        <v>0</v>
      </c>
      <c r="Q90" s="248">
        <f>+SUMIF($F$9:$F$88,$AA$90,$Q$9:$Q$88)</f>
        <v>0</v>
      </c>
      <c r="R90" s="248">
        <f>+SUMIF($F$9:$F$88,$AA$90,$R$9:$R$88)</f>
        <v>0</v>
      </c>
      <c r="S90" s="248">
        <f>+SUMIF($F$9:$F$88,$AA$90,$S$9:$S$88)</f>
        <v>0</v>
      </c>
      <c r="T90" s="248">
        <f>+SUMIF($F$9:$F$88,$AA$90,$T$9:$T$88)</f>
        <v>0</v>
      </c>
      <c r="U90" s="265"/>
      <c r="V90" s="248">
        <f>+SUMIF($F$9:$F$88,$AA$90,$V$9:$V$88)</f>
        <v>0</v>
      </c>
      <c r="W90" s="265"/>
      <c r="X90" s="248">
        <f>+SUMIF($F$9:$F$88,$AA$90,$X$9:$X$88)</f>
        <v>0</v>
      </c>
      <c r="Y90" s="248">
        <f>+SUMIF($F$9:$F$88,$AA$90,$Y$9:$Y$88)</f>
        <v>0</v>
      </c>
      <c r="Z90" s="248">
        <f>+MAX(AA9:AA88)</f>
        <v>1679394630</v>
      </c>
      <c r="AA90" s="367">
        <f>INDEX($F$9:$F$88,MATCH($Z90,$AA$9:$AA$88,0))</f>
        <v>5</v>
      </c>
    </row>
    <row r="91" spans="1:27" s="15" customFormat="1">
      <c r="AA91" s="365"/>
    </row>
    <row r="92" spans="1:27" ht="15" customHeight="1">
      <c r="B92" s="206" t="s">
        <v>788</v>
      </c>
      <c r="F92" s="185"/>
      <c r="G92" s="185"/>
      <c r="H92" s="185"/>
      <c r="I92" s="185"/>
      <c r="J92" s="185"/>
      <c r="K92" s="185"/>
      <c r="L92" s="185"/>
      <c r="M92" s="185"/>
      <c r="AA92" s="30"/>
    </row>
    <row r="93" spans="1:27" ht="11.25" customHeight="1">
      <c r="B93" s="206"/>
      <c r="F93" s="185"/>
      <c r="G93" s="185"/>
      <c r="H93" s="185"/>
      <c r="I93" s="185"/>
      <c r="J93" s="185"/>
      <c r="K93" s="185"/>
      <c r="L93" s="185"/>
      <c r="M93" s="185"/>
      <c r="AA93" s="30"/>
    </row>
    <row r="94" spans="1:27" ht="15" customHeight="1">
      <c r="B94" s="206" t="s">
        <v>789</v>
      </c>
      <c r="F94" s="185"/>
      <c r="G94" s="185"/>
      <c r="H94" s="185"/>
      <c r="I94" s="185"/>
      <c r="J94" s="185"/>
      <c r="K94" s="185"/>
      <c r="L94" s="185"/>
      <c r="M94" s="185"/>
      <c r="AA94" s="30"/>
    </row>
    <row r="95" spans="1:27" s="15" customFormat="1">
      <c r="B95" s="211"/>
      <c r="AA95" s="365"/>
    </row>
    <row r="96" spans="1:27" s="15" customFormat="1">
      <c r="B96" s="211"/>
      <c r="AA96" s="365"/>
    </row>
    <row r="97" spans="2:27" s="15" customFormat="1">
      <c r="B97" s="211"/>
      <c r="AA97" s="365"/>
    </row>
    <row r="98" spans="2:27" s="15" customFormat="1">
      <c r="AA98" s="365"/>
    </row>
    <row r="99" spans="2:27" s="15" customFormat="1" ht="15.75">
      <c r="B99" s="608"/>
      <c r="C99" s="608"/>
      <c r="D99" s="608"/>
      <c r="E99" s="608"/>
      <c r="F99" s="608"/>
      <c r="G99" s="608"/>
      <c r="H99" s="608"/>
      <c r="I99" s="608"/>
      <c r="J99" s="608"/>
      <c r="K99" s="608"/>
      <c r="L99" s="608"/>
      <c r="M99" s="608"/>
      <c r="N99" s="608"/>
      <c r="O99" s="608"/>
      <c r="P99" s="608"/>
      <c r="Q99" s="608"/>
      <c r="R99" s="608"/>
      <c r="S99" s="608"/>
      <c r="T99" s="608"/>
      <c r="AA99" s="365"/>
    </row>
    <row r="100" spans="2:27">
      <c r="AA100" s="366"/>
    </row>
    <row r="101" spans="2:27">
      <c r="AA101" s="366"/>
    </row>
    <row r="102" spans="2:27">
      <c r="AA102" s="366"/>
    </row>
    <row r="103" spans="2:27">
      <c r="AA103" s="366"/>
    </row>
    <row r="104" spans="2:27">
      <c r="AA104" s="366"/>
    </row>
    <row r="105" spans="2:27">
      <c r="AA105" s="366"/>
    </row>
    <row r="106" spans="2:27">
      <c r="AA106" s="366"/>
    </row>
    <row r="107" spans="2:27">
      <c r="AA107" s="366"/>
    </row>
    <row r="108" spans="2:27">
      <c r="AA108" s="366"/>
    </row>
    <row r="109" spans="2:27">
      <c r="AA109" s="366"/>
    </row>
    <row r="110" spans="2:27">
      <c r="AA110" s="366"/>
    </row>
    <row r="111" spans="2:27">
      <c r="AA111" s="366"/>
    </row>
    <row r="112" spans="2:27">
      <c r="AA112" s="366"/>
    </row>
    <row r="113" spans="27:27">
      <c r="AA113" s="366"/>
    </row>
    <row r="114" spans="27:27">
      <c r="AA114" s="366"/>
    </row>
    <row r="115" spans="27:27">
      <c r="AA115" s="366"/>
    </row>
    <row r="116" spans="27:27">
      <c r="AA116" s="366"/>
    </row>
    <row r="117" spans="27:27">
      <c r="AA117" s="366"/>
    </row>
    <row r="118" spans="27:27">
      <c r="AA118" s="366"/>
    </row>
    <row r="119" spans="27:27">
      <c r="AA119" s="366"/>
    </row>
    <row r="120" spans="27:27">
      <c r="AA120" s="366"/>
    </row>
    <row r="121" spans="27:27">
      <c r="AA121" s="366"/>
    </row>
    <row r="122" spans="27:27">
      <c r="AA122" s="366"/>
    </row>
    <row r="123" spans="27:27">
      <c r="AA123" s="366"/>
    </row>
    <row r="124" spans="27:27">
      <c r="AA124" s="366"/>
    </row>
    <row r="125" spans="27:27">
      <c r="AA125" s="366"/>
    </row>
    <row r="126" spans="27:27">
      <c r="AA126" s="366"/>
    </row>
    <row r="127" spans="27:27">
      <c r="AA127" s="366"/>
    </row>
    <row r="128" spans="27:27">
      <c r="AA128" s="366"/>
    </row>
    <row r="129" spans="27:27">
      <c r="AA129" s="366"/>
    </row>
    <row r="130" spans="27:27">
      <c r="AA130" s="366"/>
    </row>
    <row r="131" spans="27:27">
      <c r="AA131" s="366"/>
    </row>
  </sheetData>
  <sheetProtection password="CACA" sheet="1" objects="1" scenarios="1"/>
  <mergeCells count="36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T4:T7"/>
    <mergeCell ref="Z4:Z7"/>
    <mergeCell ref="U6:U7"/>
    <mergeCell ref="V6:V7"/>
    <mergeCell ref="U3:V3"/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3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view="pageBreakPreview" zoomScale="75" zoomScaleNormal="75" zoomScaleSheetLayoutView="75" workbookViewId="0">
      <pane xSplit="3" ySplit="8" topLeftCell="D9" activePane="bottomRight" state="frozen"/>
      <selection activeCell="J25" sqref="J25"/>
      <selection pane="topRight" activeCell="J25" sqref="J25"/>
      <selection pane="bottomLeft" activeCell="J25" sqref="J25"/>
      <selection pane="bottomRight" activeCell="H20" sqref="H20"/>
    </sheetView>
  </sheetViews>
  <sheetFormatPr defaultColWidth="9.42578125" defaultRowHeight="15"/>
  <cols>
    <col min="1" max="1" width="11" style="133" bestFit="1" customWidth="1"/>
    <col min="2" max="2" width="31" style="6" customWidth="1"/>
    <col min="3" max="3" width="17.28515625" style="6" customWidth="1"/>
    <col min="4" max="10" width="16.28515625" style="6" customWidth="1"/>
    <col min="11" max="11" width="9.42578125" style="6"/>
    <col min="12" max="14" width="18.85546875" style="6" customWidth="1"/>
    <col min="15" max="16384" width="9.42578125" style="6"/>
  </cols>
  <sheetData>
    <row r="1" spans="1:14" s="15" customFormat="1" ht="35.25" customHeight="1">
      <c r="A1" s="630" t="s">
        <v>462</v>
      </c>
      <c r="B1" s="630"/>
      <c r="C1" s="630"/>
      <c r="D1" s="630"/>
      <c r="E1" s="630"/>
      <c r="F1" s="630"/>
      <c r="G1" s="630"/>
      <c r="H1" s="630"/>
      <c r="I1" s="630"/>
      <c r="J1" s="368" t="s">
        <v>461</v>
      </c>
    </row>
    <row r="2" spans="1:14" s="30" customFormat="1" ht="15.75" customHeight="1">
      <c r="A2" s="233"/>
      <c r="B2" s="234"/>
      <c r="C2" s="234"/>
      <c r="E2" s="235"/>
    </row>
    <row r="3" spans="1:14" s="30" customFormat="1" ht="16.5" customHeight="1">
      <c r="A3" s="236" t="s">
        <v>463</v>
      </c>
      <c r="C3" s="236"/>
      <c r="F3" s="237"/>
      <c r="G3" s="562">
        <f>+'Asset quality'!Q3</f>
        <v>44925</v>
      </c>
      <c r="H3" s="562"/>
      <c r="J3" s="264" t="str">
        <f>+'Asset quality'!T3</f>
        <v>минг. сўмда</v>
      </c>
      <c r="L3" s="264"/>
    </row>
    <row r="4" spans="1:14" s="211" customFormat="1" ht="36" customHeight="1">
      <c r="A4" s="631" t="s">
        <v>62</v>
      </c>
      <c r="B4" s="631" t="s">
        <v>464</v>
      </c>
      <c r="C4" s="614" t="str">
        <f>"Ҳисобдан чиқарилган кредит ва лизинглар қолдиғи"&amp;" "&amp;DAY(G3)&amp;"."&amp;IF(LEN(MONTH(G3))&lt;2,"0"&amp;MONTH(G3),MONTH(G3))&amp;"."&amp;YEAR(G3)-1&amp;"г"</f>
        <v>Ҳисобдан чиқарилган кредит ва лизинглар қолдиғи 30.12.2021г</v>
      </c>
      <c r="D4" s="599" t="s">
        <v>465</v>
      </c>
      <c r="E4" s="626"/>
      <c r="F4" s="626"/>
      <c r="G4" s="626"/>
      <c r="H4" s="626"/>
      <c r="I4" s="600"/>
      <c r="J4" s="614" t="str">
        <f>"Хисобдан чиқарилган кредит ва лизинглар қолдиғи"&amp;" "&amp;DAY(G3)&amp;"."&amp;IF(LEN(MONTH(G3))&lt;2,"0"&amp;MONTH(G3),MONTH(G3))&amp;"."&amp;YEAR(G3)&amp;"г"</f>
        <v>Хисобдан чиқарилган кредит ва лизинглар қолдиғи 30.12.2022г</v>
      </c>
    </row>
    <row r="5" spans="1:14" s="211" customFormat="1" ht="33.75" customHeight="1">
      <c r="A5" s="632"/>
      <c r="B5" s="632"/>
      <c r="C5" s="615"/>
      <c r="D5" s="627" t="s">
        <v>466</v>
      </c>
      <c r="E5" s="628"/>
      <c r="F5" s="606" t="s">
        <v>467</v>
      </c>
      <c r="G5" s="629"/>
      <c r="H5" s="606" t="s">
        <v>468</v>
      </c>
      <c r="I5" s="629"/>
      <c r="J5" s="615"/>
      <c r="N5" s="238"/>
    </row>
    <row r="6" spans="1:14" s="211" customFormat="1" ht="44.25" customHeight="1">
      <c r="A6" s="633"/>
      <c r="B6" s="633"/>
      <c r="C6" s="616"/>
      <c r="D6" s="246" t="s">
        <v>235</v>
      </c>
      <c r="E6" s="246" t="s">
        <v>469</v>
      </c>
      <c r="F6" s="246" t="s">
        <v>235</v>
      </c>
      <c r="G6" s="246" t="s">
        <v>469</v>
      </c>
      <c r="H6" s="246" t="s">
        <v>235</v>
      </c>
      <c r="I6" s="246" t="s">
        <v>469</v>
      </c>
      <c r="J6" s="616"/>
    </row>
    <row r="7" spans="1:14" ht="19.5" customHeight="1">
      <c r="A7" s="246"/>
      <c r="B7" s="246" t="s">
        <v>79</v>
      </c>
      <c r="C7" s="246" t="s">
        <v>80</v>
      </c>
      <c r="D7" s="246" t="s">
        <v>90</v>
      </c>
      <c r="E7" s="246" t="s">
        <v>81</v>
      </c>
      <c r="F7" s="246" t="s">
        <v>82</v>
      </c>
      <c r="G7" s="246" t="s">
        <v>91</v>
      </c>
      <c r="H7" s="246" t="s">
        <v>83</v>
      </c>
      <c r="I7" s="246" t="s">
        <v>84</v>
      </c>
      <c r="J7" s="246" t="s">
        <v>85</v>
      </c>
    </row>
    <row r="8" spans="1:14" ht="19.5" customHeight="1">
      <c r="A8" s="246">
        <v>1</v>
      </c>
      <c r="B8" s="246" t="s">
        <v>470</v>
      </c>
      <c r="C8" s="246">
        <f>SUM(C10:C17)</f>
        <v>392003418</v>
      </c>
      <c r="D8" s="246">
        <f t="shared" ref="D8:J8" si="0">SUM(D10:D17)</f>
        <v>1028773456</v>
      </c>
      <c r="E8" s="246">
        <f t="shared" si="0"/>
        <v>879026439</v>
      </c>
      <c r="F8" s="246">
        <f t="shared" si="0"/>
        <v>54252910</v>
      </c>
      <c r="G8" s="246">
        <f t="shared" si="0"/>
        <v>10173692</v>
      </c>
      <c r="H8" s="246">
        <f t="shared" si="0"/>
        <v>974520546</v>
      </c>
      <c r="I8" s="246">
        <f t="shared" si="0"/>
        <v>868852747</v>
      </c>
      <c r="J8" s="246">
        <f t="shared" si="0"/>
        <v>1366523964</v>
      </c>
      <c r="L8" s="133">
        <f>+'loans type'!Y27</f>
        <v>1366523964</v>
      </c>
    </row>
    <row r="9" spans="1:14" ht="19.5" customHeight="1">
      <c r="A9" s="369"/>
      <c r="B9" s="370" t="s">
        <v>335</v>
      </c>
      <c r="C9" s="239"/>
      <c r="D9" s="240"/>
      <c r="E9" s="240"/>
      <c r="F9" s="240"/>
      <c r="G9" s="240"/>
      <c r="H9" s="240"/>
      <c r="I9" s="240"/>
      <c r="J9" s="240"/>
      <c r="K9" s="133"/>
    </row>
    <row r="10" spans="1:14" ht="28.5" customHeight="1">
      <c r="A10" s="371" t="s">
        <v>111</v>
      </c>
      <c r="B10" s="239" t="s">
        <v>471</v>
      </c>
      <c r="C10" s="247">
        <v>86864730</v>
      </c>
      <c r="D10" s="247">
        <v>955130354</v>
      </c>
      <c r="E10" s="247">
        <v>765235472</v>
      </c>
      <c r="F10" s="247">
        <v>171235</v>
      </c>
      <c r="G10" s="247">
        <v>0</v>
      </c>
      <c r="H10" s="247">
        <f>+D10-F10</f>
        <v>954959119</v>
      </c>
      <c r="I10" s="247">
        <f>+E10-G10</f>
        <v>765235472</v>
      </c>
      <c r="J10" s="247">
        <f>+C10+D10-F10</f>
        <v>1041823849</v>
      </c>
    </row>
    <row r="11" spans="1:14" ht="28.5" customHeight="1">
      <c r="A11" s="371" t="s">
        <v>112</v>
      </c>
      <c r="B11" s="239" t="s">
        <v>472</v>
      </c>
      <c r="C11" s="247">
        <v>69310001</v>
      </c>
      <c r="D11" s="247">
        <v>57557169</v>
      </c>
      <c r="E11" s="247">
        <v>61050930</v>
      </c>
      <c r="F11" s="247">
        <v>43302779</v>
      </c>
      <c r="G11" s="247">
        <v>6370977</v>
      </c>
      <c r="H11" s="247">
        <f>+D11-F11</f>
        <v>14254390</v>
      </c>
      <c r="I11" s="247">
        <f t="shared" ref="I11:I17" si="1">+E11-G11</f>
        <v>54679953</v>
      </c>
      <c r="J11" s="247">
        <f>+C11+D11-F11</f>
        <v>83564391</v>
      </c>
    </row>
    <row r="12" spans="1:14" ht="28.5" customHeight="1">
      <c r="A12" s="371" t="s">
        <v>113</v>
      </c>
      <c r="B12" s="239" t="s">
        <v>473</v>
      </c>
      <c r="C12" s="247">
        <v>15945995</v>
      </c>
      <c r="D12" s="247">
        <v>-3568336</v>
      </c>
      <c r="E12" s="247">
        <v>6967073</v>
      </c>
      <c r="F12" s="247">
        <v>741143</v>
      </c>
      <c r="G12" s="247">
        <v>391143</v>
      </c>
      <c r="H12" s="247">
        <f t="shared" ref="H12:H16" si="2">+D12-F12</f>
        <v>-4309479</v>
      </c>
      <c r="I12" s="247">
        <f t="shared" si="1"/>
        <v>6575930</v>
      </c>
      <c r="J12" s="247">
        <f>+C12+D12-F12</f>
        <v>11636516</v>
      </c>
    </row>
    <row r="13" spans="1:14" ht="28.5" customHeight="1">
      <c r="A13" s="371" t="s">
        <v>117</v>
      </c>
      <c r="B13" s="239" t="s">
        <v>474</v>
      </c>
      <c r="C13" s="247">
        <v>125477337</v>
      </c>
      <c r="D13" s="247">
        <v>-15695049</v>
      </c>
      <c r="E13" s="247">
        <v>16603031</v>
      </c>
      <c r="F13" s="247">
        <v>1615558</v>
      </c>
      <c r="G13" s="247">
        <v>0</v>
      </c>
      <c r="H13" s="247">
        <f t="shared" si="2"/>
        <v>-17310607</v>
      </c>
      <c r="I13" s="247">
        <f t="shared" si="1"/>
        <v>16603031</v>
      </c>
      <c r="J13" s="247">
        <f t="shared" ref="J11:J17" si="3">+C13+D13-F13</f>
        <v>108166730</v>
      </c>
    </row>
    <row r="14" spans="1:14" ht="28.5" customHeight="1">
      <c r="A14" s="371" t="s">
        <v>118</v>
      </c>
      <c r="B14" s="239" t="s">
        <v>475</v>
      </c>
      <c r="C14" s="247">
        <v>60513750</v>
      </c>
      <c r="D14" s="247">
        <v>19838249</v>
      </c>
      <c r="E14" s="247">
        <v>16406509</v>
      </c>
      <c r="F14" s="247">
        <v>3044109</v>
      </c>
      <c r="G14" s="247">
        <v>0</v>
      </c>
      <c r="H14" s="247">
        <f t="shared" si="2"/>
        <v>16794140</v>
      </c>
      <c r="I14" s="247">
        <f t="shared" si="1"/>
        <v>16406509</v>
      </c>
      <c r="J14" s="247">
        <f t="shared" si="3"/>
        <v>77307890</v>
      </c>
    </row>
    <row r="15" spans="1:14" ht="28.5" customHeight="1">
      <c r="A15" s="371" t="s">
        <v>147</v>
      </c>
      <c r="B15" s="239" t="s">
        <v>476</v>
      </c>
      <c r="C15" s="247">
        <v>0</v>
      </c>
      <c r="D15" s="247">
        <v>13520080</v>
      </c>
      <c r="E15" s="247">
        <v>6545487</v>
      </c>
      <c r="F15" s="247">
        <v>40572</v>
      </c>
      <c r="G15" s="247">
        <v>0</v>
      </c>
      <c r="H15" s="247">
        <f t="shared" si="2"/>
        <v>13479508</v>
      </c>
      <c r="I15" s="247">
        <f t="shared" si="1"/>
        <v>6545487</v>
      </c>
      <c r="J15" s="247">
        <f t="shared" si="3"/>
        <v>13479508</v>
      </c>
    </row>
    <row r="16" spans="1:14" ht="28.5" customHeight="1">
      <c r="A16" s="371" t="s">
        <v>220</v>
      </c>
      <c r="B16" s="239" t="s">
        <v>477</v>
      </c>
      <c r="C16" s="247">
        <v>0</v>
      </c>
      <c r="D16" s="247">
        <v>1322305</v>
      </c>
      <c r="E16" s="247">
        <v>0</v>
      </c>
      <c r="F16" s="247">
        <v>1288476</v>
      </c>
      <c r="G16" s="247">
        <v>0</v>
      </c>
      <c r="H16" s="247">
        <f t="shared" si="2"/>
        <v>33829</v>
      </c>
      <c r="I16" s="247">
        <f t="shared" si="1"/>
        <v>0</v>
      </c>
      <c r="J16" s="247">
        <f t="shared" si="3"/>
        <v>33829</v>
      </c>
    </row>
    <row r="17" spans="1:15" ht="28.5" customHeight="1">
      <c r="A17" s="371" t="s">
        <v>221</v>
      </c>
      <c r="B17" s="239" t="s">
        <v>478</v>
      </c>
      <c r="C17" s="247">
        <v>33891605</v>
      </c>
      <c r="D17" s="247">
        <v>668684</v>
      </c>
      <c r="E17" s="247">
        <v>6217937</v>
      </c>
      <c r="F17" s="247">
        <v>4049038</v>
      </c>
      <c r="G17" s="247">
        <v>3411572</v>
      </c>
      <c r="H17" s="247">
        <f>+D17-F17</f>
        <v>-3380354</v>
      </c>
      <c r="I17" s="247">
        <f t="shared" si="1"/>
        <v>2806365</v>
      </c>
      <c r="J17" s="247">
        <f t="shared" si="3"/>
        <v>30511251</v>
      </c>
    </row>
    <row r="18" spans="1:15" ht="19.5" customHeight="1">
      <c r="A18" s="246">
        <v>2</v>
      </c>
      <c r="B18" s="246" t="s">
        <v>401</v>
      </c>
      <c r="C18" s="246">
        <f>SUM(C20:C24)</f>
        <v>47211651</v>
      </c>
      <c r="D18" s="246">
        <f t="shared" ref="D18:J18" si="4">SUM(D20:D24)</f>
        <v>24909789</v>
      </c>
      <c r="E18" s="246">
        <f t="shared" si="4"/>
        <v>0</v>
      </c>
      <c r="F18" s="246">
        <f t="shared" si="4"/>
        <v>16092830</v>
      </c>
      <c r="G18" s="246">
        <f t="shared" si="4"/>
        <v>0</v>
      </c>
      <c r="H18" s="246">
        <f t="shared" si="4"/>
        <v>8816959</v>
      </c>
      <c r="I18" s="246">
        <f t="shared" si="4"/>
        <v>0</v>
      </c>
      <c r="J18" s="246">
        <f t="shared" si="4"/>
        <v>56028610</v>
      </c>
      <c r="L18" s="133">
        <f>+'loans type'!Y9</f>
        <v>56028610</v>
      </c>
    </row>
    <row r="19" spans="1:15" ht="19.5" customHeight="1">
      <c r="A19" s="132"/>
      <c r="B19" s="370" t="s">
        <v>335</v>
      </c>
      <c r="C19" s="239"/>
      <c r="D19" s="240"/>
      <c r="E19" s="240"/>
      <c r="F19" s="240"/>
      <c r="G19" s="240"/>
      <c r="H19" s="240"/>
      <c r="I19" s="240"/>
      <c r="J19" s="240"/>
    </row>
    <row r="20" spans="1:15" ht="28.5" customHeight="1">
      <c r="A20" s="371" t="s">
        <v>124</v>
      </c>
      <c r="B20" s="239" t="s">
        <v>479</v>
      </c>
      <c r="C20" s="247">
        <v>20165</v>
      </c>
      <c r="D20" s="247">
        <v>29470435</v>
      </c>
      <c r="E20" s="247">
        <v>0</v>
      </c>
      <c r="F20" s="247">
        <v>12048907</v>
      </c>
      <c r="G20" s="247">
        <v>0</v>
      </c>
      <c r="H20" s="247">
        <f>+D20-F20</f>
        <v>17421528</v>
      </c>
      <c r="I20" s="247">
        <f>+E20-G20</f>
        <v>0</v>
      </c>
      <c r="J20" s="247">
        <f>+C20+D20-F20</f>
        <v>17441693</v>
      </c>
    </row>
    <row r="21" spans="1:15" ht="28.5" customHeight="1">
      <c r="A21" s="371" t="s">
        <v>125</v>
      </c>
      <c r="B21" s="239" t="s">
        <v>175</v>
      </c>
      <c r="C21" s="247">
        <v>1214728</v>
      </c>
      <c r="D21" s="247">
        <v>616334</v>
      </c>
      <c r="E21" s="247">
        <v>0</v>
      </c>
      <c r="F21" s="247">
        <v>223581</v>
      </c>
      <c r="G21" s="247">
        <v>0</v>
      </c>
      <c r="H21" s="247">
        <f t="shared" ref="H21:I24" si="5">+D21-F21</f>
        <v>392753</v>
      </c>
      <c r="I21" s="247">
        <f t="shared" si="5"/>
        <v>0</v>
      </c>
      <c r="J21" s="247">
        <f t="shared" ref="J21:J24" si="6">+C21+D21-F21</f>
        <v>1607481</v>
      </c>
    </row>
    <row r="22" spans="1:15" ht="28.5" customHeight="1">
      <c r="A22" s="371" t="s">
        <v>127</v>
      </c>
      <c r="B22" s="239" t="s">
        <v>480</v>
      </c>
      <c r="C22" s="247">
        <v>17498794</v>
      </c>
      <c r="D22" s="247">
        <v>-2453938</v>
      </c>
      <c r="E22" s="247">
        <v>0</v>
      </c>
      <c r="F22" s="247">
        <v>1919322</v>
      </c>
      <c r="G22" s="247">
        <v>0</v>
      </c>
      <c r="H22" s="247">
        <f t="shared" si="5"/>
        <v>-4373260</v>
      </c>
      <c r="I22" s="247">
        <f t="shared" si="5"/>
        <v>0</v>
      </c>
      <c r="J22" s="247">
        <f t="shared" si="6"/>
        <v>13125534</v>
      </c>
    </row>
    <row r="23" spans="1:15" ht="28.5" customHeight="1">
      <c r="A23" s="371" t="s">
        <v>129</v>
      </c>
      <c r="B23" s="239" t="s">
        <v>481</v>
      </c>
      <c r="C23" s="247">
        <v>12000994</v>
      </c>
      <c r="D23" s="247">
        <v>1106136</v>
      </c>
      <c r="E23" s="247">
        <v>0</v>
      </c>
      <c r="F23" s="247">
        <v>986808</v>
      </c>
      <c r="G23" s="247">
        <v>0</v>
      </c>
      <c r="H23" s="247">
        <f t="shared" si="5"/>
        <v>119328</v>
      </c>
      <c r="I23" s="247">
        <f t="shared" si="5"/>
        <v>0</v>
      </c>
      <c r="J23" s="247">
        <f t="shared" si="6"/>
        <v>12120322</v>
      </c>
    </row>
    <row r="24" spans="1:15" ht="28.5" customHeight="1">
      <c r="A24" s="371" t="s">
        <v>176</v>
      </c>
      <c r="B24" s="239" t="s">
        <v>482</v>
      </c>
      <c r="C24" s="247">
        <v>16476970</v>
      </c>
      <c r="D24" s="247">
        <v>-3829178</v>
      </c>
      <c r="E24" s="247">
        <v>0</v>
      </c>
      <c r="F24" s="247">
        <v>914212</v>
      </c>
      <c r="G24" s="247">
        <v>0</v>
      </c>
      <c r="H24" s="247">
        <f t="shared" si="5"/>
        <v>-4743390</v>
      </c>
      <c r="I24" s="247">
        <f t="shared" si="5"/>
        <v>0</v>
      </c>
      <c r="J24" s="247">
        <f>+C24+D24-F24</f>
        <v>11733580</v>
      </c>
    </row>
    <row r="25" spans="1:15" ht="19.5" customHeight="1">
      <c r="A25" s="246">
        <v>3</v>
      </c>
      <c r="B25" s="246" t="s">
        <v>235</v>
      </c>
      <c r="C25" s="246">
        <f>+C18+C8</f>
        <v>439215069</v>
      </c>
      <c r="D25" s="246">
        <f t="shared" ref="D25:J25" si="7">+D18+D8</f>
        <v>1053683245</v>
      </c>
      <c r="E25" s="246">
        <f t="shared" si="7"/>
        <v>879026439</v>
      </c>
      <c r="F25" s="246">
        <f t="shared" si="7"/>
        <v>70345740</v>
      </c>
      <c r="G25" s="246">
        <f t="shared" si="7"/>
        <v>10173692</v>
      </c>
      <c r="H25" s="246">
        <f t="shared" si="7"/>
        <v>983337505</v>
      </c>
      <c r="I25" s="246">
        <f t="shared" si="7"/>
        <v>868852747</v>
      </c>
      <c r="J25" s="246">
        <f t="shared" si="7"/>
        <v>1422552574</v>
      </c>
      <c r="L25" s="502">
        <f>+'loans type'!Y8</f>
        <v>1422552574</v>
      </c>
    </row>
    <row r="26" spans="1:15">
      <c r="B26" s="233"/>
      <c r="C26" s="233"/>
      <c r="D26" s="233"/>
      <c r="E26" s="233"/>
      <c r="F26" s="233"/>
      <c r="G26" s="233"/>
      <c r="H26" s="233"/>
      <c r="I26" s="233"/>
      <c r="J26" s="233"/>
    </row>
    <row r="27" spans="1:15" s="30" customFormat="1" ht="16.5" customHeight="1">
      <c r="A27" s="236" t="s">
        <v>487</v>
      </c>
      <c r="B27" s="236"/>
      <c r="C27" s="236"/>
      <c r="G27" s="241"/>
      <c r="H27" s="229"/>
      <c r="L27" s="6"/>
      <c r="N27" s="21"/>
      <c r="O27" s="21"/>
    </row>
    <row r="28" spans="1:15" s="211" customFormat="1" ht="33.75" customHeight="1">
      <c r="A28" s="623" t="s">
        <v>62</v>
      </c>
      <c r="B28" s="614" t="s">
        <v>464</v>
      </c>
      <c r="C28" s="614" t="str">
        <f>"Кредит ва лизинг бўйича эҳтимолий йўқотишларга қарши захиралар"&amp;" "&amp;DAY(G3)&amp;"."&amp;IF(LEN(MONTH(G3))&lt;2,"0"&amp;MONTH(G3),MONTH(G3))&amp;"."&amp;YEAR(G3)-1&amp;"г"</f>
        <v>Кредит ва лизинг бўйича эҳтимолий йўқотишларга қарши захиралар 30.12.2021г</v>
      </c>
      <c r="D28" s="599" t="s">
        <v>483</v>
      </c>
      <c r="E28" s="626"/>
      <c r="F28" s="626"/>
      <c r="G28" s="600"/>
      <c r="H28" s="614" t="s">
        <v>486</v>
      </c>
      <c r="I28" s="614" t="str">
        <f>"Кредит ва лизинг бўйича эҳтимолий йўқотишларга қарши захиралар"&amp;" "&amp;DAY(G3)&amp;"."&amp;IF(LEN(MONTH(G3))&lt;2,"0"&amp;MONTH(G3),MONTH(G3))&amp;"."&amp;YEAR(G3)&amp;"г"</f>
        <v>Кредит ва лизинг бўйича эҳтимолий йўқотишларга қарши захиралар 30.12.2022г</v>
      </c>
      <c r="L28" s="6"/>
    </row>
    <row r="29" spans="1:15" s="211" customFormat="1" ht="28.5" customHeight="1">
      <c r="A29" s="624"/>
      <c r="B29" s="615"/>
      <c r="C29" s="615"/>
      <c r="D29" s="599" t="s">
        <v>484</v>
      </c>
      <c r="E29" s="600"/>
      <c r="F29" s="599" t="s">
        <v>485</v>
      </c>
      <c r="G29" s="600"/>
      <c r="H29" s="615"/>
      <c r="I29" s="615"/>
      <c r="L29" s="6"/>
    </row>
    <row r="30" spans="1:15" s="211" customFormat="1" ht="37.5" customHeight="1">
      <c r="A30" s="625"/>
      <c r="B30" s="616"/>
      <c r="C30" s="616"/>
      <c r="D30" s="246" t="s">
        <v>235</v>
      </c>
      <c r="E30" s="246" t="s">
        <v>469</v>
      </c>
      <c r="F30" s="246" t="s">
        <v>235</v>
      </c>
      <c r="G30" s="246" t="s">
        <v>469</v>
      </c>
      <c r="H30" s="616"/>
      <c r="I30" s="616"/>
      <c r="L30" s="6"/>
    </row>
    <row r="31" spans="1:15" ht="19.5" customHeight="1">
      <c r="A31" s="246"/>
      <c r="B31" s="246" t="s">
        <v>79</v>
      </c>
      <c r="C31" s="246" t="s">
        <v>80</v>
      </c>
      <c r="D31" s="246" t="s">
        <v>90</v>
      </c>
      <c r="E31" s="246" t="s">
        <v>81</v>
      </c>
      <c r="F31" s="246" t="s">
        <v>82</v>
      </c>
      <c r="G31" s="246" t="s">
        <v>91</v>
      </c>
      <c r="H31" s="246" t="s">
        <v>83</v>
      </c>
      <c r="I31" s="246" t="s">
        <v>84</v>
      </c>
    </row>
    <row r="32" spans="1:15" ht="19.5" customHeight="1">
      <c r="A32" s="246">
        <v>1</v>
      </c>
      <c r="B32" s="246" t="s">
        <v>470</v>
      </c>
      <c r="C32" s="246">
        <f>SUM(C34:C41)</f>
        <v>976127626</v>
      </c>
      <c r="D32" s="246">
        <f t="shared" ref="D32:H32" si="8">SUM(D34:D41)</f>
        <v>0</v>
      </c>
      <c r="E32" s="246">
        <f t="shared" si="8"/>
        <v>0</v>
      </c>
      <c r="F32" s="246">
        <f t="shared" si="8"/>
        <v>0</v>
      </c>
      <c r="G32" s="246">
        <f t="shared" si="8"/>
        <v>0</v>
      </c>
      <c r="H32" s="246">
        <f t="shared" si="8"/>
        <v>-137063570</v>
      </c>
      <c r="I32" s="246">
        <f>SUM(I34:I41)</f>
        <v>839064056</v>
      </c>
      <c r="L32" s="133">
        <f>+'Asset Classification'!Y31-'Asset Classification'!Y13</f>
        <v>839064056</v>
      </c>
    </row>
    <row r="33" spans="1:12" ht="19.5" customHeight="1">
      <c r="A33" s="132"/>
      <c r="B33" s="370" t="s">
        <v>335</v>
      </c>
      <c r="C33" s="239"/>
      <c r="D33" s="240"/>
      <c r="E33" s="240"/>
      <c r="F33" s="240"/>
      <c r="G33" s="240"/>
      <c r="H33" s="240"/>
      <c r="I33" s="240"/>
    </row>
    <row r="34" spans="1:12" ht="28.5" customHeight="1">
      <c r="A34" s="371" t="s">
        <v>111</v>
      </c>
      <c r="B34" s="239" t="s">
        <v>471</v>
      </c>
      <c r="C34" s="247">
        <v>498723431</v>
      </c>
      <c r="D34" s="247"/>
      <c r="E34" s="247"/>
      <c r="F34" s="247"/>
      <c r="G34" s="247"/>
      <c r="H34" s="247">
        <f>+I34-(C34-D34+F34)</f>
        <v>-17206294</v>
      </c>
      <c r="I34" s="525">
        <v>481517137</v>
      </c>
    </row>
    <row r="35" spans="1:12" ht="28.5" customHeight="1">
      <c r="A35" s="371" t="s">
        <v>112</v>
      </c>
      <c r="B35" s="239" t="s">
        <v>472</v>
      </c>
      <c r="C35" s="247">
        <v>153252564</v>
      </c>
      <c r="D35" s="247"/>
      <c r="E35" s="247"/>
      <c r="F35" s="247"/>
      <c r="G35" s="247"/>
      <c r="H35" s="247">
        <f t="shared" ref="H35:H40" si="9">+I35-(C35-D35+F35)</f>
        <v>-38153343</v>
      </c>
      <c r="I35" s="525">
        <v>115099221</v>
      </c>
    </row>
    <row r="36" spans="1:12" ht="28.5" customHeight="1">
      <c r="A36" s="371" t="s">
        <v>113</v>
      </c>
      <c r="B36" s="239" t="s">
        <v>473</v>
      </c>
      <c r="C36" s="247">
        <v>61866739</v>
      </c>
      <c r="D36" s="247"/>
      <c r="E36" s="247"/>
      <c r="F36" s="247"/>
      <c r="G36" s="247"/>
      <c r="H36" s="247">
        <f t="shared" si="9"/>
        <v>-34932296</v>
      </c>
      <c r="I36" s="525">
        <v>26934443</v>
      </c>
    </row>
    <row r="37" spans="1:12" ht="28.5" customHeight="1">
      <c r="A37" s="371" t="s">
        <v>117</v>
      </c>
      <c r="B37" s="239" t="s">
        <v>474</v>
      </c>
      <c r="C37" s="247">
        <v>28448988</v>
      </c>
      <c r="D37" s="247"/>
      <c r="E37" s="247"/>
      <c r="F37" s="247"/>
      <c r="G37" s="247"/>
      <c r="H37" s="247">
        <f t="shared" si="9"/>
        <v>31217515</v>
      </c>
      <c r="I37" s="525">
        <v>59666503</v>
      </c>
    </row>
    <row r="38" spans="1:12" ht="28.5" customHeight="1">
      <c r="A38" s="371" t="s">
        <v>118</v>
      </c>
      <c r="B38" s="239" t="s">
        <v>475</v>
      </c>
      <c r="C38" s="247">
        <v>77168139</v>
      </c>
      <c r="D38" s="247"/>
      <c r="E38" s="247"/>
      <c r="F38" s="247"/>
      <c r="G38" s="247"/>
      <c r="H38" s="247">
        <f t="shared" si="9"/>
        <v>-3345128</v>
      </c>
      <c r="I38" s="525">
        <v>73823011</v>
      </c>
    </row>
    <row r="39" spans="1:12" ht="28.5" customHeight="1">
      <c r="A39" s="371" t="s">
        <v>147</v>
      </c>
      <c r="B39" s="239" t="s">
        <v>476</v>
      </c>
      <c r="C39" s="247">
        <v>11629533</v>
      </c>
      <c r="D39" s="247"/>
      <c r="E39" s="247"/>
      <c r="F39" s="247"/>
      <c r="G39" s="247"/>
      <c r="H39" s="247">
        <f t="shared" si="9"/>
        <v>-9816026</v>
      </c>
      <c r="I39" s="525">
        <v>1813507</v>
      </c>
    </row>
    <row r="40" spans="1:12" ht="28.5" customHeight="1">
      <c r="A40" s="371" t="s">
        <v>220</v>
      </c>
      <c r="B40" s="239" t="s">
        <v>477</v>
      </c>
      <c r="C40" s="247">
        <v>56254474</v>
      </c>
      <c r="D40" s="247"/>
      <c r="E40" s="247"/>
      <c r="F40" s="247"/>
      <c r="G40" s="247"/>
      <c r="H40" s="247">
        <f t="shared" si="9"/>
        <v>-52063108</v>
      </c>
      <c r="I40" s="525">
        <v>4191366</v>
      </c>
    </row>
    <row r="41" spans="1:12" ht="28.5" customHeight="1">
      <c r="A41" s="371" t="s">
        <v>221</v>
      </c>
      <c r="B41" s="239" t="s">
        <v>478</v>
      </c>
      <c r="C41" s="247">
        <v>88783758</v>
      </c>
      <c r="D41" s="247"/>
      <c r="E41" s="247"/>
      <c r="F41" s="247"/>
      <c r="G41" s="247"/>
      <c r="H41" s="247">
        <f>+I41-(C41-D41+F41)</f>
        <v>-12764890</v>
      </c>
      <c r="I41" s="525">
        <v>76018868</v>
      </c>
    </row>
    <row r="42" spans="1:12" ht="19.5" customHeight="1">
      <c r="A42" s="246">
        <v>2</v>
      </c>
      <c r="B42" s="246" t="s">
        <v>401</v>
      </c>
      <c r="C42" s="246">
        <f>SUM(C44:C48)</f>
        <v>130391055</v>
      </c>
      <c r="D42" s="246">
        <f t="shared" ref="D42:H42" si="10">SUM(D44:D48)</f>
        <v>0</v>
      </c>
      <c r="E42" s="246">
        <f t="shared" si="10"/>
        <v>0</v>
      </c>
      <c r="F42" s="246">
        <f t="shared" si="10"/>
        <v>0</v>
      </c>
      <c r="G42" s="246">
        <f t="shared" si="10"/>
        <v>0</v>
      </c>
      <c r="H42" s="246">
        <f t="shared" si="10"/>
        <v>-100642372</v>
      </c>
      <c r="I42" s="246">
        <f>SUM(I44:I48)</f>
        <v>29748683</v>
      </c>
      <c r="L42" s="133">
        <f>+'Asset Classification'!Y13</f>
        <v>29748683</v>
      </c>
    </row>
    <row r="43" spans="1:12" ht="19.5" customHeight="1">
      <c r="A43" s="132"/>
      <c r="B43" s="370" t="s">
        <v>335</v>
      </c>
      <c r="C43" s="242"/>
      <c r="D43" s="90"/>
      <c r="E43" s="90"/>
      <c r="F43" s="90"/>
      <c r="G43" s="90"/>
      <c r="H43" s="90"/>
      <c r="I43" s="90"/>
    </row>
    <row r="44" spans="1:12" ht="28.5" customHeight="1">
      <c r="A44" s="371" t="s">
        <v>124</v>
      </c>
      <c r="B44" s="239" t="s">
        <v>479</v>
      </c>
      <c r="C44" s="247">
        <v>88355158</v>
      </c>
      <c r="D44" s="247"/>
      <c r="E44" s="247"/>
      <c r="F44" s="247"/>
      <c r="G44" s="247"/>
      <c r="H44" s="247">
        <f>+I44-(C44-D44+F44)</f>
        <v>-63044585</v>
      </c>
      <c r="I44" s="247">
        <v>25310573</v>
      </c>
    </row>
    <row r="45" spans="1:12" ht="28.5" customHeight="1">
      <c r="A45" s="371" t="s">
        <v>125</v>
      </c>
      <c r="B45" s="239" t="s">
        <v>175</v>
      </c>
      <c r="C45" s="247">
        <v>7624891</v>
      </c>
      <c r="D45" s="247"/>
      <c r="E45" s="247"/>
      <c r="F45" s="247"/>
      <c r="G45" s="247"/>
      <c r="H45" s="247">
        <f t="shared" ref="H45:H48" si="11">+I45-(C45-D45+F45)</f>
        <v>-6521556</v>
      </c>
      <c r="I45" s="247">
        <v>1103335</v>
      </c>
    </row>
    <row r="46" spans="1:12" ht="28.5" customHeight="1">
      <c r="A46" s="371" t="s">
        <v>127</v>
      </c>
      <c r="B46" s="239" t="s">
        <v>480</v>
      </c>
      <c r="C46" s="247">
        <v>19089072</v>
      </c>
      <c r="D46" s="247"/>
      <c r="E46" s="247"/>
      <c r="F46" s="247"/>
      <c r="G46" s="247"/>
      <c r="H46" s="247">
        <f t="shared" si="11"/>
        <v>-17386012</v>
      </c>
      <c r="I46" s="247">
        <v>1703060</v>
      </c>
    </row>
    <row r="47" spans="1:12" ht="28.5" customHeight="1">
      <c r="A47" s="371" t="s">
        <v>129</v>
      </c>
      <c r="B47" s="239" t="s">
        <v>481</v>
      </c>
      <c r="C47" s="247">
        <v>13027278</v>
      </c>
      <c r="D47" s="247"/>
      <c r="E47" s="247"/>
      <c r="F47" s="247"/>
      <c r="G47" s="247"/>
      <c r="H47" s="247">
        <f t="shared" si="11"/>
        <v>-12108842</v>
      </c>
      <c r="I47" s="247">
        <v>918436</v>
      </c>
    </row>
    <row r="48" spans="1:12" ht="28.5" customHeight="1">
      <c r="A48" s="371" t="s">
        <v>176</v>
      </c>
      <c r="B48" s="239" t="s">
        <v>482</v>
      </c>
      <c r="C48" s="247">
        <v>2294656</v>
      </c>
      <c r="D48" s="247"/>
      <c r="E48" s="247"/>
      <c r="F48" s="247"/>
      <c r="G48" s="247"/>
      <c r="H48" s="247">
        <f t="shared" si="11"/>
        <v>-1581377</v>
      </c>
      <c r="I48" s="247">
        <v>713279</v>
      </c>
    </row>
    <row r="49" spans="1:13" ht="19.5" customHeight="1">
      <c r="A49" s="246">
        <v>3</v>
      </c>
      <c r="B49" s="246" t="s">
        <v>235</v>
      </c>
      <c r="C49" s="246">
        <f>+C42+C32</f>
        <v>1106518681</v>
      </c>
      <c r="D49" s="246">
        <f t="shared" ref="D49:H49" si="12">+D42+D32</f>
        <v>0</v>
      </c>
      <c r="E49" s="246">
        <f t="shared" si="12"/>
        <v>0</v>
      </c>
      <c r="F49" s="246">
        <f t="shared" si="12"/>
        <v>0</v>
      </c>
      <c r="G49" s="246">
        <f t="shared" si="12"/>
        <v>0</v>
      </c>
      <c r="H49" s="246">
        <f t="shared" si="12"/>
        <v>-237705942</v>
      </c>
      <c r="I49" s="246">
        <f>+I42+I32</f>
        <v>868812739</v>
      </c>
      <c r="L49" s="133">
        <f>+'Asset Classification'!Y31</f>
        <v>868812739</v>
      </c>
      <c r="M49" s="133">
        <f>+[8]Balance!$C$26</f>
        <v>868812739</v>
      </c>
    </row>
    <row r="51" spans="1:13" s="30" customFormat="1" ht="18.75" customHeight="1">
      <c r="B51" s="206" t="s">
        <v>788</v>
      </c>
      <c r="F51" s="185"/>
      <c r="G51" s="185"/>
      <c r="H51" s="185"/>
      <c r="I51" s="185"/>
      <c r="J51" s="185"/>
      <c r="K51" s="185"/>
      <c r="L51" s="185"/>
      <c r="M51" s="185"/>
    </row>
    <row r="52" spans="1:13" s="30" customFormat="1" ht="11.25" customHeight="1">
      <c r="B52" s="206"/>
      <c r="F52" s="185"/>
      <c r="G52" s="185"/>
      <c r="H52" s="185"/>
      <c r="I52" s="185"/>
      <c r="J52" s="185"/>
      <c r="K52" s="185"/>
      <c r="L52" s="185"/>
      <c r="M52" s="185"/>
    </row>
    <row r="53" spans="1:13" s="30" customFormat="1" ht="18.75" customHeight="1">
      <c r="B53" s="206" t="s">
        <v>789</v>
      </c>
      <c r="F53" s="185"/>
      <c r="G53" s="185"/>
      <c r="H53" s="185"/>
      <c r="I53" s="185"/>
      <c r="J53" s="185"/>
      <c r="K53" s="185"/>
      <c r="L53" s="185"/>
      <c r="M53" s="185"/>
    </row>
  </sheetData>
  <sheetProtection password="CACA"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G3:H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15" type="noConversion"/>
  <conditionalFormatting sqref="J25">
    <cfRule type="cellIs" dxfId="209" priority="7" operator="notEqual">
      <formula>$L$25</formula>
    </cfRule>
  </conditionalFormatting>
  <conditionalFormatting sqref="J18">
    <cfRule type="cellIs" dxfId="208" priority="6" operator="notEqual">
      <formula>$L$18</formula>
    </cfRule>
  </conditionalFormatting>
  <conditionalFormatting sqref="J8">
    <cfRule type="cellIs" dxfId="207" priority="5" operator="notEqual">
      <formula>$L$8</formula>
    </cfRule>
  </conditionalFormatting>
  <conditionalFormatting sqref="I49">
    <cfRule type="cellIs" dxfId="206" priority="1" operator="notEqual">
      <formula>$M$49</formula>
    </cfRule>
    <cfRule type="cellIs" dxfId="205" priority="4" operator="notEqual">
      <formula>$L$49</formula>
    </cfRule>
  </conditionalFormatting>
  <conditionalFormatting sqref="I42">
    <cfRule type="cellIs" dxfId="204" priority="3" operator="notEqual">
      <formula>$L$42</formula>
    </cfRule>
  </conditionalFormatting>
  <conditionalFormatting sqref="I32">
    <cfRule type="cellIs" dxfId="203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  <ignoredErrors>
    <ignoredError sqref="H42:H43 J18:J19 H18:I19 H49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zoomScale="75" zoomScaleNormal="75" zoomScaleSheetLayoutView="75" workbookViewId="0">
      <pane xSplit="2" ySplit="7" topLeftCell="C8" activePane="bottomRight" state="frozen"/>
      <selection activeCell="J25" sqref="J25"/>
      <selection pane="topRight" activeCell="J25" sqref="J25"/>
      <selection pane="bottomLeft" activeCell="J25" sqref="J25"/>
      <selection pane="bottomRight" activeCell="L9" sqref="L9"/>
    </sheetView>
  </sheetViews>
  <sheetFormatPr defaultRowHeight="15.75"/>
  <cols>
    <col min="1" max="1" width="10.140625" style="65" customWidth="1"/>
    <col min="2" max="2" width="49.140625" style="65" customWidth="1"/>
    <col min="3" max="3" width="19.140625" style="65" customWidth="1"/>
    <col min="4" max="4" width="13.85546875" style="98" customWidth="1"/>
    <col min="5" max="5" width="19.140625" style="65" customWidth="1"/>
    <col min="6" max="6" width="13.85546875" style="65" customWidth="1"/>
    <col min="7" max="7" width="19.140625" style="65" customWidth="1"/>
    <col min="8" max="8" width="13.85546875" style="65" customWidth="1"/>
    <col min="9" max="9" width="9.140625" style="65"/>
    <col min="10" max="12" width="16.85546875" style="65" customWidth="1"/>
    <col min="13" max="16384" width="9.140625" style="65"/>
  </cols>
  <sheetData>
    <row r="1" spans="1:12" s="67" customFormat="1" ht="37.5" customHeight="1">
      <c r="A1" s="634" t="s">
        <v>489</v>
      </c>
      <c r="B1" s="634"/>
      <c r="C1" s="634"/>
      <c r="D1" s="634"/>
      <c r="E1" s="634"/>
      <c r="F1" s="634"/>
      <c r="G1" s="634"/>
      <c r="H1" s="16" t="s">
        <v>488</v>
      </c>
    </row>
    <row r="2" spans="1:12" ht="19.5" customHeight="1">
      <c r="B2" s="635"/>
      <c r="C2" s="635"/>
      <c r="D2" s="635"/>
      <c r="E2" s="635"/>
      <c r="F2" s="635"/>
      <c r="G2" s="635"/>
      <c r="H2" s="635"/>
    </row>
    <row r="3" spans="1:12" ht="19.5" customHeight="1">
      <c r="B3" s="84" t="str">
        <f>+'Asset quality'!B3</f>
        <v>"Ўзсаноатқурилишбанк" АТБ</v>
      </c>
      <c r="C3" s="372"/>
      <c r="D3" s="373"/>
      <c r="F3" s="643">
        <f>+'Asset quality'!Q3</f>
        <v>44925</v>
      </c>
      <c r="G3" s="643"/>
      <c r="H3" s="374" t="str">
        <f>+'Asset quality'!T3</f>
        <v>минг. сўмда</v>
      </c>
    </row>
    <row r="4" spans="1:12" s="66" customFormat="1" ht="29.25" customHeight="1">
      <c r="A4" s="623" t="s">
        <v>62</v>
      </c>
      <c r="B4" s="623" t="s">
        <v>490</v>
      </c>
      <c r="C4" s="636" t="s">
        <v>491</v>
      </c>
      <c r="D4" s="637"/>
      <c r="E4" s="640" t="s">
        <v>492</v>
      </c>
      <c r="F4" s="641"/>
      <c r="G4" s="641"/>
      <c r="H4" s="642"/>
    </row>
    <row r="5" spans="1:12" s="66" customFormat="1" ht="30" customHeight="1">
      <c r="A5" s="624"/>
      <c r="B5" s="624"/>
      <c r="C5" s="638"/>
      <c r="D5" s="639"/>
      <c r="E5" s="640" t="s">
        <v>286</v>
      </c>
      <c r="F5" s="642"/>
      <c r="G5" s="640" t="s">
        <v>493</v>
      </c>
      <c r="H5" s="642"/>
    </row>
    <row r="6" spans="1:12" s="66" customFormat="1" ht="72.75" customHeight="1">
      <c r="A6" s="624"/>
      <c r="B6" s="625"/>
      <c r="C6" s="375" t="s">
        <v>494</v>
      </c>
      <c r="D6" s="375" t="s">
        <v>495</v>
      </c>
      <c r="E6" s="375" t="s">
        <v>494</v>
      </c>
      <c r="F6" s="375" t="s">
        <v>495</v>
      </c>
      <c r="G6" s="375" t="s">
        <v>494</v>
      </c>
      <c r="H6" s="375" t="s">
        <v>495</v>
      </c>
    </row>
    <row r="7" spans="1:12" s="66" customFormat="1">
      <c r="A7" s="625"/>
      <c r="B7" s="375" t="s">
        <v>79</v>
      </c>
      <c r="C7" s="375" t="s">
        <v>80</v>
      </c>
      <c r="D7" s="375" t="s">
        <v>90</v>
      </c>
      <c r="E7" s="375" t="s">
        <v>81</v>
      </c>
      <c r="F7" s="375" t="s">
        <v>82</v>
      </c>
      <c r="G7" s="375" t="s">
        <v>91</v>
      </c>
      <c r="H7" s="375" t="s">
        <v>83</v>
      </c>
    </row>
    <row r="8" spans="1:12" s="66" customFormat="1" ht="24" customHeight="1">
      <c r="A8" s="376">
        <v>1</v>
      </c>
      <c r="B8" s="377" t="s">
        <v>496</v>
      </c>
      <c r="C8" s="147">
        <f>SUM(C10:C16)</f>
        <v>2433247280</v>
      </c>
      <c r="D8" s="378">
        <f>IFERROR(((C10*D10)/C8)+((C11*D11)/C8)+((C12*D12)/C8)+((C13*D13)/C8)+((C14*D14)/C8)+((C15*D15)/C8)+((C16*D16)/C8),0)</f>
        <v>8.3905228185043548E-2</v>
      </c>
      <c r="E8" s="147">
        <f>SUM(E10:E16)</f>
        <v>2433247280</v>
      </c>
      <c r="F8" s="378">
        <f>IFERROR(((E10*F10)/E8)+((E11*F11)/E8)+((E12*F12)/E8)+((E13*F13)/E8)+((E14*F14)/E8)+((E15*F15)/E8)+((E16*F16)/E8),0)</f>
        <v>8.3905228185043548E-2</v>
      </c>
      <c r="G8" s="147">
        <f>SUM(G10:G16)</f>
        <v>0</v>
      </c>
      <c r="H8" s="378">
        <f>IFERROR(((G10*H10)/G8)+((G11*H11)/G8)+((G12*H12)/G8)+((G13*H13)/G8)+((G14*H14)/G8)+((G15*H15)/G8)+((G16*H16)/G8),0)</f>
        <v>0</v>
      </c>
      <c r="J8" s="473">
        <f>+C8+C18+C28+C37</f>
        <v>48075884880</v>
      </c>
      <c r="K8" s="473">
        <f>+E8+E18+E28+E37</f>
        <v>17247742236</v>
      </c>
      <c r="L8" s="473">
        <f>+G8+G18+G28+G37</f>
        <v>30828142644</v>
      </c>
    </row>
    <row r="9" spans="1:12" s="66" customFormat="1" ht="17.25" customHeight="1">
      <c r="A9" s="376"/>
      <c r="B9" s="379" t="s">
        <v>497</v>
      </c>
      <c r="C9" s="145"/>
      <c r="D9" s="91"/>
      <c r="E9" s="145"/>
      <c r="F9" s="91"/>
      <c r="G9" s="145"/>
      <c r="H9" s="91"/>
      <c r="J9" s="473">
        <f>+'loans type'!C8</f>
        <v>48075884880</v>
      </c>
      <c r="K9" s="473">
        <f>+'loans type'!E8</f>
        <v>17247742236</v>
      </c>
      <c r="L9" s="473">
        <f>+'loans type'!G8</f>
        <v>30828142644</v>
      </c>
    </row>
    <row r="10" spans="1:12" s="66" customFormat="1" ht="24" customHeight="1">
      <c r="A10" s="371" t="s">
        <v>111</v>
      </c>
      <c r="B10" s="380" t="s">
        <v>479</v>
      </c>
      <c r="C10" s="145">
        <f>+E10+G10</f>
        <v>2279537229</v>
      </c>
      <c r="D10" s="522">
        <f>IFERROR((((E10*F10)+(G10*H10))/C10),0)</f>
        <v>7.9845309135729917E-2</v>
      </c>
      <c r="E10" s="146">
        <v>2279537229</v>
      </c>
      <c r="F10" s="381">
        <v>7.9845309135729917E-2</v>
      </c>
      <c r="G10" s="146">
        <v>0</v>
      </c>
      <c r="H10" s="381">
        <v>0</v>
      </c>
      <c r="J10" s="473">
        <f>+J8-J9</f>
        <v>0</v>
      </c>
      <c r="K10" s="473">
        <f t="shared" ref="K10:L10" si="0">+K8-K9</f>
        <v>0</v>
      </c>
      <c r="L10" s="473">
        <f t="shared" si="0"/>
        <v>0</v>
      </c>
    </row>
    <row r="11" spans="1:12" s="66" customFormat="1" ht="24" customHeight="1">
      <c r="A11" s="371" t="s">
        <v>112</v>
      </c>
      <c r="B11" s="380" t="s">
        <v>175</v>
      </c>
      <c r="C11" s="145">
        <f t="shared" ref="C11:C16" si="1">+E11+G11</f>
        <v>76231499</v>
      </c>
      <c r="D11" s="522">
        <f t="shared" ref="D11:D16" si="2">IFERROR((((E11*F11)+(G11*H11))/C11),0)</f>
        <v>0.15060237990010522</v>
      </c>
      <c r="E11" s="146">
        <v>76231499</v>
      </c>
      <c r="F11" s="381">
        <v>0.15060237990010522</v>
      </c>
      <c r="G11" s="146">
        <v>0</v>
      </c>
      <c r="H11" s="381">
        <v>0</v>
      </c>
    </row>
    <row r="12" spans="1:12" s="66" customFormat="1" ht="24" customHeight="1">
      <c r="A12" s="371" t="s">
        <v>113</v>
      </c>
      <c r="B12" s="380" t="s">
        <v>498</v>
      </c>
      <c r="C12" s="145">
        <f t="shared" si="1"/>
        <v>54050</v>
      </c>
      <c r="D12" s="522">
        <f t="shared" si="2"/>
        <v>0.13999875670675299</v>
      </c>
      <c r="E12" s="146">
        <v>54050</v>
      </c>
      <c r="F12" s="381">
        <v>0.13999875670675299</v>
      </c>
      <c r="G12" s="146">
        <v>0</v>
      </c>
      <c r="H12" s="381">
        <v>0</v>
      </c>
    </row>
    <row r="13" spans="1:12" s="66" customFormat="1" ht="24" customHeight="1">
      <c r="A13" s="371" t="s">
        <v>117</v>
      </c>
      <c r="B13" s="380" t="s">
        <v>481</v>
      </c>
      <c r="C13" s="145">
        <f t="shared" si="1"/>
        <v>1139573</v>
      </c>
      <c r="D13" s="522">
        <f t="shared" si="2"/>
        <v>5.0449391354305505E-2</v>
      </c>
      <c r="E13" s="146">
        <v>1139573</v>
      </c>
      <c r="F13" s="381">
        <v>5.0449391354305505E-2</v>
      </c>
      <c r="G13" s="146">
        <v>0</v>
      </c>
      <c r="H13" s="381">
        <v>0</v>
      </c>
    </row>
    <row r="14" spans="1:12" s="66" customFormat="1" ht="24" customHeight="1">
      <c r="A14" s="371" t="s">
        <v>118</v>
      </c>
      <c r="B14" s="380" t="s">
        <v>525</v>
      </c>
      <c r="C14" s="145">
        <f t="shared" si="1"/>
        <v>75089801</v>
      </c>
      <c r="D14" s="522">
        <f t="shared" si="2"/>
        <v>0.13997822110216326</v>
      </c>
      <c r="E14" s="146">
        <v>75089801</v>
      </c>
      <c r="F14" s="381">
        <v>0.13997822110216326</v>
      </c>
      <c r="G14" s="146">
        <v>0</v>
      </c>
      <c r="H14" s="381">
        <v>0</v>
      </c>
    </row>
    <row r="15" spans="1:12" s="66" customFormat="1" ht="33.75" customHeight="1">
      <c r="A15" s="371" t="s">
        <v>147</v>
      </c>
      <c r="B15" s="380" t="s">
        <v>526</v>
      </c>
      <c r="C15" s="145">
        <f t="shared" si="1"/>
        <v>1189507</v>
      </c>
      <c r="D15" s="522">
        <f t="shared" si="2"/>
        <v>7.9660002875561062E-2</v>
      </c>
      <c r="E15" s="146">
        <v>1189507</v>
      </c>
      <c r="F15" s="381">
        <v>7.9660002875561062E-2</v>
      </c>
      <c r="G15" s="146">
        <v>0</v>
      </c>
      <c r="H15" s="381">
        <v>0</v>
      </c>
    </row>
    <row r="16" spans="1:12" s="66" customFormat="1" ht="24" customHeight="1">
      <c r="A16" s="371" t="s">
        <v>220</v>
      </c>
      <c r="B16" s="380" t="s">
        <v>482</v>
      </c>
      <c r="C16" s="145">
        <f t="shared" si="1"/>
        <v>5621</v>
      </c>
      <c r="D16" s="522">
        <f t="shared" si="2"/>
        <v>7.432047396797152E-2</v>
      </c>
      <c r="E16" s="146">
        <v>5621</v>
      </c>
      <c r="F16" s="381">
        <v>7.432047396797152E-2</v>
      </c>
      <c r="G16" s="146">
        <v>0</v>
      </c>
      <c r="H16" s="381">
        <v>0</v>
      </c>
    </row>
    <row r="17" spans="1:8" s="66" customFormat="1">
      <c r="A17" s="382"/>
      <c r="B17" s="383"/>
      <c r="C17" s="145"/>
      <c r="D17" s="99"/>
      <c r="E17" s="145"/>
      <c r="F17" s="99"/>
      <c r="G17" s="145"/>
      <c r="H17" s="99"/>
    </row>
    <row r="18" spans="1:8" s="66" customFormat="1" ht="24" customHeight="1">
      <c r="A18" s="382">
        <v>2</v>
      </c>
      <c r="B18" s="377" t="s">
        <v>499</v>
      </c>
      <c r="C18" s="147">
        <f>SUM(C20:C26)</f>
        <v>3030119889</v>
      </c>
      <c r="D18" s="378">
        <f>IFERROR(((C20*D20)/C18)+((C21*D21)/C18)+((C22*D22)/C18)+((C23*D23)/C18)+((C24*D24)/C18)+((C25*D25)/C18)+((C26*D26)/C18),0)</f>
        <v>0.22675067924346998</v>
      </c>
      <c r="E18" s="147">
        <f>SUM(E20:E26)</f>
        <v>3030119889</v>
      </c>
      <c r="F18" s="378">
        <f>IFERROR(((E20*F20)/E18)+((E21*F21)/E18)+((E22*F22)/E18)+((E23*F23)/E18)+((E24*F24)/E18)+((E25*F25)/E18)+((E26*F26)/E18),0)</f>
        <v>0.22675067924346998</v>
      </c>
      <c r="G18" s="147">
        <f>SUM(G20:G26)</f>
        <v>0</v>
      </c>
      <c r="H18" s="378">
        <f>IFERROR(((G20*H20)/G18)+((G21*H21)/G18)+((G22*H22)/G18)+((G23*H23)/G18)+((G24*H24)/G18)+((G25*H25)/G18)+((G26*H26)/G18),0)</f>
        <v>0</v>
      </c>
    </row>
    <row r="19" spans="1:8" s="66" customFormat="1" ht="17.25" customHeight="1">
      <c r="A19" s="382"/>
      <c r="B19" s="379" t="s">
        <v>497</v>
      </c>
      <c r="C19" s="145"/>
      <c r="D19" s="91"/>
      <c r="E19" s="145"/>
      <c r="F19" s="91"/>
      <c r="G19" s="145"/>
      <c r="H19" s="91"/>
    </row>
    <row r="20" spans="1:8" s="66" customFormat="1" ht="24" customHeight="1">
      <c r="A20" s="371" t="s">
        <v>124</v>
      </c>
      <c r="B20" s="380" t="s">
        <v>479</v>
      </c>
      <c r="C20" s="145">
        <f t="shared" ref="C20:C26" si="3">+E20+G20</f>
        <v>1397507357</v>
      </c>
      <c r="D20" s="522">
        <f>IFERROR((((E20*F20)+(G20*H20))/C20),0)</f>
        <v>0.18412755090547922</v>
      </c>
      <c r="E20" s="146">
        <v>1397507357</v>
      </c>
      <c r="F20" s="381">
        <v>0.18412755090547922</v>
      </c>
      <c r="G20" s="146">
        <v>0</v>
      </c>
      <c r="H20" s="381">
        <v>0</v>
      </c>
    </row>
    <row r="21" spans="1:8" s="66" customFormat="1" ht="24" customHeight="1">
      <c r="A21" s="371" t="s">
        <v>125</v>
      </c>
      <c r="B21" s="380" t="s">
        <v>175</v>
      </c>
      <c r="C21" s="145">
        <f t="shared" si="3"/>
        <v>662109193</v>
      </c>
      <c r="D21" s="522">
        <f t="shared" ref="D21:D26" si="4">IFERROR((((E21*F21)+(G21*H21))/C21),0)</f>
        <v>0.23504843407953493</v>
      </c>
      <c r="E21" s="146">
        <v>662109193</v>
      </c>
      <c r="F21" s="381">
        <v>0.23504843407953493</v>
      </c>
      <c r="G21" s="146">
        <v>0</v>
      </c>
      <c r="H21" s="381">
        <v>0</v>
      </c>
    </row>
    <row r="22" spans="1:8" s="66" customFormat="1" ht="24" customHeight="1">
      <c r="A22" s="371" t="s">
        <v>127</v>
      </c>
      <c r="B22" s="380" t="s">
        <v>498</v>
      </c>
      <c r="C22" s="145">
        <f t="shared" si="3"/>
        <v>963161203</v>
      </c>
      <c r="D22" s="522">
        <f t="shared" si="4"/>
        <v>0.28258770962143354</v>
      </c>
      <c r="E22" s="146">
        <v>963161203</v>
      </c>
      <c r="F22" s="381">
        <v>0.28258770962143354</v>
      </c>
      <c r="G22" s="146">
        <v>0</v>
      </c>
      <c r="H22" s="381">
        <v>0</v>
      </c>
    </row>
    <row r="23" spans="1:8" s="66" customFormat="1" ht="24" customHeight="1">
      <c r="A23" s="371" t="s">
        <v>129</v>
      </c>
      <c r="B23" s="380" t="s">
        <v>481</v>
      </c>
      <c r="C23" s="145">
        <f t="shared" si="3"/>
        <v>5871922</v>
      </c>
      <c r="D23" s="522">
        <f t="shared" si="4"/>
        <v>0.29032907216585974</v>
      </c>
      <c r="E23" s="146">
        <v>5871922</v>
      </c>
      <c r="F23" s="381">
        <v>0.29032907216585974</v>
      </c>
      <c r="G23" s="146">
        <v>0</v>
      </c>
      <c r="H23" s="381">
        <v>0</v>
      </c>
    </row>
    <row r="24" spans="1:8" s="66" customFormat="1" ht="24" customHeight="1">
      <c r="A24" s="371" t="s">
        <v>176</v>
      </c>
      <c r="B24" s="380" t="s">
        <v>525</v>
      </c>
      <c r="C24" s="145">
        <f t="shared" si="3"/>
        <v>1470214</v>
      </c>
      <c r="D24" s="522">
        <f t="shared" si="4"/>
        <v>0.17147094280091194</v>
      </c>
      <c r="E24" s="146">
        <v>1470214</v>
      </c>
      <c r="F24" s="381">
        <v>0.17147094280091194</v>
      </c>
      <c r="G24" s="146">
        <v>0</v>
      </c>
      <c r="H24" s="381">
        <v>0</v>
      </c>
    </row>
    <row r="25" spans="1:8" s="66" customFormat="1" ht="33.75" customHeight="1">
      <c r="A25" s="371" t="s">
        <v>791</v>
      </c>
      <c r="B25" s="380" t="s">
        <v>526</v>
      </c>
      <c r="C25" s="145">
        <f t="shared" si="3"/>
        <v>0</v>
      </c>
      <c r="D25" s="522">
        <f t="shared" si="4"/>
        <v>0</v>
      </c>
      <c r="E25" s="146">
        <v>0</v>
      </c>
      <c r="F25" s="381">
        <v>0</v>
      </c>
      <c r="G25" s="146">
        <v>0</v>
      </c>
      <c r="H25" s="381">
        <v>0</v>
      </c>
    </row>
    <row r="26" spans="1:8" s="66" customFormat="1" ht="24" customHeight="1">
      <c r="A26" s="371" t="s">
        <v>792</v>
      </c>
      <c r="B26" s="380" t="s">
        <v>482</v>
      </c>
      <c r="C26" s="145">
        <f t="shared" si="3"/>
        <v>0</v>
      </c>
      <c r="D26" s="522">
        <f t="shared" si="4"/>
        <v>0</v>
      </c>
      <c r="E26" s="146">
        <v>0</v>
      </c>
      <c r="F26" s="381">
        <v>0</v>
      </c>
      <c r="G26" s="146">
        <v>0</v>
      </c>
      <c r="H26" s="381">
        <v>0</v>
      </c>
    </row>
    <row r="27" spans="1:8" s="66" customFormat="1">
      <c r="A27" s="382"/>
      <c r="B27" s="383"/>
      <c r="C27" s="145"/>
      <c r="D27" s="99"/>
      <c r="E27" s="145"/>
      <c r="F27" s="99"/>
      <c r="G27" s="145"/>
      <c r="H27" s="99"/>
    </row>
    <row r="28" spans="1:8" s="66" customFormat="1" ht="36.75" customHeight="1">
      <c r="A28" s="382">
        <v>3</v>
      </c>
      <c r="B28" s="377" t="s">
        <v>500</v>
      </c>
      <c r="C28" s="147">
        <f>SUM(C30:C35)</f>
        <v>11596362898</v>
      </c>
      <c r="D28" s="378">
        <f>IFERROR(((C30*D30)/C28)+((C31*D31)/C28)+((C32*D32)/C28)+((C33*D33)/C28)+((C34*D34)/C28)+((C35*D35)/C28),0)</f>
        <v>6.4448222964724744E-2</v>
      </c>
      <c r="E28" s="147">
        <f>SUM(E30:E35)</f>
        <v>3752913256</v>
      </c>
      <c r="F28" s="378">
        <f>IFERROR(((E30*F30)/E28)+((E31*F31)/E28)+((E32*F32)/E28)+((E33*F33)/E28)+((E34*F34)/E28)+((E35*F35)/E28),0)</f>
        <v>0.10674247221347349</v>
      </c>
      <c r="G28" s="147">
        <f>SUM(G30:G35)</f>
        <v>7843449642</v>
      </c>
      <c r="H28" s="378">
        <f>IFERROR(((G30*H30)/G28)+((G31*H31)/G28)+((G32*H32)/G28)+((G33*H33)/G28)+((G34*H34)/G28)+((G35*H35)/G28),0)</f>
        <v>4.4211381281156079E-2</v>
      </c>
    </row>
    <row r="29" spans="1:8" s="66" customFormat="1">
      <c r="A29" s="382"/>
      <c r="B29" s="379" t="s">
        <v>497</v>
      </c>
      <c r="C29" s="145"/>
      <c r="D29" s="99"/>
      <c r="E29" s="145"/>
      <c r="F29" s="99"/>
      <c r="G29" s="145"/>
      <c r="H29" s="99"/>
    </row>
    <row r="30" spans="1:8" s="66" customFormat="1" ht="24" customHeight="1">
      <c r="A30" s="371" t="s">
        <v>132</v>
      </c>
      <c r="B30" s="383" t="s">
        <v>177</v>
      </c>
      <c r="C30" s="145">
        <f t="shared" ref="C30:C35" si="5">+E30+G30</f>
        <v>116687842</v>
      </c>
      <c r="D30" s="522">
        <f t="shared" ref="D30:D35" si="6">IFERROR((((E30*F30)+(G30*H30))/C30),0)</f>
        <v>7.4766747934236585E-2</v>
      </c>
      <c r="E30" s="146">
        <v>116311901</v>
      </c>
      <c r="F30" s="381">
        <v>7.4676823963154476E-2</v>
      </c>
      <c r="G30" s="146">
        <v>375941</v>
      </c>
      <c r="H30" s="381">
        <v>0.10258820933916228</v>
      </c>
    </row>
    <row r="31" spans="1:8" s="66" customFormat="1" ht="24" customHeight="1">
      <c r="A31" s="371" t="s">
        <v>133</v>
      </c>
      <c r="B31" s="383" t="s">
        <v>501</v>
      </c>
      <c r="C31" s="145">
        <f t="shared" si="5"/>
        <v>53466838</v>
      </c>
      <c r="D31" s="522">
        <f t="shared" si="6"/>
        <v>6.9321868051651012E-2</v>
      </c>
      <c r="E31" s="146">
        <v>0</v>
      </c>
      <c r="F31" s="381">
        <v>0</v>
      </c>
      <c r="G31" s="146">
        <v>53466838</v>
      </c>
      <c r="H31" s="381">
        <v>6.9321868051651012E-2</v>
      </c>
    </row>
    <row r="32" spans="1:8" s="66" customFormat="1" ht="24" customHeight="1">
      <c r="A32" s="371" t="s">
        <v>134</v>
      </c>
      <c r="B32" s="383" t="s">
        <v>178</v>
      </c>
      <c r="C32" s="145">
        <f t="shared" si="5"/>
        <v>0</v>
      </c>
      <c r="D32" s="522">
        <f t="shared" si="6"/>
        <v>0</v>
      </c>
      <c r="E32" s="146">
        <v>0</v>
      </c>
      <c r="F32" s="381">
        <v>0</v>
      </c>
      <c r="G32" s="146">
        <v>0</v>
      </c>
      <c r="H32" s="381">
        <v>0</v>
      </c>
    </row>
    <row r="33" spans="1:13" s="66" customFormat="1" ht="32.25" customHeight="1">
      <c r="A33" s="371" t="s">
        <v>135</v>
      </c>
      <c r="B33" s="383" t="s">
        <v>179</v>
      </c>
      <c r="C33" s="145">
        <f t="shared" si="5"/>
        <v>283941159</v>
      </c>
      <c r="D33" s="522">
        <f t="shared" si="6"/>
        <v>3.1699295744797608E-2</v>
      </c>
      <c r="E33" s="146">
        <v>283941159</v>
      </c>
      <c r="F33" s="381">
        <v>3.1699295744797608E-2</v>
      </c>
      <c r="G33" s="146">
        <v>0</v>
      </c>
      <c r="H33" s="381">
        <v>0</v>
      </c>
    </row>
    <row r="34" spans="1:13" s="66" customFormat="1" ht="32.25" customHeight="1">
      <c r="A34" s="371" t="s">
        <v>137</v>
      </c>
      <c r="B34" s="383" t="s">
        <v>502</v>
      </c>
      <c r="C34" s="145">
        <f t="shared" si="5"/>
        <v>0</v>
      </c>
      <c r="D34" s="522">
        <f t="shared" si="6"/>
        <v>0</v>
      </c>
      <c r="E34" s="146">
        <v>0</v>
      </c>
      <c r="F34" s="381">
        <v>0</v>
      </c>
      <c r="G34" s="146">
        <v>0</v>
      </c>
      <c r="H34" s="381">
        <v>0</v>
      </c>
    </row>
    <row r="35" spans="1:13" s="66" customFormat="1" ht="32.25" customHeight="1">
      <c r="A35" s="371" t="s">
        <v>138</v>
      </c>
      <c r="B35" s="380" t="s">
        <v>503</v>
      </c>
      <c r="C35" s="145">
        <f t="shared" si="5"/>
        <v>11142267059</v>
      </c>
      <c r="D35" s="522">
        <f t="shared" si="6"/>
        <v>6.5151324362824614E-2</v>
      </c>
      <c r="E35" s="146">
        <v>3352660196</v>
      </c>
      <c r="F35" s="381">
        <v>0.11421041156390961</v>
      </c>
      <c r="G35" s="146">
        <v>7789606863</v>
      </c>
      <c r="H35" s="381">
        <v>4.4036208824397377E-2</v>
      </c>
    </row>
    <row r="36" spans="1:13" s="66" customFormat="1">
      <c r="A36" s="382"/>
      <c r="B36" s="383"/>
      <c r="C36" s="145"/>
      <c r="D36" s="522"/>
      <c r="E36" s="146"/>
      <c r="F36" s="381"/>
      <c r="G36" s="146"/>
      <c r="H36" s="381"/>
    </row>
    <row r="37" spans="1:13" s="66" customFormat="1" ht="36.75" customHeight="1">
      <c r="A37" s="382">
        <v>4</v>
      </c>
      <c r="B37" s="377" t="s">
        <v>504</v>
      </c>
      <c r="C37" s="147">
        <f>SUM(C39:C44)</f>
        <v>31016154813</v>
      </c>
      <c r="D37" s="378">
        <f>IFERROR(((C39*D39)/C37)+((C40*D40)/C37)+((C41*D41)/C37)+((C42*D42)/C37)+((C43*D43)/C37)+((C44*D44)/C37),0)</f>
        <v>0.10761238014733546</v>
      </c>
      <c r="E37" s="147">
        <f>SUM(E39:E44)</f>
        <v>8031461811</v>
      </c>
      <c r="F37" s="378">
        <f>IFERROR(((E39*F39)/E37)+((E40*F40)/E37)+((E41*F41)/E37)+((E42*F42)/E37)+((E43*F43)/E37)+((E44*F44)/E37),0)</f>
        <v>0.20942373074658871</v>
      </c>
      <c r="G37" s="147">
        <f>SUM(G39:G44)</f>
        <v>22984693002</v>
      </c>
      <c r="H37" s="378">
        <f>IFERROR(((G39*H39)/G37)+((G40*H40)/G37)+((G41*H41)/G37)+((G42*H42)/G37)+((G43*H43)/G37)+((G44*H44)/G37),0)</f>
        <v>7.2036791898535124E-2</v>
      </c>
    </row>
    <row r="38" spans="1:13" s="66" customFormat="1">
      <c r="A38" s="382"/>
      <c r="B38" s="379" t="s">
        <v>497</v>
      </c>
      <c r="C38" s="145"/>
      <c r="D38" s="99"/>
      <c r="E38" s="145"/>
      <c r="F38" s="99"/>
      <c r="G38" s="145"/>
      <c r="H38" s="99"/>
    </row>
    <row r="39" spans="1:13" s="66" customFormat="1" ht="24" customHeight="1">
      <c r="A39" s="371" t="s">
        <v>162</v>
      </c>
      <c r="B39" s="383" t="s">
        <v>177</v>
      </c>
      <c r="C39" s="145">
        <f t="shared" ref="C39:C44" si="7">+E39+G39</f>
        <v>128142361</v>
      </c>
      <c r="D39" s="522">
        <f t="shared" ref="D39:D44" si="8">IFERROR((((E39*F39)+(G39*H39))/C39),0)</f>
        <v>0.26056606717773517</v>
      </c>
      <c r="E39" s="146">
        <v>126884158</v>
      </c>
      <c r="F39" s="381">
        <v>0.26202870039824883</v>
      </c>
      <c r="G39" s="146">
        <v>1258203</v>
      </c>
      <c r="H39" s="381">
        <v>0.11306603367940227</v>
      </c>
    </row>
    <row r="40" spans="1:13" s="66" customFormat="1" ht="24" customHeight="1">
      <c r="A40" s="371" t="s">
        <v>163</v>
      </c>
      <c r="B40" s="383" t="s">
        <v>501</v>
      </c>
      <c r="C40" s="145">
        <f t="shared" si="7"/>
        <v>878268894</v>
      </c>
      <c r="D40" s="522">
        <f t="shared" si="8"/>
        <v>4.2039650957931135E-2</v>
      </c>
      <c r="E40" s="146">
        <v>0</v>
      </c>
      <c r="F40" s="381">
        <v>0</v>
      </c>
      <c r="G40" s="146">
        <v>878268894</v>
      </c>
      <c r="H40" s="381">
        <v>4.2039650957931135E-2</v>
      </c>
    </row>
    <row r="41" spans="1:13" s="66" customFormat="1" ht="24" customHeight="1">
      <c r="A41" s="371" t="s">
        <v>184</v>
      </c>
      <c r="B41" s="383" t="s">
        <v>178</v>
      </c>
      <c r="C41" s="145">
        <f t="shared" si="7"/>
        <v>335566010</v>
      </c>
      <c r="D41" s="522">
        <f t="shared" si="8"/>
        <v>6.3032157227124394E-2</v>
      </c>
      <c r="E41" s="146">
        <v>8212444</v>
      </c>
      <c r="F41" s="381">
        <v>0.18389599460526002</v>
      </c>
      <c r="G41" s="146">
        <v>327353566</v>
      </c>
      <c r="H41" s="381">
        <v>5.9999999953807739E-2</v>
      </c>
    </row>
    <row r="42" spans="1:13" s="66" customFormat="1" ht="32.25" customHeight="1">
      <c r="A42" s="371" t="s">
        <v>185</v>
      </c>
      <c r="B42" s="383" t="s">
        <v>179</v>
      </c>
      <c r="C42" s="145">
        <f t="shared" si="7"/>
        <v>0</v>
      </c>
      <c r="D42" s="522">
        <f t="shared" si="8"/>
        <v>0</v>
      </c>
      <c r="E42" s="146">
        <v>0</v>
      </c>
      <c r="F42" s="381">
        <v>0</v>
      </c>
      <c r="G42" s="146">
        <v>0</v>
      </c>
      <c r="H42" s="381">
        <v>0</v>
      </c>
    </row>
    <row r="43" spans="1:13" s="66" customFormat="1" ht="32.25" customHeight="1">
      <c r="A43" s="371" t="s">
        <v>186</v>
      </c>
      <c r="B43" s="383" t="s">
        <v>502</v>
      </c>
      <c r="C43" s="145">
        <f t="shared" si="7"/>
        <v>0</v>
      </c>
      <c r="D43" s="522">
        <f t="shared" si="8"/>
        <v>0</v>
      </c>
      <c r="E43" s="146">
        <v>0</v>
      </c>
      <c r="F43" s="381">
        <v>0</v>
      </c>
      <c r="G43" s="146">
        <v>0</v>
      </c>
      <c r="H43" s="381">
        <v>0</v>
      </c>
    </row>
    <row r="44" spans="1:13" s="66" customFormat="1" ht="32.25" customHeight="1">
      <c r="A44" s="371" t="s">
        <v>187</v>
      </c>
      <c r="B44" s="380" t="s">
        <v>503</v>
      </c>
      <c r="C44" s="145">
        <f t="shared" si="7"/>
        <v>29674177548</v>
      </c>
      <c r="D44" s="522">
        <f t="shared" si="8"/>
        <v>0.10939676824727873</v>
      </c>
      <c r="E44" s="146">
        <v>7896365209</v>
      </c>
      <c r="F44" s="381">
        <v>0.20860498794452198</v>
      </c>
      <c r="G44" s="146">
        <v>21777812339</v>
      </c>
      <c r="H44" s="381">
        <v>7.3425095690378014E-2</v>
      </c>
    </row>
    <row r="45" spans="1:13" s="15" customFormat="1" ht="22.5" customHeight="1">
      <c r="B45" s="249"/>
    </row>
    <row r="46" spans="1:13" s="30" customFormat="1" ht="20.25" customHeight="1">
      <c r="B46" s="28" t="s">
        <v>788</v>
      </c>
      <c r="F46" s="185"/>
      <c r="G46" s="185"/>
      <c r="H46" s="185"/>
      <c r="I46" s="185"/>
      <c r="J46" s="185"/>
      <c r="K46" s="185"/>
      <c r="L46" s="185"/>
      <c r="M46" s="185"/>
    </row>
    <row r="47" spans="1:13" s="30" customFormat="1" ht="11.25" customHeight="1">
      <c r="B47" s="28"/>
      <c r="F47" s="185"/>
      <c r="G47" s="185"/>
      <c r="H47" s="185"/>
      <c r="I47" s="185"/>
      <c r="J47" s="185"/>
      <c r="K47" s="185"/>
      <c r="L47" s="185"/>
      <c r="M47" s="185"/>
    </row>
    <row r="48" spans="1:13" s="30" customFormat="1" ht="20.25" customHeight="1">
      <c r="B48" s="28" t="s">
        <v>789</v>
      </c>
      <c r="F48" s="185"/>
      <c r="G48" s="185"/>
      <c r="H48" s="185"/>
      <c r="I48" s="185"/>
      <c r="J48" s="185"/>
      <c r="K48" s="185"/>
      <c r="L48" s="185"/>
      <c r="M48" s="185"/>
    </row>
    <row r="49" spans="1:10" s="6" customFormat="1">
      <c r="A49" s="23"/>
      <c r="B49" s="28"/>
      <c r="J49" s="23"/>
    </row>
    <row r="50" spans="1:10" s="6" customFormat="1">
      <c r="A50" s="23"/>
      <c r="B50" s="465"/>
      <c r="C50" s="466"/>
      <c r="D50" s="466"/>
      <c r="E50" s="466"/>
      <c r="F50" s="466"/>
      <c r="G50" s="466"/>
      <c r="J50" s="23"/>
    </row>
    <row r="51" spans="1:10">
      <c r="A51" s="77"/>
      <c r="B51" s="467" t="s">
        <v>78</v>
      </c>
      <c r="C51" s="468">
        <f>+C8+C18+C28+C37</f>
        <v>48075884880</v>
      </c>
      <c r="D51" s="468"/>
      <c r="E51" s="468">
        <f>+E8+E18+E28+E37</f>
        <v>17247742236</v>
      </c>
      <c r="F51" s="468"/>
      <c r="G51" s="468">
        <f>+G8+G18+G28+G37</f>
        <v>30828142644</v>
      </c>
    </row>
    <row r="52" spans="1:10">
      <c r="A52" s="77"/>
      <c r="B52" s="469"/>
      <c r="C52" s="468">
        <f>+C54+C58</f>
        <v>48075884880</v>
      </c>
      <c r="D52" s="468"/>
      <c r="E52" s="468">
        <f>+E9+E19+E29+E38</f>
        <v>0</v>
      </c>
      <c r="F52" s="468"/>
      <c r="G52" s="468">
        <f>+G54+G58</f>
        <v>30828142644</v>
      </c>
    </row>
    <row r="53" spans="1:10">
      <c r="A53" s="77"/>
      <c r="B53" s="467"/>
      <c r="C53" s="468"/>
      <c r="D53" s="468"/>
      <c r="E53" s="468"/>
      <c r="F53" s="468"/>
      <c r="G53" s="468"/>
    </row>
    <row r="54" spans="1:10">
      <c r="B54" s="467" t="s">
        <v>190</v>
      </c>
      <c r="C54" s="468">
        <f>+'Asset Classification'!C13</f>
        <v>5463367169</v>
      </c>
      <c r="D54" s="468"/>
      <c r="E54" s="468"/>
      <c r="F54" s="468"/>
      <c r="G54" s="468">
        <f>+'Asset Classification'!D13</f>
        <v>0</v>
      </c>
      <c r="H54" s="384"/>
    </row>
    <row r="55" spans="1:10">
      <c r="B55" s="467"/>
      <c r="C55" s="468">
        <f>C8+C18</f>
        <v>5463367169</v>
      </c>
      <c r="D55" s="468"/>
      <c r="E55" s="468"/>
      <c r="F55" s="468"/>
      <c r="G55" s="468">
        <f>G8+G18</f>
        <v>0</v>
      </c>
      <c r="H55" s="384"/>
    </row>
    <row r="56" spans="1:10">
      <c r="B56" s="467"/>
      <c r="C56" s="468">
        <f>+C54-C55</f>
        <v>0</v>
      </c>
      <c r="D56" s="468"/>
      <c r="E56" s="468"/>
      <c r="F56" s="468"/>
      <c r="G56" s="468">
        <f>+G54-G55</f>
        <v>0</v>
      </c>
      <c r="H56" s="384"/>
    </row>
    <row r="57" spans="1:10">
      <c r="B57" s="467"/>
      <c r="C57" s="470"/>
      <c r="D57" s="470"/>
      <c r="E57" s="470"/>
      <c r="F57" s="470"/>
      <c r="G57" s="470"/>
      <c r="H57" s="384"/>
    </row>
    <row r="58" spans="1:10">
      <c r="B58" s="467" t="s">
        <v>191</v>
      </c>
      <c r="C58" s="468">
        <f>+'Asset Classification'!C31-'Asset Classification'!C13</f>
        <v>42612517711</v>
      </c>
      <c r="D58" s="468"/>
      <c r="E58" s="468"/>
      <c r="F58" s="468"/>
      <c r="G58" s="468">
        <f>+'Asset Classification'!D31-'Asset Classification'!D13</f>
        <v>30828142644</v>
      </c>
      <c r="H58" s="384"/>
    </row>
    <row r="59" spans="1:10">
      <c r="B59" s="467"/>
      <c r="C59" s="468">
        <f>C28+C37</f>
        <v>42612517711</v>
      </c>
      <c r="D59" s="468"/>
      <c r="E59" s="468"/>
      <c r="F59" s="468"/>
      <c r="G59" s="468">
        <f>G28+G37</f>
        <v>30828142644</v>
      </c>
      <c r="H59" s="384"/>
    </row>
    <row r="60" spans="1:10">
      <c r="B60" s="467"/>
      <c r="C60" s="468">
        <f>+C58-C59</f>
        <v>0</v>
      </c>
      <c r="D60" s="468"/>
      <c r="E60" s="468"/>
      <c r="F60" s="468"/>
      <c r="G60" s="468">
        <f>+G58-G59</f>
        <v>0</v>
      </c>
      <c r="H60" s="384"/>
    </row>
    <row r="61" spans="1:10">
      <c r="B61" s="467"/>
      <c r="C61" s="471"/>
      <c r="D61" s="471"/>
      <c r="E61" s="471"/>
      <c r="F61" s="471"/>
      <c r="G61" s="471"/>
      <c r="H61" s="384"/>
    </row>
    <row r="62" spans="1:10">
      <c r="B62" s="467"/>
      <c r="C62" s="471"/>
      <c r="D62" s="471"/>
      <c r="E62" s="471"/>
      <c r="F62" s="471"/>
      <c r="G62" s="471"/>
      <c r="H62" s="384"/>
    </row>
    <row r="63" spans="1:10">
      <c r="B63" s="467"/>
      <c r="C63" s="469"/>
      <c r="D63" s="472"/>
      <c r="E63" s="469"/>
      <c r="F63" s="469"/>
      <c r="G63" s="469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02" priority="38" operator="notEqual">
      <formula>$C$58-$C$28</formula>
    </cfRule>
  </conditionalFormatting>
  <conditionalFormatting sqref="C18">
    <cfRule type="cellIs" dxfId="201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  <ignoredErrors>
    <ignoredError sqref="F3" unlockedFormula="1"/>
    <ignoredError sqref="D9 E28:H29 E9:J9 E17:J17 I10:J10 D17 I11:J16 I20:J22 D27 E38:H38 D37:D38 E45:H46 D45:D57 E8 G8 I8:J8 D19 E19:J19 E18 G18 I18:J18 D29 E37:G3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2" customWidth="1"/>
    <col min="2" max="2" width="105.140625" style="32" customWidth="1"/>
    <col min="3" max="3" width="19.7109375" style="57" customWidth="1"/>
    <col min="4" max="4" width="10.28515625" style="107" bestFit="1" customWidth="1"/>
    <col min="5" max="5" width="19.42578125" style="108" bestFit="1" customWidth="1"/>
    <col min="6" max="6" width="9.28515625" style="107" bestFit="1" customWidth="1"/>
    <col min="7" max="7" width="9.140625" style="107"/>
    <col min="8" max="8" width="17.42578125" style="107" bestFit="1" customWidth="1"/>
    <col min="9" max="16384" width="9.140625" style="32"/>
  </cols>
  <sheetData>
    <row r="1" spans="1:8" ht="23.25" customHeight="1">
      <c r="A1" s="644" t="s">
        <v>181</v>
      </c>
      <c r="B1" s="645"/>
      <c r="C1" s="31" t="s">
        <v>174</v>
      </c>
    </row>
    <row r="2" spans="1:8">
      <c r="A2" s="59"/>
      <c r="B2" s="59"/>
      <c r="C2" s="59"/>
    </row>
    <row r="3" spans="1:8" ht="15.75">
      <c r="A3" s="33"/>
      <c r="B3" s="81" t="e">
        <f>#REF!</f>
        <v>#REF!</v>
      </c>
      <c r="C3" s="80" t="e">
        <f>+#REF!</f>
        <v>#REF!</v>
      </c>
    </row>
    <row r="4" spans="1:8" s="34" customFormat="1" ht="43.5" customHeight="1">
      <c r="A4" s="101" t="s">
        <v>62</v>
      </c>
      <c r="B4" s="101" t="s">
        <v>36</v>
      </c>
      <c r="C4" s="101" t="s">
        <v>10</v>
      </c>
      <c r="D4" s="109"/>
      <c r="E4" s="110"/>
      <c r="F4" s="109"/>
      <c r="G4" s="109"/>
      <c r="H4" s="109"/>
    </row>
    <row r="5" spans="1:8" ht="12.75" customHeight="1">
      <c r="A5" s="47" t="s">
        <v>40</v>
      </c>
      <c r="B5" s="36" t="s">
        <v>107</v>
      </c>
      <c r="C5" s="37"/>
    </row>
    <row r="6" spans="1:8" ht="12.75" customHeight="1">
      <c r="A6" s="35">
        <v>1</v>
      </c>
      <c r="B6" s="36" t="s">
        <v>108</v>
      </c>
      <c r="C6" s="38"/>
    </row>
    <row r="7" spans="1:8" s="44" customFormat="1" ht="18" customHeight="1">
      <c r="A7" s="41" t="s">
        <v>111</v>
      </c>
      <c r="B7" s="42" t="s">
        <v>109</v>
      </c>
      <c r="C7" s="64" t="s">
        <v>97</v>
      </c>
      <c r="D7" s="111"/>
      <c r="E7" s="72"/>
      <c r="F7" s="111"/>
      <c r="G7" s="111"/>
      <c r="H7" s="111"/>
    </row>
    <row r="8" spans="1:8" s="34" customFormat="1" ht="18" customHeight="1">
      <c r="A8" s="46" t="s">
        <v>41</v>
      </c>
      <c r="B8" s="97" t="s">
        <v>42</v>
      </c>
      <c r="C8" s="60"/>
      <c r="D8" s="109"/>
      <c r="E8" s="110"/>
      <c r="F8" s="109"/>
      <c r="G8" s="109"/>
      <c r="H8" s="109"/>
    </row>
    <row r="9" spans="1:8" s="34" customFormat="1" ht="18" customHeight="1">
      <c r="A9" s="46" t="s">
        <v>43</v>
      </c>
      <c r="B9" s="97" t="s">
        <v>44</v>
      </c>
      <c r="C9" s="61"/>
      <c r="D9" s="109"/>
      <c r="E9" s="110"/>
      <c r="F9" s="109"/>
      <c r="G9" s="109"/>
      <c r="H9" s="109"/>
    </row>
    <row r="10" spans="1:8" s="44" customFormat="1" ht="18" customHeight="1">
      <c r="A10" s="41" t="s">
        <v>112</v>
      </c>
      <c r="B10" s="42" t="s">
        <v>110</v>
      </c>
      <c r="C10" s="69">
        <v>0</v>
      </c>
      <c r="D10" s="111"/>
      <c r="E10" s="72"/>
      <c r="F10" s="111"/>
      <c r="G10" s="111"/>
      <c r="H10" s="111"/>
    </row>
    <row r="11" spans="1:8" s="34" customFormat="1" ht="18" customHeight="1">
      <c r="A11" s="46" t="s">
        <v>113</v>
      </c>
      <c r="B11" s="97" t="s">
        <v>114</v>
      </c>
      <c r="C11" s="64" t="s">
        <v>97</v>
      </c>
      <c r="D11" s="109"/>
      <c r="E11" s="110"/>
      <c r="F11" s="109"/>
      <c r="G11" s="109"/>
      <c r="H11" s="109"/>
    </row>
    <row r="12" spans="1:8" s="34" customFormat="1" ht="18" customHeight="1">
      <c r="A12" s="46" t="s">
        <v>47</v>
      </c>
      <c r="B12" s="97" t="s">
        <v>50</v>
      </c>
      <c r="C12" s="71"/>
      <c r="D12" s="109"/>
      <c r="E12" s="110"/>
      <c r="F12" s="109"/>
      <c r="G12" s="109"/>
      <c r="H12" s="109"/>
    </row>
    <row r="13" spans="1:8" s="34" customFormat="1" ht="18" customHeight="1">
      <c r="A13" s="46" t="s">
        <v>43</v>
      </c>
      <c r="B13" s="97" t="s">
        <v>51</v>
      </c>
      <c r="C13" s="71"/>
      <c r="D13" s="109"/>
      <c r="E13" s="110"/>
      <c r="F13" s="109"/>
      <c r="G13" s="109"/>
      <c r="H13" s="109"/>
    </row>
    <row r="14" spans="1:8" s="44" customFormat="1" ht="18" customHeight="1">
      <c r="A14" s="52" t="s">
        <v>45</v>
      </c>
      <c r="B14" s="95" t="s">
        <v>115</v>
      </c>
      <c r="C14" s="68"/>
      <c r="D14" s="111"/>
      <c r="E14" s="72"/>
      <c r="F14" s="111"/>
      <c r="G14" s="111"/>
      <c r="H14" s="111"/>
    </row>
    <row r="15" spans="1:8" s="44" customFormat="1" ht="18" customHeight="1">
      <c r="A15" s="52" t="s">
        <v>52</v>
      </c>
      <c r="B15" s="95" t="s">
        <v>116</v>
      </c>
      <c r="C15" s="68"/>
      <c r="D15" s="111"/>
      <c r="E15" s="72"/>
      <c r="F15" s="111"/>
      <c r="G15" s="111"/>
      <c r="H15" s="111"/>
    </row>
    <row r="16" spans="1:8" s="34" customFormat="1" ht="18" customHeight="1">
      <c r="A16" s="46" t="s">
        <v>117</v>
      </c>
      <c r="B16" s="97" t="s">
        <v>53</v>
      </c>
      <c r="C16" s="69"/>
      <c r="D16" s="109"/>
      <c r="E16" s="110"/>
      <c r="F16" s="109"/>
      <c r="G16" s="109"/>
      <c r="H16" s="109"/>
    </row>
    <row r="17" spans="1:8" s="34" customFormat="1" ht="18" customHeight="1">
      <c r="A17" s="46" t="s">
        <v>118</v>
      </c>
      <c r="B17" s="97" t="s">
        <v>11</v>
      </c>
      <c r="C17" s="69"/>
      <c r="D17" s="109"/>
      <c r="E17" s="110"/>
      <c r="F17" s="109"/>
      <c r="G17" s="109"/>
      <c r="H17" s="109"/>
    </row>
    <row r="18" spans="1:8" s="34" customFormat="1" ht="18" customHeight="1">
      <c r="A18" s="46"/>
      <c r="B18" s="97" t="s">
        <v>119</v>
      </c>
      <c r="C18" s="64" t="s">
        <v>97</v>
      </c>
      <c r="D18" s="109"/>
      <c r="E18" s="110"/>
      <c r="F18" s="109"/>
      <c r="G18" s="109"/>
      <c r="H18" s="109"/>
    </row>
    <row r="19" spans="1:8" s="34" customFormat="1" ht="18" customHeight="1">
      <c r="A19" s="46" t="s">
        <v>147</v>
      </c>
      <c r="B19" s="97" t="s">
        <v>120</v>
      </c>
      <c r="C19" s="64" t="s">
        <v>97</v>
      </c>
      <c r="D19" s="109"/>
      <c r="E19" s="110"/>
      <c r="F19" s="109"/>
      <c r="G19" s="109"/>
      <c r="H19" s="109"/>
    </row>
    <row r="20" spans="1:8" s="44" customFormat="1" ht="18" customHeight="1">
      <c r="A20" s="88" t="s">
        <v>47</v>
      </c>
      <c r="B20" s="162" t="s">
        <v>55</v>
      </c>
      <c r="C20" s="68"/>
      <c r="D20" s="111"/>
      <c r="E20" s="72"/>
      <c r="F20" s="111"/>
      <c r="G20" s="111"/>
      <c r="H20" s="111"/>
    </row>
    <row r="21" spans="1:8" s="43" customFormat="1" ht="25.5">
      <c r="A21" s="88" t="s">
        <v>43</v>
      </c>
      <c r="B21" s="95" t="s">
        <v>20</v>
      </c>
      <c r="C21" s="68"/>
      <c r="D21" s="111"/>
      <c r="E21" s="72"/>
      <c r="F21" s="111"/>
      <c r="G21" s="111"/>
      <c r="H21" s="111"/>
    </row>
    <row r="22" spans="1:8" s="44" customFormat="1" ht="18" customHeight="1">
      <c r="A22" s="88" t="s">
        <v>45</v>
      </c>
      <c r="B22" s="95" t="s">
        <v>12</v>
      </c>
      <c r="C22" s="68"/>
      <c r="D22" s="111"/>
      <c r="E22" s="72"/>
      <c r="F22" s="111"/>
      <c r="G22" s="111"/>
      <c r="H22" s="111"/>
    </row>
    <row r="23" spans="1:8" s="44" customFormat="1" ht="15" customHeight="1">
      <c r="A23" s="41" t="s">
        <v>121</v>
      </c>
      <c r="B23" s="42" t="s">
        <v>122</v>
      </c>
      <c r="C23" s="64" t="s">
        <v>97</v>
      </c>
      <c r="D23" s="111"/>
      <c r="E23" s="72"/>
      <c r="F23" s="111"/>
      <c r="G23" s="111"/>
      <c r="H23" s="111"/>
    </row>
    <row r="24" spans="1:8" ht="16.5" customHeight="1">
      <c r="A24" s="35">
        <v>2</v>
      </c>
      <c r="B24" s="45" t="s">
        <v>123</v>
      </c>
      <c r="C24" s="39"/>
    </row>
    <row r="25" spans="1:8" s="44" customFormat="1" ht="18" customHeight="1">
      <c r="A25" s="52" t="s">
        <v>124</v>
      </c>
      <c r="B25" s="95" t="s">
        <v>46</v>
      </c>
      <c r="C25" s="94">
        <f>+C26+C27</f>
        <v>0</v>
      </c>
      <c r="D25" s="111"/>
      <c r="E25" s="72"/>
      <c r="F25" s="111"/>
      <c r="G25" s="111"/>
      <c r="H25" s="111"/>
    </row>
    <row r="26" spans="1:8" s="44" customFormat="1" ht="18" customHeight="1">
      <c r="A26" s="52" t="s">
        <v>47</v>
      </c>
      <c r="B26" s="95" t="s">
        <v>48</v>
      </c>
      <c r="C26" s="68"/>
      <c r="D26" s="111"/>
      <c r="E26" s="72"/>
      <c r="F26" s="111"/>
      <c r="G26" s="111"/>
      <c r="H26" s="111"/>
    </row>
    <row r="27" spans="1:8" s="44" customFormat="1" ht="18" customHeight="1">
      <c r="A27" s="52" t="s">
        <v>43</v>
      </c>
      <c r="B27" s="95" t="s">
        <v>49</v>
      </c>
      <c r="C27" s="68"/>
      <c r="D27" s="111"/>
      <c r="E27" s="72"/>
      <c r="F27" s="111"/>
      <c r="G27" s="111"/>
      <c r="H27" s="111"/>
    </row>
    <row r="28" spans="1:8" s="44" customFormat="1" ht="18" customHeight="1">
      <c r="A28" s="52" t="s">
        <v>125</v>
      </c>
      <c r="B28" s="95" t="s">
        <v>126</v>
      </c>
      <c r="C28" s="68">
        <v>0</v>
      </c>
      <c r="D28" s="111"/>
      <c r="E28" s="72"/>
      <c r="F28" s="111"/>
      <c r="G28" s="111"/>
      <c r="H28" s="111"/>
    </row>
    <row r="29" spans="1:8">
      <c r="A29" s="46" t="s">
        <v>127</v>
      </c>
      <c r="B29" s="96" t="s">
        <v>128</v>
      </c>
      <c r="C29" s="62">
        <v>0</v>
      </c>
    </row>
    <row r="30" spans="1:8" s="44" customFormat="1" ht="29.25" customHeight="1">
      <c r="A30" s="52" t="s">
        <v>129</v>
      </c>
      <c r="B30" s="95" t="s">
        <v>19</v>
      </c>
      <c r="C30" s="68">
        <v>0</v>
      </c>
      <c r="D30" s="111"/>
      <c r="E30" s="72"/>
      <c r="F30" s="111"/>
      <c r="G30" s="111"/>
      <c r="H30" s="111"/>
    </row>
    <row r="31" spans="1:8" s="48" customFormat="1">
      <c r="A31" s="47" t="s">
        <v>54</v>
      </c>
      <c r="B31" s="74" t="s">
        <v>130</v>
      </c>
      <c r="C31" s="70">
        <f>+C25+C28+C29+C30</f>
        <v>0</v>
      </c>
      <c r="D31" s="112"/>
      <c r="E31" s="113"/>
      <c r="F31" s="114"/>
      <c r="G31" s="114"/>
      <c r="H31" s="114"/>
    </row>
    <row r="32" spans="1:8" s="48" customFormat="1" ht="16.5" customHeight="1">
      <c r="A32" s="47" t="s">
        <v>56</v>
      </c>
      <c r="B32" s="63" t="s">
        <v>131</v>
      </c>
      <c r="C32" s="64" t="s">
        <v>97</v>
      </c>
      <c r="D32" s="114"/>
      <c r="E32" s="113"/>
      <c r="F32" s="114"/>
      <c r="G32" s="114"/>
      <c r="H32" s="114"/>
    </row>
    <row r="33" spans="1:8" s="50" customFormat="1" ht="13.5" customHeight="1">
      <c r="A33" s="49"/>
      <c r="B33" s="49" t="s">
        <v>58</v>
      </c>
      <c r="C33" s="40"/>
      <c r="D33" s="115"/>
      <c r="E33" s="116"/>
      <c r="F33" s="115"/>
      <c r="G33" s="115"/>
      <c r="H33" s="117"/>
    </row>
    <row r="34" spans="1:8" s="44" customFormat="1" ht="18" customHeight="1">
      <c r="A34" s="52" t="s">
        <v>132</v>
      </c>
      <c r="B34" s="155" t="s">
        <v>193</v>
      </c>
      <c r="C34" s="68"/>
      <c r="D34" s="111"/>
      <c r="E34" s="72"/>
      <c r="F34" s="111"/>
      <c r="G34" s="111"/>
      <c r="H34" s="111"/>
    </row>
    <row r="35" spans="1:8" s="44" customFormat="1" ht="25.5">
      <c r="A35" s="52" t="s">
        <v>133</v>
      </c>
      <c r="B35" s="95" t="s">
        <v>21</v>
      </c>
      <c r="C35" s="154" t="e">
        <f>IF(#REF!&lt;(C43*1.25%),#REF!,(C43*1.25%))</f>
        <v>#REF!</v>
      </c>
      <c r="D35" s="111"/>
      <c r="E35" s="72"/>
      <c r="F35" s="111"/>
      <c r="G35" s="111"/>
      <c r="H35" s="111"/>
    </row>
    <row r="36" spans="1:8" s="44" customFormat="1" ht="18" customHeight="1">
      <c r="A36" s="52" t="s">
        <v>134</v>
      </c>
      <c r="B36" s="95" t="s">
        <v>13</v>
      </c>
      <c r="C36" s="68"/>
      <c r="D36" s="111"/>
      <c r="E36" s="72"/>
      <c r="F36" s="111"/>
      <c r="G36" s="111"/>
      <c r="H36" s="111"/>
    </row>
    <row r="37" spans="1:8" s="44" customFormat="1" ht="18" customHeight="1">
      <c r="A37" s="52" t="s">
        <v>135</v>
      </c>
      <c r="B37" s="95" t="s">
        <v>136</v>
      </c>
      <c r="C37" s="68"/>
      <c r="D37" s="111"/>
      <c r="E37" s="72"/>
      <c r="F37" s="111"/>
      <c r="G37" s="111"/>
      <c r="H37" s="111"/>
    </row>
    <row r="38" spans="1:8" s="44" customFormat="1" ht="18" customHeight="1">
      <c r="A38" s="52" t="s">
        <v>137</v>
      </c>
      <c r="B38" s="95" t="s">
        <v>14</v>
      </c>
      <c r="C38" s="68"/>
      <c r="D38" s="111"/>
      <c r="E38" s="72"/>
      <c r="F38" s="111"/>
      <c r="G38" s="111"/>
      <c r="H38" s="111"/>
    </row>
    <row r="39" spans="1:8" s="44" customFormat="1" ht="18" customHeight="1">
      <c r="A39" s="52" t="s">
        <v>138</v>
      </c>
      <c r="B39" s="95" t="s">
        <v>59</v>
      </c>
      <c r="C39" s="64" t="s">
        <v>97</v>
      </c>
      <c r="D39" s="111"/>
      <c r="E39" s="72"/>
      <c r="F39" s="111"/>
      <c r="G39" s="111"/>
      <c r="H39" s="111"/>
    </row>
    <row r="40" spans="1:8" ht="18.75" customHeight="1">
      <c r="A40" s="46"/>
      <c r="B40" s="45" t="s">
        <v>27</v>
      </c>
      <c r="C40" s="40" t="e">
        <f>SUM(C34:C38)</f>
        <v>#REF!</v>
      </c>
      <c r="D40" s="112"/>
    </row>
    <row r="41" spans="1:8" s="34" customFormat="1" ht="22.5" customHeight="1">
      <c r="A41" s="49" t="s">
        <v>57</v>
      </c>
      <c r="B41" s="42" t="s">
        <v>28</v>
      </c>
      <c r="C41" s="64" t="s">
        <v>97</v>
      </c>
      <c r="D41" s="118"/>
      <c r="E41" s="110"/>
      <c r="F41" s="109"/>
      <c r="G41" s="109"/>
      <c r="H41" s="109"/>
    </row>
    <row r="42" spans="1:8" s="34" customFormat="1" ht="15.75" customHeight="1">
      <c r="A42" s="49" t="s">
        <v>60</v>
      </c>
      <c r="B42" s="42" t="s">
        <v>139</v>
      </c>
      <c r="C42" s="64" t="s">
        <v>97</v>
      </c>
      <c r="D42" s="118"/>
      <c r="E42" s="110"/>
      <c r="F42" s="109"/>
      <c r="G42" s="109"/>
      <c r="H42" s="109"/>
    </row>
    <row r="43" spans="1:8" s="34" customFormat="1" ht="21.75" customHeight="1">
      <c r="A43" s="49" t="s">
        <v>17</v>
      </c>
      <c r="B43" s="42" t="s">
        <v>140</v>
      </c>
      <c r="C43" s="51" t="e">
        <f>+C44+C45+C46</f>
        <v>#REF!</v>
      </c>
      <c r="D43" s="109"/>
      <c r="E43" s="110"/>
      <c r="F43" s="109"/>
      <c r="G43" s="109"/>
      <c r="H43" s="109"/>
    </row>
    <row r="44" spans="1:8" s="44" customFormat="1" ht="18" customHeight="1">
      <c r="A44" s="52" t="s">
        <v>47</v>
      </c>
      <c r="B44" s="95" t="s">
        <v>22</v>
      </c>
      <c r="C44" s="94" t="e">
        <f>+#REF!</f>
        <v>#REF!</v>
      </c>
      <c r="D44" s="111"/>
      <c r="E44" s="72"/>
      <c r="F44" s="111"/>
      <c r="G44" s="111"/>
      <c r="H44" s="111"/>
    </row>
    <row r="45" spans="1:8" s="44" customFormat="1" ht="18" customHeight="1">
      <c r="A45" s="52" t="s">
        <v>43</v>
      </c>
      <c r="B45" s="95" t="s">
        <v>15</v>
      </c>
      <c r="C45" s="94" t="e">
        <f>+#REF!</f>
        <v>#REF!</v>
      </c>
      <c r="D45" s="111"/>
      <c r="E45" s="72"/>
      <c r="F45" s="111"/>
      <c r="G45" s="111"/>
      <c r="H45" s="111"/>
    </row>
    <row r="46" spans="1:8" s="44" customFormat="1" ht="18" customHeight="1">
      <c r="A46" s="52" t="s">
        <v>45</v>
      </c>
      <c r="B46" s="95" t="s">
        <v>16</v>
      </c>
      <c r="C46" s="94" t="e">
        <f>+#REF!</f>
        <v>#REF!</v>
      </c>
      <c r="D46" s="111"/>
      <c r="E46" s="72" t="e">
        <f>+#REF!</f>
        <v>#REF!</v>
      </c>
      <c r="F46" s="111"/>
      <c r="G46" s="111"/>
      <c r="H46" s="111"/>
    </row>
    <row r="47" spans="1:8" s="50" customFormat="1" ht="21.75" customHeight="1">
      <c r="A47" s="49" t="s">
        <v>18</v>
      </c>
      <c r="B47" s="63" t="s">
        <v>141</v>
      </c>
      <c r="C47" s="64" t="s">
        <v>97</v>
      </c>
      <c r="D47" s="115"/>
      <c r="E47" s="116"/>
      <c r="F47" s="115"/>
      <c r="G47" s="115"/>
      <c r="H47" s="115"/>
    </row>
    <row r="48" spans="1:8" s="50" customFormat="1" ht="21.75" customHeight="1">
      <c r="A48" s="49" t="s">
        <v>61</v>
      </c>
      <c r="B48" s="63" t="s">
        <v>142</v>
      </c>
      <c r="C48" s="64" t="s">
        <v>97</v>
      </c>
      <c r="D48" s="115"/>
      <c r="E48" s="116"/>
      <c r="F48" s="115"/>
      <c r="G48" s="115"/>
      <c r="H48" s="115"/>
    </row>
    <row r="49" spans="1:8" s="50" customFormat="1" ht="21.75" customHeight="1">
      <c r="A49" s="49" t="s">
        <v>29</v>
      </c>
      <c r="B49" s="63" t="s">
        <v>143</v>
      </c>
      <c r="C49" s="64" t="s">
        <v>97</v>
      </c>
      <c r="D49" s="115"/>
      <c r="E49" s="116"/>
      <c r="F49" s="115"/>
      <c r="G49" s="115"/>
      <c r="H49" s="115"/>
    </row>
    <row r="50" spans="1:8" s="34" customFormat="1" ht="21.75" customHeight="1">
      <c r="A50" s="49" t="s">
        <v>30</v>
      </c>
      <c r="B50" s="42" t="s">
        <v>24</v>
      </c>
      <c r="C50" s="64" t="s">
        <v>97</v>
      </c>
      <c r="D50" s="109"/>
      <c r="E50" s="119"/>
      <c r="F50" s="118"/>
      <c r="G50" s="109"/>
      <c r="H50" s="109"/>
    </row>
    <row r="51" spans="1:8" s="55" customFormat="1" ht="21.75" customHeight="1">
      <c r="A51" s="52" t="s">
        <v>47</v>
      </c>
      <c r="B51" s="53" t="s">
        <v>33</v>
      </c>
      <c r="C51" s="54" t="e">
        <f>+#REF!</f>
        <v>#REF!</v>
      </c>
      <c r="D51" s="120"/>
      <c r="E51" s="121"/>
      <c r="F51" s="122"/>
      <c r="G51" s="120"/>
      <c r="H51" s="120"/>
    </row>
    <row r="52" spans="1:8" s="55" customFormat="1" ht="21.75" customHeight="1">
      <c r="A52" s="52" t="s">
        <v>43</v>
      </c>
      <c r="B52" s="53" t="s">
        <v>144</v>
      </c>
      <c r="C52" s="128" t="e">
        <f>SUM(#REF!)</f>
        <v>#REF!</v>
      </c>
      <c r="D52" s="122" t="e">
        <f>+#REF!</f>
        <v>#REF!</v>
      </c>
      <c r="E52" s="121"/>
      <c r="F52" s="122"/>
      <c r="G52" s="120"/>
      <c r="H52" s="120"/>
    </row>
    <row r="53" spans="1:8" s="55" customFormat="1" ht="21.75" customHeight="1">
      <c r="A53" s="52" t="s">
        <v>45</v>
      </c>
      <c r="B53" s="53" t="s">
        <v>145</v>
      </c>
      <c r="C53" s="130" t="e">
        <f>SUM(#REF!)</f>
        <v>#REF!</v>
      </c>
      <c r="D53" s="127"/>
      <c r="E53" s="129"/>
      <c r="F53" s="120"/>
      <c r="G53" s="120"/>
      <c r="H53" s="120"/>
    </row>
    <row r="54" spans="1:8" s="55" customFormat="1" ht="21.75" customHeight="1">
      <c r="A54" s="52" t="s">
        <v>52</v>
      </c>
      <c r="B54" s="53" t="s">
        <v>146</v>
      </c>
      <c r="C54" s="76" t="str">
        <f>+C19</f>
        <v>Формула</v>
      </c>
      <c r="D54" s="120"/>
      <c r="E54" s="123"/>
      <c r="F54" s="120"/>
      <c r="G54" s="120"/>
      <c r="H54" s="120"/>
    </row>
    <row r="55" spans="1:8" s="50" customFormat="1" ht="21.75" customHeight="1">
      <c r="A55" s="49" t="s">
        <v>31</v>
      </c>
      <c r="B55" s="63" t="s">
        <v>34</v>
      </c>
      <c r="C55" s="64" t="s">
        <v>97</v>
      </c>
      <c r="D55" s="115"/>
      <c r="E55" s="116"/>
      <c r="F55" s="115"/>
      <c r="G55" s="115"/>
      <c r="H55" s="115"/>
    </row>
    <row r="56" spans="1:8">
      <c r="B56" s="56"/>
    </row>
    <row r="57" spans="1:8" s="1" customFormat="1">
      <c r="A57" s="13"/>
      <c r="B57" s="2" t="s">
        <v>0</v>
      </c>
      <c r="D57" s="29"/>
      <c r="E57" s="29"/>
      <c r="F57" s="29"/>
      <c r="G57" s="29"/>
      <c r="H57" s="29"/>
    </row>
    <row r="58" spans="1:8" s="1" customFormat="1">
      <c r="A58" s="13"/>
      <c r="B58" s="2"/>
      <c r="D58" s="29"/>
      <c r="E58" s="29"/>
      <c r="F58" s="29"/>
      <c r="G58" s="29"/>
      <c r="H58" s="29"/>
    </row>
    <row r="59" spans="1:8" s="1" customFormat="1">
      <c r="A59" s="13"/>
      <c r="B59" s="2" t="s">
        <v>1</v>
      </c>
      <c r="D59" s="29"/>
      <c r="E59" s="29"/>
      <c r="F59" s="29"/>
      <c r="G59" s="29"/>
      <c r="H59" s="29"/>
    </row>
    <row r="60" spans="1:8">
      <c r="B60" s="58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50" zoomScaleNormal="50" zoomScaleSheetLayoutView="50" workbookViewId="0">
      <pane xSplit="3" ySplit="9" topLeftCell="D28" activePane="bottomRight" state="frozen"/>
      <selection pane="topRight" activeCell="D1" sqref="D1"/>
      <selection pane="bottomLeft" activeCell="A10" sqref="A10"/>
      <selection pane="bottomRight" activeCell="U42" sqref="U42"/>
    </sheetView>
  </sheetViews>
  <sheetFormatPr defaultRowHeight="18.75"/>
  <cols>
    <col min="1" max="1" width="9.5703125" style="156" customWidth="1"/>
    <col min="2" max="2" width="61.7109375" style="156" customWidth="1"/>
    <col min="3" max="3" width="19.140625" style="156" customWidth="1"/>
    <col min="4" max="4" width="19.140625" style="157" customWidth="1"/>
    <col min="5" max="8" width="19.140625" style="156" customWidth="1"/>
    <col min="9" max="25" width="18.85546875" style="156" customWidth="1"/>
    <col min="26" max="26" width="21.7109375" style="156" customWidth="1"/>
    <col min="27" max="29" width="27.42578125" style="156" customWidth="1"/>
    <col min="30" max="34" width="22.140625" style="156" customWidth="1"/>
    <col min="35" max="16384" width="9.140625" style="156"/>
  </cols>
  <sheetData>
    <row r="1" spans="1:35">
      <c r="Z1" s="16" t="s">
        <v>506</v>
      </c>
    </row>
    <row r="2" spans="1:35" s="158" customFormat="1" ht="50.25" customHeight="1">
      <c r="A2" s="647" t="s">
        <v>505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  <c r="Y2" s="647"/>
      <c r="Z2" s="647"/>
    </row>
    <row r="3" spans="1:35" ht="19.5" customHeight="1">
      <c r="B3" s="385" t="str">
        <f>+'Asset quality'!B3</f>
        <v>"Ўзсаноатқурилишбанк" АТБ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V3" s="660">
        <f>+'Asset quality'!Q3</f>
        <v>44925</v>
      </c>
      <c r="W3" s="660"/>
      <c r="Z3" s="78" t="str">
        <f>+'Asset quality'!T3</f>
        <v>минг. сўмда</v>
      </c>
    </row>
    <row r="4" spans="1:35" s="159" customFormat="1" ht="29.25" customHeight="1">
      <c r="A4" s="648" t="s">
        <v>62</v>
      </c>
      <c r="B4" s="648" t="s">
        <v>490</v>
      </c>
      <c r="C4" s="651" t="s">
        <v>235</v>
      </c>
      <c r="D4" s="652"/>
      <c r="E4" s="652"/>
      <c r="F4" s="652"/>
      <c r="G4" s="652"/>
      <c r="H4" s="653"/>
      <c r="I4" s="657" t="s">
        <v>507</v>
      </c>
      <c r="J4" s="658"/>
      <c r="K4" s="658"/>
      <c r="L4" s="658"/>
      <c r="M4" s="659"/>
      <c r="N4" s="651" t="s">
        <v>508</v>
      </c>
      <c r="O4" s="652"/>
      <c r="P4" s="652"/>
      <c r="Q4" s="652"/>
      <c r="R4" s="653"/>
      <c r="S4" s="646" t="s">
        <v>234</v>
      </c>
      <c r="T4" s="646"/>
      <c r="U4" s="646"/>
      <c r="V4" s="646"/>
      <c r="W4" s="646"/>
      <c r="X4" s="646"/>
      <c r="Y4" s="648" t="s">
        <v>509</v>
      </c>
      <c r="Z4" s="648" t="s">
        <v>510</v>
      </c>
    </row>
    <row r="5" spans="1:35" s="159" customFormat="1" ht="29.25" customHeight="1">
      <c r="A5" s="649"/>
      <c r="B5" s="649"/>
      <c r="C5" s="654"/>
      <c r="D5" s="655"/>
      <c r="E5" s="655"/>
      <c r="F5" s="655"/>
      <c r="G5" s="655"/>
      <c r="H5" s="656"/>
      <c r="I5" s="646" t="s">
        <v>511</v>
      </c>
      <c r="J5" s="646" t="s">
        <v>512</v>
      </c>
      <c r="K5" s="646" t="s">
        <v>513</v>
      </c>
      <c r="L5" s="646" t="s">
        <v>514</v>
      </c>
      <c r="M5" s="646" t="s">
        <v>515</v>
      </c>
      <c r="N5" s="654"/>
      <c r="O5" s="655"/>
      <c r="P5" s="655"/>
      <c r="Q5" s="655"/>
      <c r="R5" s="656"/>
      <c r="S5" s="646" t="s">
        <v>235</v>
      </c>
      <c r="T5" s="657" t="s">
        <v>516</v>
      </c>
      <c r="U5" s="658"/>
      <c r="V5" s="658"/>
      <c r="W5" s="658"/>
      <c r="X5" s="659"/>
      <c r="Y5" s="649"/>
      <c r="Z5" s="649"/>
    </row>
    <row r="6" spans="1:35" s="159" customFormat="1" ht="90" customHeight="1">
      <c r="A6" s="649"/>
      <c r="B6" s="650"/>
      <c r="C6" s="263" t="s">
        <v>494</v>
      </c>
      <c r="D6" s="263" t="s">
        <v>495</v>
      </c>
      <c r="E6" s="263" t="s">
        <v>286</v>
      </c>
      <c r="F6" s="263" t="s">
        <v>495</v>
      </c>
      <c r="G6" s="263" t="s">
        <v>287</v>
      </c>
      <c r="H6" s="263" t="s">
        <v>495</v>
      </c>
      <c r="I6" s="646"/>
      <c r="J6" s="646"/>
      <c r="K6" s="646"/>
      <c r="L6" s="646"/>
      <c r="M6" s="646"/>
      <c r="N6" s="386" t="s">
        <v>121</v>
      </c>
      <c r="O6" s="386" t="s">
        <v>54</v>
      </c>
      <c r="P6" s="386" t="s">
        <v>56</v>
      </c>
      <c r="Q6" s="386" t="s">
        <v>57</v>
      </c>
      <c r="R6" s="386" t="s">
        <v>60</v>
      </c>
      <c r="S6" s="646"/>
      <c r="T6" s="386" t="s">
        <v>121</v>
      </c>
      <c r="U6" s="386" t="s">
        <v>54</v>
      </c>
      <c r="V6" s="386" t="s">
        <v>56</v>
      </c>
      <c r="W6" s="386" t="s">
        <v>57</v>
      </c>
      <c r="X6" s="386" t="s">
        <v>60</v>
      </c>
      <c r="Y6" s="650"/>
      <c r="Z6" s="650"/>
      <c r="AA6" s="387"/>
      <c r="AB6" s="387"/>
      <c r="AC6" s="387"/>
      <c r="AD6" s="386" t="s">
        <v>121</v>
      </c>
      <c r="AE6" s="386" t="s">
        <v>54</v>
      </c>
      <c r="AF6" s="386" t="s">
        <v>56</v>
      </c>
      <c r="AG6" s="386" t="s">
        <v>57</v>
      </c>
      <c r="AH6" s="386" t="s">
        <v>60</v>
      </c>
    </row>
    <row r="7" spans="1:35" s="159" customFormat="1">
      <c r="A7" s="650"/>
      <c r="B7" s="263" t="s">
        <v>79</v>
      </c>
      <c r="C7" s="263" t="s">
        <v>80</v>
      </c>
      <c r="D7" s="263" t="s">
        <v>90</v>
      </c>
      <c r="E7" s="263" t="s">
        <v>81</v>
      </c>
      <c r="F7" s="263" t="s">
        <v>82</v>
      </c>
      <c r="G7" s="263" t="s">
        <v>91</v>
      </c>
      <c r="H7" s="263" t="s">
        <v>83</v>
      </c>
      <c r="I7" s="263" t="s">
        <v>84</v>
      </c>
      <c r="J7" s="263" t="s">
        <v>85</v>
      </c>
      <c r="K7" s="263" t="s">
        <v>86</v>
      </c>
      <c r="L7" s="263" t="s">
        <v>87</v>
      </c>
      <c r="M7" s="263" t="s">
        <v>88</v>
      </c>
      <c r="N7" s="263" t="s">
        <v>89</v>
      </c>
      <c r="O7" s="263" t="s">
        <v>155</v>
      </c>
      <c r="P7" s="263" t="s">
        <v>156</v>
      </c>
      <c r="Q7" s="263" t="s">
        <v>157</v>
      </c>
      <c r="R7" s="263" t="s">
        <v>158</v>
      </c>
      <c r="S7" s="263" t="s">
        <v>180</v>
      </c>
      <c r="T7" s="263" t="s">
        <v>189</v>
      </c>
      <c r="U7" s="263" t="s">
        <v>194</v>
      </c>
      <c r="V7" s="263" t="s">
        <v>195</v>
      </c>
      <c r="W7" s="263" t="s">
        <v>196</v>
      </c>
      <c r="X7" s="263" t="s">
        <v>197</v>
      </c>
      <c r="Y7" s="263" t="s">
        <v>198</v>
      </c>
      <c r="Z7" s="263" t="s">
        <v>517</v>
      </c>
      <c r="AA7" s="387"/>
      <c r="AB7" s="387"/>
      <c r="AC7" s="387"/>
    </row>
    <row r="8" spans="1:35" s="159" customFormat="1" ht="49.5" customHeight="1">
      <c r="A8" s="388"/>
      <c r="B8" s="389" t="s">
        <v>518</v>
      </c>
      <c r="C8" s="160">
        <f>+C9+C27</f>
        <v>48075884880</v>
      </c>
      <c r="D8" s="390">
        <f>IFERROR(((C9*D9)/C8)+((C27*D27)/C8),0)</f>
        <v>0.10350992285065104</v>
      </c>
      <c r="E8" s="160">
        <f t="shared" ref="E8:G8" si="0">+E9+E27</f>
        <v>17247742236</v>
      </c>
      <c r="F8" s="390">
        <f>IFERROR(((E9*F9)/E8)+((E27*F27)/E8),0)</f>
        <v>0.17241780431616427</v>
      </c>
      <c r="G8" s="160">
        <f t="shared" si="0"/>
        <v>30828142644</v>
      </c>
      <c r="H8" s="390">
        <f>IFERROR(((G9*H9)/G8)+((G27*H27)/G8),0)</f>
        <v>6.4957312293773051E-2</v>
      </c>
      <c r="I8" s="160">
        <f t="shared" ref="I8:Z8" si="1">+I9+I27</f>
        <v>18229390286</v>
      </c>
      <c r="J8" s="160">
        <f t="shared" si="1"/>
        <v>21292370726</v>
      </c>
      <c r="K8" s="160">
        <f t="shared" si="1"/>
        <v>6409400040</v>
      </c>
      <c r="L8" s="160">
        <f t="shared" si="1"/>
        <v>1463181548</v>
      </c>
      <c r="M8" s="160">
        <f t="shared" si="1"/>
        <v>681542280</v>
      </c>
      <c r="N8" s="160">
        <f t="shared" si="1"/>
        <v>44160297748</v>
      </c>
      <c r="O8" s="160">
        <f t="shared" si="1"/>
        <v>2556900652</v>
      </c>
      <c r="P8" s="160">
        <f t="shared" si="1"/>
        <v>436789210</v>
      </c>
      <c r="Q8" s="160">
        <f t="shared" si="1"/>
        <v>830442808</v>
      </c>
      <c r="R8" s="160">
        <f t="shared" si="1"/>
        <v>91454462</v>
      </c>
      <c r="S8" s="160">
        <f t="shared" si="1"/>
        <v>1283502711</v>
      </c>
      <c r="T8" s="160">
        <f t="shared" si="1"/>
        <v>414689972</v>
      </c>
      <c r="U8" s="160">
        <f t="shared" si="1"/>
        <v>255622767</v>
      </c>
      <c r="V8" s="160">
        <f t="shared" si="1"/>
        <v>107787533</v>
      </c>
      <c r="W8" s="160">
        <f t="shared" si="1"/>
        <v>414805245</v>
      </c>
      <c r="X8" s="160">
        <f t="shared" si="1"/>
        <v>90597194</v>
      </c>
      <c r="Y8" s="160">
        <f t="shared" si="1"/>
        <v>1422552574</v>
      </c>
      <c r="Z8" s="160">
        <f t="shared" si="1"/>
        <v>329665533.34508997</v>
      </c>
      <c r="AA8" s="387">
        <f>+'Loans Receivable'!C85</f>
        <v>48075884880</v>
      </c>
      <c r="AB8" s="387">
        <f>+AA8-AC8</f>
        <v>17247742236</v>
      </c>
      <c r="AC8" s="387">
        <f>+'Asset Classification'!D31</f>
        <v>30828142644</v>
      </c>
      <c r="AD8" s="391">
        <f>+'Asset Classification'!E31</f>
        <v>44160297748</v>
      </c>
      <c r="AE8" s="391">
        <f>+'Asset Classification'!I31</f>
        <v>2556900652</v>
      </c>
      <c r="AF8" s="391">
        <f>+'Asset Classification'!M31</f>
        <v>436789210</v>
      </c>
      <c r="AG8" s="391">
        <f>+'Asset Classification'!Q31</f>
        <v>830442808</v>
      </c>
      <c r="AH8" s="391">
        <f>+'Asset Classification'!U31</f>
        <v>91454462</v>
      </c>
    </row>
    <row r="9" spans="1:35" s="165" customFormat="1" ht="49.5" customHeight="1">
      <c r="A9" s="389" t="s">
        <v>121</v>
      </c>
      <c r="B9" s="389" t="s">
        <v>519</v>
      </c>
      <c r="C9" s="160">
        <f>+C11+C16+C21+C22+C24+C25+C26</f>
        <v>5463367169</v>
      </c>
      <c r="D9" s="390">
        <f>IFERROR(((C11*D11)/C9)+((C16*D16)/C9)+((C21*D21)/C9)+((C22*D22)/C9)+((C24*D24)/C9)+((C25*D25)/C9)+((C26*D26)/C9),0)</f>
        <v>0.1631308831395081</v>
      </c>
      <c r="E9" s="160">
        <f>+E11+E16+E21+E22+E24+E25+E26</f>
        <v>5463367169</v>
      </c>
      <c r="F9" s="390">
        <f>IFERROR(((E11*F11)/E9)+((E16*F16)/E9)+((E21*F21)/E9)+((E22*F22)/E9)+((E24*F24)/E9)+((E25*F25)/E9)+((E26*F26)/E9),0)</f>
        <v>0.1631308831395081</v>
      </c>
      <c r="G9" s="160">
        <f>+G11+G16+G21+G22+G24+G25+G26</f>
        <v>0</v>
      </c>
      <c r="H9" s="390">
        <f>IFERROR(((G11*H11)/G9)+((G16*H16)/G9)+((G21*H21)/G9)+((G22*H22)/G9)+((G24*H24)/G9)+((G25*H25)/G9)+((G26*H26)/G9),0)</f>
        <v>0</v>
      </c>
      <c r="I9" s="160">
        <f>+I11+I16+I21+I22+I24+I25+I26</f>
        <v>898393767</v>
      </c>
      <c r="J9" s="160">
        <f t="shared" ref="J9:Z9" si="2">+J11+J16+J21+J22+J24+J25+J26</f>
        <v>1835061796</v>
      </c>
      <c r="K9" s="160">
        <f t="shared" si="2"/>
        <v>1165738448</v>
      </c>
      <c r="L9" s="160">
        <f t="shared" si="2"/>
        <v>882630878</v>
      </c>
      <c r="M9" s="160">
        <f t="shared" si="2"/>
        <v>681542280</v>
      </c>
      <c r="N9" s="160">
        <f t="shared" si="2"/>
        <v>5326427523</v>
      </c>
      <c r="O9" s="160">
        <f t="shared" si="2"/>
        <v>86600966</v>
      </c>
      <c r="P9" s="160">
        <f t="shared" si="2"/>
        <v>25017834</v>
      </c>
      <c r="Q9" s="160">
        <f t="shared" si="2"/>
        <v>18412252</v>
      </c>
      <c r="R9" s="160">
        <f t="shared" si="2"/>
        <v>6908594</v>
      </c>
      <c r="S9" s="160">
        <f t="shared" si="2"/>
        <v>83012958</v>
      </c>
      <c r="T9" s="160">
        <f t="shared" si="2"/>
        <v>53264275</v>
      </c>
      <c r="U9" s="160">
        <f t="shared" si="2"/>
        <v>8592799</v>
      </c>
      <c r="V9" s="160">
        <f t="shared" si="2"/>
        <v>6063606</v>
      </c>
      <c r="W9" s="160">
        <f t="shared" si="2"/>
        <v>8853606</v>
      </c>
      <c r="X9" s="160">
        <f t="shared" si="2"/>
        <v>6238672</v>
      </c>
      <c r="Y9" s="160">
        <f t="shared" si="2"/>
        <v>56028610</v>
      </c>
      <c r="Z9" s="160">
        <f t="shared" si="2"/>
        <v>9541830.3450899981</v>
      </c>
      <c r="AA9" s="387">
        <f>+'Loans Receivable'!C73</f>
        <v>5463367169</v>
      </c>
      <c r="AB9" s="387">
        <f>+'Loans Receivable'!D71</f>
        <v>5463367169</v>
      </c>
      <c r="AC9" s="387">
        <f>+'Loans Receivable'!E71</f>
        <v>0</v>
      </c>
      <c r="AD9" s="479">
        <f>+N8-AD8</f>
        <v>0</v>
      </c>
      <c r="AE9" s="479">
        <f>+O8-AE8</f>
        <v>0</v>
      </c>
      <c r="AF9" s="479">
        <f>+P8-AF8</f>
        <v>0</v>
      </c>
      <c r="AG9" s="479">
        <f>+Q8-AG8</f>
        <v>0</v>
      </c>
      <c r="AH9" s="479">
        <f>+R8-AH8</f>
        <v>0</v>
      </c>
      <c r="AI9" s="159"/>
    </row>
    <row r="10" spans="1:35" s="159" customFormat="1" ht="33.75" customHeight="1">
      <c r="A10" s="388"/>
      <c r="B10" s="389" t="s">
        <v>497</v>
      </c>
      <c r="C10" s="160"/>
      <c r="D10" s="160"/>
      <c r="E10" s="478"/>
      <c r="F10" s="478"/>
      <c r="G10" s="478"/>
      <c r="H10" s="478"/>
      <c r="I10" s="478"/>
      <c r="J10" s="478"/>
      <c r="K10" s="478"/>
      <c r="L10" s="478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387"/>
      <c r="AB10" s="387"/>
      <c r="AC10" s="387"/>
      <c r="AD10" s="387">
        <f>+'Asset Classification'!G31</f>
        <v>414689972</v>
      </c>
      <c r="AE10" s="387">
        <f>+'Asset Classification'!K31</f>
        <v>255622767</v>
      </c>
      <c r="AF10" s="387">
        <f>+'Asset Classification'!O53</f>
        <v>107787533</v>
      </c>
      <c r="AG10" s="387">
        <f>+'Asset Classification'!S53</f>
        <v>414805245</v>
      </c>
      <c r="AH10" s="387">
        <f>+'Asset Classification'!W53</f>
        <v>90597194</v>
      </c>
      <c r="AI10" s="165"/>
    </row>
    <row r="11" spans="1:35" s="159" customFormat="1" ht="49.5" customHeight="1">
      <c r="A11" s="392">
        <v>1</v>
      </c>
      <c r="B11" s="393" t="s">
        <v>755</v>
      </c>
      <c r="C11" s="171">
        <f>SUM(C12:C15)</f>
        <v>2279537229</v>
      </c>
      <c r="D11" s="394">
        <f>IFERROR(((C12*D12)/C11)+((C13*D13)/C11)+((C14*D14)/C11)+((C15*D15)/C11),0)</f>
        <v>7.9845309135729098E-2</v>
      </c>
      <c r="E11" s="171">
        <f t="shared" ref="E11:Z11" si="3">SUM(E12:E15)</f>
        <v>2279537229</v>
      </c>
      <c r="F11" s="394">
        <f>IFERROR(((E12*F12)/E11)+((E13*F13)/E11)+((E14*F14)/E11)+((E15*F15)/E11),0)</f>
        <v>7.9845309135729098E-2</v>
      </c>
      <c r="G11" s="171">
        <f t="shared" si="3"/>
        <v>0</v>
      </c>
      <c r="H11" s="394">
        <f>IFERROR(((G12*H12)/G11)+((G13*H13)/G11)+((G14*H14)/G11)+((G15*H15)/G11),0)</f>
        <v>0</v>
      </c>
      <c r="I11" s="171">
        <f t="shared" si="3"/>
        <v>135769422</v>
      </c>
      <c r="J11" s="171">
        <f t="shared" si="3"/>
        <v>632062126</v>
      </c>
      <c r="K11" s="171">
        <f t="shared" si="3"/>
        <v>756424868</v>
      </c>
      <c r="L11" s="171">
        <f t="shared" si="3"/>
        <v>562183464</v>
      </c>
      <c r="M11" s="171">
        <f t="shared" si="3"/>
        <v>193097349</v>
      </c>
      <c r="N11" s="171">
        <f t="shared" si="3"/>
        <v>2190324518</v>
      </c>
      <c r="O11" s="171">
        <f t="shared" si="3"/>
        <v>56014984</v>
      </c>
      <c r="P11" s="171">
        <f t="shared" si="3"/>
        <v>17880287</v>
      </c>
      <c r="Q11" s="171">
        <f t="shared" si="3"/>
        <v>10954451</v>
      </c>
      <c r="R11" s="171">
        <f t="shared" si="3"/>
        <v>4362989</v>
      </c>
      <c r="S11" s="171">
        <f t="shared" si="3"/>
        <v>41000322</v>
      </c>
      <c r="T11" s="171">
        <f t="shared" si="3"/>
        <v>21900396</v>
      </c>
      <c r="U11" s="171">
        <f t="shared" si="3"/>
        <v>5547365</v>
      </c>
      <c r="V11" s="171">
        <f t="shared" si="3"/>
        <v>4318592</v>
      </c>
      <c r="W11" s="171">
        <f t="shared" si="3"/>
        <v>5306038</v>
      </c>
      <c r="X11" s="171">
        <f t="shared" si="3"/>
        <v>3927931</v>
      </c>
      <c r="Y11" s="171">
        <f t="shared" si="3"/>
        <v>3459152</v>
      </c>
      <c r="Z11" s="171">
        <f t="shared" si="3"/>
        <v>3795510</v>
      </c>
      <c r="AA11" s="387">
        <f>+'loans_av rate'!C10</f>
        <v>2279537229</v>
      </c>
      <c r="AB11" s="159">
        <f>+'loans_av rate'!E10</f>
        <v>2279537229</v>
      </c>
      <c r="AC11" s="159">
        <f>+'loans_av rate'!G10</f>
        <v>0</v>
      </c>
      <c r="AD11" s="498">
        <f>+T8-AD10</f>
        <v>0</v>
      </c>
      <c r="AE11" s="498">
        <f t="shared" ref="AE11:AH11" si="4">+U8-AE10</f>
        <v>0</v>
      </c>
      <c r="AF11" s="498">
        <f t="shared" si="4"/>
        <v>0</v>
      </c>
      <c r="AG11" s="498">
        <f t="shared" si="4"/>
        <v>0</v>
      </c>
      <c r="AH11" s="498">
        <f t="shared" si="4"/>
        <v>0</v>
      </c>
    </row>
    <row r="12" spans="1:35" s="159" customFormat="1" ht="49.5" customHeight="1">
      <c r="A12" s="395" t="s">
        <v>111</v>
      </c>
      <c r="B12" s="396" t="s">
        <v>520</v>
      </c>
      <c r="C12" s="169">
        <f>+E12+G12</f>
        <v>1778049073</v>
      </c>
      <c r="D12" s="523">
        <f>IFERROR((((E12*F12)+(G12*H12))/C12),0)</f>
        <v>8.1389459164336278E-2</v>
      </c>
      <c r="E12" s="170">
        <v>1778049073</v>
      </c>
      <c r="F12" s="397">
        <v>8.1389459164336278E-2</v>
      </c>
      <c r="G12" s="170">
        <v>0</v>
      </c>
      <c r="H12" s="397">
        <v>0</v>
      </c>
      <c r="I12" s="170">
        <v>96720529</v>
      </c>
      <c r="J12" s="170">
        <v>469656419</v>
      </c>
      <c r="K12" s="170">
        <v>566538776</v>
      </c>
      <c r="L12" s="170">
        <v>469450222</v>
      </c>
      <c r="M12" s="170">
        <v>175683127</v>
      </c>
      <c r="N12" s="170">
        <v>1710739223</v>
      </c>
      <c r="O12" s="170">
        <v>41969272</v>
      </c>
      <c r="P12" s="170">
        <v>14148651</v>
      </c>
      <c r="Q12" s="170">
        <v>7744246</v>
      </c>
      <c r="R12" s="170">
        <v>3447681</v>
      </c>
      <c r="S12" s="169">
        <f>SUM(T12:X12)</f>
        <v>31436322</v>
      </c>
      <c r="T12" s="170">
        <v>17105679</v>
      </c>
      <c r="U12" s="170">
        <v>4142794</v>
      </c>
      <c r="V12" s="170">
        <v>3407472</v>
      </c>
      <c r="W12" s="170">
        <v>3767754</v>
      </c>
      <c r="X12" s="170">
        <v>3012623</v>
      </c>
      <c r="Y12" s="170">
        <v>1156788</v>
      </c>
      <c r="Z12" s="170">
        <v>3255760</v>
      </c>
      <c r="AA12" s="503">
        <f>+'loans_av rate'!D10</f>
        <v>7.9845309135729917E-2</v>
      </c>
      <c r="AB12" s="503">
        <f>+'loans_av rate'!F10</f>
        <v>7.9845309135729917E-2</v>
      </c>
      <c r="AC12" s="503">
        <f>+'loans_av rate'!H10</f>
        <v>0</v>
      </c>
    </row>
    <row r="13" spans="1:35" s="159" customFormat="1" ht="49.5" customHeight="1">
      <c r="A13" s="395" t="s">
        <v>112</v>
      </c>
      <c r="B13" s="396" t="s">
        <v>521</v>
      </c>
      <c r="C13" s="169">
        <f>+E13+G13</f>
        <v>2343271</v>
      </c>
      <c r="D13" s="523">
        <f>IFERROR((((E13*F13)+(G13*H13))/C13),0)</f>
        <v>0.16460929886923023</v>
      </c>
      <c r="E13" s="170">
        <v>2343271</v>
      </c>
      <c r="F13" s="397">
        <v>0.16460929886923023</v>
      </c>
      <c r="G13" s="170">
        <v>0</v>
      </c>
      <c r="H13" s="397">
        <v>0</v>
      </c>
      <c r="I13" s="170">
        <v>117281</v>
      </c>
      <c r="J13" s="170">
        <v>706972</v>
      </c>
      <c r="K13" s="170">
        <v>1492671</v>
      </c>
      <c r="L13" s="170">
        <v>26347</v>
      </c>
      <c r="M13" s="170">
        <v>0</v>
      </c>
      <c r="N13" s="170">
        <v>2343271</v>
      </c>
      <c r="O13" s="170">
        <v>0</v>
      </c>
      <c r="P13" s="170">
        <v>0</v>
      </c>
      <c r="Q13" s="170">
        <v>0</v>
      </c>
      <c r="R13" s="170">
        <v>0</v>
      </c>
      <c r="S13" s="169">
        <f t="shared" ref="S13:S26" si="5">SUM(T13:X13)</f>
        <v>23430</v>
      </c>
      <c r="T13" s="170">
        <v>23430</v>
      </c>
      <c r="U13" s="170">
        <v>0</v>
      </c>
      <c r="V13" s="170">
        <v>0</v>
      </c>
      <c r="W13" s="170">
        <v>0</v>
      </c>
      <c r="X13" s="170">
        <v>0</v>
      </c>
      <c r="Y13" s="170">
        <v>0</v>
      </c>
      <c r="Z13" s="170">
        <v>0</v>
      </c>
      <c r="AA13" s="387"/>
      <c r="AD13" s="387">
        <f>+'Asset Classification'!E13</f>
        <v>5326427523</v>
      </c>
      <c r="AE13" s="387">
        <f>+'Asset Classification'!I13</f>
        <v>86600966</v>
      </c>
      <c r="AF13" s="387">
        <f>+'Asset Classification'!M13</f>
        <v>25017834</v>
      </c>
      <c r="AG13" s="387">
        <f>+'Asset Classification'!Q13</f>
        <v>18412252</v>
      </c>
      <c r="AH13" s="387">
        <f>+'Asset Classification'!U13</f>
        <v>6908594</v>
      </c>
    </row>
    <row r="14" spans="1:35" s="159" customFormat="1" ht="49.5" customHeight="1">
      <c r="A14" s="395" t="s">
        <v>113</v>
      </c>
      <c r="B14" s="396" t="s">
        <v>522</v>
      </c>
      <c r="C14" s="169">
        <f>+E14+G14</f>
        <v>3183337</v>
      </c>
      <c r="D14" s="523">
        <f>IFERROR((((E14*F14)+(G14*H14))/C14),0)</f>
        <v>0.1470444603005274</v>
      </c>
      <c r="E14" s="170">
        <v>3183337</v>
      </c>
      <c r="F14" s="397">
        <v>0.1470444603005274</v>
      </c>
      <c r="G14" s="170">
        <v>0</v>
      </c>
      <c r="H14" s="397">
        <v>0</v>
      </c>
      <c r="I14" s="170">
        <v>318723</v>
      </c>
      <c r="J14" s="170">
        <v>1225670</v>
      </c>
      <c r="K14" s="170">
        <v>1280397</v>
      </c>
      <c r="L14" s="170">
        <v>358547</v>
      </c>
      <c r="M14" s="170">
        <v>0</v>
      </c>
      <c r="N14" s="170">
        <v>2773132</v>
      </c>
      <c r="O14" s="170">
        <v>410205</v>
      </c>
      <c r="P14" s="170">
        <v>0</v>
      </c>
      <c r="Q14" s="170">
        <v>0</v>
      </c>
      <c r="R14" s="170">
        <v>0</v>
      </c>
      <c r="S14" s="169">
        <f t="shared" si="5"/>
        <v>68751</v>
      </c>
      <c r="T14" s="170">
        <v>27731</v>
      </c>
      <c r="U14" s="170">
        <v>41020</v>
      </c>
      <c r="V14" s="170">
        <v>0</v>
      </c>
      <c r="W14" s="170">
        <v>0</v>
      </c>
      <c r="X14" s="170">
        <v>0</v>
      </c>
      <c r="Y14" s="170">
        <v>0</v>
      </c>
      <c r="Z14" s="170">
        <v>0</v>
      </c>
      <c r="AA14" s="387"/>
      <c r="AD14" s="498">
        <f>+N9-AD13</f>
        <v>0</v>
      </c>
      <c r="AE14" s="498">
        <f t="shared" ref="AE14:AH14" si="6">+O9-AE13</f>
        <v>0</v>
      </c>
      <c r="AF14" s="498">
        <f t="shared" si="6"/>
        <v>0</v>
      </c>
      <c r="AG14" s="498">
        <f t="shared" si="6"/>
        <v>0</v>
      </c>
      <c r="AH14" s="498">
        <f t="shared" si="6"/>
        <v>0</v>
      </c>
    </row>
    <row r="15" spans="1:35" s="159" customFormat="1" ht="49.5" customHeight="1">
      <c r="A15" s="395" t="s">
        <v>117</v>
      </c>
      <c r="B15" s="396" t="s">
        <v>523</v>
      </c>
      <c r="C15" s="169">
        <f>+E15+G15</f>
        <v>495961548</v>
      </c>
      <c r="D15" s="523">
        <f>IFERROR((((E15*F15)+(G15*H15))/C15),0)</f>
        <v>7.3477643975130277E-2</v>
      </c>
      <c r="E15" s="170">
        <v>495961548</v>
      </c>
      <c r="F15" s="397">
        <v>7.3477643975130277E-2</v>
      </c>
      <c r="G15" s="170">
        <v>0</v>
      </c>
      <c r="H15" s="397">
        <v>0</v>
      </c>
      <c r="I15" s="170">
        <v>38612889</v>
      </c>
      <c r="J15" s="170">
        <v>160473065</v>
      </c>
      <c r="K15" s="170">
        <v>187113024</v>
      </c>
      <c r="L15" s="170">
        <v>92348348</v>
      </c>
      <c r="M15" s="170">
        <v>17414222</v>
      </c>
      <c r="N15" s="170">
        <v>474468892</v>
      </c>
      <c r="O15" s="170">
        <v>13635507</v>
      </c>
      <c r="P15" s="170">
        <v>3731636</v>
      </c>
      <c r="Q15" s="170">
        <v>3210205</v>
      </c>
      <c r="R15" s="170">
        <v>915308</v>
      </c>
      <c r="S15" s="169">
        <f t="shared" si="5"/>
        <v>9471819</v>
      </c>
      <c r="T15" s="170">
        <v>4743556</v>
      </c>
      <c r="U15" s="170">
        <v>1363551</v>
      </c>
      <c r="V15" s="170">
        <v>911120</v>
      </c>
      <c r="W15" s="170">
        <v>1538284</v>
      </c>
      <c r="X15" s="170">
        <v>915308</v>
      </c>
      <c r="Y15" s="170">
        <v>2302364</v>
      </c>
      <c r="Z15" s="170">
        <v>539750</v>
      </c>
      <c r="AA15" s="387"/>
      <c r="AD15" s="387">
        <f>+'Asset Classification'!G13</f>
        <v>53264275</v>
      </c>
      <c r="AE15" s="387">
        <f>+'Asset Classification'!K13</f>
        <v>8592799</v>
      </c>
      <c r="AF15" s="387">
        <f>+'Asset Classification'!O13</f>
        <v>6063606</v>
      </c>
      <c r="AG15" s="387">
        <f>+'Asset Classification'!S13</f>
        <v>8853606</v>
      </c>
      <c r="AH15" s="387">
        <f>+'Asset Classification'!W13</f>
        <v>6238672</v>
      </c>
    </row>
    <row r="16" spans="1:35" s="159" customFormat="1" ht="49.5" customHeight="1">
      <c r="A16" s="392">
        <v>2</v>
      </c>
      <c r="B16" s="393" t="s">
        <v>756</v>
      </c>
      <c r="C16" s="171">
        <f>SUM(C17:C20)</f>
        <v>1397507357</v>
      </c>
      <c r="D16" s="394">
        <f>IFERROR(((C17*D17)/C16)+((C18*D18)/C16)+((C19*D19)/C16)+((C20*D20)/C16),0)</f>
        <v>0.18412755090547903</v>
      </c>
      <c r="E16" s="171">
        <f t="shared" ref="E16:Z16" si="7">SUM(E17:E20)</f>
        <v>1397507357</v>
      </c>
      <c r="F16" s="394">
        <f>IFERROR(((E17*F17)/E16)+((E18*F18)/E16)+((E19*F19)/E16)+((E20*F20)/E16),0)</f>
        <v>0.18412755090547903</v>
      </c>
      <c r="G16" s="171">
        <f t="shared" si="7"/>
        <v>0</v>
      </c>
      <c r="H16" s="394">
        <f>IFERROR(((G17*H17)/G16)+((G18*H18)/G16)+((G19*H19)/G16)+((G20*H20)/G16),0)</f>
        <v>0</v>
      </c>
      <c r="I16" s="171">
        <f t="shared" si="7"/>
        <v>43775716</v>
      </c>
      <c r="J16" s="171">
        <f t="shared" si="7"/>
        <v>219727029</v>
      </c>
      <c r="K16" s="171">
        <f t="shared" si="7"/>
        <v>339236004</v>
      </c>
      <c r="L16" s="171">
        <f t="shared" si="7"/>
        <v>308303309</v>
      </c>
      <c r="M16" s="171">
        <f t="shared" si="7"/>
        <v>486465299</v>
      </c>
      <c r="N16" s="171">
        <f t="shared" si="7"/>
        <v>1363720461</v>
      </c>
      <c r="O16" s="171">
        <f t="shared" si="7"/>
        <v>23648610</v>
      </c>
      <c r="P16" s="171">
        <f t="shared" si="7"/>
        <v>4839197</v>
      </c>
      <c r="Q16" s="171">
        <f t="shared" si="7"/>
        <v>4508421</v>
      </c>
      <c r="R16" s="171">
        <f t="shared" si="7"/>
        <v>790668</v>
      </c>
      <c r="S16" s="171">
        <f>SUM(S17:S20)</f>
        <v>19846783</v>
      </c>
      <c r="T16" s="171">
        <f t="shared" si="7"/>
        <v>13636136</v>
      </c>
      <c r="U16" s="171">
        <f t="shared" si="7"/>
        <v>2364861</v>
      </c>
      <c r="V16" s="171">
        <f t="shared" si="7"/>
        <v>1209799</v>
      </c>
      <c r="W16" s="171">
        <f t="shared" si="7"/>
        <v>2080180</v>
      </c>
      <c r="X16" s="171">
        <f t="shared" si="7"/>
        <v>555807</v>
      </c>
      <c r="Y16" s="171">
        <f t="shared" si="7"/>
        <v>13982541</v>
      </c>
      <c r="Z16" s="171">
        <f t="shared" si="7"/>
        <v>5746320.345089999</v>
      </c>
      <c r="AA16" s="387">
        <f>+'loans_av rate'!C20</f>
        <v>1397507357</v>
      </c>
      <c r="AB16" s="159">
        <f>+'loans_av rate'!E20</f>
        <v>1397507357</v>
      </c>
      <c r="AC16" s="159">
        <f>+'loans_av rate'!G20</f>
        <v>0</v>
      </c>
      <c r="AD16" s="498">
        <f>+AD15-T9</f>
        <v>0</v>
      </c>
      <c r="AE16" s="498">
        <f t="shared" ref="AE16:AH16" si="8">+AE15-U9</f>
        <v>0</v>
      </c>
      <c r="AF16" s="498">
        <f t="shared" si="8"/>
        <v>0</v>
      </c>
      <c r="AG16" s="498">
        <f t="shared" si="8"/>
        <v>0</v>
      </c>
      <c r="AH16" s="498">
        <f t="shared" si="8"/>
        <v>0</v>
      </c>
    </row>
    <row r="17" spans="1:29" s="161" customFormat="1" ht="49.5" customHeight="1">
      <c r="A17" s="398" t="s">
        <v>124</v>
      </c>
      <c r="B17" s="399" t="s">
        <v>520</v>
      </c>
      <c r="C17" s="169">
        <f t="shared" ref="C17:C26" si="9">+E17+G17</f>
        <v>1336769590</v>
      </c>
      <c r="D17" s="523">
        <f t="shared" ref="D17:D26" si="10">IFERROR((((E17*F17)+(G17*H17))/C17),0)</f>
        <v>0.18477828454217782</v>
      </c>
      <c r="E17" s="170">
        <v>1336769590</v>
      </c>
      <c r="F17" s="397">
        <v>0.18477828454217782</v>
      </c>
      <c r="G17" s="170">
        <v>0</v>
      </c>
      <c r="H17" s="397">
        <v>0</v>
      </c>
      <c r="I17" s="170">
        <v>41953686</v>
      </c>
      <c r="J17" s="170">
        <v>208282585</v>
      </c>
      <c r="K17" s="170">
        <v>314908221</v>
      </c>
      <c r="L17" s="170">
        <v>301715583</v>
      </c>
      <c r="M17" s="170">
        <v>469909515</v>
      </c>
      <c r="N17" s="170">
        <v>1303632694</v>
      </c>
      <c r="O17" s="170">
        <v>22998610</v>
      </c>
      <c r="P17" s="170">
        <v>4839197</v>
      </c>
      <c r="Q17" s="170">
        <v>4508421</v>
      </c>
      <c r="R17" s="170">
        <v>790668</v>
      </c>
      <c r="S17" s="169">
        <f t="shared" si="5"/>
        <v>19180926</v>
      </c>
      <c r="T17" s="170">
        <v>13035279</v>
      </c>
      <c r="U17" s="170">
        <v>2299861</v>
      </c>
      <c r="V17" s="170">
        <v>1209799</v>
      </c>
      <c r="W17" s="170">
        <v>2080180</v>
      </c>
      <c r="X17" s="170">
        <v>555807</v>
      </c>
      <c r="Y17" s="170">
        <v>13982541</v>
      </c>
      <c r="Z17" s="170">
        <v>5746320.345089999</v>
      </c>
      <c r="AA17" s="503">
        <f>+'loans_av rate'!D20</f>
        <v>0.18412755090547922</v>
      </c>
      <c r="AB17" s="503">
        <f>+'loans_av rate'!F20</f>
        <v>0.18412755090547922</v>
      </c>
      <c r="AC17" s="503">
        <f>+'loans_av rate'!H20</f>
        <v>0</v>
      </c>
    </row>
    <row r="18" spans="1:29" s="161" customFormat="1" ht="49.5" customHeight="1">
      <c r="A18" s="398" t="s">
        <v>125</v>
      </c>
      <c r="B18" s="399" t="s">
        <v>521</v>
      </c>
      <c r="C18" s="169">
        <f t="shared" si="9"/>
        <v>33271315</v>
      </c>
      <c r="D18" s="523">
        <f t="shared" si="10"/>
        <v>0.16665643132585228</v>
      </c>
      <c r="E18" s="170">
        <v>33271315</v>
      </c>
      <c r="F18" s="397">
        <v>0.16665643132585228</v>
      </c>
      <c r="G18" s="170">
        <v>0</v>
      </c>
      <c r="H18" s="397">
        <v>0</v>
      </c>
      <c r="I18" s="170">
        <v>1324604</v>
      </c>
      <c r="J18" s="170">
        <v>8330748</v>
      </c>
      <c r="K18" s="170">
        <v>20246108</v>
      </c>
      <c r="L18" s="170">
        <v>1286926</v>
      </c>
      <c r="M18" s="170">
        <v>2082929</v>
      </c>
      <c r="N18" s="170">
        <v>33271315</v>
      </c>
      <c r="O18" s="170">
        <v>0</v>
      </c>
      <c r="P18" s="170">
        <v>0</v>
      </c>
      <c r="Q18" s="170">
        <v>0</v>
      </c>
      <c r="R18" s="170">
        <v>0</v>
      </c>
      <c r="S18" s="169">
        <f t="shared" si="5"/>
        <v>332701</v>
      </c>
      <c r="T18" s="170">
        <v>332701</v>
      </c>
      <c r="U18" s="170">
        <v>0</v>
      </c>
      <c r="V18" s="170">
        <v>0</v>
      </c>
      <c r="W18" s="170">
        <v>0</v>
      </c>
      <c r="X18" s="170">
        <v>0</v>
      </c>
      <c r="Y18" s="170">
        <v>0</v>
      </c>
      <c r="Z18" s="170">
        <v>0</v>
      </c>
      <c r="AA18" s="387"/>
    </row>
    <row r="19" spans="1:29" s="161" customFormat="1" ht="49.5" customHeight="1">
      <c r="A19" s="398" t="s">
        <v>127</v>
      </c>
      <c r="B19" s="399" t="s">
        <v>522</v>
      </c>
      <c r="C19" s="169">
        <f t="shared" si="9"/>
        <v>26726669</v>
      </c>
      <c r="D19" s="523">
        <f t="shared" si="10"/>
        <v>0.17280725276320436</v>
      </c>
      <c r="E19" s="170">
        <v>26726669</v>
      </c>
      <c r="F19" s="397">
        <v>0.17280725276320436</v>
      </c>
      <c r="G19" s="170">
        <v>0</v>
      </c>
      <c r="H19" s="397">
        <v>0</v>
      </c>
      <c r="I19" s="170">
        <v>401197</v>
      </c>
      <c r="J19" s="170">
        <v>2802744</v>
      </c>
      <c r="K19" s="170">
        <v>4018041</v>
      </c>
      <c r="L19" s="170">
        <v>5182247</v>
      </c>
      <c r="M19" s="170">
        <v>14322440</v>
      </c>
      <c r="N19" s="170">
        <v>26076669</v>
      </c>
      <c r="O19" s="170">
        <v>650000</v>
      </c>
      <c r="P19" s="170">
        <v>0</v>
      </c>
      <c r="Q19" s="170">
        <v>0</v>
      </c>
      <c r="R19" s="170">
        <v>0</v>
      </c>
      <c r="S19" s="169">
        <f t="shared" si="5"/>
        <v>325758</v>
      </c>
      <c r="T19" s="170">
        <v>260758</v>
      </c>
      <c r="U19" s="170">
        <v>65000</v>
      </c>
      <c r="V19" s="170">
        <v>0</v>
      </c>
      <c r="W19" s="170">
        <v>0</v>
      </c>
      <c r="X19" s="170">
        <v>0</v>
      </c>
      <c r="Y19" s="170">
        <v>0</v>
      </c>
      <c r="Z19" s="170">
        <v>0</v>
      </c>
      <c r="AA19" s="387"/>
    </row>
    <row r="20" spans="1:29" s="161" customFormat="1" ht="49.5" customHeight="1">
      <c r="A20" s="398" t="s">
        <v>129</v>
      </c>
      <c r="B20" s="399" t="s">
        <v>523</v>
      </c>
      <c r="C20" s="169">
        <f t="shared" si="9"/>
        <v>739783</v>
      </c>
      <c r="D20" s="523">
        <f t="shared" si="10"/>
        <v>0.2029980137807979</v>
      </c>
      <c r="E20" s="170">
        <v>739783</v>
      </c>
      <c r="F20" s="397">
        <v>0.2029980137807979</v>
      </c>
      <c r="G20" s="170">
        <v>0</v>
      </c>
      <c r="H20" s="397">
        <v>0</v>
      </c>
      <c r="I20" s="170">
        <v>96229</v>
      </c>
      <c r="J20" s="170">
        <v>310952</v>
      </c>
      <c r="K20" s="170">
        <v>63634</v>
      </c>
      <c r="L20" s="170">
        <v>118553</v>
      </c>
      <c r="M20" s="170">
        <v>150415</v>
      </c>
      <c r="N20" s="170">
        <v>739783</v>
      </c>
      <c r="O20" s="170">
        <v>0</v>
      </c>
      <c r="P20" s="170">
        <v>0</v>
      </c>
      <c r="Q20" s="170">
        <v>0</v>
      </c>
      <c r="R20" s="170">
        <v>0</v>
      </c>
      <c r="S20" s="169">
        <f t="shared" si="5"/>
        <v>7398</v>
      </c>
      <c r="T20" s="170">
        <v>7398</v>
      </c>
      <c r="U20" s="170">
        <v>0</v>
      </c>
      <c r="V20" s="170">
        <v>0</v>
      </c>
      <c r="W20" s="170">
        <v>0</v>
      </c>
      <c r="X20" s="170">
        <v>0</v>
      </c>
      <c r="Y20" s="170">
        <v>0</v>
      </c>
      <c r="Z20" s="170">
        <v>0</v>
      </c>
      <c r="AA20" s="387"/>
    </row>
    <row r="21" spans="1:29" s="159" customFormat="1" ht="49.5" customHeight="1">
      <c r="A21" s="395">
        <v>3</v>
      </c>
      <c r="B21" s="400" t="s">
        <v>498</v>
      </c>
      <c r="C21" s="169">
        <f t="shared" si="9"/>
        <v>963215253</v>
      </c>
      <c r="D21" s="523">
        <f t="shared" si="10"/>
        <v>0.28257970865768084</v>
      </c>
      <c r="E21" s="170">
        <v>963215253</v>
      </c>
      <c r="F21" s="397">
        <v>0.28257970865768084</v>
      </c>
      <c r="G21" s="170">
        <v>0</v>
      </c>
      <c r="H21" s="397">
        <v>0</v>
      </c>
      <c r="I21" s="170">
        <v>515103492</v>
      </c>
      <c r="J21" s="170">
        <v>443664883</v>
      </c>
      <c r="K21" s="170">
        <v>89193</v>
      </c>
      <c r="L21" s="170">
        <v>2378053</v>
      </c>
      <c r="M21" s="170">
        <v>1979632</v>
      </c>
      <c r="N21" s="170">
        <v>956972401</v>
      </c>
      <c r="O21" s="170">
        <v>3329325</v>
      </c>
      <c r="P21" s="170">
        <v>1178287</v>
      </c>
      <c r="Q21" s="170">
        <v>1269703</v>
      </c>
      <c r="R21" s="170">
        <v>465537</v>
      </c>
      <c r="S21" s="169">
        <f t="shared" si="5"/>
        <v>11268944</v>
      </c>
      <c r="T21" s="170">
        <v>9565885</v>
      </c>
      <c r="U21" s="170">
        <v>319821</v>
      </c>
      <c r="V21" s="170">
        <v>282853</v>
      </c>
      <c r="W21" s="170">
        <v>634851</v>
      </c>
      <c r="X21" s="170">
        <v>465534</v>
      </c>
      <c r="Y21" s="170">
        <v>13125534</v>
      </c>
      <c r="Z21" s="170">
        <v>0</v>
      </c>
      <c r="AA21" s="387">
        <f>+'loans_av rate'!C12+'loans_av rate'!C22</f>
        <v>963215253</v>
      </c>
      <c r="AB21" s="387">
        <f>+'loans_av rate'!E12+'loans_av rate'!E22</f>
        <v>963215253</v>
      </c>
      <c r="AC21" s="387">
        <f>+'loans_av rate'!G12+'loans_av rate'!G22</f>
        <v>0</v>
      </c>
    </row>
    <row r="22" spans="1:29" s="159" customFormat="1" ht="49.5" customHeight="1">
      <c r="A22" s="395">
        <v>4</v>
      </c>
      <c r="B22" s="400" t="s">
        <v>481</v>
      </c>
      <c r="C22" s="169">
        <f t="shared" si="9"/>
        <v>745352187</v>
      </c>
      <c r="D22" s="523">
        <f t="shared" si="10"/>
        <v>0.22656491431324716</v>
      </c>
      <c r="E22" s="170">
        <v>745352187</v>
      </c>
      <c r="F22" s="397">
        <v>0.22656491431324716</v>
      </c>
      <c r="G22" s="170">
        <v>0</v>
      </c>
      <c r="H22" s="397">
        <v>0</v>
      </c>
      <c r="I22" s="170">
        <v>201190817</v>
      </c>
      <c r="J22" s="170">
        <v>523294290</v>
      </c>
      <c r="K22" s="170">
        <v>20867080</v>
      </c>
      <c r="L22" s="170">
        <v>0</v>
      </c>
      <c r="M22" s="170">
        <v>0</v>
      </c>
      <c r="N22" s="170">
        <v>738733888</v>
      </c>
      <c r="O22" s="170">
        <v>3509902</v>
      </c>
      <c r="P22" s="170">
        <v>1057131</v>
      </c>
      <c r="Q22" s="170">
        <v>1222489</v>
      </c>
      <c r="R22" s="170">
        <v>828777</v>
      </c>
      <c r="S22" s="169">
        <f t="shared" si="5"/>
        <v>9416899</v>
      </c>
      <c r="T22" s="170">
        <f>7384644+10485</f>
        <v>7395129</v>
      </c>
      <c r="U22" s="170">
        <v>352422</v>
      </c>
      <c r="V22" s="170">
        <v>236629</v>
      </c>
      <c r="W22" s="170">
        <v>603943</v>
      </c>
      <c r="X22" s="170">
        <v>828776</v>
      </c>
      <c r="Y22" s="170">
        <v>13727804</v>
      </c>
      <c r="Z22" s="170">
        <v>0</v>
      </c>
      <c r="AA22" s="387">
        <f>+'loans_av rate'!C11+'loans_av rate'!C13+'loans_av rate'!C21+'loans_av rate'!C23</f>
        <v>745352187</v>
      </c>
      <c r="AB22" s="387">
        <f>+'loans_av rate'!E11+'loans_av rate'!E13+'loans_av rate'!E21+'loans_av rate'!E23</f>
        <v>745352187</v>
      </c>
      <c r="AC22" s="387">
        <f>+'loans_av rate'!G11+'loans_av rate'!G13+'loans_av rate'!G21+'loans_av rate'!G23</f>
        <v>0</v>
      </c>
    </row>
    <row r="23" spans="1:29" s="159" customFormat="1" ht="49.5" customHeight="1">
      <c r="A23" s="395" t="s">
        <v>162</v>
      </c>
      <c r="B23" s="400" t="s">
        <v>524</v>
      </c>
      <c r="C23" s="169">
        <f t="shared" si="9"/>
        <v>738340692</v>
      </c>
      <c r="D23" s="523">
        <f t="shared" si="10"/>
        <v>0.22632962771979667</v>
      </c>
      <c r="E23" s="170">
        <v>738340692</v>
      </c>
      <c r="F23" s="397">
        <v>0.22632962771979667</v>
      </c>
      <c r="G23" s="170">
        <v>0</v>
      </c>
      <c r="H23" s="397">
        <v>0</v>
      </c>
      <c r="I23" s="170">
        <v>196336527</v>
      </c>
      <c r="J23" s="170">
        <v>521138611</v>
      </c>
      <c r="K23" s="170">
        <v>20865554</v>
      </c>
      <c r="L23" s="170">
        <v>0</v>
      </c>
      <c r="M23" s="170">
        <v>0</v>
      </c>
      <c r="N23" s="170">
        <v>733249564</v>
      </c>
      <c r="O23" s="170">
        <v>3394160</v>
      </c>
      <c r="P23" s="170">
        <v>803602</v>
      </c>
      <c r="Q23" s="170">
        <v>634736</v>
      </c>
      <c r="R23" s="170">
        <v>258630</v>
      </c>
      <c r="S23" s="169">
        <f t="shared" si="5"/>
        <v>1103335</v>
      </c>
      <c r="T23" s="170">
        <v>0</v>
      </c>
      <c r="U23" s="170">
        <v>340857</v>
      </c>
      <c r="V23" s="170">
        <v>186480</v>
      </c>
      <c r="W23" s="170">
        <v>317368</v>
      </c>
      <c r="X23" s="170">
        <v>258630</v>
      </c>
      <c r="Y23" s="170">
        <v>1607482</v>
      </c>
      <c r="Z23" s="170">
        <v>0</v>
      </c>
      <c r="AA23" s="387">
        <f>+'loans_av rate'!C11+'loans_av rate'!C21</f>
        <v>738340692</v>
      </c>
      <c r="AB23" s="387">
        <f>+'loans_av rate'!E11+'loans_av rate'!E21</f>
        <v>738340692</v>
      </c>
      <c r="AC23" s="387">
        <f>+'loans_av rate'!G11+'loans_av rate'!G21</f>
        <v>0</v>
      </c>
    </row>
    <row r="24" spans="1:29" s="159" customFormat="1" ht="49.5" customHeight="1">
      <c r="A24" s="395">
        <v>5</v>
      </c>
      <c r="B24" s="400" t="s">
        <v>525</v>
      </c>
      <c r="C24" s="169">
        <f t="shared" si="9"/>
        <v>76560015</v>
      </c>
      <c r="D24" s="523">
        <f t="shared" si="10"/>
        <v>0.14058298717694317</v>
      </c>
      <c r="E24" s="170">
        <v>76560015</v>
      </c>
      <c r="F24" s="397">
        <v>0.14058298717694317</v>
      </c>
      <c r="G24" s="170">
        <v>0</v>
      </c>
      <c r="H24" s="397">
        <v>0</v>
      </c>
      <c r="I24" s="170">
        <v>1493309</v>
      </c>
      <c r="J24" s="170">
        <v>16179351</v>
      </c>
      <c r="K24" s="170">
        <v>49121303</v>
      </c>
      <c r="L24" s="170">
        <v>9766052</v>
      </c>
      <c r="M24" s="170">
        <v>0</v>
      </c>
      <c r="N24" s="170">
        <v>76433493</v>
      </c>
      <c r="O24" s="170">
        <v>91808</v>
      </c>
      <c r="P24" s="170">
        <v>23783</v>
      </c>
      <c r="Q24" s="170">
        <v>7306</v>
      </c>
      <c r="R24" s="170">
        <v>3625</v>
      </c>
      <c r="S24" s="169">
        <f t="shared" si="5"/>
        <v>785235</v>
      </c>
      <c r="T24" s="170">
        <v>764315</v>
      </c>
      <c r="U24" s="170">
        <v>7696</v>
      </c>
      <c r="V24" s="170">
        <v>5946</v>
      </c>
      <c r="W24" s="170">
        <v>3653</v>
      </c>
      <c r="X24" s="170">
        <v>3625</v>
      </c>
      <c r="Y24" s="170">
        <v>13549</v>
      </c>
      <c r="Z24" s="170">
        <v>0</v>
      </c>
      <c r="AA24" s="387">
        <f>+'loans_av rate'!C14+'loans_av rate'!C24</f>
        <v>76560015</v>
      </c>
      <c r="AB24" s="387">
        <f>+'loans_av rate'!E14+'loans_av rate'!E24</f>
        <v>76560015</v>
      </c>
      <c r="AC24" s="387">
        <f>+'loans_av rate'!G14+'loans_av rate'!G24</f>
        <v>0</v>
      </c>
    </row>
    <row r="25" spans="1:29" s="159" customFormat="1" ht="49.5" customHeight="1">
      <c r="A25" s="395">
        <v>6</v>
      </c>
      <c r="B25" s="400" t="s">
        <v>526</v>
      </c>
      <c r="C25" s="169">
        <f t="shared" si="9"/>
        <v>1189507</v>
      </c>
      <c r="D25" s="523">
        <f t="shared" si="10"/>
        <v>7.9660002875561062E-2</v>
      </c>
      <c r="E25" s="170">
        <v>1189507</v>
      </c>
      <c r="F25" s="397">
        <v>7.9660002875561062E-2</v>
      </c>
      <c r="G25" s="170">
        <v>0</v>
      </c>
      <c r="H25" s="397">
        <v>0</v>
      </c>
      <c r="I25" s="170">
        <v>1055390</v>
      </c>
      <c r="J25" s="170">
        <v>134117</v>
      </c>
      <c r="K25" s="170">
        <v>0</v>
      </c>
      <c r="L25" s="170">
        <v>0</v>
      </c>
      <c r="M25" s="170">
        <v>0</v>
      </c>
      <c r="N25" s="170">
        <v>242762</v>
      </c>
      <c r="O25" s="170">
        <v>6337</v>
      </c>
      <c r="P25" s="170">
        <v>39149</v>
      </c>
      <c r="Q25" s="170">
        <v>449882</v>
      </c>
      <c r="R25" s="170">
        <v>451377</v>
      </c>
      <c r="S25" s="169">
        <f t="shared" si="5"/>
        <v>689154</v>
      </c>
      <c r="T25" s="170">
        <v>2414</v>
      </c>
      <c r="U25" s="170">
        <v>634</v>
      </c>
      <c r="V25" s="170">
        <v>9787</v>
      </c>
      <c r="W25" s="170">
        <v>224941</v>
      </c>
      <c r="X25" s="170">
        <v>451378</v>
      </c>
      <c r="Y25" s="170">
        <v>11651655</v>
      </c>
      <c r="Z25" s="170">
        <v>0</v>
      </c>
      <c r="AA25" s="387">
        <f>+'loans_av rate'!C15+'loans_av rate'!C25</f>
        <v>1189507</v>
      </c>
      <c r="AB25" s="387">
        <f>+'loans_av rate'!E15+'loans_av rate'!E25</f>
        <v>1189507</v>
      </c>
      <c r="AC25" s="387">
        <f>+'loans_av rate'!G15+'loans_av rate'!G25</f>
        <v>0</v>
      </c>
    </row>
    <row r="26" spans="1:29" s="159" customFormat="1" ht="49.5" customHeight="1">
      <c r="A26" s="395">
        <v>7</v>
      </c>
      <c r="B26" s="400" t="s">
        <v>482</v>
      </c>
      <c r="C26" s="169">
        <f t="shared" si="9"/>
        <v>5621</v>
      </c>
      <c r="D26" s="523">
        <f t="shared" si="10"/>
        <v>7.432047396797152E-2</v>
      </c>
      <c r="E26" s="170">
        <v>5621</v>
      </c>
      <c r="F26" s="397">
        <v>7.432047396797152E-2</v>
      </c>
      <c r="G26" s="170">
        <v>0</v>
      </c>
      <c r="H26" s="397">
        <v>0</v>
      </c>
      <c r="I26" s="170">
        <v>5621</v>
      </c>
      <c r="J26" s="170">
        <v>0</v>
      </c>
      <c r="K26" s="170">
        <v>0</v>
      </c>
      <c r="L26" s="170">
        <v>0</v>
      </c>
      <c r="M26" s="170">
        <v>0</v>
      </c>
      <c r="N26" s="170">
        <v>0</v>
      </c>
      <c r="O26" s="170">
        <v>0</v>
      </c>
      <c r="P26" s="170">
        <v>0</v>
      </c>
      <c r="Q26" s="170">
        <v>0</v>
      </c>
      <c r="R26" s="170">
        <v>5621</v>
      </c>
      <c r="S26" s="169">
        <f t="shared" si="5"/>
        <v>5621</v>
      </c>
      <c r="T26" s="170">
        <v>0</v>
      </c>
      <c r="U26" s="170">
        <v>0</v>
      </c>
      <c r="V26" s="170">
        <v>0</v>
      </c>
      <c r="W26" s="170">
        <v>0</v>
      </c>
      <c r="X26" s="170">
        <v>5621</v>
      </c>
      <c r="Y26" s="170">
        <v>68375</v>
      </c>
      <c r="Z26" s="170">
        <v>0</v>
      </c>
      <c r="AA26" s="387">
        <f>+'loans_av rate'!C16+'loans_av rate'!C26</f>
        <v>5621</v>
      </c>
      <c r="AB26" s="387">
        <f>+'loans_av rate'!E16+'loans_av rate'!E26</f>
        <v>5621</v>
      </c>
      <c r="AC26" s="387">
        <f>+'loans_av rate'!G16+'loans_av rate'!G26</f>
        <v>0</v>
      </c>
    </row>
    <row r="27" spans="1:29" s="165" customFormat="1" ht="49.5" customHeight="1">
      <c r="A27" s="389" t="s">
        <v>54</v>
      </c>
      <c r="B27" s="389" t="s">
        <v>527</v>
      </c>
      <c r="C27" s="160">
        <f>+C28</f>
        <v>42612517711</v>
      </c>
      <c r="D27" s="390">
        <f>IFERROR(((C29*D29)/C27)+((C30*D30)/C27)+((C31*D31)/C27)+((C32*D32)/C27)+((C33*D33)/C27)+((C34*D34)/C27)+((C35*D35)/C27),0)</f>
        <v>9.5865896763398503E-2</v>
      </c>
      <c r="E27" s="160">
        <f t="shared" ref="E27:Z27" si="11">+E28</f>
        <v>11784375067</v>
      </c>
      <c r="F27" s="390">
        <f>IFERROR(((E29*F29)/E27)+((E30*F30)/E27)+((E31*F31)/E27)+((E32*F32)/E27)+((E33*F33)/E27)+((E34*F34)/E27)+((E35*F35)/E27),0)</f>
        <v>0.17672332412261685</v>
      </c>
      <c r="G27" s="160">
        <f t="shared" si="11"/>
        <v>30828142644</v>
      </c>
      <c r="H27" s="390">
        <f>IFERROR(((G29*H29)/G27)+((G30*H30)/G27)+((G31*H31)/G27)+((G32*H32)/G27)+((G33*H33)/G27)+((G34*H34)/G27)+((G35*H35)/G27),0)</f>
        <v>6.4957312293773051E-2</v>
      </c>
      <c r="I27" s="160">
        <f t="shared" si="11"/>
        <v>17330996519</v>
      </c>
      <c r="J27" s="160">
        <f t="shared" si="11"/>
        <v>19457308930</v>
      </c>
      <c r="K27" s="160">
        <f t="shared" si="11"/>
        <v>5243661592</v>
      </c>
      <c r="L27" s="160">
        <f t="shared" si="11"/>
        <v>580550670</v>
      </c>
      <c r="M27" s="160">
        <f t="shared" si="11"/>
        <v>0</v>
      </c>
      <c r="N27" s="160">
        <f t="shared" si="11"/>
        <v>38833870225</v>
      </c>
      <c r="O27" s="160">
        <f t="shared" si="11"/>
        <v>2470299686</v>
      </c>
      <c r="P27" s="160">
        <f t="shared" si="11"/>
        <v>411771376</v>
      </c>
      <c r="Q27" s="160">
        <f t="shared" si="11"/>
        <v>812030556</v>
      </c>
      <c r="R27" s="160">
        <f t="shared" si="11"/>
        <v>84545868</v>
      </c>
      <c r="S27" s="160">
        <f t="shared" si="11"/>
        <v>1200489753</v>
      </c>
      <c r="T27" s="160">
        <f t="shared" si="11"/>
        <v>361425697</v>
      </c>
      <c r="U27" s="160">
        <f t="shared" si="11"/>
        <v>247029968</v>
      </c>
      <c r="V27" s="160">
        <f t="shared" si="11"/>
        <v>101723927</v>
      </c>
      <c r="W27" s="160">
        <f t="shared" si="11"/>
        <v>405951639</v>
      </c>
      <c r="X27" s="160">
        <f t="shared" si="11"/>
        <v>84358522</v>
      </c>
      <c r="Y27" s="160">
        <f t="shared" si="11"/>
        <v>1366523964</v>
      </c>
      <c r="Z27" s="160">
        <f t="shared" si="11"/>
        <v>320123703</v>
      </c>
      <c r="AA27" s="387">
        <f>+'loans_av rate'!C28+'loans_av rate'!C37</f>
        <v>42612517711</v>
      </c>
      <c r="AB27" s="387">
        <f>+'loans_av rate'!E28+'loans_av rate'!E37</f>
        <v>11784375067</v>
      </c>
      <c r="AC27" s="387">
        <f>+'loans_av rate'!G28+'loans_av rate'!G37</f>
        <v>30828142644</v>
      </c>
    </row>
    <row r="28" spans="1:29" s="165" customFormat="1" ht="33.75" customHeight="1">
      <c r="A28" s="389"/>
      <c r="B28" s="389" t="s">
        <v>528</v>
      </c>
      <c r="C28" s="160">
        <f>SUM(C29:C35)</f>
        <v>42612517711</v>
      </c>
      <c r="D28" s="390">
        <f>IFERROR(((C29*D29)/C28)+((C30*D30)/C28)+((C31*D31)/C28)+((C32*D32)/C28)+((C33*D33)/C28)+((C34*D34)/C28)+((C35*D35)/C28),0)</f>
        <v>9.5865896763398503E-2</v>
      </c>
      <c r="E28" s="160">
        <f>SUM(E29:E35)</f>
        <v>11784375067</v>
      </c>
      <c r="F28" s="390">
        <f>IFERROR(((E29*F29)/E28)+((E30*F30)/E28)+((E31*F31)/E28)+((E32*F32)/E28)+((E33*F33)/E28)+((E34*F34)/E28)+((E35*F35)/E28),0)</f>
        <v>0.17672332412261685</v>
      </c>
      <c r="G28" s="160">
        <f>SUM(G29:G35)</f>
        <v>30828142644</v>
      </c>
      <c r="H28" s="390">
        <f>IFERROR(+((G29*H29)/G28)+((G30*H30)/G28)+((G31*H31)/G28)+((G32*H32)/G28)+((G33*H33)/G28)+((G34*H34)/G28)+((G35*H35)/G28),0)</f>
        <v>6.4957312293773051E-2</v>
      </c>
      <c r="I28" s="160">
        <f>SUM(I29:I35)</f>
        <v>17330996519</v>
      </c>
      <c r="J28" s="160">
        <f t="shared" ref="J28:R28" si="12">SUM(J29:J35)</f>
        <v>19457308930</v>
      </c>
      <c r="K28" s="160">
        <f t="shared" si="12"/>
        <v>5243661592</v>
      </c>
      <c r="L28" s="160">
        <f t="shared" si="12"/>
        <v>580550670</v>
      </c>
      <c r="M28" s="160">
        <f t="shared" si="12"/>
        <v>0</v>
      </c>
      <c r="N28" s="160">
        <f t="shared" si="12"/>
        <v>38833870225</v>
      </c>
      <c r="O28" s="160">
        <f t="shared" si="12"/>
        <v>2470299686</v>
      </c>
      <c r="P28" s="160">
        <f t="shared" si="12"/>
        <v>411771376</v>
      </c>
      <c r="Q28" s="160">
        <f t="shared" si="12"/>
        <v>812030556</v>
      </c>
      <c r="R28" s="160">
        <f t="shared" si="12"/>
        <v>84545868</v>
      </c>
      <c r="S28" s="160">
        <f t="shared" ref="S28" si="13">SUM(S29:S35)</f>
        <v>1200489753</v>
      </c>
      <c r="T28" s="160">
        <f t="shared" ref="T28" si="14">SUM(T29:T35)</f>
        <v>361425697</v>
      </c>
      <c r="U28" s="160">
        <f t="shared" ref="U28" si="15">SUM(U29:U35)</f>
        <v>247029968</v>
      </c>
      <c r="V28" s="160">
        <f t="shared" ref="V28" si="16">SUM(V29:V35)</f>
        <v>101723927</v>
      </c>
      <c r="W28" s="160">
        <f t="shared" ref="W28" si="17">SUM(W29:W35)</f>
        <v>405951639</v>
      </c>
      <c r="X28" s="160">
        <f t="shared" ref="X28" si="18">SUM(X29:X35)</f>
        <v>84358522</v>
      </c>
      <c r="Y28" s="160">
        <f t="shared" ref="Y28" si="19">SUM(Y29:Y35)</f>
        <v>1366523964</v>
      </c>
      <c r="Z28" s="160">
        <f t="shared" ref="Z28" si="20">SUM(Z29:Z35)</f>
        <v>320123703</v>
      </c>
      <c r="AA28" s="387">
        <f>+'loans_av rate'!C28+'loans_av rate'!C37</f>
        <v>42612517711</v>
      </c>
      <c r="AB28" s="387">
        <f>+'loans_av rate'!E28+'loans_av rate'!E37</f>
        <v>11784375067</v>
      </c>
      <c r="AC28" s="387">
        <f>+'loans_av rate'!G28+'loans_av rate'!G37</f>
        <v>30828142644</v>
      </c>
    </row>
    <row r="29" spans="1:29" s="159" customFormat="1" ht="49.5" customHeight="1">
      <c r="A29" s="395">
        <v>1</v>
      </c>
      <c r="B29" s="400" t="s">
        <v>177</v>
      </c>
      <c r="C29" s="169">
        <f t="shared" ref="C29:C34" si="21">+E29+G29</f>
        <v>244830203</v>
      </c>
      <c r="D29" s="523">
        <f t="shared" ref="D29:D35" si="22">IFERROR((((E29*F29)+(G29*H29))/C29),0)</f>
        <v>0.17201276957342249</v>
      </c>
      <c r="E29" s="170">
        <v>243196060</v>
      </c>
      <c r="F29" s="397">
        <v>0.17242505646540054</v>
      </c>
      <c r="G29" s="170">
        <v>1634143</v>
      </c>
      <c r="H29" s="397">
        <v>0.1106555029702465</v>
      </c>
      <c r="I29" s="170">
        <v>104755467</v>
      </c>
      <c r="J29" s="170">
        <v>90688494</v>
      </c>
      <c r="K29" s="170">
        <v>48774876</v>
      </c>
      <c r="L29" s="170">
        <v>611366</v>
      </c>
      <c r="M29" s="170">
        <v>0</v>
      </c>
      <c r="N29" s="170">
        <v>233966996</v>
      </c>
      <c r="O29" s="170">
        <v>3382022</v>
      </c>
      <c r="P29" s="170">
        <v>1690179</v>
      </c>
      <c r="Q29" s="170">
        <v>2956673</v>
      </c>
      <c r="R29" s="170">
        <v>2834333</v>
      </c>
      <c r="S29" s="169">
        <f t="shared" ref="S29:S35" si="23">SUM(T29:X29)</f>
        <v>7095571</v>
      </c>
      <c r="T29" s="170">
        <v>2338140</v>
      </c>
      <c r="U29" s="170">
        <v>338202</v>
      </c>
      <c r="V29" s="170">
        <v>357544</v>
      </c>
      <c r="W29" s="170">
        <v>1414697</v>
      </c>
      <c r="X29" s="170">
        <v>2646988</v>
      </c>
      <c r="Y29" s="170">
        <v>25609</v>
      </c>
      <c r="Z29" s="170">
        <v>317041244</v>
      </c>
      <c r="AA29" s="387">
        <f>+'loans_av rate'!C30+'loans_av rate'!C39</f>
        <v>244830203</v>
      </c>
      <c r="AB29" s="387">
        <f>+'loans_av rate'!E30+'loans_av rate'!E39</f>
        <v>243196059</v>
      </c>
      <c r="AC29" s="387">
        <f>+'loans_av rate'!G30+'loans_av rate'!G39</f>
        <v>1634144</v>
      </c>
    </row>
    <row r="30" spans="1:29" s="159" customFormat="1" ht="49.5" customHeight="1">
      <c r="A30" s="395">
        <v>2</v>
      </c>
      <c r="B30" s="400" t="s">
        <v>501</v>
      </c>
      <c r="C30" s="169">
        <f t="shared" si="21"/>
        <v>931735732</v>
      </c>
      <c r="D30" s="523">
        <f t="shared" si="22"/>
        <v>4.3605217063783515E-2</v>
      </c>
      <c r="E30" s="170">
        <v>0</v>
      </c>
      <c r="F30" s="397">
        <v>0</v>
      </c>
      <c r="G30" s="170">
        <v>931735732</v>
      </c>
      <c r="H30" s="397">
        <v>4.3605217063783515E-2</v>
      </c>
      <c r="I30" s="170">
        <v>135267089</v>
      </c>
      <c r="J30" s="170">
        <v>635034796</v>
      </c>
      <c r="K30" s="170">
        <v>161433847</v>
      </c>
      <c r="L30" s="170">
        <v>0</v>
      </c>
      <c r="M30" s="170">
        <v>0</v>
      </c>
      <c r="N30" s="170">
        <v>931735732</v>
      </c>
      <c r="O30" s="170">
        <v>0</v>
      </c>
      <c r="P30" s="170">
        <v>0</v>
      </c>
      <c r="Q30" s="170">
        <v>0</v>
      </c>
      <c r="R30" s="170">
        <v>0</v>
      </c>
      <c r="S30" s="169">
        <f t="shared" si="23"/>
        <v>9317357</v>
      </c>
      <c r="T30" s="170">
        <v>9317357</v>
      </c>
      <c r="U30" s="170">
        <v>0</v>
      </c>
      <c r="V30" s="170">
        <v>0</v>
      </c>
      <c r="W30" s="170">
        <v>0</v>
      </c>
      <c r="X30" s="170">
        <v>0</v>
      </c>
      <c r="Y30" s="170">
        <v>38154238</v>
      </c>
      <c r="Z30" s="170">
        <v>0</v>
      </c>
      <c r="AA30" s="387">
        <f>+'loans_av rate'!C31+'loans_av rate'!C40</f>
        <v>931735732</v>
      </c>
      <c r="AB30" s="387">
        <f>+'loans_av rate'!E31+'loans_av rate'!E40</f>
        <v>0</v>
      </c>
      <c r="AC30" s="387">
        <f>+'loans_av rate'!G31+'loans_av rate'!G40</f>
        <v>931735732</v>
      </c>
    </row>
    <row r="31" spans="1:29" s="159" customFormat="1" ht="49.5" customHeight="1">
      <c r="A31" s="395">
        <v>3</v>
      </c>
      <c r="B31" s="400" t="s">
        <v>178</v>
      </c>
      <c r="C31" s="169">
        <f t="shared" si="21"/>
        <v>335566010</v>
      </c>
      <c r="D31" s="523">
        <f t="shared" si="22"/>
        <v>6.3032157227124394E-2</v>
      </c>
      <c r="E31" s="170">
        <v>8212444</v>
      </c>
      <c r="F31" s="397">
        <v>0.18389599460526002</v>
      </c>
      <c r="G31" s="170">
        <v>327353566</v>
      </c>
      <c r="H31" s="397">
        <v>5.9999999953807739E-2</v>
      </c>
      <c r="I31" s="170">
        <v>7334826</v>
      </c>
      <c r="J31" s="170">
        <v>328231184</v>
      </c>
      <c r="K31" s="170">
        <v>0</v>
      </c>
      <c r="L31" s="170">
        <v>0</v>
      </c>
      <c r="M31" s="170">
        <v>0</v>
      </c>
      <c r="N31" s="170">
        <v>335566010</v>
      </c>
      <c r="O31" s="170">
        <v>0</v>
      </c>
      <c r="P31" s="170">
        <v>0</v>
      </c>
      <c r="Q31" s="170">
        <v>0</v>
      </c>
      <c r="R31" s="170">
        <v>0</v>
      </c>
      <c r="S31" s="169">
        <f t="shared" si="23"/>
        <v>3355660</v>
      </c>
      <c r="T31" s="170">
        <v>3355660</v>
      </c>
      <c r="U31" s="170">
        <v>0</v>
      </c>
      <c r="V31" s="170">
        <v>0</v>
      </c>
      <c r="W31" s="170">
        <v>0</v>
      </c>
      <c r="X31" s="170">
        <v>0</v>
      </c>
      <c r="Y31" s="170">
        <v>0</v>
      </c>
      <c r="Z31" s="170">
        <v>0</v>
      </c>
      <c r="AA31" s="387">
        <f>+'loans_av rate'!C32+'loans_av rate'!C41</f>
        <v>335566010</v>
      </c>
      <c r="AB31" s="387">
        <f>+'loans_av rate'!E32+'loans_av rate'!E41</f>
        <v>8212444</v>
      </c>
      <c r="AC31" s="387">
        <f>+'loans_av rate'!G32+'loans_av rate'!G41</f>
        <v>327353566</v>
      </c>
    </row>
    <row r="32" spans="1:29" s="159" customFormat="1" ht="49.5" customHeight="1">
      <c r="A32" s="395">
        <v>4</v>
      </c>
      <c r="B32" s="400" t="s">
        <v>179</v>
      </c>
      <c r="C32" s="169">
        <f t="shared" si="21"/>
        <v>283941159</v>
      </c>
      <c r="D32" s="523">
        <f t="shared" si="22"/>
        <v>3.1699295744797608E-2</v>
      </c>
      <c r="E32" s="170">
        <v>283941159</v>
      </c>
      <c r="F32" s="397">
        <v>3.1699295744797608E-2</v>
      </c>
      <c r="G32" s="170">
        <v>0</v>
      </c>
      <c r="H32" s="397">
        <v>0</v>
      </c>
      <c r="I32" s="170">
        <v>283941159</v>
      </c>
      <c r="J32" s="170">
        <v>0</v>
      </c>
      <c r="K32" s="170">
        <v>0</v>
      </c>
      <c r="L32" s="170">
        <v>0</v>
      </c>
      <c r="M32" s="170">
        <v>0</v>
      </c>
      <c r="N32" s="170">
        <v>283941159</v>
      </c>
      <c r="O32" s="170">
        <v>0</v>
      </c>
      <c r="P32" s="170">
        <v>0</v>
      </c>
      <c r="Q32" s="170">
        <v>0</v>
      </c>
      <c r="R32" s="170">
        <v>0</v>
      </c>
      <c r="S32" s="169">
        <f t="shared" si="23"/>
        <v>2839412</v>
      </c>
      <c r="T32" s="170">
        <v>2839412</v>
      </c>
      <c r="U32" s="170">
        <v>0</v>
      </c>
      <c r="V32" s="170">
        <v>0</v>
      </c>
      <c r="W32" s="170">
        <v>0</v>
      </c>
      <c r="X32" s="170">
        <v>0</v>
      </c>
      <c r="Y32" s="170">
        <v>0</v>
      </c>
      <c r="Z32" s="170">
        <v>0</v>
      </c>
      <c r="AA32" s="387">
        <f>+'loans_av rate'!C33+'loans_av rate'!C42</f>
        <v>283941159</v>
      </c>
      <c r="AB32" s="387">
        <f>+'loans_av rate'!E33+'loans_av rate'!E42</f>
        <v>283941159</v>
      </c>
      <c r="AC32" s="387">
        <f>+'loans_av rate'!G33+'loans_av rate'!G42</f>
        <v>0</v>
      </c>
    </row>
    <row r="33" spans="1:29" s="159" customFormat="1" ht="49.5" customHeight="1">
      <c r="A33" s="395">
        <v>5</v>
      </c>
      <c r="B33" s="400" t="s">
        <v>502</v>
      </c>
      <c r="C33" s="169">
        <f t="shared" si="21"/>
        <v>0</v>
      </c>
      <c r="D33" s="523">
        <f t="shared" si="22"/>
        <v>0</v>
      </c>
      <c r="E33" s="170">
        <v>0</v>
      </c>
      <c r="F33" s="397">
        <v>0</v>
      </c>
      <c r="G33" s="170">
        <v>0</v>
      </c>
      <c r="H33" s="397">
        <v>0</v>
      </c>
      <c r="I33" s="170">
        <v>0</v>
      </c>
      <c r="J33" s="170">
        <v>0</v>
      </c>
      <c r="K33" s="170">
        <v>0</v>
      </c>
      <c r="L33" s="170">
        <v>0</v>
      </c>
      <c r="M33" s="170">
        <v>0</v>
      </c>
      <c r="N33" s="170">
        <v>0</v>
      </c>
      <c r="O33" s="170">
        <v>0</v>
      </c>
      <c r="P33" s="170">
        <v>0</v>
      </c>
      <c r="Q33" s="170">
        <v>0</v>
      </c>
      <c r="R33" s="170">
        <v>0</v>
      </c>
      <c r="S33" s="169">
        <f t="shared" si="23"/>
        <v>0</v>
      </c>
      <c r="T33" s="170">
        <v>0</v>
      </c>
      <c r="U33" s="170">
        <v>0</v>
      </c>
      <c r="V33" s="170">
        <v>0</v>
      </c>
      <c r="W33" s="170">
        <v>0</v>
      </c>
      <c r="X33" s="170">
        <v>0</v>
      </c>
      <c r="Y33" s="170">
        <v>0</v>
      </c>
      <c r="Z33" s="170">
        <v>0</v>
      </c>
      <c r="AA33" s="387">
        <f>+'loans_av rate'!C34+'loans_av rate'!C43</f>
        <v>0</v>
      </c>
      <c r="AB33" s="387">
        <f>+'loans_av rate'!E34+'loans_av rate'!E43</f>
        <v>0</v>
      </c>
      <c r="AC33" s="387">
        <f>+'loans_av rate'!G34+'loans_av rate'!G43</f>
        <v>0</v>
      </c>
    </row>
    <row r="34" spans="1:29" s="159" customFormat="1" ht="49.5" customHeight="1">
      <c r="A34" s="395">
        <v>6</v>
      </c>
      <c r="B34" s="400" t="s">
        <v>529</v>
      </c>
      <c r="C34" s="169">
        <f t="shared" si="21"/>
        <v>0</v>
      </c>
      <c r="D34" s="523">
        <f t="shared" si="22"/>
        <v>0</v>
      </c>
      <c r="E34" s="170">
        <v>0</v>
      </c>
      <c r="F34" s="397">
        <v>0</v>
      </c>
      <c r="G34" s="170">
        <v>0</v>
      </c>
      <c r="H34" s="397">
        <v>0</v>
      </c>
      <c r="I34" s="170">
        <v>0</v>
      </c>
      <c r="J34" s="170">
        <v>0</v>
      </c>
      <c r="K34" s="170">
        <v>0</v>
      </c>
      <c r="L34" s="170">
        <v>0</v>
      </c>
      <c r="M34" s="170">
        <v>0</v>
      </c>
      <c r="N34" s="170">
        <v>0</v>
      </c>
      <c r="O34" s="170">
        <v>0</v>
      </c>
      <c r="P34" s="170">
        <v>0</v>
      </c>
      <c r="Q34" s="170">
        <v>0</v>
      </c>
      <c r="R34" s="170">
        <v>0</v>
      </c>
      <c r="S34" s="169">
        <f t="shared" si="23"/>
        <v>0</v>
      </c>
      <c r="T34" s="170">
        <v>0</v>
      </c>
      <c r="U34" s="170">
        <v>0</v>
      </c>
      <c r="V34" s="170">
        <v>0</v>
      </c>
      <c r="W34" s="170">
        <v>0</v>
      </c>
      <c r="X34" s="170">
        <v>0</v>
      </c>
      <c r="Y34" s="170">
        <v>0</v>
      </c>
      <c r="Z34" s="170">
        <v>0</v>
      </c>
      <c r="AA34" s="387"/>
      <c r="AB34" s="387"/>
      <c r="AC34" s="387"/>
    </row>
    <row r="35" spans="1:29" s="159" customFormat="1" ht="49.5" customHeight="1">
      <c r="A35" s="395">
        <v>7</v>
      </c>
      <c r="B35" s="400" t="s">
        <v>530</v>
      </c>
      <c r="C35" s="169">
        <f t="shared" ref="C35" si="24">+E35+G35</f>
        <v>40816444607</v>
      </c>
      <c r="D35" s="523">
        <f t="shared" si="22"/>
        <v>9.7318436663175967E-2</v>
      </c>
      <c r="E35" s="170">
        <v>11249025404</v>
      </c>
      <c r="F35" s="397">
        <v>0.18047162282321763</v>
      </c>
      <c r="G35" s="170">
        <v>29567419203</v>
      </c>
      <c r="H35" s="397">
        <v>6.5682523595628206E-2</v>
      </c>
      <c r="I35" s="170">
        <v>16799697978</v>
      </c>
      <c r="J35" s="170">
        <v>18403354456</v>
      </c>
      <c r="K35" s="170">
        <v>5033452869</v>
      </c>
      <c r="L35" s="170">
        <v>579939304</v>
      </c>
      <c r="M35" s="170">
        <v>0</v>
      </c>
      <c r="N35" s="170">
        <v>37048660328</v>
      </c>
      <c r="O35" s="170">
        <v>2466917664</v>
      </c>
      <c r="P35" s="170">
        <v>410081197</v>
      </c>
      <c r="Q35" s="170">
        <v>809073883</v>
      </c>
      <c r="R35" s="170">
        <v>81711535</v>
      </c>
      <c r="S35" s="169">
        <f t="shared" si="23"/>
        <v>1177881753</v>
      </c>
      <c r="T35" s="170">
        <v>343575128</v>
      </c>
      <c r="U35" s="170">
        <v>246691766</v>
      </c>
      <c r="V35" s="170">
        <v>101366383</v>
      </c>
      <c r="W35" s="170">
        <v>404536942</v>
      </c>
      <c r="X35" s="170">
        <v>81711534</v>
      </c>
      <c r="Y35" s="170">
        <v>1328344117</v>
      </c>
      <c r="Z35" s="170">
        <v>3082459</v>
      </c>
      <c r="AA35" s="387">
        <f>+'loans_av rate'!C35+'loans_av rate'!C44</f>
        <v>40816444607</v>
      </c>
      <c r="AB35" s="387">
        <f>+'loans_av rate'!E35+'loans_av rate'!E44</f>
        <v>11249025405</v>
      </c>
      <c r="AC35" s="387">
        <f>+'loans_av rate'!G35+'loans_av rate'!G44</f>
        <v>29567419202</v>
      </c>
    </row>
    <row r="36" spans="1:29" s="165" customFormat="1" ht="33.75" customHeight="1">
      <c r="A36" s="389"/>
      <c r="B36" s="389" t="s">
        <v>531</v>
      </c>
      <c r="C36" s="160">
        <f>SUM(C37:C42)</f>
        <v>42612517711</v>
      </c>
      <c r="D36" s="390">
        <f>IFERROR(((C37*D37)/C36)+((C38*D38)/C36)+((C39*D39)/C36)+((C40*D40)/C36)+((C41*D41)/C36)+((C42*D42)/C36),0)</f>
        <v>9.5865896765678096E-2</v>
      </c>
      <c r="E36" s="160">
        <f>SUM(E37:E42)</f>
        <v>11784375067</v>
      </c>
      <c r="F36" s="390">
        <f>IFERROR(((E37*F37)/E36)+((E38*F38)/E36)+((E39*F39)/E36)+((E40*F40)/E36)+((E41*F41)/E36)+((E42*F42)/E36),0)</f>
        <v>0.17672332412261682</v>
      </c>
      <c r="G36" s="160">
        <f>SUM(G37:G42)</f>
        <v>30828142644</v>
      </c>
      <c r="H36" s="390">
        <f>IFERROR(((G37*H37)/G36)+((G38*H38)/G36)+((G39*H39)/G36)+((G40*H40)/G36)+((G41*H41)/G36)+((G42*H42)/G36),0)</f>
        <v>6.4957312296924058E-2</v>
      </c>
      <c r="I36" s="160">
        <f t="shared" ref="I36:Z36" si="25">SUM(I37:I42)</f>
        <v>17330996519</v>
      </c>
      <c r="J36" s="160">
        <f t="shared" si="25"/>
        <v>19457308930</v>
      </c>
      <c r="K36" s="160">
        <f t="shared" si="25"/>
        <v>5243661592</v>
      </c>
      <c r="L36" s="160">
        <f t="shared" si="25"/>
        <v>580550670</v>
      </c>
      <c r="M36" s="160">
        <f t="shared" si="25"/>
        <v>0</v>
      </c>
      <c r="N36" s="160">
        <f t="shared" si="25"/>
        <v>38833870225</v>
      </c>
      <c r="O36" s="160">
        <f t="shared" si="25"/>
        <v>2470299686</v>
      </c>
      <c r="P36" s="160">
        <f t="shared" si="25"/>
        <v>411771376</v>
      </c>
      <c r="Q36" s="160">
        <f t="shared" si="25"/>
        <v>812030556</v>
      </c>
      <c r="R36" s="160">
        <f t="shared" si="25"/>
        <v>84545868</v>
      </c>
      <c r="S36" s="160">
        <f t="shared" si="25"/>
        <v>1200489753</v>
      </c>
      <c r="T36" s="160">
        <f t="shared" si="25"/>
        <v>361425697</v>
      </c>
      <c r="U36" s="160">
        <f t="shared" si="25"/>
        <v>247029968</v>
      </c>
      <c r="V36" s="160">
        <f t="shared" si="25"/>
        <v>101723927</v>
      </c>
      <c r="W36" s="160">
        <f t="shared" si="25"/>
        <v>405951639</v>
      </c>
      <c r="X36" s="160">
        <f t="shared" si="25"/>
        <v>84358522</v>
      </c>
      <c r="Y36" s="160">
        <f t="shared" si="25"/>
        <v>1366523964</v>
      </c>
      <c r="Z36" s="160">
        <f t="shared" si="25"/>
        <v>320123703</v>
      </c>
      <c r="AA36" s="387">
        <f>+'loans_av rate'!C28+'loans_av rate'!C37</f>
        <v>42612517711</v>
      </c>
      <c r="AB36" s="387">
        <f>+'loans_av rate'!E28+'loans_av rate'!E37</f>
        <v>11784375067</v>
      </c>
      <c r="AC36" s="387">
        <f>+'loans_av rate'!G28+'loans_av rate'!G37</f>
        <v>30828142644</v>
      </c>
    </row>
    <row r="37" spans="1:29" s="159" customFormat="1" ht="49.5" customHeight="1">
      <c r="A37" s="395">
        <v>1</v>
      </c>
      <c r="B37" s="400" t="s">
        <v>532</v>
      </c>
      <c r="C37" s="169">
        <f t="shared" ref="C37:C42" si="26">+E37+G37</f>
        <v>1118039562</v>
      </c>
      <c r="D37" s="523">
        <f t="shared" ref="D37:D42" si="27">IFERROR((((E37*F37)+(G37*H37))/C37),0)</f>
        <v>0.16335657671321199</v>
      </c>
      <c r="E37" s="170">
        <v>971291049</v>
      </c>
      <c r="F37" s="397">
        <v>0.17401355283612938</v>
      </c>
      <c r="G37" s="170">
        <v>146748513</v>
      </c>
      <c r="H37" s="397">
        <v>9.2820764758535679E-2</v>
      </c>
      <c r="I37" s="170">
        <v>944264642</v>
      </c>
      <c r="J37" s="170">
        <v>166775185</v>
      </c>
      <c r="K37" s="170">
        <v>6948162</v>
      </c>
      <c r="L37" s="170">
        <v>51573</v>
      </c>
      <c r="M37" s="170">
        <v>0</v>
      </c>
      <c r="N37" s="170">
        <v>1099688683</v>
      </c>
      <c r="O37" s="170">
        <v>17020879</v>
      </c>
      <c r="P37" s="170">
        <v>1330000</v>
      </c>
      <c r="Q37" s="170">
        <v>0</v>
      </c>
      <c r="R37" s="170">
        <v>0</v>
      </c>
      <c r="S37" s="169">
        <f t="shared" ref="S37:S42" si="28">SUM(T37:X37)</f>
        <v>13028166</v>
      </c>
      <c r="T37" s="170">
        <v>10993578</v>
      </c>
      <c r="U37" s="170">
        <v>1702088</v>
      </c>
      <c r="V37" s="170">
        <v>332500</v>
      </c>
      <c r="W37" s="170">
        <v>0</v>
      </c>
      <c r="X37" s="170">
        <v>0</v>
      </c>
      <c r="Y37" s="170">
        <v>0</v>
      </c>
      <c r="Z37" s="170">
        <v>0</v>
      </c>
    </row>
    <row r="38" spans="1:29" s="159" customFormat="1" ht="49.5" customHeight="1">
      <c r="A38" s="395">
        <v>2</v>
      </c>
      <c r="B38" s="400" t="s">
        <v>533</v>
      </c>
      <c r="C38" s="169">
        <f t="shared" si="26"/>
        <v>3570169380</v>
      </c>
      <c r="D38" s="523">
        <f t="shared" si="27"/>
        <v>0.19354556408496737</v>
      </c>
      <c r="E38" s="170">
        <v>3127337817</v>
      </c>
      <c r="F38" s="397">
        <v>0.20955743328200047</v>
      </c>
      <c r="G38" s="170">
        <v>442831563</v>
      </c>
      <c r="H38" s="397">
        <v>8.0467526644490001E-2</v>
      </c>
      <c r="I38" s="170">
        <v>2890902013</v>
      </c>
      <c r="J38" s="170">
        <v>642259492</v>
      </c>
      <c r="K38" s="170">
        <v>35629671</v>
      </c>
      <c r="L38" s="170">
        <v>1378204</v>
      </c>
      <c r="M38" s="170">
        <v>0</v>
      </c>
      <c r="N38" s="170">
        <v>3143005630</v>
      </c>
      <c r="O38" s="170">
        <v>233904330</v>
      </c>
      <c r="P38" s="170">
        <v>97703070</v>
      </c>
      <c r="Q38" s="170">
        <v>89476455</v>
      </c>
      <c r="R38" s="170">
        <v>6079895</v>
      </c>
      <c r="S38" s="169">
        <f t="shared" si="28"/>
        <v>129980264</v>
      </c>
      <c r="T38" s="170">
        <v>31396338</v>
      </c>
      <c r="U38" s="170">
        <v>23390433</v>
      </c>
      <c r="V38" s="170">
        <v>24425768</v>
      </c>
      <c r="W38" s="170">
        <v>44687830</v>
      </c>
      <c r="X38" s="170">
        <v>6079895</v>
      </c>
      <c r="Y38" s="170">
        <v>435419092</v>
      </c>
      <c r="Z38" s="170">
        <v>18450420</v>
      </c>
    </row>
    <row r="39" spans="1:29" s="159" customFormat="1" ht="58.5" customHeight="1">
      <c r="A39" s="395">
        <v>3</v>
      </c>
      <c r="B39" s="400" t="s">
        <v>534</v>
      </c>
      <c r="C39" s="169">
        <f t="shared" si="26"/>
        <v>1412576790</v>
      </c>
      <c r="D39" s="523">
        <f t="shared" si="27"/>
        <v>0.18180135097222211</v>
      </c>
      <c r="E39" s="170">
        <v>1204152147</v>
      </c>
      <c r="F39" s="397">
        <v>0.19655322814399692</v>
      </c>
      <c r="G39" s="170">
        <v>208424643</v>
      </c>
      <c r="H39" s="397">
        <v>9.6573883082674575E-2</v>
      </c>
      <c r="I39" s="170">
        <v>446033256</v>
      </c>
      <c r="J39" s="170">
        <v>885519546</v>
      </c>
      <c r="K39" s="170">
        <v>81002972</v>
      </c>
      <c r="L39" s="170">
        <v>21016</v>
      </c>
      <c r="M39" s="170">
        <v>0</v>
      </c>
      <c r="N39" s="170">
        <v>1253279775</v>
      </c>
      <c r="O39" s="170">
        <v>109220180</v>
      </c>
      <c r="P39" s="170">
        <v>5945284</v>
      </c>
      <c r="Q39" s="170">
        <v>35519101</v>
      </c>
      <c r="R39" s="170">
        <v>8612450</v>
      </c>
      <c r="S39" s="169">
        <f t="shared" si="28"/>
        <v>51312220</v>
      </c>
      <c r="T39" s="170">
        <v>12531880</v>
      </c>
      <c r="U39" s="170">
        <v>10922018</v>
      </c>
      <c r="V39" s="170">
        <v>1486321</v>
      </c>
      <c r="W39" s="170">
        <v>17759551</v>
      </c>
      <c r="X39" s="170">
        <v>8612450</v>
      </c>
      <c r="Y39" s="170">
        <v>762827446</v>
      </c>
      <c r="Z39" s="170">
        <v>265991710</v>
      </c>
    </row>
    <row r="40" spans="1:29" s="159" customFormat="1" ht="49.5" customHeight="1">
      <c r="A40" s="395">
        <v>4</v>
      </c>
      <c r="B40" s="400" t="s">
        <v>535</v>
      </c>
      <c r="C40" s="169">
        <f t="shared" si="26"/>
        <v>10643647813</v>
      </c>
      <c r="D40" s="523">
        <f t="shared" si="27"/>
        <v>7.5319951190488316E-2</v>
      </c>
      <c r="E40" s="170">
        <v>1419178</v>
      </c>
      <c r="F40" s="397">
        <v>0.14500003470674575</v>
      </c>
      <c r="G40" s="170">
        <v>10642228635</v>
      </c>
      <c r="H40" s="397">
        <v>7.5310659110327652E-2</v>
      </c>
      <c r="I40" s="170">
        <v>4594416031</v>
      </c>
      <c r="J40" s="170">
        <v>4587266667</v>
      </c>
      <c r="K40" s="170">
        <v>1417491854</v>
      </c>
      <c r="L40" s="170">
        <v>44473261</v>
      </c>
      <c r="M40" s="170">
        <v>0</v>
      </c>
      <c r="N40" s="170">
        <v>10452282987</v>
      </c>
      <c r="O40" s="170">
        <v>189647724</v>
      </c>
      <c r="P40" s="170">
        <v>1717102</v>
      </c>
      <c r="Q40" s="170">
        <v>0</v>
      </c>
      <c r="R40" s="170">
        <v>0</v>
      </c>
      <c r="S40" s="169">
        <f t="shared" si="28"/>
        <v>123897336</v>
      </c>
      <c r="T40" s="170">
        <v>104503288</v>
      </c>
      <c r="U40" s="170">
        <v>18964772</v>
      </c>
      <c r="V40" s="170">
        <v>429276</v>
      </c>
      <c r="W40" s="170">
        <v>0</v>
      </c>
      <c r="X40" s="170">
        <v>0</v>
      </c>
      <c r="Y40" s="170">
        <v>0</v>
      </c>
      <c r="Z40" s="170">
        <v>7857822</v>
      </c>
    </row>
    <row r="41" spans="1:29" s="159" customFormat="1" ht="49.5" customHeight="1">
      <c r="A41" s="395">
        <v>5</v>
      </c>
      <c r="B41" s="400" t="s">
        <v>536</v>
      </c>
      <c r="C41" s="169">
        <f t="shared" si="26"/>
        <v>0</v>
      </c>
      <c r="D41" s="523">
        <f t="shared" si="27"/>
        <v>0</v>
      </c>
      <c r="E41" s="170">
        <v>0</v>
      </c>
      <c r="F41" s="397">
        <v>0</v>
      </c>
      <c r="G41" s="170">
        <v>0</v>
      </c>
      <c r="H41" s="397">
        <v>0</v>
      </c>
      <c r="I41" s="170">
        <v>0</v>
      </c>
      <c r="J41" s="170">
        <v>0</v>
      </c>
      <c r="K41" s="170">
        <v>0</v>
      </c>
      <c r="L41" s="170">
        <v>0</v>
      </c>
      <c r="M41" s="170">
        <v>0</v>
      </c>
      <c r="N41" s="170">
        <v>0</v>
      </c>
      <c r="O41" s="170">
        <v>0</v>
      </c>
      <c r="P41" s="170">
        <v>0</v>
      </c>
      <c r="Q41" s="170">
        <v>0</v>
      </c>
      <c r="R41" s="170">
        <v>0</v>
      </c>
      <c r="S41" s="169">
        <f t="shared" si="28"/>
        <v>0</v>
      </c>
      <c r="T41" s="170">
        <v>0</v>
      </c>
      <c r="U41" s="170">
        <v>0</v>
      </c>
      <c r="V41" s="170">
        <v>0</v>
      </c>
      <c r="W41" s="170">
        <v>0</v>
      </c>
      <c r="X41" s="170">
        <v>0</v>
      </c>
      <c r="Y41" s="170">
        <v>0</v>
      </c>
      <c r="Z41" s="170">
        <v>0</v>
      </c>
    </row>
    <row r="42" spans="1:29" s="159" customFormat="1" ht="49.5" customHeight="1">
      <c r="A42" s="395">
        <v>6</v>
      </c>
      <c r="B42" s="400" t="s">
        <v>537</v>
      </c>
      <c r="C42" s="169">
        <f t="shared" si="26"/>
        <v>25868084166</v>
      </c>
      <c r="D42" s="523">
        <f t="shared" si="27"/>
        <v>8.3228825352709562E-2</v>
      </c>
      <c r="E42" s="170">
        <v>6480174876</v>
      </c>
      <c r="F42" s="397">
        <v>0.1576058500506152</v>
      </c>
      <c r="G42" s="170">
        <v>19387909290</v>
      </c>
      <c r="H42" s="397">
        <v>5.8369201780631277E-2</v>
      </c>
      <c r="I42" s="170">
        <v>8455380577</v>
      </c>
      <c r="J42" s="170">
        <v>13175488040</v>
      </c>
      <c r="K42" s="170">
        <v>3702588933</v>
      </c>
      <c r="L42" s="170">
        <v>534626616</v>
      </c>
      <c r="M42" s="170">
        <v>0</v>
      </c>
      <c r="N42" s="170">
        <v>22885613150</v>
      </c>
      <c r="O42" s="170">
        <v>1920506573</v>
      </c>
      <c r="P42" s="170">
        <v>305075920</v>
      </c>
      <c r="Q42" s="170">
        <v>687035000</v>
      </c>
      <c r="R42" s="170">
        <v>69853523</v>
      </c>
      <c r="S42" s="169">
        <f t="shared" si="28"/>
        <v>882271767</v>
      </c>
      <c r="T42" s="170">
        <v>202000613</v>
      </c>
      <c r="U42" s="170">
        <v>192050657</v>
      </c>
      <c r="V42" s="170">
        <v>75050062</v>
      </c>
      <c r="W42" s="170">
        <v>343504258</v>
      </c>
      <c r="X42" s="170">
        <v>69666177</v>
      </c>
      <c r="Y42" s="170">
        <v>168277426</v>
      </c>
      <c r="Z42" s="170">
        <v>27823751</v>
      </c>
    </row>
    <row r="43" spans="1:29" s="159" customFormat="1" ht="37.5" customHeight="1">
      <c r="A43" s="401"/>
      <c r="B43" s="402"/>
      <c r="C43" s="166"/>
      <c r="D43" s="403"/>
      <c r="E43" s="166"/>
      <c r="F43" s="166"/>
      <c r="G43" s="166"/>
      <c r="H43" s="166"/>
      <c r="I43" s="402"/>
      <c r="J43" s="402"/>
      <c r="K43" s="402"/>
      <c r="L43" s="402"/>
      <c r="M43" s="402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</row>
    <row r="44" spans="1:29" s="30" customFormat="1" ht="21" customHeight="1">
      <c r="B44" s="483" t="s">
        <v>788</v>
      </c>
      <c r="F44" s="185"/>
      <c r="G44" s="185"/>
      <c r="H44" s="185"/>
      <c r="I44" s="185"/>
      <c r="J44" s="185"/>
      <c r="K44" s="185"/>
      <c r="L44" s="185"/>
      <c r="M44" s="185"/>
    </row>
    <row r="45" spans="1:29" s="30" customFormat="1" ht="21" customHeight="1">
      <c r="B45" s="483"/>
      <c r="F45" s="185"/>
      <c r="G45" s="185"/>
      <c r="H45" s="185"/>
      <c r="I45" s="185"/>
      <c r="J45" s="185"/>
      <c r="K45" s="185"/>
      <c r="L45" s="185"/>
      <c r="M45" s="185"/>
    </row>
    <row r="46" spans="1:29" s="30" customFormat="1" ht="21" customHeight="1">
      <c r="B46" s="483" t="s">
        <v>789</v>
      </c>
      <c r="F46" s="185"/>
      <c r="G46" s="185"/>
      <c r="H46" s="185"/>
      <c r="I46" s="185"/>
      <c r="J46" s="185"/>
      <c r="K46" s="185"/>
      <c r="L46" s="185"/>
      <c r="M46" s="185"/>
    </row>
    <row r="47" spans="1:29" s="65" customFormat="1" ht="15.75">
      <c r="A47" s="77"/>
    </row>
    <row r="48" spans="1:29" s="6" customFormat="1" ht="15.75">
      <c r="A48" s="23"/>
      <c r="B48" s="28"/>
      <c r="J48" s="23"/>
    </row>
    <row r="49" spans="1:10" s="6" customFormat="1" ht="15.75">
      <c r="A49" s="23"/>
      <c r="B49" s="28"/>
      <c r="J49" s="23"/>
    </row>
    <row r="50" spans="1:10" s="6" customFormat="1" ht="15.75">
      <c r="A50" s="23"/>
      <c r="B50" s="28"/>
      <c r="J50" s="23"/>
    </row>
    <row r="51" spans="1:10" s="168" customFormat="1" ht="15.75">
      <c r="A51" s="167"/>
    </row>
  </sheetData>
  <sheetProtection password="CACA" sheet="1" objects="1" scenarios="1"/>
  <mergeCells count="17"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</mergeCells>
  <conditionalFormatting sqref="C12">
    <cfRule type="cellIs" dxfId="200" priority="419" operator="notEqual">
      <formula>N12+O12+P12+Q12+R12</formula>
    </cfRule>
    <cfRule type="cellIs" dxfId="199" priority="420" operator="notEqual">
      <formula>I12+J12+K12+L12+M12</formula>
    </cfRule>
  </conditionalFormatting>
  <conditionalFormatting sqref="C13">
    <cfRule type="cellIs" dxfId="198" priority="417" operator="notEqual">
      <formula>N13+O13+P13+Q13+R13</formula>
    </cfRule>
    <cfRule type="cellIs" dxfId="197" priority="418" operator="notEqual">
      <formula>I13+J13+K13+L13+M13</formula>
    </cfRule>
  </conditionalFormatting>
  <conditionalFormatting sqref="C15">
    <cfRule type="cellIs" dxfId="196" priority="413" operator="notEqual">
      <formula>N15+O15+P15+Q15+R15</formula>
    </cfRule>
    <cfRule type="cellIs" dxfId="195" priority="414" operator="notEqual">
      <formula>I15+J15+K15+L15+M15</formula>
    </cfRule>
  </conditionalFormatting>
  <conditionalFormatting sqref="C17">
    <cfRule type="cellIs" dxfId="194" priority="411" operator="notEqual">
      <formula>N17+O17+P17+Q17+R17</formula>
    </cfRule>
    <cfRule type="cellIs" dxfId="193" priority="412" operator="notEqual">
      <formula>I17+J17+K17+L17+M17</formula>
    </cfRule>
  </conditionalFormatting>
  <conditionalFormatting sqref="C18">
    <cfRule type="cellIs" dxfId="192" priority="409" operator="notEqual">
      <formula>N18+O18+P18+Q18+R18</formula>
    </cfRule>
    <cfRule type="cellIs" dxfId="191" priority="410" operator="notEqual">
      <formula>I18+J18+K18+L18+M18</formula>
    </cfRule>
  </conditionalFormatting>
  <conditionalFormatting sqref="C19">
    <cfRule type="cellIs" dxfId="190" priority="407" operator="notEqual">
      <formula>N19+O19+P19+Q19+R19</formula>
    </cfRule>
    <cfRule type="cellIs" dxfId="189" priority="408" operator="notEqual">
      <formula>I19+J19+K19+L19+M19</formula>
    </cfRule>
  </conditionalFormatting>
  <conditionalFormatting sqref="C20">
    <cfRule type="cellIs" dxfId="188" priority="405" operator="notEqual">
      <formula>N20+O20+P20+Q20+R20</formula>
    </cfRule>
    <cfRule type="cellIs" dxfId="187" priority="406" operator="notEqual">
      <formula>I20+J20+K20+L20+M20</formula>
    </cfRule>
  </conditionalFormatting>
  <conditionalFormatting sqref="C37">
    <cfRule type="cellIs" dxfId="186" priority="383" operator="notEqual">
      <formula>N37+O37+P37+Q37+R37</formula>
    </cfRule>
    <cfRule type="cellIs" dxfId="185" priority="384" operator="notEqual">
      <formula>I37+J37+K37+L37+M37</formula>
    </cfRule>
  </conditionalFormatting>
  <conditionalFormatting sqref="C38">
    <cfRule type="cellIs" dxfId="184" priority="381" operator="notEqual">
      <formula>N38+O38+P38+Q38+R38</formula>
    </cfRule>
    <cfRule type="cellIs" dxfId="183" priority="382" operator="notEqual">
      <formula>I38+J38+K38+L38+M38</formula>
    </cfRule>
  </conditionalFormatting>
  <conditionalFormatting sqref="C39">
    <cfRule type="cellIs" dxfId="182" priority="379" operator="notEqual">
      <formula>N39+O39+P39+Q39+R39</formula>
    </cfRule>
    <cfRule type="cellIs" dxfId="181" priority="380" operator="notEqual">
      <formula>I39+J39+K39+L39+M39</formula>
    </cfRule>
  </conditionalFormatting>
  <conditionalFormatting sqref="C41">
    <cfRule type="cellIs" dxfId="180" priority="375" operator="notEqual">
      <formula>N41+O41+P41+Q41+R41</formula>
    </cfRule>
    <cfRule type="cellIs" dxfId="179" priority="376" operator="notEqual">
      <formula>I41+J41+K41+L41+M41</formula>
    </cfRule>
  </conditionalFormatting>
  <conditionalFormatting sqref="C42">
    <cfRule type="cellIs" dxfId="178" priority="373" operator="notEqual">
      <formula>N42+O42+P42+Q42+R42</formula>
    </cfRule>
    <cfRule type="cellIs" dxfId="177" priority="374" operator="notEqual">
      <formula>I42+J42+K42+L42+M42</formula>
    </cfRule>
  </conditionalFormatting>
  <conditionalFormatting sqref="T8">
    <cfRule type="cellIs" dxfId="176" priority="372" operator="notEqual">
      <formula>$AD$10</formula>
    </cfRule>
  </conditionalFormatting>
  <conditionalFormatting sqref="U8">
    <cfRule type="cellIs" dxfId="175" priority="371" operator="notEqual">
      <formula>$AE$10</formula>
    </cfRule>
  </conditionalFormatting>
  <conditionalFormatting sqref="V8">
    <cfRule type="cellIs" dxfId="174" priority="370" operator="notEqual">
      <formula>$AF$10</formula>
    </cfRule>
  </conditionalFormatting>
  <conditionalFormatting sqref="W8">
    <cfRule type="cellIs" dxfId="173" priority="369" operator="notEqual">
      <formula>$AG$10</formula>
    </cfRule>
  </conditionalFormatting>
  <conditionalFormatting sqref="X8">
    <cfRule type="cellIs" dxfId="172" priority="368" operator="notEqual">
      <formula>$AH$10</formula>
    </cfRule>
  </conditionalFormatting>
  <conditionalFormatting sqref="E36">
    <cfRule type="cellIs" dxfId="171" priority="93" operator="notEqual">
      <formula>E27</formula>
    </cfRule>
    <cfRule type="cellIs" dxfId="170" priority="361" operator="notEqual">
      <formula>$AB$36</formula>
    </cfRule>
  </conditionalFormatting>
  <conditionalFormatting sqref="G36">
    <cfRule type="cellIs" dxfId="169" priority="92" operator="notEqual">
      <formula>G27</formula>
    </cfRule>
    <cfRule type="cellIs" dxfId="168" priority="360" operator="notEqual">
      <formula>$AC$36</formula>
    </cfRule>
  </conditionalFormatting>
  <conditionalFormatting sqref="C14">
    <cfRule type="cellIs" dxfId="167" priority="309" operator="notEqual">
      <formula>N14+O14+P14+Q14+R14</formula>
    </cfRule>
    <cfRule type="cellIs" dxfId="166" priority="310" operator="notEqual">
      <formula>I14+J14+K14+L14+M14</formula>
    </cfRule>
  </conditionalFormatting>
  <conditionalFormatting sqref="C11 C16">
    <cfRule type="cellIs" dxfId="165" priority="829" operator="notEqual">
      <formula>AA11</formula>
    </cfRule>
    <cfRule type="cellIs" dxfId="164" priority="830" operator="notEqual">
      <formula>N11+O11+P11+Q11+R11</formula>
    </cfRule>
    <cfRule type="cellIs" dxfId="163" priority="831" operator="notEqual">
      <formula>I11+J11+K11+L11+M11</formula>
    </cfRule>
  </conditionalFormatting>
  <conditionalFormatting sqref="N8">
    <cfRule type="cellIs" dxfId="162" priority="832" operator="notEqual">
      <formula>AD8</formula>
    </cfRule>
  </conditionalFormatting>
  <conditionalFormatting sqref="O8">
    <cfRule type="cellIs" dxfId="161" priority="833" operator="notEqual">
      <formula>$AE$8</formula>
    </cfRule>
  </conditionalFormatting>
  <conditionalFormatting sqref="P8">
    <cfRule type="cellIs" dxfId="160" priority="834" operator="notEqual">
      <formula>$AF$8</formula>
    </cfRule>
  </conditionalFormatting>
  <conditionalFormatting sqref="Q8">
    <cfRule type="cellIs" dxfId="159" priority="835" operator="notEqual">
      <formula>$AG$8</formula>
    </cfRule>
  </conditionalFormatting>
  <conditionalFormatting sqref="R8">
    <cfRule type="cellIs" dxfId="158" priority="836" operator="notEqual">
      <formula>$AH$8</formula>
    </cfRule>
  </conditionalFormatting>
  <conditionalFormatting sqref="N9">
    <cfRule type="cellIs" dxfId="157" priority="235" operator="notEqual">
      <formula>$AD$13</formula>
    </cfRule>
  </conditionalFormatting>
  <conditionalFormatting sqref="O9">
    <cfRule type="cellIs" dxfId="156" priority="234" operator="notEqual">
      <formula>$AE$13</formula>
    </cfRule>
  </conditionalFormatting>
  <conditionalFormatting sqref="P9">
    <cfRule type="cellIs" dxfId="155" priority="233" operator="notEqual">
      <formula>$AF$13</formula>
    </cfRule>
  </conditionalFormatting>
  <conditionalFormatting sqref="Q9">
    <cfRule type="cellIs" dxfId="154" priority="232" operator="notEqual">
      <formula>$AG$13</formula>
    </cfRule>
  </conditionalFormatting>
  <conditionalFormatting sqref="R9">
    <cfRule type="cellIs" dxfId="153" priority="231" operator="notEqual">
      <formula>$AH$13</formula>
    </cfRule>
  </conditionalFormatting>
  <conditionalFormatting sqref="T9">
    <cfRule type="cellIs" dxfId="152" priority="230" operator="notEqual">
      <formula>$AD$15</formula>
    </cfRule>
  </conditionalFormatting>
  <conditionalFormatting sqref="U9">
    <cfRule type="cellIs" dxfId="151" priority="229" operator="notEqual">
      <formula>$AE$15</formula>
    </cfRule>
  </conditionalFormatting>
  <conditionalFormatting sqref="V9">
    <cfRule type="cellIs" dxfId="150" priority="228" operator="notEqual">
      <formula>$AF$15</formula>
    </cfRule>
  </conditionalFormatting>
  <conditionalFormatting sqref="W9">
    <cfRule type="cellIs" dxfId="149" priority="227" operator="notEqual">
      <formula>$AG$15</formula>
    </cfRule>
  </conditionalFormatting>
  <conditionalFormatting sqref="X9">
    <cfRule type="cellIs" dxfId="148" priority="226" operator="notEqual">
      <formula>$AH$15</formula>
    </cfRule>
  </conditionalFormatting>
  <conditionalFormatting sqref="C21">
    <cfRule type="cellIs" dxfId="147" priority="200" operator="notEqual">
      <formula>AA21</formula>
    </cfRule>
    <cfRule type="cellIs" dxfId="146" priority="201" operator="notEqual">
      <formula>N21+O21+P21+Q21+R21</formula>
    </cfRule>
    <cfRule type="cellIs" dxfId="145" priority="202" operator="notEqual">
      <formula>I21+J21+K21+L21+M21</formula>
    </cfRule>
  </conditionalFormatting>
  <conditionalFormatting sqref="C22">
    <cfRule type="cellIs" dxfId="144" priority="195" operator="notEqual">
      <formula>AA22</formula>
    </cfRule>
    <cfRule type="cellIs" dxfId="143" priority="196" operator="notEqual">
      <formula>N22+O22+P22+Q22+R22</formula>
    </cfRule>
    <cfRule type="cellIs" dxfId="142" priority="197" operator="notEqual">
      <formula>I22+J22+K22+L22+M22</formula>
    </cfRule>
  </conditionalFormatting>
  <conditionalFormatting sqref="C23">
    <cfRule type="cellIs" dxfId="141" priority="192" operator="notEqual">
      <formula>AA23</formula>
    </cfRule>
    <cfRule type="cellIs" dxfId="140" priority="193" operator="notEqual">
      <formula>N23+O23+P23+Q23+R23</formula>
    </cfRule>
    <cfRule type="cellIs" dxfId="139" priority="194" operator="notEqual">
      <formula>I23+J23+K23+L23+M23</formula>
    </cfRule>
  </conditionalFormatting>
  <conditionalFormatting sqref="C8">
    <cfRule type="cellIs" dxfId="138" priority="189" operator="notEqual">
      <formula>AA8</formula>
    </cfRule>
    <cfRule type="cellIs" dxfId="137" priority="190" operator="notEqual">
      <formula>N8+O8+P8+Q8+R8</formula>
    </cfRule>
    <cfRule type="cellIs" dxfId="136" priority="191" operator="notEqual">
      <formula>I8+J8+K8+L8+M8</formula>
    </cfRule>
  </conditionalFormatting>
  <conditionalFormatting sqref="C9">
    <cfRule type="cellIs" dxfId="135" priority="186" operator="notEqual">
      <formula>AA9</formula>
    </cfRule>
    <cfRule type="cellIs" dxfId="134" priority="187" operator="notEqual">
      <formula>N9+O9+P9+Q9+R9</formula>
    </cfRule>
    <cfRule type="cellIs" dxfId="133" priority="188" operator="notEqual">
      <formula>I9+J9+K9+L9+M9</formula>
    </cfRule>
  </conditionalFormatting>
  <conditionalFormatting sqref="E8">
    <cfRule type="cellIs" dxfId="132" priority="185" operator="notEqual">
      <formula>$AB$8</formula>
    </cfRule>
  </conditionalFormatting>
  <conditionalFormatting sqref="G8">
    <cfRule type="cellIs" dxfId="131" priority="184" operator="notEqual">
      <formula>$AC$8</formula>
    </cfRule>
  </conditionalFormatting>
  <conditionalFormatting sqref="E9">
    <cfRule type="cellIs" dxfId="130" priority="183" operator="notEqual">
      <formula>$AB$9</formula>
    </cfRule>
  </conditionalFormatting>
  <conditionalFormatting sqref="G9">
    <cfRule type="cellIs" dxfId="129" priority="182" operator="notEqual">
      <formula>$AC$9</formula>
    </cfRule>
  </conditionalFormatting>
  <conditionalFormatting sqref="E11">
    <cfRule type="cellIs" dxfId="128" priority="181" operator="notEqual">
      <formula>$AB$11</formula>
    </cfRule>
  </conditionalFormatting>
  <conditionalFormatting sqref="G11">
    <cfRule type="cellIs" dxfId="127" priority="180" operator="notEqual">
      <formula>$AC$11</formula>
    </cfRule>
  </conditionalFormatting>
  <conditionalFormatting sqref="E16">
    <cfRule type="cellIs" dxfId="126" priority="179" operator="notEqual">
      <formula>$AB$16</formula>
    </cfRule>
  </conditionalFormatting>
  <conditionalFormatting sqref="G16">
    <cfRule type="cellIs" dxfId="125" priority="178" operator="notEqual">
      <formula>$AC$16</formula>
    </cfRule>
  </conditionalFormatting>
  <conditionalFormatting sqref="C27">
    <cfRule type="cellIs" dxfId="124" priority="80" operator="notEqual">
      <formula>C36</formula>
    </cfRule>
    <cfRule type="cellIs" dxfId="123" priority="172" operator="notEqual">
      <formula>AA27</formula>
    </cfRule>
    <cfRule type="cellIs" dxfId="122" priority="173" operator="notEqual">
      <formula>N27+O27+P27+Q27+R27</formula>
    </cfRule>
    <cfRule type="cellIs" dxfId="121" priority="174" operator="notEqual">
      <formula>I27+J27+K27+L27+M27</formula>
    </cfRule>
  </conditionalFormatting>
  <conditionalFormatting sqref="E27">
    <cfRule type="cellIs" dxfId="120" priority="79" operator="notEqual">
      <formula>E36</formula>
    </cfRule>
    <cfRule type="cellIs" dxfId="119" priority="171" operator="notEqual">
      <formula>AB27</formula>
    </cfRule>
  </conditionalFormatting>
  <conditionalFormatting sqref="G27">
    <cfRule type="cellIs" dxfId="118" priority="78" operator="notEqual">
      <formula>$G$36</formula>
    </cfRule>
    <cfRule type="cellIs" dxfId="117" priority="170" operator="notEqual">
      <formula>$AC$27</formula>
    </cfRule>
  </conditionalFormatting>
  <conditionalFormatting sqref="C28">
    <cfRule type="cellIs" dxfId="116" priority="167" operator="notEqual">
      <formula>AA28</formula>
    </cfRule>
    <cfRule type="cellIs" dxfId="115" priority="168" operator="notEqual">
      <formula>N28+O28+P28+Q28+R28</formula>
    </cfRule>
    <cfRule type="cellIs" dxfId="114" priority="169" operator="notEqual">
      <formula>I28+J28+K28+L28+M28</formula>
    </cfRule>
  </conditionalFormatting>
  <conditionalFormatting sqref="E28">
    <cfRule type="cellIs" dxfId="113" priority="166" operator="notEqual">
      <formula>AB28</formula>
    </cfRule>
  </conditionalFormatting>
  <conditionalFormatting sqref="G28">
    <cfRule type="cellIs" dxfId="112" priority="165" operator="notEqual">
      <formula>$AC$28</formula>
    </cfRule>
  </conditionalFormatting>
  <conditionalFormatting sqref="C29">
    <cfRule type="cellIs" dxfId="111" priority="162" operator="notEqual">
      <formula>AA29</formula>
    </cfRule>
    <cfRule type="cellIs" dxfId="110" priority="163" operator="notEqual">
      <formula>N29+O29+P29+Q29+R29</formula>
    </cfRule>
    <cfRule type="cellIs" dxfId="109" priority="164" operator="notEqual">
      <formula>I29+J29+K29+L29+M29</formula>
    </cfRule>
  </conditionalFormatting>
  <conditionalFormatting sqref="C31">
    <cfRule type="cellIs" dxfId="108" priority="152" operator="notEqual">
      <formula>AA31</formula>
    </cfRule>
    <cfRule type="cellIs" dxfId="107" priority="153" operator="notEqual">
      <formula>N31+O31+P31+Q31+R31</formula>
    </cfRule>
    <cfRule type="cellIs" dxfId="106" priority="154" operator="notEqual">
      <formula>I31+J31+K31+L31+M31</formula>
    </cfRule>
  </conditionalFormatting>
  <conditionalFormatting sqref="C40">
    <cfRule type="cellIs" dxfId="105" priority="138" operator="notEqual">
      <formula>N40+O40+P40+Q40+R40</formula>
    </cfRule>
    <cfRule type="cellIs" dxfId="104" priority="139" operator="notEqual">
      <formula>I40+J40+K40+L40+M40</formula>
    </cfRule>
  </conditionalFormatting>
  <conditionalFormatting sqref="C32">
    <cfRule type="cellIs" dxfId="103" priority="128" operator="notEqual">
      <formula>AA32</formula>
    </cfRule>
    <cfRule type="cellIs" dxfId="102" priority="129" operator="notEqual">
      <formula>N32+O32+P32+Q32+R32</formula>
    </cfRule>
    <cfRule type="cellIs" dxfId="101" priority="130" operator="notEqual">
      <formula>I32+J32+K32+L32+M32</formula>
    </cfRule>
  </conditionalFormatting>
  <conditionalFormatting sqref="C33">
    <cfRule type="cellIs" dxfId="100" priority="125" operator="notEqual">
      <formula>AA33</formula>
    </cfRule>
    <cfRule type="cellIs" dxfId="99" priority="126" operator="notEqual">
      <formula>N33+O33+P33+Q33+R33</formula>
    </cfRule>
    <cfRule type="cellIs" dxfId="98" priority="127" operator="notEqual">
      <formula>I33+J33+K33+L33+M33</formula>
    </cfRule>
  </conditionalFormatting>
  <conditionalFormatting sqref="C30">
    <cfRule type="cellIs" dxfId="97" priority="122" operator="notEqual">
      <formula>AA30</formula>
    </cfRule>
    <cfRule type="cellIs" dxfId="96" priority="123" operator="notEqual">
      <formula>N30+O30+P30+Q30+R30</formula>
    </cfRule>
    <cfRule type="cellIs" dxfId="95" priority="124" operator="notEqual">
      <formula>I30+J30+K30+L30+M30</formula>
    </cfRule>
  </conditionalFormatting>
  <conditionalFormatting sqref="C35">
    <cfRule type="cellIs" dxfId="94" priority="120" operator="notEqual">
      <formula>N35+O35+P35+Q35+R35</formula>
    </cfRule>
    <cfRule type="cellIs" dxfId="93" priority="121" operator="notEqual">
      <formula>I35+J35+K35+L35+M35</formula>
    </cfRule>
  </conditionalFormatting>
  <conditionalFormatting sqref="C24">
    <cfRule type="cellIs" dxfId="92" priority="116" operator="notEqual">
      <formula>AA24</formula>
    </cfRule>
    <cfRule type="cellIs" dxfId="91" priority="117" operator="notEqual">
      <formula>N24+O24+P24+Q24+R24</formula>
    </cfRule>
    <cfRule type="cellIs" dxfId="90" priority="118" operator="notEqual">
      <formula>I24+J24+K24+L24+M24</formula>
    </cfRule>
  </conditionalFormatting>
  <conditionalFormatting sqref="C25">
    <cfRule type="cellIs" dxfId="89" priority="106" operator="notEqual">
      <formula>AA25</formula>
    </cfRule>
    <cfRule type="cellIs" dxfId="88" priority="107" operator="notEqual">
      <formula>N25+O25+P25+Q25+R25</formula>
    </cfRule>
    <cfRule type="cellIs" dxfId="87" priority="108" operator="notEqual">
      <formula>I25+J25+K25+L25+M25</formula>
    </cfRule>
  </conditionalFormatting>
  <conditionalFormatting sqref="C36">
    <cfRule type="cellIs" dxfId="86" priority="94" operator="notEqual">
      <formula>C27</formula>
    </cfRule>
    <cfRule type="cellIs" dxfId="85" priority="95" operator="notEqual">
      <formula>AA36</formula>
    </cfRule>
    <cfRule type="cellIs" dxfId="84" priority="96" operator="notEqual">
      <formula>N36+O36+P36+Q36+R36</formula>
    </cfRule>
    <cfRule type="cellIs" dxfId="83" priority="97" operator="notEqual">
      <formula>I36+J36+K36+L36+M36</formula>
    </cfRule>
  </conditionalFormatting>
  <conditionalFormatting sqref="I27">
    <cfRule type="cellIs" dxfId="82" priority="75" operator="notEqual">
      <formula>I36</formula>
    </cfRule>
    <cfRule type="cellIs" dxfId="81" priority="77" operator="notEqual">
      <formula>I28</formula>
    </cfRule>
  </conditionalFormatting>
  <conditionalFormatting sqref="I28">
    <cfRule type="cellIs" dxfId="80" priority="76" operator="notEqual">
      <formula>I27</formula>
    </cfRule>
  </conditionalFormatting>
  <conditionalFormatting sqref="J27">
    <cfRule type="cellIs" dxfId="79" priority="72" operator="notEqual">
      <formula>J36</formula>
    </cfRule>
    <cfRule type="cellIs" dxfId="78" priority="74" operator="notEqual">
      <formula>J28</formula>
    </cfRule>
  </conditionalFormatting>
  <conditionalFormatting sqref="J28">
    <cfRule type="cellIs" dxfId="77" priority="73" operator="notEqual">
      <formula>J27</formula>
    </cfRule>
  </conditionalFormatting>
  <conditionalFormatting sqref="K27">
    <cfRule type="cellIs" dxfId="76" priority="69" operator="notEqual">
      <formula>K36</formula>
    </cfRule>
    <cfRule type="cellIs" dxfId="75" priority="71" operator="notEqual">
      <formula>K28</formula>
    </cfRule>
  </conditionalFormatting>
  <conditionalFormatting sqref="K28">
    <cfRule type="cellIs" dxfId="74" priority="70" operator="notEqual">
      <formula>K27</formula>
    </cfRule>
  </conditionalFormatting>
  <conditionalFormatting sqref="L27">
    <cfRule type="cellIs" dxfId="73" priority="66" operator="notEqual">
      <formula>L36</formula>
    </cfRule>
    <cfRule type="cellIs" dxfId="72" priority="68" operator="notEqual">
      <formula>L28</formula>
    </cfRule>
  </conditionalFormatting>
  <conditionalFormatting sqref="L28">
    <cfRule type="cellIs" dxfId="71" priority="67" operator="notEqual">
      <formula>L27</formula>
    </cfRule>
  </conditionalFormatting>
  <conditionalFormatting sqref="M27">
    <cfRule type="cellIs" dxfId="70" priority="63" operator="notEqual">
      <formula>M36</formula>
    </cfRule>
    <cfRule type="cellIs" dxfId="69" priority="65" operator="notEqual">
      <formula>M28</formula>
    </cfRule>
  </conditionalFormatting>
  <conditionalFormatting sqref="M28">
    <cfRule type="cellIs" dxfId="68" priority="64" operator="notEqual">
      <formula>M27</formula>
    </cfRule>
  </conditionalFormatting>
  <conditionalFormatting sqref="N27">
    <cfRule type="cellIs" dxfId="67" priority="60" operator="notEqual">
      <formula>N36</formula>
    </cfRule>
    <cfRule type="cellIs" dxfId="66" priority="62" operator="notEqual">
      <formula>N28</formula>
    </cfRule>
  </conditionalFormatting>
  <conditionalFormatting sqref="N28">
    <cfRule type="cellIs" dxfId="65" priority="61" operator="notEqual">
      <formula>N27</formula>
    </cfRule>
  </conditionalFormatting>
  <conditionalFormatting sqref="O27">
    <cfRule type="cellIs" dxfId="64" priority="57" operator="notEqual">
      <formula>O36</formula>
    </cfRule>
    <cfRule type="cellIs" dxfId="63" priority="59" operator="notEqual">
      <formula>O28</formula>
    </cfRule>
  </conditionalFormatting>
  <conditionalFormatting sqref="O28">
    <cfRule type="cellIs" dxfId="62" priority="58" operator="notEqual">
      <formula>O27</formula>
    </cfRule>
  </conditionalFormatting>
  <conditionalFormatting sqref="P27">
    <cfRule type="cellIs" dxfId="61" priority="54" operator="notEqual">
      <formula>P36</formula>
    </cfRule>
    <cfRule type="cellIs" dxfId="60" priority="56" operator="notEqual">
      <formula>P28</formula>
    </cfRule>
  </conditionalFormatting>
  <conditionalFormatting sqref="P28">
    <cfRule type="cellIs" dxfId="59" priority="55" operator="notEqual">
      <formula>P27</formula>
    </cfRule>
  </conditionalFormatting>
  <conditionalFormatting sqref="Q27">
    <cfRule type="cellIs" dxfId="58" priority="51" operator="notEqual">
      <formula>Q36</formula>
    </cfRule>
    <cfRule type="cellIs" dxfId="57" priority="53" operator="notEqual">
      <formula>Q28</formula>
    </cfRule>
  </conditionalFormatting>
  <conditionalFormatting sqref="Q28">
    <cfRule type="cellIs" dxfId="56" priority="52" operator="notEqual">
      <formula>Q27</formula>
    </cfRule>
  </conditionalFormatting>
  <conditionalFormatting sqref="R27">
    <cfRule type="cellIs" dxfId="55" priority="48" operator="notEqual">
      <formula>R36</formula>
    </cfRule>
    <cfRule type="cellIs" dxfId="54" priority="50" operator="notEqual">
      <formula>R28</formula>
    </cfRule>
  </conditionalFormatting>
  <conditionalFormatting sqref="R28">
    <cfRule type="cellIs" dxfId="53" priority="49" operator="notEqual">
      <formula>R27</formula>
    </cfRule>
  </conditionalFormatting>
  <conditionalFormatting sqref="S27">
    <cfRule type="cellIs" dxfId="52" priority="45" operator="notEqual">
      <formula>S36</formula>
    </cfRule>
    <cfRule type="cellIs" dxfId="51" priority="47" operator="notEqual">
      <formula>S28</formula>
    </cfRule>
  </conditionalFormatting>
  <conditionalFormatting sqref="S28">
    <cfRule type="cellIs" dxfId="50" priority="46" operator="notEqual">
      <formula>S27</formula>
    </cfRule>
  </conditionalFormatting>
  <conditionalFormatting sqref="T27">
    <cfRule type="cellIs" dxfId="49" priority="42" operator="notEqual">
      <formula>T36</formula>
    </cfRule>
    <cfRule type="cellIs" dxfId="48" priority="44" operator="notEqual">
      <formula>T28</formula>
    </cfRule>
  </conditionalFormatting>
  <conditionalFormatting sqref="T28">
    <cfRule type="cellIs" dxfId="47" priority="43" operator="notEqual">
      <formula>T27</formula>
    </cfRule>
  </conditionalFormatting>
  <conditionalFormatting sqref="U27">
    <cfRule type="cellIs" dxfId="46" priority="39" operator="notEqual">
      <formula>U36</formula>
    </cfRule>
    <cfRule type="cellIs" dxfId="45" priority="41" operator="notEqual">
      <formula>U28</formula>
    </cfRule>
  </conditionalFormatting>
  <conditionalFormatting sqref="U28">
    <cfRule type="cellIs" dxfId="44" priority="40" operator="notEqual">
      <formula>U27</formula>
    </cfRule>
  </conditionalFormatting>
  <conditionalFormatting sqref="V27">
    <cfRule type="cellIs" dxfId="43" priority="36" operator="notEqual">
      <formula>V36</formula>
    </cfRule>
    <cfRule type="cellIs" dxfId="42" priority="38" operator="notEqual">
      <formula>V28</formula>
    </cfRule>
  </conditionalFormatting>
  <conditionalFormatting sqref="V28">
    <cfRule type="cellIs" dxfId="41" priority="37" operator="notEqual">
      <formula>V27</formula>
    </cfRule>
  </conditionalFormatting>
  <conditionalFormatting sqref="W27">
    <cfRule type="cellIs" dxfId="40" priority="33" operator="notEqual">
      <formula>W36</formula>
    </cfRule>
    <cfRule type="cellIs" dxfId="39" priority="35" operator="notEqual">
      <formula>W28</formula>
    </cfRule>
  </conditionalFormatting>
  <conditionalFormatting sqref="W28">
    <cfRule type="cellIs" dxfId="38" priority="34" operator="notEqual">
      <formula>W27</formula>
    </cfRule>
  </conditionalFormatting>
  <conditionalFormatting sqref="X27">
    <cfRule type="cellIs" dxfId="37" priority="30" operator="notEqual">
      <formula>X36</formula>
    </cfRule>
    <cfRule type="cellIs" dxfId="36" priority="32" operator="notEqual">
      <formula>X28</formula>
    </cfRule>
  </conditionalFormatting>
  <conditionalFormatting sqref="X28">
    <cfRule type="cellIs" dxfId="35" priority="31" operator="notEqual">
      <formula>X27</formula>
    </cfRule>
  </conditionalFormatting>
  <conditionalFormatting sqref="Y27">
    <cfRule type="cellIs" dxfId="34" priority="27" operator="notEqual">
      <formula>Y36</formula>
    </cfRule>
    <cfRule type="cellIs" dxfId="33" priority="29" operator="notEqual">
      <formula>Y28</formula>
    </cfRule>
  </conditionalFormatting>
  <conditionalFormatting sqref="Y28">
    <cfRule type="cellIs" dxfId="32" priority="28" operator="notEqual">
      <formula>Y27</formula>
    </cfRule>
  </conditionalFormatting>
  <conditionalFormatting sqref="Z27">
    <cfRule type="cellIs" dxfId="31" priority="24" operator="notEqual">
      <formula>Z36</formula>
    </cfRule>
    <cfRule type="cellIs" dxfId="30" priority="26" operator="notEqual">
      <formula>Z28</formula>
    </cfRule>
  </conditionalFormatting>
  <conditionalFormatting sqref="Z28">
    <cfRule type="cellIs" dxfId="29" priority="25" operator="notEqual">
      <formula>Z27</formula>
    </cfRule>
  </conditionalFormatting>
  <conditionalFormatting sqref="I36">
    <cfRule type="cellIs" dxfId="28" priority="23" operator="notEqual">
      <formula>I27</formula>
    </cfRule>
  </conditionalFormatting>
  <conditionalFormatting sqref="J36">
    <cfRule type="cellIs" dxfId="27" priority="22" operator="notEqual">
      <formula>J27</formula>
    </cfRule>
  </conditionalFormatting>
  <conditionalFormatting sqref="K36">
    <cfRule type="cellIs" dxfId="26" priority="21" operator="notEqual">
      <formula>K27</formula>
    </cfRule>
  </conditionalFormatting>
  <conditionalFormatting sqref="L36">
    <cfRule type="cellIs" dxfId="25" priority="20" operator="notEqual">
      <formula>L27</formula>
    </cfRule>
  </conditionalFormatting>
  <conditionalFormatting sqref="M36">
    <cfRule type="cellIs" dxfId="24" priority="19" operator="notEqual">
      <formula>M27</formula>
    </cfRule>
  </conditionalFormatting>
  <conditionalFormatting sqref="N36">
    <cfRule type="cellIs" dxfId="23" priority="18" operator="notEqual">
      <formula>N27</formula>
    </cfRule>
  </conditionalFormatting>
  <conditionalFormatting sqref="O36">
    <cfRule type="cellIs" dxfId="22" priority="17" operator="notEqual">
      <formula>O27</formula>
    </cfRule>
  </conditionalFormatting>
  <conditionalFormatting sqref="P36">
    <cfRule type="cellIs" dxfId="21" priority="16" operator="notEqual">
      <formula>P27</formula>
    </cfRule>
  </conditionalFormatting>
  <conditionalFormatting sqref="Q36">
    <cfRule type="cellIs" dxfId="20" priority="15" operator="notEqual">
      <formula>Q27</formula>
    </cfRule>
  </conditionalFormatting>
  <conditionalFormatting sqref="R36">
    <cfRule type="cellIs" dxfId="19" priority="14" operator="notEqual">
      <formula>R27</formula>
    </cfRule>
  </conditionalFormatting>
  <conditionalFormatting sqref="S36">
    <cfRule type="cellIs" dxfId="18" priority="13" operator="notEqual">
      <formula>S27</formula>
    </cfRule>
  </conditionalFormatting>
  <conditionalFormatting sqref="T36">
    <cfRule type="cellIs" dxfId="17" priority="12" operator="notEqual">
      <formula>T27</formula>
    </cfRule>
  </conditionalFormatting>
  <conditionalFormatting sqref="U36">
    <cfRule type="cellIs" dxfId="16" priority="11" operator="notEqual">
      <formula>U27</formula>
    </cfRule>
  </conditionalFormatting>
  <conditionalFormatting sqref="V36">
    <cfRule type="cellIs" dxfId="15" priority="10" operator="notEqual">
      <formula>V27</formula>
    </cfRule>
  </conditionalFormatting>
  <conditionalFormatting sqref="W36">
    <cfRule type="cellIs" dxfId="14" priority="9" operator="notEqual">
      <formula>W27</formula>
    </cfRule>
  </conditionalFormatting>
  <conditionalFormatting sqref="X36">
    <cfRule type="cellIs" dxfId="13" priority="8" operator="notEqual">
      <formula>X27</formula>
    </cfRule>
  </conditionalFormatting>
  <conditionalFormatting sqref="Y36">
    <cfRule type="cellIs" dxfId="12" priority="7" operator="notEqual">
      <formula>Y27</formula>
    </cfRule>
  </conditionalFormatting>
  <conditionalFormatting sqref="Z36">
    <cfRule type="cellIs" dxfId="11" priority="6" operator="notEqual">
      <formula>Z27</formula>
    </cfRule>
  </conditionalFormatting>
  <conditionalFormatting sqref="C26">
    <cfRule type="cellIs" dxfId="10" priority="3" operator="notEqual">
      <formula>AA26</formula>
    </cfRule>
    <cfRule type="cellIs" dxfId="9" priority="4" operator="notEqual">
      <formula>N26+O26+P26+Q26+R26</formula>
    </cfRule>
    <cfRule type="cellIs" dxfId="8" priority="5" operator="notEqual">
      <formula>I26+J26+K26+L26+M26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Z36 I28:Z28 S29:S33 S37:S42 I27:Z27 AA37:AA42 AA35 S17 S35 D10:E11 D9:E9 I9 I10:I11 G9 F10:H11 F9 H9" formula="1"/>
    <ignoredError sqref="I16:Z1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4"/>
  <dimension ref="A1:Z29"/>
  <sheetViews>
    <sheetView view="pageBreakPreview" zoomScale="75" zoomScaleNormal="65" zoomScaleSheetLayoutView="75" workbookViewId="0">
      <pane xSplit="2" ySplit="7" topLeftCell="C8" activePane="bottomRight" state="frozen"/>
      <selection activeCell="J25" sqref="J25"/>
      <selection pane="topRight" activeCell="J25" sqref="J25"/>
      <selection pane="bottomLeft" activeCell="J25" sqref="J25"/>
      <selection pane="bottomRight" activeCell="M8" sqref="M8"/>
    </sheetView>
  </sheetViews>
  <sheetFormatPr defaultRowHeight="15.75"/>
  <cols>
    <col min="1" max="1" width="9.7109375" style="77" customWidth="1"/>
    <col min="2" max="2" width="31.7109375" style="65" customWidth="1"/>
    <col min="3" max="3" width="17.140625" style="65" customWidth="1"/>
    <col min="4" max="4" width="16.5703125" style="65" customWidth="1"/>
    <col min="5" max="5" width="17.140625" style="65" customWidth="1"/>
    <col min="6" max="6" width="16.5703125" style="65" customWidth="1"/>
    <col min="7" max="7" width="17.140625" style="65" customWidth="1"/>
    <col min="8" max="8" width="16.5703125" style="65" customWidth="1"/>
    <col min="9" max="9" width="19" style="65" customWidth="1"/>
    <col min="10" max="10" width="16.5703125" style="65" customWidth="1"/>
    <col min="11" max="11" width="17.140625" style="65" customWidth="1"/>
    <col min="12" max="12" width="16.5703125" style="65" customWidth="1"/>
    <col min="13" max="13" width="19" style="65" customWidth="1"/>
    <col min="14" max="14" width="16.5703125" style="65" customWidth="1"/>
    <col min="15" max="15" width="9.140625" style="65"/>
    <col min="16" max="17" width="26.7109375" style="65" customWidth="1"/>
    <col min="18" max="16384" width="9.140625" style="65"/>
  </cols>
  <sheetData>
    <row r="1" spans="1:26" s="67" customFormat="1" ht="48.75" customHeight="1">
      <c r="A1" s="634" t="s">
        <v>538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16" t="s">
        <v>539</v>
      </c>
    </row>
    <row r="2" spans="1:26" ht="18.75">
      <c r="B2" s="84" t="str">
        <f>+'Asset quality'!B3</f>
        <v>"Ўзсаноатқурилишбанк" АТБ</v>
      </c>
      <c r="K2" s="562">
        <f>+'loans_av rate'!F3</f>
        <v>44925</v>
      </c>
      <c r="L2" s="562"/>
      <c r="N2" s="78" t="str">
        <f>+'Asset quality'!T3</f>
        <v>минг. сўмда</v>
      </c>
    </row>
    <row r="3" spans="1:26" s="66" customFormat="1" ht="38.25" customHeight="1">
      <c r="A3" s="661" t="s">
        <v>62</v>
      </c>
      <c r="B3" s="661" t="s">
        <v>540</v>
      </c>
      <c r="C3" s="661" t="s">
        <v>541</v>
      </c>
      <c r="D3" s="661"/>
      <c r="E3" s="661"/>
      <c r="F3" s="661"/>
      <c r="G3" s="661"/>
      <c r="H3" s="661"/>
      <c r="I3" s="661" t="s">
        <v>542</v>
      </c>
      <c r="J3" s="661"/>
      <c r="K3" s="661"/>
      <c r="L3" s="661"/>
      <c r="M3" s="661"/>
      <c r="N3" s="661"/>
    </row>
    <row r="4" spans="1:26" s="66" customFormat="1" ht="24" customHeight="1">
      <c r="A4" s="661"/>
      <c r="B4" s="661"/>
      <c r="C4" s="661" t="s">
        <v>543</v>
      </c>
      <c r="D4" s="661" t="s">
        <v>495</v>
      </c>
      <c r="E4" s="661" t="s">
        <v>492</v>
      </c>
      <c r="F4" s="661"/>
      <c r="G4" s="661"/>
      <c r="H4" s="661"/>
      <c r="I4" s="661" t="s">
        <v>543</v>
      </c>
      <c r="J4" s="661" t="s">
        <v>495</v>
      </c>
      <c r="K4" s="661" t="s">
        <v>492</v>
      </c>
      <c r="L4" s="661"/>
      <c r="M4" s="661"/>
      <c r="N4" s="661"/>
    </row>
    <row r="5" spans="1:26" s="66" customFormat="1" ht="54.75" customHeight="1">
      <c r="A5" s="661"/>
      <c r="B5" s="661"/>
      <c r="C5" s="661"/>
      <c r="D5" s="661"/>
      <c r="E5" s="661" t="s">
        <v>286</v>
      </c>
      <c r="F5" s="661"/>
      <c r="G5" s="661" t="s">
        <v>493</v>
      </c>
      <c r="H5" s="661"/>
      <c r="I5" s="661"/>
      <c r="J5" s="661"/>
      <c r="K5" s="661" t="s">
        <v>286</v>
      </c>
      <c r="L5" s="661"/>
      <c r="M5" s="661" t="s">
        <v>493</v>
      </c>
      <c r="N5" s="661"/>
    </row>
    <row r="6" spans="1:26" s="66" customFormat="1" ht="63" customHeight="1">
      <c r="A6" s="661"/>
      <c r="B6" s="661"/>
      <c r="C6" s="661"/>
      <c r="D6" s="661"/>
      <c r="E6" s="404" t="s">
        <v>494</v>
      </c>
      <c r="F6" s="404" t="s">
        <v>495</v>
      </c>
      <c r="G6" s="404" t="s">
        <v>494</v>
      </c>
      <c r="H6" s="404" t="s">
        <v>495</v>
      </c>
      <c r="I6" s="661"/>
      <c r="J6" s="661"/>
      <c r="K6" s="404" t="s">
        <v>494</v>
      </c>
      <c r="L6" s="404" t="s">
        <v>495</v>
      </c>
      <c r="M6" s="404" t="s">
        <v>494</v>
      </c>
      <c r="N6" s="404" t="s">
        <v>495</v>
      </c>
    </row>
    <row r="7" spans="1:26" s="66" customFormat="1" ht="22.5" customHeight="1">
      <c r="A7" s="661"/>
      <c r="B7" s="404" t="s">
        <v>79</v>
      </c>
      <c r="C7" s="404" t="s">
        <v>80</v>
      </c>
      <c r="D7" s="404" t="s">
        <v>90</v>
      </c>
      <c r="E7" s="404" t="s">
        <v>81</v>
      </c>
      <c r="F7" s="404" t="s">
        <v>82</v>
      </c>
      <c r="G7" s="404" t="s">
        <v>91</v>
      </c>
      <c r="H7" s="404" t="s">
        <v>83</v>
      </c>
      <c r="I7" s="404" t="s">
        <v>84</v>
      </c>
      <c r="J7" s="404" t="s">
        <v>85</v>
      </c>
      <c r="K7" s="404" t="s">
        <v>86</v>
      </c>
      <c r="L7" s="404" t="s">
        <v>87</v>
      </c>
      <c r="M7" s="404" t="s">
        <v>88</v>
      </c>
      <c r="N7" s="404" t="s">
        <v>89</v>
      </c>
      <c r="P7" s="275"/>
    </row>
    <row r="8" spans="1:26" s="144" customFormat="1" ht="41.25" customHeight="1">
      <c r="A8" s="405">
        <v>1</v>
      </c>
      <c r="B8" s="406" t="s">
        <v>544</v>
      </c>
      <c r="C8" s="153">
        <f>+E8+G8</f>
        <v>1221685977</v>
      </c>
      <c r="D8" s="524">
        <f t="shared" ref="D8:D15" si="0">IFERROR((((E8*F8)+(G8*H8))/C8),0)</f>
        <v>0</v>
      </c>
      <c r="E8" s="150">
        <f>'[8]Bank Liabilities Analysis (нац)'!$C$9+'[8]Bank Liabilities Analysis (нац)'!$C$14+'[8]Bank Liabilities Analysis (нац)'!$C$15+'[8]Bank Liabilities Analysis (нац)'!$C$17</f>
        <v>981753306</v>
      </c>
      <c r="F8" s="142">
        <v>0</v>
      </c>
      <c r="G8" s="150">
        <f>'[8]Bank Liabilities Analysis'!$D$8+'[8]Bank Liabilities Analysis'!$D$13+'[8]Bank Liabilities Analysis'!$D$16</f>
        <v>239932671</v>
      </c>
      <c r="H8" s="142">
        <v>0</v>
      </c>
      <c r="I8" s="153">
        <f>+K8+M8</f>
        <v>5786023537</v>
      </c>
      <c r="J8" s="524">
        <f t="shared" ref="J8:J15" si="1">IFERROR((((K8*L8)+(M8*N8))/I8),0)</f>
        <v>0</v>
      </c>
      <c r="K8" s="150">
        <f>'[8]Bank Liabilities Analysis (нац)'!$C$21-'[8]Bank Liabilities Analysis (нац)'!$C$9-'[8]Bank Liabilities Analysis (нац)'!$C$14-'[8]Bank Liabilities Analysis (нац)'!$C$15-'[8]Bank Liabilities Analysis (нац)'!$C$17</f>
        <v>2703045717</v>
      </c>
      <c r="L8" s="142">
        <v>0</v>
      </c>
      <c r="M8" s="150">
        <f>'[8]Bank Liabilities Analysis'!$D$20-'[8]Bank Liabilities Analysis'!$D$8-'[8]Bank Liabilities Analysis'!$D$13-'[8]Bank Liabilities Analysis'!$D$16</f>
        <v>3082977820</v>
      </c>
      <c r="N8" s="142">
        <v>0</v>
      </c>
      <c r="O8" s="143"/>
      <c r="P8" s="407">
        <f>+'[8]Bank Liabilities Analysis'!$C$20</f>
        <v>7007709514</v>
      </c>
      <c r="Q8" s="499">
        <f t="shared" ref="Q8:Q15" si="2">+P8-C8-I8</f>
        <v>0</v>
      </c>
      <c r="R8" s="143"/>
      <c r="S8" s="143"/>
      <c r="T8" s="143"/>
      <c r="U8" s="143"/>
      <c r="V8" s="143"/>
      <c r="W8" s="143"/>
      <c r="X8" s="143"/>
      <c r="Y8" s="143"/>
      <c r="Z8" s="143"/>
    </row>
    <row r="9" spans="1:26" s="144" customFormat="1" ht="41.25" customHeight="1">
      <c r="A9" s="405">
        <v>2</v>
      </c>
      <c r="B9" s="406" t="s">
        <v>545</v>
      </c>
      <c r="C9" s="153">
        <f t="shared" ref="C9" si="3">+E9+G9</f>
        <v>15967123</v>
      </c>
      <c r="D9" s="524">
        <f t="shared" si="0"/>
        <v>4.2538910791881546E-2</v>
      </c>
      <c r="E9" s="150">
        <f>'[8]Bank Liabilities Analysis (нац)'!$D$9+'[8]Bank Liabilities Analysis (нац)'!$D$14+'[8]Bank Liabilities Analysis (нац)'!$D$15+'[8]Bank Liabilities Analysis (нац)'!$D$17</f>
        <v>3867612</v>
      </c>
      <c r="F9" s="142">
        <v>5.5800000000000002E-2</v>
      </c>
      <c r="G9" s="150">
        <f>'[8]Bank Liabilities Analysis'!$F$8+'[8]Bank Liabilities Analysis'!$F$13+'[8]Bank Liabilities Analysis'!$F$14+'[8]Bank Liabilities Analysis'!$F$16</f>
        <v>12099511</v>
      </c>
      <c r="H9" s="142">
        <v>3.8300000000000001E-2</v>
      </c>
      <c r="I9" s="153">
        <f t="shared" ref="I9" si="4">+K9+M9</f>
        <v>228766448</v>
      </c>
      <c r="J9" s="524">
        <f t="shared" si="1"/>
        <v>0.13405240570942467</v>
      </c>
      <c r="K9" s="150">
        <f>'[8]Bank Liabilities Analysis (нац)'!$D$21-'[8]Bank Liabilities Analysis (нац)'!$D$9-'[8]Bank Liabilities Analysis (нац)'!$D$14-'[8]Bank Liabilities Analysis (нац)'!$D$15-'[8]Bank Liabilities Analysis (нац)'!$D$17</f>
        <v>200702798</v>
      </c>
      <c r="L9" s="142">
        <v>0.15</v>
      </c>
      <c r="M9" s="150">
        <f>'[8]Bank Liabilities Analysis'!$F$20-'[8]Bank Liabilities Analysis'!$F$8-'[8]Bank Liabilities Analysis'!$F$13-'[8]Bank Liabilities Analysis'!$F$14-'[8]Bank Liabilities Analysis'!$F$16</f>
        <v>28063650</v>
      </c>
      <c r="N9" s="142">
        <v>0.02</v>
      </c>
      <c r="O9" s="143"/>
      <c r="P9" s="407">
        <f>+'[8]Bank Liabilities Analysis'!$E$20</f>
        <v>244733571</v>
      </c>
      <c r="Q9" s="499">
        <f t="shared" si="2"/>
        <v>0</v>
      </c>
      <c r="R9" s="143"/>
      <c r="S9" s="143"/>
      <c r="T9" s="143"/>
      <c r="U9" s="143"/>
      <c r="V9" s="143"/>
      <c r="W9" s="143"/>
      <c r="X9" s="143"/>
      <c r="Y9" s="143"/>
      <c r="Z9" s="143"/>
    </row>
    <row r="10" spans="1:26" s="144" customFormat="1" ht="41.25" customHeight="1">
      <c r="A10" s="405">
        <v>3</v>
      </c>
      <c r="B10" s="406" t="s">
        <v>546</v>
      </c>
      <c r="C10" s="153">
        <f t="shared" ref="C10:C15" si="5">+E10+G10</f>
        <v>47949789</v>
      </c>
      <c r="D10" s="524">
        <f t="shared" si="0"/>
        <v>4.110445273909339E-2</v>
      </c>
      <c r="E10" s="150">
        <f>'[8]Bank Liabilities Analysis (нац)'!$E$9+'[8]Bank Liabilities Analysis (нац)'!$E$14+'[8]Bank Liabilities Analysis (нац)'!$E$15+'[8]Bank Liabilities Analysis (нац)'!$E$17</f>
        <v>16904928</v>
      </c>
      <c r="F10" s="142">
        <v>4.3499999999999997E-2</v>
      </c>
      <c r="G10" s="150">
        <f>'[8]Bank Liabilities Analysis'!$H$8+'[8]Bank Liabilities Analysis'!$H$13+'[8]Bank Liabilities Analysis'!$H$14+'[8]Bank Liabilities Analysis'!$H$16</f>
        <v>31044861</v>
      </c>
      <c r="H10" s="142">
        <v>3.9800000000000002E-2</v>
      </c>
      <c r="I10" s="153">
        <f t="shared" ref="I10:I15" si="6">+K10+M10</f>
        <v>34499373</v>
      </c>
      <c r="J10" s="524">
        <f t="shared" si="1"/>
        <v>3.1796677246858945E-2</v>
      </c>
      <c r="K10" s="150">
        <f>'[8]Bank Liabilities Analysis (нац)'!$E$21-'[8]Bank Liabilities Analysis (нац)'!$E$9-'[8]Bank Liabilities Analysis (нац)'!$E$14-'[8]Bank Liabilities Analysis (нац)'!$E$15-'[8]Bank Liabilities Analysis (нац)'!$E$17</f>
        <v>3604765</v>
      </c>
      <c r="L10" s="142">
        <v>0.13289999999999999</v>
      </c>
      <c r="M10" s="150">
        <f>'[8]Bank Liabilities Analysis'!$H$20-'[8]Bank Liabilities Analysis'!$H$8-'[8]Bank Liabilities Analysis'!$H$13-'[8]Bank Liabilities Analysis'!$H$14-'[8]Bank Liabilities Analysis'!$H$16</f>
        <v>30894608</v>
      </c>
      <c r="N10" s="142">
        <v>0.02</v>
      </c>
      <c r="O10" s="143"/>
      <c r="P10" s="407">
        <f>+'[8]Bank Liabilities Analysis'!$G$20</f>
        <v>82449162</v>
      </c>
      <c r="Q10" s="499">
        <f t="shared" si="2"/>
        <v>0</v>
      </c>
      <c r="R10" s="143"/>
      <c r="S10" s="143"/>
      <c r="T10" s="143"/>
      <c r="U10" s="143"/>
      <c r="V10" s="143"/>
      <c r="W10" s="143"/>
      <c r="X10" s="143"/>
      <c r="Y10" s="143"/>
      <c r="Z10" s="143"/>
    </row>
    <row r="11" spans="1:26" s="144" customFormat="1" ht="41.25" customHeight="1">
      <c r="A11" s="405">
        <v>4</v>
      </c>
      <c r="B11" s="406" t="s">
        <v>547</v>
      </c>
      <c r="C11" s="153">
        <f t="shared" si="5"/>
        <v>157325189</v>
      </c>
      <c r="D11" s="524">
        <f t="shared" si="0"/>
        <v>9.4825398265372493E-2</v>
      </c>
      <c r="E11" s="150">
        <f>'[8]Bank Liabilities Analysis (нац)'!$F$9+'[8]Bank Liabilities Analysis (нац)'!$F$14+'[8]Bank Liabilities Analysis (нац)'!$F$15+'[8]Bank Liabilities Analysis (нац)'!$F$17</f>
        <v>56410102</v>
      </c>
      <c r="F11" s="142">
        <v>0.1938</v>
      </c>
      <c r="G11" s="150">
        <f>'[8]Bank Liabilities Analysis'!$J$8+'[8]Bank Liabilities Analysis'!$J$13+'[8]Bank Liabilities Analysis'!$J$14+'[8]Bank Liabilities Analysis'!$J$16</f>
        <v>100915087</v>
      </c>
      <c r="H11" s="142">
        <v>3.95E-2</v>
      </c>
      <c r="I11" s="153">
        <f t="shared" si="6"/>
        <v>104669336</v>
      </c>
      <c r="J11" s="524">
        <f t="shared" si="1"/>
        <v>6.3734667073840998E-2</v>
      </c>
      <c r="K11" s="150">
        <f>'[8]Bank Liabilities Analysis (нац)'!$F$21-'[8]Bank Liabilities Analysis (нац)'!$F$14</f>
        <v>22593724</v>
      </c>
      <c r="L11" s="142">
        <v>0.1772</v>
      </c>
      <c r="M11" s="150">
        <f>'[8]Bank Liabilities Analysis'!$J$20-'[8]Bank Liabilities Analysis'!$J$13</f>
        <v>82075612</v>
      </c>
      <c r="N11" s="142">
        <v>3.2500000000000001E-2</v>
      </c>
      <c r="O11" s="143"/>
      <c r="P11" s="407">
        <f>+'[8]Bank Liabilities Analysis'!$I$20</f>
        <v>261994525</v>
      </c>
      <c r="Q11" s="499">
        <f t="shared" si="2"/>
        <v>0</v>
      </c>
      <c r="R11" s="143"/>
      <c r="S11" s="143"/>
      <c r="T11" s="143"/>
      <c r="U11" s="143"/>
      <c r="V11" s="143"/>
      <c r="W11" s="143"/>
      <c r="X11" s="143"/>
      <c r="Y11" s="143"/>
      <c r="Z11" s="143"/>
    </row>
    <row r="12" spans="1:26" s="144" customFormat="1" ht="41.25" customHeight="1">
      <c r="A12" s="405">
        <v>5</v>
      </c>
      <c r="B12" s="406" t="s">
        <v>548</v>
      </c>
      <c r="C12" s="153">
        <f t="shared" si="5"/>
        <v>388424448</v>
      </c>
      <c r="D12" s="524">
        <f t="shared" si="0"/>
        <v>0.15383389840847506</v>
      </c>
      <c r="E12" s="150">
        <f>'[8]Bank Liabilities Analysis (нац)'!$G$14</f>
        <v>263033130</v>
      </c>
      <c r="F12" s="142">
        <v>0.20810000000000001</v>
      </c>
      <c r="G12" s="150">
        <f>'[8]Bank Liabilities Analysis'!$L$13</f>
        <v>125391318</v>
      </c>
      <c r="H12" s="142">
        <v>0.04</v>
      </c>
      <c r="I12" s="153">
        <f t="shared" si="6"/>
        <v>300616187</v>
      </c>
      <c r="J12" s="524">
        <f t="shared" si="1"/>
        <v>9.135830614670129E-2</v>
      </c>
      <c r="K12" s="150">
        <f>'[8]Bank Liabilities Analysis (нац)'!$G$21-'[8]Bank Liabilities Analysis (нац)'!$G$14</f>
        <v>121362601</v>
      </c>
      <c r="L12" s="142">
        <v>0.17460000000000001</v>
      </c>
      <c r="M12" s="150">
        <f>'[8]Bank Liabilities Analysis'!$L$20-'[8]Bank Liabilities Analysis'!$L$13</f>
        <v>179253586</v>
      </c>
      <c r="N12" s="142">
        <v>3.5000000000000003E-2</v>
      </c>
      <c r="O12" s="143"/>
      <c r="P12" s="407">
        <f>+'[8]Bank Liabilities Analysis'!$K$20</f>
        <v>689040635</v>
      </c>
      <c r="Q12" s="499">
        <f t="shared" si="2"/>
        <v>0</v>
      </c>
      <c r="R12" s="143"/>
      <c r="S12" s="143"/>
      <c r="T12" s="143"/>
      <c r="U12" s="143"/>
      <c r="V12" s="143"/>
      <c r="W12" s="143"/>
      <c r="X12" s="143"/>
      <c r="Y12" s="143"/>
      <c r="Z12" s="143"/>
    </row>
    <row r="13" spans="1:26" s="144" customFormat="1" ht="41.25" customHeight="1">
      <c r="A13" s="405">
        <v>6</v>
      </c>
      <c r="B13" s="406" t="s">
        <v>549</v>
      </c>
      <c r="C13" s="153">
        <f t="shared" si="5"/>
        <v>2071551174</v>
      </c>
      <c r="D13" s="524">
        <f t="shared" si="0"/>
        <v>0.20509994655632871</v>
      </c>
      <c r="E13" s="150">
        <f>'[8]Bank Liabilities Analysis (нац)'!$H$14</f>
        <v>2071550411</v>
      </c>
      <c r="F13" s="142">
        <v>0.2051</v>
      </c>
      <c r="G13" s="150">
        <f>'[8]Bank Liabilities Analysis'!$N$13</f>
        <v>763</v>
      </c>
      <c r="H13" s="142">
        <v>0.06</v>
      </c>
      <c r="I13" s="153">
        <f t="shared" si="6"/>
        <v>1032191395</v>
      </c>
      <c r="J13" s="524">
        <f t="shared" si="1"/>
        <v>8.9392464144888564E-2</v>
      </c>
      <c r="K13" s="150">
        <f>'[8]Bank Liabilities Analysis (нац)'!$H$21-'[8]Bank Liabilities Analysis (нац)'!$H$14</f>
        <v>515668138</v>
      </c>
      <c r="L13" s="142">
        <v>0.15890000000000001</v>
      </c>
      <c r="M13" s="150">
        <f>'[8]Bank Liabilities Analysis'!$N$20-'[8]Bank Liabilities Analysis'!$N$13</f>
        <v>516523257</v>
      </c>
      <c r="N13" s="142">
        <v>0.02</v>
      </c>
      <c r="O13" s="143"/>
      <c r="P13" s="407">
        <f>+'[8]Bank Liabilities Analysis'!$M$20</f>
        <v>3103742569</v>
      </c>
      <c r="Q13" s="499">
        <f t="shared" si="2"/>
        <v>0</v>
      </c>
      <c r="R13" s="143"/>
      <c r="S13" s="143"/>
      <c r="T13" s="143"/>
      <c r="U13" s="143"/>
      <c r="V13" s="143"/>
      <c r="W13" s="143"/>
      <c r="X13" s="143"/>
      <c r="Y13" s="143"/>
      <c r="Z13" s="143"/>
    </row>
    <row r="14" spans="1:26" s="144" customFormat="1" ht="41.25" customHeight="1">
      <c r="A14" s="405">
        <v>7</v>
      </c>
      <c r="B14" s="406" t="s">
        <v>550</v>
      </c>
      <c r="C14" s="153">
        <f t="shared" si="5"/>
        <v>223572028</v>
      </c>
      <c r="D14" s="524">
        <f t="shared" si="0"/>
        <v>0.18859999999999999</v>
      </c>
      <c r="E14" s="150">
        <f>'[8]Bank Liabilities Analysis (нац)'!$I$14</f>
        <v>223572028</v>
      </c>
      <c r="F14" s="142">
        <v>0.18859999999999999</v>
      </c>
      <c r="G14" s="150">
        <f>'[8]Bank Liabilities Analysis'!$P$13</f>
        <v>0</v>
      </c>
      <c r="H14" s="142">
        <v>0</v>
      </c>
      <c r="I14" s="153">
        <f t="shared" si="6"/>
        <v>1543766249</v>
      </c>
      <c r="J14" s="524">
        <f t="shared" si="1"/>
        <v>0.12283891608333772</v>
      </c>
      <c r="K14" s="150">
        <f>'[8]Bank Liabilities Analysis (нац)'!$I$21-'[8]Bank Liabilities Analysis (нац)'!$I$14</f>
        <v>1116450406</v>
      </c>
      <c r="L14" s="142">
        <v>0.16220000000000001</v>
      </c>
      <c r="M14" s="150">
        <f>'[8]Bank Liabilities Analysis'!$P$20-'[8]Bank Liabilities Analysis'!$P$13</f>
        <v>427315843</v>
      </c>
      <c r="N14" s="142">
        <v>0.02</v>
      </c>
      <c r="O14" s="143"/>
      <c r="P14" s="407">
        <f>+'[8]Bank Liabilities Analysis'!$O$20</f>
        <v>1767338277</v>
      </c>
      <c r="Q14" s="499">
        <f t="shared" si="2"/>
        <v>0</v>
      </c>
      <c r="R14" s="143"/>
      <c r="S14" s="143"/>
      <c r="T14" s="143"/>
      <c r="U14" s="143"/>
      <c r="V14" s="143"/>
      <c r="W14" s="143"/>
      <c r="X14" s="143"/>
      <c r="Y14" s="143"/>
      <c r="Z14" s="143"/>
    </row>
    <row r="15" spans="1:26" s="144" customFormat="1" ht="41.25" customHeight="1">
      <c r="A15" s="405">
        <v>8</v>
      </c>
      <c r="B15" s="406" t="s">
        <v>551</v>
      </c>
      <c r="C15" s="153">
        <f t="shared" si="5"/>
        <v>5987744</v>
      </c>
      <c r="D15" s="524">
        <f t="shared" si="0"/>
        <v>9.2399999999999996E-2</v>
      </c>
      <c r="E15" s="150">
        <f>'[8]Bank Liabilities Analysis (нац)'!$J$14</f>
        <v>5987744</v>
      </c>
      <c r="F15" s="142">
        <v>9.2399999999999996E-2</v>
      </c>
      <c r="G15" s="150">
        <f>'[8]Bank Liabilities Analysis'!$R$13</f>
        <v>0</v>
      </c>
      <c r="H15" s="142">
        <v>0</v>
      </c>
      <c r="I15" s="153">
        <f t="shared" si="6"/>
        <v>1720532851</v>
      </c>
      <c r="J15" s="524">
        <f t="shared" si="1"/>
        <v>8.1797344932648425E-2</v>
      </c>
      <c r="K15" s="150">
        <f>'[8]Bank Liabilities Analysis (нац)'!$J$21-'[8]Bank Liabilities Analysis (нац)'!$J$14</f>
        <v>462429692</v>
      </c>
      <c r="L15" s="142">
        <v>0.1411</v>
      </c>
      <c r="M15" s="150">
        <f>'[8]Bank Liabilities Analysis'!$R$20-'[8]Bank Liabilities Analysis'!$R$13</f>
        <v>1258103159</v>
      </c>
      <c r="N15" s="142">
        <v>0.06</v>
      </c>
      <c r="O15" s="143"/>
      <c r="P15" s="407">
        <f>+'[8]Bank Liabilities Analysis'!$Q$20</f>
        <v>1726520595</v>
      </c>
      <c r="Q15" s="499">
        <f t="shared" si="2"/>
        <v>0</v>
      </c>
      <c r="R15" s="143"/>
      <c r="S15" s="143"/>
      <c r="T15" s="143"/>
      <c r="U15" s="143"/>
      <c r="V15" s="143"/>
      <c r="W15" s="143"/>
      <c r="X15" s="143"/>
      <c r="Y15" s="143"/>
      <c r="Z15" s="143"/>
    </row>
    <row r="16" spans="1:26" s="144" customFormat="1" ht="41.25" customHeight="1">
      <c r="A16" s="405">
        <v>9</v>
      </c>
      <c r="B16" s="408" t="s">
        <v>552</v>
      </c>
      <c r="C16" s="151">
        <f>SUM(C8:C15)</f>
        <v>4132463472</v>
      </c>
      <c r="D16" s="152">
        <f>IFERROR(((C8*D8)/C16)+((C9*D9)/C16)+((C10*D10)/C16)+((C11*D11)/C16)+((C12*D12)/C16)+((C13*D13)/C16)+((C14*D14)/C16)+((C15*D15)/C16),0)</f>
        <v>0.13186212907347872</v>
      </c>
      <c r="E16" s="151">
        <f t="shared" ref="E16:M16" si="7">SUM(E8:E15)</f>
        <v>3623079261</v>
      </c>
      <c r="F16" s="152">
        <f>IFERROR(((E8*F8)/E16)+((E9*F9)/E16)+((E10*F10)/E16)+((E11*F11)/E16)+((E12*F12)/E16)+((E13*F13)/E16)+((E14*F14)/E16)+((E15*F15)/E16),0)</f>
        <v>0.14744766870301712</v>
      </c>
      <c r="G16" s="151">
        <f t="shared" si="7"/>
        <v>509384211</v>
      </c>
      <c r="H16" s="152">
        <f>IFERROR(((G8*H8)/G16)+((G9*H9)/G16)+((G10*H10)/G16)+((G11*H11)/G16)+((G12*H12)/G16)+((G13*H13)/G16)+((G14*H14)/G16)+((G15*H15)/G16),0)</f>
        <v>2.1007406481234652E-2</v>
      </c>
      <c r="I16" s="151">
        <f t="shared" si="7"/>
        <v>10751065376</v>
      </c>
      <c r="J16" s="152">
        <f>IFERROR(((I8*J8)/I16)+((I9*J9)/I16)+((I10*J10)/I16)+((I11*J11)/I16)+((I12*J12)/I16)+((I13*J13)/I16)+((I14*J14)/I16)+((I15*J15)/I16),0)</f>
        <v>4.5440913624158773E-2</v>
      </c>
      <c r="K16" s="151">
        <f t="shared" si="7"/>
        <v>5145857841</v>
      </c>
      <c r="L16" s="152">
        <f>IFERROR(((K8*L8)/K16)+((K9*L9)/K16)+((K10*L10)/K16)+((K11*L11)/K16)+((K12*L12)/K16)+((K13*L13)/K16)+((K14*L14)/K16)+((K15*L15)/K16),0)</f>
        <v>7.463376863202778E-2</v>
      </c>
      <c r="M16" s="151">
        <f t="shared" si="7"/>
        <v>5605207535</v>
      </c>
      <c r="N16" s="152">
        <f>IFERROR(((M8*N8)/M16)+((M9*N9)/M16)+((M10*N10)/M16)+((M11*N11)/M16)+((M12*N12)/M16)+((M13*N13)/M16)+((M14*N14)/M16)+((M15*N15)/M16),0)</f>
        <v>1.8640428378001173E-2</v>
      </c>
      <c r="O16" s="143"/>
      <c r="P16" s="409">
        <f>+'[8]Bank Liabilities Analysis'!$S$20</f>
        <v>14883528848</v>
      </c>
      <c r="Q16" s="499">
        <f>+P16-C16-I16</f>
        <v>0</v>
      </c>
      <c r="R16" s="143"/>
      <c r="S16" s="143"/>
      <c r="T16" s="143"/>
      <c r="U16" s="143"/>
      <c r="V16" s="143"/>
      <c r="W16" s="143"/>
      <c r="X16" s="143"/>
      <c r="Y16" s="143"/>
      <c r="Z16" s="143"/>
    </row>
    <row r="17" spans="1:26" s="15" customFormat="1" ht="15.75" customHeight="1">
      <c r="B17" s="249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spans="1:26" s="30" customFormat="1" ht="15" customHeight="1">
      <c r="B18" s="480" t="s">
        <v>788</v>
      </c>
      <c r="F18" s="185"/>
      <c r="G18" s="185"/>
      <c r="H18" s="185"/>
      <c r="I18" s="185"/>
      <c r="J18" s="185"/>
      <c r="K18" s="185"/>
      <c r="L18" s="185"/>
      <c r="M18" s="185"/>
    </row>
    <row r="19" spans="1:26" s="30" customFormat="1" ht="11.25" customHeight="1">
      <c r="B19" s="480"/>
      <c r="F19" s="185"/>
      <c r="G19" s="185"/>
      <c r="H19" s="185"/>
      <c r="I19" s="185"/>
      <c r="J19" s="185"/>
      <c r="K19" s="185"/>
      <c r="L19" s="185"/>
      <c r="M19" s="185"/>
    </row>
    <row r="20" spans="1:26" s="30" customFormat="1" ht="15" customHeight="1">
      <c r="B20" s="480" t="s">
        <v>789</v>
      </c>
      <c r="F20" s="185"/>
      <c r="G20" s="185"/>
      <c r="H20" s="185"/>
      <c r="I20" s="185"/>
      <c r="J20" s="185"/>
      <c r="K20" s="185"/>
      <c r="L20" s="185"/>
      <c r="M20" s="185"/>
    </row>
    <row r="21" spans="1:26" s="6" customFormat="1">
      <c r="A21" s="23"/>
      <c r="B21" s="28"/>
      <c r="J21" s="23"/>
    </row>
    <row r="24" spans="1:26">
      <c r="B24" s="65" t="s">
        <v>190</v>
      </c>
      <c r="C24" s="500">
        <f>+'[8]Deposits by Client'!$C$6+'[8]Deposits by Client'!$C$15</f>
        <v>4132463472</v>
      </c>
      <c r="D24" s="500"/>
      <c r="E24" s="500">
        <f>+C24-G24</f>
        <v>3623079261</v>
      </c>
      <c r="F24" s="500"/>
      <c r="G24" s="500">
        <f>+'[8]Deposits by Client'!$D$6+'[8]Deposits by Client'!$D$15</f>
        <v>509384211</v>
      </c>
      <c r="H24" s="451"/>
      <c r="I24" s="451"/>
      <c r="J24" s="451"/>
      <c r="K24" s="451"/>
      <c r="L24" s="451"/>
      <c r="M24" s="451"/>
      <c r="N24" s="452"/>
    </row>
    <row r="25" spans="1:26">
      <c r="C25" s="500">
        <f>+C16</f>
        <v>4132463472</v>
      </c>
      <c r="D25" s="500"/>
      <c r="E25" s="500">
        <f>+C16-G16</f>
        <v>3623079261</v>
      </c>
      <c r="F25" s="500"/>
      <c r="G25" s="500">
        <f>+G16</f>
        <v>509384211</v>
      </c>
      <c r="H25" s="451"/>
      <c r="I25" s="453"/>
      <c r="J25" s="453"/>
      <c r="K25" s="453"/>
      <c r="L25" s="453"/>
      <c r="M25" s="453"/>
      <c r="N25" s="452"/>
    </row>
    <row r="26" spans="1:26">
      <c r="C26" s="451">
        <f>+C24-C25</f>
        <v>0</v>
      </c>
      <c r="D26" s="451"/>
      <c r="E26" s="451">
        <f>+E24-E25</f>
        <v>0</v>
      </c>
      <c r="F26" s="451"/>
      <c r="G26" s="451">
        <f>+G24-G25</f>
        <v>0</v>
      </c>
      <c r="H26" s="451"/>
      <c r="I26" s="453"/>
      <c r="J26" s="453"/>
      <c r="K26" s="453"/>
      <c r="L26" s="453"/>
      <c r="M26" s="453"/>
      <c r="N26" s="452"/>
    </row>
    <row r="27" spans="1:26">
      <c r="B27" s="65" t="s">
        <v>191</v>
      </c>
      <c r="C27" s="453"/>
      <c r="D27" s="453"/>
      <c r="E27" s="453"/>
      <c r="F27" s="453"/>
      <c r="G27" s="453"/>
      <c r="H27" s="453"/>
      <c r="I27" s="500">
        <f>+'[8]Deposits by Client'!$C$22-'[8]Deposits by Client'!$C$6-'[8]Deposits by Client'!$C$15</f>
        <v>10751065376</v>
      </c>
      <c r="J27" s="500"/>
      <c r="K27" s="500">
        <f>+I27-M27</f>
        <v>5145857841</v>
      </c>
      <c r="L27" s="500"/>
      <c r="M27" s="500">
        <f>+'[8]Deposits by Client'!$D$22-'[8]Deposits by Client'!$D$6-'[8]Deposits by Client'!$D$15</f>
        <v>5605207535</v>
      </c>
      <c r="N27" s="454"/>
    </row>
    <row r="28" spans="1:26">
      <c r="C28" s="453"/>
      <c r="D28" s="453"/>
      <c r="E28" s="453"/>
      <c r="F28" s="453"/>
      <c r="G28" s="453"/>
      <c r="H28" s="453"/>
      <c r="I28" s="500">
        <f>+I16</f>
        <v>10751065376</v>
      </c>
      <c r="J28" s="500"/>
      <c r="K28" s="500">
        <f>+I16-M16</f>
        <v>5145857841</v>
      </c>
      <c r="L28" s="500"/>
      <c r="M28" s="500">
        <f>+M16</f>
        <v>5605207535</v>
      </c>
      <c r="N28" s="454"/>
    </row>
    <row r="29" spans="1:26">
      <c r="C29" s="453"/>
      <c r="D29" s="453"/>
      <c r="E29" s="453"/>
      <c r="F29" s="453"/>
      <c r="G29" s="453"/>
      <c r="H29" s="453"/>
      <c r="I29" s="451">
        <f>+I27-I28</f>
        <v>0</v>
      </c>
      <c r="J29" s="453"/>
      <c r="K29" s="451">
        <f>+K27-K28</f>
        <v>0</v>
      </c>
      <c r="L29" s="453"/>
      <c r="M29" s="451">
        <f>+M27-M28</f>
        <v>0</v>
      </c>
      <c r="N29" s="454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conditionalFormatting sqref="C16">
    <cfRule type="cellIs" dxfId="7" priority="6" operator="notEqual">
      <formula>C24</formula>
    </cfRule>
  </conditionalFormatting>
  <conditionalFormatting sqref="E16">
    <cfRule type="cellIs" dxfId="6" priority="5" operator="notEqual">
      <formula>E24</formula>
    </cfRule>
  </conditionalFormatting>
  <conditionalFormatting sqref="G16">
    <cfRule type="cellIs" dxfId="5" priority="4" operator="notEqual">
      <formula>G24</formula>
    </cfRule>
  </conditionalFormatting>
  <conditionalFormatting sqref="I16">
    <cfRule type="cellIs" dxfId="4" priority="3" operator="notEqual">
      <formula>I27</formula>
    </cfRule>
  </conditionalFormatting>
  <conditionalFormatting sqref="K16">
    <cfRule type="cellIs" dxfId="3" priority="2" operator="notEqual">
      <formula>K27</formula>
    </cfRule>
  </conditionalFormatting>
  <conditionalFormatting sqref="M16">
    <cfRule type="cellIs" dxfId="2" priority="1" operator="notEqual">
      <formula>M27</formula>
    </cfRule>
  </conditionalFormatting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  <ignoredErrors>
    <ignoredError sqref="D16:N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M51"/>
  <sheetViews>
    <sheetView view="pageBreakPreview" zoomScale="85" zoomScaleSheetLayoutView="85" workbookViewId="0">
      <pane xSplit="1" ySplit="5" topLeftCell="B21" activePane="bottomRight" state="frozen"/>
      <selection activeCell="J25" sqref="J25"/>
      <selection pane="topRight" activeCell="J25" sqref="J25"/>
      <selection pane="bottomLeft" activeCell="J25" sqref="J25"/>
      <selection pane="bottomRight" activeCell="I46" sqref="I46:I47"/>
    </sheetView>
  </sheetViews>
  <sheetFormatPr defaultColWidth="9" defaultRowHeight="12.75"/>
  <cols>
    <col min="1" max="1" width="5" style="15" customWidth="1"/>
    <col min="2" max="3" width="9" style="30" customWidth="1"/>
    <col min="4" max="4" width="25.42578125" style="30" customWidth="1"/>
    <col min="5" max="5" width="46.85546875" style="30" customWidth="1"/>
    <col min="6" max="6" width="15.42578125" style="30" bestFit="1" customWidth="1"/>
    <col min="7" max="7" width="9" style="30" customWidth="1"/>
    <col min="8" max="8" width="40.5703125" style="30" customWidth="1"/>
    <col min="9" max="9" width="18.42578125" style="30" customWidth="1"/>
    <col min="10" max="10" width="15" style="15" customWidth="1"/>
    <col min="11" max="11" width="15.5703125" style="30" customWidth="1"/>
    <col min="12" max="12" width="9" style="30"/>
    <col min="13" max="13" width="9" style="461"/>
    <col min="14" max="16384" width="9" style="30"/>
  </cols>
  <sheetData>
    <row r="1" spans="1:13" ht="27" customHeight="1">
      <c r="A1" s="561" t="s">
        <v>795</v>
      </c>
      <c r="B1" s="561"/>
      <c r="C1" s="561"/>
      <c r="D1" s="561"/>
      <c r="E1" s="561"/>
      <c r="F1" s="561"/>
      <c r="G1" s="561"/>
      <c r="H1" s="561"/>
      <c r="I1" s="730" t="s">
        <v>553</v>
      </c>
      <c r="J1" s="730"/>
      <c r="K1" s="730"/>
    </row>
    <row r="2" spans="1:13" ht="21" customHeight="1">
      <c r="A2" s="410"/>
      <c r="B2" s="737" t="str">
        <f>+'Asset quality'!B3</f>
        <v>"Ўзсаноатқурилишбанк" АТБ</v>
      </c>
      <c r="C2" s="737"/>
      <c r="D2" s="737"/>
      <c r="E2" s="411"/>
      <c r="F2" s="411"/>
      <c r="G2" s="411"/>
      <c r="H2" s="411"/>
      <c r="I2" s="539">
        <f>+'Asset quality'!Q3</f>
        <v>44925</v>
      </c>
      <c r="J2" s="89"/>
      <c r="K2" s="7"/>
    </row>
    <row r="3" spans="1:13" ht="6.75" customHeight="1">
      <c r="A3" s="731"/>
      <c r="B3" s="732"/>
      <c r="C3" s="732"/>
      <c r="D3" s="732"/>
      <c r="E3" s="732"/>
      <c r="F3" s="732"/>
      <c r="G3" s="732"/>
      <c r="H3" s="732"/>
      <c r="I3" s="732"/>
      <c r="J3" s="732"/>
      <c r="K3" s="733"/>
    </row>
    <row r="4" spans="1:13" s="211" customFormat="1" ht="48.75" customHeight="1">
      <c r="A4" s="736" t="s">
        <v>62</v>
      </c>
      <c r="B4" s="736" t="s">
        <v>554</v>
      </c>
      <c r="C4" s="736"/>
      <c r="D4" s="736"/>
      <c r="E4" s="736"/>
      <c r="F4" s="736" t="s">
        <v>555</v>
      </c>
      <c r="G4" s="736"/>
      <c r="H4" s="736"/>
      <c r="I4" s="274" t="s">
        <v>556</v>
      </c>
      <c r="J4" s="274" t="s">
        <v>557</v>
      </c>
      <c r="K4" s="274" t="s">
        <v>468</v>
      </c>
      <c r="M4" s="477"/>
    </row>
    <row r="5" spans="1:13" s="211" customFormat="1" ht="14.25" customHeight="1">
      <c r="A5" s="736"/>
      <c r="B5" s="736" t="s">
        <v>98</v>
      </c>
      <c r="C5" s="736"/>
      <c r="D5" s="736"/>
      <c r="E5" s="736"/>
      <c r="F5" s="736" t="s">
        <v>80</v>
      </c>
      <c r="G5" s="736"/>
      <c r="H5" s="736"/>
      <c r="I5" s="274" t="s">
        <v>90</v>
      </c>
      <c r="J5" s="274" t="s">
        <v>81</v>
      </c>
      <c r="K5" s="274" t="s">
        <v>82</v>
      </c>
      <c r="M5" s="477"/>
    </row>
    <row r="6" spans="1:13" s="206" customFormat="1">
      <c r="A6" s="412">
        <v>1</v>
      </c>
      <c r="B6" s="720" t="s">
        <v>558</v>
      </c>
      <c r="C6" s="671"/>
      <c r="D6" s="671"/>
      <c r="E6" s="671"/>
      <c r="F6" s="672"/>
      <c r="G6" s="672"/>
      <c r="H6" s="672"/>
      <c r="I6" s="672"/>
      <c r="J6" s="672"/>
      <c r="K6" s="672"/>
      <c r="M6" s="463"/>
    </row>
    <row r="7" spans="1:13" ht="24" customHeight="1">
      <c r="A7" s="673" t="s">
        <v>93</v>
      </c>
      <c r="B7" s="721" t="s">
        <v>559</v>
      </c>
      <c r="C7" s="722"/>
      <c r="D7" s="722"/>
      <c r="E7" s="723"/>
      <c r="F7" s="662" t="s">
        <v>562</v>
      </c>
      <c r="G7" s="663"/>
      <c r="H7" s="664"/>
      <c r="I7" s="665">
        <f>+'[9]Bank Capital Calc'!$C$51</f>
        <v>0.15348623497276015</v>
      </c>
      <c r="J7" s="199" t="s">
        <v>99</v>
      </c>
      <c r="K7" s="689" t="str">
        <f>IF(I7="",0-J8,(IF((I7-J8)&gt;0,"",I7-J8)))</f>
        <v/>
      </c>
    </row>
    <row r="8" spans="1:13">
      <c r="A8" s="674"/>
      <c r="B8" s="678"/>
      <c r="C8" s="679"/>
      <c r="D8" s="679"/>
      <c r="E8" s="680"/>
      <c r="F8" s="721" t="s">
        <v>563</v>
      </c>
      <c r="G8" s="734"/>
      <c r="H8" s="735"/>
      <c r="I8" s="701"/>
      <c r="J8" s="413">
        <v>0.13</v>
      </c>
      <c r="K8" s="690"/>
    </row>
    <row r="9" spans="1:13">
      <c r="A9" s="673" t="s">
        <v>94</v>
      </c>
      <c r="B9" s="721" t="s">
        <v>560</v>
      </c>
      <c r="C9" s="722"/>
      <c r="D9" s="722"/>
      <c r="E9" s="723"/>
      <c r="F9" s="681" t="s">
        <v>564</v>
      </c>
      <c r="G9" s="682"/>
      <c r="H9" s="683"/>
      <c r="I9" s="665">
        <f>+'[9]Bank Capital Calc'!$C$50</f>
        <v>0.12097058526670391</v>
      </c>
      <c r="J9" s="199" t="s">
        <v>99</v>
      </c>
      <c r="K9" s="689" t="str">
        <f>IF(I9="",0-J10,(IF((I9-J10)&gt;0,"",I9-J10)))</f>
        <v/>
      </c>
    </row>
    <row r="10" spans="1:13">
      <c r="A10" s="674"/>
      <c r="B10" s="724"/>
      <c r="C10" s="725"/>
      <c r="D10" s="725"/>
      <c r="E10" s="726"/>
      <c r="F10" s="727" t="s">
        <v>563</v>
      </c>
      <c r="G10" s="728"/>
      <c r="H10" s="729"/>
      <c r="I10" s="701"/>
      <c r="J10" s="413">
        <v>0.1</v>
      </c>
      <c r="K10" s="690"/>
    </row>
    <row r="11" spans="1:13" ht="12.75" customHeight="1">
      <c r="A11" s="673" t="s">
        <v>95</v>
      </c>
      <c r="B11" s="675" t="s">
        <v>561</v>
      </c>
      <c r="C11" s="676"/>
      <c r="D11" s="676"/>
      <c r="E11" s="677"/>
      <c r="F11" s="681" t="s">
        <v>565</v>
      </c>
      <c r="G11" s="682"/>
      <c r="H11" s="683"/>
      <c r="I11" s="665">
        <f>+'[9]Bank Capital Calc'!$C$49</f>
        <v>0.12083657085600269</v>
      </c>
      <c r="J11" s="199" t="s">
        <v>99</v>
      </c>
      <c r="K11" s="689" t="str">
        <f>IF(I11="",0-J12,(IF((I11-J12)&gt;0,"",I11-J12)))</f>
        <v/>
      </c>
    </row>
    <row r="12" spans="1:13" ht="24.75" customHeight="1">
      <c r="A12" s="674"/>
      <c r="B12" s="678"/>
      <c r="C12" s="679"/>
      <c r="D12" s="679"/>
      <c r="E12" s="680"/>
      <c r="F12" s="662" t="s">
        <v>563</v>
      </c>
      <c r="G12" s="663"/>
      <c r="H12" s="664"/>
      <c r="I12" s="701"/>
      <c r="J12" s="413">
        <v>0.08</v>
      </c>
      <c r="K12" s="690"/>
    </row>
    <row r="13" spans="1:13">
      <c r="A13" s="673" t="s">
        <v>96</v>
      </c>
      <c r="B13" s="675" t="s">
        <v>100</v>
      </c>
      <c r="C13" s="676"/>
      <c r="D13" s="676"/>
      <c r="E13" s="677"/>
      <c r="F13" s="667" t="s">
        <v>564</v>
      </c>
      <c r="G13" s="668"/>
      <c r="H13" s="669"/>
      <c r="I13" s="665">
        <f>+'[9]Bank Capital Calc'!$C$57</f>
        <v>0.10264388456071502</v>
      </c>
      <c r="J13" s="199" t="s">
        <v>99</v>
      </c>
      <c r="K13" s="689" t="str">
        <f>IF(I13="",0-J14,(IF((I13-J14)&gt;0,"",I13-J14)))</f>
        <v/>
      </c>
    </row>
    <row r="14" spans="1:13" ht="24.75" customHeight="1">
      <c r="A14" s="674"/>
      <c r="B14" s="678"/>
      <c r="C14" s="679"/>
      <c r="D14" s="679"/>
      <c r="E14" s="680"/>
      <c r="F14" s="662" t="s">
        <v>566</v>
      </c>
      <c r="G14" s="663"/>
      <c r="H14" s="664"/>
      <c r="I14" s="701"/>
      <c r="J14" s="413">
        <v>0.06</v>
      </c>
      <c r="K14" s="690"/>
    </row>
    <row r="15" spans="1:13" s="206" customFormat="1">
      <c r="A15" s="193">
        <v>2</v>
      </c>
      <c r="B15" s="720" t="s">
        <v>567</v>
      </c>
      <c r="C15" s="671"/>
      <c r="D15" s="671"/>
      <c r="E15" s="671"/>
      <c r="F15" s="672"/>
      <c r="G15" s="672"/>
      <c r="H15" s="672"/>
      <c r="I15" s="672"/>
      <c r="J15" s="672"/>
      <c r="K15" s="672"/>
      <c r="M15" s="463"/>
    </row>
    <row r="16" spans="1:13" s="206" customFormat="1" ht="12.75" customHeight="1">
      <c r="A16" s="673" t="s">
        <v>101</v>
      </c>
      <c r="B16" s="675" t="s">
        <v>568</v>
      </c>
      <c r="C16" s="676"/>
      <c r="D16" s="676"/>
      <c r="E16" s="677"/>
      <c r="F16" s="681" t="s">
        <v>572</v>
      </c>
      <c r="G16" s="682"/>
      <c r="H16" s="683"/>
      <c r="I16" s="665">
        <f>+'[8]Liquidity Analysis'!$C$18</f>
        <v>0.15025121729259128</v>
      </c>
      <c r="J16" s="199" t="s">
        <v>99</v>
      </c>
      <c r="K16" s="689" t="str">
        <f>IF(I16="",0-J17,(IF((I16-J17)&gt;0,"",I16-J17)))</f>
        <v/>
      </c>
      <c r="M16" s="463"/>
    </row>
    <row r="17" spans="1:13" s="206" customFormat="1">
      <c r="A17" s="674"/>
      <c r="B17" s="678"/>
      <c r="C17" s="679"/>
      <c r="D17" s="679"/>
      <c r="E17" s="680"/>
      <c r="F17" s="662" t="s">
        <v>282</v>
      </c>
      <c r="G17" s="663"/>
      <c r="H17" s="664"/>
      <c r="I17" s="704"/>
      <c r="J17" s="413">
        <v>0.1</v>
      </c>
      <c r="K17" s="690"/>
      <c r="M17" s="463"/>
    </row>
    <row r="18" spans="1:13" ht="15.75" customHeight="1">
      <c r="A18" s="673" t="s">
        <v>35</v>
      </c>
      <c r="B18" s="691" t="s">
        <v>569</v>
      </c>
      <c r="C18" s="676"/>
      <c r="D18" s="676"/>
      <c r="E18" s="414" t="s">
        <v>235</v>
      </c>
      <c r="F18" s="713" t="s">
        <v>572</v>
      </c>
      <c r="G18" s="702"/>
      <c r="H18" s="703"/>
      <c r="I18" s="273">
        <f>+'[8]Liquidity Analysis'!$C$24</f>
        <v>2.0011300167188808</v>
      </c>
      <c r="J18" s="714" t="s">
        <v>99</v>
      </c>
      <c r="K18" s="273" t="str">
        <f>IF(I18="",0-$J$20,(IF((I18-$J$20)&gt;0,"",I18-$J$20)))</f>
        <v/>
      </c>
    </row>
    <row r="19" spans="1:13" ht="15.75" customHeight="1">
      <c r="A19" s="712"/>
      <c r="B19" s="695"/>
      <c r="C19" s="696"/>
      <c r="D19" s="696"/>
      <c r="E19" s="415" t="s">
        <v>286</v>
      </c>
      <c r="F19" s="692"/>
      <c r="G19" s="693"/>
      <c r="H19" s="694"/>
      <c r="I19" s="273">
        <f>+'[8]Liquidity Analysis'!$D$24</f>
        <v>2.3674871634200301</v>
      </c>
      <c r="J19" s="715"/>
      <c r="K19" s="273" t="str">
        <f>IF(I19="",0-$J$20,(IF((I19-$J$20)&gt;0,"",I19-$J$20)))</f>
        <v/>
      </c>
    </row>
    <row r="20" spans="1:13" ht="15.75" customHeight="1">
      <c r="A20" s="674"/>
      <c r="B20" s="697"/>
      <c r="C20" s="698"/>
      <c r="D20" s="698"/>
      <c r="E20" s="415" t="s">
        <v>493</v>
      </c>
      <c r="F20" s="706" t="s">
        <v>573</v>
      </c>
      <c r="G20" s="706"/>
      <c r="H20" s="706"/>
      <c r="I20" s="273">
        <f>+'[8]Liquidity Analysis'!$E$24</f>
        <v>1.8178767959864239</v>
      </c>
      <c r="J20" s="198">
        <v>1</v>
      </c>
      <c r="K20" s="273" t="str">
        <f>IF(I20="",0-$J$20,(IF((I20-$J$20)&gt;0,"",I20-$J$20)))</f>
        <v/>
      </c>
    </row>
    <row r="21" spans="1:13" ht="15" customHeight="1">
      <c r="A21" s="673" t="s">
        <v>570</v>
      </c>
      <c r="B21" s="691" t="s">
        <v>571</v>
      </c>
      <c r="C21" s="676"/>
      <c r="D21" s="676"/>
      <c r="E21" s="414" t="s">
        <v>235</v>
      </c>
      <c r="F21" s="713" t="s">
        <v>574</v>
      </c>
      <c r="G21" s="702"/>
      <c r="H21" s="703"/>
      <c r="I21" s="273">
        <f>+'[8]Liquidity Analysis'!$C$29</f>
        <v>1.1036331376404158</v>
      </c>
      <c r="J21" s="714" t="s">
        <v>99</v>
      </c>
      <c r="K21" s="273" t="str">
        <f>IF(I21="",0-$J$23,(IF((I21-$J$23)&gt;0,"",I21-$J$23)))</f>
        <v/>
      </c>
    </row>
    <row r="22" spans="1:13" ht="15" customHeight="1">
      <c r="A22" s="712"/>
      <c r="B22" s="695"/>
      <c r="C22" s="696"/>
      <c r="D22" s="696"/>
      <c r="E22" s="415" t="s">
        <v>286</v>
      </c>
      <c r="F22" s="692"/>
      <c r="G22" s="693"/>
      <c r="H22" s="694"/>
      <c r="I22" s="273">
        <f>+'[8]Liquidity Analysis'!$D$29</f>
        <v>1.1040886294335608</v>
      </c>
      <c r="J22" s="715"/>
      <c r="K22" s="273" t="str">
        <f>IF(I22="",0-$J$23,(IF((I22-$J$23)&gt;0,"",I22-$J$23)))</f>
        <v/>
      </c>
    </row>
    <row r="23" spans="1:13" ht="15" customHeight="1">
      <c r="A23" s="674"/>
      <c r="B23" s="697"/>
      <c r="C23" s="698"/>
      <c r="D23" s="698"/>
      <c r="E23" s="415" t="s">
        <v>493</v>
      </c>
      <c r="F23" s="706" t="s">
        <v>575</v>
      </c>
      <c r="G23" s="706"/>
      <c r="H23" s="706"/>
      <c r="I23" s="273">
        <f>+'[8]Liquidity Analysis'!$E$29</f>
        <v>1.1034476083385498</v>
      </c>
      <c r="J23" s="197">
        <v>1</v>
      </c>
      <c r="K23" s="273" t="str">
        <f>IF(I23="",0-$J$23,(IF((I23-$J$23)&gt;0,"",I23-$J$23)))</f>
        <v/>
      </c>
    </row>
    <row r="24" spans="1:13" s="206" customFormat="1">
      <c r="A24" s="193">
        <v>3</v>
      </c>
      <c r="B24" s="720" t="s">
        <v>576</v>
      </c>
      <c r="C24" s="671"/>
      <c r="D24" s="671"/>
      <c r="E24" s="671"/>
      <c r="F24" s="672"/>
      <c r="G24" s="672"/>
      <c r="H24" s="672"/>
      <c r="I24" s="672"/>
      <c r="J24" s="672"/>
      <c r="K24" s="672"/>
      <c r="M24" s="463"/>
    </row>
    <row r="25" spans="1:13" ht="24" customHeight="1">
      <c r="A25" s="673" t="s">
        <v>102</v>
      </c>
      <c r="B25" s="691" t="s">
        <v>577</v>
      </c>
      <c r="C25" s="676"/>
      <c r="D25" s="676"/>
      <c r="E25" s="677"/>
      <c r="F25" s="684" t="s">
        <v>581</v>
      </c>
      <c r="G25" s="685"/>
      <c r="H25" s="686"/>
      <c r="I25" s="665">
        <f>IFERROR((+' Largest risk'!Z90/'[9]Bank Capital Calc'!$C$34),0)</f>
        <v>0.24080359922963587</v>
      </c>
      <c r="J25" s="199" t="s">
        <v>103</v>
      </c>
      <c r="K25" s="665" t="str">
        <f>IF(I25="","",IF(I25&lt;0,"ОТР",IF((I25-J26)&lt;0,"",I25-J26)))</f>
        <v/>
      </c>
    </row>
    <row r="26" spans="1:13">
      <c r="A26" s="674"/>
      <c r="B26" s="718"/>
      <c r="C26" s="710"/>
      <c r="D26" s="710"/>
      <c r="E26" s="711"/>
      <c r="F26" s="667" t="s">
        <v>564</v>
      </c>
      <c r="G26" s="668"/>
      <c r="H26" s="669"/>
      <c r="I26" s="704"/>
      <c r="J26" s="198">
        <v>0.25</v>
      </c>
      <c r="K26" s="719"/>
    </row>
    <row r="27" spans="1:13" ht="28.5" customHeight="1">
      <c r="A27" s="673" t="s">
        <v>104</v>
      </c>
      <c r="B27" s="675" t="s">
        <v>578</v>
      </c>
      <c r="C27" s="676"/>
      <c r="D27" s="676"/>
      <c r="E27" s="677"/>
      <c r="F27" s="662" t="s">
        <v>582</v>
      </c>
      <c r="G27" s="663"/>
      <c r="H27" s="664"/>
      <c r="I27" s="687">
        <f>IFERROR((' Largest risk'!H50/'[9]Bank Capital Calc'!$C$34),0)</f>
        <v>0.175217481292436</v>
      </c>
      <c r="J27" s="199" t="s">
        <v>103</v>
      </c>
      <c r="K27" s="689" t="str">
        <f>IF(I27&lt;0,"ОТР",IF((I27-J28)&lt;0,"",I27-J28))</f>
        <v/>
      </c>
      <c r="M27" s="461" t="s">
        <v>784</v>
      </c>
    </row>
    <row r="28" spans="1:13">
      <c r="A28" s="674"/>
      <c r="B28" s="692"/>
      <c r="C28" s="693"/>
      <c r="D28" s="693"/>
      <c r="E28" s="694"/>
      <c r="F28" s="667" t="s">
        <v>564</v>
      </c>
      <c r="G28" s="668"/>
      <c r="H28" s="669"/>
      <c r="I28" s="688"/>
      <c r="J28" s="198">
        <v>0.25</v>
      </c>
      <c r="K28" s="690"/>
    </row>
    <row r="29" spans="1:13" ht="36" customHeight="1">
      <c r="A29" s="673" t="s">
        <v>23</v>
      </c>
      <c r="B29" s="691" t="s">
        <v>579</v>
      </c>
      <c r="C29" s="676"/>
      <c r="D29" s="676"/>
      <c r="E29" s="677"/>
      <c r="F29" s="684" t="s">
        <v>583</v>
      </c>
      <c r="G29" s="685"/>
      <c r="H29" s="686"/>
      <c r="I29" s="687">
        <f>IFERROR((187441159/'[9]Bank Capital Calc'!$C$34),0)</f>
        <v>2.6876652410740682E-2</v>
      </c>
      <c r="J29" s="199" t="s">
        <v>103</v>
      </c>
      <c r="K29" s="689" t="str">
        <f>IF(I29&lt;0,"ОТР",IF((I29-J30)&lt;0,"",I29-J30))</f>
        <v/>
      </c>
      <c r="M29" s="461" t="s">
        <v>784</v>
      </c>
    </row>
    <row r="30" spans="1:13">
      <c r="A30" s="674"/>
      <c r="B30" s="692"/>
      <c r="C30" s="693"/>
      <c r="D30" s="693"/>
      <c r="E30" s="694"/>
      <c r="F30" s="667" t="s">
        <v>564</v>
      </c>
      <c r="G30" s="668"/>
      <c r="H30" s="669"/>
      <c r="I30" s="688"/>
      <c r="J30" s="198">
        <v>0.05</v>
      </c>
      <c r="K30" s="690"/>
    </row>
    <row r="31" spans="1:13" ht="14.25" customHeight="1">
      <c r="A31" s="673" t="s">
        <v>165</v>
      </c>
      <c r="B31" s="716" t="s">
        <v>580</v>
      </c>
      <c r="C31" s="696"/>
      <c r="D31" s="696"/>
      <c r="E31" s="717"/>
      <c r="F31" s="667" t="s">
        <v>584</v>
      </c>
      <c r="G31" s="668"/>
      <c r="H31" s="669"/>
      <c r="I31" s="665">
        <f>IFERROR((+' Largest risk'!Z89/'[9]Bank Capital Calc'!$C$34),0)</f>
        <v>2.6675918429663006</v>
      </c>
      <c r="J31" s="197" t="s">
        <v>103</v>
      </c>
      <c r="K31" s="689" t="str">
        <f>IF(I31="","",IF(I31&lt;0,"ОТР",IF((I31-J32)&lt;0,"",I31-J32)))</f>
        <v/>
      </c>
    </row>
    <row r="32" spans="1:13">
      <c r="A32" s="674"/>
      <c r="B32" s="692"/>
      <c r="C32" s="693"/>
      <c r="D32" s="693"/>
      <c r="E32" s="694"/>
      <c r="F32" s="667" t="s">
        <v>564</v>
      </c>
      <c r="G32" s="668"/>
      <c r="H32" s="669"/>
      <c r="I32" s="704"/>
      <c r="J32" s="197">
        <v>5</v>
      </c>
      <c r="K32" s="690"/>
    </row>
    <row r="33" spans="1:13" s="206" customFormat="1">
      <c r="A33" s="193">
        <v>4</v>
      </c>
      <c r="B33" s="670" t="s">
        <v>585</v>
      </c>
      <c r="C33" s="671"/>
      <c r="D33" s="671"/>
      <c r="E33" s="671"/>
      <c r="F33" s="672"/>
      <c r="G33" s="672"/>
      <c r="H33" s="672"/>
      <c r="I33" s="672"/>
      <c r="J33" s="672"/>
      <c r="K33" s="672"/>
      <c r="M33" s="463"/>
    </row>
    <row r="34" spans="1:13" ht="12.75" customHeight="1">
      <c r="A34" s="673" t="s">
        <v>105</v>
      </c>
      <c r="B34" s="709" t="s">
        <v>586</v>
      </c>
      <c r="C34" s="702"/>
      <c r="D34" s="702"/>
      <c r="E34" s="703"/>
      <c r="F34" s="662" t="s">
        <v>589</v>
      </c>
      <c r="G34" s="663"/>
      <c r="H34" s="664"/>
      <c r="I34" s="687">
        <f>168775868/'[9]Bank Capital Calc'!$C$34</f>
        <v>2.4200289646934221E-2</v>
      </c>
      <c r="J34" s="199" t="s">
        <v>103</v>
      </c>
      <c r="K34" s="689" t="str">
        <f>IF(I34&lt;0,"ОТР",IF((I34-J35)&lt;0,"",I34-J35))</f>
        <v/>
      </c>
      <c r="M34" s="461" t="s">
        <v>784</v>
      </c>
    </row>
    <row r="35" spans="1:13">
      <c r="A35" s="674"/>
      <c r="B35" s="710"/>
      <c r="C35" s="710"/>
      <c r="D35" s="710"/>
      <c r="E35" s="711"/>
      <c r="F35" s="667" t="s">
        <v>564</v>
      </c>
      <c r="G35" s="668"/>
      <c r="H35" s="669"/>
      <c r="I35" s="688"/>
      <c r="J35" s="198">
        <v>0.15</v>
      </c>
      <c r="K35" s="690"/>
    </row>
    <row r="36" spans="1:13" ht="24.75" customHeight="1">
      <c r="A36" s="673" t="s">
        <v>25</v>
      </c>
      <c r="B36" s="709" t="s">
        <v>587</v>
      </c>
      <c r="C36" s="702"/>
      <c r="D36" s="702"/>
      <c r="E36" s="703"/>
      <c r="F36" s="662" t="s">
        <v>587</v>
      </c>
      <c r="G36" s="699"/>
      <c r="H36" s="700"/>
      <c r="I36" s="665">
        <f>IFERROR((+('[8]Investment Securities'!$B$22+'[8]Investment Securities'!$B$23+'[8]Investment Securities'!$B$24+'[8]Investment Securities'!$B$25-'[8]Investment Securities'!$B$28)/'[9]Bank Capital Calc'!$C$34),0)</f>
        <v>0</v>
      </c>
      <c r="J36" s="199" t="s">
        <v>103</v>
      </c>
      <c r="K36" s="689" t="str">
        <f>IF(I36="","",IF(I36&lt;0,"ОТР",IF((I36-J37)&lt;0,"",I36-J37)))</f>
        <v/>
      </c>
    </row>
    <row r="37" spans="1:13">
      <c r="A37" s="674"/>
      <c r="B37" s="710"/>
      <c r="C37" s="710"/>
      <c r="D37" s="710"/>
      <c r="E37" s="711"/>
      <c r="F37" s="667" t="s">
        <v>564</v>
      </c>
      <c r="G37" s="668"/>
      <c r="H37" s="669"/>
      <c r="I37" s="701"/>
      <c r="J37" s="198">
        <v>0.25</v>
      </c>
      <c r="K37" s="690"/>
    </row>
    <row r="38" spans="1:13" ht="36" customHeight="1">
      <c r="A38" s="673" t="s">
        <v>26</v>
      </c>
      <c r="B38" s="709" t="s">
        <v>588</v>
      </c>
      <c r="C38" s="702"/>
      <c r="D38" s="702"/>
      <c r="E38" s="703"/>
      <c r="F38" s="662" t="s">
        <v>590</v>
      </c>
      <c r="G38" s="699"/>
      <c r="H38" s="700"/>
      <c r="I38" s="665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Calc'!$C$34),0)</f>
        <v>3.342583166761217E-2</v>
      </c>
      <c r="J38" s="197" t="s">
        <v>103</v>
      </c>
      <c r="K38" s="689" t="str">
        <f>IF(I38="","",IF(I38&lt;0,"ОТР",IF((I38-J39)&lt;0,"",I38-J39)))</f>
        <v/>
      </c>
    </row>
    <row r="39" spans="1:13">
      <c r="A39" s="674"/>
      <c r="B39" s="710"/>
      <c r="C39" s="710"/>
      <c r="D39" s="710"/>
      <c r="E39" s="711"/>
      <c r="F39" s="667" t="s">
        <v>564</v>
      </c>
      <c r="G39" s="668"/>
      <c r="H39" s="669"/>
      <c r="I39" s="704"/>
      <c r="J39" s="197">
        <v>0.5</v>
      </c>
      <c r="K39" s="690"/>
    </row>
    <row r="40" spans="1:13" s="206" customFormat="1">
      <c r="A40" s="193">
        <v>5</v>
      </c>
      <c r="B40" s="670" t="s">
        <v>591</v>
      </c>
      <c r="C40" s="671"/>
      <c r="D40" s="671"/>
      <c r="E40" s="671"/>
      <c r="F40" s="672"/>
      <c r="G40" s="672"/>
      <c r="H40" s="672"/>
      <c r="I40" s="672"/>
      <c r="J40" s="672"/>
      <c r="K40" s="672"/>
      <c r="M40" s="463"/>
    </row>
    <row r="41" spans="1:13" ht="23.25" customHeight="1">
      <c r="A41" s="673" t="s">
        <v>106</v>
      </c>
      <c r="B41" s="705" t="s">
        <v>592</v>
      </c>
      <c r="C41" s="706"/>
      <c r="D41" s="706"/>
      <c r="E41" s="706"/>
      <c r="F41" s="662" t="s">
        <v>596</v>
      </c>
      <c r="G41" s="663"/>
      <c r="H41" s="664"/>
      <c r="I41" s="665">
        <f>IFERROR(((+'Transactions of related parties'!Z90-'[9]Bank Capital Calc'!$C$24)/'[9]Bank Capital Calc'!$C$34),0)</f>
        <v>2.4200289646934221E-2</v>
      </c>
      <c r="J41" s="199" t="s">
        <v>103</v>
      </c>
      <c r="K41" s="689" t="str">
        <f>IF(I41="","",IF(I41&lt;0,"ОТР",IF((I41-J42)&lt;0,"",I41-J42)))</f>
        <v/>
      </c>
    </row>
    <row r="42" spans="1:13">
      <c r="A42" s="674"/>
      <c r="B42" s="706"/>
      <c r="C42" s="706"/>
      <c r="D42" s="706"/>
      <c r="E42" s="706"/>
      <c r="F42" s="667" t="s">
        <v>564</v>
      </c>
      <c r="G42" s="668"/>
      <c r="H42" s="669"/>
      <c r="I42" s="666"/>
      <c r="J42" s="198">
        <v>0.25</v>
      </c>
      <c r="K42" s="690"/>
    </row>
    <row r="43" spans="1:13">
      <c r="A43" s="673" t="s">
        <v>218</v>
      </c>
      <c r="B43" s="705" t="s">
        <v>593</v>
      </c>
      <c r="C43" s="706"/>
      <c r="D43" s="706"/>
      <c r="E43" s="706"/>
      <c r="F43" s="697" t="s">
        <v>597</v>
      </c>
      <c r="G43" s="707"/>
      <c r="H43" s="708"/>
      <c r="I43" s="665">
        <f>IFERROR(((+'Transactions of related parties'!Z89-'[9]Bank Capital Calc'!$C$24)/'[9]Bank Capital Calc'!$C$34),0)</f>
        <v>3.1205073810174747E-2</v>
      </c>
      <c r="J43" s="197" t="s">
        <v>103</v>
      </c>
      <c r="K43" s="689" t="str">
        <f>IF(I43="","",IF(I43&lt;0,"ОТР",IF((I43-J44)&lt;0,"",I43-J44)))</f>
        <v/>
      </c>
    </row>
    <row r="44" spans="1:13">
      <c r="A44" s="674"/>
      <c r="B44" s="706"/>
      <c r="C44" s="706"/>
      <c r="D44" s="706"/>
      <c r="E44" s="706"/>
      <c r="F44" s="667" t="s">
        <v>564</v>
      </c>
      <c r="G44" s="668"/>
      <c r="H44" s="669"/>
      <c r="I44" s="666"/>
      <c r="J44" s="197">
        <v>0.5</v>
      </c>
      <c r="K44" s="690"/>
    </row>
    <row r="45" spans="1:13" s="206" customFormat="1">
      <c r="A45" s="193">
        <v>6</v>
      </c>
      <c r="B45" s="670" t="s">
        <v>594</v>
      </c>
      <c r="C45" s="671"/>
      <c r="D45" s="671"/>
      <c r="E45" s="671"/>
      <c r="F45" s="672"/>
      <c r="G45" s="672"/>
      <c r="H45" s="672"/>
      <c r="I45" s="672"/>
      <c r="J45" s="672"/>
      <c r="K45" s="672"/>
      <c r="M45" s="463"/>
    </row>
    <row r="46" spans="1:13">
      <c r="A46" s="673" t="s">
        <v>200</v>
      </c>
      <c r="B46" s="675" t="s">
        <v>595</v>
      </c>
      <c r="C46" s="702"/>
      <c r="D46" s="702"/>
      <c r="E46" s="703"/>
      <c r="F46" s="662" t="s">
        <v>598</v>
      </c>
      <c r="G46" s="663"/>
      <c r="H46" s="664"/>
      <c r="I46" s="687">
        <v>0.35</v>
      </c>
      <c r="J46" s="197" t="s">
        <v>103</v>
      </c>
      <c r="K46" s="689" t="str">
        <f>IF(I46="","",IF(I46&lt;0,"ОТР",IF((I46-J47)&lt;0,"",I46-J47)))</f>
        <v/>
      </c>
      <c r="M46" s="461" t="s">
        <v>784</v>
      </c>
    </row>
    <row r="47" spans="1:13">
      <c r="A47" s="674"/>
      <c r="B47" s="692"/>
      <c r="C47" s="693"/>
      <c r="D47" s="693"/>
      <c r="E47" s="694"/>
      <c r="F47" s="667" t="s">
        <v>564</v>
      </c>
      <c r="G47" s="668"/>
      <c r="H47" s="669"/>
      <c r="I47" s="688"/>
      <c r="J47" s="198">
        <v>1</v>
      </c>
      <c r="K47" s="690"/>
    </row>
    <row r="49" spans="1:13" ht="15" customHeight="1">
      <c r="A49" s="30"/>
      <c r="B49" s="206" t="s">
        <v>788</v>
      </c>
      <c r="F49" s="185"/>
      <c r="G49" s="185"/>
      <c r="H49" s="185"/>
      <c r="I49" s="185"/>
      <c r="J49" s="185"/>
      <c r="K49" s="185"/>
      <c r="L49" s="185"/>
      <c r="M49" s="185"/>
    </row>
    <row r="50" spans="1:13" ht="11.25" customHeight="1">
      <c r="A50" s="30"/>
      <c r="B50" s="206"/>
      <c r="F50" s="185"/>
      <c r="G50" s="185"/>
      <c r="H50" s="185"/>
      <c r="I50" s="185"/>
      <c r="J50" s="185"/>
      <c r="K50" s="185"/>
      <c r="L50" s="185"/>
      <c r="M50" s="185"/>
    </row>
    <row r="51" spans="1:13" ht="15" customHeight="1">
      <c r="A51" s="30"/>
      <c r="B51" s="206" t="s">
        <v>789</v>
      </c>
      <c r="F51" s="185"/>
      <c r="G51" s="185"/>
      <c r="H51" s="185"/>
      <c r="I51" s="185"/>
      <c r="J51" s="185"/>
      <c r="K51" s="185"/>
      <c r="L51" s="185"/>
      <c r="M51" s="185"/>
    </row>
  </sheetData>
  <sheetProtection password="CACA" sheet="1" objects="1" scenarios="1"/>
  <mergeCells count="121"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A21:A23"/>
    <mergeCell ref="A31:A32"/>
    <mergeCell ref="A25:A26"/>
    <mergeCell ref="B25:E26"/>
    <mergeCell ref="I25:I26"/>
    <mergeCell ref="K25:K26"/>
    <mergeCell ref="F26:H26"/>
    <mergeCell ref="B24:E24"/>
    <mergeCell ref="F24:K24"/>
    <mergeCell ref="F23:H23"/>
    <mergeCell ref="F21:H22"/>
    <mergeCell ref="J21:J22"/>
    <mergeCell ref="A27:A28"/>
    <mergeCell ref="B27:E28"/>
    <mergeCell ref="A18:A20"/>
    <mergeCell ref="F20:H20"/>
    <mergeCell ref="K13:K14"/>
    <mergeCell ref="F14:H14"/>
    <mergeCell ref="B18:D20"/>
    <mergeCell ref="F18:H19"/>
    <mergeCell ref="A29:A30"/>
    <mergeCell ref="J18:J19"/>
    <mergeCell ref="B36:E37"/>
    <mergeCell ref="B34:E35"/>
    <mergeCell ref="I34:I35"/>
    <mergeCell ref="K36:K37"/>
    <mergeCell ref="F37:H37"/>
    <mergeCell ref="F35:H35"/>
    <mergeCell ref="A34:A35"/>
    <mergeCell ref="A36:A37"/>
    <mergeCell ref="I16:I17"/>
    <mergeCell ref="K16:K17"/>
    <mergeCell ref="B31:E32"/>
    <mergeCell ref="I31:I32"/>
    <mergeCell ref="K31:K32"/>
    <mergeCell ref="F32:H32"/>
    <mergeCell ref="K29:K30"/>
    <mergeCell ref="F30:H30"/>
    <mergeCell ref="K38:K39"/>
    <mergeCell ref="F39:H39"/>
    <mergeCell ref="F38:H38"/>
    <mergeCell ref="I36:I37"/>
    <mergeCell ref="F36:H36"/>
    <mergeCell ref="A46:A47"/>
    <mergeCell ref="B46:E47"/>
    <mergeCell ref="F46:H46"/>
    <mergeCell ref="I46:I47"/>
    <mergeCell ref="K46:K47"/>
    <mergeCell ref="F47:H47"/>
    <mergeCell ref="I38:I39"/>
    <mergeCell ref="A43:A44"/>
    <mergeCell ref="B43:E44"/>
    <mergeCell ref="F43:H43"/>
    <mergeCell ref="A41:A42"/>
    <mergeCell ref="B41:E42"/>
    <mergeCell ref="I43:I44"/>
    <mergeCell ref="K43:K44"/>
    <mergeCell ref="F44:H44"/>
    <mergeCell ref="K41:K42"/>
    <mergeCell ref="B40:E40"/>
    <mergeCell ref="A38:A39"/>
    <mergeCell ref="B38:E39"/>
    <mergeCell ref="F41:H41"/>
    <mergeCell ref="I41:I42"/>
    <mergeCell ref="F42:H42"/>
    <mergeCell ref="B45:E45"/>
    <mergeCell ref="F45:K45"/>
    <mergeCell ref="F40:K40"/>
    <mergeCell ref="A16:A17"/>
    <mergeCell ref="B16:E17"/>
    <mergeCell ref="F16:H16"/>
    <mergeCell ref="F17:H17"/>
    <mergeCell ref="F25:H25"/>
    <mergeCell ref="F27:H27"/>
    <mergeCell ref="F29:H29"/>
    <mergeCell ref="F31:H31"/>
    <mergeCell ref="F34:H34"/>
    <mergeCell ref="I27:I28"/>
    <mergeCell ref="K27:K28"/>
    <mergeCell ref="F28:H28"/>
    <mergeCell ref="B29:E30"/>
    <mergeCell ref="I29:I30"/>
    <mergeCell ref="B21:D23"/>
    <mergeCell ref="B33:E33"/>
    <mergeCell ref="F33:K33"/>
    <mergeCell ref="K34:K35"/>
  </mergeCells>
  <phoneticPr fontId="15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41:I44 I31:I32 I46:I47 I36:I38" xr:uid="{00000000-0002-0000-0F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F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  <ignoredErrors>
    <ignoredError sqref="I28 I30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>
    <pageSetUpPr fitToPage="1"/>
  </sheetPr>
  <dimension ref="A1:M30"/>
  <sheetViews>
    <sheetView view="pageBreakPreview" zoomScaleSheetLayoutView="100" workbookViewId="0">
      <pane xSplit="1" ySplit="2" topLeftCell="B3" activePane="bottomRight" state="frozen"/>
      <selection activeCell="J25" sqref="J25"/>
      <selection pane="topRight" activeCell="J25" sqref="J25"/>
      <selection pane="bottomLeft" activeCell="J25" sqref="J25"/>
      <selection pane="bottomRight" activeCell="C18" sqref="C18"/>
    </sheetView>
  </sheetViews>
  <sheetFormatPr defaultRowHeight="12.75"/>
  <cols>
    <col min="1" max="1" width="6" style="30" customWidth="1"/>
    <col min="2" max="2" width="71.85546875" style="268" customWidth="1"/>
    <col min="3" max="3" width="19.28515625" style="30" customWidth="1"/>
    <col min="4" max="16384" width="9.140625" style="30"/>
  </cols>
  <sheetData>
    <row r="1" spans="1:5" s="15" customFormat="1" ht="39.75" customHeight="1">
      <c r="B1" s="16" t="s">
        <v>599</v>
      </c>
      <c r="C1" s="16" t="s">
        <v>600</v>
      </c>
    </row>
    <row r="2" spans="1:5" s="15" customFormat="1" ht="35.25" customHeight="1">
      <c r="A2" s="195"/>
      <c r="B2" s="195" t="str">
        <f>+'Asset quality'!B3</f>
        <v>"Ўзсаноатқурилишбанк" АТБ</v>
      </c>
      <c r="C2" s="450">
        <f>+'Economic Normatives'!I2</f>
        <v>44925</v>
      </c>
    </row>
    <row r="3" spans="1:5" s="15" customFormat="1" ht="32.25" customHeight="1">
      <c r="A3" s="329">
        <v>1</v>
      </c>
      <c r="B3" s="180" t="s">
        <v>601</v>
      </c>
      <c r="C3" s="18"/>
    </row>
    <row r="4" spans="1:5" s="19" customFormat="1" ht="30" customHeight="1">
      <c r="A4" s="416" t="s">
        <v>47</v>
      </c>
      <c r="B4" s="417" t="s">
        <v>602</v>
      </c>
      <c r="C4" s="18">
        <v>3855</v>
      </c>
    </row>
    <row r="5" spans="1:5" s="19" customFormat="1" ht="30" customHeight="1">
      <c r="A5" s="416" t="s">
        <v>43</v>
      </c>
      <c r="B5" s="417" t="s">
        <v>603</v>
      </c>
      <c r="C5" s="18">
        <v>3759</v>
      </c>
    </row>
    <row r="6" spans="1:5" s="15" customFormat="1" ht="32.25" customHeight="1">
      <c r="A6" s="329">
        <v>2</v>
      </c>
      <c r="B6" s="180" t="s">
        <v>604</v>
      </c>
      <c r="C6" s="18"/>
    </row>
    <row r="7" spans="1:5" s="15" customFormat="1">
      <c r="A7" s="329"/>
      <c r="B7" s="418" t="s">
        <v>605</v>
      </c>
      <c r="C7" s="252"/>
    </row>
    <row r="8" spans="1:5" s="19" customFormat="1" ht="30" customHeight="1">
      <c r="A8" s="416" t="s">
        <v>47</v>
      </c>
      <c r="B8" s="417" t="s">
        <v>606</v>
      </c>
      <c r="C8" s="18">
        <v>1</v>
      </c>
    </row>
    <row r="9" spans="1:5" s="19" customFormat="1" ht="30" customHeight="1">
      <c r="A9" s="416" t="s">
        <v>43</v>
      </c>
      <c r="B9" s="417" t="s">
        <v>607</v>
      </c>
      <c r="C9" s="18">
        <v>0</v>
      </c>
    </row>
    <row r="10" spans="1:5" s="19" customFormat="1" ht="30" customHeight="1">
      <c r="A10" s="416" t="s">
        <v>45</v>
      </c>
      <c r="B10" s="417" t="s">
        <v>608</v>
      </c>
      <c r="C10" s="18">
        <v>32</v>
      </c>
    </row>
    <row r="11" spans="1:5" s="19" customFormat="1" ht="30" customHeight="1">
      <c r="A11" s="416" t="s">
        <v>52</v>
      </c>
      <c r="B11" s="417" t="s">
        <v>609</v>
      </c>
      <c r="C11" s="18">
        <v>87</v>
      </c>
    </row>
    <row r="12" spans="1:5" s="15" customFormat="1" ht="30" customHeight="1">
      <c r="A12" s="419">
        <v>3</v>
      </c>
      <c r="B12" s="420" t="s">
        <v>610</v>
      </c>
      <c r="C12" s="232">
        <f>C14+C15+C16</f>
        <v>1440737</v>
      </c>
    </row>
    <row r="13" spans="1:5" s="15" customFormat="1">
      <c r="A13" s="421"/>
      <c r="B13" s="422" t="s">
        <v>605</v>
      </c>
      <c r="C13" s="252"/>
    </row>
    <row r="14" spans="1:5" s="19" customFormat="1" ht="30" customHeight="1">
      <c r="A14" s="196" t="s">
        <v>47</v>
      </c>
      <c r="B14" s="422" t="s">
        <v>611</v>
      </c>
      <c r="C14" s="18">
        <v>1366032</v>
      </c>
    </row>
    <row r="15" spans="1:5" s="19" customFormat="1" ht="30" customHeight="1">
      <c r="A15" s="196" t="s">
        <v>43</v>
      </c>
      <c r="B15" s="422" t="s">
        <v>612</v>
      </c>
      <c r="C15" s="18">
        <v>30329</v>
      </c>
    </row>
    <row r="16" spans="1:5" s="19" customFormat="1" ht="30" customHeight="1">
      <c r="A16" s="196" t="s">
        <v>45</v>
      </c>
      <c r="B16" s="422" t="s">
        <v>613</v>
      </c>
      <c r="C16" s="232">
        <f>+C18+C19+C20+C21+C22</f>
        <v>44376</v>
      </c>
      <c r="E16" s="19" t="s">
        <v>785</v>
      </c>
    </row>
    <row r="17" spans="1:13" s="19" customFormat="1">
      <c r="A17" s="196"/>
      <c r="B17" s="422" t="s">
        <v>614</v>
      </c>
      <c r="C17" s="18"/>
      <c r="E17" s="19" t="s">
        <v>786</v>
      </c>
    </row>
    <row r="18" spans="1:13" s="19" customFormat="1" ht="30" customHeight="1">
      <c r="A18" s="196" t="s">
        <v>219</v>
      </c>
      <c r="B18" s="423" t="s">
        <v>615</v>
      </c>
      <c r="C18" s="18">
        <v>896</v>
      </c>
    </row>
    <row r="19" spans="1:13" s="19" customFormat="1" ht="29.25" customHeight="1">
      <c r="A19" s="196" t="s">
        <v>219</v>
      </c>
      <c r="B19" s="423" t="s">
        <v>616</v>
      </c>
      <c r="C19" s="18">
        <v>34657</v>
      </c>
    </row>
    <row r="20" spans="1:13" s="19" customFormat="1" ht="30" customHeight="1">
      <c r="A20" s="196" t="s">
        <v>219</v>
      </c>
      <c r="B20" s="423" t="s">
        <v>617</v>
      </c>
      <c r="C20" s="18">
        <v>1258</v>
      </c>
    </row>
    <row r="21" spans="1:13" s="19" customFormat="1" ht="30" customHeight="1">
      <c r="A21" s="196" t="s">
        <v>219</v>
      </c>
      <c r="B21" s="423" t="s">
        <v>618</v>
      </c>
      <c r="C21" s="18">
        <v>67</v>
      </c>
    </row>
    <row r="22" spans="1:13" s="19" customFormat="1" ht="30" customHeight="1">
      <c r="A22" s="196" t="s">
        <v>219</v>
      </c>
      <c r="B22" s="423" t="s">
        <v>619</v>
      </c>
      <c r="C22" s="18">
        <v>7498</v>
      </c>
    </row>
    <row r="23" spans="1:13" s="15" customFormat="1" ht="32.25" customHeight="1">
      <c r="A23" s="419">
        <v>4</v>
      </c>
      <c r="B23" s="192" t="s">
        <v>620</v>
      </c>
      <c r="C23" s="424"/>
    </row>
    <row r="24" spans="1:13" s="19" customFormat="1" ht="30" customHeight="1">
      <c r="A24" s="196" t="s">
        <v>47</v>
      </c>
      <c r="B24" s="422" t="s">
        <v>621</v>
      </c>
      <c r="C24" s="18" t="s">
        <v>1010</v>
      </c>
    </row>
    <row r="25" spans="1:13" s="19" customFormat="1" ht="30" customHeight="1">
      <c r="A25" s="196" t="s">
        <v>43</v>
      </c>
      <c r="B25" s="422" t="s">
        <v>622</v>
      </c>
      <c r="C25" s="18" t="s">
        <v>1011</v>
      </c>
    </row>
    <row r="26" spans="1:13" s="15" customFormat="1" ht="12" customHeight="1">
      <c r="B26" s="249"/>
    </row>
    <row r="27" spans="1:13" ht="15" customHeight="1">
      <c r="B27" s="206" t="s">
        <v>788</v>
      </c>
      <c r="F27" s="185"/>
      <c r="G27" s="185"/>
      <c r="H27" s="185"/>
      <c r="I27" s="185"/>
      <c r="J27" s="185"/>
      <c r="K27" s="185"/>
      <c r="L27" s="185"/>
      <c r="M27" s="185"/>
    </row>
    <row r="28" spans="1:13" ht="11.25" customHeight="1">
      <c r="B28" s="206"/>
      <c r="F28" s="185"/>
      <c r="G28" s="185"/>
      <c r="H28" s="185"/>
      <c r="I28" s="185"/>
      <c r="J28" s="185"/>
      <c r="K28" s="185"/>
      <c r="L28" s="185"/>
      <c r="M28" s="185"/>
    </row>
    <row r="29" spans="1:13" ht="15" customHeight="1">
      <c r="B29" s="206" t="s">
        <v>789</v>
      </c>
      <c r="F29" s="185"/>
      <c r="G29" s="185"/>
      <c r="H29" s="185"/>
      <c r="I29" s="185"/>
      <c r="J29" s="185"/>
      <c r="K29" s="185"/>
      <c r="L29" s="185"/>
      <c r="M29" s="185"/>
    </row>
    <row r="30" spans="1:13">
      <c r="A30" s="15"/>
      <c r="B30" s="206"/>
    </row>
  </sheetData>
  <sheetProtection password="CACA" sheet="1" objects="1" scenarios="1"/>
  <phoneticPr fontId="15" type="noConversion"/>
  <dataValidations count="1">
    <dataValidation type="whole" operator="greaterThanOrEqual" allowBlank="1" showErrorMessage="1" error="Введите как целое положительное число." sqref="C8 C4:C5" xr:uid="{00000000-0002-0000-10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1"/>
  <dimension ref="A1:P54"/>
  <sheetViews>
    <sheetView view="pageBreakPreview" zoomScale="70" zoomScaleNormal="40" zoomScaleSheetLayoutView="70" workbookViewId="0">
      <pane xSplit="1" ySplit="3" topLeftCell="B4" activePane="bottomRight" state="frozen"/>
      <selection activeCell="J25" sqref="J25"/>
      <selection pane="topRight" activeCell="J25" sqref="J25"/>
      <selection pane="bottomLeft" activeCell="J25" sqref="J25"/>
      <selection pane="bottomRight" activeCell="L16" sqref="L16"/>
    </sheetView>
  </sheetViews>
  <sheetFormatPr defaultColWidth="97.7109375" defaultRowHeight="18.75"/>
  <cols>
    <col min="1" max="1" width="103.140625" style="177" customWidth="1"/>
    <col min="2" max="2" width="24.85546875" style="178" bestFit="1" customWidth="1"/>
    <col min="3" max="3" width="14.7109375" style="175" customWidth="1"/>
    <col min="4" max="4" width="16.5703125" style="278" customWidth="1"/>
    <col min="5" max="5" width="25.85546875" style="178" bestFit="1" customWidth="1"/>
    <col min="6" max="6" width="9.7109375" style="178" customWidth="1"/>
    <col min="7" max="7" width="10.7109375" style="175" bestFit="1" customWidth="1"/>
    <col min="8" max="9" width="9.7109375" style="175" customWidth="1"/>
    <col min="10" max="10" width="19.140625" style="175" bestFit="1" customWidth="1"/>
    <col min="11" max="11" width="10.140625" style="178" customWidth="1"/>
    <col min="12" max="13" width="19.5703125" style="175" customWidth="1"/>
    <col min="14" max="14" width="3.85546875" style="175" bestFit="1" customWidth="1"/>
    <col min="15" max="16" width="26.140625" style="175" customWidth="1"/>
    <col min="17" max="16384" width="97.7109375" style="175"/>
  </cols>
  <sheetData>
    <row r="1" spans="1:16" s="179" customFormat="1" ht="33.75" customHeight="1">
      <c r="A1" s="738" t="s">
        <v>623</v>
      </c>
      <c r="B1" s="738"/>
      <c r="D1" s="276"/>
    </row>
    <row r="2" spans="1:16" ht="20.25">
      <c r="A2" s="482" t="str">
        <f>+'Asset quality'!B3</f>
        <v>"Ўзсаноатқурилишбанк" АТБ</v>
      </c>
      <c r="B2" s="293" t="str">
        <f>+'Asset quality'!T3</f>
        <v>минг. сўмда</v>
      </c>
      <c r="C2" s="181" t="s">
        <v>205</v>
      </c>
      <c r="D2" s="277"/>
      <c r="E2" s="201"/>
      <c r="F2" s="201"/>
      <c r="K2" s="175"/>
    </row>
    <row r="3" spans="1:16" s="176" customFormat="1" ht="47.25" customHeight="1">
      <c r="A3" s="195" t="s">
        <v>624</v>
      </c>
      <c r="B3" s="271">
        <f>+'Asset quality'!Q3</f>
        <v>44925</v>
      </c>
      <c r="C3" s="194"/>
      <c r="D3" s="277"/>
      <c r="E3" s="201"/>
      <c r="F3" s="201"/>
      <c r="K3" s="181" t="s">
        <v>757</v>
      </c>
      <c r="L3" s="183" t="s">
        <v>203</v>
      </c>
      <c r="M3" s="181" t="s">
        <v>204</v>
      </c>
      <c r="N3" s="201"/>
      <c r="O3" s="182" t="s">
        <v>201</v>
      </c>
      <c r="P3" s="184" t="s">
        <v>202</v>
      </c>
    </row>
    <row r="4" spans="1:16" ht="37.5">
      <c r="A4" s="311" t="s">
        <v>625</v>
      </c>
      <c r="B4" s="189">
        <f>IFERROR((B5/B6),0)</f>
        <v>0.15348623497276015</v>
      </c>
      <c r="D4" s="277"/>
      <c r="E4" s="201"/>
      <c r="F4" s="201"/>
      <c r="G4" s="176"/>
      <c r="H4" s="176"/>
      <c r="I4" s="176"/>
      <c r="J4" s="312" t="s">
        <v>217</v>
      </c>
      <c r="K4" s="178">
        <v>1</v>
      </c>
      <c r="L4" s="212">
        <v>56511320290</v>
      </c>
      <c r="M4" s="212">
        <v>7700913106</v>
      </c>
      <c r="N4" s="201"/>
      <c r="O4" s="176"/>
      <c r="P4" s="176"/>
    </row>
    <row r="5" spans="1:16" ht="24" customHeight="1">
      <c r="A5" s="313" t="s">
        <v>562</v>
      </c>
      <c r="B5" s="190">
        <f>+'[9]Bank Capital Calc'!$C$44</f>
        <v>8848699308</v>
      </c>
      <c r="D5" s="277"/>
      <c r="E5" s="201"/>
      <c r="F5" s="201"/>
      <c r="G5" s="176"/>
      <c r="H5" s="176"/>
      <c r="I5" s="176"/>
      <c r="J5" s="312" t="s">
        <v>206</v>
      </c>
      <c r="K5" s="178">
        <v>2</v>
      </c>
      <c r="L5" s="212">
        <v>55523399830</v>
      </c>
      <c r="M5" s="212">
        <v>7832932573</v>
      </c>
      <c r="N5" s="175">
        <v>1</v>
      </c>
      <c r="O5" s="425">
        <f>+(L4+L5)/2</f>
        <v>56017360060</v>
      </c>
      <c r="P5" s="425">
        <f>+(M4+M5)/2</f>
        <v>7766922839.5</v>
      </c>
    </row>
    <row r="6" spans="1:16" ht="24" customHeight="1">
      <c r="A6" s="314" t="s">
        <v>626</v>
      </c>
      <c r="B6" s="191">
        <f>+'[9]Bank Capital Calc'!$C$45</f>
        <v>57651419422.532684</v>
      </c>
      <c r="D6" s="277"/>
      <c r="E6" s="201"/>
      <c r="F6" s="201"/>
      <c r="G6" s="176"/>
      <c r="H6" s="176"/>
      <c r="I6" s="176"/>
      <c r="J6" s="312" t="s">
        <v>207</v>
      </c>
      <c r="K6" s="178">
        <v>3</v>
      </c>
      <c r="L6" s="212">
        <v>55157709999</v>
      </c>
      <c r="M6" s="212">
        <v>7467265410</v>
      </c>
      <c r="N6" s="175">
        <v>2</v>
      </c>
      <c r="O6" s="425">
        <f>+(L4+L5+L6)/3</f>
        <v>55730810039.666664</v>
      </c>
      <c r="P6" s="425">
        <f>+(M4+M5+M6)/3</f>
        <v>7667037029.666667</v>
      </c>
    </row>
    <row r="7" spans="1:16" ht="37.5">
      <c r="A7" s="311" t="s">
        <v>627</v>
      </c>
      <c r="B7" s="189">
        <f>IFERROR((B8/B9),0)</f>
        <v>0.12097058526670391</v>
      </c>
      <c r="D7" s="277"/>
      <c r="E7" s="201"/>
      <c r="F7" s="201"/>
      <c r="G7" s="176"/>
      <c r="H7" s="176"/>
      <c r="I7" s="176"/>
      <c r="J7" s="312" t="s">
        <v>208</v>
      </c>
      <c r="K7" s="178">
        <v>4</v>
      </c>
      <c r="L7" s="212">
        <v>55895944906</v>
      </c>
      <c r="M7" s="212">
        <v>7559002366</v>
      </c>
      <c r="N7" s="175">
        <v>3</v>
      </c>
      <c r="O7" s="426">
        <f>+(L4+L7)/2</f>
        <v>56203632598</v>
      </c>
      <c r="P7" s="426">
        <f>+(M4+M7)/2</f>
        <v>7629957736</v>
      </c>
    </row>
    <row r="8" spans="1:16" ht="24" customHeight="1">
      <c r="A8" s="313" t="s">
        <v>564</v>
      </c>
      <c r="B8" s="190">
        <f>+'[9]Bank Capital Calc'!$C$34</f>
        <v>6974125949</v>
      </c>
      <c r="D8" s="277"/>
      <c r="E8" s="201"/>
      <c r="F8" s="201"/>
      <c r="G8" s="176"/>
      <c r="H8" s="176"/>
      <c r="I8" s="176"/>
      <c r="J8" s="312" t="s">
        <v>209</v>
      </c>
      <c r="K8" s="178">
        <v>5</v>
      </c>
      <c r="L8" s="212">
        <v>55601323664</v>
      </c>
      <c r="M8" s="212">
        <v>7641335641</v>
      </c>
      <c r="N8" s="175">
        <v>4</v>
      </c>
      <c r="O8" s="425">
        <f>+(+L4+L5+L6+L7+L8)/5</f>
        <v>55737939737.800003</v>
      </c>
      <c r="P8" s="425">
        <f>+(+M4+M5+M6+M7+M8)/5</f>
        <v>7640289819.1999998</v>
      </c>
    </row>
    <row r="9" spans="1:16" ht="24" customHeight="1">
      <c r="A9" s="314" t="s">
        <v>626</v>
      </c>
      <c r="B9" s="191">
        <f>+'[9]Bank Capital Calc'!$C$45</f>
        <v>57651419422.532684</v>
      </c>
      <c r="D9" s="277"/>
      <c r="E9" s="201"/>
      <c r="F9" s="201"/>
      <c r="G9" s="176"/>
      <c r="H9" s="176"/>
      <c r="I9" s="176"/>
      <c r="J9" s="312" t="s">
        <v>210</v>
      </c>
      <c r="K9" s="178">
        <v>6</v>
      </c>
      <c r="L9" s="212">
        <v>55759201670</v>
      </c>
      <c r="M9" s="212">
        <v>7570454239</v>
      </c>
      <c r="N9" s="175">
        <v>5</v>
      </c>
      <c r="O9" s="425">
        <f>+(+L4+L5+L6+L7+L8+L9)/6</f>
        <v>55741483393.166664</v>
      </c>
      <c r="P9" s="425">
        <f>+(+M4+M5+M6+M7+M8+M9)/6</f>
        <v>7628650555.833333</v>
      </c>
    </row>
    <row r="10" spans="1:16" ht="24" customHeight="1">
      <c r="A10" s="311" t="s">
        <v>628</v>
      </c>
      <c r="B10" s="189">
        <f>IFERROR((B11/B12),0)</f>
        <v>9.5233133164396064E-2</v>
      </c>
      <c r="D10" s="277"/>
      <c r="E10" s="201"/>
      <c r="F10" s="201"/>
      <c r="G10" s="176"/>
      <c r="H10" s="176"/>
      <c r="I10" s="176"/>
      <c r="J10" s="312" t="s">
        <v>211</v>
      </c>
      <c r="K10" s="178">
        <v>7</v>
      </c>
      <c r="L10" s="212">
        <v>56994110443</v>
      </c>
      <c r="M10" s="212">
        <v>7657264135</v>
      </c>
      <c r="N10" s="175">
        <v>6</v>
      </c>
      <c r="O10" s="426">
        <f>+(L4+L7+L10)/3</f>
        <v>56467125213</v>
      </c>
      <c r="P10" s="426">
        <f>+(M4+M7+M10)/3</f>
        <v>7639059869</v>
      </c>
    </row>
    <row r="11" spans="1:16" ht="24" customHeight="1">
      <c r="A11" s="313" t="s">
        <v>629</v>
      </c>
      <c r="B11" s="190">
        <f>+('Asset Classification'!M31-'Asset Classification'!O31+'Asset Classification'!Q31-'Asset Classification'!S31+'Asset Classification'!U31-'Asset Classification'!W31)</f>
        <v>745496508</v>
      </c>
      <c r="D11" s="277"/>
      <c r="E11" s="201"/>
      <c r="F11" s="201"/>
      <c r="G11" s="176"/>
      <c r="H11" s="176"/>
      <c r="I11" s="176"/>
      <c r="J11" s="312" t="s">
        <v>212</v>
      </c>
      <c r="K11" s="178">
        <v>8</v>
      </c>
      <c r="L11" s="212">
        <v>58771401258</v>
      </c>
      <c r="M11" s="212">
        <v>7658691235</v>
      </c>
      <c r="N11" s="175">
        <v>7</v>
      </c>
      <c r="O11" s="425">
        <f>(L4+L5+L6+L7+L8+L9+L10+L11)/8</f>
        <v>56276801507.5</v>
      </c>
      <c r="P11" s="425">
        <f>(M4+M5+M6+M7+M8+M9+M10+M11)/8</f>
        <v>7635982338.125</v>
      </c>
    </row>
    <row r="12" spans="1:16" ht="24" customHeight="1">
      <c r="A12" s="314" t="s">
        <v>630</v>
      </c>
      <c r="B12" s="191">
        <f>+B35</f>
        <v>7828121193</v>
      </c>
      <c r="D12" s="277"/>
      <c r="E12" s="201"/>
      <c r="F12" s="201"/>
      <c r="G12" s="176"/>
      <c r="H12" s="176"/>
      <c r="I12" s="176"/>
      <c r="J12" s="312" t="s">
        <v>213</v>
      </c>
      <c r="K12" s="178">
        <v>9</v>
      </c>
      <c r="L12" s="212">
        <v>60750148337</v>
      </c>
      <c r="M12" s="212">
        <v>7687279666</v>
      </c>
      <c r="N12" s="175">
        <v>8</v>
      </c>
      <c r="O12" s="425">
        <f>(L4+L5+L6+L7+L8+L9+L10+L11+L12)/9</f>
        <v>56773840044.111115</v>
      </c>
      <c r="P12" s="425">
        <f>(M4+M5+M6+M7+M8+M9+M10+M11+M12)/9</f>
        <v>7641682041.2222223</v>
      </c>
    </row>
    <row r="13" spans="1:16" ht="24" customHeight="1">
      <c r="A13" s="311" t="s">
        <v>631</v>
      </c>
      <c r="B13" s="189">
        <f>IFERROR((B14/B15),0)</f>
        <v>2.8261289072293826E-2</v>
      </c>
      <c r="D13" s="277"/>
      <c r="E13" s="201"/>
      <c r="F13" s="201"/>
      <c r="G13" s="176"/>
      <c r="H13" s="176"/>
      <c r="I13" s="176"/>
      <c r="J13" s="312" t="s">
        <v>214</v>
      </c>
      <c r="K13" s="178">
        <v>10</v>
      </c>
      <c r="L13" s="212">
        <v>60652982124</v>
      </c>
      <c r="M13" s="212">
        <v>7720827039</v>
      </c>
      <c r="N13" s="175">
        <v>9</v>
      </c>
      <c r="O13" s="426">
        <f>+(L4+L7+L10+L13)/4</f>
        <v>57513589440.75</v>
      </c>
      <c r="P13" s="426">
        <f>+(M4+M7+M10+M13)/4</f>
        <v>7659501661.5</v>
      </c>
    </row>
    <row r="14" spans="1:16" ht="24" customHeight="1">
      <c r="A14" s="313" t="s">
        <v>632</v>
      </c>
      <c r="B14" s="190">
        <f>+('Asset Classification'!M31+'Asset Classification'!Q31+'Asset Classification'!U31)</f>
        <v>1358686480</v>
      </c>
      <c r="D14" s="277"/>
      <c r="E14" s="201"/>
      <c r="F14" s="201"/>
      <c r="G14" s="176"/>
      <c r="H14" s="176"/>
      <c r="I14" s="176"/>
      <c r="J14" s="312" t="s">
        <v>215</v>
      </c>
      <c r="K14" s="178">
        <v>11</v>
      </c>
      <c r="L14" s="212">
        <v>62273292732</v>
      </c>
      <c r="M14" s="212">
        <v>7753659396</v>
      </c>
      <c r="N14" s="175">
        <v>10</v>
      </c>
      <c r="O14" s="425">
        <f>(+L4+L5+L6+L7+L8+L9+L10+L11+L12+L13+L14)/11</f>
        <v>57626439568.454544</v>
      </c>
      <c r="P14" s="425">
        <f>(+M4+M5+M6+M7+M8+M9+M10+M11+M12+M13+M14)/11</f>
        <v>7659056800.545455</v>
      </c>
    </row>
    <row r="15" spans="1:16" ht="24" customHeight="1">
      <c r="A15" s="314" t="s">
        <v>633</v>
      </c>
      <c r="B15" s="191">
        <f>+'Loans Receivable'!C85</f>
        <v>48075884880</v>
      </c>
      <c r="D15" s="277"/>
      <c r="E15" s="201"/>
      <c r="F15" s="201"/>
      <c r="G15" s="176"/>
      <c r="H15" s="176"/>
      <c r="I15" s="176"/>
      <c r="J15" s="312" t="s">
        <v>216</v>
      </c>
      <c r="K15" s="178">
        <v>12</v>
      </c>
      <c r="L15" s="212">
        <v>65785905389</v>
      </c>
      <c r="M15" s="212">
        <v>7772869140</v>
      </c>
      <c r="N15" s="175">
        <v>11</v>
      </c>
      <c r="O15" s="425">
        <f>(+L4+L5+L6+L7+L8+L9+L10+L11+L12+L13+L14+L15)/12</f>
        <v>58306395053.5</v>
      </c>
      <c r="P15" s="425">
        <f>(+M4+M5+M6+M7+M8+M9+M10+M11+M12+M13+M14+M15)/12</f>
        <v>7668541162.166667</v>
      </c>
    </row>
    <row r="16" spans="1:16" ht="24" customHeight="1">
      <c r="A16" s="311" t="s">
        <v>634</v>
      </c>
      <c r="B16" s="189">
        <f>IFERROR((B17/B18),0)</f>
        <v>1.3960486761032738E-2</v>
      </c>
      <c r="D16" s="277"/>
      <c r="E16" s="201"/>
      <c r="F16" s="201"/>
      <c r="G16" s="176"/>
      <c r="H16" s="176"/>
      <c r="I16" s="176"/>
      <c r="J16" s="312" t="s">
        <v>217</v>
      </c>
      <c r="K16" s="178">
        <v>13</v>
      </c>
      <c r="L16" s="212">
        <v>64263771349</v>
      </c>
      <c r="M16" s="212">
        <v>7828121193</v>
      </c>
      <c r="N16" s="175">
        <v>12</v>
      </c>
      <c r="O16" s="426">
        <f>+(L4+L7+L10+L13+L16)/5</f>
        <v>58863625822.400002</v>
      </c>
      <c r="P16" s="426">
        <f>+(M4+M7+M10+M13+M16)/5</f>
        <v>7693225567.8000002</v>
      </c>
    </row>
    <row r="17" spans="1:16" ht="24" customHeight="1">
      <c r="A17" s="313" t="s">
        <v>635</v>
      </c>
      <c r="B17" s="190">
        <f>(+'Income '!C71)/MONTH(B3)*12</f>
        <v>821764869</v>
      </c>
      <c r="C17" s="188"/>
      <c r="D17" s="277"/>
      <c r="E17" s="201"/>
      <c r="F17" s="201"/>
      <c r="G17" s="176"/>
      <c r="H17" s="176"/>
      <c r="I17" s="176"/>
      <c r="J17" s="278"/>
      <c r="K17" s="175"/>
      <c r="O17" s="425"/>
      <c r="P17" s="425"/>
    </row>
    <row r="18" spans="1:16" ht="24" customHeight="1">
      <c r="A18" s="314" t="s">
        <v>636</v>
      </c>
      <c r="B18" s="191">
        <f>VLOOKUP(MONTH(B3),$N$4:$P$16,2,0)</f>
        <v>58863625822.400002</v>
      </c>
      <c r="D18" s="277"/>
      <c r="E18" s="201"/>
      <c r="F18" s="201"/>
      <c r="G18" s="176"/>
      <c r="H18" s="176"/>
      <c r="I18" s="176"/>
      <c r="J18" s="278"/>
      <c r="K18" s="175"/>
    </row>
    <row r="19" spans="1:16" ht="24" customHeight="1">
      <c r="A19" s="315" t="s">
        <v>637</v>
      </c>
      <c r="B19" s="189">
        <f>IFERROR((B20/B21),0)</f>
        <v>7.6552681812034257E-2</v>
      </c>
      <c r="D19" s="277"/>
      <c r="E19" s="201"/>
      <c r="F19" s="201"/>
      <c r="G19" s="176"/>
      <c r="H19" s="176"/>
      <c r="I19" s="176"/>
      <c r="K19" s="175"/>
    </row>
    <row r="20" spans="1:16" ht="24" customHeight="1">
      <c r="A20" s="316" t="s">
        <v>638</v>
      </c>
      <c r="B20" s="190">
        <f>(+'Income '!C78)/MONTH(B3)*12</f>
        <v>588937049</v>
      </c>
      <c r="D20" s="277"/>
      <c r="E20" s="201"/>
      <c r="F20" s="201"/>
      <c r="G20" s="176"/>
      <c r="H20" s="176"/>
      <c r="I20" s="176"/>
      <c r="K20" s="175"/>
    </row>
    <row r="21" spans="1:16" ht="24" customHeight="1">
      <c r="A21" s="317" t="s">
        <v>639</v>
      </c>
      <c r="B21" s="191">
        <f>VLOOKUP(MONTH(B3),$N$4:$P$16,3,0)</f>
        <v>7693225567.8000002</v>
      </c>
      <c r="D21" s="277"/>
      <c r="E21" s="201"/>
      <c r="F21" s="201"/>
      <c r="G21" s="176"/>
      <c r="H21" s="176"/>
      <c r="I21" s="176"/>
      <c r="K21" s="175"/>
    </row>
    <row r="22" spans="1:16" ht="24" customHeight="1">
      <c r="A22" s="315" t="s">
        <v>640</v>
      </c>
      <c r="B22" s="189">
        <f>IFERROR((B23/B24),0)</f>
        <v>0.47263461220275876</v>
      </c>
      <c r="D22" s="277"/>
      <c r="E22" s="201"/>
      <c r="F22" s="201"/>
      <c r="G22" s="176"/>
      <c r="H22" s="176"/>
      <c r="I22" s="176"/>
      <c r="K22" s="175"/>
    </row>
    <row r="23" spans="1:16" ht="24" customHeight="1">
      <c r="A23" s="316" t="s">
        <v>641</v>
      </c>
      <c r="B23" s="190">
        <f>+'Income '!C29</f>
        <v>2595242711</v>
      </c>
      <c r="D23" s="277"/>
      <c r="E23" s="201"/>
      <c r="F23" s="201"/>
      <c r="G23" s="176"/>
      <c r="H23" s="176"/>
      <c r="I23" s="176"/>
      <c r="K23" s="175"/>
    </row>
    <row r="24" spans="1:16" ht="24" customHeight="1">
      <c r="A24" s="317" t="s">
        <v>642</v>
      </c>
      <c r="B24" s="191">
        <f>+B27</f>
        <v>5491012812</v>
      </c>
      <c r="D24" s="277"/>
      <c r="E24" s="201"/>
      <c r="F24" s="201"/>
      <c r="G24" s="176"/>
      <c r="H24" s="176"/>
      <c r="I24" s="176"/>
      <c r="K24" s="175"/>
    </row>
    <row r="25" spans="1:16" ht="24" customHeight="1">
      <c r="A25" s="315" t="s">
        <v>643</v>
      </c>
      <c r="B25" s="189">
        <f>IFERROR((B26/B27),0)</f>
        <v>0.40109498109107672</v>
      </c>
      <c r="D25" s="277"/>
      <c r="E25" s="201"/>
      <c r="F25" s="201"/>
      <c r="G25" s="176"/>
      <c r="H25" s="176"/>
      <c r="I25" s="176"/>
      <c r="K25" s="175"/>
    </row>
    <row r="26" spans="1:16" ht="24" customHeight="1">
      <c r="A26" s="316" t="s">
        <v>644</v>
      </c>
      <c r="B26" s="190">
        <f>+'Income '!C53+'Income '!C69</f>
        <v>2202417680</v>
      </c>
      <c r="D26" s="277"/>
      <c r="E26" s="201"/>
      <c r="F26" s="201"/>
      <c r="G26" s="176"/>
      <c r="H26" s="176"/>
      <c r="I26" s="176"/>
      <c r="K26" s="175"/>
    </row>
    <row r="27" spans="1:16" ht="24" customHeight="1">
      <c r="A27" s="317" t="s">
        <v>642</v>
      </c>
      <c r="B27" s="191">
        <f>+'Income '!C29+'Income '!C45</f>
        <v>5491012812</v>
      </c>
      <c r="D27" s="277"/>
      <c r="E27" s="201"/>
      <c r="F27" s="201"/>
      <c r="G27" s="176"/>
      <c r="H27" s="176"/>
      <c r="I27" s="176"/>
      <c r="K27" s="175"/>
    </row>
    <row r="28" spans="1:16" ht="24" customHeight="1">
      <c r="A28" s="315" t="s">
        <v>645</v>
      </c>
      <c r="B28" s="189">
        <f>IFERROR((B29/B30),0)</f>
        <v>0.15126938232751677</v>
      </c>
      <c r="D28" s="277"/>
      <c r="E28" s="201"/>
      <c r="F28" s="201"/>
      <c r="G28" s="176"/>
      <c r="H28" s="176"/>
      <c r="I28" s="176"/>
      <c r="K28" s="175"/>
    </row>
    <row r="29" spans="1:16" ht="24" customHeight="1">
      <c r="A29" s="316" t="s">
        <v>646</v>
      </c>
      <c r="B29" s="190">
        <f>+B32</f>
        <v>9721140998</v>
      </c>
      <c r="D29" s="277"/>
      <c r="E29" s="201"/>
      <c r="F29" s="201"/>
      <c r="G29" s="176"/>
      <c r="H29" s="176"/>
      <c r="I29" s="176"/>
      <c r="K29" s="175"/>
    </row>
    <row r="30" spans="1:16" ht="24" customHeight="1">
      <c r="A30" s="317" t="s">
        <v>282</v>
      </c>
      <c r="B30" s="191">
        <f>+B36</f>
        <v>64263771349</v>
      </c>
      <c r="D30" s="277"/>
      <c r="E30" s="201"/>
      <c r="F30" s="201"/>
      <c r="G30" s="176"/>
      <c r="H30" s="176"/>
      <c r="I30" s="176"/>
      <c r="K30" s="175"/>
    </row>
    <row r="31" spans="1:16" ht="24" customHeight="1">
      <c r="A31" s="315" t="s">
        <v>647</v>
      </c>
      <c r="B31" s="189">
        <f>IFERROR((B29/B33),0)</f>
        <v>0.35841329400768612</v>
      </c>
      <c r="D31" s="277"/>
      <c r="E31" s="201"/>
      <c r="F31" s="201"/>
      <c r="G31" s="176"/>
      <c r="H31" s="176"/>
      <c r="I31" s="176"/>
      <c r="K31" s="175"/>
    </row>
    <row r="32" spans="1:16" ht="24" customHeight="1">
      <c r="A32" s="316" t="s">
        <v>646</v>
      </c>
      <c r="B32" s="190">
        <f>+B54</f>
        <v>9721140998</v>
      </c>
      <c r="D32" s="277"/>
      <c r="E32" s="201"/>
      <c r="F32" s="201"/>
      <c r="G32" s="176"/>
      <c r="H32" s="176"/>
      <c r="I32" s="176"/>
      <c r="K32" s="175"/>
    </row>
    <row r="33" spans="1:13" ht="24" customHeight="1">
      <c r="A33" s="317" t="s">
        <v>648</v>
      </c>
      <c r="B33" s="191">
        <f>+('[8]Bank Liabilities Analysis'!$C$40+'[8]Bank Liabilities Analysis'!$E$40+'[8]Bank Liabilities Analysis'!$G$40+'[8]Bank Liabilities Analysis'!$I$40+'[8]Bank Liabilities Analysis'!$K$40+'[8]Bank Liabilities Analysis'!$M$40)</f>
        <v>27122713249</v>
      </c>
      <c r="D33" s="277"/>
      <c r="E33" s="201"/>
      <c r="F33" s="201"/>
      <c r="G33" s="176"/>
      <c r="H33" s="176"/>
      <c r="I33" s="176"/>
      <c r="K33" s="175"/>
    </row>
    <row r="34" spans="1:13" ht="24" customHeight="1">
      <c r="A34" s="315" t="s">
        <v>649</v>
      </c>
      <c r="B34" s="189">
        <f>IFERROR((B35/B36),0)</f>
        <v>0.12181235288055986</v>
      </c>
      <c r="D34" s="277"/>
      <c r="E34" s="201"/>
      <c r="F34" s="201"/>
      <c r="G34" s="176"/>
      <c r="H34" s="176"/>
      <c r="I34" s="176"/>
      <c r="K34" s="175"/>
    </row>
    <row r="35" spans="1:13" ht="24" customHeight="1">
      <c r="A35" s="316" t="s">
        <v>630</v>
      </c>
      <c r="B35" s="190">
        <f>+[8]Balance!$C$78</f>
        <v>7828121193</v>
      </c>
      <c r="D35" s="277"/>
      <c r="E35" s="201"/>
      <c r="F35" s="201"/>
      <c r="G35" s="176"/>
      <c r="H35" s="176"/>
      <c r="I35" s="176"/>
      <c r="K35" s="175"/>
    </row>
    <row r="36" spans="1:13" ht="24" customHeight="1">
      <c r="A36" s="317" t="s">
        <v>282</v>
      </c>
      <c r="B36" s="191">
        <f>+[8]Balance!$C$47</f>
        <v>64263771349</v>
      </c>
      <c r="D36" s="277"/>
      <c r="E36" s="201"/>
      <c r="F36" s="201"/>
      <c r="G36" s="176"/>
      <c r="H36" s="176"/>
      <c r="I36" s="176"/>
      <c r="K36" s="175"/>
    </row>
    <row r="37" spans="1:13" ht="24" customHeight="1">
      <c r="A37" s="315" t="s">
        <v>650</v>
      </c>
      <c r="B37" s="189">
        <f>IFERROR((B38/B39),0)</f>
        <v>3.738791656185847E-2</v>
      </c>
      <c r="D37" s="277"/>
      <c r="E37" s="201"/>
      <c r="F37" s="201"/>
      <c r="G37" s="176"/>
      <c r="H37" s="176"/>
      <c r="I37" s="176"/>
      <c r="K37" s="175"/>
    </row>
    <row r="38" spans="1:13" ht="24" customHeight="1">
      <c r="A38" s="316" t="s">
        <v>651</v>
      </c>
      <c r="B38" s="190">
        <f>+'[9]Calculation of Risk'!$C$26</f>
        <v>292677142</v>
      </c>
      <c r="D38" s="277"/>
      <c r="E38" s="201"/>
      <c r="F38" s="201"/>
      <c r="G38" s="176"/>
      <c r="H38" s="176"/>
      <c r="I38" s="176"/>
      <c r="K38" s="175"/>
    </row>
    <row r="39" spans="1:13" ht="24" customHeight="1">
      <c r="A39" s="317" t="s">
        <v>630</v>
      </c>
      <c r="B39" s="191">
        <f>+B35</f>
        <v>7828121193</v>
      </c>
      <c r="D39" s="277"/>
      <c r="E39" s="201"/>
      <c r="F39" s="201"/>
      <c r="G39" s="176"/>
      <c r="H39" s="176"/>
      <c r="I39" s="176"/>
      <c r="K39" s="175"/>
    </row>
    <row r="40" spans="1:13">
      <c r="E40" s="175"/>
      <c r="F40" s="175"/>
      <c r="K40" s="175"/>
    </row>
    <row r="41" spans="1:13" s="30" customFormat="1" ht="18">
      <c r="A41" s="481" t="s">
        <v>788</v>
      </c>
      <c r="F41" s="185"/>
      <c r="G41" s="185"/>
      <c r="H41" s="185"/>
      <c r="I41" s="185"/>
      <c r="J41" s="185"/>
      <c r="K41" s="185"/>
      <c r="L41" s="185"/>
      <c r="M41" s="185"/>
    </row>
    <row r="42" spans="1:13" s="30" customFormat="1" ht="11.25" customHeight="1">
      <c r="A42" s="481"/>
      <c r="F42" s="185"/>
      <c r="G42" s="185"/>
      <c r="H42" s="185"/>
      <c r="I42" s="185"/>
      <c r="J42" s="185"/>
      <c r="K42" s="185"/>
      <c r="L42" s="185"/>
      <c r="M42" s="185"/>
    </row>
    <row r="43" spans="1:13" s="30" customFormat="1" ht="18">
      <c r="A43" s="481" t="s">
        <v>789</v>
      </c>
      <c r="F43" s="185"/>
      <c r="G43" s="185"/>
      <c r="H43" s="185"/>
      <c r="I43" s="185"/>
      <c r="J43" s="185"/>
      <c r="K43" s="185"/>
      <c r="L43" s="185"/>
      <c r="M43" s="185"/>
    </row>
    <row r="44" spans="1:13" s="174" customFormat="1" ht="15.75">
      <c r="A44" s="173"/>
      <c r="D44" s="279"/>
      <c r="J44" s="172"/>
    </row>
    <row r="46" spans="1:13">
      <c r="A46" s="100" t="s">
        <v>758</v>
      </c>
      <c r="B46" s="100" t="s">
        <v>235</v>
      </c>
    </row>
    <row r="47" spans="1:13" s="30" customFormat="1" ht="13.5" customHeight="1">
      <c r="A47" s="180" t="s">
        <v>759</v>
      </c>
      <c r="B47" s="474">
        <f>+'[8]Liquidity Analysis'!C51</f>
        <v>1558320835</v>
      </c>
      <c r="C47" s="175"/>
      <c r="D47" s="278"/>
      <c r="E47" s="178"/>
      <c r="F47" s="185"/>
      <c r="G47" s="185"/>
      <c r="H47" s="186"/>
      <c r="I47" s="186"/>
      <c r="J47" s="185"/>
      <c r="K47" s="185"/>
      <c r="L47" s="185"/>
    </row>
    <row r="48" spans="1:13" s="30" customFormat="1" ht="13.5" customHeight="1">
      <c r="A48" s="180" t="s">
        <v>760</v>
      </c>
      <c r="B48" s="474">
        <f>+'[8]Liquidity Analysis'!C52</f>
        <v>1510578445</v>
      </c>
      <c r="C48" s="175"/>
      <c r="D48" s="278"/>
      <c r="E48" s="178"/>
      <c r="F48" s="185"/>
      <c r="G48" s="185"/>
      <c r="H48" s="186"/>
      <c r="I48" s="186"/>
      <c r="J48" s="185"/>
      <c r="K48" s="185"/>
      <c r="L48" s="185"/>
    </row>
    <row r="49" spans="1:12" s="30" customFormat="1" ht="13.5" customHeight="1">
      <c r="A49" s="180" t="s">
        <v>761</v>
      </c>
      <c r="B49" s="474">
        <f>+'[8]Liquidity Analysis'!C53</f>
        <v>2559107864</v>
      </c>
      <c r="C49" s="175"/>
      <c r="D49" s="278"/>
      <c r="E49" s="178"/>
      <c r="F49" s="185"/>
      <c r="G49" s="185"/>
      <c r="H49" s="186"/>
      <c r="I49" s="186"/>
      <c r="J49" s="185"/>
      <c r="K49" s="185"/>
      <c r="L49" s="185"/>
    </row>
    <row r="50" spans="1:12" s="30" customFormat="1" ht="13.5" customHeight="1">
      <c r="A50" s="180" t="s">
        <v>762</v>
      </c>
      <c r="B50" s="474">
        <f>+'[8]Liquidity Analysis'!C54</f>
        <v>1346109254</v>
      </c>
      <c r="C50" s="175"/>
      <c r="D50" s="278"/>
      <c r="E50" s="178"/>
      <c r="F50" s="187"/>
      <c r="G50" s="187"/>
      <c r="H50" s="187"/>
      <c r="I50" s="186"/>
      <c r="J50" s="185"/>
      <c r="K50" s="185"/>
      <c r="L50" s="185"/>
    </row>
    <row r="51" spans="1:12" s="30" customFormat="1" ht="27.75" customHeight="1">
      <c r="A51" s="180" t="s">
        <v>763</v>
      </c>
      <c r="B51" s="474">
        <f>+'[8]Liquidity Analysis'!C55</f>
        <v>2747024600</v>
      </c>
      <c r="C51" s="175"/>
      <c r="D51" s="278"/>
      <c r="E51" s="178"/>
      <c r="F51" s="185"/>
      <c r="G51" s="185"/>
      <c r="H51" s="186"/>
      <c r="I51" s="186"/>
      <c r="J51" s="185"/>
      <c r="K51" s="185"/>
      <c r="L51" s="185"/>
    </row>
    <row r="52" spans="1:12" s="30" customFormat="1" ht="13.5" customHeight="1">
      <c r="A52" s="180" t="s">
        <v>764</v>
      </c>
      <c r="B52" s="474">
        <f>+'[8]Liquidity Analysis'!C56</f>
        <v>0</v>
      </c>
      <c r="C52" s="175"/>
      <c r="D52" s="278"/>
      <c r="E52" s="178"/>
      <c r="F52" s="185"/>
      <c r="G52" s="185"/>
      <c r="H52" s="186"/>
      <c r="I52" s="186"/>
      <c r="J52" s="185"/>
      <c r="K52" s="185"/>
      <c r="L52" s="185"/>
    </row>
    <row r="53" spans="1:12" s="30" customFormat="1" ht="13.5" customHeight="1">
      <c r="A53" s="180" t="s">
        <v>765</v>
      </c>
      <c r="B53" s="474">
        <f>+'[8]Liquidity Analysis'!C57</f>
        <v>0</v>
      </c>
      <c r="C53" s="175"/>
      <c r="D53" s="278"/>
      <c r="E53" s="178"/>
      <c r="F53" s="185"/>
      <c r="G53" s="185"/>
      <c r="H53" s="186"/>
      <c r="I53" s="186"/>
      <c r="J53" s="185"/>
      <c r="K53" s="185"/>
      <c r="L53" s="185"/>
    </row>
    <row r="54" spans="1:12" s="30" customFormat="1" ht="13.5" customHeight="1">
      <c r="A54" s="192" t="s">
        <v>766</v>
      </c>
      <c r="B54" s="513">
        <f>+'[8]Liquidity Analysis'!C58</f>
        <v>9721140998</v>
      </c>
      <c r="C54" s="175"/>
      <c r="D54" s="278"/>
      <c r="E54" s="178"/>
      <c r="F54" s="185"/>
      <c r="G54" s="185"/>
      <c r="H54" s="186"/>
      <c r="I54" s="187"/>
      <c r="J54" s="185"/>
      <c r="K54" s="185"/>
      <c r="L54" s="185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disablePrompts="1" count="1">
    <dataValidation allowBlank="1" showErrorMessage="1" prompt="Введите самостоятельно рассчитанный коэффициент" sqref="B46" xr:uid="{00000000-0002-0000-11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Nodir N. Mirmaxmudov</cp:lastModifiedBy>
  <cp:lastPrinted>2022-12-24T04:55:07Z</cp:lastPrinted>
  <dcterms:created xsi:type="dcterms:W3CDTF">2014-01-27T05:06:32Z</dcterms:created>
  <dcterms:modified xsi:type="dcterms:W3CDTF">2023-01-09T12:30:39Z</dcterms:modified>
</cp:coreProperties>
</file>