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ЭтаКнига" defaultThemeVersion="124226"/>
  <mc:AlternateContent xmlns:mc="http://schemas.openxmlformats.org/markup-compatibility/2006">
    <mc:Choice Requires="x15">
      <x15ac:absPath xmlns:x15ac="http://schemas.microsoft.com/office/spreadsheetml/2010/11/ac" url="\\172.25.53.101\share\21-табл\2025\01.01.2025\"/>
    </mc:Choice>
  </mc:AlternateContent>
  <xr:revisionPtr revIDLastSave="0" documentId="13_ncr:1_{C680FC4A-8B44-4CF8-9ACB-EC57C4821FFF}" xr6:coauthVersionLast="47" xr6:coauthVersionMax="47" xr10:uidLastSave="{00000000-0000-0000-0000-000000000000}"/>
  <bookViews>
    <workbookView xWindow="3465" yWindow="345" windowWidth="21630" windowHeight="14790" tabRatio="889" xr2:uid="{00000000-000D-0000-FFFF-FFFF00000000}"/>
  </bookViews>
  <sheets>
    <sheet name="Bank Capital Calc" sheetId="27" r:id="rId1"/>
    <sheet name="Лист1" sheetId="42" r:id="rId2"/>
    <sheet name="Bank Capital Calc (2)" sheetId="41" state="hidden" r:id="rId3"/>
    <sheet name="Calculation of Risk Weighted As" sheetId="5" r:id="rId4"/>
    <sheet name="Calculation of Risk Weighte нац" sheetId="38" r:id="rId5"/>
    <sheet name="Calculation of Risk Weighte ин" sheetId="39" r:id="rId6"/>
    <sheet name="Calculation of Risk" sheetId="23" r:id="rId7"/>
  </sheets>
  <externalReferences>
    <externalReference r:id="rId8"/>
    <externalReference r:id="rId9"/>
    <externalReference r:id="rId10"/>
    <externalReference r:id="rId11"/>
    <externalReference r:id="rId12"/>
    <externalReference r:id="rId13"/>
    <externalReference r:id="rId14"/>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2">#REF!</definedName>
    <definedName name="kol" localSheetId="2">#REF!</definedName>
    <definedName name="TwentyLargestData" localSheetId="2">#REF!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2">#REF!</definedName>
    <definedName name="_xlnm.Print_Area" localSheetId="0">'Bank Capital Calc'!$A$1:$C$61</definedName>
    <definedName name="_xlnm.Print_Area" localSheetId="2">'Bank Capital Calc (2)'!$A$1:$C$55</definedName>
    <definedName name="_xlnm.Print_Area" localSheetId="6">'Calculation of Risk'!$A$1:$C$32</definedName>
    <definedName name="_xlnm.Print_Area" localSheetId="5">'Calculation of Risk Weighte ин'!$A$1:$K$89</definedName>
    <definedName name="_xlnm.Print_Area" localSheetId="4">'Calculation of Risk Weighte нац'!$A$1:$K$93</definedName>
    <definedName name="_xlnm.Print_Area" localSheetId="3">'Calculation of Risk Weighted As'!$A$1:$K$93</definedName>
  </definedNames>
  <calcPr calcId="191029"/>
</workbook>
</file>

<file path=xl/calcChain.xml><?xml version="1.0" encoding="utf-8"?>
<calcChain xmlns="http://schemas.openxmlformats.org/spreadsheetml/2006/main">
  <c r="F5" i="42" l="1"/>
  <c r="F4" i="42"/>
  <c r="D5" i="42"/>
  <c r="D4" i="42"/>
  <c r="B6" i="42"/>
  <c r="B4" i="42"/>
  <c r="D75" i="5"/>
  <c r="I75" i="5"/>
  <c r="I71" i="5"/>
  <c r="K53" i="38" l="1"/>
  <c r="K52" i="38"/>
  <c r="J53" i="38"/>
  <c r="J52" i="38"/>
  <c r="I50" i="38"/>
  <c r="D10" i="38"/>
  <c r="I51" i="5" l="1"/>
  <c r="I51" i="38" s="1"/>
  <c r="F37" i="27"/>
  <c r="C21" i="27"/>
  <c r="M76" i="5" l="1"/>
  <c r="M69" i="5"/>
  <c r="M59" i="5"/>
  <c r="D59" i="5"/>
  <c r="M76" i="38"/>
  <c r="M71" i="38"/>
  <c r="M69" i="38"/>
  <c r="M59" i="38"/>
  <c r="D59" i="38"/>
  <c r="M76" i="39"/>
  <c r="M71" i="39"/>
  <c r="M69" i="39"/>
  <c r="F38" i="27"/>
  <c r="E24" i="27"/>
  <c r="D57" i="39" l="1"/>
  <c r="D55" i="39"/>
  <c r="L59" i="38" l="1"/>
  <c r="L59" i="5"/>
  <c r="N59" i="5" l="1"/>
  <c r="N59" i="38"/>
  <c r="F69" i="39" l="1"/>
  <c r="F68" i="39"/>
  <c r="K38" i="39" l="1"/>
  <c r="J38" i="39"/>
  <c r="I38" i="39"/>
  <c r="D45" i="39" l="1"/>
  <c r="D83" i="39"/>
  <c r="E83" i="39"/>
  <c r="D84" i="39"/>
  <c r="E84" i="39"/>
  <c r="D85" i="39"/>
  <c r="E85" i="39"/>
  <c r="I81" i="39"/>
  <c r="I80" i="39"/>
  <c r="I79" i="39"/>
  <c r="G81" i="39"/>
  <c r="G80" i="39"/>
  <c r="G79" i="39"/>
  <c r="E81" i="39"/>
  <c r="D81" i="39"/>
  <c r="E80" i="39"/>
  <c r="D80" i="39"/>
  <c r="E79" i="39"/>
  <c r="D79" i="39"/>
  <c r="E76" i="39"/>
  <c r="D76" i="39"/>
  <c r="E75" i="39"/>
  <c r="D75" i="39"/>
  <c r="E74" i="39"/>
  <c r="D74" i="39"/>
  <c r="E73" i="39"/>
  <c r="D73" i="39"/>
  <c r="G76" i="39"/>
  <c r="G75" i="39"/>
  <c r="G74" i="39"/>
  <c r="G73" i="39"/>
  <c r="K76" i="39"/>
  <c r="K75" i="39"/>
  <c r="K74" i="39"/>
  <c r="K73" i="39"/>
  <c r="I76" i="39"/>
  <c r="I75" i="39"/>
  <c r="I74" i="39"/>
  <c r="I73" i="39"/>
  <c r="K71" i="39"/>
  <c r="J71" i="39"/>
  <c r="I71" i="39"/>
  <c r="I70" i="39"/>
  <c r="K69" i="39"/>
  <c r="J69" i="39"/>
  <c r="I69" i="39"/>
  <c r="H69" i="39"/>
  <c r="K68" i="39"/>
  <c r="J68" i="39"/>
  <c r="I68" i="39"/>
  <c r="H68" i="39"/>
  <c r="G71" i="39"/>
  <c r="G70" i="39"/>
  <c r="G69" i="39"/>
  <c r="G68" i="39"/>
  <c r="E71" i="39"/>
  <c r="D71" i="39"/>
  <c r="E70" i="39"/>
  <c r="D70" i="39"/>
  <c r="E69" i="39"/>
  <c r="D69" i="39"/>
  <c r="E68" i="39"/>
  <c r="D68" i="39"/>
  <c r="K60" i="39"/>
  <c r="J60" i="39"/>
  <c r="I60" i="39"/>
  <c r="H60" i="39"/>
  <c r="G60" i="39"/>
  <c r="F60" i="39"/>
  <c r="E60" i="39"/>
  <c r="D60" i="39"/>
  <c r="E57" i="39"/>
  <c r="D54" i="39"/>
  <c r="I57" i="39"/>
  <c r="K58" i="39"/>
  <c r="K57" i="39"/>
  <c r="K55" i="39"/>
  <c r="K53" i="39"/>
  <c r="J53" i="39"/>
  <c r="K52" i="39"/>
  <c r="J52" i="39"/>
  <c r="I51" i="39"/>
  <c r="I50" i="39"/>
  <c r="K48" i="39"/>
  <c r="K47" i="39"/>
  <c r="J47" i="39"/>
  <c r="I47" i="39"/>
  <c r="H46" i="39"/>
  <c r="K45" i="39"/>
  <c r="J45" i="39"/>
  <c r="I45" i="39"/>
  <c r="J42" i="39"/>
  <c r="I41" i="39"/>
  <c r="K40" i="39"/>
  <c r="K39" i="39"/>
  <c r="J40" i="39"/>
  <c r="I40" i="39"/>
  <c r="J39" i="39"/>
  <c r="I39" i="39"/>
  <c r="J37" i="39"/>
  <c r="I37" i="39"/>
  <c r="J36" i="39"/>
  <c r="I36" i="39"/>
  <c r="G37" i="39"/>
  <c r="F37" i="39"/>
  <c r="G36" i="39"/>
  <c r="F36" i="39"/>
  <c r="E35" i="39"/>
  <c r="D35" i="39"/>
  <c r="I34" i="39"/>
  <c r="K32" i="39"/>
  <c r="K31" i="39"/>
  <c r="J31" i="39"/>
  <c r="I31" i="39"/>
  <c r="D28" i="39"/>
  <c r="H30" i="39"/>
  <c r="H29" i="39"/>
  <c r="K28" i="39"/>
  <c r="J28" i="39"/>
  <c r="I28" i="39"/>
  <c r="I27" i="39"/>
  <c r="E25" i="39"/>
  <c r="D26" i="39"/>
  <c r="D25" i="39"/>
  <c r="D24" i="39"/>
  <c r="D23" i="39"/>
  <c r="D20" i="39"/>
  <c r="E20" i="39"/>
  <c r="G20" i="39"/>
  <c r="J20" i="39"/>
  <c r="I20" i="39"/>
  <c r="I19" i="39"/>
  <c r="J18" i="39"/>
  <c r="I18" i="39"/>
  <c r="J17" i="39"/>
  <c r="I17" i="39"/>
  <c r="J16" i="39"/>
  <c r="I16" i="39"/>
  <c r="J15" i="39"/>
  <c r="I15" i="39"/>
  <c r="G18" i="39"/>
  <c r="G17" i="39"/>
  <c r="G16" i="39"/>
  <c r="G15" i="39"/>
  <c r="E18" i="39"/>
  <c r="D18" i="39"/>
  <c r="E17" i="39"/>
  <c r="D17" i="39"/>
  <c r="E16" i="39"/>
  <c r="D16" i="39"/>
  <c r="E15" i="39"/>
  <c r="D15" i="39"/>
  <c r="E14" i="39"/>
  <c r="D14" i="39"/>
  <c r="E13" i="39"/>
  <c r="D13" i="39"/>
  <c r="J11" i="39"/>
  <c r="I11" i="39"/>
  <c r="G11" i="39"/>
  <c r="E11" i="39"/>
  <c r="E10" i="39"/>
  <c r="E9" i="39"/>
  <c r="D10" i="39"/>
  <c r="D56" i="5"/>
  <c r="I56" i="5" s="1"/>
  <c r="I56" i="38" s="1"/>
  <c r="I56" i="39" l="1"/>
  <c r="E86" i="39"/>
  <c r="E87" i="39"/>
  <c r="D86" i="39"/>
  <c r="D87" i="39"/>
  <c r="D59" i="39"/>
  <c r="J86" i="38" l="1"/>
  <c r="D56" i="38"/>
  <c r="D56" i="39" s="1"/>
  <c r="L76" i="5" l="1"/>
  <c r="L71" i="5"/>
  <c r="L69" i="5"/>
  <c r="H87" i="39" l="1"/>
  <c r="H86" i="39"/>
  <c r="H87" i="38"/>
  <c r="H86" i="38"/>
  <c r="H87" i="5" l="1"/>
  <c r="H86" i="5"/>
  <c r="I85" i="39" l="1"/>
  <c r="G85" i="39"/>
  <c r="I84" i="39"/>
  <c r="G84" i="39"/>
  <c r="I83" i="39"/>
  <c r="G83" i="39"/>
  <c r="J87" i="39"/>
  <c r="D8" i="39"/>
  <c r="F87" i="39"/>
  <c r="F86" i="39"/>
  <c r="I2" i="39"/>
  <c r="B2" i="39"/>
  <c r="K87" i="38"/>
  <c r="J87" i="38"/>
  <c r="I87" i="38"/>
  <c r="G87" i="38"/>
  <c r="F87" i="38"/>
  <c r="E87" i="38"/>
  <c r="D87" i="38"/>
  <c r="K86" i="38"/>
  <c r="I86" i="38"/>
  <c r="G86" i="38"/>
  <c r="F86" i="38"/>
  <c r="E86" i="38"/>
  <c r="D86" i="38"/>
  <c r="L76" i="38"/>
  <c r="L71" i="38"/>
  <c r="N71" i="38" s="1"/>
  <c r="L69" i="38"/>
  <c r="N69" i="38" s="1"/>
  <c r="K61" i="38"/>
  <c r="K62" i="38" s="1"/>
  <c r="J61" i="38"/>
  <c r="J62" i="38" s="1"/>
  <c r="I61" i="38"/>
  <c r="I62" i="38" s="1"/>
  <c r="H61" i="38"/>
  <c r="H62" i="38" s="1"/>
  <c r="G61" i="38"/>
  <c r="G62" i="38" s="1"/>
  <c r="F61" i="38"/>
  <c r="F62" i="38" s="1"/>
  <c r="E61" i="38"/>
  <c r="E62" i="38" s="1"/>
  <c r="D61" i="38"/>
  <c r="I2" i="38"/>
  <c r="B2" i="38"/>
  <c r="K61" i="5"/>
  <c r="H61" i="5"/>
  <c r="H62" i="5" s="1"/>
  <c r="L71" i="39" l="1"/>
  <c r="N71" i="39" s="1"/>
  <c r="K88" i="38"/>
  <c r="K63" i="38"/>
  <c r="I86" i="39"/>
  <c r="I87" i="39"/>
  <c r="G87" i="39"/>
  <c r="K86" i="39"/>
  <c r="L76" i="39"/>
  <c r="G86" i="39"/>
  <c r="J86" i="39"/>
  <c r="K87" i="39"/>
  <c r="L69" i="39"/>
  <c r="N69" i="39" s="1"/>
  <c r="F61" i="39"/>
  <c r="F62" i="39" s="1"/>
  <c r="H61" i="39"/>
  <c r="H62" i="39" s="1"/>
  <c r="K61" i="39"/>
  <c r="K62" i="39" s="1"/>
  <c r="E61" i="39"/>
  <c r="E62" i="39" s="1"/>
  <c r="I61" i="39"/>
  <c r="I62" i="39" s="1"/>
  <c r="J61" i="39"/>
  <c r="J62" i="39" s="1"/>
  <c r="G61" i="39"/>
  <c r="G62" i="39" s="1"/>
  <c r="D61" i="39"/>
  <c r="L61" i="38"/>
  <c r="K89" i="38" l="1"/>
  <c r="K88" i="39"/>
  <c r="K63" i="39"/>
  <c r="L61" i="39"/>
  <c r="K89" i="39" l="1"/>
  <c r="C27" i="27" l="1"/>
  <c r="J61" i="5" l="1"/>
  <c r="C54" i="27" l="1"/>
  <c r="C55" i="27"/>
  <c r="K87" i="5"/>
  <c r="K86" i="5"/>
  <c r="J87" i="5"/>
  <c r="J86" i="5"/>
  <c r="I87" i="5"/>
  <c r="G87" i="5"/>
  <c r="F87" i="5"/>
  <c r="E87" i="5" l="1"/>
  <c r="D87" i="5"/>
  <c r="I86" i="5"/>
  <c r="G86" i="5"/>
  <c r="F86" i="5"/>
  <c r="E86" i="5"/>
  <c r="D86" i="5"/>
  <c r="K88" i="5" l="1"/>
  <c r="I61" i="5" l="1"/>
  <c r="G61" i="5"/>
  <c r="F61" i="5"/>
  <c r="E61" i="5"/>
  <c r="D61" i="5"/>
  <c r="L61" i="5" l="1"/>
  <c r="C7" i="27" l="1"/>
  <c r="F62" i="5" l="1"/>
  <c r="K62" i="5"/>
  <c r="J62" i="5"/>
  <c r="G62" i="5"/>
  <c r="E62" i="5"/>
  <c r="I62" i="5" l="1"/>
  <c r="K63" i="5" l="1"/>
  <c r="K89" i="5" s="1"/>
  <c r="C46" i="27" s="1"/>
  <c r="C3" i="23" l="1"/>
  <c r="B2" i="23" s="1"/>
  <c r="D6" i="23" s="1"/>
  <c r="I2" i="5"/>
  <c r="B3" i="23"/>
  <c r="B2" i="5"/>
  <c r="B10" i="23" l="1"/>
  <c r="B15" i="23"/>
  <c r="C28" i="23"/>
  <c r="B5" i="23"/>
  <c r="C52" i="41" l="1"/>
  <c r="C25" i="41"/>
  <c r="C31" i="41" s="1"/>
  <c r="C54" i="41"/>
  <c r="C3" i="41"/>
  <c r="B3" i="41"/>
  <c r="C26" i="23" l="1"/>
  <c r="D26" i="23" l="1"/>
  <c r="C33" i="27"/>
  <c r="C15" i="23" l="1"/>
  <c r="C10" i="23"/>
  <c r="C5" i="23"/>
  <c r="C11" i="27" l="1"/>
  <c r="C18" i="27" l="1"/>
  <c r="E25" i="27" s="1"/>
  <c r="C53" i="41" l="1"/>
  <c r="C20" i="23"/>
  <c r="C21" i="23" l="1"/>
  <c r="C47" i="27" s="1"/>
  <c r="E46" i="41" l="1"/>
  <c r="C45" i="41"/>
  <c r="C44" i="41"/>
  <c r="D52" i="41"/>
  <c r="C27" i="23"/>
  <c r="C48" i="27" s="1"/>
  <c r="C45" i="27" l="1"/>
  <c r="C46" i="41"/>
  <c r="C43" i="41" s="1"/>
  <c r="C35" i="41" s="1"/>
  <c r="C40" i="41" s="1"/>
  <c r="C37" i="27" l="1"/>
  <c r="C51" i="41"/>
  <c r="C42" i="27" l="1"/>
  <c r="C19" i="27" l="1"/>
  <c r="C56" i="27" s="1"/>
  <c r="C25" i="27" l="1"/>
  <c r="C34" i="27" s="1"/>
  <c r="C49" i="27" l="1"/>
  <c r="C41" i="27"/>
  <c r="C43" i="27" s="1"/>
  <c r="C50" i="27"/>
  <c r="C44" i="27" l="1"/>
  <c r="C51" i="27" l="1"/>
  <c r="N76" i="39"/>
  <c r="N69" i="5"/>
  <c r="N76" i="38" l="1"/>
  <c r="N76" i="5" l="1"/>
  <c r="F39" i="27" l="1"/>
  <c r="M71" i="5" l="1"/>
  <c r="N71" i="5" s="1"/>
  <c r="M61" i="39" l="1"/>
  <c r="N61" i="39" s="1"/>
  <c r="M61" i="38" l="1"/>
  <c r="N61" i="38" s="1"/>
  <c r="M61" i="5" l="1"/>
  <c r="N61" i="5" s="1"/>
  <c r="C53" i="27"/>
  <c r="C52" i="27" s="1"/>
  <c r="C57" i="27" s="1"/>
</calcChain>
</file>

<file path=xl/sharedStrings.xml><?xml version="1.0" encoding="utf-8"?>
<sst xmlns="http://schemas.openxmlformats.org/spreadsheetml/2006/main" count="840" uniqueCount="317">
  <si>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</si>
  <si>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</si>
  <si>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</si>
  <si>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</si>
  <si>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</si>
  <si>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</si>
  <si>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</si>
  <si>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</si>
  <si>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</si>
  <si>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</si>
  <si>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</si>
  <si>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</si>
  <si>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</si>
  <si>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</si>
  <si>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</si>
  <si>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</si>
  <si>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</si>
  <si>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</si>
  <si>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</si>
  <si>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</si>
  <si>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</si>
  <si>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</si>
  <si>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</si>
  <si>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</si>
  <si>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</si>
  <si>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</si>
  <si>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</si>
  <si>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</si>
  <si>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</si>
  <si>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</si>
  <si>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</si>
  <si>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</si>
  <si>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</si>
  <si>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</si>
  <si>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</si>
  <si>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</si>
  <si>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</si>
  <si>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</si>
  <si>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</si>
  <si>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</si>
  <si>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</si>
  <si>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</si>
  <si>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</si>
  <si>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</si>
  <si>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</si>
  <si>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</si>
  <si>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</si>
  <si>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</si>
  <si>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</si>
  <si>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</si>
  <si>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</si>
  <si>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</si>
  <si>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</si>
  <si>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</si>
  <si>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</si>
  <si>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</si>
  <si>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</si>
  <si>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</si>
  <si>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</si>
  <si>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</si>
  <si>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</si>
  <si>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</si>
  <si>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</si>
  <si>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</si>
  <si>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</si>
  <si>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</si>
  <si>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</si>
  <si>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</si>
  <si>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</si>
  <si>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</si>
  <si>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</si>
  <si>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</si>
  <si>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</si>
  <si>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</si>
  <si>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</si>
  <si>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</si>
  <si>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</si>
  <si>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</si>
  <si>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</si>
  <si>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</si>
  <si>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</si>
  <si>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</si>
  <si>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</si>
  <si>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</si>
  <si>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</si>
  <si>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</si>
  <si>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</si>
  <si>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</si>
  <si>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</si>
  <si>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</si>
  <si>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</si>
  <si>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</si>
  <si>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</si>
  <si>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</si>
  <si>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</si>
  <si>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</si>
  <si>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</si>
  <si>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</si>
  <si>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</si>
  <si>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</si>
  <si>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</si>
  <si>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</si>
  <si>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</si>
  <si>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</si>
  <si>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</si>
  <si>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</si>
  <si>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</si>
  <si>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</si>
  <si>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</si>
  <si>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</si>
  <si>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</si>
  <si>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</si>
  <si>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</si>
  <si>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</si>
  <si>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</si>
  <si>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</si>
  <si>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</si>
  <si>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</si>
  <si>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</si>
  <si>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</si>
  <si>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</si>
  <si>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</si>
  <si>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</si>
  <si>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</si>
  <si>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</si>
  <si>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</si>
  <si>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</si>
  <si>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</si>
  <si>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</si>
  <si>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</si>
  <si>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</si>
  <si>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</si>
  <si>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</si>
  <si>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</si>
  <si>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</si>
  <si>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</si>
  <si>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</si>
  <si>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</si>
  <si>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</si>
  <si>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</si>
  <si>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</si>
  <si>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</si>
  <si>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</si>
  <si>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</si>
  <si>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</si>
  <si>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</si>
  <si>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</si>
  <si>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</si>
  <si>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</si>
  <si>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</si>
  <si>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</si>
  <si>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</si>
  <si>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</si>
  <si>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</si>
  <si>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</si>
  <si>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</si>
  <si>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</si>
  <si>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</si>
  <si>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</si>
  <si>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</si>
  <si>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</si>
  <si>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</si>
  <si>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</si>
  <si>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</si>
  <si>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</si>
  <si>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</si>
  <si>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</si>
  <si>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</si>
  <si>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</si>
  <si>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</si>
  <si>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</si>
  <si>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</si>
  <si>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</si>
  <si>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</si>
  <si>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</si>
  <si>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</si>
  <si>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</si>
  <si>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</si>
  <si>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</si>
  <si>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</si>
  <si>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</si>
  <si>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</si>
  <si>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</si>
  <si>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</si>
  <si>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</si>
  <si>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</si>
  <si>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</si>
  <si>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</si>
  <si>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</si>
  <si>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</si>
  <si>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</si>
  <si>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</si>
  <si>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</si>
  <si>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</si>
  <si>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</si>
  <si>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</si>
  <si>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</si>
  <si>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</si>
  <si>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</si>
  <si>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</si>
  <si>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</si>
  <si>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</si>
  <si>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</si>
  <si>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</si>
  <si>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Дастлабки гаров ҳуқуқи банкка тегишли бўлмаган кредитлар</t>
  </si>
  <si>
    <t>е</t>
  </si>
  <si>
    <t>ж</t>
  </si>
  <si>
    <t>з</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</si>
  <si>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</si>
  <si>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</si>
  <si>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</si>
  <si>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</si>
  <si>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</si>
  <si>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</si>
  <si>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</si>
  <si>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</si>
  <si>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</si>
  <si>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</si>
  <si>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</si>
  <si>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</si>
  <si>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</si>
  <si>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</si>
  <si>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</si>
  <si>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</si>
  <si>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Кафолат ва кафилликлар</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</si>
  <si>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</si>
  <si>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</si>
  <si>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</si>
  <si>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</si>
  <si>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</si>
  <si>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</si>
  <si>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</si>
  <si>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</si>
  <si>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</si>
  <si>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</si>
  <si>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</si>
  <si>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</si>
  <si>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</si>
  <si>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</si>
  <si>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</si>
  <si>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</si>
  <si>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</si>
  <si>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</si>
  <si>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</si>
  <si>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</si>
  <si>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</si>
  <si>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</si>
  <si>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</si>
  <si>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</si>
  <si>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</si>
  <si>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</si>
  <si>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</si>
  <si>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</si>
  <si>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</si>
  <si>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</si>
  <si>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</si>
  <si>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</si>
  <si>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</si>
  <si>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</si>
  <si>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</si>
  <si>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</si>
  <si>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</si>
  <si>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Бошқа банкларга жойлаштирилган пул маблағлари, жумладан вакиллик ҳисобварақлари, депозитлар ва кредитлар</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</si>
  <si>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</si>
  <si>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</si>
  <si>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</si>
  <si>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к</t>
  </si>
  <si>
    <t>л</t>
  </si>
  <si>
    <t>м</t>
  </si>
  <si>
    <t>Стандарт деб таснифланган активлар бўйича яратилган захиралар</t>
  </si>
  <si>
    <t>19.</t>
  </si>
  <si>
    <t>Минус: 1.7-қатор. Жами I даражали асосий капиталдан чегирмалар</t>
  </si>
  <si>
    <t>сўм қисми</t>
  </si>
  <si>
    <t>чет эл валютасидаги қолдиқларининг эквиваленти</t>
  </si>
  <si>
    <t>н</t>
  </si>
  <si>
    <t>Ўзбекистон Республикаси ҳудудидан ташқарида чиқарилган бошқа қимматли қоғозлар</t>
  </si>
  <si>
    <t>Бирлашмаган (консолидация қилинмаган) молиявий бўлган фаолият билан шуғулланувчи хўжалик юритувчи субъектларнинг капиталига қилинган инвестициялар</t>
  </si>
  <si>
    <t>Кредитларнинг депозит билан таъминланган қисми</t>
  </si>
  <si>
    <t xml:space="preserve">VIII гуруҳ </t>
  </si>
  <si>
    <t>(И)</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</si>
  <si>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</si>
  <si>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Юридик шахсларга ажратилган бошқа барча кредит, лизинг ва кўрсатилган факторинг хизматлари</t>
  </si>
  <si>
    <t>Молиявий бўлган фаолият билан шуғулланувчи хўжалик юритувчи субъектларнинг капиталига қилинган барча инвестициялар, соф</t>
  </si>
  <si>
    <t>Молиявий бўлмаган фаолият билан шуғулланувчи хўжалик юритувчи субъектларнинг капиталига қилинган барча инвестициялар, соф</t>
  </si>
  <si>
    <t>Бошқа муаммоли активлар</t>
  </si>
  <si>
    <t>Баланс активларининг таваккалчиликка тортилган умумий миқдори</t>
  </si>
  <si>
    <t>Қимматли қоғозларни сотиб олиш бўйича муддатли битимлар (шу жумладан, қайта сотиб олиш шартномалари бўйича сотилган активлар)</t>
  </si>
  <si>
    <t>Aккредитивлар</t>
  </si>
  <si>
    <t>РЕПО битимлари бўйича сотиб олинган қимматли қоғозлар</t>
  </si>
  <si>
    <t xml:space="preserve">92503, 92705, 92716, 92717, 92728, 92732 </t>
  </si>
  <si>
    <t>92501, 92701, 92709, 92710, 92724, 92736</t>
  </si>
  <si>
    <t>8.1.</t>
  </si>
  <si>
    <t>Қайта тикланадиган энергия манбалари учун ажратилган кредитлар</t>
  </si>
  <si>
    <t>2024 йил 1 апрелдан бошлаб доимий даромадга эга бўлган, шунингдек камида олти ой давомида банк ҳисобварағида, шу жумладан банк картасида маблағлар айланмасига эга бўлган кичик тадбиркорлик субъектларига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</si>
  <si>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8.2.</t>
  </si>
  <si>
    <t>Жисмоний шахсларга ажратилган кредитлар, соф</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</si>
  <si>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</si>
  <si>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</si>
  <si>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</si>
  <si>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Кредитларнинг (микроқарзларнинг) депозит билан таъминланган қисми</t>
  </si>
  <si>
    <t>2024 йил 1 апрелдан бошлаб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</si>
  <si>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Жисмоний шахсларга ажратилган юқорида кўрсатилмаган бошқа барча кредитлар</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</si>
  <si>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t>
  </si>
  <si>
    <t>2024 йил 1 апрелдан бошлаб мазкур жадвалнинг 8.1.ж-қаторида қайд этилган хизматларни кўрсатиш мақсадида микромолия ташкилотларига ажратилган кредитлар</t>
  </si>
  <si>
    <t>Юридик шахсларнинг муаммоли кредит ва лизинглари, соф</t>
  </si>
  <si>
    <t>Жисмоний шахсларнинг муаммоли кредитлари, соф</t>
  </si>
  <si>
    <t>о</t>
  </si>
  <si>
    <t>п</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</si>
  <si>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</si>
  <si>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</si>
  <si>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№1</t>
  </si>
  <si>
    <t xml:space="preserve">Юридик шахсларга ажратилган кредит ва лизинглар, соф </t>
  </si>
  <si>
    <t>2023 йил 20 августдан бошлаб 2024 йил 1 июлга қадар жисмоний шахсларга автомобиль сотиб олиш учун ажратилган кредитлар</t>
  </si>
  <si>
    <t>2024 йил 1 июлдан бошлаб жисмоний шахсларга автомобиль сотиб олиш учун ажратилган кредитлар</t>
  </si>
  <si>
    <t>2024 йил 1 июлдан бошлаб 2025 йил 1 январга қадар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</si>
  <si>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қадар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</si>
  <si>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"Ўзсаноатқурилишбанк" АТБ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</si>
</sst>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9">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
      <sz val="11"/>
      <color theme="0" tint="-0.34998626667073579"/>
      <name val="Times New Roman"/>
      <family val="1"/>
      <charset val="204"/>
    </font>
    <font>
      <b/>
      <sz val="16"/>
      <color rgb="FF00B0F0"/>
      <name val="Times New Roman Cyr"/>
      <charset val="204"/>
    </font>
  </fonts>
  <fills count="41">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183" fontId="53" fillId="0" borderId="0" applyFont="0" applyFill="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1" borderId="0" applyNumberFormat="0" applyBorder="0" applyAlignment="0" applyProtection="0"/>
    <xf numFmtId="0" fontId="43" fillId="24" borderId="0" applyNumberFormat="0" applyBorder="0" applyAlignment="0" applyProtection="0"/>
    <xf numFmtId="0" fontId="43" fillId="27" borderId="0" applyNumberFormat="0" applyBorder="0" applyAlignment="0" applyProtection="0"/>
    <xf numFmtId="0" fontId="54" fillId="28"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5" borderId="0" applyNumberFormat="0" applyBorder="0" applyAlignment="0" applyProtection="0"/>
    <xf numFmtId="0" fontId="55" fillId="19" borderId="0" applyNumberFormat="0" applyBorder="0" applyAlignment="0" applyProtection="0"/>
    <xf numFmtId="0" fontId="56" fillId="36" borderId="10" applyNumberFormat="0" applyAlignment="0" applyProtection="0"/>
    <xf numFmtId="0" fontId="57" fillId="37"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0"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3"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8" borderId="0" applyNumberFormat="0" applyBorder="0" applyAlignment="0" applyProtection="0"/>
    <xf numFmtId="0" fontId="67" fillId="0" borderId="0"/>
    <xf numFmtId="0" fontId="23" fillId="39" borderId="14" applyNumberFormat="0" applyFont="0" applyAlignment="0" applyProtection="0"/>
    <xf numFmtId="0" fontId="69" fillId="36"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48">
    <xf numFmtId="0" fontId="0" fillId="0" borderId="0" xfId="0"/>
    <xf numFmtId="0" fontId="3" fillId="0" borderId="0" xfId="0" applyFont="1"/>
    <xf numFmtId="0" fontId="5" fillId="0" borderId="0" xfId="0" applyFont="1"/>
    <xf numFmtId="0" fontId="4" fillId="0" borderId="0" xfId="0" applyFont="1" applyAlignment="1">
      <alignment horizontal="center"/>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vertical="center"/>
    </xf>
    <xf numFmtId="0" fontId="12" fillId="0" borderId="1" xfId="0" applyFont="1" applyBorder="1" applyAlignment="1">
      <alignment horizontal="center" wrapText="1"/>
    </xf>
    <xf numFmtId="0" fontId="11" fillId="0" borderId="1" xfId="0" applyFont="1" applyBorder="1" applyAlignment="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6" fillId="0" borderId="0" xfId="0" applyFont="1" applyAlignment="1">
      <alignment vertical="center"/>
    </xf>
    <xf numFmtId="0" fontId="11" fillId="0" borderId="0" xfId="0" applyFont="1" applyAlignment="1">
      <alignment vertical="center"/>
    </xf>
    <xf numFmtId="0" fontId="11" fillId="0" borderId="1" xfId="0" applyFont="1" applyBorder="1" applyAlignment="1">
      <alignment horizontal="left" vertical="center" indent="2"/>
    </xf>
    <xf numFmtId="0" fontId="12" fillId="0" borderId="1" xfId="0" applyFont="1" applyBorder="1" applyAlignment="1">
      <alignment horizontal="center" vertical="center" wrapText="1"/>
    </xf>
    <xf numFmtId="0" fontId="19" fillId="0" borderId="1" xfId="0" applyFont="1" applyBorder="1" applyAlignment="1">
      <alignment horizontal="center" wrapText="1"/>
    </xf>
    <xf numFmtId="0" fontId="19" fillId="0" borderId="0" xfId="0" applyFont="1"/>
    <xf numFmtId="0" fontId="19" fillId="0" borderId="1" xfId="0" applyFont="1" applyBorder="1" applyAlignment="1">
      <alignment horizontal="center" vertical="center" wrapText="1"/>
    </xf>
    <xf numFmtId="0" fontId="19" fillId="0" borderId="0" xfId="0" applyFont="1" applyAlignment="1">
      <alignment vertical="center"/>
    </xf>
    <xf numFmtId="3" fontId="19" fillId="0" borderId="1" xfId="3" applyNumberFormat="1" applyFont="1" applyBorder="1" applyAlignment="1" applyProtection="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Alignment="1">
      <alignment vertical="center"/>
    </xf>
    <xf numFmtId="0" fontId="11" fillId="0" borderId="0" xfId="0" applyFont="1"/>
    <xf numFmtId="167" fontId="12" fillId="0" borderId="0" xfId="3" applyNumberFormat="1" applyFont="1" applyProtection="1"/>
    <xf numFmtId="0" fontId="11" fillId="0" borderId="0" xfId="0" applyFont="1" applyAlignment="1">
      <alignment horizontal="right"/>
    </xf>
    <xf numFmtId="168" fontId="12" fillId="0" borderId="0" xfId="0" applyNumberFormat="1" applyFont="1" applyAlignment="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Border="1" applyAlignment="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Alignment="1">
      <alignment horizontal="left" wrapText="1" indent="3"/>
    </xf>
    <xf numFmtId="167" fontId="14" fillId="0" borderId="0" xfId="3" applyNumberFormat="1" applyFont="1" applyBorder="1" applyAlignment="1" applyProtection="1">
      <alignment horizontal="left" indent="2"/>
    </xf>
    <xf numFmtId="0" fontId="27" fillId="0" borderId="1" xfId="0" applyFont="1" applyBorder="1" applyAlignment="1">
      <alignment horizontal="center" vertical="center" wrapText="1"/>
    </xf>
    <xf numFmtId="3" fontId="12" fillId="0" borderId="1" xfId="3" applyNumberFormat="1" applyFont="1" applyFill="1" applyBorder="1" applyAlignment="1" applyProtection="1">
      <alignment horizontal="center" vertical="center" wrapText="1"/>
    </xf>
    <xf numFmtId="0" fontId="22" fillId="0" borderId="1" xfId="0" applyFont="1" applyBorder="1" applyAlignment="1">
      <alignment horizontal="left" vertical="center" wrapText="1" indent="1"/>
    </xf>
    <xf numFmtId="0" fontId="22" fillId="0" borderId="1" xfId="0" applyFont="1" applyBorder="1" applyAlignment="1">
      <alignment horizontal="left" vertical="center" indent="1"/>
    </xf>
    <xf numFmtId="0" fontId="12" fillId="0" borderId="1" xfId="0" applyFont="1" applyBorder="1" applyAlignment="1">
      <alignment horizontal="left" vertical="center" wrapText="1" indent="1"/>
    </xf>
    <xf numFmtId="3" fontId="20" fillId="2" borderId="1" xfId="0" applyNumberFormat="1" applyFont="1" applyFill="1" applyBorder="1" applyAlignment="1">
      <alignment horizontal="center" vertical="center" wrapText="1"/>
    </xf>
    <xf numFmtId="0" fontId="28" fillId="0" borderId="0" xfId="0" applyFont="1"/>
    <xf numFmtId="166" fontId="28" fillId="0" borderId="0" xfId="3" applyFont="1" applyBorder="1" applyProtection="1"/>
    <xf numFmtId="0" fontId="28" fillId="0" borderId="0" xfId="0" applyFont="1" applyAlignment="1">
      <alignment vertical="center"/>
    </xf>
    <xf numFmtId="166" fontId="28" fillId="0" borderId="0" xfId="3" applyFont="1" applyBorder="1" applyAlignment="1" applyProtection="1">
      <alignment vertical="center"/>
    </xf>
    <xf numFmtId="0" fontId="25" fillId="0" borderId="0" xfId="0" applyFont="1" applyAlignment="1">
      <alignment vertical="center"/>
    </xf>
    <xf numFmtId="3" fontId="29" fillId="0" borderId="0" xfId="0" applyNumberFormat="1" applyFont="1"/>
    <xf numFmtId="166" fontId="29" fillId="0" borderId="0" xfId="3" applyFont="1" applyBorder="1" applyProtection="1"/>
    <xf numFmtId="0" fontId="29" fillId="0" borderId="0" xfId="0" applyFont="1"/>
    <xf numFmtId="0" fontId="29" fillId="0" borderId="0" xfId="0" applyFont="1" applyAlignment="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lignment vertical="center"/>
    </xf>
    <xf numFmtId="166" fontId="28" fillId="0" borderId="0" xfId="3" applyFont="1" applyFill="1" applyBorder="1" applyAlignment="1" applyProtection="1">
      <alignment vertical="center"/>
    </xf>
    <xf numFmtId="0" fontId="30" fillId="0" borderId="0" xfId="0" applyFont="1" applyAlignment="1">
      <alignment vertical="center"/>
    </xf>
    <xf numFmtId="166" fontId="30" fillId="0" borderId="0" xfId="3" applyFont="1" applyFill="1" applyBorder="1" applyAlignment="1" applyProtection="1">
      <alignment vertical="center"/>
    </xf>
    <xf numFmtId="3" fontId="30" fillId="0" borderId="0" xfId="0" applyNumberFormat="1" applyFont="1" applyAlignment="1">
      <alignment vertical="center"/>
    </xf>
    <xf numFmtId="166" fontId="30" fillId="0" borderId="0" xfId="3" applyFont="1" applyBorder="1" applyAlignment="1" applyProtection="1">
      <alignment vertical="center"/>
    </xf>
    <xf numFmtId="0" fontId="31" fillId="0" borderId="0" xfId="0" applyFont="1" applyAlignment="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0" fontId="31" fillId="17" borderId="1" xfId="0" applyFont="1" applyFill="1" applyBorder="1" applyAlignment="1">
      <alignment horizontal="left" vertical="center" wrapText="1" indent="1"/>
    </xf>
    <xf numFmtId="0" fontId="22" fillId="17" borderId="1" xfId="0" applyFont="1" applyFill="1" applyBorder="1" applyAlignment="1">
      <alignment horizontal="left" vertical="center" wrapText="1" indent="1"/>
    </xf>
    <xf numFmtId="0" fontId="13" fillId="0" borderId="0" xfId="1" applyFont="1" applyAlignment="1">
      <alignment vertical="center"/>
    </xf>
    <xf numFmtId="0" fontId="13" fillId="0" borderId="0" xfId="1" applyFont="1"/>
    <xf numFmtId="0" fontId="72" fillId="0" borderId="0" xfId="1" applyFont="1"/>
    <xf numFmtId="0" fontId="7" fillId="0" borderId="0" xfId="0" applyFont="1" applyAlignment="1">
      <alignment vertical="center"/>
    </xf>
    <xf numFmtId="166" fontId="7" fillId="0" borderId="0" xfId="3" applyFont="1" applyFill="1" applyBorder="1" applyAlignment="1" applyProtection="1">
      <alignment vertical="center"/>
    </xf>
    <xf numFmtId="3" fontId="11" fillId="0" borderId="4" xfId="3" applyNumberFormat="1" applyFont="1" applyBorder="1" applyAlignment="1" applyProtection="1">
      <alignment horizontal="center" vertical="center"/>
    </xf>
    <xf numFmtId="0" fontId="11" fillId="0" borderId="3" xfId="0" applyFont="1" applyBorder="1" applyAlignment="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Border="1" applyAlignment="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Border="1" applyAlignment="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xf numFmtId="168" fontId="7" fillId="0" borderId="0" xfId="0" applyNumberFormat="1" applyFont="1" applyAlignment="1">
      <alignment wrapText="1"/>
    </xf>
    <xf numFmtId="166" fontId="7" fillId="0" borderId="0" xfId="3" applyFont="1" applyBorder="1" applyProtection="1"/>
    <xf numFmtId="0" fontId="7" fillId="0" borderId="0" xfId="0" applyFont="1" applyAlignment="1">
      <alignment wrapText="1"/>
    </xf>
    <xf numFmtId="3" fontId="20" fillId="2" borderId="21" xfId="0" applyNumberFormat="1" applyFont="1" applyFill="1" applyBorder="1" applyAlignment="1">
      <alignment horizontal="center" vertical="center" wrapText="1"/>
    </xf>
    <xf numFmtId="3" fontId="20" fillId="2" borderId="22" xfId="0" applyNumberFormat="1" applyFont="1" applyFill="1" applyBorder="1" applyAlignment="1">
      <alignment horizontal="center" vertical="center" wrapText="1"/>
    </xf>
    <xf numFmtId="166" fontId="7" fillId="0" borderId="0" xfId="3" applyFont="1" applyBorder="1" applyAlignment="1" applyProtection="1">
      <alignment vertical="center"/>
    </xf>
    <xf numFmtId="0" fontId="11" fillId="0" borderId="18" xfId="0" applyFont="1" applyBorder="1" applyAlignment="1">
      <alignment horizontal="center" vertical="center"/>
    </xf>
    <xf numFmtId="0" fontId="7" fillId="0" borderId="3" xfId="0" applyFont="1" applyBorder="1" applyAlignment="1">
      <alignment horizontal="center" wrapText="1"/>
    </xf>
    <xf numFmtId="166" fontId="11" fillId="0" borderId="0" xfId="3" applyFont="1" applyFill="1" applyBorder="1" applyAlignment="1" applyProtection="1">
      <alignment vertical="center"/>
    </xf>
    <xf numFmtId="0" fontId="7" fillId="0" borderId="1" xfId="0" applyFont="1" applyBorder="1" applyAlignment="1">
      <alignment horizontal="left" vertical="center" wrapText="1" indent="1"/>
    </xf>
    <xf numFmtId="0" fontId="19" fillId="0" borderId="3" xfId="0" applyFont="1" applyBorder="1" applyAlignment="1">
      <alignment horizontal="center" wrapText="1"/>
    </xf>
    <xf numFmtId="3" fontId="19" fillId="0" borderId="0" xfId="0" applyNumberFormat="1" applyFont="1"/>
    <xf numFmtId="166" fontId="19" fillId="0" borderId="0" xfId="3" applyFont="1" applyBorder="1" applyProtection="1"/>
    <xf numFmtId="0" fontId="19" fillId="0" borderId="3" xfId="0" applyFont="1" applyBorder="1" applyAlignment="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lignment horizontal="left" vertical="center" wrapText="1" indent="2"/>
    </xf>
    <xf numFmtId="170" fontId="20" fillId="40" borderId="1" xfId="3" applyNumberFormat="1" applyFont="1" applyFill="1" applyBorder="1" applyAlignment="1" applyProtection="1">
      <alignment horizontal="center" vertical="center" wrapText="1"/>
      <protection locked="0"/>
    </xf>
    <xf numFmtId="3" fontId="7" fillId="0" borderId="0" xfId="0" applyNumberFormat="1" applyFont="1" applyAlignment="1">
      <alignment vertical="center"/>
    </xf>
    <xf numFmtId="0" fontId="19" fillId="0" borderId="6" xfId="0" applyFont="1" applyBorder="1" applyAlignment="1">
      <alignment horizontal="center" vertical="center" wrapText="1"/>
    </xf>
    <xf numFmtId="0" fontId="19" fillId="0" borderId="7" xfId="0" applyFont="1" applyBorder="1" applyAlignment="1">
      <alignment horizontal="left" vertical="center" wrapText="1" indent="2"/>
    </xf>
    <xf numFmtId="167" fontId="7" fillId="0" borderId="0" xfId="3" applyNumberFormat="1" applyFont="1" applyProtection="1"/>
    <xf numFmtId="0" fontId="4" fillId="0" borderId="0" xfId="0" applyFont="1" applyAlignment="1">
      <alignment horizontal="center" vertical="center" wrapText="1"/>
    </xf>
    <xf numFmtId="0" fontId="13" fillId="0" borderId="0" xfId="1" applyFont="1" applyAlignment="1">
      <alignment horizontal="center"/>
    </xf>
    <xf numFmtId="15" fontId="10" fillId="0" borderId="0" xfId="1" applyNumberFormat="1" applyFont="1" applyAlignment="1">
      <alignment horizontal="center" vertical="center" wrapText="1"/>
    </xf>
    <xf numFmtId="0" fontId="13" fillId="0" borderId="1" xfId="1" applyFont="1" applyBorder="1" applyAlignment="1">
      <alignment horizontal="center" vertical="center"/>
    </xf>
    <xf numFmtId="0" fontId="75" fillId="0" borderId="0" xfId="1" applyFont="1" applyAlignment="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lignment horizontal="left" vertical="center" wrapText="1" indent="1"/>
    </xf>
    <xf numFmtId="0" fontId="76" fillId="0" borderId="0" xfId="1" applyFont="1"/>
    <xf numFmtId="0" fontId="8" fillId="0" borderId="0" xfId="0" applyFont="1" applyAlignment="1">
      <alignment horizontal="left" vertical="center" indent="1"/>
    </xf>
    <xf numFmtId="0" fontId="4" fillId="0" borderId="0" xfId="0" applyFont="1"/>
    <xf numFmtId="167" fontId="77" fillId="0" borderId="0" xfId="3" applyNumberFormat="1" applyFont="1" applyFill="1" applyBorder="1" applyAlignment="1" applyProtection="1">
      <alignment vertical="center"/>
    </xf>
    <xf numFmtId="0" fontId="78" fillId="0" borderId="0" xfId="1" applyFont="1" applyAlignment="1">
      <alignment vertical="center"/>
    </xf>
    <xf numFmtId="0" fontId="78" fillId="0" borderId="0" xfId="1" applyFont="1"/>
    <xf numFmtId="0" fontId="79" fillId="0" borderId="0" xfId="1" applyFont="1"/>
    <xf numFmtId="0" fontId="78" fillId="0" borderId="0" xfId="1" applyFont="1" applyAlignment="1">
      <alignment horizontal="center"/>
    </xf>
    <xf numFmtId="0" fontId="79" fillId="0" borderId="0" xfId="1" applyFont="1" applyAlignment="1">
      <alignment horizontal="center"/>
    </xf>
    <xf numFmtId="0" fontId="74" fillId="0" borderId="1" xfId="1" applyFont="1" applyBorder="1" applyAlignment="1">
      <alignment horizontal="right" vertical="center" indent="1"/>
    </xf>
    <xf numFmtId="0" fontId="80" fillId="0" borderId="0" xfId="1" applyFont="1" applyAlignment="1">
      <alignment vertical="center"/>
    </xf>
    <xf numFmtId="0" fontId="80" fillId="0" borderId="0" xfId="1" applyFont="1" applyAlignment="1">
      <alignment horizontal="center" vertical="center"/>
    </xf>
    <xf numFmtId="0" fontId="80" fillId="0" borderId="0" xfId="1" applyFont="1" applyAlignment="1">
      <alignment horizontal="center" vertical="center" wrapText="1"/>
    </xf>
    <xf numFmtId="0" fontId="80" fillId="0" borderId="0" xfId="1" applyFont="1" applyAlignment="1">
      <alignment vertical="center" wrapText="1"/>
    </xf>
    <xf numFmtId="0" fontId="80" fillId="0" borderId="0" xfId="1" applyFont="1"/>
    <xf numFmtId="0" fontId="80" fillId="0" borderId="0" xfId="1" applyFont="1" applyAlignment="1">
      <alignment horizontal="center"/>
    </xf>
    <xf numFmtId="0" fontId="2" fillId="0" borderId="0" xfId="0" applyFont="1"/>
    <xf numFmtId="0" fontId="9" fillId="0" borderId="0" xfId="0" applyFont="1"/>
    <xf numFmtId="0" fontId="81" fillId="0" borderId="0" xfId="0" applyFont="1"/>
    <xf numFmtId="0" fontId="52" fillId="0" borderId="0" xfId="1" applyFont="1"/>
    <xf numFmtId="0" fontId="8" fillId="0" borderId="0" xfId="0" quotePrefix="1" applyFont="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170" fontId="20" fillId="40" borderId="0" xfId="3" applyNumberFormat="1" applyFont="1" applyFill="1" applyBorder="1" applyAlignment="1" applyProtection="1">
      <alignment horizontal="center" vertical="center" wrapText="1"/>
    </xf>
    <xf numFmtId="0" fontId="82" fillId="0" borderId="0" xfId="0" applyFont="1" applyAlignment="1">
      <alignment horizontal="center"/>
    </xf>
    <xf numFmtId="0" fontId="83" fillId="0" borderId="0" xfId="0" applyFont="1" applyAlignment="1">
      <alignment vertical="center"/>
    </xf>
    <xf numFmtId="166" fontId="83" fillId="0" borderId="0" xfId="3" applyFont="1" applyFill="1" applyBorder="1" applyAlignment="1" applyProtection="1">
      <alignment vertical="center"/>
    </xf>
    <xf numFmtId="3" fontId="83" fillId="0" borderId="0" xfId="0" applyNumberFormat="1" applyFont="1" applyAlignment="1">
      <alignment horizontal="center" vertical="center"/>
    </xf>
    <xf numFmtId="3" fontId="84" fillId="0" borderId="0" xfId="0" applyNumberFormat="1" applyFont="1"/>
    <xf numFmtId="166" fontId="27" fillId="0" borderId="0" xfId="3" applyFont="1" applyBorder="1" applyProtection="1"/>
    <xf numFmtId="0" fontId="27" fillId="0" borderId="0" xfId="0" applyFont="1"/>
    <xf numFmtId="3" fontId="27" fillId="0" borderId="0" xfId="0" applyNumberFormat="1" applyFont="1" applyAlignment="1">
      <alignment vertical="center"/>
    </xf>
    <xf numFmtId="166" fontId="27" fillId="0" borderId="0" xfId="3" applyFont="1" applyBorder="1" applyAlignment="1" applyProtection="1">
      <alignment vertical="center"/>
    </xf>
    <xf numFmtId="0" fontId="27" fillId="0" borderId="0" xfId="0" applyFont="1" applyAlignment="1">
      <alignment vertical="center"/>
    </xf>
    <xf numFmtId="0" fontId="84" fillId="0" borderId="0" xfId="0" applyFont="1" applyAlignment="1">
      <alignment vertical="center"/>
    </xf>
    <xf numFmtId="166" fontId="84" fillId="0" borderId="0" xfId="3" applyFont="1" applyBorder="1" applyAlignment="1" applyProtection="1">
      <alignment vertical="center"/>
    </xf>
    <xf numFmtId="166" fontId="27" fillId="0" borderId="0" xfId="3" applyFont="1" applyFill="1" applyBorder="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Alignment="1">
      <alignment vertical="center"/>
    </xf>
    <xf numFmtId="0" fontId="85" fillId="0" borderId="0" xfId="0" applyFont="1"/>
    <xf numFmtId="0" fontId="86" fillId="0" borderId="0" xfId="0" applyFont="1"/>
    <xf numFmtId="0" fontId="76" fillId="0" borderId="0" xfId="0" applyFont="1"/>
    <xf numFmtId="0" fontId="7" fillId="0" borderId="0" xfId="0" applyFont="1" applyAlignment="1" applyProtection="1">
      <alignment vertical="center"/>
      <protection locked="0"/>
    </xf>
    <xf numFmtId="193" fontId="87" fillId="0" borderId="0" xfId="3" applyNumberFormat="1" applyFont="1" applyProtection="1"/>
    <xf numFmtId="0" fontId="8" fillId="0" borderId="0" xfId="443" applyFont="1" applyAlignment="1">
      <alignment horizontal="center" vertical="center" wrapText="1"/>
    </xf>
    <xf numFmtId="0" fontId="13" fillId="0" borderId="0" xfId="443" applyFont="1"/>
    <xf numFmtId="0" fontId="10" fillId="0" borderId="0" xfId="443" applyFont="1" applyAlignment="1">
      <alignment horizontal="center" vertical="center"/>
    </xf>
    <xf numFmtId="3" fontId="8" fillId="0" borderId="0" xfId="443" applyNumberFormat="1" applyFont="1" applyAlignment="1">
      <alignment horizontal="centerContinuous"/>
    </xf>
    <xf numFmtId="3" fontId="13" fillId="0" borderId="0" xfId="443" applyNumberFormat="1" applyFont="1" applyAlignment="1">
      <alignment horizontal="centerContinuous"/>
    </xf>
    <xf numFmtId="15" fontId="23" fillId="0" borderId="0" xfId="443" applyNumberFormat="1" applyAlignment="1">
      <alignment horizontal="center"/>
    </xf>
    <xf numFmtId="167" fontId="13" fillId="0" borderId="0" xfId="1074" applyNumberFormat="1" applyFont="1" applyProtection="1"/>
    <xf numFmtId="9" fontId="13" fillId="0" borderId="1" xfId="10" applyFont="1" applyBorder="1" applyAlignment="1" applyProtection="1">
      <alignment horizontal="center" vertical="center"/>
    </xf>
    <xf numFmtId="0" fontId="13" fillId="0" borderId="0" xfId="443" applyFont="1" applyAlignment="1">
      <alignment horizontal="center" vertical="center"/>
    </xf>
    <xf numFmtId="0" fontId="13" fillId="0" borderId="1" xfId="443" applyFont="1" applyBorder="1" applyAlignment="1">
      <alignment horizontal="center" vertical="center"/>
    </xf>
    <xf numFmtId="3" fontId="10" fillId="0" borderId="1" xfId="443" applyNumberFormat="1" applyFont="1" applyBorder="1" applyAlignment="1">
      <alignment horizontal="centerContinuous"/>
    </xf>
    <xf numFmtId="3" fontId="13" fillId="0" borderId="1" xfId="443" applyNumberFormat="1" applyFont="1" applyBorder="1" applyAlignment="1">
      <alignment horizontal="right" vertical="center"/>
    </xf>
    <xf numFmtId="3" fontId="13" fillId="3" borderId="1" xfId="443" applyNumberFormat="1" applyFont="1" applyFill="1" applyBorder="1" applyAlignment="1">
      <alignment horizontal="right" vertical="center"/>
    </xf>
    <xf numFmtId="165" fontId="13" fillId="0" borderId="0" xfId="443" applyNumberFormat="1" applyFont="1" applyAlignment="1">
      <alignment vertical="center"/>
    </xf>
    <xf numFmtId="167" fontId="13" fillId="0" borderId="0" xfId="1074" applyNumberFormat="1" applyFont="1" applyAlignment="1" applyProtection="1">
      <alignment vertical="center"/>
    </xf>
    <xf numFmtId="0" fontId="13" fillId="0" borderId="0" xfId="443" applyFont="1" applyAlignment="1">
      <alignment vertical="center"/>
    </xf>
    <xf numFmtId="3" fontId="10" fillId="3" borderId="1" xfId="443" applyNumberFormat="1" applyFont="1" applyFill="1" applyBorder="1" applyAlignment="1">
      <alignment horizontal="right" vertical="center"/>
    </xf>
    <xf numFmtId="3" fontId="73" fillId="3" borderId="1" xfId="443" applyNumberFormat="1" applyFont="1" applyFill="1" applyBorder="1" applyAlignment="1">
      <alignment horizontal="left" vertical="center"/>
    </xf>
    <xf numFmtId="3" fontId="13" fillId="0" borderId="1" xfId="443" applyNumberFormat="1" applyFont="1" applyBorder="1" applyAlignment="1">
      <alignment vertical="center"/>
    </xf>
    <xf numFmtId="0" fontId="13" fillId="0" borderId="0" xfId="443" applyFont="1" applyAlignment="1">
      <alignment vertical="center" wrapText="1"/>
    </xf>
    <xf numFmtId="0" fontId="13" fillId="0" borderId="0" xfId="443" applyFont="1" applyAlignment="1">
      <alignment horizontal="left" vertical="center" wrapText="1"/>
    </xf>
    <xf numFmtId="0" fontId="10" fillId="0" borderId="1" xfId="443" applyFont="1" applyBorder="1" applyAlignment="1">
      <alignment horizontal="center" vertical="center" wrapText="1"/>
    </xf>
    <xf numFmtId="0" fontId="10" fillId="0" borderId="2" xfId="443" applyFont="1" applyBorder="1" applyAlignment="1">
      <alignment horizontal="center" vertical="center" wrapText="1"/>
    </xf>
    <xf numFmtId="9" fontId="13" fillId="0" borderId="1" xfId="10" applyFont="1" applyFill="1" applyBorder="1" applyAlignment="1" applyProtection="1">
      <alignment horizontal="center" vertical="center"/>
    </xf>
    <xf numFmtId="0" fontId="13" fillId="0" borderId="1" xfId="443" applyFont="1" applyBorder="1" applyAlignment="1">
      <alignment horizontal="left" vertical="center" wrapText="1"/>
    </xf>
    <xf numFmtId="0" fontId="13" fillId="0" borderId="1" xfId="443" applyFont="1" applyBorder="1" applyAlignment="1">
      <alignment horizontal="left" vertical="center" wrapText="1" indent="1"/>
    </xf>
    <xf numFmtId="9" fontId="13" fillId="0" borderId="1" xfId="443" applyNumberFormat="1" applyFont="1" applyBorder="1" applyAlignment="1">
      <alignment horizontal="center" vertical="center"/>
    </xf>
    <xf numFmtId="3" fontId="13" fillId="0" borderId="0" xfId="443" applyNumberFormat="1" applyFont="1" applyAlignment="1">
      <alignment vertical="center"/>
    </xf>
    <xf numFmtId="166" fontId="13" fillId="0" borderId="0" xfId="1074" applyFont="1" applyAlignment="1" applyProtection="1">
      <alignment vertical="center"/>
    </xf>
    <xf numFmtId="3" fontId="13" fillId="3" borderId="1" xfId="443" applyNumberFormat="1" applyFont="1" applyFill="1" applyBorder="1" applyAlignment="1">
      <alignment horizontal="center" vertical="center"/>
    </xf>
    <xf numFmtId="0" fontId="13" fillId="0" borderId="1" xfId="443" applyFont="1" applyBorder="1" applyAlignment="1">
      <alignment horizontal="left" vertical="center" wrapText="1" indent="2"/>
    </xf>
    <xf numFmtId="169" fontId="13" fillId="0" borderId="1" xfId="443" applyNumberFormat="1" applyFont="1" applyBorder="1" applyAlignment="1">
      <alignment horizontal="center" vertical="center"/>
    </xf>
    <xf numFmtId="3" fontId="10" fillId="0" borderId="1" xfId="443" applyNumberFormat="1" applyFont="1" applyBorder="1" applyAlignment="1">
      <alignment horizontal="right" vertical="center"/>
    </xf>
    <xf numFmtId="0" fontId="13" fillId="0" borderId="1" xfId="443" applyFont="1" applyBorder="1" applyAlignment="1">
      <alignment vertical="center" wrapText="1"/>
    </xf>
    <xf numFmtId="167" fontId="13" fillId="0" borderId="0" xfId="443" applyNumberFormat="1" applyFont="1" applyAlignment="1">
      <alignment vertical="center"/>
    </xf>
    <xf numFmtId="0" fontId="2" fillId="0" borderId="0" xfId="443" applyFont="1"/>
    <xf numFmtId="0" fontId="4" fillId="0" borderId="0" xfId="443" applyFont="1"/>
    <xf numFmtId="167" fontId="2" fillId="0" borderId="0" xfId="1074" applyNumberFormat="1" applyFont="1" applyBorder="1" applyProtection="1"/>
    <xf numFmtId="167" fontId="9" fillId="0" borderId="0" xfId="1074" applyNumberFormat="1" applyFont="1" applyBorder="1" applyProtection="1"/>
    <xf numFmtId="0" fontId="9" fillId="0" borderId="0" xfId="443" applyFont="1"/>
    <xf numFmtId="3" fontId="13" fillId="0" borderId="1" xfId="443" applyNumberFormat="1" applyFont="1" applyBorder="1" applyAlignment="1" applyProtection="1">
      <alignment horizontal="right" vertical="center"/>
      <protection locked="0"/>
    </xf>
    <xf numFmtId="0" fontId="10" fillId="0" borderId="1" xfId="443" applyFont="1" applyBorder="1" applyAlignment="1">
      <alignment horizontal="center" vertical="center"/>
    </xf>
    <xf numFmtId="166" fontId="13" fillId="0" borderId="0" xfId="3" applyFont="1" applyAlignment="1" applyProtection="1">
      <alignment vertical="center"/>
    </xf>
    <xf numFmtId="166" fontId="86" fillId="0" borderId="0" xfId="3" applyFont="1" applyBorder="1" applyProtection="1"/>
    <xf numFmtId="166" fontId="2" fillId="0" borderId="0" xfId="3" applyFont="1" applyBorder="1" applyProtection="1"/>
    <xf numFmtId="166" fontId="27" fillId="0" borderId="0" xfId="3" applyFont="1" applyProtection="1"/>
    <xf numFmtId="166" fontId="7" fillId="0" borderId="0" xfId="3" applyFont="1" applyProtection="1"/>
    <xf numFmtId="0" fontId="88" fillId="0" borderId="0" xfId="0" applyFont="1" applyAlignment="1">
      <alignment horizontal="center"/>
    </xf>
    <xf numFmtId="166" fontId="0" fillId="0" borderId="0" xfId="3" applyFont="1"/>
    <xf numFmtId="169" fontId="0" fillId="0" borderId="0" xfId="2" applyNumberFormat="1" applyFont="1"/>
    <xf numFmtId="0" fontId="14" fillId="0" borderId="0" xfId="0" applyFont="1" applyAlignment="1">
      <alignment horizontal="center" vertical="center"/>
    </xf>
    <xf numFmtId="0" fontId="15" fillId="0" borderId="0" xfId="0" applyFont="1" applyAlignment="1">
      <alignment horizontal="center" vertical="center"/>
    </xf>
    <xf numFmtId="0" fontId="13" fillId="0" borderId="30" xfId="443" applyFont="1" applyBorder="1" applyAlignment="1">
      <alignment horizontal="left" vertical="center" wrapText="1"/>
    </xf>
    <xf numFmtId="0" fontId="13" fillId="0" borderId="31" xfId="443" applyFont="1" applyBorder="1" applyAlignment="1">
      <alignment horizontal="left" vertical="center" wrapText="1"/>
    </xf>
    <xf numFmtId="0" fontId="10" fillId="0" borderId="30" xfId="443" applyFont="1" applyBorder="1" applyAlignment="1">
      <alignment horizontal="center" vertical="center"/>
    </xf>
    <xf numFmtId="0" fontId="10" fillId="0" borderId="31" xfId="443" applyFont="1" applyBorder="1" applyAlignment="1">
      <alignment horizontal="center" vertical="center"/>
    </xf>
    <xf numFmtId="0" fontId="8" fillId="0" borderId="0" xfId="443" applyFont="1" applyAlignment="1">
      <alignment horizontal="center" vertical="center"/>
    </xf>
    <xf numFmtId="0" fontId="10" fillId="0" borderId="1" xfId="443" applyFont="1" applyBorder="1" applyAlignment="1">
      <alignment horizontal="center" vertical="center"/>
    </xf>
    <xf numFmtId="192" fontId="10" fillId="0" borderId="0" xfId="4" applyNumberFormat="1" applyFont="1" applyFill="1" applyBorder="1" applyAlignment="1" applyProtection="1">
      <alignment horizontal="center" wrapText="1"/>
    </xf>
    <xf numFmtId="0" fontId="10" fillId="0" borderId="24" xfId="443" applyFont="1" applyBorder="1" applyAlignment="1">
      <alignment horizontal="center" vertical="center"/>
    </xf>
    <xf numFmtId="0" fontId="10" fillId="0" borderId="25" xfId="443" applyFont="1" applyBorder="1" applyAlignment="1">
      <alignment horizontal="center" vertical="center"/>
    </xf>
    <xf numFmtId="0" fontId="10" fillId="0" borderId="26" xfId="443" applyFont="1" applyBorder="1" applyAlignment="1">
      <alignment horizontal="center" vertical="center"/>
    </xf>
    <xf numFmtId="0" fontId="10" fillId="0" borderId="27" xfId="443" applyFont="1" applyBorder="1" applyAlignment="1">
      <alignment horizontal="center" vertical="center"/>
    </xf>
    <xf numFmtId="0" fontId="10" fillId="0" borderId="28" xfId="443" applyFont="1" applyBorder="1" applyAlignment="1">
      <alignment horizontal="center" vertical="center"/>
    </xf>
    <xf numFmtId="0" fontId="10" fillId="0" borderId="29" xfId="443" applyFont="1" applyBorder="1" applyAlignment="1">
      <alignment horizontal="center" vertical="center"/>
    </xf>
    <xf numFmtId="0" fontId="13" fillId="0" borderId="30" xfId="443" applyFont="1" applyBorder="1" applyAlignment="1">
      <alignment horizontal="center" vertical="center"/>
    </xf>
    <xf numFmtId="0" fontId="13" fillId="0" borderId="31" xfId="443" applyFont="1" applyBorder="1" applyAlignment="1">
      <alignment horizontal="center" vertical="center"/>
    </xf>
    <xf numFmtId="0" fontId="10" fillId="0" borderId="0" xfId="1" applyFont="1" applyAlignment="1">
      <alignment horizontal="center" vertical="center"/>
    </xf>
    <xf numFmtId="166" fontId="0" fillId="0" borderId="0" xfId="0" applyNumberFormat="1"/>
    <xf numFmtId="3" fontId="0" fillId="0" borderId="0" xfId="0" applyNumberFormat="1"/>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29">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s>
  <tableStyles count="0" defaultTableStyle="TableStyleMedium9" defaultPivotStyle="PivotStyleLight16"/>
  <colors>
    <mruColors>
      <color rgb="FFFF66FF"/>
      <color rgb="FF08C8C3"/>
      <color rgb="FFFF33CC"/>
      <color rgb="FFB6FF5D"/>
      <color rgb="FF68A62A"/>
      <color rgb="FF4A5886"/>
      <color rgb="FFB30D9B"/>
      <color rgb="FFFF00FF"/>
      <color rgb="FF35E2EB"/>
      <color rgb="FFD9F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D:\&#1053;&#1086;&#1076;&#1080;&#1088;\Nodir\23%20&#1090;&#1072;%20&#1046;&#1040;&#1044;&#1042;&#1040;&#1051;\2024\12.2024\crs003O.XLSX" TargetMode="External"/><Relationship Id="rId1" Type="http://schemas.openxmlformats.org/officeDocument/2006/relationships/externalLinkPath" Target="crs003O.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D:\&#1053;&#1086;&#1076;&#1080;&#1088;\Nodir\23%20&#1090;&#1072;%20&#1046;&#1040;&#1044;&#1042;&#1040;&#1051;\2024\12.2024\crs003L.XLSX" TargetMode="External"/><Relationship Id="rId1" Type="http://schemas.openxmlformats.org/officeDocument/2006/relationships/externalLinkPath" Target="crs003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Пост по регион (2)"/>
      <sheetName val="TAB158"/>
      <sheetName val="ЭСЛАТМА!!"/>
      <sheetName val="Лист1"/>
      <sheetName val="Тегишилмасин"/>
      <sheetName val="Лист2"/>
      <sheetName val="Сабаб"/>
      <sheetName val="Sheet"/>
      <sheetName val="tab31_old"/>
      <sheetName val="Пост_по_регион_(2)"/>
      <sheetName val="тегилмасин"/>
      <sheetName val="Субстандарт "/>
      <sheetName val="Харакатсиз"/>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tegmang"/>
      <sheetName val="Лист4"/>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17"/>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000"/>
      <sheetName val="Central Gov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monimp"/>
      <sheetName val="interv"/>
      <sheetName val="fiscout"/>
      <sheetName val="Base EEFF"/>
      <sheetName val="Sheet1"/>
      <sheetName val="Sheet2"/>
      <sheetName val="Base_EEFF"/>
      <sheetName val="жиззах янги раз"/>
      <sheetName val="Oglavlenie"/>
      <sheetName val="Таблицы_"/>
      <sheetName val="Зарплата"/>
      <sheetName val="7 (2)"/>
      <sheetName val="Амортизация"/>
      <sheetName val="Treatment Summary"/>
      <sheetName val="cop fed"/>
      <sheetName val="setup_products"/>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efreshError="1"/>
      <sheetData sheetId="32" refreshError="1"/>
      <sheetData sheetId="33" refreshError="1"/>
      <sheetData sheetId="34">
        <row r="5">
          <cell r="C5">
            <v>597958561</v>
          </cell>
        </row>
      </sheetData>
      <sheetData sheetId="35">
        <row r="5">
          <cell r="C5">
            <v>597958561</v>
          </cell>
        </row>
      </sheetData>
      <sheetData sheetId="36">
        <row r="5">
          <cell r="C5">
            <v>597958561</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тегилмасин"/>
      <sheetName val="Параметр (ФОРМУДА)"/>
      <sheetName val="BAL"/>
      <sheetName val="진행 DATA (2)"/>
      <sheetName val="A"/>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ￒ_x0000_"/>
      <sheetName val=""/>
      <sheetName val="ￒ"/>
      <sheetName val="IPC198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IRRBB_fixed%"/>
      <sheetName val="IRRBB_floating%"/>
      <sheetName val="Economic Normatives"/>
      <sheetName val="Miscellaneous"/>
      <sheetName val="ПФ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89">
          <cell r="Z89">
            <v>1385182301</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615338207</v>
          </cell>
          <cell r="D39">
            <v>615338207</v>
          </cell>
        </row>
        <row r="47">
          <cell r="C47">
            <v>87596989839</v>
          </cell>
          <cell r="D47">
            <v>37469737224</v>
          </cell>
          <cell r="E47">
            <v>50127252615</v>
          </cell>
        </row>
        <row r="61">
          <cell r="C61">
            <v>24762000</v>
          </cell>
        </row>
      </sheetData>
      <sheetData sheetId="1" refreshError="1"/>
      <sheetData sheetId="2" refreshError="1"/>
      <sheetData sheetId="3" refreshError="1"/>
      <sheetData sheetId="4" refreshError="1"/>
      <sheetData sheetId="5" refreshError="1"/>
      <sheetData sheetId="6" refreshError="1"/>
      <sheetData sheetId="7">
        <row r="4">
          <cell r="C4">
            <v>2215654428</v>
          </cell>
          <cell r="D4">
            <v>829576063</v>
          </cell>
          <cell r="E4">
            <v>1386078365</v>
          </cell>
        </row>
        <row r="7">
          <cell r="C7">
            <v>2151989327</v>
          </cell>
          <cell r="D7">
            <v>93135689</v>
          </cell>
          <cell r="E7">
            <v>2058853638</v>
          </cell>
        </row>
        <row r="10">
          <cell r="C10">
            <v>2081146247</v>
          </cell>
          <cell r="D10">
            <v>0</v>
          </cell>
          <cell r="E10">
            <v>2081146247</v>
          </cell>
        </row>
      </sheetData>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N77"/>
  <sheetViews>
    <sheetView tabSelected="1" view="pageBreakPreview" zoomScaleNormal="100" zoomScaleSheetLayoutView="100" workbookViewId="0">
      <pane xSplit="2" ySplit="4" topLeftCell="C29" activePane="bottomRight" state="frozen"/>
      <selection activeCell="L59" sqref="L59:N77"/>
      <selection pane="topRight" activeCell="L59" sqref="L59:N77"/>
      <selection pane="bottomLeft" activeCell="L59" sqref="L59:N77"/>
      <selection pane="bottomRight" activeCell="C42" sqref="C42"/>
    </sheetView>
  </sheetViews>
  <sheetFormatPr defaultRowHeight="12.75"/>
  <cols>
    <col min="1" max="1" width="6" style="100" customWidth="1"/>
    <col min="2" max="2" width="105.140625" style="100" customWidth="1"/>
    <col min="3" max="3" width="19.7109375" style="122" customWidth="1"/>
    <col min="4" max="4" width="14.5703125" style="100" customWidth="1"/>
    <col min="5" max="5" width="27.42578125" style="102" customWidth="1"/>
    <col min="6" max="6" width="14.140625" style="100" customWidth="1"/>
    <col min="7" max="7" width="9.140625" style="100"/>
    <col min="8" max="8" width="17.42578125" style="100" bestFit="1" customWidth="1"/>
    <col min="9" max="16384" width="9.140625" style="100"/>
  </cols>
  <sheetData>
    <row r="1" spans="1:5" ht="23.25" customHeight="1">
      <c r="A1" s="228" t="s">
        <v>129</v>
      </c>
      <c r="B1" s="229"/>
      <c r="C1" s="5" t="s">
        <v>130</v>
      </c>
      <c r="E1" s="225" t="s">
        <v>310</v>
      </c>
    </row>
    <row r="2" spans="1:5">
      <c r="A2" s="101"/>
      <c r="B2" s="101"/>
      <c r="C2" s="101"/>
    </row>
    <row r="3" spans="1:5" ht="16.5" thickBot="1">
      <c r="A3" s="103"/>
      <c r="B3" s="154" t="s">
        <v>316</v>
      </c>
      <c r="C3" s="99">
        <v>45653</v>
      </c>
    </row>
    <row r="4" spans="1:5" s="81" customFormat="1" ht="43.5" customHeight="1" thickBot="1">
      <c r="A4" s="98" t="s">
        <v>52</v>
      </c>
      <c r="B4" s="104" t="s">
        <v>131</v>
      </c>
      <c r="C4" s="105" t="s">
        <v>256</v>
      </c>
      <c r="E4" s="158"/>
    </row>
    <row r="5" spans="1:5" ht="12.75" customHeight="1">
      <c r="A5" s="96" t="s">
        <v>30</v>
      </c>
      <c r="B5" s="107" t="s">
        <v>132</v>
      </c>
      <c r="C5" s="97"/>
    </row>
    <row r="6" spans="1:5" ht="12.75" customHeight="1">
      <c r="A6" s="108">
        <v>1</v>
      </c>
      <c r="B6" s="10" t="s">
        <v>133</v>
      </c>
      <c r="C6" s="83"/>
    </row>
    <row r="7" spans="1:5" s="18" customFormat="1" ht="18" customHeight="1">
      <c r="A7" s="84" t="s">
        <v>86</v>
      </c>
      <c r="B7" s="16" t="s">
        <v>134</v>
      </c>
      <c r="C7" s="83">
        <f>+C8-C9</f>
        <v>4621911928</v>
      </c>
      <c r="E7" s="109"/>
    </row>
    <row r="8" spans="1:5" s="81" customFormat="1" ht="18" customHeight="1">
      <c r="A8" s="89" t="s">
        <v>31</v>
      </c>
      <c r="B8" s="110" t="s">
        <v>135</v>
      </c>
      <c r="C8" s="85">
        <v>4621911928</v>
      </c>
      <c r="E8" s="106"/>
    </row>
    <row r="9" spans="1:5" s="81" customFormat="1" ht="18" customHeight="1">
      <c r="A9" s="89" t="s">
        <v>33</v>
      </c>
      <c r="B9" s="110" t="s">
        <v>136</v>
      </c>
      <c r="C9" s="85">
        <v>0</v>
      </c>
      <c r="E9" s="106"/>
    </row>
    <row r="10" spans="1:5" s="18" customFormat="1" ht="18" customHeight="1">
      <c r="A10" s="84" t="s">
        <v>87</v>
      </c>
      <c r="B10" s="16" t="s">
        <v>137</v>
      </c>
      <c r="C10" s="85"/>
      <c r="E10" s="109"/>
    </row>
    <row r="11" spans="1:5" s="81" customFormat="1" ht="18" customHeight="1">
      <c r="A11" s="89" t="s">
        <v>88</v>
      </c>
      <c r="B11" s="110" t="s">
        <v>138</v>
      </c>
      <c r="C11" s="86">
        <f>+C12+C13-C14-C15</f>
        <v>4079440274</v>
      </c>
      <c r="E11" s="106"/>
    </row>
    <row r="12" spans="1:5" s="81" customFormat="1" ht="18" customHeight="1">
      <c r="A12" s="89" t="s">
        <v>37</v>
      </c>
      <c r="B12" s="110" t="s">
        <v>139</v>
      </c>
      <c r="C12" s="85">
        <v>1778603852</v>
      </c>
      <c r="E12" s="106"/>
    </row>
    <row r="13" spans="1:5" s="81" customFormat="1" ht="18" customHeight="1">
      <c r="A13" s="89" t="s">
        <v>33</v>
      </c>
      <c r="B13" s="110" t="s">
        <v>140</v>
      </c>
      <c r="C13" s="85">
        <v>2300836422</v>
      </c>
      <c r="E13" s="106"/>
    </row>
    <row r="14" spans="1:5" s="18" customFormat="1" ht="17.25" customHeight="1">
      <c r="A14" s="87" t="s">
        <v>35</v>
      </c>
      <c r="B14" s="110" t="s">
        <v>141</v>
      </c>
      <c r="C14" s="85"/>
      <c r="E14" s="109"/>
    </row>
    <row r="15" spans="1:5" s="18" customFormat="1" ht="18" customHeight="1">
      <c r="A15" s="87" t="s">
        <v>42</v>
      </c>
      <c r="B15" s="110" t="s">
        <v>142</v>
      </c>
      <c r="C15" s="85"/>
      <c r="E15" s="109"/>
    </row>
    <row r="16" spans="1:5" s="81" customFormat="1" ht="18" customHeight="1">
      <c r="A16" s="89" t="s">
        <v>92</v>
      </c>
      <c r="B16" s="110" t="s">
        <v>143</v>
      </c>
      <c r="C16" s="88"/>
      <c r="E16" s="137"/>
    </row>
    <row r="17" spans="1:12" s="81" customFormat="1" ht="18" customHeight="1">
      <c r="A17" s="89" t="s">
        <v>93</v>
      </c>
      <c r="B17" s="110" t="s">
        <v>144</v>
      </c>
      <c r="C17" s="88"/>
    </row>
    <row r="18" spans="1:12" s="81" customFormat="1" ht="18" customHeight="1">
      <c r="A18" s="89" t="s">
        <v>122</v>
      </c>
      <c r="B18" s="110" t="s">
        <v>145</v>
      </c>
      <c r="C18" s="86">
        <f>+C7+C10+C11+C16+C17</f>
        <v>8701352202</v>
      </c>
      <c r="E18" s="137"/>
    </row>
    <row r="19" spans="1:12" s="81" customFormat="1" ht="18" customHeight="1">
      <c r="A19" s="89" t="s">
        <v>146</v>
      </c>
      <c r="B19" s="110" t="s">
        <v>147</v>
      </c>
      <c r="C19" s="86">
        <f>C20+C21+C22+C23+C24</f>
        <v>122398482</v>
      </c>
      <c r="E19" s="137"/>
    </row>
    <row r="20" spans="1:12" s="81" customFormat="1" ht="22.5" customHeight="1">
      <c r="A20" s="89" t="s">
        <v>37</v>
      </c>
      <c r="B20" s="110" t="s">
        <v>148</v>
      </c>
      <c r="C20" s="85">
        <v>21378472</v>
      </c>
      <c r="E20" s="137"/>
    </row>
    <row r="21" spans="1:12" s="81" customFormat="1" ht="29.25" customHeight="1">
      <c r="A21" s="89" t="s">
        <v>33</v>
      </c>
      <c r="B21" s="110" t="s">
        <v>276</v>
      </c>
      <c r="C21" s="85">
        <f>975097244-67066760-'Calculation of Risk Weighted As'!K55</f>
        <v>101020010</v>
      </c>
      <c r="D21" s="176"/>
      <c r="E21" s="137"/>
      <c r="F21" s="176"/>
      <c r="G21" s="176"/>
      <c r="H21" s="176"/>
      <c r="I21" s="176"/>
      <c r="J21" s="176"/>
      <c r="K21" s="176"/>
      <c r="L21" s="176"/>
    </row>
    <row r="22" spans="1:12" s="81" customFormat="1" ht="17.25" customHeight="1">
      <c r="A22" s="89" t="s">
        <v>35</v>
      </c>
      <c r="B22" s="110" t="s">
        <v>149</v>
      </c>
      <c r="C22" s="85"/>
      <c r="E22" s="106"/>
    </row>
    <row r="23" spans="1:12" s="81" customFormat="1" ht="17.25" customHeight="1">
      <c r="A23" s="89" t="s">
        <v>42</v>
      </c>
      <c r="B23" s="110" t="s">
        <v>150</v>
      </c>
      <c r="C23" s="88"/>
      <c r="E23" s="82"/>
    </row>
    <row r="24" spans="1:12" s="81" customFormat="1" ht="17.25" customHeight="1">
      <c r="A24" s="89" t="s">
        <v>128</v>
      </c>
      <c r="B24" s="110" t="s">
        <v>151</v>
      </c>
      <c r="C24" s="88"/>
      <c r="D24" s="119"/>
      <c r="E24" s="137">
        <f>+'[6]Transactions of related parties'!$Z$89</f>
        <v>1385182301</v>
      </c>
      <c r="F24" s="119"/>
    </row>
    <row r="25" spans="1:12" s="18" customFormat="1" ht="15" customHeight="1">
      <c r="A25" s="84" t="s">
        <v>96</v>
      </c>
      <c r="B25" s="16" t="s">
        <v>133</v>
      </c>
      <c r="C25" s="86">
        <f>+C18-C19</f>
        <v>8578953720</v>
      </c>
      <c r="E25" s="137">
        <f>C18-C20-C21-C22-C23</f>
        <v>8578953720</v>
      </c>
    </row>
    <row r="26" spans="1:12" ht="16.5" customHeight="1">
      <c r="A26" s="108">
        <v>2</v>
      </c>
      <c r="B26" s="19" t="s">
        <v>152</v>
      </c>
      <c r="C26" s="91"/>
    </row>
    <row r="27" spans="1:12" s="18" customFormat="1" ht="18" customHeight="1">
      <c r="A27" s="87" t="s">
        <v>99</v>
      </c>
      <c r="B27" s="50" t="s">
        <v>153</v>
      </c>
      <c r="C27" s="83">
        <f>+C28-C29</f>
        <v>7030000</v>
      </c>
      <c r="E27" s="109"/>
    </row>
    <row r="28" spans="1:12" s="18" customFormat="1" ht="18" customHeight="1">
      <c r="A28" s="87" t="s">
        <v>37</v>
      </c>
      <c r="B28" s="50" t="s">
        <v>154</v>
      </c>
      <c r="C28" s="90">
        <v>7030000</v>
      </c>
      <c r="E28" s="109"/>
    </row>
    <row r="29" spans="1:12" s="18" customFormat="1" ht="18" customHeight="1">
      <c r="A29" s="87" t="s">
        <v>33</v>
      </c>
      <c r="B29" s="50" t="s">
        <v>155</v>
      </c>
      <c r="C29" s="90">
        <v>0</v>
      </c>
      <c r="E29" s="109"/>
    </row>
    <row r="30" spans="1:12" s="18" customFormat="1" ht="18" customHeight="1">
      <c r="A30" s="87" t="s">
        <v>100</v>
      </c>
      <c r="B30" s="50" t="s">
        <v>156</v>
      </c>
      <c r="C30" s="90">
        <v>696121</v>
      </c>
      <c r="E30" s="109"/>
    </row>
    <row r="31" spans="1:12">
      <c r="A31" s="87" t="s">
        <v>102</v>
      </c>
      <c r="B31" s="51" t="s">
        <v>143</v>
      </c>
      <c r="C31" s="90">
        <v>0</v>
      </c>
    </row>
    <row r="32" spans="1:12" s="18" customFormat="1" ht="29.25" customHeight="1">
      <c r="A32" s="87" t="s">
        <v>104</v>
      </c>
      <c r="B32" s="50" t="s">
        <v>157</v>
      </c>
      <c r="C32" s="90">
        <v>0</v>
      </c>
      <c r="E32" s="109"/>
    </row>
    <row r="33" spans="1:13" s="22" customFormat="1">
      <c r="A33" s="111" t="s">
        <v>44</v>
      </c>
      <c r="B33" s="44" t="s">
        <v>158</v>
      </c>
      <c r="C33" s="86">
        <f>+C27+C30+C31+C32</f>
        <v>7726121</v>
      </c>
      <c r="D33" s="112"/>
      <c r="E33" s="113"/>
    </row>
    <row r="34" spans="1:13" s="22" customFormat="1" ht="16.5" customHeight="1">
      <c r="A34" s="111" t="s">
        <v>46</v>
      </c>
      <c r="B34" s="37" t="s">
        <v>159</v>
      </c>
      <c r="C34" s="86">
        <f>+C25+C33</f>
        <v>8586679841</v>
      </c>
      <c r="E34" s="113"/>
    </row>
    <row r="35" spans="1:13" s="24" customFormat="1" ht="13.5" customHeight="1">
      <c r="A35" s="114"/>
      <c r="B35" s="23" t="s">
        <v>160</v>
      </c>
      <c r="C35" s="86"/>
      <c r="E35" s="115"/>
      <c r="H35" s="116"/>
    </row>
    <row r="36" spans="1:13" s="18" customFormat="1" ht="18" customHeight="1">
      <c r="A36" s="87" t="s">
        <v>107</v>
      </c>
      <c r="B36" s="50" t="s">
        <v>161</v>
      </c>
      <c r="C36" s="90">
        <v>1303171680</v>
      </c>
      <c r="E36" s="109"/>
    </row>
    <row r="37" spans="1:13" s="18" customFormat="1" ht="30" customHeight="1">
      <c r="A37" s="87" t="s">
        <v>108</v>
      </c>
      <c r="B37" s="50" t="s">
        <v>162</v>
      </c>
      <c r="C37" s="91">
        <f>IF(F37&lt;(C45*1.25%),F37,(C45*1.25%))</f>
        <v>640100207</v>
      </c>
      <c r="E37" s="117" t="s">
        <v>124</v>
      </c>
      <c r="F37" s="118">
        <f>[7]Balance!$C$39+[7]Balance!$C$61</f>
        <v>640100207</v>
      </c>
    </row>
    <row r="38" spans="1:13" s="18" customFormat="1" ht="18" customHeight="1">
      <c r="A38" s="87" t="s">
        <v>109</v>
      </c>
      <c r="B38" s="50" t="s">
        <v>163</v>
      </c>
      <c r="C38" s="85"/>
      <c r="E38" s="109"/>
      <c r="F38" s="157">
        <f>+[7]Balance!$C$39+[7]Balance!$C$61</f>
        <v>640100207</v>
      </c>
    </row>
    <row r="39" spans="1:13" s="18" customFormat="1" ht="18" customHeight="1">
      <c r="A39" s="87" t="s">
        <v>110</v>
      </c>
      <c r="B39" s="50" t="s">
        <v>164</v>
      </c>
      <c r="C39" s="85">
        <v>2053007156</v>
      </c>
      <c r="D39" s="159"/>
      <c r="E39" s="160"/>
      <c r="F39" s="161">
        <f>+F37-F38</f>
        <v>0</v>
      </c>
      <c r="G39" s="159"/>
      <c r="H39" s="159"/>
      <c r="I39" s="159"/>
      <c r="J39" s="159"/>
      <c r="K39" s="159"/>
      <c r="L39" s="159"/>
      <c r="M39" s="159"/>
    </row>
    <row r="40" spans="1:13" s="18" customFormat="1" ht="18" customHeight="1">
      <c r="A40" s="87" t="s">
        <v>112</v>
      </c>
      <c r="B40" s="50" t="s">
        <v>165</v>
      </c>
      <c r="C40" s="90">
        <v>5938360</v>
      </c>
      <c r="D40" s="159"/>
      <c r="E40" s="160"/>
      <c r="F40" s="159"/>
      <c r="G40" s="159"/>
      <c r="H40" s="159"/>
      <c r="I40" s="159"/>
      <c r="J40" s="159"/>
      <c r="K40" s="159"/>
      <c r="L40" s="159"/>
      <c r="M40" s="159"/>
    </row>
    <row r="41" spans="1:13" s="18" customFormat="1" ht="18" customHeight="1">
      <c r="A41" s="87" t="s">
        <v>113</v>
      </c>
      <c r="B41" s="50" t="s">
        <v>166</v>
      </c>
      <c r="C41" s="91">
        <f>IF($C$34&gt;=SUM($C$36:$C$40),0,(SUM($C$36:$C$40)-$C$34))*-1</f>
        <v>0</v>
      </c>
      <c r="D41" s="159"/>
      <c r="E41" s="160"/>
      <c r="F41" s="159"/>
      <c r="G41" s="159"/>
      <c r="H41" s="159"/>
      <c r="I41" s="159"/>
      <c r="J41" s="159"/>
      <c r="K41" s="159"/>
      <c r="L41" s="159"/>
      <c r="M41" s="159"/>
    </row>
    <row r="42" spans="1:13" ht="18.75" customHeight="1">
      <c r="A42" s="89"/>
      <c r="B42" s="19" t="s">
        <v>167</v>
      </c>
      <c r="C42" s="86">
        <f>SUM(C36:C40)</f>
        <v>4002217403</v>
      </c>
      <c r="D42" s="162"/>
      <c r="E42" s="163"/>
      <c r="F42" s="164"/>
      <c r="G42" s="164"/>
      <c r="H42" s="164"/>
      <c r="I42" s="164"/>
      <c r="J42" s="164"/>
      <c r="K42" s="164"/>
      <c r="L42" s="164"/>
      <c r="M42" s="164"/>
    </row>
    <row r="43" spans="1:13" s="81" customFormat="1" ht="22.5" customHeight="1">
      <c r="A43" s="114" t="s">
        <v>47</v>
      </c>
      <c r="B43" s="37" t="s">
        <v>168</v>
      </c>
      <c r="C43" s="92">
        <f>+C41+C42</f>
        <v>4002217403</v>
      </c>
      <c r="D43" s="165"/>
      <c r="E43" s="166"/>
      <c r="F43" s="167"/>
      <c r="G43" s="167"/>
      <c r="H43" s="167"/>
      <c r="I43" s="167"/>
      <c r="J43" s="167"/>
      <c r="K43" s="167"/>
      <c r="L43" s="167"/>
      <c r="M43" s="167"/>
    </row>
    <row r="44" spans="1:13" s="81" customFormat="1" ht="15.75" customHeight="1">
      <c r="A44" s="114" t="s">
        <v>50</v>
      </c>
      <c r="B44" s="37" t="s">
        <v>169</v>
      </c>
      <c r="C44" s="93">
        <f>+C34+C41+C42</f>
        <v>12588897244</v>
      </c>
      <c r="D44" s="165"/>
      <c r="E44" s="166"/>
      <c r="F44" s="167"/>
      <c r="G44" s="167"/>
      <c r="H44" s="167"/>
      <c r="I44" s="167"/>
      <c r="J44" s="167"/>
      <c r="K44" s="167"/>
      <c r="L44" s="167"/>
      <c r="M44" s="167"/>
    </row>
    <row r="45" spans="1:13" s="81" customFormat="1" ht="21.75" customHeight="1">
      <c r="A45" s="114" t="s">
        <v>9</v>
      </c>
      <c r="B45" s="37" t="s">
        <v>170</v>
      </c>
      <c r="C45" s="93">
        <f>+C46+C47+C48</f>
        <v>80786255993.440399</v>
      </c>
      <c r="D45" s="167"/>
      <c r="E45" s="166"/>
      <c r="F45" s="167"/>
      <c r="G45" s="167"/>
      <c r="H45" s="167"/>
      <c r="I45" s="167"/>
      <c r="J45" s="167"/>
      <c r="K45" s="167"/>
      <c r="L45" s="167"/>
      <c r="M45" s="167"/>
    </row>
    <row r="46" spans="1:13" s="18" customFormat="1" ht="18" customHeight="1">
      <c r="A46" s="87" t="s">
        <v>37</v>
      </c>
      <c r="B46" s="50" t="s">
        <v>171</v>
      </c>
      <c r="C46" s="91">
        <f>+'Calculation of Risk Weighted As'!K89</f>
        <v>75115178975.450012</v>
      </c>
      <c r="D46" s="159"/>
      <c r="E46" s="160"/>
      <c r="F46" s="159"/>
      <c r="G46" s="159"/>
      <c r="H46" s="159"/>
      <c r="I46" s="159"/>
      <c r="J46" s="159"/>
      <c r="K46" s="159"/>
      <c r="L46" s="159"/>
      <c r="M46" s="159"/>
    </row>
    <row r="47" spans="1:13" s="18" customFormat="1" ht="18" customHeight="1">
      <c r="A47" s="87" t="s">
        <v>33</v>
      </c>
      <c r="B47" s="50" t="s">
        <v>172</v>
      </c>
      <c r="C47" s="91">
        <f>+'Calculation of Risk'!C21</f>
        <v>5114329020.2980766</v>
      </c>
      <c r="D47" s="159"/>
      <c r="E47" s="160"/>
      <c r="F47" s="159"/>
      <c r="G47" s="159"/>
      <c r="H47" s="159"/>
      <c r="I47" s="159"/>
      <c r="J47" s="159"/>
      <c r="K47" s="159"/>
      <c r="L47" s="159"/>
      <c r="M47" s="159"/>
    </row>
    <row r="48" spans="1:13" s="18" customFormat="1" ht="18" customHeight="1">
      <c r="A48" s="87" t="s">
        <v>35</v>
      </c>
      <c r="B48" s="50" t="s">
        <v>173</v>
      </c>
      <c r="C48" s="91">
        <f>+'Calculation of Risk'!C27</f>
        <v>556747997.69230771</v>
      </c>
      <c r="D48" s="159"/>
      <c r="E48" s="160"/>
      <c r="F48" s="159"/>
      <c r="G48" s="159"/>
      <c r="H48" s="159"/>
      <c r="I48" s="159"/>
      <c r="J48" s="159"/>
      <c r="K48" s="159"/>
      <c r="L48" s="159"/>
      <c r="M48" s="159"/>
    </row>
    <row r="49" spans="1:14" s="24" customFormat="1" ht="21.75" customHeight="1">
      <c r="A49" s="114" t="s">
        <v>10</v>
      </c>
      <c r="B49" s="37" t="s">
        <v>174</v>
      </c>
      <c r="C49" s="94">
        <f>IFERROR((+C25/C45),0)</f>
        <v>0.10619323317442246</v>
      </c>
      <c r="D49" s="168"/>
      <c r="E49" s="169"/>
      <c r="F49" s="168"/>
      <c r="G49" s="168"/>
      <c r="H49" s="168"/>
      <c r="I49" s="168"/>
      <c r="J49" s="168"/>
      <c r="K49" s="168"/>
      <c r="L49" s="168"/>
      <c r="M49" s="168"/>
    </row>
    <row r="50" spans="1:14" s="24" customFormat="1" ht="21.75" customHeight="1">
      <c r="A50" s="114" t="s">
        <v>51</v>
      </c>
      <c r="B50" s="37" t="s">
        <v>175</v>
      </c>
      <c r="C50" s="94">
        <f>IFERROR((+C34/C45),0)</f>
        <v>0.10628886975152324</v>
      </c>
      <c r="D50" s="168"/>
      <c r="E50" s="169"/>
      <c r="F50" s="168"/>
      <c r="G50" s="168"/>
      <c r="H50" s="168"/>
      <c r="I50" s="168"/>
      <c r="J50" s="168"/>
      <c r="K50" s="168"/>
      <c r="L50" s="168"/>
      <c r="M50" s="168"/>
    </row>
    <row r="51" spans="1:14" s="24" customFormat="1" ht="21.75" customHeight="1">
      <c r="A51" s="114" t="s">
        <v>20</v>
      </c>
      <c r="B51" s="37" t="s">
        <v>176</v>
      </c>
      <c r="C51" s="94">
        <f>IFERROR((+C44/C45),0)</f>
        <v>0.1558296902015385</v>
      </c>
      <c r="D51" s="168"/>
      <c r="E51" s="169"/>
      <c r="F51" s="168"/>
      <c r="G51" s="168"/>
      <c r="H51" s="168"/>
      <c r="I51" s="168"/>
      <c r="J51" s="168"/>
      <c r="K51" s="168"/>
      <c r="L51" s="168"/>
      <c r="M51" s="168"/>
    </row>
    <row r="52" spans="1:14" s="81" customFormat="1" ht="21.75" customHeight="1">
      <c r="A52" s="114" t="s">
        <v>21</v>
      </c>
      <c r="B52" s="37" t="s">
        <v>177</v>
      </c>
      <c r="C52" s="92">
        <f>SUM(C53:C55)-C56</f>
        <v>94430545547</v>
      </c>
      <c r="D52" s="167"/>
      <c r="E52" s="170"/>
      <c r="F52" s="165"/>
      <c r="G52" s="167"/>
      <c r="H52" s="167"/>
      <c r="I52" s="167"/>
      <c r="J52" s="167"/>
      <c r="K52" s="167"/>
      <c r="L52" s="167"/>
      <c r="M52" s="167"/>
    </row>
    <row r="53" spans="1:14" s="29" customFormat="1" ht="21.75" customHeight="1">
      <c r="A53" s="87" t="s">
        <v>37</v>
      </c>
      <c r="B53" s="27" t="s">
        <v>178</v>
      </c>
      <c r="C53" s="156">
        <f>+[7]Balance!$C$47</f>
        <v>87596989839</v>
      </c>
      <c r="D53" s="71"/>
      <c r="E53" s="171"/>
      <c r="F53" s="172"/>
      <c r="G53" s="71"/>
      <c r="H53" s="71"/>
      <c r="I53" s="71"/>
      <c r="J53" s="71"/>
      <c r="K53" s="71"/>
      <c r="L53" s="71"/>
      <c r="M53" s="71"/>
    </row>
    <row r="54" spans="1:14" s="29" customFormat="1" ht="21.75" customHeight="1">
      <c r="A54" s="87" t="s">
        <v>33</v>
      </c>
      <c r="B54" s="27" t="s">
        <v>179</v>
      </c>
      <c r="C54" s="156">
        <f>SUM('Calculation of Risk Weighted As'!D68:K76)</f>
        <v>6955954190</v>
      </c>
      <c r="D54" s="71"/>
      <c r="E54" s="172"/>
      <c r="F54" s="172"/>
      <c r="G54" s="71"/>
      <c r="H54" s="71"/>
      <c r="I54" s="71"/>
      <c r="J54" s="71"/>
      <c r="K54" s="71"/>
      <c r="L54" s="71"/>
      <c r="M54" s="71"/>
    </row>
    <row r="55" spans="1:14" s="29" customFormat="1" ht="21.75" customHeight="1">
      <c r="A55" s="87" t="s">
        <v>35</v>
      </c>
      <c r="B55" s="27" t="s">
        <v>180</v>
      </c>
      <c r="C55" s="156">
        <f>+('Calculation of Risk Weighted As'!D79*'Calculation of Risk Weighted As'!$C$79*'Calculation of Risk Weighted As'!$D$3)+('Calculation of Risk Weighted As'!D80*'Calculation of Risk Weighted As'!$C$80*'Calculation of Risk Weighted As'!$D$3)+('Calculation of Risk Weighted As'!D81*'Calculation of Risk Weighted As'!$C$81*'Calculation of Risk Weighted As'!$D$3)+('Calculation of Risk Weighted As'!D83*'Calculation of Risk Weighted As'!$C$83*'Calculation of Risk Weighted As'!$D$3)+('Calculation of Risk Weighted As'!D84*'Calculation of Risk Weighted As'!$C$84*'Calculation of Risk Weighted As'!$D$3)+('Calculation of Risk Weighted As'!D85*'Calculation of Risk Weighted As'!$C$85*'Calculation of Risk Weighted As'!$D$3)+('Calculation of Risk Weighted As'!E79*'Calculation of Risk Weighted As'!$C$79*'Calculation of Risk Weighted As'!$E$3)+('Calculation of Risk Weighted As'!E80*'Calculation of Risk Weighted As'!$C$80*'Calculation of Risk Weighted As'!$E$3)+('Calculation of Risk Weighted As'!E81*'Calculation of Risk Weighted As'!$C$81*'Calculation of Risk Weighted As'!$E$3)+('Calculation of Risk Weighted As'!E83*'Calculation of Risk Weighted As'!$C$83*'Calculation of Risk Weighted As'!$E$3)+('Calculation of Risk Weighted As'!E84*'Calculation of Risk Weighted As'!$C$84*'Calculation of Risk Weighted As'!$E$3)+('Calculation of Risk Weighted As'!E85*'Calculation of Risk Weighted As'!$C$85*'Calculation of Risk Weighted As'!$E$3)+('Calculation of Risk Weighted As'!F79*'Calculation of Risk Weighted As'!$C$79*'Calculation of Risk Weighted As'!$F$3)+('Calculation of Risk Weighted As'!F80*$C$66*$F$3)+('Calculation of Risk Weighted As'!F81*$C$67*$F$3)+('Calculation of Risk Weighted As'!F83*$C$69*$F$3)+('Calculation of Risk Weighted As'!F84*$C$70*$F$3)+('Calculation of Risk Weighted As'!F85*$C$71*$F$3)+('Calculation of Risk Weighted As'!G79*'Calculation of Risk Weighted As'!$C$79*'Calculation of Risk Weighted As'!$G$3)+('Calculation of Risk Weighted As'!G80*'Calculation of Risk Weighted As'!$C$80*'Calculation of Risk Weighted As'!$G$3)+('Calculation of Risk Weighted As'!G81*'Calculation of Risk Weighted As'!$C$81*'Calculation of Risk Weighted As'!$G$3)+('Calculation of Risk Weighted As'!G83*'Calculation of Risk Weighted As'!$C$83*'Calculation of Risk Weighted As'!$G$3)+('Calculation of Risk Weighted As'!G84*'Calculation of Risk Weighted As'!$C$84*'Calculation of Risk Weighted As'!$G$3)+('Calculation of Risk Weighted As'!G85*'Calculation of Risk Weighted As'!$C$85*'Calculation of Risk Weighted As'!$G$3)+('Calculation of Risk Weighted As'!I79*'Calculation of Risk Weighted As'!$C$79*'Calculation of Risk Weighted As'!$I$3)+('Calculation of Risk Weighted As'!I80*'Calculation of Risk Weighted As'!$C$80*'Calculation of Risk Weighted As'!$I$3)+('Calculation of Risk Weighted As'!I81*'Calculation of Risk Weighted As'!$C$81*'Calculation of Risk Weighted As'!$I$3)+('Calculation of Risk Weighted As'!I83*'Calculation of Risk Weighted As'!$C$83*'Calculation of Risk Weighted As'!$I$3)+('Calculation of Risk Weighted As'!I84*'Calculation of Risk Weighted As'!$C$84*'Calculation of Risk Weighted As'!$I$3)+('Calculation of Risk Weighted As'!I85*'Calculation of Risk Weighted As'!$C$85*'Calculation of Risk Weighted As'!$I$3)+('Calculation of Risk Weighted As'!J79*'Calculation of Risk Weighted As'!$C$79*'Calculation of Risk Weighted As'!$J$3)+('Calculation of Risk Weighted As'!J80*'Calculation of Risk Weighted As'!$C$80*'Calculation of Risk Weighted As'!$J$3)+('Calculation of Risk Weighted As'!J81*'Calculation of Risk Weighted As'!$C$81*'Calculation of Risk Weighted As'!$J$3)+('Calculation of Risk Weighted As'!J83*'Calculation of Risk Weighted As'!$C$83*'Calculation of Risk Weighted As'!$J$3)+('Calculation of Risk Weighted As'!J84*'Calculation of Risk Weighted As'!$C$84*'Calculation of Risk Weighted As'!$J$3)+('Calculation of Risk Weighted As'!J85*'Calculation of Risk Weighted As'!$C$85*'Calculation of Risk Weighted As'!$J$3)+('Calculation of Risk Weighted As'!K79*'Calculation of Risk Weighted As'!$C$79*'Calculation of Risk Weighted As'!$K$3)+('Calculation of Risk Weighted As'!K80*'Calculation of Risk Weighted As'!$C$80*'Calculation of Risk Weighted As'!$K$3)+('Calculation of Risk Weighted As'!K81*'Calculation of Risk Weighted As'!$C$81*'Calculation of Risk Weighted As'!$K$3)+('Calculation of Risk Weighted As'!K83*'Calculation of Risk Weighted As'!$C$83*'Calculation of Risk Weighted As'!$K$3)+('Calculation of Risk Weighted As'!K84*'Calculation of Risk Weighted As'!$C$84*'Calculation of Risk Weighted As'!$K$3)+('Calculation of Risk Weighted As'!K85*'Calculation of Risk Weighted As'!$C$85*'Calculation of Risk Weighted As'!$K$3)</f>
        <v>0</v>
      </c>
      <c r="D55" s="71"/>
      <c r="E55" s="73"/>
      <c r="F55" s="71"/>
      <c r="G55" s="71"/>
      <c r="H55" s="71"/>
      <c r="I55" s="71"/>
      <c r="J55" s="71"/>
      <c r="K55" s="71"/>
      <c r="L55" s="71"/>
      <c r="M55" s="71"/>
    </row>
    <row r="56" spans="1:14" s="29" customFormat="1" ht="21.75" customHeight="1">
      <c r="A56" s="87" t="s">
        <v>42</v>
      </c>
      <c r="B56" s="27" t="s">
        <v>271</v>
      </c>
      <c r="C56" s="156">
        <f>+C19</f>
        <v>122398482</v>
      </c>
      <c r="D56" s="71"/>
      <c r="E56" s="73"/>
      <c r="F56" s="71"/>
      <c r="G56" s="71"/>
      <c r="H56" s="71"/>
      <c r="I56" s="71"/>
      <c r="J56" s="71"/>
      <c r="K56" s="71"/>
      <c r="L56" s="71"/>
      <c r="M56" s="71"/>
    </row>
    <row r="57" spans="1:14" s="24" customFormat="1" ht="21.75" customHeight="1" thickBot="1">
      <c r="A57" s="120" t="s">
        <v>22</v>
      </c>
      <c r="B57" s="121" t="s">
        <v>181</v>
      </c>
      <c r="C57" s="95">
        <f>IFERROR((+C34/C52),0)</f>
        <v>9.0931168418657865E-2</v>
      </c>
      <c r="D57" s="168"/>
      <c r="E57" s="169"/>
      <c r="F57" s="168"/>
      <c r="G57" s="168"/>
      <c r="H57" s="168"/>
      <c r="I57" s="168"/>
      <c r="J57" s="168"/>
      <c r="K57" s="168"/>
      <c r="L57" s="168"/>
      <c r="M57" s="168"/>
    </row>
    <row r="58" spans="1:14">
      <c r="B58" s="30"/>
      <c r="D58" s="164"/>
      <c r="E58" s="163"/>
      <c r="F58" s="164"/>
      <c r="G58" s="164"/>
      <c r="H58" s="164"/>
      <c r="I58" s="164"/>
      <c r="J58" s="164"/>
      <c r="K58" s="164"/>
      <c r="L58" s="164"/>
      <c r="M58" s="164"/>
    </row>
    <row r="59" spans="1:14" s="150" customFormat="1" ht="18" customHeight="1">
      <c r="B59" s="136" t="s">
        <v>258</v>
      </c>
      <c r="D59" s="173"/>
      <c r="E59" s="173"/>
      <c r="F59" s="174"/>
      <c r="G59" s="174"/>
      <c r="H59" s="174"/>
      <c r="I59" s="174"/>
      <c r="J59" s="174"/>
      <c r="K59" s="174"/>
      <c r="L59" s="221"/>
      <c r="M59" s="221"/>
      <c r="N59" s="222"/>
    </row>
    <row r="60" spans="1:14" s="150" customFormat="1" ht="14.25" customHeight="1">
      <c r="B60" s="136"/>
      <c r="D60" s="173"/>
      <c r="E60" s="173"/>
      <c r="F60" s="174"/>
      <c r="G60" s="174"/>
      <c r="H60" s="174"/>
      <c r="I60" s="174"/>
      <c r="J60" s="174"/>
      <c r="K60" s="174"/>
      <c r="L60" s="221"/>
      <c r="M60" s="221"/>
      <c r="N60" s="222"/>
    </row>
    <row r="61" spans="1:14" s="150" customFormat="1" ht="18" customHeight="1">
      <c r="B61" s="136" t="s">
        <v>259</v>
      </c>
      <c r="D61" s="173"/>
      <c r="E61" s="173"/>
      <c r="F61" s="174"/>
      <c r="G61" s="174"/>
      <c r="H61" s="174"/>
      <c r="I61" s="174"/>
      <c r="J61" s="174"/>
      <c r="K61" s="174"/>
      <c r="L61" s="221"/>
      <c r="M61" s="221"/>
      <c r="N61" s="222"/>
    </row>
    <row r="62" spans="1:14">
      <c r="B62" s="32"/>
      <c r="D62" s="164"/>
      <c r="E62" s="163"/>
      <c r="F62" s="164"/>
      <c r="G62" s="164"/>
      <c r="H62" s="164"/>
      <c r="I62" s="164"/>
      <c r="J62" s="164"/>
      <c r="K62" s="164"/>
      <c r="L62" s="223"/>
      <c r="M62" s="223"/>
      <c r="N62" s="224"/>
    </row>
    <row r="63" spans="1:14">
      <c r="L63" s="224"/>
      <c r="M63" s="224"/>
      <c r="N63" s="224"/>
    </row>
    <row r="64" spans="1:14">
      <c r="L64" s="224"/>
      <c r="M64" s="224"/>
      <c r="N64" s="224"/>
    </row>
    <row r="65" spans="12:14">
      <c r="L65" s="224"/>
      <c r="M65" s="224"/>
      <c r="N65" s="224"/>
    </row>
    <row r="66" spans="12:14">
      <c r="L66" s="224"/>
      <c r="M66" s="224"/>
      <c r="N66" s="224"/>
    </row>
    <row r="67" spans="12:14">
      <c r="L67" s="224"/>
      <c r="M67" s="224"/>
      <c r="N67" s="224"/>
    </row>
    <row r="68" spans="12:14">
      <c r="L68" s="224"/>
      <c r="M68" s="224"/>
      <c r="N68" s="224"/>
    </row>
    <row r="69" spans="12:14">
      <c r="L69" s="224"/>
      <c r="M69" s="224"/>
      <c r="N69" s="224"/>
    </row>
    <row r="70" spans="12:14">
      <c r="L70" s="224"/>
      <c r="M70" s="224"/>
      <c r="N70" s="224"/>
    </row>
    <row r="71" spans="12:14">
      <c r="L71" s="224"/>
      <c r="M71" s="224"/>
      <c r="N71" s="224"/>
    </row>
    <row r="72" spans="12:14">
      <c r="L72" s="224"/>
      <c r="M72" s="224"/>
      <c r="N72" s="224"/>
    </row>
    <row r="73" spans="12:14">
      <c r="L73" s="224"/>
      <c r="M73" s="224"/>
      <c r="N73" s="224"/>
    </row>
    <row r="74" spans="12:14">
      <c r="L74" s="224"/>
      <c r="M74" s="224"/>
      <c r="N74" s="224"/>
    </row>
    <row r="75" spans="12:14">
      <c r="L75" s="224"/>
      <c r="M75" s="224"/>
      <c r="N75" s="224"/>
    </row>
    <row r="76" spans="12:14">
      <c r="L76" s="224"/>
      <c r="M76" s="224"/>
      <c r="N76" s="224"/>
    </row>
    <row r="77" spans="12:14">
      <c r="L77" s="224"/>
      <c r="M77" s="224"/>
      <c r="N77" s="224"/>
    </row>
  </sheetData>
  <sheetProtection password="CACA" sheet="1" objects="1" scenarios="1"/>
  <mergeCells count="1">
    <mergeCell ref="A1:B1"/>
  </mergeCells>
  <conditionalFormatting sqref="C34">
    <cfRule type="cellIs" dxfId="28" priority="2" operator="greaterThan">
      <formula>$C$34&lt;($C$44/2)</formula>
    </cfRule>
  </conditionalFormatting>
  <conditionalFormatting sqref="C39">
    <cfRule type="expression" dxfId="27" priority="1">
      <formula>$C$39&gt;$C$34</formula>
    </cfRule>
  </conditionalFormatting>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67"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D97A-6817-4272-9B53-6DEE5267553B}">
  <dimension ref="B4:F6"/>
  <sheetViews>
    <sheetView workbookViewId="0">
      <selection activeCell="G6" sqref="G6"/>
    </sheetView>
  </sheetViews>
  <sheetFormatPr defaultRowHeight="12.75"/>
  <cols>
    <col min="2" max="2" width="19.28515625" bestFit="1" customWidth="1"/>
    <col min="4" max="4" width="20.28515625" bestFit="1" customWidth="1"/>
    <col min="6" max="6" width="13.85546875" bestFit="1" customWidth="1"/>
  </cols>
  <sheetData>
    <row r="4" spans="2:6">
      <c r="B4" s="226">
        <f>+'Bank Capital Calc'!C34+'Bank Capital Calc'!C36</f>
        <v>9889851521</v>
      </c>
      <c r="D4" s="246">
        <f>+B4+993400000+671300000</f>
        <v>11554551521</v>
      </c>
      <c r="F4" s="247">
        <f>+D4+'Bank Capital Calc'!C43</f>
        <v>15556768924</v>
      </c>
    </row>
    <row r="5" spans="2:6">
      <c r="B5" s="226">
        <v>80786255993.440399</v>
      </c>
      <c r="D5" s="227">
        <f>+D4/B5</f>
        <v>0.14302620388718343</v>
      </c>
      <c r="F5" s="227">
        <f>+F4/B5</f>
        <v>0.19256702433719869</v>
      </c>
    </row>
    <row r="6" spans="2:6">
      <c r="B6" s="227">
        <f>+B4/B5</f>
        <v>0.12241997601427433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6" customWidth="1"/>
    <col min="2" max="2" width="105.140625" style="6" customWidth="1"/>
    <col min="3" max="3" width="19.7109375" style="31" customWidth="1"/>
    <col min="4" max="4" width="10.28515625" style="54" bestFit="1" customWidth="1"/>
    <col min="5" max="5" width="19.42578125" style="55" bestFit="1" customWidth="1"/>
    <col min="6" max="6" width="9.28515625" style="54" bestFit="1" customWidth="1"/>
    <col min="7" max="7" width="9.140625" style="54"/>
    <col min="8" max="8" width="17.42578125" style="54" bestFit="1" customWidth="1"/>
    <col min="9" max="16384" width="9.140625" style="6"/>
  </cols>
  <sheetData>
    <row r="1" spans="1:8" ht="23.25" customHeight="1">
      <c r="A1" s="228" t="s">
        <v>126</v>
      </c>
      <c r="B1" s="229"/>
      <c r="C1" s="5" t="s">
        <v>125</v>
      </c>
    </row>
    <row r="2" spans="1:8">
      <c r="A2" s="33"/>
      <c r="B2" s="33"/>
      <c r="C2" s="33"/>
    </row>
    <row r="3" spans="1:8" ht="15.75">
      <c r="A3" s="7"/>
      <c r="B3" s="47" t="e">
        <f>#REF!</f>
        <v>#REF!</v>
      </c>
      <c r="C3" s="46" t="e">
        <f>+#REF!</f>
        <v>#REF!</v>
      </c>
    </row>
    <row r="4" spans="1:8" s="8" customFormat="1" ht="43.5" customHeight="1">
      <c r="A4" s="53" t="s">
        <v>52</v>
      </c>
      <c r="B4" s="53" t="s">
        <v>25</v>
      </c>
      <c r="C4" s="53" t="s">
        <v>2</v>
      </c>
      <c r="D4" s="56"/>
      <c r="E4" s="57"/>
      <c r="F4" s="56"/>
      <c r="G4" s="56"/>
      <c r="H4" s="56"/>
    </row>
    <row r="5" spans="1:8" ht="12.75" customHeight="1">
      <c r="A5" s="21" t="s">
        <v>30</v>
      </c>
      <c r="B5" s="10" t="s">
        <v>82</v>
      </c>
      <c r="C5" s="11"/>
    </row>
    <row r="6" spans="1:8" ht="12.75" customHeight="1">
      <c r="A6" s="9">
        <v>1</v>
      </c>
      <c r="B6" s="10" t="s">
        <v>83</v>
      </c>
      <c r="C6" s="12"/>
    </row>
    <row r="7" spans="1:8" s="18" customFormat="1" ht="18" customHeight="1">
      <c r="A7" s="15" t="s">
        <v>86</v>
      </c>
      <c r="B7" s="16" t="s">
        <v>84</v>
      </c>
      <c r="C7" s="38" t="s">
        <v>81</v>
      </c>
      <c r="D7" s="58"/>
      <c r="E7" s="43"/>
      <c r="F7" s="58"/>
      <c r="G7" s="58"/>
      <c r="H7" s="58"/>
    </row>
    <row r="8" spans="1:8" s="8" customFormat="1" ht="18" customHeight="1">
      <c r="A8" s="20" t="s">
        <v>31</v>
      </c>
      <c r="B8" s="52" t="s">
        <v>32</v>
      </c>
      <c r="C8" s="34"/>
      <c r="D8" s="56"/>
      <c r="E8" s="57"/>
      <c r="F8" s="56"/>
      <c r="G8" s="56"/>
      <c r="H8" s="56"/>
    </row>
    <row r="9" spans="1:8" s="8" customFormat="1" ht="18" customHeight="1">
      <c r="A9" s="20" t="s">
        <v>33</v>
      </c>
      <c r="B9" s="52" t="s">
        <v>34</v>
      </c>
      <c r="C9" s="35"/>
      <c r="D9" s="56"/>
      <c r="E9" s="57"/>
      <c r="F9" s="56"/>
      <c r="G9" s="56"/>
      <c r="H9" s="56"/>
    </row>
    <row r="10" spans="1:8" s="18" customFormat="1" ht="18" customHeight="1">
      <c r="A10" s="15" t="s">
        <v>87</v>
      </c>
      <c r="B10" s="16" t="s">
        <v>85</v>
      </c>
      <c r="C10" s="40">
        <v>0</v>
      </c>
      <c r="D10" s="58"/>
      <c r="E10" s="43"/>
      <c r="F10" s="58"/>
      <c r="G10" s="58"/>
      <c r="H10" s="58"/>
    </row>
    <row r="11" spans="1:8" s="8" customFormat="1" ht="18" customHeight="1">
      <c r="A11" s="20" t="s">
        <v>88</v>
      </c>
      <c r="B11" s="52" t="s">
        <v>89</v>
      </c>
      <c r="C11" s="38" t="s">
        <v>81</v>
      </c>
      <c r="D11" s="56"/>
      <c r="E11" s="57"/>
      <c r="F11" s="56"/>
      <c r="G11" s="56"/>
      <c r="H11" s="56"/>
    </row>
    <row r="12" spans="1:8" s="8" customFormat="1" ht="18" customHeight="1">
      <c r="A12" s="20" t="s">
        <v>37</v>
      </c>
      <c r="B12" s="52" t="s">
        <v>40</v>
      </c>
      <c r="C12" s="42"/>
      <c r="D12" s="56"/>
      <c r="E12" s="57"/>
      <c r="F12" s="56"/>
      <c r="G12" s="56"/>
      <c r="H12" s="56"/>
    </row>
    <row r="13" spans="1:8" s="8" customFormat="1" ht="18" customHeight="1">
      <c r="A13" s="20" t="s">
        <v>33</v>
      </c>
      <c r="B13" s="52" t="s">
        <v>41</v>
      </c>
      <c r="C13" s="42"/>
      <c r="D13" s="56"/>
      <c r="E13" s="57"/>
      <c r="F13" s="56"/>
      <c r="G13" s="56"/>
      <c r="H13" s="56"/>
    </row>
    <row r="14" spans="1:8" s="18" customFormat="1" ht="18" customHeight="1">
      <c r="A14" s="26" t="s">
        <v>35</v>
      </c>
      <c r="B14" s="50" t="s">
        <v>90</v>
      </c>
      <c r="C14" s="39"/>
      <c r="D14" s="58"/>
      <c r="E14" s="43"/>
      <c r="F14" s="58"/>
      <c r="G14" s="58"/>
      <c r="H14" s="58"/>
    </row>
    <row r="15" spans="1:8" s="18" customFormat="1" ht="18" customHeight="1">
      <c r="A15" s="26" t="s">
        <v>42</v>
      </c>
      <c r="B15" s="50" t="s">
        <v>91</v>
      </c>
      <c r="C15" s="39"/>
      <c r="D15" s="58"/>
      <c r="E15" s="43"/>
      <c r="F15" s="58"/>
      <c r="G15" s="58"/>
      <c r="H15" s="58"/>
    </row>
    <row r="16" spans="1:8" s="8" customFormat="1" ht="18" customHeight="1">
      <c r="A16" s="20" t="s">
        <v>92</v>
      </c>
      <c r="B16" s="52" t="s">
        <v>43</v>
      </c>
      <c r="C16" s="40"/>
      <c r="D16" s="56"/>
      <c r="E16" s="57"/>
      <c r="F16" s="56"/>
      <c r="G16" s="56"/>
      <c r="H16" s="56"/>
    </row>
    <row r="17" spans="1:8" s="8" customFormat="1" ht="18" customHeight="1">
      <c r="A17" s="20" t="s">
        <v>93</v>
      </c>
      <c r="B17" s="52" t="s">
        <v>3</v>
      </c>
      <c r="C17" s="40"/>
      <c r="D17" s="56"/>
      <c r="E17" s="57"/>
      <c r="F17" s="56"/>
      <c r="G17" s="56"/>
      <c r="H17" s="56"/>
    </row>
    <row r="18" spans="1:8" s="8" customFormat="1" ht="18" customHeight="1">
      <c r="A18" s="20"/>
      <c r="B18" s="52" t="s">
        <v>94</v>
      </c>
      <c r="C18" s="38" t="s">
        <v>81</v>
      </c>
      <c r="D18" s="56"/>
      <c r="E18" s="57"/>
      <c r="F18" s="56"/>
      <c r="G18" s="56"/>
      <c r="H18" s="56"/>
    </row>
    <row r="19" spans="1:8" s="8" customFormat="1" ht="18" customHeight="1">
      <c r="A19" s="20" t="s">
        <v>122</v>
      </c>
      <c r="B19" s="52" t="s">
        <v>95</v>
      </c>
      <c r="C19" s="38" t="s">
        <v>81</v>
      </c>
      <c r="D19" s="56"/>
      <c r="E19" s="57"/>
      <c r="F19" s="56"/>
      <c r="G19" s="56"/>
      <c r="H19" s="56"/>
    </row>
    <row r="20" spans="1:8" s="18" customFormat="1" ht="18" customHeight="1">
      <c r="A20" s="48" t="s">
        <v>37</v>
      </c>
      <c r="B20" s="77" t="s">
        <v>45</v>
      </c>
      <c r="C20" s="39"/>
      <c r="D20" s="58"/>
      <c r="E20" s="43"/>
      <c r="F20" s="58"/>
      <c r="G20" s="58"/>
      <c r="H20" s="58"/>
    </row>
    <row r="21" spans="1:8" s="17" customFormat="1" ht="25.5">
      <c r="A21" s="48" t="s">
        <v>33</v>
      </c>
      <c r="B21" s="50" t="s">
        <v>12</v>
      </c>
      <c r="C21" s="39"/>
      <c r="D21" s="58"/>
      <c r="E21" s="43"/>
      <c r="F21" s="58"/>
      <c r="G21" s="58"/>
      <c r="H21" s="58"/>
    </row>
    <row r="22" spans="1:8" s="18" customFormat="1" ht="18" customHeight="1">
      <c r="A22" s="48" t="s">
        <v>35</v>
      </c>
      <c r="B22" s="50" t="s">
        <v>4</v>
      </c>
      <c r="C22" s="39"/>
      <c r="D22" s="58"/>
      <c r="E22" s="43"/>
      <c r="F22" s="58"/>
      <c r="G22" s="58"/>
      <c r="H22" s="58"/>
    </row>
    <row r="23" spans="1:8" s="18" customFormat="1" ht="15" customHeight="1">
      <c r="A23" s="15" t="s">
        <v>96</v>
      </c>
      <c r="B23" s="16" t="s">
        <v>97</v>
      </c>
      <c r="C23" s="38" t="s">
        <v>81</v>
      </c>
      <c r="D23" s="58"/>
      <c r="E23" s="43"/>
      <c r="F23" s="58"/>
      <c r="G23" s="58"/>
      <c r="H23" s="58"/>
    </row>
    <row r="24" spans="1:8" ht="16.5" customHeight="1">
      <c r="A24" s="9">
        <v>2</v>
      </c>
      <c r="B24" s="19" t="s">
        <v>98</v>
      </c>
      <c r="C24" s="13"/>
    </row>
    <row r="25" spans="1:8" s="18" customFormat="1" ht="18" customHeight="1">
      <c r="A25" s="26" t="s">
        <v>99</v>
      </c>
      <c r="B25" s="50" t="s">
        <v>36</v>
      </c>
      <c r="C25" s="49">
        <f>+C26+C27</f>
        <v>0</v>
      </c>
      <c r="D25" s="58"/>
      <c r="E25" s="43"/>
      <c r="F25" s="58"/>
      <c r="G25" s="58"/>
      <c r="H25" s="58"/>
    </row>
    <row r="26" spans="1:8" s="18" customFormat="1" ht="18" customHeight="1">
      <c r="A26" s="26" t="s">
        <v>37</v>
      </c>
      <c r="B26" s="50" t="s">
        <v>38</v>
      </c>
      <c r="C26" s="39"/>
      <c r="D26" s="58"/>
      <c r="E26" s="43"/>
      <c r="F26" s="58"/>
      <c r="G26" s="58"/>
      <c r="H26" s="58"/>
    </row>
    <row r="27" spans="1:8" s="18" customFormat="1" ht="18" customHeight="1">
      <c r="A27" s="26" t="s">
        <v>33</v>
      </c>
      <c r="B27" s="50" t="s">
        <v>39</v>
      </c>
      <c r="C27" s="39"/>
      <c r="D27" s="58"/>
      <c r="E27" s="43"/>
      <c r="F27" s="58"/>
      <c r="G27" s="58"/>
      <c r="H27" s="58"/>
    </row>
    <row r="28" spans="1:8" s="18" customFormat="1" ht="18" customHeight="1">
      <c r="A28" s="26" t="s">
        <v>100</v>
      </c>
      <c r="B28" s="50" t="s">
        <v>101</v>
      </c>
      <c r="C28" s="39">
        <v>0</v>
      </c>
      <c r="D28" s="58"/>
      <c r="E28" s="43"/>
      <c r="F28" s="58"/>
      <c r="G28" s="58"/>
      <c r="H28" s="58"/>
    </row>
    <row r="29" spans="1:8">
      <c r="A29" s="20" t="s">
        <v>102</v>
      </c>
      <c r="B29" s="51" t="s">
        <v>103</v>
      </c>
      <c r="C29" s="36">
        <v>0</v>
      </c>
    </row>
    <row r="30" spans="1:8" s="18" customFormat="1" ht="29.25" customHeight="1">
      <c r="A30" s="26" t="s">
        <v>104</v>
      </c>
      <c r="B30" s="50" t="s">
        <v>11</v>
      </c>
      <c r="C30" s="39">
        <v>0</v>
      </c>
      <c r="D30" s="58"/>
      <c r="E30" s="43"/>
      <c r="F30" s="58"/>
      <c r="G30" s="58"/>
      <c r="H30" s="58"/>
    </row>
    <row r="31" spans="1:8" s="22" customFormat="1">
      <c r="A31" s="21" t="s">
        <v>44</v>
      </c>
      <c r="B31" s="44" t="s">
        <v>105</v>
      </c>
      <c r="C31" s="41">
        <f>+C25+C28+C29+C30</f>
        <v>0</v>
      </c>
      <c r="D31" s="59"/>
      <c r="E31" s="60"/>
      <c r="F31" s="61"/>
      <c r="G31" s="61"/>
      <c r="H31" s="61"/>
    </row>
    <row r="32" spans="1:8" s="22" customFormat="1" ht="16.5" customHeight="1">
      <c r="A32" s="21" t="s">
        <v>46</v>
      </c>
      <c r="B32" s="37" t="s">
        <v>106</v>
      </c>
      <c r="C32" s="38" t="s">
        <v>81</v>
      </c>
      <c r="D32" s="61"/>
      <c r="E32" s="60"/>
      <c r="F32" s="61"/>
      <c r="G32" s="61"/>
      <c r="H32" s="61"/>
    </row>
    <row r="33" spans="1:8" s="24" customFormat="1" ht="13.5" customHeight="1">
      <c r="A33" s="23"/>
      <c r="B33" s="23" t="s">
        <v>48</v>
      </c>
      <c r="C33" s="14"/>
      <c r="D33" s="62"/>
      <c r="E33" s="63"/>
      <c r="F33" s="62"/>
      <c r="G33" s="62"/>
      <c r="H33" s="64"/>
    </row>
    <row r="34" spans="1:8" s="18" customFormat="1" ht="18" customHeight="1">
      <c r="A34" s="26" t="s">
        <v>107</v>
      </c>
      <c r="B34" s="76" t="s">
        <v>127</v>
      </c>
      <c r="C34" s="39"/>
      <c r="D34" s="58"/>
      <c r="E34" s="43"/>
      <c r="F34" s="58"/>
      <c r="G34" s="58"/>
      <c r="H34" s="58"/>
    </row>
    <row r="35" spans="1:8" s="18" customFormat="1" ht="25.5">
      <c r="A35" s="26" t="s">
        <v>108</v>
      </c>
      <c r="B35" s="50" t="s">
        <v>13</v>
      </c>
      <c r="C35" s="75" t="e">
        <f>IF(#REF!&lt;(C43*1.25%),#REF!,(C43*1.25%))</f>
        <v>#REF!</v>
      </c>
      <c r="D35" s="58"/>
      <c r="E35" s="43"/>
      <c r="F35" s="58"/>
      <c r="G35" s="58"/>
      <c r="H35" s="58"/>
    </row>
    <row r="36" spans="1:8" s="18" customFormat="1" ht="18" customHeight="1">
      <c r="A36" s="26" t="s">
        <v>109</v>
      </c>
      <c r="B36" s="50" t="s">
        <v>5</v>
      </c>
      <c r="C36" s="39"/>
      <c r="D36" s="58"/>
      <c r="E36" s="43"/>
      <c r="F36" s="58"/>
      <c r="G36" s="58"/>
      <c r="H36" s="58"/>
    </row>
    <row r="37" spans="1:8" s="18" customFormat="1" ht="18" customHeight="1">
      <c r="A37" s="26" t="s">
        <v>110</v>
      </c>
      <c r="B37" s="50" t="s">
        <v>111</v>
      </c>
      <c r="C37" s="39"/>
      <c r="D37" s="58"/>
      <c r="E37" s="43"/>
      <c r="F37" s="58"/>
      <c r="G37" s="58"/>
      <c r="H37" s="58"/>
    </row>
    <row r="38" spans="1:8" s="18" customFormat="1" ht="18" customHeight="1">
      <c r="A38" s="26" t="s">
        <v>112</v>
      </c>
      <c r="B38" s="50" t="s">
        <v>6</v>
      </c>
      <c r="C38" s="39"/>
      <c r="D38" s="58"/>
      <c r="E38" s="43"/>
      <c r="F38" s="58"/>
      <c r="G38" s="58"/>
      <c r="H38" s="58"/>
    </row>
    <row r="39" spans="1:8" s="18" customFormat="1" ht="18" customHeight="1">
      <c r="A39" s="26" t="s">
        <v>113</v>
      </c>
      <c r="B39" s="50" t="s">
        <v>49</v>
      </c>
      <c r="C39" s="38" t="s">
        <v>81</v>
      </c>
      <c r="D39" s="58"/>
      <c r="E39" s="43"/>
      <c r="F39" s="58"/>
      <c r="G39" s="58"/>
      <c r="H39" s="58"/>
    </row>
    <row r="40" spans="1:8" ht="18.75" customHeight="1">
      <c r="A40" s="20"/>
      <c r="B40" s="19" t="s">
        <v>18</v>
      </c>
      <c r="C40" s="14" t="e">
        <f>SUM(C34:C38)</f>
        <v>#REF!</v>
      </c>
      <c r="D40" s="59"/>
    </row>
    <row r="41" spans="1:8" s="8" customFormat="1" ht="22.5" customHeight="1">
      <c r="A41" s="23" t="s">
        <v>47</v>
      </c>
      <c r="B41" s="16" t="s">
        <v>19</v>
      </c>
      <c r="C41" s="38" t="s">
        <v>81</v>
      </c>
      <c r="D41" s="65"/>
      <c r="E41" s="57"/>
      <c r="F41" s="56"/>
      <c r="G41" s="56"/>
      <c r="H41" s="56"/>
    </row>
    <row r="42" spans="1:8" s="8" customFormat="1" ht="15.75" customHeight="1">
      <c r="A42" s="23" t="s">
        <v>50</v>
      </c>
      <c r="B42" s="16" t="s">
        <v>114</v>
      </c>
      <c r="C42" s="38" t="s">
        <v>81</v>
      </c>
      <c r="D42" s="65"/>
      <c r="E42" s="57"/>
      <c r="F42" s="56"/>
      <c r="G42" s="56"/>
      <c r="H42" s="56"/>
    </row>
    <row r="43" spans="1:8" s="8" customFormat="1" ht="21.75" customHeight="1">
      <c r="A43" s="23" t="s">
        <v>9</v>
      </c>
      <c r="B43" s="16" t="s">
        <v>115</v>
      </c>
      <c r="C43" s="25" t="e">
        <f>+C44+C45+C46</f>
        <v>#REF!</v>
      </c>
      <c r="D43" s="56"/>
      <c r="E43" s="57"/>
      <c r="F43" s="56"/>
      <c r="G43" s="56"/>
      <c r="H43" s="56"/>
    </row>
    <row r="44" spans="1:8" s="18" customFormat="1" ht="18" customHeight="1">
      <c r="A44" s="26" t="s">
        <v>37</v>
      </c>
      <c r="B44" s="50" t="s">
        <v>14</v>
      </c>
      <c r="C44" s="49" t="e">
        <f>+'Calculation of Risk Weighted As'!#REF!</f>
        <v>#REF!</v>
      </c>
      <c r="D44" s="58"/>
      <c r="E44" s="43"/>
      <c r="F44" s="58"/>
      <c r="G44" s="58"/>
      <c r="H44" s="58"/>
    </row>
    <row r="45" spans="1:8" s="18" customFormat="1" ht="18" customHeight="1">
      <c r="A45" s="26" t="s">
        <v>33</v>
      </c>
      <c r="B45" s="50" t="s">
        <v>7</v>
      </c>
      <c r="C45" s="49">
        <f>+'Calculation of Risk'!C21</f>
        <v>5114329020.2980766</v>
      </c>
      <c r="D45" s="58"/>
      <c r="E45" s="43"/>
      <c r="F45" s="58"/>
      <c r="G45" s="58"/>
      <c r="H45" s="58"/>
    </row>
    <row r="46" spans="1:8" s="18" customFormat="1" ht="18" customHeight="1">
      <c r="A46" s="26" t="s">
        <v>35</v>
      </c>
      <c r="B46" s="50" t="s">
        <v>8</v>
      </c>
      <c r="C46" s="49">
        <f>+'Calculation of Risk'!C27</f>
        <v>556747997.69230771</v>
      </c>
      <c r="D46" s="58"/>
      <c r="E46" s="43">
        <f>+'Calculation of Risk'!G12</f>
        <v>0</v>
      </c>
      <c r="F46" s="58"/>
      <c r="G46" s="58"/>
      <c r="H46" s="58"/>
    </row>
    <row r="47" spans="1:8" s="24" customFormat="1" ht="21.75" customHeight="1">
      <c r="A47" s="23" t="s">
        <v>10</v>
      </c>
      <c r="B47" s="37" t="s">
        <v>116</v>
      </c>
      <c r="C47" s="38" t="s">
        <v>81</v>
      </c>
      <c r="D47" s="62"/>
      <c r="E47" s="63"/>
      <c r="F47" s="62"/>
      <c r="G47" s="62"/>
      <c r="H47" s="62"/>
    </row>
    <row r="48" spans="1:8" s="24" customFormat="1" ht="21.75" customHeight="1">
      <c r="A48" s="23" t="s">
        <v>51</v>
      </c>
      <c r="B48" s="37" t="s">
        <v>117</v>
      </c>
      <c r="C48" s="38" t="s">
        <v>81</v>
      </c>
      <c r="D48" s="62"/>
      <c r="E48" s="63"/>
      <c r="F48" s="62"/>
      <c r="G48" s="62"/>
      <c r="H48" s="62"/>
    </row>
    <row r="49" spans="1:8" s="24" customFormat="1" ht="21.75" customHeight="1">
      <c r="A49" s="23" t="s">
        <v>20</v>
      </c>
      <c r="B49" s="37" t="s">
        <v>118</v>
      </c>
      <c r="C49" s="38" t="s">
        <v>81</v>
      </c>
      <c r="D49" s="62"/>
      <c r="E49" s="63"/>
      <c r="F49" s="62"/>
      <c r="G49" s="62"/>
      <c r="H49" s="62"/>
    </row>
    <row r="50" spans="1:8" s="8" customFormat="1" ht="21.75" customHeight="1">
      <c r="A50" s="23" t="s">
        <v>21</v>
      </c>
      <c r="B50" s="16" t="s">
        <v>17</v>
      </c>
      <c r="C50" s="38" t="s">
        <v>81</v>
      </c>
      <c r="D50" s="56"/>
      <c r="E50" s="66"/>
      <c r="F50" s="65"/>
      <c r="G50" s="56"/>
      <c r="H50" s="56"/>
    </row>
    <row r="51" spans="1:8" s="29" customFormat="1" ht="21.75" customHeight="1">
      <c r="A51" s="26" t="s">
        <v>37</v>
      </c>
      <c r="B51" s="27" t="s">
        <v>23</v>
      </c>
      <c r="C51" s="28" t="e">
        <f>+#REF!</f>
        <v>#REF!</v>
      </c>
      <c r="D51" s="67"/>
      <c r="E51" s="68"/>
      <c r="F51" s="69"/>
      <c r="G51" s="67"/>
      <c r="H51" s="67"/>
    </row>
    <row r="52" spans="1:8" s="29" customFormat="1" ht="21.75" customHeight="1">
      <c r="A52" s="26" t="s">
        <v>33</v>
      </c>
      <c r="B52" s="27" t="s">
        <v>119</v>
      </c>
      <c r="C52" s="72">
        <f>SUM('Calculation of Risk Weighted As'!D68:G76)</f>
        <v>2101837112</v>
      </c>
      <c r="D52" s="69" t="e">
        <f>+'Calculation of Risk Weighted As'!#REF!</f>
        <v>#REF!</v>
      </c>
      <c r="E52" s="68"/>
      <c r="F52" s="69"/>
      <c r="G52" s="67"/>
      <c r="H52" s="67"/>
    </row>
    <row r="53" spans="1:8" s="29" customFormat="1" ht="21.75" customHeight="1">
      <c r="A53" s="26" t="s">
        <v>35</v>
      </c>
      <c r="B53" s="27" t="s">
        <v>120</v>
      </c>
      <c r="C53" s="74" t="e">
        <f>SUM('Calculation of Risk Weighted As'!#REF!)</f>
        <v>#REF!</v>
      </c>
      <c r="D53" s="71"/>
      <c r="E53" s="73"/>
      <c r="F53" s="67"/>
      <c r="G53" s="67"/>
      <c r="H53" s="67"/>
    </row>
    <row r="54" spans="1:8" s="29" customFormat="1" ht="21.75" customHeight="1">
      <c r="A54" s="26" t="s">
        <v>42</v>
      </c>
      <c r="B54" s="27" t="s">
        <v>121</v>
      </c>
      <c r="C54" s="45" t="str">
        <f>+C19</f>
        <v>Формула</v>
      </c>
      <c r="D54" s="67"/>
      <c r="E54" s="70"/>
      <c r="F54" s="67"/>
      <c r="G54" s="67"/>
      <c r="H54" s="67"/>
    </row>
    <row r="55" spans="1:8" s="24" customFormat="1" ht="21.75" customHeight="1">
      <c r="A55" s="23" t="s">
        <v>22</v>
      </c>
      <c r="B55" s="37" t="s">
        <v>24</v>
      </c>
      <c r="C55" s="38" t="s">
        <v>81</v>
      </c>
      <c r="D55" s="62"/>
      <c r="E55" s="63"/>
      <c r="F55" s="62"/>
      <c r="G55" s="62"/>
      <c r="H55" s="62"/>
    </row>
    <row r="56" spans="1:8">
      <c r="B56" s="30"/>
    </row>
    <row r="57" spans="1:8" s="1" customFormat="1">
      <c r="A57" s="3"/>
      <c r="B57" s="2" t="s">
        <v>0</v>
      </c>
      <c r="D57" s="4"/>
      <c r="E57" s="4"/>
      <c r="F57" s="4"/>
      <c r="G57" s="4"/>
      <c r="H57" s="4"/>
    </row>
    <row r="58" spans="1:8" s="1" customFormat="1">
      <c r="A58" s="3"/>
      <c r="B58" s="2"/>
      <c r="D58" s="4"/>
      <c r="E58" s="4"/>
      <c r="F58" s="4"/>
      <c r="G58" s="4"/>
      <c r="H58" s="4"/>
    </row>
    <row r="59" spans="1:8" s="1" customFormat="1">
      <c r="A59" s="3"/>
      <c r="B59" s="2" t="s">
        <v>1</v>
      </c>
      <c r="D59" s="4"/>
      <c r="E59" s="4"/>
      <c r="F59" s="4"/>
      <c r="G59" s="4"/>
      <c r="H59" s="4"/>
    </row>
    <row r="60" spans="1:8">
      <c r="B60" s="32"/>
    </row>
  </sheetData>
  <mergeCells count="1">
    <mergeCell ref="A1:B1"/>
  </mergeCells>
  <printOptions horizontalCentered="1"/>
  <pageMargins left="0.19685039370078741" right="0.19685039370078741" top="0.39370078740157483" bottom="0.39370078740157483" header="0.15748031496062992" footer="0.51181102362204722"/>
  <pageSetup paperSize="9" scale="7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N94"/>
  <sheetViews>
    <sheetView view="pageBreakPreview" zoomScaleNormal="90" zoomScaleSheetLayoutView="100" workbookViewId="0">
      <pane xSplit="3" ySplit="7" topLeftCell="D11" activePane="bottomRight" state="frozen"/>
      <selection activeCell="B3" sqref="B3:C5"/>
      <selection pane="topRight" activeCell="B3" sqref="B3:C5"/>
      <selection pane="bottomLeft" activeCell="B3" sqref="B3:C5"/>
      <selection pane="bottomRight" activeCell="B2" sqref="B2"/>
    </sheetView>
  </sheetViews>
  <sheetFormatPr defaultRowHeight="12.75"/>
  <cols>
    <col min="1" max="1" width="5.42578125" style="180" customWidth="1"/>
    <col min="2" max="2" width="67" style="179" customWidth="1"/>
    <col min="3" max="3" width="13" style="179" customWidth="1"/>
    <col min="4" max="10" width="14.5703125" style="179" customWidth="1"/>
    <col min="11" max="11" width="14.5703125" style="184" customWidth="1"/>
    <col min="12" max="16" width="23.7109375" style="179" customWidth="1"/>
    <col min="17" max="17" width="10.28515625" style="179" customWidth="1"/>
    <col min="18" max="16384" width="9.140625" style="179"/>
  </cols>
  <sheetData>
    <row r="1" spans="1:13" ht="26.25" customHeight="1">
      <c r="A1" s="234" t="s">
        <v>183</v>
      </c>
      <c r="B1" s="234"/>
      <c r="C1" s="234"/>
      <c r="D1" s="234"/>
      <c r="E1" s="234"/>
      <c r="F1" s="234"/>
      <c r="G1" s="234"/>
      <c r="H1" s="234"/>
      <c r="I1" s="234"/>
      <c r="J1" s="234"/>
      <c r="K1" s="178" t="s">
        <v>182</v>
      </c>
    </row>
    <row r="2" spans="1:13" ht="25.5" customHeight="1">
      <c r="B2" s="181" t="str">
        <f>+'Bank Capital Calc'!B3</f>
        <v>"Ўзсаноатқурилишбанк" АТБ</v>
      </c>
      <c r="C2" s="181"/>
      <c r="E2" s="182"/>
      <c r="F2" s="182"/>
      <c r="I2" s="236">
        <f>+'Bank Capital Calc'!C3</f>
        <v>45653</v>
      </c>
      <c r="J2" s="236"/>
      <c r="K2" s="183" t="s">
        <v>256</v>
      </c>
      <c r="L2" s="184"/>
    </row>
    <row r="3" spans="1:13">
      <c r="A3" s="235" t="s">
        <v>52</v>
      </c>
      <c r="B3" s="237" t="s">
        <v>131</v>
      </c>
      <c r="C3" s="238"/>
      <c r="D3" s="185">
        <v>0</v>
      </c>
      <c r="E3" s="185">
        <v>0.2</v>
      </c>
      <c r="F3" s="185">
        <v>0.35</v>
      </c>
      <c r="G3" s="185">
        <v>0.5</v>
      </c>
      <c r="H3" s="185">
        <v>0.75</v>
      </c>
      <c r="I3" s="185">
        <v>1</v>
      </c>
      <c r="J3" s="185">
        <v>1.5</v>
      </c>
      <c r="K3" s="185">
        <v>2</v>
      </c>
      <c r="L3" s="186"/>
      <c r="M3" s="184"/>
    </row>
    <row r="4" spans="1:13" ht="20.25" customHeight="1">
      <c r="A4" s="235"/>
      <c r="B4" s="239"/>
      <c r="C4" s="240"/>
      <c r="D4" s="219" t="s">
        <v>184</v>
      </c>
      <c r="E4" s="219" t="s">
        <v>184</v>
      </c>
      <c r="F4" s="219" t="s">
        <v>184</v>
      </c>
      <c r="G4" s="219" t="s">
        <v>184</v>
      </c>
      <c r="H4" s="219" t="s">
        <v>184</v>
      </c>
      <c r="I4" s="219" t="s">
        <v>184</v>
      </c>
      <c r="J4" s="219" t="s">
        <v>184</v>
      </c>
      <c r="K4" s="219" t="s">
        <v>184</v>
      </c>
      <c r="M4" s="184"/>
    </row>
    <row r="5" spans="1:13" ht="20.25" customHeight="1">
      <c r="A5" s="235"/>
      <c r="B5" s="241"/>
      <c r="C5" s="242"/>
      <c r="D5" s="219" t="s">
        <v>185</v>
      </c>
      <c r="E5" s="219" t="s">
        <v>186</v>
      </c>
      <c r="F5" s="219" t="s">
        <v>187</v>
      </c>
      <c r="G5" s="219" t="s">
        <v>188</v>
      </c>
      <c r="H5" s="219" t="s">
        <v>189</v>
      </c>
      <c r="I5" s="219" t="s">
        <v>190</v>
      </c>
      <c r="J5" s="219" t="s">
        <v>191</v>
      </c>
      <c r="K5" s="219" t="s">
        <v>278</v>
      </c>
      <c r="M5" s="184"/>
    </row>
    <row r="6" spans="1:13">
      <c r="A6" s="219"/>
      <c r="B6" s="243" t="s">
        <v>26</v>
      </c>
      <c r="C6" s="244"/>
      <c r="D6" s="187" t="s">
        <v>27</v>
      </c>
      <c r="E6" s="187" t="s">
        <v>28</v>
      </c>
      <c r="F6" s="187" t="s">
        <v>29</v>
      </c>
      <c r="G6" s="187" t="s">
        <v>53</v>
      </c>
      <c r="H6" s="187" t="s">
        <v>54</v>
      </c>
      <c r="I6" s="187" t="s">
        <v>57</v>
      </c>
      <c r="J6" s="187" t="s">
        <v>64</v>
      </c>
      <c r="K6" s="187" t="s">
        <v>279</v>
      </c>
      <c r="M6" s="184"/>
    </row>
    <row r="7" spans="1:13">
      <c r="A7" s="219"/>
      <c r="B7" s="232" t="s">
        <v>192</v>
      </c>
      <c r="C7" s="233"/>
      <c r="D7" s="188"/>
      <c r="E7" s="188"/>
      <c r="F7" s="188"/>
      <c r="G7" s="188"/>
      <c r="H7" s="188"/>
      <c r="I7" s="188"/>
      <c r="J7" s="188"/>
      <c r="K7" s="188"/>
      <c r="M7" s="184"/>
    </row>
    <row r="8" spans="1:13" s="193" customFormat="1" ht="21" customHeight="1">
      <c r="A8" s="219" t="s">
        <v>55</v>
      </c>
      <c r="B8" s="230" t="s">
        <v>193</v>
      </c>
      <c r="C8" s="231"/>
      <c r="D8" s="218">
        <v>1416743956</v>
      </c>
      <c r="E8" s="190"/>
      <c r="F8" s="190"/>
      <c r="G8" s="190"/>
      <c r="H8" s="190"/>
      <c r="I8" s="190"/>
      <c r="J8" s="190"/>
      <c r="K8" s="190"/>
      <c r="L8" s="191"/>
      <c r="M8" s="192"/>
    </row>
    <row r="9" spans="1:13" s="193" customFormat="1" ht="21" customHeight="1">
      <c r="A9" s="219" t="s">
        <v>65</v>
      </c>
      <c r="B9" s="230" t="s">
        <v>194</v>
      </c>
      <c r="C9" s="231"/>
      <c r="D9" s="190"/>
      <c r="E9" s="218">
        <v>293353682</v>
      </c>
      <c r="F9" s="190"/>
      <c r="G9" s="190"/>
      <c r="H9" s="190"/>
      <c r="I9" s="190"/>
      <c r="J9" s="190"/>
      <c r="K9" s="190"/>
      <c r="L9" s="191"/>
      <c r="M9" s="192"/>
    </row>
    <row r="10" spans="1:13" s="193" customFormat="1" ht="21" customHeight="1">
      <c r="A10" s="219" t="s">
        <v>66</v>
      </c>
      <c r="B10" s="230" t="s">
        <v>195</v>
      </c>
      <c r="C10" s="231"/>
      <c r="D10" s="218">
        <v>1125552298</v>
      </c>
      <c r="E10" s="218">
        <v>12551594</v>
      </c>
      <c r="F10" s="190"/>
      <c r="G10" s="190"/>
      <c r="H10" s="190"/>
      <c r="I10" s="190"/>
      <c r="J10" s="190"/>
      <c r="K10" s="190"/>
      <c r="L10" s="191"/>
      <c r="M10" s="192"/>
    </row>
    <row r="11" spans="1:13" s="193" customFormat="1" ht="27.75" customHeight="1">
      <c r="A11" s="219" t="s">
        <v>67</v>
      </c>
      <c r="B11" s="230" t="s">
        <v>262</v>
      </c>
      <c r="C11" s="231"/>
      <c r="D11" s="190"/>
      <c r="E11" s="218">
        <v>3859174272</v>
      </c>
      <c r="F11" s="190"/>
      <c r="G11" s="218">
        <v>1282463643</v>
      </c>
      <c r="H11" s="190"/>
      <c r="I11" s="218">
        <v>1274018427</v>
      </c>
      <c r="J11" s="218">
        <v>38391322</v>
      </c>
      <c r="K11" s="190"/>
      <c r="L11" s="191"/>
      <c r="M11" s="192"/>
    </row>
    <row r="12" spans="1:13" s="193" customFormat="1" ht="21" customHeight="1">
      <c r="A12" s="219" t="s">
        <v>68</v>
      </c>
      <c r="B12" s="230" t="s">
        <v>196</v>
      </c>
      <c r="C12" s="231"/>
      <c r="D12" s="190"/>
      <c r="E12" s="190"/>
      <c r="F12" s="190"/>
      <c r="G12" s="190"/>
      <c r="H12" s="190"/>
      <c r="I12" s="190"/>
      <c r="J12" s="190"/>
      <c r="K12" s="190"/>
      <c r="L12" s="191"/>
      <c r="M12" s="192"/>
    </row>
    <row r="13" spans="1:13" s="193" customFormat="1" ht="27.75" customHeight="1">
      <c r="A13" s="219" t="s">
        <v>37</v>
      </c>
      <c r="B13" s="230" t="s">
        <v>197</v>
      </c>
      <c r="C13" s="231"/>
      <c r="D13" s="218">
        <v>4188044732</v>
      </c>
      <c r="E13" s="218"/>
      <c r="F13" s="190"/>
      <c r="G13" s="190"/>
      <c r="H13" s="190"/>
      <c r="I13" s="190"/>
      <c r="J13" s="190"/>
      <c r="K13" s="190"/>
      <c r="L13" s="191"/>
      <c r="M13" s="192"/>
    </row>
    <row r="14" spans="1:13" s="193" customFormat="1" ht="21" customHeight="1">
      <c r="A14" s="219" t="s">
        <v>33</v>
      </c>
      <c r="B14" s="230" t="s">
        <v>263</v>
      </c>
      <c r="C14" s="231"/>
      <c r="D14" s="218"/>
      <c r="E14" s="218">
        <v>65000000</v>
      </c>
      <c r="F14" s="190"/>
      <c r="G14" s="190"/>
      <c r="H14" s="190"/>
      <c r="I14" s="190"/>
      <c r="J14" s="190"/>
      <c r="K14" s="190"/>
      <c r="L14" s="191"/>
      <c r="M14" s="192"/>
    </row>
    <row r="15" spans="1:13" s="193" customFormat="1" ht="38.25" customHeight="1">
      <c r="A15" s="219" t="s">
        <v>35</v>
      </c>
      <c r="B15" s="230" t="s">
        <v>198</v>
      </c>
      <c r="C15" s="231"/>
      <c r="D15" s="218"/>
      <c r="E15" s="218"/>
      <c r="F15" s="190"/>
      <c r="G15" s="218"/>
      <c r="H15" s="190"/>
      <c r="I15" s="218"/>
      <c r="J15" s="218"/>
      <c r="K15" s="190"/>
      <c r="L15" s="191"/>
      <c r="M15" s="192"/>
    </row>
    <row r="16" spans="1:13" s="193" customFormat="1" ht="21" customHeight="1">
      <c r="A16" s="219" t="s">
        <v>42</v>
      </c>
      <c r="B16" s="230" t="s">
        <v>199</v>
      </c>
      <c r="C16" s="231"/>
      <c r="D16" s="218"/>
      <c r="E16" s="218"/>
      <c r="F16" s="190"/>
      <c r="G16" s="218"/>
      <c r="H16" s="190"/>
      <c r="I16" s="218"/>
      <c r="J16" s="218">
        <v>10050000</v>
      </c>
      <c r="K16" s="190"/>
      <c r="L16" s="191"/>
      <c r="M16" s="192"/>
    </row>
    <row r="17" spans="1:13" s="193" customFormat="1" ht="21" customHeight="1">
      <c r="A17" s="219" t="s">
        <v>128</v>
      </c>
      <c r="B17" s="230" t="s">
        <v>275</v>
      </c>
      <c r="C17" s="231"/>
      <c r="D17" s="218"/>
      <c r="E17" s="218"/>
      <c r="F17" s="190"/>
      <c r="G17" s="218"/>
      <c r="H17" s="190"/>
      <c r="I17" s="218"/>
      <c r="J17" s="218"/>
      <c r="K17" s="190"/>
      <c r="L17" s="191"/>
      <c r="M17" s="192"/>
    </row>
    <row r="18" spans="1:13" s="193" customFormat="1" ht="21" customHeight="1">
      <c r="A18" s="219" t="s">
        <v>205</v>
      </c>
      <c r="B18" s="230" t="s">
        <v>288</v>
      </c>
      <c r="C18" s="231"/>
      <c r="D18" s="218">
        <v>451663257</v>
      </c>
      <c r="E18" s="218"/>
      <c r="F18" s="190"/>
      <c r="G18" s="218"/>
      <c r="H18" s="190"/>
      <c r="I18" s="218"/>
      <c r="J18" s="218"/>
      <c r="K18" s="190"/>
      <c r="L18" s="191"/>
      <c r="M18" s="192"/>
    </row>
    <row r="19" spans="1:13" s="193" customFormat="1" ht="27.75" customHeight="1">
      <c r="A19" s="219" t="s">
        <v>69</v>
      </c>
      <c r="B19" s="230" t="s">
        <v>200</v>
      </c>
      <c r="C19" s="231"/>
      <c r="D19" s="190"/>
      <c r="E19" s="190"/>
      <c r="F19" s="190"/>
      <c r="G19" s="190"/>
      <c r="H19" s="190"/>
      <c r="I19" s="218"/>
      <c r="J19" s="190"/>
      <c r="K19" s="190"/>
      <c r="L19" s="191"/>
      <c r="M19" s="192"/>
    </row>
    <row r="20" spans="1:13" s="193" customFormat="1" ht="54.75" customHeight="1">
      <c r="A20" s="219" t="s">
        <v>70</v>
      </c>
      <c r="B20" s="230" t="s">
        <v>201</v>
      </c>
      <c r="C20" s="231"/>
      <c r="D20" s="218"/>
      <c r="E20" s="218"/>
      <c r="F20" s="190"/>
      <c r="G20" s="218"/>
      <c r="H20" s="190"/>
      <c r="I20" s="218"/>
      <c r="J20" s="218"/>
      <c r="K20" s="190"/>
      <c r="L20" s="191"/>
      <c r="M20" s="192"/>
    </row>
    <row r="21" spans="1:13" s="193" customFormat="1" ht="21" customHeight="1">
      <c r="A21" s="219" t="s">
        <v>71</v>
      </c>
      <c r="B21" s="230" t="s">
        <v>202</v>
      </c>
      <c r="C21" s="231"/>
      <c r="D21" s="194"/>
      <c r="E21" s="194"/>
      <c r="F21" s="194"/>
      <c r="G21" s="194"/>
      <c r="H21" s="194"/>
      <c r="I21" s="194"/>
      <c r="J21" s="194"/>
      <c r="K21" s="194"/>
      <c r="L21" s="191"/>
      <c r="M21" s="192"/>
    </row>
    <row r="22" spans="1:13" s="193" customFormat="1" ht="21" customHeight="1">
      <c r="A22" s="219" t="s">
        <v>291</v>
      </c>
      <c r="B22" s="230" t="s">
        <v>311</v>
      </c>
      <c r="C22" s="231"/>
      <c r="D22" s="194"/>
      <c r="E22" s="194"/>
      <c r="F22" s="194"/>
      <c r="G22" s="194"/>
      <c r="H22" s="194"/>
      <c r="I22" s="194"/>
      <c r="J22" s="194"/>
      <c r="K22" s="194"/>
      <c r="L22" s="191"/>
      <c r="M22" s="192"/>
    </row>
    <row r="23" spans="1:13" s="193" customFormat="1" ht="28.5" customHeight="1">
      <c r="A23" s="219" t="s">
        <v>37</v>
      </c>
      <c r="B23" s="230" t="s">
        <v>203</v>
      </c>
      <c r="C23" s="231"/>
      <c r="D23" s="218">
        <v>0</v>
      </c>
      <c r="E23" s="190"/>
      <c r="F23" s="190"/>
      <c r="G23" s="190"/>
      <c r="H23" s="190"/>
      <c r="I23" s="190"/>
      <c r="J23" s="190"/>
      <c r="K23" s="190"/>
      <c r="L23" s="191"/>
      <c r="M23" s="192"/>
    </row>
    <row r="24" spans="1:13" s="193" customFormat="1" ht="28.5" customHeight="1">
      <c r="A24" s="219" t="s">
        <v>33</v>
      </c>
      <c r="B24" s="230" t="s">
        <v>302</v>
      </c>
      <c r="C24" s="231"/>
      <c r="D24" s="218">
        <v>10836545</v>
      </c>
      <c r="E24" s="190"/>
      <c r="F24" s="190"/>
      <c r="G24" s="190"/>
      <c r="H24" s="190"/>
      <c r="I24" s="190"/>
      <c r="J24" s="190"/>
      <c r="K24" s="190"/>
      <c r="L24" s="191"/>
      <c r="M24" s="192"/>
    </row>
    <row r="25" spans="1:13" s="193" customFormat="1" ht="21" customHeight="1">
      <c r="A25" s="219" t="s">
        <v>35</v>
      </c>
      <c r="B25" s="230" t="s">
        <v>277</v>
      </c>
      <c r="C25" s="231"/>
      <c r="D25" s="218">
        <v>771903</v>
      </c>
      <c r="E25" s="218">
        <v>0</v>
      </c>
      <c r="F25" s="190"/>
      <c r="G25" s="190"/>
      <c r="H25" s="190"/>
      <c r="I25" s="190"/>
      <c r="J25" s="190"/>
      <c r="K25" s="190"/>
      <c r="L25" s="191"/>
      <c r="M25" s="192"/>
    </row>
    <row r="26" spans="1:13" s="193" customFormat="1" ht="43.5" customHeight="1">
      <c r="A26" s="219" t="s">
        <v>42</v>
      </c>
      <c r="B26" s="230" t="s">
        <v>280</v>
      </c>
      <c r="C26" s="231"/>
      <c r="D26" s="218">
        <v>12353975293</v>
      </c>
      <c r="E26" s="190"/>
      <c r="F26" s="190"/>
      <c r="G26" s="190"/>
      <c r="H26" s="190"/>
      <c r="I26" s="190"/>
      <c r="J26" s="190"/>
      <c r="K26" s="190"/>
      <c r="L26" s="191"/>
      <c r="M26" s="192"/>
    </row>
    <row r="27" spans="1:13" s="193" customFormat="1" ht="21" customHeight="1">
      <c r="A27" s="219" t="s">
        <v>128</v>
      </c>
      <c r="B27" s="230" t="s">
        <v>204</v>
      </c>
      <c r="C27" s="231"/>
      <c r="D27" s="190"/>
      <c r="E27" s="190"/>
      <c r="F27" s="190"/>
      <c r="G27" s="190"/>
      <c r="H27" s="190"/>
      <c r="I27" s="218">
        <v>111276553</v>
      </c>
      <c r="J27" s="190"/>
      <c r="K27" s="190"/>
      <c r="L27" s="191"/>
      <c r="M27" s="192"/>
    </row>
    <row r="28" spans="1:13" s="193" customFormat="1" ht="21" customHeight="1">
      <c r="A28" s="219" t="s">
        <v>205</v>
      </c>
      <c r="B28" s="230" t="s">
        <v>292</v>
      </c>
      <c r="C28" s="231"/>
      <c r="D28" s="218">
        <v>9452501</v>
      </c>
      <c r="E28" s="190"/>
      <c r="F28" s="190"/>
      <c r="G28" s="190"/>
      <c r="H28" s="190"/>
      <c r="I28" s="218">
        <v>2520753</v>
      </c>
      <c r="J28" s="218">
        <v>5173636</v>
      </c>
      <c r="K28" s="218">
        <v>0</v>
      </c>
      <c r="L28" s="191"/>
      <c r="M28" s="192"/>
    </row>
    <row r="29" spans="1:13" s="193" customFormat="1" ht="66" customHeight="1">
      <c r="A29" s="219" t="s">
        <v>206</v>
      </c>
      <c r="B29" s="230" t="s">
        <v>293</v>
      </c>
      <c r="C29" s="231"/>
      <c r="D29" s="190"/>
      <c r="E29" s="190"/>
      <c r="F29" s="190"/>
      <c r="G29" s="190"/>
      <c r="H29" s="218">
        <v>0</v>
      </c>
      <c r="I29" s="190"/>
      <c r="J29" s="190"/>
      <c r="K29" s="190"/>
      <c r="L29" s="191"/>
      <c r="M29" s="192"/>
    </row>
    <row r="30" spans="1:13" s="193" customFormat="1" ht="28.5" customHeight="1">
      <c r="A30" s="219" t="s">
        <v>207</v>
      </c>
      <c r="B30" s="230" t="s">
        <v>303</v>
      </c>
      <c r="C30" s="231"/>
      <c r="D30" s="190"/>
      <c r="E30" s="190"/>
      <c r="F30" s="190"/>
      <c r="G30" s="190"/>
      <c r="H30" s="218">
        <v>0</v>
      </c>
      <c r="I30" s="190"/>
      <c r="J30" s="190"/>
      <c r="K30" s="190"/>
      <c r="L30" s="191"/>
      <c r="M30" s="192"/>
    </row>
    <row r="31" spans="1:13" s="193" customFormat="1" ht="28.5" customHeight="1">
      <c r="A31" s="219" t="s">
        <v>208</v>
      </c>
      <c r="B31" s="230" t="s">
        <v>281</v>
      </c>
      <c r="C31" s="231"/>
      <c r="D31" s="190"/>
      <c r="E31" s="190"/>
      <c r="F31" s="190"/>
      <c r="G31" s="190"/>
      <c r="H31" s="190"/>
      <c r="I31" s="218">
        <v>34473688661</v>
      </c>
      <c r="J31" s="218">
        <v>4386605708</v>
      </c>
      <c r="K31" s="218">
        <v>1834469891</v>
      </c>
      <c r="L31" s="191"/>
      <c r="M31" s="192"/>
    </row>
    <row r="32" spans="1:13" s="193" customFormat="1" ht="21" customHeight="1">
      <c r="A32" s="219" t="s">
        <v>266</v>
      </c>
      <c r="B32" s="230" t="s">
        <v>304</v>
      </c>
      <c r="C32" s="231"/>
      <c r="D32" s="190"/>
      <c r="E32" s="190"/>
      <c r="F32" s="190"/>
      <c r="G32" s="190"/>
      <c r="H32" s="190"/>
      <c r="I32" s="190"/>
      <c r="J32" s="190"/>
      <c r="K32" s="218">
        <v>822604657</v>
      </c>
      <c r="L32" s="191"/>
      <c r="M32" s="192"/>
    </row>
    <row r="33" spans="1:14" s="193" customFormat="1" ht="21" customHeight="1">
      <c r="A33" s="219" t="s">
        <v>294</v>
      </c>
      <c r="B33" s="230" t="s">
        <v>295</v>
      </c>
      <c r="C33" s="231"/>
      <c r="D33" s="194"/>
      <c r="E33" s="194"/>
      <c r="F33" s="194"/>
      <c r="G33" s="194"/>
      <c r="H33" s="194"/>
      <c r="I33" s="194"/>
      <c r="J33" s="194"/>
      <c r="K33" s="194"/>
      <c r="L33" s="191"/>
      <c r="M33" s="192"/>
    </row>
    <row r="34" spans="1:14" s="193" customFormat="1" ht="21" customHeight="1">
      <c r="A34" s="219" t="s">
        <v>37</v>
      </c>
      <c r="B34" s="230" t="s">
        <v>204</v>
      </c>
      <c r="C34" s="231"/>
      <c r="D34" s="190"/>
      <c r="E34" s="190"/>
      <c r="F34" s="190"/>
      <c r="G34" s="190"/>
      <c r="H34" s="190"/>
      <c r="I34" s="218">
        <v>0</v>
      </c>
      <c r="J34" s="190"/>
      <c r="K34" s="190"/>
      <c r="L34" s="191"/>
      <c r="M34" s="192"/>
    </row>
    <row r="35" spans="1:14" s="193" customFormat="1" ht="23.25" customHeight="1">
      <c r="A35" s="219" t="s">
        <v>33</v>
      </c>
      <c r="B35" s="230" t="s">
        <v>299</v>
      </c>
      <c r="C35" s="231"/>
      <c r="D35" s="218">
        <v>0</v>
      </c>
      <c r="E35" s="218">
        <v>0</v>
      </c>
      <c r="F35" s="190"/>
      <c r="G35" s="190"/>
      <c r="H35" s="190"/>
      <c r="I35" s="190"/>
      <c r="J35" s="190"/>
      <c r="K35" s="190"/>
      <c r="L35" s="191"/>
      <c r="M35" s="192"/>
    </row>
    <row r="36" spans="1:14" s="193" customFormat="1" ht="23.25" customHeight="1">
      <c r="A36" s="219" t="s">
        <v>35</v>
      </c>
      <c r="B36" s="230" t="s">
        <v>296</v>
      </c>
      <c r="C36" s="231"/>
      <c r="D36" s="190"/>
      <c r="E36" s="190"/>
      <c r="F36" s="218">
        <v>283860692</v>
      </c>
      <c r="G36" s="218">
        <v>2271678794</v>
      </c>
      <c r="H36" s="190"/>
      <c r="I36" s="218">
        <v>2356413851</v>
      </c>
      <c r="J36" s="218">
        <v>49418158</v>
      </c>
      <c r="K36" s="190"/>
      <c r="L36" s="191"/>
      <c r="M36" s="192"/>
    </row>
    <row r="37" spans="1:14" s="193" customFormat="1" ht="23.25" customHeight="1">
      <c r="A37" s="219" t="s">
        <v>42</v>
      </c>
      <c r="B37" s="230" t="s">
        <v>297</v>
      </c>
      <c r="C37" s="231"/>
      <c r="D37" s="190"/>
      <c r="E37" s="190"/>
      <c r="F37" s="218">
        <v>370689</v>
      </c>
      <c r="G37" s="218">
        <v>5066855</v>
      </c>
      <c r="H37" s="190"/>
      <c r="I37" s="218">
        <v>47967689</v>
      </c>
      <c r="J37" s="218">
        <v>720283523</v>
      </c>
      <c r="K37" s="190"/>
      <c r="L37" s="191"/>
      <c r="M37" s="192"/>
    </row>
    <row r="38" spans="1:14" s="193" customFormat="1" ht="21" customHeight="1">
      <c r="A38" s="219" t="s">
        <v>128</v>
      </c>
      <c r="B38" s="230" t="s">
        <v>298</v>
      </c>
      <c r="C38" s="231"/>
      <c r="D38" s="190"/>
      <c r="E38" s="190"/>
      <c r="F38" s="190"/>
      <c r="G38" s="190"/>
      <c r="H38" s="190"/>
      <c r="I38" s="218">
        <v>125995101</v>
      </c>
      <c r="J38" s="218">
        <v>180528906</v>
      </c>
      <c r="K38" s="218">
        <v>26755</v>
      </c>
      <c r="L38" s="191"/>
      <c r="M38" s="192"/>
    </row>
    <row r="39" spans="1:14" s="193" customFormat="1" ht="28.5" customHeight="1">
      <c r="A39" s="219" t="s">
        <v>205</v>
      </c>
      <c r="B39" s="230" t="s">
        <v>312</v>
      </c>
      <c r="C39" s="231"/>
      <c r="D39" s="190"/>
      <c r="E39" s="190"/>
      <c r="F39" s="190"/>
      <c r="G39" s="190"/>
      <c r="H39" s="190"/>
      <c r="I39" s="218">
        <v>6089144</v>
      </c>
      <c r="J39" s="218">
        <v>68890830</v>
      </c>
      <c r="K39" s="218">
        <v>53538285</v>
      </c>
      <c r="L39" s="191"/>
      <c r="M39" s="192"/>
    </row>
    <row r="40" spans="1:14" s="193" customFormat="1" ht="23.25" customHeight="1">
      <c r="A40" s="219" t="s">
        <v>206</v>
      </c>
      <c r="B40" s="230" t="s">
        <v>313</v>
      </c>
      <c r="C40" s="231"/>
      <c r="D40" s="190"/>
      <c r="E40" s="190"/>
      <c r="F40" s="190"/>
      <c r="G40" s="190"/>
      <c r="H40" s="190"/>
      <c r="I40" s="218">
        <v>738876</v>
      </c>
      <c r="J40" s="218">
        <v>12206645</v>
      </c>
      <c r="K40" s="218">
        <v>1562393</v>
      </c>
      <c r="L40" s="191"/>
      <c r="M40" s="192"/>
    </row>
    <row r="41" spans="1:14" s="193" customFormat="1" ht="40.5" customHeight="1">
      <c r="A41" s="219" t="s">
        <v>207</v>
      </c>
      <c r="B41" s="230" t="s">
        <v>314</v>
      </c>
      <c r="C41" s="231"/>
      <c r="D41" s="190"/>
      <c r="E41" s="190"/>
      <c r="F41" s="190"/>
      <c r="G41" s="190"/>
      <c r="H41" s="190"/>
      <c r="I41" s="218">
        <v>249681552</v>
      </c>
      <c r="J41" s="190"/>
      <c r="K41" s="190"/>
      <c r="L41" s="191"/>
      <c r="M41" s="192"/>
    </row>
    <row r="42" spans="1:14" s="193" customFormat="1" ht="51" customHeight="1">
      <c r="A42" s="219" t="s">
        <v>208</v>
      </c>
      <c r="B42" s="230" t="s">
        <v>315</v>
      </c>
      <c r="C42" s="231"/>
      <c r="D42" s="190"/>
      <c r="E42" s="190"/>
      <c r="F42" s="190"/>
      <c r="G42" s="190"/>
      <c r="H42" s="190"/>
      <c r="I42" s="190"/>
      <c r="J42" s="218">
        <v>1104194319</v>
      </c>
      <c r="K42" s="190"/>
      <c r="L42" s="191"/>
      <c r="M42" s="192"/>
    </row>
    <row r="43" spans="1:14" s="193" customFormat="1" ht="40.5" customHeight="1">
      <c r="A43" s="219" t="s">
        <v>266</v>
      </c>
      <c r="B43" s="230" t="s">
        <v>308</v>
      </c>
      <c r="C43" s="231"/>
      <c r="D43" s="190"/>
      <c r="E43" s="190"/>
      <c r="F43" s="190"/>
      <c r="G43" s="190"/>
      <c r="H43" s="190"/>
      <c r="I43" s="218">
        <v>0</v>
      </c>
      <c r="J43" s="190"/>
      <c r="K43" s="190"/>
      <c r="L43" s="191"/>
      <c r="M43" s="192"/>
    </row>
    <row r="44" spans="1:14" s="193" customFormat="1" ht="40.5" customHeight="1">
      <c r="A44" s="219" t="s">
        <v>267</v>
      </c>
      <c r="B44" s="230" t="s">
        <v>309</v>
      </c>
      <c r="C44" s="231"/>
      <c r="D44" s="190"/>
      <c r="E44" s="190"/>
      <c r="F44" s="190"/>
      <c r="G44" s="190"/>
      <c r="H44" s="190"/>
      <c r="I44" s="190"/>
      <c r="J44" s="218">
        <v>0</v>
      </c>
      <c r="K44" s="190"/>
      <c r="L44" s="191"/>
      <c r="M44" s="192"/>
    </row>
    <row r="45" spans="1:14" s="193" customFormat="1" ht="23.25" customHeight="1">
      <c r="A45" s="219" t="s">
        <v>268</v>
      </c>
      <c r="B45" s="230" t="s">
        <v>292</v>
      </c>
      <c r="C45" s="231"/>
      <c r="D45" s="218">
        <v>3650489</v>
      </c>
      <c r="E45" s="190"/>
      <c r="F45" s="190"/>
      <c r="G45" s="190"/>
      <c r="H45" s="190"/>
      <c r="I45" s="218">
        <v>0</v>
      </c>
      <c r="J45" s="218">
        <v>0</v>
      </c>
      <c r="K45" s="218">
        <v>0</v>
      </c>
      <c r="L45" s="191"/>
      <c r="M45" s="192"/>
    </row>
    <row r="46" spans="1:14" s="193" customFormat="1" ht="61.5" customHeight="1">
      <c r="A46" s="219" t="s">
        <v>274</v>
      </c>
      <c r="B46" s="230" t="s">
        <v>300</v>
      </c>
      <c r="C46" s="231"/>
      <c r="D46" s="190"/>
      <c r="E46" s="190"/>
      <c r="F46" s="190"/>
      <c r="G46" s="190"/>
      <c r="H46" s="218">
        <v>0</v>
      </c>
      <c r="I46" s="190"/>
      <c r="J46" s="190"/>
      <c r="K46" s="190"/>
      <c r="L46" s="191"/>
      <c r="M46" s="192"/>
    </row>
    <row r="47" spans="1:14" s="193" customFormat="1" ht="26.25" customHeight="1">
      <c r="A47" s="219" t="s">
        <v>306</v>
      </c>
      <c r="B47" s="230" t="s">
        <v>301</v>
      </c>
      <c r="C47" s="231"/>
      <c r="D47" s="190"/>
      <c r="E47" s="190"/>
      <c r="F47" s="190"/>
      <c r="G47" s="190"/>
      <c r="H47" s="190"/>
      <c r="I47" s="218">
        <v>311979510</v>
      </c>
      <c r="J47" s="218">
        <v>109002843</v>
      </c>
      <c r="K47" s="218">
        <v>1534999985</v>
      </c>
      <c r="L47" s="191"/>
      <c r="M47" s="192"/>
    </row>
    <row r="48" spans="1:14" s="193" customFormat="1" ht="21" customHeight="1">
      <c r="A48" s="219" t="s">
        <v>307</v>
      </c>
      <c r="B48" s="230" t="s">
        <v>305</v>
      </c>
      <c r="C48" s="231"/>
      <c r="D48" s="190"/>
      <c r="E48" s="190"/>
      <c r="F48" s="190"/>
      <c r="G48" s="190"/>
      <c r="H48" s="190"/>
      <c r="I48" s="190"/>
      <c r="J48" s="190"/>
      <c r="K48" s="218">
        <v>203411682</v>
      </c>
      <c r="L48" s="191"/>
      <c r="M48" s="191"/>
      <c r="N48" s="191"/>
    </row>
    <row r="49" spans="1:14" s="193" customFormat="1" ht="21" customHeight="1">
      <c r="A49" s="219" t="s">
        <v>72</v>
      </c>
      <c r="B49" s="230" t="s">
        <v>209</v>
      </c>
      <c r="C49" s="231"/>
      <c r="D49" s="190"/>
      <c r="E49" s="190"/>
      <c r="F49" s="190"/>
      <c r="G49" s="190"/>
      <c r="H49" s="190"/>
      <c r="I49" s="190"/>
      <c r="J49" s="190"/>
      <c r="K49" s="190"/>
      <c r="L49" s="191"/>
      <c r="M49" s="192"/>
    </row>
    <row r="50" spans="1:14" s="193" customFormat="1" ht="21" customHeight="1">
      <c r="A50" s="219" t="s">
        <v>37</v>
      </c>
      <c r="B50" s="230" t="s">
        <v>210</v>
      </c>
      <c r="C50" s="231"/>
      <c r="D50" s="190"/>
      <c r="E50" s="190"/>
      <c r="F50" s="190"/>
      <c r="G50" s="190"/>
      <c r="H50" s="190"/>
      <c r="I50" s="218">
        <v>3641694109</v>
      </c>
      <c r="J50" s="190"/>
      <c r="K50" s="190"/>
      <c r="L50" s="191"/>
      <c r="M50" s="192"/>
    </row>
    <row r="51" spans="1:14" s="193" customFormat="1" ht="21" customHeight="1">
      <c r="A51" s="219" t="s">
        <v>33</v>
      </c>
      <c r="B51" s="230" t="s">
        <v>211</v>
      </c>
      <c r="C51" s="231"/>
      <c r="D51" s="190"/>
      <c r="E51" s="190"/>
      <c r="F51" s="190"/>
      <c r="G51" s="190"/>
      <c r="H51" s="190"/>
      <c r="I51" s="218">
        <f>661533730-J52-K52-J53-K53</f>
        <v>0</v>
      </c>
      <c r="J51" s="190"/>
      <c r="K51" s="190"/>
      <c r="L51" s="191"/>
      <c r="M51" s="192"/>
    </row>
    <row r="52" spans="1:14" s="193" customFormat="1" ht="31.5" customHeight="1">
      <c r="A52" s="219" t="s">
        <v>35</v>
      </c>
      <c r="B52" s="230" t="s">
        <v>212</v>
      </c>
      <c r="C52" s="231"/>
      <c r="D52" s="190"/>
      <c r="E52" s="190"/>
      <c r="F52" s="190"/>
      <c r="G52" s="190"/>
      <c r="H52" s="190"/>
      <c r="I52" s="190"/>
      <c r="J52" s="218">
        <v>661493906</v>
      </c>
      <c r="K52" s="218">
        <v>0</v>
      </c>
      <c r="L52" s="191"/>
      <c r="M52" s="192"/>
    </row>
    <row r="53" spans="1:14" s="193" customFormat="1" ht="21" customHeight="1">
      <c r="A53" s="219" t="s">
        <v>42</v>
      </c>
      <c r="B53" s="230" t="s">
        <v>213</v>
      </c>
      <c r="C53" s="231"/>
      <c r="D53" s="190"/>
      <c r="E53" s="190"/>
      <c r="F53" s="190"/>
      <c r="G53" s="190"/>
      <c r="H53" s="190"/>
      <c r="I53" s="190"/>
      <c r="J53" s="218">
        <v>39824</v>
      </c>
      <c r="K53" s="218">
        <v>0</v>
      </c>
      <c r="L53" s="191"/>
      <c r="M53" s="192"/>
    </row>
    <row r="54" spans="1:14" s="193" customFormat="1" ht="28.5" customHeight="1">
      <c r="A54" s="219" t="s">
        <v>79</v>
      </c>
      <c r="B54" s="230" t="s">
        <v>282</v>
      </c>
      <c r="C54" s="231"/>
      <c r="D54" s="218">
        <v>168086770</v>
      </c>
      <c r="E54" s="190"/>
      <c r="F54" s="190"/>
      <c r="G54" s="190"/>
      <c r="H54" s="190"/>
      <c r="I54" s="190"/>
      <c r="J54" s="190"/>
      <c r="K54" s="190"/>
      <c r="L54" s="191"/>
      <c r="M54" s="192"/>
    </row>
    <row r="55" spans="1:14" s="193" customFormat="1" ht="27.75" customHeight="1">
      <c r="A55" s="219" t="s">
        <v>80</v>
      </c>
      <c r="B55" s="230" t="s">
        <v>283</v>
      </c>
      <c r="C55" s="231"/>
      <c r="D55" s="218">
        <v>0</v>
      </c>
      <c r="E55" s="190"/>
      <c r="F55" s="190"/>
      <c r="G55" s="190"/>
      <c r="H55" s="190"/>
      <c r="I55" s="190"/>
      <c r="J55" s="190"/>
      <c r="K55" s="218">
        <v>807010474</v>
      </c>
      <c r="L55" s="191"/>
      <c r="M55" s="192"/>
    </row>
    <row r="56" spans="1:14" s="193" customFormat="1" ht="21" customHeight="1">
      <c r="A56" s="219" t="s">
        <v>73</v>
      </c>
      <c r="B56" s="230" t="s">
        <v>214</v>
      </c>
      <c r="C56" s="231"/>
      <c r="D56" s="189">
        <f>+'Bank Capital Calc'!C20</f>
        <v>21378472</v>
      </c>
      <c r="E56" s="195"/>
      <c r="F56" s="190"/>
      <c r="G56" s="190"/>
      <c r="H56" s="190"/>
      <c r="I56" s="218">
        <f>55050616-D56</f>
        <v>33672144</v>
      </c>
      <c r="J56" s="190"/>
      <c r="K56" s="190"/>
      <c r="L56" s="191"/>
      <c r="M56" s="192"/>
    </row>
    <row r="57" spans="1:14" s="193" customFormat="1" ht="21" customHeight="1">
      <c r="A57" s="219" t="s">
        <v>74</v>
      </c>
      <c r="B57" s="230" t="s">
        <v>265</v>
      </c>
      <c r="C57" s="231"/>
      <c r="D57" s="218"/>
      <c r="E57" s="218"/>
      <c r="F57" s="190"/>
      <c r="G57" s="190"/>
      <c r="H57" s="190"/>
      <c r="I57" s="218"/>
      <c r="J57" s="190"/>
      <c r="K57" s="218">
        <v>109734946</v>
      </c>
      <c r="L57" s="191"/>
      <c r="M57" s="192"/>
    </row>
    <row r="58" spans="1:14" s="193" customFormat="1" ht="21" customHeight="1">
      <c r="A58" s="219" t="s">
        <v>75</v>
      </c>
      <c r="B58" s="230" t="s">
        <v>284</v>
      </c>
      <c r="C58" s="231"/>
      <c r="D58" s="190"/>
      <c r="E58" s="190"/>
      <c r="F58" s="190"/>
      <c r="G58" s="190"/>
      <c r="H58" s="190"/>
      <c r="I58" s="190"/>
      <c r="J58" s="190"/>
      <c r="K58" s="218">
        <v>0</v>
      </c>
      <c r="L58" s="191"/>
      <c r="M58" s="192"/>
    </row>
    <row r="59" spans="1:14" s="193" customFormat="1" ht="21" customHeight="1">
      <c r="A59" s="219" t="s">
        <v>76</v>
      </c>
      <c r="B59" s="230" t="s">
        <v>269</v>
      </c>
      <c r="C59" s="231"/>
      <c r="D59" s="189">
        <f>+[7]Balance!$C$39</f>
        <v>615338207</v>
      </c>
      <c r="E59" s="190"/>
      <c r="F59" s="190"/>
      <c r="G59" s="190"/>
      <c r="H59" s="190"/>
      <c r="I59" s="190"/>
      <c r="J59" s="190"/>
      <c r="K59" s="190"/>
      <c r="L59" s="220">
        <f>+D59</f>
        <v>615338207</v>
      </c>
      <c r="M59" s="220">
        <f>+[7]Balance!$C$39</f>
        <v>615338207</v>
      </c>
      <c r="N59" s="220">
        <f>+L59-M59</f>
        <v>0</v>
      </c>
    </row>
    <row r="60" spans="1:14" s="193" customFormat="1" ht="21" customHeight="1">
      <c r="A60" s="219" t="s">
        <v>77</v>
      </c>
      <c r="B60" s="230" t="s">
        <v>215</v>
      </c>
      <c r="C60" s="231"/>
      <c r="D60" s="218">
        <v>458707842</v>
      </c>
      <c r="E60" s="218">
        <v>83099952</v>
      </c>
      <c r="F60" s="218">
        <v>11250860</v>
      </c>
      <c r="G60" s="218">
        <v>24327050</v>
      </c>
      <c r="H60" s="218">
        <v>0</v>
      </c>
      <c r="I60" s="218">
        <v>3675150920</v>
      </c>
      <c r="J60" s="218">
        <v>434999852</v>
      </c>
      <c r="K60" s="218">
        <v>351740075</v>
      </c>
      <c r="L60" s="220"/>
      <c r="M60" s="220"/>
      <c r="N60" s="220"/>
    </row>
    <row r="61" spans="1:14" s="193" customFormat="1" ht="21" customHeight="1">
      <c r="A61" s="219" t="s">
        <v>78</v>
      </c>
      <c r="B61" s="230" t="s">
        <v>216</v>
      </c>
      <c r="C61" s="231"/>
      <c r="D61" s="196">
        <f t="shared" ref="D61:K61" si="0">SUM(D8:D58)+D60-D59</f>
        <v>19593525851</v>
      </c>
      <c r="E61" s="196">
        <f t="shared" si="0"/>
        <v>4313179500</v>
      </c>
      <c r="F61" s="196">
        <f t="shared" si="0"/>
        <v>295482241</v>
      </c>
      <c r="G61" s="196">
        <f t="shared" si="0"/>
        <v>3583536342</v>
      </c>
      <c r="H61" s="196">
        <f t="shared" si="0"/>
        <v>0</v>
      </c>
      <c r="I61" s="196">
        <f t="shared" si="0"/>
        <v>46310887290</v>
      </c>
      <c r="J61" s="196">
        <f t="shared" si="0"/>
        <v>7781279472</v>
      </c>
      <c r="K61" s="196">
        <f t="shared" si="0"/>
        <v>5719099143</v>
      </c>
      <c r="L61" s="220">
        <f>SUM(D61:K61)</f>
        <v>87596989839</v>
      </c>
      <c r="M61" s="220">
        <f>+[7]Balance!$C$47</f>
        <v>87596989839</v>
      </c>
      <c r="N61" s="220">
        <f>+L61-M61</f>
        <v>0</v>
      </c>
    </row>
    <row r="62" spans="1:14" s="193" customFormat="1" ht="26.25" customHeight="1">
      <c r="A62" s="219" t="s">
        <v>264</v>
      </c>
      <c r="B62" s="230" t="s">
        <v>217</v>
      </c>
      <c r="C62" s="231"/>
      <c r="D62" s="190"/>
      <c r="E62" s="196">
        <f t="shared" ref="E62:K62" si="1">E61*E3</f>
        <v>862635900</v>
      </c>
      <c r="F62" s="196">
        <f t="shared" si="1"/>
        <v>103418784.34999999</v>
      </c>
      <c r="G62" s="196">
        <f t="shared" si="1"/>
        <v>1791768171</v>
      </c>
      <c r="H62" s="196">
        <f t="shared" si="1"/>
        <v>0</v>
      </c>
      <c r="I62" s="196">
        <f t="shared" si="1"/>
        <v>46310887290</v>
      </c>
      <c r="J62" s="196">
        <f t="shared" si="1"/>
        <v>11671919208</v>
      </c>
      <c r="K62" s="196">
        <f t="shared" si="1"/>
        <v>11438198286</v>
      </c>
      <c r="L62" s="220"/>
      <c r="M62" s="220"/>
      <c r="N62" s="220"/>
    </row>
    <row r="63" spans="1:14" s="193" customFormat="1" ht="21" customHeight="1">
      <c r="A63" s="219" t="s">
        <v>270</v>
      </c>
      <c r="B63" s="230" t="s">
        <v>285</v>
      </c>
      <c r="C63" s="231"/>
      <c r="D63" s="190"/>
      <c r="E63" s="190"/>
      <c r="F63" s="190"/>
      <c r="G63" s="190"/>
      <c r="H63" s="190"/>
      <c r="I63" s="190"/>
      <c r="J63" s="190"/>
      <c r="K63" s="196">
        <f>SUM(E62:K62)</f>
        <v>72178827639.350006</v>
      </c>
      <c r="L63" s="220"/>
      <c r="M63" s="220"/>
      <c r="N63" s="220"/>
    </row>
    <row r="64" spans="1:14" s="193" customFormat="1">
      <c r="A64" s="180"/>
      <c r="B64" s="197"/>
      <c r="C64" s="197"/>
      <c r="K64" s="192"/>
      <c r="L64" s="220"/>
      <c r="M64" s="220"/>
      <c r="N64" s="220"/>
    </row>
    <row r="65" spans="1:14" s="193" customFormat="1">
      <c r="A65" s="180"/>
      <c r="B65" s="198"/>
      <c r="C65" s="198"/>
      <c r="D65" s="198"/>
      <c r="E65" s="198"/>
      <c r="F65" s="198"/>
      <c r="G65" s="198"/>
      <c r="H65" s="198"/>
      <c r="I65" s="198"/>
      <c r="J65" s="198"/>
      <c r="L65" s="220"/>
      <c r="M65" s="220"/>
      <c r="N65" s="220"/>
    </row>
    <row r="66" spans="1:14" s="193" customFormat="1" ht="48.75" customHeight="1">
      <c r="A66" s="199" t="s">
        <v>52</v>
      </c>
      <c r="B66" s="219" t="s">
        <v>220</v>
      </c>
      <c r="C66" s="200" t="s">
        <v>218</v>
      </c>
      <c r="D66" s="185">
        <v>0</v>
      </c>
      <c r="E66" s="185">
        <v>0.2</v>
      </c>
      <c r="F66" s="185">
        <v>0.35</v>
      </c>
      <c r="G66" s="185">
        <v>0.5</v>
      </c>
      <c r="H66" s="201">
        <v>0.75</v>
      </c>
      <c r="I66" s="185">
        <v>1</v>
      </c>
      <c r="J66" s="185">
        <v>1.5</v>
      </c>
      <c r="K66" s="185">
        <v>2</v>
      </c>
      <c r="L66" s="220"/>
      <c r="M66" s="220"/>
      <c r="N66" s="220"/>
    </row>
    <row r="67" spans="1:14" s="193" customFormat="1">
      <c r="A67" s="199">
        <v>1</v>
      </c>
      <c r="B67" s="202" t="s">
        <v>221</v>
      </c>
      <c r="C67" s="190"/>
      <c r="D67" s="190"/>
      <c r="E67" s="190"/>
      <c r="F67" s="190"/>
      <c r="G67" s="190"/>
      <c r="H67" s="190"/>
      <c r="I67" s="190"/>
      <c r="J67" s="190"/>
      <c r="K67" s="190"/>
      <c r="L67" s="220"/>
      <c r="M67" s="220"/>
      <c r="N67" s="220"/>
    </row>
    <row r="68" spans="1:14" s="193" customFormat="1" ht="12.75" customHeight="1">
      <c r="A68" s="199" t="s">
        <v>31</v>
      </c>
      <c r="B68" s="203" t="s">
        <v>222</v>
      </c>
      <c r="C68" s="204">
        <v>0.5</v>
      </c>
      <c r="D68" s="218"/>
      <c r="E68" s="218"/>
      <c r="F68" s="218"/>
      <c r="G68" s="218"/>
      <c r="H68" s="218"/>
      <c r="I68" s="218">
        <v>1211558591</v>
      </c>
      <c r="J68" s="218">
        <v>0</v>
      </c>
      <c r="K68" s="218">
        <v>1347118</v>
      </c>
      <c r="L68" s="220"/>
      <c r="M68" s="220"/>
      <c r="N68" s="220"/>
    </row>
    <row r="69" spans="1:14" s="193" customFormat="1">
      <c r="A69" s="199" t="s">
        <v>33</v>
      </c>
      <c r="B69" s="203" t="s">
        <v>223</v>
      </c>
      <c r="C69" s="204">
        <v>0.2</v>
      </c>
      <c r="D69" s="218"/>
      <c r="E69" s="218"/>
      <c r="F69" s="218"/>
      <c r="G69" s="218"/>
      <c r="H69" s="218"/>
      <c r="I69" s="218">
        <v>1002728635</v>
      </c>
      <c r="J69" s="218">
        <v>0</v>
      </c>
      <c r="K69" s="218">
        <v>20084</v>
      </c>
      <c r="L69" s="220">
        <f>SUM(D68:K69)</f>
        <v>2215654428</v>
      </c>
      <c r="M69" s="220">
        <f>+[7]Commitments!$C$4</f>
        <v>2215654428</v>
      </c>
      <c r="N69" s="220">
        <f>+L69-M69</f>
        <v>0</v>
      </c>
    </row>
    <row r="70" spans="1:14" s="193" customFormat="1" ht="26.25" customHeight="1">
      <c r="A70" s="199">
        <v>2</v>
      </c>
      <c r="B70" s="202" t="s">
        <v>286</v>
      </c>
      <c r="C70" s="204">
        <v>1</v>
      </c>
      <c r="D70" s="218">
        <v>507164188</v>
      </c>
      <c r="E70" s="218"/>
      <c r="F70" s="190"/>
      <c r="G70" s="218"/>
      <c r="H70" s="190"/>
      <c r="I70" s="218"/>
      <c r="J70" s="190"/>
      <c r="K70" s="190"/>
      <c r="L70" s="220"/>
      <c r="M70" s="220"/>
      <c r="N70" s="220"/>
    </row>
    <row r="71" spans="1:14" s="193" customFormat="1">
      <c r="A71" s="199">
        <v>3</v>
      </c>
      <c r="B71" s="202" t="s">
        <v>224</v>
      </c>
      <c r="C71" s="204">
        <v>1</v>
      </c>
      <c r="D71" s="218">
        <v>206992592</v>
      </c>
      <c r="E71" s="218"/>
      <c r="F71" s="190"/>
      <c r="G71" s="218"/>
      <c r="H71" s="190"/>
      <c r="I71" s="218">
        <f>1900015491</f>
        <v>1900015491</v>
      </c>
      <c r="J71" s="218">
        <v>0</v>
      </c>
      <c r="K71" s="218">
        <v>44981244</v>
      </c>
      <c r="L71" s="220">
        <f>SUM(D71:K71)</f>
        <v>2151989327</v>
      </c>
      <c r="M71" s="220">
        <f>+[7]Commitments!$C$7</f>
        <v>2151989327</v>
      </c>
      <c r="N71" s="220">
        <f>+L71-M71</f>
        <v>0</v>
      </c>
    </row>
    <row r="72" spans="1:14" s="193" customFormat="1">
      <c r="A72" s="199">
        <v>4</v>
      </c>
      <c r="B72" s="202" t="s">
        <v>287</v>
      </c>
      <c r="C72" s="207"/>
      <c r="D72" s="190"/>
      <c r="E72" s="190"/>
      <c r="F72" s="190"/>
      <c r="G72" s="190"/>
      <c r="H72" s="190"/>
      <c r="I72" s="190"/>
      <c r="J72" s="190"/>
      <c r="K72" s="190"/>
      <c r="L72" s="220"/>
      <c r="M72" s="220"/>
      <c r="N72" s="220"/>
    </row>
    <row r="73" spans="1:14" s="193" customFormat="1">
      <c r="A73" s="199" t="s">
        <v>31</v>
      </c>
      <c r="B73" s="203" t="s">
        <v>225</v>
      </c>
      <c r="C73" s="204">
        <v>1</v>
      </c>
      <c r="D73" s="218"/>
      <c r="E73" s="218"/>
      <c r="F73" s="190"/>
      <c r="G73" s="218"/>
      <c r="H73" s="190"/>
      <c r="I73" s="218"/>
      <c r="J73" s="190"/>
      <c r="K73" s="218"/>
      <c r="L73" s="220"/>
      <c r="M73" s="220"/>
      <c r="N73" s="220"/>
    </row>
    <row r="74" spans="1:14" s="193" customFormat="1">
      <c r="A74" s="199" t="s">
        <v>33</v>
      </c>
      <c r="B74" s="203" t="s">
        <v>226</v>
      </c>
      <c r="C74" s="204">
        <v>0.5</v>
      </c>
      <c r="D74" s="218"/>
      <c r="E74" s="218"/>
      <c r="F74" s="190"/>
      <c r="G74" s="218"/>
      <c r="H74" s="190"/>
      <c r="I74" s="218"/>
      <c r="J74" s="190"/>
      <c r="K74" s="218"/>
      <c r="L74" s="220"/>
      <c r="M74" s="220"/>
      <c r="N74" s="220"/>
    </row>
    <row r="75" spans="1:14" s="193" customFormat="1" ht="12.75" customHeight="1">
      <c r="A75" s="199" t="s">
        <v>35</v>
      </c>
      <c r="B75" s="203" t="s">
        <v>227</v>
      </c>
      <c r="C75" s="204">
        <v>0.2</v>
      </c>
      <c r="D75" s="218">
        <f>1369023159+18657173</f>
        <v>1387680332</v>
      </c>
      <c r="E75" s="218"/>
      <c r="F75" s="190"/>
      <c r="G75" s="218"/>
      <c r="H75" s="190"/>
      <c r="I75" s="218">
        <f>693465915</f>
        <v>693465915</v>
      </c>
      <c r="J75" s="190"/>
      <c r="K75" s="218">
        <v>0</v>
      </c>
      <c r="L75" s="220"/>
      <c r="M75" s="220"/>
      <c r="N75" s="220"/>
    </row>
    <row r="76" spans="1:14" s="193" customFormat="1">
      <c r="A76" s="199" t="s">
        <v>42</v>
      </c>
      <c r="B76" s="203" t="s">
        <v>228</v>
      </c>
      <c r="C76" s="204">
        <v>1</v>
      </c>
      <c r="D76" s="218"/>
      <c r="E76" s="218"/>
      <c r="F76" s="190"/>
      <c r="G76" s="218"/>
      <c r="H76" s="190"/>
      <c r="I76" s="218"/>
      <c r="J76" s="190"/>
      <c r="K76" s="218"/>
      <c r="L76" s="220">
        <f>SUM(D73:K76)</f>
        <v>2081146247</v>
      </c>
      <c r="M76" s="220">
        <f>+[7]Commitments!$C$10</f>
        <v>2081146247</v>
      </c>
      <c r="N76" s="220">
        <f>+L76-M76</f>
        <v>0</v>
      </c>
    </row>
    <row r="77" spans="1:14" s="193" customFormat="1" ht="26.25" customHeight="1">
      <c r="A77" s="199">
        <v>5</v>
      </c>
      <c r="B77" s="202" t="s">
        <v>257</v>
      </c>
      <c r="C77" s="207"/>
      <c r="D77" s="190"/>
      <c r="E77" s="190"/>
      <c r="F77" s="190"/>
      <c r="G77" s="190"/>
      <c r="H77" s="190"/>
      <c r="I77" s="190"/>
      <c r="J77" s="190"/>
      <c r="K77" s="190"/>
      <c r="L77" s="220"/>
      <c r="M77" s="220"/>
      <c r="N77" s="220"/>
    </row>
    <row r="78" spans="1:14" s="193" customFormat="1">
      <c r="A78" s="199" t="s">
        <v>31</v>
      </c>
      <c r="B78" s="203" t="s">
        <v>229</v>
      </c>
      <c r="C78" s="207"/>
      <c r="D78" s="190"/>
      <c r="E78" s="190"/>
      <c r="F78" s="190"/>
      <c r="G78" s="190"/>
      <c r="H78" s="190"/>
      <c r="I78" s="190"/>
      <c r="J78" s="190"/>
      <c r="K78" s="190"/>
      <c r="N78" s="206"/>
    </row>
    <row r="79" spans="1:14" s="193" customFormat="1">
      <c r="A79" s="199" t="s">
        <v>58</v>
      </c>
      <c r="B79" s="208" t="s">
        <v>230</v>
      </c>
      <c r="C79" s="209">
        <v>5.0000000000000001E-3</v>
      </c>
      <c r="D79" s="218"/>
      <c r="E79" s="218"/>
      <c r="F79" s="190"/>
      <c r="G79" s="218"/>
      <c r="H79" s="190"/>
      <c r="I79" s="218"/>
      <c r="J79" s="190"/>
      <c r="K79" s="190"/>
      <c r="N79" s="206"/>
    </row>
    <row r="80" spans="1:14" s="193" customFormat="1">
      <c r="A80" s="199" t="s">
        <v>59</v>
      </c>
      <c r="B80" s="208" t="s">
        <v>231</v>
      </c>
      <c r="C80" s="204">
        <v>0.01</v>
      </c>
      <c r="D80" s="218"/>
      <c r="E80" s="218"/>
      <c r="F80" s="190"/>
      <c r="G80" s="218"/>
      <c r="H80" s="190"/>
      <c r="I80" s="218"/>
      <c r="J80" s="190"/>
      <c r="K80" s="190"/>
      <c r="N80" s="206"/>
    </row>
    <row r="81" spans="1:14" s="193" customFormat="1">
      <c r="A81" s="199" t="s">
        <v>60</v>
      </c>
      <c r="B81" s="208" t="s">
        <v>232</v>
      </c>
      <c r="C81" s="204">
        <v>0.02</v>
      </c>
      <c r="D81" s="218"/>
      <c r="E81" s="218"/>
      <c r="F81" s="190"/>
      <c r="G81" s="218"/>
      <c r="H81" s="190"/>
      <c r="I81" s="218"/>
      <c r="J81" s="190"/>
      <c r="K81" s="190"/>
      <c r="N81" s="206"/>
    </row>
    <row r="82" spans="1:14" s="193" customFormat="1">
      <c r="A82" s="199" t="s">
        <v>33</v>
      </c>
      <c r="B82" s="203" t="s">
        <v>233</v>
      </c>
      <c r="C82" s="207"/>
      <c r="D82" s="190"/>
      <c r="E82" s="190"/>
      <c r="F82" s="190"/>
      <c r="G82" s="190"/>
      <c r="H82" s="190"/>
      <c r="I82" s="190"/>
      <c r="J82" s="190"/>
      <c r="K82" s="190"/>
      <c r="N82" s="206"/>
    </row>
    <row r="83" spans="1:14" s="193" customFormat="1">
      <c r="A83" s="199" t="s">
        <v>61</v>
      </c>
      <c r="B83" s="208" t="s">
        <v>234</v>
      </c>
      <c r="C83" s="204">
        <v>0.02</v>
      </c>
      <c r="D83" s="218">
        <v>329472240</v>
      </c>
      <c r="E83" s="218"/>
      <c r="F83" s="190"/>
      <c r="G83" s="218"/>
      <c r="H83" s="190"/>
      <c r="I83" s="218"/>
      <c r="J83" s="190"/>
      <c r="K83" s="190"/>
      <c r="N83" s="192"/>
    </row>
    <row r="84" spans="1:14" s="193" customFormat="1">
      <c r="A84" s="199" t="s">
        <v>62</v>
      </c>
      <c r="B84" s="208" t="s">
        <v>235</v>
      </c>
      <c r="C84" s="204">
        <v>0.05</v>
      </c>
      <c r="D84" s="218"/>
      <c r="E84" s="218"/>
      <c r="F84" s="190"/>
      <c r="G84" s="218"/>
      <c r="H84" s="190"/>
      <c r="I84" s="218"/>
      <c r="J84" s="190"/>
      <c r="K84" s="190"/>
    </row>
    <row r="85" spans="1:14" s="193" customFormat="1">
      <c r="A85" s="199" t="s">
        <v>63</v>
      </c>
      <c r="B85" s="208" t="s">
        <v>236</v>
      </c>
      <c r="C85" s="204">
        <v>0.08</v>
      </c>
      <c r="D85" s="218"/>
      <c r="E85" s="218"/>
      <c r="F85" s="190"/>
      <c r="G85" s="218"/>
      <c r="H85" s="190"/>
      <c r="I85" s="218"/>
      <c r="J85" s="190"/>
      <c r="K85" s="190"/>
    </row>
    <row r="86" spans="1:14" s="193" customFormat="1">
      <c r="A86" s="199">
        <v>6</v>
      </c>
      <c r="B86" s="211" t="s">
        <v>237</v>
      </c>
      <c r="C86" s="207"/>
      <c r="D86" s="196">
        <f t="shared" ref="D86:G86" si="2">SUM(D68:D85)</f>
        <v>2431309352</v>
      </c>
      <c r="E86" s="196">
        <f t="shared" si="2"/>
        <v>0</v>
      </c>
      <c r="F86" s="196">
        <f t="shared" si="2"/>
        <v>0</v>
      </c>
      <c r="G86" s="196">
        <f t="shared" si="2"/>
        <v>0</v>
      </c>
      <c r="H86" s="196">
        <f t="shared" ref="H86" si="3">SUM(H68:H85)</f>
        <v>0</v>
      </c>
      <c r="I86" s="196">
        <f>SUM(I68:I85)</f>
        <v>4807768632</v>
      </c>
      <c r="J86" s="196">
        <f>SUM(J68:J85)</f>
        <v>0</v>
      </c>
      <c r="K86" s="196">
        <f>SUM(K68:K85)</f>
        <v>46348446</v>
      </c>
      <c r="L86" s="205"/>
      <c r="M86" s="205"/>
      <c r="N86" s="212"/>
    </row>
    <row r="87" spans="1:14" s="193" customFormat="1">
      <c r="A87" s="199">
        <v>7</v>
      </c>
      <c r="B87" s="211" t="s">
        <v>219</v>
      </c>
      <c r="C87" s="207"/>
      <c r="D87" s="196">
        <f>+(D68*$C$68*$D$3)+(D69*$C$69*$D$3)+(D70*$C$70*$D$3)+(D71*$C$71*$D$3)+(D73*$C$73*$D$3)+(D74*$C$74*$D$3)+(D75*$C$75*$D$3)+(D76*$C$76*$D$3)+(D79*$C$79*$D$3)+(D80*$C$80*$D$3)+(D81*$C$81*$D$3)+(D83*$C$83*$D$3)+(D84*$C$84*$D$3)+(D85*$C$85*$D$3)</f>
        <v>0</v>
      </c>
      <c r="E87" s="196">
        <f>+(E68*$C$68*$E$3)+(E69*$C$69*$E$3)+(E70*$C$70*$E$3)+(E71*$C$71*$E$3)+(E73*$C$73*$E$3)+(E74*$C$74*$E$3)+(E75*$C$75*$E$3)+(E76*$C$76*$E$3)+(E79*$C$79*$E$3)+(E80*$C$80*$E$3)+(E81*$C$81*$E$3)+(E83*$C$83*$E$3)+(E84*$C$84*$E$3)+(E85*$C$85*$E$3)</f>
        <v>0</v>
      </c>
      <c r="F87" s="196">
        <f>+(F68*$C$68*$F$3)+(F69*$C$69*$F$3)+(F70*$C$70*$F$3)+(F71*$C$71*$F$3)+(F73*$C$73*$F$3)+(F74*$C$74*$F$3)+(F75*$C$75*$F$3)+(F76*$C$76*$F$3)+(F79*$C$79*$F$3)+(F80*$C$80*$F$3)+(F81*$C$81*$F$3)+(F83*$C$83*$F$3)+(F84*$C$84*$F$3)+(F85*$C$85*$F$3)</f>
        <v>0</v>
      </c>
      <c r="G87" s="196">
        <f>+(G68*$C$68*$G$3)+(G69*$C$69*$G$3)+(G70*$C$70*$G$3)+(G71*$C$71*$G$3)+(G73*$C$73*$G$3)+(G74*$C$74*$G$3)+(G75*$C$75*$G$3)+(G76*$C$76*$G$3)+(G79*$C$79*$G$3)+(G80*$C$80*$G$3)+(G81*$C$81*$G$3)+(G83*$C$83*$G$3)+(G84*$C$84*$G$3)+(G85*$C$85*$G$3)</f>
        <v>0</v>
      </c>
      <c r="H87" s="196">
        <f>+(H68*$C$68*$G$3)+(H69*$C$69*$G$3)+(H70*$C$70*$G$3)+(H71*$C$71*$G$3)+(H73*$C$73*$G$3)+(H74*$C$74*$G$3)+(H75*$C$75*$G$3)+(H76*$C$76*$G$3)+(H79*$C$79*$G$3)+(H80*$C$80*$G$3)+(H81*$C$81*$G$3)+(H83*$C$83*$G$3)+(H84*$C$84*$G$3)+(H85*$C$85*$G$3)</f>
        <v>0</v>
      </c>
      <c r="I87" s="196">
        <f>+(I68*$C$68*$I$3)+(I69*$C$69*$I$3)+(I70*$C$70*$I$3)+(I71*$C$71*$I$3)+(I73*$C$73*$I$3)+(I74*$C$74*$I$3)+(I75*$C$75*$I$3)+(I76*$C$76*$I$3)+(I79*$C$79*$I$3)+(I80*$C$80*$I$3)+(I81*$C$81*$I$3)+(I83*$C$83*$I$3)+(I84*$C$84*$I$3)+(I85*$C$85*$I$3)</f>
        <v>2845033696.5</v>
      </c>
      <c r="J87" s="196">
        <f>+(J68*$C$68*$J$3)+(J69*$C$69*$J$3)+(J70*$C$70*$J$3)+(J71*$C$71*$J$3)+(J73*$C$73*$J$3)+(J74*$C$74*$J$3)+(J75*$C$75*$J$3)+(J76*$C$76*$J$3)+(J79*$C$79*$J$3)+(J80*$C$80*$J$3)+(J81*$C$81*$J$3)+(J83*$C$83*$J$3)+(J84*$C$84*$J$3)+(J85*$C$85*$J$3)</f>
        <v>0</v>
      </c>
      <c r="K87" s="196">
        <f>+(K68*$C$68*$K$3)+(K69*$C$69*$K$3)+(K70*$C$70*$K$3)+(K71*$C$71*$K$3)+(K73*$C$73*$K$3)+(K74*$C$74*$K$3)+(K75*$C$75*$K$3)+(K76*$C$76*$K$3)+(K79*$C$79*$K$3)+(K80*$C$80*$K$3)+(K81*$C$81*$K$3)+(K83*$C$83*$K$3)+(K84*$C$84*$K$3)+(K85*$C$85*$K$3)</f>
        <v>91317639.599999994</v>
      </c>
      <c r="L87" s="206"/>
    </row>
    <row r="88" spans="1:14" s="193" customFormat="1">
      <c r="A88" s="199">
        <v>8</v>
      </c>
      <c r="B88" s="211" t="s">
        <v>238</v>
      </c>
      <c r="C88" s="207"/>
      <c r="D88" s="190"/>
      <c r="E88" s="190"/>
      <c r="F88" s="190"/>
      <c r="G88" s="190"/>
      <c r="H88" s="190"/>
      <c r="I88" s="190"/>
      <c r="J88" s="190"/>
      <c r="K88" s="196">
        <f>SUM(D87:K87)</f>
        <v>2936351336.0999999</v>
      </c>
    </row>
    <row r="89" spans="1:14" s="193" customFormat="1">
      <c r="A89" s="199">
        <v>9</v>
      </c>
      <c r="B89" s="211" t="s">
        <v>239</v>
      </c>
      <c r="C89" s="207"/>
      <c r="D89" s="190"/>
      <c r="E89" s="190"/>
      <c r="F89" s="190"/>
      <c r="G89" s="190"/>
      <c r="H89" s="190"/>
      <c r="I89" s="190"/>
      <c r="J89" s="190"/>
      <c r="K89" s="196">
        <f>SUM(K88+K63)</f>
        <v>75115178975.450012</v>
      </c>
    </row>
    <row r="90" spans="1:14">
      <c r="I90" s="184"/>
      <c r="K90" s="179"/>
    </row>
    <row r="91" spans="1:14" s="213" customFormat="1" ht="15" customHeight="1">
      <c r="B91" s="214" t="s">
        <v>258</v>
      </c>
      <c r="D91" s="215"/>
      <c r="E91" s="216"/>
      <c r="F91" s="216"/>
      <c r="G91" s="216"/>
      <c r="H91" s="216"/>
      <c r="I91" s="216"/>
      <c r="J91" s="216"/>
      <c r="K91" s="216"/>
      <c r="L91" s="217"/>
    </row>
    <row r="92" spans="1:14" s="213" customFormat="1" ht="11.25" customHeight="1">
      <c r="B92" s="214"/>
      <c r="E92" s="217"/>
      <c r="F92" s="217"/>
      <c r="G92" s="217"/>
      <c r="H92" s="217"/>
      <c r="I92" s="217"/>
      <c r="J92" s="217"/>
      <c r="K92" s="217"/>
      <c r="L92" s="217"/>
    </row>
    <row r="93" spans="1:14" s="213" customFormat="1" ht="15" customHeight="1">
      <c r="B93" s="214" t="s">
        <v>259</v>
      </c>
      <c r="C93" s="214"/>
      <c r="K93" s="215"/>
      <c r="L93" s="217"/>
      <c r="M93" s="217"/>
      <c r="N93" s="217"/>
    </row>
    <row r="94" spans="1:14">
      <c r="J94" s="215"/>
    </row>
  </sheetData>
  <sheetProtection password="CACA" sheet="1" objects="1" scenarios="1"/>
  <mergeCells count="62">
    <mergeCell ref="B61:C61"/>
    <mergeCell ref="B62:C62"/>
    <mergeCell ref="B63:C63"/>
    <mergeCell ref="B21:C21"/>
    <mergeCell ref="B56:C56"/>
    <mergeCell ref="B57:C57"/>
    <mergeCell ref="B58:C58"/>
    <mergeCell ref="B59:C59"/>
    <mergeCell ref="B60:C60"/>
    <mergeCell ref="B52:C52"/>
    <mergeCell ref="B53:C53"/>
    <mergeCell ref="B54:C54"/>
    <mergeCell ref="B55:C55"/>
    <mergeCell ref="B47:C47"/>
    <mergeCell ref="B48:C48"/>
    <mergeCell ref="B49:C49"/>
    <mergeCell ref="B50:C50"/>
    <mergeCell ref="B51:C51"/>
    <mergeCell ref="B37:C37"/>
    <mergeCell ref="B38:C38"/>
    <mergeCell ref="B39:C39"/>
    <mergeCell ref="B41:C41"/>
    <mergeCell ref="B42:C42"/>
    <mergeCell ref="B40:C40"/>
    <mergeCell ref="B45:C45"/>
    <mergeCell ref="B46:C46"/>
    <mergeCell ref="B43:C43"/>
    <mergeCell ref="B44:C44"/>
    <mergeCell ref="B22:C22"/>
    <mergeCell ref="B33:C33"/>
    <mergeCell ref="B34:C34"/>
    <mergeCell ref="B35:C35"/>
    <mergeCell ref="B36:C36"/>
    <mergeCell ref="B23:C23"/>
    <mergeCell ref="B24:C24"/>
    <mergeCell ref="B26:C26"/>
    <mergeCell ref="B27:C27"/>
    <mergeCell ref="B28:C28"/>
    <mergeCell ref="B29:C29"/>
    <mergeCell ref="B30:C30"/>
    <mergeCell ref="B31:C31"/>
    <mergeCell ref="B32:C32"/>
    <mergeCell ref="B25:C25"/>
    <mergeCell ref="B16:C16"/>
    <mergeCell ref="B17:C17"/>
    <mergeCell ref="B18:C18"/>
    <mergeCell ref="B19:C19"/>
    <mergeCell ref="B20:C20"/>
    <mergeCell ref="A1:J1"/>
    <mergeCell ref="A3:A5"/>
    <mergeCell ref="I2:J2"/>
    <mergeCell ref="B3:C5"/>
    <mergeCell ref="B6:C6"/>
    <mergeCell ref="B12:C12"/>
    <mergeCell ref="B13:C13"/>
    <mergeCell ref="B14:C14"/>
    <mergeCell ref="B15:C15"/>
    <mergeCell ref="B7:C7"/>
    <mergeCell ref="B11:C11"/>
    <mergeCell ref="B10:C10"/>
    <mergeCell ref="B9:C9"/>
    <mergeCell ref="B8:C8"/>
  </mergeCells>
  <phoneticPr fontId="9" type="noConversion"/>
  <conditionalFormatting sqref="D35:E37">
    <cfRule type="cellIs" dxfId="26" priority="42" operator="lessThan">
      <formula>0</formula>
    </cfRule>
  </conditionalFormatting>
  <conditionalFormatting sqref="D38:H41">
    <cfRule type="cellIs" dxfId="25" priority="10" operator="lessThan">
      <formula>0</formula>
    </cfRule>
  </conditionalFormatting>
  <conditionalFormatting sqref="D8:K34">
    <cfRule type="cellIs" dxfId="24" priority="11" operator="lessThan">
      <formula>0</formula>
    </cfRule>
  </conditionalFormatting>
  <conditionalFormatting sqref="D42:K63">
    <cfRule type="cellIs" dxfId="23" priority="1" operator="lessThan">
      <formula>0</formula>
    </cfRule>
  </conditionalFormatting>
  <conditionalFormatting sqref="D68:K89">
    <cfRule type="cellIs" dxfId="22" priority="4" operator="lessThan">
      <formula>0</formula>
    </cfRule>
  </conditionalFormatting>
  <conditionalFormatting sqref="F36:H37">
    <cfRule type="cellIs" dxfId="21" priority="41" operator="lessThan">
      <formula>0</formula>
    </cfRule>
  </conditionalFormatting>
  <conditionalFormatting sqref="F35:K35">
    <cfRule type="cellIs" dxfId="20" priority="54" operator="lessThan">
      <formula>0</formula>
    </cfRule>
  </conditionalFormatting>
  <conditionalFormatting sqref="I36:K41">
    <cfRule type="cellIs" dxfId="19" priority="8" operator="lessThan">
      <formula>0</formula>
    </cfRule>
  </conditionalFormatting>
  <conditionalFormatting sqref="L61">
    <cfRule type="cellIs" dxfId="18" priority="58" operator="notEqual">
      <formula>M61</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20:J20 I79:I81 I56:I57 E9 D8 J69:K69 K73:K76 G11 I15:I19 I11:J11 I49:I53 D10:E10 I34:K34 D57:E57 G15:G18 J52:K53 K47:K48 K55 G68:G71 G20 I83:I85 G73:G76 I71:K71 D73:E76 G79:G81 I69:I70 G83:G85 D59:D60 K57:K58 D54:D56 D13:E18 E60:K60 D68:E71 D79:E81 I73:I76 E11 D45 I40:I41 D35:E35 I45:K45 J28:K28 H46 K31:K32 I27:I28 K38:K39 D28 D20:E20 J27 I31:J31 I47:J47 D26 D25:E25 H29:H30 J15:J18 D23:D24 J40:K40 D83:E85 F68:F69 H68:K68 H69 I36:J39 F36:G37 J42 I43 J44" xr:uid="{00000000-0002-0000-0200-000000000000}">
      <formula1>-1E+22</formula1>
      <formula2>1E+22</formula2>
    </dataValidation>
    <dataValidation type="whole" operator="greaterThanOrEqual" allowBlank="1" showInputMessage="1" showErrorMessage="1" sqref="F73:F76 F79:F81 F83:F85 H83:H85 J79:K81 J83:K85 J73:J76 J70:K70 D72:K72 D82:K82 D77:G78 I77:K78 H70:H71 H73:H81 F70:F71"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8" orientation="portrait" r:id="rId1"/>
  <headerFooter alignWithMargins="0"/>
  <ignoredErrors>
    <ignoredError sqref="D5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N94"/>
  <sheetViews>
    <sheetView view="pageBreakPreview" zoomScale="85" zoomScaleNormal="85" zoomScaleSheetLayoutView="85" workbookViewId="0">
      <pane xSplit="3" ySplit="7" topLeftCell="D11" activePane="bottomRight" state="frozen"/>
      <selection activeCell="L59" sqref="L59:N77"/>
      <selection pane="topRight" activeCell="L59" sqref="L59:N77"/>
      <selection pane="bottomLeft" activeCell="L59" sqref="L59:N77"/>
      <selection pane="bottomRight" activeCell="I18" sqref="I18"/>
    </sheetView>
  </sheetViews>
  <sheetFormatPr defaultRowHeight="12.75"/>
  <cols>
    <col min="1" max="1" width="5.42578125" style="180" customWidth="1"/>
    <col min="2" max="2" width="67" style="179" customWidth="1"/>
    <col min="3" max="3" width="13" style="179" customWidth="1"/>
    <col min="4" max="10" width="14.5703125" style="179" customWidth="1"/>
    <col min="11" max="11" width="14.5703125" style="184" customWidth="1"/>
    <col min="12" max="16" width="23.7109375" style="179" customWidth="1"/>
    <col min="17" max="17" width="10.28515625" style="179" customWidth="1"/>
    <col min="18" max="16384" width="9.140625" style="179"/>
  </cols>
  <sheetData>
    <row r="1" spans="1:13" ht="26.25" customHeight="1">
      <c r="A1" s="234" t="s">
        <v>183</v>
      </c>
      <c r="B1" s="234"/>
      <c r="C1" s="234"/>
      <c r="D1" s="234"/>
      <c r="E1" s="234"/>
      <c r="F1" s="234"/>
      <c r="G1" s="234"/>
      <c r="H1" s="234"/>
      <c r="I1" s="234"/>
      <c r="J1" s="234"/>
      <c r="K1" s="178" t="s">
        <v>241</v>
      </c>
    </row>
    <row r="2" spans="1:13" ht="25.5" customHeight="1">
      <c r="B2" s="181" t="str">
        <f>+'Bank Capital Calc'!B3</f>
        <v>"Ўзсаноатқурилишбанк" АТБ</v>
      </c>
      <c r="C2" s="181"/>
      <c r="E2" s="182"/>
      <c r="F2" s="182"/>
      <c r="I2" s="236">
        <f>+'Bank Capital Calc'!C3</f>
        <v>45653</v>
      </c>
      <c r="J2" s="236"/>
      <c r="K2" s="183" t="s">
        <v>256</v>
      </c>
      <c r="L2" s="184"/>
    </row>
    <row r="3" spans="1:13">
      <c r="A3" s="235" t="s">
        <v>52</v>
      </c>
      <c r="B3" s="237" t="s">
        <v>131</v>
      </c>
      <c r="C3" s="238"/>
      <c r="D3" s="185">
        <v>0</v>
      </c>
      <c r="E3" s="185">
        <v>0.2</v>
      </c>
      <c r="F3" s="185">
        <v>0.35</v>
      </c>
      <c r="G3" s="185">
        <v>0.5</v>
      </c>
      <c r="H3" s="185">
        <v>0.75</v>
      </c>
      <c r="I3" s="185">
        <v>1</v>
      </c>
      <c r="J3" s="185">
        <v>1.5</v>
      </c>
      <c r="K3" s="185">
        <v>2</v>
      </c>
      <c r="L3" s="186"/>
      <c r="M3" s="184"/>
    </row>
    <row r="4" spans="1:13" ht="20.25" customHeight="1">
      <c r="A4" s="235"/>
      <c r="B4" s="239"/>
      <c r="C4" s="240"/>
      <c r="D4" s="219" t="s">
        <v>184</v>
      </c>
      <c r="E4" s="219" t="s">
        <v>184</v>
      </c>
      <c r="F4" s="219" t="s">
        <v>184</v>
      </c>
      <c r="G4" s="219" t="s">
        <v>184</v>
      </c>
      <c r="H4" s="219" t="s">
        <v>184</v>
      </c>
      <c r="I4" s="219" t="s">
        <v>184</v>
      </c>
      <c r="J4" s="219" t="s">
        <v>184</v>
      </c>
      <c r="K4" s="219" t="s">
        <v>184</v>
      </c>
      <c r="M4" s="184"/>
    </row>
    <row r="5" spans="1:13" ht="20.25" customHeight="1">
      <c r="A5" s="235"/>
      <c r="B5" s="241"/>
      <c r="C5" s="242"/>
      <c r="D5" s="219" t="s">
        <v>185</v>
      </c>
      <c r="E5" s="219" t="s">
        <v>186</v>
      </c>
      <c r="F5" s="219" t="s">
        <v>187</v>
      </c>
      <c r="G5" s="219" t="s">
        <v>188</v>
      </c>
      <c r="H5" s="219" t="s">
        <v>189</v>
      </c>
      <c r="I5" s="219" t="s">
        <v>190</v>
      </c>
      <c r="J5" s="219" t="s">
        <v>191</v>
      </c>
      <c r="K5" s="219" t="s">
        <v>278</v>
      </c>
      <c r="M5" s="184"/>
    </row>
    <row r="6" spans="1:13">
      <c r="A6" s="219"/>
      <c r="B6" s="243" t="s">
        <v>26</v>
      </c>
      <c r="C6" s="244"/>
      <c r="D6" s="187" t="s">
        <v>27</v>
      </c>
      <c r="E6" s="187" t="s">
        <v>28</v>
      </c>
      <c r="F6" s="187" t="s">
        <v>29</v>
      </c>
      <c r="G6" s="187" t="s">
        <v>53</v>
      </c>
      <c r="H6" s="187" t="s">
        <v>54</v>
      </c>
      <c r="I6" s="187" t="s">
        <v>57</v>
      </c>
      <c r="J6" s="187" t="s">
        <v>64</v>
      </c>
      <c r="K6" s="187" t="s">
        <v>279</v>
      </c>
      <c r="M6" s="184"/>
    </row>
    <row r="7" spans="1:13">
      <c r="A7" s="219"/>
      <c r="B7" s="232" t="s">
        <v>192</v>
      </c>
      <c r="C7" s="233"/>
      <c r="D7" s="188"/>
      <c r="E7" s="188"/>
      <c r="F7" s="188"/>
      <c r="G7" s="188"/>
      <c r="H7" s="188"/>
      <c r="I7" s="188"/>
      <c r="J7" s="188"/>
      <c r="K7" s="188"/>
      <c r="M7" s="184"/>
    </row>
    <row r="8" spans="1:13" s="193" customFormat="1" ht="21" customHeight="1">
      <c r="A8" s="219" t="s">
        <v>55</v>
      </c>
      <c r="B8" s="230" t="s">
        <v>193</v>
      </c>
      <c r="C8" s="231"/>
      <c r="D8" s="218">
        <v>350533865</v>
      </c>
      <c r="E8" s="190"/>
      <c r="F8" s="190"/>
      <c r="G8" s="190"/>
      <c r="H8" s="190"/>
      <c r="I8" s="190"/>
      <c r="J8" s="190"/>
      <c r="K8" s="190"/>
      <c r="L8" s="191"/>
      <c r="M8" s="192"/>
    </row>
    <row r="9" spans="1:13" s="193" customFormat="1" ht="21" customHeight="1">
      <c r="A9" s="219" t="s">
        <v>65</v>
      </c>
      <c r="B9" s="230" t="s">
        <v>194</v>
      </c>
      <c r="C9" s="231"/>
      <c r="D9" s="190"/>
      <c r="E9" s="218">
        <v>193951540</v>
      </c>
      <c r="F9" s="190"/>
      <c r="G9" s="190"/>
      <c r="H9" s="190"/>
      <c r="I9" s="190"/>
      <c r="J9" s="190"/>
      <c r="K9" s="190"/>
      <c r="L9" s="191"/>
      <c r="M9" s="192"/>
    </row>
    <row r="10" spans="1:13" s="193" customFormat="1" ht="21" customHeight="1">
      <c r="A10" s="219" t="s">
        <v>66</v>
      </c>
      <c r="B10" s="230" t="s">
        <v>195</v>
      </c>
      <c r="C10" s="231"/>
      <c r="D10" s="218">
        <f>'Calculation of Risk Weighted As'!D10</f>
        <v>1125552298</v>
      </c>
      <c r="E10" s="218">
        <v>0</v>
      </c>
      <c r="F10" s="190"/>
      <c r="G10" s="190"/>
      <c r="H10" s="190"/>
      <c r="I10" s="190"/>
      <c r="J10" s="190"/>
      <c r="K10" s="190"/>
      <c r="L10" s="191"/>
      <c r="M10" s="192"/>
    </row>
    <row r="11" spans="1:13" s="193" customFormat="1" ht="27.75" customHeight="1">
      <c r="A11" s="219" t="s">
        <v>67</v>
      </c>
      <c r="B11" s="230" t="s">
        <v>262</v>
      </c>
      <c r="C11" s="231"/>
      <c r="D11" s="190"/>
      <c r="E11" s="218">
        <v>0</v>
      </c>
      <c r="F11" s="190"/>
      <c r="G11" s="218">
        <v>247225427</v>
      </c>
      <c r="H11" s="190"/>
      <c r="I11" s="218">
        <v>385736977</v>
      </c>
      <c r="J11" s="218">
        <v>275906</v>
      </c>
      <c r="K11" s="190"/>
      <c r="L11" s="191"/>
      <c r="M11" s="192"/>
    </row>
    <row r="12" spans="1:13" s="193" customFormat="1" ht="21" customHeight="1">
      <c r="A12" s="219" t="s">
        <v>68</v>
      </c>
      <c r="B12" s="230" t="s">
        <v>196</v>
      </c>
      <c r="C12" s="231"/>
      <c r="D12" s="190"/>
      <c r="E12" s="190"/>
      <c r="F12" s="190"/>
      <c r="G12" s="190"/>
      <c r="H12" s="190"/>
      <c r="I12" s="190"/>
      <c r="J12" s="190"/>
      <c r="K12" s="190"/>
      <c r="L12" s="191"/>
      <c r="M12" s="192"/>
    </row>
    <row r="13" spans="1:13" s="193" customFormat="1" ht="27.75" customHeight="1">
      <c r="A13" s="219" t="s">
        <v>37</v>
      </c>
      <c r="B13" s="230" t="s">
        <v>197</v>
      </c>
      <c r="C13" s="231"/>
      <c r="D13" s="218">
        <v>3555704010</v>
      </c>
      <c r="E13" s="218"/>
      <c r="F13" s="190"/>
      <c r="G13" s="190"/>
      <c r="H13" s="190"/>
      <c r="I13" s="190"/>
      <c r="J13" s="190"/>
      <c r="K13" s="190"/>
      <c r="L13" s="191"/>
      <c r="M13" s="192"/>
    </row>
    <row r="14" spans="1:13" s="193" customFormat="1" ht="21" customHeight="1">
      <c r="A14" s="219" t="s">
        <v>33</v>
      </c>
      <c r="B14" s="230" t="s">
        <v>263</v>
      </c>
      <c r="C14" s="231"/>
      <c r="D14" s="218"/>
      <c r="E14" s="218">
        <v>65000000</v>
      </c>
      <c r="F14" s="190"/>
      <c r="G14" s="190"/>
      <c r="H14" s="190"/>
      <c r="I14" s="190"/>
      <c r="J14" s="190"/>
      <c r="K14" s="190"/>
      <c r="L14" s="191"/>
      <c r="M14" s="192"/>
    </row>
    <row r="15" spans="1:13" s="193" customFormat="1" ht="38.25" customHeight="1">
      <c r="A15" s="219" t="s">
        <v>35</v>
      </c>
      <c r="B15" s="230" t="s">
        <v>198</v>
      </c>
      <c r="C15" s="231"/>
      <c r="D15" s="218"/>
      <c r="E15" s="218"/>
      <c r="F15" s="190"/>
      <c r="G15" s="218"/>
      <c r="H15" s="190"/>
      <c r="I15" s="218"/>
      <c r="J15" s="218"/>
      <c r="K15" s="190"/>
      <c r="L15" s="191"/>
      <c r="M15" s="192"/>
    </row>
    <row r="16" spans="1:13" s="193" customFormat="1" ht="21" customHeight="1">
      <c r="A16" s="219" t="s">
        <v>42</v>
      </c>
      <c r="B16" s="230" t="s">
        <v>199</v>
      </c>
      <c r="C16" s="231"/>
      <c r="D16" s="218"/>
      <c r="E16" s="218"/>
      <c r="F16" s="190"/>
      <c r="G16" s="218"/>
      <c r="H16" s="190"/>
      <c r="I16" s="218"/>
      <c r="J16" s="218">
        <v>10050000</v>
      </c>
      <c r="K16" s="190"/>
      <c r="L16" s="191"/>
      <c r="M16" s="192"/>
    </row>
    <row r="17" spans="1:13" s="193" customFormat="1" ht="21" customHeight="1">
      <c r="A17" s="219" t="s">
        <v>128</v>
      </c>
      <c r="B17" s="230" t="s">
        <v>275</v>
      </c>
      <c r="C17" s="231"/>
      <c r="D17" s="218"/>
      <c r="E17" s="218"/>
      <c r="F17" s="190"/>
      <c r="G17" s="218"/>
      <c r="H17" s="190"/>
      <c r="I17" s="218"/>
      <c r="J17" s="218"/>
      <c r="K17" s="190"/>
      <c r="L17" s="191"/>
      <c r="M17" s="192"/>
    </row>
    <row r="18" spans="1:13" s="193" customFormat="1" ht="21" customHeight="1">
      <c r="A18" s="219" t="s">
        <v>205</v>
      </c>
      <c r="B18" s="230" t="s">
        <v>288</v>
      </c>
      <c r="C18" s="231"/>
      <c r="D18" s="218">
        <v>451663257</v>
      </c>
      <c r="E18" s="218"/>
      <c r="F18" s="190"/>
      <c r="G18" s="218"/>
      <c r="H18" s="190"/>
      <c r="I18" s="218"/>
      <c r="J18" s="218"/>
      <c r="K18" s="190"/>
      <c r="L18" s="191"/>
      <c r="M18" s="192"/>
    </row>
    <row r="19" spans="1:13" s="193" customFormat="1" ht="27.75" customHeight="1">
      <c r="A19" s="219" t="s">
        <v>69</v>
      </c>
      <c r="B19" s="230" t="s">
        <v>200</v>
      </c>
      <c r="C19" s="231"/>
      <c r="D19" s="190"/>
      <c r="E19" s="190"/>
      <c r="F19" s="190"/>
      <c r="G19" s="190"/>
      <c r="H19" s="190"/>
      <c r="I19" s="218"/>
      <c r="J19" s="190"/>
      <c r="K19" s="190"/>
      <c r="L19" s="191"/>
      <c r="M19" s="192"/>
    </row>
    <row r="20" spans="1:13" s="193" customFormat="1" ht="54.75" customHeight="1">
      <c r="A20" s="219" t="s">
        <v>70</v>
      </c>
      <c r="B20" s="230" t="s">
        <v>201</v>
      </c>
      <c r="C20" s="231"/>
      <c r="D20" s="218"/>
      <c r="E20" s="218"/>
      <c r="F20" s="190"/>
      <c r="G20" s="218"/>
      <c r="H20" s="190"/>
      <c r="I20" s="218"/>
      <c r="J20" s="218"/>
      <c r="K20" s="190"/>
      <c r="L20" s="191"/>
      <c r="M20" s="192"/>
    </row>
    <row r="21" spans="1:13" s="193" customFormat="1" ht="21" customHeight="1">
      <c r="A21" s="219" t="s">
        <v>71</v>
      </c>
      <c r="B21" s="230" t="s">
        <v>202</v>
      </c>
      <c r="C21" s="231"/>
      <c r="D21" s="194"/>
      <c r="E21" s="194"/>
      <c r="F21" s="194"/>
      <c r="G21" s="194"/>
      <c r="H21" s="194"/>
      <c r="I21" s="194"/>
      <c r="J21" s="194"/>
      <c r="K21" s="194"/>
      <c r="L21" s="191"/>
      <c r="M21" s="192"/>
    </row>
    <row r="22" spans="1:13" s="193" customFormat="1" ht="21" customHeight="1">
      <c r="A22" s="219" t="s">
        <v>291</v>
      </c>
      <c r="B22" s="230" t="s">
        <v>311</v>
      </c>
      <c r="C22" s="231"/>
      <c r="D22" s="194"/>
      <c r="E22" s="194"/>
      <c r="F22" s="194"/>
      <c r="G22" s="194"/>
      <c r="H22" s="194"/>
      <c r="I22" s="194"/>
      <c r="J22" s="194"/>
      <c r="K22" s="194"/>
      <c r="L22" s="191"/>
      <c r="M22" s="192"/>
    </row>
    <row r="23" spans="1:13" s="193" customFormat="1" ht="28.5" customHeight="1">
      <c r="A23" s="219" t="s">
        <v>37</v>
      </c>
      <c r="B23" s="230" t="s">
        <v>203</v>
      </c>
      <c r="C23" s="231"/>
      <c r="D23" s="218">
        <v>0</v>
      </c>
      <c r="E23" s="190"/>
      <c r="F23" s="190"/>
      <c r="G23" s="190"/>
      <c r="H23" s="190"/>
      <c r="I23" s="190"/>
      <c r="J23" s="190"/>
      <c r="K23" s="190"/>
      <c r="L23" s="191"/>
      <c r="M23" s="192"/>
    </row>
    <row r="24" spans="1:13" s="193" customFormat="1" ht="28.5" customHeight="1">
      <c r="A24" s="219" t="s">
        <v>33</v>
      </c>
      <c r="B24" s="230" t="s">
        <v>302</v>
      </c>
      <c r="C24" s="231"/>
      <c r="D24" s="218">
        <v>0</v>
      </c>
      <c r="E24" s="190"/>
      <c r="F24" s="190"/>
      <c r="G24" s="190"/>
      <c r="H24" s="190"/>
      <c r="I24" s="190"/>
      <c r="J24" s="190"/>
      <c r="K24" s="190"/>
      <c r="L24" s="191"/>
      <c r="M24" s="192"/>
    </row>
    <row r="25" spans="1:13" s="193" customFormat="1" ht="21" customHeight="1">
      <c r="A25" s="219" t="s">
        <v>35</v>
      </c>
      <c r="B25" s="230" t="s">
        <v>277</v>
      </c>
      <c r="C25" s="231"/>
      <c r="D25" s="218">
        <v>0</v>
      </c>
      <c r="E25" s="218">
        <v>0</v>
      </c>
      <c r="F25" s="190"/>
      <c r="G25" s="190"/>
      <c r="H25" s="190"/>
      <c r="I25" s="190"/>
      <c r="J25" s="190"/>
      <c r="K25" s="190"/>
      <c r="L25" s="191"/>
      <c r="M25" s="192"/>
    </row>
    <row r="26" spans="1:13" s="193" customFormat="1" ht="43.5" customHeight="1">
      <c r="A26" s="219" t="s">
        <v>42</v>
      </c>
      <c r="B26" s="230" t="s">
        <v>280</v>
      </c>
      <c r="C26" s="231"/>
      <c r="D26" s="218">
        <v>4449758958</v>
      </c>
      <c r="E26" s="190"/>
      <c r="F26" s="190"/>
      <c r="G26" s="190"/>
      <c r="H26" s="190"/>
      <c r="I26" s="190"/>
      <c r="J26" s="190"/>
      <c r="K26" s="190"/>
      <c r="L26" s="191"/>
      <c r="M26" s="192"/>
    </row>
    <row r="27" spans="1:13" s="193" customFormat="1" ht="21" customHeight="1">
      <c r="A27" s="219" t="s">
        <v>128</v>
      </c>
      <c r="B27" s="230" t="s">
        <v>204</v>
      </c>
      <c r="C27" s="231"/>
      <c r="D27" s="190"/>
      <c r="E27" s="190"/>
      <c r="F27" s="190"/>
      <c r="G27" s="190"/>
      <c r="H27" s="190"/>
      <c r="I27" s="218">
        <v>111276553</v>
      </c>
      <c r="J27" s="190"/>
      <c r="K27" s="190"/>
      <c r="L27" s="191"/>
      <c r="M27" s="192"/>
    </row>
    <row r="28" spans="1:13" s="193" customFormat="1" ht="21" customHeight="1">
      <c r="A28" s="219" t="s">
        <v>205</v>
      </c>
      <c r="B28" s="230" t="s">
        <v>292</v>
      </c>
      <c r="C28" s="231"/>
      <c r="D28" s="218">
        <v>9452501</v>
      </c>
      <c r="E28" s="190"/>
      <c r="F28" s="190"/>
      <c r="G28" s="190"/>
      <c r="H28" s="190"/>
      <c r="I28" s="218">
        <v>2520753</v>
      </c>
      <c r="J28" s="218">
        <v>5173636</v>
      </c>
      <c r="K28" s="218">
        <v>0</v>
      </c>
      <c r="L28" s="191"/>
      <c r="M28" s="192"/>
    </row>
    <row r="29" spans="1:13" s="193" customFormat="1" ht="66" customHeight="1">
      <c r="A29" s="219" t="s">
        <v>206</v>
      </c>
      <c r="B29" s="230" t="s">
        <v>293</v>
      </c>
      <c r="C29" s="231"/>
      <c r="D29" s="190"/>
      <c r="E29" s="190"/>
      <c r="F29" s="190"/>
      <c r="G29" s="190"/>
      <c r="H29" s="218">
        <v>0</v>
      </c>
      <c r="I29" s="190"/>
      <c r="J29" s="190"/>
      <c r="K29" s="190"/>
      <c r="L29" s="191"/>
      <c r="M29" s="192"/>
    </row>
    <row r="30" spans="1:13" s="193" customFormat="1" ht="28.5" customHeight="1">
      <c r="A30" s="219" t="s">
        <v>207</v>
      </c>
      <c r="B30" s="230" t="s">
        <v>303</v>
      </c>
      <c r="C30" s="231"/>
      <c r="D30" s="190"/>
      <c r="E30" s="190"/>
      <c r="F30" s="190"/>
      <c r="G30" s="190"/>
      <c r="H30" s="218">
        <v>0</v>
      </c>
      <c r="I30" s="190"/>
      <c r="J30" s="190"/>
      <c r="K30" s="190"/>
      <c r="L30" s="191"/>
      <c r="M30" s="192"/>
    </row>
    <row r="31" spans="1:13" s="193" customFormat="1" ht="28.5" customHeight="1">
      <c r="A31" s="219" t="s">
        <v>208</v>
      </c>
      <c r="B31" s="230" t="s">
        <v>281</v>
      </c>
      <c r="C31" s="231"/>
      <c r="D31" s="190"/>
      <c r="E31" s="190"/>
      <c r="F31" s="190"/>
      <c r="G31" s="190"/>
      <c r="H31" s="190"/>
      <c r="I31" s="218">
        <v>6563926526</v>
      </c>
      <c r="J31" s="218">
        <v>1664398948</v>
      </c>
      <c r="K31" s="218">
        <v>1012783037</v>
      </c>
      <c r="L31" s="191"/>
      <c r="M31" s="192"/>
    </row>
    <row r="32" spans="1:13" s="193" customFormat="1" ht="21" customHeight="1">
      <c r="A32" s="219" t="s">
        <v>266</v>
      </c>
      <c r="B32" s="230" t="s">
        <v>304</v>
      </c>
      <c r="C32" s="231"/>
      <c r="D32" s="190"/>
      <c r="E32" s="190"/>
      <c r="F32" s="190"/>
      <c r="G32" s="190"/>
      <c r="H32" s="190"/>
      <c r="I32" s="190"/>
      <c r="J32" s="190"/>
      <c r="K32" s="218">
        <v>299466702</v>
      </c>
      <c r="L32" s="191"/>
      <c r="M32" s="192"/>
    </row>
    <row r="33" spans="1:14" s="193" customFormat="1" ht="21" customHeight="1">
      <c r="A33" s="219" t="s">
        <v>294</v>
      </c>
      <c r="B33" s="230" t="s">
        <v>295</v>
      </c>
      <c r="C33" s="231"/>
      <c r="D33" s="194"/>
      <c r="E33" s="194"/>
      <c r="F33" s="194"/>
      <c r="G33" s="194"/>
      <c r="H33" s="194"/>
      <c r="I33" s="194"/>
      <c r="J33" s="194"/>
      <c r="K33" s="194"/>
      <c r="L33" s="191"/>
      <c r="M33" s="192"/>
    </row>
    <row r="34" spans="1:14" s="193" customFormat="1" ht="21" customHeight="1">
      <c r="A34" s="219" t="s">
        <v>37</v>
      </c>
      <c r="B34" s="230" t="s">
        <v>204</v>
      </c>
      <c r="C34" s="231"/>
      <c r="D34" s="190"/>
      <c r="E34" s="190"/>
      <c r="F34" s="190"/>
      <c r="G34" s="190"/>
      <c r="H34" s="190"/>
      <c r="I34" s="218">
        <v>0</v>
      </c>
      <c r="J34" s="190"/>
      <c r="K34" s="190"/>
      <c r="L34" s="191"/>
      <c r="M34" s="192"/>
    </row>
    <row r="35" spans="1:14" s="193" customFormat="1" ht="23.25" customHeight="1">
      <c r="A35" s="219" t="s">
        <v>33</v>
      </c>
      <c r="B35" s="230" t="s">
        <v>299</v>
      </c>
      <c r="C35" s="231"/>
      <c r="D35" s="218">
        <v>0</v>
      </c>
      <c r="E35" s="218">
        <v>0</v>
      </c>
      <c r="F35" s="190"/>
      <c r="G35" s="190"/>
      <c r="H35" s="190"/>
      <c r="I35" s="190"/>
      <c r="J35" s="190"/>
      <c r="K35" s="190"/>
      <c r="L35" s="191"/>
      <c r="M35" s="192"/>
    </row>
    <row r="36" spans="1:14" s="193" customFormat="1" ht="23.25" customHeight="1">
      <c r="A36" s="219" t="s">
        <v>35</v>
      </c>
      <c r="B36" s="230" t="s">
        <v>296</v>
      </c>
      <c r="C36" s="231"/>
      <c r="D36" s="190"/>
      <c r="E36" s="190"/>
      <c r="F36" s="218">
        <v>283860692</v>
      </c>
      <c r="G36" s="218">
        <v>2271678794</v>
      </c>
      <c r="H36" s="190"/>
      <c r="I36" s="218">
        <v>2356413851</v>
      </c>
      <c r="J36" s="218">
        <v>49418158</v>
      </c>
      <c r="K36" s="190"/>
      <c r="L36" s="191"/>
      <c r="M36" s="192"/>
    </row>
    <row r="37" spans="1:14" s="193" customFormat="1" ht="23.25" customHeight="1">
      <c r="A37" s="219" t="s">
        <v>42</v>
      </c>
      <c r="B37" s="230" t="s">
        <v>297</v>
      </c>
      <c r="C37" s="231"/>
      <c r="D37" s="190"/>
      <c r="E37" s="190"/>
      <c r="F37" s="218">
        <v>370689</v>
      </c>
      <c r="G37" s="218">
        <v>5066855</v>
      </c>
      <c r="H37" s="190"/>
      <c r="I37" s="218">
        <v>47967689</v>
      </c>
      <c r="J37" s="218">
        <v>720283523</v>
      </c>
      <c r="K37" s="190"/>
      <c r="L37" s="191"/>
      <c r="M37" s="192"/>
    </row>
    <row r="38" spans="1:14" s="193" customFormat="1" ht="21" customHeight="1">
      <c r="A38" s="219" t="s">
        <v>128</v>
      </c>
      <c r="B38" s="230" t="s">
        <v>298</v>
      </c>
      <c r="C38" s="231"/>
      <c r="D38" s="190"/>
      <c r="E38" s="190"/>
      <c r="F38" s="190"/>
      <c r="G38" s="190"/>
      <c r="H38" s="190"/>
      <c r="I38" s="218">
        <v>125995101</v>
      </c>
      <c r="J38" s="218">
        <v>180528906</v>
      </c>
      <c r="K38" s="218">
        <v>26755</v>
      </c>
      <c r="L38" s="191"/>
      <c r="M38" s="192"/>
    </row>
    <row r="39" spans="1:14" s="193" customFormat="1" ht="28.5" customHeight="1">
      <c r="A39" s="219" t="s">
        <v>205</v>
      </c>
      <c r="B39" s="230" t="s">
        <v>312</v>
      </c>
      <c r="C39" s="231"/>
      <c r="D39" s="190"/>
      <c r="E39" s="190"/>
      <c r="F39" s="190"/>
      <c r="G39" s="190"/>
      <c r="H39" s="190"/>
      <c r="I39" s="218">
        <v>6089144</v>
      </c>
      <c r="J39" s="218">
        <v>68890830</v>
      </c>
      <c r="K39" s="218">
        <v>53538285</v>
      </c>
      <c r="L39" s="191"/>
      <c r="M39" s="192"/>
    </row>
    <row r="40" spans="1:14" s="193" customFormat="1" ht="23.25" customHeight="1">
      <c r="A40" s="219" t="s">
        <v>206</v>
      </c>
      <c r="B40" s="230" t="s">
        <v>313</v>
      </c>
      <c r="C40" s="231"/>
      <c r="D40" s="190"/>
      <c r="E40" s="190"/>
      <c r="F40" s="190"/>
      <c r="G40" s="190"/>
      <c r="H40" s="190"/>
      <c r="I40" s="218">
        <v>738876</v>
      </c>
      <c r="J40" s="218">
        <v>12206645</v>
      </c>
      <c r="K40" s="218">
        <v>1562393</v>
      </c>
      <c r="L40" s="191"/>
      <c r="M40" s="192"/>
    </row>
    <row r="41" spans="1:14" s="193" customFormat="1" ht="43.5" customHeight="1">
      <c r="A41" s="219" t="s">
        <v>207</v>
      </c>
      <c r="B41" s="230" t="s">
        <v>314</v>
      </c>
      <c r="C41" s="231"/>
      <c r="D41" s="190"/>
      <c r="E41" s="190"/>
      <c r="F41" s="190"/>
      <c r="G41" s="190"/>
      <c r="H41" s="190"/>
      <c r="I41" s="218">
        <v>249681552</v>
      </c>
      <c r="J41" s="190"/>
      <c r="K41" s="190"/>
      <c r="L41" s="191"/>
      <c r="M41" s="192"/>
    </row>
    <row r="42" spans="1:14" s="193" customFormat="1" ht="55.5" customHeight="1">
      <c r="A42" s="219" t="s">
        <v>208</v>
      </c>
      <c r="B42" s="230" t="s">
        <v>315</v>
      </c>
      <c r="C42" s="231"/>
      <c r="D42" s="190"/>
      <c r="E42" s="190"/>
      <c r="F42" s="190"/>
      <c r="G42" s="190"/>
      <c r="H42" s="190"/>
      <c r="I42" s="190"/>
      <c r="J42" s="218">
        <v>1104194319</v>
      </c>
      <c r="K42" s="190"/>
      <c r="L42" s="191"/>
      <c r="M42" s="192"/>
    </row>
    <row r="43" spans="1:14" s="193" customFormat="1" ht="42.75" customHeight="1">
      <c r="A43" s="219" t="s">
        <v>266</v>
      </c>
      <c r="B43" s="230" t="s">
        <v>308</v>
      </c>
      <c r="C43" s="231"/>
      <c r="D43" s="190"/>
      <c r="E43" s="190"/>
      <c r="F43" s="190"/>
      <c r="G43" s="190"/>
      <c r="H43" s="190"/>
      <c r="I43" s="218">
        <v>0</v>
      </c>
      <c r="J43" s="190"/>
      <c r="K43" s="190"/>
      <c r="L43" s="191"/>
      <c r="M43" s="192"/>
    </row>
    <row r="44" spans="1:14" s="193" customFormat="1" ht="42.75" customHeight="1">
      <c r="A44" s="219" t="s">
        <v>267</v>
      </c>
      <c r="B44" s="230" t="s">
        <v>309</v>
      </c>
      <c r="C44" s="231"/>
      <c r="D44" s="190"/>
      <c r="E44" s="190"/>
      <c r="F44" s="190"/>
      <c r="G44" s="190"/>
      <c r="H44" s="190"/>
      <c r="I44" s="190"/>
      <c r="J44" s="218">
        <v>0</v>
      </c>
      <c r="K44" s="190"/>
      <c r="L44" s="191"/>
      <c r="M44" s="192"/>
    </row>
    <row r="45" spans="1:14" s="193" customFormat="1" ht="23.25" customHeight="1">
      <c r="A45" s="219" t="s">
        <v>268</v>
      </c>
      <c r="B45" s="230" t="s">
        <v>292</v>
      </c>
      <c r="C45" s="231"/>
      <c r="D45" s="218">
        <v>3650489</v>
      </c>
      <c r="E45" s="190"/>
      <c r="F45" s="190"/>
      <c r="G45" s="190"/>
      <c r="H45" s="190"/>
      <c r="I45" s="218">
        <v>0</v>
      </c>
      <c r="J45" s="218">
        <v>0</v>
      </c>
      <c r="K45" s="218">
        <v>0</v>
      </c>
      <c r="L45" s="191"/>
      <c r="M45" s="192"/>
    </row>
    <row r="46" spans="1:14" s="193" customFormat="1" ht="70.5" customHeight="1">
      <c r="A46" s="219" t="s">
        <v>274</v>
      </c>
      <c r="B46" s="230" t="s">
        <v>300</v>
      </c>
      <c r="C46" s="231"/>
      <c r="D46" s="190"/>
      <c r="E46" s="190"/>
      <c r="F46" s="190"/>
      <c r="G46" s="190"/>
      <c r="H46" s="218">
        <v>0</v>
      </c>
      <c r="I46" s="190"/>
      <c r="J46" s="190"/>
      <c r="K46" s="190"/>
      <c r="L46" s="191"/>
      <c r="M46" s="192"/>
    </row>
    <row r="47" spans="1:14" s="193" customFormat="1" ht="26.25" customHeight="1">
      <c r="A47" s="219" t="s">
        <v>306</v>
      </c>
      <c r="B47" s="230" t="s">
        <v>301</v>
      </c>
      <c r="C47" s="231"/>
      <c r="D47" s="190"/>
      <c r="E47" s="190"/>
      <c r="F47" s="190"/>
      <c r="G47" s="190"/>
      <c r="H47" s="190"/>
      <c r="I47" s="218">
        <v>311979510</v>
      </c>
      <c r="J47" s="218">
        <v>109002843</v>
      </c>
      <c r="K47" s="218">
        <v>1534999985</v>
      </c>
      <c r="L47" s="191"/>
      <c r="M47" s="192"/>
    </row>
    <row r="48" spans="1:14" s="193" customFormat="1" ht="21" customHeight="1">
      <c r="A48" s="219" t="s">
        <v>307</v>
      </c>
      <c r="B48" s="230" t="s">
        <v>305</v>
      </c>
      <c r="C48" s="231"/>
      <c r="D48" s="190"/>
      <c r="E48" s="190"/>
      <c r="F48" s="190"/>
      <c r="G48" s="190"/>
      <c r="H48" s="190"/>
      <c r="I48" s="190"/>
      <c r="J48" s="190"/>
      <c r="K48" s="218">
        <v>203411682</v>
      </c>
      <c r="L48" s="191"/>
      <c r="M48" s="191"/>
      <c r="N48" s="191"/>
    </row>
    <row r="49" spans="1:14" s="193" customFormat="1" ht="21" customHeight="1">
      <c r="A49" s="219" t="s">
        <v>72</v>
      </c>
      <c r="B49" s="230" t="s">
        <v>209</v>
      </c>
      <c r="C49" s="231"/>
      <c r="D49" s="190"/>
      <c r="E49" s="190"/>
      <c r="F49" s="190"/>
      <c r="G49" s="190"/>
      <c r="H49" s="190"/>
      <c r="I49" s="190"/>
      <c r="J49" s="190"/>
      <c r="K49" s="190"/>
      <c r="L49" s="191"/>
      <c r="M49" s="192"/>
    </row>
    <row r="50" spans="1:14" s="193" customFormat="1" ht="21" customHeight="1">
      <c r="A50" s="219" t="s">
        <v>37</v>
      </c>
      <c r="B50" s="230" t="s">
        <v>210</v>
      </c>
      <c r="C50" s="231"/>
      <c r="D50" s="190"/>
      <c r="E50" s="190"/>
      <c r="F50" s="190"/>
      <c r="G50" s="190"/>
      <c r="H50" s="190"/>
      <c r="I50" s="218">
        <f>'Calculation of Risk Weighted As'!I50</f>
        <v>3641694109</v>
      </c>
      <c r="J50" s="190"/>
      <c r="K50" s="190"/>
      <c r="L50" s="191"/>
      <c r="M50" s="192"/>
    </row>
    <row r="51" spans="1:14" s="193" customFormat="1" ht="21" customHeight="1">
      <c r="A51" s="219" t="s">
        <v>33</v>
      </c>
      <c r="B51" s="230" t="s">
        <v>211</v>
      </c>
      <c r="C51" s="231"/>
      <c r="D51" s="190"/>
      <c r="E51" s="190"/>
      <c r="F51" s="190"/>
      <c r="G51" s="190"/>
      <c r="H51" s="190"/>
      <c r="I51" s="218">
        <f>'Calculation of Risk Weighted As'!I51</f>
        <v>0</v>
      </c>
      <c r="J51" s="190"/>
      <c r="K51" s="190"/>
      <c r="L51" s="191"/>
      <c r="M51" s="192"/>
    </row>
    <row r="52" spans="1:14" s="193" customFormat="1" ht="31.5" customHeight="1">
      <c r="A52" s="219" t="s">
        <v>35</v>
      </c>
      <c r="B52" s="230" t="s">
        <v>212</v>
      </c>
      <c r="C52" s="231"/>
      <c r="D52" s="190"/>
      <c r="E52" s="190"/>
      <c r="F52" s="190"/>
      <c r="G52" s="190"/>
      <c r="H52" s="190"/>
      <c r="I52" s="190"/>
      <c r="J52" s="218">
        <f>'Calculation of Risk Weighted As'!J52</f>
        <v>661493906</v>
      </c>
      <c r="K52" s="218">
        <f>'Calculation of Risk Weighted As'!K52</f>
        <v>0</v>
      </c>
      <c r="L52" s="191"/>
      <c r="M52" s="192"/>
    </row>
    <row r="53" spans="1:14" s="193" customFormat="1" ht="21" customHeight="1">
      <c r="A53" s="219" t="s">
        <v>42</v>
      </c>
      <c r="B53" s="230" t="s">
        <v>213</v>
      </c>
      <c r="C53" s="231"/>
      <c r="D53" s="190"/>
      <c r="E53" s="190"/>
      <c r="F53" s="190"/>
      <c r="G53" s="190"/>
      <c r="H53" s="190"/>
      <c r="I53" s="190"/>
      <c r="J53" s="218">
        <f>'Calculation of Risk Weighted As'!J53</f>
        <v>39824</v>
      </c>
      <c r="K53" s="218">
        <f>'Calculation of Risk Weighted As'!K53</f>
        <v>0</v>
      </c>
      <c r="L53" s="191"/>
      <c r="M53" s="192"/>
    </row>
    <row r="54" spans="1:14" s="193" customFormat="1" ht="28.5" customHeight="1">
      <c r="A54" s="219" t="s">
        <v>79</v>
      </c>
      <c r="B54" s="230" t="s">
        <v>282</v>
      </c>
      <c r="C54" s="231"/>
      <c r="D54" s="218">
        <v>164772977</v>
      </c>
      <c r="E54" s="190"/>
      <c r="F54" s="190"/>
      <c r="G54" s="190"/>
      <c r="H54" s="190"/>
      <c r="I54" s="190"/>
      <c r="J54" s="190"/>
      <c r="K54" s="190"/>
      <c r="L54" s="191"/>
      <c r="M54" s="192"/>
    </row>
    <row r="55" spans="1:14" s="193" customFormat="1" ht="27.75" customHeight="1">
      <c r="A55" s="219" t="s">
        <v>80</v>
      </c>
      <c r="B55" s="230" t="s">
        <v>283</v>
      </c>
      <c r="C55" s="231"/>
      <c r="D55" s="218">
        <v>0</v>
      </c>
      <c r="E55" s="190"/>
      <c r="F55" s="190"/>
      <c r="G55" s="190"/>
      <c r="H55" s="190"/>
      <c r="I55" s="190"/>
      <c r="J55" s="190"/>
      <c r="K55" s="218">
        <v>807010474</v>
      </c>
      <c r="L55" s="191"/>
      <c r="M55" s="192"/>
    </row>
    <row r="56" spans="1:14" s="193" customFormat="1" ht="21" customHeight="1">
      <c r="A56" s="219" t="s">
        <v>73</v>
      </c>
      <c r="B56" s="230" t="s">
        <v>214</v>
      </c>
      <c r="C56" s="231"/>
      <c r="D56" s="189">
        <f>+'Bank Capital Calc'!C20</f>
        <v>21378472</v>
      </c>
      <c r="E56" s="195"/>
      <c r="F56" s="190"/>
      <c r="G56" s="190"/>
      <c r="H56" s="190"/>
      <c r="I56" s="218">
        <f>'Calculation of Risk Weighted As'!I56</f>
        <v>33672144</v>
      </c>
      <c r="J56" s="190"/>
      <c r="K56" s="190"/>
      <c r="L56" s="191"/>
      <c r="M56" s="192"/>
    </row>
    <row r="57" spans="1:14" s="193" customFormat="1" ht="21" customHeight="1">
      <c r="A57" s="219" t="s">
        <v>74</v>
      </c>
      <c r="B57" s="230" t="s">
        <v>265</v>
      </c>
      <c r="C57" s="231"/>
      <c r="D57" s="218">
        <v>0</v>
      </c>
      <c r="E57" s="218">
        <v>0</v>
      </c>
      <c r="F57" s="190"/>
      <c r="G57" s="190"/>
      <c r="H57" s="190"/>
      <c r="I57" s="218">
        <v>0</v>
      </c>
      <c r="J57" s="190"/>
      <c r="K57" s="218">
        <v>0</v>
      </c>
      <c r="L57" s="191"/>
      <c r="M57" s="192"/>
    </row>
    <row r="58" spans="1:14" s="193" customFormat="1" ht="21" customHeight="1">
      <c r="A58" s="219" t="s">
        <v>75</v>
      </c>
      <c r="B58" s="230" t="s">
        <v>284</v>
      </c>
      <c r="C58" s="231"/>
      <c r="D58" s="190"/>
      <c r="E58" s="190"/>
      <c r="F58" s="190"/>
      <c r="G58" s="190"/>
      <c r="H58" s="190"/>
      <c r="I58" s="190"/>
      <c r="J58" s="190"/>
      <c r="K58" s="218">
        <v>0</v>
      </c>
      <c r="L58" s="191"/>
      <c r="M58" s="192"/>
    </row>
    <row r="59" spans="1:14" s="193" customFormat="1" ht="21" customHeight="1">
      <c r="A59" s="219" t="s">
        <v>76</v>
      </c>
      <c r="B59" s="230" t="s">
        <v>269</v>
      </c>
      <c r="C59" s="231"/>
      <c r="D59" s="189">
        <f>+[7]Balance!$D$39</f>
        <v>615338207</v>
      </c>
      <c r="E59" s="190"/>
      <c r="F59" s="190"/>
      <c r="G59" s="190"/>
      <c r="H59" s="190"/>
      <c r="I59" s="190"/>
      <c r="J59" s="190"/>
      <c r="K59" s="190"/>
      <c r="L59" s="220">
        <f>+D59</f>
        <v>615338207</v>
      </c>
      <c r="M59" s="220">
        <f>+[7]Balance!$D$39</f>
        <v>615338207</v>
      </c>
      <c r="N59" s="220">
        <f>+L59-M59</f>
        <v>0</v>
      </c>
    </row>
    <row r="60" spans="1:14" s="193" customFormat="1" ht="21" customHeight="1">
      <c r="A60" s="219" t="s">
        <v>77</v>
      </c>
      <c r="B60" s="230" t="s">
        <v>215</v>
      </c>
      <c r="C60" s="231"/>
      <c r="D60" s="218">
        <v>363458950</v>
      </c>
      <c r="E60" s="218">
        <v>276125</v>
      </c>
      <c r="F60" s="218">
        <v>11250860</v>
      </c>
      <c r="G60" s="218">
        <v>24327050</v>
      </c>
      <c r="H60" s="218">
        <v>0</v>
      </c>
      <c r="I60" s="218">
        <v>1887410594</v>
      </c>
      <c r="J60" s="218">
        <v>104082430</v>
      </c>
      <c r="K60" s="218">
        <v>158199056</v>
      </c>
      <c r="L60" s="220"/>
      <c r="M60" s="220"/>
      <c r="N60" s="220"/>
    </row>
    <row r="61" spans="1:14" s="193" customFormat="1" ht="21" customHeight="1">
      <c r="A61" s="219" t="s">
        <v>78</v>
      </c>
      <c r="B61" s="230" t="s">
        <v>216</v>
      </c>
      <c r="C61" s="231"/>
      <c r="D61" s="196">
        <f t="shared" ref="D61:K61" si="0">SUM(D8:D58)+D60-D59</f>
        <v>9880587570</v>
      </c>
      <c r="E61" s="196">
        <f t="shared" si="0"/>
        <v>259227665</v>
      </c>
      <c r="F61" s="196">
        <f t="shared" si="0"/>
        <v>295482241</v>
      </c>
      <c r="G61" s="196">
        <f t="shared" si="0"/>
        <v>2548298126</v>
      </c>
      <c r="H61" s="196">
        <f t="shared" si="0"/>
        <v>0</v>
      </c>
      <c r="I61" s="196">
        <f t="shared" si="0"/>
        <v>15725103379</v>
      </c>
      <c r="J61" s="196">
        <f t="shared" si="0"/>
        <v>4690039874</v>
      </c>
      <c r="K61" s="196">
        <f t="shared" si="0"/>
        <v>4070998369</v>
      </c>
      <c r="L61" s="220">
        <f>SUM(D61:K61)</f>
        <v>37469737224</v>
      </c>
      <c r="M61" s="220">
        <f>+[7]Balance!$D$47</f>
        <v>37469737224</v>
      </c>
      <c r="N61" s="220">
        <f>+L61-M61</f>
        <v>0</v>
      </c>
    </row>
    <row r="62" spans="1:14" s="193" customFormat="1" ht="26.25" customHeight="1">
      <c r="A62" s="219" t="s">
        <v>264</v>
      </c>
      <c r="B62" s="230" t="s">
        <v>217</v>
      </c>
      <c r="C62" s="231"/>
      <c r="D62" s="190"/>
      <c r="E62" s="196">
        <f t="shared" ref="E62:K62" si="1">E61*E3</f>
        <v>51845533</v>
      </c>
      <c r="F62" s="196">
        <f t="shared" si="1"/>
        <v>103418784.34999999</v>
      </c>
      <c r="G62" s="196">
        <f t="shared" si="1"/>
        <v>1274149063</v>
      </c>
      <c r="H62" s="196">
        <f t="shared" si="1"/>
        <v>0</v>
      </c>
      <c r="I62" s="196">
        <f t="shared" si="1"/>
        <v>15725103379</v>
      </c>
      <c r="J62" s="196">
        <f t="shared" si="1"/>
        <v>7035059811</v>
      </c>
      <c r="K62" s="196">
        <f t="shared" si="1"/>
        <v>8141996738</v>
      </c>
      <c r="L62" s="220"/>
      <c r="M62" s="220"/>
      <c r="N62" s="220"/>
    </row>
    <row r="63" spans="1:14" s="193" customFormat="1" ht="21" customHeight="1">
      <c r="A63" s="219" t="s">
        <v>270</v>
      </c>
      <c r="B63" s="230" t="s">
        <v>285</v>
      </c>
      <c r="C63" s="231"/>
      <c r="D63" s="190"/>
      <c r="E63" s="190"/>
      <c r="F63" s="190"/>
      <c r="G63" s="190"/>
      <c r="H63" s="190"/>
      <c r="I63" s="190"/>
      <c r="J63" s="190"/>
      <c r="K63" s="196">
        <f>SUM(E62:K62)</f>
        <v>32331573308.349998</v>
      </c>
      <c r="L63" s="220"/>
      <c r="M63" s="220"/>
      <c r="N63" s="220"/>
    </row>
    <row r="64" spans="1:14" s="193" customFormat="1">
      <c r="A64" s="180"/>
      <c r="B64" s="197"/>
      <c r="C64" s="197"/>
      <c r="K64" s="192"/>
      <c r="L64" s="220"/>
      <c r="M64" s="220"/>
      <c r="N64" s="220"/>
    </row>
    <row r="65" spans="1:14" s="193" customFormat="1">
      <c r="A65" s="180"/>
      <c r="B65" s="198"/>
      <c r="C65" s="198"/>
      <c r="D65" s="198"/>
      <c r="E65" s="198"/>
      <c r="F65" s="198"/>
      <c r="G65" s="198"/>
      <c r="H65" s="198"/>
      <c r="I65" s="198"/>
      <c r="J65" s="198"/>
      <c r="L65" s="220"/>
      <c r="M65" s="220"/>
      <c r="N65" s="220"/>
    </row>
    <row r="66" spans="1:14" s="193" customFormat="1" ht="48.75" customHeight="1">
      <c r="A66" s="199" t="s">
        <v>52</v>
      </c>
      <c r="B66" s="219" t="s">
        <v>220</v>
      </c>
      <c r="C66" s="200" t="s">
        <v>218</v>
      </c>
      <c r="D66" s="185">
        <v>0</v>
      </c>
      <c r="E66" s="185">
        <v>0.2</v>
      </c>
      <c r="F66" s="185">
        <v>0.35</v>
      </c>
      <c r="G66" s="185">
        <v>0.5</v>
      </c>
      <c r="H66" s="201">
        <v>0.75</v>
      </c>
      <c r="I66" s="185">
        <v>1</v>
      </c>
      <c r="J66" s="185">
        <v>1.5</v>
      </c>
      <c r="K66" s="185">
        <v>2</v>
      </c>
      <c r="L66" s="220"/>
      <c r="M66" s="220"/>
      <c r="N66" s="220"/>
    </row>
    <row r="67" spans="1:14" s="193" customFormat="1">
      <c r="A67" s="199">
        <v>1</v>
      </c>
      <c r="B67" s="202" t="s">
        <v>221</v>
      </c>
      <c r="C67" s="190"/>
      <c r="D67" s="190"/>
      <c r="E67" s="190"/>
      <c r="F67" s="190"/>
      <c r="G67" s="190"/>
      <c r="H67" s="190"/>
      <c r="I67" s="190"/>
      <c r="J67" s="190"/>
      <c r="K67" s="190"/>
      <c r="L67" s="220"/>
      <c r="M67" s="220"/>
      <c r="N67" s="220"/>
    </row>
    <row r="68" spans="1:14" s="193" customFormat="1" ht="12.75" customHeight="1">
      <c r="A68" s="199" t="s">
        <v>31</v>
      </c>
      <c r="B68" s="203" t="s">
        <v>222</v>
      </c>
      <c r="C68" s="204">
        <v>0.5</v>
      </c>
      <c r="D68" s="218"/>
      <c r="E68" s="218"/>
      <c r="F68" s="218"/>
      <c r="G68" s="218"/>
      <c r="H68" s="218"/>
      <c r="I68" s="218">
        <v>357711710</v>
      </c>
      <c r="J68" s="218"/>
      <c r="K68" s="218">
        <v>1347118</v>
      </c>
      <c r="L68" s="220"/>
      <c r="M68" s="220"/>
      <c r="N68" s="220"/>
    </row>
    <row r="69" spans="1:14" s="193" customFormat="1">
      <c r="A69" s="199" t="s">
        <v>33</v>
      </c>
      <c r="B69" s="203" t="s">
        <v>223</v>
      </c>
      <c r="C69" s="204">
        <v>0.2</v>
      </c>
      <c r="D69" s="218"/>
      <c r="E69" s="218"/>
      <c r="F69" s="218"/>
      <c r="G69" s="218"/>
      <c r="H69" s="218"/>
      <c r="I69" s="218">
        <v>470497151</v>
      </c>
      <c r="J69" s="218"/>
      <c r="K69" s="218">
        <v>20084</v>
      </c>
      <c r="L69" s="220">
        <f>SUM(D68:K69)</f>
        <v>829576063</v>
      </c>
      <c r="M69" s="220">
        <f>+[7]Commitments!$D$4</f>
        <v>829576063</v>
      </c>
      <c r="N69" s="220">
        <f>+L69-M69</f>
        <v>0</v>
      </c>
    </row>
    <row r="70" spans="1:14" s="193" customFormat="1" ht="26.25" customHeight="1">
      <c r="A70" s="199">
        <v>2</v>
      </c>
      <c r="B70" s="202" t="s">
        <v>286</v>
      </c>
      <c r="C70" s="204">
        <v>1</v>
      </c>
      <c r="D70" s="218">
        <v>507164188</v>
      </c>
      <c r="E70" s="218"/>
      <c r="F70" s="190"/>
      <c r="G70" s="218"/>
      <c r="H70" s="190"/>
      <c r="I70" s="218"/>
      <c r="J70" s="190"/>
      <c r="K70" s="190"/>
      <c r="L70" s="220"/>
      <c r="M70" s="220"/>
      <c r="N70" s="220"/>
    </row>
    <row r="71" spans="1:14" s="193" customFormat="1">
      <c r="A71" s="199">
        <v>3</v>
      </c>
      <c r="B71" s="202" t="s">
        <v>224</v>
      </c>
      <c r="C71" s="204">
        <v>1</v>
      </c>
      <c r="D71" s="218"/>
      <c r="E71" s="218"/>
      <c r="F71" s="190"/>
      <c r="G71" s="218"/>
      <c r="H71" s="190"/>
      <c r="I71" s="218">
        <v>93135689</v>
      </c>
      <c r="J71" s="218"/>
      <c r="K71" s="218"/>
      <c r="L71" s="220">
        <f>SUM(D71:K71)</f>
        <v>93135689</v>
      </c>
      <c r="M71" s="220">
        <f>+[7]Commitments!$D$7</f>
        <v>93135689</v>
      </c>
      <c r="N71" s="220">
        <f>+L71-M71</f>
        <v>0</v>
      </c>
    </row>
    <row r="72" spans="1:14" s="193" customFormat="1">
      <c r="A72" s="199">
        <v>4</v>
      </c>
      <c r="B72" s="202" t="s">
        <v>287</v>
      </c>
      <c r="C72" s="207"/>
      <c r="D72" s="190"/>
      <c r="E72" s="190"/>
      <c r="F72" s="190"/>
      <c r="G72" s="190"/>
      <c r="H72" s="190"/>
      <c r="I72" s="190"/>
      <c r="J72" s="190"/>
      <c r="K72" s="190"/>
      <c r="L72" s="220"/>
      <c r="M72" s="220"/>
      <c r="N72" s="220"/>
    </row>
    <row r="73" spans="1:14" s="193" customFormat="1">
      <c r="A73" s="199" t="s">
        <v>31</v>
      </c>
      <c r="B73" s="203" t="s">
        <v>225</v>
      </c>
      <c r="C73" s="204">
        <v>1</v>
      </c>
      <c r="D73" s="218"/>
      <c r="E73" s="218"/>
      <c r="F73" s="190"/>
      <c r="G73" s="218"/>
      <c r="H73" s="190"/>
      <c r="I73" s="218"/>
      <c r="J73" s="190"/>
      <c r="K73" s="218"/>
      <c r="L73" s="220"/>
      <c r="M73" s="220"/>
      <c r="N73" s="220"/>
    </row>
    <row r="74" spans="1:14" s="193" customFormat="1">
      <c r="A74" s="199" t="s">
        <v>33</v>
      </c>
      <c r="B74" s="203" t="s">
        <v>226</v>
      </c>
      <c r="C74" s="204">
        <v>0.5</v>
      </c>
      <c r="D74" s="218"/>
      <c r="E74" s="218"/>
      <c r="F74" s="190"/>
      <c r="G74" s="218"/>
      <c r="H74" s="190"/>
      <c r="I74" s="218"/>
      <c r="J74" s="190"/>
      <c r="K74" s="218"/>
      <c r="L74" s="220"/>
      <c r="M74" s="220"/>
      <c r="N74" s="220"/>
    </row>
    <row r="75" spans="1:14" s="193" customFormat="1" ht="12.75" customHeight="1">
      <c r="A75" s="199" t="s">
        <v>35</v>
      </c>
      <c r="B75" s="203" t="s">
        <v>227</v>
      </c>
      <c r="C75" s="204">
        <v>0.2</v>
      </c>
      <c r="D75" s="218"/>
      <c r="E75" s="218"/>
      <c r="F75" s="190"/>
      <c r="G75" s="218"/>
      <c r="H75" s="190"/>
      <c r="I75" s="218"/>
      <c r="J75" s="190"/>
      <c r="K75" s="218"/>
      <c r="L75" s="220"/>
      <c r="M75" s="220"/>
      <c r="N75" s="220"/>
    </row>
    <row r="76" spans="1:14" s="193" customFormat="1">
      <c r="A76" s="199" t="s">
        <v>42</v>
      </c>
      <c r="B76" s="203" t="s">
        <v>228</v>
      </c>
      <c r="C76" s="204">
        <v>1</v>
      </c>
      <c r="D76" s="218"/>
      <c r="E76" s="218"/>
      <c r="F76" s="190"/>
      <c r="G76" s="218"/>
      <c r="H76" s="190"/>
      <c r="I76" s="218"/>
      <c r="J76" s="190"/>
      <c r="K76" s="218"/>
      <c r="L76" s="220">
        <f>SUM(D73:K76)</f>
        <v>0</v>
      </c>
      <c r="M76" s="220">
        <f>+[7]Commitments!$D$10</f>
        <v>0</v>
      </c>
      <c r="N76" s="220">
        <f>+L76-M76</f>
        <v>0</v>
      </c>
    </row>
    <row r="77" spans="1:14" s="193" customFormat="1" ht="26.25" customHeight="1">
      <c r="A77" s="199">
        <v>5</v>
      </c>
      <c r="B77" s="202" t="s">
        <v>257</v>
      </c>
      <c r="C77" s="207"/>
      <c r="D77" s="190"/>
      <c r="E77" s="190"/>
      <c r="F77" s="190"/>
      <c r="G77" s="190"/>
      <c r="H77" s="190"/>
      <c r="I77" s="190"/>
      <c r="J77" s="190"/>
      <c r="K77" s="190"/>
      <c r="L77" s="220"/>
      <c r="M77" s="220"/>
      <c r="N77" s="220"/>
    </row>
    <row r="78" spans="1:14" s="193" customFormat="1">
      <c r="A78" s="199" t="s">
        <v>31</v>
      </c>
      <c r="B78" s="203" t="s">
        <v>229</v>
      </c>
      <c r="C78" s="207"/>
      <c r="D78" s="190"/>
      <c r="E78" s="190"/>
      <c r="F78" s="190"/>
      <c r="G78" s="190"/>
      <c r="H78" s="190"/>
      <c r="I78" s="190"/>
      <c r="J78" s="190"/>
      <c r="K78" s="190"/>
      <c r="N78" s="206"/>
    </row>
    <row r="79" spans="1:14" s="193" customFormat="1">
      <c r="A79" s="199" t="s">
        <v>58</v>
      </c>
      <c r="B79" s="208" t="s">
        <v>230</v>
      </c>
      <c r="C79" s="209">
        <v>5.0000000000000001E-3</v>
      </c>
      <c r="D79" s="218"/>
      <c r="E79" s="218"/>
      <c r="F79" s="190"/>
      <c r="G79" s="218"/>
      <c r="H79" s="190"/>
      <c r="I79" s="218"/>
      <c r="J79" s="190"/>
      <c r="K79" s="190"/>
      <c r="N79" s="206"/>
    </row>
    <row r="80" spans="1:14" s="193" customFormat="1">
      <c r="A80" s="199" t="s">
        <v>59</v>
      </c>
      <c r="B80" s="208" t="s">
        <v>231</v>
      </c>
      <c r="C80" s="204">
        <v>0.01</v>
      </c>
      <c r="D80" s="218"/>
      <c r="E80" s="218"/>
      <c r="F80" s="190"/>
      <c r="G80" s="218"/>
      <c r="H80" s="190"/>
      <c r="I80" s="218"/>
      <c r="J80" s="190"/>
      <c r="K80" s="190"/>
      <c r="N80" s="206"/>
    </row>
    <row r="81" spans="1:14" s="193" customFormat="1">
      <c r="A81" s="199" t="s">
        <v>60</v>
      </c>
      <c r="B81" s="208" t="s">
        <v>232</v>
      </c>
      <c r="C81" s="204">
        <v>0.02</v>
      </c>
      <c r="D81" s="218"/>
      <c r="E81" s="218"/>
      <c r="F81" s="190"/>
      <c r="G81" s="218"/>
      <c r="H81" s="190"/>
      <c r="I81" s="218"/>
      <c r="J81" s="190"/>
      <c r="K81" s="190"/>
      <c r="N81" s="206"/>
    </row>
    <row r="82" spans="1:14" s="193" customFormat="1">
      <c r="A82" s="199" t="s">
        <v>33</v>
      </c>
      <c r="B82" s="203" t="s">
        <v>233</v>
      </c>
      <c r="C82" s="207"/>
      <c r="D82" s="190"/>
      <c r="E82" s="190"/>
      <c r="F82" s="190"/>
      <c r="G82" s="190"/>
      <c r="H82" s="190"/>
      <c r="I82" s="190"/>
      <c r="J82" s="190"/>
      <c r="K82" s="190"/>
      <c r="N82" s="206"/>
    </row>
    <row r="83" spans="1:14" s="193" customFormat="1">
      <c r="A83" s="199" t="s">
        <v>61</v>
      </c>
      <c r="B83" s="208" t="s">
        <v>234</v>
      </c>
      <c r="C83" s="204">
        <v>0.02</v>
      </c>
      <c r="D83" s="218"/>
      <c r="E83" s="218"/>
      <c r="F83" s="190"/>
      <c r="G83" s="218"/>
      <c r="H83" s="190"/>
      <c r="I83" s="218"/>
      <c r="J83" s="190"/>
      <c r="K83" s="190"/>
      <c r="N83" s="192"/>
    </row>
    <row r="84" spans="1:14" s="193" customFormat="1">
      <c r="A84" s="199" t="s">
        <v>62</v>
      </c>
      <c r="B84" s="208" t="s">
        <v>235</v>
      </c>
      <c r="C84" s="204">
        <v>0.05</v>
      </c>
      <c r="D84" s="218"/>
      <c r="E84" s="218"/>
      <c r="F84" s="190"/>
      <c r="G84" s="218"/>
      <c r="H84" s="190"/>
      <c r="I84" s="218"/>
      <c r="J84" s="190"/>
      <c r="K84" s="190"/>
    </row>
    <row r="85" spans="1:14" s="193" customFormat="1">
      <c r="A85" s="199" t="s">
        <v>63</v>
      </c>
      <c r="B85" s="208" t="s">
        <v>236</v>
      </c>
      <c r="C85" s="204">
        <v>0.08</v>
      </c>
      <c r="D85" s="218"/>
      <c r="E85" s="218"/>
      <c r="F85" s="190"/>
      <c r="G85" s="218"/>
      <c r="H85" s="190"/>
      <c r="I85" s="218"/>
      <c r="J85" s="190"/>
      <c r="K85" s="190"/>
    </row>
    <row r="86" spans="1:14" s="193" customFormat="1">
      <c r="A86" s="199">
        <v>6</v>
      </c>
      <c r="B86" s="211" t="s">
        <v>237</v>
      </c>
      <c r="C86" s="207"/>
      <c r="D86" s="196">
        <f t="shared" ref="D86:H86" si="2">SUM(D68:D85)</f>
        <v>507164188</v>
      </c>
      <c r="E86" s="196">
        <f t="shared" si="2"/>
        <v>0</v>
      </c>
      <c r="F86" s="196">
        <f t="shared" si="2"/>
        <v>0</v>
      </c>
      <c r="G86" s="196">
        <f t="shared" si="2"/>
        <v>0</v>
      </c>
      <c r="H86" s="196">
        <f t="shared" si="2"/>
        <v>0</v>
      </c>
      <c r="I86" s="196">
        <f>SUM(I68:I85)</f>
        <v>921344550</v>
      </c>
      <c r="J86" s="196">
        <f>SUM(J68:J85)</f>
        <v>0</v>
      </c>
      <c r="K86" s="196">
        <f>SUM(K68:K85)</f>
        <v>1367202</v>
      </c>
      <c r="L86" s="205"/>
      <c r="M86" s="205"/>
      <c r="N86" s="212"/>
    </row>
    <row r="87" spans="1:14" s="193" customFormat="1">
      <c r="A87" s="199">
        <v>7</v>
      </c>
      <c r="B87" s="211" t="s">
        <v>219</v>
      </c>
      <c r="C87" s="207"/>
      <c r="D87" s="196">
        <f>+(D68*$C$68*$D$3)+(D69*$C$69*$D$3)+(D70*$C$70*$D$3)+(D71*$C$71*$D$3)+(D73*$C$73*$D$3)+(D74*$C$74*$D$3)+(D75*$C$75*$D$3)+(D76*$C$76*$D$3)+(D79*$C$79*$D$3)+(D80*$C$80*$D$3)+(D81*$C$81*$D$3)+(D83*$C$83*$D$3)+(D84*$C$84*$D$3)+(D85*$C$85*$D$3)</f>
        <v>0</v>
      </c>
      <c r="E87" s="196">
        <f>+(E68*$C$68*$E$3)+(E69*$C$69*$E$3)+(E70*$C$70*$E$3)+(E71*$C$71*$E$3)+(E73*$C$73*$E$3)+(E74*$C$74*$E$3)+(E75*$C$75*$E$3)+(E76*$C$76*$E$3)+(E79*$C$79*$E$3)+(E80*$C$80*$E$3)+(E81*$C$81*$E$3)+(E83*$C$83*$E$3)+(E84*$C$84*$E$3)+(E85*$C$85*$E$3)</f>
        <v>0</v>
      </c>
      <c r="F87" s="196">
        <f>+(F68*$C$68*$F$3)+(F69*$C$69*$F$3)+(F70*$C$70*$F$3)+(F71*$C$71*$F$3)+(F73*$C$73*$F$3)+(F74*$C$74*$F$3)+(F75*$C$75*$F$3)+(F76*$C$76*$F$3)+(F79*$C$79*$F$3)+(F80*$C$80*$F$3)+(F81*$C$81*$F$3)+(F83*$C$83*$F$3)+(F84*$C$84*$F$3)+(F85*$C$85*$F$3)</f>
        <v>0</v>
      </c>
      <c r="G87" s="196">
        <f>+(G68*$C$68*$G$3)+(G69*$C$69*$G$3)+(G70*$C$70*$G$3)+(G71*$C$71*$G$3)+(G73*$C$73*$G$3)+(G74*$C$74*$G$3)+(G75*$C$75*$G$3)+(G76*$C$76*$G$3)+(G79*$C$79*$G$3)+(G80*$C$80*$G$3)+(G81*$C$81*$G$3)+(G83*$C$83*$G$3)+(G84*$C$84*$G$3)+(G85*$C$85*$G$3)</f>
        <v>0</v>
      </c>
      <c r="H87" s="196">
        <f>+(H68*$C$68*$G$3)+(H69*$C$69*$G$3)+(H70*$C$70*$G$3)+(H71*$C$71*$G$3)+(H73*$C$73*$G$3)+(H74*$C$74*$G$3)+(H75*$C$75*$G$3)+(H76*$C$76*$G$3)+(H79*$C$79*$G$3)+(H80*$C$80*$G$3)+(H81*$C$81*$G$3)+(H83*$C$83*$G$3)+(H84*$C$84*$G$3)+(H85*$C$85*$G$3)</f>
        <v>0</v>
      </c>
      <c r="I87" s="196">
        <f>+(I68*$C$68*$I$3)+(I69*$C$69*$I$3)+(I70*$C$70*$I$3)+(I71*$C$71*$I$3)+(I73*$C$73*$I$3)+(I74*$C$74*$I$3)+(I75*$C$75*$I$3)+(I76*$C$76*$I$3)+(I79*$C$79*$I$3)+(I80*$C$80*$I$3)+(I81*$C$81*$I$3)+(I83*$C$83*$I$3)+(I84*$C$84*$I$3)+(I85*$C$85*$I$3)</f>
        <v>366090974.19999999</v>
      </c>
      <c r="J87" s="196">
        <f>+(J68*$C$68*$J$3)+(J69*$C$69*$J$3)+(J70*$C$70*$J$3)+(J71*$C$71*$J$3)+(J73*$C$73*$J$3)+(J74*$C$74*$J$3)+(J75*$C$75*$J$3)+(J76*$C$76*$J$3)+(J79*$C$79*$J$3)+(J80*$C$80*$J$3)+(J81*$C$81*$J$3)+(J83*$C$83*$J$3)+(J84*$C$84*$J$3)+(J85*$C$85*$J$3)</f>
        <v>0</v>
      </c>
      <c r="K87" s="196">
        <f>+(K68*$C$68*$K$3)+(K69*$C$69*$K$3)+(K70*$C$70*$K$3)+(K71*$C$71*$K$3)+(K73*$C$73*$K$3)+(K74*$C$74*$K$3)+(K75*$C$75*$K$3)+(K76*$C$76*$K$3)+(K79*$C$79*$K$3)+(K80*$C$80*$K$3)+(K81*$C$81*$K$3)+(K83*$C$83*$K$3)+(K84*$C$84*$K$3)+(K85*$C$85*$K$3)</f>
        <v>1355151.6</v>
      </c>
      <c r="L87" s="206"/>
    </row>
    <row r="88" spans="1:14" s="193" customFormat="1">
      <c r="A88" s="199">
        <v>8</v>
      </c>
      <c r="B88" s="211" t="s">
        <v>238</v>
      </c>
      <c r="C88" s="207"/>
      <c r="D88" s="190"/>
      <c r="E88" s="190"/>
      <c r="F88" s="190"/>
      <c r="G88" s="190"/>
      <c r="H88" s="190"/>
      <c r="I88" s="190"/>
      <c r="J88" s="190"/>
      <c r="K88" s="196">
        <f>SUM(D87:K87)</f>
        <v>367446125.80000001</v>
      </c>
    </row>
    <row r="89" spans="1:14" s="193" customFormat="1">
      <c r="A89" s="199">
        <v>9</v>
      </c>
      <c r="B89" s="211" t="s">
        <v>239</v>
      </c>
      <c r="C89" s="207"/>
      <c r="D89" s="190"/>
      <c r="E89" s="190"/>
      <c r="F89" s="190"/>
      <c r="G89" s="190"/>
      <c r="H89" s="190"/>
      <c r="I89" s="190"/>
      <c r="J89" s="190"/>
      <c r="K89" s="196">
        <f>SUM(K88+K63)</f>
        <v>32699019434.149998</v>
      </c>
    </row>
    <row r="90" spans="1:14">
      <c r="I90" s="184"/>
      <c r="K90" s="179"/>
    </row>
    <row r="91" spans="1:14" s="213" customFormat="1" ht="15" customHeight="1">
      <c r="B91" s="214" t="s">
        <v>258</v>
      </c>
      <c r="D91" s="215"/>
      <c r="E91" s="216"/>
      <c r="F91" s="216"/>
      <c r="G91" s="216"/>
      <c r="H91" s="216"/>
      <c r="I91" s="216"/>
      <c r="J91" s="216"/>
      <c r="K91" s="216"/>
      <c r="L91" s="217"/>
    </row>
    <row r="92" spans="1:14" s="213" customFormat="1" ht="11.25" customHeight="1">
      <c r="B92" s="214"/>
      <c r="E92" s="217"/>
      <c r="F92" s="217"/>
      <c r="G92" s="217"/>
      <c r="H92" s="217"/>
      <c r="I92" s="217"/>
      <c r="J92" s="217"/>
      <c r="K92" s="217"/>
      <c r="L92" s="217"/>
    </row>
    <row r="93" spans="1:14" s="213" customFormat="1" ht="15" customHeight="1">
      <c r="B93" s="214" t="s">
        <v>259</v>
      </c>
      <c r="C93" s="214"/>
      <c r="K93" s="215"/>
      <c r="L93" s="217"/>
      <c r="M93" s="217"/>
      <c r="N93" s="217"/>
    </row>
    <row r="94" spans="1:14">
      <c r="J94" s="215"/>
    </row>
  </sheetData>
  <sheetProtection password="CACA" sheet="1" objects="1" scenarios="1"/>
  <mergeCells count="62">
    <mergeCell ref="B29:C29"/>
    <mergeCell ref="B30:C30"/>
    <mergeCell ref="B31:C31"/>
    <mergeCell ref="B32:C32"/>
    <mergeCell ref="B25:C25"/>
    <mergeCell ref="B23:C23"/>
    <mergeCell ref="B24:C24"/>
    <mergeCell ref="B26:C26"/>
    <mergeCell ref="B27:C27"/>
    <mergeCell ref="B28:C28"/>
    <mergeCell ref="B52:C52"/>
    <mergeCell ref="B57:C57"/>
    <mergeCell ref="B58:C58"/>
    <mergeCell ref="B59:C59"/>
    <mergeCell ref="B60:C60"/>
    <mergeCell ref="B53:C53"/>
    <mergeCell ref="B54:C54"/>
    <mergeCell ref="B55:C55"/>
    <mergeCell ref="B56:C56"/>
    <mergeCell ref="B47:C47"/>
    <mergeCell ref="B48:C48"/>
    <mergeCell ref="B49:C49"/>
    <mergeCell ref="B50:C50"/>
    <mergeCell ref="B51:C51"/>
    <mergeCell ref="B40:C40"/>
    <mergeCell ref="B41:C41"/>
    <mergeCell ref="B42:C42"/>
    <mergeCell ref="B45:C45"/>
    <mergeCell ref="B46:C46"/>
    <mergeCell ref="B43:C43"/>
    <mergeCell ref="B44:C44"/>
    <mergeCell ref="B35:C35"/>
    <mergeCell ref="B36:C36"/>
    <mergeCell ref="B37:C37"/>
    <mergeCell ref="B38:C38"/>
    <mergeCell ref="B39:C39"/>
    <mergeCell ref="A3:A5"/>
    <mergeCell ref="B3:C5"/>
    <mergeCell ref="B6:C6"/>
    <mergeCell ref="A1:J1"/>
    <mergeCell ref="I2:J2"/>
    <mergeCell ref="B7:C7"/>
    <mergeCell ref="B8:C8"/>
    <mergeCell ref="B9:C9"/>
    <mergeCell ref="B10:C10"/>
    <mergeCell ref="B11:C11"/>
    <mergeCell ref="B61:C61"/>
    <mergeCell ref="B62:C62"/>
    <mergeCell ref="B63:C63"/>
    <mergeCell ref="B12:C12"/>
    <mergeCell ref="B13:C13"/>
    <mergeCell ref="B14:C14"/>
    <mergeCell ref="B15:C15"/>
    <mergeCell ref="B16:C16"/>
    <mergeCell ref="B17:C17"/>
    <mergeCell ref="B18:C18"/>
    <mergeCell ref="B19:C19"/>
    <mergeCell ref="B20:C20"/>
    <mergeCell ref="B21:C21"/>
    <mergeCell ref="B22:C22"/>
    <mergeCell ref="B33:C33"/>
    <mergeCell ref="B34:C34"/>
  </mergeCells>
  <conditionalFormatting sqref="D35:E37">
    <cfRule type="cellIs" dxfId="17" priority="40" operator="lessThan">
      <formula>0</formula>
    </cfRule>
  </conditionalFormatting>
  <conditionalFormatting sqref="D38:H41">
    <cfRule type="cellIs" dxfId="16" priority="8" operator="lessThan">
      <formula>0</formula>
    </cfRule>
  </conditionalFormatting>
  <conditionalFormatting sqref="D8:K34">
    <cfRule type="cellIs" dxfId="15" priority="9" operator="lessThan">
      <formula>0</formula>
    </cfRule>
  </conditionalFormatting>
  <conditionalFormatting sqref="D42:K63">
    <cfRule type="cellIs" dxfId="14" priority="1" operator="lessThan">
      <formula>0</formula>
    </cfRule>
  </conditionalFormatting>
  <conditionalFormatting sqref="D68:K89">
    <cfRule type="cellIs" dxfId="13" priority="5" operator="lessThan">
      <formula>0</formula>
    </cfRule>
  </conditionalFormatting>
  <conditionalFormatting sqref="F36:H37">
    <cfRule type="cellIs" dxfId="12" priority="39" operator="lessThan">
      <formula>0</formula>
    </cfRule>
  </conditionalFormatting>
  <conditionalFormatting sqref="F35:K35">
    <cfRule type="cellIs" dxfId="11" priority="52" operator="lessThan">
      <formula>0</formula>
    </cfRule>
  </conditionalFormatting>
  <conditionalFormatting sqref="I36:K41">
    <cfRule type="cellIs" dxfId="10" priority="6" operator="lessThan">
      <formula>0</formula>
    </cfRule>
  </conditionalFormatting>
  <conditionalFormatting sqref="L61">
    <cfRule type="cellIs" dxfId="9" priority="56" operator="notEqual">
      <formula>M61</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56:I57 G83:G85 D57:E57 E9 H69 G73:G76 E11 I15:I19 D54:D56 D10:E10 I34:K34 I27:J28 J52:K53 I79:I81 D73:E76 K47:K48 G11 G20 D79:E81 D68:E71 I73:I76 G79:G81 J71:K71 G69:G71 K73:K76 D83:E85 K57:K58 J69:K69 G15:G18 D59:D60 E60:K60 I11:J11 D8 I20:J20 D13:E18 K55 I49:I53 D45 F36:G37 D35:E35 K45 H46 K38:K40 K31:K32 F68:F69 D25:E25 D20:E20 K28 H29:H30 I47:J47 D26 D28 I83:I85 J15:J18 D23:D24 I31:J31 I45 G68:K68 I69:I71 I36:I41 J36:J40 J42 J44:J45 I43" xr:uid="{00000000-0002-0000-0300-000000000000}">
      <formula1>-1E+22</formula1>
      <formula2>1E+22</formula2>
    </dataValidation>
    <dataValidation type="whole" operator="greaterThanOrEqual" allowBlank="1" showInputMessage="1" showErrorMessage="1" sqref="F73:F76 F79:F81 F83:F85 H83:H85 J79:K81 J83:K85 J73:J76 J70:K70 D72:K72 D82:K82 D77:G78 I77:K78 H70:H71 H73:H81 F70:F71" xr:uid="{00000000-0002-0000-03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N94"/>
  <sheetViews>
    <sheetView view="pageBreakPreview" zoomScale="70" zoomScaleNormal="75" zoomScaleSheetLayoutView="70" workbookViewId="0">
      <pane xSplit="3" ySplit="7" topLeftCell="D8" activePane="bottomRight" state="frozen"/>
      <selection activeCell="L59" sqref="L59:N77"/>
      <selection pane="topRight" activeCell="L59" sqref="L59:N77"/>
      <selection pane="bottomLeft" activeCell="L59" sqref="L59:N77"/>
      <selection pane="bottomRight" activeCell="B8" sqref="B8:C63"/>
    </sheetView>
  </sheetViews>
  <sheetFormatPr defaultRowHeight="12.75"/>
  <cols>
    <col min="1" max="1" width="5.42578125" style="180" customWidth="1"/>
    <col min="2" max="2" width="67" style="179" customWidth="1"/>
    <col min="3" max="3" width="13" style="179" customWidth="1"/>
    <col min="4" max="10" width="14.5703125" style="179" customWidth="1"/>
    <col min="11" max="11" width="14.5703125" style="184" customWidth="1"/>
    <col min="12" max="16" width="23.7109375" style="179" customWidth="1"/>
    <col min="17" max="17" width="10.28515625" style="179" customWidth="1"/>
    <col min="18" max="16384" width="9.140625" style="179"/>
  </cols>
  <sheetData>
    <row r="1" spans="1:13" ht="26.25" customHeight="1">
      <c r="A1" s="234" t="s">
        <v>183</v>
      </c>
      <c r="B1" s="234"/>
      <c r="C1" s="234"/>
      <c r="D1" s="234"/>
      <c r="E1" s="234"/>
      <c r="F1" s="234"/>
      <c r="G1" s="234"/>
      <c r="H1" s="234"/>
      <c r="I1" s="234"/>
      <c r="J1" s="234"/>
      <c r="K1" s="178" t="s">
        <v>240</v>
      </c>
    </row>
    <row r="2" spans="1:13" ht="25.5" customHeight="1">
      <c r="B2" s="181" t="str">
        <f>+'Bank Capital Calc'!B3</f>
        <v>"Ўзсаноатқурилишбанк" АТБ</v>
      </c>
      <c r="C2" s="181"/>
      <c r="E2" s="182"/>
      <c r="F2" s="182"/>
      <c r="I2" s="236">
        <f>+'Bank Capital Calc'!C3</f>
        <v>45653</v>
      </c>
      <c r="J2" s="236"/>
      <c r="K2" s="183" t="s">
        <v>256</v>
      </c>
      <c r="L2" s="184"/>
    </row>
    <row r="3" spans="1:13">
      <c r="A3" s="235" t="s">
        <v>52</v>
      </c>
      <c r="B3" s="237" t="s">
        <v>131</v>
      </c>
      <c r="C3" s="238"/>
      <c r="D3" s="185">
        <v>0</v>
      </c>
      <c r="E3" s="185">
        <v>0.2</v>
      </c>
      <c r="F3" s="185">
        <v>0.35</v>
      </c>
      <c r="G3" s="185">
        <v>0.5</v>
      </c>
      <c r="H3" s="185">
        <v>0.75</v>
      </c>
      <c r="I3" s="185">
        <v>1</v>
      </c>
      <c r="J3" s="185">
        <v>1.5</v>
      </c>
      <c r="K3" s="185">
        <v>2</v>
      </c>
      <c r="L3" s="186"/>
      <c r="M3" s="184"/>
    </row>
    <row r="4" spans="1:13" ht="20.25" customHeight="1">
      <c r="A4" s="235"/>
      <c r="B4" s="239"/>
      <c r="C4" s="240"/>
      <c r="D4" s="219" t="s">
        <v>184</v>
      </c>
      <c r="E4" s="219" t="s">
        <v>184</v>
      </c>
      <c r="F4" s="219" t="s">
        <v>184</v>
      </c>
      <c r="G4" s="219" t="s">
        <v>184</v>
      </c>
      <c r="H4" s="219" t="s">
        <v>184</v>
      </c>
      <c r="I4" s="219" t="s">
        <v>184</v>
      </c>
      <c r="J4" s="219" t="s">
        <v>184</v>
      </c>
      <c r="K4" s="219" t="s">
        <v>184</v>
      </c>
      <c r="M4" s="184"/>
    </row>
    <row r="5" spans="1:13" ht="20.25" customHeight="1">
      <c r="A5" s="235"/>
      <c r="B5" s="241"/>
      <c r="C5" s="242"/>
      <c r="D5" s="219" t="s">
        <v>185</v>
      </c>
      <c r="E5" s="219" t="s">
        <v>186</v>
      </c>
      <c r="F5" s="219" t="s">
        <v>187</v>
      </c>
      <c r="G5" s="219" t="s">
        <v>188</v>
      </c>
      <c r="H5" s="219" t="s">
        <v>189</v>
      </c>
      <c r="I5" s="219" t="s">
        <v>190</v>
      </c>
      <c r="J5" s="219" t="s">
        <v>191</v>
      </c>
      <c r="K5" s="219" t="s">
        <v>278</v>
      </c>
      <c r="M5" s="184"/>
    </row>
    <row r="6" spans="1:13">
      <c r="A6" s="219"/>
      <c r="B6" s="243" t="s">
        <v>26</v>
      </c>
      <c r="C6" s="244"/>
      <c r="D6" s="187" t="s">
        <v>27</v>
      </c>
      <c r="E6" s="187" t="s">
        <v>28</v>
      </c>
      <c r="F6" s="187" t="s">
        <v>29</v>
      </c>
      <c r="G6" s="187" t="s">
        <v>53</v>
      </c>
      <c r="H6" s="187" t="s">
        <v>54</v>
      </c>
      <c r="I6" s="187" t="s">
        <v>57</v>
      </c>
      <c r="J6" s="187" t="s">
        <v>64</v>
      </c>
      <c r="K6" s="187" t="s">
        <v>279</v>
      </c>
      <c r="M6" s="184"/>
    </row>
    <row r="7" spans="1:13">
      <c r="A7" s="219"/>
      <c r="B7" s="232" t="s">
        <v>192</v>
      </c>
      <c r="C7" s="233"/>
      <c r="D7" s="188"/>
      <c r="E7" s="188"/>
      <c r="F7" s="188"/>
      <c r="G7" s="188"/>
      <c r="H7" s="188"/>
      <c r="I7" s="188"/>
      <c r="J7" s="188"/>
      <c r="K7" s="188"/>
      <c r="M7" s="184"/>
    </row>
    <row r="8" spans="1:13" s="193" customFormat="1" ht="21" customHeight="1">
      <c r="A8" s="219" t="s">
        <v>55</v>
      </c>
      <c r="B8" s="230" t="s">
        <v>193</v>
      </c>
      <c r="C8" s="231"/>
      <c r="D8" s="189">
        <f>+'Calculation of Risk Weighted As'!D8-'Calculation of Risk Weighte нац'!D8</f>
        <v>1066210091</v>
      </c>
      <c r="E8" s="190"/>
      <c r="F8" s="190"/>
      <c r="G8" s="190"/>
      <c r="H8" s="190"/>
      <c r="I8" s="190"/>
      <c r="J8" s="190"/>
      <c r="K8" s="190"/>
      <c r="L8" s="191"/>
      <c r="M8" s="192"/>
    </row>
    <row r="9" spans="1:13" s="193" customFormat="1" ht="21" customHeight="1">
      <c r="A9" s="219" t="s">
        <v>65</v>
      </c>
      <c r="B9" s="230" t="s">
        <v>194</v>
      </c>
      <c r="C9" s="231"/>
      <c r="D9" s="190"/>
      <c r="E9" s="189">
        <f>+'Calculation of Risk Weighted As'!E9-'Calculation of Risk Weighte нац'!E9</f>
        <v>99402142</v>
      </c>
      <c r="F9" s="190"/>
      <c r="G9" s="190"/>
      <c r="H9" s="190"/>
      <c r="I9" s="190"/>
      <c r="J9" s="190"/>
      <c r="K9" s="190"/>
      <c r="L9" s="191"/>
      <c r="M9" s="192"/>
    </row>
    <row r="10" spans="1:13" s="193" customFormat="1" ht="21" customHeight="1">
      <c r="A10" s="219" t="s">
        <v>66</v>
      </c>
      <c r="B10" s="230" t="s">
        <v>195</v>
      </c>
      <c r="C10" s="231"/>
      <c r="D10" s="189">
        <f>+'Calculation of Risk Weighted As'!D10-'Calculation of Risk Weighte нац'!D10</f>
        <v>0</v>
      </c>
      <c r="E10" s="189">
        <f>+'Calculation of Risk Weighted As'!E10-'Calculation of Risk Weighte нац'!E10</f>
        <v>12551594</v>
      </c>
      <c r="F10" s="190"/>
      <c r="G10" s="190"/>
      <c r="H10" s="190"/>
      <c r="I10" s="190"/>
      <c r="J10" s="190"/>
      <c r="K10" s="190"/>
      <c r="L10" s="191"/>
      <c r="M10" s="192"/>
    </row>
    <row r="11" spans="1:13" s="193" customFormat="1" ht="27.75" customHeight="1">
      <c r="A11" s="219" t="s">
        <v>67</v>
      </c>
      <c r="B11" s="230" t="s">
        <v>262</v>
      </c>
      <c r="C11" s="231"/>
      <c r="D11" s="190"/>
      <c r="E11" s="189">
        <f>+'Calculation of Risk Weighted As'!E11-'Calculation of Risk Weighte нац'!E11</f>
        <v>3859174272</v>
      </c>
      <c r="F11" s="190"/>
      <c r="G11" s="189">
        <f>+'Calculation of Risk Weighted As'!G11-'Calculation of Risk Weighte нац'!G11</f>
        <v>1035238216</v>
      </c>
      <c r="H11" s="190"/>
      <c r="I11" s="189">
        <f>+'Calculation of Risk Weighted As'!I11-'Calculation of Risk Weighte нац'!I11</f>
        <v>888281450</v>
      </c>
      <c r="J11" s="189">
        <f>+'Calculation of Risk Weighted As'!J11-'Calculation of Risk Weighte нац'!J11</f>
        <v>38115416</v>
      </c>
      <c r="K11" s="190"/>
      <c r="L11" s="191"/>
      <c r="M11" s="192"/>
    </row>
    <row r="12" spans="1:13" s="193" customFormat="1" ht="21" customHeight="1">
      <c r="A12" s="219" t="s">
        <v>68</v>
      </c>
      <c r="B12" s="230" t="s">
        <v>196</v>
      </c>
      <c r="C12" s="231"/>
      <c r="D12" s="190"/>
      <c r="E12" s="190"/>
      <c r="F12" s="190"/>
      <c r="G12" s="190"/>
      <c r="H12" s="190"/>
      <c r="I12" s="190"/>
      <c r="J12" s="190"/>
      <c r="K12" s="190"/>
      <c r="L12" s="191"/>
      <c r="M12" s="192"/>
    </row>
    <row r="13" spans="1:13" s="193" customFormat="1" ht="27.75" customHeight="1">
      <c r="A13" s="219" t="s">
        <v>37</v>
      </c>
      <c r="B13" s="230" t="s">
        <v>197</v>
      </c>
      <c r="C13" s="231"/>
      <c r="D13" s="189">
        <f>+'Calculation of Risk Weighted As'!D13-'Calculation of Risk Weighte нац'!D13</f>
        <v>632340722</v>
      </c>
      <c r="E13" s="189">
        <f>+'Calculation of Risk Weighted As'!E13-'Calculation of Risk Weighte нац'!E13</f>
        <v>0</v>
      </c>
      <c r="F13" s="190"/>
      <c r="G13" s="190"/>
      <c r="H13" s="190"/>
      <c r="I13" s="190"/>
      <c r="J13" s="190"/>
      <c r="K13" s="190"/>
      <c r="L13" s="191"/>
      <c r="M13" s="192"/>
    </row>
    <row r="14" spans="1:13" s="193" customFormat="1" ht="21" customHeight="1">
      <c r="A14" s="219" t="s">
        <v>33</v>
      </c>
      <c r="B14" s="230" t="s">
        <v>263</v>
      </c>
      <c r="C14" s="231"/>
      <c r="D14" s="189">
        <f>+'Calculation of Risk Weighted As'!D14-'Calculation of Risk Weighte нац'!D14</f>
        <v>0</v>
      </c>
      <c r="E14" s="189">
        <f>+'Calculation of Risk Weighted As'!E14-'Calculation of Risk Weighte нац'!E14</f>
        <v>0</v>
      </c>
      <c r="F14" s="190"/>
      <c r="G14" s="190"/>
      <c r="H14" s="190"/>
      <c r="I14" s="190"/>
      <c r="J14" s="190"/>
      <c r="K14" s="190"/>
      <c r="L14" s="191"/>
      <c r="M14" s="192"/>
    </row>
    <row r="15" spans="1:13" s="193" customFormat="1" ht="38.25" customHeight="1">
      <c r="A15" s="219" t="s">
        <v>35</v>
      </c>
      <c r="B15" s="230" t="s">
        <v>198</v>
      </c>
      <c r="C15" s="231"/>
      <c r="D15" s="189">
        <f>+'Calculation of Risk Weighted As'!D15-'Calculation of Risk Weighte нац'!D15</f>
        <v>0</v>
      </c>
      <c r="E15" s="189">
        <f>+'Calculation of Risk Weighted As'!E15-'Calculation of Risk Weighte нац'!E15</f>
        <v>0</v>
      </c>
      <c r="F15" s="190"/>
      <c r="G15" s="189">
        <f>+'Calculation of Risk Weighted As'!G15-'Calculation of Risk Weighte нац'!G15</f>
        <v>0</v>
      </c>
      <c r="H15" s="190"/>
      <c r="I15" s="189">
        <f>+'Calculation of Risk Weighted As'!I15-'Calculation of Risk Weighte нац'!I15</f>
        <v>0</v>
      </c>
      <c r="J15" s="189">
        <f>+'Calculation of Risk Weighted As'!J15-'Calculation of Risk Weighte нац'!J15</f>
        <v>0</v>
      </c>
      <c r="K15" s="190"/>
      <c r="L15" s="191"/>
      <c r="M15" s="192"/>
    </row>
    <row r="16" spans="1:13" s="193" customFormat="1" ht="21" customHeight="1">
      <c r="A16" s="219" t="s">
        <v>42</v>
      </c>
      <c r="B16" s="230" t="s">
        <v>199</v>
      </c>
      <c r="C16" s="231"/>
      <c r="D16" s="189">
        <f>+'Calculation of Risk Weighted As'!D16-'Calculation of Risk Weighte нац'!D16</f>
        <v>0</v>
      </c>
      <c r="E16" s="189">
        <f>+'Calculation of Risk Weighted As'!E16-'Calculation of Risk Weighte нац'!E16</f>
        <v>0</v>
      </c>
      <c r="F16" s="190"/>
      <c r="G16" s="189">
        <f>+'Calculation of Risk Weighted As'!G16-'Calculation of Risk Weighte нац'!G16</f>
        <v>0</v>
      </c>
      <c r="H16" s="190"/>
      <c r="I16" s="189">
        <f>+'Calculation of Risk Weighted As'!I16-'Calculation of Risk Weighte нац'!I16</f>
        <v>0</v>
      </c>
      <c r="J16" s="189">
        <f>+'Calculation of Risk Weighted As'!J16-'Calculation of Risk Weighte нац'!J16</f>
        <v>0</v>
      </c>
      <c r="K16" s="190"/>
      <c r="L16" s="191"/>
      <c r="M16" s="192"/>
    </row>
    <row r="17" spans="1:13" s="193" customFormat="1" ht="21" customHeight="1">
      <c r="A17" s="219" t="s">
        <v>128</v>
      </c>
      <c r="B17" s="230" t="s">
        <v>275</v>
      </c>
      <c r="C17" s="231"/>
      <c r="D17" s="189">
        <f>+'Calculation of Risk Weighted As'!D17-'Calculation of Risk Weighte нац'!D17</f>
        <v>0</v>
      </c>
      <c r="E17" s="189">
        <f>+'Calculation of Risk Weighted As'!E17-'Calculation of Risk Weighte нац'!E17</f>
        <v>0</v>
      </c>
      <c r="F17" s="190"/>
      <c r="G17" s="189">
        <f>+'Calculation of Risk Weighted As'!G17-'Calculation of Risk Weighte нац'!G17</f>
        <v>0</v>
      </c>
      <c r="H17" s="190"/>
      <c r="I17" s="189">
        <f>+'Calculation of Risk Weighted As'!I17-'Calculation of Risk Weighte нац'!I17</f>
        <v>0</v>
      </c>
      <c r="J17" s="189">
        <f>+'Calculation of Risk Weighted As'!J17-'Calculation of Risk Weighte нац'!J17</f>
        <v>0</v>
      </c>
      <c r="K17" s="190"/>
      <c r="L17" s="191"/>
      <c r="M17" s="192"/>
    </row>
    <row r="18" spans="1:13" s="193" customFormat="1" ht="21" customHeight="1">
      <c r="A18" s="219" t="s">
        <v>205</v>
      </c>
      <c r="B18" s="230" t="s">
        <v>288</v>
      </c>
      <c r="C18" s="231"/>
      <c r="D18" s="189">
        <f>+'Calculation of Risk Weighted As'!D18-'Calculation of Risk Weighte нац'!D18</f>
        <v>0</v>
      </c>
      <c r="E18" s="189">
        <f>+'Calculation of Risk Weighted As'!E18-'Calculation of Risk Weighte нац'!E18</f>
        <v>0</v>
      </c>
      <c r="F18" s="190"/>
      <c r="G18" s="189">
        <f>+'Calculation of Risk Weighted As'!G18-'Calculation of Risk Weighte нац'!G18</f>
        <v>0</v>
      </c>
      <c r="H18" s="190"/>
      <c r="I18" s="189">
        <f>+'Calculation of Risk Weighted As'!I18-'Calculation of Risk Weighte нац'!I18</f>
        <v>0</v>
      </c>
      <c r="J18" s="189">
        <f>+'Calculation of Risk Weighted As'!J18-'Calculation of Risk Weighte нац'!J18</f>
        <v>0</v>
      </c>
      <c r="K18" s="190"/>
      <c r="L18" s="191"/>
      <c r="M18" s="192"/>
    </row>
    <row r="19" spans="1:13" s="193" customFormat="1" ht="27.75" customHeight="1">
      <c r="A19" s="219" t="s">
        <v>69</v>
      </c>
      <c r="B19" s="230" t="s">
        <v>200</v>
      </c>
      <c r="C19" s="231"/>
      <c r="D19" s="190"/>
      <c r="E19" s="190"/>
      <c r="F19" s="190"/>
      <c r="G19" s="190"/>
      <c r="H19" s="190"/>
      <c r="I19" s="189">
        <f>+'Calculation of Risk Weighted As'!I19-'Calculation of Risk Weighte нац'!I19</f>
        <v>0</v>
      </c>
      <c r="J19" s="190"/>
      <c r="K19" s="190"/>
      <c r="L19" s="191"/>
      <c r="M19" s="192"/>
    </row>
    <row r="20" spans="1:13" s="193" customFormat="1" ht="54.75" customHeight="1">
      <c r="A20" s="219" t="s">
        <v>70</v>
      </c>
      <c r="B20" s="230" t="s">
        <v>201</v>
      </c>
      <c r="C20" s="231"/>
      <c r="D20" s="189">
        <f>+'Calculation of Risk Weighted As'!D20-'Calculation of Risk Weighte нац'!D20</f>
        <v>0</v>
      </c>
      <c r="E20" s="189">
        <f>+'Calculation of Risk Weighted As'!E20-'Calculation of Risk Weighte нац'!E20</f>
        <v>0</v>
      </c>
      <c r="F20" s="190"/>
      <c r="G20" s="189">
        <f>+'Calculation of Risk Weighted As'!G20-'Calculation of Risk Weighte нац'!G20</f>
        <v>0</v>
      </c>
      <c r="H20" s="190"/>
      <c r="I20" s="189">
        <f>+'Calculation of Risk Weighted As'!I20-'Calculation of Risk Weighte нац'!I20</f>
        <v>0</v>
      </c>
      <c r="J20" s="189">
        <f>+'Calculation of Risk Weighted As'!J20-'Calculation of Risk Weighte нац'!J20</f>
        <v>0</v>
      </c>
      <c r="K20" s="190"/>
      <c r="L20" s="191"/>
      <c r="M20" s="192"/>
    </row>
    <row r="21" spans="1:13" s="193" customFormat="1" ht="21" customHeight="1">
      <c r="A21" s="219" t="s">
        <v>71</v>
      </c>
      <c r="B21" s="230" t="s">
        <v>202</v>
      </c>
      <c r="C21" s="231"/>
      <c r="D21" s="194"/>
      <c r="E21" s="194"/>
      <c r="F21" s="194"/>
      <c r="G21" s="194"/>
      <c r="H21" s="194"/>
      <c r="I21" s="194"/>
      <c r="J21" s="194"/>
      <c r="K21" s="194"/>
      <c r="L21" s="191"/>
      <c r="M21" s="192"/>
    </row>
    <row r="22" spans="1:13" s="193" customFormat="1" ht="21" customHeight="1">
      <c r="A22" s="219" t="s">
        <v>291</v>
      </c>
      <c r="B22" s="230" t="s">
        <v>311</v>
      </c>
      <c r="C22" s="231"/>
      <c r="D22" s="194"/>
      <c r="E22" s="194"/>
      <c r="F22" s="194"/>
      <c r="G22" s="194"/>
      <c r="H22" s="194"/>
      <c r="I22" s="194"/>
      <c r="J22" s="194"/>
      <c r="K22" s="194"/>
      <c r="L22" s="191"/>
      <c r="M22" s="192"/>
    </row>
    <row r="23" spans="1:13" s="193" customFormat="1" ht="30" customHeight="1">
      <c r="A23" s="219" t="s">
        <v>37</v>
      </c>
      <c r="B23" s="230" t="s">
        <v>203</v>
      </c>
      <c r="C23" s="231"/>
      <c r="D23" s="189">
        <f>+'Calculation of Risk Weighted As'!D23-'Calculation of Risk Weighte нац'!D23</f>
        <v>0</v>
      </c>
      <c r="E23" s="190"/>
      <c r="F23" s="190"/>
      <c r="G23" s="190"/>
      <c r="H23" s="190"/>
      <c r="I23" s="190"/>
      <c r="J23" s="190"/>
      <c r="K23" s="190"/>
      <c r="L23" s="191"/>
      <c r="M23" s="192"/>
    </row>
    <row r="24" spans="1:13" s="193" customFormat="1" ht="30" customHeight="1">
      <c r="A24" s="219" t="s">
        <v>33</v>
      </c>
      <c r="B24" s="230" t="s">
        <v>302</v>
      </c>
      <c r="C24" s="231"/>
      <c r="D24" s="189">
        <f>+'Calculation of Risk Weighted As'!D24-'Calculation of Risk Weighte нац'!D24</f>
        <v>10836545</v>
      </c>
      <c r="E24" s="190"/>
      <c r="F24" s="190"/>
      <c r="G24" s="190"/>
      <c r="H24" s="190"/>
      <c r="I24" s="190"/>
      <c r="J24" s="190"/>
      <c r="K24" s="190"/>
      <c r="L24" s="191"/>
      <c r="M24" s="192"/>
    </row>
    <row r="25" spans="1:13" s="193" customFormat="1" ht="21" customHeight="1">
      <c r="A25" s="219" t="s">
        <v>35</v>
      </c>
      <c r="B25" s="230" t="s">
        <v>277</v>
      </c>
      <c r="C25" s="231"/>
      <c r="D25" s="189">
        <f>+'Calculation of Risk Weighted As'!D25-'Calculation of Risk Weighte нац'!D25</f>
        <v>771903</v>
      </c>
      <c r="E25" s="189">
        <f>+'Calculation of Risk Weighted As'!E25-'Calculation of Risk Weighte нац'!E25</f>
        <v>0</v>
      </c>
      <c r="F25" s="190"/>
      <c r="G25" s="190"/>
      <c r="H25" s="190"/>
      <c r="I25" s="190"/>
      <c r="J25" s="190"/>
      <c r="K25" s="190"/>
      <c r="L25" s="191"/>
      <c r="M25" s="192"/>
    </row>
    <row r="26" spans="1:13" s="193" customFormat="1" ht="43.5" customHeight="1">
      <c r="A26" s="219" t="s">
        <v>42</v>
      </c>
      <c r="B26" s="230" t="s">
        <v>280</v>
      </c>
      <c r="C26" s="231"/>
      <c r="D26" s="189">
        <f>+'Calculation of Risk Weighted As'!D26-'Calculation of Risk Weighte нац'!D26</f>
        <v>7904216335</v>
      </c>
      <c r="E26" s="190"/>
      <c r="F26" s="190"/>
      <c r="G26" s="190"/>
      <c r="H26" s="190"/>
      <c r="I26" s="190"/>
      <c r="J26" s="190"/>
      <c r="K26" s="190"/>
      <c r="L26" s="191"/>
      <c r="M26" s="192"/>
    </row>
    <row r="27" spans="1:13" s="193" customFormat="1" ht="21" customHeight="1">
      <c r="A27" s="219" t="s">
        <v>128</v>
      </c>
      <c r="B27" s="230" t="s">
        <v>204</v>
      </c>
      <c r="C27" s="231"/>
      <c r="D27" s="190"/>
      <c r="E27" s="190"/>
      <c r="F27" s="190"/>
      <c r="G27" s="190"/>
      <c r="H27" s="190"/>
      <c r="I27" s="189">
        <f>+'Calculation of Risk Weighted As'!I27-'Calculation of Risk Weighte нац'!I27</f>
        <v>0</v>
      </c>
      <c r="J27" s="190"/>
      <c r="K27" s="190"/>
      <c r="L27" s="191"/>
      <c r="M27" s="192"/>
    </row>
    <row r="28" spans="1:13" s="193" customFormat="1" ht="21" customHeight="1">
      <c r="A28" s="219" t="s">
        <v>205</v>
      </c>
      <c r="B28" s="230" t="s">
        <v>292</v>
      </c>
      <c r="C28" s="231"/>
      <c r="D28" s="189">
        <f>+'Calculation of Risk Weighted As'!D28-'Calculation of Risk Weighte нац'!D28</f>
        <v>0</v>
      </c>
      <c r="E28" s="190"/>
      <c r="F28" s="190"/>
      <c r="G28" s="190"/>
      <c r="H28" s="190"/>
      <c r="I28" s="189">
        <f>+'Calculation of Risk Weighted As'!I28-'Calculation of Risk Weighte нац'!I28</f>
        <v>0</v>
      </c>
      <c r="J28" s="189">
        <f>+'Calculation of Risk Weighted As'!J28-'Calculation of Risk Weighte нац'!J28</f>
        <v>0</v>
      </c>
      <c r="K28" s="189">
        <f>+'Calculation of Risk Weighted As'!K28-'Calculation of Risk Weighte нац'!K28</f>
        <v>0</v>
      </c>
      <c r="L28" s="191"/>
      <c r="M28" s="192"/>
    </row>
    <row r="29" spans="1:13" s="193" customFormat="1" ht="66" customHeight="1">
      <c r="A29" s="219" t="s">
        <v>206</v>
      </c>
      <c r="B29" s="230" t="s">
        <v>293</v>
      </c>
      <c r="C29" s="231"/>
      <c r="D29" s="190"/>
      <c r="E29" s="190"/>
      <c r="F29" s="190"/>
      <c r="G29" s="190"/>
      <c r="H29" s="189">
        <f>+'Calculation of Risk Weighted As'!H29-'Calculation of Risk Weighte нац'!H29</f>
        <v>0</v>
      </c>
      <c r="I29" s="190"/>
      <c r="J29" s="190"/>
      <c r="K29" s="190"/>
      <c r="L29" s="191"/>
      <c r="M29" s="192"/>
    </row>
    <row r="30" spans="1:13" s="193" customFormat="1" ht="28.5" customHeight="1">
      <c r="A30" s="219" t="s">
        <v>207</v>
      </c>
      <c r="B30" s="230" t="s">
        <v>303</v>
      </c>
      <c r="C30" s="231"/>
      <c r="D30" s="190"/>
      <c r="E30" s="190"/>
      <c r="F30" s="190"/>
      <c r="G30" s="190"/>
      <c r="H30" s="189">
        <f>+'Calculation of Risk Weighted As'!H30-'Calculation of Risk Weighte нац'!H30</f>
        <v>0</v>
      </c>
      <c r="I30" s="190"/>
      <c r="J30" s="190"/>
      <c r="K30" s="190"/>
      <c r="L30" s="191"/>
      <c r="M30" s="192"/>
    </row>
    <row r="31" spans="1:13" s="193" customFormat="1" ht="28.5" customHeight="1">
      <c r="A31" s="219" t="s">
        <v>208</v>
      </c>
      <c r="B31" s="230" t="s">
        <v>281</v>
      </c>
      <c r="C31" s="231"/>
      <c r="D31" s="190"/>
      <c r="E31" s="190"/>
      <c r="F31" s="190"/>
      <c r="G31" s="190"/>
      <c r="H31" s="190"/>
      <c r="I31" s="189">
        <f>+'Calculation of Risk Weighted As'!I31-'Calculation of Risk Weighte нац'!I31</f>
        <v>27909762135</v>
      </c>
      <c r="J31" s="189">
        <f>+'Calculation of Risk Weighted As'!J31-'Calculation of Risk Weighte нац'!J31</f>
        <v>2722206760</v>
      </c>
      <c r="K31" s="189">
        <f>+'Calculation of Risk Weighted As'!K31-'Calculation of Risk Weighte нац'!K31</f>
        <v>821686854</v>
      </c>
      <c r="L31" s="191"/>
      <c r="M31" s="192"/>
    </row>
    <row r="32" spans="1:13" s="193" customFormat="1" ht="21" customHeight="1">
      <c r="A32" s="219" t="s">
        <v>266</v>
      </c>
      <c r="B32" s="230" t="s">
        <v>304</v>
      </c>
      <c r="C32" s="231"/>
      <c r="D32" s="190"/>
      <c r="E32" s="190"/>
      <c r="F32" s="190"/>
      <c r="G32" s="190"/>
      <c r="H32" s="190"/>
      <c r="I32" s="190"/>
      <c r="J32" s="190"/>
      <c r="K32" s="189">
        <f>+'Calculation of Risk Weighted As'!K32-'Calculation of Risk Weighte нац'!K32</f>
        <v>523137955</v>
      </c>
      <c r="L32" s="191"/>
      <c r="M32" s="192"/>
    </row>
    <row r="33" spans="1:14" s="193" customFormat="1" ht="21" customHeight="1">
      <c r="A33" s="219" t="s">
        <v>294</v>
      </c>
      <c r="B33" s="230" t="s">
        <v>295</v>
      </c>
      <c r="C33" s="231"/>
      <c r="D33" s="194"/>
      <c r="E33" s="194"/>
      <c r="F33" s="194"/>
      <c r="G33" s="194"/>
      <c r="H33" s="194"/>
      <c r="I33" s="194"/>
      <c r="J33" s="194"/>
      <c r="K33" s="194"/>
      <c r="L33" s="191"/>
      <c r="M33" s="192"/>
    </row>
    <row r="34" spans="1:14" s="193" customFormat="1" ht="21" customHeight="1">
      <c r="A34" s="219" t="s">
        <v>37</v>
      </c>
      <c r="B34" s="230" t="s">
        <v>204</v>
      </c>
      <c r="C34" s="231"/>
      <c r="D34" s="190"/>
      <c r="E34" s="190"/>
      <c r="F34" s="190"/>
      <c r="G34" s="190"/>
      <c r="H34" s="190"/>
      <c r="I34" s="189">
        <f>+'Calculation of Risk Weighted As'!I34-'Calculation of Risk Weighte нац'!I34</f>
        <v>0</v>
      </c>
      <c r="J34" s="190"/>
      <c r="K34" s="190"/>
      <c r="L34" s="191"/>
      <c r="M34" s="192"/>
    </row>
    <row r="35" spans="1:14" s="193" customFormat="1" ht="22.5" customHeight="1">
      <c r="A35" s="219" t="s">
        <v>33</v>
      </c>
      <c r="B35" s="230" t="s">
        <v>299</v>
      </c>
      <c r="C35" s="231"/>
      <c r="D35" s="189">
        <f>+'Calculation of Risk Weighted As'!D35-'Calculation of Risk Weighte нац'!D35</f>
        <v>0</v>
      </c>
      <c r="E35" s="189">
        <f>+'Calculation of Risk Weighted As'!E35-'Calculation of Risk Weighte нац'!E35</f>
        <v>0</v>
      </c>
      <c r="F35" s="190"/>
      <c r="G35" s="190"/>
      <c r="H35" s="190"/>
      <c r="I35" s="190"/>
      <c r="J35" s="190"/>
      <c r="K35" s="190"/>
      <c r="L35" s="191"/>
      <c r="M35" s="192"/>
    </row>
    <row r="36" spans="1:14" s="193" customFormat="1" ht="22.5" customHeight="1">
      <c r="A36" s="219" t="s">
        <v>35</v>
      </c>
      <c r="B36" s="230" t="s">
        <v>296</v>
      </c>
      <c r="C36" s="231"/>
      <c r="D36" s="190"/>
      <c r="E36" s="190"/>
      <c r="F36" s="189">
        <f>+'Calculation of Risk Weighted As'!F36-'Calculation of Risk Weighte нац'!F36</f>
        <v>0</v>
      </c>
      <c r="G36" s="189">
        <f>+'Calculation of Risk Weighted As'!G36-'Calculation of Risk Weighte нац'!G36</f>
        <v>0</v>
      </c>
      <c r="H36" s="190"/>
      <c r="I36" s="189">
        <f>+'Calculation of Risk Weighted As'!I36-'Calculation of Risk Weighte нац'!I36</f>
        <v>0</v>
      </c>
      <c r="J36" s="189">
        <f>+'Calculation of Risk Weighted As'!J36-'Calculation of Risk Weighte нац'!J36</f>
        <v>0</v>
      </c>
      <c r="K36" s="190"/>
      <c r="L36" s="191"/>
      <c r="M36" s="192"/>
    </row>
    <row r="37" spans="1:14" s="193" customFormat="1" ht="22.5" customHeight="1">
      <c r="A37" s="219" t="s">
        <v>42</v>
      </c>
      <c r="B37" s="230" t="s">
        <v>297</v>
      </c>
      <c r="C37" s="231"/>
      <c r="D37" s="190"/>
      <c r="E37" s="190"/>
      <c r="F37" s="189">
        <f>+'Calculation of Risk Weighted As'!F37-'Calculation of Risk Weighte нац'!F37</f>
        <v>0</v>
      </c>
      <c r="G37" s="189">
        <f>+'Calculation of Risk Weighted As'!G37-'Calculation of Risk Weighte нац'!G37</f>
        <v>0</v>
      </c>
      <c r="H37" s="190"/>
      <c r="I37" s="189">
        <f>+'Calculation of Risk Weighted As'!I37-'Calculation of Risk Weighte нац'!I37</f>
        <v>0</v>
      </c>
      <c r="J37" s="189">
        <f>+'Calculation of Risk Weighted As'!J37-'Calculation of Risk Weighte нац'!J37</f>
        <v>0</v>
      </c>
      <c r="K37" s="190"/>
      <c r="L37" s="191"/>
      <c r="M37" s="192"/>
    </row>
    <row r="38" spans="1:14" s="193" customFormat="1" ht="22.5" customHeight="1">
      <c r="A38" s="219" t="s">
        <v>128</v>
      </c>
      <c r="B38" s="230" t="s">
        <v>298</v>
      </c>
      <c r="C38" s="231"/>
      <c r="D38" s="190"/>
      <c r="E38" s="190"/>
      <c r="F38" s="190"/>
      <c r="G38" s="190"/>
      <c r="H38" s="190"/>
      <c r="I38" s="189">
        <f>+'Calculation of Risk Weighted As'!I38-'Calculation of Risk Weighte нац'!I38</f>
        <v>0</v>
      </c>
      <c r="J38" s="189">
        <f>+'Calculation of Risk Weighted As'!J38-'Calculation of Risk Weighte нац'!J38</f>
        <v>0</v>
      </c>
      <c r="K38" s="189">
        <f>+'Calculation of Risk Weighted As'!K38-'Calculation of Risk Weighte нац'!K38</f>
        <v>0</v>
      </c>
      <c r="L38" s="191"/>
      <c r="M38" s="192"/>
    </row>
    <row r="39" spans="1:14" s="193" customFormat="1" ht="28.5" customHeight="1">
      <c r="A39" s="219" t="s">
        <v>205</v>
      </c>
      <c r="B39" s="230" t="s">
        <v>312</v>
      </c>
      <c r="C39" s="231"/>
      <c r="D39" s="190"/>
      <c r="E39" s="190"/>
      <c r="F39" s="190"/>
      <c r="G39" s="190"/>
      <c r="H39" s="190"/>
      <c r="I39" s="189">
        <f>+'Calculation of Risk Weighted As'!I39-'Calculation of Risk Weighte нац'!I39</f>
        <v>0</v>
      </c>
      <c r="J39" s="189">
        <f>+'Calculation of Risk Weighted As'!J39-'Calculation of Risk Weighte нац'!J39</f>
        <v>0</v>
      </c>
      <c r="K39" s="189">
        <f>+'Calculation of Risk Weighted As'!K39-'Calculation of Risk Weighte нац'!K39</f>
        <v>0</v>
      </c>
      <c r="L39" s="191"/>
      <c r="M39" s="192"/>
    </row>
    <row r="40" spans="1:14" s="193" customFormat="1" ht="23.25" customHeight="1">
      <c r="A40" s="219" t="s">
        <v>206</v>
      </c>
      <c r="B40" s="230" t="s">
        <v>313</v>
      </c>
      <c r="C40" s="231"/>
      <c r="D40" s="190"/>
      <c r="E40" s="190"/>
      <c r="F40" s="190"/>
      <c r="G40" s="190"/>
      <c r="H40" s="190"/>
      <c r="I40" s="189">
        <f>+'Calculation of Risk Weighted As'!I40-'Calculation of Risk Weighte нац'!I40</f>
        <v>0</v>
      </c>
      <c r="J40" s="189">
        <f>+'Calculation of Risk Weighted As'!J40-'Calculation of Risk Weighte нац'!J40</f>
        <v>0</v>
      </c>
      <c r="K40" s="189">
        <f>+'Calculation of Risk Weighted As'!K40-'Calculation of Risk Weighte нац'!K40</f>
        <v>0</v>
      </c>
      <c r="L40" s="191"/>
      <c r="M40" s="192"/>
    </row>
    <row r="41" spans="1:14" s="193" customFormat="1" ht="43.5" customHeight="1">
      <c r="A41" s="219" t="s">
        <v>207</v>
      </c>
      <c r="B41" s="230" t="s">
        <v>314</v>
      </c>
      <c r="C41" s="231"/>
      <c r="D41" s="190"/>
      <c r="E41" s="190"/>
      <c r="F41" s="190"/>
      <c r="G41" s="190"/>
      <c r="H41" s="190"/>
      <c r="I41" s="189">
        <f>+'Calculation of Risk Weighted As'!I41-'Calculation of Risk Weighte нац'!I41</f>
        <v>0</v>
      </c>
      <c r="J41" s="190"/>
      <c r="K41" s="190"/>
      <c r="L41" s="191"/>
      <c r="M41" s="192"/>
    </row>
    <row r="42" spans="1:14" s="193" customFormat="1" ht="55.5" customHeight="1">
      <c r="A42" s="219" t="s">
        <v>208</v>
      </c>
      <c r="B42" s="230" t="s">
        <v>315</v>
      </c>
      <c r="C42" s="231"/>
      <c r="D42" s="190"/>
      <c r="E42" s="190"/>
      <c r="F42" s="190"/>
      <c r="G42" s="190"/>
      <c r="H42" s="190"/>
      <c r="I42" s="190"/>
      <c r="J42" s="189">
        <f>+'Calculation of Risk Weighted As'!J42-'Calculation of Risk Weighte нац'!J42</f>
        <v>0</v>
      </c>
      <c r="K42" s="190"/>
      <c r="L42" s="191"/>
      <c r="M42" s="192"/>
    </row>
    <row r="43" spans="1:14" s="193" customFormat="1" ht="42.75" customHeight="1">
      <c r="A43" s="219" t="s">
        <v>266</v>
      </c>
      <c r="B43" s="230" t="s">
        <v>308</v>
      </c>
      <c r="C43" s="231"/>
      <c r="D43" s="190"/>
      <c r="E43" s="190"/>
      <c r="F43" s="190"/>
      <c r="G43" s="190"/>
      <c r="H43" s="190"/>
      <c r="I43" s="218">
        <v>0</v>
      </c>
      <c r="J43" s="190"/>
      <c r="K43" s="190"/>
      <c r="L43" s="191"/>
      <c r="M43" s="192"/>
    </row>
    <row r="44" spans="1:14" s="193" customFormat="1" ht="42.75" customHeight="1">
      <c r="A44" s="219" t="s">
        <v>267</v>
      </c>
      <c r="B44" s="230" t="s">
        <v>309</v>
      </c>
      <c r="C44" s="231"/>
      <c r="D44" s="190"/>
      <c r="E44" s="190"/>
      <c r="F44" s="190"/>
      <c r="G44" s="190"/>
      <c r="H44" s="190"/>
      <c r="I44" s="190"/>
      <c r="J44" s="218">
        <v>0</v>
      </c>
      <c r="K44" s="190"/>
      <c r="L44" s="191"/>
      <c r="M44" s="192"/>
    </row>
    <row r="45" spans="1:14" s="193" customFormat="1" ht="26.25" customHeight="1">
      <c r="A45" s="219" t="s">
        <v>268</v>
      </c>
      <c r="B45" s="230" t="s">
        <v>292</v>
      </c>
      <c r="C45" s="231"/>
      <c r="D45" s="189">
        <f>+'Calculation of Risk Weighted As'!D45-'Calculation of Risk Weighte нац'!D45</f>
        <v>0</v>
      </c>
      <c r="E45" s="190"/>
      <c r="F45" s="190"/>
      <c r="G45" s="190"/>
      <c r="H45" s="190"/>
      <c r="I45" s="189">
        <f>+'Calculation of Risk Weighted As'!I45-'Calculation of Risk Weighte нац'!I45</f>
        <v>0</v>
      </c>
      <c r="J45" s="189">
        <f>+'Calculation of Risk Weighted As'!J45-'Calculation of Risk Weighte нац'!J45</f>
        <v>0</v>
      </c>
      <c r="K45" s="189">
        <f>+'Calculation of Risk Weighted As'!K45-'Calculation of Risk Weighte нац'!K45</f>
        <v>0</v>
      </c>
      <c r="L45" s="191"/>
      <c r="M45" s="192"/>
    </row>
    <row r="46" spans="1:14" s="193" customFormat="1" ht="70.5" customHeight="1">
      <c r="A46" s="219" t="s">
        <v>274</v>
      </c>
      <c r="B46" s="230" t="s">
        <v>300</v>
      </c>
      <c r="C46" s="231"/>
      <c r="D46" s="190"/>
      <c r="E46" s="190"/>
      <c r="F46" s="190"/>
      <c r="G46" s="190"/>
      <c r="H46" s="189">
        <f>+'Calculation of Risk Weighted As'!H46-'Calculation of Risk Weighte нац'!H46</f>
        <v>0</v>
      </c>
      <c r="I46" s="190"/>
      <c r="J46" s="190"/>
      <c r="K46" s="190"/>
      <c r="L46" s="191"/>
      <c r="M46" s="192"/>
    </row>
    <row r="47" spans="1:14" s="193" customFormat="1" ht="23.25" customHeight="1">
      <c r="A47" s="219" t="s">
        <v>306</v>
      </c>
      <c r="B47" s="230" t="s">
        <v>301</v>
      </c>
      <c r="C47" s="231"/>
      <c r="D47" s="190"/>
      <c r="E47" s="190"/>
      <c r="F47" s="190"/>
      <c r="G47" s="190"/>
      <c r="H47" s="190"/>
      <c r="I47" s="189">
        <f>+'Calculation of Risk Weighted As'!I47-'Calculation of Risk Weighte нац'!I47</f>
        <v>0</v>
      </c>
      <c r="J47" s="189">
        <f>+'Calculation of Risk Weighted As'!J47-'Calculation of Risk Weighte нац'!J47</f>
        <v>0</v>
      </c>
      <c r="K47" s="189">
        <f>+'Calculation of Risk Weighted As'!K47-'Calculation of Risk Weighte нац'!K47</f>
        <v>0</v>
      </c>
      <c r="L47" s="191"/>
      <c r="M47" s="192"/>
    </row>
    <row r="48" spans="1:14" s="193" customFormat="1" ht="23.25" customHeight="1">
      <c r="A48" s="219" t="s">
        <v>307</v>
      </c>
      <c r="B48" s="230" t="s">
        <v>305</v>
      </c>
      <c r="C48" s="231"/>
      <c r="D48" s="190"/>
      <c r="E48" s="190"/>
      <c r="F48" s="190"/>
      <c r="G48" s="190"/>
      <c r="H48" s="190"/>
      <c r="I48" s="190"/>
      <c r="J48" s="190"/>
      <c r="K48" s="189">
        <f>+'Calculation of Risk Weighted As'!K48-'Calculation of Risk Weighte нац'!K48</f>
        <v>0</v>
      </c>
      <c r="L48" s="191"/>
      <c r="M48" s="191"/>
      <c r="N48" s="191"/>
    </row>
    <row r="49" spans="1:14" s="193" customFormat="1" ht="21" customHeight="1">
      <c r="A49" s="219" t="s">
        <v>72</v>
      </c>
      <c r="B49" s="230" t="s">
        <v>209</v>
      </c>
      <c r="C49" s="231"/>
      <c r="D49" s="190"/>
      <c r="E49" s="190"/>
      <c r="F49" s="190"/>
      <c r="G49" s="190"/>
      <c r="H49" s="190"/>
      <c r="I49" s="190"/>
      <c r="J49" s="190"/>
      <c r="K49" s="190"/>
      <c r="L49" s="191"/>
      <c r="M49" s="192"/>
    </row>
    <row r="50" spans="1:14" s="193" customFormat="1" ht="21" customHeight="1">
      <c r="A50" s="219" t="s">
        <v>37</v>
      </c>
      <c r="B50" s="230" t="s">
        <v>210</v>
      </c>
      <c r="C50" s="231"/>
      <c r="D50" s="190"/>
      <c r="E50" s="190"/>
      <c r="F50" s="190"/>
      <c r="G50" s="190"/>
      <c r="H50" s="190"/>
      <c r="I50" s="189">
        <f>+'Calculation of Risk Weighted As'!I50-'Calculation of Risk Weighte нац'!I50</f>
        <v>0</v>
      </c>
      <c r="J50" s="190"/>
      <c r="K50" s="190"/>
      <c r="L50" s="191"/>
      <c r="M50" s="192"/>
    </row>
    <row r="51" spans="1:14" s="193" customFormat="1" ht="21" customHeight="1">
      <c r="A51" s="219" t="s">
        <v>33</v>
      </c>
      <c r="B51" s="230" t="s">
        <v>211</v>
      </c>
      <c r="C51" s="231"/>
      <c r="D51" s="190"/>
      <c r="E51" s="190"/>
      <c r="F51" s="190"/>
      <c r="G51" s="190"/>
      <c r="H51" s="190"/>
      <c r="I51" s="189">
        <f>+'Calculation of Risk Weighted As'!I51-'Calculation of Risk Weighte нац'!I51</f>
        <v>0</v>
      </c>
      <c r="J51" s="190"/>
      <c r="K51" s="190"/>
      <c r="L51" s="191"/>
      <c r="M51" s="192"/>
    </row>
    <row r="52" spans="1:14" s="193" customFormat="1" ht="29.25" customHeight="1">
      <c r="A52" s="219" t="s">
        <v>35</v>
      </c>
      <c r="B52" s="230" t="s">
        <v>212</v>
      </c>
      <c r="C52" s="231"/>
      <c r="D52" s="190"/>
      <c r="E52" s="190"/>
      <c r="F52" s="190"/>
      <c r="G52" s="190"/>
      <c r="H52" s="190"/>
      <c r="I52" s="190"/>
      <c r="J52" s="189">
        <f>+'Calculation of Risk Weighted As'!J52-'Calculation of Risk Weighte нац'!J52</f>
        <v>0</v>
      </c>
      <c r="K52" s="189">
        <f>+'Calculation of Risk Weighted As'!K52-'Calculation of Risk Weighte нац'!K52</f>
        <v>0</v>
      </c>
      <c r="L52" s="191"/>
      <c r="M52" s="192"/>
    </row>
    <row r="53" spans="1:14" s="193" customFormat="1" ht="21" customHeight="1">
      <c r="A53" s="219" t="s">
        <v>42</v>
      </c>
      <c r="B53" s="230" t="s">
        <v>213</v>
      </c>
      <c r="C53" s="231"/>
      <c r="D53" s="190"/>
      <c r="E53" s="190"/>
      <c r="F53" s="190"/>
      <c r="G53" s="190"/>
      <c r="H53" s="190"/>
      <c r="I53" s="190"/>
      <c r="J53" s="189">
        <f>+'Calculation of Risk Weighted As'!J53-'Calculation of Risk Weighte нац'!J53</f>
        <v>0</v>
      </c>
      <c r="K53" s="189">
        <f>+'Calculation of Risk Weighted As'!K53-'Calculation of Risk Weighte нац'!K53</f>
        <v>0</v>
      </c>
      <c r="L53" s="191"/>
      <c r="M53" s="192"/>
    </row>
    <row r="54" spans="1:14" s="193" customFormat="1" ht="28.5" customHeight="1">
      <c r="A54" s="219" t="s">
        <v>79</v>
      </c>
      <c r="B54" s="230" t="s">
        <v>282</v>
      </c>
      <c r="C54" s="231"/>
      <c r="D54" s="189">
        <f>+'Calculation of Risk Weighted As'!D54-'Calculation of Risk Weighte нац'!D54</f>
        <v>3313793</v>
      </c>
      <c r="E54" s="190"/>
      <c r="F54" s="190"/>
      <c r="G54" s="190"/>
      <c r="H54" s="190"/>
      <c r="I54" s="190"/>
      <c r="J54" s="190"/>
      <c r="K54" s="190"/>
      <c r="L54" s="191"/>
      <c r="M54" s="192"/>
    </row>
    <row r="55" spans="1:14" s="193" customFormat="1" ht="27.75" customHeight="1">
      <c r="A55" s="219" t="s">
        <v>80</v>
      </c>
      <c r="B55" s="230" t="s">
        <v>283</v>
      </c>
      <c r="C55" s="231"/>
      <c r="D55" s="189">
        <f>+'Calculation of Risk Weighted As'!D55-'Calculation of Risk Weighte нац'!D55</f>
        <v>0</v>
      </c>
      <c r="E55" s="190"/>
      <c r="F55" s="190"/>
      <c r="G55" s="190"/>
      <c r="H55" s="190"/>
      <c r="I55" s="190"/>
      <c r="J55" s="190"/>
      <c r="K55" s="189">
        <f>+'Calculation of Risk Weighted As'!K55-'Calculation of Risk Weighte нац'!K55</f>
        <v>0</v>
      </c>
      <c r="L55" s="191"/>
      <c r="M55" s="192"/>
    </row>
    <row r="56" spans="1:14" s="193" customFormat="1" ht="21" customHeight="1">
      <c r="A56" s="219" t="s">
        <v>73</v>
      </c>
      <c r="B56" s="230" t="s">
        <v>214</v>
      </c>
      <c r="C56" s="231"/>
      <c r="D56" s="189">
        <f>+'Calculation of Risk Weighted As'!D56-'Calculation of Risk Weighte нац'!D56</f>
        <v>0</v>
      </c>
      <c r="E56" s="195"/>
      <c r="F56" s="190"/>
      <c r="G56" s="190"/>
      <c r="H56" s="190"/>
      <c r="I56" s="189">
        <f>+'Calculation of Risk Weighted As'!I56-'Calculation of Risk Weighte нац'!I56</f>
        <v>0</v>
      </c>
      <c r="J56" s="190"/>
      <c r="K56" s="190"/>
      <c r="L56" s="191"/>
      <c r="M56" s="192"/>
    </row>
    <row r="57" spans="1:14" s="193" customFormat="1" ht="21" customHeight="1">
      <c r="A57" s="219" t="s">
        <v>74</v>
      </c>
      <c r="B57" s="230" t="s">
        <v>265</v>
      </c>
      <c r="C57" s="231"/>
      <c r="D57" s="189">
        <f>+'Calculation of Risk Weighted As'!D57-'Calculation of Risk Weighte нац'!D57</f>
        <v>0</v>
      </c>
      <c r="E57" s="189">
        <f>+'Calculation of Risk Weighted As'!E57-'Calculation of Risk Weighte нац'!E57</f>
        <v>0</v>
      </c>
      <c r="F57" s="190"/>
      <c r="G57" s="190"/>
      <c r="H57" s="190"/>
      <c r="I57" s="189">
        <f>+'Calculation of Risk Weighted As'!I57-'Calculation of Risk Weighte нац'!I57</f>
        <v>0</v>
      </c>
      <c r="J57" s="190"/>
      <c r="K57" s="189">
        <f>+'Calculation of Risk Weighted As'!K57-'Calculation of Risk Weighte нац'!K57</f>
        <v>109734946</v>
      </c>
      <c r="L57" s="191"/>
      <c r="M57" s="192"/>
    </row>
    <row r="58" spans="1:14" s="193" customFormat="1" ht="21" customHeight="1">
      <c r="A58" s="219" t="s">
        <v>75</v>
      </c>
      <c r="B58" s="230" t="s">
        <v>284</v>
      </c>
      <c r="C58" s="231"/>
      <c r="D58" s="190"/>
      <c r="E58" s="190"/>
      <c r="F58" s="190"/>
      <c r="G58" s="190"/>
      <c r="H58" s="190"/>
      <c r="I58" s="190"/>
      <c r="J58" s="190"/>
      <c r="K58" s="189">
        <f>+'Calculation of Risk Weighted As'!K58-'Calculation of Risk Weighte нац'!K58</f>
        <v>0</v>
      </c>
      <c r="L58" s="191"/>
      <c r="M58" s="192"/>
    </row>
    <row r="59" spans="1:14" s="193" customFormat="1" ht="21" customHeight="1">
      <c r="A59" s="219" t="s">
        <v>76</v>
      </c>
      <c r="B59" s="230" t="s">
        <v>269</v>
      </c>
      <c r="C59" s="231"/>
      <c r="D59" s="189">
        <f>+'Calculation of Risk Weighted As'!D59-'Calculation of Risk Weighte нац'!D59</f>
        <v>0</v>
      </c>
      <c r="E59" s="190"/>
      <c r="F59" s="190"/>
      <c r="G59" s="190"/>
      <c r="H59" s="190"/>
      <c r="I59" s="190"/>
      <c r="J59" s="190"/>
      <c r="K59" s="190"/>
      <c r="L59" s="220"/>
      <c r="M59" s="220"/>
      <c r="N59" s="220"/>
    </row>
    <row r="60" spans="1:14" s="193" customFormat="1" ht="21" customHeight="1">
      <c r="A60" s="219" t="s">
        <v>77</v>
      </c>
      <c r="B60" s="230" t="s">
        <v>215</v>
      </c>
      <c r="C60" s="231"/>
      <c r="D60" s="189">
        <f>+'Calculation of Risk Weighted As'!D60-'Calculation of Risk Weighte нац'!D60</f>
        <v>95248892</v>
      </c>
      <c r="E60" s="189">
        <f>+'Calculation of Risk Weighted As'!E60-'Calculation of Risk Weighte нац'!E60</f>
        <v>82823827</v>
      </c>
      <c r="F60" s="189">
        <f>+'Calculation of Risk Weighted As'!F60-'Calculation of Risk Weighte нац'!F60</f>
        <v>0</v>
      </c>
      <c r="G60" s="189">
        <f>+'Calculation of Risk Weighted As'!G60-'Calculation of Risk Weighte нац'!G60</f>
        <v>0</v>
      </c>
      <c r="H60" s="189">
        <f>+'Calculation of Risk Weighted As'!H60-'Calculation of Risk Weighte нац'!H60</f>
        <v>0</v>
      </c>
      <c r="I60" s="189">
        <f>+'Calculation of Risk Weighted As'!I60-'Calculation of Risk Weighte нац'!I60</f>
        <v>1787740326</v>
      </c>
      <c r="J60" s="189">
        <f>+'Calculation of Risk Weighted As'!J60-'Calculation of Risk Weighte нац'!J60</f>
        <v>330917422</v>
      </c>
      <c r="K60" s="189">
        <f>+'Calculation of Risk Weighted As'!K60-'Calculation of Risk Weighte нац'!K60</f>
        <v>193541019</v>
      </c>
      <c r="L60" s="220"/>
      <c r="M60" s="220"/>
      <c r="N60" s="220"/>
    </row>
    <row r="61" spans="1:14" s="193" customFormat="1" ht="21" customHeight="1">
      <c r="A61" s="219" t="s">
        <v>78</v>
      </c>
      <c r="B61" s="230" t="s">
        <v>216</v>
      </c>
      <c r="C61" s="231"/>
      <c r="D61" s="196">
        <f t="shared" ref="D61:K61" si="0">SUM(D8:D58)+D60-D59</f>
        <v>9712938281</v>
      </c>
      <c r="E61" s="196">
        <f t="shared" si="0"/>
        <v>4053951835</v>
      </c>
      <c r="F61" s="196">
        <f t="shared" si="0"/>
        <v>0</v>
      </c>
      <c r="G61" s="196">
        <f t="shared" si="0"/>
        <v>1035238216</v>
      </c>
      <c r="H61" s="196">
        <f t="shared" si="0"/>
        <v>0</v>
      </c>
      <c r="I61" s="196">
        <f t="shared" si="0"/>
        <v>30585783911</v>
      </c>
      <c r="J61" s="196">
        <f t="shared" si="0"/>
        <v>3091239598</v>
      </c>
      <c r="K61" s="196">
        <f t="shared" si="0"/>
        <v>1648100774</v>
      </c>
      <c r="L61" s="220">
        <f>SUM(D61:K61)</f>
        <v>50127252615</v>
      </c>
      <c r="M61" s="220">
        <f>+[7]Balance!$E$47</f>
        <v>50127252615</v>
      </c>
      <c r="N61" s="220">
        <f>+L61-M61</f>
        <v>0</v>
      </c>
    </row>
    <row r="62" spans="1:14" s="193" customFormat="1" ht="26.25" customHeight="1">
      <c r="A62" s="219" t="s">
        <v>264</v>
      </c>
      <c r="B62" s="230" t="s">
        <v>217</v>
      </c>
      <c r="C62" s="231"/>
      <c r="D62" s="190"/>
      <c r="E62" s="196">
        <f t="shared" ref="E62:K62" si="1">E61*E3</f>
        <v>810790367</v>
      </c>
      <c r="F62" s="196">
        <f t="shared" si="1"/>
        <v>0</v>
      </c>
      <c r="G62" s="196">
        <f t="shared" si="1"/>
        <v>517619108</v>
      </c>
      <c r="H62" s="196">
        <f t="shared" si="1"/>
        <v>0</v>
      </c>
      <c r="I62" s="196">
        <f t="shared" si="1"/>
        <v>30585783911</v>
      </c>
      <c r="J62" s="196">
        <f t="shared" si="1"/>
        <v>4636859397</v>
      </c>
      <c r="K62" s="196">
        <f t="shared" si="1"/>
        <v>3296201548</v>
      </c>
      <c r="L62" s="220"/>
      <c r="M62" s="220"/>
      <c r="N62" s="220"/>
    </row>
    <row r="63" spans="1:14" s="193" customFormat="1" ht="21" customHeight="1">
      <c r="A63" s="219" t="s">
        <v>270</v>
      </c>
      <c r="B63" s="230" t="s">
        <v>285</v>
      </c>
      <c r="C63" s="231"/>
      <c r="D63" s="190"/>
      <c r="E63" s="190"/>
      <c r="F63" s="190"/>
      <c r="G63" s="190"/>
      <c r="H63" s="190"/>
      <c r="I63" s="190"/>
      <c r="J63" s="190"/>
      <c r="K63" s="196">
        <f>SUM(E62:K62)</f>
        <v>39847254331</v>
      </c>
      <c r="L63" s="220"/>
      <c r="M63" s="220"/>
      <c r="N63" s="220"/>
    </row>
    <row r="64" spans="1:14" s="193" customFormat="1">
      <c r="A64" s="180"/>
      <c r="B64" s="197"/>
      <c r="C64" s="197"/>
      <c r="K64" s="192"/>
      <c r="L64" s="220"/>
      <c r="M64" s="220"/>
      <c r="N64" s="220"/>
    </row>
    <row r="65" spans="1:14" s="193" customFormat="1">
      <c r="A65" s="180"/>
      <c r="B65" s="198"/>
      <c r="C65" s="198"/>
      <c r="D65" s="198"/>
      <c r="E65" s="198"/>
      <c r="F65" s="198"/>
      <c r="G65" s="198"/>
      <c r="H65" s="198"/>
      <c r="I65" s="198"/>
      <c r="J65" s="198"/>
      <c r="L65" s="220"/>
      <c r="M65" s="220"/>
      <c r="N65" s="220"/>
    </row>
    <row r="66" spans="1:14" s="193" customFormat="1" ht="48.75" customHeight="1">
      <c r="A66" s="199" t="s">
        <v>52</v>
      </c>
      <c r="B66" s="219" t="s">
        <v>220</v>
      </c>
      <c r="C66" s="200" t="s">
        <v>218</v>
      </c>
      <c r="D66" s="185">
        <v>0</v>
      </c>
      <c r="E66" s="185">
        <v>0.2</v>
      </c>
      <c r="F66" s="185">
        <v>0.35</v>
      </c>
      <c r="G66" s="185">
        <v>0.5</v>
      </c>
      <c r="H66" s="201">
        <v>0.75</v>
      </c>
      <c r="I66" s="185">
        <v>1</v>
      </c>
      <c r="J66" s="185">
        <v>1.5</v>
      </c>
      <c r="K66" s="185">
        <v>2</v>
      </c>
      <c r="L66" s="220"/>
      <c r="M66" s="220"/>
      <c r="N66" s="220"/>
    </row>
    <row r="67" spans="1:14" s="193" customFormat="1">
      <c r="A67" s="199">
        <v>1</v>
      </c>
      <c r="B67" s="202" t="s">
        <v>221</v>
      </c>
      <c r="C67" s="190"/>
      <c r="D67" s="190"/>
      <c r="E67" s="190"/>
      <c r="F67" s="190"/>
      <c r="G67" s="190"/>
      <c r="H67" s="190"/>
      <c r="I67" s="190"/>
      <c r="J67" s="190"/>
      <c r="K67" s="190"/>
      <c r="L67" s="220"/>
      <c r="M67" s="220"/>
      <c r="N67" s="220"/>
    </row>
    <row r="68" spans="1:14" s="193" customFormat="1" ht="12.75" customHeight="1">
      <c r="A68" s="199" t="s">
        <v>31</v>
      </c>
      <c r="B68" s="203" t="s">
        <v>222</v>
      </c>
      <c r="C68" s="204">
        <v>0.5</v>
      </c>
      <c r="D68" s="189">
        <f>+'Calculation of Risk Weighted As'!D68-'Calculation of Risk Weighte нац'!D68</f>
        <v>0</v>
      </c>
      <c r="E68" s="189">
        <f>+'Calculation of Risk Weighted As'!E68-'Calculation of Risk Weighte нац'!E68</f>
        <v>0</v>
      </c>
      <c r="F68" s="189">
        <f>+'Calculation of Risk Weighted As'!F68-'Calculation of Risk Weighte нац'!F68</f>
        <v>0</v>
      </c>
      <c r="G68" s="189">
        <f>+'Calculation of Risk Weighted As'!G68-'Calculation of Risk Weighte нац'!G68</f>
        <v>0</v>
      </c>
      <c r="H68" s="189">
        <f>+'Calculation of Risk Weighted As'!H68-'Calculation of Risk Weighte нац'!H68</f>
        <v>0</v>
      </c>
      <c r="I68" s="189">
        <f>+'Calculation of Risk Weighted As'!I68-'Calculation of Risk Weighte нац'!I68</f>
        <v>853846881</v>
      </c>
      <c r="J68" s="189">
        <f>+'Calculation of Risk Weighted As'!J68-'Calculation of Risk Weighte нац'!J68</f>
        <v>0</v>
      </c>
      <c r="K68" s="189">
        <f>+'Calculation of Risk Weighted As'!K68-'Calculation of Risk Weighte нац'!K68</f>
        <v>0</v>
      </c>
      <c r="L68" s="220"/>
      <c r="M68" s="220"/>
      <c r="N68" s="220"/>
    </row>
    <row r="69" spans="1:14" s="193" customFormat="1">
      <c r="A69" s="199" t="s">
        <v>33</v>
      </c>
      <c r="B69" s="203" t="s">
        <v>223</v>
      </c>
      <c r="C69" s="204">
        <v>0.2</v>
      </c>
      <c r="D69" s="189">
        <f>+'Calculation of Risk Weighted As'!D69-'Calculation of Risk Weighte нац'!D69</f>
        <v>0</v>
      </c>
      <c r="E69" s="189">
        <f>+'Calculation of Risk Weighted As'!E69-'Calculation of Risk Weighte нац'!E69</f>
        <v>0</v>
      </c>
      <c r="F69" s="189">
        <f>+'Calculation of Risk Weighted As'!F69-'Calculation of Risk Weighte нац'!F69</f>
        <v>0</v>
      </c>
      <c r="G69" s="189">
        <f>+'Calculation of Risk Weighted As'!G69-'Calculation of Risk Weighte нац'!G69</f>
        <v>0</v>
      </c>
      <c r="H69" s="189">
        <f>+'Calculation of Risk Weighted As'!H69-'Calculation of Risk Weighte нац'!H69</f>
        <v>0</v>
      </c>
      <c r="I69" s="189">
        <f>+'Calculation of Risk Weighted As'!I69-'Calculation of Risk Weighte нац'!I69</f>
        <v>532231484</v>
      </c>
      <c r="J69" s="189">
        <f>+'Calculation of Risk Weighted As'!J69-'Calculation of Risk Weighte нац'!J69</f>
        <v>0</v>
      </c>
      <c r="K69" s="189">
        <f>+'Calculation of Risk Weighted As'!K69-'Calculation of Risk Weighte нац'!K69</f>
        <v>0</v>
      </c>
      <c r="L69" s="220">
        <f>SUM(D68:K69)</f>
        <v>1386078365</v>
      </c>
      <c r="M69" s="220">
        <f>+[7]Commitments!$E$4</f>
        <v>1386078365</v>
      </c>
      <c r="N69" s="220">
        <f>+L69-M69</f>
        <v>0</v>
      </c>
    </row>
    <row r="70" spans="1:14" s="193" customFormat="1" ht="26.25" customHeight="1">
      <c r="A70" s="199">
        <v>2</v>
      </c>
      <c r="B70" s="202" t="s">
        <v>286</v>
      </c>
      <c r="C70" s="204">
        <v>1</v>
      </c>
      <c r="D70" s="189">
        <f>+'Calculation of Risk Weighted As'!D70-'Calculation of Risk Weighte нац'!D70</f>
        <v>0</v>
      </c>
      <c r="E70" s="189">
        <f>+'Calculation of Risk Weighted As'!E70-'Calculation of Risk Weighte нац'!E70</f>
        <v>0</v>
      </c>
      <c r="F70" s="190"/>
      <c r="G70" s="189">
        <f>+'Calculation of Risk Weighted As'!G70-'Calculation of Risk Weighte нац'!G70</f>
        <v>0</v>
      </c>
      <c r="H70" s="190"/>
      <c r="I70" s="189">
        <f>+'Calculation of Risk Weighted As'!I70-'Calculation of Risk Weighte нац'!I70</f>
        <v>0</v>
      </c>
      <c r="J70" s="190"/>
      <c r="K70" s="190"/>
      <c r="L70" s="220"/>
      <c r="M70" s="220"/>
      <c r="N70" s="220"/>
    </row>
    <row r="71" spans="1:14" s="193" customFormat="1">
      <c r="A71" s="199">
        <v>3</v>
      </c>
      <c r="B71" s="202" t="s">
        <v>224</v>
      </c>
      <c r="C71" s="204">
        <v>1</v>
      </c>
      <c r="D71" s="189">
        <f>+'Calculation of Risk Weighted As'!D71-'Calculation of Risk Weighte нац'!D71</f>
        <v>206992592</v>
      </c>
      <c r="E71" s="189">
        <f>+'Calculation of Risk Weighted As'!E71-'Calculation of Risk Weighte нац'!E71</f>
        <v>0</v>
      </c>
      <c r="F71" s="190"/>
      <c r="G71" s="189">
        <f>+'Calculation of Risk Weighted As'!G71-'Calculation of Risk Weighte нац'!G71</f>
        <v>0</v>
      </c>
      <c r="H71" s="190"/>
      <c r="I71" s="189">
        <f>+'Calculation of Risk Weighted As'!I71-'Calculation of Risk Weighte нац'!I71</f>
        <v>1806879802</v>
      </c>
      <c r="J71" s="189">
        <f>+'Calculation of Risk Weighted As'!J71-'Calculation of Risk Weighte нац'!J71</f>
        <v>0</v>
      </c>
      <c r="K71" s="189">
        <f>+'Calculation of Risk Weighted As'!K71-'Calculation of Risk Weighte нац'!K71</f>
        <v>44981244</v>
      </c>
      <c r="L71" s="220">
        <f>SUM(D71:K71)</f>
        <v>2058853638</v>
      </c>
      <c r="M71" s="220">
        <f>+[7]Commitments!$E$7</f>
        <v>2058853638</v>
      </c>
      <c r="N71" s="220">
        <f>+L71-M71</f>
        <v>0</v>
      </c>
    </row>
    <row r="72" spans="1:14" s="193" customFormat="1">
      <c r="A72" s="199">
        <v>4</v>
      </c>
      <c r="B72" s="202" t="s">
        <v>287</v>
      </c>
      <c r="C72" s="207"/>
      <c r="D72" s="190"/>
      <c r="E72" s="190"/>
      <c r="F72" s="190"/>
      <c r="G72" s="190"/>
      <c r="H72" s="190"/>
      <c r="I72" s="190"/>
      <c r="J72" s="190"/>
      <c r="K72" s="190"/>
      <c r="L72" s="220"/>
      <c r="M72" s="220"/>
      <c r="N72" s="220"/>
    </row>
    <row r="73" spans="1:14" s="193" customFormat="1">
      <c r="A73" s="199" t="s">
        <v>31</v>
      </c>
      <c r="B73" s="203" t="s">
        <v>225</v>
      </c>
      <c r="C73" s="204">
        <v>1</v>
      </c>
      <c r="D73" s="189">
        <f>+'Calculation of Risk Weighted As'!D73-'Calculation of Risk Weighte нац'!D73</f>
        <v>0</v>
      </c>
      <c r="E73" s="189">
        <f>+'Calculation of Risk Weighted As'!E73-'Calculation of Risk Weighte нац'!E73</f>
        <v>0</v>
      </c>
      <c r="F73" s="190"/>
      <c r="G73" s="189">
        <f>+'Calculation of Risk Weighted As'!G73-'Calculation of Risk Weighte нац'!G73</f>
        <v>0</v>
      </c>
      <c r="H73" s="190"/>
      <c r="I73" s="189">
        <f>+'Calculation of Risk Weighted As'!I73-'Calculation of Risk Weighte нац'!I73</f>
        <v>0</v>
      </c>
      <c r="J73" s="190"/>
      <c r="K73" s="189">
        <f>+'Calculation of Risk Weighted As'!K73-'Calculation of Risk Weighte нац'!K73</f>
        <v>0</v>
      </c>
      <c r="L73" s="220"/>
      <c r="M73" s="220"/>
      <c r="N73" s="220"/>
    </row>
    <row r="74" spans="1:14" s="193" customFormat="1">
      <c r="A74" s="199" t="s">
        <v>33</v>
      </c>
      <c r="B74" s="203" t="s">
        <v>226</v>
      </c>
      <c r="C74" s="204">
        <v>0.5</v>
      </c>
      <c r="D74" s="189">
        <f>+'Calculation of Risk Weighted As'!D74-'Calculation of Risk Weighte нац'!D74</f>
        <v>0</v>
      </c>
      <c r="E74" s="189">
        <f>+'Calculation of Risk Weighted As'!E74-'Calculation of Risk Weighte нац'!E74</f>
        <v>0</v>
      </c>
      <c r="F74" s="190"/>
      <c r="G74" s="189">
        <f>+'Calculation of Risk Weighted As'!G74-'Calculation of Risk Weighte нац'!G74</f>
        <v>0</v>
      </c>
      <c r="H74" s="190"/>
      <c r="I74" s="189">
        <f>+'Calculation of Risk Weighted As'!I74-'Calculation of Risk Weighte нац'!I74</f>
        <v>0</v>
      </c>
      <c r="J74" s="190"/>
      <c r="K74" s="189">
        <f>+'Calculation of Risk Weighted As'!K74-'Calculation of Risk Weighte нац'!K74</f>
        <v>0</v>
      </c>
      <c r="L74" s="220"/>
      <c r="M74" s="220"/>
      <c r="N74" s="220"/>
    </row>
    <row r="75" spans="1:14" s="193" customFormat="1" ht="12.75" customHeight="1">
      <c r="A75" s="199" t="s">
        <v>35</v>
      </c>
      <c r="B75" s="203" t="s">
        <v>227</v>
      </c>
      <c r="C75" s="204">
        <v>0.2</v>
      </c>
      <c r="D75" s="189">
        <f>+'Calculation of Risk Weighted As'!D75-'Calculation of Risk Weighte нац'!D75</f>
        <v>1387680332</v>
      </c>
      <c r="E75" s="189">
        <f>+'Calculation of Risk Weighted As'!E75-'Calculation of Risk Weighte нац'!E75</f>
        <v>0</v>
      </c>
      <c r="F75" s="190"/>
      <c r="G75" s="189">
        <f>+'Calculation of Risk Weighted As'!G75-'Calculation of Risk Weighte нац'!G75</f>
        <v>0</v>
      </c>
      <c r="H75" s="190"/>
      <c r="I75" s="189">
        <f>+'Calculation of Risk Weighted As'!I75-'Calculation of Risk Weighte нац'!I75</f>
        <v>693465915</v>
      </c>
      <c r="J75" s="190"/>
      <c r="K75" s="189">
        <f>+'Calculation of Risk Weighted As'!K75-'Calculation of Risk Weighte нац'!K75</f>
        <v>0</v>
      </c>
      <c r="L75" s="220"/>
      <c r="M75" s="220"/>
      <c r="N75" s="220"/>
    </row>
    <row r="76" spans="1:14" s="193" customFormat="1">
      <c r="A76" s="199" t="s">
        <v>42</v>
      </c>
      <c r="B76" s="203" t="s">
        <v>228</v>
      </c>
      <c r="C76" s="204">
        <v>1</v>
      </c>
      <c r="D76" s="189">
        <f>+'Calculation of Risk Weighted As'!D76-'Calculation of Risk Weighte нац'!D76</f>
        <v>0</v>
      </c>
      <c r="E76" s="189">
        <f>+'Calculation of Risk Weighted As'!E76-'Calculation of Risk Weighte нац'!E76</f>
        <v>0</v>
      </c>
      <c r="F76" s="190"/>
      <c r="G76" s="189">
        <f>+'Calculation of Risk Weighted As'!G76-'Calculation of Risk Weighte нац'!G76</f>
        <v>0</v>
      </c>
      <c r="H76" s="190"/>
      <c r="I76" s="189">
        <f>+'Calculation of Risk Weighted As'!I76-'Calculation of Risk Weighte нац'!I76</f>
        <v>0</v>
      </c>
      <c r="J76" s="190"/>
      <c r="K76" s="189">
        <f>+'Calculation of Risk Weighted As'!K76-'Calculation of Risk Weighte нац'!K76</f>
        <v>0</v>
      </c>
      <c r="L76" s="220">
        <f>SUM(D73:K76)</f>
        <v>2081146247</v>
      </c>
      <c r="M76" s="220">
        <f>+[7]Commitments!$E$10</f>
        <v>2081146247</v>
      </c>
      <c r="N76" s="220">
        <f>+L76-M76</f>
        <v>0</v>
      </c>
    </row>
    <row r="77" spans="1:14" s="193" customFormat="1" ht="26.25" customHeight="1">
      <c r="A77" s="199">
        <v>5</v>
      </c>
      <c r="B77" s="202" t="s">
        <v>257</v>
      </c>
      <c r="C77" s="207"/>
      <c r="D77" s="190"/>
      <c r="E77" s="190"/>
      <c r="F77" s="190"/>
      <c r="G77" s="190"/>
      <c r="H77" s="190"/>
      <c r="I77" s="190"/>
      <c r="J77" s="190"/>
      <c r="K77" s="190"/>
      <c r="L77" s="220"/>
      <c r="M77" s="220"/>
      <c r="N77" s="220"/>
    </row>
    <row r="78" spans="1:14" s="193" customFormat="1">
      <c r="A78" s="199" t="s">
        <v>31</v>
      </c>
      <c r="B78" s="203" t="s">
        <v>229</v>
      </c>
      <c r="C78" s="207"/>
      <c r="D78" s="190"/>
      <c r="E78" s="190"/>
      <c r="F78" s="190"/>
      <c r="G78" s="190"/>
      <c r="H78" s="190"/>
      <c r="I78" s="190"/>
      <c r="J78" s="190"/>
      <c r="K78" s="190"/>
      <c r="N78" s="206"/>
    </row>
    <row r="79" spans="1:14" s="193" customFormat="1">
      <c r="A79" s="199" t="s">
        <v>58</v>
      </c>
      <c r="B79" s="208" t="s">
        <v>230</v>
      </c>
      <c r="C79" s="209">
        <v>5.0000000000000001E-3</v>
      </c>
      <c r="D79" s="189">
        <f>+'Calculation of Risk Weighted As'!D79-'Calculation of Risk Weighte нац'!D79</f>
        <v>0</v>
      </c>
      <c r="E79" s="189">
        <f>+'Calculation of Risk Weighted As'!E79-'Calculation of Risk Weighte нац'!E79</f>
        <v>0</v>
      </c>
      <c r="F79" s="190"/>
      <c r="G79" s="189">
        <f>+'Calculation of Risk Weighted As'!G79-'Calculation of Risk Weighte нац'!G79</f>
        <v>0</v>
      </c>
      <c r="H79" s="190"/>
      <c r="I79" s="189">
        <f>+'Calculation of Risk Weighted As'!I79-'Calculation of Risk Weighte нац'!I79</f>
        <v>0</v>
      </c>
      <c r="J79" s="190"/>
      <c r="K79" s="190"/>
      <c r="N79" s="206"/>
    </row>
    <row r="80" spans="1:14" s="193" customFormat="1">
      <c r="A80" s="199" t="s">
        <v>59</v>
      </c>
      <c r="B80" s="208" t="s">
        <v>231</v>
      </c>
      <c r="C80" s="204">
        <v>0.01</v>
      </c>
      <c r="D80" s="189">
        <f>+'Calculation of Risk Weighted As'!D80-'Calculation of Risk Weighte нац'!D80</f>
        <v>0</v>
      </c>
      <c r="E80" s="189">
        <f>+'Calculation of Risk Weighted As'!E80-'Calculation of Risk Weighte нац'!E80</f>
        <v>0</v>
      </c>
      <c r="F80" s="190"/>
      <c r="G80" s="189">
        <f>+'Calculation of Risk Weighted As'!G80-'Calculation of Risk Weighte нац'!G80</f>
        <v>0</v>
      </c>
      <c r="H80" s="190"/>
      <c r="I80" s="189">
        <f>+'Calculation of Risk Weighted As'!I80-'Calculation of Risk Weighte нац'!I80</f>
        <v>0</v>
      </c>
      <c r="J80" s="190"/>
      <c r="K80" s="190"/>
      <c r="N80" s="206"/>
    </row>
    <row r="81" spans="1:14" s="193" customFormat="1">
      <c r="A81" s="199" t="s">
        <v>60</v>
      </c>
      <c r="B81" s="208" t="s">
        <v>232</v>
      </c>
      <c r="C81" s="204">
        <v>0.02</v>
      </c>
      <c r="D81" s="189">
        <f>+'Calculation of Risk Weighted As'!D81-'Calculation of Risk Weighte нац'!D81</f>
        <v>0</v>
      </c>
      <c r="E81" s="189">
        <f>+'Calculation of Risk Weighted As'!E81-'Calculation of Risk Weighte нац'!E81</f>
        <v>0</v>
      </c>
      <c r="F81" s="190"/>
      <c r="G81" s="189">
        <f>+'Calculation of Risk Weighted As'!G81-'Calculation of Risk Weighte нац'!G81</f>
        <v>0</v>
      </c>
      <c r="H81" s="190"/>
      <c r="I81" s="189">
        <f>+'Calculation of Risk Weighted As'!I81-'Calculation of Risk Weighte нац'!I81</f>
        <v>0</v>
      </c>
      <c r="J81" s="190"/>
      <c r="K81" s="190"/>
      <c r="N81" s="206"/>
    </row>
    <row r="82" spans="1:14" s="193" customFormat="1">
      <c r="A82" s="199" t="s">
        <v>33</v>
      </c>
      <c r="B82" s="203" t="s">
        <v>233</v>
      </c>
      <c r="C82" s="207"/>
      <c r="D82" s="190"/>
      <c r="E82" s="190"/>
      <c r="F82" s="190"/>
      <c r="G82" s="190"/>
      <c r="H82" s="190"/>
      <c r="I82" s="190"/>
      <c r="J82" s="190"/>
      <c r="K82" s="190"/>
      <c r="N82" s="206"/>
    </row>
    <row r="83" spans="1:14" s="193" customFormat="1">
      <c r="A83" s="199" t="s">
        <v>61</v>
      </c>
      <c r="B83" s="208" t="s">
        <v>234</v>
      </c>
      <c r="C83" s="204">
        <v>0.02</v>
      </c>
      <c r="D83" s="210">
        <f>+'Calculation of Risk Weighted As'!D83-'Calculation of Risk Weighte нац'!D83</f>
        <v>329472240</v>
      </c>
      <c r="E83" s="210">
        <f>+'Calculation of Risk Weighted As'!E83-'Calculation of Risk Weighte нац'!E83</f>
        <v>0</v>
      </c>
      <c r="F83" s="190"/>
      <c r="G83" s="189">
        <f>+'Calculation of Risk Weighted As'!G83-'Calculation of Risk Weighte нац'!G83</f>
        <v>0</v>
      </c>
      <c r="H83" s="190"/>
      <c r="I83" s="189">
        <f>+'Calculation of Risk Weighted As'!I83-'Calculation of Risk Weighte нац'!I83</f>
        <v>0</v>
      </c>
      <c r="J83" s="190"/>
      <c r="K83" s="190"/>
      <c r="N83" s="192"/>
    </row>
    <row r="84" spans="1:14" s="193" customFormat="1">
      <c r="A84" s="199" t="s">
        <v>62</v>
      </c>
      <c r="B84" s="208" t="s">
        <v>235</v>
      </c>
      <c r="C84" s="204">
        <v>0.05</v>
      </c>
      <c r="D84" s="210">
        <f>+'Calculation of Risk Weighted As'!D84-'Calculation of Risk Weighte нац'!D84</f>
        <v>0</v>
      </c>
      <c r="E84" s="210">
        <f>+'Calculation of Risk Weighted As'!E84-'Calculation of Risk Weighte нац'!E84</f>
        <v>0</v>
      </c>
      <c r="F84" s="190"/>
      <c r="G84" s="189">
        <f>+'Calculation of Risk Weighted As'!G84-'Calculation of Risk Weighte нац'!G84</f>
        <v>0</v>
      </c>
      <c r="H84" s="190"/>
      <c r="I84" s="189">
        <f>+'Calculation of Risk Weighted As'!I84-'Calculation of Risk Weighte нац'!I84</f>
        <v>0</v>
      </c>
      <c r="J84" s="190"/>
      <c r="K84" s="190"/>
    </row>
    <row r="85" spans="1:14" s="193" customFormat="1">
      <c r="A85" s="199" t="s">
        <v>63</v>
      </c>
      <c r="B85" s="208" t="s">
        <v>236</v>
      </c>
      <c r="C85" s="204">
        <v>0.08</v>
      </c>
      <c r="D85" s="210">
        <f>+'Calculation of Risk Weighted As'!D85-'Calculation of Risk Weighte нац'!D85</f>
        <v>0</v>
      </c>
      <c r="E85" s="210">
        <f>+'Calculation of Risk Weighted As'!E85-'Calculation of Risk Weighte нац'!E85</f>
        <v>0</v>
      </c>
      <c r="F85" s="190"/>
      <c r="G85" s="189">
        <f>+'Calculation of Risk Weighted As'!G85-'Calculation of Risk Weighte нац'!G85</f>
        <v>0</v>
      </c>
      <c r="H85" s="190"/>
      <c r="I85" s="189">
        <f>+'Calculation of Risk Weighted As'!I85-'Calculation of Risk Weighte нац'!I85</f>
        <v>0</v>
      </c>
      <c r="J85" s="190"/>
      <c r="K85" s="190"/>
    </row>
    <row r="86" spans="1:14" s="193" customFormat="1">
      <c r="A86" s="199">
        <v>6</v>
      </c>
      <c r="B86" s="211" t="s">
        <v>237</v>
      </c>
      <c r="C86" s="207"/>
      <c r="D86" s="196">
        <f t="shared" ref="D86:G86" si="2">SUM(D68:D85)</f>
        <v>1924145164</v>
      </c>
      <c r="E86" s="196">
        <f t="shared" si="2"/>
        <v>0</v>
      </c>
      <c r="F86" s="196">
        <f t="shared" si="2"/>
        <v>0</v>
      </c>
      <c r="G86" s="196">
        <f t="shared" si="2"/>
        <v>0</v>
      </c>
      <c r="H86" s="196">
        <f t="shared" ref="H86" si="3">SUM(H68:H85)</f>
        <v>0</v>
      </c>
      <c r="I86" s="196">
        <f>SUM(I68:I85)</f>
        <v>3886424082</v>
      </c>
      <c r="J86" s="196">
        <f>SUM(J68:J85)</f>
        <v>0</v>
      </c>
      <c r="K86" s="196">
        <f>SUM(K68:K85)</f>
        <v>44981244</v>
      </c>
      <c r="L86" s="205"/>
      <c r="M86" s="205"/>
      <c r="N86" s="212"/>
    </row>
    <row r="87" spans="1:14" s="193" customFormat="1">
      <c r="A87" s="199">
        <v>7</v>
      </c>
      <c r="B87" s="211" t="s">
        <v>219</v>
      </c>
      <c r="C87" s="207"/>
      <c r="D87" s="196">
        <f>+(D68*$C$68*$D$3)+(D69*$C$69*$D$3)+(D70*$C$70*$D$3)+(D71*$C$71*$D$3)+(D73*$C$73*$D$3)+(D74*$C$74*$D$3)+(D75*$C$75*$D$3)+(D76*$C$76*$D$3)+(D79*$C$79*$D$3)+(D80*$C$80*$D$3)+(D81*$C$81*$D$3)+(D83*$C$83*$D$3)+(D84*$C$84*$D$3)+(D85*$C$85*$D$3)</f>
        <v>0</v>
      </c>
      <c r="E87" s="196">
        <f>+(E68*$C$68*$E$3)+(E69*$C$69*$E$3)+(E70*$C$70*$E$3)+(E71*$C$71*$E$3)+(E73*$C$73*$E$3)+(E74*$C$74*$E$3)+(E75*$C$75*$E$3)+(E76*$C$76*$E$3)+(E79*$C$79*$E$3)+(E80*$C$80*$E$3)+(E81*$C$81*$E$3)+(E83*$C$83*$E$3)+(E84*$C$84*$E$3)+(E85*$C$85*$E$3)</f>
        <v>0</v>
      </c>
      <c r="F87" s="196">
        <f>+(F68*$C$68*$F$3)+(F69*$C$69*$F$3)+(F70*$C$70*$F$3)+(F71*$C$71*$F$3)+(F73*$C$73*$F$3)+(F74*$C$74*$F$3)+(F75*$C$75*$F$3)+(F76*$C$76*$F$3)+(F79*$C$79*$F$3)+(F80*$C$80*$F$3)+(F81*$C$81*$F$3)+(F83*$C$83*$F$3)+(F84*$C$84*$F$3)+(F85*$C$85*$F$3)</f>
        <v>0</v>
      </c>
      <c r="G87" s="196">
        <f>+(G68*$C$68*$G$3)+(G69*$C$69*$G$3)+(G70*$C$70*$G$3)+(G71*$C$71*$G$3)+(G73*$C$73*$G$3)+(G74*$C$74*$G$3)+(G75*$C$75*$G$3)+(G76*$C$76*$G$3)+(G79*$C$79*$G$3)+(G80*$C$80*$G$3)+(G81*$C$81*$G$3)+(G83*$C$83*$G$3)+(G84*$C$84*$G$3)+(G85*$C$85*$G$3)</f>
        <v>0</v>
      </c>
      <c r="H87" s="196">
        <f>+(H68*$C$68*$G$3)+(H69*$C$69*$G$3)+(H70*$C$70*$G$3)+(H71*$C$71*$G$3)+(H73*$C$73*$G$3)+(H74*$C$74*$G$3)+(H75*$C$75*$G$3)+(H76*$C$76*$G$3)+(H79*$C$79*$G$3)+(H80*$C$80*$G$3)+(H81*$C$81*$G$3)+(H83*$C$83*$G$3)+(H84*$C$84*$G$3)+(H85*$C$85*$G$3)</f>
        <v>0</v>
      </c>
      <c r="I87" s="196">
        <f>+(I68*$C$68*$I$3)+(I69*$C$69*$I$3)+(I70*$C$70*$I$3)+(I71*$C$71*$I$3)+(I73*$C$73*$I$3)+(I74*$C$74*$I$3)+(I75*$C$75*$I$3)+(I76*$C$76*$I$3)+(I79*$C$79*$I$3)+(I80*$C$80*$I$3)+(I81*$C$81*$I$3)+(I83*$C$83*$I$3)+(I84*$C$84*$I$3)+(I85*$C$85*$I$3)</f>
        <v>2478942722.3000002</v>
      </c>
      <c r="J87" s="196">
        <f>+(J68*$C$68*$J$3)+(J69*$C$69*$J$3)+(J70*$C$70*$J$3)+(J71*$C$71*$J$3)+(J73*$C$73*$J$3)+(J74*$C$74*$J$3)+(J75*$C$75*$J$3)+(J76*$C$76*$J$3)+(J79*$C$79*$J$3)+(J80*$C$80*$J$3)+(J81*$C$81*$J$3)+(J83*$C$83*$J$3)+(J84*$C$84*$J$3)+(J85*$C$85*$J$3)</f>
        <v>0</v>
      </c>
      <c r="K87" s="196">
        <f>+(K68*$C$68*$K$3)+(K69*$C$69*$K$3)+(K70*$C$70*$K$3)+(K71*$C$71*$K$3)+(K73*$C$73*$K$3)+(K74*$C$74*$K$3)+(K75*$C$75*$K$3)+(K76*$C$76*$K$3)+(K79*$C$79*$K$3)+(K80*$C$80*$K$3)+(K81*$C$81*$K$3)+(K83*$C$83*$K$3)+(K84*$C$84*$K$3)+(K85*$C$85*$K$3)</f>
        <v>89962488</v>
      </c>
      <c r="L87" s="206"/>
    </row>
    <row r="88" spans="1:14" s="193" customFormat="1">
      <c r="A88" s="199">
        <v>8</v>
      </c>
      <c r="B88" s="211" t="s">
        <v>238</v>
      </c>
      <c r="C88" s="207"/>
      <c r="D88" s="190"/>
      <c r="E88" s="190"/>
      <c r="F88" s="190"/>
      <c r="G88" s="190"/>
      <c r="H88" s="190"/>
      <c r="I88" s="190"/>
      <c r="J88" s="190"/>
      <c r="K88" s="196">
        <f>SUM(D87:K87)</f>
        <v>2568905210.3000002</v>
      </c>
    </row>
    <row r="89" spans="1:14" s="193" customFormat="1">
      <c r="A89" s="199">
        <v>9</v>
      </c>
      <c r="B89" s="211" t="s">
        <v>239</v>
      </c>
      <c r="C89" s="207"/>
      <c r="D89" s="190"/>
      <c r="E89" s="190"/>
      <c r="F89" s="190"/>
      <c r="G89" s="190"/>
      <c r="H89" s="190"/>
      <c r="I89" s="190"/>
      <c r="J89" s="190"/>
      <c r="K89" s="196">
        <f>SUM(K88+K63)</f>
        <v>42416159541.300003</v>
      </c>
    </row>
    <row r="90" spans="1:14">
      <c r="I90" s="184"/>
      <c r="K90" s="179"/>
    </row>
    <row r="91" spans="1:14" s="213" customFormat="1" ht="15" customHeight="1">
      <c r="B91" s="214" t="s">
        <v>258</v>
      </c>
      <c r="D91" s="215"/>
      <c r="E91" s="216"/>
      <c r="F91" s="216"/>
      <c r="G91" s="216"/>
      <c r="H91" s="216"/>
      <c r="I91" s="216"/>
      <c r="J91" s="216"/>
      <c r="K91" s="216"/>
      <c r="L91" s="217"/>
    </row>
    <row r="92" spans="1:14" s="213" customFormat="1" ht="11.25" customHeight="1">
      <c r="B92" s="214"/>
      <c r="E92" s="217"/>
      <c r="F92" s="217"/>
      <c r="G92" s="217"/>
      <c r="H92" s="217"/>
      <c r="I92" s="217"/>
      <c r="J92" s="217"/>
      <c r="K92" s="217"/>
      <c r="L92" s="217"/>
    </row>
    <row r="93" spans="1:14" s="213" customFormat="1" ht="15" customHeight="1">
      <c r="B93" s="214" t="s">
        <v>259</v>
      </c>
      <c r="C93" s="214"/>
      <c r="K93" s="215"/>
      <c r="L93" s="217"/>
      <c r="M93" s="217"/>
      <c r="N93" s="217"/>
    </row>
    <row r="94" spans="1:14">
      <c r="J94" s="215"/>
    </row>
  </sheetData>
  <sheetProtection password="CACA" sheet="1" objects="1" scenarios="1"/>
  <mergeCells count="62">
    <mergeCell ref="B29:C29"/>
    <mergeCell ref="B30:C30"/>
    <mergeCell ref="B31:C31"/>
    <mergeCell ref="B32:C32"/>
    <mergeCell ref="B25:C25"/>
    <mergeCell ref="B23:C23"/>
    <mergeCell ref="B24:C24"/>
    <mergeCell ref="B26:C26"/>
    <mergeCell ref="B27:C27"/>
    <mergeCell ref="B28:C28"/>
    <mergeCell ref="B52:C52"/>
    <mergeCell ref="B57:C57"/>
    <mergeCell ref="B58:C58"/>
    <mergeCell ref="B59:C59"/>
    <mergeCell ref="B60:C60"/>
    <mergeCell ref="B53:C53"/>
    <mergeCell ref="B54:C54"/>
    <mergeCell ref="B55:C55"/>
    <mergeCell ref="B56:C56"/>
    <mergeCell ref="B47:C47"/>
    <mergeCell ref="B48:C48"/>
    <mergeCell ref="B49:C49"/>
    <mergeCell ref="B50:C50"/>
    <mergeCell ref="B51:C51"/>
    <mergeCell ref="B40:C40"/>
    <mergeCell ref="B41:C41"/>
    <mergeCell ref="B42:C42"/>
    <mergeCell ref="B45:C45"/>
    <mergeCell ref="B46:C46"/>
    <mergeCell ref="B43:C43"/>
    <mergeCell ref="B44:C44"/>
    <mergeCell ref="B35:C35"/>
    <mergeCell ref="B36:C36"/>
    <mergeCell ref="B37:C37"/>
    <mergeCell ref="B38:C38"/>
    <mergeCell ref="B39:C39"/>
    <mergeCell ref="A3:A5"/>
    <mergeCell ref="B3:C5"/>
    <mergeCell ref="B6:C6"/>
    <mergeCell ref="A1:J1"/>
    <mergeCell ref="I2:J2"/>
    <mergeCell ref="B7:C7"/>
    <mergeCell ref="B8:C8"/>
    <mergeCell ref="B9:C9"/>
    <mergeCell ref="B10:C10"/>
    <mergeCell ref="B11:C11"/>
    <mergeCell ref="B61:C61"/>
    <mergeCell ref="B62:C62"/>
    <mergeCell ref="B63:C63"/>
    <mergeCell ref="B12:C12"/>
    <mergeCell ref="B13:C13"/>
    <mergeCell ref="B14:C14"/>
    <mergeCell ref="B15:C15"/>
    <mergeCell ref="B16:C16"/>
    <mergeCell ref="B17:C17"/>
    <mergeCell ref="B18:C18"/>
    <mergeCell ref="B19:C19"/>
    <mergeCell ref="B20:C20"/>
    <mergeCell ref="B21:C21"/>
    <mergeCell ref="B22:C22"/>
    <mergeCell ref="B33:C33"/>
    <mergeCell ref="B34:C34"/>
  </mergeCells>
  <conditionalFormatting sqref="D35:E37">
    <cfRule type="cellIs" dxfId="8" priority="39" operator="lessThan">
      <formula>0</formula>
    </cfRule>
  </conditionalFormatting>
  <conditionalFormatting sqref="D38:H41">
    <cfRule type="cellIs" dxfId="7" priority="9" operator="lessThan">
      <formula>0</formula>
    </cfRule>
  </conditionalFormatting>
  <conditionalFormatting sqref="D8:K34">
    <cfRule type="cellIs" dxfId="6" priority="10" operator="lessThan">
      <formula>0</formula>
    </cfRule>
  </conditionalFormatting>
  <conditionalFormatting sqref="D42:K63">
    <cfRule type="cellIs" dxfId="5" priority="1" operator="lessThan">
      <formula>0</formula>
    </cfRule>
  </conditionalFormatting>
  <conditionalFormatting sqref="D68:K89">
    <cfRule type="cellIs" dxfId="4" priority="6" operator="lessThan">
      <formula>0</formula>
    </cfRule>
  </conditionalFormatting>
  <conditionalFormatting sqref="F36:H37">
    <cfRule type="cellIs" dxfId="3" priority="38" operator="lessThan">
      <formula>0</formula>
    </cfRule>
  </conditionalFormatting>
  <conditionalFormatting sqref="F35:K35">
    <cfRule type="cellIs" dxfId="2" priority="49" operator="lessThan">
      <formula>0</formula>
    </cfRule>
  </conditionalFormatting>
  <conditionalFormatting sqref="I36:K41">
    <cfRule type="cellIs" dxfId="1" priority="7" operator="lessThan">
      <formula>0</formula>
    </cfRule>
  </conditionalFormatting>
  <conditionalFormatting sqref="L61">
    <cfRule type="cellIs" dxfId="0" priority="53" operator="notEqual">
      <formula>M61</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E60:K60 I69:I71 K38:K39 D8 J71:K71 D83:E85 E11 E9 J52:K53 K47:K48 I27:J28 I43 G15:G18 J69:K69 D10:E10 D59:D60 G83:G85 G11 K55 I20:J20 K57:K58 G79:G81 I83:I85 G73:G76 D73:E76 G68:G71 I73:I76 G20 D13:E18 I56:I57 J44:J45 D79:E81 K73:K76 I34:K34 I18:I19 I11:J11 D68:E71 I49:I53 H46 J40:K40 D35:E35 K45 I79:I81 I40:I41 K31:K32 F68:F69 H29:H30 D20:E20 K28 D28 I47:J47 D26 D25:E25 J18 I15:J17 D23:D24 I31:J31 D45 I45 H68:K68 H69 I36:J39 F36:G37 J42 D57:E57 D54:D56" xr:uid="{00000000-0002-0000-0400-000000000000}">
      <formula1>-1E+22</formula1>
      <formula2>1E+22</formula2>
    </dataValidation>
    <dataValidation type="whole" operator="greaterThanOrEqual" allowBlank="1" showInputMessage="1" showErrorMessage="1" sqref="F73:F76 F79:F81 F83:F85 H83:H85 J79:K81 J83:K85 J73:J76 J70:K70 D72:K72 D82:K82 D77:G78 I77:K78 H70:H71 H73:H81 F70:F71"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8" orientation="portrait" r:id="rId1"/>
  <headerFooter alignWithMargins="0"/>
  <ignoredErrors>
    <ignoredError sqref="D8 E54:L54 L45:L49 E61:L67 L60 E59:L59 F57:H57 D72:L72 F70:F71 L71 L68:L69 J57 D12:L12 L21:L22 F9:L10 D11 F11 H11 K11:L11 F13:L13 F15:F18 H15:H18 D19:H19 J19 K20:L20 H20 F20 E50:H51 J50:L51 E52:I53 L52:L53 E56:H56 E55:J55 L55 L57:L58 J56:L56 D58:J58 D61 H70:H71 J70:L70 F73:F76 J73:J76 L73:L76 H73:H76 D77:L78 D82:E95 F82:L92 F79:F81 H79:H81 J79:L81 F14:J14 L14:L19 L33:L42"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P32"/>
  <sheetViews>
    <sheetView view="pageBreakPreview" zoomScale="115" zoomScaleNormal="75" zoomScaleSheetLayoutView="115" workbookViewId="0">
      <selection activeCell="B14" sqref="B14"/>
    </sheetView>
  </sheetViews>
  <sheetFormatPr defaultRowHeight="12.75"/>
  <cols>
    <col min="1" max="1" width="8.85546875" style="79" customWidth="1"/>
    <col min="2" max="2" width="58.42578125" style="79" bestFit="1" customWidth="1"/>
    <col min="3" max="3" width="21.28515625" style="124" customWidth="1"/>
    <col min="4" max="4" width="42.42578125" style="139" bestFit="1" customWidth="1"/>
    <col min="5" max="5" width="42.28515625" style="139" bestFit="1" customWidth="1"/>
    <col min="6" max="6" width="9.140625" style="139"/>
    <col min="7" max="7" width="10.5703125" style="139" bestFit="1" customWidth="1"/>
    <col min="8" max="8" width="9.140625" style="141"/>
    <col min="9" max="13" width="15.7109375" style="141" customWidth="1"/>
    <col min="14" max="14" width="9.140625" style="139"/>
    <col min="15" max="16384" width="9.140625" style="79"/>
  </cols>
  <sheetData>
    <row r="1" spans="1:15" s="78" customFormat="1" ht="48.75" customHeight="1">
      <c r="A1" s="245" t="s">
        <v>243</v>
      </c>
      <c r="B1" s="245"/>
      <c r="C1" s="123" t="s">
        <v>242</v>
      </c>
      <c r="D1" s="138"/>
      <c r="E1" s="144"/>
      <c r="F1" s="144"/>
      <c r="G1" s="144"/>
      <c r="H1" s="145"/>
      <c r="I1" s="146"/>
      <c r="J1" s="146"/>
      <c r="K1" s="146"/>
      <c r="L1" s="146"/>
      <c r="M1" s="146"/>
      <c r="N1" s="147"/>
      <c r="O1" s="144"/>
    </row>
    <row r="2" spans="1:15" ht="7.5" customHeight="1">
      <c r="B2" s="80" t="str">
        <f>IF(C3&gt;0," "&amp;TEXT(C3,"гггг"),"Число,Месяц,Год")</f>
        <v xml:space="preserve"> 2024</v>
      </c>
      <c r="E2" s="148"/>
      <c r="F2" s="148"/>
      <c r="G2" s="148"/>
      <c r="H2" s="149"/>
      <c r="I2" s="149"/>
      <c r="J2" s="149"/>
      <c r="K2" s="149"/>
      <c r="L2" s="149"/>
      <c r="M2" s="149"/>
      <c r="N2" s="148"/>
      <c r="O2" s="148"/>
    </row>
    <row r="3" spans="1:15" ht="15.75" customHeight="1">
      <c r="B3" s="125" t="str">
        <f>+'Bank Capital Calc'!B3</f>
        <v>"Ўзсаноатқурилишбанк" АТБ</v>
      </c>
      <c r="C3" s="155">
        <f>+'Bank Capital Calc'!C3</f>
        <v>45653</v>
      </c>
      <c r="E3" s="148"/>
      <c r="F3" s="148"/>
      <c r="G3" s="148"/>
      <c r="H3" s="149"/>
      <c r="I3" s="149"/>
      <c r="J3" s="149"/>
      <c r="K3" s="149"/>
      <c r="L3" s="149"/>
      <c r="M3" s="149"/>
      <c r="N3" s="148"/>
      <c r="O3" s="148"/>
    </row>
    <row r="4" spans="1:15" ht="43.5" customHeight="1">
      <c r="A4" s="53" t="s">
        <v>52</v>
      </c>
      <c r="B4" s="53" t="s">
        <v>244</v>
      </c>
      <c r="C4" s="53" t="s">
        <v>256</v>
      </c>
      <c r="E4" s="148"/>
      <c r="G4" s="148"/>
      <c r="H4" s="149"/>
      <c r="I4" s="149"/>
      <c r="J4" s="149"/>
      <c r="K4" s="149"/>
      <c r="L4" s="149"/>
      <c r="M4" s="149"/>
      <c r="N4" s="148"/>
      <c r="O4" s="148"/>
    </row>
    <row r="5" spans="1:15" ht="21.75" customHeight="1">
      <c r="A5" s="126" t="s">
        <v>55</v>
      </c>
      <c r="B5" s="127" t="str">
        <f>+""&amp;(D$6-3)&amp;" йилдаги банкнинг ялпи  даромади"</f>
        <v>2021 йилдаги банкнинг ялпи  даромади</v>
      </c>
      <c r="C5" s="128">
        <f>+C6+C8-C7-C9</f>
        <v>3798188022.7750001</v>
      </c>
      <c r="E5" s="148"/>
      <c r="G5" s="148"/>
      <c r="H5" s="149"/>
      <c r="I5" s="149"/>
      <c r="J5" s="149"/>
      <c r="K5" s="149"/>
      <c r="L5" s="149"/>
      <c r="M5" s="149"/>
      <c r="N5" s="148"/>
      <c r="O5" s="148"/>
    </row>
    <row r="6" spans="1:15" ht="21.75" customHeight="1">
      <c r="A6" s="126" t="s">
        <v>56</v>
      </c>
      <c r="B6" s="129" t="s">
        <v>245</v>
      </c>
      <c r="C6" s="130">
        <v>4484205119.0179996</v>
      </c>
      <c r="D6" s="149" t="str">
        <f>+B2</f>
        <v xml:space="preserve"> 2024</v>
      </c>
      <c r="E6" s="149">
        <v>13</v>
      </c>
      <c r="G6" s="148"/>
      <c r="J6" s="149"/>
      <c r="K6" s="149"/>
      <c r="L6" s="149"/>
      <c r="M6" s="149"/>
      <c r="N6" s="148"/>
      <c r="O6" s="148"/>
    </row>
    <row r="7" spans="1:15" ht="21.75" customHeight="1">
      <c r="A7" s="126" t="s">
        <v>15</v>
      </c>
      <c r="B7" s="129" t="s">
        <v>246</v>
      </c>
      <c r="C7" s="130">
        <v>2417325265.3990002</v>
      </c>
      <c r="E7" s="148"/>
      <c r="F7" s="148"/>
      <c r="G7" s="148"/>
      <c r="H7" s="149"/>
      <c r="I7" s="149"/>
      <c r="J7" s="149"/>
      <c r="K7" s="149"/>
      <c r="L7" s="149"/>
      <c r="M7" s="149"/>
      <c r="N7" s="148"/>
      <c r="O7" s="148"/>
    </row>
    <row r="8" spans="1:15" ht="21.75" customHeight="1">
      <c r="A8" s="126" t="s">
        <v>16</v>
      </c>
      <c r="B8" s="129" t="s">
        <v>247</v>
      </c>
      <c r="C8" s="130">
        <v>2164323578.006</v>
      </c>
      <c r="J8" s="149"/>
      <c r="K8" s="149"/>
      <c r="L8" s="149"/>
      <c r="M8" s="149"/>
      <c r="N8" s="148"/>
      <c r="O8" s="148"/>
    </row>
    <row r="9" spans="1:15" ht="21.75" customHeight="1">
      <c r="A9" s="126" t="s">
        <v>123</v>
      </c>
      <c r="B9" s="129" t="s">
        <v>248</v>
      </c>
      <c r="C9" s="130">
        <v>433015408.85000002</v>
      </c>
      <c r="J9" s="149"/>
      <c r="K9" s="149"/>
      <c r="L9" s="149"/>
      <c r="M9" s="149"/>
      <c r="N9" s="148"/>
      <c r="O9" s="148"/>
    </row>
    <row r="10" spans="1:15" ht="21.75" customHeight="1">
      <c r="A10" s="126" t="s">
        <v>65</v>
      </c>
      <c r="B10" s="127" t="str">
        <f>+""&amp;(D$6-2)&amp;" йилдаги банкнинг ялпи  даромади"</f>
        <v>2022 йилдаги банкнинг ялпи  даромади</v>
      </c>
      <c r="C10" s="128">
        <f>+C11+C13-C12-C14</f>
        <v>4529526362</v>
      </c>
      <c r="J10" s="149"/>
      <c r="K10" s="149"/>
      <c r="L10" s="149"/>
      <c r="M10" s="149"/>
      <c r="N10" s="148"/>
      <c r="O10" s="148"/>
    </row>
    <row r="11" spans="1:15" ht="21.75" customHeight="1">
      <c r="A11" s="126" t="s">
        <v>56</v>
      </c>
      <c r="B11" s="129" t="s">
        <v>249</v>
      </c>
      <c r="C11" s="130">
        <v>5385229821</v>
      </c>
      <c r="E11" s="148"/>
      <c r="J11" s="149"/>
      <c r="K11" s="149"/>
      <c r="L11" s="149"/>
      <c r="M11" s="149"/>
      <c r="N11" s="148"/>
      <c r="O11" s="148"/>
    </row>
    <row r="12" spans="1:15" ht="21.75" customHeight="1">
      <c r="A12" s="126" t="s">
        <v>15</v>
      </c>
      <c r="B12" s="129" t="s">
        <v>246</v>
      </c>
      <c r="C12" s="130">
        <v>2789987110</v>
      </c>
      <c r="E12" s="148"/>
      <c r="F12" s="148"/>
      <c r="G12" s="148"/>
      <c r="H12" s="149"/>
      <c r="I12" s="149"/>
      <c r="J12" s="149"/>
      <c r="K12" s="149"/>
      <c r="L12" s="149"/>
      <c r="M12" s="149"/>
      <c r="N12" s="148"/>
      <c r="O12" s="148"/>
    </row>
    <row r="13" spans="1:15" ht="21.75" customHeight="1">
      <c r="A13" s="126" t="s">
        <v>16</v>
      </c>
      <c r="B13" s="129" t="s">
        <v>247</v>
      </c>
      <c r="C13" s="130">
        <v>2895770101</v>
      </c>
      <c r="E13" s="148"/>
      <c r="F13" s="148"/>
      <c r="G13" s="148"/>
      <c r="H13" s="149"/>
      <c r="I13" s="149"/>
      <c r="J13" s="149"/>
      <c r="K13" s="149"/>
      <c r="L13" s="149"/>
      <c r="M13" s="149"/>
      <c r="N13" s="148"/>
      <c r="O13" s="148"/>
    </row>
    <row r="14" spans="1:15" ht="21.75" customHeight="1">
      <c r="A14" s="126" t="s">
        <v>123</v>
      </c>
      <c r="B14" s="129" t="s">
        <v>248</v>
      </c>
      <c r="C14" s="130">
        <v>961486450</v>
      </c>
      <c r="E14" s="148"/>
      <c r="F14" s="148"/>
      <c r="G14" s="148"/>
      <c r="H14" s="149"/>
      <c r="I14" s="149"/>
      <c r="J14" s="149"/>
      <c r="K14" s="149"/>
      <c r="L14" s="149"/>
      <c r="M14" s="149"/>
      <c r="N14" s="148"/>
      <c r="O14" s="148"/>
    </row>
    <row r="15" spans="1:15" ht="21.75" customHeight="1">
      <c r="A15" s="126" t="s">
        <v>66</v>
      </c>
      <c r="B15" s="127" t="str">
        <f>+""&amp;(D$6-1)&amp;" йилдаги банкнинг ялпи  даромади"</f>
        <v>2023 йилдаги банкнинг ялпи  даромади</v>
      </c>
      <c r="C15" s="128">
        <f>+C16+C18-C17-C19</f>
        <v>4969541068</v>
      </c>
      <c r="E15" s="148"/>
      <c r="F15" s="148"/>
      <c r="G15" s="148"/>
      <c r="H15" s="149"/>
      <c r="I15" s="149"/>
      <c r="J15" s="149"/>
      <c r="K15" s="149"/>
      <c r="L15" s="149"/>
      <c r="M15" s="149"/>
      <c r="N15" s="148"/>
      <c r="O15" s="148"/>
    </row>
    <row r="16" spans="1:15" ht="21.75" customHeight="1">
      <c r="A16" s="126" t="s">
        <v>56</v>
      </c>
      <c r="B16" s="129" t="s">
        <v>249</v>
      </c>
      <c r="C16" s="130">
        <v>7179862148</v>
      </c>
    </row>
    <row r="17" spans="1:16" ht="21.75" customHeight="1">
      <c r="A17" s="126" t="s">
        <v>15</v>
      </c>
      <c r="B17" s="129" t="s">
        <v>246</v>
      </c>
      <c r="C17" s="130">
        <v>4197900134</v>
      </c>
    </row>
    <row r="18" spans="1:16" ht="21.75" customHeight="1">
      <c r="A18" s="126" t="s">
        <v>16</v>
      </c>
      <c r="B18" s="129" t="s">
        <v>247</v>
      </c>
      <c r="C18" s="130">
        <v>3891738908</v>
      </c>
    </row>
    <row r="19" spans="1:16" ht="21.75" customHeight="1">
      <c r="A19" s="126" t="s">
        <v>123</v>
      </c>
      <c r="B19" s="129" t="s">
        <v>248</v>
      </c>
      <c r="C19" s="130">
        <v>1904159854</v>
      </c>
    </row>
    <row r="20" spans="1:16" ht="31.5" customHeight="1">
      <c r="A20" s="126" t="s">
        <v>67</v>
      </c>
      <c r="B20" s="131" t="s">
        <v>250</v>
      </c>
      <c r="C20" s="128">
        <f>(C5+C10+C15)/3</f>
        <v>4432418484.2583332</v>
      </c>
    </row>
    <row r="21" spans="1:16" ht="22.5" customHeight="1">
      <c r="A21" s="126" t="s">
        <v>68</v>
      </c>
      <c r="B21" s="131" t="s">
        <v>251</v>
      </c>
      <c r="C21" s="132">
        <f>+(100/C28)*C20*15%</f>
        <v>5114329020.2980766</v>
      </c>
    </row>
    <row r="22" spans="1:16" ht="13.5" customHeight="1">
      <c r="A22" s="53"/>
      <c r="B22" s="53"/>
      <c r="C22" s="53"/>
    </row>
    <row r="23" spans="1:16" ht="21.75" customHeight="1">
      <c r="A23" s="126" t="s">
        <v>69</v>
      </c>
      <c r="B23" s="129" t="s">
        <v>252</v>
      </c>
      <c r="C23" s="130">
        <v>-1053244637</v>
      </c>
      <c r="D23" s="153"/>
      <c r="E23" s="153" t="s">
        <v>272</v>
      </c>
    </row>
    <row r="24" spans="1:16" ht="21.75" customHeight="1">
      <c r="A24" s="126" t="s">
        <v>70</v>
      </c>
      <c r="B24" s="129" t="s">
        <v>260</v>
      </c>
      <c r="C24" s="130">
        <v>329472240</v>
      </c>
      <c r="D24" s="153" t="s">
        <v>289</v>
      </c>
      <c r="E24" s="153" t="s">
        <v>273</v>
      </c>
    </row>
    <row r="25" spans="1:16" ht="22.5" customHeight="1">
      <c r="A25" s="126" t="s">
        <v>71</v>
      </c>
      <c r="B25" s="129" t="s">
        <v>261</v>
      </c>
      <c r="C25" s="130">
        <v>0</v>
      </c>
      <c r="D25" s="153" t="s">
        <v>290</v>
      </c>
      <c r="E25" s="153" t="s">
        <v>273</v>
      </c>
    </row>
    <row r="26" spans="1:16" ht="22.5" customHeight="1">
      <c r="A26" s="126" t="s">
        <v>72</v>
      </c>
      <c r="B26" s="133" t="s">
        <v>253</v>
      </c>
      <c r="C26" s="128">
        <f>ABS(C23+(C24-C25))</f>
        <v>723772397</v>
      </c>
      <c r="D26" s="177">
        <f>+C26*0.1</f>
        <v>72377239.700000003</v>
      </c>
      <c r="E26" s="140"/>
      <c r="F26" s="140"/>
      <c r="G26" s="140"/>
      <c r="H26" s="142"/>
      <c r="I26" s="142"/>
      <c r="J26" s="142"/>
      <c r="K26" s="142"/>
      <c r="L26" s="142"/>
      <c r="M26" s="142"/>
      <c r="N26" s="140"/>
      <c r="O26" s="134"/>
      <c r="P26" s="134"/>
    </row>
    <row r="27" spans="1:16" ht="22.5" customHeight="1">
      <c r="A27" s="126" t="s">
        <v>79</v>
      </c>
      <c r="B27" s="135" t="s">
        <v>254</v>
      </c>
      <c r="C27" s="128">
        <f>+(100/C28)*(C26*10%)</f>
        <v>556747997.69230771</v>
      </c>
      <c r="D27" s="175"/>
    </row>
    <row r="28" spans="1:16" ht="14.25">
      <c r="A28" s="126" t="s">
        <v>80</v>
      </c>
      <c r="B28" s="129" t="s">
        <v>255</v>
      </c>
      <c r="C28" s="143">
        <f>VLOOKUP($D$6,$D$6:$E$6,2,0)</f>
        <v>13</v>
      </c>
    </row>
    <row r="29" spans="1:16" ht="17.25" customHeight="1"/>
    <row r="30" spans="1:16" s="150" customFormat="1" ht="15" customHeight="1">
      <c r="B30" s="152" t="s">
        <v>258</v>
      </c>
      <c r="F30" s="151"/>
      <c r="G30" s="151"/>
      <c r="H30" s="151"/>
      <c r="I30" s="151"/>
      <c r="J30" s="151"/>
      <c r="K30" s="151"/>
      <c r="L30" s="151"/>
      <c r="M30" s="151"/>
    </row>
    <row r="31" spans="1:16" s="150" customFormat="1" ht="11.25" customHeight="1">
      <c r="B31" s="152"/>
      <c r="F31" s="151"/>
      <c r="G31" s="151"/>
      <c r="H31" s="151"/>
      <c r="I31" s="151"/>
      <c r="J31" s="151"/>
      <c r="K31" s="151"/>
      <c r="L31" s="151"/>
      <c r="M31" s="151"/>
    </row>
    <row r="32" spans="1:16" s="150" customFormat="1" ht="15" customHeight="1">
      <c r="B32" s="152" t="s">
        <v>259</v>
      </c>
      <c r="F32" s="151"/>
      <c r="G32" s="151"/>
      <c r="H32" s="151"/>
      <c r="I32" s="151"/>
      <c r="J32" s="151"/>
      <c r="K32" s="151"/>
      <c r="L32" s="151"/>
      <c r="M32" s="151"/>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6</vt:i4>
      </vt:variant>
    </vt:vector>
  </HeadingPairs>
  <TitlesOfParts>
    <vt:vector size="13" baseType="lpstr">
      <vt:lpstr>Bank Capital Calc</vt:lpstr>
      <vt:lpstr>Лист1</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Mahmudjon Sobirov</cp:lastModifiedBy>
  <cp:lastPrinted>2024-09-26T05:44:11Z</cp:lastPrinted>
  <dcterms:created xsi:type="dcterms:W3CDTF">2014-01-27T05:06:32Z</dcterms:created>
  <dcterms:modified xsi:type="dcterms:W3CDTF">2025-01-27T11:48:44Z</dcterms:modified>
</cp:coreProperties>
</file>