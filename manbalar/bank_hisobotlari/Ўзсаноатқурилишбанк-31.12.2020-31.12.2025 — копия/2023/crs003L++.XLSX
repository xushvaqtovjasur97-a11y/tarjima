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Д диск\21-11\2024\"/>
    </mc:Choice>
  </mc:AlternateContent>
  <bookViews>
    <workbookView xWindow="-120" yWindow="-120" windowWidth="29040" windowHeight="15840" tabRatio="922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Analysis'!$A$1:$Z$55</definedName>
    <definedName name="_xlnm.Print_Area" localSheetId="4">'Bank Assets Analysis (нац)'!$A$1:$N$55</definedName>
    <definedName name="_xlnm.Print_Area" localSheetId="1">'Bank Capital Calc (2)'!$A$1:$C$55</definedName>
    <definedName name="_xlnm.Print_Area" localSheetId="5">'Bank Liabilities Analysis'!$A$1:$X$60</definedName>
    <definedName name="_xlnm.Print_Area" localSheetId="6">'Bank Liabilities Analysis (нац)'!$A$1:$M$61</definedName>
    <definedName name="_xlnm.Print_Area" localSheetId="7">Commitments!$A$1:$E$30</definedName>
    <definedName name="_xlnm.Print_Area" localSheetId="8">'Deposits by Client'!$A$1:$D$26</definedName>
    <definedName name="_xlnm.Print_Area" localSheetId="9">'Investment Securities'!$A$1:$E$43</definedName>
    <definedName name="_xlnm.Print_Area" localSheetId="2">'Liquidity Analysis'!$A$1:$E$45</definedName>
  </definedNames>
  <calcPr calcId="191029"/>
</workbook>
</file>

<file path=xl/calcChain.xml><?xml version="1.0" encoding="utf-8"?>
<calcChain xmlns="http://schemas.openxmlformats.org/spreadsheetml/2006/main">
  <c r="C21" i="18" l="1"/>
  <c r="I18" i="18"/>
  <c r="Q12" i="18"/>
  <c r="R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D10" i="17"/>
  <c r="C10" i="17"/>
  <c r="E55" i="16" l="1"/>
  <c r="D55" i="16"/>
  <c r="E71" i="1" l="1"/>
  <c r="D71" i="1"/>
  <c r="S47" i="17" l="1"/>
  <c r="F5" i="19" s="1"/>
  <c r="AC49" i="17"/>
  <c r="AB49" i="17"/>
  <c r="AC47" i="17"/>
  <c r="AB47" i="17"/>
  <c r="D46" i="36"/>
  <c r="D43" i="36"/>
  <c r="H45" i="37"/>
  <c r="H35" i="37"/>
  <c r="AB46" i="17"/>
  <c r="AC46" i="17"/>
  <c r="X39" i="18" l="1"/>
  <c r="W39" i="18"/>
  <c r="Y43" i="17" l="1"/>
  <c r="W43" i="17"/>
  <c r="Y14" i="17"/>
  <c r="W14" i="17"/>
  <c r="W13" i="17" l="1"/>
  <c r="W24" i="17" l="1"/>
  <c r="X24" i="17" s="1"/>
  <c r="Y24" i="17"/>
  <c r="Z24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E21" i="15" l="1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I17" i="36" s="1"/>
  <c r="N17" i="17"/>
  <c r="M17" i="17"/>
  <c r="L17" i="17"/>
  <c r="K17" i="17"/>
  <c r="J17" i="17"/>
  <c r="I17" i="17"/>
  <c r="H17" i="17"/>
  <c r="G17" i="17"/>
  <c r="F17" i="17"/>
  <c r="E17" i="17"/>
  <c r="D17" i="17"/>
  <c r="C17" i="17"/>
  <c r="E17" i="36" l="1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E23" i="15" l="1"/>
  <c r="E24" i="15"/>
  <c r="E25" i="15"/>
  <c r="E19" i="15"/>
  <c r="AB48" i="17" l="1"/>
  <c r="AC48" i="17"/>
  <c r="C32" i="1" l="1"/>
  <c r="E19" i="1" l="1"/>
  <c r="D19" i="1"/>
  <c r="F54" i="16"/>
  <c r="G54" i="16"/>
  <c r="H54" i="16"/>
  <c r="C19" i="1" l="1"/>
  <c r="J19" i="1" s="1"/>
  <c r="Y32" i="17" l="1"/>
  <c r="Z32" i="17" s="1"/>
  <c r="W32" i="17"/>
  <c r="X32" i="17" s="1"/>
  <c r="Y31" i="17"/>
  <c r="Z31" i="17" s="1"/>
  <c r="W31" i="17"/>
  <c r="X31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49" i="17" s="1"/>
  <c r="C7" i="19"/>
  <c r="C5" i="19"/>
  <c r="AA47" i="17" s="1"/>
  <c r="C4" i="19"/>
  <c r="AA48" i="17" l="1"/>
  <c r="AA46" i="17"/>
  <c r="AC50" i="17"/>
  <c r="E26" i="19"/>
  <c r="B13" i="15"/>
  <c r="C61" i="1" l="1"/>
  <c r="J61" i="1" s="1"/>
  <c r="J23" i="36" l="1"/>
  <c r="I23" i="36"/>
  <c r="H23" i="36"/>
  <c r="G23" i="36"/>
  <c r="F23" i="36"/>
  <c r="E23" i="36"/>
  <c r="D23" i="36"/>
  <c r="C23" i="36"/>
  <c r="U23" i="17"/>
  <c r="Y23" i="17" s="1"/>
  <c r="Z23" i="17" s="1"/>
  <c r="S23" i="17"/>
  <c r="W23" i="17" s="1"/>
  <c r="X23" i="17" s="1"/>
  <c r="M23" i="36" l="1"/>
  <c r="N23" i="36" s="1"/>
  <c r="K23" i="36"/>
  <c r="T23" i="17"/>
  <c r="D13" i="16" s="1"/>
  <c r="C13" i="16"/>
  <c r="E13" i="16"/>
  <c r="C12" i="16"/>
  <c r="E39" i="1"/>
  <c r="D39" i="1"/>
  <c r="D43" i="1" s="1"/>
  <c r="C41" i="1"/>
  <c r="J41" i="1" s="1"/>
  <c r="D18" i="19" l="1"/>
  <c r="C18" i="19" s="1"/>
  <c r="U43" i="17" l="1"/>
  <c r="Z43" i="17" s="1"/>
  <c r="S43" i="17"/>
  <c r="T43" i="17" l="1"/>
  <c r="X43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6" i="36"/>
  <c r="I46" i="36"/>
  <c r="H46" i="36"/>
  <c r="G46" i="36"/>
  <c r="F46" i="36"/>
  <c r="E46" i="36"/>
  <c r="C46" i="36"/>
  <c r="J47" i="36"/>
  <c r="I47" i="36"/>
  <c r="H47" i="36"/>
  <c r="G47" i="36"/>
  <c r="F47" i="36"/>
  <c r="E47" i="36"/>
  <c r="D47" i="36"/>
  <c r="C47" i="36"/>
  <c r="J48" i="36"/>
  <c r="I48" i="36"/>
  <c r="H48" i="36"/>
  <c r="G48" i="36"/>
  <c r="F48" i="36"/>
  <c r="E48" i="36"/>
  <c r="D48" i="36"/>
  <c r="C48" i="36"/>
  <c r="K48" i="36" l="1"/>
  <c r="K47" i="36"/>
  <c r="K46" i="36"/>
  <c r="J43" i="36" l="1"/>
  <c r="I43" i="36"/>
  <c r="H43" i="36"/>
  <c r="G43" i="36"/>
  <c r="F43" i="36"/>
  <c r="E43" i="36"/>
  <c r="C43" i="36"/>
  <c r="M43" i="36" s="1"/>
  <c r="U51" i="17"/>
  <c r="S51" i="17"/>
  <c r="U50" i="17"/>
  <c r="AF50" i="17" s="1"/>
  <c r="S50" i="17"/>
  <c r="U49" i="17"/>
  <c r="H8" i="19" s="1"/>
  <c r="S49" i="17"/>
  <c r="F8" i="19" s="1"/>
  <c r="U48" i="17"/>
  <c r="S48" i="17"/>
  <c r="U47" i="17"/>
  <c r="H5" i="19" s="1"/>
  <c r="AD48" i="17" l="1"/>
  <c r="F7" i="19"/>
  <c r="AF48" i="17"/>
  <c r="H7" i="19"/>
  <c r="T47" i="17"/>
  <c r="G5" i="19" s="1"/>
  <c r="T51" i="17"/>
  <c r="T50" i="17"/>
  <c r="T48" i="17"/>
  <c r="T49" i="17"/>
  <c r="G8" i="19" s="1"/>
  <c r="K43" i="36"/>
  <c r="N43" i="36" s="1"/>
  <c r="AE48" i="17" l="1"/>
  <c r="G7" i="19"/>
  <c r="J51" i="36"/>
  <c r="I51" i="36"/>
  <c r="H51" i="36"/>
  <c r="G51" i="36"/>
  <c r="F51" i="36"/>
  <c r="E51" i="36"/>
  <c r="D51" i="36"/>
  <c r="C51" i="36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E13" i="1"/>
  <c r="E12" i="1"/>
  <c r="D13" i="1"/>
  <c r="D12" i="1"/>
  <c r="C12" i="1" l="1"/>
  <c r="J12" i="1" s="1"/>
  <c r="C13" i="1"/>
  <c r="K51" i="36"/>
  <c r="K50" i="36"/>
  <c r="K49" i="36"/>
  <c r="J30" i="36"/>
  <c r="I30" i="36"/>
  <c r="H30" i="36"/>
  <c r="G30" i="36"/>
  <c r="F30" i="36"/>
  <c r="E30" i="36"/>
  <c r="D30" i="36"/>
  <c r="C30" i="36"/>
  <c r="J18" i="36"/>
  <c r="I18" i="36"/>
  <c r="H18" i="36"/>
  <c r="G18" i="36"/>
  <c r="F18" i="36"/>
  <c r="E18" i="36"/>
  <c r="D18" i="36"/>
  <c r="C18" i="36"/>
  <c r="U46" i="17"/>
  <c r="S46" i="17"/>
  <c r="Y30" i="17"/>
  <c r="Z30" i="17" s="1"/>
  <c r="W30" i="17"/>
  <c r="X30" i="17" s="1"/>
  <c r="U30" i="17"/>
  <c r="S30" i="17"/>
  <c r="Y18" i="17"/>
  <c r="Z18" i="17" s="1"/>
  <c r="W18" i="17"/>
  <c r="X18" i="17" s="1"/>
  <c r="U18" i="17"/>
  <c r="E15" i="16" s="1"/>
  <c r="S18" i="17"/>
  <c r="C15" i="16" s="1"/>
  <c r="AF46" i="17" l="1"/>
  <c r="H4" i="19"/>
  <c r="AD46" i="17"/>
  <c r="F4" i="19"/>
  <c r="M30" i="36"/>
  <c r="N30" i="36" s="1"/>
  <c r="T46" i="17"/>
  <c r="T30" i="17"/>
  <c r="T18" i="17"/>
  <c r="D15" i="16" s="1"/>
  <c r="K30" i="36"/>
  <c r="M18" i="36"/>
  <c r="N18" i="36" s="1"/>
  <c r="K18" i="36"/>
  <c r="AE46" i="17" l="1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W38" i="18"/>
  <c r="X38" i="18"/>
  <c r="Y41" i="17" l="1"/>
  <c r="W41" i="17"/>
  <c r="Z41" i="17" l="1"/>
  <c r="X41" i="17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25" i="17"/>
  <c r="Z25" i="17" s="1"/>
  <c r="W25" i="17"/>
  <c r="X25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4" i="17" l="1"/>
  <c r="X60" i="17" s="1"/>
  <c r="Z44" i="17"/>
  <c r="Z60" i="17" s="1"/>
  <c r="J25" i="37"/>
  <c r="I25" i="37"/>
  <c r="H25" i="37"/>
  <c r="G25" i="37"/>
  <c r="F25" i="37"/>
  <c r="E25" i="37"/>
  <c r="D25" i="37"/>
  <c r="C25" i="37"/>
  <c r="M25" i="37" l="1"/>
  <c r="N35" i="36"/>
  <c r="N36" i="36"/>
  <c r="N37" i="36"/>
  <c r="N38" i="36"/>
  <c r="N39" i="36"/>
  <c r="N40" i="36"/>
  <c r="N42" i="36"/>
  <c r="E8" i="16" l="1"/>
  <c r="E9" i="16"/>
  <c r="X32" i="18" l="1"/>
  <c r="X31" i="18"/>
  <c r="X29" i="18"/>
  <c r="X28" i="18"/>
  <c r="X27" i="18"/>
  <c r="X26" i="18"/>
  <c r="R9" i="17" l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U24" i="18" l="1"/>
  <c r="X24" i="18" s="1"/>
  <c r="W24" i="18" s="1"/>
  <c r="S24" i="18"/>
  <c r="W32" i="18" l="1"/>
  <c r="W31" i="18"/>
  <c r="W29" i="18"/>
  <c r="W28" i="18"/>
  <c r="W27" i="18"/>
  <c r="N42" i="37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7" i="37" l="1"/>
  <c r="I57" i="37"/>
  <c r="H57" i="37"/>
  <c r="G57" i="37"/>
  <c r="F57" i="37"/>
  <c r="E57" i="37"/>
  <c r="D57" i="37"/>
  <c r="C57" i="37"/>
  <c r="J56" i="37"/>
  <c r="I56" i="37"/>
  <c r="H56" i="37"/>
  <c r="G56" i="37"/>
  <c r="F56" i="37"/>
  <c r="E56" i="37"/>
  <c r="D56" i="37"/>
  <c r="C56" i="37"/>
  <c r="C55" i="37" s="1"/>
  <c r="J54" i="37"/>
  <c r="I54" i="37"/>
  <c r="H54" i="37"/>
  <c r="G54" i="37"/>
  <c r="F54" i="37"/>
  <c r="E54" i="37"/>
  <c r="D54" i="37"/>
  <c r="C54" i="37"/>
  <c r="J53" i="37"/>
  <c r="J52" i="37" s="1"/>
  <c r="I53" i="37"/>
  <c r="H53" i="37"/>
  <c r="H52" i="37" s="1"/>
  <c r="G53" i="37"/>
  <c r="F53" i="37"/>
  <c r="E53" i="37"/>
  <c r="E52" i="37" s="1"/>
  <c r="D53" i="37"/>
  <c r="D52" i="37" s="1"/>
  <c r="C53" i="37"/>
  <c r="J51" i="37"/>
  <c r="I51" i="37"/>
  <c r="H51" i="37"/>
  <c r="G51" i="37"/>
  <c r="F51" i="37"/>
  <c r="E51" i="37"/>
  <c r="D51" i="37"/>
  <c r="C51" i="37"/>
  <c r="J50" i="37"/>
  <c r="J49" i="37" s="1"/>
  <c r="I50" i="37"/>
  <c r="I49" i="37" s="1"/>
  <c r="H50" i="37"/>
  <c r="G50" i="37"/>
  <c r="F50" i="37"/>
  <c r="F49" i="37" s="1"/>
  <c r="E50" i="37"/>
  <c r="D50" i="37"/>
  <c r="D49" i="37" s="1"/>
  <c r="C50" i="37"/>
  <c r="C49" i="37" s="1"/>
  <c r="J48" i="37"/>
  <c r="I48" i="37"/>
  <c r="H48" i="37"/>
  <c r="G48" i="37"/>
  <c r="F48" i="37"/>
  <c r="E48" i="37"/>
  <c r="D48" i="37"/>
  <c r="C48" i="37"/>
  <c r="J47" i="37"/>
  <c r="J46" i="37" s="1"/>
  <c r="I47" i="37"/>
  <c r="H47" i="37"/>
  <c r="H46" i="37" s="1"/>
  <c r="G47" i="37"/>
  <c r="F47" i="37"/>
  <c r="F46" i="37" s="1"/>
  <c r="E47" i="37"/>
  <c r="E46" i="37" s="1"/>
  <c r="D47" i="37"/>
  <c r="D46" i="37" s="1"/>
  <c r="C47" i="37"/>
  <c r="C46" i="37" s="1"/>
  <c r="J45" i="37"/>
  <c r="I45" i="37"/>
  <c r="G45" i="37"/>
  <c r="F45" i="37"/>
  <c r="E45" i="37"/>
  <c r="D45" i="37"/>
  <c r="C45" i="37"/>
  <c r="J44" i="37"/>
  <c r="I44" i="37"/>
  <c r="H44" i="37"/>
  <c r="H43" i="37" s="1"/>
  <c r="G44" i="37"/>
  <c r="F44" i="37"/>
  <c r="E44" i="37"/>
  <c r="D44" i="37"/>
  <c r="D43" i="37" s="1"/>
  <c r="C44" i="37"/>
  <c r="C43" i="37" s="1"/>
  <c r="J40" i="37"/>
  <c r="I40" i="37"/>
  <c r="H40" i="37"/>
  <c r="G40" i="37"/>
  <c r="F40" i="37"/>
  <c r="E40" i="37"/>
  <c r="D40" i="37"/>
  <c r="C40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I24" i="37" s="1"/>
  <c r="H27" i="37"/>
  <c r="H24" i="37" s="1"/>
  <c r="G27" i="37"/>
  <c r="G24" i="37" s="1"/>
  <c r="F27" i="37"/>
  <c r="F24" i="37" s="1"/>
  <c r="E27" i="37"/>
  <c r="D27" i="37"/>
  <c r="D24" i="37" s="1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40" i="36"/>
  <c r="I40" i="36"/>
  <c r="H40" i="36"/>
  <c r="G40" i="36"/>
  <c r="F40" i="36"/>
  <c r="E40" i="36"/>
  <c r="D40" i="36"/>
  <c r="C40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D33" i="36" s="1"/>
  <c r="C34" i="36"/>
  <c r="C33" i="36" s="1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2" i="37"/>
  <c r="M3" i="37"/>
  <c r="B3" i="37"/>
  <c r="B3" i="36"/>
  <c r="S19" i="17"/>
  <c r="W19" i="17" s="1"/>
  <c r="D16" i="1"/>
  <c r="J43" i="37" l="1"/>
  <c r="I43" i="37"/>
  <c r="F43" i="37"/>
  <c r="C52" i="37"/>
  <c r="M22" i="37"/>
  <c r="J24" i="37"/>
  <c r="C24" i="37"/>
  <c r="M14" i="36"/>
  <c r="N14" i="36" s="1"/>
  <c r="M40" i="37"/>
  <c r="M24" i="36"/>
  <c r="N24" i="36" s="1"/>
  <c r="E24" i="37"/>
  <c r="H33" i="36"/>
  <c r="I52" i="37"/>
  <c r="C7" i="16"/>
  <c r="M31" i="36"/>
  <c r="N31" i="36" s="1"/>
  <c r="M32" i="36"/>
  <c r="N32" i="36" s="1"/>
  <c r="E8" i="37"/>
  <c r="I8" i="37"/>
  <c r="G43" i="37"/>
  <c r="G46" i="37"/>
  <c r="G49" i="37"/>
  <c r="G52" i="37"/>
  <c r="F9" i="36"/>
  <c r="I16" i="37"/>
  <c r="G16" i="37"/>
  <c r="E9" i="36"/>
  <c r="F52" i="37"/>
  <c r="G8" i="37"/>
  <c r="X19" i="17"/>
  <c r="G9" i="36"/>
  <c r="I9" i="36"/>
  <c r="J9" i="36"/>
  <c r="H55" i="37"/>
  <c r="H9" i="36"/>
  <c r="D9" i="36"/>
  <c r="M41" i="36"/>
  <c r="N41" i="36" s="1"/>
  <c r="M39" i="37"/>
  <c r="M10" i="36"/>
  <c r="N10" i="36" s="1"/>
  <c r="C9" i="36"/>
  <c r="C8" i="37"/>
  <c r="M26" i="36"/>
  <c r="N26" i="36" s="1"/>
  <c r="M22" i="36"/>
  <c r="N22" i="36" s="1"/>
  <c r="M25" i="36"/>
  <c r="N25" i="36" s="1"/>
  <c r="M28" i="36"/>
  <c r="N28" i="36" s="1"/>
  <c r="M29" i="36"/>
  <c r="N29" i="36" s="1"/>
  <c r="H49" i="37"/>
  <c r="D55" i="37"/>
  <c r="M27" i="37"/>
  <c r="M28" i="37"/>
  <c r="M29" i="37"/>
  <c r="M30" i="37"/>
  <c r="M32" i="37"/>
  <c r="M33" i="37"/>
  <c r="F55" i="37"/>
  <c r="C16" i="37"/>
  <c r="M15" i="36"/>
  <c r="N15" i="36" s="1"/>
  <c r="D38" i="16"/>
  <c r="M27" i="36"/>
  <c r="N27" i="36" s="1"/>
  <c r="M16" i="36"/>
  <c r="N16" i="36" s="1"/>
  <c r="I46" i="37"/>
  <c r="G55" i="37"/>
  <c r="E49" i="37"/>
  <c r="I55" i="37"/>
  <c r="J55" i="37"/>
  <c r="K10" i="37"/>
  <c r="K14" i="37"/>
  <c r="K17" i="37"/>
  <c r="K30" i="37"/>
  <c r="K32" i="37"/>
  <c r="K37" i="37"/>
  <c r="M37" i="37" s="1"/>
  <c r="K39" i="37"/>
  <c r="K44" i="37"/>
  <c r="K45" i="37"/>
  <c r="K56" i="37"/>
  <c r="E43" i="37"/>
  <c r="K57" i="37"/>
  <c r="E55" i="37"/>
  <c r="K28" i="37"/>
  <c r="K50" i="37"/>
  <c r="K29" i="37"/>
  <c r="K31" i="37"/>
  <c r="M31" i="37" s="1"/>
  <c r="K33" i="37"/>
  <c r="K38" i="37"/>
  <c r="M38" i="37" s="1"/>
  <c r="E33" i="36"/>
  <c r="M33" i="36" s="1"/>
  <c r="K53" i="37"/>
  <c r="K34" i="37"/>
  <c r="K39" i="36"/>
  <c r="K22" i="37"/>
  <c r="K18" i="37"/>
  <c r="K19" i="37"/>
  <c r="K41" i="36"/>
  <c r="K34" i="36"/>
  <c r="E16" i="37"/>
  <c r="K20" i="37"/>
  <c r="K12" i="37"/>
  <c r="K13" i="37"/>
  <c r="K11" i="37"/>
  <c r="K9" i="37"/>
  <c r="K25" i="36"/>
  <c r="K48" i="37"/>
  <c r="K51" i="37"/>
  <c r="K54" i="37"/>
  <c r="K32" i="36"/>
  <c r="K6" i="36"/>
  <c r="M6" i="36" s="1"/>
  <c r="K24" i="36"/>
  <c r="K20" i="36"/>
  <c r="K22" i="36"/>
  <c r="K35" i="36"/>
  <c r="K37" i="36"/>
  <c r="K40" i="36"/>
  <c r="K31" i="36"/>
  <c r="K36" i="36"/>
  <c r="K38" i="36"/>
  <c r="K19" i="36"/>
  <c r="M19" i="36" s="1"/>
  <c r="K10" i="36"/>
  <c r="G33" i="36"/>
  <c r="K42" i="36"/>
  <c r="K27" i="36"/>
  <c r="K28" i="36"/>
  <c r="K29" i="36"/>
  <c r="K16" i="36"/>
  <c r="K8" i="36"/>
  <c r="K14" i="36"/>
  <c r="K15" i="36"/>
  <c r="K26" i="36"/>
  <c r="F33" i="36"/>
  <c r="J33" i="36"/>
  <c r="I33" i="36"/>
  <c r="K27" i="37"/>
  <c r="F16" i="37"/>
  <c r="H16" i="37"/>
  <c r="J16" i="37"/>
  <c r="K47" i="37"/>
  <c r="K15" i="37"/>
  <c r="D16" i="37"/>
  <c r="K40" i="37"/>
  <c r="F8" i="37"/>
  <c r="H8" i="37"/>
  <c r="J8" i="37"/>
  <c r="D8" i="37"/>
  <c r="C51" i="18"/>
  <c r="N44" i="36" l="1"/>
  <c r="P56" i="36" s="1"/>
  <c r="I21" i="37"/>
  <c r="I41" i="37" s="1"/>
  <c r="N33" i="36"/>
  <c r="K46" i="37"/>
  <c r="E21" i="37"/>
  <c r="E41" i="37" s="1"/>
  <c r="K52" i="37"/>
  <c r="K43" i="37"/>
  <c r="I44" i="36"/>
  <c r="G44" i="36"/>
  <c r="H44" i="36"/>
  <c r="K49" i="37"/>
  <c r="F44" i="36"/>
  <c r="C44" i="36"/>
  <c r="J44" i="36"/>
  <c r="G21" i="37"/>
  <c r="G41" i="37" s="1"/>
  <c r="N19" i="36"/>
  <c r="C21" i="37"/>
  <c r="C41" i="37" s="1"/>
  <c r="N6" i="36"/>
  <c r="M20" i="36"/>
  <c r="N20" i="36" s="1"/>
  <c r="M34" i="36"/>
  <c r="N34" i="36" s="1"/>
  <c r="K55" i="37"/>
  <c r="K24" i="37"/>
  <c r="K17" i="36"/>
  <c r="K16" i="37"/>
  <c r="K33" i="36"/>
  <c r="K9" i="36"/>
  <c r="J21" i="37"/>
  <c r="F21" i="37"/>
  <c r="F41" i="37" s="1"/>
  <c r="H21" i="37"/>
  <c r="H41" i="37" s="1"/>
  <c r="D21" i="37"/>
  <c r="D41" i="37" s="1"/>
  <c r="K8" i="37"/>
  <c r="U56" i="18"/>
  <c r="S56" i="18"/>
  <c r="U55" i="18"/>
  <c r="S55" i="18"/>
  <c r="U53" i="18"/>
  <c r="S53" i="18"/>
  <c r="U52" i="18"/>
  <c r="S52" i="18"/>
  <c r="U50" i="18"/>
  <c r="S50" i="18"/>
  <c r="U49" i="18"/>
  <c r="S49" i="18"/>
  <c r="U47" i="18"/>
  <c r="S47" i="18"/>
  <c r="U46" i="18"/>
  <c r="S46" i="18"/>
  <c r="U44" i="18"/>
  <c r="S44" i="18"/>
  <c r="U43" i="18"/>
  <c r="S43" i="18"/>
  <c r="U41" i="18"/>
  <c r="S41" i="18"/>
  <c r="U39" i="18"/>
  <c r="S39" i="18"/>
  <c r="U38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E20" i="14" s="1"/>
  <c r="U11" i="18"/>
  <c r="S11" i="18"/>
  <c r="U10" i="18"/>
  <c r="S10" i="18"/>
  <c r="U9" i="18"/>
  <c r="S9" i="18"/>
  <c r="U8" i="18"/>
  <c r="S8" i="18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E37" i="16" s="1"/>
  <c r="S36" i="17"/>
  <c r="C37" i="16" s="1"/>
  <c r="U35" i="17"/>
  <c r="S35" i="17"/>
  <c r="U34" i="17"/>
  <c r="E14" i="16" s="1"/>
  <c r="S34" i="17"/>
  <c r="C14" i="16" s="1"/>
  <c r="U32" i="17"/>
  <c r="S32" i="17"/>
  <c r="U31" i="17"/>
  <c r="S31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6" i="17"/>
  <c r="S6" i="17"/>
  <c r="E7" i="16" l="1"/>
  <c r="J41" i="37"/>
  <c r="D32" i="16" s="1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4" i="17"/>
  <c r="Z34" i="17" s="1"/>
  <c r="W22" i="17"/>
  <c r="X22" i="17" s="1"/>
  <c r="W34" i="17"/>
  <c r="X34" i="17" s="1"/>
  <c r="T19" i="17"/>
  <c r="D7" i="16" s="1"/>
  <c r="C11" i="16"/>
  <c r="E11" i="16"/>
  <c r="T52" i="18"/>
  <c r="T47" i="18"/>
  <c r="T49" i="18"/>
  <c r="T55" i="18"/>
  <c r="T43" i="18"/>
  <c r="T46" i="18"/>
  <c r="T41" i="18"/>
  <c r="T44" i="18"/>
  <c r="D33" i="16"/>
  <c r="T42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5" i="17"/>
  <c r="T37" i="17"/>
  <c r="T39" i="17"/>
  <c r="T41" i="17"/>
  <c r="T20" i="17"/>
  <c r="D11" i="16" s="1"/>
  <c r="T24" i="17"/>
  <c r="T28" i="17"/>
  <c r="T16" i="17"/>
  <c r="T19" i="18"/>
  <c r="T11" i="18"/>
  <c r="T13" i="18"/>
  <c r="T39" i="18"/>
  <c r="D34" i="16"/>
  <c r="K21" i="37"/>
  <c r="T53" i="18"/>
  <c r="T22" i="17"/>
  <c r="T26" i="17"/>
  <c r="T27" i="17"/>
  <c r="T12" i="18"/>
  <c r="F20" i="14" s="1"/>
  <c r="T10" i="18"/>
  <c r="T8" i="18"/>
  <c r="T38" i="17"/>
  <c r="T9" i="18"/>
  <c r="T17" i="18"/>
  <c r="T14" i="17"/>
  <c r="T34" i="17"/>
  <c r="D14" i="16" s="1"/>
  <c r="T32" i="18"/>
  <c r="T50" i="18"/>
  <c r="T56" i="18"/>
  <c r="T15" i="17"/>
  <c r="T25" i="17"/>
  <c r="T29" i="17"/>
  <c r="T31" i="17"/>
  <c r="T32" i="17"/>
  <c r="T36" i="17"/>
  <c r="D37" i="16" s="1"/>
  <c r="T40" i="17"/>
  <c r="T10" i="17"/>
  <c r="F54" i="18"/>
  <c r="E54" i="18"/>
  <c r="F51" i="18"/>
  <c r="E51" i="18"/>
  <c r="F48" i="18"/>
  <c r="E48" i="18"/>
  <c r="F45" i="18"/>
  <c r="E45" i="18"/>
  <c r="F42" i="18"/>
  <c r="E42" i="18"/>
  <c r="F15" i="18"/>
  <c r="E15" i="18"/>
  <c r="F7" i="18"/>
  <c r="E7" i="18"/>
  <c r="F33" i="17"/>
  <c r="E33" i="17"/>
  <c r="E44" i="17" l="1"/>
  <c r="M21" i="37"/>
  <c r="M41" i="37" s="1"/>
  <c r="K41" i="37"/>
  <c r="D27" i="1"/>
  <c r="F20" i="18"/>
  <c r="F40" i="18" s="1"/>
  <c r="E20" i="18"/>
  <c r="E40" i="18" l="1"/>
  <c r="R42" i="18" l="1"/>
  <c r="Q42" i="18"/>
  <c r="P42" i="18"/>
  <c r="O42" i="18"/>
  <c r="N42" i="18"/>
  <c r="M42" i="18"/>
  <c r="L42" i="18"/>
  <c r="K42" i="18"/>
  <c r="J42" i="18"/>
  <c r="I42" i="18"/>
  <c r="H42" i="18"/>
  <c r="G42" i="18"/>
  <c r="D42" i="18"/>
  <c r="C42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D45" i="18"/>
  <c r="C45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D48" i="18"/>
  <c r="C48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D51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D54" i="18"/>
  <c r="C54" i="18"/>
  <c r="S51" i="18" l="1"/>
  <c r="U54" i="18"/>
  <c r="U48" i="18"/>
  <c r="U42" i="18"/>
  <c r="S45" i="18"/>
  <c r="S54" i="18"/>
  <c r="S48" i="18"/>
  <c r="S42" i="18"/>
  <c r="U51" i="18"/>
  <c r="U45" i="18"/>
  <c r="C56" i="1"/>
  <c r="T51" i="18" l="1"/>
  <c r="T42" i="18"/>
  <c r="T54" i="18"/>
  <c r="T45" i="18"/>
  <c r="T48" i="18"/>
  <c r="E41" i="16"/>
  <c r="D10" i="19"/>
  <c r="AB50" i="17" l="1"/>
  <c r="AE50" i="17" s="1"/>
  <c r="D41" i="16"/>
  <c r="C10" i="19"/>
  <c r="D26" i="19"/>
  <c r="J33" i="17"/>
  <c r="J44" i="17" s="1"/>
  <c r="H33" i="17"/>
  <c r="C41" i="16" l="1"/>
  <c r="C26" i="19"/>
  <c r="AA50" i="17"/>
  <c r="AD50" i="17" s="1"/>
  <c r="Y33" i="17"/>
  <c r="Z33" i="17" s="1"/>
  <c r="P61" i="36"/>
  <c r="P60" i="36" s="1"/>
  <c r="D27" i="16" s="1"/>
  <c r="J56" i="1" l="1"/>
  <c r="C8" i="1"/>
  <c r="J67" i="1"/>
  <c r="U23" i="18" l="1"/>
  <c r="S23" i="18"/>
  <c r="T23" i="18" l="1"/>
  <c r="C33" i="17"/>
  <c r="C44" i="17" s="1"/>
  <c r="D33" i="17"/>
  <c r="D44" i="17" s="1"/>
  <c r="G33" i="17"/>
  <c r="W33" i="17" s="1"/>
  <c r="X33" i="17" s="1"/>
  <c r="C58" i="1" l="1"/>
  <c r="E60" i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D51" i="1" l="1"/>
  <c r="T6" i="17" l="1"/>
  <c r="D5" i="16" l="1"/>
  <c r="J73" i="1"/>
  <c r="J70" i="1"/>
  <c r="J69" i="1"/>
  <c r="E20" i="1"/>
  <c r="D20" i="1"/>
  <c r="E16" i="1"/>
  <c r="S9" i="17" l="1"/>
  <c r="U9" i="17"/>
  <c r="H44" i="17" s="1"/>
  <c r="E35" i="1"/>
  <c r="E30" i="1"/>
  <c r="E58" i="1"/>
  <c r="E54" i="1"/>
  <c r="D54" i="1"/>
  <c r="E52" i="1"/>
  <c r="D52" i="1"/>
  <c r="E7" i="36" l="1"/>
  <c r="E44" i="36" s="1"/>
  <c r="S7" i="17"/>
  <c r="G44" i="17"/>
  <c r="D7" i="36"/>
  <c r="U7" i="17"/>
  <c r="F44" i="17"/>
  <c r="E7" i="1"/>
  <c r="T9" i="17"/>
  <c r="D7" i="1" s="1"/>
  <c r="J52" i="1"/>
  <c r="C7" i="1"/>
  <c r="J54" i="1"/>
  <c r="J53" i="1"/>
  <c r="D58" i="1"/>
  <c r="J27" i="1"/>
  <c r="D35" i="1"/>
  <c r="J35" i="1" s="1"/>
  <c r="E24" i="1"/>
  <c r="D24" i="1"/>
  <c r="D30" i="1"/>
  <c r="J30" i="1" s="1"/>
  <c r="W7" i="17" l="1"/>
  <c r="X7" i="17" s="1"/>
  <c r="X61" i="17" s="1"/>
  <c r="C52" i="16"/>
  <c r="C6" i="16"/>
  <c r="C16" i="16" s="1"/>
  <c r="E6" i="16"/>
  <c r="E16" i="16" s="1"/>
  <c r="T7" i="17"/>
  <c r="E52" i="16"/>
  <c r="Y7" i="17"/>
  <c r="Z7" i="17" s="1"/>
  <c r="Z61" i="17" s="1"/>
  <c r="E6" i="1"/>
  <c r="K7" i="36"/>
  <c r="M7" i="36" s="1"/>
  <c r="D44" i="36"/>
  <c r="K44" i="36" s="1"/>
  <c r="J24" i="1"/>
  <c r="B38" i="15"/>
  <c r="B14" i="15"/>
  <c r="R44" i="17"/>
  <c r="Q33" i="17"/>
  <c r="Q44" i="17" s="1"/>
  <c r="P33" i="17"/>
  <c r="P44" i="17" s="1"/>
  <c r="O33" i="17"/>
  <c r="O44" i="17" s="1"/>
  <c r="N33" i="17"/>
  <c r="N44" i="17" s="1"/>
  <c r="M33" i="17"/>
  <c r="M44" i="17" s="1"/>
  <c r="L33" i="17"/>
  <c r="L44" i="17" s="1"/>
  <c r="K33" i="17"/>
  <c r="K44" i="17" s="1"/>
  <c r="I33" i="17"/>
  <c r="I44" i="17" s="1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6" i="1"/>
  <c r="C25" i="16" l="1"/>
  <c r="C19" i="16"/>
  <c r="C22" i="16"/>
  <c r="N7" i="36"/>
  <c r="P57" i="36" s="1"/>
  <c r="M44" i="36"/>
  <c r="D52" i="16"/>
  <c r="D6" i="16"/>
  <c r="D16" i="16" s="1"/>
  <c r="D6" i="1"/>
  <c r="E19" i="16"/>
  <c r="E25" i="16"/>
  <c r="E22" i="16"/>
  <c r="J76" i="1"/>
  <c r="S44" i="17"/>
  <c r="Z65" i="17"/>
  <c r="U15" i="18"/>
  <c r="S15" i="18"/>
  <c r="U17" i="17"/>
  <c r="S33" i="17"/>
  <c r="U33" i="17"/>
  <c r="E21" i="1" s="1"/>
  <c r="E36" i="16"/>
  <c r="D25" i="16" l="1"/>
  <c r="D22" i="16"/>
  <c r="D19" i="16"/>
  <c r="X65" i="17"/>
  <c r="T15" i="18"/>
  <c r="T33" i="17"/>
  <c r="U44" i="17"/>
  <c r="H47" i="1" s="1"/>
  <c r="C37" i="15"/>
  <c r="B6" i="15"/>
  <c r="B5" i="15"/>
  <c r="C55" i="16" s="1"/>
  <c r="C26" i="15"/>
  <c r="C29" i="15" s="1"/>
  <c r="D10" i="1" s="1"/>
  <c r="D18" i="1" l="1"/>
  <c r="D11" i="1"/>
  <c r="D17" i="1"/>
  <c r="C39" i="15"/>
  <c r="D51" i="16" s="1"/>
  <c r="D15" i="1"/>
  <c r="D58" i="16" l="1"/>
  <c r="D14" i="1"/>
  <c r="D40" i="16" l="1"/>
  <c r="D31" i="16"/>
  <c r="E31" i="16" l="1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E15" i="1" s="1"/>
  <c r="D26" i="15"/>
  <c r="D12" i="15"/>
  <c r="P7" i="18"/>
  <c r="P20" i="18" s="1"/>
  <c r="P40" i="18" s="1"/>
  <c r="O7" i="18"/>
  <c r="O20" i="18" s="1"/>
  <c r="J7" i="18"/>
  <c r="J20" i="18" s="1"/>
  <c r="J40" i="18" s="1"/>
  <c r="I7" i="18"/>
  <c r="I20" i="18" s="1"/>
  <c r="E18" i="1" l="1"/>
  <c r="D15" i="15"/>
  <c r="B15" i="15" s="1"/>
  <c r="I40" i="18"/>
  <c r="O40" i="18"/>
  <c r="D29" i="15"/>
  <c r="E11" i="1"/>
  <c r="C11" i="1" s="1"/>
  <c r="J11" i="1" s="1"/>
  <c r="E5" i="1"/>
  <c r="D39" i="15"/>
  <c r="E51" i="16" s="1"/>
  <c r="B37" i="15"/>
  <c r="B12" i="15"/>
  <c r="D5" i="1"/>
  <c r="B26" i="15"/>
  <c r="D22" i="14"/>
  <c r="R7" i="18"/>
  <c r="R20" i="18" s="1"/>
  <c r="Q7" i="18"/>
  <c r="Q20" i="18" s="1"/>
  <c r="N7" i="18"/>
  <c r="N20" i="18" s="1"/>
  <c r="N40" i="18" s="1"/>
  <c r="M7" i="18"/>
  <c r="L7" i="18"/>
  <c r="K7" i="18"/>
  <c r="K20" i="18" s="1"/>
  <c r="H7" i="18"/>
  <c r="H20" i="18" s="1"/>
  <c r="H40" i="18" s="1"/>
  <c r="G7" i="18"/>
  <c r="D7" i="18"/>
  <c r="AA20" i="18" l="1"/>
  <c r="E10" i="1"/>
  <c r="B29" i="15"/>
  <c r="R40" i="18"/>
  <c r="E32" i="16" s="1"/>
  <c r="K40" i="18"/>
  <c r="Q40" i="18"/>
  <c r="C32" i="16" s="1"/>
  <c r="E58" i="16"/>
  <c r="E40" i="16" s="1"/>
  <c r="E35" i="16" s="1"/>
  <c r="E17" i="1"/>
  <c r="U7" i="18"/>
  <c r="G11" i="14" s="1"/>
  <c r="G13" i="14" s="1"/>
  <c r="D20" i="18"/>
  <c r="D40" i="18" s="1"/>
  <c r="B39" i="15"/>
  <c r="C51" i="16" s="1"/>
  <c r="E14" i="1"/>
  <c r="L20" i="18"/>
  <c r="L40" i="18" s="1"/>
  <c r="G20" i="18"/>
  <c r="M20" i="18"/>
  <c r="E23" i="16" l="1"/>
  <c r="E21" i="16" s="1"/>
  <c r="E47" i="1"/>
  <c r="C10" i="1"/>
  <c r="J10" i="1" s="1"/>
  <c r="M40" i="18"/>
  <c r="G40" i="18"/>
  <c r="C58" i="16"/>
  <c r="C17" i="1"/>
  <c r="J17" i="1" s="1"/>
  <c r="E34" i="16"/>
  <c r="U20" i="18"/>
  <c r="X20" i="18" s="1"/>
  <c r="W20" i="18" s="1"/>
  <c r="E50" i="1"/>
  <c r="E63" i="1" s="1"/>
  <c r="C75" i="1"/>
  <c r="J75" i="1" s="1"/>
  <c r="C74" i="1"/>
  <c r="J74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C71" i="1" l="1"/>
  <c r="E20" i="16"/>
  <c r="E18" i="16" s="1"/>
  <c r="AC44" i="17"/>
  <c r="AC45" i="17" s="1"/>
  <c r="U40" i="18"/>
  <c r="H63" i="1" s="1"/>
  <c r="G22" i="14"/>
  <c r="G23" i="14" s="1"/>
  <c r="AA21" i="18"/>
  <c r="E78" i="1"/>
  <c r="AA40" i="18"/>
  <c r="J72" i="1"/>
  <c r="C34" i="16"/>
  <c r="X40" i="18"/>
  <c r="Y58" i="17"/>
  <c r="E33" i="16"/>
  <c r="E30" i="16" s="1"/>
  <c r="J43" i="1"/>
  <c r="J45" i="1"/>
  <c r="AA41" i="18" l="1"/>
  <c r="C77" i="1"/>
  <c r="J71" i="1"/>
  <c r="Z64" i="17"/>
  <c r="E27" i="16" s="1"/>
  <c r="E29" i="16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7" i="1" l="1"/>
  <c r="C51" i="1"/>
  <c r="J51" i="1" s="1"/>
  <c r="E21" i="14"/>
  <c r="C50" i="1"/>
  <c r="Z67" i="17"/>
  <c r="C53" i="41"/>
  <c r="S7" i="18"/>
  <c r="J7" i="1"/>
  <c r="J9" i="1"/>
  <c r="C36" i="16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D18" i="16" s="1"/>
  <c r="D36" i="16"/>
  <c r="T7" i="18"/>
  <c r="F11" i="14" s="1"/>
  <c r="E11" i="14"/>
  <c r="E13" i="14" s="1"/>
  <c r="O44" i="36"/>
  <c r="R44" i="36" s="1"/>
  <c r="S44" i="36" s="1"/>
  <c r="AB44" i="17"/>
  <c r="Y20" i="18"/>
  <c r="J39" i="1"/>
  <c r="C47" i="1"/>
  <c r="Z62" i="17"/>
  <c r="E26" i="16" s="1"/>
  <c r="E24" i="16" s="1"/>
  <c r="E28" i="16"/>
  <c r="X58" i="17"/>
  <c r="F47" i="1"/>
  <c r="J21" i="1"/>
  <c r="C14" i="1"/>
  <c r="J14" i="1" s="1"/>
  <c r="J15" i="1"/>
  <c r="J26" i="1"/>
  <c r="D50" i="1" l="1"/>
  <c r="D63" i="1" s="1"/>
  <c r="N41" i="37" s="1"/>
  <c r="C20" i="16"/>
  <c r="AA44" i="17"/>
  <c r="AA45" i="17" s="1"/>
  <c r="Z20" i="18"/>
  <c r="C40" i="16"/>
  <c r="E46" i="41"/>
  <c r="C45" i="41"/>
  <c r="C44" i="41"/>
  <c r="D52" i="41"/>
  <c r="C31" i="16"/>
  <c r="T44" i="17"/>
  <c r="G47" i="1" s="1"/>
  <c r="C6" i="1"/>
  <c r="J6" i="1" s="1"/>
  <c r="J50" i="1" l="1"/>
  <c r="AB45" i="17"/>
  <c r="D78" i="1"/>
  <c r="C78" i="1" s="1"/>
  <c r="J78" i="1" s="1"/>
  <c r="Z40" i="18"/>
  <c r="P44" i="36"/>
  <c r="C46" i="41"/>
  <c r="C43" i="41" s="1"/>
  <c r="C35" i="41" s="1"/>
  <c r="C40" i="41" s="1"/>
  <c r="C35" i="16"/>
  <c r="D35" i="16"/>
  <c r="C63" i="1"/>
  <c r="Y40" i="18" s="1"/>
  <c r="C86" i="1" l="1"/>
  <c r="C18" i="16"/>
  <c r="P62" i="36"/>
  <c r="W58" i="17"/>
  <c r="C51" i="41"/>
  <c r="J63" i="1"/>
  <c r="J47" i="1"/>
  <c r="D28" i="16" l="1"/>
  <c r="P58" i="36"/>
  <c r="C20" i="18"/>
  <c r="D26" i="16" l="1"/>
  <c r="C40" i="18"/>
  <c r="S20" i="18"/>
  <c r="C23" i="16" l="1"/>
  <c r="E22" i="14"/>
  <c r="E23" i="14" s="1"/>
  <c r="Y21" i="18"/>
  <c r="S40" i="18"/>
  <c r="W40" i="18"/>
  <c r="T20" i="18"/>
  <c r="C33" i="16"/>
  <c r="T40" i="18" l="1"/>
  <c r="G63" i="1" s="1"/>
  <c r="F22" i="14"/>
  <c r="Z21" i="18"/>
  <c r="F63" i="1"/>
  <c r="Y41" i="18"/>
  <c r="X64" i="17"/>
  <c r="C27" i="16" s="1"/>
  <c r="D23" i="16"/>
  <c r="D21" i="16" s="1"/>
  <c r="C21" i="16"/>
  <c r="C30" i="16"/>
  <c r="D30" i="16"/>
  <c r="Z41" i="18" l="1"/>
  <c r="X67" i="17"/>
  <c r="C28" i="16" s="1"/>
  <c r="C29" i="16"/>
  <c r="D29" i="16"/>
  <c r="D24" i="16"/>
  <c r="X62" i="17" l="1"/>
  <c r="C26" i="16" l="1"/>
  <c r="C24" i="16" l="1"/>
</calcChain>
</file>

<file path=xl/sharedStrings.xml><?xml version="1.0" encoding="utf-8"?>
<sst xmlns="http://schemas.openxmlformats.org/spreadsheetml/2006/main" count="984" uniqueCount="563">
  <si>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</si>
  <si>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</si>
  <si>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</si>
  <si>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</si>
  <si>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</si>
  <si>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</si>
  <si>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</si>
  <si>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</si>
  <si>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</si>
  <si>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</si>
  <si>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</si>
  <si>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</si>
  <si>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</si>
  <si>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</si>
  <si>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</si>
  <si>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</si>
  <si>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</si>
  <si>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</si>
  <si>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</si>
  <si>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</si>
  <si>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</si>
  <si>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</si>
  <si>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</si>
  <si>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</si>
  <si>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</si>
  <si>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</si>
  <si>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</si>
  <si>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</si>
  <si>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</si>
  <si>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</si>
  <si>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</si>
  <si>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</si>
  <si>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</si>
  <si>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</si>
  <si>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</si>
  <si>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</si>
  <si>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</si>
  <si>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</si>
  <si>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</si>
  <si>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</si>
  <si>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</si>
  <si>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</si>
  <si>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</si>
  <si>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</si>
  <si>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</si>
  <si>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</si>
  <si>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</si>
  <si>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</si>
  <si>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</si>
  <si>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</si>
  <si>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</si>
  <si>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</si>
  <si>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</si>
  <si>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</si>
  <si>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</si>
  <si>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</si>
  <si>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</si>
  <si>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</si>
  <si>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</si>
  <si>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</si>
  <si>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</si>
  <si>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</si>
  <si>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</si>
  <si>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</si>
  <si>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</si>
  <si>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</si>
  <si>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</si>
  <si>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</si>
  <si>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</si>
  <si>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</si>
  <si>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</si>
  <si>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</si>
  <si>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</si>
  <si>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</si>
  <si>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</si>
  <si>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</si>
  <si>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</si>
  <si>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</si>
  <si>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</si>
  <si>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</si>
  <si>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</si>
  <si>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</si>
  <si>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</si>
  <si>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</si>
  <si>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</si>
  <si>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</si>
  <si>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</si>
  <si>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</si>
  <si>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</si>
  <si>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</si>
  <si>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</si>
  <si>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</si>
  <si>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</si>
  <si>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</si>
  <si>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</si>
  <si>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</si>
  <si>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</si>
  <si>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</si>
  <si>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</si>
  <si>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</si>
  <si>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</si>
  <si>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</si>
  <si>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</si>
  <si>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</si>
  <si>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</si>
  <si>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</si>
  <si>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</si>
  <si>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</si>
  <si>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</si>
  <si>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</si>
  <si>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</si>
  <si>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</si>
  <si>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</si>
  <si>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</si>
  <si>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</si>
  <si>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</si>
  <si>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</si>
  <si>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</si>
  <si>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</si>
  <si>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</si>
  <si>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</si>
  <si>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</si>
  <si>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</si>
  <si>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</si>
  <si>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</si>
  <si>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</si>
  <si>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</si>
  <si>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</si>
  <si>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</si>
  <si>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</si>
  <si>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</si>
  <si>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</si>
  <si>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</si>
  <si>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</si>
  <si>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</si>
  <si>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</si>
  <si>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</si>
  <si>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</si>
  <si>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</si>
  <si>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</si>
  <si>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</si>
  <si>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</si>
  <si>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</si>
  <si>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</si>
  <si>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</si>
  <si>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</si>
  <si>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</si>
  <si>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</si>
  <si>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</si>
  <si>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</si>
  <si>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</si>
  <si>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</si>
  <si>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</si>
  <si>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</si>
  <si>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</si>
  <si>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</si>
  <si>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</si>
  <si>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</si>
  <si>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</si>
  <si>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</si>
  <si>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</si>
  <si>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</si>
  <si>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</si>
  <si>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</si>
  <si>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</si>
  <si>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</si>
  <si>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</si>
  <si>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</si>
  <si>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</si>
  <si>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</si>
  <si>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</si>
  <si>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</si>
  <si>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</si>
  <si>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</si>
  <si>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</si>
  <si>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</si>
  <si>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</si>
  <si>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</si>
  <si>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</si>
  <si>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</si>
  <si>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</si>
  <si>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</si>
  <si>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</si>
  <si>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</si>
  <si>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</si>
  <si>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</si>
  <si>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</si>
  <si>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</si>
  <si>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</si>
  <si>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</si>
  <si>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</si>
  <si>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</si>
  <si>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</si>
  <si>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</si>
  <si>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</si>
  <si>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</si>
  <si>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</si>
  <si>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</si>
  <si>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</si>
  <si>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</si>
  <si>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</si>
  <si>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</si>
  <si>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</si>
  <si>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</si>
  <si>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</si>
  <si>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</si>
  <si>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</si>
  <si>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</si>
  <si>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</si>
  <si>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</si>
  <si>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</si>
  <si>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</si>
  <si>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</si>
  <si>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</si>
  <si>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</si>
  <si>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</si>
  <si>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</si>
  <si>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</si>
  <si>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</si>
  <si>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</si>
  <si>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</si>
  <si>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</si>
  <si>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</si>
  <si>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</si>
  <si>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</si>
  <si>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</si>
  <si>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</si>
  <si>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</si>
  <si>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</si>
  <si>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</si>
  <si>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</si>
  <si>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</si>
  <si>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</si>
  <si>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</si>
  <si>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</si>
  <si>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</si>
  <si>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</si>
  <si>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</si>
  <si>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</si>
  <si>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</si>
  <si>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</si>
  <si>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</si>
  <si>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</si>
  <si>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</si>
  <si>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</si>
  <si>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</si>
  <si>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</si>
  <si>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</si>
  <si>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</si>
  <si>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</si>
  <si>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</si>
  <si>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</si>
  <si>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</si>
  <si>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</si>
  <si>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</si>
  <si>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</si>
  <si>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</si>
  <si>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</si>
  <si>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</si>
  <si>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</si>
  <si>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</si>
  <si>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</si>
  <si>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</si>
  <si>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</si>
  <si>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</si>
  <si>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</si>
  <si>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</si>
  <si>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</si>
  <si>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</si>
  <si>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</si>
  <si>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</si>
  <si>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</si>
  <si>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</si>
  <si>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</si>
  <si>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</si>
  <si>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</si>
  <si>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</si>
  <si>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</si>
  <si>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</si>
  <si>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</si>
  <si>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</si>
  <si>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</si>
  <si>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</si>
  <si>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</si>
  <si>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</si>
  <si>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</si>
  <si>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</si>
  <si>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Ҳукумат ва Марказий банки томонидан чиқарилган қимматли қоғозлар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</si>
  <si>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</si>
  <si>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</si>
  <si>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</si>
  <si>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Хатарлилик даражаси паст бўлган мамлакатлар ҳукуматиларининг қимматли қоғозлари</t>
  </si>
  <si>
    <t>Ипотекани қайта молиялаштириш ташкилотлари қимматли қоғозлари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</si>
  <si>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</si>
  <si>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</si>
  <si>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</si>
  <si>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</si>
  <si>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</si>
  <si>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</si>
  <si>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</si>
  <si>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</si>
  <si>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</si>
  <si>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</si>
  <si>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</si>
  <si>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</si>
  <si>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</si>
  <si>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</si>
  <si>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</si>
  <si>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</si>
  <si>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</si>
  <si>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</si>
  <si>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</si>
  <si>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</si>
  <si>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</si>
  <si>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</si>
  <si>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</si>
  <si>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</si>
  <si>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</si>
  <si>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</si>
  <si>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</si>
  <si>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</si>
  <si>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</si>
  <si>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</si>
  <si>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</si>
  <si>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</si>
  <si>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</si>
  <si>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</si>
  <si>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</si>
  <si>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</si>
  <si>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</si>
  <si>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</si>
  <si>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</si>
  <si>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</si>
  <si>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</si>
  <si>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</si>
  <si>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</si>
  <si>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</si>
  <si>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</si>
  <si>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</si>
  <si>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</si>
  <si>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</si>
  <si>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</si>
  <si>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</si>
  <si>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</si>
  <si>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</si>
  <si>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</si>
  <si>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</si>
  <si>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</si>
  <si>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</si>
  <si>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</si>
  <si>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</si>
  <si>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</si>
  <si>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</si>
  <si>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</si>
  <si>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</si>
  <si>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</si>
  <si>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</si>
  <si>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</si>
  <si>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</si>
  <si>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</si>
  <si>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</si>
  <si>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</si>
  <si>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</si>
  <si>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</si>
  <si>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</si>
  <si>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</si>
  <si>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</si>
  <si>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</si>
  <si>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</si>
  <si>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</si>
  <si>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</si>
  <si>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</si>
  <si>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</si>
  <si>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</si>
  <si>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</si>
  <si>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</si>
  <si>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</si>
  <si>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</si>
  <si>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</si>
  <si>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</si>
  <si>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</si>
  <si>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</si>
  <si>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</si>
  <si>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</si>
  <si>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</si>
  <si>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</si>
  <si>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</si>
  <si>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</si>
  <si>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</si>
  <si>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</si>
  <si>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</si>
  <si>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</si>
  <si>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</si>
  <si>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</si>
  <si>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</si>
  <si>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</si>
  <si>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</si>
  <si>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</si>
  <si>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</si>
  <si>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</si>
  <si>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</si>
  <si>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</si>
  <si>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</si>
  <si>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</si>
  <si>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</si>
  <si>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</si>
  <si>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</si>
  <si>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</si>
  <si>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</si>
  <si>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</si>
  <si>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</si>
  <si>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</si>
  <si>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</si>
  <si>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</si>
  <si>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</si>
  <si>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</si>
  <si>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</si>
  <si>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</si>
  <si>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</si>
  <si>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</si>
  <si>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</si>
  <si>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</si>
  <si>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</si>
  <si>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</si>
  <si>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</si>
  <si>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</si>
  <si>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</si>
  <si>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</si>
  <si>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</si>
  <si>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</si>
  <si>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</si>
  <si>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</si>
  <si>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</si>
  <si>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</si>
  <si>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</si>
  <si>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</si>
  <si>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</si>
  <si>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</si>
  <si>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</si>
  <si>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</si>
  <si>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</si>
  <si>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</si>
  <si>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</si>
  <si>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</si>
  <si>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</si>
  <si>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</si>
  <si>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</si>
  <si>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</si>
  <si>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</si>
  <si>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</si>
  <si>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</si>
  <si>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</si>
  <si>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</si>
  <si>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</si>
  <si>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</si>
  <si>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</si>
  <si>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</si>
  <si>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</si>
  <si>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</si>
  <si>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</si>
  <si>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</si>
  <si>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</si>
  <si>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</si>
  <si>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</si>
  <si>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</si>
  <si>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</si>
  <si>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</si>
  <si>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</si>
  <si>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</si>
  <si>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</si>
  <si>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</si>
  <si>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</si>
  <si>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</si>
  <si>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</si>
  <si>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</si>
  <si>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</si>
  <si>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</si>
  <si>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</si>
  <si>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</si>
  <si>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</si>
  <si>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</si>
  <si>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</si>
  <si>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</si>
  <si>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</si>
  <si>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</si>
  <si>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</si>
  <si>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</si>
  <si>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</si>
  <si>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</si>
  <si>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</si>
  <si>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</si>
  <si>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</si>
  <si>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</si>
  <si>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</si>
  <si>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</si>
  <si>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</si>
  <si>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</si>
  <si>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</si>
  <si>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</si>
  <si>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</si>
  <si>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</si>
  <si>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</si>
  <si>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</si>
  <si>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</si>
  <si>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</si>
  <si>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</si>
  <si>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</si>
  <si>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</si>
  <si>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</si>
  <si>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</si>
  <si>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</si>
  <si>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</si>
  <si>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</si>
  <si>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</si>
  <si>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</si>
  <si>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</si>
  <si>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</si>
  <si>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</si>
  <si>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</si>
  <si>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</si>
  <si>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</si>
  <si>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</si>
  <si>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</si>
  <si>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</si>
  <si>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</si>
  <si>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</si>
  <si>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</si>
  <si>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</si>
  <si>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</si>
  <si>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</si>
  <si>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</si>
  <si>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</si>
  <si>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</si>
  <si>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</si>
  <si>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</si>
  <si>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</si>
  <si>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</si>
  <si>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ХВФ, Жаҳон банки гуруҳи, ҲМТ, ОТБ, Осиё инвестиция ва инфратузилма банки, ЕТTБ, Европа инвестиция банки, Европа инвестиция жамғармаси, Ислом тараққиёт банки ва Европа иттифоқи тараққиёт банки томонидан чиқарилган қимматли қоғозлар</t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</si>
  <si>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</si>
  <si>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</si>
  <si>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</si>
  <si>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</si>
  <si>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</si>
  <si>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</si>
  <si>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</si>
  <si>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</si>
  <si>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</si>
  <si>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</si>
  <si>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</si>
  <si>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</si>
  <si>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</si>
  <si>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</si>
  <si>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</si>
  <si>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</si>
  <si>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</si>
  <si>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20202,20204,20602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</si>
  <si>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</si>
  <si>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</si>
  <si>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</si>
  <si>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</si>
  <si>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</si>
  <si>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№1</t>
  </si>
  <si>
    <t>"Ўзсаноатқурилишбанк" АТБ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</si>
</sst>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1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0"/>
      <color rgb="FFC00000"/>
      <name val="Arial Cyr"/>
      <charset val="204"/>
    </font>
    <font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  <font>
      <b/>
      <sz val="16"/>
      <color rgb="FFB6FF5D"/>
      <name val="Times New Roman Cyr"/>
      <charset val="204"/>
    </font>
    <font>
      <sz val="9"/>
      <color theme="0" tint="-0.249977111117893"/>
      <name val="Arial Cyr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5">
      <protection locked="0"/>
    </xf>
    <xf numFmtId="172" fontId="46" fillId="0" borderId="0">
      <protection locked="0"/>
    </xf>
    <xf numFmtId="173" fontId="46" fillId="0" borderId="1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9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0" fillId="0" borderId="0"/>
    <xf numFmtId="0" fontId="25" fillId="0" borderId="0"/>
    <xf numFmtId="9" fontId="27" fillId="0" borderId="0" applyFont="0" applyFill="0" applyBorder="0" applyAlignment="0" applyProtection="0"/>
    <xf numFmtId="0" fontId="5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51" fillId="0" borderId="0"/>
    <xf numFmtId="0" fontId="25" fillId="0" borderId="0"/>
    <xf numFmtId="0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1" fillId="0" borderId="0"/>
    <xf numFmtId="0" fontId="1" fillId="0" borderId="0"/>
    <xf numFmtId="0" fontId="57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8" fillId="0" borderId="0"/>
    <xf numFmtId="0" fontId="27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27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9" fontId="5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1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183" fontId="66" fillId="0" borderId="0" applyFont="0" applyFill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3" borderId="0" applyNumberFormat="0" applyBorder="0" applyAlignment="0" applyProtection="0"/>
    <xf numFmtId="0" fontId="55" fillId="26" borderId="0" applyNumberFormat="0" applyBorder="0" applyAlignment="0" applyProtection="0"/>
    <xf numFmtId="0" fontId="55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7" borderId="0" applyNumberFormat="0" applyBorder="0" applyAlignment="0" applyProtection="0"/>
    <xf numFmtId="0" fontId="68" fillId="21" borderId="0" applyNumberFormat="0" applyBorder="0" applyAlignment="0" applyProtection="0"/>
    <xf numFmtId="0" fontId="69" fillId="38" borderId="16" applyNumberFormat="0" applyAlignment="0" applyProtection="0"/>
    <xf numFmtId="0" fontId="70" fillId="39" borderId="17" applyNumberFormat="0" applyAlignment="0" applyProtection="0"/>
    <xf numFmtId="176" fontId="71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72" fillId="0" borderId="0"/>
    <xf numFmtId="0" fontId="73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4" fillId="22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8" applyNumberFormat="0" applyFill="0" applyAlignment="0" applyProtection="0"/>
    <xf numFmtId="0" fontId="77" fillId="0" borderId="0" applyNumberFormat="0" applyFill="0" applyBorder="0" applyAlignment="0" applyProtection="0"/>
    <xf numFmtId="171" fontId="66" fillId="0" borderId="0" applyFont="0" applyFill="0" applyBorder="0" applyAlignment="0" applyProtection="0"/>
    <xf numFmtId="0" fontId="78" fillId="25" borderId="16" applyNumberFormat="0" applyAlignment="0" applyProtection="0"/>
    <xf numFmtId="0" fontId="79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80" fillId="0" borderId="0" applyFill="0" applyBorder="0"/>
    <xf numFmtId="0" fontId="81" fillId="40" borderId="0" applyNumberFormat="0" applyBorder="0" applyAlignment="0" applyProtection="0"/>
    <xf numFmtId="0" fontId="80" fillId="0" borderId="0"/>
    <xf numFmtId="0" fontId="27" fillId="41" borderId="20" applyNumberFormat="0" applyFont="0" applyAlignment="0" applyProtection="0"/>
    <xf numFmtId="0" fontId="82" fillId="38" borderId="21" applyNumberFormat="0" applyAlignment="0" applyProtection="0"/>
    <xf numFmtId="9" fontId="25" fillId="0" borderId="0" applyFont="0" applyFill="0" applyBorder="0" applyAlignment="0" applyProtection="0"/>
    <xf numFmtId="191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4" fillId="0" borderId="0" applyNumberFormat="0" applyFill="0" applyBorder="0" applyAlignment="0" applyProtection="0"/>
  </cellStyleXfs>
  <cellXfs count="445">
    <xf numFmtId="0" fontId="0" fillId="0" borderId="0" xfId="0"/>
    <xf numFmtId="0" fontId="3" fillId="0" borderId="0" xfId="0" applyFont="1"/>
    <xf numFmtId="0" fontId="6" fillId="0" borderId="0" xfId="0" applyFont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3" fontId="7" fillId="0" borderId="3" xfId="0" applyNumberFormat="1" applyFont="1" applyBorder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2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2"/>
    </xf>
    <xf numFmtId="3" fontId="24" fillId="0" borderId="1" xfId="0" applyNumberFormat="1" applyFont="1" applyBorder="1" applyAlignment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/>
    <xf numFmtId="3" fontId="7" fillId="0" borderId="3" xfId="0" applyNumberFormat="1" applyFont="1" applyBorder="1"/>
    <xf numFmtId="3" fontId="7" fillId="0" borderId="1" xfId="0" applyNumberFormat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3" fontId="15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2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Alignment="1">
      <alignment vertical="center"/>
    </xf>
    <xf numFmtId="0" fontId="16" fillId="0" borderId="0" xfId="0" applyFont="1"/>
    <xf numFmtId="168" fontId="17" fillId="0" borderId="0" xfId="4" applyNumberFormat="1" applyFont="1" applyProtection="1"/>
    <xf numFmtId="0" fontId="16" fillId="0" borderId="0" xfId="0" applyFont="1" applyAlignment="1">
      <alignment horizontal="right"/>
    </xf>
    <xf numFmtId="169" fontId="17" fillId="0" borderId="0" xfId="0" applyNumberFormat="1" applyFont="1" applyAlignment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Border="1" applyAlignment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Alignment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/>
    <xf numFmtId="169" fontId="33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3" fontId="33" fillId="0" borderId="1" xfId="0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3" fontId="30" fillId="0" borderId="1" xfId="0" applyNumberFormat="1" applyFont="1" applyBorder="1" applyAlignment="1">
      <alignment vertical="center"/>
    </xf>
    <xf numFmtId="0" fontId="33" fillId="0" borderId="0" xfId="0" applyFont="1"/>
    <xf numFmtId="16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/>
    <xf numFmtId="3" fontId="0" fillId="0" borderId="1" xfId="0" applyNumberFormat="1" applyBorder="1"/>
    <xf numFmtId="3" fontId="5" fillId="0" borderId="1" xfId="3" applyNumberFormat="1" applyFont="1" applyFill="1" applyBorder="1" applyProtection="1"/>
    <xf numFmtId="0" fontId="24" fillId="0" borderId="0" xfId="0" applyFont="1" applyAlignment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wrapText="1" indent="1"/>
    </xf>
    <xf numFmtId="3" fontId="35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3" fontId="32" fillId="3" borderId="1" xfId="0" applyNumberFormat="1" applyFont="1" applyFill="1" applyBorder="1" applyAlignment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horizontal="centerContinuous" vertical="center"/>
    </xf>
    <xf numFmtId="3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vertical="center"/>
    </xf>
    <xf numFmtId="0" fontId="37" fillId="0" borderId="0" xfId="0" applyFont="1"/>
    <xf numFmtId="167" fontId="37" fillId="0" borderId="0" xfId="4" applyFont="1" applyBorder="1" applyProtection="1"/>
    <xf numFmtId="0" fontId="37" fillId="0" borderId="0" xfId="0" applyFont="1" applyAlignment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Alignment="1">
      <alignment vertical="center"/>
    </xf>
    <xf numFmtId="3" fontId="38" fillId="0" borderId="0" xfId="0" applyNumberFormat="1" applyFont="1"/>
    <xf numFmtId="167" fontId="38" fillId="0" borderId="0" xfId="4" applyFont="1" applyBorder="1" applyProtection="1"/>
    <xf numFmtId="0" fontId="38" fillId="0" borderId="0" xfId="0" applyFont="1"/>
    <xf numFmtId="0" fontId="38" fillId="0" borderId="0" xfId="0" applyFont="1" applyAlignment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>
      <alignment vertical="center"/>
    </xf>
    <xf numFmtId="167" fontId="37" fillId="0" borderId="0" xfId="4" applyFont="1" applyFill="1" applyBorder="1" applyAlignment="1" applyProtection="1">
      <alignment vertical="center"/>
    </xf>
    <xf numFmtId="0" fontId="39" fillId="0" borderId="0" xfId="0" applyFont="1" applyAlignment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Alignment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Border="1" applyAlignment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/>
    <xf numFmtId="0" fontId="40" fillId="0" borderId="0" xfId="0" applyFont="1" applyAlignment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Border="1" applyAlignment="1">
      <alignment vertical="center"/>
    </xf>
    <xf numFmtId="0" fontId="29" fillId="0" borderId="0" xfId="0" applyFont="1"/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/>
    <xf numFmtId="3" fontId="2" fillId="0" borderId="1" xfId="0" applyNumberFormat="1" applyFont="1" applyBorder="1" applyAlignment="1">
      <alignment vertical="center"/>
    </xf>
    <xf numFmtId="3" fontId="2" fillId="0" borderId="0" xfId="3" applyNumberFormat="1" applyFont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Protection="1">
      <protection hidden="1"/>
    </xf>
    <xf numFmtId="0" fontId="14" fillId="0" borderId="0" xfId="0" applyFont="1"/>
    <xf numFmtId="3" fontId="42" fillId="0" borderId="0" xfId="0" applyNumberFormat="1" applyFont="1"/>
    <xf numFmtId="3" fontId="42" fillId="0" borderId="0" xfId="0" applyNumberFormat="1" applyFont="1" applyProtection="1">
      <protection hidden="1"/>
    </xf>
    <xf numFmtId="3" fontId="24" fillId="0" borderId="1" xfId="0" applyNumberFormat="1" applyFont="1" applyBorder="1"/>
    <xf numFmtId="3" fontId="14" fillId="0" borderId="0" xfId="0" applyNumberFormat="1" applyFont="1"/>
    <xf numFmtId="3" fontId="43" fillId="0" borderId="0" xfId="0" applyNumberFormat="1" applyFont="1" applyAlignment="1">
      <alignment horizontal="center"/>
    </xf>
    <xf numFmtId="3" fontId="43" fillId="0" borderId="0" xfId="0" applyNumberFormat="1" applyFont="1" applyAlignment="1" applyProtection="1">
      <alignment horizontal="center"/>
      <protection hidden="1"/>
    </xf>
    <xf numFmtId="0" fontId="40" fillId="19" borderId="1" xfId="0" applyFont="1" applyFill="1" applyBorder="1" applyAlignment="1">
      <alignment horizontal="left" vertical="center" wrapText="1" indent="1"/>
    </xf>
    <xf numFmtId="0" fontId="26" fillId="19" borderId="1" xfId="0" applyFont="1" applyFill="1" applyBorder="1" applyAlignment="1">
      <alignment horizontal="left" vertical="center" wrapText="1" indent="1"/>
    </xf>
    <xf numFmtId="3" fontId="24" fillId="0" borderId="3" xfId="0" applyNumberFormat="1" applyFont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 applyProtection="1">
      <alignment horizontal="center" vertical="center"/>
      <protection hidden="1"/>
    </xf>
    <xf numFmtId="0" fontId="64" fillId="0" borderId="0" xfId="0" applyFont="1" applyAlignment="1">
      <alignment horizontal="center"/>
    </xf>
    <xf numFmtId="0" fontId="64" fillId="0" borderId="0" xfId="0" applyFont="1" applyAlignment="1" applyProtection="1">
      <alignment horizontal="center"/>
      <protection hidden="1"/>
    </xf>
    <xf numFmtId="3" fontId="64" fillId="0" borderId="0" xfId="0" applyNumberFormat="1" applyFont="1" applyAlignment="1">
      <alignment horizontal="center"/>
    </xf>
    <xf numFmtId="3" fontId="12" fillId="0" borderId="1" xfId="3" applyNumberFormat="1" applyFont="1" applyFill="1" applyBorder="1" applyAlignment="1" applyProtection="1">
      <alignment vertical="center"/>
    </xf>
    <xf numFmtId="0" fontId="65" fillId="0" borderId="0" xfId="0" applyFont="1"/>
    <xf numFmtId="0" fontId="65" fillId="0" borderId="0" xfId="0" applyFont="1" applyAlignment="1">
      <alignment wrapText="1"/>
    </xf>
    <xf numFmtId="0" fontId="65" fillId="0" borderId="0" xfId="0" applyFont="1" applyAlignment="1">
      <alignment horizontal="center"/>
    </xf>
    <xf numFmtId="3" fontId="0" fillId="0" borderId="3" xfId="0" applyNumberFormat="1" applyBorder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3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3" fontId="86" fillId="0" borderId="0" xfId="0" applyNumberFormat="1" applyFont="1" applyAlignment="1" applyProtection="1">
      <alignment horizontal="center"/>
      <protection hidden="1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169" fontId="5" fillId="0" borderId="0" xfId="0" applyNumberFormat="1" applyFont="1" applyAlignment="1">
      <alignment horizontal="centerContinuous"/>
    </xf>
    <xf numFmtId="49" fontId="2" fillId="0" borderId="0" xfId="0" applyNumberFormat="1" applyFont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Border="1" applyAlignment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vertical="center"/>
    </xf>
    <xf numFmtId="3" fontId="0" fillId="0" borderId="3" xfId="0" applyNumberFormat="1" applyBorder="1" applyProtection="1">
      <protection locked="0"/>
    </xf>
    <xf numFmtId="0" fontId="29" fillId="0" borderId="0" xfId="0" applyFont="1" applyAlignment="1">
      <alignment vertical="center"/>
    </xf>
    <xf numFmtId="0" fontId="41" fillId="0" borderId="0" xfId="0" applyFont="1"/>
    <xf numFmtId="0" fontId="86" fillId="0" borderId="0" xfId="0" applyFont="1" applyAlignment="1" applyProtection="1">
      <alignment horizontal="center"/>
      <protection hidden="1"/>
    </xf>
    <xf numFmtId="167" fontId="2" fillId="0" borderId="0" xfId="4" applyFont="1" applyBorder="1" applyProtection="1"/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167" fontId="2" fillId="0" borderId="0" xfId="4" applyFont="1" applyFill="1" applyAlignment="1">
      <alignment vertical="center"/>
    </xf>
    <xf numFmtId="0" fontId="88" fillId="0" borderId="0" xfId="0" applyFont="1" applyAlignment="1">
      <alignment horizontal="center"/>
    </xf>
    <xf numFmtId="0" fontId="88" fillId="0" borderId="0" xfId="0" applyFont="1" applyAlignment="1" applyProtection="1">
      <alignment horizontal="center"/>
      <protection hidden="1"/>
    </xf>
    <xf numFmtId="0" fontId="88" fillId="0" borderId="0" xfId="0" applyFont="1" applyProtection="1">
      <protection hidden="1"/>
    </xf>
    <xf numFmtId="0" fontId="88" fillId="0" borderId="0" xfId="0" applyFont="1"/>
    <xf numFmtId="3" fontId="87" fillId="0" borderId="0" xfId="0" applyNumberFormat="1" applyFont="1" applyAlignment="1">
      <alignment horizontal="center" vertical="center"/>
    </xf>
    <xf numFmtId="167" fontId="14" fillId="0" borderId="0" xfId="4" applyFont="1" applyBorder="1" applyProtection="1"/>
    <xf numFmtId="167" fontId="2" fillId="0" borderId="0" xfId="4" applyFont="1" applyProtection="1"/>
    <xf numFmtId="0" fontId="89" fillId="0" borderId="0" xfId="0" applyFont="1"/>
    <xf numFmtId="0" fontId="89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3" fontId="89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8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90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35" fillId="0" borderId="0" xfId="0" applyFont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indent="1"/>
    </xf>
    <xf numFmtId="4" fontId="0" fillId="0" borderId="0" xfId="0" applyNumberFormat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3" fontId="0" fillId="0" borderId="1" xfId="0" applyNumberForma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3" fontId="24" fillId="0" borderId="1" xfId="3" applyNumberFormat="1" applyFont="1" applyFill="1" applyBorder="1" applyProtection="1"/>
    <xf numFmtId="0" fontId="0" fillId="0" borderId="1" xfId="0" applyBorder="1" applyAlignment="1">
      <alignment vertical="center" wrapText="1"/>
    </xf>
    <xf numFmtId="3" fontId="2" fillId="0" borderId="3" xfId="0" applyNumberFormat="1" applyFont="1" applyBorder="1"/>
    <xf numFmtId="3" fontId="2" fillId="0" borderId="3" xfId="0" applyNumberFormat="1" applyFont="1" applyBorder="1" applyProtection="1">
      <protection locked="0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3" fontId="91" fillId="3" borderId="5" xfId="0" applyNumberFormat="1" applyFont="1" applyFill="1" applyBorder="1" applyAlignment="1">
      <alignment horizontal="center" vertical="center" textRotation="90" wrapText="1"/>
    </xf>
    <xf numFmtId="4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49" fontId="10" fillId="0" borderId="1" xfId="0" quotePrefix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center" vertical="center"/>
    </xf>
    <xf numFmtId="3" fontId="92" fillId="0" borderId="1" xfId="0" quotePrefix="1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/>
    <xf numFmtId="0" fontId="30" fillId="0" borderId="0" xfId="0" applyFont="1" applyAlignment="1">
      <alignment horizontal="center"/>
    </xf>
    <xf numFmtId="0" fontId="93" fillId="0" borderId="0" xfId="0" applyFont="1"/>
    <xf numFmtId="0" fontId="91" fillId="0" borderId="0" xfId="0" quotePrefix="1" applyFont="1" applyAlignment="1">
      <alignment horizontal="left" indent="6"/>
    </xf>
    <xf numFmtId="0" fontId="93" fillId="0" borderId="0" xfId="0" applyFont="1" applyAlignment="1">
      <alignment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 indent="2"/>
    </xf>
    <xf numFmtId="0" fontId="2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49" fontId="4" fillId="0" borderId="1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indent="1"/>
    </xf>
    <xf numFmtId="3" fontId="94" fillId="0" borderId="1" xfId="0" quotePrefix="1" applyNumberFormat="1" applyFont="1" applyBorder="1" applyAlignment="1">
      <alignment horizontal="center" vertical="center" wrapText="1"/>
    </xf>
    <xf numFmtId="3" fontId="0" fillId="0" borderId="1" xfId="0" quotePrefix="1" applyNumberFormat="1" applyBorder="1" applyAlignment="1">
      <alignment horizontal="left" vertical="center" wrapText="1" indent="2"/>
    </xf>
    <xf numFmtId="3" fontId="0" fillId="0" borderId="1" xfId="0" quotePrefix="1" applyNumberFormat="1" applyBorder="1" applyAlignment="1">
      <alignment horizontal="left" vertical="center" wrapText="1" indent="4"/>
    </xf>
    <xf numFmtId="49" fontId="5" fillId="0" borderId="1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167" fontId="2" fillId="0" borderId="0" xfId="4" applyFont="1" applyAlignment="1">
      <alignment vertical="center"/>
    </xf>
    <xf numFmtId="3" fontId="5" fillId="0" borderId="1" xfId="0" applyNumberFormat="1" applyFont="1" applyBorder="1" applyAlignment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3"/>
    </xf>
    <xf numFmtId="3" fontId="5" fillId="0" borderId="1" xfId="0" applyNumberFormat="1" applyFont="1" applyBorder="1" applyAlignment="1">
      <alignment horizontal="left" vertical="center" wrapText="1" indent="1"/>
    </xf>
    <xf numFmtId="3" fontId="5" fillId="0" borderId="0" xfId="0" applyNumberFormat="1" applyFont="1" applyAlignment="1">
      <alignment vertical="center"/>
    </xf>
    <xf numFmtId="3" fontId="2" fillId="0" borderId="1" xfId="0" quotePrefix="1" applyNumberFormat="1" applyFont="1" applyBorder="1" applyAlignment="1">
      <alignment horizontal="left" vertical="center" wrapText="1" indent="2"/>
    </xf>
    <xf numFmtId="3" fontId="2" fillId="0" borderId="1" xfId="0" quotePrefix="1" applyNumberFormat="1" applyFont="1" applyBorder="1" applyAlignment="1">
      <alignment horizontal="left" vertical="center" wrapText="1" indent="4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96" fillId="0" borderId="1" xfId="0" applyFont="1" applyBorder="1" applyAlignment="1">
      <alignment horizontal="center" vertical="center" wrapText="1"/>
    </xf>
    <xf numFmtId="0" fontId="65" fillId="0" borderId="0" xfId="0" applyFont="1" applyAlignment="1">
      <alignment horizontal="left"/>
    </xf>
    <xf numFmtId="0" fontId="6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left"/>
      <protection hidden="1"/>
    </xf>
    <xf numFmtId="0" fontId="3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2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3" fontId="91" fillId="3" borderId="5" xfId="0" applyNumberFormat="1" applyFont="1" applyFill="1" applyBorder="1" applyAlignment="1">
      <alignment horizontal="center" vertical="center" wrapText="1"/>
    </xf>
    <xf numFmtId="167" fontId="14" fillId="0" borderId="0" xfId="4" applyFont="1" applyBorder="1" applyAlignment="1" applyProtection="1">
      <alignment horizontal="center"/>
    </xf>
    <xf numFmtId="0" fontId="24" fillId="0" borderId="23" xfId="0" applyFont="1" applyBorder="1" applyAlignment="1">
      <alignment horizontal="center" wrapText="1"/>
    </xf>
    <xf numFmtId="0" fontId="97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24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wrapText="1" indent="2"/>
    </xf>
    <xf numFmtId="0" fontId="30" fillId="0" borderId="1" xfId="0" applyFont="1" applyBorder="1" applyAlignment="1">
      <alignment horizontal="left" vertical="center" wrapText="1" indent="2" shrinkToFi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3" fontId="98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10" fillId="0" borderId="0" xfId="0" applyFont="1"/>
    <xf numFmtId="0" fontId="11" fillId="0" borderId="0" xfId="0" applyFont="1"/>
    <xf numFmtId="167" fontId="8" fillId="0" borderId="0" xfId="4" applyFont="1" applyFill="1" applyBorder="1" applyAlignment="1">
      <alignment vertical="center"/>
    </xf>
    <xf numFmtId="167" fontId="93" fillId="0" borderId="0" xfId="4" applyFont="1" applyAlignment="1" applyProtection="1">
      <alignment vertical="center"/>
    </xf>
    <xf numFmtId="3" fontId="99" fillId="0" borderId="0" xfId="0" applyNumberFormat="1" applyFont="1" applyAlignment="1">
      <alignment vertical="center"/>
    </xf>
    <xf numFmtId="0" fontId="100" fillId="0" borderId="0" xfId="0" applyFont="1" applyAlignment="1">
      <alignment vertical="center"/>
    </xf>
    <xf numFmtId="167" fontId="101" fillId="0" borderId="0" xfId="4" applyFont="1" applyAlignment="1" applyProtection="1">
      <alignment vertical="center"/>
    </xf>
    <xf numFmtId="0" fontId="101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/>
    <xf numFmtId="192" fontId="18" fillId="0" borderId="9" xfId="5" applyNumberFormat="1" applyFont="1" applyFill="1" applyBorder="1" applyAlignment="1" applyProtection="1">
      <alignment horizont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0" fontId="102" fillId="0" borderId="0" xfId="0" quotePrefix="1" applyFont="1" applyAlignment="1">
      <alignment horizontal="left"/>
    </xf>
    <xf numFmtId="49" fontId="103" fillId="0" borderId="1" xfId="0" applyNumberFormat="1" applyFont="1" applyBorder="1" applyAlignment="1">
      <alignment horizontal="center" vertical="center"/>
    </xf>
    <xf numFmtId="49" fontId="104" fillId="0" borderId="1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103" fillId="0" borderId="0" xfId="0" applyNumberFormat="1" applyFont="1" applyAlignment="1">
      <alignment horizontal="center"/>
    </xf>
    <xf numFmtId="3" fontId="8" fillId="0" borderId="0" xfId="0" applyNumberFormat="1" applyFont="1"/>
    <xf numFmtId="49" fontId="8" fillId="0" borderId="0" xfId="0" applyNumberFormat="1" applyFont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Protection="1">
      <protection hidden="1"/>
    </xf>
    <xf numFmtId="0" fontId="8" fillId="0" borderId="0" xfId="0" applyFont="1"/>
    <xf numFmtId="0" fontId="4" fillId="0" borderId="0" xfId="0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Border="1"/>
    <xf numFmtId="3" fontId="8" fillId="0" borderId="0" xfId="0" applyNumberFormat="1" applyFont="1" applyAlignment="1">
      <alignment wrapText="1"/>
    </xf>
    <xf numFmtId="3" fontId="11" fillId="0" borderId="0" xfId="0" applyNumberFormat="1" applyFont="1" applyAlignment="1">
      <alignment horizontal="center" vertical="center"/>
    </xf>
    <xf numFmtId="3" fontId="95" fillId="3" borderId="5" xfId="0" applyNumberFormat="1" applyFont="1" applyFill="1" applyBorder="1" applyAlignment="1">
      <alignment horizontal="center" vertical="center" wrapText="1"/>
    </xf>
    <xf numFmtId="3" fontId="91" fillId="3" borderId="4" xfId="0" applyNumberFormat="1" applyFont="1" applyFill="1" applyBorder="1" applyAlignment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top" wrapText="1" indent="1"/>
    </xf>
    <xf numFmtId="4" fontId="0" fillId="0" borderId="24" xfId="0" applyNumberFormat="1" applyBorder="1" applyProtection="1">
      <protection locked="0"/>
    </xf>
    <xf numFmtId="3" fontId="105" fillId="0" borderId="0" xfId="0" applyNumberFormat="1" applyFont="1" applyAlignment="1">
      <alignment horizontal="center"/>
    </xf>
    <xf numFmtId="0" fontId="4" fillId="0" borderId="0" xfId="0" quotePrefix="1" applyFont="1" applyAlignment="1" applyProtection="1">
      <alignment horizontal="center"/>
      <protection locked="0"/>
    </xf>
    <xf numFmtId="3" fontId="35" fillId="0" borderId="1" xfId="0" applyNumberFormat="1" applyFont="1" applyBorder="1" applyAlignment="1">
      <alignment vertical="center"/>
    </xf>
    <xf numFmtId="3" fontId="2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0" fontId="8" fillId="0" borderId="0" xfId="0" applyFont="1" applyAlignment="1">
      <alignment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Border="1" applyAlignment="1">
      <alignment vertical="center"/>
    </xf>
    <xf numFmtId="194" fontId="2" fillId="0" borderId="1" xfId="0" applyNumberFormat="1" applyFont="1" applyBorder="1" applyAlignment="1">
      <alignment vertical="center"/>
    </xf>
    <xf numFmtId="3" fontId="106" fillId="0" borderId="0" xfId="0" applyNumberFormat="1" applyFont="1" applyAlignment="1">
      <alignment vertical="center"/>
    </xf>
    <xf numFmtId="0" fontId="106" fillId="0" borderId="0" xfId="0" applyFont="1" applyAlignment="1">
      <alignment vertical="center"/>
    </xf>
    <xf numFmtId="3" fontId="107" fillId="0" borderId="0" xfId="0" applyNumberFormat="1" applyFont="1" applyAlignment="1">
      <alignment vertical="center"/>
    </xf>
    <xf numFmtId="167" fontId="108" fillId="0" borderId="0" xfId="4" applyFont="1" applyBorder="1" applyAlignment="1">
      <alignment vertical="center"/>
    </xf>
    <xf numFmtId="0" fontId="109" fillId="0" borderId="0" xfId="0" applyFont="1" applyAlignment="1">
      <alignment vertical="center"/>
    </xf>
    <xf numFmtId="168" fontId="109" fillId="0" borderId="0" xfId="4" applyNumberFormat="1" applyFont="1" applyFill="1" applyAlignment="1">
      <alignment vertical="center"/>
    </xf>
    <xf numFmtId="3" fontId="27" fillId="0" borderId="1" xfId="3" applyNumberFormat="1" applyFont="1" applyFill="1" applyBorder="1" applyProtection="1"/>
    <xf numFmtId="3" fontId="0" fillId="0" borderId="1" xfId="0" quotePrefix="1" applyNumberFormat="1" applyBorder="1" applyAlignment="1">
      <alignment vertical="center" wrapText="1"/>
    </xf>
    <xf numFmtId="0" fontId="110" fillId="0" borderId="0" xfId="0" applyFont="1" applyAlignment="1">
      <alignment horizontal="center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111" fillId="0" borderId="0" xfId="4" applyNumberFormat="1" applyFont="1" applyBorder="1" applyProtection="1"/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Alignment="1">
      <alignment horizontal="center" vertical="center" shrinkToFit="1"/>
    </xf>
    <xf numFmtId="3" fontId="91" fillId="3" borderId="4" xfId="0" applyNumberFormat="1" applyFont="1" applyFill="1" applyBorder="1" applyAlignment="1">
      <alignment horizontal="center" vertical="center" wrapText="1"/>
    </xf>
    <xf numFmtId="3" fontId="91" fillId="3" borderId="6" xfId="0" applyNumberFormat="1" applyFont="1" applyFill="1" applyBorder="1" applyAlignment="1">
      <alignment horizontal="center" vertical="center" wrapText="1"/>
    </xf>
    <xf numFmtId="3" fontId="91" fillId="3" borderId="8" xfId="0" applyNumberFormat="1" applyFont="1" applyFill="1" applyBorder="1" applyAlignment="1">
      <alignment horizontal="center" vertical="center" wrapText="1"/>
    </xf>
    <xf numFmtId="3" fontId="95" fillId="3" borderId="5" xfId="0" applyNumberFormat="1" applyFont="1" applyFill="1" applyBorder="1" applyAlignment="1">
      <alignment horizontal="center" vertical="center" wrapText="1"/>
    </xf>
    <xf numFmtId="3" fontId="95" fillId="3" borderId="11" xfId="0" applyNumberFormat="1" applyFont="1" applyFill="1" applyBorder="1" applyAlignment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91" fillId="3" borderId="5" xfId="0" applyNumberFormat="1" applyFont="1" applyFill="1" applyBorder="1" applyAlignment="1">
      <alignment horizontal="center" vertical="center" wrapText="1"/>
    </xf>
    <xf numFmtId="3" fontId="91" fillId="3" borderId="11" xfId="0" applyNumberFormat="1" applyFont="1" applyFill="1" applyBorder="1" applyAlignment="1">
      <alignment horizontal="center" vertical="center" wrapText="1"/>
    </xf>
    <xf numFmtId="3" fontId="91" fillId="3" borderId="7" xfId="0" applyNumberFormat="1" applyFont="1" applyFill="1" applyBorder="1" applyAlignment="1">
      <alignment horizontal="center" vertical="center" wrapText="1"/>
    </xf>
    <xf numFmtId="3" fontId="91" fillId="3" borderId="13" xfId="0" applyNumberFormat="1" applyFont="1" applyFill="1" applyBorder="1" applyAlignment="1">
      <alignment horizontal="center" vertical="center" wrapText="1"/>
    </xf>
    <xf numFmtId="3" fontId="91" fillId="3" borderId="2" xfId="0" applyNumberFormat="1" applyFont="1" applyFill="1" applyBorder="1" applyAlignment="1">
      <alignment horizontal="center" vertical="center" wrapText="1"/>
    </xf>
    <xf numFmtId="3" fontId="91" fillId="3" borderId="12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3" fontId="91" fillId="3" borderId="10" xfId="0" applyNumberFormat="1" applyFont="1" applyFill="1" applyBorder="1" applyAlignment="1">
      <alignment horizontal="center" vertical="center" wrapText="1"/>
    </xf>
    <xf numFmtId="3" fontId="91" fillId="3" borderId="9" xfId="0" applyNumberFormat="1" applyFont="1" applyFill="1" applyBorder="1" applyAlignment="1">
      <alignment horizontal="center" vertical="center" wrapText="1"/>
    </xf>
    <xf numFmtId="3" fontId="91" fillId="3" borderId="3" xfId="0" applyNumberFormat="1" applyFont="1" applyFill="1" applyBorder="1" applyAlignment="1">
      <alignment horizontal="center" vertic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3" fontId="95" fillId="3" borderId="7" xfId="0" applyNumberFormat="1" applyFont="1" applyFill="1" applyBorder="1" applyAlignment="1">
      <alignment horizontal="center" vertical="center" wrapText="1"/>
    </xf>
    <xf numFmtId="3" fontId="95" fillId="3" borderId="10" xfId="0" applyNumberFormat="1" applyFont="1" applyFill="1" applyBorder="1" applyAlignment="1">
      <alignment horizontal="center" vertical="center" wrapText="1"/>
    </xf>
    <xf numFmtId="3" fontId="95" fillId="3" borderId="13" xfId="0" applyNumberFormat="1" applyFont="1" applyFill="1" applyBorder="1" applyAlignment="1">
      <alignment horizontal="center" vertical="center" wrapText="1"/>
    </xf>
    <xf numFmtId="3" fontId="95" fillId="3" borderId="2" xfId="0" applyNumberFormat="1" applyFont="1" applyFill="1" applyBorder="1" applyAlignment="1">
      <alignment horizontal="center" vertical="center" wrapText="1"/>
    </xf>
    <xf numFmtId="3" fontId="95" fillId="3" borderId="9" xfId="0" applyNumberFormat="1" applyFont="1" applyFill="1" applyBorder="1" applyAlignment="1">
      <alignment horizontal="center" vertical="center" wrapText="1"/>
    </xf>
    <xf numFmtId="3" fontId="95" fillId="3" borderId="1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100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33FF"/>
      <color rgb="FFFF00FF"/>
      <color rgb="FFB408B8"/>
      <color rgb="FFBA9806"/>
      <color rgb="FF6D7749"/>
      <color rgb="FF505870"/>
      <color rgb="FF29B907"/>
      <color rgb="FF35E2EB"/>
      <color rgb="FFFF33CC"/>
      <color rgb="FF480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EV88"/>
  <sheetViews>
    <sheetView tabSelected="1" view="pageBreakPreview" zoomScaleNormal="75" zoomScaleSheetLayoutView="100" workbookViewId="0">
      <pane xSplit="2" ySplit="4" topLeftCell="C5" activePane="bottomRight" state="frozen"/>
      <selection activeCell="G38" sqref="G38"/>
      <selection pane="topRight" activeCell="G38" sqref="G38"/>
      <selection pane="bottomLeft" activeCell="G38" sqref="G38"/>
      <selection pane="bottomRight" activeCell="C5" sqref="C5"/>
    </sheetView>
  </sheetViews>
  <sheetFormatPr defaultRowHeight="15" customHeight="1"/>
  <cols>
    <col min="1" max="1" width="7" style="18" customWidth="1"/>
    <col min="2" max="2" width="85.42578125" style="18" customWidth="1"/>
    <col min="3" max="5" width="17.28515625" style="18" customWidth="1"/>
    <col min="6" max="8" width="12.5703125" style="150" customWidth="1"/>
    <col min="9" max="9" width="5.85546875" style="150" customWidth="1"/>
    <col min="10" max="10" width="5.7109375" style="170" customWidth="1"/>
    <col min="11" max="12" width="6.140625" style="150" customWidth="1"/>
    <col min="13" max="14" width="6.140625" style="18" customWidth="1"/>
    <col min="15" max="16384" width="9.140625" style="18"/>
  </cols>
  <sheetData>
    <row r="1" spans="1:10 16376:16376" ht="20.25">
      <c r="A1" s="407" t="s">
        <v>511</v>
      </c>
      <c r="B1" s="407"/>
      <c r="C1" s="407"/>
      <c r="D1" s="407"/>
      <c r="E1" s="230" t="s">
        <v>173</v>
      </c>
      <c r="G1" s="404" t="s">
        <v>561</v>
      </c>
    </row>
    <row r="2" spans="1:10 16376:16376" ht="15" customHeight="1">
      <c r="B2" s="357" t="str">
        <f>IF(D3&gt;0," "&amp;TEXT(D3,"д ММММ, гггг"),"Число,Месяц,Год")</f>
        <v xml:space="preserve"> 29 Декабрь, 2023</v>
      </c>
      <c r="C2" s="7"/>
      <c r="D2" s="213"/>
      <c r="E2" s="7"/>
    </row>
    <row r="3" spans="1:10 16376:16376" ht="15" customHeight="1">
      <c r="B3" s="383" t="s">
        <v>562</v>
      </c>
      <c r="D3" s="405">
        <v>45289</v>
      </c>
      <c r="E3" s="231" t="s">
        <v>174</v>
      </c>
    </row>
    <row r="4" spans="1:10 16376:16376" ht="43.5" customHeight="1">
      <c r="A4" s="93" t="s">
        <v>54</v>
      </c>
      <c r="B4" s="93" t="s">
        <v>175</v>
      </c>
      <c r="C4" s="93" t="s">
        <v>176</v>
      </c>
      <c r="D4" s="93" t="s">
        <v>177</v>
      </c>
      <c r="E4" s="93" t="s">
        <v>178</v>
      </c>
    </row>
    <row r="5" spans="1:10 16376:16376" ht="15" customHeight="1">
      <c r="A5" s="11">
        <v>1</v>
      </c>
      <c r="B5" s="232" t="s">
        <v>285</v>
      </c>
      <c r="C5" s="5">
        <f>+D5+E5</f>
        <v>1565389581</v>
      </c>
      <c r="D5" s="5">
        <f>+'Bank Assets Analysis'!T6</f>
        <v>494142662</v>
      </c>
      <c r="E5" s="5">
        <f>+'Bank Assets Analysis'!U6</f>
        <v>1071246919</v>
      </c>
      <c r="J5" s="171">
        <f t="shared" ref="J5:J47" si="0">+C5-D5-E5</f>
        <v>0</v>
      </c>
    </row>
    <row r="6" spans="1:10 16376:16376" ht="15" customHeight="1">
      <c r="A6" s="11">
        <v>2</v>
      </c>
      <c r="B6" s="232" t="s">
        <v>510</v>
      </c>
      <c r="C6" s="19">
        <f t="shared" ref="C6:C76" si="1">+D6+E6</f>
        <v>2526034447</v>
      </c>
      <c r="D6" s="5">
        <f>+'Bank Assets Analysis'!T7+'Bank Assets Analysis'!T8</f>
        <v>817118237</v>
      </c>
      <c r="E6" s="5">
        <f>+'Bank Assets Analysis'!U7+'Bank Assets Analysis'!U8</f>
        <v>1708916210</v>
      </c>
      <c r="J6" s="171">
        <f t="shared" si="0"/>
        <v>0</v>
      </c>
    </row>
    <row r="7" spans="1:10 16376:16376" ht="15" customHeight="1">
      <c r="A7" s="11">
        <v>3</v>
      </c>
      <c r="B7" s="319" t="s">
        <v>180</v>
      </c>
      <c r="C7" s="5">
        <f>+'Bank Assets Analysis'!S9</f>
        <v>5562959410</v>
      </c>
      <c r="D7" s="5">
        <f>+'Bank Assets Analysis'!T9</f>
        <v>596977053</v>
      </c>
      <c r="E7" s="5">
        <f>+'Bank Assets Analysis'!U9</f>
        <v>4965982357</v>
      </c>
      <c r="J7" s="171">
        <f t="shared" si="0"/>
        <v>0</v>
      </c>
    </row>
    <row r="8" spans="1:10 16376:16376" ht="15" customHeight="1">
      <c r="A8" s="11" t="s">
        <v>74</v>
      </c>
      <c r="B8" s="10" t="s">
        <v>181</v>
      </c>
      <c r="C8" s="5">
        <f t="shared" ref="C8" si="2">+D8+E8</f>
        <v>5600216777</v>
      </c>
      <c r="D8" s="3">
        <v>597218110</v>
      </c>
      <c r="E8" s="3">
        <v>5002998667</v>
      </c>
      <c r="J8" s="171">
        <f t="shared" si="0"/>
        <v>0</v>
      </c>
    </row>
    <row r="9" spans="1:10 16376:16376" ht="15" customHeight="1">
      <c r="A9" s="11" t="s">
        <v>75</v>
      </c>
      <c r="B9" s="10" t="s">
        <v>182</v>
      </c>
      <c r="C9" s="5">
        <f t="shared" si="1"/>
        <v>37257367</v>
      </c>
      <c r="D9" s="3">
        <v>241057</v>
      </c>
      <c r="E9" s="3">
        <v>37016310</v>
      </c>
      <c r="J9" s="171">
        <f t="shared" si="0"/>
        <v>0</v>
      </c>
      <c r="XEV9" s="3"/>
    </row>
    <row r="10" spans="1:10 16376:16376" ht="15" customHeight="1">
      <c r="A10" s="11">
        <v>4</v>
      </c>
      <c r="B10" s="232" t="s">
        <v>183</v>
      </c>
      <c r="C10" s="5">
        <f>+D10+E10</f>
        <v>2043306103</v>
      </c>
      <c r="D10" s="5">
        <f>+'Investment Securities'!C29</f>
        <v>1920633909</v>
      </c>
      <c r="E10" s="5">
        <f>+'Investment Securities'!D29</f>
        <v>122672194</v>
      </c>
      <c r="J10" s="171">
        <f t="shared" si="0"/>
        <v>0</v>
      </c>
    </row>
    <row r="11" spans="1:10 16376:16376" ht="15" customHeight="1">
      <c r="A11" s="11" t="s">
        <v>76</v>
      </c>
      <c r="B11" s="320" t="s">
        <v>184</v>
      </c>
      <c r="C11" s="5">
        <f t="shared" ref="C11:C13" si="3">+D11+E11</f>
        <v>2056792700</v>
      </c>
      <c r="D11" s="5">
        <f>+'Investment Securities'!C26</f>
        <v>1933405000</v>
      </c>
      <c r="E11" s="5">
        <f>+'Investment Securities'!D26</f>
        <v>123387700</v>
      </c>
      <c r="J11" s="171">
        <f t="shared" si="0"/>
        <v>0</v>
      </c>
    </row>
    <row r="12" spans="1:10 16376:16376" ht="25.5">
      <c r="A12" s="11" t="s">
        <v>20</v>
      </c>
      <c r="B12" s="10" t="s">
        <v>515</v>
      </c>
      <c r="C12" s="5">
        <f t="shared" si="3"/>
        <v>-13486597</v>
      </c>
      <c r="D12" s="5">
        <f>+'Investment Securities'!C27</f>
        <v>-12771091</v>
      </c>
      <c r="E12" s="5">
        <f>+'Investment Securities'!D27</f>
        <v>-715506</v>
      </c>
      <c r="J12" s="171">
        <f t="shared" si="0"/>
        <v>0</v>
      </c>
    </row>
    <row r="13" spans="1:10 16376:16376" ht="15" customHeight="1">
      <c r="A13" s="11" t="s">
        <v>21</v>
      </c>
      <c r="B13" s="320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J13" s="171">
        <f t="shared" si="0"/>
        <v>0</v>
      </c>
    </row>
    <row r="14" spans="1:10 16376:16376" ht="15" customHeight="1">
      <c r="A14" s="11">
        <v>5</v>
      </c>
      <c r="B14" s="232" t="s">
        <v>186</v>
      </c>
      <c r="C14" s="5">
        <f>+C15-C16</f>
        <v>875</v>
      </c>
      <c r="D14" s="5">
        <f>+'Investment Securities'!C39</f>
        <v>875</v>
      </c>
      <c r="E14" s="5">
        <f>+'Investment Securities'!D39</f>
        <v>0</v>
      </c>
      <c r="J14" s="171">
        <f t="shared" si="0"/>
        <v>0</v>
      </c>
    </row>
    <row r="15" spans="1:10 16376:16376" ht="15" customHeight="1">
      <c r="A15" s="11" t="s">
        <v>187</v>
      </c>
      <c r="B15" s="320" t="s">
        <v>188</v>
      </c>
      <c r="C15" s="5">
        <f t="shared" si="1"/>
        <v>875</v>
      </c>
      <c r="D15" s="5">
        <f>+'Investment Securities'!C37</f>
        <v>875</v>
      </c>
      <c r="E15" s="5">
        <f>+'Investment Securities'!D37</f>
        <v>0</v>
      </c>
      <c r="J15" s="171">
        <f t="shared" si="0"/>
        <v>0</v>
      </c>
    </row>
    <row r="16" spans="1:10 16376:16376" ht="15" customHeight="1">
      <c r="A16" s="11" t="s">
        <v>189</v>
      </c>
      <c r="B16" s="320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J16" s="171">
        <f t="shared" si="0"/>
        <v>0</v>
      </c>
    </row>
    <row r="17" spans="1:10" ht="15" customHeight="1">
      <c r="A17" s="11">
        <v>6</v>
      </c>
      <c r="B17" s="232" t="s">
        <v>190</v>
      </c>
      <c r="C17" s="5">
        <f>+'Investment Securities'!B15</f>
        <v>406437547</v>
      </c>
      <c r="D17" s="5">
        <f>+'Investment Securities'!C15</f>
        <v>403272949</v>
      </c>
      <c r="E17" s="5">
        <f>+'Investment Securities'!D15</f>
        <v>3164598</v>
      </c>
      <c r="J17" s="171">
        <f t="shared" si="0"/>
        <v>0</v>
      </c>
    </row>
    <row r="18" spans="1:10" ht="15" customHeight="1">
      <c r="A18" s="11" t="s">
        <v>191</v>
      </c>
      <c r="B18" s="320" t="s">
        <v>192</v>
      </c>
      <c r="C18" s="5">
        <f t="shared" si="1"/>
        <v>413393187</v>
      </c>
      <c r="D18" s="5">
        <f>+'Investment Securities'!C12</f>
        <v>410228589</v>
      </c>
      <c r="E18" s="5">
        <f>+'Investment Securities'!D12</f>
        <v>3164598</v>
      </c>
      <c r="J18" s="171">
        <f t="shared" si="0"/>
        <v>0</v>
      </c>
    </row>
    <row r="19" spans="1:10" ht="15" customHeight="1">
      <c r="A19" s="11" t="s">
        <v>193</v>
      </c>
      <c r="B19" s="10" t="s">
        <v>514</v>
      </c>
      <c r="C19" s="5">
        <f t="shared" si="1"/>
        <v>0</v>
      </c>
      <c r="D19" s="5">
        <f>+'Investment Securities'!C13</f>
        <v>0</v>
      </c>
      <c r="E19" s="5">
        <f>+'Investment Securities'!D13</f>
        <v>0</v>
      </c>
      <c r="J19" s="171">
        <f t="shared" si="0"/>
        <v>0</v>
      </c>
    </row>
    <row r="20" spans="1:10" ht="15" customHeight="1">
      <c r="A20" s="11" t="s">
        <v>513</v>
      </c>
      <c r="B20" s="320" t="s">
        <v>182</v>
      </c>
      <c r="C20" s="5">
        <f t="shared" si="1"/>
        <v>6955640</v>
      </c>
      <c r="D20" s="5">
        <f>+'Investment Securities'!C14</f>
        <v>6955640</v>
      </c>
      <c r="E20" s="5">
        <f>+'Investment Securities'!D14</f>
        <v>0</v>
      </c>
      <c r="J20" s="171">
        <f t="shared" si="0"/>
        <v>0</v>
      </c>
    </row>
    <row r="21" spans="1:10" ht="15" customHeight="1">
      <c r="A21" s="11">
        <v>7</v>
      </c>
      <c r="B21" s="232" t="s">
        <v>194</v>
      </c>
      <c r="C21" s="5">
        <f>+'Bank Assets Analysis'!S33</f>
        <v>0</v>
      </c>
      <c r="D21" s="5">
        <f>+'Bank Assets Analysis'!T33</f>
        <v>0</v>
      </c>
      <c r="E21" s="5">
        <f>+'Bank Assets Analysis'!U33</f>
        <v>0</v>
      </c>
      <c r="J21" s="171">
        <f t="shared" si="0"/>
        <v>0</v>
      </c>
    </row>
    <row r="22" spans="1:10" ht="15" customHeight="1">
      <c r="A22" s="11" t="s">
        <v>195</v>
      </c>
      <c r="B22" s="320" t="s">
        <v>196</v>
      </c>
      <c r="C22" s="5">
        <f t="shared" si="1"/>
        <v>0</v>
      </c>
      <c r="D22" s="3">
        <v>0</v>
      </c>
      <c r="E22" s="3">
        <v>0</v>
      </c>
      <c r="J22" s="171">
        <f t="shared" si="0"/>
        <v>0</v>
      </c>
    </row>
    <row r="23" spans="1:10" ht="15" customHeight="1">
      <c r="A23" s="11" t="s">
        <v>197</v>
      </c>
      <c r="B23" s="320" t="s">
        <v>185</v>
      </c>
      <c r="C23" s="5">
        <f t="shared" si="1"/>
        <v>0</v>
      </c>
      <c r="D23" s="3">
        <v>0</v>
      </c>
      <c r="E23" s="3">
        <v>0</v>
      </c>
      <c r="J23" s="171">
        <f t="shared" si="0"/>
        <v>0</v>
      </c>
    </row>
    <row r="24" spans="1:10" ht="15" customHeight="1">
      <c r="A24" s="11">
        <v>8</v>
      </c>
      <c r="B24" s="232" t="s">
        <v>198</v>
      </c>
      <c r="C24" s="5">
        <f>+'Bank Assets Analysis'!S28+'Bank Assets Analysis'!S29+'Bank Assets Analysis'!S31</f>
        <v>55975575345</v>
      </c>
      <c r="D24" s="5">
        <f>+'Bank Assets Analysis'!T28+'Bank Assets Analysis'!T29+'Bank Assets Analysis'!T31</f>
        <v>18735480179</v>
      </c>
      <c r="E24" s="5">
        <f>+'Bank Assets Analysis'!U28+'Bank Assets Analysis'!U29+'Bank Assets Analysis'!U31</f>
        <v>37240095166</v>
      </c>
      <c r="J24" s="171">
        <f t="shared" si="0"/>
        <v>0</v>
      </c>
    </row>
    <row r="25" spans="1:10" ht="12.75">
      <c r="A25" s="11" t="s">
        <v>199</v>
      </c>
      <c r="B25" s="320" t="s">
        <v>200</v>
      </c>
      <c r="C25" s="5">
        <f t="shared" ref="C25:C26" si="4">+D25+E25</f>
        <v>57124403912</v>
      </c>
      <c r="D25" s="3">
        <v>19111443266</v>
      </c>
      <c r="E25" s="3">
        <v>38012960646</v>
      </c>
      <c r="J25" s="171">
        <f t="shared" si="0"/>
        <v>0</v>
      </c>
    </row>
    <row r="26" spans="1:10" ht="15" customHeight="1">
      <c r="A26" s="11" t="s">
        <v>201</v>
      </c>
      <c r="B26" s="320" t="s">
        <v>182</v>
      </c>
      <c r="C26" s="5">
        <f t="shared" si="4"/>
        <v>1148828567</v>
      </c>
      <c r="D26" s="3">
        <v>375963087</v>
      </c>
      <c r="E26" s="3">
        <v>772865480</v>
      </c>
      <c r="F26" s="154"/>
      <c r="J26" s="171">
        <f t="shared" si="0"/>
        <v>0</v>
      </c>
    </row>
    <row r="27" spans="1:10" ht="15" customHeight="1">
      <c r="A27" s="11">
        <v>9</v>
      </c>
      <c r="B27" s="232" t="s">
        <v>202</v>
      </c>
      <c r="C27" s="5">
        <f>+'Bank Assets Analysis'!S25+'Bank Assets Analysis'!S26</f>
        <v>81572337</v>
      </c>
      <c r="D27" s="5">
        <f>+'Bank Assets Analysis'!T25+'Bank Assets Analysis'!T26</f>
        <v>0</v>
      </c>
      <c r="E27" s="5">
        <f>+'Bank Assets Analysis'!U25+'Bank Assets Analysis'!U26</f>
        <v>81572337</v>
      </c>
      <c r="J27" s="171">
        <f t="shared" si="0"/>
        <v>0</v>
      </c>
    </row>
    <row r="28" spans="1:10" ht="15" customHeight="1">
      <c r="A28" s="11" t="s">
        <v>203</v>
      </c>
      <c r="B28" s="320" t="s">
        <v>204</v>
      </c>
      <c r="C28" s="5">
        <f t="shared" si="1"/>
        <v>110235813</v>
      </c>
      <c r="D28" s="3">
        <v>0</v>
      </c>
      <c r="E28" s="3">
        <v>110235813</v>
      </c>
      <c r="J28" s="171">
        <f t="shared" si="0"/>
        <v>0</v>
      </c>
    </row>
    <row r="29" spans="1:10" ht="15" customHeight="1">
      <c r="A29" s="11" t="s">
        <v>205</v>
      </c>
      <c r="B29" s="320" t="s">
        <v>182</v>
      </c>
      <c r="C29" s="5">
        <f t="shared" si="1"/>
        <v>28663476</v>
      </c>
      <c r="D29" s="3">
        <v>0</v>
      </c>
      <c r="E29" s="3">
        <v>28663476</v>
      </c>
      <c r="J29" s="171">
        <f t="shared" si="0"/>
        <v>0</v>
      </c>
    </row>
    <row r="30" spans="1:10" ht="15" customHeight="1">
      <c r="A30" s="11">
        <v>10</v>
      </c>
      <c r="B30" s="320" t="s">
        <v>206</v>
      </c>
      <c r="C30" s="5">
        <f>+'Bank Assets Analysis'!S36</f>
        <v>3125231142</v>
      </c>
      <c r="D30" s="5">
        <f>+'Bank Assets Analysis'!T36</f>
        <v>3125231142</v>
      </c>
      <c r="E30" s="5">
        <f>+'Bank Assets Analysis'!U36</f>
        <v>0</v>
      </c>
      <c r="J30" s="171">
        <f t="shared" si="0"/>
        <v>0</v>
      </c>
    </row>
    <row r="31" spans="1:10" ht="15" customHeight="1">
      <c r="A31" s="11">
        <v>11</v>
      </c>
      <c r="B31" s="320" t="s">
        <v>207</v>
      </c>
      <c r="C31" s="5">
        <f>+C32+C33-C34</f>
        <v>2753931292</v>
      </c>
      <c r="D31" s="5">
        <f>+D32+D33-D34</f>
        <v>1003545484</v>
      </c>
      <c r="E31" s="5">
        <f>+E32+E33-E34</f>
        <v>1750385808</v>
      </c>
      <c r="J31" s="171">
        <f t="shared" si="0"/>
        <v>0</v>
      </c>
    </row>
    <row r="32" spans="1:10" ht="15" customHeight="1">
      <c r="A32" s="11" t="s">
        <v>208</v>
      </c>
      <c r="B32" s="320" t="s">
        <v>209</v>
      </c>
      <c r="C32" s="5">
        <f t="shared" ref="C32:C34" si="5">+D32+E32</f>
        <v>2908221192</v>
      </c>
      <c r="D32" s="3">
        <v>1078665407</v>
      </c>
      <c r="E32" s="3">
        <v>1829555785</v>
      </c>
      <c r="J32" s="171">
        <f t="shared" si="0"/>
        <v>0</v>
      </c>
    </row>
    <row r="33" spans="1:10" ht="18" customHeight="1">
      <c r="A33" s="11" t="s">
        <v>210</v>
      </c>
      <c r="B33" s="320" t="s">
        <v>211</v>
      </c>
      <c r="C33" s="5">
        <f t="shared" si="5"/>
        <v>21602471</v>
      </c>
      <c r="D33" s="3">
        <v>9272876</v>
      </c>
      <c r="E33" s="3">
        <v>12329595</v>
      </c>
      <c r="J33" s="171">
        <f t="shared" si="0"/>
        <v>0</v>
      </c>
    </row>
    <row r="34" spans="1:10" ht="18" customHeight="1">
      <c r="A34" s="11" t="s">
        <v>212</v>
      </c>
      <c r="B34" s="320" t="s">
        <v>182</v>
      </c>
      <c r="C34" s="5">
        <f t="shared" si="5"/>
        <v>175892371</v>
      </c>
      <c r="D34" s="3">
        <v>84392799</v>
      </c>
      <c r="E34" s="3">
        <v>91499572</v>
      </c>
      <c r="J34" s="171">
        <f t="shared" si="0"/>
        <v>0</v>
      </c>
    </row>
    <row r="35" spans="1:10" ht="18" customHeight="1">
      <c r="A35" s="11">
        <v>12</v>
      </c>
      <c r="B35" s="232" t="s">
        <v>213</v>
      </c>
      <c r="C35" s="5">
        <f>+'Bank Assets Analysis'!S37</f>
        <v>70914978</v>
      </c>
      <c r="D35" s="5">
        <f>+'Bank Assets Analysis'!T37</f>
        <v>70914978</v>
      </c>
      <c r="E35" s="5">
        <f>+'Bank Assets Analysis'!U37</f>
        <v>0</v>
      </c>
      <c r="J35" s="171">
        <f t="shared" si="0"/>
        <v>0</v>
      </c>
    </row>
    <row r="36" spans="1:10" ht="18" customHeight="1">
      <c r="A36" s="11" t="s">
        <v>214</v>
      </c>
      <c r="B36" s="320" t="s">
        <v>215</v>
      </c>
      <c r="C36" s="5">
        <f t="shared" ref="C36:C38" si="6">+D36+E36</f>
        <v>236581413</v>
      </c>
      <c r="D36" s="3">
        <v>236581413</v>
      </c>
      <c r="E36" s="3">
        <v>0</v>
      </c>
      <c r="J36" s="171">
        <f t="shared" si="0"/>
        <v>0</v>
      </c>
    </row>
    <row r="37" spans="1:10" ht="18" customHeight="1">
      <c r="A37" s="11" t="s">
        <v>216</v>
      </c>
      <c r="B37" s="320" t="s">
        <v>217</v>
      </c>
      <c r="C37" s="5">
        <f t="shared" si="6"/>
        <v>23620471</v>
      </c>
      <c r="D37" s="3">
        <v>23620471</v>
      </c>
      <c r="E37" s="3">
        <v>0</v>
      </c>
      <c r="J37" s="171">
        <f t="shared" si="0"/>
        <v>0</v>
      </c>
    </row>
    <row r="38" spans="1:10" ht="25.5">
      <c r="A38" s="11" t="s">
        <v>218</v>
      </c>
      <c r="B38" s="321" t="s">
        <v>516</v>
      </c>
      <c r="C38" s="5">
        <f t="shared" si="6"/>
        <v>189286906</v>
      </c>
      <c r="D38" s="3">
        <v>189286906</v>
      </c>
      <c r="E38" s="3">
        <v>0</v>
      </c>
      <c r="J38" s="171">
        <f t="shared" si="0"/>
        <v>0</v>
      </c>
    </row>
    <row r="39" spans="1:10" ht="15" customHeight="1">
      <c r="A39" s="11">
        <v>13</v>
      </c>
      <c r="B39" s="320" t="s">
        <v>522</v>
      </c>
      <c r="C39" s="5">
        <f>+D39+E39</f>
        <v>615172207</v>
      </c>
      <c r="D39" s="5">
        <f>+D40+D41+D42</f>
        <v>615172207</v>
      </c>
      <c r="E39" s="5">
        <f>+E40+E41+E42</f>
        <v>0</v>
      </c>
      <c r="J39" s="171">
        <f>+C39-D39-E39</f>
        <v>0</v>
      </c>
    </row>
    <row r="40" spans="1:10" ht="15" customHeight="1">
      <c r="A40" s="11" t="s">
        <v>16</v>
      </c>
      <c r="B40" s="320" t="s">
        <v>523</v>
      </c>
      <c r="C40" s="5">
        <f>+D40+E40</f>
        <v>504953973</v>
      </c>
      <c r="D40" s="3">
        <v>504953973</v>
      </c>
      <c r="E40" s="3">
        <v>0</v>
      </c>
      <c r="J40" s="171">
        <f>+C40-D40-E40</f>
        <v>0</v>
      </c>
    </row>
    <row r="41" spans="1:10" ht="15" customHeight="1">
      <c r="A41" s="11" t="s">
        <v>172</v>
      </c>
      <c r="B41" s="320" t="s">
        <v>524</v>
      </c>
      <c r="C41" s="5">
        <f>+D41+E41</f>
        <v>88013008</v>
      </c>
      <c r="D41" s="3">
        <v>88013008</v>
      </c>
      <c r="E41" s="3">
        <v>0</v>
      </c>
      <c r="J41" s="171">
        <f>+C41-D41-E41</f>
        <v>0</v>
      </c>
    </row>
    <row r="42" spans="1:10" ht="20.25" customHeight="1">
      <c r="A42" s="11" t="s">
        <v>219</v>
      </c>
      <c r="B42" s="320" t="s">
        <v>525</v>
      </c>
      <c r="C42" s="5">
        <f>+D42+E42</f>
        <v>22205226</v>
      </c>
      <c r="D42" s="3">
        <v>22205226</v>
      </c>
      <c r="E42" s="3">
        <v>0</v>
      </c>
      <c r="J42" s="171">
        <f>+C42-D42-E42</f>
        <v>0</v>
      </c>
    </row>
    <row r="43" spans="1:10" ht="18" customHeight="1">
      <c r="A43" s="11">
        <v>14</v>
      </c>
      <c r="B43" s="232" t="s">
        <v>220</v>
      </c>
      <c r="C43" s="5">
        <f>+C44-C45+C46</f>
        <v>1138242348</v>
      </c>
      <c r="D43" s="5">
        <f>+D44-D45+D46</f>
        <v>994146946</v>
      </c>
      <c r="E43" s="5">
        <f>+E44-E45+E46</f>
        <v>144095402</v>
      </c>
      <c r="J43" s="171">
        <f t="shared" si="0"/>
        <v>0</v>
      </c>
    </row>
    <row r="44" spans="1:10" ht="18" customHeight="1">
      <c r="A44" s="11" t="s">
        <v>221</v>
      </c>
      <c r="B44" s="320" t="s">
        <v>222</v>
      </c>
      <c r="C44" s="20">
        <f t="shared" si="1"/>
        <v>1161663188</v>
      </c>
      <c r="D44" s="3">
        <v>1017290474</v>
      </c>
      <c r="E44" s="3">
        <v>144372714</v>
      </c>
      <c r="J44" s="171">
        <f t="shared" si="0"/>
        <v>0</v>
      </c>
    </row>
    <row r="45" spans="1:10" ht="15" customHeight="1">
      <c r="A45" s="11" t="s">
        <v>223</v>
      </c>
      <c r="B45" s="320" t="s">
        <v>182</v>
      </c>
      <c r="C45" s="20">
        <f t="shared" si="1"/>
        <v>23420840</v>
      </c>
      <c r="D45" s="3">
        <v>23143528</v>
      </c>
      <c r="E45" s="3">
        <v>277312</v>
      </c>
      <c r="H45" s="154"/>
      <c r="J45" s="171">
        <f t="shared" si="0"/>
        <v>0</v>
      </c>
    </row>
    <row r="46" spans="1:10" ht="15" customHeight="1">
      <c r="A46" s="11" t="s">
        <v>224</v>
      </c>
      <c r="B46" s="320" t="s">
        <v>225</v>
      </c>
      <c r="C46" s="205">
        <v>0</v>
      </c>
      <c r="D46" s="5"/>
      <c r="E46" s="5"/>
      <c r="H46" s="154"/>
      <c r="J46" s="171">
        <f>+C46-D46-E46</f>
        <v>0</v>
      </c>
    </row>
    <row r="47" spans="1:10" ht="15" customHeight="1">
      <c r="A47" s="322" t="s">
        <v>226</v>
      </c>
      <c r="B47" s="323" t="s">
        <v>227</v>
      </c>
      <c r="C47" s="21">
        <f>+D47+E47</f>
        <v>74634423198</v>
      </c>
      <c r="D47" s="21">
        <f>+D5+D6+D7+D10+D14+D17+D21+D24+D27+D30+D31+D35-D39+D43</f>
        <v>27546292207</v>
      </c>
      <c r="E47" s="21">
        <f>+E5+E6+E7+E10+E14+E17+E21+E24+E27+E30+E31+E35-E39+E43</f>
        <v>47088130991</v>
      </c>
      <c r="F47" s="154">
        <f>+'Bank Assets Analysis'!S44</f>
        <v>74634423198</v>
      </c>
      <c r="G47" s="154">
        <f>+'Bank Assets Analysis'!T44</f>
        <v>27546292207</v>
      </c>
      <c r="H47" s="154">
        <f>+'Bank Assets Analysis'!U44</f>
        <v>47088130991</v>
      </c>
      <c r="J47" s="171">
        <f t="shared" si="0"/>
        <v>0</v>
      </c>
    </row>
    <row r="48" spans="1:10" ht="15" customHeight="1">
      <c r="A48" s="11"/>
      <c r="B48" s="324"/>
      <c r="C48" s="5"/>
      <c r="D48" s="5"/>
      <c r="E48" s="5"/>
    </row>
    <row r="49" spans="1:10" ht="15" customHeight="1">
      <c r="A49" s="11"/>
      <c r="B49" s="325" t="s">
        <v>228</v>
      </c>
      <c r="C49" s="5"/>
      <c r="D49" s="5"/>
      <c r="E49" s="5"/>
    </row>
    <row r="50" spans="1:10" ht="16.5" customHeight="1">
      <c r="A50" s="11" t="s">
        <v>229</v>
      </c>
      <c r="B50" s="232" t="s">
        <v>230</v>
      </c>
      <c r="C50" s="6">
        <f>+'Deposits by Client'!C11</f>
        <v>5825503526</v>
      </c>
      <c r="D50" s="23">
        <f>+'Bank Liabilities Analysis'!T15+'Bank Liabilities Analysis'!T7</f>
        <v>3554942463</v>
      </c>
      <c r="E50" s="6">
        <f>+'Bank Liabilities Analysis'!U15+'Bank Liabilities Analysis'!U7</f>
        <v>2270561063</v>
      </c>
      <c r="J50" s="171">
        <f t="shared" ref="J50:J78" si="7">+C50-D50-E50</f>
        <v>0</v>
      </c>
    </row>
    <row r="51" spans="1:10" ht="16.5" customHeight="1">
      <c r="A51" s="11" t="s">
        <v>231</v>
      </c>
      <c r="B51" s="232" t="s">
        <v>232</v>
      </c>
      <c r="C51" s="6">
        <f>+'Deposits by Client'!C20</f>
        <v>7973087622</v>
      </c>
      <c r="D51" s="23">
        <f>+'Bank Liabilities Analysis'!T12</f>
        <v>5354638519</v>
      </c>
      <c r="E51" s="6">
        <f>+'Bank Liabilities Analysis'!U12</f>
        <v>2618449103</v>
      </c>
      <c r="J51" s="171">
        <f t="shared" si="7"/>
        <v>0</v>
      </c>
    </row>
    <row r="52" spans="1:10" ht="16.5" customHeight="1">
      <c r="A52" s="11" t="s">
        <v>233</v>
      </c>
      <c r="B52" s="232" t="s">
        <v>234</v>
      </c>
      <c r="C52" s="6">
        <f>+'Bank Liabilities Analysis'!S21</f>
        <v>1074053</v>
      </c>
      <c r="D52" s="5">
        <f>+'Bank Liabilities Analysis'!T21</f>
        <v>1074053</v>
      </c>
      <c r="E52" s="5">
        <f>+'Bank Liabilities Analysis'!U21</f>
        <v>0</v>
      </c>
      <c r="J52" s="171">
        <f t="shared" si="7"/>
        <v>0</v>
      </c>
    </row>
    <row r="53" spans="1:10" ht="16.5" customHeight="1">
      <c r="A53" s="11" t="s">
        <v>235</v>
      </c>
      <c r="B53" s="232" t="s">
        <v>236</v>
      </c>
      <c r="C53" s="6">
        <f>+'Bank Liabilities Analysis'!S23</f>
        <v>6093050942</v>
      </c>
      <c r="D53" s="5">
        <f>+'Bank Liabilities Analysis'!T23</f>
        <v>1573440667</v>
      </c>
      <c r="E53" s="5">
        <f>+'Bank Liabilities Analysis'!U23</f>
        <v>4519610275</v>
      </c>
      <c r="J53" s="171">
        <f t="shared" si="7"/>
        <v>0</v>
      </c>
    </row>
    <row r="54" spans="1:10" ht="16.5" customHeight="1">
      <c r="A54" s="11" t="s">
        <v>237</v>
      </c>
      <c r="B54" s="319" t="s">
        <v>238</v>
      </c>
      <c r="C54" s="6">
        <f>+'Bank Liabilities Analysis'!S33</f>
        <v>816807035</v>
      </c>
      <c r="D54" s="5">
        <f>+'Bank Liabilities Analysis'!T33</f>
        <v>816807035</v>
      </c>
      <c r="E54" s="5">
        <f>+'Bank Liabilities Analysis'!U33</f>
        <v>0</v>
      </c>
      <c r="J54" s="171">
        <f t="shared" si="7"/>
        <v>0</v>
      </c>
    </row>
    <row r="55" spans="1:10" ht="16.5" customHeight="1">
      <c r="A55" s="11" t="s">
        <v>239</v>
      </c>
      <c r="B55" s="232" t="s">
        <v>240</v>
      </c>
      <c r="C55" s="6">
        <f t="shared" si="1"/>
        <v>36468927735</v>
      </c>
      <c r="D55" s="3">
        <v>5523902926</v>
      </c>
      <c r="E55" s="3">
        <v>30945024809</v>
      </c>
      <c r="J55" s="171">
        <f t="shared" si="7"/>
        <v>0</v>
      </c>
    </row>
    <row r="56" spans="1:10" ht="16.5" customHeight="1">
      <c r="A56" s="11" t="s">
        <v>241</v>
      </c>
      <c r="B56" s="232" t="s">
        <v>242</v>
      </c>
      <c r="C56" s="6">
        <f t="shared" si="1"/>
        <v>4928243152</v>
      </c>
      <c r="D56" s="3">
        <v>0</v>
      </c>
      <c r="E56" s="3">
        <v>4928243152</v>
      </c>
      <c r="J56" s="171">
        <f t="shared" si="7"/>
        <v>0</v>
      </c>
    </row>
    <row r="57" spans="1:10" ht="16.5" customHeight="1">
      <c r="A57" s="11" t="s">
        <v>243</v>
      </c>
      <c r="B57" s="326" t="s">
        <v>517</v>
      </c>
      <c r="C57" s="6">
        <f t="shared" si="1"/>
        <v>2209944719</v>
      </c>
      <c r="D57" s="3">
        <v>1506867106</v>
      </c>
      <c r="E57" s="3">
        <v>703077613</v>
      </c>
      <c r="J57" s="171">
        <f t="shared" si="7"/>
        <v>0</v>
      </c>
    </row>
    <row r="58" spans="1:10" ht="16.5" customHeight="1">
      <c r="A58" s="11" t="s">
        <v>245</v>
      </c>
      <c r="B58" s="232" t="s">
        <v>246</v>
      </c>
      <c r="C58" s="6">
        <f>+'Bank Liabilities Analysis'!S38</f>
        <v>893129828</v>
      </c>
      <c r="D58" s="6">
        <f>+'Bank Liabilities Analysis'!T38</f>
        <v>187398264</v>
      </c>
      <c r="E58" s="6">
        <f>+'Bank Liabilities Analysis'!U38</f>
        <v>705731564</v>
      </c>
      <c r="J58" s="171">
        <f t="shared" si="7"/>
        <v>0</v>
      </c>
    </row>
    <row r="59" spans="1:10" ht="16.5" customHeight="1">
      <c r="A59" s="11" t="s">
        <v>247</v>
      </c>
      <c r="B59" s="232" t="s">
        <v>248</v>
      </c>
      <c r="C59" s="6">
        <f t="shared" si="1"/>
        <v>28539623</v>
      </c>
      <c r="D59" s="3">
        <v>28539623</v>
      </c>
      <c r="E59" s="3">
        <v>0</v>
      </c>
      <c r="J59" s="171">
        <f t="shared" si="7"/>
        <v>0</v>
      </c>
    </row>
    <row r="60" spans="1:10" ht="16.5" customHeight="1">
      <c r="A60" s="11" t="s">
        <v>249</v>
      </c>
      <c r="B60" s="232" t="s">
        <v>250</v>
      </c>
      <c r="C60" s="6">
        <f>+'Bank Liabilities Analysis'!S37</f>
        <v>2215477</v>
      </c>
      <c r="D60" s="5">
        <f>+'Bank Liabilities Analysis'!T37</f>
        <v>2214968</v>
      </c>
      <c r="E60" s="5">
        <f>+'Bank Liabilities Analysis'!U37</f>
        <v>509</v>
      </c>
      <c r="J60" s="171">
        <f t="shared" si="7"/>
        <v>0</v>
      </c>
    </row>
    <row r="61" spans="1:10" ht="17.25" customHeight="1">
      <c r="A61" s="11" t="s">
        <v>251</v>
      </c>
      <c r="B61" s="319" t="s">
        <v>252</v>
      </c>
      <c r="C61" s="6">
        <f t="shared" si="1"/>
        <v>14950000</v>
      </c>
      <c r="D61" s="3">
        <v>14950000</v>
      </c>
      <c r="E61" s="3">
        <v>0</v>
      </c>
      <c r="J61" s="171">
        <f t="shared" si="7"/>
        <v>0</v>
      </c>
    </row>
    <row r="62" spans="1:10" ht="16.5" customHeight="1">
      <c r="A62" s="11" t="s">
        <v>253</v>
      </c>
      <c r="B62" s="232" t="s">
        <v>254</v>
      </c>
      <c r="C62" s="6">
        <f t="shared" si="1"/>
        <v>650589334</v>
      </c>
      <c r="D62" s="3">
        <v>204895426</v>
      </c>
      <c r="E62" s="3">
        <v>445693908</v>
      </c>
      <c r="J62" s="171">
        <f t="shared" si="7"/>
        <v>0</v>
      </c>
    </row>
    <row r="63" spans="1:10" ht="16.5" customHeight="1">
      <c r="A63" s="327" t="s">
        <v>255</v>
      </c>
      <c r="B63" s="328" t="s">
        <v>256</v>
      </c>
      <c r="C63" s="22">
        <f t="shared" si="1"/>
        <v>65906063046</v>
      </c>
      <c r="D63" s="22">
        <f>SUM(D50:D62)</f>
        <v>18769671050</v>
      </c>
      <c r="E63" s="22">
        <f>SUM(E50:E62)</f>
        <v>47136391996</v>
      </c>
      <c r="F63" s="154">
        <f>+'Bank Liabilities Analysis'!S40</f>
        <v>65906063046</v>
      </c>
      <c r="G63" s="154">
        <f>+'Bank Liabilities Analysis'!T40</f>
        <v>18769671050</v>
      </c>
      <c r="H63" s="154">
        <f>+'Bank Liabilities Analysis'!U40</f>
        <v>47136391996</v>
      </c>
      <c r="J63" s="171">
        <f t="shared" si="7"/>
        <v>0</v>
      </c>
    </row>
    <row r="64" spans="1:10" ht="6.75" customHeight="1">
      <c r="A64" s="11"/>
      <c r="B64" s="329"/>
      <c r="C64" s="6"/>
      <c r="D64" s="6"/>
      <c r="E64" s="6"/>
      <c r="J64" s="171"/>
    </row>
    <row r="65" spans="1:13" ht="15" customHeight="1">
      <c r="A65" s="330"/>
      <c r="B65" s="325" t="s">
        <v>257</v>
      </c>
      <c r="C65" s="5"/>
      <c r="D65" s="5"/>
      <c r="E65" s="5"/>
      <c r="J65" s="171"/>
    </row>
    <row r="66" spans="1:13" ht="6.75" customHeight="1">
      <c r="A66" s="11"/>
      <c r="B66" s="329"/>
      <c r="C66" s="6"/>
      <c r="D66" s="6"/>
      <c r="E66" s="6"/>
      <c r="J66" s="171"/>
    </row>
    <row r="67" spans="1:13" ht="15" customHeight="1">
      <c r="A67" s="327" t="s">
        <v>258</v>
      </c>
      <c r="B67" s="232" t="s">
        <v>259</v>
      </c>
      <c r="C67" s="310">
        <f>+C68+C69</f>
        <v>4628941928</v>
      </c>
      <c r="D67" s="310">
        <f t="shared" ref="D67:E67" si="8">+D68+D69</f>
        <v>4628941928</v>
      </c>
      <c r="E67" s="310">
        <f t="shared" si="8"/>
        <v>0</v>
      </c>
      <c r="J67" s="171">
        <f t="shared" si="7"/>
        <v>0</v>
      </c>
    </row>
    <row r="68" spans="1:13" ht="15" customHeight="1">
      <c r="A68" s="330" t="s">
        <v>260</v>
      </c>
      <c r="B68" s="320" t="s">
        <v>261</v>
      </c>
      <c r="C68" s="5">
        <f t="shared" ref="C68:C70" si="9">+D68+E68</f>
        <v>4621911928</v>
      </c>
      <c r="D68" s="3">
        <v>4621911928</v>
      </c>
      <c r="E68" s="3">
        <v>0</v>
      </c>
      <c r="J68" s="171">
        <f t="shared" si="7"/>
        <v>0</v>
      </c>
    </row>
    <row r="69" spans="1:13" ht="15" customHeight="1">
      <c r="A69" s="11" t="s">
        <v>262</v>
      </c>
      <c r="B69" s="320" t="s">
        <v>263</v>
      </c>
      <c r="C69" s="5">
        <f t="shared" si="9"/>
        <v>7030000</v>
      </c>
      <c r="D69" s="3">
        <v>7030000</v>
      </c>
      <c r="E69" s="3">
        <v>0</v>
      </c>
      <c r="J69" s="171">
        <f t="shared" si="7"/>
        <v>0</v>
      </c>
    </row>
    <row r="70" spans="1:13" ht="15" customHeight="1">
      <c r="A70" s="11" t="s">
        <v>264</v>
      </c>
      <c r="B70" s="232" t="s">
        <v>520</v>
      </c>
      <c r="C70" s="5">
        <f t="shared" si="9"/>
        <v>696121</v>
      </c>
      <c r="D70" s="3">
        <v>696121</v>
      </c>
      <c r="E70" s="3">
        <v>0</v>
      </c>
      <c r="J70" s="171">
        <f t="shared" si="7"/>
        <v>0</v>
      </c>
    </row>
    <row r="71" spans="1:13" ht="15" customHeight="1">
      <c r="A71" s="11" t="s">
        <v>265</v>
      </c>
      <c r="B71" s="331" t="s">
        <v>266</v>
      </c>
      <c r="C71" s="310">
        <f>+C72+C73+C74</f>
        <v>1717703829</v>
      </c>
      <c r="D71" s="310">
        <f>+D72+D73+D74</f>
        <v>1717703829</v>
      </c>
      <c r="E71" s="310">
        <f>+E72+E73+E74</f>
        <v>0</v>
      </c>
      <c r="J71" s="171">
        <f t="shared" si="7"/>
        <v>0</v>
      </c>
    </row>
    <row r="72" spans="1:13" ht="15" customHeight="1">
      <c r="A72" s="11" t="s">
        <v>267</v>
      </c>
      <c r="B72" s="332" t="s">
        <v>268</v>
      </c>
      <c r="C72" s="6">
        <f t="shared" si="1"/>
        <v>1703796223</v>
      </c>
      <c r="D72" s="3">
        <v>1703796223</v>
      </c>
      <c r="E72" s="3">
        <v>0</v>
      </c>
      <c r="J72" s="171">
        <f t="shared" si="7"/>
        <v>0</v>
      </c>
    </row>
    <row r="73" spans="1:13" ht="15" customHeight="1">
      <c r="A73" s="11" t="s">
        <v>269</v>
      </c>
      <c r="B73" s="332" t="s">
        <v>271</v>
      </c>
      <c r="C73" s="5">
        <f t="shared" si="1"/>
        <v>0</v>
      </c>
      <c r="D73" s="3">
        <v>0</v>
      </c>
      <c r="E73" s="3">
        <v>0</v>
      </c>
      <c r="J73" s="171">
        <f t="shared" si="7"/>
        <v>0</v>
      </c>
    </row>
    <row r="74" spans="1:13" ht="15" customHeight="1">
      <c r="A74" s="11" t="s">
        <v>270</v>
      </c>
      <c r="B74" s="332" t="s">
        <v>518</v>
      </c>
      <c r="C74" s="6">
        <f t="shared" si="1"/>
        <v>13907606</v>
      </c>
      <c r="D74" s="3">
        <v>13907606</v>
      </c>
      <c r="E74" s="3">
        <v>0</v>
      </c>
      <c r="J74" s="171">
        <f t="shared" si="7"/>
        <v>0</v>
      </c>
    </row>
    <row r="75" spans="1:13" ht="15" customHeight="1">
      <c r="A75" s="11" t="s">
        <v>272</v>
      </c>
      <c r="B75" s="331" t="s">
        <v>273</v>
      </c>
      <c r="C75" s="6">
        <f t="shared" si="1"/>
        <v>2381018274</v>
      </c>
      <c r="D75" s="3">
        <v>2381018274</v>
      </c>
      <c r="E75" s="3">
        <v>0</v>
      </c>
      <c r="J75" s="171">
        <f t="shared" si="7"/>
        <v>0</v>
      </c>
    </row>
    <row r="76" spans="1:13" ht="15" customHeight="1">
      <c r="A76" s="11" t="s">
        <v>274</v>
      </c>
      <c r="B76" s="332" t="s">
        <v>519</v>
      </c>
      <c r="C76" s="6">
        <f t="shared" si="1"/>
        <v>911684119</v>
      </c>
      <c r="D76" s="3">
        <v>911684119</v>
      </c>
      <c r="E76" s="3">
        <v>0</v>
      </c>
      <c r="J76" s="171">
        <f t="shared" si="7"/>
        <v>0</v>
      </c>
    </row>
    <row r="77" spans="1:13" ht="15" customHeight="1">
      <c r="A77" s="333" t="s">
        <v>275</v>
      </c>
      <c r="B77" s="328" t="s">
        <v>276</v>
      </c>
      <c r="C77" s="309">
        <f>+C67+C70+C71+C75</f>
        <v>8728360152</v>
      </c>
      <c r="D77" s="309">
        <f>+D67+D70+D71+D75</f>
        <v>8728360152</v>
      </c>
      <c r="E77" s="309">
        <f>+E67+E70+E71+E75</f>
        <v>0</v>
      </c>
      <c r="J77" s="171">
        <f t="shared" si="7"/>
        <v>0</v>
      </c>
    </row>
    <row r="78" spans="1:13" ht="15" customHeight="1">
      <c r="A78" s="333" t="s">
        <v>277</v>
      </c>
      <c r="B78" s="334" t="s">
        <v>278</v>
      </c>
      <c r="C78" s="21">
        <f>+D78+E78</f>
        <v>74634423198</v>
      </c>
      <c r="D78" s="21">
        <f>+D63+D77</f>
        <v>27498031202</v>
      </c>
      <c r="E78" s="21">
        <f>+E63+E77</f>
        <v>47136391996</v>
      </c>
      <c r="J78" s="171">
        <f t="shared" si="7"/>
        <v>0</v>
      </c>
    </row>
    <row r="80" spans="1:13" ht="15" customHeight="1">
      <c r="B80" s="4" t="s">
        <v>540</v>
      </c>
      <c r="J80" s="150"/>
      <c r="M80" s="150"/>
    </row>
    <row r="81" spans="1:24" ht="11.25" customHeight="1">
      <c r="B81" s="4"/>
      <c r="J81" s="150"/>
      <c r="M81" s="150"/>
    </row>
    <row r="82" spans="1:24" ht="15" customHeight="1">
      <c r="B82" s="4" t="s">
        <v>539</v>
      </c>
      <c r="J82" s="150"/>
      <c r="M82" s="150"/>
    </row>
    <row r="83" spans="1:24" ht="11.25" customHeight="1">
      <c r="B83" s="4"/>
    </row>
    <row r="84" spans="1:24" ht="15" customHeight="1">
      <c r="B84" s="4"/>
    </row>
    <row r="86" spans="1:24" s="215" customFormat="1" ht="15" customHeight="1">
      <c r="A86" s="204"/>
      <c r="B86" s="204"/>
      <c r="C86" s="406">
        <f>+C47-C78</f>
        <v>0</v>
      </c>
      <c r="D86" s="204"/>
      <c r="E86" s="204"/>
      <c r="F86" s="214"/>
      <c r="G86" s="214"/>
      <c r="H86" s="214"/>
      <c r="I86" s="214"/>
      <c r="J86" s="312"/>
      <c r="K86" s="214"/>
      <c r="L86" s="21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</row>
    <row r="87" spans="1:24" s="215" customFormat="1" ht="15" customHeight="1">
      <c r="A87" s="204"/>
      <c r="B87" s="204"/>
      <c r="C87" s="204"/>
      <c r="D87" s="204"/>
      <c r="E87" s="204"/>
      <c r="F87" s="214"/>
      <c r="G87" s="214"/>
      <c r="H87" s="214"/>
      <c r="I87" s="214"/>
      <c r="J87" s="312"/>
      <c r="K87" s="214"/>
      <c r="L87" s="21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</row>
    <row r="88" spans="1:24" s="215" customFormat="1" ht="15" customHeight="1">
      <c r="A88" s="204"/>
      <c r="B88" s="204"/>
      <c r="C88" s="204"/>
      <c r="D88" s="204"/>
      <c r="E88" s="204"/>
      <c r="F88" s="214"/>
      <c r="G88" s="214"/>
      <c r="H88" s="214"/>
      <c r="I88" s="214"/>
      <c r="J88" s="312"/>
      <c r="K88" s="214"/>
      <c r="L88" s="21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</row>
  </sheetData>
  <sheetProtection password="CACA" sheet="1" objects="1" scenarios="1"/>
  <mergeCells count="1">
    <mergeCell ref="A1:D1"/>
  </mergeCells>
  <phoneticPr fontId="14" type="noConversion"/>
  <conditionalFormatting sqref="C7">
    <cfRule type="cellIs" dxfId="99" priority="17" operator="notEqual">
      <formula>C8-C9</formula>
    </cfRule>
    <cfRule type="cellIs" dxfId="98" priority="44" operator="notEqual">
      <formula>+$D$7+$E$7</formula>
    </cfRule>
  </conditionalFormatting>
  <conditionalFormatting sqref="C17">
    <cfRule type="cellIs" dxfId="97" priority="23" operator="notEqual">
      <formula>C18+C19-C20</formula>
    </cfRule>
  </conditionalFormatting>
  <conditionalFormatting sqref="C35">
    <cfRule type="cellIs" dxfId="96" priority="38" operator="notEqual">
      <formula>$C$36+$C$37-$C$38</formula>
    </cfRule>
  </conditionalFormatting>
  <conditionalFormatting sqref="C43">
    <cfRule type="cellIs" dxfId="95" priority="25" operator="notEqual">
      <formula>C44-C45+C46</formula>
    </cfRule>
  </conditionalFormatting>
  <conditionalFormatting sqref="C47">
    <cfRule type="cellIs" dxfId="94" priority="47" operator="notEqual">
      <formula>$F$47</formula>
    </cfRule>
  </conditionalFormatting>
  <conditionalFormatting sqref="C50:C57">
    <cfRule type="cellIs" dxfId="93" priority="13" operator="notEqual">
      <formula>D50+E50</formula>
    </cfRule>
  </conditionalFormatting>
  <conditionalFormatting sqref="C51">
    <cfRule type="cellIs" dxfId="92" priority="95" operator="notEqual">
      <formula>$D$51+$E$51</formula>
    </cfRule>
  </conditionalFormatting>
  <conditionalFormatting sqref="C59">
    <cfRule type="cellIs" dxfId="91" priority="56" operator="notEqual">
      <formula>D59+E59</formula>
    </cfRule>
  </conditionalFormatting>
  <conditionalFormatting sqref="C61:C62">
    <cfRule type="cellIs" dxfId="90" priority="2" operator="notEqual">
      <formula>D61+E61</formula>
    </cfRule>
  </conditionalFormatting>
  <conditionalFormatting sqref="C63">
    <cfRule type="cellIs" dxfId="89" priority="71" operator="notEqual">
      <formula>$F$63</formula>
    </cfRule>
    <cfRule type="cellIs" dxfId="88" priority="106" operator="notEqual">
      <formula>$D$63+$E$63</formula>
    </cfRule>
  </conditionalFormatting>
  <conditionalFormatting sqref="C78">
    <cfRule type="cellIs" dxfId="87" priority="70" operator="notEqual">
      <formula>$C$47</formula>
    </cfRule>
  </conditionalFormatting>
  <conditionalFormatting sqref="C21:D21">
    <cfRule type="cellIs" dxfId="86" priority="62" operator="notEqual">
      <formula>$D$22-$D$23</formula>
    </cfRule>
  </conditionalFormatting>
  <conditionalFormatting sqref="C39:D39">
    <cfRule type="cellIs" dxfId="85" priority="26" operator="notEqual">
      <formula>C40+C41+C42</formula>
    </cfRule>
  </conditionalFormatting>
  <conditionalFormatting sqref="C14:E14">
    <cfRule type="cellIs" dxfId="84" priority="20" operator="notEqual">
      <formula>C15-C16</formula>
    </cfRule>
  </conditionalFormatting>
  <conditionalFormatting sqref="C24:E24">
    <cfRule type="cellIs" dxfId="83" priority="30" operator="notEqual">
      <formula>C25-C26</formula>
    </cfRule>
  </conditionalFormatting>
  <conditionalFormatting sqref="C27:E27">
    <cfRule type="cellIs" dxfId="82" priority="3" operator="notEqual">
      <formula>C28-C29</formula>
    </cfRule>
  </conditionalFormatting>
  <conditionalFormatting sqref="D35">
    <cfRule type="cellIs" dxfId="81" priority="37" operator="notEqual">
      <formula>$D$36+$D$37-$D$38</formula>
    </cfRule>
  </conditionalFormatting>
  <conditionalFormatting sqref="D47">
    <cfRule type="cellIs" dxfId="80" priority="5" operator="notEqual">
      <formula>$G$47</formula>
    </cfRule>
  </conditionalFormatting>
  <conditionalFormatting sqref="D63">
    <cfRule type="cellIs" dxfId="79" priority="72" operator="notEqual">
      <formula>$G$63</formula>
    </cfRule>
  </conditionalFormatting>
  <conditionalFormatting sqref="E7">
    <cfRule type="cellIs" dxfId="78" priority="16" operator="notEqual">
      <formula>E8-E9</formula>
    </cfRule>
  </conditionalFormatting>
  <conditionalFormatting sqref="E21">
    <cfRule type="cellIs" dxfId="77" priority="61" operator="notEqual">
      <formula>$E$22-$E$23</formula>
    </cfRule>
  </conditionalFormatting>
  <conditionalFormatting sqref="E35">
    <cfRule type="cellIs" dxfId="76" priority="35" operator="notEqual">
      <formula>$E$36+$E$37-$E$38</formula>
    </cfRule>
  </conditionalFormatting>
  <conditionalFormatting sqref="E43">
    <cfRule type="cellIs" dxfId="75" priority="34" operator="notEqual">
      <formula>$E$44-$E$45+$E$46</formula>
    </cfRule>
  </conditionalFormatting>
  <conditionalFormatting sqref="E47">
    <cfRule type="cellIs" dxfId="74" priority="1" operator="notEqual">
      <formula>$H$47</formula>
    </cfRule>
  </conditionalFormatting>
  <conditionalFormatting sqref="E63">
    <cfRule type="cellIs" dxfId="73" priority="190" operator="notEqual">
      <formula>$H$63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E58 D55:D62 D72:D76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46 D28 D36:D38"/>
    <dataValidation type="date" operator="greaterThan" allowBlank="1" showInputMessage="1" showErrorMessage="1" prompt="Введите дату в формате ЧЧ.ММ.ГГГГ" sqref="D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2" orientation="portrait" r:id="rId1"/>
  <headerFooter alignWithMargins="0"/>
  <ignoredErrors>
    <ignoredError sqref="C60 C43:C45 C58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25" customWidth="1"/>
    <col min="2" max="2" width="105.140625" style="25" customWidth="1"/>
    <col min="3" max="3" width="19.7109375" style="50" customWidth="1"/>
    <col min="4" max="4" width="10.28515625" style="100" bestFit="1" customWidth="1"/>
    <col min="5" max="5" width="19.42578125" style="101" bestFit="1" customWidth="1"/>
    <col min="6" max="6" width="9.28515625" style="100" bestFit="1" customWidth="1"/>
    <col min="7" max="7" width="9.140625" style="100"/>
    <col min="8" max="8" width="17.42578125" style="100" bestFit="1" customWidth="1"/>
    <col min="9" max="16384" width="9.140625" style="25"/>
  </cols>
  <sheetData>
    <row r="1" spans="1:8" ht="23.25" customHeight="1">
      <c r="A1" s="408" t="s">
        <v>152</v>
      </c>
      <c r="B1" s="409"/>
      <c r="C1" s="24" t="s">
        <v>151</v>
      </c>
    </row>
    <row r="2" spans="1:8">
      <c r="A2" s="52"/>
      <c r="B2" s="52"/>
      <c r="C2" s="52"/>
    </row>
    <row r="3" spans="1:8" ht="15.75">
      <c r="A3" s="26"/>
      <c r="B3" s="68" t="str">
        <f>Balance!B3</f>
        <v>"Ўзсаноатқурилишбанк" АТБ</v>
      </c>
      <c r="C3" s="67">
        <f>+Balance!D3</f>
        <v>45289</v>
      </c>
    </row>
    <row r="4" spans="1:8" s="27" customFormat="1" ht="43.5" customHeight="1">
      <c r="A4" s="93" t="s">
        <v>54</v>
      </c>
      <c r="B4" s="93" t="s">
        <v>31</v>
      </c>
      <c r="C4" s="93" t="s">
        <v>2</v>
      </c>
      <c r="D4" s="102"/>
      <c r="E4" s="103"/>
      <c r="F4" s="102"/>
      <c r="G4" s="102"/>
      <c r="H4" s="102"/>
    </row>
    <row r="5" spans="1:8" ht="12.75" customHeight="1">
      <c r="A5" s="40" t="s">
        <v>32</v>
      </c>
      <c r="B5" s="29" t="s">
        <v>77</v>
      </c>
      <c r="C5" s="30"/>
    </row>
    <row r="6" spans="1:8" ht="12.75" customHeight="1">
      <c r="A6" s="28">
        <v>1</v>
      </c>
      <c r="B6" s="29" t="s">
        <v>78</v>
      </c>
      <c r="C6" s="31"/>
    </row>
    <row r="7" spans="1:8" s="37" customFormat="1" ht="18" customHeight="1">
      <c r="A7" s="34" t="s">
        <v>81</v>
      </c>
      <c r="B7" s="35" t="s">
        <v>79</v>
      </c>
      <c r="C7" s="57" t="s">
        <v>72</v>
      </c>
      <c r="D7" s="104"/>
      <c r="E7" s="64"/>
      <c r="F7" s="104"/>
      <c r="G7" s="104"/>
      <c r="H7" s="104"/>
    </row>
    <row r="8" spans="1:8" s="27" customFormat="1" ht="18" customHeight="1">
      <c r="A8" s="39" t="s">
        <v>33</v>
      </c>
      <c r="B8" s="91" t="s">
        <v>34</v>
      </c>
      <c r="C8" s="53"/>
      <c r="D8" s="102"/>
      <c r="E8" s="103"/>
      <c r="F8" s="102"/>
      <c r="G8" s="102"/>
      <c r="H8" s="102"/>
    </row>
    <row r="9" spans="1:8" s="27" customFormat="1" ht="18" customHeight="1">
      <c r="A9" s="39" t="s">
        <v>35</v>
      </c>
      <c r="B9" s="91" t="s">
        <v>36</v>
      </c>
      <c r="C9" s="54"/>
      <c r="D9" s="102"/>
      <c r="E9" s="103"/>
      <c r="F9" s="102"/>
      <c r="G9" s="102"/>
      <c r="H9" s="102"/>
    </row>
    <row r="10" spans="1:8" s="37" customFormat="1" ht="18" customHeight="1">
      <c r="A10" s="34" t="s">
        <v>82</v>
      </c>
      <c r="B10" s="35" t="s">
        <v>80</v>
      </c>
      <c r="C10" s="61">
        <v>0</v>
      </c>
      <c r="D10" s="104"/>
      <c r="E10" s="64"/>
      <c r="F10" s="104"/>
      <c r="G10" s="104"/>
      <c r="H10" s="104"/>
    </row>
    <row r="11" spans="1:8" s="27" customFormat="1" ht="18" customHeight="1">
      <c r="A11" s="39" t="s">
        <v>83</v>
      </c>
      <c r="B11" s="91" t="s">
        <v>84</v>
      </c>
      <c r="C11" s="57" t="s">
        <v>72</v>
      </c>
      <c r="D11" s="102"/>
      <c r="E11" s="103"/>
      <c r="F11" s="102"/>
      <c r="G11" s="102"/>
      <c r="H11" s="102"/>
    </row>
    <row r="12" spans="1:8" s="27" customFormat="1" ht="18" customHeight="1">
      <c r="A12" s="39" t="s">
        <v>39</v>
      </c>
      <c r="B12" s="91" t="s">
        <v>42</v>
      </c>
      <c r="C12" s="63"/>
      <c r="D12" s="102"/>
      <c r="E12" s="103"/>
      <c r="F12" s="102"/>
      <c r="G12" s="102"/>
      <c r="H12" s="102"/>
    </row>
    <row r="13" spans="1:8" s="27" customFormat="1" ht="18" customHeight="1">
      <c r="A13" s="39" t="s">
        <v>35</v>
      </c>
      <c r="B13" s="91" t="s">
        <v>43</v>
      </c>
      <c r="C13" s="63"/>
      <c r="D13" s="102"/>
      <c r="E13" s="103"/>
      <c r="F13" s="102"/>
      <c r="G13" s="102"/>
      <c r="H13" s="102"/>
    </row>
    <row r="14" spans="1:8" s="37" customFormat="1" ht="18" customHeight="1">
      <c r="A14" s="45" t="s">
        <v>37</v>
      </c>
      <c r="B14" s="89" t="s">
        <v>85</v>
      </c>
      <c r="C14" s="60"/>
      <c r="D14" s="104"/>
      <c r="E14" s="64"/>
      <c r="F14" s="104"/>
      <c r="G14" s="104"/>
      <c r="H14" s="104"/>
    </row>
    <row r="15" spans="1:8" s="37" customFormat="1" ht="18" customHeight="1">
      <c r="A15" s="45" t="s">
        <v>44</v>
      </c>
      <c r="B15" s="89" t="s">
        <v>86</v>
      </c>
      <c r="C15" s="60"/>
      <c r="D15" s="104"/>
      <c r="E15" s="64"/>
      <c r="F15" s="104"/>
      <c r="G15" s="104"/>
      <c r="H15" s="104"/>
    </row>
    <row r="16" spans="1:8" s="27" customFormat="1" ht="18" customHeight="1">
      <c r="A16" s="39" t="s">
        <v>87</v>
      </c>
      <c r="B16" s="91" t="s">
        <v>45</v>
      </c>
      <c r="C16" s="61"/>
      <c r="D16" s="102"/>
      <c r="E16" s="103"/>
      <c r="F16" s="102"/>
      <c r="G16" s="102"/>
      <c r="H16" s="102"/>
    </row>
    <row r="17" spans="1:8" s="27" customFormat="1" ht="18" customHeight="1">
      <c r="A17" s="39" t="s">
        <v>88</v>
      </c>
      <c r="B17" s="91" t="s">
        <v>3</v>
      </c>
      <c r="C17" s="61"/>
      <c r="D17" s="102"/>
      <c r="E17" s="103"/>
      <c r="F17" s="102"/>
      <c r="G17" s="102"/>
      <c r="H17" s="102"/>
    </row>
    <row r="18" spans="1:8" s="27" customFormat="1" ht="18" customHeight="1">
      <c r="A18" s="39"/>
      <c r="B18" s="91" t="s">
        <v>89</v>
      </c>
      <c r="C18" s="57" t="s">
        <v>72</v>
      </c>
      <c r="D18" s="102"/>
      <c r="E18" s="103"/>
      <c r="F18" s="102"/>
      <c r="G18" s="102"/>
      <c r="H18" s="102"/>
    </row>
    <row r="19" spans="1:8" s="27" customFormat="1" ht="18" customHeight="1">
      <c r="A19" s="39" t="s">
        <v>117</v>
      </c>
      <c r="B19" s="91" t="s">
        <v>90</v>
      </c>
      <c r="C19" s="57" t="s">
        <v>72</v>
      </c>
      <c r="D19" s="102"/>
      <c r="E19" s="103"/>
      <c r="F19" s="102"/>
      <c r="G19" s="102"/>
      <c r="H19" s="102"/>
    </row>
    <row r="20" spans="1:8" s="37" customFormat="1" ht="18" customHeight="1">
      <c r="A20" s="82" t="s">
        <v>39</v>
      </c>
      <c r="B20" s="158" t="s">
        <v>47</v>
      </c>
      <c r="C20" s="60"/>
      <c r="D20" s="104"/>
      <c r="E20" s="64"/>
      <c r="F20" s="104"/>
      <c r="G20" s="104"/>
      <c r="H20" s="104"/>
    </row>
    <row r="21" spans="1:8" s="36" customFormat="1" ht="25.5">
      <c r="A21" s="82" t="s">
        <v>35</v>
      </c>
      <c r="B21" s="89" t="s">
        <v>12</v>
      </c>
      <c r="C21" s="60"/>
      <c r="D21" s="104"/>
      <c r="E21" s="64"/>
      <c r="F21" s="104"/>
      <c r="G21" s="104"/>
      <c r="H21" s="104"/>
    </row>
    <row r="22" spans="1:8" s="37" customFormat="1" ht="18" customHeight="1">
      <c r="A22" s="82" t="s">
        <v>37</v>
      </c>
      <c r="B22" s="89" t="s">
        <v>4</v>
      </c>
      <c r="C22" s="60"/>
      <c r="D22" s="104"/>
      <c r="E22" s="64"/>
      <c r="F22" s="104"/>
      <c r="G22" s="104"/>
      <c r="H22" s="104"/>
    </row>
    <row r="23" spans="1:8" s="37" customFormat="1" ht="15" customHeight="1">
      <c r="A23" s="34" t="s">
        <v>91</v>
      </c>
      <c r="B23" s="35" t="s">
        <v>92</v>
      </c>
      <c r="C23" s="57" t="s">
        <v>72</v>
      </c>
      <c r="D23" s="104"/>
      <c r="E23" s="64"/>
      <c r="F23" s="104"/>
      <c r="G23" s="104"/>
      <c r="H23" s="104"/>
    </row>
    <row r="24" spans="1:8" ht="16.5" customHeight="1">
      <c r="A24" s="28">
        <v>2</v>
      </c>
      <c r="B24" s="38" t="s">
        <v>93</v>
      </c>
      <c r="C24" s="32"/>
    </row>
    <row r="25" spans="1:8" s="37" customFormat="1" ht="18" customHeight="1">
      <c r="A25" s="45" t="s">
        <v>94</v>
      </c>
      <c r="B25" s="89" t="s">
        <v>38</v>
      </c>
      <c r="C25" s="87">
        <f>+C26+C27</f>
        <v>0</v>
      </c>
      <c r="D25" s="104"/>
      <c r="E25" s="64"/>
      <c r="F25" s="104"/>
      <c r="G25" s="104"/>
      <c r="H25" s="104"/>
    </row>
    <row r="26" spans="1:8" s="37" customFormat="1" ht="18" customHeight="1">
      <c r="A26" s="45" t="s">
        <v>39</v>
      </c>
      <c r="B26" s="89" t="s">
        <v>40</v>
      </c>
      <c r="C26" s="60"/>
      <c r="D26" s="104"/>
      <c r="E26" s="64"/>
      <c r="F26" s="104"/>
      <c r="G26" s="104"/>
      <c r="H26" s="104"/>
    </row>
    <row r="27" spans="1:8" s="37" customFormat="1" ht="18" customHeight="1">
      <c r="A27" s="45" t="s">
        <v>35</v>
      </c>
      <c r="B27" s="89" t="s">
        <v>41</v>
      </c>
      <c r="C27" s="60"/>
      <c r="D27" s="104"/>
      <c r="E27" s="64"/>
      <c r="F27" s="104"/>
      <c r="G27" s="104"/>
      <c r="H27" s="104"/>
    </row>
    <row r="28" spans="1:8" s="37" customFormat="1" ht="18" customHeight="1">
      <c r="A28" s="45" t="s">
        <v>95</v>
      </c>
      <c r="B28" s="89" t="s">
        <v>96</v>
      </c>
      <c r="C28" s="60">
        <v>0</v>
      </c>
      <c r="D28" s="104"/>
      <c r="E28" s="64"/>
      <c r="F28" s="104"/>
      <c r="G28" s="104"/>
      <c r="H28" s="104"/>
    </row>
    <row r="29" spans="1:8">
      <c r="A29" s="39" t="s">
        <v>97</v>
      </c>
      <c r="B29" s="90" t="s">
        <v>98</v>
      </c>
      <c r="C29" s="55">
        <v>0</v>
      </c>
    </row>
    <row r="30" spans="1:8" s="37" customFormat="1" ht="29.25" customHeight="1">
      <c r="A30" s="45" t="s">
        <v>99</v>
      </c>
      <c r="B30" s="89" t="s">
        <v>11</v>
      </c>
      <c r="C30" s="60">
        <v>0</v>
      </c>
      <c r="D30" s="104"/>
      <c r="E30" s="64"/>
      <c r="F30" s="104"/>
      <c r="G30" s="104"/>
      <c r="H30" s="104"/>
    </row>
    <row r="31" spans="1:8" s="41" customFormat="1">
      <c r="A31" s="40" t="s">
        <v>46</v>
      </c>
      <c r="B31" s="65" t="s">
        <v>100</v>
      </c>
      <c r="C31" s="62">
        <f>+C25+C28+C29+C30</f>
        <v>0</v>
      </c>
      <c r="D31" s="105"/>
      <c r="E31" s="106"/>
      <c r="F31" s="107"/>
      <c r="G31" s="107"/>
      <c r="H31" s="107"/>
    </row>
    <row r="32" spans="1:8" s="41" customFormat="1" ht="16.5" customHeight="1">
      <c r="A32" s="40" t="s">
        <v>48</v>
      </c>
      <c r="B32" s="56" t="s">
        <v>101</v>
      </c>
      <c r="C32" s="57" t="s">
        <v>72</v>
      </c>
      <c r="D32" s="107"/>
      <c r="E32" s="106"/>
      <c r="F32" s="107"/>
      <c r="G32" s="107"/>
      <c r="H32" s="107"/>
    </row>
    <row r="33" spans="1:8" s="43" customFormat="1" ht="13.5" customHeight="1">
      <c r="A33" s="42"/>
      <c r="B33" s="42" t="s">
        <v>50</v>
      </c>
      <c r="C33" s="33"/>
      <c r="D33" s="108"/>
      <c r="E33" s="109"/>
      <c r="F33" s="108"/>
      <c r="G33" s="108"/>
      <c r="H33" s="110"/>
    </row>
    <row r="34" spans="1:8" s="37" customFormat="1" ht="18" customHeight="1">
      <c r="A34" s="45" t="s">
        <v>102</v>
      </c>
      <c r="B34" s="157" t="s">
        <v>160</v>
      </c>
      <c r="C34" s="60"/>
      <c r="D34" s="104"/>
      <c r="E34" s="64"/>
      <c r="F34" s="104"/>
      <c r="G34" s="104"/>
      <c r="H34" s="104"/>
    </row>
    <row r="35" spans="1:8" s="37" customFormat="1" ht="25.5">
      <c r="A35" s="45" t="s">
        <v>103</v>
      </c>
      <c r="B35" s="89" t="s">
        <v>13</v>
      </c>
      <c r="C35" s="130" t="e">
        <f>IF(Balance!#REF!&lt;(C43*1.25%),Balance!#REF!,(C43*1.25%))</f>
        <v>#REF!</v>
      </c>
      <c r="D35" s="104"/>
      <c r="E35" s="64"/>
      <c r="F35" s="104"/>
      <c r="G35" s="104"/>
      <c r="H35" s="104"/>
    </row>
    <row r="36" spans="1:8" s="37" customFormat="1" ht="18" customHeight="1">
      <c r="A36" s="45" t="s">
        <v>104</v>
      </c>
      <c r="B36" s="89" t="s">
        <v>5</v>
      </c>
      <c r="C36" s="60"/>
      <c r="D36" s="104"/>
      <c r="E36" s="64"/>
      <c r="F36" s="104"/>
      <c r="G36" s="104"/>
      <c r="H36" s="104"/>
    </row>
    <row r="37" spans="1:8" s="37" customFormat="1" ht="18" customHeight="1">
      <c r="A37" s="45" t="s">
        <v>105</v>
      </c>
      <c r="B37" s="89" t="s">
        <v>106</v>
      </c>
      <c r="C37" s="60"/>
      <c r="D37" s="104"/>
      <c r="E37" s="64"/>
      <c r="F37" s="104"/>
      <c r="G37" s="104"/>
      <c r="H37" s="104"/>
    </row>
    <row r="38" spans="1:8" s="37" customFormat="1" ht="18" customHeight="1">
      <c r="A38" s="45" t="s">
        <v>107</v>
      </c>
      <c r="B38" s="89" t="s">
        <v>6</v>
      </c>
      <c r="C38" s="60"/>
      <c r="D38" s="104"/>
      <c r="E38" s="64"/>
      <c r="F38" s="104"/>
      <c r="G38" s="104"/>
      <c r="H38" s="104"/>
    </row>
    <row r="39" spans="1:8" s="37" customFormat="1" ht="18" customHeight="1">
      <c r="A39" s="45" t="s">
        <v>108</v>
      </c>
      <c r="B39" s="89" t="s">
        <v>51</v>
      </c>
      <c r="C39" s="57" t="s">
        <v>72</v>
      </c>
      <c r="D39" s="104"/>
      <c r="E39" s="64"/>
      <c r="F39" s="104"/>
      <c r="G39" s="104"/>
      <c r="H39" s="104"/>
    </row>
    <row r="40" spans="1:8" ht="18.75" customHeight="1">
      <c r="A40" s="39"/>
      <c r="B40" s="38" t="s">
        <v>23</v>
      </c>
      <c r="C40" s="33" t="e">
        <f>SUM(C34:C38)</f>
        <v>#REF!</v>
      </c>
      <c r="D40" s="105"/>
    </row>
    <row r="41" spans="1:8" s="27" customFormat="1" ht="22.5" customHeight="1">
      <c r="A41" s="42" t="s">
        <v>49</v>
      </c>
      <c r="B41" s="35" t="s">
        <v>24</v>
      </c>
      <c r="C41" s="57" t="s">
        <v>72</v>
      </c>
      <c r="D41" s="111"/>
      <c r="E41" s="103"/>
      <c r="F41" s="102"/>
      <c r="G41" s="102"/>
      <c r="H41" s="102"/>
    </row>
    <row r="42" spans="1:8" s="27" customFormat="1" ht="15.75" customHeight="1">
      <c r="A42" s="42" t="s">
        <v>52</v>
      </c>
      <c r="B42" s="35" t="s">
        <v>109</v>
      </c>
      <c r="C42" s="57" t="s">
        <v>72</v>
      </c>
      <c r="D42" s="111"/>
      <c r="E42" s="103"/>
      <c r="F42" s="102"/>
      <c r="G42" s="102"/>
      <c r="H42" s="102"/>
    </row>
    <row r="43" spans="1:8" s="27" customFormat="1" ht="21.75" customHeight="1">
      <c r="A43" s="42" t="s">
        <v>9</v>
      </c>
      <c r="B43" s="35" t="s">
        <v>110</v>
      </c>
      <c r="C43" s="44" t="e">
        <f>+C44+C45+C46</f>
        <v>#REF!</v>
      </c>
      <c r="D43" s="102"/>
      <c r="E43" s="103"/>
      <c r="F43" s="102"/>
      <c r="G43" s="102"/>
      <c r="H43" s="102"/>
    </row>
    <row r="44" spans="1:8" s="37" customFormat="1" ht="18" customHeight="1">
      <c r="A44" s="45" t="s">
        <v>39</v>
      </c>
      <c r="B44" s="89" t="s">
        <v>14</v>
      </c>
      <c r="C44" s="87" t="e">
        <f>+#REF!</f>
        <v>#REF!</v>
      </c>
      <c r="D44" s="104"/>
      <c r="E44" s="64"/>
      <c r="F44" s="104"/>
      <c r="G44" s="104"/>
      <c r="H44" s="104"/>
    </row>
    <row r="45" spans="1:8" s="37" customFormat="1" ht="18" customHeight="1">
      <c r="A45" s="45" t="s">
        <v>35</v>
      </c>
      <c r="B45" s="89" t="s">
        <v>7</v>
      </c>
      <c r="C45" s="87" t="e">
        <f>+#REF!</f>
        <v>#REF!</v>
      </c>
      <c r="D45" s="104"/>
      <c r="E45" s="64"/>
      <c r="F45" s="104"/>
      <c r="G45" s="104"/>
      <c r="H45" s="104"/>
    </row>
    <row r="46" spans="1:8" s="37" customFormat="1" ht="18" customHeight="1">
      <c r="A46" s="45" t="s">
        <v>37</v>
      </c>
      <c r="B46" s="89" t="s">
        <v>8</v>
      </c>
      <c r="C46" s="87" t="e">
        <f>+#REF!</f>
        <v>#REF!</v>
      </c>
      <c r="D46" s="104"/>
      <c r="E46" s="64" t="e">
        <f>+#REF!</f>
        <v>#REF!</v>
      </c>
      <c r="F46" s="104"/>
      <c r="G46" s="104"/>
      <c r="H46" s="104"/>
    </row>
    <row r="47" spans="1:8" s="43" customFormat="1" ht="21.75" customHeight="1">
      <c r="A47" s="42" t="s">
        <v>10</v>
      </c>
      <c r="B47" s="56" t="s">
        <v>111</v>
      </c>
      <c r="C47" s="57" t="s">
        <v>72</v>
      </c>
      <c r="D47" s="108"/>
      <c r="E47" s="109"/>
      <c r="F47" s="108"/>
      <c r="G47" s="108"/>
      <c r="H47" s="108"/>
    </row>
    <row r="48" spans="1:8" s="43" customFormat="1" ht="21.75" customHeight="1">
      <c r="A48" s="42" t="s">
        <v>53</v>
      </c>
      <c r="B48" s="56" t="s">
        <v>112</v>
      </c>
      <c r="C48" s="57" t="s">
        <v>72</v>
      </c>
      <c r="D48" s="108"/>
      <c r="E48" s="109"/>
      <c r="F48" s="108"/>
      <c r="G48" s="108"/>
      <c r="H48" s="108"/>
    </row>
    <row r="49" spans="1:8" s="43" customFormat="1" ht="21.75" customHeight="1">
      <c r="A49" s="42" t="s">
        <v>25</v>
      </c>
      <c r="B49" s="56" t="s">
        <v>113</v>
      </c>
      <c r="C49" s="57" t="s">
        <v>72</v>
      </c>
      <c r="D49" s="108"/>
      <c r="E49" s="109"/>
      <c r="F49" s="108"/>
      <c r="G49" s="108"/>
      <c r="H49" s="108"/>
    </row>
    <row r="50" spans="1:8" s="27" customFormat="1" ht="21.75" customHeight="1">
      <c r="A50" s="42" t="s">
        <v>26</v>
      </c>
      <c r="B50" s="35" t="s">
        <v>19</v>
      </c>
      <c r="C50" s="57" t="s">
        <v>72</v>
      </c>
      <c r="D50" s="102"/>
      <c r="E50" s="112"/>
      <c r="F50" s="111"/>
      <c r="G50" s="102"/>
      <c r="H50" s="102"/>
    </row>
    <row r="51" spans="1:8" s="48" customFormat="1" ht="21.75" customHeight="1">
      <c r="A51" s="45" t="s">
        <v>39</v>
      </c>
      <c r="B51" s="46" t="s">
        <v>29</v>
      </c>
      <c r="C51" s="47">
        <f>+Balance!C47</f>
        <v>74634423198</v>
      </c>
      <c r="D51" s="113"/>
      <c r="E51" s="114"/>
      <c r="F51" s="115"/>
      <c r="G51" s="113"/>
      <c r="H51" s="113"/>
    </row>
    <row r="52" spans="1:8" s="48" customFormat="1" ht="21.75" customHeight="1">
      <c r="A52" s="45" t="s">
        <v>35</v>
      </c>
      <c r="B52" s="46" t="s">
        <v>114</v>
      </c>
      <c r="C52" s="125" t="e">
        <f>SUM(#REF!)</f>
        <v>#REF!</v>
      </c>
      <c r="D52" s="115" t="e">
        <f>+#REF!</f>
        <v>#REF!</v>
      </c>
      <c r="E52" s="114"/>
      <c r="F52" s="115"/>
      <c r="G52" s="113"/>
      <c r="H52" s="113"/>
    </row>
    <row r="53" spans="1:8" s="48" customFormat="1" ht="21.75" customHeight="1">
      <c r="A53" s="45" t="s">
        <v>37</v>
      </c>
      <c r="B53" s="46" t="s">
        <v>115</v>
      </c>
      <c r="C53" s="127" t="e">
        <f>SUM(#REF!)</f>
        <v>#REF!</v>
      </c>
      <c r="D53" s="124"/>
      <c r="E53" s="126"/>
      <c r="F53" s="113"/>
      <c r="G53" s="113"/>
      <c r="H53" s="113"/>
    </row>
    <row r="54" spans="1:8" s="48" customFormat="1" ht="21.75" customHeight="1">
      <c r="A54" s="45" t="s">
        <v>44</v>
      </c>
      <c r="B54" s="46" t="s">
        <v>116</v>
      </c>
      <c r="C54" s="66" t="str">
        <f>+C19</f>
        <v>Формула</v>
      </c>
      <c r="D54" s="113"/>
      <c r="E54" s="116"/>
      <c r="F54" s="113"/>
      <c r="G54" s="113"/>
      <c r="H54" s="113"/>
    </row>
    <row r="55" spans="1:8" s="43" customFormat="1" ht="21.75" customHeight="1">
      <c r="A55" s="42" t="s">
        <v>27</v>
      </c>
      <c r="B55" s="56" t="s">
        <v>30</v>
      </c>
      <c r="C55" s="57" t="s">
        <v>72</v>
      </c>
      <c r="D55" s="108"/>
      <c r="E55" s="109"/>
      <c r="F55" s="108"/>
      <c r="G55" s="108"/>
      <c r="H55" s="108"/>
    </row>
    <row r="56" spans="1:8">
      <c r="B56" s="49"/>
    </row>
    <row r="57" spans="1:8" s="1" customFormat="1">
      <c r="A57" s="7"/>
      <c r="B57" s="2" t="s">
        <v>0</v>
      </c>
      <c r="D57" s="17"/>
      <c r="E57" s="17"/>
      <c r="F57" s="17"/>
      <c r="G57" s="17"/>
      <c r="H57" s="17"/>
    </row>
    <row r="58" spans="1:8" s="1" customFormat="1">
      <c r="A58" s="7"/>
      <c r="B58" s="2"/>
      <c r="D58" s="17"/>
      <c r="E58" s="17"/>
      <c r="F58" s="17"/>
      <c r="G58" s="17"/>
      <c r="H58" s="17"/>
    </row>
    <row r="59" spans="1:8" s="1" customFormat="1">
      <c r="A59" s="7"/>
      <c r="B59" s="2" t="s">
        <v>1</v>
      </c>
      <c r="D59" s="17"/>
      <c r="E59" s="17"/>
      <c r="F59" s="17"/>
      <c r="G59" s="17"/>
      <c r="H59" s="17"/>
    </row>
    <row r="60" spans="1:8">
      <c r="B60" s="51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Q75"/>
  <sheetViews>
    <sheetView view="pageBreakPreview" zoomScaleNormal="100" zoomScaleSheetLayoutView="100" workbookViewId="0">
      <pane xSplit="2" ySplit="3" topLeftCell="C16" activePane="bottomRight" state="frozen"/>
      <selection activeCell="G38" sqref="G38"/>
      <selection pane="topRight" activeCell="G38" sqref="G38"/>
      <selection pane="bottomLeft" activeCell="G38" sqref="G38"/>
      <selection pane="bottomRight" activeCell="C24" sqref="C24"/>
    </sheetView>
  </sheetViews>
  <sheetFormatPr defaultRowHeight="12.75"/>
  <cols>
    <col min="1" max="1" width="7.42578125" style="18" customWidth="1"/>
    <col min="2" max="2" width="61.7109375" style="18" customWidth="1"/>
    <col min="3" max="3" width="17.42578125" style="18" customWidth="1"/>
    <col min="4" max="4" width="19.140625" customWidth="1"/>
    <col min="5" max="5" width="17.42578125" style="18" customWidth="1"/>
    <col min="6" max="8" width="12" style="162" customWidth="1"/>
    <col min="9" max="9" width="14.28515625" style="162" customWidth="1"/>
    <col min="10" max="11" width="6.42578125" style="150" customWidth="1"/>
    <col min="12" max="12" width="9.140625" style="150"/>
    <col min="13" max="14" width="11.7109375" style="18" bestFit="1" customWidth="1"/>
    <col min="15" max="16" width="9.140625" style="129"/>
    <col min="17" max="16384" width="9.140625" style="1"/>
  </cols>
  <sheetData>
    <row r="1" spans="1:17" s="9" customFormat="1" ht="34.5" customHeight="1">
      <c r="A1" s="414" t="s">
        <v>279</v>
      </c>
      <c r="B1" s="414"/>
      <c r="C1" s="414"/>
      <c r="D1" s="414"/>
      <c r="E1" s="233" t="s">
        <v>280</v>
      </c>
      <c r="F1" s="160"/>
      <c r="G1" s="160"/>
      <c r="H1" s="160"/>
      <c r="I1" s="161"/>
      <c r="J1" s="146"/>
      <c r="K1" s="146"/>
      <c r="L1" s="147"/>
      <c r="M1" s="148"/>
      <c r="N1" s="148"/>
      <c r="O1" s="201"/>
      <c r="P1" s="201"/>
    </row>
    <row r="2" spans="1:17" ht="20.25" customHeight="1">
      <c r="B2" s="79" t="str">
        <f>Balance!B3</f>
        <v>"Ўзсаноатқурилишбанк" АТБ</v>
      </c>
      <c r="D2" s="352">
        <f>+Balance!D3</f>
        <v>45289</v>
      </c>
      <c r="E2" s="77" t="s">
        <v>174</v>
      </c>
      <c r="I2" s="163"/>
      <c r="J2" s="149"/>
      <c r="K2" s="149"/>
    </row>
    <row r="3" spans="1:17" s="123" customFormat="1" ht="36.75" customHeight="1">
      <c r="A3" s="92" t="s">
        <v>54</v>
      </c>
      <c r="B3" s="92" t="s">
        <v>281</v>
      </c>
      <c r="C3" s="92" t="s">
        <v>176</v>
      </c>
      <c r="D3" s="92" t="s">
        <v>177</v>
      </c>
      <c r="E3" s="92" t="s">
        <v>282</v>
      </c>
      <c r="F3" s="162"/>
      <c r="G3" s="162"/>
      <c r="H3" s="162"/>
      <c r="I3" s="163"/>
      <c r="J3" s="149"/>
      <c r="K3" s="149"/>
      <c r="L3" s="150"/>
      <c r="O3" s="202"/>
      <c r="P3" s="202"/>
    </row>
    <row r="4" spans="1:17" s="123" customFormat="1" ht="17.25" customHeight="1">
      <c r="A4" s="177"/>
      <c r="B4" s="177" t="s">
        <v>283</v>
      </c>
      <c r="C4" s="410" t="s">
        <v>284</v>
      </c>
      <c r="D4" s="411"/>
      <c r="E4" s="412"/>
      <c r="F4" s="224"/>
      <c r="G4" s="224"/>
      <c r="H4" s="174"/>
      <c r="I4" s="203"/>
      <c r="J4" s="149"/>
      <c r="K4" s="149"/>
      <c r="L4" s="150"/>
      <c r="O4" s="202"/>
      <c r="P4" s="202"/>
    </row>
    <row r="5" spans="1:17" s="18" customFormat="1">
      <c r="A5" s="234" t="s">
        <v>66</v>
      </c>
      <c r="B5" s="235" t="s">
        <v>285</v>
      </c>
      <c r="C5" s="247">
        <f>+'Bank Assets Analysis'!S6</f>
        <v>1565389581</v>
      </c>
      <c r="D5" s="247">
        <f>+'Bank Assets Analysis'!T6</f>
        <v>494142662</v>
      </c>
      <c r="E5" s="247">
        <f>+'Bank Assets Analysis'!U6</f>
        <v>1071246919</v>
      </c>
      <c r="F5" s="382"/>
      <c r="G5" s="224"/>
      <c r="H5" s="174"/>
      <c r="I5" s="203"/>
      <c r="J5" s="149"/>
      <c r="K5" s="149"/>
      <c r="L5" s="150"/>
      <c r="O5" s="129"/>
      <c r="P5" s="129"/>
    </row>
    <row r="6" spans="1:17" s="18" customFormat="1">
      <c r="A6" s="234" t="s">
        <v>67</v>
      </c>
      <c r="B6" s="235" t="s">
        <v>286</v>
      </c>
      <c r="C6" s="247">
        <f>+'Bank Assets Analysis'!S7</f>
        <v>2352337755</v>
      </c>
      <c r="D6" s="247">
        <f>+'Bank Assets Analysis'!T7</f>
        <v>643421545</v>
      </c>
      <c r="E6" s="403">
        <f>+'Bank Assets Analysis'!U7</f>
        <v>1708916210</v>
      </c>
      <c r="F6" s="382"/>
      <c r="G6" s="224"/>
      <c r="H6" s="174"/>
      <c r="I6" s="203"/>
      <c r="J6" s="149"/>
      <c r="K6" s="149"/>
      <c r="L6" s="150"/>
      <c r="O6" s="129"/>
      <c r="P6" s="129"/>
    </row>
    <row r="7" spans="1:17" s="18" customFormat="1" ht="25.5">
      <c r="A7" s="234" t="s">
        <v>68</v>
      </c>
      <c r="B7" s="235" t="s">
        <v>287</v>
      </c>
      <c r="C7" s="247">
        <f>+'Bank Assets Analysis'!S19</f>
        <v>2033306103</v>
      </c>
      <c r="D7" s="247">
        <f>+'Bank Assets Analysis'!T19</f>
        <v>1910633909</v>
      </c>
      <c r="E7" s="403">
        <f>+'Bank Assets Analysis'!U19</f>
        <v>122672194</v>
      </c>
      <c r="F7" s="382"/>
      <c r="G7" s="224"/>
      <c r="H7" s="174"/>
      <c r="I7" s="203"/>
      <c r="J7" s="149"/>
      <c r="K7" s="149"/>
      <c r="L7" s="150"/>
      <c r="O7" s="129"/>
      <c r="P7" s="129"/>
    </row>
    <row r="8" spans="1:17" s="18" customFormat="1" ht="45.75" customHeight="1">
      <c r="A8" s="234" t="s">
        <v>69</v>
      </c>
      <c r="B8" s="235" t="s">
        <v>288</v>
      </c>
      <c r="C8" s="247">
        <f>+E8</f>
        <v>2934924132</v>
      </c>
      <c r="D8" s="179"/>
      <c r="E8" s="403">
        <f>+'Bank Assets Analysis'!D10+'Bank Assets Analysis'!D11</f>
        <v>2934924132</v>
      </c>
      <c r="F8" s="382"/>
      <c r="G8" s="224"/>
      <c r="H8" s="174"/>
      <c r="I8" s="203"/>
      <c r="J8" s="149"/>
      <c r="K8" s="149"/>
      <c r="L8" s="150"/>
      <c r="O8" s="129"/>
      <c r="P8" s="129"/>
    </row>
    <row r="9" spans="1:17" s="18" customFormat="1" ht="38.25">
      <c r="A9" s="234" t="s">
        <v>490</v>
      </c>
      <c r="B9" s="235" t="s">
        <v>289</v>
      </c>
      <c r="C9" s="247">
        <f>+E9</f>
        <v>0</v>
      </c>
      <c r="D9" s="179"/>
      <c r="E9" s="403">
        <f>+'Bank Assets Analysis'!F13</f>
        <v>0</v>
      </c>
      <c r="F9" s="382"/>
      <c r="G9" s="224"/>
      <c r="H9" s="174"/>
      <c r="I9" s="203"/>
      <c r="J9" s="149"/>
      <c r="K9" s="149"/>
      <c r="L9" s="150"/>
      <c r="O9" s="129"/>
      <c r="P9" s="129"/>
    </row>
    <row r="10" spans="1:17" s="18" customFormat="1" ht="51.75" customHeight="1">
      <c r="A10" s="234" t="s">
        <v>491</v>
      </c>
      <c r="B10" s="235" t="s">
        <v>537</v>
      </c>
      <c r="C10" s="247">
        <f>+'Bank Assets Analysis'!S21</f>
        <v>0</v>
      </c>
      <c r="D10" s="247">
        <f>+'Bank Assets Analysis'!T21</f>
        <v>0</v>
      </c>
      <c r="E10" s="247">
        <f>+'Bank Assets Analysis'!U21</f>
        <v>0</v>
      </c>
      <c r="F10" s="382"/>
      <c r="G10" s="224"/>
      <c r="H10" s="174"/>
      <c r="I10" s="203"/>
      <c r="J10" s="149"/>
      <c r="K10" s="149"/>
      <c r="L10" s="150"/>
      <c r="O10" s="129"/>
      <c r="P10" s="129"/>
    </row>
    <row r="11" spans="1:17" s="18" customFormat="1" ht="25.5">
      <c r="A11" s="234" t="s">
        <v>290</v>
      </c>
      <c r="B11" s="235" t="s">
        <v>291</v>
      </c>
      <c r="C11" s="247">
        <f>+'Bank Assets Analysis'!S20</f>
        <v>0</v>
      </c>
      <c r="D11" s="247">
        <f>+'Bank Assets Analysis'!T20</f>
        <v>0</v>
      </c>
      <c r="E11" s="247">
        <f>+'Bank Assets Analysis'!U20</f>
        <v>0</v>
      </c>
      <c r="F11" s="382"/>
      <c r="G11" s="224"/>
      <c r="H11" s="174"/>
      <c r="I11" s="203"/>
      <c r="J11" s="149"/>
      <c r="K11" s="149"/>
      <c r="L11" s="150"/>
      <c r="O11" s="129"/>
      <c r="P11" s="129"/>
    </row>
    <row r="12" spans="1:17" customFormat="1" ht="18.75" customHeight="1">
      <c r="A12" s="234" t="s">
        <v>486</v>
      </c>
      <c r="B12" s="235" t="s">
        <v>293</v>
      </c>
      <c r="C12" s="247">
        <f>+D12</f>
        <v>0</v>
      </c>
      <c r="D12" s="247">
        <v>0</v>
      </c>
      <c r="E12" s="247"/>
      <c r="F12" s="382"/>
      <c r="G12" s="227" t="s">
        <v>538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spans="1:17" customFormat="1" ht="18.75" customHeight="1">
      <c r="A13" s="234" t="s">
        <v>492</v>
      </c>
      <c r="B13" s="235" t="s">
        <v>292</v>
      </c>
      <c r="C13" s="247">
        <f>+'Bank Assets Analysis'!S23</f>
        <v>10000000</v>
      </c>
      <c r="D13" s="247">
        <f>+'Bank Assets Analysis'!T23</f>
        <v>10000000</v>
      </c>
      <c r="E13" s="247">
        <f>+'Bank Assets Analysis'!U23</f>
        <v>0</v>
      </c>
      <c r="F13" s="382"/>
      <c r="G13" s="227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spans="1:17" customFormat="1" ht="25.5">
      <c r="A14" s="234" t="s">
        <v>294</v>
      </c>
      <c r="B14" s="235" t="s">
        <v>543</v>
      </c>
      <c r="C14" s="247">
        <f>+'Bank Assets Analysis'!S34</f>
        <v>0</v>
      </c>
      <c r="D14" s="247">
        <f>+'Bank Assets Analysis'!T34</f>
        <v>0</v>
      </c>
      <c r="E14" s="247">
        <f>+'Bank Assets Analysis'!U34</f>
        <v>0</v>
      </c>
      <c r="F14" s="382"/>
      <c r="G14" s="227"/>
      <c r="H14" s="69"/>
      <c r="I14" s="69"/>
      <c r="J14" s="69"/>
      <c r="K14" s="69"/>
      <c r="L14" s="69"/>
      <c r="M14" s="69"/>
      <c r="N14" s="69"/>
      <c r="O14" s="69"/>
      <c r="P14" s="69"/>
      <c r="Q14" s="69"/>
    </row>
    <row r="15" spans="1:17" customFormat="1" ht="18.75" customHeight="1">
      <c r="A15" s="234" t="s">
        <v>296</v>
      </c>
      <c r="B15" s="235" t="s">
        <v>295</v>
      </c>
      <c r="C15" s="247">
        <f>+'Bank Assets Analysis'!S18+'Bank Assets Analysis'!S43</f>
        <v>816807035</v>
      </c>
      <c r="D15" s="247">
        <f>+'Bank Assets Analysis'!T18+'Bank Assets Analysis'!T43</f>
        <v>816807035</v>
      </c>
      <c r="E15" s="247">
        <f>+'Bank Assets Analysis'!U18+'Bank Assets Analysis'!U43</f>
        <v>0</v>
      </c>
      <c r="F15" s="382"/>
      <c r="G15" s="413"/>
      <c r="H15" s="413"/>
      <c r="I15" s="413"/>
      <c r="J15" s="413"/>
      <c r="K15" s="413"/>
      <c r="L15" s="413"/>
      <c r="M15" s="413"/>
      <c r="N15" s="413"/>
      <c r="O15" s="413"/>
      <c r="P15" s="413"/>
      <c r="Q15" s="413"/>
    </row>
    <row r="16" spans="1:17" customFormat="1" ht="19.5" customHeight="1">
      <c r="A16" s="234" t="s">
        <v>546</v>
      </c>
      <c r="B16" s="236" t="s">
        <v>297</v>
      </c>
      <c r="C16" s="14">
        <f>SUM(C5:C14)-'Bank Liabilities Analysis'!S22-'Bank Liabilities Analysis'!T25-C15</f>
        <v>8078076483</v>
      </c>
      <c r="D16" s="14">
        <f>SUM(D5:D14)-'Bank Liabilities Analysis'!T22-'Bank Liabilities Analysis'!T25-D15</f>
        <v>2240317028</v>
      </c>
      <c r="E16" s="14">
        <f>SUM(E5:E14)-'Bank Liabilities Analysis'!U22-E15</f>
        <v>5837759455</v>
      </c>
      <c r="F16" s="382"/>
      <c r="G16" s="225"/>
      <c r="H16" s="209"/>
      <c r="I16" s="210"/>
      <c r="J16" s="211"/>
      <c r="K16" s="211"/>
      <c r="L16" s="212"/>
    </row>
    <row r="17" spans="1:16" ht="13.5" customHeight="1">
      <c r="A17" s="313"/>
      <c r="B17" s="314" t="s">
        <v>298</v>
      </c>
      <c r="C17" s="237"/>
      <c r="D17" s="237"/>
      <c r="E17" s="381"/>
      <c r="F17" s="382"/>
      <c r="G17" s="174"/>
      <c r="H17" s="173"/>
      <c r="I17" s="173"/>
      <c r="J17" s="149"/>
      <c r="K17" s="149"/>
      <c r="M17" s="151"/>
      <c r="N17" s="152"/>
    </row>
    <row r="18" spans="1:16" s="18" customFormat="1" ht="24.75" customHeight="1">
      <c r="A18" s="239" t="s">
        <v>73</v>
      </c>
      <c r="B18" s="240" t="s">
        <v>299</v>
      </c>
      <c r="C18" s="238">
        <f>IFERROR((+C19/C20),0)</f>
        <v>0.10943290914681444</v>
      </c>
      <c r="D18" s="238">
        <f>IFERROR((+D19/D20),0)</f>
        <v>8.3814447363423389E-2</v>
      </c>
      <c r="E18" s="238">
        <f>IFERROR((+E19/E20),0)</f>
        <v>0.12397517871575274</v>
      </c>
      <c r="F18" s="382"/>
      <c r="G18" s="174"/>
      <c r="H18" s="173"/>
      <c r="I18" s="203"/>
      <c r="J18" s="149"/>
      <c r="K18" s="150"/>
      <c r="L18" s="150"/>
      <c r="O18" s="129"/>
      <c r="P18" s="129"/>
    </row>
    <row r="19" spans="1:16" s="18" customFormat="1" ht="15" customHeight="1">
      <c r="A19" s="241" t="s">
        <v>300</v>
      </c>
      <c r="B19" s="242" t="s">
        <v>301</v>
      </c>
      <c r="C19" s="243">
        <f>+C16</f>
        <v>8078076483</v>
      </c>
      <c r="D19" s="243">
        <f>+D16</f>
        <v>2240317028</v>
      </c>
      <c r="E19" s="243">
        <f>+E16</f>
        <v>5837759455</v>
      </c>
      <c r="F19" s="382"/>
      <c r="G19" s="174"/>
      <c r="H19" s="174"/>
      <c r="I19" s="175"/>
      <c r="J19" s="149"/>
      <c r="K19" s="149"/>
      <c r="L19" s="150"/>
      <c r="O19" s="129"/>
      <c r="P19" s="129"/>
    </row>
    <row r="20" spans="1:16" s="18" customFormat="1" ht="15" customHeight="1">
      <c r="A20" s="241" t="s">
        <v>302</v>
      </c>
      <c r="B20" s="242" t="s">
        <v>547</v>
      </c>
      <c r="C20" s="243">
        <f>Balance!C47-'Bank Liabilities Analysis'!S34</f>
        <v>73817616163</v>
      </c>
      <c r="D20" s="243">
        <f>Balance!D47-'Bank Liabilities Analysis'!T34</f>
        <v>26729485172</v>
      </c>
      <c r="E20" s="243">
        <f>Balance!E47-'Bank Liabilities Analysis'!U34</f>
        <v>47088130991</v>
      </c>
      <c r="F20" s="382"/>
      <c r="G20" s="174"/>
      <c r="H20" s="173"/>
      <c r="I20" s="175"/>
      <c r="J20" s="149"/>
      <c r="K20" s="149"/>
      <c r="L20" s="150"/>
      <c r="O20" s="129"/>
      <c r="P20" s="129"/>
    </row>
    <row r="21" spans="1:16" s="18" customFormat="1" ht="24.75" customHeight="1">
      <c r="A21" s="239" t="s">
        <v>303</v>
      </c>
      <c r="B21" s="240" t="s">
        <v>304</v>
      </c>
      <c r="C21" s="238">
        <f>IFERROR((+C22/C23),0)</f>
        <v>0.24125414165747799</v>
      </c>
      <c r="D21" s="238">
        <f>IFERROR((+D22/D23),0)</f>
        <v>0.19271715366878389</v>
      </c>
      <c r="E21" s="238">
        <f>IFERROR((+E22/E23),0)</f>
        <v>0.26706699100869141</v>
      </c>
      <c r="F21" s="382"/>
      <c r="G21" s="174"/>
      <c r="H21" s="173"/>
      <c r="I21" s="203"/>
      <c r="J21" s="149"/>
      <c r="K21" s="150"/>
      <c r="L21" s="150"/>
      <c r="O21" s="129"/>
      <c r="P21" s="129"/>
    </row>
    <row r="22" spans="1:16" s="18" customFormat="1" ht="15" customHeight="1">
      <c r="A22" s="241" t="s">
        <v>305</v>
      </c>
      <c r="B22" s="242" t="s">
        <v>301</v>
      </c>
      <c r="C22" s="243">
        <f>+C16</f>
        <v>8078076483</v>
      </c>
      <c r="D22" s="243">
        <f>+D16</f>
        <v>2240317028</v>
      </c>
      <c r="E22" s="243">
        <f>+E16</f>
        <v>5837759455</v>
      </c>
      <c r="F22" s="382"/>
      <c r="G22" s="174"/>
      <c r="H22" s="174"/>
      <c r="I22" s="175"/>
      <c r="J22" s="149"/>
      <c r="K22" s="149"/>
      <c r="L22" s="150"/>
      <c r="O22" s="129"/>
      <c r="P22" s="129"/>
    </row>
    <row r="23" spans="1:16" s="18" customFormat="1" ht="15" customHeight="1">
      <c r="A23" s="241" t="s">
        <v>306</v>
      </c>
      <c r="B23" s="242" t="s">
        <v>548</v>
      </c>
      <c r="C23" s="243">
        <f>+'Bank Liabilities Analysis'!C40+'Bank Liabilities Analysis'!E40+'Bank Liabilities Analysis'!G40+'Bank Liabilities Analysis'!I40+'Bank Liabilities Analysis'!K40+'Bank Liabilities Analysis'!M40-'Bank Liabilities Analysis'!C34-'Bank Liabilities Analysis'!E34-'Bank Liabilities Analysis'!G34-'Bank Liabilities Analysis'!I34-'Bank Liabilities Analysis'!K34-'Bank Liabilities Analysis'!M34</f>
        <v>33483680021</v>
      </c>
      <c r="D23" s="243">
        <f>+C23-E23</f>
        <v>11624896826</v>
      </c>
      <c r="E23" s="243">
        <f>+'Bank Liabilities Analysis'!D40+'Bank Liabilities Analysis'!F40+'Bank Liabilities Analysis'!H40+'Bank Liabilities Analysis'!J40+'Bank Liabilities Analysis'!L40+'Bank Liabilities Analysis'!N40-'Bank Liabilities Analysis'!D34-'Bank Liabilities Analysis'!F34-'Bank Liabilities Analysis'!H34-'Bank Liabilities Analysis'!J34-'Bank Liabilities Analysis'!L34-'Bank Liabilities Analysis'!N34</f>
        <v>21858783195</v>
      </c>
      <c r="F23" s="382"/>
      <c r="G23" s="174"/>
      <c r="H23" s="173"/>
      <c r="I23" s="175"/>
      <c r="J23" s="149"/>
      <c r="K23" s="149"/>
      <c r="L23" s="150"/>
      <c r="O23" s="129"/>
      <c r="P23" s="129"/>
    </row>
    <row r="24" spans="1:16" s="18" customFormat="1" ht="28.5" customHeight="1">
      <c r="A24" s="239" t="s">
        <v>307</v>
      </c>
      <c r="B24" s="240" t="s">
        <v>308</v>
      </c>
      <c r="C24" s="178">
        <f>IFERROR((+C25/C26),0)</f>
        <v>1.7727613514083835</v>
      </c>
      <c r="D24" s="238">
        <f>IFERROR((+D25/D26),0)</f>
        <v>1.1596058072202307</v>
      </c>
      <c r="E24" s="178">
        <f>IFERROR((+E25/E26),0)</f>
        <v>2.2240678589597969</v>
      </c>
      <c r="F24" s="382"/>
      <c r="G24" s="174"/>
      <c r="H24" s="173"/>
      <c r="I24" s="175"/>
      <c r="J24" s="149"/>
      <c r="K24" s="149"/>
      <c r="L24" s="150"/>
      <c r="O24" s="129"/>
      <c r="P24" s="129"/>
    </row>
    <row r="25" spans="1:16" s="18" customFormat="1" ht="19.5" customHeight="1">
      <c r="A25" s="241" t="s">
        <v>309</v>
      </c>
      <c r="B25" s="242" t="s">
        <v>301</v>
      </c>
      <c r="C25" s="140">
        <f>+C16</f>
        <v>8078076483</v>
      </c>
      <c r="D25" s="140">
        <f>+D16</f>
        <v>2240317028</v>
      </c>
      <c r="E25" s="140">
        <f>+E16</f>
        <v>5837759455</v>
      </c>
      <c r="F25" s="382"/>
      <c r="G25" s="226"/>
      <c r="H25" s="155"/>
      <c r="I25" s="156"/>
      <c r="J25" s="149"/>
      <c r="K25" s="149"/>
      <c r="L25" s="150"/>
      <c r="O25" s="129"/>
      <c r="P25" s="129"/>
    </row>
    <row r="26" spans="1:16" s="18" customFormat="1" ht="18.75" customHeight="1">
      <c r="A26" s="241" t="s">
        <v>310</v>
      </c>
      <c r="B26" s="242" t="s">
        <v>311</v>
      </c>
      <c r="C26" s="140">
        <f>+'Bank Assets Analysis'!X62</f>
        <v>4556776058.2000008</v>
      </c>
      <c r="D26" s="140">
        <f>+'Bank Assets Analysis (нац)'!P58</f>
        <v>1931964305.5</v>
      </c>
      <c r="E26" s="140">
        <f>+'Bank Assets Analysis'!Z62</f>
        <v>2624811752.6999998</v>
      </c>
      <c r="F26" s="382"/>
      <c r="G26" s="226"/>
      <c r="H26" s="155"/>
      <c r="I26" s="156"/>
      <c r="J26" s="149"/>
      <c r="K26" s="149"/>
      <c r="L26" s="150"/>
      <c r="O26" s="129"/>
      <c r="P26" s="129"/>
    </row>
    <row r="27" spans="1:16" s="18" customFormat="1" ht="15" customHeight="1">
      <c r="A27" s="241"/>
      <c r="B27" s="242" t="s">
        <v>312</v>
      </c>
      <c r="C27" s="140">
        <f>+'Bank Assets Analysis'!X64</f>
        <v>7678954547.2000008</v>
      </c>
      <c r="D27" s="243">
        <f>+'Bank Assets Analysis (нац)'!P60</f>
        <v>3550751739</v>
      </c>
      <c r="E27" s="140">
        <f>+'Bank Assets Analysis'!Z64</f>
        <v>4128202808.1999998</v>
      </c>
      <c r="F27" s="382"/>
      <c r="G27" s="226"/>
      <c r="H27" s="155"/>
      <c r="I27" s="156"/>
      <c r="J27" s="149"/>
      <c r="K27" s="149"/>
      <c r="L27" s="150"/>
      <c r="O27" s="129"/>
      <c r="P27" s="129"/>
    </row>
    <row r="28" spans="1:16" s="18" customFormat="1" ht="15" customHeight="1">
      <c r="A28" s="241"/>
      <c r="B28" s="242" t="s">
        <v>313</v>
      </c>
      <c r="C28" s="140">
        <f>+'Bank Assets Analysis'!X67</f>
        <v>3122178489</v>
      </c>
      <c r="D28" s="243">
        <f>+'Bank Assets Analysis (нац)'!P62</f>
        <v>1618787433.5</v>
      </c>
      <c r="E28" s="140">
        <f>+'Bank Assets Analysis'!Z67</f>
        <v>1503391055.5</v>
      </c>
      <c r="F28" s="382"/>
      <c r="G28" s="226"/>
      <c r="H28" s="155"/>
      <c r="I28" s="156"/>
      <c r="J28" s="149"/>
      <c r="K28" s="149"/>
      <c r="L28" s="150"/>
      <c r="O28" s="129"/>
      <c r="P28" s="129"/>
    </row>
    <row r="29" spans="1:16" ht="15" customHeight="1">
      <c r="A29" s="239" t="s">
        <v>314</v>
      </c>
      <c r="B29" s="244" t="s">
        <v>315</v>
      </c>
      <c r="C29" s="88">
        <f>IFERROR((C30/C35),0)</f>
        <v>1.0417986165736799</v>
      </c>
      <c r="D29" s="245">
        <f>IFERROR((D30/D35),0)</f>
        <v>1.0332123714043993</v>
      </c>
      <c r="E29" s="88">
        <f>IFERROR((E30/E35),0)</f>
        <v>1.0484544062965189</v>
      </c>
      <c r="F29" s="382"/>
      <c r="I29" s="163"/>
      <c r="J29" s="149"/>
      <c r="K29" s="149"/>
    </row>
    <row r="30" spans="1:16" ht="15" customHeight="1">
      <c r="A30" s="239" t="s">
        <v>316</v>
      </c>
      <c r="B30" s="244" t="s">
        <v>317</v>
      </c>
      <c r="C30" s="83">
        <f>SUM(C31:C34)</f>
        <v>50624082258.800003</v>
      </c>
      <c r="D30" s="153">
        <f>SUM(D31:D34)</f>
        <v>18788838499.299999</v>
      </c>
      <c r="E30" s="83">
        <f>SUM(E31:E34)</f>
        <v>31835243759.5</v>
      </c>
      <c r="F30" s="382"/>
      <c r="I30" s="163"/>
      <c r="J30" s="149"/>
      <c r="K30" s="149"/>
    </row>
    <row r="31" spans="1:16" ht="15" customHeight="1">
      <c r="A31" s="241" t="s">
        <v>318</v>
      </c>
      <c r="B31" s="249" t="s">
        <v>319</v>
      </c>
      <c r="C31" s="84">
        <f>Balance!C77</f>
        <v>8728360152</v>
      </c>
      <c r="D31" s="84">
        <f>Balance!D77</f>
        <v>8728360152</v>
      </c>
      <c r="E31" s="84">
        <f>Balance!E77</f>
        <v>0</v>
      </c>
      <c r="F31" s="382"/>
      <c r="I31" s="163"/>
      <c r="J31" s="149"/>
      <c r="K31" s="149"/>
    </row>
    <row r="32" spans="1:16" ht="15" customHeight="1">
      <c r="A32" s="246" t="s">
        <v>320</v>
      </c>
      <c r="B32" s="247" t="s">
        <v>493</v>
      </c>
      <c r="C32" s="84">
        <f>'Bank Liabilities Analysis'!O40+'Bank Liabilities Analysis'!Q40</f>
        <v>31605575990</v>
      </c>
      <c r="D32" s="84">
        <f>+'Bank Liabilities Analysis (нац)'!I41+'Bank Liabilities Analysis (нац)'!J41</f>
        <v>6327967189</v>
      </c>
      <c r="E32" s="84">
        <f>'Bank Liabilities Analysis'!P40+'Bank Liabilities Analysis'!R40</f>
        <v>25277608801</v>
      </c>
      <c r="F32" s="382"/>
      <c r="I32" s="163"/>
      <c r="J32" s="149"/>
      <c r="K32" s="149"/>
    </row>
    <row r="33" spans="1:13" ht="15" customHeight="1">
      <c r="A33" s="246" t="s">
        <v>321</v>
      </c>
      <c r="B33" s="247" t="s">
        <v>322</v>
      </c>
      <c r="C33" s="84">
        <f>+('Bank Liabilities Analysis'!C40)*0.3</f>
        <v>1766008699.8</v>
      </c>
      <c r="D33" s="84">
        <f>+('Bank Liabilities Analysis (нац)'!C41)*0.3</f>
        <v>1163521887.8999999</v>
      </c>
      <c r="E33" s="84">
        <f>+('Bank Liabilities Analysis'!D40)*0.3</f>
        <v>602486811.89999998</v>
      </c>
      <c r="F33" s="382"/>
      <c r="I33" s="163"/>
      <c r="J33" s="149"/>
      <c r="K33" s="149"/>
    </row>
    <row r="34" spans="1:13" ht="15" customHeight="1">
      <c r="A34" s="246" t="s">
        <v>323</v>
      </c>
      <c r="B34" s="247" t="s">
        <v>494</v>
      </c>
      <c r="C34" s="84">
        <f>+('Bank Liabilities Analysis'!E40+'Bank Liabilities Analysis'!G40+'Bank Liabilities Analysis'!I40+'Bank Liabilities Analysis'!K40+'Bank Liabilities Analysis'!M40)*0.3</f>
        <v>8524137417</v>
      </c>
      <c r="D34" s="84">
        <f>+('Bank Liabilities Analysis (нац)'!D41+'Bank Liabilities Analysis (нац)'!E41+'Bank Liabilities Analysis (нац)'!F41+'Bank Liabilities Analysis (нац)'!G41+'Bank Liabilities Analysis (нац)'!H41)*0.3</f>
        <v>2568989270.4000001</v>
      </c>
      <c r="E34" s="84">
        <f>+('Bank Liabilities Analysis'!F40+'Bank Liabilities Analysis'!H40+'Bank Liabilities Analysis'!J40+'Bank Liabilities Analysis'!L40+'Bank Liabilities Analysis'!N40)*0.3</f>
        <v>5955148146.5999994</v>
      </c>
      <c r="F34" s="382"/>
      <c r="I34" s="163"/>
      <c r="J34" s="149"/>
      <c r="K34" s="149"/>
    </row>
    <row r="35" spans="1:13" ht="15" customHeight="1">
      <c r="A35" s="239" t="s">
        <v>324</v>
      </c>
      <c r="B35" s="244" t="s">
        <v>495</v>
      </c>
      <c r="C35" s="85">
        <f>SUM(C36:C41)</f>
        <v>48592963604.900002</v>
      </c>
      <c r="D35" s="248">
        <f>SUM(D36:D41)</f>
        <v>18184875655.099998</v>
      </c>
      <c r="E35" s="85">
        <f>SUM(E36:E41)</f>
        <v>30363975360.599998</v>
      </c>
      <c r="F35" s="382"/>
      <c r="I35" s="163"/>
      <c r="J35" s="149"/>
      <c r="K35" s="149"/>
    </row>
    <row r="36" spans="1:13" ht="15" customHeight="1">
      <c r="A36" s="241" t="s">
        <v>325</v>
      </c>
      <c r="B36" s="247" t="s">
        <v>326</v>
      </c>
      <c r="C36" s="402">
        <f>+'Bank Assets Analysis'!O44-'Bank Assets Analysis'!O36+'Bank Assets Analysis'!Q44-'Bank Assets Analysis'!Q36</f>
        <v>36406725309</v>
      </c>
      <c r="D36" s="402">
        <f>+C36-E36</f>
        <v>11780272584</v>
      </c>
      <c r="E36" s="402">
        <f>+'Bank Assets Analysis'!P44-'Bank Assets Analysis'!P39-'Bank Assets Analysis'!P36+'Bank Assets Analysis'!R44-'Bank Assets Analysis'!R39-'Bank Assets Analysis'!R36</f>
        <v>24626452725</v>
      </c>
      <c r="F36" s="382"/>
      <c r="I36" s="163"/>
      <c r="J36" s="149"/>
      <c r="K36" s="149"/>
    </row>
    <row r="37" spans="1:13" ht="15" customHeight="1">
      <c r="A37" s="246" t="s">
        <v>327</v>
      </c>
      <c r="B37" s="249" t="s">
        <v>213</v>
      </c>
      <c r="C37" s="84">
        <f>+'Bank Assets Analysis'!S36</f>
        <v>3125231142</v>
      </c>
      <c r="D37" s="84">
        <f>+'Bank Assets Analysis'!T36</f>
        <v>3125231142</v>
      </c>
      <c r="E37" s="84">
        <f>+'Bank Assets Analysis'!U36</f>
        <v>0</v>
      </c>
      <c r="F37" s="382"/>
      <c r="I37" s="163"/>
      <c r="J37" s="149"/>
      <c r="K37" s="149"/>
    </row>
    <row r="38" spans="1:13" ht="26.25" customHeight="1">
      <c r="A38" s="246" t="s">
        <v>328</v>
      </c>
      <c r="B38" s="249" t="s">
        <v>496</v>
      </c>
      <c r="C38" s="84">
        <f>+'Bank Assets Analysis'!C27+'Bank Assets Analysis'!C28+'Bank Assets Analysis'!C29+'Bank Assets Analysis'!C31</f>
        <v>813353525</v>
      </c>
      <c r="D38" s="84">
        <f>+'Bank Assets Analysis (нац)'!C27+'Bank Assets Analysis (нац)'!C28+'Bank Assets Analysis (нац)'!C29+'Bank Assets Analysis (нац)'!C31</f>
        <v>387345005</v>
      </c>
      <c r="E38" s="84">
        <f>+'Bank Assets Analysis'!D27+'Bank Assets Analysis'!D28+'Bank Assets Analysis'!D29+'Bank Assets Analysis'!D31</f>
        <v>426008520</v>
      </c>
      <c r="F38" s="382"/>
      <c r="I38" s="163"/>
      <c r="J38" s="149"/>
      <c r="K38" s="149"/>
    </row>
    <row r="39" spans="1:13" ht="26.25" customHeight="1">
      <c r="A39" s="246" t="s">
        <v>329</v>
      </c>
      <c r="B39" s="249" t="s">
        <v>330</v>
      </c>
      <c r="C39" s="250">
        <f>+D39+E39</f>
        <v>0</v>
      </c>
      <c r="D39" s="200">
        <v>0</v>
      </c>
      <c r="E39" s="251">
        <v>0</v>
      </c>
      <c r="F39" s="382"/>
      <c r="I39" s="163"/>
      <c r="J39" s="149"/>
      <c r="K39" s="149"/>
    </row>
    <row r="40" spans="1:13" ht="38.25">
      <c r="A40" s="241" t="s">
        <v>331</v>
      </c>
      <c r="B40" s="249" t="s">
        <v>332</v>
      </c>
      <c r="C40" s="84">
        <f>(+'Bank Assets Analysis'!S44-'Bank Assets Analysis'!O44-'Bank Assets Analysis'!Q44-'Liquidity Analysis'!C58)*0.3</f>
        <v>7797129909.8999996</v>
      </c>
      <c r="D40" s="84">
        <f>('Bank Assets Analysis (нац)'!K44-'Bank Assets Analysis (нац)'!I44-'Bank Assets Analysis (нац)'!J44-'Liquidity Analysis'!D58)*0.3</f>
        <v>2811051191.0999999</v>
      </c>
      <c r="E40" s="84">
        <f>('Bank Assets Analysis'!U44-'Bank Assets Analysis'!P44-'Bank Assets Analysis'!R44-'Liquidity Analysis'!E58)*0.3</f>
        <v>4941966129.5999994</v>
      </c>
      <c r="F40" s="382"/>
      <c r="H40" s="164"/>
      <c r="I40" s="163"/>
      <c r="J40" s="149"/>
      <c r="K40" s="149"/>
    </row>
    <row r="41" spans="1:13" ht="15" customHeight="1">
      <c r="A41" s="252" t="s">
        <v>333</v>
      </c>
      <c r="B41" s="315" t="s">
        <v>497</v>
      </c>
      <c r="C41" s="84">
        <f>+ROUND(SUM(Commitments!C4-Commitments!C5+Commitments!C7-Commitments!C8+Commitments!C10-'Bank Liabilities Analysis'!S18)*15%,0)</f>
        <v>450523719</v>
      </c>
      <c r="D41" s="84">
        <f>+ROUND(SUM(Commitments!D4-Commitments!D5+Commitments!D7-Commitments!D8+Commitments!D10-'Bank Liabilities Analysis'!T18)*15%,0)</f>
        <v>80975733</v>
      </c>
      <c r="E41" s="84">
        <f>+ROUND(SUM(Commitments!E4-Commitments!E5+Commitments!E7-Commitments!E8+Commitments!E10-'Bank Liabilities Analysis'!U18)*15%,0)</f>
        <v>369547986</v>
      </c>
      <c r="F41" s="382"/>
      <c r="G41" s="164"/>
      <c r="H41" s="164"/>
      <c r="I41" s="163"/>
      <c r="J41" s="149"/>
      <c r="K41" s="149"/>
    </row>
    <row r="42" spans="1:13" ht="17.25" customHeight="1">
      <c r="H42" s="164"/>
      <c r="I42" s="163"/>
      <c r="J42" s="149"/>
      <c r="K42" s="149"/>
    </row>
    <row r="43" spans="1:13" s="18" customFormat="1" ht="15" customHeight="1">
      <c r="B43" s="4" t="s">
        <v>540</v>
      </c>
      <c r="F43" s="150"/>
      <c r="G43" s="150"/>
      <c r="H43" s="150"/>
      <c r="I43" s="150"/>
      <c r="J43" s="150"/>
      <c r="K43" s="150"/>
      <c r="L43" s="150"/>
      <c r="M43" s="150"/>
    </row>
    <row r="44" spans="1:13" s="18" customFormat="1" ht="11.25" customHeight="1">
      <c r="B44" s="4"/>
      <c r="F44" s="150"/>
      <c r="G44" s="150"/>
      <c r="H44" s="150"/>
      <c r="I44" s="150"/>
      <c r="J44" s="150"/>
      <c r="K44" s="150"/>
      <c r="L44" s="150"/>
      <c r="M44" s="150"/>
    </row>
    <row r="45" spans="1:13" s="18" customFormat="1" ht="15" customHeight="1">
      <c r="B45" s="4" t="s">
        <v>539</v>
      </c>
      <c r="F45" s="150"/>
      <c r="G45" s="150"/>
      <c r="H45" s="150"/>
      <c r="I45" s="150"/>
      <c r="J45" s="150"/>
      <c r="K45" s="150"/>
      <c r="L45" s="150"/>
      <c r="M45" s="150"/>
    </row>
    <row r="46" spans="1:13">
      <c r="B46" s="4"/>
      <c r="I46" s="163"/>
      <c r="J46" s="149"/>
      <c r="K46" s="149"/>
    </row>
    <row r="47" spans="1:13">
      <c r="B47" s="4"/>
      <c r="I47" s="163"/>
      <c r="J47" s="149"/>
      <c r="K47" s="149"/>
    </row>
    <row r="48" spans="1:13">
      <c r="B48" s="4"/>
      <c r="I48" s="163"/>
      <c r="J48" s="149"/>
      <c r="K48" s="149"/>
    </row>
    <row r="49" spans="1:13" s="1" customFormat="1">
      <c r="A49" s="18"/>
      <c r="B49" s="253"/>
      <c r="C49" s="18"/>
      <c r="D49"/>
      <c r="E49" s="18"/>
      <c r="F49" s="162"/>
      <c r="G49" s="162"/>
      <c r="H49" s="162"/>
      <c r="I49" s="163"/>
      <c r="J49" s="149"/>
      <c r="K49" s="149"/>
      <c r="L49" s="150"/>
      <c r="M49" s="18"/>
    </row>
    <row r="50" spans="1:13" s="1" customFormat="1" ht="31.5">
      <c r="A50" s="92" t="s">
        <v>54</v>
      </c>
      <c r="B50" s="92" t="s">
        <v>485</v>
      </c>
      <c r="C50" s="92" t="s">
        <v>176</v>
      </c>
      <c r="D50" s="92" t="s">
        <v>177</v>
      </c>
      <c r="E50" s="92" t="s">
        <v>282</v>
      </c>
      <c r="F50" s="162"/>
      <c r="G50" s="168"/>
      <c r="H50" s="168"/>
      <c r="I50" s="166"/>
      <c r="J50" s="166"/>
      <c r="K50" s="149"/>
      <c r="L50" s="150"/>
      <c r="M50" s="18"/>
    </row>
    <row r="51" spans="1:13" s="1" customFormat="1" ht="25.5">
      <c r="A51" s="316" t="s">
        <v>118</v>
      </c>
      <c r="B51" s="317" t="s">
        <v>478</v>
      </c>
      <c r="C51" s="169">
        <f>+'Bank Assets Analysis'!S6+'Investment Securities'!B39</f>
        <v>1565390456</v>
      </c>
      <c r="D51" s="169">
        <f>+'Bank Assets Analysis'!T6+'Investment Securities'!C39</f>
        <v>494143537</v>
      </c>
      <c r="E51" s="169">
        <f>+'Bank Assets Analysis'!U6+'Investment Securities'!D39</f>
        <v>1071246919</v>
      </c>
      <c r="F51" s="162"/>
      <c r="G51" s="170"/>
      <c r="H51" s="170"/>
      <c r="I51" s="162"/>
      <c r="J51" s="162"/>
      <c r="K51" s="162"/>
      <c r="L51" s="162"/>
      <c r="M51" s="162"/>
    </row>
    <row r="52" spans="1:13" s="1" customFormat="1">
      <c r="A52" s="241" t="s">
        <v>119</v>
      </c>
      <c r="B52" s="317" t="s">
        <v>179</v>
      </c>
      <c r="C52" s="169">
        <f>+'Bank Assets Analysis'!S7+'Bank Assets Analysis'!S8</f>
        <v>2526034447</v>
      </c>
      <c r="D52" s="169">
        <f>+'Bank Assets Analysis'!T7+'Bank Assets Analysis'!T8</f>
        <v>817118237</v>
      </c>
      <c r="E52" s="169">
        <f>+'Bank Assets Analysis'!U7+'Bank Assets Analysis'!U8</f>
        <v>1708916210</v>
      </c>
      <c r="F52" s="162"/>
      <c r="G52" s="170"/>
      <c r="H52" s="170"/>
      <c r="I52" s="162"/>
      <c r="J52" s="162"/>
      <c r="K52" s="162"/>
      <c r="L52" s="162"/>
      <c r="M52" s="162"/>
    </row>
    <row r="53" spans="1:13" s="1" customFormat="1" ht="25.5">
      <c r="A53" s="241" t="s">
        <v>129</v>
      </c>
      <c r="B53" s="317" t="s">
        <v>479</v>
      </c>
      <c r="C53" s="169">
        <f>'Bank Assets Analysis'!C10+'Bank Assets Analysis'!C11+'Bank Assets Analysis'!C12+'Bank Assets Analysis'!C15+'Bank Assets Analysis'!C16+'Bank Assets Analysis'!E16+'Bank Assets Analysis'!G16</f>
        <v>2973816111</v>
      </c>
      <c r="D53" s="169">
        <f>+C53-E53</f>
        <v>35951070</v>
      </c>
      <c r="E53" s="169">
        <f>'Bank Assets Analysis'!D10+'Bank Assets Analysis'!D11+'Bank Assets Analysis'!D15+'Bank Assets Analysis'!D16+'Bank Assets Analysis'!F16+'Bank Assets Analysis'!H16</f>
        <v>2937865041</v>
      </c>
      <c r="F53" s="162"/>
      <c r="G53" s="170"/>
      <c r="H53" s="170"/>
      <c r="I53" s="162"/>
      <c r="J53" s="162"/>
      <c r="K53" s="162"/>
      <c r="L53" s="162"/>
      <c r="M53" s="162"/>
    </row>
    <row r="54" spans="1:13" s="1" customFormat="1" ht="25.5">
      <c r="A54" s="241" t="s">
        <v>131</v>
      </c>
      <c r="B54" s="317" t="s">
        <v>480</v>
      </c>
      <c r="C54" s="169">
        <f>IF(F54&gt;0,F54,0)</f>
        <v>0</v>
      </c>
      <c r="D54" s="169">
        <f>IF(G54&gt;0,G54,0)</f>
        <v>0</v>
      </c>
      <c r="E54" s="169">
        <f>IF(H54&gt;0,H54,0)</f>
        <v>147041964</v>
      </c>
      <c r="F54" s="171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-535480260</v>
      </c>
      <c r="G54" s="171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-682522224</v>
      </c>
      <c r="H54" s="171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147041964</v>
      </c>
      <c r="I54" s="162"/>
      <c r="J54" s="162"/>
      <c r="K54" s="162"/>
      <c r="L54" s="162"/>
      <c r="M54" s="162"/>
    </row>
    <row r="55" spans="1:13" s="1" customFormat="1" ht="38.25">
      <c r="A55" s="241" t="s">
        <v>120</v>
      </c>
      <c r="B55" s="317" t="s">
        <v>481</v>
      </c>
      <c r="C55" s="169">
        <f>+'Investment Securities'!B5+'Investment Securities'!B6+'Investment Securities'!B19+'Investment Securities'!B20+'Investment Securities'!B21</f>
        <v>2046792700</v>
      </c>
      <c r="D55" s="169">
        <f>+'Investment Securities'!C5+'Investment Securities'!C6+'Investment Securities'!C19+'Investment Securities'!C20+'Investment Securities'!C21</f>
        <v>1923405000</v>
      </c>
      <c r="E55" s="169">
        <f>+'Investment Securities'!D5+'Investment Securities'!D6+'Investment Securities'!D19+'Investment Securities'!D20+'Investment Securities'!D21</f>
        <v>123387700</v>
      </c>
      <c r="F55" s="162"/>
      <c r="G55" s="170"/>
      <c r="H55" s="170"/>
      <c r="I55" s="162"/>
      <c r="J55" s="162"/>
      <c r="K55" s="162"/>
      <c r="L55" s="162"/>
      <c r="M55" s="162"/>
    </row>
    <row r="56" spans="1:13" s="1" customFormat="1" ht="25.5">
      <c r="A56" s="316" t="s">
        <v>127</v>
      </c>
      <c r="B56" s="317" t="s">
        <v>482</v>
      </c>
      <c r="C56" s="200"/>
      <c r="D56" s="200"/>
      <c r="E56" s="200"/>
      <c r="F56" s="162"/>
      <c r="G56" s="170"/>
      <c r="H56" s="170"/>
      <c r="I56" s="162"/>
      <c r="J56" s="162"/>
      <c r="K56" s="162"/>
      <c r="L56" s="162"/>
      <c r="M56" s="162"/>
    </row>
    <row r="57" spans="1:13" s="1" customFormat="1">
      <c r="A57" s="316" t="s">
        <v>130</v>
      </c>
      <c r="B57" s="317" t="s">
        <v>483</v>
      </c>
      <c r="C57" s="200"/>
      <c r="D57" s="200"/>
      <c r="E57" s="200"/>
      <c r="F57" s="162"/>
      <c r="G57" s="170"/>
      <c r="H57" s="170"/>
      <c r="I57" s="162"/>
      <c r="J57" s="162"/>
      <c r="K57" s="162"/>
      <c r="L57" s="162"/>
      <c r="M57" s="162"/>
    </row>
    <row r="58" spans="1:13" s="1" customFormat="1">
      <c r="A58" s="176" t="s">
        <v>128</v>
      </c>
      <c r="B58" s="318" t="s">
        <v>484</v>
      </c>
      <c r="C58" s="153">
        <f>SUM(C51:C57)</f>
        <v>9112033714</v>
      </c>
      <c r="D58" s="153">
        <f>SUM(D51:D57)</f>
        <v>3270617844</v>
      </c>
      <c r="E58" s="153">
        <f>SUM(E51:E57)</f>
        <v>5988457834</v>
      </c>
      <c r="F58" s="162"/>
      <c r="G58" s="170"/>
      <c r="H58" s="170"/>
      <c r="I58" s="162"/>
      <c r="J58" s="162"/>
      <c r="K58" s="162"/>
      <c r="L58" s="162"/>
      <c r="M58" s="162"/>
    </row>
    <row r="59" spans="1:13" s="1" customFormat="1" ht="18.75">
      <c r="A59" s="18"/>
      <c r="B59" s="167"/>
      <c r="C59" s="168"/>
      <c r="D59" s="166"/>
      <c r="E59" s="166"/>
      <c r="F59" s="168"/>
      <c r="G59" s="168"/>
      <c r="H59" s="168"/>
      <c r="I59" s="302"/>
      <c r="J59" s="302"/>
      <c r="K59" s="149"/>
      <c r="L59" s="150"/>
      <c r="M59" s="18"/>
    </row>
    <row r="60" spans="1:13" s="1" customFormat="1">
      <c r="A60" s="18"/>
      <c r="B60" s="18"/>
      <c r="C60" s="18"/>
      <c r="D60"/>
      <c r="E60" s="18"/>
      <c r="F60" s="162"/>
      <c r="G60" s="162"/>
      <c r="H60" s="162"/>
      <c r="I60" s="303"/>
      <c r="J60" s="304"/>
      <c r="K60" s="149"/>
      <c r="L60" s="150"/>
      <c r="M60" s="18"/>
    </row>
    <row r="61" spans="1:13" s="1" customFormat="1">
      <c r="A61" s="18"/>
      <c r="B61" s="18"/>
      <c r="C61" s="18"/>
      <c r="D61"/>
      <c r="E61" s="18"/>
      <c r="F61" s="162"/>
      <c r="G61" s="162"/>
      <c r="H61" s="162"/>
      <c r="I61" s="303"/>
      <c r="J61" s="304"/>
      <c r="K61" s="149"/>
      <c r="L61" s="150"/>
      <c r="M61" s="18"/>
    </row>
    <row r="62" spans="1:13" s="1" customFormat="1">
      <c r="A62" s="18"/>
      <c r="B62" s="18"/>
      <c r="C62" s="18"/>
      <c r="D62"/>
      <c r="E62" s="18"/>
      <c r="F62" s="162"/>
      <c r="G62" s="162"/>
      <c r="H62" s="162"/>
      <c r="I62" s="163"/>
      <c r="J62" s="149"/>
      <c r="K62" s="149"/>
      <c r="L62" s="150"/>
      <c r="M62" s="18"/>
    </row>
    <row r="63" spans="1:13" s="1" customFormat="1">
      <c r="A63" s="18"/>
      <c r="B63" s="18"/>
      <c r="C63" s="18"/>
      <c r="D63"/>
      <c r="E63" s="18"/>
      <c r="F63" s="162"/>
      <c r="G63" s="162"/>
      <c r="H63" s="162"/>
      <c r="I63" s="163"/>
      <c r="J63" s="149"/>
      <c r="K63" s="149"/>
      <c r="L63" s="150"/>
      <c r="M63" s="18"/>
    </row>
    <row r="64" spans="1:13" s="1" customFormat="1">
      <c r="A64" s="18"/>
      <c r="B64" s="18"/>
      <c r="C64" s="18"/>
      <c r="D64"/>
      <c r="E64" s="18"/>
      <c r="F64" s="162"/>
      <c r="G64" s="162"/>
      <c r="H64" s="162"/>
      <c r="I64" s="163"/>
      <c r="J64" s="149"/>
      <c r="K64" s="149"/>
      <c r="L64" s="150"/>
      <c r="M64" s="18"/>
    </row>
    <row r="65" spans="9:11" s="1" customFormat="1">
      <c r="I65" s="163"/>
      <c r="J65" s="149"/>
      <c r="K65" s="149"/>
    </row>
    <row r="66" spans="9:11" s="1" customFormat="1">
      <c r="I66" s="163"/>
      <c r="J66" s="149"/>
      <c r="K66" s="149"/>
    </row>
    <row r="67" spans="9:11" s="1" customFormat="1">
      <c r="I67" s="163"/>
      <c r="J67" s="149"/>
      <c r="K67" s="149"/>
    </row>
    <row r="68" spans="9:11" s="1" customFormat="1">
      <c r="I68" s="163"/>
      <c r="J68" s="149"/>
      <c r="K68" s="149"/>
    </row>
    <row r="69" spans="9:11" s="1" customFormat="1">
      <c r="I69" s="163"/>
      <c r="J69" s="149"/>
      <c r="K69" s="149"/>
    </row>
    <row r="70" spans="9:11" s="1" customFormat="1">
      <c r="I70" s="163"/>
      <c r="J70" s="149"/>
      <c r="K70" s="149"/>
    </row>
    <row r="71" spans="9:11" s="1" customFormat="1">
      <c r="I71" s="163"/>
      <c r="J71" s="149"/>
      <c r="K71" s="149"/>
    </row>
    <row r="72" spans="9:11" s="1" customFormat="1">
      <c r="I72" s="163"/>
      <c r="J72" s="149"/>
      <c r="K72" s="149"/>
    </row>
    <row r="73" spans="9:11" s="1" customFormat="1">
      <c r="I73" s="163"/>
      <c r="J73" s="149"/>
      <c r="K73" s="149"/>
    </row>
    <row r="74" spans="9:11" s="1" customFormat="1">
      <c r="I74" s="163"/>
      <c r="J74" s="149"/>
      <c r="K74" s="149"/>
    </row>
    <row r="75" spans="9:11" s="1" customFormat="1">
      <c r="I75" s="163"/>
      <c r="J75" s="149"/>
      <c r="K75" s="149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38">
    <cfRule type="cellIs" dxfId="72" priority="7" operator="notEqual">
      <formula>$D$38+$E$38</formula>
    </cfRule>
  </conditionalFormatting>
  <conditionalFormatting sqref="C39">
    <cfRule type="cellIs" dxfId="71" priority="6" operator="notEqual">
      <formula>$D$39+$E$39</formula>
    </cfRule>
  </conditionalFormatting>
  <conditionalFormatting sqref="C19:E28">
    <cfRule type="cellIs" dxfId="70" priority="14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>
      <formula1>-1E+22</formula1>
      <formula2>1E+22</formula2>
    </dataValidation>
    <dataValidation allowBlank="1" showErrorMessage="1" prompt="Введите самостоятельно рассчитанный коэффициент" sqref="C3:E3 A50:E50"/>
    <dataValidation type="whole" operator="greaterThanOrEqual" allowBlank="1" showErrorMessage="1" error="Введите как целое число." sqref="C55:E57">
      <formula1>0</formula1>
    </dataValidation>
    <dataValidation allowBlank="1" showErrorMessage="1" sqref="C18:E41"/>
    <dataValidation type="date" operator="greaterThan" allowBlank="1" showInputMessage="1" showErrorMessage="1" prompt="Введите дату в формате ЧЧ.ММ.ГГГГ" sqref="D2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3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70"/>
  <sheetViews>
    <sheetView view="pageBreakPreview" zoomScale="80" zoomScaleNormal="68" zoomScaleSheetLayoutView="80" workbookViewId="0">
      <pane xSplit="2" ySplit="5" topLeftCell="K39" activePane="bottomRight" state="frozen"/>
      <selection activeCell="G38" sqref="G38"/>
      <selection pane="topRight" activeCell="G38" sqref="G38"/>
      <selection pane="bottomLeft" activeCell="G38" sqref="G38"/>
      <selection pane="bottomRight" activeCell="S46" sqref="S46"/>
    </sheetView>
  </sheetViews>
  <sheetFormatPr defaultRowHeight="12.75"/>
  <cols>
    <col min="1" max="1" width="6.5703125" style="182" customWidth="1"/>
    <col min="2" max="2" width="78.5703125" style="139" customWidth="1"/>
    <col min="3" max="18" width="15.85546875" style="139" customWidth="1"/>
    <col min="19" max="21" width="18.28515625" style="139" customWidth="1"/>
    <col min="22" max="22" width="9" style="142" customWidth="1"/>
    <col min="23" max="23" width="18.7109375" style="141" customWidth="1"/>
    <col min="24" max="24" width="20.42578125" style="139" customWidth="1"/>
    <col min="25" max="25" width="18.7109375" style="141" customWidth="1"/>
    <col min="26" max="26" width="18.7109375" style="139" customWidth="1"/>
    <col min="27" max="29" width="20.5703125" style="139" customWidth="1"/>
    <col min="30" max="32" width="10.85546875" style="139" customWidth="1"/>
    <col min="33" max="16384" width="9.140625" style="139"/>
  </cols>
  <sheetData>
    <row r="1" spans="1:26" s="99" customFormat="1" ht="32.25" customHeight="1">
      <c r="A1" s="96" t="s">
        <v>334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427" t="s">
        <v>335</v>
      </c>
      <c r="Y1" s="427"/>
      <c r="Z1" s="427"/>
    </row>
    <row r="2" spans="1:26" ht="15.75">
      <c r="A2" s="181"/>
      <c r="B2" s="180" t="str">
        <f>Balance!B3</f>
        <v>"Ўзсаноатқурилишбанк" АТБ</v>
      </c>
      <c r="C2" s="5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T2" s="228"/>
      <c r="V2" s="139"/>
      <c r="W2" s="138"/>
      <c r="X2" s="352">
        <f>+Balance!D3</f>
        <v>45289</v>
      </c>
      <c r="Y2" s="138"/>
      <c r="Z2" s="77" t="s">
        <v>174</v>
      </c>
    </row>
    <row r="3" spans="1:26" s="16" customFormat="1" ht="29.25" customHeight="1">
      <c r="A3" s="418" t="s">
        <v>54</v>
      </c>
      <c r="B3" s="418" t="s">
        <v>336</v>
      </c>
      <c r="C3" s="415" t="s">
        <v>337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6"/>
      <c r="S3" s="421" t="s">
        <v>176</v>
      </c>
      <c r="T3" s="423" t="s">
        <v>338</v>
      </c>
      <c r="U3" s="424"/>
      <c r="V3" s="423" t="s">
        <v>339</v>
      </c>
      <c r="W3" s="428"/>
      <c r="X3" s="428"/>
      <c r="Y3" s="428"/>
      <c r="Z3" s="428"/>
    </row>
    <row r="4" spans="1:26" s="16" customFormat="1" ht="29.25" customHeight="1">
      <c r="A4" s="419"/>
      <c r="B4" s="419"/>
      <c r="C4" s="415" t="s">
        <v>340</v>
      </c>
      <c r="D4" s="416"/>
      <c r="E4" s="415" t="s">
        <v>341</v>
      </c>
      <c r="F4" s="416"/>
      <c r="G4" s="415" t="s">
        <v>342</v>
      </c>
      <c r="H4" s="416"/>
      <c r="I4" s="415" t="s">
        <v>343</v>
      </c>
      <c r="J4" s="416"/>
      <c r="K4" s="415" t="s">
        <v>344</v>
      </c>
      <c r="L4" s="416"/>
      <c r="M4" s="415" t="s">
        <v>345</v>
      </c>
      <c r="N4" s="416"/>
      <c r="O4" s="415" t="s">
        <v>346</v>
      </c>
      <c r="P4" s="416"/>
      <c r="Q4" s="415" t="s">
        <v>347</v>
      </c>
      <c r="R4" s="416"/>
      <c r="S4" s="422"/>
      <c r="T4" s="425"/>
      <c r="U4" s="426"/>
      <c r="V4" s="425"/>
      <c r="W4" s="429"/>
      <c r="X4" s="429"/>
      <c r="Y4" s="429"/>
      <c r="Z4" s="429"/>
    </row>
    <row r="5" spans="1:26" s="16" customFormat="1" ht="110.25" customHeight="1">
      <c r="A5" s="419"/>
      <c r="B5" s="419"/>
      <c r="C5" s="254" t="s">
        <v>140</v>
      </c>
      <c r="D5" s="254" t="s">
        <v>348</v>
      </c>
      <c r="E5" s="254" t="s">
        <v>140</v>
      </c>
      <c r="F5" s="254" t="s">
        <v>348</v>
      </c>
      <c r="G5" s="254" t="s">
        <v>140</v>
      </c>
      <c r="H5" s="254" t="s">
        <v>348</v>
      </c>
      <c r="I5" s="254" t="s">
        <v>140</v>
      </c>
      <c r="J5" s="254" t="s">
        <v>348</v>
      </c>
      <c r="K5" s="254" t="s">
        <v>140</v>
      </c>
      <c r="L5" s="254" t="s">
        <v>348</v>
      </c>
      <c r="M5" s="254" t="s">
        <v>140</v>
      </c>
      <c r="N5" s="254" t="s">
        <v>348</v>
      </c>
      <c r="O5" s="254" t="s">
        <v>140</v>
      </c>
      <c r="P5" s="254" t="s">
        <v>348</v>
      </c>
      <c r="Q5" s="254" t="s">
        <v>140</v>
      </c>
      <c r="R5" s="254" t="s">
        <v>348</v>
      </c>
      <c r="S5" s="422"/>
      <c r="T5" s="254" t="s">
        <v>349</v>
      </c>
      <c r="U5" s="254" t="s">
        <v>350</v>
      </c>
      <c r="V5" s="311" t="s">
        <v>22</v>
      </c>
      <c r="W5" s="311" t="s">
        <v>351</v>
      </c>
      <c r="X5" s="311" t="s">
        <v>352</v>
      </c>
      <c r="Y5" s="311" t="s">
        <v>353</v>
      </c>
      <c r="Z5" s="311" t="s">
        <v>354</v>
      </c>
    </row>
    <row r="6" spans="1:26" s="122" customFormat="1" ht="38.25" customHeight="1">
      <c r="A6" s="359" t="s">
        <v>355</v>
      </c>
      <c r="B6" s="256" t="s">
        <v>285</v>
      </c>
      <c r="C6" s="8">
        <v>1565389581</v>
      </c>
      <c r="D6" s="8">
        <v>1071246919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17">
        <f>+C6+E6+G6+I6+K6+M6+O6+Q6</f>
        <v>1565389581</v>
      </c>
      <c r="T6" s="117">
        <f>+S6-U6</f>
        <v>494142662</v>
      </c>
      <c r="U6" s="117">
        <f>+D6+F6+H6+J6+L6+N6+P6+R6</f>
        <v>1071246919</v>
      </c>
      <c r="V6" s="118">
        <v>1</v>
      </c>
      <c r="W6" s="119">
        <f>+S6</f>
        <v>1565389581</v>
      </c>
      <c r="X6" s="120">
        <f>+W6*V6</f>
        <v>1565389581</v>
      </c>
      <c r="Y6" s="119">
        <f>+U6</f>
        <v>1071246919</v>
      </c>
      <c r="Z6" s="120">
        <f>+Y6*V6</f>
        <v>1071246919</v>
      </c>
    </row>
    <row r="7" spans="1:26" s="122" customFormat="1" ht="38.25" customHeight="1">
      <c r="A7" s="359" t="s">
        <v>356</v>
      </c>
      <c r="B7" s="256" t="s">
        <v>521</v>
      </c>
      <c r="C7" s="8">
        <v>2352337755</v>
      </c>
      <c r="D7" s="8">
        <v>1708916210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17">
        <f t="shared" ref="S7:S42" si="0">+C7+E7+G7+I7+K7+M7+O7+Q7</f>
        <v>2352337755</v>
      </c>
      <c r="T7" s="117">
        <f t="shared" ref="T7:T44" si="1">+S7-U7</f>
        <v>643421545</v>
      </c>
      <c r="U7" s="117">
        <f t="shared" ref="U7:U44" si="2">+D7+F7+H7+J7+L7+N7+P7+R7</f>
        <v>1708916210</v>
      </c>
      <c r="V7" s="118">
        <v>1</v>
      </c>
      <c r="W7" s="119">
        <f>S7</f>
        <v>2352337755</v>
      </c>
      <c r="X7" s="120">
        <f t="shared" ref="X7:X34" si="3">+W7*V7</f>
        <v>2352337755</v>
      </c>
      <c r="Y7" s="119">
        <f>+U7</f>
        <v>1708916210</v>
      </c>
      <c r="Z7" s="120">
        <f>+Y7*V7</f>
        <v>1708916210</v>
      </c>
    </row>
    <row r="8" spans="1:26" s="122" customFormat="1" ht="38.25" customHeight="1">
      <c r="A8" s="359" t="s">
        <v>73</v>
      </c>
      <c r="B8" s="256" t="s">
        <v>357</v>
      </c>
      <c r="C8" s="8">
        <v>173696692</v>
      </c>
      <c r="D8" s="8"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7">
        <f t="shared" si="0"/>
        <v>173696692</v>
      </c>
      <c r="T8" s="117">
        <f t="shared" si="1"/>
        <v>173696692</v>
      </c>
      <c r="U8" s="117">
        <f t="shared" si="2"/>
        <v>0</v>
      </c>
      <c r="V8" s="118">
        <v>0</v>
      </c>
      <c r="W8" s="119"/>
      <c r="X8" s="117"/>
      <c r="Y8" s="119"/>
      <c r="Z8" s="119"/>
    </row>
    <row r="9" spans="1:26" s="122" customFormat="1" ht="38.25" customHeight="1">
      <c r="A9" s="359" t="s">
        <v>358</v>
      </c>
      <c r="B9" s="256" t="s">
        <v>479</v>
      </c>
      <c r="C9" s="140">
        <f>SUM(C10:C16)-C13</f>
        <v>2973866111</v>
      </c>
      <c r="D9" s="140">
        <f t="shared" ref="D9:R9" si="4">SUM(D10:D16)-D13</f>
        <v>2937865041</v>
      </c>
      <c r="E9" s="140">
        <f t="shared" si="4"/>
        <v>0</v>
      </c>
      <c r="F9" s="140">
        <f t="shared" si="4"/>
        <v>0</v>
      </c>
      <c r="G9" s="140">
        <f t="shared" si="4"/>
        <v>806705760</v>
      </c>
      <c r="H9" s="140">
        <f t="shared" si="4"/>
        <v>806705760</v>
      </c>
      <c r="I9" s="140">
        <f t="shared" si="4"/>
        <v>479340299</v>
      </c>
      <c r="J9" s="140">
        <f t="shared" si="4"/>
        <v>436101370</v>
      </c>
      <c r="K9" s="140">
        <f t="shared" si="4"/>
        <v>209081737</v>
      </c>
      <c r="L9" s="140">
        <f t="shared" si="4"/>
        <v>169985735</v>
      </c>
      <c r="M9" s="140">
        <f t="shared" si="4"/>
        <v>252942180</v>
      </c>
      <c r="N9" s="140">
        <f t="shared" si="4"/>
        <v>185081550</v>
      </c>
      <c r="O9" s="140">
        <f t="shared" si="4"/>
        <v>315534641</v>
      </c>
      <c r="P9" s="140">
        <f t="shared" si="4"/>
        <v>174214904</v>
      </c>
      <c r="Q9" s="140">
        <f t="shared" si="4"/>
        <v>525488682</v>
      </c>
      <c r="R9" s="140">
        <f t="shared" si="4"/>
        <v>256027997</v>
      </c>
      <c r="S9" s="117">
        <f t="shared" si="0"/>
        <v>5562959410</v>
      </c>
      <c r="T9" s="117">
        <f t="shared" si="1"/>
        <v>596977053</v>
      </c>
      <c r="U9" s="117">
        <f t="shared" si="2"/>
        <v>4965982357</v>
      </c>
      <c r="V9" s="118"/>
      <c r="W9" s="119"/>
      <c r="X9" s="117"/>
      <c r="Y9" s="119"/>
      <c r="Z9" s="119"/>
    </row>
    <row r="10" spans="1:26" s="122" customFormat="1" ht="45" customHeight="1">
      <c r="A10" s="359" t="s">
        <v>74</v>
      </c>
      <c r="B10" s="256" t="s">
        <v>359</v>
      </c>
      <c r="C10" s="8">
        <f>2934939326-C11-C16</f>
        <v>2649976049</v>
      </c>
      <c r="D10" s="8">
        <f>2934939326-D11-D16</f>
        <v>2649976049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17">
        <f t="shared" si="0"/>
        <v>2649976049</v>
      </c>
      <c r="T10" s="117">
        <f t="shared" si="1"/>
        <v>0</v>
      </c>
      <c r="U10" s="117">
        <f t="shared" si="2"/>
        <v>2649976049</v>
      </c>
      <c r="V10" s="118">
        <v>1</v>
      </c>
      <c r="W10" s="119">
        <f>+C10</f>
        <v>2649976049</v>
      </c>
      <c r="X10" s="120">
        <f t="shared" si="3"/>
        <v>2649976049</v>
      </c>
      <c r="Y10" s="119">
        <f>+D10</f>
        <v>2649976049</v>
      </c>
      <c r="Z10" s="120">
        <f>+Y10*V10</f>
        <v>2649976049</v>
      </c>
    </row>
    <row r="11" spans="1:26" s="122" customFormat="1" ht="45" customHeight="1">
      <c r="A11" s="359" t="s">
        <v>75</v>
      </c>
      <c r="B11" s="256" t="s">
        <v>360</v>
      </c>
      <c r="C11" s="8">
        <v>284948083</v>
      </c>
      <c r="D11" s="8">
        <v>284948083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17">
        <f>+C11</f>
        <v>284948083</v>
      </c>
      <c r="T11" s="117">
        <f t="shared" ref="T11:T13" si="5">+S11-U11</f>
        <v>0</v>
      </c>
      <c r="U11" s="117">
        <f>+D11</f>
        <v>284948083</v>
      </c>
      <c r="V11" s="118">
        <v>1</v>
      </c>
      <c r="W11" s="119">
        <f>+C11</f>
        <v>284948083</v>
      </c>
      <c r="X11" s="120">
        <f t="shared" si="3"/>
        <v>284948083</v>
      </c>
      <c r="Y11" s="119">
        <f>+D11</f>
        <v>284948083</v>
      </c>
      <c r="Z11" s="120">
        <f t="shared" ref="Z11:Z34" si="6">+Y11*V11</f>
        <v>284948083</v>
      </c>
    </row>
    <row r="12" spans="1:26" s="122" customFormat="1" ht="45" customHeight="1">
      <c r="A12" s="359" t="s">
        <v>15</v>
      </c>
      <c r="B12" s="256" t="s">
        <v>361</v>
      </c>
      <c r="C12" s="140"/>
      <c r="D12" s="140"/>
      <c r="E12" s="8">
        <v>0</v>
      </c>
      <c r="F12" s="8">
        <v>0</v>
      </c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17">
        <f>+E12</f>
        <v>0</v>
      </c>
      <c r="T12" s="117">
        <f t="shared" si="5"/>
        <v>0</v>
      </c>
      <c r="U12" s="117">
        <f>+F12</f>
        <v>0</v>
      </c>
      <c r="V12" s="118">
        <v>1</v>
      </c>
      <c r="W12" s="119">
        <f>+E12-E13</f>
        <v>0</v>
      </c>
      <c r="X12" s="117">
        <f t="shared" si="3"/>
        <v>0</v>
      </c>
      <c r="Y12" s="165">
        <f>+F12-F13</f>
        <v>0</v>
      </c>
      <c r="Z12" s="117">
        <f t="shared" si="6"/>
        <v>0</v>
      </c>
    </row>
    <row r="13" spans="1:26" s="122" customFormat="1" ht="45" customHeight="1">
      <c r="A13" s="359" t="s">
        <v>165</v>
      </c>
      <c r="B13" s="256" t="s">
        <v>362</v>
      </c>
      <c r="C13" s="140"/>
      <c r="D13" s="140"/>
      <c r="E13" s="8">
        <v>0</v>
      </c>
      <c r="F13" s="8">
        <v>0</v>
      </c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17">
        <f>+E13</f>
        <v>0</v>
      </c>
      <c r="T13" s="117">
        <f t="shared" si="5"/>
        <v>0</v>
      </c>
      <c r="U13" s="117">
        <f>+F13</f>
        <v>0</v>
      </c>
      <c r="V13" s="118">
        <v>1</v>
      </c>
      <c r="W13" s="119">
        <f>+F13</f>
        <v>0</v>
      </c>
      <c r="X13" s="120">
        <f t="shared" si="3"/>
        <v>0</v>
      </c>
      <c r="Y13" s="119">
        <f>+F13</f>
        <v>0</v>
      </c>
      <c r="Z13" s="120">
        <f t="shared" si="6"/>
        <v>0</v>
      </c>
    </row>
    <row r="14" spans="1:26" s="122" customFormat="1" ht="38.25" customHeight="1">
      <c r="A14" s="359" t="s">
        <v>149</v>
      </c>
      <c r="B14" s="256" t="s">
        <v>526</v>
      </c>
      <c r="C14" s="8">
        <v>50000</v>
      </c>
      <c r="D14" s="8">
        <v>0</v>
      </c>
      <c r="E14" s="8">
        <v>0</v>
      </c>
      <c r="F14" s="8">
        <v>0</v>
      </c>
      <c r="G14" s="8">
        <v>806705760</v>
      </c>
      <c r="H14" s="8">
        <v>806705760</v>
      </c>
      <c r="I14" s="8">
        <v>479340299</v>
      </c>
      <c r="J14" s="8">
        <v>436101370</v>
      </c>
      <c r="K14" s="8">
        <v>209081737</v>
      </c>
      <c r="L14" s="8">
        <v>169985735</v>
      </c>
      <c r="M14" s="8">
        <v>252942180</v>
      </c>
      <c r="N14" s="8">
        <v>185081550</v>
      </c>
      <c r="O14" s="8">
        <v>315534641</v>
      </c>
      <c r="P14" s="8">
        <v>174214904</v>
      </c>
      <c r="Q14" s="8">
        <v>525488682</v>
      </c>
      <c r="R14" s="8">
        <v>256027997</v>
      </c>
      <c r="S14" s="117">
        <f t="shared" si="0"/>
        <v>2589143299</v>
      </c>
      <c r="T14" s="117">
        <f t="shared" si="1"/>
        <v>561025983</v>
      </c>
      <c r="U14" s="117">
        <f t="shared" si="2"/>
        <v>2028117316</v>
      </c>
      <c r="V14" s="118">
        <v>1</v>
      </c>
      <c r="W14" s="119">
        <f>+C14+E14+G14+E10+G10+E11+G11</f>
        <v>806755760</v>
      </c>
      <c r="X14" s="117">
        <f>+W14*V14</f>
        <v>806755760</v>
      </c>
      <c r="Y14" s="119">
        <f>+D14+F14+H14+F10+H10+F11+H11</f>
        <v>806705760</v>
      </c>
      <c r="Z14" s="119">
        <f t="shared" si="6"/>
        <v>806705760</v>
      </c>
    </row>
    <row r="15" spans="1:26" s="122" customFormat="1" ht="38.25" customHeight="1">
      <c r="A15" s="359" t="s">
        <v>162</v>
      </c>
      <c r="B15" s="256" t="s">
        <v>363</v>
      </c>
      <c r="C15" s="8">
        <v>38876785</v>
      </c>
      <c r="D15" s="8">
        <v>2925715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17">
        <f t="shared" si="0"/>
        <v>38876785</v>
      </c>
      <c r="T15" s="117">
        <f t="shared" si="1"/>
        <v>35951070</v>
      </c>
      <c r="U15" s="117">
        <f t="shared" si="2"/>
        <v>2925715</v>
      </c>
      <c r="V15" s="118">
        <v>1</v>
      </c>
      <c r="W15" s="119">
        <f>+C15+E15+G15</f>
        <v>38876785</v>
      </c>
      <c r="X15" s="117">
        <f t="shared" si="3"/>
        <v>38876785</v>
      </c>
      <c r="Y15" s="119">
        <f>+D15+F15+H15</f>
        <v>2925715</v>
      </c>
      <c r="Z15" s="119">
        <f t="shared" si="6"/>
        <v>2925715</v>
      </c>
    </row>
    <row r="16" spans="1:26" s="122" customFormat="1" ht="38.25" customHeight="1">
      <c r="A16" s="359" t="s">
        <v>163</v>
      </c>
      <c r="B16" s="256" t="s">
        <v>364</v>
      </c>
      <c r="C16" s="8">
        <v>15194</v>
      </c>
      <c r="D16" s="8">
        <v>15194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17">
        <f t="shared" si="0"/>
        <v>15194</v>
      </c>
      <c r="T16" s="117">
        <f t="shared" si="1"/>
        <v>0</v>
      </c>
      <c r="U16" s="117">
        <f t="shared" si="2"/>
        <v>15194</v>
      </c>
      <c r="V16" s="118">
        <v>1</v>
      </c>
      <c r="W16" s="119">
        <f>+C16+E16+G16</f>
        <v>15194</v>
      </c>
      <c r="X16" s="117">
        <f>+W16*V16</f>
        <v>15194</v>
      </c>
      <c r="Y16" s="119">
        <f>+D16+F16+H16</f>
        <v>15194</v>
      </c>
      <c r="Z16" s="119">
        <f t="shared" si="6"/>
        <v>15194</v>
      </c>
    </row>
    <row r="17" spans="1:26" s="122" customFormat="1" ht="38.25" customHeight="1">
      <c r="A17" s="359" t="s">
        <v>365</v>
      </c>
      <c r="B17" s="256" t="s">
        <v>183</v>
      </c>
      <c r="C17" s="140">
        <f>SUM(C19:C24)</f>
        <v>875</v>
      </c>
      <c r="D17" s="140">
        <f t="shared" ref="D17:R17" si="7">SUM(D19:D24)</f>
        <v>0</v>
      </c>
      <c r="E17" s="140">
        <f t="shared" si="7"/>
        <v>0</v>
      </c>
      <c r="F17" s="140">
        <f t="shared" si="7"/>
        <v>0</v>
      </c>
      <c r="G17" s="140">
        <f t="shared" si="7"/>
        <v>0</v>
      </c>
      <c r="H17" s="140">
        <f t="shared" si="7"/>
        <v>0</v>
      </c>
      <c r="I17" s="140">
        <f t="shared" si="7"/>
        <v>142672194</v>
      </c>
      <c r="J17" s="140">
        <f t="shared" si="7"/>
        <v>122672194</v>
      </c>
      <c r="K17" s="140">
        <f t="shared" si="7"/>
        <v>961548830</v>
      </c>
      <c r="L17" s="140">
        <f t="shared" si="7"/>
        <v>0</v>
      </c>
      <c r="M17" s="140">
        <f t="shared" si="7"/>
        <v>696557516</v>
      </c>
      <c r="N17" s="140">
        <f t="shared" si="7"/>
        <v>0</v>
      </c>
      <c r="O17" s="140">
        <f t="shared" si="7"/>
        <v>197102323</v>
      </c>
      <c r="P17" s="140">
        <f t="shared" si="7"/>
        <v>0</v>
      </c>
      <c r="Q17" s="140">
        <f t="shared" si="7"/>
        <v>45425240</v>
      </c>
      <c r="R17" s="140">
        <f t="shared" si="7"/>
        <v>0</v>
      </c>
      <c r="S17" s="117">
        <f t="shared" si="0"/>
        <v>2043306978</v>
      </c>
      <c r="T17" s="117">
        <f t="shared" si="1"/>
        <v>1920634784</v>
      </c>
      <c r="U17" s="117">
        <f t="shared" si="2"/>
        <v>122672194</v>
      </c>
      <c r="V17" s="118"/>
      <c r="W17" s="119"/>
      <c r="X17" s="117"/>
      <c r="Y17" s="119"/>
      <c r="Z17" s="119"/>
    </row>
    <row r="18" spans="1:26" s="122" customFormat="1" ht="38.25" customHeight="1">
      <c r="A18" s="359" t="s">
        <v>553</v>
      </c>
      <c r="B18" s="256" t="s">
        <v>552</v>
      </c>
      <c r="C18" s="140">
        <f>+'Bank Liabilities Analysis'!C34</f>
        <v>0</v>
      </c>
      <c r="D18" s="140">
        <f>+'Bank Liabilities Analysis'!D34</f>
        <v>0</v>
      </c>
      <c r="E18" s="140">
        <f>+'Bank Liabilities Analysis'!E34</f>
        <v>816807035</v>
      </c>
      <c r="F18" s="140">
        <f>+'Bank Liabilities Analysis'!F34</f>
        <v>0</v>
      </c>
      <c r="G18" s="140">
        <f>+'Bank Liabilities Analysis'!G34</f>
        <v>0</v>
      </c>
      <c r="H18" s="140">
        <f>+'Bank Liabilities Analysis'!H34</f>
        <v>0</v>
      </c>
      <c r="I18" s="140">
        <f>+'Bank Liabilities Analysis'!I34</f>
        <v>0</v>
      </c>
      <c r="J18" s="140">
        <f>+'Bank Liabilities Analysis'!J34</f>
        <v>0</v>
      </c>
      <c r="K18" s="140">
        <f>+'Bank Liabilities Analysis'!K34</f>
        <v>0</v>
      </c>
      <c r="L18" s="140">
        <f>+'Bank Liabilities Analysis'!L34</f>
        <v>0</v>
      </c>
      <c r="M18" s="140">
        <f>+'Bank Liabilities Analysis'!M34</f>
        <v>0</v>
      </c>
      <c r="N18" s="140">
        <f>+'Bank Liabilities Analysis'!N34</f>
        <v>0</v>
      </c>
      <c r="O18" s="140">
        <f>+'Bank Liabilities Analysis'!O34</f>
        <v>0</v>
      </c>
      <c r="P18" s="140">
        <f>+'Bank Liabilities Analysis'!P34</f>
        <v>0</v>
      </c>
      <c r="Q18" s="140">
        <f>+'Bank Liabilities Analysis'!Q34</f>
        <v>0</v>
      </c>
      <c r="R18" s="140">
        <f>+'Bank Liabilities Analysis'!R34</f>
        <v>0</v>
      </c>
      <c r="S18" s="117">
        <f>+C18+E18+G18+I18+K18+M18+O18+Q18</f>
        <v>816807035</v>
      </c>
      <c r="T18" s="117">
        <f>+S18-U18</f>
        <v>816807035</v>
      </c>
      <c r="U18" s="117">
        <f>+D18+F18+H18+J18+L18+N18+P18+R18</f>
        <v>0</v>
      </c>
      <c r="V18" s="118">
        <v>1</v>
      </c>
      <c r="W18" s="119">
        <f>+C18+E18+G18</f>
        <v>816807035</v>
      </c>
      <c r="X18" s="117">
        <f>+W18*V18</f>
        <v>816807035</v>
      </c>
      <c r="Y18" s="119">
        <f>+D18+F18+H18</f>
        <v>0</v>
      </c>
      <c r="Z18" s="119">
        <f>+Y18*V18</f>
        <v>0</v>
      </c>
    </row>
    <row r="19" spans="1:26" s="122" customFormat="1" ht="42.75">
      <c r="A19" s="359" t="s">
        <v>76</v>
      </c>
      <c r="B19" s="256" t="s">
        <v>366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142672194</v>
      </c>
      <c r="J19" s="8">
        <v>122672194</v>
      </c>
      <c r="K19" s="8">
        <v>961548830</v>
      </c>
      <c r="L19" s="8">
        <v>0</v>
      </c>
      <c r="M19" s="8">
        <v>696557516</v>
      </c>
      <c r="N19" s="8">
        <v>0</v>
      </c>
      <c r="O19" s="8">
        <v>197102323</v>
      </c>
      <c r="P19" s="8">
        <v>0</v>
      </c>
      <c r="Q19" s="8">
        <v>35425240</v>
      </c>
      <c r="R19" s="8">
        <v>0</v>
      </c>
      <c r="S19" s="117">
        <f>+C19+E19+G19+I19+K19+M19+O19+Q19</f>
        <v>2033306103</v>
      </c>
      <c r="T19" s="117">
        <f t="shared" si="1"/>
        <v>1910633909</v>
      </c>
      <c r="U19" s="117">
        <f t="shared" si="2"/>
        <v>122672194</v>
      </c>
      <c r="V19" s="118">
        <v>1</v>
      </c>
      <c r="W19" s="165">
        <f>+S19</f>
        <v>2033306103</v>
      </c>
      <c r="X19" s="120">
        <f t="shared" si="3"/>
        <v>2033306103</v>
      </c>
      <c r="Y19" s="165">
        <f>+U19</f>
        <v>122672194</v>
      </c>
      <c r="Z19" s="120">
        <f t="shared" si="6"/>
        <v>122672194</v>
      </c>
    </row>
    <row r="20" spans="1:26" s="122" customFormat="1" ht="38.25" customHeight="1">
      <c r="A20" s="359" t="s">
        <v>20</v>
      </c>
      <c r="B20" s="256" t="s">
        <v>367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7">
        <f t="shared" si="0"/>
        <v>0</v>
      </c>
      <c r="T20" s="117">
        <f t="shared" si="1"/>
        <v>0</v>
      </c>
      <c r="U20" s="117">
        <f t="shared" si="2"/>
        <v>0</v>
      </c>
      <c r="V20" s="118">
        <v>1</v>
      </c>
      <c r="W20" s="119">
        <f>+S20</f>
        <v>0</v>
      </c>
      <c r="X20" s="120">
        <f t="shared" si="3"/>
        <v>0</v>
      </c>
      <c r="Y20" s="119">
        <f>+U20</f>
        <v>0</v>
      </c>
      <c r="Z20" s="120">
        <f t="shared" si="6"/>
        <v>0</v>
      </c>
    </row>
    <row r="21" spans="1:26" s="122" customFormat="1" ht="61.5" customHeight="1">
      <c r="A21" s="359" t="s">
        <v>21</v>
      </c>
      <c r="B21" s="256" t="s">
        <v>368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17">
        <f t="shared" ref="S21" si="8">+C21+E21+G21+I21+K21+M21+O21+Q21</f>
        <v>0</v>
      </c>
      <c r="T21" s="117">
        <f t="shared" ref="T21" si="9">+S21-U21</f>
        <v>0</v>
      </c>
      <c r="U21" s="117">
        <f t="shared" ref="U21" si="10">+D21+F21+H21+J21+L21+N21+P21+R21</f>
        <v>0</v>
      </c>
      <c r="V21" s="118">
        <v>1</v>
      </c>
      <c r="W21" s="119">
        <f>+S21</f>
        <v>0</v>
      </c>
      <c r="X21" s="120">
        <f t="shared" si="3"/>
        <v>0</v>
      </c>
      <c r="Y21" s="119">
        <f>+U21</f>
        <v>0</v>
      </c>
      <c r="Z21" s="120">
        <f t="shared" si="6"/>
        <v>0</v>
      </c>
    </row>
    <row r="22" spans="1:26" s="122" customFormat="1" ht="45" customHeight="1">
      <c r="A22" s="359" t="s">
        <v>28</v>
      </c>
      <c r="B22" s="256" t="s">
        <v>369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17">
        <f t="shared" si="0"/>
        <v>0</v>
      </c>
      <c r="T22" s="117">
        <f t="shared" si="1"/>
        <v>0</v>
      </c>
      <c r="U22" s="117">
        <f t="shared" si="2"/>
        <v>0</v>
      </c>
      <c r="V22" s="118">
        <v>1</v>
      </c>
      <c r="W22" s="119">
        <f>+S22</f>
        <v>0</v>
      </c>
      <c r="X22" s="120">
        <f t="shared" si="3"/>
        <v>0</v>
      </c>
      <c r="Y22" s="119">
        <f>+U22</f>
        <v>0</v>
      </c>
      <c r="Z22" s="120">
        <f t="shared" si="6"/>
        <v>0</v>
      </c>
    </row>
    <row r="23" spans="1:26" s="122" customFormat="1" ht="45" customHeight="1">
      <c r="A23" s="359" t="s">
        <v>164</v>
      </c>
      <c r="B23" s="256" t="s">
        <v>292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>
        <v>10000000</v>
      </c>
      <c r="R23" s="8">
        <v>0</v>
      </c>
      <c r="S23" s="117">
        <f t="shared" ref="S23" si="11">+C23+E23+G23+I23+K23+M23+O23+Q23</f>
        <v>10000000</v>
      </c>
      <c r="T23" s="117">
        <f t="shared" ref="T23" si="12">+S23-U23</f>
        <v>10000000</v>
      </c>
      <c r="U23" s="117">
        <f t="shared" ref="U23" si="13">+D23+F23+H23+J23+L23+N23+P23+R23</f>
        <v>0</v>
      </c>
      <c r="V23" s="118">
        <v>1</v>
      </c>
      <c r="W23" s="119">
        <f>+S23</f>
        <v>10000000</v>
      </c>
      <c r="X23" s="120">
        <f t="shared" ref="X23" si="14">+W23*V23</f>
        <v>10000000</v>
      </c>
      <c r="Y23" s="119">
        <f>+U23</f>
        <v>0</v>
      </c>
      <c r="Z23" s="120">
        <f t="shared" ref="Z23" si="15">+Y23*V23</f>
        <v>0</v>
      </c>
    </row>
    <row r="24" spans="1:26" s="122" customFormat="1" ht="38.25" customHeight="1">
      <c r="A24" s="359" t="s">
        <v>370</v>
      </c>
      <c r="B24" s="256" t="s">
        <v>371</v>
      </c>
      <c r="C24" s="8">
        <v>875</v>
      </c>
      <c r="D24" s="8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17">
        <f t="shared" si="0"/>
        <v>875</v>
      </c>
      <c r="T24" s="117">
        <f t="shared" si="1"/>
        <v>875</v>
      </c>
      <c r="U24" s="117">
        <f t="shared" si="2"/>
        <v>0</v>
      </c>
      <c r="V24" s="118">
        <v>1</v>
      </c>
      <c r="W24" s="165">
        <f>+C24+E24+G24</f>
        <v>875</v>
      </c>
      <c r="X24" s="117">
        <f>+W24*V24</f>
        <v>875</v>
      </c>
      <c r="Y24" s="165">
        <f>+D24+F24+H24</f>
        <v>0</v>
      </c>
      <c r="Z24" s="165">
        <f>+Y24*V24</f>
        <v>0</v>
      </c>
    </row>
    <row r="25" spans="1:26" s="122" customFormat="1" ht="45" customHeight="1">
      <c r="A25" s="359" t="s">
        <v>372</v>
      </c>
      <c r="B25" s="256" t="s">
        <v>373</v>
      </c>
      <c r="C25" s="8">
        <v>81572337</v>
      </c>
      <c r="D25" s="8">
        <v>81572337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17">
        <f t="shared" si="0"/>
        <v>81572337</v>
      </c>
      <c r="T25" s="117">
        <f t="shared" si="1"/>
        <v>0</v>
      </c>
      <c r="U25" s="117">
        <f t="shared" si="2"/>
        <v>81572337</v>
      </c>
      <c r="V25" s="118">
        <v>0.5</v>
      </c>
      <c r="W25" s="119">
        <f>+E25+G25</f>
        <v>0</v>
      </c>
      <c r="X25" s="117">
        <f t="shared" si="3"/>
        <v>0</v>
      </c>
      <c r="Y25" s="119">
        <f>+F25+H25</f>
        <v>0</v>
      </c>
      <c r="Z25" s="119">
        <f t="shared" si="6"/>
        <v>0</v>
      </c>
    </row>
    <row r="26" spans="1:26" s="122" customFormat="1" ht="38.25" customHeight="1">
      <c r="A26" s="359" t="s">
        <v>374</v>
      </c>
      <c r="B26" s="256" t="s">
        <v>375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17">
        <f t="shared" si="0"/>
        <v>0</v>
      </c>
      <c r="T26" s="117">
        <f t="shared" si="1"/>
        <v>0</v>
      </c>
      <c r="U26" s="117">
        <f t="shared" si="2"/>
        <v>0</v>
      </c>
      <c r="V26" s="118">
        <v>0.5</v>
      </c>
      <c r="W26" s="119">
        <f>+E26+G26</f>
        <v>0</v>
      </c>
      <c r="X26" s="117">
        <f t="shared" si="3"/>
        <v>0</v>
      </c>
      <c r="Y26" s="119">
        <f>+F26+H26</f>
        <v>0</v>
      </c>
      <c r="Z26" s="119">
        <f t="shared" si="6"/>
        <v>0</v>
      </c>
    </row>
    <row r="27" spans="1:26" s="122" customFormat="1" ht="38.25" customHeight="1">
      <c r="A27" s="359" t="s">
        <v>376</v>
      </c>
      <c r="B27" s="256" t="s">
        <v>377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17">
        <f t="shared" si="0"/>
        <v>0</v>
      </c>
      <c r="T27" s="117">
        <f t="shared" si="1"/>
        <v>0</v>
      </c>
      <c r="U27" s="117">
        <f t="shared" si="2"/>
        <v>0</v>
      </c>
      <c r="V27" s="118">
        <v>1</v>
      </c>
      <c r="W27" s="119">
        <f>+C27+E27+G27</f>
        <v>0</v>
      </c>
      <c r="X27" s="117">
        <f t="shared" si="3"/>
        <v>0</v>
      </c>
      <c r="Y27" s="119">
        <f>+D27+F27+H27</f>
        <v>0</v>
      </c>
      <c r="Z27" s="119">
        <f t="shared" si="6"/>
        <v>0</v>
      </c>
    </row>
    <row r="28" spans="1:26" s="122" customFormat="1" ht="38.25" customHeight="1">
      <c r="A28" s="359" t="s">
        <v>378</v>
      </c>
      <c r="B28" s="256" t="s">
        <v>379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17">
        <f t="shared" si="0"/>
        <v>0</v>
      </c>
      <c r="T28" s="117">
        <f t="shared" si="1"/>
        <v>0</v>
      </c>
      <c r="U28" s="117">
        <f t="shared" si="2"/>
        <v>0</v>
      </c>
      <c r="V28" s="118">
        <v>0.5</v>
      </c>
      <c r="W28" s="119">
        <f>+E28+G28</f>
        <v>0</v>
      </c>
      <c r="X28" s="117">
        <f t="shared" si="3"/>
        <v>0</v>
      </c>
      <c r="Y28" s="119">
        <f>+F28+H28</f>
        <v>0</v>
      </c>
      <c r="Z28" s="119">
        <f t="shared" si="6"/>
        <v>0</v>
      </c>
    </row>
    <row r="29" spans="1:26" s="122" customFormat="1" ht="39" customHeight="1">
      <c r="A29" s="359" t="s">
        <v>380</v>
      </c>
      <c r="B29" s="256" t="s">
        <v>527</v>
      </c>
      <c r="C29" s="8">
        <v>729978490</v>
      </c>
      <c r="D29" s="8">
        <v>363804584</v>
      </c>
      <c r="E29" s="8">
        <v>588414426</v>
      </c>
      <c r="F29" s="8">
        <v>297804274</v>
      </c>
      <c r="G29" s="8">
        <v>1834027756</v>
      </c>
      <c r="H29" s="8">
        <v>817045961</v>
      </c>
      <c r="I29" s="8">
        <v>3526309483</v>
      </c>
      <c r="J29" s="8">
        <v>2129700124</v>
      </c>
      <c r="K29" s="8">
        <v>4572795107</v>
      </c>
      <c r="L29" s="8">
        <v>3125146392</v>
      </c>
      <c r="M29" s="8">
        <v>9925859830</v>
      </c>
      <c r="N29" s="8">
        <v>6576356844</v>
      </c>
      <c r="O29" s="8">
        <v>8710158511</v>
      </c>
      <c r="P29" s="8">
        <v>6145020272</v>
      </c>
      <c r="Q29" s="8">
        <v>26004656707</v>
      </c>
      <c r="R29" s="8">
        <v>17723012779</v>
      </c>
      <c r="S29" s="117">
        <f t="shared" si="0"/>
        <v>55892200310</v>
      </c>
      <c r="T29" s="117">
        <f t="shared" si="1"/>
        <v>18714309080</v>
      </c>
      <c r="U29" s="117">
        <f t="shared" si="2"/>
        <v>37177891230</v>
      </c>
      <c r="V29" s="118">
        <v>0.5</v>
      </c>
      <c r="W29" s="119">
        <f>+E29+G29</f>
        <v>2422442182</v>
      </c>
      <c r="X29" s="117">
        <f t="shared" si="3"/>
        <v>1211221091</v>
      </c>
      <c r="Y29" s="119">
        <f>+F29+H29</f>
        <v>1114850235</v>
      </c>
      <c r="Z29" s="119">
        <f t="shared" si="6"/>
        <v>557425117.5</v>
      </c>
    </row>
    <row r="30" spans="1:26" s="122" customFormat="1" ht="39" customHeight="1">
      <c r="A30" s="359" t="s">
        <v>203</v>
      </c>
      <c r="B30" s="256" t="s">
        <v>381</v>
      </c>
      <c r="C30" s="8">
        <v>3555869</v>
      </c>
      <c r="D30" s="8">
        <v>0</v>
      </c>
      <c r="E30" s="8">
        <v>60906069</v>
      </c>
      <c r="F30" s="8">
        <v>0</v>
      </c>
      <c r="G30" s="8">
        <v>27865818</v>
      </c>
      <c r="H30" s="8">
        <v>0</v>
      </c>
      <c r="I30" s="8">
        <v>195740632</v>
      </c>
      <c r="J30" s="8">
        <v>0</v>
      </c>
      <c r="K30" s="8">
        <v>295764899</v>
      </c>
      <c r="L30" s="8">
        <v>0</v>
      </c>
      <c r="M30" s="8">
        <v>570767523</v>
      </c>
      <c r="N30" s="8">
        <v>0</v>
      </c>
      <c r="O30" s="8">
        <v>1037718485</v>
      </c>
      <c r="P30" s="8">
        <v>0</v>
      </c>
      <c r="Q30" s="8">
        <v>5591631789</v>
      </c>
      <c r="R30" s="8">
        <v>0</v>
      </c>
      <c r="S30" s="117">
        <f t="shared" si="0"/>
        <v>7783951084</v>
      </c>
      <c r="T30" s="117">
        <f t="shared" si="1"/>
        <v>7783951084</v>
      </c>
      <c r="U30" s="117">
        <f t="shared" si="2"/>
        <v>0</v>
      </c>
      <c r="V30" s="118">
        <v>0</v>
      </c>
      <c r="W30" s="119">
        <f>+E30+G30</f>
        <v>88771887</v>
      </c>
      <c r="X30" s="117">
        <f t="shared" si="3"/>
        <v>0</v>
      </c>
      <c r="Y30" s="119">
        <f>+F30+H30</f>
        <v>0</v>
      </c>
      <c r="Z30" s="119">
        <f t="shared" si="6"/>
        <v>0</v>
      </c>
    </row>
    <row r="31" spans="1:26" s="122" customFormat="1" ht="38.25" customHeight="1">
      <c r="A31" s="359" t="s">
        <v>382</v>
      </c>
      <c r="B31" s="256" t="s">
        <v>383</v>
      </c>
      <c r="C31" s="8">
        <v>83375035</v>
      </c>
      <c r="D31" s="8">
        <v>62203936</v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17">
        <f t="shared" si="0"/>
        <v>83375035</v>
      </c>
      <c r="T31" s="117">
        <f t="shared" si="1"/>
        <v>21171099</v>
      </c>
      <c r="U31" s="117">
        <f t="shared" si="2"/>
        <v>62203936</v>
      </c>
      <c r="V31" s="118">
        <v>0</v>
      </c>
      <c r="W31" s="119">
        <f t="shared" ref="W31:W32" si="16">+E31+G31</f>
        <v>0</v>
      </c>
      <c r="X31" s="117">
        <f t="shared" ref="X31:X32" si="17">+W31*V31</f>
        <v>0</v>
      </c>
      <c r="Y31" s="119">
        <f t="shared" ref="Y31:Y33" si="18">+F31+H31</f>
        <v>0</v>
      </c>
      <c r="Z31" s="119">
        <f t="shared" ref="Z31:Z33" si="19">+Y31*V31</f>
        <v>0</v>
      </c>
    </row>
    <row r="32" spans="1:26" s="122" customFormat="1" ht="38.25" customHeight="1">
      <c r="A32" s="359">
        <v>11</v>
      </c>
      <c r="B32" s="256" t="s">
        <v>190</v>
      </c>
      <c r="C32" s="8">
        <v>406437548</v>
      </c>
      <c r="D32" s="8">
        <v>3164598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117">
        <f t="shared" si="0"/>
        <v>406437548</v>
      </c>
      <c r="T32" s="117">
        <f t="shared" si="1"/>
        <v>403272950</v>
      </c>
      <c r="U32" s="117">
        <f t="shared" si="2"/>
        <v>3164598</v>
      </c>
      <c r="V32" s="118">
        <v>0</v>
      </c>
      <c r="W32" s="119">
        <f t="shared" si="16"/>
        <v>0</v>
      </c>
      <c r="X32" s="117">
        <f t="shared" si="17"/>
        <v>0</v>
      </c>
      <c r="Y32" s="119">
        <f t="shared" si="18"/>
        <v>0</v>
      </c>
      <c r="Z32" s="119">
        <f t="shared" si="19"/>
        <v>0</v>
      </c>
    </row>
    <row r="33" spans="1:32" s="122" customFormat="1" ht="38.25" customHeight="1">
      <c r="A33" s="359" t="s">
        <v>384</v>
      </c>
      <c r="B33" s="256" t="s">
        <v>551</v>
      </c>
      <c r="C33" s="8">
        <f t="shared" ref="C33:Q33" si="20">+C34+C35</f>
        <v>0</v>
      </c>
      <c r="D33" s="8">
        <f t="shared" si="20"/>
        <v>0</v>
      </c>
      <c r="E33" s="8">
        <f t="shared" si="20"/>
        <v>0</v>
      </c>
      <c r="F33" s="8">
        <f t="shared" si="20"/>
        <v>0</v>
      </c>
      <c r="G33" s="8">
        <f t="shared" si="20"/>
        <v>0</v>
      </c>
      <c r="H33" s="8">
        <f t="shared" si="20"/>
        <v>0</v>
      </c>
      <c r="I33" s="8">
        <f t="shared" si="20"/>
        <v>0</v>
      </c>
      <c r="J33" s="8">
        <f t="shared" si="20"/>
        <v>0</v>
      </c>
      <c r="K33" s="8">
        <f t="shared" si="20"/>
        <v>0</v>
      </c>
      <c r="L33" s="8">
        <f t="shared" si="20"/>
        <v>0</v>
      </c>
      <c r="M33" s="8">
        <f t="shared" si="20"/>
        <v>0</v>
      </c>
      <c r="N33" s="8">
        <f t="shared" si="20"/>
        <v>0</v>
      </c>
      <c r="O33" s="8">
        <f t="shared" si="20"/>
        <v>0</v>
      </c>
      <c r="P33" s="8">
        <f t="shared" si="20"/>
        <v>0</v>
      </c>
      <c r="Q33" s="8">
        <f t="shared" si="20"/>
        <v>0</v>
      </c>
      <c r="R33" s="8"/>
      <c r="S33" s="117">
        <f t="shared" si="0"/>
        <v>0</v>
      </c>
      <c r="T33" s="117">
        <f t="shared" si="1"/>
        <v>0</v>
      </c>
      <c r="U33" s="117">
        <f t="shared" si="2"/>
        <v>0</v>
      </c>
      <c r="V33" s="118">
        <v>0</v>
      </c>
      <c r="W33" s="119">
        <f>+E33+G33</f>
        <v>0</v>
      </c>
      <c r="X33" s="117">
        <f>+W33*V33</f>
        <v>0</v>
      </c>
      <c r="Y33" s="119">
        <f t="shared" si="18"/>
        <v>0</v>
      </c>
      <c r="Z33" s="119">
        <f t="shared" si="19"/>
        <v>0</v>
      </c>
    </row>
    <row r="34" spans="1:32" s="122" customFormat="1" ht="45" customHeight="1">
      <c r="A34" s="359" t="s">
        <v>214</v>
      </c>
      <c r="B34" s="256" t="s">
        <v>543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17">
        <f t="shared" si="0"/>
        <v>0</v>
      </c>
      <c r="T34" s="117">
        <f t="shared" si="1"/>
        <v>0</v>
      </c>
      <c r="U34" s="117">
        <f t="shared" si="2"/>
        <v>0</v>
      </c>
      <c r="V34" s="118">
        <v>1</v>
      </c>
      <c r="W34" s="119">
        <f>+S34</f>
        <v>0</v>
      </c>
      <c r="X34" s="120">
        <f t="shared" si="3"/>
        <v>0</v>
      </c>
      <c r="Y34" s="119">
        <f>+U34</f>
        <v>0</v>
      </c>
      <c r="Z34" s="120">
        <f t="shared" si="6"/>
        <v>0</v>
      </c>
    </row>
    <row r="35" spans="1:32" s="122" customFormat="1" ht="38.25" customHeight="1">
      <c r="A35" s="359" t="s">
        <v>216</v>
      </c>
      <c r="B35" s="256" t="s">
        <v>542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17">
        <f t="shared" si="0"/>
        <v>0</v>
      </c>
      <c r="T35" s="117">
        <f t="shared" si="1"/>
        <v>0</v>
      </c>
      <c r="U35" s="117">
        <f t="shared" si="2"/>
        <v>0</v>
      </c>
      <c r="V35" s="118">
        <v>0</v>
      </c>
      <c r="W35" s="119"/>
      <c r="X35" s="117"/>
      <c r="Y35" s="119"/>
      <c r="Z35" s="119"/>
    </row>
    <row r="36" spans="1:32" s="122" customFormat="1" ht="38.25" customHeight="1">
      <c r="A36" s="359" t="s">
        <v>385</v>
      </c>
      <c r="B36" s="256" t="s">
        <v>386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>
        <v>3125231142</v>
      </c>
      <c r="R36" s="8">
        <v>0</v>
      </c>
      <c r="S36" s="117">
        <f t="shared" si="0"/>
        <v>3125231142</v>
      </c>
      <c r="T36" s="117">
        <f t="shared" si="1"/>
        <v>3125231142</v>
      </c>
      <c r="U36" s="117">
        <f t="shared" si="2"/>
        <v>0</v>
      </c>
      <c r="V36" s="118">
        <v>0</v>
      </c>
      <c r="W36" s="119"/>
      <c r="X36" s="117"/>
      <c r="Y36" s="119"/>
      <c r="Z36" s="119"/>
    </row>
    <row r="37" spans="1:32" s="122" customFormat="1" ht="38.25" customHeight="1">
      <c r="A37" s="359" t="s">
        <v>387</v>
      </c>
      <c r="B37" s="256" t="s">
        <v>213</v>
      </c>
      <c r="C37" s="8">
        <v>70914978</v>
      </c>
      <c r="D37" s="8">
        <v>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17">
        <f t="shared" si="0"/>
        <v>70914978</v>
      </c>
      <c r="T37" s="117">
        <f t="shared" si="1"/>
        <v>70914978</v>
      </c>
      <c r="U37" s="117">
        <f t="shared" si="2"/>
        <v>0</v>
      </c>
      <c r="V37" s="118">
        <v>0</v>
      </c>
      <c r="W37" s="119"/>
      <c r="X37" s="117"/>
      <c r="Y37" s="119"/>
      <c r="Z37" s="119"/>
    </row>
    <row r="38" spans="1:32" s="122" customFormat="1" ht="38.25" customHeight="1">
      <c r="A38" s="359" t="s">
        <v>226</v>
      </c>
      <c r="B38" s="256" t="s">
        <v>388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17">
        <f t="shared" si="0"/>
        <v>0</v>
      </c>
      <c r="T38" s="117">
        <f t="shared" si="1"/>
        <v>0</v>
      </c>
      <c r="U38" s="117">
        <f t="shared" si="2"/>
        <v>0</v>
      </c>
      <c r="V38" s="118">
        <v>0</v>
      </c>
      <c r="W38" s="119"/>
      <c r="X38" s="117"/>
      <c r="Y38" s="119"/>
      <c r="Z38" s="119"/>
    </row>
    <row r="39" spans="1:32" s="122" customFormat="1" ht="38.25" customHeight="1">
      <c r="A39" s="359" t="s">
        <v>229</v>
      </c>
      <c r="B39" s="256" t="s">
        <v>389</v>
      </c>
      <c r="C39" s="8"/>
      <c r="D39" s="140"/>
      <c r="E39" s="8"/>
      <c r="F39" s="140"/>
      <c r="G39" s="8"/>
      <c r="H39" s="140"/>
      <c r="I39" s="8"/>
      <c r="J39" s="140"/>
      <c r="K39" s="8"/>
      <c r="L39" s="140"/>
      <c r="M39" s="8"/>
      <c r="N39" s="140"/>
      <c r="O39" s="8"/>
      <c r="P39" s="140"/>
      <c r="Q39" s="8"/>
      <c r="R39" s="140"/>
      <c r="S39" s="117">
        <f t="shared" si="0"/>
        <v>0</v>
      </c>
      <c r="T39" s="117">
        <f t="shared" si="1"/>
        <v>0</v>
      </c>
      <c r="U39" s="117">
        <f t="shared" si="2"/>
        <v>0</v>
      </c>
      <c r="V39" s="118">
        <v>0</v>
      </c>
      <c r="W39" s="119"/>
      <c r="X39" s="117"/>
      <c r="Y39" s="119"/>
      <c r="Z39" s="119"/>
    </row>
    <row r="40" spans="1:32" s="122" customFormat="1" ht="38.25" customHeight="1">
      <c r="A40" s="359" t="s">
        <v>231</v>
      </c>
      <c r="B40" s="256" t="s">
        <v>390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17">
        <f t="shared" si="0"/>
        <v>0</v>
      </c>
      <c r="T40" s="117">
        <f t="shared" si="1"/>
        <v>0</v>
      </c>
      <c r="U40" s="117">
        <f t="shared" si="2"/>
        <v>0</v>
      </c>
      <c r="V40" s="118">
        <v>0</v>
      </c>
      <c r="W40" s="119"/>
      <c r="X40" s="117"/>
      <c r="Y40" s="119"/>
      <c r="Z40" s="119"/>
    </row>
    <row r="41" spans="1:32" s="122" customFormat="1" ht="38.25" customHeight="1">
      <c r="A41" s="359" t="s">
        <v>233</v>
      </c>
      <c r="B41" s="256" t="s">
        <v>391</v>
      </c>
      <c r="C41" s="8">
        <v>330177627</v>
      </c>
      <c r="D41" s="8">
        <v>201828438</v>
      </c>
      <c r="E41" s="8">
        <v>168957815</v>
      </c>
      <c r="F41" s="8">
        <v>66910691</v>
      </c>
      <c r="G41" s="8">
        <v>328047433</v>
      </c>
      <c r="H41" s="8">
        <v>205727847</v>
      </c>
      <c r="I41" s="8">
        <v>370299734</v>
      </c>
      <c r="J41" s="8">
        <v>244993456</v>
      </c>
      <c r="K41" s="8">
        <v>442349303</v>
      </c>
      <c r="L41" s="8">
        <v>345165185</v>
      </c>
      <c r="M41" s="8">
        <v>486829988</v>
      </c>
      <c r="N41" s="8">
        <v>346223671</v>
      </c>
      <c r="O41" s="8">
        <v>471992634</v>
      </c>
      <c r="P41" s="8">
        <v>263750779</v>
      </c>
      <c r="Q41" s="8">
        <v>136366571</v>
      </c>
      <c r="R41" s="8">
        <v>64425994</v>
      </c>
      <c r="S41" s="117">
        <f t="shared" si="0"/>
        <v>2735021105</v>
      </c>
      <c r="T41" s="117">
        <f t="shared" si="1"/>
        <v>995995044</v>
      </c>
      <c r="U41" s="117">
        <f t="shared" si="2"/>
        <v>1739026061</v>
      </c>
      <c r="V41" s="118">
        <v>0.5</v>
      </c>
      <c r="W41" s="119">
        <f>+E41+G41</f>
        <v>497005248</v>
      </c>
      <c r="X41" s="117">
        <f>+W41*V41</f>
        <v>248502624</v>
      </c>
      <c r="Y41" s="119">
        <f>+F41+H41</f>
        <v>272638538</v>
      </c>
      <c r="Z41" s="119">
        <f>+Y41*V41</f>
        <v>136319269</v>
      </c>
    </row>
    <row r="42" spans="1:32" s="122" customFormat="1" ht="38.25" customHeight="1">
      <c r="A42" s="359" t="s">
        <v>235</v>
      </c>
      <c r="B42" s="256" t="s">
        <v>392</v>
      </c>
      <c r="C42" s="8">
        <v>523070138</v>
      </c>
      <c r="D42" s="8">
        <v>144095400</v>
      </c>
      <c r="E42" s="8"/>
      <c r="F42" s="8"/>
      <c r="G42" s="8">
        <v>18910189</v>
      </c>
      <c r="H42" s="8">
        <v>11359749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117">
        <f t="shared" si="0"/>
        <v>541980327</v>
      </c>
      <c r="T42" s="117">
        <f t="shared" si="1"/>
        <v>386525178</v>
      </c>
      <c r="U42" s="117">
        <f t="shared" si="2"/>
        <v>155455149</v>
      </c>
      <c r="V42" s="118">
        <v>0</v>
      </c>
      <c r="W42" s="119"/>
      <c r="X42" s="117"/>
      <c r="Y42" s="119"/>
      <c r="Z42" s="119"/>
    </row>
    <row r="43" spans="1:32" s="122" customFormat="1" ht="38.25" customHeight="1">
      <c r="A43" s="359" t="s">
        <v>237</v>
      </c>
      <c r="B43" s="256" t="s">
        <v>554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17">
        <f t="shared" ref="S43" si="21">+C43+E43+G43+I43+K43+M43+O43+Q43</f>
        <v>0</v>
      </c>
      <c r="T43" s="117">
        <f t="shared" ref="T43" si="22">+S43-U43</f>
        <v>0</v>
      </c>
      <c r="U43" s="117">
        <f t="shared" ref="U43" si="23">+D43+F43+H43+J43+L43+N43+P43+R43</f>
        <v>0</v>
      </c>
      <c r="V43" s="118">
        <v>1</v>
      </c>
      <c r="W43" s="119">
        <f>+C43+E43+G43</f>
        <v>0</v>
      </c>
      <c r="X43" s="117">
        <f>+W43*V43</f>
        <v>0</v>
      </c>
      <c r="Y43" s="119">
        <f>+D43+F43+H43</f>
        <v>0</v>
      </c>
      <c r="Z43" s="119">
        <f>+Y43*V43</f>
        <v>0</v>
      </c>
    </row>
    <row r="44" spans="1:32" s="121" customFormat="1" ht="32.25" customHeight="1">
      <c r="A44" s="257" t="s">
        <v>239</v>
      </c>
      <c r="B44" s="258" t="s">
        <v>394</v>
      </c>
      <c r="C44" s="128">
        <f t="shared" ref="C44:R44" si="24">SUM(C6:C42)-C9-C13-C17-C18-C30-C33</f>
        <v>9290817167</v>
      </c>
      <c r="D44" s="128">
        <f t="shared" si="24"/>
        <v>6574697463</v>
      </c>
      <c r="E44" s="128">
        <f t="shared" si="24"/>
        <v>757372241</v>
      </c>
      <c r="F44" s="128">
        <f t="shared" si="24"/>
        <v>364714965</v>
      </c>
      <c r="G44" s="128">
        <f t="shared" si="24"/>
        <v>2987691138</v>
      </c>
      <c r="H44" s="128">
        <f t="shared" si="24"/>
        <v>1840839317</v>
      </c>
      <c r="I44" s="128">
        <f t="shared" si="24"/>
        <v>4518621710</v>
      </c>
      <c r="J44" s="128">
        <f t="shared" si="24"/>
        <v>2933467144</v>
      </c>
      <c r="K44" s="128">
        <f t="shared" si="24"/>
        <v>6185774977</v>
      </c>
      <c r="L44" s="128">
        <f t="shared" si="24"/>
        <v>3640297312</v>
      </c>
      <c r="M44" s="128">
        <f t="shared" si="24"/>
        <v>11362189514</v>
      </c>
      <c r="N44" s="128">
        <f t="shared" si="24"/>
        <v>7107662065</v>
      </c>
      <c r="O44" s="128">
        <f t="shared" si="24"/>
        <v>9694788109</v>
      </c>
      <c r="P44" s="128">
        <f t="shared" si="24"/>
        <v>6582985955</v>
      </c>
      <c r="Q44" s="128">
        <f t="shared" si="24"/>
        <v>29837168342</v>
      </c>
      <c r="R44" s="128">
        <f t="shared" si="24"/>
        <v>18043466770</v>
      </c>
      <c r="S44" s="128">
        <f>+C44+E44+G44+I44+K44+M44+O44+Q44</f>
        <v>74634423198</v>
      </c>
      <c r="T44" s="128">
        <f t="shared" si="1"/>
        <v>27546292207</v>
      </c>
      <c r="U44" s="128">
        <f t="shared" si="2"/>
        <v>47088130991</v>
      </c>
      <c r="V44" s="128"/>
      <c r="W44" s="128"/>
      <c r="X44" s="128">
        <f>+X12+X14+X15+X16+X18+X25+X26+X27+X28+X29+X41+X43</f>
        <v>3122178489</v>
      </c>
      <c r="Y44" s="128"/>
      <c r="Z44" s="128">
        <f>+Z12+Z14+Z15+Z16+Z18+Z25+Z26+Z27+Z28+Z29+Z41+Z43</f>
        <v>1503391055.5</v>
      </c>
      <c r="AA44" s="398">
        <f>+Balance!C47</f>
        <v>74634423198</v>
      </c>
      <c r="AB44" s="398">
        <f>+Balance!D47</f>
        <v>27546292207</v>
      </c>
      <c r="AC44" s="398">
        <f>+Balance!E47</f>
        <v>47088130991</v>
      </c>
      <c r="AD44" s="398"/>
      <c r="AE44" s="398"/>
      <c r="AF44" s="398"/>
    </row>
    <row r="45" spans="1:32" s="148" customFormat="1" ht="14.25">
      <c r="A45" s="259"/>
      <c r="B45" s="260" t="s">
        <v>395</v>
      </c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83"/>
      <c r="W45" s="144"/>
      <c r="X45" s="144"/>
      <c r="Y45" s="144"/>
      <c r="Z45" s="144"/>
      <c r="AA45" s="399">
        <f>+AA44-S44</f>
        <v>0</v>
      </c>
      <c r="AB45" s="399">
        <f>+AB44-T44</f>
        <v>0</v>
      </c>
      <c r="AC45" s="399">
        <f>+AC44-U44</f>
        <v>0</v>
      </c>
      <c r="AD45" s="400"/>
      <c r="AE45" s="400"/>
      <c r="AF45" s="400"/>
    </row>
    <row r="46" spans="1:32" s="148" customFormat="1" ht="25.5" customHeight="1">
      <c r="A46" s="255">
        <v>1</v>
      </c>
      <c r="B46" s="256" t="s">
        <v>396</v>
      </c>
      <c r="C46" s="8">
        <v>171438</v>
      </c>
      <c r="D46" s="8">
        <v>0</v>
      </c>
      <c r="E46" s="8">
        <v>3534103</v>
      </c>
      <c r="F46" s="8">
        <v>0</v>
      </c>
      <c r="G46" s="8">
        <v>74770521</v>
      </c>
      <c r="H46" s="8">
        <v>5712851</v>
      </c>
      <c r="I46" s="8">
        <v>55142644</v>
      </c>
      <c r="J46" s="8">
        <v>6875935</v>
      </c>
      <c r="K46" s="8">
        <v>21040272</v>
      </c>
      <c r="L46" s="8">
        <v>611075</v>
      </c>
      <c r="M46" s="8">
        <v>75312401</v>
      </c>
      <c r="N46" s="8">
        <v>31464684</v>
      </c>
      <c r="O46" s="8">
        <v>38193188</v>
      </c>
      <c r="P46" s="8">
        <v>14847663</v>
      </c>
      <c r="Q46" s="8">
        <v>600978624</v>
      </c>
      <c r="R46" s="8">
        <v>278263010</v>
      </c>
      <c r="S46" s="117">
        <f t="shared" ref="S46" si="25">+C46+E46+G46+I46+K46+M46+O46+Q46</f>
        <v>869143191</v>
      </c>
      <c r="T46" s="117">
        <f t="shared" ref="T46" si="26">+S46-U46</f>
        <v>531367973</v>
      </c>
      <c r="U46" s="117">
        <f t="shared" ref="U46" si="27">+D46+F46+H46+J46+L46+N46+P46+R46</f>
        <v>337775218</v>
      </c>
      <c r="V46" s="183"/>
      <c r="W46" s="144"/>
      <c r="X46" s="144"/>
      <c r="Y46" s="144"/>
      <c r="Z46" s="144"/>
      <c r="AA46" s="401">
        <f>+Commitments!C4</f>
        <v>869143191</v>
      </c>
      <c r="AB46" s="401">
        <f>+Commitments!D4</f>
        <v>531367973</v>
      </c>
      <c r="AC46" s="401">
        <f>+Commitments!E4</f>
        <v>337775218</v>
      </c>
      <c r="AD46" s="399">
        <f>+AA46-S46</f>
        <v>0</v>
      </c>
      <c r="AE46" s="399">
        <f>+AB46-T46</f>
        <v>0</v>
      </c>
      <c r="AF46" s="399">
        <f>+AC46-U46</f>
        <v>0</v>
      </c>
    </row>
    <row r="47" spans="1:32" s="148" customFormat="1" ht="31.5" customHeight="1">
      <c r="A47" s="255"/>
      <c r="B47" s="256" t="s">
        <v>397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117">
        <f t="shared" ref="S47:S51" si="28">+C47+E47+G47+I47+K47+M47+O47+Q47</f>
        <v>0</v>
      </c>
      <c r="T47" s="117">
        <f t="shared" ref="T47:T51" si="29">+S47-U47</f>
        <v>0</v>
      </c>
      <c r="U47" s="117">
        <f t="shared" ref="U47:U51" si="30">+D47+F47+H47+J47+L47+N47+P47+R47</f>
        <v>0</v>
      </c>
      <c r="V47" s="183"/>
      <c r="W47" s="144"/>
      <c r="X47" s="144"/>
      <c r="Y47" s="144"/>
      <c r="Z47" s="144"/>
      <c r="AA47" s="401">
        <f>+Commitments!C5</f>
        <v>0</v>
      </c>
      <c r="AB47" s="401">
        <f>+Commitments!D5</f>
        <v>0</v>
      </c>
      <c r="AC47" s="401">
        <f>+Commitments!E5</f>
        <v>0</v>
      </c>
      <c r="AD47" s="400"/>
      <c r="AE47" s="400"/>
      <c r="AF47" s="400"/>
    </row>
    <row r="48" spans="1:32" s="148" customFormat="1" ht="25.5" customHeight="1">
      <c r="A48" s="255">
        <v>2</v>
      </c>
      <c r="B48" s="256" t="s">
        <v>398</v>
      </c>
      <c r="C48" s="8">
        <v>0</v>
      </c>
      <c r="D48" s="8">
        <v>0</v>
      </c>
      <c r="E48" s="8">
        <v>5727307</v>
      </c>
      <c r="F48" s="8">
        <v>5727307</v>
      </c>
      <c r="G48" s="8">
        <v>7812565</v>
      </c>
      <c r="H48" s="8">
        <v>7812565</v>
      </c>
      <c r="I48" s="8">
        <v>56090499</v>
      </c>
      <c r="J48" s="8">
        <v>50726936</v>
      </c>
      <c r="K48" s="8">
        <v>378286622</v>
      </c>
      <c r="L48" s="8">
        <v>374286622</v>
      </c>
      <c r="M48" s="8">
        <v>46203284</v>
      </c>
      <c r="N48" s="8">
        <v>46203284</v>
      </c>
      <c r="O48" s="8">
        <v>43358607</v>
      </c>
      <c r="P48" s="8">
        <v>43358607</v>
      </c>
      <c r="Q48" s="8">
        <v>920224136</v>
      </c>
      <c r="R48" s="8">
        <v>920224136</v>
      </c>
      <c r="S48" s="117">
        <f t="shared" si="28"/>
        <v>1457703020</v>
      </c>
      <c r="T48" s="117">
        <f t="shared" si="29"/>
        <v>9363563</v>
      </c>
      <c r="U48" s="117">
        <f t="shared" si="30"/>
        <v>1448339457</v>
      </c>
      <c r="V48" s="183"/>
      <c r="W48" s="144"/>
      <c r="X48" s="144"/>
      <c r="Y48" s="144"/>
      <c r="Z48" s="144"/>
      <c r="AA48" s="401">
        <f>+Commitments!C7</f>
        <v>1457703020</v>
      </c>
      <c r="AB48" s="401">
        <f>+Commitments!D7</f>
        <v>9363563</v>
      </c>
      <c r="AC48" s="401">
        <f>+Commitments!E7</f>
        <v>1448339457</v>
      </c>
      <c r="AD48" s="399">
        <f>+AA48-S48</f>
        <v>0</v>
      </c>
      <c r="AE48" s="399">
        <f>+AB48-T48</f>
        <v>0</v>
      </c>
      <c r="AF48" s="399">
        <f>+AC48-U48</f>
        <v>0</v>
      </c>
    </row>
    <row r="49" spans="1:32" s="148" customFormat="1" ht="28.5">
      <c r="A49" s="255"/>
      <c r="B49" s="256" t="s">
        <v>399</v>
      </c>
      <c r="C49" s="8"/>
      <c r="D49" s="8"/>
      <c r="E49" s="8"/>
      <c r="F49" s="8"/>
      <c r="G49" s="8"/>
      <c r="H49" s="8"/>
      <c r="I49" s="8">
        <v>34693113</v>
      </c>
      <c r="J49" s="8">
        <v>34329550</v>
      </c>
      <c r="K49" s="8">
        <v>25206913</v>
      </c>
      <c r="L49" s="8">
        <v>25206913</v>
      </c>
      <c r="M49" s="8"/>
      <c r="N49" s="8"/>
      <c r="O49" s="8">
        <v>1974203</v>
      </c>
      <c r="P49" s="8">
        <v>1974203</v>
      </c>
      <c r="Q49" s="8">
        <v>124468577</v>
      </c>
      <c r="R49" s="8">
        <v>124468577</v>
      </c>
      <c r="S49" s="117">
        <f t="shared" si="28"/>
        <v>186342806</v>
      </c>
      <c r="T49" s="117">
        <f t="shared" si="29"/>
        <v>363563</v>
      </c>
      <c r="U49" s="117">
        <f t="shared" si="30"/>
        <v>185979243</v>
      </c>
      <c r="V49" s="183"/>
      <c r="W49" s="144"/>
      <c r="X49" s="144"/>
      <c r="Y49" s="144"/>
      <c r="Z49" s="144"/>
      <c r="AA49" s="401">
        <f>+Commitments!C8</f>
        <v>186342806</v>
      </c>
      <c r="AB49" s="401">
        <f>+Commitments!D8</f>
        <v>363563</v>
      </c>
      <c r="AC49" s="401">
        <f>+Commitments!E8</f>
        <v>185979243</v>
      </c>
      <c r="AD49" s="400"/>
      <c r="AE49" s="400"/>
      <c r="AF49" s="400"/>
    </row>
    <row r="50" spans="1:32" s="148" customFormat="1" ht="25.5" customHeight="1">
      <c r="A50" s="255">
        <v>3</v>
      </c>
      <c r="B50" s="256" t="s">
        <v>400</v>
      </c>
      <c r="C50" s="8">
        <v>0</v>
      </c>
      <c r="D50" s="8">
        <v>0</v>
      </c>
      <c r="E50" s="8">
        <v>0</v>
      </c>
      <c r="F50" s="8">
        <v>0</v>
      </c>
      <c r="G50" s="8">
        <v>110222852</v>
      </c>
      <c r="H50" s="8">
        <v>110222852</v>
      </c>
      <c r="I50" s="8">
        <v>1003248325</v>
      </c>
      <c r="J50" s="8">
        <v>1003248325</v>
      </c>
      <c r="K50" s="8">
        <v>418842812</v>
      </c>
      <c r="L50" s="8">
        <v>418842812</v>
      </c>
      <c r="M50" s="8">
        <v>258314981</v>
      </c>
      <c r="N50" s="8">
        <v>258314981</v>
      </c>
      <c r="O50" s="8">
        <v>239375099</v>
      </c>
      <c r="P50" s="8">
        <v>239375099</v>
      </c>
      <c r="Q50" s="8">
        <v>0</v>
      </c>
      <c r="R50" s="8">
        <v>0</v>
      </c>
      <c r="S50" s="117">
        <f t="shared" si="28"/>
        <v>2030004069</v>
      </c>
      <c r="T50" s="117">
        <f t="shared" si="29"/>
        <v>0</v>
      </c>
      <c r="U50" s="117">
        <f t="shared" si="30"/>
        <v>2030004069</v>
      </c>
      <c r="V50" s="183"/>
      <c r="W50" s="144"/>
      <c r="X50" s="144"/>
      <c r="Y50" s="144"/>
      <c r="Z50" s="144"/>
      <c r="AA50" s="401">
        <f>+Commitments!C10</f>
        <v>2030004069</v>
      </c>
      <c r="AB50" s="401">
        <f>+Commitments!D10</f>
        <v>0</v>
      </c>
      <c r="AC50" s="401">
        <f>+Commitments!E10</f>
        <v>2030004069</v>
      </c>
      <c r="AD50" s="399">
        <f>+AA50-S50</f>
        <v>0</v>
      </c>
      <c r="AE50" s="399">
        <f>+AB50-T50</f>
        <v>0</v>
      </c>
      <c r="AF50" s="399">
        <f>+AC50-U50</f>
        <v>0</v>
      </c>
    </row>
    <row r="51" spans="1:32" s="148" customFormat="1" ht="28.5">
      <c r="A51" s="255"/>
      <c r="B51" s="256" t="s">
        <v>401</v>
      </c>
      <c r="C51" s="8">
        <v>0</v>
      </c>
      <c r="D51" s="8">
        <v>0</v>
      </c>
      <c r="E51" s="8">
        <v>0</v>
      </c>
      <c r="F51" s="8">
        <v>0</v>
      </c>
      <c r="G51" s="8">
        <v>110222850</v>
      </c>
      <c r="H51" s="8">
        <v>110222850</v>
      </c>
      <c r="I51" s="8">
        <v>139730522</v>
      </c>
      <c r="J51" s="8">
        <v>139730522</v>
      </c>
      <c r="K51" s="8">
        <v>418842812</v>
      </c>
      <c r="L51" s="8">
        <v>418842812</v>
      </c>
      <c r="M51" s="8">
        <v>258314981</v>
      </c>
      <c r="N51" s="8">
        <v>258314981</v>
      </c>
      <c r="O51" s="8">
        <v>239375099</v>
      </c>
      <c r="P51" s="8">
        <v>239375099</v>
      </c>
      <c r="Q51" s="8">
        <v>0</v>
      </c>
      <c r="R51" s="8">
        <v>0</v>
      </c>
      <c r="S51" s="117">
        <f t="shared" si="28"/>
        <v>1166486264</v>
      </c>
      <c r="T51" s="117">
        <f t="shared" si="29"/>
        <v>0</v>
      </c>
      <c r="U51" s="117">
        <f t="shared" si="30"/>
        <v>1166486264</v>
      </c>
      <c r="V51" s="183"/>
      <c r="W51" s="144"/>
      <c r="X51" s="144"/>
      <c r="Y51" s="144"/>
      <c r="Z51" s="144"/>
      <c r="AA51" s="208"/>
      <c r="AB51" s="208"/>
      <c r="AC51" s="208"/>
    </row>
    <row r="52" spans="1:32" ht="29.25" customHeight="1">
      <c r="V52" s="184"/>
      <c r="W52" s="185"/>
      <c r="X52" s="186"/>
      <c r="Y52" s="185"/>
      <c r="Z52" s="186"/>
    </row>
    <row r="53" spans="1:32" s="18" customFormat="1" ht="17.25" customHeight="1">
      <c r="B53" s="344" t="s">
        <v>540</v>
      </c>
      <c r="F53" s="150"/>
      <c r="G53" s="150"/>
      <c r="H53" s="150"/>
      <c r="I53" s="150"/>
      <c r="J53" s="150"/>
      <c r="K53" s="150"/>
      <c r="L53" s="150"/>
      <c r="M53" s="150"/>
    </row>
    <row r="54" spans="1:32" s="18" customFormat="1" ht="17.25" customHeight="1">
      <c r="B54" s="344"/>
      <c r="F54" s="150"/>
      <c r="G54" s="150"/>
      <c r="H54" s="150"/>
      <c r="I54" s="150"/>
      <c r="J54" s="150"/>
      <c r="K54" s="150"/>
      <c r="L54" s="150"/>
      <c r="M54" s="150"/>
    </row>
    <row r="55" spans="1:32" s="18" customFormat="1" ht="17.25" customHeight="1">
      <c r="B55" s="344" t="s">
        <v>539</v>
      </c>
      <c r="F55" s="150"/>
      <c r="G55" s="150"/>
      <c r="H55" s="150"/>
      <c r="I55" s="150"/>
      <c r="J55" s="150"/>
      <c r="K55" s="150"/>
      <c r="L55" s="150"/>
      <c r="M55" s="150"/>
    </row>
    <row r="56" spans="1:32" ht="20.25" customHeight="1">
      <c r="B56" s="4"/>
      <c r="V56" s="189"/>
      <c r="W56" s="187"/>
      <c r="X56" s="188"/>
      <c r="Y56" s="187"/>
      <c r="Z56" s="188"/>
    </row>
    <row r="57" spans="1:32" ht="12.75" customHeight="1">
      <c r="V57" s="189"/>
      <c r="W57" s="420" t="s">
        <v>168</v>
      </c>
      <c r="X57" s="420"/>
      <c r="Y57" s="420"/>
      <c r="Z57" s="420"/>
    </row>
    <row r="58" spans="1:32" ht="14.25">
      <c r="V58" s="189"/>
      <c r="W58" s="190">
        <f>+Balance!C47</f>
        <v>74634423198</v>
      </c>
      <c r="X58" s="190">
        <f>+Balance!D47</f>
        <v>27546292207</v>
      </c>
      <c r="Y58" s="187">
        <f>+Balance!E47</f>
        <v>47088130991</v>
      </c>
      <c r="Z58" s="188"/>
    </row>
    <row r="59" spans="1:32">
      <c r="V59" s="189"/>
      <c r="W59" s="191" t="s">
        <v>56</v>
      </c>
      <c r="X59" s="191"/>
      <c r="Y59" s="192" t="s">
        <v>167</v>
      </c>
      <c r="Z59" s="193"/>
    </row>
    <row r="60" spans="1:32">
      <c r="V60" s="189"/>
      <c r="W60" s="194" t="s">
        <v>166</v>
      </c>
      <c r="X60" s="195">
        <f>+X44</f>
        <v>3122178489</v>
      </c>
      <c r="Y60" s="194" t="s">
        <v>166</v>
      </c>
      <c r="Z60" s="195">
        <f>+Z44</f>
        <v>1503391055.5</v>
      </c>
      <c r="AB60" s="392"/>
    </row>
    <row r="61" spans="1:32" ht="25.5">
      <c r="V61" s="189"/>
      <c r="W61" s="194" t="s">
        <v>18</v>
      </c>
      <c r="X61" s="195">
        <f>+X6+X7+X10+X11+X13+X19+X20+X21+X22+X23+X34-X43-X18</f>
        <v>8079150536</v>
      </c>
      <c r="Y61" s="194" t="s">
        <v>18</v>
      </c>
      <c r="Z61" s="195">
        <f>+Z6+Z7+Z10+Z11+Z13+Z19+Z20+Z21+Z22+Z23+Z34-Z43-Z18</f>
        <v>5837759455</v>
      </c>
      <c r="AB61" s="392"/>
    </row>
    <row r="62" spans="1:32" ht="25.5">
      <c r="V62" s="189"/>
      <c r="W62" s="194" t="s">
        <v>157</v>
      </c>
      <c r="X62" s="195">
        <f>+X64-X67</f>
        <v>4556776058.2000008</v>
      </c>
      <c r="Y62" s="194" t="s">
        <v>157</v>
      </c>
      <c r="Z62" s="195">
        <f>+Z64-Z67</f>
        <v>2624811752.6999998</v>
      </c>
      <c r="AB62" s="392"/>
    </row>
    <row r="63" spans="1:32">
      <c r="A63" s="139"/>
      <c r="V63" s="196"/>
      <c r="W63" s="197"/>
      <c r="X63" s="196"/>
      <c r="Y63" s="197"/>
      <c r="Z63" s="196"/>
      <c r="AB63" s="392"/>
    </row>
    <row r="64" spans="1:32">
      <c r="A64" s="139"/>
      <c r="V64" s="196"/>
      <c r="W64" s="198" t="s">
        <v>169</v>
      </c>
      <c r="X64" s="195">
        <f>+'Bank Liabilities Analysis'!W40+'Liquidity Analysis'!C41</f>
        <v>7678954547.2000008</v>
      </c>
      <c r="Y64" s="198" t="s">
        <v>158</v>
      </c>
      <c r="Z64" s="195">
        <f>+'Bank Liabilities Analysis'!X40+'Liquidity Analysis'!E41</f>
        <v>4128202808.1999998</v>
      </c>
      <c r="AB64" s="392"/>
    </row>
    <row r="65" spans="1:28" ht="25.5">
      <c r="A65" s="139"/>
      <c r="V65" s="196"/>
      <c r="W65" s="198" t="s">
        <v>170</v>
      </c>
      <c r="X65" s="195">
        <f>+'Liquidity Analysis'!C41</f>
        <v>450523719</v>
      </c>
      <c r="Y65" s="198" t="s">
        <v>170</v>
      </c>
      <c r="Z65" s="195">
        <f>+'Liquidity Analysis'!E41</f>
        <v>369547986</v>
      </c>
      <c r="AB65" s="392"/>
    </row>
    <row r="66" spans="1:28">
      <c r="A66" s="139"/>
      <c r="V66" s="196"/>
      <c r="W66" s="198"/>
      <c r="X66" s="195"/>
      <c r="Y66" s="198"/>
      <c r="Z66" s="195"/>
      <c r="AB66" s="392"/>
    </row>
    <row r="67" spans="1:28" ht="25.5">
      <c r="A67" s="139"/>
      <c r="V67" s="196"/>
      <c r="W67" s="198" t="s">
        <v>159</v>
      </c>
      <c r="X67" s="195">
        <f>IF(X60&gt;(X64*0.75),X64*0.75,X60)</f>
        <v>3122178489</v>
      </c>
      <c r="Y67" s="198" t="s">
        <v>159</v>
      </c>
      <c r="Z67" s="195">
        <f>IF(Z60&gt;(Z64*0.75),Z64*0.75,Z60)</f>
        <v>1503391055.5</v>
      </c>
      <c r="AB67" s="392"/>
    </row>
    <row r="68" spans="1:28">
      <c r="A68" s="139"/>
      <c r="V68" s="189"/>
      <c r="W68" s="187"/>
      <c r="X68" s="188"/>
      <c r="Y68" s="187"/>
      <c r="Z68" s="188"/>
    </row>
    <row r="69" spans="1:28">
      <c r="A69" s="139"/>
      <c r="V69" s="189"/>
      <c r="W69" s="187"/>
      <c r="X69" s="188"/>
      <c r="Y69" s="187"/>
      <c r="Z69" s="188"/>
    </row>
    <row r="70" spans="1:28">
      <c r="A70" s="139"/>
      <c r="V70" s="189"/>
      <c r="W70" s="187"/>
      <c r="X70" s="188"/>
      <c r="Y70" s="187"/>
      <c r="Z70" s="188"/>
    </row>
  </sheetData>
  <sheetProtection password="CACA" sheet="1" objects="1" scenarios="1"/>
  <mergeCells count="16">
    <mergeCell ref="W57:Z57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C6">
    <cfRule type="cellIs" dxfId="69" priority="131" operator="greaterThan">
      <formula>$C$6</formula>
    </cfRule>
  </conditionalFormatting>
  <conditionalFormatting sqref="D6:D8">
    <cfRule type="cellIs" dxfId="68" priority="123" operator="greaterThan">
      <formula>C6</formula>
    </cfRule>
  </conditionalFormatting>
  <conditionalFormatting sqref="D10:D11">
    <cfRule type="cellIs" dxfId="67" priority="115" operator="greaterThan">
      <formula>C10</formula>
    </cfRule>
  </conditionalFormatting>
  <conditionalFormatting sqref="D32:D38">
    <cfRule type="cellIs" dxfId="66" priority="66" operator="greaterThan">
      <formula>C32</formula>
    </cfRule>
  </conditionalFormatting>
  <conditionalFormatting sqref="D40:D41">
    <cfRule type="cellIs" dxfId="65" priority="53" operator="greaterThan">
      <formula>C40</formula>
    </cfRule>
  </conditionalFormatting>
  <conditionalFormatting sqref="F6:F38 J6:J38 L6:L38 N6:N38 P6:P38 R6:R38 H8:H38 D17:D30">
    <cfRule type="cellIs" dxfId="64" priority="15" operator="greaterThan">
      <formula>C6</formula>
    </cfRule>
  </conditionalFormatting>
  <conditionalFormatting sqref="F40:F43">
    <cfRule type="cellIs" dxfId="63" priority="9" operator="greaterThan">
      <formula>E40</formula>
    </cfRule>
  </conditionalFormatting>
  <conditionalFormatting sqref="H6">
    <cfRule type="cellIs" dxfId="62" priority="166" operator="greaterThan">
      <formula>G6</formula>
    </cfRule>
  </conditionalFormatting>
  <conditionalFormatting sqref="H40:H43 J40:J43 L40:L43 N40:N43 P40:P43 R40:R43">
    <cfRule type="cellIs" dxfId="61" priority="13" operator="greaterThan">
      <formula>G40</formula>
    </cfRule>
  </conditionalFormatting>
  <conditionalFormatting sqref="S44">
    <cfRule type="cellIs" dxfId="60" priority="341" operator="notEqual">
      <formula>$AA$44</formula>
    </cfRule>
  </conditionalFormatting>
  <conditionalFormatting sqref="S46">
    <cfRule type="cellIs" dxfId="59" priority="8" operator="notEqual">
      <formula>$AA$46</formula>
    </cfRule>
  </conditionalFormatting>
  <conditionalFormatting sqref="S46:S48">
    <cfRule type="cellIs" dxfId="58" priority="6" operator="notEqual">
      <formula>AA46</formula>
    </cfRule>
  </conditionalFormatting>
  <conditionalFormatting sqref="S49">
    <cfRule type="cellIs" dxfId="57" priority="3" operator="notEqual">
      <formula>$AA$49</formula>
    </cfRule>
  </conditionalFormatting>
  <conditionalFormatting sqref="S50:U50">
    <cfRule type="cellIs" dxfId="56" priority="17" operator="notEqual">
      <formula>AA50</formula>
    </cfRule>
  </conditionalFormatting>
  <conditionalFormatting sqref="T44">
    <cfRule type="cellIs" dxfId="55" priority="339" operator="notEqual">
      <formula>$AB$44</formula>
    </cfRule>
  </conditionalFormatting>
  <conditionalFormatting sqref="T46">
    <cfRule type="cellIs" dxfId="54" priority="7" operator="notEqual">
      <formula>$AB$46</formula>
    </cfRule>
  </conditionalFormatting>
  <conditionalFormatting sqref="T47">
    <cfRule type="cellIs" dxfId="53" priority="5" operator="notEqual">
      <formula>$AB$47</formula>
    </cfRule>
  </conditionalFormatting>
  <conditionalFormatting sqref="T49">
    <cfRule type="cellIs" dxfId="52" priority="2" operator="notEqual">
      <formula>$AB$49</formula>
    </cfRule>
  </conditionalFormatting>
  <conditionalFormatting sqref="T48:U48">
    <cfRule type="cellIs" dxfId="51" priority="19" operator="notEqual">
      <formula>AB48</formula>
    </cfRule>
  </conditionalFormatting>
  <conditionalFormatting sqref="U44">
    <cfRule type="cellIs" dxfId="50" priority="340" operator="notEqual">
      <formula>$AC$44</formula>
    </cfRule>
  </conditionalFormatting>
  <conditionalFormatting sqref="U46">
    <cfRule type="cellIs" dxfId="49" priority="21" operator="notEqual">
      <formula>AC46</formula>
    </cfRule>
  </conditionalFormatting>
  <conditionalFormatting sqref="U47">
    <cfRule type="cellIs" dxfId="48" priority="4" operator="notEqual">
      <formula>$AC$47</formula>
    </cfRule>
  </conditionalFormatting>
  <conditionalFormatting sqref="U49">
    <cfRule type="cellIs" dxfId="47" priority="1" operator="notEqual">
      <formula>$AC$49</formula>
    </cfRule>
  </conditionalFormatting>
  <dataValidations count="3">
    <dataValidation type="whole" operator="notEqual" allowBlank="1" showErrorMessage="1" error="Введите как целое число." sqref="Q36:R37 E36:P38 C45:R51 C40:R43 E39:R39 C20:D39 E20:R35 C6:R19">
      <formula1>-1E+28</formula1>
    </dataValidation>
    <dataValidation allowBlank="1" showErrorMessage="1" prompt="Введите самостоятельно рассчитанный коэффициент" sqref="C5:R5 T5:U5"/>
    <dataValidation type="date" operator="greaterThan" allowBlank="1" showInputMessage="1" showErrorMessage="1" prompt="Введите дату в формате ЧЧ.ММ.ГГГГ" sqref="X2">
      <formula1>DATE(96,1,1)</formula1>
    </dataValidation>
  </dataValidations>
  <printOptions horizontalCentered="1"/>
  <pageMargins left="0" right="0" top="0.21" bottom="0.21" header="0" footer="0"/>
  <pageSetup paperSize="9" scale="28" orientation="landscape" r:id="rId1"/>
  <headerFooter alignWithMargins="0"/>
  <ignoredErrors>
    <ignoredError sqref="A6:B6 A20:B28 A8:B13 A7 A19:B19 A14 A36:B36 A38:B42 A37 A29:A30 A31:B32 A33 A15:B15 A44:B51 A43 A17:B17 A16" numberStoredAsText="1"/>
    <ignoredError sqref="C33 D40:S40 F39:S39 D13 E10:S11 S16 S14 D20:S22 S19 E31:S31 S29:S30 D35:S35 E32:P32 S32 S38 S36 S37 S43 S41:S42 S15 D34:S34 D45:S45 D44:H44 J44:R44 S17 D33:Q33 S33 D12 G12:S12 G13:S13 D26:S28 D23:P23 S23 E24:S24 E25:S25" unlockedFormula="1"/>
    <ignoredError sqref="X19 X34:Z35 W27:Z33 X6:Z13 X20:Z23 X25:Z26 Z19 X15:Z17 X14 Z14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S63"/>
  <sheetViews>
    <sheetView view="pageBreakPreview" zoomScale="70" zoomScaleNormal="55" zoomScaleSheetLayoutView="70" workbookViewId="0">
      <pane xSplit="2" ySplit="5" topLeftCell="C39" activePane="bottomRight" state="frozen"/>
      <selection activeCell="G38" sqref="G38"/>
      <selection pane="topRight" activeCell="G38" sqref="G38"/>
      <selection pane="bottomLeft" activeCell="G38" sqref="G38"/>
      <selection pane="bottomRight" activeCell="C5" sqref="C5"/>
    </sheetView>
  </sheetViews>
  <sheetFormatPr defaultRowHeight="15"/>
  <cols>
    <col min="1" max="1" width="8.140625" style="365" customWidth="1"/>
    <col min="2" max="2" width="105.42578125" style="364" customWidth="1"/>
    <col min="3" max="10" width="20.5703125" style="364" customWidth="1"/>
    <col min="11" max="11" width="21.5703125" style="364" customWidth="1"/>
    <col min="12" max="12" width="15.5703125" style="371" customWidth="1"/>
    <col min="13" max="13" width="19.42578125" style="372" customWidth="1"/>
    <col min="14" max="14" width="23.28515625" style="364" customWidth="1"/>
    <col min="15" max="15" width="23.7109375" style="374" customWidth="1"/>
    <col min="16" max="16" width="17.5703125" style="364" customWidth="1"/>
    <col min="17" max="17" width="15.140625" style="364" customWidth="1"/>
    <col min="18" max="18" width="23.85546875" style="364" customWidth="1"/>
    <col min="19" max="19" width="15.140625" style="364" customWidth="1"/>
    <col min="20" max="16384" width="9.140625" style="364"/>
  </cols>
  <sheetData>
    <row r="2" spans="1:19" s="99" customFormat="1" ht="26.25" customHeight="1">
      <c r="A2" s="96" t="s">
        <v>541</v>
      </c>
      <c r="B2" s="97"/>
      <c r="C2" s="97"/>
      <c r="D2" s="98"/>
      <c r="E2" s="98"/>
      <c r="F2" s="98"/>
      <c r="G2" s="98"/>
      <c r="H2" s="98"/>
      <c r="I2" s="98"/>
      <c r="K2" s="375"/>
      <c r="L2" s="427" t="s">
        <v>559</v>
      </c>
      <c r="M2" s="427"/>
      <c r="N2" s="427"/>
      <c r="O2" s="385"/>
    </row>
    <row r="3" spans="1:19" ht="15.75">
      <c r="A3" s="360"/>
      <c r="B3" s="180" t="str">
        <f>Balance!B3</f>
        <v>"Ўзсаноатқурилишбанк" АТБ</v>
      </c>
      <c r="C3" s="361"/>
      <c r="D3" s="362"/>
      <c r="E3" s="362"/>
      <c r="F3" s="362"/>
      <c r="G3" s="362"/>
      <c r="H3" s="362"/>
      <c r="I3" s="362"/>
      <c r="J3" s="363"/>
      <c r="K3" s="431">
        <f>+Balance!D3</f>
        <v>45289</v>
      </c>
      <c r="L3" s="431"/>
      <c r="M3" s="362"/>
      <c r="N3" s="364" t="str">
        <f>+Balance!E3</f>
        <v>минг сўмда</v>
      </c>
    </row>
    <row r="4" spans="1:19" s="16" customFormat="1" ht="37.5" customHeight="1">
      <c r="A4" s="421" t="s">
        <v>54</v>
      </c>
      <c r="B4" s="421" t="s">
        <v>336</v>
      </c>
      <c r="C4" s="415" t="s">
        <v>337</v>
      </c>
      <c r="D4" s="417"/>
      <c r="E4" s="417"/>
      <c r="F4" s="417"/>
      <c r="G4" s="417"/>
      <c r="H4" s="417"/>
      <c r="I4" s="417"/>
      <c r="J4" s="416"/>
      <c r="K4" s="421" t="s">
        <v>176</v>
      </c>
      <c r="L4" s="415" t="s">
        <v>339</v>
      </c>
      <c r="M4" s="417"/>
      <c r="N4" s="416"/>
      <c r="O4" s="386"/>
    </row>
    <row r="5" spans="1:19" s="16" customFormat="1" ht="42.75" customHeight="1">
      <c r="A5" s="430"/>
      <c r="B5" s="430"/>
      <c r="C5" s="377" t="s">
        <v>340</v>
      </c>
      <c r="D5" s="377" t="s">
        <v>341</v>
      </c>
      <c r="E5" s="377" t="s">
        <v>342</v>
      </c>
      <c r="F5" s="377" t="s">
        <v>343</v>
      </c>
      <c r="G5" s="377" t="s">
        <v>344</v>
      </c>
      <c r="H5" s="377" t="s">
        <v>345</v>
      </c>
      <c r="I5" s="377" t="s">
        <v>346</v>
      </c>
      <c r="J5" s="377" t="s">
        <v>347</v>
      </c>
      <c r="K5" s="430"/>
      <c r="L5" s="311" t="s">
        <v>22</v>
      </c>
      <c r="M5" s="311" t="s">
        <v>402</v>
      </c>
      <c r="N5" s="311" t="s">
        <v>352</v>
      </c>
      <c r="O5" s="386"/>
    </row>
    <row r="6" spans="1:19" s="136" customFormat="1" ht="27" customHeight="1">
      <c r="A6" s="358" t="s">
        <v>355</v>
      </c>
      <c r="B6" s="277" t="s">
        <v>285</v>
      </c>
      <c r="C6" s="394">
        <f>+'Bank Assets Analysis'!C6-'Bank Assets Analysis'!D6</f>
        <v>494142662</v>
      </c>
      <c r="D6" s="394">
        <f>+'Bank Assets Analysis'!E6-'Bank Assets Analysis'!F6</f>
        <v>0</v>
      </c>
      <c r="E6" s="394">
        <f>+'Bank Assets Analysis'!G6-'Bank Assets Analysis'!H6</f>
        <v>0</v>
      </c>
      <c r="F6" s="394">
        <f>+'Bank Assets Analysis'!I6-'Bank Assets Analysis'!J6</f>
        <v>0</v>
      </c>
      <c r="G6" s="394">
        <f>+'Bank Assets Analysis'!K6-'Bank Assets Analysis'!L6</f>
        <v>0</v>
      </c>
      <c r="H6" s="394">
        <f>+'Bank Assets Analysis'!M6-'Bank Assets Analysis'!N6</f>
        <v>0</v>
      </c>
      <c r="I6" s="394">
        <f>+'Bank Assets Analysis'!O6-'Bank Assets Analysis'!P6</f>
        <v>0</v>
      </c>
      <c r="J6" s="394">
        <f>+'Bank Assets Analysis'!Q6-'Bank Assets Analysis'!R6</f>
        <v>0</v>
      </c>
      <c r="K6" s="131">
        <f t="shared" ref="K6:K42" si="0">+C6+D6+E6+F6+G6+H6+I6+J6</f>
        <v>494142662</v>
      </c>
      <c r="L6" s="132">
        <v>1</v>
      </c>
      <c r="M6" s="133">
        <f>+K6</f>
        <v>494142662</v>
      </c>
      <c r="N6" s="134">
        <f>+M6*L6</f>
        <v>494142662</v>
      </c>
      <c r="O6" s="386"/>
      <c r="P6" s="16"/>
      <c r="Q6" s="135"/>
      <c r="R6" s="135"/>
      <c r="S6" s="135"/>
    </row>
    <row r="7" spans="1:19" s="136" customFormat="1" ht="27" customHeight="1">
      <c r="A7" s="358" t="s">
        <v>356</v>
      </c>
      <c r="B7" s="277" t="s">
        <v>521</v>
      </c>
      <c r="C7" s="394">
        <f>+'Bank Assets Analysis'!C7-'Bank Assets Analysis'!D7</f>
        <v>643421545</v>
      </c>
      <c r="D7" s="394">
        <f>+'Bank Assets Analysis'!E7-'Bank Assets Analysis'!F7</f>
        <v>0</v>
      </c>
      <c r="E7" s="394">
        <f>+'Bank Assets Analysis'!G7-'Bank Assets Analysis'!H7</f>
        <v>0</v>
      </c>
      <c r="F7" s="394">
        <f>+'Bank Assets Analysis'!I7-'Bank Assets Analysis'!J7</f>
        <v>0</v>
      </c>
      <c r="G7" s="394">
        <f>+'Bank Assets Analysis'!K7-'Bank Assets Analysis'!L7</f>
        <v>0</v>
      </c>
      <c r="H7" s="394">
        <f>+'Bank Assets Analysis'!M7-'Bank Assets Analysis'!N7</f>
        <v>0</v>
      </c>
      <c r="I7" s="394">
        <f>+'Bank Assets Analysis'!O7-'Bank Assets Analysis'!P7</f>
        <v>0</v>
      </c>
      <c r="J7" s="394">
        <f>+'Bank Assets Analysis'!Q7-'Bank Assets Analysis'!R7</f>
        <v>0</v>
      </c>
      <c r="K7" s="131">
        <f t="shared" si="0"/>
        <v>643421545</v>
      </c>
      <c r="L7" s="132">
        <v>1</v>
      </c>
      <c r="M7" s="133">
        <f>+K7</f>
        <v>643421545</v>
      </c>
      <c r="N7" s="134">
        <f t="shared" ref="N7:N15" si="1">+M7*L7</f>
        <v>643421545</v>
      </c>
      <c r="O7" s="386"/>
      <c r="P7" s="16"/>
      <c r="Q7" s="135"/>
      <c r="R7" s="135"/>
      <c r="S7" s="135"/>
    </row>
    <row r="8" spans="1:19" s="136" customFormat="1" ht="27" customHeight="1">
      <c r="A8" s="358" t="s">
        <v>73</v>
      </c>
      <c r="B8" s="277" t="s">
        <v>357</v>
      </c>
      <c r="C8" s="394">
        <f>+'Bank Assets Analysis'!C8-'Bank Assets Analysis'!D8</f>
        <v>173696692</v>
      </c>
      <c r="D8" s="394">
        <f>+'Bank Assets Analysis'!E8-'Bank Assets Analysis'!F8</f>
        <v>0</v>
      </c>
      <c r="E8" s="394">
        <f>+'Bank Assets Analysis'!G8-'Bank Assets Analysis'!H8</f>
        <v>0</v>
      </c>
      <c r="F8" s="394">
        <f>+'Bank Assets Analysis'!I8-'Bank Assets Analysis'!J8</f>
        <v>0</v>
      </c>
      <c r="G8" s="394">
        <f>+'Bank Assets Analysis'!K8-'Bank Assets Analysis'!L8</f>
        <v>0</v>
      </c>
      <c r="H8" s="394">
        <f>+'Bank Assets Analysis'!M8-'Bank Assets Analysis'!N8</f>
        <v>0</v>
      </c>
      <c r="I8" s="394">
        <f>+'Bank Assets Analysis'!O8-'Bank Assets Analysis'!P8</f>
        <v>0</v>
      </c>
      <c r="J8" s="394">
        <f>+'Bank Assets Analysis'!Q8-'Bank Assets Analysis'!R8</f>
        <v>0</v>
      </c>
      <c r="K8" s="131">
        <f t="shared" si="0"/>
        <v>173696692</v>
      </c>
      <c r="L8" s="132">
        <v>0</v>
      </c>
      <c r="M8" s="133"/>
      <c r="N8" s="131">
        <f t="shared" si="1"/>
        <v>0</v>
      </c>
      <c r="O8" s="386"/>
      <c r="P8" s="16"/>
      <c r="Q8" s="135"/>
      <c r="R8" s="135"/>
      <c r="S8" s="135"/>
    </row>
    <row r="9" spans="1:19" s="136" customFormat="1" ht="27" customHeight="1">
      <c r="A9" s="358" t="s">
        <v>358</v>
      </c>
      <c r="B9" s="277" t="s">
        <v>479</v>
      </c>
      <c r="C9" s="394">
        <f>SUM(C10:C16)-C13</f>
        <v>36001070</v>
      </c>
      <c r="D9" s="394">
        <f t="shared" ref="D9:J9" si="2">SUM(D10:D16)-D13</f>
        <v>0</v>
      </c>
      <c r="E9" s="394">
        <f t="shared" si="2"/>
        <v>0</v>
      </c>
      <c r="F9" s="394">
        <f t="shared" si="2"/>
        <v>43238929</v>
      </c>
      <c r="G9" s="394">
        <f t="shared" si="2"/>
        <v>39096002</v>
      </c>
      <c r="H9" s="394">
        <f t="shared" si="2"/>
        <v>67860630</v>
      </c>
      <c r="I9" s="394">
        <f t="shared" si="2"/>
        <v>141319737</v>
      </c>
      <c r="J9" s="394">
        <f t="shared" si="2"/>
        <v>269460685</v>
      </c>
      <c r="K9" s="131">
        <f t="shared" si="0"/>
        <v>596977053</v>
      </c>
      <c r="L9" s="132"/>
      <c r="M9" s="133"/>
      <c r="N9" s="131">
        <f t="shared" si="1"/>
        <v>0</v>
      </c>
      <c r="O9" s="386"/>
      <c r="P9" s="16"/>
      <c r="Q9" s="135"/>
      <c r="R9" s="135"/>
      <c r="S9" s="135"/>
    </row>
    <row r="10" spans="1:19" s="136" customFormat="1" ht="27" customHeight="1">
      <c r="A10" s="358" t="s">
        <v>74</v>
      </c>
      <c r="B10" s="277" t="s">
        <v>359</v>
      </c>
      <c r="C10" s="394">
        <f>+'Bank Assets Analysis'!C10-'Bank Assets Analysis'!D10</f>
        <v>0</v>
      </c>
      <c r="D10" s="394">
        <f>+'Bank Assets Analysis'!E10-'Bank Assets Analysis'!F10</f>
        <v>0</v>
      </c>
      <c r="E10" s="394">
        <f>+'Bank Assets Analysis'!G10-'Bank Assets Analysis'!H10</f>
        <v>0</v>
      </c>
      <c r="F10" s="394">
        <f>+'Bank Assets Analysis'!I10-'Bank Assets Analysis'!J10</f>
        <v>0</v>
      </c>
      <c r="G10" s="394">
        <f>+'Bank Assets Analysis'!K10-'Bank Assets Analysis'!L10</f>
        <v>0</v>
      </c>
      <c r="H10" s="394">
        <f>+'Bank Assets Analysis'!M10-'Bank Assets Analysis'!N10</f>
        <v>0</v>
      </c>
      <c r="I10" s="394">
        <f>+'Bank Assets Analysis'!O10-'Bank Assets Analysis'!P10</f>
        <v>0</v>
      </c>
      <c r="J10" s="394">
        <f>+'Bank Assets Analysis'!Q10-'Bank Assets Analysis'!R10</f>
        <v>0</v>
      </c>
      <c r="K10" s="131">
        <f t="shared" si="0"/>
        <v>0</v>
      </c>
      <c r="L10" s="132">
        <v>1</v>
      </c>
      <c r="M10" s="133">
        <f>+C10</f>
        <v>0</v>
      </c>
      <c r="N10" s="134">
        <f t="shared" si="1"/>
        <v>0</v>
      </c>
      <c r="O10" s="386"/>
      <c r="P10" s="16"/>
      <c r="Q10" s="135"/>
      <c r="R10" s="135"/>
      <c r="S10" s="135"/>
    </row>
    <row r="11" spans="1:19" s="136" customFormat="1" ht="27" customHeight="1">
      <c r="A11" s="358" t="s">
        <v>75</v>
      </c>
      <c r="B11" s="277" t="s">
        <v>360</v>
      </c>
      <c r="C11" s="394">
        <f>+'Bank Assets Analysis'!C11-'Bank Assets Analysis'!D11</f>
        <v>0</v>
      </c>
      <c r="D11" s="394">
        <f>+'Bank Assets Analysis'!E11-'Bank Assets Analysis'!F11</f>
        <v>0</v>
      </c>
      <c r="E11" s="394">
        <f>+'Bank Assets Analysis'!G11-'Bank Assets Analysis'!H11</f>
        <v>0</v>
      </c>
      <c r="F11" s="394">
        <f>+'Bank Assets Analysis'!I11-'Bank Assets Analysis'!J11</f>
        <v>0</v>
      </c>
      <c r="G11" s="394">
        <f>+'Bank Assets Analysis'!K11-'Bank Assets Analysis'!L11</f>
        <v>0</v>
      </c>
      <c r="H11" s="394">
        <f>+'Bank Assets Analysis'!M11-'Bank Assets Analysis'!N11</f>
        <v>0</v>
      </c>
      <c r="I11" s="394">
        <f>+'Bank Assets Analysis'!O11-'Bank Assets Analysis'!P11</f>
        <v>0</v>
      </c>
      <c r="J11" s="394">
        <f>+'Bank Assets Analysis'!Q11-'Bank Assets Analysis'!R11</f>
        <v>0</v>
      </c>
      <c r="K11" s="131">
        <f t="shared" ref="K11:K13" si="3">+C11+D11+E11+F11+G11+H11+I11+J11</f>
        <v>0</v>
      </c>
      <c r="L11" s="132">
        <v>1</v>
      </c>
      <c r="M11" s="133">
        <f>+C11</f>
        <v>0</v>
      </c>
      <c r="N11" s="134">
        <f t="shared" si="1"/>
        <v>0</v>
      </c>
      <c r="O11" s="386"/>
      <c r="P11" s="16"/>
      <c r="Q11" s="135"/>
      <c r="R11" s="135"/>
      <c r="S11" s="135"/>
    </row>
    <row r="12" spans="1:19" s="136" customFormat="1" ht="27" customHeight="1">
      <c r="A12" s="358" t="s">
        <v>15</v>
      </c>
      <c r="B12" s="277" t="s">
        <v>361</v>
      </c>
      <c r="C12" s="394">
        <f>+'Bank Assets Analysis'!C12-'Bank Assets Analysis'!D12</f>
        <v>0</v>
      </c>
      <c r="D12" s="394">
        <f>+'Bank Assets Analysis'!E12-'Bank Assets Analysis'!F12</f>
        <v>0</v>
      </c>
      <c r="E12" s="394">
        <f>+'Bank Assets Analysis'!G12-'Bank Assets Analysis'!H12</f>
        <v>0</v>
      </c>
      <c r="F12" s="394">
        <f>+'Bank Assets Analysis'!I12-'Bank Assets Analysis'!J12</f>
        <v>0</v>
      </c>
      <c r="G12" s="394">
        <f>+'Bank Assets Analysis'!K12-'Bank Assets Analysis'!L12</f>
        <v>0</v>
      </c>
      <c r="H12" s="394">
        <f>+'Bank Assets Analysis'!M12-'Bank Assets Analysis'!N12</f>
        <v>0</v>
      </c>
      <c r="I12" s="394">
        <f>+'Bank Assets Analysis'!O12-'Bank Assets Analysis'!P12</f>
        <v>0</v>
      </c>
      <c r="J12" s="394">
        <f>+'Bank Assets Analysis'!Q12-'Bank Assets Analysis'!R12</f>
        <v>0</v>
      </c>
      <c r="K12" s="131">
        <f t="shared" si="3"/>
        <v>0</v>
      </c>
      <c r="L12" s="132">
        <v>1</v>
      </c>
      <c r="M12" s="172">
        <f>+D12-D13</f>
        <v>0</v>
      </c>
      <c r="N12" s="131">
        <f t="shared" si="1"/>
        <v>0</v>
      </c>
      <c r="O12" s="386"/>
      <c r="P12" s="16"/>
      <c r="Q12" s="135"/>
      <c r="R12" s="135"/>
      <c r="S12" s="135"/>
    </row>
    <row r="13" spans="1:19" s="136" customFormat="1" ht="33.75" customHeight="1">
      <c r="A13" s="358" t="s">
        <v>165</v>
      </c>
      <c r="B13" s="277" t="s">
        <v>362</v>
      </c>
      <c r="C13" s="394">
        <f>+'Bank Assets Analysis'!C13-'Bank Assets Analysis'!D13</f>
        <v>0</v>
      </c>
      <c r="D13" s="394">
        <f>+'Bank Assets Analysis'!E13-'Bank Assets Analysis'!F13</f>
        <v>0</v>
      </c>
      <c r="E13" s="394">
        <f>+'Bank Assets Analysis'!G13-'Bank Assets Analysis'!H13</f>
        <v>0</v>
      </c>
      <c r="F13" s="394">
        <f>+'Bank Assets Analysis'!I13-'Bank Assets Analysis'!J13</f>
        <v>0</v>
      </c>
      <c r="G13" s="394">
        <f>+'Bank Assets Analysis'!K13-'Bank Assets Analysis'!L13</f>
        <v>0</v>
      </c>
      <c r="H13" s="394">
        <f>+'Bank Assets Analysis'!M13-'Bank Assets Analysis'!N13</f>
        <v>0</v>
      </c>
      <c r="I13" s="394">
        <f>+'Bank Assets Analysis'!O13-'Bank Assets Analysis'!P13</f>
        <v>0</v>
      </c>
      <c r="J13" s="394">
        <f>+'Bank Assets Analysis'!Q13-'Bank Assets Analysis'!R13</f>
        <v>0</v>
      </c>
      <c r="K13" s="131">
        <f t="shared" si="3"/>
        <v>0</v>
      </c>
      <c r="L13" s="132">
        <v>1</v>
      </c>
      <c r="M13" s="133">
        <f>+D13</f>
        <v>0</v>
      </c>
      <c r="N13" s="131">
        <f t="shared" si="1"/>
        <v>0</v>
      </c>
      <c r="O13" s="386"/>
      <c r="P13" s="16"/>
      <c r="Q13" s="135"/>
      <c r="R13" s="135"/>
      <c r="S13" s="135"/>
    </row>
    <row r="14" spans="1:19" s="136" customFormat="1" ht="33.75" customHeight="1">
      <c r="A14" s="358" t="s">
        <v>149</v>
      </c>
      <c r="B14" s="277" t="s">
        <v>526</v>
      </c>
      <c r="C14" s="394">
        <f>+'Bank Assets Analysis'!C14-'Bank Assets Analysis'!D14</f>
        <v>50000</v>
      </c>
      <c r="D14" s="394">
        <f>+'Bank Assets Analysis'!E14-'Bank Assets Analysis'!F14</f>
        <v>0</v>
      </c>
      <c r="E14" s="394">
        <f>+'Bank Assets Analysis'!G14-'Bank Assets Analysis'!H14</f>
        <v>0</v>
      </c>
      <c r="F14" s="394">
        <f>+'Bank Assets Analysis'!I14-'Bank Assets Analysis'!J14</f>
        <v>43238929</v>
      </c>
      <c r="G14" s="394">
        <f>+'Bank Assets Analysis'!K14-'Bank Assets Analysis'!L14</f>
        <v>39096002</v>
      </c>
      <c r="H14" s="394">
        <f>+'Bank Assets Analysis'!M14-'Bank Assets Analysis'!N14</f>
        <v>67860630</v>
      </c>
      <c r="I14" s="394">
        <f>+'Bank Assets Analysis'!O14-'Bank Assets Analysis'!P14</f>
        <v>141319737</v>
      </c>
      <c r="J14" s="394">
        <f>+'Bank Assets Analysis'!Q14-'Bank Assets Analysis'!R14</f>
        <v>269460685</v>
      </c>
      <c r="K14" s="131">
        <f t="shared" si="0"/>
        <v>561025983</v>
      </c>
      <c r="L14" s="132">
        <v>1</v>
      </c>
      <c r="M14" s="133">
        <f>+C14+D14+E14+D10+D11</f>
        <v>50000</v>
      </c>
      <c r="N14" s="131">
        <f t="shared" si="1"/>
        <v>50000</v>
      </c>
      <c r="O14" s="386"/>
      <c r="P14" s="16"/>
      <c r="Q14" s="135"/>
      <c r="R14" s="135"/>
      <c r="S14" s="135"/>
    </row>
    <row r="15" spans="1:19" s="136" customFormat="1" ht="33.75" customHeight="1">
      <c r="A15" s="358" t="s">
        <v>162</v>
      </c>
      <c r="B15" s="277" t="s">
        <v>363</v>
      </c>
      <c r="C15" s="394">
        <f>+'Bank Assets Analysis'!C15-'Bank Assets Analysis'!D15</f>
        <v>35951070</v>
      </c>
      <c r="D15" s="394">
        <f>+'Bank Assets Analysis'!E15-'Bank Assets Analysis'!F15</f>
        <v>0</v>
      </c>
      <c r="E15" s="394">
        <f>+'Bank Assets Analysis'!G15-'Bank Assets Analysis'!H15</f>
        <v>0</v>
      </c>
      <c r="F15" s="394">
        <f>+'Bank Assets Analysis'!I15-'Bank Assets Analysis'!J15</f>
        <v>0</v>
      </c>
      <c r="G15" s="394">
        <f>+'Bank Assets Analysis'!K15-'Bank Assets Analysis'!L15</f>
        <v>0</v>
      </c>
      <c r="H15" s="394">
        <f>+'Bank Assets Analysis'!M15-'Bank Assets Analysis'!N15</f>
        <v>0</v>
      </c>
      <c r="I15" s="394">
        <f>+'Bank Assets Analysis'!O15-'Bank Assets Analysis'!P15</f>
        <v>0</v>
      </c>
      <c r="J15" s="394">
        <f>+'Bank Assets Analysis'!Q15-'Bank Assets Analysis'!R15</f>
        <v>0</v>
      </c>
      <c r="K15" s="131">
        <f t="shared" si="0"/>
        <v>35951070</v>
      </c>
      <c r="L15" s="132">
        <v>1</v>
      </c>
      <c r="M15" s="133">
        <f>+C15+D15+E15</f>
        <v>35951070</v>
      </c>
      <c r="N15" s="131">
        <f t="shared" si="1"/>
        <v>35951070</v>
      </c>
      <c r="O15" s="386"/>
      <c r="P15" s="16"/>
      <c r="Q15" s="135"/>
      <c r="R15" s="135"/>
      <c r="S15" s="135"/>
    </row>
    <row r="16" spans="1:19" s="136" customFormat="1" ht="27" customHeight="1">
      <c r="A16" s="358" t="s">
        <v>163</v>
      </c>
      <c r="B16" s="277" t="s">
        <v>364</v>
      </c>
      <c r="C16" s="394">
        <f>+'Bank Assets Analysis'!C16-'Bank Assets Analysis'!D16</f>
        <v>0</v>
      </c>
      <c r="D16" s="394">
        <f>+'Bank Assets Analysis'!E16-'Bank Assets Analysis'!F16</f>
        <v>0</v>
      </c>
      <c r="E16" s="394">
        <f>+'Bank Assets Analysis'!G16-'Bank Assets Analysis'!H16</f>
        <v>0</v>
      </c>
      <c r="F16" s="394">
        <f>+'Bank Assets Analysis'!I16-'Bank Assets Analysis'!J16</f>
        <v>0</v>
      </c>
      <c r="G16" s="394">
        <f>+'Bank Assets Analysis'!K16-'Bank Assets Analysis'!L16</f>
        <v>0</v>
      </c>
      <c r="H16" s="394">
        <f>+'Bank Assets Analysis'!M16-'Bank Assets Analysis'!N16</f>
        <v>0</v>
      </c>
      <c r="I16" s="394">
        <f>+'Bank Assets Analysis'!O16-'Bank Assets Analysis'!P16</f>
        <v>0</v>
      </c>
      <c r="J16" s="394">
        <f>+'Bank Assets Analysis'!Q16-'Bank Assets Analysis'!R16</f>
        <v>0</v>
      </c>
      <c r="K16" s="131">
        <f t="shared" si="0"/>
        <v>0</v>
      </c>
      <c r="L16" s="132">
        <v>1</v>
      </c>
      <c r="M16" s="133">
        <f>+C16+D16+E16</f>
        <v>0</v>
      </c>
      <c r="N16" s="131">
        <f>+M16*L16</f>
        <v>0</v>
      </c>
      <c r="O16" s="386"/>
      <c r="P16" s="16"/>
      <c r="Q16" s="135"/>
      <c r="R16" s="135"/>
      <c r="S16" s="135"/>
    </row>
    <row r="17" spans="1:19" s="136" customFormat="1" ht="27" customHeight="1">
      <c r="A17" s="358" t="s">
        <v>365</v>
      </c>
      <c r="B17" s="277" t="s">
        <v>183</v>
      </c>
      <c r="C17" s="394">
        <f>+'Bank Assets Analysis'!C17-'Bank Assets Analysis'!D17</f>
        <v>875</v>
      </c>
      <c r="D17" s="394">
        <f>+'Bank Assets Analysis'!E17-'Bank Assets Analysis'!F17</f>
        <v>0</v>
      </c>
      <c r="E17" s="394">
        <f>+'Bank Assets Analysis'!G17-'Bank Assets Analysis'!H17</f>
        <v>0</v>
      </c>
      <c r="F17" s="394">
        <f>+'Bank Assets Analysis'!I17-'Bank Assets Analysis'!J17</f>
        <v>20000000</v>
      </c>
      <c r="G17" s="394">
        <f>+'Bank Assets Analysis'!K17-'Bank Assets Analysis'!L17</f>
        <v>961548830</v>
      </c>
      <c r="H17" s="394">
        <f>+'Bank Assets Analysis'!M17-'Bank Assets Analysis'!N17</f>
        <v>696557516</v>
      </c>
      <c r="I17" s="394">
        <f>+'Bank Assets Analysis'!O17-'Bank Assets Analysis'!P17</f>
        <v>197102323</v>
      </c>
      <c r="J17" s="394">
        <f>+'Bank Assets Analysis'!Q17-'Bank Assets Analysis'!R17</f>
        <v>45425240</v>
      </c>
      <c r="K17" s="131">
        <f t="shared" si="0"/>
        <v>1920634784</v>
      </c>
      <c r="L17" s="132"/>
      <c r="M17" s="133"/>
      <c r="N17" s="131">
        <f t="shared" ref="N17:N42" si="4">+M17*L17</f>
        <v>0</v>
      </c>
      <c r="O17" s="386"/>
      <c r="P17" s="16"/>
      <c r="Q17" s="135"/>
      <c r="R17" s="135"/>
      <c r="S17" s="135"/>
    </row>
    <row r="18" spans="1:19" s="136" customFormat="1" ht="27" customHeight="1">
      <c r="A18" s="358" t="s">
        <v>553</v>
      </c>
      <c r="B18" s="277" t="s">
        <v>552</v>
      </c>
      <c r="C18" s="394">
        <f>+'Bank Assets Analysis'!C18-'Bank Assets Analysis'!D18</f>
        <v>0</v>
      </c>
      <c r="D18" s="394">
        <f>+'Bank Assets Analysis'!E18-'Bank Assets Analysis'!F18</f>
        <v>816807035</v>
      </c>
      <c r="E18" s="394">
        <f>+'Bank Assets Analysis'!G18-'Bank Assets Analysis'!H18</f>
        <v>0</v>
      </c>
      <c r="F18" s="394">
        <f>+'Bank Assets Analysis'!I18-'Bank Assets Analysis'!J18</f>
        <v>0</v>
      </c>
      <c r="G18" s="394">
        <f>+'Bank Assets Analysis'!K18-'Bank Assets Analysis'!L18</f>
        <v>0</v>
      </c>
      <c r="H18" s="394">
        <f>+'Bank Assets Analysis'!M18-'Bank Assets Analysis'!N18</f>
        <v>0</v>
      </c>
      <c r="I18" s="394">
        <f>+'Bank Assets Analysis'!O18-'Bank Assets Analysis'!P18</f>
        <v>0</v>
      </c>
      <c r="J18" s="394">
        <f>+'Bank Assets Analysis'!Q18-'Bank Assets Analysis'!R18</f>
        <v>0</v>
      </c>
      <c r="K18" s="131">
        <f>+C18+D18+E18+F18+G18+H18+I18+J18</f>
        <v>816807035</v>
      </c>
      <c r="L18" s="132">
        <v>1</v>
      </c>
      <c r="M18" s="133">
        <f>SUM(C18:E18)</f>
        <v>816807035</v>
      </c>
      <c r="N18" s="131">
        <f>+M18*L18</f>
        <v>816807035</v>
      </c>
      <c r="O18" s="386"/>
      <c r="P18" s="16"/>
      <c r="Q18" s="135"/>
      <c r="R18" s="135"/>
      <c r="S18" s="135"/>
    </row>
    <row r="19" spans="1:19" s="136" customFormat="1" ht="30">
      <c r="A19" s="358" t="s">
        <v>76</v>
      </c>
      <c r="B19" s="277" t="s">
        <v>366</v>
      </c>
      <c r="C19" s="394">
        <f>+'Bank Assets Analysis'!C19-'Bank Assets Analysis'!D19</f>
        <v>0</v>
      </c>
      <c r="D19" s="394">
        <f>+'Bank Assets Analysis'!E19-'Bank Assets Analysis'!F19</f>
        <v>0</v>
      </c>
      <c r="E19" s="394">
        <f>+'Bank Assets Analysis'!G19-'Bank Assets Analysis'!H19</f>
        <v>0</v>
      </c>
      <c r="F19" s="394">
        <f>+'Bank Assets Analysis'!I19-'Bank Assets Analysis'!J19</f>
        <v>20000000</v>
      </c>
      <c r="G19" s="394">
        <f>+'Bank Assets Analysis'!K19-'Bank Assets Analysis'!L19</f>
        <v>961548830</v>
      </c>
      <c r="H19" s="394">
        <f>+'Bank Assets Analysis'!M19-'Bank Assets Analysis'!N19</f>
        <v>696557516</v>
      </c>
      <c r="I19" s="394">
        <f>+'Bank Assets Analysis'!O19-'Bank Assets Analysis'!P19</f>
        <v>197102323</v>
      </c>
      <c r="J19" s="394">
        <f>+'Bank Assets Analysis'!Q19-'Bank Assets Analysis'!R19</f>
        <v>35425240</v>
      </c>
      <c r="K19" s="131">
        <f t="shared" si="0"/>
        <v>1910633909</v>
      </c>
      <c r="L19" s="132">
        <v>1</v>
      </c>
      <c r="M19" s="172">
        <f>+K19</f>
        <v>1910633909</v>
      </c>
      <c r="N19" s="134">
        <f t="shared" si="4"/>
        <v>1910633909</v>
      </c>
      <c r="O19" s="386"/>
      <c r="P19" s="16"/>
      <c r="Q19" s="135"/>
      <c r="R19" s="135"/>
      <c r="S19" s="135"/>
    </row>
    <row r="20" spans="1:19" s="136" customFormat="1" ht="27" customHeight="1">
      <c r="A20" s="358" t="s">
        <v>20</v>
      </c>
      <c r="B20" s="277" t="s">
        <v>367</v>
      </c>
      <c r="C20" s="394">
        <f>+'Bank Assets Analysis'!C20-'Bank Assets Analysis'!D20</f>
        <v>0</v>
      </c>
      <c r="D20" s="394">
        <f>+'Bank Assets Analysis'!E20-'Bank Assets Analysis'!F20</f>
        <v>0</v>
      </c>
      <c r="E20" s="394">
        <f>+'Bank Assets Analysis'!G20-'Bank Assets Analysis'!H20</f>
        <v>0</v>
      </c>
      <c r="F20" s="394">
        <f>+'Bank Assets Analysis'!I20-'Bank Assets Analysis'!J20</f>
        <v>0</v>
      </c>
      <c r="G20" s="394">
        <f>+'Bank Assets Analysis'!K20-'Bank Assets Analysis'!L20</f>
        <v>0</v>
      </c>
      <c r="H20" s="394">
        <f>+'Bank Assets Analysis'!M20-'Bank Assets Analysis'!N20</f>
        <v>0</v>
      </c>
      <c r="I20" s="394">
        <f>+'Bank Assets Analysis'!O20-'Bank Assets Analysis'!P20</f>
        <v>0</v>
      </c>
      <c r="J20" s="394">
        <f>+'Bank Assets Analysis'!Q20-'Bank Assets Analysis'!R20</f>
        <v>0</v>
      </c>
      <c r="K20" s="131">
        <f t="shared" si="0"/>
        <v>0</v>
      </c>
      <c r="L20" s="132">
        <v>1</v>
      </c>
      <c r="M20" s="133">
        <f>+K20</f>
        <v>0</v>
      </c>
      <c r="N20" s="134">
        <f t="shared" si="4"/>
        <v>0</v>
      </c>
      <c r="O20" s="386"/>
      <c r="P20" s="16"/>
      <c r="Q20" s="135"/>
      <c r="R20" s="135"/>
      <c r="S20" s="135"/>
    </row>
    <row r="21" spans="1:19" s="136" customFormat="1" ht="45">
      <c r="A21" s="358" t="s">
        <v>21</v>
      </c>
      <c r="B21" s="277" t="s">
        <v>368</v>
      </c>
      <c r="C21" s="394">
        <f>+'Bank Assets Analysis'!C21-'Bank Assets Analysis'!D21</f>
        <v>0</v>
      </c>
      <c r="D21" s="394">
        <f>+'Bank Assets Analysis'!E21-'Bank Assets Analysis'!F21</f>
        <v>0</v>
      </c>
      <c r="E21" s="394">
        <f>+'Bank Assets Analysis'!G21-'Bank Assets Analysis'!H21</f>
        <v>0</v>
      </c>
      <c r="F21" s="394">
        <f>+'Bank Assets Analysis'!I21-'Bank Assets Analysis'!J21</f>
        <v>0</v>
      </c>
      <c r="G21" s="394">
        <f>+'Bank Assets Analysis'!K21-'Bank Assets Analysis'!L21</f>
        <v>0</v>
      </c>
      <c r="H21" s="394">
        <f>+'Bank Assets Analysis'!M21-'Bank Assets Analysis'!N21</f>
        <v>0</v>
      </c>
      <c r="I21" s="394">
        <f>+'Bank Assets Analysis'!O21-'Bank Assets Analysis'!P21</f>
        <v>0</v>
      </c>
      <c r="J21" s="394">
        <f>+'Bank Assets Analysis'!Q21-'Bank Assets Analysis'!R21</f>
        <v>0</v>
      </c>
      <c r="K21" s="131">
        <f t="shared" ref="K21" si="5">+C21+D21+E21+F21+G21+H21+I21+J21</f>
        <v>0</v>
      </c>
      <c r="L21" s="132">
        <v>1</v>
      </c>
      <c r="M21" s="133">
        <f>+K21</f>
        <v>0</v>
      </c>
      <c r="N21" s="134">
        <f t="shared" si="4"/>
        <v>0</v>
      </c>
      <c r="O21" s="386"/>
      <c r="P21" s="16"/>
      <c r="Q21" s="135"/>
      <c r="R21" s="135"/>
      <c r="S21" s="135"/>
    </row>
    <row r="22" spans="1:19" s="136" customFormat="1" ht="33.75" customHeight="1">
      <c r="A22" s="358" t="s">
        <v>28</v>
      </c>
      <c r="B22" s="277" t="s">
        <v>369</v>
      </c>
      <c r="C22" s="394">
        <f>+'Bank Assets Analysis'!C22-'Bank Assets Analysis'!D22</f>
        <v>0</v>
      </c>
      <c r="D22" s="394">
        <f>+'Bank Assets Analysis'!E22-'Bank Assets Analysis'!F22</f>
        <v>0</v>
      </c>
      <c r="E22" s="394">
        <f>+'Bank Assets Analysis'!G22-'Bank Assets Analysis'!H22</f>
        <v>0</v>
      </c>
      <c r="F22" s="394">
        <f>+'Bank Assets Analysis'!I22-'Bank Assets Analysis'!J22</f>
        <v>0</v>
      </c>
      <c r="G22" s="394">
        <f>+'Bank Assets Analysis'!K22-'Bank Assets Analysis'!L22</f>
        <v>0</v>
      </c>
      <c r="H22" s="394">
        <f>+'Bank Assets Analysis'!M22-'Bank Assets Analysis'!N22</f>
        <v>0</v>
      </c>
      <c r="I22" s="394">
        <f>+'Bank Assets Analysis'!O22-'Bank Assets Analysis'!P22</f>
        <v>0</v>
      </c>
      <c r="J22" s="394">
        <f>+'Bank Assets Analysis'!Q22-'Bank Assets Analysis'!R22</f>
        <v>0</v>
      </c>
      <c r="K22" s="131">
        <f t="shared" si="0"/>
        <v>0</v>
      </c>
      <c r="L22" s="132">
        <v>1</v>
      </c>
      <c r="M22" s="133">
        <f>+D22+E22</f>
        <v>0</v>
      </c>
      <c r="N22" s="134">
        <f t="shared" si="4"/>
        <v>0</v>
      </c>
      <c r="O22" s="386"/>
      <c r="P22" s="16"/>
      <c r="Q22" s="135"/>
      <c r="R22" s="135"/>
      <c r="S22" s="135"/>
    </row>
    <row r="23" spans="1:19" s="136" customFormat="1" ht="27" customHeight="1">
      <c r="A23" s="358" t="s">
        <v>164</v>
      </c>
      <c r="B23" s="277" t="s">
        <v>292</v>
      </c>
      <c r="C23" s="394">
        <f>+'Bank Assets Analysis'!C23-'Bank Assets Analysis'!D23</f>
        <v>0</v>
      </c>
      <c r="D23" s="394">
        <f>+'Bank Assets Analysis'!E23-'Bank Assets Analysis'!F23</f>
        <v>0</v>
      </c>
      <c r="E23" s="394">
        <f>+'Bank Assets Analysis'!G23-'Bank Assets Analysis'!H23</f>
        <v>0</v>
      </c>
      <c r="F23" s="394">
        <f>+'Bank Assets Analysis'!I23-'Bank Assets Analysis'!J23</f>
        <v>0</v>
      </c>
      <c r="G23" s="394">
        <f>+'Bank Assets Analysis'!K23-'Bank Assets Analysis'!L23</f>
        <v>0</v>
      </c>
      <c r="H23" s="394">
        <f>+'Bank Assets Analysis'!M23-'Bank Assets Analysis'!N23</f>
        <v>0</v>
      </c>
      <c r="I23" s="394">
        <f>+'Bank Assets Analysis'!O23-'Bank Assets Analysis'!P23</f>
        <v>0</v>
      </c>
      <c r="J23" s="394">
        <f>+'Bank Assets Analysis'!Q23-'Bank Assets Analysis'!R23</f>
        <v>10000000</v>
      </c>
      <c r="K23" s="131">
        <f t="shared" ref="K23" si="6">+C23+D23+E23+F23+G23+H23+I23+J23</f>
        <v>10000000</v>
      </c>
      <c r="L23" s="132">
        <v>1</v>
      </c>
      <c r="M23" s="133">
        <f>+D23+E23</f>
        <v>0</v>
      </c>
      <c r="N23" s="134">
        <f t="shared" ref="N23:N24" si="7">+M23*L23</f>
        <v>0</v>
      </c>
      <c r="O23" s="386"/>
      <c r="P23" s="16"/>
      <c r="Q23" s="135"/>
      <c r="R23" s="135"/>
      <c r="S23" s="135"/>
    </row>
    <row r="24" spans="1:19" s="136" customFormat="1" ht="27" customHeight="1">
      <c r="A24" s="358" t="s">
        <v>370</v>
      </c>
      <c r="B24" s="277" t="s">
        <v>371</v>
      </c>
      <c r="C24" s="131">
        <f>+'Bank Assets Analysis'!C24-'Bank Assets Analysis'!D24</f>
        <v>875</v>
      </c>
      <c r="D24" s="131">
        <f>+'Bank Assets Analysis'!E24-'Bank Assets Analysis'!F24</f>
        <v>0</v>
      </c>
      <c r="E24" s="131">
        <f>+'Bank Assets Analysis'!G24-'Bank Assets Analysis'!H24</f>
        <v>0</v>
      </c>
      <c r="F24" s="131">
        <f>+'Bank Assets Analysis'!I24-'Bank Assets Analysis'!J24</f>
        <v>0</v>
      </c>
      <c r="G24" s="131">
        <f>+'Bank Assets Analysis'!K24-'Bank Assets Analysis'!L24</f>
        <v>0</v>
      </c>
      <c r="H24" s="131">
        <f>+'Bank Assets Analysis'!M24-'Bank Assets Analysis'!N24</f>
        <v>0</v>
      </c>
      <c r="I24" s="131">
        <f>+'Bank Assets Analysis'!O24-'Bank Assets Analysis'!P24</f>
        <v>0</v>
      </c>
      <c r="J24" s="131">
        <f>+'Bank Assets Analysis'!Q24-'Bank Assets Analysis'!R24</f>
        <v>0</v>
      </c>
      <c r="K24" s="131">
        <f t="shared" si="0"/>
        <v>875</v>
      </c>
      <c r="L24" s="132">
        <v>1</v>
      </c>
      <c r="M24" s="172">
        <f>+C24+D24+E24</f>
        <v>875</v>
      </c>
      <c r="N24" s="131">
        <f t="shared" si="7"/>
        <v>875</v>
      </c>
      <c r="O24" s="386"/>
      <c r="P24" s="16"/>
      <c r="Q24" s="135"/>
      <c r="R24" s="135"/>
      <c r="S24" s="135"/>
    </row>
    <row r="25" spans="1:19" s="136" customFormat="1" ht="33.75" customHeight="1">
      <c r="A25" s="358" t="s">
        <v>372</v>
      </c>
      <c r="B25" s="277" t="s">
        <v>373</v>
      </c>
      <c r="C25" s="394">
        <f>+'Bank Assets Analysis'!C25-'Bank Assets Analysis'!D25</f>
        <v>0</v>
      </c>
      <c r="D25" s="394">
        <f>+'Bank Assets Analysis'!E25-'Bank Assets Analysis'!F25</f>
        <v>0</v>
      </c>
      <c r="E25" s="394">
        <f>+'Bank Assets Analysis'!G25-'Bank Assets Analysis'!H25</f>
        <v>0</v>
      </c>
      <c r="F25" s="394">
        <f>+'Bank Assets Analysis'!I25-'Bank Assets Analysis'!J25</f>
        <v>0</v>
      </c>
      <c r="G25" s="394">
        <f>+'Bank Assets Analysis'!K25-'Bank Assets Analysis'!L25</f>
        <v>0</v>
      </c>
      <c r="H25" s="394">
        <f>+'Bank Assets Analysis'!M25-'Bank Assets Analysis'!N25</f>
        <v>0</v>
      </c>
      <c r="I25" s="394">
        <f>+'Bank Assets Analysis'!O25-'Bank Assets Analysis'!P25</f>
        <v>0</v>
      </c>
      <c r="J25" s="394">
        <f>+'Bank Assets Analysis'!Q25-'Bank Assets Analysis'!R25</f>
        <v>0</v>
      </c>
      <c r="K25" s="131">
        <f t="shared" si="0"/>
        <v>0</v>
      </c>
      <c r="L25" s="132">
        <v>0.5</v>
      </c>
      <c r="M25" s="133">
        <f>+D25+E25</f>
        <v>0</v>
      </c>
      <c r="N25" s="131">
        <f t="shared" si="4"/>
        <v>0</v>
      </c>
      <c r="O25" s="386"/>
      <c r="P25" s="16"/>
      <c r="Q25" s="135"/>
      <c r="R25" s="135"/>
      <c r="S25" s="135"/>
    </row>
    <row r="26" spans="1:19" s="136" customFormat="1" ht="27" customHeight="1">
      <c r="A26" s="358" t="s">
        <v>374</v>
      </c>
      <c r="B26" s="277" t="s">
        <v>375</v>
      </c>
      <c r="C26" s="394">
        <f>+'Bank Assets Analysis'!C26-'Bank Assets Analysis'!D26</f>
        <v>0</v>
      </c>
      <c r="D26" s="394">
        <f>+'Bank Assets Analysis'!E26-'Bank Assets Analysis'!F26</f>
        <v>0</v>
      </c>
      <c r="E26" s="394">
        <f>+'Bank Assets Analysis'!G26-'Bank Assets Analysis'!H26</f>
        <v>0</v>
      </c>
      <c r="F26" s="394">
        <f>+'Bank Assets Analysis'!I26-'Bank Assets Analysis'!J26</f>
        <v>0</v>
      </c>
      <c r="G26" s="394">
        <f>+'Bank Assets Analysis'!K26-'Bank Assets Analysis'!L26</f>
        <v>0</v>
      </c>
      <c r="H26" s="394">
        <f>+'Bank Assets Analysis'!M26-'Bank Assets Analysis'!N26</f>
        <v>0</v>
      </c>
      <c r="I26" s="394">
        <f>+'Bank Assets Analysis'!O26-'Bank Assets Analysis'!P26</f>
        <v>0</v>
      </c>
      <c r="J26" s="394">
        <f>+'Bank Assets Analysis'!Q26-'Bank Assets Analysis'!R26</f>
        <v>0</v>
      </c>
      <c r="K26" s="131">
        <f t="shared" si="0"/>
        <v>0</v>
      </c>
      <c r="L26" s="132">
        <v>0.5</v>
      </c>
      <c r="M26" s="133">
        <f>+D26+E26</f>
        <v>0</v>
      </c>
      <c r="N26" s="131">
        <f t="shared" si="4"/>
        <v>0</v>
      </c>
      <c r="O26" s="386"/>
      <c r="P26" s="16"/>
      <c r="Q26" s="135"/>
      <c r="R26" s="135"/>
      <c r="S26" s="135"/>
    </row>
    <row r="27" spans="1:19" s="136" customFormat="1" ht="27" customHeight="1">
      <c r="A27" s="358" t="s">
        <v>376</v>
      </c>
      <c r="B27" s="277" t="s">
        <v>377</v>
      </c>
      <c r="C27" s="394">
        <f>+'Bank Assets Analysis'!C27-'Bank Assets Analysis'!D27</f>
        <v>0</v>
      </c>
      <c r="D27" s="394">
        <f>+'Bank Assets Analysis'!E27-'Bank Assets Analysis'!F27</f>
        <v>0</v>
      </c>
      <c r="E27" s="394">
        <f>+'Bank Assets Analysis'!G27-'Bank Assets Analysis'!H27</f>
        <v>0</v>
      </c>
      <c r="F27" s="394">
        <f>+'Bank Assets Analysis'!I27-'Bank Assets Analysis'!J27</f>
        <v>0</v>
      </c>
      <c r="G27" s="394">
        <f>+'Bank Assets Analysis'!K27-'Bank Assets Analysis'!L27</f>
        <v>0</v>
      </c>
      <c r="H27" s="394">
        <f>+'Bank Assets Analysis'!M27-'Bank Assets Analysis'!N27</f>
        <v>0</v>
      </c>
      <c r="I27" s="394">
        <f>+'Bank Assets Analysis'!O27-'Bank Assets Analysis'!P27</f>
        <v>0</v>
      </c>
      <c r="J27" s="394">
        <f>+'Bank Assets Analysis'!Q27-'Bank Assets Analysis'!R27</f>
        <v>0</v>
      </c>
      <c r="K27" s="131">
        <f t="shared" si="0"/>
        <v>0</v>
      </c>
      <c r="L27" s="132">
        <v>1</v>
      </c>
      <c r="M27" s="133">
        <f>C27+D27+E27</f>
        <v>0</v>
      </c>
      <c r="N27" s="131">
        <f t="shared" si="4"/>
        <v>0</v>
      </c>
      <c r="O27" s="386"/>
      <c r="P27" s="16"/>
      <c r="Q27" s="135"/>
      <c r="R27" s="135"/>
      <c r="S27" s="135"/>
    </row>
    <row r="28" spans="1:19" s="136" customFormat="1" ht="27" customHeight="1">
      <c r="A28" s="358" t="s">
        <v>378</v>
      </c>
      <c r="B28" s="277" t="s">
        <v>379</v>
      </c>
      <c r="C28" s="394">
        <f>+'Bank Assets Analysis'!C28-'Bank Assets Analysis'!D28</f>
        <v>0</v>
      </c>
      <c r="D28" s="394">
        <f>+'Bank Assets Analysis'!E28-'Bank Assets Analysis'!F28</f>
        <v>0</v>
      </c>
      <c r="E28" s="394">
        <f>+'Bank Assets Analysis'!G28-'Bank Assets Analysis'!H28</f>
        <v>0</v>
      </c>
      <c r="F28" s="394">
        <f>+'Bank Assets Analysis'!I28-'Bank Assets Analysis'!J28</f>
        <v>0</v>
      </c>
      <c r="G28" s="394">
        <f>+'Bank Assets Analysis'!K28-'Bank Assets Analysis'!L28</f>
        <v>0</v>
      </c>
      <c r="H28" s="394">
        <f>+'Bank Assets Analysis'!M28-'Bank Assets Analysis'!N28</f>
        <v>0</v>
      </c>
      <c r="I28" s="394">
        <f>+'Bank Assets Analysis'!O28-'Bank Assets Analysis'!P28</f>
        <v>0</v>
      </c>
      <c r="J28" s="394">
        <f>+'Bank Assets Analysis'!Q28-'Bank Assets Analysis'!R28</f>
        <v>0</v>
      </c>
      <c r="K28" s="131">
        <f t="shared" si="0"/>
        <v>0</v>
      </c>
      <c r="L28" s="132">
        <v>0.5</v>
      </c>
      <c r="M28" s="133">
        <f>+D28+E28</f>
        <v>0</v>
      </c>
      <c r="N28" s="131">
        <f t="shared" si="4"/>
        <v>0</v>
      </c>
      <c r="O28" s="386"/>
      <c r="P28" s="16"/>
      <c r="Q28" s="135"/>
      <c r="R28" s="135"/>
      <c r="S28" s="135"/>
    </row>
    <row r="29" spans="1:19" s="136" customFormat="1" ht="27" customHeight="1">
      <c r="A29" s="358" t="s">
        <v>380</v>
      </c>
      <c r="B29" s="277" t="s">
        <v>527</v>
      </c>
      <c r="C29" s="394">
        <f>+'Bank Assets Analysis'!C29-'Bank Assets Analysis'!D29</f>
        <v>366173906</v>
      </c>
      <c r="D29" s="394">
        <f>+'Bank Assets Analysis'!E29-'Bank Assets Analysis'!F29</f>
        <v>290610152</v>
      </c>
      <c r="E29" s="394">
        <f>+'Bank Assets Analysis'!G29-'Bank Assets Analysis'!H29</f>
        <v>1016981795</v>
      </c>
      <c r="F29" s="394">
        <f>+'Bank Assets Analysis'!I29-'Bank Assets Analysis'!J29</f>
        <v>1396609359</v>
      </c>
      <c r="G29" s="394">
        <f>+'Bank Assets Analysis'!K29-'Bank Assets Analysis'!L29</f>
        <v>1447648715</v>
      </c>
      <c r="H29" s="394">
        <f>+'Bank Assets Analysis'!M29-'Bank Assets Analysis'!N29</f>
        <v>3349502986</v>
      </c>
      <c r="I29" s="394">
        <f>+'Bank Assets Analysis'!O29-'Bank Assets Analysis'!P29</f>
        <v>2565138239</v>
      </c>
      <c r="J29" s="394">
        <f>+'Bank Assets Analysis'!Q29-'Bank Assets Analysis'!R29</f>
        <v>8281643928</v>
      </c>
      <c r="K29" s="131">
        <f t="shared" si="0"/>
        <v>18714309080</v>
      </c>
      <c r="L29" s="132">
        <v>0.5</v>
      </c>
      <c r="M29" s="133">
        <f>+D29+E29</f>
        <v>1307591947</v>
      </c>
      <c r="N29" s="131">
        <f t="shared" si="4"/>
        <v>653795973.5</v>
      </c>
      <c r="O29" s="386"/>
      <c r="P29" s="16"/>
      <c r="Q29" s="135"/>
      <c r="R29" s="135"/>
      <c r="S29" s="135"/>
    </row>
    <row r="30" spans="1:19" s="136" customFormat="1" ht="27" customHeight="1">
      <c r="A30" s="358" t="s">
        <v>203</v>
      </c>
      <c r="B30" s="277" t="s">
        <v>381</v>
      </c>
      <c r="C30" s="394">
        <f>+'Bank Assets Analysis'!C30-'Bank Assets Analysis'!D30</f>
        <v>3555869</v>
      </c>
      <c r="D30" s="394">
        <f>+'Bank Assets Analysis'!E30-'Bank Assets Analysis'!F30</f>
        <v>60906069</v>
      </c>
      <c r="E30" s="394">
        <f>+'Bank Assets Analysis'!G30-'Bank Assets Analysis'!H30</f>
        <v>27865818</v>
      </c>
      <c r="F30" s="394">
        <f>+'Bank Assets Analysis'!I30-'Bank Assets Analysis'!J30</f>
        <v>195740632</v>
      </c>
      <c r="G30" s="394">
        <f>+'Bank Assets Analysis'!K30-'Bank Assets Analysis'!L30</f>
        <v>295764899</v>
      </c>
      <c r="H30" s="394">
        <f>+'Bank Assets Analysis'!M30-'Bank Assets Analysis'!N30</f>
        <v>570767523</v>
      </c>
      <c r="I30" s="394">
        <f>+'Bank Assets Analysis'!O30-'Bank Assets Analysis'!P30</f>
        <v>1037718485</v>
      </c>
      <c r="J30" s="394">
        <f>+'Bank Assets Analysis'!Q30-'Bank Assets Analysis'!R30</f>
        <v>5591631789</v>
      </c>
      <c r="K30" s="131">
        <f t="shared" si="0"/>
        <v>7783951084</v>
      </c>
      <c r="L30" s="132">
        <v>0</v>
      </c>
      <c r="M30" s="133">
        <f t="shared" ref="M30:M33" si="8">+D30+E30</f>
        <v>88771887</v>
      </c>
      <c r="N30" s="131">
        <f t="shared" ref="N30:N33" si="9">+M30*L30</f>
        <v>0</v>
      </c>
      <c r="O30" s="386"/>
      <c r="P30" s="16"/>
      <c r="Q30" s="135"/>
      <c r="R30" s="135"/>
      <c r="S30" s="135"/>
    </row>
    <row r="31" spans="1:19" s="136" customFormat="1" ht="27" customHeight="1">
      <c r="A31" s="358" t="s">
        <v>382</v>
      </c>
      <c r="B31" s="277" t="s">
        <v>383</v>
      </c>
      <c r="C31" s="394">
        <f>+'Bank Assets Analysis'!C31-'Bank Assets Analysis'!D31</f>
        <v>21171099</v>
      </c>
      <c r="D31" s="394">
        <f>+'Bank Assets Analysis'!E31-'Bank Assets Analysis'!F31</f>
        <v>0</v>
      </c>
      <c r="E31" s="394">
        <f>+'Bank Assets Analysis'!G31-'Bank Assets Analysis'!H31</f>
        <v>0</v>
      </c>
      <c r="F31" s="394">
        <f>+'Bank Assets Analysis'!I31-'Bank Assets Analysis'!J31</f>
        <v>0</v>
      </c>
      <c r="G31" s="394">
        <f>+'Bank Assets Analysis'!K31-'Bank Assets Analysis'!L31</f>
        <v>0</v>
      </c>
      <c r="H31" s="394">
        <f>+'Bank Assets Analysis'!M31-'Bank Assets Analysis'!N31</f>
        <v>0</v>
      </c>
      <c r="I31" s="394">
        <f>+'Bank Assets Analysis'!O31-'Bank Assets Analysis'!P31</f>
        <v>0</v>
      </c>
      <c r="J31" s="394">
        <f>+'Bank Assets Analysis'!Q31-'Bank Assets Analysis'!R31</f>
        <v>0</v>
      </c>
      <c r="K31" s="131">
        <f t="shared" si="0"/>
        <v>21171099</v>
      </c>
      <c r="L31" s="132">
        <v>0</v>
      </c>
      <c r="M31" s="133">
        <f t="shared" si="8"/>
        <v>0</v>
      </c>
      <c r="N31" s="131">
        <f t="shared" si="9"/>
        <v>0</v>
      </c>
      <c r="O31" s="386"/>
      <c r="P31" s="16"/>
      <c r="Q31" s="135"/>
      <c r="R31" s="135"/>
      <c r="S31" s="135"/>
    </row>
    <row r="32" spans="1:19" s="136" customFormat="1" ht="27" customHeight="1">
      <c r="A32" s="358">
        <v>11</v>
      </c>
      <c r="B32" s="277" t="s">
        <v>190</v>
      </c>
      <c r="C32" s="394">
        <f>+'Bank Assets Analysis'!C32-'Bank Assets Analysis'!D32</f>
        <v>403272950</v>
      </c>
      <c r="D32" s="394">
        <f>+'Bank Assets Analysis'!E32-'Bank Assets Analysis'!F32</f>
        <v>0</v>
      </c>
      <c r="E32" s="394">
        <f>+'Bank Assets Analysis'!G32-'Bank Assets Analysis'!H32</f>
        <v>0</v>
      </c>
      <c r="F32" s="394">
        <f>+'Bank Assets Analysis'!I32-'Bank Assets Analysis'!J32</f>
        <v>0</v>
      </c>
      <c r="G32" s="394">
        <f>+'Bank Assets Analysis'!K32-'Bank Assets Analysis'!L32</f>
        <v>0</v>
      </c>
      <c r="H32" s="394">
        <f>+'Bank Assets Analysis'!M32-'Bank Assets Analysis'!N32</f>
        <v>0</v>
      </c>
      <c r="I32" s="394">
        <f>+'Bank Assets Analysis'!O32-'Bank Assets Analysis'!P32</f>
        <v>0</v>
      </c>
      <c r="J32" s="394">
        <f>+'Bank Assets Analysis'!Q32-'Bank Assets Analysis'!R32</f>
        <v>0</v>
      </c>
      <c r="K32" s="131">
        <f t="shared" si="0"/>
        <v>403272950</v>
      </c>
      <c r="L32" s="132">
        <v>0</v>
      </c>
      <c r="M32" s="133">
        <f t="shared" si="8"/>
        <v>0</v>
      </c>
      <c r="N32" s="131">
        <f t="shared" si="9"/>
        <v>0</v>
      </c>
      <c r="O32" s="386"/>
      <c r="P32" s="16"/>
      <c r="Q32" s="135"/>
      <c r="R32" s="135"/>
      <c r="S32" s="135"/>
    </row>
    <row r="33" spans="1:19" s="136" customFormat="1" ht="33.75" customHeight="1">
      <c r="A33" s="358" t="s">
        <v>384</v>
      </c>
      <c r="B33" s="277" t="s">
        <v>551</v>
      </c>
      <c r="C33" s="394">
        <f t="shared" ref="C33:J33" si="10">+C34+C35</f>
        <v>0</v>
      </c>
      <c r="D33" s="394">
        <f t="shared" si="10"/>
        <v>0</v>
      </c>
      <c r="E33" s="394">
        <f t="shared" si="10"/>
        <v>0</v>
      </c>
      <c r="F33" s="394">
        <f t="shared" si="10"/>
        <v>0</v>
      </c>
      <c r="G33" s="394">
        <f t="shared" si="10"/>
        <v>0</v>
      </c>
      <c r="H33" s="394">
        <f t="shared" si="10"/>
        <v>0</v>
      </c>
      <c r="I33" s="394">
        <f t="shared" si="10"/>
        <v>0</v>
      </c>
      <c r="J33" s="394">
        <f t="shared" si="10"/>
        <v>0</v>
      </c>
      <c r="K33" s="131">
        <f t="shared" si="0"/>
        <v>0</v>
      </c>
      <c r="L33" s="132">
        <v>0</v>
      </c>
      <c r="M33" s="133">
        <f t="shared" si="8"/>
        <v>0</v>
      </c>
      <c r="N33" s="131">
        <f t="shared" si="9"/>
        <v>0</v>
      </c>
      <c r="O33" s="386"/>
      <c r="P33" s="16"/>
      <c r="Q33" s="135"/>
      <c r="R33" s="135"/>
      <c r="S33" s="135"/>
    </row>
    <row r="34" spans="1:19" s="136" customFormat="1" ht="36.75" customHeight="1">
      <c r="A34" s="358" t="s">
        <v>214</v>
      </c>
      <c r="B34" s="277" t="s">
        <v>543</v>
      </c>
      <c r="C34" s="394">
        <f>+'Bank Assets Analysis'!C34-'Bank Assets Analysis'!D34</f>
        <v>0</v>
      </c>
      <c r="D34" s="394">
        <f>+'Bank Assets Analysis'!E34-'Bank Assets Analysis'!F34</f>
        <v>0</v>
      </c>
      <c r="E34" s="394">
        <f>+'Bank Assets Analysis'!G34-'Bank Assets Analysis'!H34</f>
        <v>0</v>
      </c>
      <c r="F34" s="394">
        <f>+'Bank Assets Analysis'!I34-'Bank Assets Analysis'!J34</f>
        <v>0</v>
      </c>
      <c r="G34" s="394">
        <f>+'Bank Assets Analysis'!K34-'Bank Assets Analysis'!L34</f>
        <v>0</v>
      </c>
      <c r="H34" s="394">
        <f>+'Bank Assets Analysis'!M34-'Bank Assets Analysis'!N34</f>
        <v>0</v>
      </c>
      <c r="I34" s="394">
        <f>+'Bank Assets Analysis'!O34-'Bank Assets Analysis'!P34</f>
        <v>0</v>
      </c>
      <c r="J34" s="394">
        <f>+'Bank Assets Analysis'!Q34-'Bank Assets Analysis'!R34</f>
        <v>0</v>
      </c>
      <c r="K34" s="131">
        <f t="shared" si="0"/>
        <v>0</v>
      </c>
      <c r="L34" s="132">
        <v>1</v>
      </c>
      <c r="M34" s="133">
        <f>+K34</f>
        <v>0</v>
      </c>
      <c r="N34" s="134">
        <f t="shared" si="4"/>
        <v>0</v>
      </c>
      <c r="O34" s="386"/>
      <c r="P34" s="16"/>
      <c r="Q34" s="135"/>
      <c r="R34" s="135"/>
      <c r="S34" s="135"/>
    </row>
    <row r="35" spans="1:19" s="136" customFormat="1" ht="27" customHeight="1">
      <c r="A35" s="358" t="s">
        <v>216</v>
      </c>
      <c r="B35" s="277" t="s">
        <v>542</v>
      </c>
      <c r="C35" s="394">
        <f>+'Bank Assets Analysis'!C35-'Bank Assets Analysis'!D35</f>
        <v>0</v>
      </c>
      <c r="D35" s="394">
        <f>+'Bank Assets Analysis'!E35-'Bank Assets Analysis'!F35</f>
        <v>0</v>
      </c>
      <c r="E35" s="394">
        <f>+'Bank Assets Analysis'!G35-'Bank Assets Analysis'!H35</f>
        <v>0</v>
      </c>
      <c r="F35" s="394">
        <f>+'Bank Assets Analysis'!I35-'Bank Assets Analysis'!J35</f>
        <v>0</v>
      </c>
      <c r="G35" s="394">
        <f>+'Bank Assets Analysis'!K35-'Bank Assets Analysis'!L35</f>
        <v>0</v>
      </c>
      <c r="H35" s="394">
        <f>+'Bank Assets Analysis'!M35-'Bank Assets Analysis'!N35</f>
        <v>0</v>
      </c>
      <c r="I35" s="394">
        <f>+'Bank Assets Analysis'!O35-'Bank Assets Analysis'!P35</f>
        <v>0</v>
      </c>
      <c r="J35" s="394">
        <f>+'Bank Assets Analysis'!Q35-'Bank Assets Analysis'!R35</f>
        <v>0</v>
      </c>
      <c r="K35" s="131">
        <f t="shared" si="0"/>
        <v>0</v>
      </c>
      <c r="L35" s="132">
        <v>0</v>
      </c>
      <c r="M35" s="133"/>
      <c r="N35" s="131">
        <f t="shared" si="4"/>
        <v>0</v>
      </c>
      <c r="O35" s="386"/>
      <c r="P35" s="16"/>
      <c r="Q35" s="135"/>
      <c r="R35" s="135"/>
      <c r="S35" s="135"/>
    </row>
    <row r="36" spans="1:19" s="136" customFormat="1" ht="27" customHeight="1">
      <c r="A36" s="358" t="s">
        <v>385</v>
      </c>
      <c r="B36" s="277" t="s">
        <v>386</v>
      </c>
      <c r="C36" s="394">
        <f>+'Bank Assets Analysis'!C36-'Bank Assets Analysis'!D36</f>
        <v>0</v>
      </c>
      <c r="D36" s="394">
        <f>+'Bank Assets Analysis'!E36-'Bank Assets Analysis'!F36</f>
        <v>0</v>
      </c>
      <c r="E36" s="394">
        <f>+'Bank Assets Analysis'!G36-'Bank Assets Analysis'!H36</f>
        <v>0</v>
      </c>
      <c r="F36" s="394">
        <f>+'Bank Assets Analysis'!I36-'Bank Assets Analysis'!J36</f>
        <v>0</v>
      </c>
      <c r="G36" s="394">
        <f>+'Bank Assets Analysis'!K36-'Bank Assets Analysis'!L36</f>
        <v>0</v>
      </c>
      <c r="H36" s="394">
        <f>+'Bank Assets Analysis'!M36-'Bank Assets Analysis'!N36</f>
        <v>0</v>
      </c>
      <c r="I36" s="394">
        <f>+'Bank Assets Analysis'!O36-'Bank Assets Analysis'!P36</f>
        <v>0</v>
      </c>
      <c r="J36" s="394">
        <f>+'Bank Assets Analysis'!Q36-'Bank Assets Analysis'!R36</f>
        <v>3125231142</v>
      </c>
      <c r="K36" s="131">
        <f t="shared" si="0"/>
        <v>3125231142</v>
      </c>
      <c r="L36" s="132">
        <v>0</v>
      </c>
      <c r="M36" s="133"/>
      <c r="N36" s="131">
        <f t="shared" si="4"/>
        <v>0</v>
      </c>
      <c r="O36" s="386"/>
      <c r="P36" s="16"/>
      <c r="Q36" s="135"/>
      <c r="R36" s="135"/>
      <c r="S36" s="135"/>
    </row>
    <row r="37" spans="1:19" s="136" customFormat="1" ht="27" customHeight="1">
      <c r="A37" s="358" t="s">
        <v>387</v>
      </c>
      <c r="B37" s="277" t="s">
        <v>213</v>
      </c>
      <c r="C37" s="394">
        <f>+'Bank Assets Analysis'!C37-'Bank Assets Analysis'!D37</f>
        <v>70914978</v>
      </c>
      <c r="D37" s="394">
        <f>+'Bank Assets Analysis'!E37-'Bank Assets Analysis'!F37</f>
        <v>0</v>
      </c>
      <c r="E37" s="394">
        <f>+'Bank Assets Analysis'!G37-'Bank Assets Analysis'!H37</f>
        <v>0</v>
      </c>
      <c r="F37" s="394">
        <f>+'Bank Assets Analysis'!I37-'Bank Assets Analysis'!J37</f>
        <v>0</v>
      </c>
      <c r="G37" s="394">
        <f>+'Bank Assets Analysis'!K37-'Bank Assets Analysis'!L37</f>
        <v>0</v>
      </c>
      <c r="H37" s="394">
        <f>+'Bank Assets Analysis'!M37-'Bank Assets Analysis'!N37</f>
        <v>0</v>
      </c>
      <c r="I37" s="394">
        <f>+'Bank Assets Analysis'!O37-'Bank Assets Analysis'!P37</f>
        <v>0</v>
      </c>
      <c r="J37" s="394">
        <f>+'Bank Assets Analysis'!Q37-'Bank Assets Analysis'!R37</f>
        <v>0</v>
      </c>
      <c r="K37" s="131">
        <f t="shared" si="0"/>
        <v>70914978</v>
      </c>
      <c r="L37" s="132">
        <v>0</v>
      </c>
      <c r="M37" s="133"/>
      <c r="N37" s="131">
        <f t="shared" si="4"/>
        <v>0</v>
      </c>
      <c r="O37" s="386"/>
      <c r="P37" s="16"/>
      <c r="Q37" s="135"/>
      <c r="R37" s="135"/>
      <c r="S37" s="135"/>
    </row>
    <row r="38" spans="1:19" s="136" customFormat="1" ht="27" customHeight="1">
      <c r="A38" s="358" t="s">
        <v>226</v>
      </c>
      <c r="B38" s="277" t="s">
        <v>388</v>
      </c>
      <c r="C38" s="394">
        <f>+'Bank Assets Analysis'!C38-'Bank Assets Analysis'!D38</f>
        <v>0</v>
      </c>
      <c r="D38" s="394">
        <f>+'Bank Assets Analysis'!E38-'Bank Assets Analysis'!F38</f>
        <v>0</v>
      </c>
      <c r="E38" s="394">
        <f>+'Bank Assets Analysis'!G38-'Bank Assets Analysis'!H38</f>
        <v>0</v>
      </c>
      <c r="F38" s="394">
        <f>+'Bank Assets Analysis'!I38-'Bank Assets Analysis'!J38</f>
        <v>0</v>
      </c>
      <c r="G38" s="394">
        <f>+'Bank Assets Analysis'!K38-'Bank Assets Analysis'!L38</f>
        <v>0</v>
      </c>
      <c r="H38" s="394">
        <f>+'Bank Assets Analysis'!M38-'Bank Assets Analysis'!N38</f>
        <v>0</v>
      </c>
      <c r="I38" s="394">
        <f>+'Bank Assets Analysis'!O38-'Bank Assets Analysis'!P38</f>
        <v>0</v>
      </c>
      <c r="J38" s="394">
        <f>+'Bank Assets Analysis'!Q38-'Bank Assets Analysis'!R38</f>
        <v>0</v>
      </c>
      <c r="K38" s="131">
        <f t="shared" si="0"/>
        <v>0</v>
      </c>
      <c r="L38" s="132">
        <v>0</v>
      </c>
      <c r="M38" s="133"/>
      <c r="N38" s="131">
        <f t="shared" si="4"/>
        <v>0</v>
      </c>
      <c r="O38" s="386"/>
      <c r="P38" s="16"/>
      <c r="Q38" s="135"/>
      <c r="R38" s="135"/>
      <c r="S38" s="135"/>
    </row>
    <row r="39" spans="1:19" s="136" customFormat="1" ht="27" customHeight="1">
      <c r="A39" s="358" t="s">
        <v>229</v>
      </c>
      <c r="B39" s="277" t="s">
        <v>389</v>
      </c>
      <c r="C39" s="394"/>
      <c r="D39" s="394"/>
      <c r="E39" s="394"/>
      <c r="F39" s="394"/>
      <c r="G39" s="394"/>
      <c r="H39" s="394"/>
      <c r="I39" s="394"/>
      <c r="J39" s="394"/>
      <c r="K39" s="131">
        <f t="shared" si="0"/>
        <v>0</v>
      </c>
      <c r="L39" s="132">
        <v>0</v>
      </c>
      <c r="M39" s="133"/>
      <c r="N39" s="131">
        <f t="shared" si="4"/>
        <v>0</v>
      </c>
      <c r="O39" s="386"/>
      <c r="P39" s="16"/>
      <c r="Q39" s="135"/>
      <c r="R39" s="135"/>
      <c r="S39" s="135"/>
    </row>
    <row r="40" spans="1:19" s="136" customFormat="1" ht="27" customHeight="1">
      <c r="A40" s="358" t="s">
        <v>231</v>
      </c>
      <c r="B40" s="277" t="s">
        <v>390</v>
      </c>
      <c r="C40" s="394">
        <f>+'Bank Assets Analysis'!C40-'Bank Assets Analysis'!D40</f>
        <v>0</v>
      </c>
      <c r="D40" s="394">
        <f>+'Bank Assets Analysis'!E40-'Bank Assets Analysis'!F40</f>
        <v>0</v>
      </c>
      <c r="E40" s="394">
        <f>+'Bank Assets Analysis'!G40-'Bank Assets Analysis'!H40</f>
        <v>0</v>
      </c>
      <c r="F40" s="394">
        <f>+'Bank Assets Analysis'!I40-'Bank Assets Analysis'!J40</f>
        <v>0</v>
      </c>
      <c r="G40" s="394">
        <f>+'Bank Assets Analysis'!K40-'Bank Assets Analysis'!L40</f>
        <v>0</v>
      </c>
      <c r="H40" s="394">
        <f>+'Bank Assets Analysis'!M40-'Bank Assets Analysis'!N40</f>
        <v>0</v>
      </c>
      <c r="I40" s="394">
        <f>+'Bank Assets Analysis'!O40-'Bank Assets Analysis'!P40</f>
        <v>0</v>
      </c>
      <c r="J40" s="394">
        <f>+'Bank Assets Analysis'!Q40-'Bank Assets Analysis'!R40</f>
        <v>0</v>
      </c>
      <c r="K40" s="131">
        <f t="shared" si="0"/>
        <v>0</v>
      </c>
      <c r="L40" s="132">
        <v>0</v>
      </c>
      <c r="M40" s="133"/>
      <c r="N40" s="131">
        <f t="shared" si="4"/>
        <v>0</v>
      </c>
      <c r="O40" s="386"/>
      <c r="P40" s="16"/>
      <c r="Q40" s="135"/>
      <c r="R40" s="135"/>
      <c r="S40" s="135"/>
    </row>
    <row r="41" spans="1:19" s="136" customFormat="1" ht="27" customHeight="1">
      <c r="A41" s="358" t="s">
        <v>233</v>
      </c>
      <c r="B41" s="277" t="s">
        <v>391</v>
      </c>
      <c r="C41" s="394">
        <f>+'Bank Assets Analysis'!C41-'Bank Assets Analysis'!D41</f>
        <v>128349189</v>
      </c>
      <c r="D41" s="394">
        <f>+'Bank Assets Analysis'!E41-'Bank Assets Analysis'!F41</f>
        <v>102047124</v>
      </c>
      <c r="E41" s="394">
        <f>+'Bank Assets Analysis'!G41-'Bank Assets Analysis'!H41</f>
        <v>122319586</v>
      </c>
      <c r="F41" s="394">
        <f>+'Bank Assets Analysis'!I41-'Bank Assets Analysis'!J41</f>
        <v>125306278</v>
      </c>
      <c r="G41" s="394">
        <f>+'Bank Assets Analysis'!K41-'Bank Assets Analysis'!L41</f>
        <v>97184118</v>
      </c>
      <c r="H41" s="394">
        <f>+'Bank Assets Analysis'!M41-'Bank Assets Analysis'!N41</f>
        <v>140606317</v>
      </c>
      <c r="I41" s="394">
        <f>+'Bank Assets Analysis'!O41-'Bank Assets Analysis'!P41</f>
        <v>208241855</v>
      </c>
      <c r="J41" s="394">
        <f>+'Bank Assets Analysis'!Q41-'Bank Assets Analysis'!R41</f>
        <v>71940577</v>
      </c>
      <c r="K41" s="131">
        <f t="shared" si="0"/>
        <v>995995044</v>
      </c>
      <c r="L41" s="132">
        <v>0.5</v>
      </c>
      <c r="M41" s="133">
        <f>+D41+E41</f>
        <v>224366710</v>
      </c>
      <c r="N41" s="131">
        <f t="shared" si="4"/>
        <v>112183355</v>
      </c>
      <c r="O41" s="386"/>
      <c r="P41" s="16"/>
      <c r="Q41" s="135"/>
      <c r="R41" s="135"/>
      <c r="S41" s="135"/>
    </row>
    <row r="42" spans="1:19" s="136" customFormat="1" ht="27" customHeight="1">
      <c r="A42" s="358" t="s">
        <v>235</v>
      </c>
      <c r="B42" s="277" t="s">
        <v>392</v>
      </c>
      <c r="C42" s="131">
        <f>+'Bank Assets Analysis'!C42-'Bank Assets Analysis'!D42</f>
        <v>378974738</v>
      </c>
      <c r="D42" s="131">
        <f>+'Bank Assets Analysis'!E42-'Bank Assets Analysis'!F42</f>
        <v>0</v>
      </c>
      <c r="E42" s="131">
        <f>+'Bank Assets Analysis'!G42-'Bank Assets Analysis'!H42</f>
        <v>7550440</v>
      </c>
      <c r="F42" s="131">
        <f>+'Bank Assets Analysis'!I42-'Bank Assets Analysis'!J42</f>
        <v>0</v>
      </c>
      <c r="G42" s="131">
        <f>+'Bank Assets Analysis'!K42-'Bank Assets Analysis'!L42</f>
        <v>0</v>
      </c>
      <c r="H42" s="131">
        <f>+'Bank Assets Analysis'!M42-'Bank Assets Analysis'!N42</f>
        <v>0</v>
      </c>
      <c r="I42" s="131">
        <f>+'Bank Assets Analysis'!O42-'Bank Assets Analysis'!P42</f>
        <v>0</v>
      </c>
      <c r="J42" s="131">
        <f>+'Bank Assets Analysis'!Q42-'Bank Assets Analysis'!R42</f>
        <v>0</v>
      </c>
      <c r="K42" s="131">
        <f t="shared" si="0"/>
        <v>386525178</v>
      </c>
      <c r="L42" s="132">
        <v>0</v>
      </c>
      <c r="M42" s="133"/>
      <c r="N42" s="131">
        <f t="shared" si="4"/>
        <v>0</v>
      </c>
      <c r="O42" s="386"/>
      <c r="P42" s="16"/>
      <c r="Q42" s="135"/>
      <c r="R42" s="135"/>
      <c r="S42" s="135"/>
    </row>
    <row r="43" spans="1:19" s="136" customFormat="1" ht="27" customHeight="1">
      <c r="A43" s="358" t="s">
        <v>237</v>
      </c>
      <c r="B43" s="277" t="s">
        <v>393</v>
      </c>
      <c r="C43" s="394">
        <f>+'Bank Assets Analysis'!C43-'Bank Assets Analysis'!D43</f>
        <v>0</v>
      </c>
      <c r="D43" s="394">
        <f>+'Bank Assets Analysis'!E43-'Bank Assets Analysis'!F43</f>
        <v>0</v>
      </c>
      <c r="E43" s="394">
        <f>+'Bank Assets Analysis'!G43-'Bank Assets Analysis'!H43</f>
        <v>0</v>
      </c>
      <c r="F43" s="394">
        <f>+'Bank Assets Analysis'!I43-'Bank Assets Analysis'!J43</f>
        <v>0</v>
      </c>
      <c r="G43" s="394">
        <f>+'Bank Assets Analysis'!K43-'Bank Assets Analysis'!L43</f>
        <v>0</v>
      </c>
      <c r="H43" s="394">
        <f>+'Bank Assets Analysis'!M43-'Bank Assets Analysis'!N43</f>
        <v>0</v>
      </c>
      <c r="I43" s="394">
        <f>+'Bank Assets Analysis'!O43-'Bank Assets Analysis'!P43</f>
        <v>0</v>
      </c>
      <c r="J43" s="394">
        <f>+'Bank Assets Analysis'!Q43-'Bank Assets Analysis'!R43</f>
        <v>0</v>
      </c>
      <c r="K43" s="131">
        <f t="shared" ref="K43" si="11">+C43+D43+E43+F43+G43+H43+I43+J43</f>
        <v>0</v>
      </c>
      <c r="L43" s="132">
        <v>1</v>
      </c>
      <c r="M43" s="133">
        <f>+C43+D43+E43</f>
        <v>0</v>
      </c>
      <c r="N43" s="131">
        <f t="shared" ref="N43" si="12">+M43*L43</f>
        <v>0</v>
      </c>
      <c r="O43" s="386"/>
      <c r="P43" s="16"/>
      <c r="Q43" s="135"/>
      <c r="R43" s="135"/>
      <c r="S43" s="135"/>
    </row>
    <row r="44" spans="1:19" s="135" customFormat="1" ht="33.75" customHeight="1">
      <c r="A44" s="278" t="s">
        <v>239</v>
      </c>
      <c r="B44" s="279" t="s">
        <v>394</v>
      </c>
      <c r="C44" s="137">
        <f t="shared" ref="C44:J44" si="13">SUM(C6:C42)-C9-C13-C17-C18-C30-C33</f>
        <v>2716119704</v>
      </c>
      <c r="D44" s="137">
        <f t="shared" si="13"/>
        <v>392657276</v>
      </c>
      <c r="E44" s="137">
        <f t="shared" si="13"/>
        <v>1146851821</v>
      </c>
      <c r="F44" s="137">
        <f t="shared" si="13"/>
        <v>1585154566</v>
      </c>
      <c r="G44" s="137">
        <f t="shared" si="13"/>
        <v>2545477665</v>
      </c>
      <c r="H44" s="137">
        <f t="shared" si="13"/>
        <v>4254527449</v>
      </c>
      <c r="I44" s="137">
        <f t="shared" si="13"/>
        <v>3111802154</v>
      </c>
      <c r="J44" s="137">
        <f t="shared" si="13"/>
        <v>11793701572</v>
      </c>
      <c r="K44" s="137">
        <f>SUM(C44:J44)</f>
        <v>27546292207</v>
      </c>
      <c r="L44" s="137"/>
      <c r="M44" s="131">
        <f>SUM(M6:M42)-M9-M33</f>
        <v>5521737640</v>
      </c>
      <c r="N44" s="384">
        <f>+N12+N13+N14+N15+N16+N18+N25+N26+N27+N28+N29+N41+N43</f>
        <v>1618787433.5</v>
      </c>
      <c r="O44" s="387">
        <f>+Balance!D47</f>
        <v>27546292207</v>
      </c>
      <c r="P44" s="136">
        <f>+K44-O44</f>
        <v>0</v>
      </c>
      <c r="Q44" s="136"/>
      <c r="R44" s="136">
        <f>+O44</f>
        <v>27546292207</v>
      </c>
      <c r="S44" s="136">
        <f>+K44-R44</f>
        <v>0</v>
      </c>
    </row>
    <row r="45" spans="1:19" s="16" customFormat="1" ht="21" customHeight="1">
      <c r="A45" s="276"/>
      <c r="B45" s="301" t="s">
        <v>395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388"/>
    </row>
    <row r="46" spans="1:19" s="16" customFormat="1" ht="25.5" customHeight="1">
      <c r="A46" s="276">
        <v>1</v>
      </c>
      <c r="B46" s="277" t="s">
        <v>396</v>
      </c>
      <c r="C46" s="394">
        <f>+'Bank Assets Analysis'!C46-'Bank Assets Analysis'!D46</f>
        <v>171438</v>
      </c>
      <c r="D46" s="394">
        <f>+'Bank Assets Analysis'!E46-'Bank Assets Analysis'!F46</f>
        <v>3534103</v>
      </c>
      <c r="E46" s="394">
        <f>+'Bank Assets Analysis'!G46-'Bank Assets Analysis'!H46</f>
        <v>69057670</v>
      </c>
      <c r="F46" s="394">
        <f>+'Bank Assets Analysis'!I46-'Bank Assets Analysis'!J46</f>
        <v>48266709</v>
      </c>
      <c r="G46" s="394">
        <f>+'Bank Assets Analysis'!K46-'Bank Assets Analysis'!L46</f>
        <v>20429197</v>
      </c>
      <c r="H46" s="394">
        <f>+'Bank Assets Analysis'!M46-'Bank Assets Analysis'!N46</f>
        <v>43847717</v>
      </c>
      <c r="I46" s="394">
        <f>+'Bank Assets Analysis'!O46-'Bank Assets Analysis'!P46</f>
        <v>23345525</v>
      </c>
      <c r="J46" s="394">
        <f>+'Bank Assets Analysis'!Q46-'Bank Assets Analysis'!R46</f>
        <v>322715614</v>
      </c>
      <c r="K46" s="131">
        <f t="shared" ref="K46" si="14">+C46+D46+E46+F46+G46+H46+I46+J46</f>
        <v>531367973</v>
      </c>
      <c r="L46" s="131"/>
      <c r="M46" s="131"/>
      <c r="N46" s="131"/>
      <c r="O46" s="388"/>
    </row>
    <row r="47" spans="1:19" s="16" customFormat="1" ht="37.5" customHeight="1">
      <c r="A47" s="276"/>
      <c r="B47" s="277" t="s">
        <v>397</v>
      </c>
      <c r="C47" s="394">
        <f>+'Bank Assets Analysis'!C47-'Bank Assets Analysis'!D47</f>
        <v>0</v>
      </c>
      <c r="D47" s="394">
        <f>+'Bank Assets Analysis'!E47-'Bank Assets Analysis'!F47</f>
        <v>0</v>
      </c>
      <c r="E47" s="394">
        <f>+'Bank Assets Analysis'!G47-'Bank Assets Analysis'!H47</f>
        <v>0</v>
      </c>
      <c r="F47" s="394">
        <f>+'Bank Assets Analysis'!I47-'Bank Assets Analysis'!J47</f>
        <v>0</v>
      </c>
      <c r="G47" s="394">
        <f>+'Bank Assets Analysis'!K47-'Bank Assets Analysis'!L47</f>
        <v>0</v>
      </c>
      <c r="H47" s="394">
        <f>+'Bank Assets Analysis'!M47-'Bank Assets Analysis'!N47</f>
        <v>0</v>
      </c>
      <c r="I47" s="394">
        <f>+'Bank Assets Analysis'!O47-'Bank Assets Analysis'!P47</f>
        <v>0</v>
      </c>
      <c r="J47" s="394">
        <f>+'Bank Assets Analysis'!Q47-'Bank Assets Analysis'!R47</f>
        <v>0</v>
      </c>
      <c r="K47" s="131">
        <f t="shared" ref="K47" si="15">+C47+D47+E47+F47+G47+H47+I47+J47</f>
        <v>0</v>
      </c>
      <c r="L47" s="131"/>
      <c r="M47" s="131"/>
      <c r="N47" s="131"/>
      <c r="O47" s="388"/>
    </row>
    <row r="48" spans="1:19" s="16" customFormat="1" ht="25.5" customHeight="1">
      <c r="A48" s="276">
        <v>2</v>
      </c>
      <c r="B48" s="277" t="s">
        <v>398</v>
      </c>
      <c r="C48" s="394">
        <f>+'Bank Assets Analysis'!C48-'Bank Assets Analysis'!D48</f>
        <v>0</v>
      </c>
      <c r="D48" s="394">
        <f>+'Bank Assets Analysis'!E48-'Bank Assets Analysis'!F48</f>
        <v>0</v>
      </c>
      <c r="E48" s="394">
        <f>+'Bank Assets Analysis'!G48-'Bank Assets Analysis'!H48</f>
        <v>0</v>
      </c>
      <c r="F48" s="394">
        <f>+'Bank Assets Analysis'!I48-'Bank Assets Analysis'!J48</f>
        <v>5363563</v>
      </c>
      <c r="G48" s="394">
        <f>+'Bank Assets Analysis'!K48-'Bank Assets Analysis'!L48</f>
        <v>4000000</v>
      </c>
      <c r="H48" s="394">
        <f>+'Bank Assets Analysis'!M48-'Bank Assets Analysis'!N48</f>
        <v>0</v>
      </c>
      <c r="I48" s="394">
        <f>+'Bank Assets Analysis'!O48-'Bank Assets Analysis'!P48</f>
        <v>0</v>
      </c>
      <c r="J48" s="394">
        <f>+'Bank Assets Analysis'!Q48-'Bank Assets Analysis'!R48</f>
        <v>0</v>
      </c>
      <c r="K48" s="131">
        <f t="shared" ref="K48" si="16">+C48+D48+E48+F48+G48+H48+I48+J48</f>
        <v>9363563</v>
      </c>
      <c r="L48" s="131"/>
      <c r="M48" s="131"/>
      <c r="N48" s="131"/>
      <c r="O48" s="388"/>
    </row>
    <row r="49" spans="1:17" s="16" customFormat="1" ht="37.5" customHeight="1">
      <c r="A49" s="276"/>
      <c r="B49" s="277" t="s">
        <v>399</v>
      </c>
      <c r="C49" s="394">
        <f>+'Bank Assets Analysis'!C49-'Bank Assets Analysis'!D49</f>
        <v>0</v>
      </c>
      <c r="D49" s="394">
        <f>+'Bank Assets Analysis'!E49-'Bank Assets Analysis'!F49</f>
        <v>0</v>
      </c>
      <c r="E49" s="394">
        <f>+'Bank Assets Analysis'!G49-'Bank Assets Analysis'!H49</f>
        <v>0</v>
      </c>
      <c r="F49" s="394">
        <f>+'Bank Assets Analysis'!I49-'Bank Assets Analysis'!J49</f>
        <v>363563</v>
      </c>
      <c r="G49" s="394">
        <f>+'Bank Assets Analysis'!K49-'Bank Assets Analysis'!L49</f>
        <v>0</v>
      </c>
      <c r="H49" s="394">
        <f>+'Bank Assets Analysis'!M49-'Bank Assets Analysis'!N49</f>
        <v>0</v>
      </c>
      <c r="I49" s="394">
        <f>+'Bank Assets Analysis'!O49-'Bank Assets Analysis'!P49</f>
        <v>0</v>
      </c>
      <c r="J49" s="394">
        <f>+'Bank Assets Analysis'!Q49-'Bank Assets Analysis'!R49</f>
        <v>0</v>
      </c>
      <c r="K49" s="131">
        <f t="shared" ref="K49:K51" si="17">+C49+D49+E49+F49+G49+H49+I49+J49</f>
        <v>363563</v>
      </c>
      <c r="L49" s="131"/>
      <c r="M49" s="131"/>
      <c r="N49" s="131"/>
      <c r="O49" s="388"/>
    </row>
    <row r="50" spans="1:17" s="16" customFormat="1" ht="25.5" customHeight="1">
      <c r="A50" s="276">
        <v>3</v>
      </c>
      <c r="B50" s="277" t="s">
        <v>400</v>
      </c>
      <c r="C50" s="394">
        <f>+'Bank Assets Analysis'!C50-'Bank Assets Analysis'!D50</f>
        <v>0</v>
      </c>
      <c r="D50" s="394">
        <f>+'Bank Assets Analysis'!E50-'Bank Assets Analysis'!F50</f>
        <v>0</v>
      </c>
      <c r="E50" s="394">
        <f>+'Bank Assets Analysis'!G50-'Bank Assets Analysis'!H50</f>
        <v>0</v>
      </c>
      <c r="F50" s="394">
        <f>+'Bank Assets Analysis'!I50-'Bank Assets Analysis'!J50</f>
        <v>0</v>
      </c>
      <c r="G50" s="394">
        <f>+'Bank Assets Analysis'!K50-'Bank Assets Analysis'!L50</f>
        <v>0</v>
      </c>
      <c r="H50" s="394">
        <f>+'Bank Assets Analysis'!M50-'Bank Assets Analysis'!N50</f>
        <v>0</v>
      </c>
      <c r="I50" s="394">
        <f>+'Bank Assets Analysis'!O50-'Bank Assets Analysis'!P50</f>
        <v>0</v>
      </c>
      <c r="J50" s="394">
        <f>+'Bank Assets Analysis'!Q50-'Bank Assets Analysis'!R50</f>
        <v>0</v>
      </c>
      <c r="K50" s="131">
        <f t="shared" si="17"/>
        <v>0</v>
      </c>
      <c r="L50" s="131"/>
      <c r="M50" s="131"/>
      <c r="N50" s="131"/>
      <c r="O50" s="388"/>
    </row>
    <row r="51" spans="1:17" s="16" customFormat="1" ht="32.25" customHeight="1">
      <c r="A51" s="276"/>
      <c r="B51" s="277" t="s">
        <v>401</v>
      </c>
      <c r="C51" s="394">
        <f>+'Bank Assets Analysis'!C51-'Bank Assets Analysis'!D51</f>
        <v>0</v>
      </c>
      <c r="D51" s="394">
        <f>+'Bank Assets Analysis'!E51-'Bank Assets Analysis'!F51</f>
        <v>0</v>
      </c>
      <c r="E51" s="394">
        <f>+'Bank Assets Analysis'!G51-'Bank Assets Analysis'!H51</f>
        <v>0</v>
      </c>
      <c r="F51" s="394">
        <f>+'Bank Assets Analysis'!I51-'Bank Assets Analysis'!J51</f>
        <v>0</v>
      </c>
      <c r="G51" s="394">
        <f>+'Bank Assets Analysis'!K51-'Bank Assets Analysis'!L51</f>
        <v>0</v>
      </c>
      <c r="H51" s="394">
        <f>+'Bank Assets Analysis'!M51-'Bank Assets Analysis'!N51</f>
        <v>0</v>
      </c>
      <c r="I51" s="394">
        <f>+'Bank Assets Analysis'!O51-'Bank Assets Analysis'!P51</f>
        <v>0</v>
      </c>
      <c r="J51" s="394">
        <f>+'Bank Assets Analysis'!Q51-'Bank Assets Analysis'!R51</f>
        <v>0</v>
      </c>
      <c r="K51" s="131">
        <f t="shared" si="17"/>
        <v>0</v>
      </c>
      <c r="L51" s="131"/>
      <c r="M51" s="131"/>
      <c r="N51" s="131"/>
      <c r="O51" s="388"/>
    </row>
    <row r="52" spans="1:17" ht="27" customHeight="1">
      <c r="L52" s="366"/>
      <c r="M52" s="367"/>
      <c r="N52" s="368"/>
      <c r="Q52" s="369"/>
    </row>
    <row r="53" spans="1:17" s="369" customFormat="1" ht="15" customHeight="1">
      <c r="B53" s="370" t="s">
        <v>540</v>
      </c>
      <c r="O53" s="389"/>
    </row>
    <row r="54" spans="1:17" s="369" customFormat="1" ht="14.25" customHeight="1">
      <c r="B54" s="370"/>
      <c r="O54" s="389"/>
    </row>
    <row r="55" spans="1:17" s="369" customFormat="1" ht="15" customHeight="1">
      <c r="B55" s="370" t="s">
        <v>539</v>
      </c>
      <c r="O55" s="386"/>
    </row>
    <row r="56" spans="1:17">
      <c r="O56" s="390" t="s">
        <v>156</v>
      </c>
      <c r="P56" s="373">
        <f>+N44</f>
        <v>1618787433.5</v>
      </c>
    </row>
    <row r="57" spans="1:17" ht="30">
      <c r="B57" s="370"/>
      <c r="O57" s="390" t="s">
        <v>18</v>
      </c>
      <c r="P57" s="373">
        <f>+N6+N7+N10+N11+N19+N20+N21+N22+N23+N34-N43-N18</f>
        <v>2231391081</v>
      </c>
      <c r="Q57" s="369"/>
    </row>
    <row r="58" spans="1:17" ht="30">
      <c r="B58" s="370"/>
      <c r="O58" s="390" t="s">
        <v>157</v>
      </c>
      <c r="P58" s="373">
        <f>+P60-P62</f>
        <v>1931964305.5</v>
      </c>
    </row>
    <row r="59" spans="1:17" ht="20.25" customHeight="1">
      <c r="B59" s="370"/>
      <c r="O59" s="387"/>
      <c r="P59" s="369"/>
      <c r="Q59" s="369"/>
    </row>
    <row r="60" spans="1:17">
      <c r="O60" s="391" t="s">
        <v>171</v>
      </c>
      <c r="P60" s="373">
        <f>'Bank Liabilities Analysis (нац)'!M41+P61</f>
        <v>3550751739</v>
      </c>
    </row>
    <row r="61" spans="1:17" ht="34.5" customHeight="1">
      <c r="O61" s="391" t="s">
        <v>170</v>
      </c>
      <c r="P61" s="373">
        <f>+'Liquidity Analysis'!D41</f>
        <v>80975733</v>
      </c>
      <c r="Q61" s="374"/>
    </row>
    <row r="62" spans="1:17" ht="30">
      <c r="O62" s="391" t="s">
        <v>159</v>
      </c>
      <c r="P62" s="373">
        <f>IF(P56&gt;(P60*0.75),P60*0.75,P56)</f>
        <v>1618787433.5</v>
      </c>
    </row>
    <row r="63" spans="1:17">
      <c r="P63" s="368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C6:J23 C25:J41 C43:J43 C46:J51">
    <cfRule type="cellIs" dxfId="46" priority="1" operator="lessThan">
      <formula>0</formula>
    </cfRule>
  </conditionalFormatting>
  <conditionalFormatting sqref="K44">
    <cfRule type="cellIs" dxfId="45" priority="271" operator="notEqual">
      <formula>$O$44</formula>
    </cfRule>
  </conditionalFormatting>
  <conditionalFormatting sqref="M46:M51">
    <cfRule type="cellIs" dxfId="44" priority="3" operator="greaterThan">
      <formula>L46</formula>
    </cfRule>
  </conditionalFormatting>
  <dataValidations count="2">
    <dataValidation type="whole" operator="notEqual" allowBlank="1" showErrorMessage="1" error="Введите как целое число." sqref="J36:J37 D36:I38 K45 L45:N51 D39:J43 C45:J51 D20:J35 C20:C43 C6:J19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6" orientation="landscape" r:id="rId1"/>
  <headerFooter alignWithMargins="0"/>
  <ignoredErrors>
    <ignoredError sqref="C35:J38 C6:J8 C14:J16 C20:J20 C10:J10 C19:J19 C40:J42 C24:J29 C22:J22 C31:J34" unlockedFormula="1"/>
    <ignoredError sqref="L12:M12 L13 M27" formula="1"/>
    <ignoredError sqref="A20:B28 A19:B19 A6:A16 A36:B51 A29 A30:B32 A33 A17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A61"/>
  <sheetViews>
    <sheetView view="pageBreakPreview" topLeftCell="A3" zoomScale="80" zoomScaleNormal="78" zoomScaleSheetLayoutView="80" workbookViewId="0">
      <pane xSplit="2" ySplit="3" topLeftCell="C42" activePane="bottomRight" state="frozen"/>
      <selection activeCell="G38" sqref="G38"/>
      <selection pane="topRight" activeCell="G38" sqref="G38"/>
      <selection pane="bottomLeft" activeCell="G38" sqref="G38"/>
      <selection pane="bottomRight" activeCell="D40" sqref="D40"/>
    </sheetView>
  </sheetViews>
  <sheetFormatPr defaultRowHeight="12.75"/>
  <cols>
    <col min="1" max="1" width="6.28515625" style="182" customWidth="1"/>
    <col min="2" max="2" width="53.28515625" style="222" customWidth="1"/>
    <col min="3" max="16" width="14.7109375" style="18" customWidth="1"/>
    <col min="17" max="18" width="16.5703125" style="18" customWidth="1"/>
    <col min="19" max="21" width="15.85546875" style="18" customWidth="1"/>
    <col min="22" max="22" width="19.140625" style="142" customWidth="1"/>
    <col min="23" max="24" width="17.5703125" style="141" customWidth="1"/>
    <col min="25" max="25" width="19.42578125" style="18" bestFit="1" customWidth="1"/>
    <col min="26" max="26" width="20.7109375" style="18" customWidth="1"/>
    <col min="27" max="27" width="17.5703125" style="300" customWidth="1"/>
    <col min="28" max="16384" width="9.140625" style="18"/>
  </cols>
  <sheetData>
    <row r="1" spans="1:27" s="148" customFormat="1" ht="30" customHeight="1">
      <c r="A1" s="96" t="s">
        <v>404</v>
      </c>
      <c r="B1" s="284"/>
      <c r="C1" s="285"/>
      <c r="D1" s="285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7"/>
      <c r="P1" s="287"/>
      <c r="Q1" s="287"/>
      <c r="R1" s="287"/>
      <c r="S1" s="287"/>
      <c r="T1" s="287"/>
      <c r="U1" s="287"/>
      <c r="V1" s="287"/>
      <c r="W1" s="288" t="s">
        <v>405</v>
      </c>
      <c r="X1" s="288"/>
    </row>
    <row r="2" spans="1:27" ht="23.25" customHeight="1">
      <c r="B2" s="180" t="str">
        <f>Balance!B3</f>
        <v>"Ўзсаноатқурилишбанк" АТБ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229"/>
      <c r="U2" s="229"/>
      <c r="V2" s="353">
        <f>+Balance!D3</f>
        <v>45289</v>
      </c>
      <c r="W2" s="142"/>
      <c r="X2" s="141" t="s">
        <v>174</v>
      </c>
      <c r="Y2" s="139"/>
      <c r="AA2" s="18"/>
    </row>
    <row r="3" spans="1:27" s="148" customFormat="1" ht="21.75" customHeight="1">
      <c r="A3" s="418" t="s">
        <v>54</v>
      </c>
      <c r="B3" s="418" t="s">
        <v>336</v>
      </c>
      <c r="C3" s="415" t="s">
        <v>337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6"/>
      <c r="S3" s="418" t="s">
        <v>176</v>
      </c>
      <c r="T3" s="423" t="s">
        <v>338</v>
      </c>
      <c r="U3" s="424"/>
      <c r="V3" s="432" t="s">
        <v>339</v>
      </c>
      <c r="W3" s="433"/>
      <c r="X3" s="434"/>
      <c r="AA3" s="289"/>
    </row>
    <row r="4" spans="1:27" s="148" customFormat="1" ht="21" customHeight="1">
      <c r="A4" s="419"/>
      <c r="B4" s="419"/>
      <c r="C4" s="415" t="s">
        <v>340</v>
      </c>
      <c r="D4" s="416"/>
      <c r="E4" s="415" t="s">
        <v>341</v>
      </c>
      <c r="F4" s="416"/>
      <c r="G4" s="415" t="s">
        <v>342</v>
      </c>
      <c r="H4" s="416"/>
      <c r="I4" s="415" t="s">
        <v>343</v>
      </c>
      <c r="J4" s="416"/>
      <c r="K4" s="415" t="s">
        <v>344</v>
      </c>
      <c r="L4" s="416"/>
      <c r="M4" s="415" t="s">
        <v>345</v>
      </c>
      <c r="N4" s="416"/>
      <c r="O4" s="415" t="s">
        <v>346</v>
      </c>
      <c r="P4" s="416"/>
      <c r="Q4" s="415" t="s">
        <v>347</v>
      </c>
      <c r="R4" s="416"/>
      <c r="S4" s="419"/>
      <c r="T4" s="425"/>
      <c r="U4" s="426"/>
      <c r="V4" s="435"/>
      <c r="W4" s="436"/>
      <c r="X4" s="437"/>
      <c r="AA4" s="289"/>
    </row>
    <row r="5" spans="1:27" s="148" customFormat="1" ht="102" customHeight="1">
      <c r="A5" s="419"/>
      <c r="B5" s="419"/>
      <c r="C5" s="254" t="s">
        <v>140</v>
      </c>
      <c r="D5" s="254" t="s">
        <v>348</v>
      </c>
      <c r="E5" s="254" t="s">
        <v>140</v>
      </c>
      <c r="F5" s="254" t="s">
        <v>348</v>
      </c>
      <c r="G5" s="254" t="s">
        <v>140</v>
      </c>
      <c r="H5" s="254" t="s">
        <v>348</v>
      </c>
      <c r="I5" s="254" t="s">
        <v>140</v>
      </c>
      <c r="J5" s="254" t="s">
        <v>348</v>
      </c>
      <c r="K5" s="254" t="s">
        <v>140</v>
      </c>
      <c r="L5" s="254" t="s">
        <v>348</v>
      </c>
      <c r="M5" s="254" t="s">
        <v>140</v>
      </c>
      <c r="N5" s="254" t="s">
        <v>348</v>
      </c>
      <c r="O5" s="254" t="s">
        <v>140</v>
      </c>
      <c r="P5" s="254" t="s">
        <v>348</v>
      </c>
      <c r="Q5" s="254" t="s">
        <v>140</v>
      </c>
      <c r="R5" s="254" t="s">
        <v>348</v>
      </c>
      <c r="S5" s="419"/>
      <c r="T5" s="254" t="s">
        <v>349</v>
      </c>
      <c r="U5" s="254" t="s">
        <v>350</v>
      </c>
      <c r="V5" s="376" t="s">
        <v>22</v>
      </c>
      <c r="W5" s="376" t="s">
        <v>312</v>
      </c>
      <c r="X5" s="376" t="s">
        <v>403</v>
      </c>
      <c r="AA5" s="289"/>
    </row>
    <row r="6" spans="1:27" s="148" customFormat="1" ht="25.5" customHeight="1">
      <c r="A6" s="259" t="s">
        <v>55</v>
      </c>
      <c r="B6" s="290" t="s">
        <v>406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291"/>
      <c r="W6" s="143"/>
      <c r="X6" s="143"/>
      <c r="AA6" s="289"/>
    </row>
    <row r="7" spans="1:27" s="148" customFormat="1" ht="25.5" customHeight="1">
      <c r="A7" s="259" t="s">
        <v>66</v>
      </c>
      <c r="B7" s="292" t="s">
        <v>407</v>
      </c>
      <c r="C7" s="140">
        <f>SUM(C8:C11)</f>
        <v>2722791137</v>
      </c>
      <c r="D7" s="140">
        <f t="shared" ref="D7:R7" si="0">SUM(D8:D11)</f>
        <v>859139365</v>
      </c>
      <c r="E7" s="140">
        <f t="shared" ref="E7:F7" si="1">SUM(E8:E11)</f>
        <v>0</v>
      </c>
      <c r="F7" s="140">
        <f t="shared" si="1"/>
        <v>0</v>
      </c>
      <c r="G7" s="140">
        <f t="shared" si="0"/>
        <v>0</v>
      </c>
      <c r="H7" s="140">
        <f t="shared" si="0"/>
        <v>0</v>
      </c>
      <c r="I7" s="140">
        <f t="shared" ref="I7" si="2">SUM(I8:I11)</f>
        <v>0</v>
      </c>
      <c r="J7" s="140">
        <f t="shared" ref="J7" si="3">SUM(J8:J11)</f>
        <v>0</v>
      </c>
      <c r="K7" s="140">
        <f t="shared" si="0"/>
        <v>0</v>
      </c>
      <c r="L7" s="140">
        <f t="shared" si="0"/>
        <v>0</v>
      </c>
      <c r="M7" s="140">
        <f t="shared" si="0"/>
        <v>0</v>
      </c>
      <c r="N7" s="140">
        <f t="shared" si="0"/>
        <v>0</v>
      </c>
      <c r="O7" s="140">
        <f t="shared" ref="O7" si="4">SUM(O8:O11)</f>
        <v>0</v>
      </c>
      <c r="P7" s="140">
        <f t="shared" ref="P7" si="5">SUM(P8:P11)</f>
        <v>0</v>
      </c>
      <c r="Q7" s="140">
        <f t="shared" si="0"/>
        <v>0</v>
      </c>
      <c r="R7" s="140">
        <f t="shared" si="0"/>
        <v>0</v>
      </c>
      <c r="S7" s="140">
        <f>+C7+E7+G7+I7+K7+M7+O7+Q7</f>
        <v>2722791137</v>
      </c>
      <c r="T7" s="140">
        <f>+S7-U7</f>
        <v>1863651772</v>
      </c>
      <c r="U7" s="140">
        <f>+D7+F7+H7+J7+L7+N7+P7+R7</f>
        <v>859139365</v>
      </c>
      <c r="V7" s="291"/>
      <c r="W7" s="144"/>
      <c r="X7" s="144"/>
      <c r="AA7" s="289"/>
    </row>
    <row r="8" spans="1:27" s="148" customFormat="1" ht="25.5" customHeight="1">
      <c r="A8" s="259" t="s">
        <v>141</v>
      </c>
      <c r="B8" s="292" t="s">
        <v>408</v>
      </c>
      <c r="C8" s="8">
        <v>181810063</v>
      </c>
      <c r="D8" s="8">
        <v>124306460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40">
        <f t="shared" ref="S8:S56" si="6">+C8+E8+G8+I8+K8+M8+O8+Q8</f>
        <v>181810063</v>
      </c>
      <c r="T8" s="140">
        <f t="shared" ref="T8:T56" si="7">+S8-U8</f>
        <v>57503603</v>
      </c>
      <c r="U8" s="140">
        <f t="shared" ref="U8:U56" si="8">+D8+F8+H8+J8+L8+N8+P8+R8</f>
        <v>124306460</v>
      </c>
      <c r="V8" s="183"/>
      <c r="W8" s="144"/>
      <c r="X8" s="144"/>
      <c r="AA8" s="208"/>
    </row>
    <row r="9" spans="1:27" s="148" customFormat="1" ht="25.5" customHeight="1">
      <c r="A9" s="259" t="s">
        <v>142</v>
      </c>
      <c r="B9" s="292" t="s">
        <v>409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40">
        <f t="shared" si="6"/>
        <v>0</v>
      </c>
      <c r="T9" s="140">
        <f t="shared" si="7"/>
        <v>0</v>
      </c>
      <c r="U9" s="140">
        <f t="shared" si="8"/>
        <v>0</v>
      </c>
      <c r="V9" s="183"/>
      <c r="W9" s="144"/>
      <c r="X9" s="144"/>
      <c r="AA9" s="208"/>
    </row>
    <row r="10" spans="1:27" s="148" customFormat="1" ht="25.5" customHeight="1">
      <c r="A10" s="259" t="s">
        <v>143</v>
      </c>
      <c r="B10" s="292" t="s">
        <v>410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40">
        <f t="shared" si="6"/>
        <v>0</v>
      </c>
      <c r="T10" s="140">
        <f t="shared" si="7"/>
        <v>0</v>
      </c>
      <c r="U10" s="140">
        <f t="shared" si="8"/>
        <v>0</v>
      </c>
      <c r="V10" s="183"/>
      <c r="W10" s="144"/>
      <c r="X10" s="144"/>
      <c r="AA10" s="208"/>
    </row>
    <row r="11" spans="1:27" s="148" customFormat="1" ht="25.5" customHeight="1">
      <c r="A11" s="259" t="s">
        <v>144</v>
      </c>
      <c r="B11" s="292" t="s">
        <v>411</v>
      </c>
      <c r="C11" s="8">
        <v>2540981074</v>
      </c>
      <c r="D11" s="8">
        <v>734832905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40">
        <f t="shared" si="6"/>
        <v>2540981074</v>
      </c>
      <c r="T11" s="140">
        <f t="shared" si="7"/>
        <v>1806148169</v>
      </c>
      <c r="U11" s="140">
        <f t="shared" si="8"/>
        <v>734832905</v>
      </c>
      <c r="V11" s="183"/>
      <c r="W11" s="144"/>
      <c r="X11" s="144"/>
      <c r="AA11" s="208"/>
    </row>
    <row r="12" spans="1:27" s="148" customFormat="1" ht="25.5" customHeight="1">
      <c r="A12" s="259" t="s">
        <v>67</v>
      </c>
      <c r="B12" s="292" t="s">
        <v>232</v>
      </c>
      <c r="C12" s="8">
        <f>200000+C13+C14</f>
        <v>32310530</v>
      </c>
      <c r="D12" s="8">
        <f>0+D13+D14</f>
        <v>58666</v>
      </c>
      <c r="E12" s="8">
        <f>41129+1780001+E13+E14</f>
        <v>53385736</v>
      </c>
      <c r="F12" s="8">
        <f>41129+F13+F14</f>
        <v>14321636</v>
      </c>
      <c r="G12" s="8">
        <f>165733939+G13+G14</f>
        <v>335537837</v>
      </c>
      <c r="H12" s="8">
        <f>71467643+H13+H14</f>
        <v>97578144</v>
      </c>
      <c r="I12" s="8">
        <f>229164220+I13+I14</f>
        <v>888164380</v>
      </c>
      <c r="J12" s="8">
        <f>110114175+J13+J14</f>
        <v>196843902</v>
      </c>
      <c r="K12" s="8">
        <f>701684443+K13+K14</f>
        <v>1150956467</v>
      </c>
      <c r="L12" s="8">
        <f>91138642+L13+L14</f>
        <v>202031117</v>
      </c>
      <c r="M12" s="8">
        <f>517061146+M13+M14</f>
        <v>1705054735</v>
      </c>
      <c r="N12" s="8">
        <f>248123789+N13+N14</f>
        <v>266132422</v>
      </c>
      <c r="O12" s="8">
        <f>1231533006+16100000+O13+O14</f>
        <v>1660568440</v>
      </c>
      <c r="P12" s="8">
        <f>1004525430+P13+P14</f>
        <v>1004525430</v>
      </c>
      <c r="Q12" s="8">
        <f>2143017462+Q13+Q14</f>
        <v>2147109497</v>
      </c>
      <c r="R12" s="8">
        <f>836957786+R13+R14</f>
        <v>836957786</v>
      </c>
      <c r="S12" s="140">
        <f t="shared" si="6"/>
        <v>7973087622</v>
      </c>
      <c r="T12" s="140">
        <f t="shared" si="7"/>
        <v>5354638519</v>
      </c>
      <c r="U12" s="140">
        <f t="shared" si="8"/>
        <v>2618449103</v>
      </c>
      <c r="V12" s="183"/>
      <c r="W12" s="144"/>
      <c r="X12" s="144"/>
      <c r="AA12" s="208"/>
    </row>
    <row r="13" spans="1:27" s="148" customFormat="1" ht="25.5" customHeight="1">
      <c r="A13" s="259" t="s">
        <v>154</v>
      </c>
      <c r="B13" s="293" t="s">
        <v>412</v>
      </c>
      <c r="C13" s="8">
        <v>32110530</v>
      </c>
      <c r="D13" s="8">
        <v>58666</v>
      </c>
      <c r="E13" s="8">
        <v>51564606</v>
      </c>
      <c r="F13" s="8">
        <v>14280507</v>
      </c>
      <c r="G13" s="8">
        <v>169803898</v>
      </c>
      <c r="H13" s="8">
        <v>26110501</v>
      </c>
      <c r="I13" s="8">
        <v>659000160</v>
      </c>
      <c r="J13" s="8">
        <v>86729727</v>
      </c>
      <c r="K13" s="8">
        <v>449272024</v>
      </c>
      <c r="L13" s="8">
        <v>110892475</v>
      </c>
      <c r="M13" s="8">
        <v>1187993589</v>
      </c>
      <c r="N13" s="8">
        <v>18008633</v>
      </c>
      <c r="O13" s="8">
        <v>412935434</v>
      </c>
      <c r="P13" s="8">
        <v>0</v>
      </c>
      <c r="Q13" s="8">
        <v>4092035</v>
      </c>
      <c r="R13" s="8">
        <v>0</v>
      </c>
      <c r="S13" s="140">
        <f t="shared" si="6"/>
        <v>2966772276</v>
      </c>
      <c r="T13" s="140">
        <f t="shared" si="7"/>
        <v>2710691767</v>
      </c>
      <c r="U13" s="140">
        <f t="shared" si="8"/>
        <v>256080509</v>
      </c>
      <c r="V13" s="183"/>
      <c r="W13" s="144"/>
      <c r="X13" s="144"/>
      <c r="AA13" s="208"/>
    </row>
    <row r="14" spans="1:27" s="148" customFormat="1" ht="25.5" customHeight="1">
      <c r="A14" s="259" t="s">
        <v>155</v>
      </c>
      <c r="B14" s="293" t="s">
        <v>413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40">
        <f t="shared" si="6"/>
        <v>0</v>
      </c>
      <c r="T14" s="140">
        <f t="shared" si="7"/>
        <v>0</v>
      </c>
      <c r="U14" s="140">
        <f t="shared" si="8"/>
        <v>0</v>
      </c>
      <c r="V14" s="183"/>
      <c r="W14" s="144"/>
      <c r="X14" s="144"/>
      <c r="AA14" s="208"/>
    </row>
    <row r="15" spans="1:27" s="148" customFormat="1" ht="25.5" customHeight="1">
      <c r="A15" s="259" t="s">
        <v>68</v>
      </c>
      <c r="B15" s="292" t="s">
        <v>414</v>
      </c>
      <c r="C15" s="140">
        <f t="shared" ref="C15:R15" si="9">SUM(C16:C19)</f>
        <v>1935696373</v>
      </c>
      <c r="D15" s="140">
        <f t="shared" si="9"/>
        <v>244935434</v>
      </c>
      <c r="E15" s="140">
        <f t="shared" si="9"/>
        <v>0</v>
      </c>
      <c r="F15" s="140">
        <f t="shared" si="9"/>
        <v>0</v>
      </c>
      <c r="G15" s="140">
        <f t="shared" si="9"/>
        <v>110222850</v>
      </c>
      <c r="H15" s="140">
        <f t="shared" si="9"/>
        <v>110222850</v>
      </c>
      <c r="I15" s="140">
        <f t="shared" si="9"/>
        <v>140260274</v>
      </c>
      <c r="J15" s="140">
        <f t="shared" si="9"/>
        <v>139730522</v>
      </c>
      <c r="K15" s="140">
        <f t="shared" si="9"/>
        <v>418842812</v>
      </c>
      <c r="L15" s="140">
        <f t="shared" si="9"/>
        <v>418842812</v>
      </c>
      <c r="M15" s="140">
        <f t="shared" si="9"/>
        <v>258314981</v>
      </c>
      <c r="N15" s="140">
        <f t="shared" si="9"/>
        <v>258314981</v>
      </c>
      <c r="O15" s="140">
        <f t="shared" si="9"/>
        <v>239375099</v>
      </c>
      <c r="P15" s="140">
        <f t="shared" si="9"/>
        <v>239375099</v>
      </c>
      <c r="Q15" s="140">
        <f t="shared" si="9"/>
        <v>0</v>
      </c>
      <c r="R15" s="140">
        <f t="shared" si="9"/>
        <v>0</v>
      </c>
      <c r="S15" s="140">
        <f t="shared" si="6"/>
        <v>3102712389</v>
      </c>
      <c r="T15" s="140">
        <f t="shared" si="7"/>
        <v>1691290691</v>
      </c>
      <c r="U15" s="140">
        <f t="shared" si="8"/>
        <v>1411421698</v>
      </c>
      <c r="V15" s="183"/>
      <c r="W15" s="144"/>
      <c r="X15" s="144"/>
      <c r="AA15" s="208"/>
    </row>
    <row r="16" spans="1:27" s="148" customFormat="1" ht="28.5" customHeight="1">
      <c r="A16" s="259" t="s">
        <v>145</v>
      </c>
      <c r="B16" s="292" t="s">
        <v>415</v>
      </c>
      <c r="C16" s="8">
        <v>1291535177</v>
      </c>
      <c r="D16" s="8">
        <v>162945903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40">
        <f t="shared" si="6"/>
        <v>1291535177</v>
      </c>
      <c r="T16" s="140">
        <f t="shared" si="7"/>
        <v>1128589274</v>
      </c>
      <c r="U16" s="140">
        <f t="shared" si="8"/>
        <v>162945903</v>
      </c>
      <c r="V16" s="183"/>
      <c r="W16" s="144"/>
      <c r="X16" s="144"/>
      <c r="AA16" s="208"/>
    </row>
    <row r="17" spans="1:27" s="148" customFormat="1" ht="28.5" customHeight="1">
      <c r="A17" s="259" t="s">
        <v>146</v>
      </c>
      <c r="B17" s="292" t="s">
        <v>416</v>
      </c>
      <c r="C17" s="8">
        <v>16528585</v>
      </c>
      <c r="D17" s="8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40">
        <f t="shared" si="6"/>
        <v>16528585</v>
      </c>
      <c r="T17" s="140">
        <f t="shared" si="7"/>
        <v>16528585</v>
      </c>
      <c r="U17" s="140">
        <f t="shared" si="8"/>
        <v>0</v>
      </c>
      <c r="V17" s="183"/>
      <c r="W17" s="144"/>
      <c r="X17" s="144"/>
      <c r="AA17" s="208"/>
    </row>
    <row r="18" spans="1:27" s="148" customFormat="1" ht="25.5" customHeight="1">
      <c r="A18" s="259" t="s">
        <v>147</v>
      </c>
      <c r="B18" s="292" t="s">
        <v>417</v>
      </c>
      <c r="C18" s="8">
        <v>0</v>
      </c>
      <c r="D18" s="8">
        <v>0</v>
      </c>
      <c r="E18" s="8">
        <v>0</v>
      </c>
      <c r="F18" s="8">
        <v>0</v>
      </c>
      <c r="G18" s="8">
        <v>110222850</v>
      </c>
      <c r="H18" s="8">
        <v>110222850</v>
      </c>
      <c r="I18" s="8">
        <f>139730522+529752</f>
        <v>140260274</v>
      </c>
      <c r="J18" s="8">
        <v>139730522</v>
      </c>
      <c r="K18" s="8">
        <v>418842812</v>
      </c>
      <c r="L18" s="8">
        <v>418842812</v>
      </c>
      <c r="M18" s="8">
        <v>258314981</v>
      </c>
      <c r="N18" s="8">
        <v>258314981</v>
      </c>
      <c r="O18" s="8">
        <v>239375099</v>
      </c>
      <c r="P18" s="8">
        <v>239375099</v>
      </c>
      <c r="Q18" s="8">
        <v>0</v>
      </c>
      <c r="R18" s="8">
        <v>0</v>
      </c>
      <c r="S18" s="140">
        <f t="shared" si="6"/>
        <v>1167016016</v>
      </c>
      <c r="T18" s="140">
        <f t="shared" si="7"/>
        <v>529752</v>
      </c>
      <c r="U18" s="140">
        <f t="shared" si="8"/>
        <v>1166486264</v>
      </c>
      <c r="V18" s="183"/>
      <c r="W18" s="144"/>
      <c r="X18" s="144"/>
      <c r="AA18" s="208"/>
    </row>
    <row r="19" spans="1:27" s="148" customFormat="1" ht="25.5" customHeight="1">
      <c r="A19" s="259" t="s">
        <v>148</v>
      </c>
      <c r="B19" s="292" t="s">
        <v>371</v>
      </c>
      <c r="C19" s="8">
        <v>627632611</v>
      </c>
      <c r="D19" s="8">
        <v>81989531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40">
        <f t="shared" si="6"/>
        <v>627632611</v>
      </c>
      <c r="T19" s="140">
        <f t="shared" si="7"/>
        <v>545643080</v>
      </c>
      <c r="U19" s="140">
        <f t="shared" si="8"/>
        <v>81989531</v>
      </c>
      <c r="V19" s="183"/>
      <c r="W19" s="144"/>
      <c r="X19" s="144"/>
      <c r="AA19" s="208"/>
    </row>
    <row r="20" spans="1:27" s="148" customFormat="1" ht="25.5" customHeight="1">
      <c r="A20" s="259" t="s">
        <v>69</v>
      </c>
      <c r="B20" s="294" t="s">
        <v>418</v>
      </c>
      <c r="C20" s="140">
        <f t="shared" ref="C20:R20" si="10">+C7+C12+C15</f>
        <v>4690798040</v>
      </c>
      <c r="D20" s="140">
        <f t="shared" si="10"/>
        <v>1104133465</v>
      </c>
      <c r="E20" s="140">
        <f t="shared" si="10"/>
        <v>53385736</v>
      </c>
      <c r="F20" s="140">
        <f t="shared" si="10"/>
        <v>14321636</v>
      </c>
      <c r="G20" s="140">
        <f t="shared" si="10"/>
        <v>445760687</v>
      </c>
      <c r="H20" s="140">
        <f t="shared" si="10"/>
        <v>207800994</v>
      </c>
      <c r="I20" s="140">
        <f t="shared" si="10"/>
        <v>1028424654</v>
      </c>
      <c r="J20" s="140">
        <f t="shared" si="10"/>
        <v>336574424</v>
      </c>
      <c r="K20" s="140">
        <f t="shared" si="10"/>
        <v>1569799279</v>
      </c>
      <c r="L20" s="140">
        <f t="shared" si="10"/>
        <v>620873929</v>
      </c>
      <c r="M20" s="140">
        <f t="shared" si="10"/>
        <v>1963369716</v>
      </c>
      <c r="N20" s="140">
        <f t="shared" si="10"/>
        <v>524447403</v>
      </c>
      <c r="O20" s="140">
        <f t="shared" si="10"/>
        <v>1899943539</v>
      </c>
      <c r="P20" s="140">
        <f t="shared" si="10"/>
        <v>1243900529</v>
      </c>
      <c r="Q20" s="140">
        <f t="shared" si="10"/>
        <v>2147109497</v>
      </c>
      <c r="R20" s="140">
        <f t="shared" si="10"/>
        <v>836957786</v>
      </c>
      <c r="S20" s="140">
        <f t="shared" si="6"/>
        <v>13798591148</v>
      </c>
      <c r="T20" s="140">
        <f t="shared" si="7"/>
        <v>8909580982</v>
      </c>
      <c r="U20" s="140">
        <f t="shared" si="8"/>
        <v>4889010166</v>
      </c>
      <c r="V20" s="183">
        <v>0.15</v>
      </c>
      <c r="W20" s="144">
        <f>+X20+'Bank Liabilities Analysis (нац)'!M21</f>
        <v>1813003912.3499999</v>
      </c>
      <c r="X20" s="144">
        <f>(U20-(J44+L44+N44+P44+R44))*V20</f>
        <v>476566765.05000001</v>
      </c>
      <c r="Y20" s="199">
        <f>+'Deposits by Client'!C22</f>
        <v>13798591148</v>
      </c>
      <c r="Z20" s="199">
        <f>+Y20-AA20</f>
        <v>8909580982</v>
      </c>
      <c r="AA20" s="199">
        <f>+'Deposits by Client'!D22</f>
        <v>4889010166</v>
      </c>
    </row>
    <row r="21" spans="1:27" s="148" customFormat="1" ht="25.5" customHeight="1">
      <c r="A21" s="259" t="s">
        <v>57</v>
      </c>
      <c r="B21" s="292" t="s">
        <v>234</v>
      </c>
      <c r="C21" s="8">
        <f>C22</f>
        <v>1074053</v>
      </c>
      <c r="D21" s="8">
        <v>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40">
        <f t="shared" si="6"/>
        <v>1074053</v>
      </c>
      <c r="T21" s="140">
        <f t="shared" si="7"/>
        <v>1074053</v>
      </c>
      <c r="U21" s="140">
        <f t="shared" si="8"/>
        <v>0</v>
      </c>
      <c r="V21" s="183">
        <v>1</v>
      </c>
      <c r="W21" s="144">
        <f>(C21+E21+G21-C22-E22-G22)*V21</f>
        <v>0</v>
      </c>
      <c r="X21" s="144">
        <f>(D21+F21+H21-D22-F22-H22)*V21</f>
        <v>0</v>
      </c>
      <c r="Y21" s="208">
        <f>+S20-Y20</f>
        <v>0</v>
      </c>
      <c r="Z21" s="208">
        <f>+T20-Z20</f>
        <v>0</v>
      </c>
      <c r="AA21" s="208">
        <f>+U20-AA20</f>
        <v>0</v>
      </c>
    </row>
    <row r="22" spans="1:27" s="148" customFormat="1" ht="43.5" customHeight="1">
      <c r="A22" s="259" t="s">
        <v>94</v>
      </c>
      <c r="B22" s="292" t="s">
        <v>545</v>
      </c>
      <c r="C22" s="8">
        <v>1074053</v>
      </c>
      <c r="D22" s="8">
        <v>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40">
        <f t="shared" ref="S22" si="11">+C22+E22+G22+I22+K22+M22+O22+Q22</f>
        <v>1074053</v>
      </c>
      <c r="T22" s="140">
        <f t="shared" ref="T22" si="12">+S22-U22</f>
        <v>1074053</v>
      </c>
      <c r="U22" s="140">
        <f t="shared" ref="U22" si="13">+D22+F22+H22+J22+L22+N22+P22+R22</f>
        <v>0</v>
      </c>
      <c r="V22" s="183"/>
      <c r="W22" s="144"/>
      <c r="X22" s="144"/>
      <c r="Y22" s="208"/>
      <c r="Z22" s="208"/>
      <c r="AA22" s="208"/>
    </row>
    <row r="23" spans="1:27" s="148" customFormat="1" ht="25.5" customHeight="1">
      <c r="A23" s="259" t="s">
        <v>58</v>
      </c>
      <c r="B23" s="292" t="s">
        <v>419</v>
      </c>
      <c r="C23" s="140">
        <f>SUM(C24:C28)-C25</f>
        <v>497095880</v>
      </c>
      <c r="D23" s="140">
        <f t="shared" ref="D23:R23" si="14">SUM(D24:D28)-D25</f>
        <v>458461140</v>
      </c>
      <c r="E23" s="140">
        <f t="shared" si="14"/>
        <v>274636400</v>
      </c>
      <c r="F23" s="140">
        <f t="shared" si="14"/>
        <v>274636400</v>
      </c>
      <c r="G23" s="140">
        <f t="shared" si="14"/>
        <v>1057907551</v>
      </c>
      <c r="H23" s="140">
        <f t="shared" si="14"/>
        <v>382287100</v>
      </c>
      <c r="I23" s="140">
        <f t="shared" si="14"/>
        <v>3572927419</v>
      </c>
      <c r="J23" s="140">
        <f t="shared" si="14"/>
        <v>3130907870</v>
      </c>
      <c r="K23" s="140">
        <f t="shared" si="14"/>
        <v>244545210</v>
      </c>
      <c r="L23" s="140">
        <f t="shared" si="14"/>
        <v>0</v>
      </c>
      <c r="M23" s="140">
        <f t="shared" si="14"/>
        <v>110875781</v>
      </c>
      <c r="N23" s="140">
        <f t="shared" si="14"/>
        <v>66629358</v>
      </c>
      <c r="O23" s="140">
        <f t="shared" si="14"/>
        <v>284402609</v>
      </c>
      <c r="P23" s="140">
        <f t="shared" si="14"/>
        <v>206688407</v>
      </c>
      <c r="Q23" s="140">
        <f t="shared" si="14"/>
        <v>50660092</v>
      </c>
      <c r="R23" s="140">
        <f t="shared" si="14"/>
        <v>0</v>
      </c>
      <c r="S23" s="140">
        <f t="shared" si="6"/>
        <v>6093050942</v>
      </c>
      <c r="T23" s="140">
        <f t="shared" si="7"/>
        <v>1573440667</v>
      </c>
      <c r="U23" s="140">
        <f t="shared" si="8"/>
        <v>4519610275</v>
      </c>
      <c r="V23" s="183"/>
      <c r="W23" s="144"/>
      <c r="X23" s="144"/>
      <c r="AA23" s="208"/>
    </row>
    <row r="24" spans="1:27" s="148" customFormat="1" ht="27.75" customHeight="1">
      <c r="A24" s="259" t="s">
        <v>74</v>
      </c>
      <c r="B24" s="292" t="s">
        <v>420</v>
      </c>
      <c r="C24" s="8">
        <v>457416473</v>
      </c>
      <c r="D24" s="8">
        <v>454725055</v>
      </c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>
        <f>+C24</f>
        <v>457416473</v>
      </c>
      <c r="T24" s="140">
        <f t="shared" ref="T24" si="15">+S24-U24</f>
        <v>2691418</v>
      </c>
      <c r="U24" s="140">
        <f>+D24</f>
        <v>454725055</v>
      </c>
      <c r="V24" s="183">
        <v>1</v>
      </c>
      <c r="W24" s="144">
        <f>X24+'Bank Liabilities Analysis (нац)'!M25</f>
        <v>276512575</v>
      </c>
      <c r="X24" s="144">
        <f>(U24-U25)*V24</f>
        <v>273821157</v>
      </c>
      <c r="AA24" s="208"/>
    </row>
    <row r="25" spans="1:27" s="148" customFormat="1" ht="27.75" customHeight="1">
      <c r="A25" s="259" t="s">
        <v>556</v>
      </c>
      <c r="B25" s="292" t="s">
        <v>557</v>
      </c>
      <c r="C25" s="8">
        <v>180903898</v>
      </c>
      <c r="D25" s="8">
        <v>180903898</v>
      </c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>
        <f>+C25</f>
        <v>180903898</v>
      </c>
      <c r="T25" s="140">
        <f t="shared" ref="T25" si="16">+S25-U25</f>
        <v>0</v>
      </c>
      <c r="U25" s="140">
        <f>+D25</f>
        <v>180903898</v>
      </c>
      <c r="V25" s="183">
        <v>1</v>
      </c>
      <c r="W25" s="144">
        <f>(U25*V25)</f>
        <v>180903898</v>
      </c>
      <c r="X25" s="144">
        <f>(U25*V25)</f>
        <v>180903898</v>
      </c>
      <c r="AA25" s="208"/>
    </row>
    <row r="26" spans="1:27" s="148" customFormat="1" ht="25.5" customHeight="1">
      <c r="A26" s="259" t="s">
        <v>75</v>
      </c>
      <c r="B26" s="292" t="s">
        <v>421</v>
      </c>
      <c r="C26" s="8">
        <v>9692069</v>
      </c>
      <c r="D26" s="8">
        <v>2740296</v>
      </c>
      <c r="E26" s="8">
        <v>274636400</v>
      </c>
      <c r="F26" s="8">
        <v>274636400</v>
      </c>
      <c r="G26" s="8">
        <v>1057907551</v>
      </c>
      <c r="H26" s="8">
        <v>382287100</v>
      </c>
      <c r="I26" s="8">
        <v>3572927419</v>
      </c>
      <c r="J26" s="8">
        <v>3130907870</v>
      </c>
      <c r="K26" s="8">
        <v>244545210</v>
      </c>
      <c r="L26" s="8">
        <v>0</v>
      </c>
      <c r="M26" s="8">
        <v>110875781</v>
      </c>
      <c r="N26" s="8">
        <v>66629358</v>
      </c>
      <c r="O26" s="8">
        <v>284402609</v>
      </c>
      <c r="P26" s="8">
        <v>206688407</v>
      </c>
      <c r="Q26" s="8">
        <v>50660092</v>
      </c>
      <c r="R26" s="8">
        <v>0</v>
      </c>
      <c r="S26" s="140">
        <f t="shared" si="6"/>
        <v>5605647131</v>
      </c>
      <c r="T26" s="140">
        <f t="shared" si="7"/>
        <v>1541757700</v>
      </c>
      <c r="U26" s="140">
        <f t="shared" si="8"/>
        <v>4063889431</v>
      </c>
      <c r="V26" s="183">
        <v>1</v>
      </c>
      <c r="W26" s="144">
        <f>(C26+E26+G26)*V26</f>
        <v>1342236020</v>
      </c>
      <c r="X26" s="144">
        <f>(D26+F26+H26)*V26</f>
        <v>659663796</v>
      </c>
      <c r="AA26" s="208"/>
    </row>
    <row r="27" spans="1:27" s="148" customFormat="1" ht="25.5" customHeight="1">
      <c r="A27" s="259" t="s">
        <v>15</v>
      </c>
      <c r="B27" s="292" t="s">
        <v>498</v>
      </c>
      <c r="C27" s="8">
        <v>29987338</v>
      </c>
      <c r="D27" s="8">
        <v>995789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40">
        <f t="shared" si="6"/>
        <v>29987338</v>
      </c>
      <c r="T27" s="140">
        <f t="shared" si="7"/>
        <v>28991549</v>
      </c>
      <c r="U27" s="140">
        <f t="shared" si="8"/>
        <v>995789</v>
      </c>
      <c r="V27" s="183">
        <v>1</v>
      </c>
      <c r="W27" s="144">
        <f>(C27+E27+G27)*V27</f>
        <v>29987338</v>
      </c>
      <c r="X27" s="144">
        <f>(D27+F27+H27)*V27</f>
        <v>995789</v>
      </c>
      <c r="AA27" s="208"/>
    </row>
    <row r="28" spans="1:27" s="148" customFormat="1" ht="25.5" customHeight="1">
      <c r="A28" s="259" t="s">
        <v>149</v>
      </c>
      <c r="B28" s="292" t="s">
        <v>422</v>
      </c>
      <c r="C28" s="8">
        <v>0</v>
      </c>
      <c r="D28" s="8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40">
        <f t="shared" si="6"/>
        <v>0</v>
      </c>
      <c r="T28" s="140">
        <f t="shared" si="7"/>
        <v>0</v>
      </c>
      <c r="U28" s="140">
        <f t="shared" si="8"/>
        <v>0</v>
      </c>
      <c r="V28" s="183">
        <v>1</v>
      </c>
      <c r="W28" s="144">
        <f>(C28+E28+G28)*V28</f>
        <v>0</v>
      </c>
      <c r="X28" s="144">
        <f>(D28+F28+H28)*V28</f>
        <v>0</v>
      </c>
      <c r="AA28" s="208"/>
    </row>
    <row r="29" spans="1:27" s="148" customFormat="1" ht="25.5" customHeight="1">
      <c r="A29" s="259" t="s">
        <v>59</v>
      </c>
      <c r="B29" s="292" t="s">
        <v>423</v>
      </c>
      <c r="C29" s="8">
        <v>0</v>
      </c>
      <c r="D29" s="8">
        <v>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40">
        <f t="shared" si="6"/>
        <v>0</v>
      </c>
      <c r="T29" s="140">
        <f t="shared" si="7"/>
        <v>0</v>
      </c>
      <c r="U29" s="140">
        <f t="shared" si="8"/>
        <v>0</v>
      </c>
      <c r="V29" s="183">
        <v>1</v>
      </c>
      <c r="W29" s="144">
        <f>(C29+E29+G29)*V29</f>
        <v>0</v>
      </c>
      <c r="X29" s="144">
        <f>(D29+F29+H29)*V29</f>
        <v>0</v>
      </c>
      <c r="AA29" s="208"/>
    </row>
    <row r="30" spans="1:27" s="148" customFormat="1" ht="25.5" customHeight="1">
      <c r="A30" s="259" t="s">
        <v>60</v>
      </c>
      <c r="B30" s="292" t="s">
        <v>424</v>
      </c>
      <c r="C30" s="8">
        <v>1325111</v>
      </c>
      <c r="D30" s="8">
        <v>0</v>
      </c>
      <c r="E30" s="8">
        <v>29155066</v>
      </c>
      <c r="F30" s="8">
        <v>22358015</v>
      </c>
      <c r="G30" s="8">
        <v>783028394</v>
      </c>
      <c r="H30" s="8">
        <v>779802118</v>
      </c>
      <c r="I30" s="8">
        <v>1118023740</v>
      </c>
      <c r="J30" s="8">
        <v>933878353</v>
      </c>
      <c r="K30" s="8">
        <v>3344058361</v>
      </c>
      <c r="L30" s="8">
        <v>2319183254</v>
      </c>
      <c r="M30" s="8">
        <v>7393665029</v>
      </c>
      <c r="N30" s="8">
        <v>5836695603</v>
      </c>
      <c r="O30" s="8">
        <v>5812004746</v>
      </c>
      <c r="P30" s="8">
        <v>4663934211</v>
      </c>
      <c r="Q30" s="8">
        <v>17987667288</v>
      </c>
      <c r="R30" s="8">
        <v>16389173255</v>
      </c>
      <c r="S30" s="140">
        <f t="shared" si="6"/>
        <v>36468927735</v>
      </c>
      <c r="T30" s="140">
        <f t="shared" si="7"/>
        <v>5523902926</v>
      </c>
      <c r="U30" s="140">
        <f t="shared" si="8"/>
        <v>30945024809</v>
      </c>
      <c r="V30" s="183">
        <v>0.05</v>
      </c>
      <c r="W30" s="144">
        <f>X30+'Bank Liabilities Analysis (нац)'!M31</f>
        <v>1794953454.75</v>
      </c>
      <c r="X30" s="144">
        <f>(U30-(J49+L49+N49+P49+R49))*V30</f>
        <v>1518758308.45</v>
      </c>
      <c r="AA30" s="208"/>
    </row>
    <row r="31" spans="1:27" s="148" customFormat="1" ht="25.5" customHeight="1">
      <c r="A31" s="259" t="s">
        <v>61</v>
      </c>
      <c r="B31" s="292" t="s">
        <v>242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3694366152</v>
      </c>
      <c r="N31" s="8">
        <v>3694366152</v>
      </c>
      <c r="O31" s="8">
        <v>0</v>
      </c>
      <c r="P31" s="8">
        <v>0</v>
      </c>
      <c r="Q31" s="8">
        <v>1233877000</v>
      </c>
      <c r="R31" s="8">
        <v>1233877000</v>
      </c>
      <c r="S31" s="140">
        <f t="shared" si="6"/>
        <v>4928243152</v>
      </c>
      <c r="T31" s="140">
        <f t="shared" si="7"/>
        <v>0</v>
      </c>
      <c r="U31" s="140">
        <f t="shared" si="8"/>
        <v>4928243152</v>
      </c>
      <c r="V31" s="183">
        <v>1</v>
      </c>
      <c r="W31" s="144">
        <f>(C31+E31+G31)*V31</f>
        <v>0</v>
      </c>
      <c r="X31" s="144">
        <f>(D31+F31+H31)*V31</f>
        <v>0</v>
      </c>
      <c r="AA31" s="208"/>
    </row>
    <row r="32" spans="1:27" s="148" customFormat="1" ht="25.5" customHeight="1">
      <c r="A32" s="259" t="s">
        <v>62</v>
      </c>
      <c r="B32" s="292" t="s">
        <v>244</v>
      </c>
      <c r="C32" s="8">
        <v>0</v>
      </c>
      <c r="D32" s="8">
        <v>0</v>
      </c>
      <c r="E32" s="8">
        <v>0</v>
      </c>
      <c r="F32" s="8">
        <v>0</v>
      </c>
      <c r="G32" s="8">
        <v>1994167</v>
      </c>
      <c r="H32" s="8">
        <v>0</v>
      </c>
      <c r="I32" s="8">
        <v>2431833</v>
      </c>
      <c r="J32" s="8">
        <v>0</v>
      </c>
      <c r="K32" s="8">
        <v>4426000</v>
      </c>
      <c r="L32" s="8">
        <v>0</v>
      </c>
      <c r="M32" s="8">
        <v>11181500</v>
      </c>
      <c r="N32" s="8">
        <v>0</v>
      </c>
      <c r="O32" s="8">
        <v>27022000</v>
      </c>
      <c r="P32" s="8">
        <v>0</v>
      </c>
      <c r="Q32" s="8">
        <v>2162889219</v>
      </c>
      <c r="R32" s="8">
        <v>703077613</v>
      </c>
      <c r="S32" s="140">
        <f t="shared" si="6"/>
        <v>2209944719</v>
      </c>
      <c r="T32" s="140">
        <f t="shared" si="7"/>
        <v>1506867106</v>
      </c>
      <c r="U32" s="140">
        <f t="shared" si="8"/>
        <v>703077613</v>
      </c>
      <c r="V32" s="183">
        <v>1</v>
      </c>
      <c r="W32" s="144">
        <f>(C32+E32+G32)*V32</f>
        <v>1994167</v>
      </c>
      <c r="X32" s="144">
        <f>(D32+F32+H32)*V32</f>
        <v>0</v>
      </c>
      <c r="AA32" s="208"/>
    </row>
    <row r="33" spans="1:27" s="148" customFormat="1" ht="24.75" customHeight="1">
      <c r="A33" s="259" t="s">
        <v>63</v>
      </c>
      <c r="B33" s="379" t="s">
        <v>238</v>
      </c>
      <c r="C33" s="140">
        <f>+C34+C35</f>
        <v>0</v>
      </c>
      <c r="D33" s="140">
        <f t="shared" ref="D33:R33" si="17">+D34+D35</f>
        <v>0</v>
      </c>
      <c r="E33" s="140">
        <f t="shared" si="17"/>
        <v>816807035</v>
      </c>
      <c r="F33" s="140">
        <f t="shared" si="17"/>
        <v>0</v>
      </c>
      <c r="G33" s="140">
        <f t="shared" si="17"/>
        <v>0</v>
      </c>
      <c r="H33" s="140">
        <f t="shared" si="17"/>
        <v>0</v>
      </c>
      <c r="I33" s="140">
        <f t="shared" si="17"/>
        <v>0</v>
      </c>
      <c r="J33" s="140">
        <f t="shared" si="17"/>
        <v>0</v>
      </c>
      <c r="K33" s="140">
        <f t="shared" si="17"/>
        <v>0</v>
      </c>
      <c r="L33" s="140">
        <f t="shared" si="17"/>
        <v>0</v>
      </c>
      <c r="M33" s="140">
        <f t="shared" si="17"/>
        <v>0</v>
      </c>
      <c r="N33" s="140">
        <f t="shared" si="17"/>
        <v>0</v>
      </c>
      <c r="O33" s="140">
        <f t="shared" si="17"/>
        <v>0</v>
      </c>
      <c r="P33" s="140">
        <f t="shared" si="17"/>
        <v>0</v>
      </c>
      <c r="Q33" s="140">
        <f t="shared" si="17"/>
        <v>0</v>
      </c>
      <c r="R33" s="140">
        <f t="shared" si="17"/>
        <v>0</v>
      </c>
      <c r="S33" s="140">
        <f t="shared" si="6"/>
        <v>816807035</v>
      </c>
      <c r="T33" s="140">
        <f t="shared" si="7"/>
        <v>816807035</v>
      </c>
      <c r="U33" s="140">
        <f t="shared" si="8"/>
        <v>0</v>
      </c>
      <c r="V33" s="183"/>
      <c r="W33" s="144"/>
      <c r="X33" s="144"/>
      <c r="AA33" s="208"/>
    </row>
    <row r="34" spans="1:27" s="148" customFormat="1" ht="27" customHeight="1">
      <c r="A34" s="259" t="s">
        <v>199</v>
      </c>
      <c r="B34" s="380" t="s">
        <v>549</v>
      </c>
      <c r="C34" s="8"/>
      <c r="D34" s="8"/>
      <c r="E34" s="8">
        <v>816807035</v>
      </c>
      <c r="F34" s="8">
        <v>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40">
        <f t="shared" si="6"/>
        <v>816807035</v>
      </c>
      <c r="T34" s="140">
        <f t="shared" si="7"/>
        <v>816807035</v>
      </c>
      <c r="U34" s="140">
        <f t="shared" si="8"/>
        <v>0</v>
      </c>
      <c r="V34" s="183">
        <v>1</v>
      </c>
      <c r="W34" s="144">
        <f>(C34+E34+G34)*V34</f>
        <v>816807035</v>
      </c>
      <c r="X34" s="144">
        <f>(D34+F34+H34)*V34</f>
        <v>0</v>
      </c>
      <c r="AA34" s="208"/>
    </row>
    <row r="35" spans="1:27" s="148" customFormat="1" ht="27" customHeight="1">
      <c r="A35" s="259" t="s">
        <v>201</v>
      </c>
      <c r="B35" s="380" t="s">
        <v>550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40">
        <f t="shared" ref="S35" si="18">+C35+E35+G35+I35+K35+M35+O35+Q35</f>
        <v>0</v>
      </c>
      <c r="T35" s="140">
        <f t="shared" ref="T35" si="19">+S35-U35</f>
        <v>0</v>
      </c>
      <c r="U35" s="140">
        <f t="shared" ref="U35" si="20">+D35+F35+H35+J35+L35+N35+P35+R35</f>
        <v>0</v>
      </c>
      <c r="V35" s="183">
        <v>1</v>
      </c>
      <c r="W35" s="144">
        <f>(C35+E35+G35)*V35</f>
        <v>0</v>
      </c>
      <c r="X35" s="144">
        <f>(D35+F35+H35)*V35</f>
        <v>0</v>
      </c>
      <c r="AA35" s="208"/>
    </row>
    <row r="36" spans="1:27" s="148" customFormat="1" ht="38.25">
      <c r="A36" s="259" t="s">
        <v>64</v>
      </c>
      <c r="B36" s="292" t="s">
        <v>425</v>
      </c>
      <c r="C36" s="8">
        <v>25174062</v>
      </c>
      <c r="D36" s="8">
        <v>91337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40">
        <f t="shared" si="6"/>
        <v>25174062</v>
      </c>
      <c r="T36" s="140">
        <f t="shared" si="7"/>
        <v>25082725</v>
      </c>
      <c r="U36" s="140">
        <f t="shared" si="8"/>
        <v>91337</v>
      </c>
      <c r="V36" s="183">
        <v>1</v>
      </c>
      <c r="W36" s="144">
        <f>(S36)*V36</f>
        <v>25174062</v>
      </c>
      <c r="X36" s="144">
        <f>(U36)*V36</f>
        <v>91337</v>
      </c>
      <c r="AA36" s="208"/>
    </row>
    <row r="37" spans="1:27" s="148" customFormat="1" ht="25.5" customHeight="1">
      <c r="A37" s="259" t="s">
        <v>70</v>
      </c>
      <c r="B37" s="292" t="s">
        <v>250</v>
      </c>
      <c r="C37" s="8">
        <v>2215477</v>
      </c>
      <c r="D37" s="8">
        <v>509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40">
        <f t="shared" si="6"/>
        <v>2215477</v>
      </c>
      <c r="T37" s="140">
        <f t="shared" si="7"/>
        <v>2214968</v>
      </c>
      <c r="U37" s="140">
        <f t="shared" si="8"/>
        <v>509</v>
      </c>
      <c r="V37" s="183">
        <v>1</v>
      </c>
      <c r="W37" s="144">
        <f>(S37)*V37</f>
        <v>2215477</v>
      </c>
      <c r="X37" s="144">
        <f>(U37)*V37</f>
        <v>509</v>
      </c>
      <c r="AA37" s="208"/>
    </row>
    <row r="38" spans="1:27" s="148" customFormat="1" ht="25.5" customHeight="1">
      <c r="A38" s="259" t="s">
        <v>71</v>
      </c>
      <c r="B38" s="292" t="s">
        <v>246</v>
      </c>
      <c r="C38" s="8">
        <v>108148</v>
      </c>
      <c r="D38" s="8">
        <v>351</v>
      </c>
      <c r="E38" s="8">
        <v>0</v>
      </c>
      <c r="F38" s="8">
        <v>0</v>
      </c>
      <c r="G38" s="8">
        <v>166678346</v>
      </c>
      <c r="H38" s="8">
        <v>113400775</v>
      </c>
      <c r="I38" s="8">
        <v>0</v>
      </c>
      <c r="J38" s="8">
        <v>0</v>
      </c>
      <c r="K38" s="8">
        <v>726343334</v>
      </c>
      <c r="L38" s="8">
        <v>592330438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140">
        <f t="shared" si="6"/>
        <v>893129828</v>
      </c>
      <c r="T38" s="140">
        <f t="shared" si="7"/>
        <v>187398264</v>
      </c>
      <c r="U38" s="140">
        <f t="shared" si="8"/>
        <v>705731564</v>
      </c>
      <c r="V38" s="183"/>
      <c r="W38" s="144">
        <f>C38+E38+G38+((I38+K38+M38+O38+Q38)*15%)</f>
        <v>275737994.10000002</v>
      </c>
      <c r="X38" s="144">
        <f>D38+F38+H38+((J38+L38+N38+P38+R38)*15%)</f>
        <v>202250691.69999999</v>
      </c>
      <c r="AA38" s="208"/>
    </row>
    <row r="39" spans="1:27" s="148" customFormat="1" ht="25.5" customHeight="1">
      <c r="A39" s="259" t="s">
        <v>65</v>
      </c>
      <c r="B39" s="292" t="s">
        <v>254</v>
      </c>
      <c r="C39" s="8">
        <v>668904895</v>
      </c>
      <c r="D39" s="8">
        <v>445602571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40">
        <f t="shared" si="6"/>
        <v>668904895</v>
      </c>
      <c r="T39" s="140">
        <f t="shared" si="7"/>
        <v>223302324</v>
      </c>
      <c r="U39" s="140">
        <f t="shared" si="8"/>
        <v>445602571</v>
      </c>
      <c r="V39" s="183">
        <v>1</v>
      </c>
      <c r="W39" s="144">
        <f>(C39+E39+G39)*V39</f>
        <v>668904895</v>
      </c>
      <c r="X39" s="144">
        <f>(D39+F39+H39)*V39</f>
        <v>445602571</v>
      </c>
    </row>
    <row r="40" spans="1:27" s="86" customFormat="1" ht="24.75" customHeight="1">
      <c r="A40" s="259" t="s">
        <v>385</v>
      </c>
      <c r="B40" s="294" t="s">
        <v>426</v>
      </c>
      <c r="C40" s="14">
        <f>+C20+C29+C30+C31+C32+C33+C36+C37+C38+C39+C21+C23</f>
        <v>5886695666</v>
      </c>
      <c r="D40" s="14">
        <f t="shared" ref="D40:U40" si="21">+D20+D29+D30+D31+D32+D33+D36+D37+D38+D39+D21+D23</f>
        <v>2008289373</v>
      </c>
      <c r="E40" s="14">
        <f t="shared" si="21"/>
        <v>1173984237</v>
      </c>
      <c r="F40" s="14">
        <f t="shared" si="21"/>
        <v>311316051</v>
      </c>
      <c r="G40" s="14">
        <f t="shared" si="21"/>
        <v>2455369145</v>
      </c>
      <c r="H40" s="14">
        <f t="shared" si="21"/>
        <v>1483290987</v>
      </c>
      <c r="I40" s="14">
        <f t="shared" si="21"/>
        <v>5721807646</v>
      </c>
      <c r="J40" s="14">
        <f t="shared" si="21"/>
        <v>4401360647</v>
      </c>
      <c r="K40" s="14">
        <f t="shared" si="21"/>
        <v>5889172184</v>
      </c>
      <c r="L40" s="14">
        <f t="shared" si="21"/>
        <v>3532387621</v>
      </c>
      <c r="M40" s="14">
        <f t="shared" si="21"/>
        <v>13173458178</v>
      </c>
      <c r="N40" s="14">
        <f t="shared" si="21"/>
        <v>10122138516</v>
      </c>
      <c r="O40" s="14">
        <f t="shared" si="21"/>
        <v>8023372894</v>
      </c>
      <c r="P40" s="14">
        <f t="shared" si="21"/>
        <v>6114523147</v>
      </c>
      <c r="Q40" s="14">
        <f t="shared" si="21"/>
        <v>23582203096</v>
      </c>
      <c r="R40" s="14">
        <f t="shared" si="21"/>
        <v>19163085654</v>
      </c>
      <c r="S40" s="14">
        <f t="shared" si="21"/>
        <v>65906063046</v>
      </c>
      <c r="T40" s="14">
        <f t="shared" si="21"/>
        <v>18769671050</v>
      </c>
      <c r="U40" s="14">
        <f t="shared" si="21"/>
        <v>47136391996</v>
      </c>
      <c r="V40" s="393" t="s">
        <v>17</v>
      </c>
      <c r="W40" s="128">
        <f>SUM(W8:W39)</f>
        <v>7228430828.2000008</v>
      </c>
      <c r="X40" s="128">
        <f>SUM(X8:X39)</f>
        <v>3758654822.1999998</v>
      </c>
      <c r="Y40" s="295">
        <f>+Balance!C63</f>
        <v>65906063046</v>
      </c>
      <c r="Z40" s="295">
        <f>+Balance!D63</f>
        <v>18769671050</v>
      </c>
      <c r="AA40" s="295">
        <f>+Balance!E63</f>
        <v>47136391996</v>
      </c>
    </row>
    <row r="41" spans="1:27" s="148" customFormat="1">
      <c r="A41" s="259"/>
      <c r="B41" s="280" t="s">
        <v>338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40">
        <f t="shared" si="6"/>
        <v>0</v>
      </c>
      <c r="T41" s="140">
        <f t="shared" si="7"/>
        <v>0</v>
      </c>
      <c r="U41" s="140">
        <f t="shared" si="8"/>
        <v>0</v>
      </c>
      <c r="V41" s="183"/>
      <c r="W41" s="144"/>
      <c r="X41" s="144"/>
      <c r="Y41" s="208">
        <f>+S40-Y40</f>
        <v>0</v>
      </c>
      <c r="Z41" s="208">
        <f t="shared" ref="Z41:AA41" si="22">+T40-Z40</f>
        <v>0</v>
      </c>
      <c r="AA41" s="208">
        <f t="shared" si="22"/>
        <v>0</v>
      </c>
    </row>
    <row r="42" spans="1:27" s="148" customFormat="1" ht="25.5">
      <c r="A42" s="259"/>
      <c r="B42" s="281" t="s">
        <v>427</v>
      </c>
      <c r="C42" s="140">
        <f>+C43+C44</f>
        <v>0</v>
      </c>
      <c r="D42" s="140">
        <f t="shared" ref="D42" si="23">+D43+D44</f>
        <v>0</v>
      </c>
      <c r="E42" s="140">
        <f t="shared" ref="E42:G42" si="24">+E43+E44</f>
        <v>51738176</v>
      </c>
      <c r="F42" s="140">
        <f t="shared" ref="F42:H42" si="25">+F43+F44</f>
        <v>49693546</v>
      </c>
      <c r="G42" s="140">
        <f t="shared" si="24"/>
        <v>45290672</v>
      </c>
      <c r="H42" s="140">
        <f t="shared" si="25"/>
        <v>35752218</v>
      </c>
      <c r="I42" s="140">
        <f t="shared" ref="I42" si="26">+I43+I44</f>
        <v>295884812</v>
      </c>
      <c r="J42" s="140">
        <f t="shared" ref="J42" si="27">+J43+J44</f>
        <v>142575519</v>
      </c>
      <c r="K42" s="140">
        <f t="shared" ref="K42" si="28">+K43+K44</f>
        <v>400750011</v>
      </c>
      <c r="L42" s="140">
        <f t="shared" ref="L42" si="29">+L43+L44</f>
        <v>195056445</v>
      </c>
      <c r="M42" s="140">
        <f t="shared" ref="M42" si="30">+M43+M44</f>
        <v>771782156</v>
      </c>
      <c r="N42" s="140">
        <f t="shared" ref="N42" si="31">+N43+N44</f>
        <v>615419610</v>
      </c>
      <c r="O42" s="140">
        <f t="shared" ref="O42" si="32">+O43+O44</f>
        <v>581135458</v>
      </c>
      <c r="P42" s="140">
        <f t="shared" ref="P42" si="33">+P43+P44</f>
        <v>404320215</v>
      </c>
      <c r="Q42" s="140">
        <f t="shared" ref="Q42" si="34">+Q43+Q44</f>
        <v>2805169166</v>
      </c>
      <c r="R42" s="140">
        <f t="shared" ref="R42" si="35">+R43+R44</f>
        <v>1079421189</v>
      </c>
      <c r="S42" s="140">
        <f t="shared" si="6"/>
        <v>4951750451</v>
      </c>
      <c r="T42" s="140">
        <f t="shared" si="7"/>
        <v>2429511709</v>
      </c>
      <c r="U42" s="140">
        <f t="shared" si="8"/>
        <v>2522238742</v>
      </c>
      <c r="V42" s="183"/>
      <c r="W42" s="144"/>
      <c r="X42" s="144"/>
      <c r="AA42" s="208"/>
    </row>
    <row r="43" spans="1:27" s="148" customFormat="1" ht="20.25" customHeight="1">
      <c r="A43" s="259"/>
      <c r="B43" s="282" t="s">
        <v>428</v>
      </c>
      <c r="C43" s="8">
        <v>0</v>
      </c>
      <c r="D43" s="8">
        <v>0</v>
      </c>
      <c r="E43" s="8">
        <v>21667975</v>
      </c>
      <c r="F43" s="8">
        <v>20326650</v>
      </c>
      <c r="G43" s="8">
        <v>9100245</v>
      </c>
      <c r="H43" s="8">
        <v>6385322</v>
      </c>
      <c r="I43" s="8">
        <v>103458951</v>
      </c>
      <c r="J43" s="8">
        <v>83841727</v>
      </c>
      <c r="K43" s="8">
        <v>145165813</v>
      </c>
      <c r="L43" s="8">
        <v>106955758</v>
      </c>
      <c r="M43" s="8">
        <v>125616742</v>
      </c>
      <c r="N43" s="8">
        <v>69055135</v>
      </c>
      <c r="O43" s="8">
        <v>184505514</v>
      </c>
      <c r="P43" s="8">
        <v>81284361</v>
      </c>
      <c r="Q43" s="8">
        <v>813523270</v>
      </c>
      <c r="R43" s="8">
        <v>383757598</v>
      </c>
      <c r="S43" s="140">
        <f t="shared" si="6"/>
        <v>1403038510</v>
      </c>
      <c r="T43" s="140">
        <f t="shared" si="7"/>
        <v>651431959</v>
      </c>
      <c r="U43" s="140">
        <f t="shared" si="8"/>
        <v>751606551</v>
      </c>
      <c r="V43" s="183"/>
      <c r="W43" s="144"/>
      <c r="X43" s="144"/>
      <c r="AA43" s="208"/>
    </row>
    <row r="44" spans="1:27" s="148" customFormat="1" ht="20.25" customHeight="1">
      <c r="A44" s="259"/>
      <c r="B44" s="282" t="s">
        <v>429</v>
      </c>
      <c r="C44" s="8">
        <v>0</v>
      </c>
      <c r="D44" s="8">
        <v>0</v>
      </c>
      <c r="E44" s="8">
        <v>30070201</v>
      </c>
      <c r="F44" s="8">
        <v>29366896</v>
      </c>
      <c r="G44" s="8">
        <v>36190427</v>
      </c>
      <c r="H44" s="8">
        <v>29366896</v>
      </c>
      <c r="I44" s="8">
        <v>192425861</v>
      </c>
      <c r="J44" s="8">
        <v>58733792</v>
      </c>
      <c r="K44" s="8">
        <v>255584198</v>
      </c>
      <c r="L44" s="8">
        <v>88100687</v>
      </c>
      <c r="M44" s="8">
        <v>646165414</v>
      </c>
      <c r="N44" s="8">
        <v>546364475</v>
      </c>
      <c r="O44" s="8">
        <v>396629944</v>
      </c>
      <c r="P44" s="8">
        <v>323035854</v>
      </c>
      <c r="Q44" s="8">
        <v>1991645896</v>
      </c>
      <c r="R44" s="8">
        <v>695663591</v>
      </c>
      <c r="S44" s="140">
        <f t="shared" si="6"/>
        <v>3548711941</v>
      </c>
      <c r="T44" s="140">
        <f t="shared" si="7"/>
        <v>1778079750</v>
      </c>
      <c r="U44" s="140">
        <f t="shared" si="8"/>
        <v>1770632191</v>
      </c>
      <c r="V44" s="183"/>
      <c r="W44" s="144"/>
      <c r="X44" s="144"/>
      <c r="Y44" s="148" t="s">
        <v>555</v>
      </c>
      <c r="AA44" s="208"/>
    </row>
    <row r="45" spans="1:27" s="148" customFormat="1" ht="25.5">
      <c r="A45" s="259"/>
      <c r="B45" s="296" t="s">
        <v>499</v>
      </c>
      <c r="C45" s="140">
        <f>+C46+C47</f>
        <v>1325111</v>
      </c>
      <c r="D45" s="140">
        <f t="shared" ref="D45" si="36">+D46+D47</f>
        <v>0</v>
      </c>
      <c r="E45" s="140">
        <f t="shared" ref="E45:G45" si="37">+E46+E47</f>
        <v>13017</v>
      </c>
      <c r="F45" s="140">
        <f t="shared" ref="F45:H45" si="38">+F46+F47</f>
        <v>0</v>
      </c>
      <c r="G45" s="140">
        <f t="shared" si="37"/>
        <v>160721</v>
      </c>
      <c r="H45" s="140">
        <f t="shared" si="38"/>
        <v>0</v>
      </c>
      <c r="I45" s="140">
        <f t="shared" ref="I45" si="39">+I46+I47</f>
        <v>782896</v>
      </c>
      <c r="J45" s="140">
        <f t="shared" ref="J45" si="40">+J46+J47</f>
        <v>0</v>
      </c>
      <c r="K45" s="140">
        <f t="shared" ref="K45" si="41">+K46+K47</f>
        <v>2877166</v>
      </c>
      <c r="L45" s="140">
        <f t="shared" ref="L45" si="42">+L46+L47</f>
        <v>0</v>
      </c>
      <c r="M45" s="140">
        <f t="shared" ref="M45" si="43">+M46+M47</f>
        <v>375762</v>
      </c>
      <c r="N45" s="140">
        <f t="shared" ref="N45" si="44">+N46+N47</f>
        <v>0</v>
      </c>
      <c r="O45" s="140">
        <f t="shared" ref="O45" si="45">+O46+O47</f>
        <v>751524</v>
      </c>
      <c r="P45" s="140">
        <f t="shared" ref="P45" si="46">+P46+P47</f>
        <v>0</v>
      </c>
      <c r="Q45" s="140">
        <f t="shared" ref="Q45" si="47">+Q46+Q47</f>
        <v>1862218</v>
      </c>
      <c r="R45" s="140">
        <f t="shared" ref="R45" si="48">+R46+R47</f>
        <v>0</v>
      </c>
      <c r="S45" s="140">
        <f t="shared" si="6"/>
        <v>8148415</v>
      </c>
      <c r="T45" s="140">
        <f t="shared" si="7"/>
        <v>8148415</v>
      </c>
      <c r="U45" s="140">
        <f t="shared" si="8"/>
        <v>0</v>
      </c>
      <c r="V45" s="183"/>
      <c r="W45" s="144"/>
      <c r="X45" s="144"/>
      <c r="AA45" s="208"/>
    </row>
    <row r="46" spans="1:27" s="148" customFormat="1" ht="20.25" customHeight="1">
      <c r="A46" s="259"/>
      <c r="B46" s="297" t="s">
        <v>428</v>
      </c>
      <c r="C46" s="8">
        <v>1325111</v>
      </c>
      <c r="D46" s="8">
        <v>0</v>
      </c>
      <c r="E46" s="8">
        <v>13017</v>
      </c>
      <c r="F46" s="8">
        <v>0</v>
      </c>
      <c r="G46" s="8">
        <v>160721</v>
      </c>
      <c r="H46" s="8">
        <v>0</v>
      </c>
      <c r="I46" s="8">
        <v>782896</v>
      </c>
      <c r="J46" s="8">
        <v>0</v>
      </c>
      <c r="K46" s="8">
        <v>2877166</v>
      </c>
      <c r="L46" s="8">
        <v>0</v>
      </c>
      <c r="M46" s="8">
        <v>375762</v>
      </c>
      <c r="N46" s="8">
        <v>0</v>
      </c>
      <c r="O46" s="8">
        <v>751524</v>
      </c>
      <c r="P46" s="8">
        <v>0</v>
      </c>
      <c r="Q46" s="8">
        <v>1862218</v>
      </c>
      <c r="R46" s="8">
        <v>0</v>
      </c>
      <c r="S46" s="140">
        <f t="shared" si="6"/>
        <v>8148415</v>
      </c>
      <c r="T46" s="140">
        <f t="shared" si="7"/>
        <v>8148415</v>
      </c>
      <c r="U46" s="140">
        <f t="shared" si="8"/>
        <v>0</v>
      </c>
      <c r="V46" s="183"/>
      <c r="W46" s="144"/>
      <c r="X46" s="144"/>
      <c r="AA46" s="208"/>
    </row>
    <row r="47" spans="1:27" s="148" customFormat="1" ht="20.25" customHeight="1">
      <c r="A47" s="283"/>
      <c r="B47" s="297" t="s">
        <v>429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140">
        <f t="shared" si="6"/>
        <v>0</v>
      </c>
      <c r="T47" s="140">
        <f t="shared" si="7"/>
        <v>0</v>
      </c>
      <c r="U47" s="140">
        <f t="shared" si="8"/>
        <v>0</v>
      </c>
      <c r="V47" s="183"/>
      <c r="W47" s="144"/>
      <c r="X47" s="144"/>
      <c r="AA47" s="208"/>
    </row>
    <row r="48" spans="1:27" s="148" customFormat="1" ht="25.5">
      <c r="A48" s="283"/>
      <c r="B48" s="296" t="s">
        <v>430</v>
      </c>
      <c r="C48" s="140">
        <f>+C49+C50</f>
        <v>0</v>
      </c>
      <c r="D48" s="140">
        <f t="shared" ref="D48" si="49">+D49+D50</f>
        <v>0</v>
      </c>
      <c r="E48" s="140">
        <f t="shared" ref="E48:G48" si="50">+E49+E50</f>
        <v>0</v>
      </c>
      <c r="F48" s="140">
        <f t="shared" ref="F48:H48" si="51">+F49+F50</f>
        <v>0</v>
      </c>
      <c r="G48" s="140">
        <f t="shared" si="50"/>
        <v>35200621</v>
      </c>
      <c r="H48" s="140">
        <f t="shared" si="51"/>
        <v>35200621</v>
      </c>
      <c r="I48" s="140">
        <f t="shared" ref="I48" si="52">+I49+I50</f>
        <v>36347377</v>
      </c>
      <c r="J48" s="140">
        <f t="shared" ref="J48" si="53">+J49+J50</f>
        <v>19545256</v>
      </c>
      <c r="K48" s="140">
        <f t="shared" ref="K48" si="54">+K49+K50</f>
        <v>52776825</v>
      </c>
      <c r="L48" s="140">
        <f t="shared" ref="L48" si="55">+L49+L50</f>
        <v>0</v>
      </c>
      <c r="M48" s="140">
        <f t="shared" ref="M48" si="56">+M49+M50</f>
        <v>130130380</v>
      </c>
      <c r="N48" s="140">
        <f t="shared" ref="N48" si="57">+N49+N50</f>
        <v>54745877</v>
      </c>
      <c r="O48" s="140">
        <f t="shared" ref="O48" si="58">+O49+O50</f>
        <v>256530866</v>
      </c>
      <c r="P48" s="140">
        <f t="shared" ref="P48" si="59">+P49+P50</f>
        <v>109491754</v>
      </c>
      <c r="Q48" s="140">
        <f t="shared" ref="Q48" si="60">+Q49+Q50</f>
        <v>878512466</v>
      </c>
      <c r="R48" s="140">
        <f t="shared" ref="R48" si="61">+R49+R50</f>
        <v>386075753</v>
      </c>
      <c r="S48" s="140">
        <f t="shared" si="6"/>
        <v>1389498535</v>
      </c>
      <c r="T48" s="140">
        <f t="shared" si="7"/>
        <v>784439274</v>
      </c>
      <c r="U48" s="140">
        <f t="shared" si="8"/>
        <v>605059261</v>
      </c>
      <c r="V48" s="183"/>
      <c r="W48" s="144"/>
      <c r="X48" s="144"/>
      <c r="AA48" s="208"/>
    </row>
    <row r="49" spans="1:27" s="148" customFormat="1" ht="20.25" customHeight="1">
      <c r="A49" s="283"/>
      <c r="B49" s="297" t="s">
        <v>428</v>
      </c>
      <c r="C49" s="8">
        <v>0</v>
      </c>
      <c r="D49" s="8">
        <v>0</v>
      </c>
      <c r="E49" s="8">
        <v>0</v>
      </c>
      <c r="F49" s="8">
        <v>0</v>
      </c>
      <c r="G49" s="8">
        <v>35200621</v>
      </c>
      <c r="H49" s="8">
        <v>35200621</v>
      </c>
      <c r="I49" s="8">
        <v>36347377</v>
      </c>
      <c r="J49" s="8">
        <v>19545256</v>
      </c>
      <c r="K49" s="8">
        <v>52776825</v>
      </c>
      <c r="L49" s="8">
        <v>0</v>
      </c>
      <c r="M49" s="8">
        <v>130130380</v>
      </c>
      <c r="N49" s="8">
        <v>54745877</v>
      </c>
      <c r="O49" s="8">
        <v>256530866</v>
      </c>
      <c r="P49" s="8">
        <v>109491754</v>
      </c>
      <c r="Q49" s="8">
        <v>878512466</v>
      </c>
      <c r="R49" s="8">
        <v>386075753</v>
      </c>
      <c r="S49" s="140">
        <f t="shared" si="6"/>
        <v>1389498535</v>
      </c>
      <c r="T49" s="140">
        <f t="shared" si="7"/>
        <v>784439274</v>
      </c>
      <c r="U49" s="140">
        <f t="shared" si="8"/>
        <v>605059261</v>
      </c>
      <c r="V49" s="183"/>
      <c r="W49" s="144"/>
      <c r="X49" s="144"/>
      <c r="AA49" s="208"/>
    </row>
    <row r="50" spans="1:27" s="148" customFormat="1" ht="20.25" customHeight="1">
      <c r="A50" s="283"/>
      <c r="B50" s="297" t="s">
        <v>429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40">
        <f t="shared" si="6"/>
        <v>0</v>
      </c>
      <c r="T50" s="140">
        <f t="shared" si="7"/>
        <v>0</v>
      </c>
      <c r="U50" s="140">
        <f t="shared" si="8"/>
        <v>0</v>
      </c>
      <c r="V50" s="183"/>
      <c r="W50" s="144"/>
      <c r="X50" s="144"/>
      <c r="AA50" s="208"/>
    </row>
    <row r="51" spans="1:27" s="148" customFormat="1" ht="20.25" customHeight="1">
      <c r="A51" s="283"/>
      <c r="B51" s="296" t="s">
        <v>431</v>
      </c>
      <c r="C51" s="140">
        <f>+C52+C53</f>
        <v>0</v>
      </c>
      <c r="D51" s="140">
        <f t="shared" ref="D51" si="62">+D52+D53</f>
        <v>0</v>
      </c>
      <c r="E51" s="140">
        <f t="shared" ref="E51:G51" si="63">+E52+E53</f>
        <v>2031365</v>
      </c>
      <c r="F51" s="140">
        <f t="shared" ref="F51:H51" si="64">+F52+F53</f>
        <v>2031365</v>
      </c>
      <c r="G51" s="140">
        <f t="shared" si="63"/>
        <v>738216175</v>
      </c>
      <c r="H51" s="140">
        <f t="shared" si="64"/>
        <v>738216175</v>
      </c>
      <c r="I51" s="140">
        <f t="shared" ref="I51" si="65">+I52+I53</f>
        <v>788947997</v>
      </c>
      <c r="J51" s="140">
        <f t="shared" ref="J51" si="66">+J52+J53</f>
        <v>788947997</v>
      </c>
      <c r="K51" s="140">
        <f t="shared" ref="K51" si="67">+K52+K53</f>
        <v>2176482569</v>
      </c>
      <c r="L51" s="140">
        <f t="shared" ref="L51" si="68">+L52+L53</f>
        <v>2161000212</v>
      </c>
      <c r="M51" s="140">
        <f t="shared" ref="M51" si="69">+M52+M53</f>
        <v>5012647777</v>
      </c>
      <c r="N51" s="140">
        <f t="shared" ref="N51" si="70">+N52+N53</f>
        <v>4936216370</v>
      </c>
      <c r="O51" s="140">
        <f t="shared" ref="O51" si="71">+O52+O53</f>
        <v>2709309338</v>
      </c>
      <c r="P51" s="140">
        <f t="shared" ref="P51" si="72">+P52+P53</f>
        <v>2571928881</v>
      </c>
      <c r="Q51" s="140">
        <f t="shared" ref="Q51" si="73">+Q52+Q53</f>
        <v>9487003522</v>
      </c>
      <c r="R51" s="140">
        <f t="shared" ref="R51" si="74">+R52+R53</f>
        <v>9487003522</v>
      </c>
      <c r="S51" s="140">
        <f t="shared" si="6"/>
        <v>20914638743</v>
      </c>
      <c r="T51" s="140">
        <f t="shared" si="7"/>
        <v>229294221</v>
      </c>
      <c r="U51" s="140">
        <f t="shared" si="8"/>
        <v>20685344522</v>
      </c>
      <c r="V51" s="183"/>
      <c r="W51" s="144"/>
      <c r="X51" s="144"/>
      <c r="AA51" s="208"/>
    </row>
    <row r="52" spans="1:27" s="148" customFormat="1" ht="20.25" customHeight="1">
      <c r="A52" s="283"/>
      <c r="B52" s="297" t="s">
        <v>428</v>
      </c>
      <c r="C52" s="8">
        <v>0</v>
      </c>
      <c r="D52" s="8">
        <v>0</v>
      </c>
      <c r="E52" s="8">
        <v>2031365</v>
      </c>
      <c r="F52" s="8">
        <v>2031365</v>
      </c>
      <c r="G52" s="8">
        <v>738216175</v>
      </c>
      <c r="H52" s="8">
        <v>738216175</v>
      </c>
      <c r="I52" s="8">
        <v>788947997</v>
      </c>
      <c r="J52" s="8">
        <v>788947997</v>
      </c>
      <c r="K52" s="8">
        <v>2176482569</v>
      </c>
      <c r="L52" s="8">
        <v>2161000212</v>
      </c>
      <c r="M52" s="8">
        <v>5012647777</v>
      </c>
      <c r="N52" s="8">
        <v>4936216370</v>
      </c>
      <c r="O52" s="8">
        <v>2709309338</v>
      </c>
      <c r="P52" s="8">
        <v>2571928881</v>
      </c>
      <c r="Q52" s="8">
        <v>9487003522</v>
      </c>
      <c r="R52" s="8">
        <v>9487003522</v>
      </c>
      <c r="S52" s="140">
        <f t="shared" si="6"/>
        <v>20914638743</v>
      </c>
      <c r="T52" s="140">
        <f t="shared" si="7"/>
        <v>229294221</v>
      </c>
      <c r="U52" s="140">
        <f t="shared" si="8"/>
        <v>20685344522</v>
      </c>
      <c r="V52" s="183"/>
      <c r="W52" s="144"/>
      <c r="X52" s="144"/>
      <c r="AA52" s="208"/>
    </row>
    <row r="53" spans="1:27" s="148" customFormat="1" ht="20.25" customHeight="1">
      <c r="A53" s="283"/>
      <c r="B53" s="297" t="s">
        <v>429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140">
        <f t="shared" si="6"/>
        <v>0</v>
      </c>
      <c r="T53" s="140">
        <f t="shared" si="7"/>
        <v>0</v>
      </c>
      <c r="U53" s="140">
        <f t="shared" si="8"/>
        <v>0</v>
      </c>
      <c r="V53" s="183"/>
      <c r="W53" s="144"/>
      <c r="X53" s="144"/>
      <c r="AA53" s="208"/>
    </row>
    <row r="54" spans="1:27" s="148" customFormat="1" ht="25.5">
      <c r="A54" s="283"/>
      <c r="B54" s="296" t="s">
        <v>432</v>
      </c>
      <c r="C54" s="140">
        <f>+C55+C56</f>
        <v>0</v>
      </c>
      <c r="D54" s="140">
        <f t="shared" ref="D54" si="75">+D55+D56</f>
        <v>0</v>
      </c>
      <c r="E54" s="140">
        <f t="shared" ref="E54:G54" si="76">+E55+E56</f>
        <v>0</v>
      </c>
      <c r="F54" s="140">
        <f t="shared" ref="F54:H54" si="77">+F55+F56</f>
        <v>0</v>
      </c>
      <c r="G54" s="140">
        <f t="shared" si="76"/>
        <v>0</v>
      </c>
      <c r="H54" s="140">
        <f t="shared" si="77"/>
        <v>0</v>
      </c>
      <c r="I54" s="140">
        <f t="shared" ref="I54" si="78">+I55+I56</f>
        <v>41676136</v>
      </c>
      <c r="J54" s="140">
        <f t="shared" ref="J54" si="79">+J55+J56</f>
        <v>41543372</v>
      </c>
      <c r="K54" s="140">
        <f t="shared" ref="K54" si="80">+K55+K56</f>
        <v>678510949</v>
      </c>
      <c r="L54" s="140">
        <f t="shared" ref="L54" si="81">+L55+L56</f>
        <v>51227285</v>
      </c>
      <c r="M54" s="140">
        <f t="shared" ref="M54" si="82">+M55+M56</f>
        <v>913535215</v>
      </c>
      <c r="N54" s="140">
        <f t="shared" ref="N54" si="83">+N55+N56</f>
        <v>776678221</v>
      </c>
      <c r="O54" s="140">
        <f t="shared" ref="O54" si="84">+O55+O56</f>
        <v>2591571520</v>
      </c>
      <c r="P54" s="140">
        <f t="shared" ref="P54" si="85">+P55+P56</f>
        <v>1901229214</v>
      </c>
      <c r="Q54" s="140">
        <f t="shared" ref="Q54" si="86">+Q55+Q56</f>
        <v>6760199944</v>
      </c>
      <c r="R54" s="140">
        <f t="shared" ref="R54" si="87">+R55+R56</f>
        <v>6132336383</v>
      </c>
      <c r="S54" s="140">
        <f t="shared" si="6"/>
        <v>10985493764</v>
      </c>
      <c r="T54" s="140">
        <f t="shared" si="7"/>
        <v>2082479289</v>
      </c>
      <c r="U54" s="140">
        <f t="shared" si="8"/>
        <v>8903014475</v>
      </c>
      <c r="V54" s="183"/>
      <c r="W54" s="144"/>
      <c r="X54" s="144"/>
      <c r="AA54" s="208"/>
    </row>
    <row r="55" spans="1:27" s="148" customFormat="1" ht="20.25" customHeight="1">
      <c r="A55" s="283"/>
      <c r="B55" s="297" t="s">
        <v>428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41676136</v>
      </c>
      <c r="J55" s="8">
        <v>41543372</v>
      </c>
      <c r="K55" s="8">
        <v>678510949</v>
      </c>
      <c r="L55" s="8">
        <v>51227285</v>
      </c>
      <c r="M55" s="8">
        <v>913535215</v>
      </c>
      <c r="N55" s="8">
        <v>776678221</v>
      </c>
      <c r="O55" s="8">
        <v>2591571520</v>
      </c>
      <c r="P55" s="8">
        <v>1901229214</v>
      </c>
      <c r="Q55" s="8">
        <v>6760199944</v>
      </c>
      <c r="R55" s="8">
        <v>6132336383</v>
      </c>
      <c r="S55" s="140">
        <f t="shared" si="6"/>
        <v>10985493764</v>
      </c>
      <c r="T55" s="140">
        <f t="shared" si="7"/>
        <v>2082479289</v>
      </c>
      <c r="U55" s="140">
        <f t="shared" si="8"/>
        <v>8903014475</v>
      </c>
      <c r="V55" s="183"/>
      <c r="W55" s="144"/>
      <c r="X55" s="144"/>
      <c r="AA55" s="208"/>
    </row>
    <row r="56" spans="1:27" s="148" customFormat="1" ht="20.25" customHeight="1">
      <c r="A56" s="283"/>
      <c r="B56" s="297" t="s">
        <v>429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40">
        <f t="shared" si="6"/>
        <v>0</v>
      </c>
      <c r="T56" s="140">
        <f t="shared" si="7"/>
        <v>0</v>
      </c>
      <c r="U56" s="140">
        <f t="shared" si="8"/>
        <v>0</v>
      </c>
      <c r="V56" s="183"/>
      <c r="W56" s="144"/>
      <c r="X56" s="144"/>
      <c r="AA56" s="208"/>
    </row>
    <row r="57" spans="1:27">
      <c r="V57" s="298"/>
      <c r="W57" s="145"/>
      <c r="X57" s="145"/>
      <c r="AA57" s="299"/>
    </row>
    <row r="58" spans="1:27" ht="15" customHeight="1">
      <c r="A58" s="18"/>
      <c r="B58" s="4" t="s">
        <v>540</v>
      </c>
      <c r="F58" s="150"/>
      <c r="G58" s="150"/>
      <c r="H58" s="150"/>
      <c r="I58" s="150"/>
      <c r="J58" s="150"/>
      <c r="K58" s="150"/>
      <c r="L58" s="150"/>
      <c r="M58" s="150"/>
      <c r="V58" s="18"/>
      <c r="W58" s="18"/>
      <c r="X58" s="18"/>
      <c r="AA58" s="18"/>
    </row>
    <row r="59" spans="1:27" ht="11.25" customHeight="1">
      <c r="A59" s="18"/>
      <c r="B59" s="4"/>
      <c r="F59" s="150"/>
      <c r="G59" s="150"/>
      <c r="H59" s="150"/>
      <c r="I59" s="150"/>
      <c r="J59" s="150"/>
      <c r="K59" s="150"/>
      <c r="L59" s="150"/>
      <c r="M59" s="150"/>
      <c r="V59" s="18"/>
      <c r="W59" s="18"/>
      <c r="X59" s="18"/>
      <c r="AA59" s="18"/>
    </row>
    <row r="60" spans="1:27" ht="15" customHeight="1">
      <c r="A60" s="18"/>
      <c r="B60" s="4" t="s">
        <v>539</v>
      </c>
      <c r="F60" s="150"/>
      <c r="G60" s="150"/>
      <c r="H60" s="150"/>
      <c r="I60" s="150"/>
      <c r="J60" s="150"/>
      <c r="K60" s="150"/>
      <c r="L60" s="150"/>
      <c r="M60" s="150"/>
      <c r="V60" s="18"/>
      <c r="W60" s="18"/>
      <c r="X60" s="18"/>
      <c r="AA60" s="18"/>
    </row>
    <row r="61" spans="1:27">
      <c r="V61" s="298"/>
      <c r="W61" s="145"/>
      <c r="X61" s="145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C18:D18">
    <cfRule type="cellIs" dxfId="43" priority="23" operator="greaterThan">
      <formula>B18</formula>
    </cfRule>
  </conditionalFormatting>
  <conditionalFormatting sqref="D7:D11">
    <cfRule type="cellIs" dxfId="42" priority="1" operator="greaterThan">
      <formula>C7</formula>
    </cfRule>
  </conditionalFormatting>
  <conditionalFormatting sqref="D13:D17">
    <cfRule type="cellIs" dxfId="41" priority="239" operator="greaterThan">
      <formula>C13</formula>
    </cfRule>
  </conditionalFormatting>
  <conditionalFormatting sqref="D19:D39">
    <cfRule type="cellIs" dxfId="40" priority="24" operator="greaterThan">
      <formula>C19</formula>
    </cfRule>
  </conditionalFormatting>
  <conditionalFormatting sqref="D42:D56">
    <cfRule type="cellIs" dxfId="39" priority="8" operator="greaterThan">
      <formula>C42</formula>
    </cfRule>
  </conditionalFormatting>
  <conditionalFormatting sqref="F7:F11">
    <cfRule type="cellIs" dxfId="38" priority="470" operator="greaterThan">
      <formula>E7</formula>
    </cfRule>
  </conditionalFormatting>
  <conditionalFormatting sqref="F13:F39">
    <cfRule type="cellIs" dxfId="37" priority="43" operator="greaterThan">
      <formula>E13</formula>
    </cfRule>
  </conditionalFormatting>
  <conditionalFormatting sqref="F42:F56">
    <cfRule type="cellIs" dxfId="36" priority="3" operator="greaterThan">
      <formula>E42</formula>
    </cfRule>
  </conditionalFormatting>
  <conditionalFormatting sqref="H7:H11 J7:J11 L7:L11 N7:N11 P7:P11 R7:R11">
    <cfRule type="cellIs" dxfId="35" priority="474" operator="greaterThan">
      <formula>G7</formula>
    </cfRule>
  </conditionalFormatting>
  <conditionalFormatting sqref="H13:H39 J13:J39 L13:L39">
    <cfRule type="cellIs" dxfId="34" priority="47" operator="greaterThan">
      <formula>G13</formula>
    </cfRule>
  </conditionalFormatting>
  <conditionalFormatting sqref="H42:H56">
    <cfRule type="cellIs" dxfId="33" priority="7" operator="greaterThan">
      <formula>G42</formula>
    </cfRule>
  </conditionalFormatting>
  <conditionalFormatting sqref="J42:J56">
    <cfRule type="cellIs" dxfId="32" priority="6" operator="greaterThan">
      <formula>I42</formula>
    </cfRule>
  </conditionalFormatting>
  <conditionalFormatting sqref="L42:L56">
    <cfRule type="cellIs" dxfId="31" priority="5" operator="greaterThan">
      <formula>K42</formula>
    </cfRule>
  </conditionalFormatting>
  <conditionalFormatting sqref="N13:N39 P13:P39 R13:R39">
    <cfRule type="cellIs" dxfId="30" priority="36" operator="greaterThan">
      <formula>M13</formula>
    </cfRule>
  </conditionalFormatting>
  <conditionalFormatting sqref="N42:N56">
    <cfRule type="cellIs" dxfId="29" priority="4" operator="greaterThan">
      <formula>M42</formula>
    </cfRule>
  </conditionalFormatting>
  <conditionalFormatting sqref="P42:P56 R42:R56">
    <cfRule type="cellIs" dxfId="28" priority="2" operator="greaterThan">
      <formula>O42</formula>
    </cfRule>
  </conditionalFormatting>
  <conditionalFormatting sqref="S20:U20">
    <cfRule type="cellIs" dxfId="27" priority="217" operator="notEqual">
      <formula>Y20</formula>
    </cfRule>
  </conditionalFormatting>
  <conditionalFormatting sqref="S40:U40">
    <cfRule type="cellIs" dxfId="26" priority="219" operator="notEqual">
      <formula>Y40</formula>
    </cfRule>
  </conditionalFormatting>
  <conditionalFormatting sqref="Y40">
    <cfRule type="cellIs" dxfId="25" priority="507" operator="notEqual">
      <formula>$S$40</formula>
    </cfRule>
  </conditionalFormatting>
  <conditionalFormatting sqref="Z40">
    <cfRule type="cellIs" dxfId="24" priority="534" operator="notEqual">
      <formula>$T$40</formula>
    </cfRule>
  </conditionalFormatting>
  <conditionalFormatting sqref="AA40">
    <cfRule type="cellIs" dxfId="23" priority="508" operator="notEqual">
      <formula>$U$40</formula>
    </cfRule>
  </conditionalFormatting>
  <dataValidations count="4">
    <dataValidation type="whole" operator="notEqual" allowBlank="1" showErrorMessage="1" error="Введите как целое число." sqref="C41:R56 C8:R12 C15:R19 C21:R39">
      <formula1>-1E+28</formula1>
    </dataValidation>
    <dataValidation allowBlank="1" showErrorMessage="1" prompt="Введите самостоятельно рассчитанный коэффициент" sqref="C5:R5 T5:U5"/>
    <dataValidation type="whole" operator="greaterThanOrEqual" allowBlank="1" showErrorMessage="1" error="Введите как целое положительное число." sqref="C13:R14 C7:R7">
      <formula1>0</formula1>
    </dataValidation>
    <dataValidation type="date" operator="greaterThan" allowBlank="1" showInputMessage="1" showErrorMessage="1" prompt="Введите дату в формате ЧЧ.ММ.ГГГГ" sqref="V2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6" orientation="landscape" r:id="rId1"/>
  <headerFooter alignWithMargins="0"/>
  <ignoredErrors>
    <ignoredError sqref="C57:X57 C15:D15 C40:D42 C45:D45 C54:D54 C20:D20 C33:R33 C50:D51 C56:D56 C47:D48" unlockedFormula="1"/>
    <ignoredError sqref="E15:X15 S23:X23 S16:X19 S27:X29 S26:V26 S32:X32 S31:V31 E41:X42 E45:X45 S43:X43 E54:X54 S52:X52 T12:X14 S36:X38 E20:U20 E21:V21 E40:V40 S33:U33 S12:S14 E24:U24 S30:U30 X26 S53:X53 W31:X31 E50:X51 S49:X49 S39:V39 E56:X56 S55:X55 S44:X44 E47:X48 S46:X46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AA61"/>
  <sheetViews>
    <sheetView view="pageBreakPreview" zoomScale="75" zoomScaleNormal="70" zoomScaleSheetLayoutView="75" workbookViewId="0">
      <pane xSplit="2" ySplit="6" topLeftCell="C34" activePane="bottomRight" state="frozen"/>
      <selection activeCell="G38" sqref="G38"/>
      <selection pane="topRight" activeCell="G38" sqref="G38"/>
      <selection pane="bottomLeft" activeCell="G38" sqref="G38"/>
      <selection pane="bottomRight" activeCell="C7" sqref="C7"/>
    </sheetView>
  </sheetViews>
  <sheetFormatPr defaultRowHeight="12.75"/>
  <cols>
    <col min="1" max="1" width="6.42578125" style="182" customWidth="1"/>
    <col min="2" max="2" width="80.42578125" style="139" customWidth="1"/>
    <col min="3" max="10" width="22.140625" style="139" customWidth="1"/>
    <col min="11" max="11" width="20.28515625" style="139" customWidth="1"/>
    <col min="12" max="12" width="18.5703125" style="142" customWidth="1"/>
    <col min="13" max="13" width="18.5703125" style="141" customWidth="1"/>
    <col min="14" max="14" width="17.28515625" style="139" bestFit="1" customWidth="1"/>
    <col min="15" max="16" width="15.140625" style="139" customWidth="1"/>
    <col min="17" max="16384" width="9.140625" style="139"/>
  </cols>
  <sheetData>
    <row r="2" spans="1:27" s="99" customFormat="1" ht="26.25" customHeight="1">
      <c r="A2" s="96" t="s">
        <v>433</v>
      </c>
      <c r="B2" s="97"/>
      <c r="C2" s="97"/>
      <c r="D2" s="98"/>
      <c r="E2" s="98"/>
      <c r="F2" s="98"/>
      <c r="G2" s="98"/>
      <c r="H2" s="98"/>
      <c r="I2" s="98"/>
      <c r="L2" s="427" t="s">
        <v>558</v>
      </c>
      <c r="M2" s="427"/>
    </row>
    <row r="3" spans="1:27" ht="15.75">
      <c r="A3" s="181"/>
      <c r="B3" s="180" t="str">
        <f>Balance!B3</f>
        <v>"Ўзсаноатқурилишбанк" АТБ</v>
      </c>
      <c r="C3" s="58"/>
      <c r="D3" s="138"/>
      <c r="E3" s="138"/>
      <c r="F3" s="138"/>
      <c r="G3" s="138"/>
      <c r="H3" s="138"/>
      <c r="I3" s="138"/>
      <c r="J3" s="80"/>
      <c r="K3" s="378">
        <f>+Balance!D3</f>
        <v>45289</v>
      </c>
      <c r="L3" s="139"/>
      <c r="M3" s="139" t="str">
        <f>+Balance!E3</f>
        <v>минг сўмда</v>
      </c>
    </row>
    <row r="4" spans="1:27" s="16" customFormat="1" ht="23.25" customHeight="1">
      <c r="A4" s="421" t="s">
        <v>54</v>
      </c>
      <c r="B4" s="421" t="s">
        <v>336</v>
      </c>
      <c r="C4" s="415" t="s">
        <v>337</v>
      </c>
      <c r="D4" s="417"/>
      <c r="E4" s="417"/>
      <c r="F4" s="417"/>
      <c r="G4" s="417"/>
      <c r="H4" s="417"/>
      <c r="I4" s="417"/>
      <c r="J4" s="416"/>
      <c r="K4" s="421" t="s">
        <v>176</v>
      </c>
      <c r="L4" s="423" t="s">
        <v>339</v>
      </c>
      <c r="M4" s="424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s="16" customFormat="1" ht="27.75" customHeight="1">
      <c r="A5" s="422"/>
      <c r="B5" s="422"/>
      <c r="C5" s="421" t="s">
        <v>340</v>
      </c>
      <c r="D5" s="421" t="s">
        <v>341</v>
      </c>
      <c r="E5" s="421" t="s">
        <v>342</v>
      </c>
      <c r="F5" s="421" t="s">
        <v>343</v>
      </c>
      <c r="G5" s="421" t="s">
        <v>344</v>
      </c>
      <c r="H5" s="421" t="s">
        <v>345</v>
      </c>
      <c r="I5" s="421" t="s">
        <v>346</v>
      </c>
      <c r="J5" s="421" t="s">
        <v>347</v>
      </c>
      <c r="K5" s="422"/>
      <c r="L5" s="425"/>
      <c r="M5" s="426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6" spans="1:27" s="16" customFormat="1" ht="34.5" customHeight="1">
      <c r="A6" s="430"/>
      <c r="B6" s="430"/>
      <c r="C6" s="430"/>
      <c r="D6" s="430"/>
      <c r="E6" s="430"/>
      <c r="F6" s="430"/>
      <c r="G6" s="430"/>
      <c r="H6" s="430"/>
      <c r="I6" s="430"/>
      <c r="J6" s="430"/>
      <c r="K6" s="430"/>
      <c r="L6" s="311" t="s">
        <v>22</v>
      </c>
      <c r="M6" s="311" t="s">
        <v>312</v>
      </c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</row>
    <row r="7" spans="1:27" s="136" customFormat="1" ht="20.25" customHeight="1">
      <c r="A7" s="276" t="s">
        <v>55</v>
      </c>
      <c r="B7" s="277" t="s">
        <v>406</v>
      </c>
      <c r="C7" s="140"/>
      <c r="D7" s="140"/>
      <c r="E7" s="140"/>
      <c r="F7" s="140"/>
      <c r="G7" s="140"/>
      <c r="H7" s="140"/>
      <c r="I7" s="140"/>
      <c r="J7" s="140"/>
      <c r="K7" s="140"/>
      <c r="L7" s="132"/>
      <c r="M7" s="133"/>
      <c r="N7" s="16"/>
      <c r="O7" s="135"/>
      <c r="P7" s="135"/>
    </row>
    <row r="8" spans="1:27" s="136" customFormat="1" ht="25.5" customHeight="1">
      <c r="A8" s="276" t="s">
        <v>66</v>
      </c>
      <c r="B8" s="277" t="s">
        <v>407</v>
      </c>
      <c r="C8" s="394">
        <f>SUM(C9:C12)</f>
        <v>1863651772</v>
      </c>
      <c r="D8" s="394">
        <f t="shared" ref="D8:J8" si="0">SUM(D9:D12)</f>
        <v>0</v>
      </c>
      <c r="E8" s="394">
        <f t="shared" si="0"/>
        <v>0</v>
      </c>
      <c r="F8" s="394">
        <f t="shared" si="0"/>
        <v>0</v>
      </c>
      <c r="G8" s="394">
        <f t="shared" si="0"/>
        <v>0</v>
      </c>
      <c r="H8" s="394">
        <f t="shared" si="0"/>
        <v>0</v>
      </c>
      <c r="I8" s="394">
        <f t="shared" si="0"/>
        <v>0</v>
      </c>
      <c r="J8" s="394">
        <f t="shared" si="0"/>
        <v>0</v>
      </c>
      <c r="K8" s="131">
        <f t="shared" ref="K8:K40" si="1">+C8+D8+E8+F8+G8+H8+I8+J8</f>
        <v>1863651772</v>
      </c>
      <c r="L8" s="132"/>
      <c r="M8" s="133"/>
      <c r="N8" s="16"/>
      <c r="O8" s="135"/>
      <c r="P8" s="135"/>
    </row>
    <row r="9" spans="1:27" s="136" customFormat="1" ht="25.5" customHeight="1">
      <c r="A9" s="276" t="s">
        <v>141</v>
      </c>
      <c r="B9" s="277" t="s">
        <v>408</v>
      </c>
      <c r="C9" s="394">
        <f>+'Bank Liabilities Analysis'!C8-'Bank Liabilities Analysis'!D8</f>
        <v>57503603</v>
      </c>
      <c r="D9" s="394">
        <f>+'Bank Liabilities Analysis'!E8-'Bank Liabilities Analysis'!F8</f>
        <v>0</v>
      </c>
      <c r="E9" s="394">
        <f>+'Bank Liabilities Analysis'!G8-'Bank Liabilities Analysis'!H8</f>
        <v>0</v>
      </c>
      <c r="F9" s="394">
        <f>+'Bank Liabilities Analysis'!I8-'Bank Liabilities Analysis'!J8</f>
        <v>0</v>
      </c>
      <c r="G9" s="394">
        <f>+'Bank Liabilities Analysis'!K8-'Bank Liabilities Analysis'!L8</f>
        <v>0</v>
      </c>
      <c r="H9" s="394">
        <f>+'Bank Liabilities Analysis'!M8-'Bank Liabilities Analysis'!N8</f>
        <v>0</v>
      </c>
      <c r="I9" s="394">
        <f>+'Bank Liabilities Analysis'!O8-'Bank Liabilities Analysis'!P8</f>
        <v>0</v>
      </c>
      <c r="J9" s="394">
        <f>+'Bank Liabilities Analysis'!Q8-'Bank Liabilities Analysis'!R8</f>
        <v>0</v>
      </c>
      <c r="K9" s="131">
        <f t="shared" si="1"/>
        <v>57503603</v>
      </c>
      <c r="L9" s="132"/>
      <c r="M9" s="133"/>
      <c r="N9" s="16"/>
      <c r="O9" s="135"/>
      <c r="P9" s="135"/>
    </row>
    <row r="10" spans="1:27" s="136" customFormat="1" ht="25.5" customHeight="1">
      <c r="A10" s="276" t="s">
        <v>142</v>
      </c>
      <c r="B10" s="277" t="s">
        <v>409</v>
      </c>
      <c r="C10" s="394">
        <f>+'Bank Liabilities Analysis'!C9-'Bank Liabilities Analysis'!D9</f>
        <v>0</v>
      </c>
      <c r="D10" s="394">
        <f>+'Bank Liabilities Analysis'!E9-'Bank Liabilities Analysis'!F9</f>
        <v>0</v>
      </c>
      <c r="E10" s="394">
        <f>+'Bank Liabilities Analysis'!G9-'Bank Liabilities Analysis'!H9</f>
        <v>0</v>
      </c>
      <c r="F10" s="394">
        <f>+'Bank Liabilities Analysis'!I9-'Bank Liabilities Analysis'!J9</f>
        <v>0</v>
      </c>
      <c r="G10" s="394">
        <f>+'Bank Liabilities Analysis'!K9-'Bank Liabilities Analysis'!L9</f>
        <v>0</v>
      </c>
      <c r="H10" s="394">
        <f>+'Bank Liabilities Analysis'!M9-'Bank Liabilities Analysis'!N9</f>
        <v>0</v>
      </c>
      <c r="I10" s="394">
        <f>+'Bank Liabilities Analysis'!O9-'Bank Liabilities Analysis'!P9</f>
        <v>0</v>
      </c>
      <c r="J10" s="394">
        <f>+'Bank Liabilities Analysis'!Q9-'Bank Liabilities Analysis'!R9</f>
        <v>0</v>
      </c>
      <c r="K10" s="131">
        <f t="shared" si="1"/>
        <v>0</v>
      </c>
      <c r="L10" s="132"/>
      <c r="M10" s="133"/>
      <c r="N10" s="16"/>
      <c r="O10" s="135"/>
      <c r="P10" s="135"/>
    </row>
    <row r="11" spans="1:27" s="136" customFormat="1" ht="33.75" customHeight="1">
      <c r="A11" s="276" t="s">
        <v>143</v>
      </c>
      <c r="B11" s="277" t="s">
        <v>410</v>
      </c>
      <c r="C11" s="394">
        <f>+'Bank Liabilities Analysis'!C10-'Bank Liabilities Analysis'!D10</f>
        <v>0</v>
      </c>
      <c r="D11" s="394">
        <f>+'Bank Liabilities Analysis'!E10-'Bank Liabilities Analysis'!F10</f>
        <v>0</v>
      </c>
      <c r="E11" s="394">
        <f>+'Bank Liabilities Analysis'!G10-'Bank Liabilities Analysis'!H10</f>
        <v>0</v>
      </c>
      <c r="F11" s="394">
        <f>+'Bank Liabilities Analysis'!I10-'Bank Liabilities Analysis'!J10</f>
        <v>0</v>
      </c>
      <c r="G11" s="394">
        <f>+'Bank Liabilities Analysis'!K10-'Bank Liabilities Analysis'!L10</f>
        <v>0</v>
      </c>
      <c r="H11" s="394">
        <f>+'Bank Liabilities Analysis'!M10-'Bank Liabilities Analysis'!N10</f>
        <v>0</v>
      </c>
      <c r="I11" s="394">
        <f>+'Bank Liabilities Analysis'!O10-'Bank Liabilities Analysis'!P10</f>
        <v>0</v>
      </c>
      <c r="J11" s="394">
        <f>+'Bank Liabilities Analysis'!Q10-'Bank Liabilities Analysis'!R10</f>
        <v>0</v>
      </c>
      <c r="K11" s="131">
        <f t="shared" si="1"/>
        <v>0</v>
      </c>
      <c r="L11" s="132"/>
      <c r="M11" s="133"/>
      <c r="N11" s="16"/>
      <c r="O11" s="135"/>
      <c r="P11" s="135"/>
    </row>
    <row r="12" spans="1:27" s="136" customFormat="1" ht="25.5" customHeight="1">
      <c r="A12" s="276" t="s">
        <v>144</v>
      </c>
      <c r="B12" s="277" t="s">
        <v>411</v>
      </c>
      <c r="C12" s="394">
        <f>+'Bank Liabilities Analysis'!C11-'Bank Liabilities Analysis'!D11</f>
        <v>1806148169</v>
      </c>
      <c r="D12" s="394">
        <f>+'Bank Liabilities Analysis'!E11-'Bank Liabilities Analysis'!F11</f>
        <v>0</v>
      </c>
      <c r="E12" s="394">
        <f>+'Bank Liabilities Analysis'!G11-'Bank Liabilities Analysis'!H11</f>
        <v>0</v>
      </c>
      <c r="F12" s="394">
        <f>+'Bank Liabilities Analysis'!I11-'Bank Liabilities Analysis'!J11</f>
        <v>0</v>
      </c>
      <c r="G12" s="394">
        <f>+'Bank Liabilities Analysis'!K11-'Bank Liabilities Analysis'!L11</f>
        <v>0</v>
      </c>
      <c r="H12" s="394">
        <f>+'Bank Liabilities Analysis'!M11-'Bank Liabilities Analysis'!N11</f>
        <v>0</v>
      </c>
      <c r="I12" s="394">
        <f>+'Bank Liabilities Analysis'!O11-'Bank Liabilities Analysis'!P11</f>
        <v>0</v>
      </c>
      <c r="J12" s="394">
        <f>+'Bank Liabilities Analysis'!Q11-'Bank Liabilities Analysis'!R11</f>
        <v>0</v>
      </c>
      <c r="K12" s="131">
        <f t="shared" si="1"/>
        <v>1806148169</v>
      </c>
      <c r="L12" s="132"/>
      <c r="M12" s="133"/>
      <c r="N12" s="16"/>
      <c r="O12" s="135"/>
      <c r="P12" s="135"/>
    </row>
    <row r="13" spans="1:27" s="136" customFormat="1" ht="25.5" customHeight="1">
      <c r="A13" s="276" t="s">
        <v>67</v>
      </c>
      <c r="B13" s="277" t="s">
        <v>232</v>
      </c>
      <c r="C13" s="394">
        <f>+'Bank Liabilities Analysis'!C12-'Bank Liabilities Analysis'!D12</f>
        <v>32251864</v>
      </c>
      <c r="D13" s="394">
        <f>+'Bank Liabilities Analysis'!E12-'Bank Liabilities Analysis'!F12</f>
        <v>39064100</v>
      </c>
      <c r="E13" s="394">
        <f>+'Bank Liabilities Analysis'!G12-'Bank Liabilities Analysis'!H12</f>
        <v>237959693</v>
      </c>
      <c r="F13" s="394">
        <f>+'Bank Liabilities Analysis'!I12-'Bank Liabilities Analysis'!J12</f>
        <v>691320478</v>
      </c>
      <c r="G13" s="394">
        <f>+'Bank Liabilities Analysis'!K12-'Bank Liabilities Analysis'!L12</f>
        <v>948925350</v>
      </c>
      <c r="H13" s="394">
        <f>+'Bank Liabilities Analysis'!M12-'Bank Liabilities Analysis'!N12</f>
        <v>1438922313</v>
      </c>
      <c r="I13" s="394">
        <f>+'Bank Liabilities Analysis'!O12-'Bank Liabilities Analysis'!P12</f>
        <v>656043010</v>
      </c>
      <c r="J13" s="394">
        <f>+'Bank Liabilities Analysis'!Q12-'Bank Liabilities Analysis'!R12</f>
        <v>1310151711</v>
      </c>
      <c r="K13" s="131">
        <f t="shared" si="1"/>
        <v>5354638519</v>
      </c>
      <c r="L13" s="132"/>
      <c r="M13" s="133"/>
      <c r="N13" s="16"/>
      <c r="O13" s="135"/>
      <c r="P13" s="135"/>
    </row>
    <row r="14" spans="1:27" s="136" customFormat="1" ht="25.5" customHeight="1">
      <c r="A14" s="276" t="s">
        <v>154</v>
      </c>
      <c r="B14" s="277" t="s">
        <v>412</v>
      </c>
      <c r="C14" s="394">
        <f>+'Bank Liabilities Analysis'!C13-'Bank Liabilities Analysis'!D13</f>
        <v>32051864</v>
      </c>
      <c r="D14" s="394">
        <f>+'Bank Liabilities Analysis'!E13-'Bank Liabilities Analysis'!F13</f>
        <v>37284099</v>
      </c>
      <c r="E14" s="394">
        <f>+'Bank Liabilities Analysis'!G13-'Bank Liabilities Analysis'!H13</f>
        <v>143693397</v>
      </c>
      <c r="F14" s="394">
        <f>+'Bank Liabilities Analysis'!I13-'Bank Liabilities Analysis'!J13</f>
        <v>572270433</v>
      </c>
      <c r="G14" s="394">
        <f>+'Bank Liabilities Analysis'!K13-'Bank Liabilities Analysis'!L13</f>
        <v>338379549</v>
      </c>
      <c r="H14" s="394">
        <f>+'Bank Liabilities Analysis'!M13-'Bank Liabilities Analysis'!N13</f>
        <v>1169984956</v>
      </c>
      <c r="I14" s="394">
        <f>+'Bank Liabilities Analysis'!O13-'Bank Liabilities Analysis'!P13</f>
        <v>412935434</v>
      </c>
      <c r="J14" s="394">
        <f>+'Bank Liabilities Analysis'!Q13-'Bank Liabilities Analysis'!R13</f>
        <v>4092035</v>
      </c>
      <c r="K14" s="131">
        <f t="shared" si="1"/>
        <v>2710691767</v>
      </c>
      <c r="L14" s="132"/>
      <c r="M14" s="133"/>
      <c r="N14" s="16"/>
      <c r="O14" s="135"/>
      <c r="P14" s="135"/>
    </row>
    <row r="15" spans="1:27" s="136" customFormat="1" ht="25.5" customHeight="1">
      <c r="A15" s="276" t="s">
        <v>155</v>
      </c>
      <c r="B15" s="277" t="s">
        <v>413</v>
      </c>
      <c r="C15" s="394">
        <f>+'Bank Liabilities Analysis'!C14-'Bank Liabilities Analysis'!D14</f>
        <v>0</v>
      </c>
      <c r="D15" s="394">
        <f>+'Bank Liabilities Analysis'!E14-'Bank Liabilities Analysis'!F14</f>
        <v>0</v>
      </c>
      <c r="E15" s="394">
        <f>+'Bank Liabilities Analysis'!G14-'Bank Liabilities Analysis'!H14</f>
        <v>0</v>
      </c>
      <c r="F15" s="394">
        <f>+'Bank Liabilities Analysis'!I14-'Bank Liabilities Analysis'!J14</f>
        <v>0</v>
      </c>
      <c r="G15" s="394">
        <f>+'Bank Liabilities Analysis'!K14-'Bank Liabilities Analysis'!L14</f>
        <v>0</v>
      </c>
      <c r="H15" s="394">
        <f>+'Bank Liabilities Analysis'!M14-'Bank Liabilities Analysis'!N14</f>
        <v>0</v>
      </c>
      <c r="I15" s="394">
        <f>+'Bank Liabilities Analysis'!O14-'Bank Liabilities Analysis'!P14</f>
        <v>0</v>
      </c>
      <c r="J15" s="394">
        <f>+'Bank Liabilities Analysis'!Q14-'Bank Liabilities Analysis'!R14</f>
        <v>0</v>
      </c>
      <c r="K15" s="131">
        <f t="shared" si="1"/>
        <v>0</v>
      </c>
      <c r="L15" s="132"/>
      <c r="M15" s="133"/>
      <c r="N15" s="16"/>
      <c r="O15" s="135"/>
      <c r="P15" s="135"/>
    </row>
    <row r="16" spans="1:27" s="136" customFormat="1" ht="25.5" customHeight="1">
      <c r="A16" s="276" t="s">
        <v>68</v>
      </c>
      <c r="B16" s="277" t="s">
        <v>414</v>
      </c>
      <c r="C16" s="394">
        <f t="shared" ref="C16:J16" si="2">SUM(C17:C20)</f>
        <v>1690760939</v>
      </c>
      <c r="D16" s="394">
        <f t="shared" si="2"/>
        <v>0</v>
      </c>
      <c r="E16" s="394">
        <f t="shared" si="2"/>
        <v>0</v>
      </c>
      <c r="F16" s="394">
        <f t="shared" si="2"/>
        <v>529752</v>
      </c>
      <c r="G16" s="394">
        <f t="shared" si="2"/>
        <v>0</v>
      </c>
      <c r="H16" s="394">
        <f t="shared" si="2"/>
        <v>0</v>
      </c>
      <c r="I16" s="394">
        <f t="shared" si="2"/>
        <v>0</v>
      </c>
      <c r="J16" s="394">
        <f t="shared" si="2"/>
        <v>0</v>
      </c>
      <c r="K16" s="131">
        <f t="shared" si="1"/>
        <v>1691290691</v>
      </c>
      <c r="L16" s="132"/>
      <c r="M16" s="133"/>
      <c r="N16" s="16"/>
      <c r="O16" s="135"/>
      <c r="P16" s="135"/>
    </row>
    <row r="17" spans="1:16" s="136" customFormat="1" ht="25.5" customHeight="1">
      <c r="A17" s="276" t="s">
        <v>145</v>
      </c>
      <c r="B17" s="277" t="s">
        <v>415</v>
      </c>
      <c r="C17" s="394">
        <f>+'Bank Liabilities Analysis'!C16-'Bank Liabilities Analysis'!D16</f>
        <v>1128589274</v>
      </c>
      <c r="D17" s="394">
        <f>+'Bank Liabilities Analysis'!E16-'Bank Liabilities Analysis'!F16</f>
        <v>0</v>
      </c>
      <c r="E17" s="394">
        <f>+'Bank Liabilities Analysis'!G16-'Bank Liabilities Analysis'!H16</f>
        <v>0</v>
      </c>
      <c r="F17" s="394">
        <f>+'Bank Liabilities Analysis'!I16-'Bank Liabilities Analysis'!J16</f>
        <v>0</v>
      </c>
      <c r="G17" s="394">
        <f>+'Bank Liabilities Analysis'!K16-'Bank Liabilities Analysis'!L16</f>
        <v>0</v>
      </c>
      <c r="H17" s="394">
        <f>+'Bank Liabilities Analysis'!M16-'Bank Liabilities Analysis'!N16</f>
        <v>0</v>
      </c>
      <c r="I17" s="394">
        <f>+'Bank Liabilities Analysis'!O16-'Bank Liabilities Analysis'!P16</f>
        <v>0</v>
      </c>
      <c r="J17" s="394">
        <f>+'Bank Liabilities Analysis'!Q16-'Bank Liabilities Analysis'!R16</f>
        <v>0</v>
      </c>
      <c r="K17" s="131">
        <f t="shared" si="1"/>
        <v>1128589274</v>
      </c>
      <c r="L17" s="132"/>
      <c r="M17" s="133"/>
      <c r="N17" s="16"/>
      <c r="O17" s="135"/>
      <c r="P17" s="135"/>
    </row>
    <row r="18" spans="1:16" s="136" customFormat="1" ht="25.5" customHeight="1">
      <c r="A18" s="276" t="s">
        <v>146</v>
      </c>
      <c r="B18" s="277" t="s">
        <v>416</v>
      </c>
      <c r="C18" s="394">
        <f>+'Bank Liabilities Analysis'!C17-'Bank Liabilities Analysis'!D17</f>
        <v>16528585</v>
      </c>
      <c r="D18" s="394">
        <f>+'Bank Liabilities Analysis'!E17-'Bank Liabilities Analysis'!F17</f>
        <v>0</v>
      </c>
      <c r="E18" s="394">
        <f>+'Bank Liabilities Analysis'!G17-'Bank Liabilities Analysis'!H17</f>
        <v>0</v>
      </c>
      <c r="F18" s="394">
        <f>+'Bank Liabilities Analysis'!I17-'Bank Liabilities Analysis'!J17</f>
        <v>0</v>
      </c>
      <c r="G18" s="394">
        <f>+'Bank Liabilities Analysis'!K17-'Bank Liabilities Analysis'!L17</f>
        <v>0</v>
      </c>
      <c r="H18" s="394">
        <f>+'Bank Liabilities Analysis'!M17-'Bank Liabilities Analysis'!N17</f>
        <v>0</v>
      </c>
      <c r="I18" s="394">
        <f>+'Bank Liabilities Analysis'!O17-'Bank Liabilities Analysis'!P17</f>
        <v>0</v>
      </c>
      <c r="J18" s="394">
        <f>+'Bank Liabilities Analysis'!Q17-'Bank Liabilities Analysis'!R17</f>
        <v>0</v>
      </c>
      <c r="K18" s="131">
        <f t="shared" si="1"/>
        <v>16528585</v>
      </c>
      <c r="L18" s="132"/>
      <c r="M18" s="133"/>
      <c r="N18" s="16"/>
      <c r="O18" s="135"/>
      <c r="P18" s="135"/>
    </row>
    <row r="19" spans="1:16" s="136" customFormat="1" ht="25.5" customHeight="1">
      <c r="A19" s="276" t="s">
        <v>147</v>
      </c>
      <c r="B19" s="277" t="s">
        <v>417</v>
      </c>
      <c r="C19" s="394">
        <f>+'Bank Liabilities Analysis'!C18-'Bank Liabilities Analysis'!D18</f>
        <v>0</v>
      </c>
      <c r="D19" s="394">
        <f>+'Bank Liabilities Analysis'!E18-'Bank Liabilities Analysis'!F18</f>
        <v>0</v>
      </c>
      <c r="E19" s="394">
        <f>+'Bank Liabilities Analysis'!G18-'Bank Liabilities Analysis'!H18</f>
        <v>0</v>
      </c>
      <c r="F19" s="394">
        <f>+'Bank Liabilities Analysis'!I18-'Bank Liabilities Analysis'!J18</f>
        <v>529752</v>
      </c>
      <c r="G19" s="394">
        <f>+'Bank Liabilities Analysis'!K18-'Bank Liabilities Analysis'!L18</f>
        <v>0</v>
      </c>
      <c r="H19" s="394">
        <f>+'Bank Liabilities Analysis'!M18-'Bank Liabilities Analysis'!N18</f>
        <v>0</v>
      </c>
      <c r="I19" s="394">
        <f>+'Bank Liabilities Analysis'!O18-'Bank Liabilities Analysis'!P18</f>
        <v>0</v>
      </c>
      <c r="J19" s="394">
        <f>+'Bank Liabilities Analysis'!Q18-'Bank Liabilities Analysis'!R18</f>
        <v>0</v>
      </c>
      <c r="K19" s="131">
        <f t="shared" si="1"/>
        <v>529752</v>
      </c>
      <c r="L19" s="132"/>
      <c r="M19" s="133"/>
      <c r="N19" s="16"/>
      <c r="O19" s="135"/>
      <c r="P19" s="135"/>
    </row>
    <row r="20" spans="1:16" s="136" customFormat="1" ht="25.5" customHeight="1">
      <c r="A20" s="276" t="s">
        <v>148</v>
      </c>
      <c r="B20" s="277" t="s">
        <v>371</v>
      </c>
      <c r="C20" s="394">
        <f>+'Bank Liabilities Analysis'!C19-'Bank Liabilities Analysis'!D19</f>
        <v>545643080</v>
      </c>
      <c r="D20" s="394">
        <f>+'Bank Liabilities Analysis'!E19-'Bank Liabilities Analysis'!F19</f>
        <v>0</v>
      </c>
      <c r="E20" s="394">
        <f>+'Bank Liabilities Analysis'!G19-'Bank Liabilities Analysis'!H19</f>
        <v>0</v>
      </c>
      <c r="F20" s="394">
        <f>+'Bank Liabilities Analysis'!I19-'Bank Liabilities Analysis'!J19</f>
        <v>0</v>
      </c>
      <c r="G20" s="394">
        <f>+'Bank Liabilities Analysis'!K19-'Bank Liabilities Analysis'!L19</f>
        <v>0</v>
      </c>
      <c r="H20" s="394">
        <f>+'Bank Liabilities Analysis'!M19-'Bank Liabilities Analysis'!N19</f>
        <v>0</v>
      </c>
      <c r="I20" s="394">
        <f>+'Bank Liabilities Analysis'!O19-'Bank Liabilities Analysis'!P19</f>
        <v>0</v>
      </c>
      <c r="J20" s="394">
        <f>+'Bank Liabilities Analysis'!Q19-'Bank Liabilities Analysis'!R19</f>
        <v>0</v>
      </c>
      <c r="K20" s="131">
        <f t="shared" si="1"/>
        <v>545643080</v>
      </c>
      <c r="L20" s="132"/>
      <c r="M20" s="133"/>
      <c r="N20" s="16"/>
      <c r="O20" s="135"/>
      <c r="P20" s="135"/>
    </row>
    <row r="21" spans="1:16" s="136" customFormat="1" ht="25.5" customHeight="1">
      <c r="A21" s="276" t="s">
        <v>69</v>
      </c>
      <c r="B21" s="277" t="s">
        <v>418</v>
      </c>
      <c r="C21" s="394">
        <f t="shared" ref="C21:J21" si="3">+C8+C13+C16</f>
        <v>3586664575</v>
      </c>
      <c r="D21" s="394">
        <f t="shared" si="3"/>
        <v>39064100</v>
      </c>
      <c r="E21" s="394">
        <f t="shared" si="3"/>
        <v>237959693</v>
      </c>
      <c r="F21" s="394">
        <f t="shared" si="3"/>
        <v>691850230</v>
      </c>
      <c r="G21" s="394">
        <f t="shared" si="3"/>
        <v>948925350</v>
      </c>
      <c r="H21" s="394">
        <f t="shared" si="3"/>
        <v>1438922313</v>
      </c>
      <c r="I21" s="394">
        <f t="shared" si="3"/>
        <v>656043010</v>
      </c>
      <c r="J21" s="394">
        <f t="shared" si="3"/>
        <v>1310151711</v>
      </c>
      <c r="K21" s="131">
        <f t="shared" si="1"/>
        <v>8909580982</v>
      </c>
      <c r="L21" s="132">
        <v>0.15</v>
      </c>
      <c r="M21" s="133">
        <f>+K21*L21</f>
        <v>1336437147.3</v>
      </c>
      <c r="N21" s="16"/>
      <c r="O21" s="135"/>
      <c r="P21" s="135"/>
    </row>
    <row r="22" spans="1:16" s="136" customFormat="1" ht="25.5" customHeight="1">
      <c r="A22" s="276" t="s">
        <v>57</v>
      </c>
      <c r="B22" s="277" t="s">
        <v>234</v>
      </c>
      <c r="C22" s="394">
        <f>+'Bank Liabilities Analysis'!C21-'Bank Liabilities Analysis'!D21</f>
        <v>1074053</v>
      </c>
      <c r="D22" s="394">
        <f>+'Bank Liabilities Analysis'!E21-'Bank Liabilities Analysis'!F21</f>
        <v>0</v>
      </c>
      <c r="E22" s="394">
        <f>+'Bank Liabilities Analysis'!G21-'Bank Liabilities Analysis'!H21</f>
        <v>0</v>
      </c>
      <c r="F22" s="394">
        <f>+'Bank Liabilities Analysis'!I21-'Bank Liabilities Analysis'!J21</f>
        <v>0</v>
      </c>
      <c r="G22" s="394">
        <f>+'Bank Liabilities Analysis'!K21-'Bank Liabilities Analysis'!L21</f>
        <v>0</v>
      </c>
      <c r="H22" s="394">
        <f>+'Bank Liabilities Analysis'!M21-'Bank Liabilities Analysis'!N21</f>
        <v>0</v>
      </c>
      <c r="I22" s="394">
        <f>+'Bank Liabilities Analysis'!O21-'Bank Liabilities Analysis'!P21</f>
        <v>0</v>
      </c>
      <c r="J22" s="394">
        <f>+'Bank Liabilities Analysis'!Q21-'Bank Liabilities Analysis'!R21</f>
        <v>0</v>
      </c>
      <c r="K22" s="131">
        <f t="shared" si="1"/>
        <v>1074053</v>
      </c>
      <c r="L22" s="132">
        <v>1</v>
      </c>
      <c r="M22" s="133">
        <f>(C22+D22+E22-C23-D23-E23)*L22</f>
        <v>0</v>
      </c>
      <c r="N22" s="16"/>
      <c r="O22" s="135"/>
      <c r="P22" s="135"/>
    </row>
    <row r="23" spans="1:16" s="136" customFormat="1" ht="36.75" customHeight="1">
      <c r="A23" s="276" t="s">
        <v>94</v>
      </c>
      <c r="B23" s="277" t="s">
        <v>544</v>
      </c>
      <c r="C23" s="394">
        <f>+'Bank Liabilities Analysis'!C22-'Bank Liabilities Analysis'!D22</f>
        <v>1074053</v>
      </c>
      <c r="D23" s="394">
        <f>+'Bank Liabilities Analysis'!E22-'Bank Liabilities Analysis'!F22</f>
        <v>0</v>
      </c>
      <c r="E23" s="394">
        <f>+'Bank Liabilities Analysis'!G22-'Bank Liabilities Analysis'!H22</f>
        <v>0</v>
      </c>
      <c r="F23" s="394">
        <f>+'Bank Liabilities Analysis'!I22-'Bank Liabilities Analysis'!J22</f>
        <v>0</v>
      </c>
      <c r="G23" s="394">
        <f>+'Bank Liabilities Analysis'!K22-'Bank Liabilities Analysis'!L22</f>
        <v>0</v>
      </c>
      <c r="H23" s="394">
        <f>+'Bank Liabilities Analysis'!M22-'Bank Liabilities Analysis'!N22</f>
        <v>0</v>
      </c>
      <c r="I23" s="394">
        <f>+'Bank Liabilities Analysis'!O22-'Bank Liabilities Analysis'!P22</f>
        <v>0</v>
      </c>
      <c r="J23" s="394">
        <f>+'Bank Liabilities Analysis'!Q22-'Bank Liabilities Analysis'!R22</f>
        <v>0</v>
      </c>
      <c r="K23" s="131">
        <f t="shared" ref="K23" si="4">+C23+D23+E23+F23+G23+H23+I23+J23</f>
        <v>1074053</v>
      </c>
      <c r="L23" s="132"/>
      <c r="M23" s="172"/>
      <c r="N23" s="16"/>
      <c r="O23" s="135"/>
      <c r="P23" s="135"/>
    </row>
    <row r="24" spans="1:16" s="136" customFormat="1" ht="30">
      <c r="A24" s="276" t="s">
        <v>58</v>
      </c>
      <c r="B24" s="277" t="s">
        <v>419</v>
      </c>
      <c r="C24" s="394">
        <f>SUM(C25:C29)-C26</f>
        <v>38634740</v>
      </c>
      <c r="D24" s="394">
        <f t="shared" ref="D24:J24" si="5">SUM(D25:D29)-D26</f>
        <v>0</v>
      </c>
      <c r="E24" s="394">
        <f t="shared" si="5"/>
        <v>675620451</v>
      </c>
      <c r="F24" s="394">
        <f t="shared" si="5"/>
        <v>442019549</v>
      </c>
      <c r="G24" s="394">
        <f t="shared" si="5"/>
        <v>244545210</v>
      </c>
      <c r="H24" s="394">
        <f t="shared" si="5"/>
        <v>44246423</v>
      </c>
      <c r="I24" s="394">
        <f t="shared" si="5"/>
        <v>77714202</v>
      </c>
      <c r="J24" s="394">
        <f t="shared" si="5"/>
        <v>50660092</v>
      </c>
      <c r="K24" s="131">
        <f t="shared" si="1"/>
        <v>1573440667</v>
      </c>
      <c r="L24" s="132"/>
      <c r="M24" s="133"/>
      <c r="N24" s="16"/>
      <c r="O24" s="135"/>
      <c r="P24" s="135"/>
    </row>
    <row r="25" spans="1:16" s="136" customFormat="1" ht="30">
      <c r="A25" s="276" t="s">
        <v>74</v>
      </c>
      <c r="B25" s="277" t="s">
        <v>420</v>
      </c>
      <c r="C25" s="394">
        <f>+'Bank Liabilities Analysis'!C24-'Bank Liabilities Analysis'!D24</f>
        <v>2691418</v>
      </c>
      <c r="D25" s="394">
        <f>+'Bank Liabilities Analysis'!E24-'Bank Liabilities Analysis'!F24</f>
        <v>0</v>
      </c>
      <c r="E25" s="394">
        <f>+'Bank Liabilities Analysis'!G24-'Bank Liabilities Analysis'!H24</f>
        <v>0</v>
      </c>
      <c r="F25" s="394">
        <f>+'Bank Liabilities Analysis'!I24-'Bank Liabilities Analysis'!J24</f>
        <v>0</v>
      </c>
      <c r="G25" s="394">
        <f>+'Bank Liabilities Analysis'!K24-'Bank Liabilities Analysis'!L24</f>
        <v>0</v>
      </c>
      <c r="H25" s="394">
        <f>+'Bank Liabilities Analysis'!M24-'Bank Liabilities Analysis'!N24</f>
        <v>0</v>
      </c>
      <c r="I25" s="394">
        <f>+'Bank Liabilities Analysis'!O24-'Bank Liabilities Analysis'!P24</f>
        <v>0</v>
      </c>
      <c r="J25" s="394">
        <f>+'Bank Liabilities Analysis'!Q24-'Bank Liabilities Analysis'!R24</f>
        <v>0</v>
      </c>
      <c r="K25" s="131">
        <f t="shared" ref="K25" si="6">+C25+D25+E25+F25+G25+H25+I25+J25</f>
        <v>2691418</v>
      </c>
      <c r="L25" s="132">
        <v>1</v>
      </c>
      <c r="M25" s="172">
        <f>C25*L25</f>
        <v>2691418</v>
      </c>
      <c r="N25" s="16"/>
      <c r="O25" s="135"/>
      <c r="P25" s="135"/>
    </row>
    <row r="26" spans="1:16" s="136" customFormat="1" ht="34.5" customHeight="1">
      <c r="A26" s="276" t="s">
        <v>556</v>
      </c>
      <c r="B26" s="277" t="s">
        <v>557</v>
      </c>
      <c r="C26" s="394">
        <f>+'Bank Liabilities Analysis'!C25-'Bank Liabilities Analysis'!D25</f>
        <v>0</v>
      </c>
      <c r="D26" s="394">
        <f>+'Bank Liabilities Analysis'!E25-'Bank Liabilities Analysis'!F25</f>
        <v>0</v>
      </c>
      <c r="E26" s="394">
        <f>+'Bank Liabilities Analysis'!G25-'Bank Liabilities Analysis'!H25</f>
        <v>0</v>
      </c>
      <c r="F26" s="394">
        <f>+'Bank Liabilities Analysis'!I25-'Bank Liabilities Analysis'!J25</f>
        <v>0</v>
      </c>
      <c r="G26" s="394">
        <f>+'Bank Liabilities Analysis'!K25-'Bank Liabilities Analysis'!L25</f>
        <v>0</v>
      </c>
      <c r="H26" s="394">
        <f>+'Bank Liabilities Analysis'!M25-'Bank Liabilities Analysis'!N25</f>
        <v>0</v>
      </c>
      <c r="I26" s="394">
        <f>+'Bank Liabilities Analysis'!O25-'Bank Liabilities Analysis'!P25</f>
        <v>0</v>
      </c>
      <c r="J26" s="394">
        <f>+'Bank Liabilities Analysis'!Q25-'Bank Liabilities Analysis'!R25</f>
        <v>0</v>
      </c>
      <c r="K26" s="131">
        <f t="shared" ref="K26" si="7">+C26+D26+E26+F26+G26+H26+I26+J26</f>
        <v>0</v>
      </c>
      <c r="L26" s="132"/>
      <c r="M26" s="133"/>
      <c r="N26" s="16"/>
      <c r="O26" s="135"/>
      <c r="P26" s="135"/>
    </row>
    <row r="27" spans="1:16" s="136" customFormat="1" ht="25.5" customHeight="1">
      <c r="A27" s="276" t="s">
        <v>75</v>
      </c>
      <c r="B27" s="277" t="s">
        <v>421</v>
      </c>
      <c r="C27" s="394">
        <f>+'Bank Liabilities Analysis'!C26-'Bank Liabilities Analysis'!D26</f>
        <v>6951773</v>
      </c>
      <c r="D27" s="394">
        <f>+'Bank Liabilities Analysis'!E26-'Bank Liabilities Analysis'!F26</f>
        <v>0</v>
      </c>
      <c r="E27" s="394">
        <f>+'Bank Liabilities Analysis'!G26-'Bank Liabilities Analysis'!H26</f>
        <v>675620451</v>
      </c>
      <c r="F27" s="394">
        <f>+'Bank Liabilities Analysis'!I26-'Bank Liabilities Analysis'!J26</f>
        <v>442019549</v>
      </c>
      <c r="G27" s="394">
        <f>+'Bank Liabilities Analysis'!K26-'Bank Liabilities Analysis'!L26</f>
        <v>244545210</v>
      </c>
      <c r="H27" s="394">
        <f>+'Bank Liabilities Analysis'!M26-'Bank Liabilities Analysis'!N26</f>
        <v>44246423</v>
      </c>
      <c r="I27" s="394">
        <f>+'Bank Liabilities Analysis'!O26-'Bank Liabilities Analysis'!P26</f>
        <v>77714202</v>
      </c>
      <c r="J27" s="394">
        <f>+'Bank Liabilities Analysis'!Q26-'Bank Liabilities Analysis'!R26</f>
        <v>50660092</v>
      </c>
      <c r="K27" s="131">
        <f t="shared" si="1"/>
        <v>1541757700</v>
      </c>
      <c r="L27" s="132">
        <v>1</v>
      </c>
      <c r="M27" s="172">
        <f>(C27+D27+E27)*L27</f>
        <v>682572224</v>
      </c>
      <c r="N27" s="16"/>
      <c r="O27" s="135"/>
      <c r="P27" s="135"/>
    </row>
    <row r="28" spans="1:16" s="136" customFormat="1" ht="33.75" customHeight="1">
      <c r="A28" s="276" t="s">
        <v>15</v>
      </c>
      <c r="B28" s="277" t="s">
        <v>498</v>
      </c>
      <c r="C28" s="394">
        <f>+'Bank Liabilities Analysis'!C27-'Bank Liabilities Analysis'!D27</f>
        <v>28991549</v>
      </c>
      <c r="D28" s="394">
        <f>+'Bank Liabilities Analysis'!E27-'Bank Liabilities Analysis'!F27</f>
        <v>0</v>
      </c>
      <c r="E28" s="394">
        <f>+'Bank Liabilities Analysis'!G27-'Bank Liabilities Analysis'!H27</f>
        <v>0</v>
      </c>
      <c r="F28" s="394">
        <f>+'Bank Liabilities Analysis'!I27-'Bank Liabilities Analysis'!J27</f>
        <v>0</v>
      </c>
      <c r="G28" s="394">
        <f>+'Bank Liabilities Analysis'!K27-'Bank Liabilities Analysis'!L27</f>
        <v>0</v>
      </c>
      <c r="H28" s="394">
        <f>+'Bank Liabilities Analysis'!M27-'Bank Liabilities Analysis'!N27</f>
        <v>0</v>
      </c>
      <c r="I28" s="394">
        <f>+'Bank Liabilities Analysis'!O27-'Bank Liabilities Analysis'!P27</f>
        <v>0</v>
      </c>
      <c r="J28" s="394">
        <f>+'Bank Liabilities Analysis'!Q27-'Bank Liabilities Analysis'!R27</f>
        <v>0</v>
      </c>
      <c r="K28" s="131">
        <f t="shared" si="1"/>
        <v>28991549</v>
      </c>
      <c r="L28" s="132">
        <v>1</v>
      </c>
      <c r="M28" s="172">
        <f>(C28+D28+E28)*L28</f>
        <v>28991549</v>
      </c>
      <c r="N28" s="16"/>
      <c r="O28" s="135"/>
      <c r="P28" s="135"/>
    </row>
    <row r="29" spans="1:16" s="136" customFormat="1" ht="25.5" customHeight="1">
      <c r="A29" s="276" t="s">
        <v>149</v>
      </c>
      <c r="B29" s="277" t="s">
        <v>422</v>
      </c>
      <c r="C29" s="394">
        <f>+'Bank Liabilities Analysis'!C28-'Bank Liabilities Analysis'!D28</f>
        <v>0</v>
      </c>
      <c r="D29" s="394">
        <f>+'Bank Liabilities Analysis'!E28-'Bank Liabilities Analysis'!F28</f>
        <v>0</v>
      </c>
      <c r="E29" s="394">
        <f>+'Bank Liabilities Analysis'!G28-'Bank Liabilities Analysis'!H28</f>
        <v>0</v>
      </c>
      <c r="F29" s="394">
        <f>+'Bank Liabilities Analysis'!I28-'Bank Liabilities Analysis'!J28</f>
        <v>0</v>
      </c>
      <c r="G29" s="394">
        <f>+'Bank Liabilities Analysis'!K28-'Bank Liabilities Analysis'!L28</f>
        <v>0</v>
      </c>
      <c r="H29" s="394">
        <f>+'Bank Liabilities Analysis'!M28-'Bank Liabilities Analysis'!N28</f>
        <v>0</v>
      </c>
      <c r="I29" s="394">
        <f>+'Bank Liabilities Analysis'!O28-'Bank Liabilities Analysis'!P28</f>
        <v>0</v>
      </c>
      <c r="J29" s="394">
        <f>+'Bank Liabilities Analysis'!Q28-'Bank Liabilities Analysis'!R28</f>
        <v>0</v>
      </c>
      <c r="K29" s="131">
        <f t="shared" si="1"/>
        <v>0</v>
      </c>
      <c r="L29" s="132">
        <v>1</v>
      </c>
      <c r="M29" s="172">
        <f>(C29+D29+E29)*L29</f>
        <v>0</v>
      </c>
      <c r="N29" s="16"/>
      <c r="O29" s="135"/>
      <c r="P29" s="135"/>
    </row>
    <row r="30" spans="1:16" s="136" customFormat="1" ht="33.75" customHeight="1">
      <c r="A30" s="276" t="s">
        <v>59</v>
      </c>
      <c r="B30" s="277" t="s">
        <v>423</v>
      </c>
      <c r="C30" s="394">
        <f>+'Bank Liabilities Analysis'!C29-'Bank Liabilities Analysis'!D29</f>
        <v>0</v>
      </c>
      <c r="D30" s="394">
        <f>+'Bank Liabilities Analysis'!E29-'Bank Liabilities Analysis'!F29</f>
        <v>0</v>
      </c>
      <c r="E30" s="394">
        <f>+'Bank Liabilities Analysis'!G29-'Bank Liabilities Analysis'!H29</f>
        <v>0</v>
      </c>
      <c r="F30" s="394">
        <f>+'Bank Liabilities Analysis'!I29-'Bank Liabilities Analysis'!J29</f>
        <v>0</v>
      </c>
      <c r="G30" s="394">
        <f>+'Bank Liabilities Analysis'!K29-'Bank Liabilities Analysis'!L29</f>
        <v>0</v>
      </c>
      <c r="H30" s="394">
        <f>+'Bank Liabilities Analysis'!M29-'Bank Liabilities Analysis'!N29</f>
        <v>0</v>
      </c>
      <c r="I30" s="394">
        <f>+'Bank Liabilities Analysis'!O29-'Bank Liabilities Analysis'!P29</f>
        <v>0</v>
      </c>
      <c r="J30" s="394">
        <f>+'Bank Liabilities Analysis'!Q29-'Bank Liabilities Analysis'!R29</f>
        <v>0</v>
      </c>
      <c r="K30" s="131">
        <f t="shared" si="1"/>
        <v>0</v>
      </c>
      <c r="L30" s="132">
        <v>1</v>
      </c>
      <c r="M30" s="133">
        <f>(C30+D30+E30)*L30</f>
        <v>0</v>
      </c>
      <c r="N30" s="16"/>
      <c r="O30" s="135"/>
      <c r="P30" s="135"/>
    </row>
    <row r="31" spans="1:16" s="136" customFormat="1" ht="32.25" customHeight="1">
      <c r="A31" s="276" t="s">
        <v>60</v>
      </c>
      <c r="B31" s="277" t="s">
        <v>424</v>
      </c>
      <c r="C31" s="394">
        <f>+'Bank Liabilities Analysis'!C30-'Bank Liabilities Analysis'!D30</f>
        <v>1325111</v>
      </c>
      <c r="D31" s="394">
        <f>+'Bank Liabilities Analysis'!E30-'Bank Liabilities Analysis'!F30</f>
        <v>6797051</v>
      </c>
      <c r="E31" s="394">
        <f>+'Bank Liabilities Analysis'!G30-'Bank Liabilities Analysis'!H30</f>
        <v>3226276</v>
      </c>
      <c r="F31" s="394">
        <f>+'Bank Liabilities Analysis'!I30-'Bank Liabilities Analysis'!J30</f>
        <v>184145387</v>
      </c>
      <c r="G31" s="394">
        <f>+'Bank Liabilities Analysis'!K30-'Bank Liabilities Analysis'!L30</f>
        <v>1024875107</v>
      </c>
      <c r="H31" s="394">
        <f>+'Bank Liabilities Analysis'!M30-'Bank Liabilities Analysis'!N30</f>
        <v>1556969426</v>
      </c>
      <c r="I31" s="394">
        <f>+'Bank Liabilities Analysis'!O30-'Bank Liabilities Analysis'!P30</f>
        <v>1148070535</v>
      </c>
      <c r="J31" s="394">
        <f>+'Bank Liabilities Analysis'!Q30-'Bank Liabilities Analysis'!R30</f>
        <v>1598494033</v>
      </c>
      <c r="K31" s="131">
        <f t="shared" si="1"/>
        <v>5523902926</v>
      </c>
      <c r="L31" s="132">
        <v>0.05</v>
      </c>
      <c r="M31" s="133">
        <f>+K31*L31</f>
        <v>276195146.30000001</v>
      </c>
      <c r="N31" s="16"/>
      <c r="O31" s="135"/>
      <c r="P31" s="135"/>
    </row>
    <row r="32" spans="1:16" s="136" customFormat="1" ht="25.5" customHeight="1">
      <c r="A32" s="276" t="s">
        <v>61</v>
      </c>
      <c r="B32" s="277" t="s">
        <v>242</v>
      </c>
      <c r="C32" s="394">
        <f>+'Bank Liabilities Analysis'!C31-'Bank Liabilities Analysis'!D31</f>
        <v>0</v>
      </c>
      <c r="D32" s="394">
        <f>+'Bank Liabilities Analysis'!E31-'Bank Liabilities Analysis'!F31</f>
        <v>0</v>
      </c>
      <c r="E32" s="394">
        <f>+'Bank Liabilities Analysis'!G31-'Bank Liabilities Analysis'!H31</f>
        <v>0</v>
      </c>
      <c r="F32" s="394">
        <f>+'Bank Liabilities Analysis'!I31-'Bank Liabilities Analysis'!J31</f>
        <v>0</v>
      </c>
      <c r="G32" s="394">
        <f>+'Bank Liabilities Analysis'!K31-'Bank Liabilities Analysis'!L31</f>
        <v>0</v>
      </c>
      <c r="H32" s="394">
        <f>+'Bank Liabilities Analysis'!M31-'Bank Liabilities Analysis'!N31</f>
        <v>0</v>
      </c>
      <c r="I32" s="394">
        <f>+'Bank Liabilities Analysis'!O31-'Bank Liabilities Analysis'!P31</f>
        <v>0</v>
      </c>
      <c r="J32" s="394">
        <f>+'Bank Liabilities Analysis'!Q31-'Bank Liabilities Analysis'!R31</f>
        <v>0</v>
      </c>
      <c r="K32" s="131">
        <f t="shared" si="1"/>
        <v>0</v>
      </c>
      <c r="L32" s="132">
        <v>1</v>
      </c>
      <c r="M32" s="133">
        <f>(C32+D32+E32)*L32</f>
        <v>0</v>
      </c>
      <c r="N32" s="16"/>
      <c r="O32" s="135"/>
      <c r="P32" s="135"/>
    </row>
    <row r="33" spans="1:16" s="136" customFormat="1" ht="25.5" customHeight="1">
      <c r="A33" s="276" t="s">
        <v>62</v>
      </c>
      <c r="B33" s="277" t="s">
        <v>244</v>
      </c>
      <c r="C33" s="394">
        <f>+'Bank Liabilities Analysis'!C32-'Bank Liabilities Analysis'!D32</f>
        <v>0</v>
      </c>
      <c r="D33" s="394">
        <f>+'Bank Liabilities Analysis'!E32-'Bank Liabilities Analysis'!F32</f>
        <v>0</v>
      </c>
      <c r="E33" s="394">
        <f>+'Bank Liabilities Analysis'!G32-'Bank Liabilities Analysis'!H32</f>
        <v>1994167</v>
      </c>
      <c r="F33" s="394">
        <f>+'Bank Liabilities Analysis'!I32-'Bank Liabilities Analysis'!J32</f>
        <v>2431833</v>
      </c>
      <c r="G33" s="394">
        <f>+'Bank Liabilities Analysis'!K32-'Bank Liabilities Analysis'!L32</f>
        <v>4426000</v>
      </c>
      <c r="H33" s="394">
        <f>+'Bank Liabilities Analysis'!M32-'Bank Liabilities Analysis'!N32</f>
        <v>11181500</v>
      </c>
      <c r="I33" s="394">
        <f>+'Bank Liabilities Analysis'!O32-'Bank Liabilities Analysis'!P32</f>
        <v>27022000</v>
      </c>
      <c r="J33" s="394">
        <f>+'Bank Liabilities Analysis'!Q32-'Bank Liabilities Analysis'!R32</f>
        <v>1459811606</v>
      </c>
      <c r="K33" s="131">
        <f t="shared" si="1"/>
        <v>1506867106</v>
      </c>
      <c r="L33" s="132">
        <v>1</v>
      </c>
      <c r="M33" s="133">
        <f>(C33+D33+E33)*L33</f>
        <v>1994167</v>
      </c>
      <c r="N33" s="16"/>
      <c r="O33" s="135"/>
      <c r="P33" s="135"/>
    </row>
    <row r="34" spans="1:16" s="136" customFormat="1" ht="25.5" customHeight="1">
      <c r="A34" s="276" t="s">
        <v>63</v>
      </c>
      <c r="B34" s="277" t="s">
        <v>238</v>
      </c>
      <c r="C34" s="394">
        <f>+'Bank Liabilities Analysis'!C33-'Bank Liabilities Analysis'!D33</f>
        <v>0</v>
      </c>
      <c r="D34" s="394">
        <f>+'Bank Liabilities Analysis'!E33-'Bank Liabilities Analysis'!F33</f>
        <v>816807035</v>
      </c>
      <c r="E34" s="394">
        <f>+'Bank Liabilities Analysis'!G33-'Bank Liabilities Analysis'!H33</f>
        <v>0</v>
      </c>
      <c r="F34" s="394">
        <f>+'Bank Liabilities Analysis'!I33-'Bank Liabilities Analysis'!J33</f>
        <v>0</v>
      </c>
      <c r="G34" s="394">
        <f>+'Bank Liabilities Analysis'!K33-'Bank Liabilities Analysis'!L33</f>
        <v>0</v>
      </c>
      <c r="H34" s="394">
        <f>+'Bank Liabilities Analysis'!M33-'Bank Liabilities Analysis'!N33</f>
        <v>0</v>
      </c>
      <c r="I34" s="394">
        <f>+'Bank Liabilities Analysis'!O33-'Bank Liabilities Analysis'!P33</f>
        <v>0</v>
      </c>
      <c r="J34" s="394">
        <f>+'Bank Liabilities Analysis'!Q33-'Bank Liabilities Analysis'!R33</f>
        <v>0</v>
      </c>
      <c r="K34" s="131">
        <f t="shared" si="1"/>
        <v>816807035</v>
      </c>
      <c r="L34" s="132"/>
      <c r="M34" s="133"/>
      <c r="N34" s="16"/>
      <c r="O34" s="135"/>
      <c r="P34" s="135"/>
    </row>
    <row r="35" spans="1:16" s="136" customFormat="1" ht="33.75" customHeight="1">
      <c r="A35" s="276" t="s">
        <v>199</v>
      </c>
      <c r="B35" s="277" t="s">
        <v>549</v>
      </c>
      <c r="C35" s="394">
        <f>+'Bank Liabilities Analysis'!C34-'Bank Liabilities Analysis'!D34</f>
        <v>0</v>
      </c>
      <c r="D35" s="394">
        <f>+'Bank Liabilities Analysis'!E34-'Bank Liabilities Analysis'!F34</f>
        <v>816807035</v>
      </c>
      <c r="E35" s="394">
        <f>+'Bank Liabilities Analysis'!G34-'Bank Liabilities Analysis'!H34</f>
        <v>0</v>
      </c>
      <c r="F35" s="394">
        <f>+'Bank Liabilities Analysis'!I34-'Bank Liabilities Analysis'!J34</f>
        <v>0</v>
      </c>
      <c r="G35" s="394">
        <f>+'Bank Liabilities Analysis'!K34-'Bank Liabilities Analysis'!L34</f>
        <v>0</v>
      </c>
      <c r="H35" s="394">
        <f>+'Bank Liabilities Analysis'!M34-'Bank Liabilities Analysis'!N34</f>
        <v>0</v>
      </c>
      <c r="I35" s="394">
        <f>+'Bank Liabilities Analysis'!O34-'Bank Liabilities Analysis'!P34</f>
        <v>0</v>
      </c>
      <c r="J35" s="394">
        <f>+'Bank Liabilities Analysis'!Q34-'Bank Liabilities Analysis'!R34</f>
        <v>0</v>
      </c>
      <c r="K35" s="131">
        <f t="shared" ref="K35:K36" si="8">+C35+D35+E35+F35+G35+H35+I35+J35</f>
        <v>816807035</v>
      </c>
      <c r="L35" s="132">
        <v>1</v>
      </c>
      <c r="M35" s="133">
        <f t="shared" ref="M35:M36" si="9">(C35+D35+E35)*L35</f>
        <v>816807035</v>
      </c>
      <c r="N35" s="16"/>
      <c r="O35" s="135"/>
      <c r="P35" s="135"/>
    </row>
    <row r="36" spans="1:16" s="136" customFormat="1" ht="33.75" customHeight="1">
      <c r="A36" s="276" t="s">
        <v>201</v>
      </c>
      <c r="B36" s="277" t="s">
        <v>550</v>
      </c>
      <c r="C36" s="394">
        <f>+'Bank Liabilities Analysis'!C35-'Bank Liabilities Analysis'!D35</f>
        <v>0</v>
      </c>
      <c r="D36" s="394">
        <f>+'Bank Liabilities Analysis'!E35-'Bank Liabilities Analysis'!F35</f>
        <v>0</v>
      </c>
      <c r="E36" s="394">
        <f>+'Bank Liabilities Analysis'!G35-'Bank Liabilities Analysis'!H35</f>
        <v>0</v>
      </c>
      <c r="F36" s="394">
        <f>+'Bank Liabilities Analysis'!I35-'Bank Liabilities Analysis'!J35</f>
        <v>0</v>
      </c>
      <c r="G36" s="394">
        <f>+'Bank Liabilities Analysis'!K35-'Bank Liabilities Analysis'!L35</f>
        <v>0</v>
      </c>
      <c r="H36" s="394">
        <f>+'Bank Liabilities Analysis'!M35-'Bank Liabilities Analysis'!N35</f>
        <v>0</v>
      </c>
      <c r="I36" s="394">
        <f>+'Bank Liabilities Analysis'!O35-'Bank Liabilities Analysis'!P35</f>
        <v>0</v>
      </c>
      <c r="J36" s="394">
        <f>+'Bank Liabilities Analysis'!Q35-'Bank Liabilities Analysis'!R35</f>
        <v>0</v>
      </c>
      <c r="K36" s="131">
        <f t="shared" si="8"/>
        <v>0</v>
      </c>
      <c r="L36" s="132">
        <v>1</v>
      </c>
      <c r="M36" s="133">
        <f t="shared" si="9"/>
        <v>0</v>
      </c>
      <c r="N36" s="16"/>
      <c r="O36" s="135"/>
      <c r="P36" s="135"/>
    </row>
    <row r="37" spans="1:16" s="136" customFormat="1" ht="33.75" customHeight="1">
      <c r="A37" s="276" t="s">
        <v>64</v>
      </c>
      <c r="B37" s="277" t="s">
        <v>425</v>
      </c>
      <c r="C37" s="394">
        <f>+'Bank Liabilities Analysis'!C36-'Bank Liabilities Analysis'!D36</f>
        <v>25082725</v>
      </c>
      <c r="D37" s="394">
        <f>+'Bank Liabilities Analysis'!E36-'Bank Liabilities Analysis'!F36</f>
        <v>0</v>
      </c>
      <c r="E37" s="394">
        <f>+'Bank Liabilities Analysis'!G36-'Bank Liabilities Analysis'!H36</f>
        <v>0</v>
      </c>
      <c r="F37" s="394">
        <f>+'Bank Liabilities Analysis'!I36-'Bank Liabilities Analysis'!J36</f>
        <v>0</v>
      </c>
      <c r="G37" s="394">
        <f>+'Bank Liabilities Analysis'!K36-'Bank Liabilities Analysis'!L36</f>
        <v>0</v>
      </c>
      <c r="H37" s="394">
        <f>+'Bank Liabilities Analysis'!M36-'Bank Liabilities Analysis'!N36</f>
        <v>0</v>
      </c>
      <c r="I37" s="394">
        <f>+'Bank Liabilities Analysis'!O36-'Bank Liabilities Analysis'!P36</f>
        <v>0</v>
      </c>
      <c r="J37" s="394">
        <f>+'Bank Liabilities Analysis'!Q36-'Bank Liabilities Analysis'!R36</f>
        <v>0</v>
      </c>
      <c r="K37" s="131">
        <f t="shared" si="1"/>
        <v>25082725</v>
      </c>
      <c r="L37" s="132">
        <v>1</v>
      </c>
      <c r="M37" s="133">
        <f>+K37*L37</f>
        <v>25082725</v>
      </c>
      <c r="N37" s="16"/>
      <c r="O37" s="135"/>
      <c r="P37" s="135"/>
    </row>
    <row r="38" spans="1:16" s="136" customFormat="1" ht="25.5" customHeight="1">
      <c r="A38" s="276" t="s">
        <v>70</v>
      </c>
      <c r="B38" s="277" t="s">
        <v>250</v>
      </c>
      <c r="C38" s="394">
        <f>+'Bank Liabilities Analysis'!C37-'Bank Liabilities Analysis'!D37</f>
        <v>2214968</v>
      </c>
      <c r="D38" s="394">
        <f>+'Bank Liabilities Analysis'!E37-'Bank Liabilities Analysis'!F37</f>
        <v>0</v>
      </c>
      <c r="E38" s="394">
        <f>+'Bank Liabilities Analysis'!G37-'Bank Liabilities Analysis'!H37</f>
        <v>0</v>
      </c>
      <c r="F38" s="394">
        <f>+'Bank Liabilities Analysis'!I37-'Bank Liabilities Analysis'!J37</f>
        <v>0</v>
      </c>
      <c r="G38" s="394">
        <f>+'Bank Liabilities Analysis'!K37-'Bank Liabilities Analysis'!L37</f>
        <v>0</v>
      </c>
      <c r="H38" s="394">
        <f>+'Bank Liabilities Analysis'!M37-'Bank Liabilities Analysis'!N37</f>
        <v>0</v>
      </c>
      <c r="I38" s="394">
        <f>+'Bank Liabilities Analysis'!O37-'Bank Liabilities Analysis'!P37</f>
        <v>0</v>
      </c>
      <c r="J38" s="394">
        <f>+'Bank Liabilities Analysis'!Q37-'Bank Liabilities Analysis'!R37</f>
        <v>0</v>
      </c>
      <c r="K38" s="131">
        <f t="shared" si="1"/>
        <v>2214968</v>
      </c>
      <c r="L38" s="132">
        <v>1</v>
      </c>
      <c r="M38" s="133">
        <f>+K38*L38</f>
        <v>2214968</v>
      </c>
      <c r="N38" s="16"/>
      <c r="O38" s="135"/>
      <c r="P38" s="135"/>
    </row>
    <row r="39" spans="1:16" s="136" customFormat="1" ht="25.5" customHeight="1">
      <c r="A39" s="276" t="s">
        <v>71</v>
      </c>
      <c r="B39" s="277" t="s">
        <v>246</v>
      </c>
      <c r="C39" s="394">
        <f>+'Bank Liabilities Analysis'!C38-'Bank Liabilities Analysis'!D38</f>
        <v>107797</v>
      </c>
      <c r="D39" s="394">
        <f>+'Bank Liabilities Analysis'!E38-'Bank Liabilities Analysis'!F38</f>
        <v>0</v>
      </c>
      <c r="E39" s="394">
        <f>+'Bank Liabilities Analysis'!G38-'Bank Liabilities Analysis'!H38</f>
        <v>53277571</v>
      </c>
      <c r="F39" s="394">
        <f>+'Bank Liabilities Analysis'!I38-'Bank Liabilities Analysis'!J38</f>
        <v>0</v>
      </c>
      <c r="G39" s="394">
        <f>+'Bank Liabilities Analysis'!K38-'Bank Liabilities Analysis'!L38</f>
        <v>134012896</v>
      </c>
      <c r="H39" s="394">
        <f>+'Bank Liabilities Analysis'!M38-'Bank Liabilities Analysis'!N38</f>
        <v>0</v>
      </c>
      <c r="I39" s="394">
        <f>+'Bank Liabilities Analysis'!O38-'Bank Liabilities Analysis'!P38</f>
        <v>0</v>
      </c>
      <c r="J39" s="394">
        <f>+'Bank Liabilities Analysis'!Q38-'Bank Liabilities Analysis'!R38</f>
        <v>0</v>
      </c>
      <c r="K39" s="131">
        <f t="shared" si="1"/>
        <v>187398264</v>
      </c>
      <c r="L39" s="132"/>
      <c r="M39" s="133">
        <f>C39+D39+E39+((F39+G39+H39+I39+J39)*15%)</f>
        <v>73487302.400000006</v>
      </c>
      <c r="N39" s="16"/>
      <c r="O39" s="135"/>
      <c r="P39" s="135"/>
    </row>
    <row r="40" spans="1:16" s="136" customFormat="1" ht="25.5" customHeight="1">
      <c r="A40" s="276" t="s">
        <v>65</v>
      </c>
      <c r="B40" s="277" t="s">
        <v>254</v>
      </c>
      <c r="C40" s="394">
        <f>+'Bank Liabilities Analysis'!C39-'Bank Liabilities Analysis'!D39</f>
        <v>223302324</v>
      </c>
      <c r="D40" s="394">
        <f>+'Bank Liabilities Analysis'!E39-'Bank Liabilities Analysis'!F39</f>
        <v>0</v>
      </c>
      <c r="E40" s="394">
        <f>+'Bank Liabilities Analysis'!G39-'Bank Liabilities Analysis'!H39</f>
        <v>0</v>
      </c>
      <c r="F40" s="394">
        <f>+'Bank Liabilities Analysis'!I39-'Bank Liabilities Analysis'!J39</f>
        <v>0</v>
      </c>
      <c r="G40" s="394">
        <f>+'Bank Liabilities Analysis'!K39-'Bank Liabilities Analysis'!L39</f>
        <v>0</v>
      </c>
      <c r="H40" s="394">
        <f>+'Bank Liabilities Analysis'!M39-'Bank Liabilities Analysis'!N39</f>
        <v>0</v>
      </c>
      <c r="I40" s="394">
        <f>+'Bank Liabilities Analysis'!O39-'Bank Liabilities Analysis'!P39</f>
        <v>0</v>
      </c>
      <c r="J40" s="394">
        <f>+'Bank Liabilities Analysis'!Q39-'Bank Liabilities Analysis'!R39</f>
        <v>0</v>
      </c>
      <c r="K40" s="131">
        <f t="shared" si="1"/>
        <v>223302324</v>
      </c>
      <c r="L40" s="132">
        <v>1</v>
      </c>
      <c r="M40" s="133">
        <f>(C40+D40+E40)*L40</f>
        <v>223302324</v>
      </c>
      <c r="N40" s="16"/>
      <c r="O40" s="135"/>
      <c r="P40" s="135"/>
    </row>
    <row r="41" spans="1:16" s="135" customFormat="1" ht="25.5" customHeight="1">
      <c r="A41" s="278" t="s">
        <v>385</v>
      </c>
      <c r="B41" s="279" t="s">
        <v>426</v>
      </c>
      <c r="C41" s="137">
        <f>+C21+C30+C31+C32+C33+C34+C37+C38+C39+C40+C22+C24</f>
        <v>3878406293</v>
      </c>
      <c r="D41" s="137">
        <f t="shared" ref="D41:K41" si="10">+D21+D30+D31+D32+D33+D34+D37+D38+D39+D40+D22+D24</f>
        <v>862668186</v>
      </c>
      <c r="E41" s="137">
        <f t="shared" si="10"/>
        <v>972078158</v>
      </c>
      <c r="F41" s="137">
        <f t="shared" si="10"/>
        <v>1320446999</v>
      </c>
      <c r="G41" s="137">
        <f t="shared" si="10"/>
        <v>2356784563</v>
      </c>
      <c r="H41" s="137">
        <f t="shared" si="10"/>
        <v>3051319662</v>
      </c>
      <c r="I41" s="137">
        <f t="shared" si="10"/>
        <v>1908849747</v>
      </c>
      <c r="J41" s="137">
        <f t="shared" si="10"/>
        <v>4419117442</v>
      </c>
      <c r="K41" s="137">
        <f t="shared" si="10"/>
        <v>18769671050</v>
      </c>
      <c r="L41" s="137" t="s">
        <v>17</v>
      </c>
      <c r="M41" s="137">
        <f>SUM(M8:M40)</f>
        <v>3469776006</v>
      </c>
      <c r="N41" s="199">
        <f>+Balance!D63</f>
        <v>18769671050</v>
      </c>
    </row>
    <row r="42" spans="1:16" s="148" customFormat="1" ht="15.75">
      <c r="A42" s="259"/>
      <c r="B42" s="280" t="s">
        <v>338</v>
      </c>
      <c r="C42" s="140"/>
      <c r="D42" s="140"/>
      <c r="E42" s="140"/>
      <c r="F42" s="140"/>
      <c r="G42" s="140"/>
      <c r="H42" s="140"/>
      <c r="I42" s="140"/>
      <c r="J42" s="140"/>
      <c r="K42" s="140">
        <f t="shared" ref="K42:K57" si="11">+C42+D42+E42+F42+G42+H42+I42+J42</f>
        <v>0</v>
      </c>
      <c r="L42" s="8"/>
      <c r="M42" s="8"/>
      <c r="N42" s="346">
        <f>+Balance!C64</f>
        <v>0</v>
      </c>
      <c r="O42" s="135"/>
      <c r="P42" s="135"/>
    </row>
    <row r="43" spans="1:16" s="148" customFormat="1" ht="15.75">
      <c r="A43" s="259"/>
      <c r="B43" s="281" t="s">
        <v>427</v>
      </c>
      <c r="C43" s="395">
        <f>+C44+C45</f>
        <v>0</v>
      </c>
      <c r="D43" s="395">
        <f t="shared" ref="D43:J43" si="12">+D44+D45</f>
        <v>2044630</v>
      </c>
      <c r="E43" s="395">
        <f t="shared" si="12"/>
        <v>9538454</v>
      </c>
      <c r="F43" s="395">
        <f t="shared" si="12"/>
        <v>153309293</v>
      </c>
      <c r="G43" s="395">
        <f t="shared" si="12"/>
        <v>205693566</v>
      </c>
      <c r="H43" s="395">
        <f t="shared" si="12"/>
        <v>156362546</v>
      </c>
      <c r="I43" s="395">
        <f t="shared" si="12"/>
        <v>176815243</v>
      </c>
      <c r="J43" s="395">
        <f t="shared" si="12"/>
        <v>1725747977</v>
      </c>
      <c r="K43" s="140">
        <f t="shared" si="11"/>
        <v>2429511709</v>
      </c>
      <c r="L43" s="140"/>
      <c r="M43" s="140"/>
      <c r="N43" s="136"/>
      <c r="O43" s="135"/>
      <c r="P43" s="135"/>
    </row>
    <row r="44" spans="1:16" s="148" customFormat="1" ht="15.75" customHeight="1">
      <c r="A44" s="259"/>
      <c r="B44" s="282" t="s">
        <v>428</v>
      </c>
      <c r="C44" s="395">
        <f>+'Bank Liabilities Analysis'!C43-'Bank Liabilities Analysis'!D43</f>
        <v>0</v>
      </c>
      <c r="D44" s="395">
        <f>+'Bank Liabilities Analysis'!E43-'Bank Liabilities Analysis'!F43</f>
        <v>1341325</v>
      </c>
      <c r="E44" s="395">
        <f>+'Bank Liabilities Analysis'!G43-'Bank Liabilities Analysis'!H43</f>
        <v>2714923</v>
      </c>
      <c r="F44" s="395">
        <f>+'Bank Liabilities Analysis'!I43-'Bank Liabilities Analysis'!J43</f>
        <v>19617224</v>
      </c>
      <c r="G44" s="395">
        <f>+'Bank Liabilities Analysis'!K43-'Bank Liabilities Analysis'!L43</f>
        <v>38210055</v>
      </c>
      <c r="H44" s="395">
        <f>+'Bank Liabilities Analysis'!M43-'Bank Liabilities Analysis'!N43</f>
        <v>56561607</v>
      </c>
      <c r="I44" s="395">
        <f>+'Bank Liabilities Analysis'!O43-'Bank Liabilities Analysis'!P43</f>
        <v>103221153</v>
      </c>
      <c r="J44" s="395">
        <f>+'Bank Liabilities Analysis'!Q43-'Bank Liabilities Analysis'!R43</f>
        <v>429765672</v>
      </c>
      <c r="K44" s="140">
        <f t="shared" si="11"/>
        <v>651431959</v>
      </c>
      <c r="L44" s="8"/>
      <c r="M44" s="8"/>
      <c r="N44" s="136"/>
      <c r="O44" s="135"/>
      <c r="P44" s="135"/>
    </row>
    <row r="45" spans="1:16" s="148" customFormat="1" ht="15.75" customHeight="1">
      <c r="A45" s="259"/>
      <c r="B45" s="282" t="s">
        <v>429</v>
      </c>
      <c r="C45" s="395">
        <f>+'Bank Liabilities Analysis'!C44-'Bank Liabilities Analysis'!D44</f>
        <v>0</v>
      </c>
      <c r="D45" s="395">
        <f>+'Bank Liabilities Analysis'!E44-'Bank Liabilities Analysis'!F44</f>
        <v>703305</v>
      </c>
      <c r="E45" s="395">
        <f>+'Bank Liabilities Analysis'!G44-'Bank Liabilities Analysis'!H44</f>
        <v>6823531</v>
      </c>
      <c r="F45" s="395">
        <f>+'Bank Liabilities Analysis'!I44-'Bank Liabilities Analysis'!J44</f>
        <v>133692069</v>
      </c>
      <c r="G45" s="395">
        <f>+'Bank Liabilities Analysis'!K44-'Bank Liabilities Analysis'!L44</f>
        <v>167483511</v>
      </c>
      <c r="H45" s="395">
        <f>+'Bank Liabilities Analysis'!M44-'Bank Liabilities Analysis'!N44</f>
        <v>99800939</v>
      </c>
      <c r="I45" s="395">
        <f>+'Bank Liabilities Analysis'!O44-'Bank Liabilities Analysis'!P44</f>
        <v>73594090</v>
      </c>
      <c r="J45" s="395">
        <f>+'Bank Liabilities Analysis'!Q44-'Bank Liabilities Analysis'!R44</f>
        <v>1295982305</v>
      </c>
      <c r="K45" s="140">
        <f t="shared" si="11"/>
        <v>1778079750</v>
      </c>
      <c r="L45" s="8"/>
      <c r="M45" s="8"/>
      <c r="N45" s="136"/>
      <c r="O45" s="135"/>
      <c r="P45" s="135"/>
    </row>
    <row r="46" spans="1:16" s="148" customFormat="1" ht="15.75" customHeight="1">
      <c r="A46" s="259"/>
      <c r="B46" s="281" t="s">
        <v>499</v>
      </c>
      <c r="C46" s="395">
        <f>+C47+C48</f>
        <v>1325111</v>
      </c>
      <c r="D46" s="395">
        <f t="shared" ref="D46:J46" si="13">+D47+D48</f>
        <v>13017</v>
      </c>
      <c r="E46" s="395">
        <f t="shared" si="13"/>
        <v>160721</v>
      </c>
      <c r="F46" s="395">
        <f t="shared" si="13"/>
        <v>782896</v>
      </c>
      <c r="G46" s="395">
        <f t="shared" si="13"/>
        <v>2877166</v>
      </c>
      <c r="H46" s="395">
        <f t="shared" si="13"/>
        <v>375762</v>
      </c>
      <c r="I46" s="395">
        <f t="shared" si="13"/>
        <v>751524</v>
      </c>
      <c r="J46" s="395">
        <f t="shared" si="13"/>
        <v>1862218</v>
      </c>
      <c r="K46" s="140">
        <f t="shared" si="11"/>
        <v>8148415</v>
      </c>
      <c r="L46" s="140"/>
      <c r="M46" s="140"/>
      <c r="N46" s="136"/>
      <c r="O46" s="135"/>
      <c r="P46" s="135"/>
    </row>
    <row r="47" spans="1:16" s="148" customFormat="1" ht="15.75" customHeight="1">
      <c r="A47" s="259"/>
      <c r="B47" s="282" t="s">
        <v>428</v>
      </c>
      <c r="C47" s="395">
        <f>+'Bank Liabilities Analysis'!C46-'Bank Liabilities Analysis'!D46</f>
        <v>1325111</v>
      </c>
      <c r="D47" s="395">
        <f>+'Bank Liabilities Analysis'!E46-'Bank Liabilities Analysis'!F46</f>
        <v>13017</v>
      </c>
      <c r="E47" s="395">
        <f>+'Bank Liabilities Analysis'!G46-'Bank Liabilities Analysis'!H46</f>
        <v>160721</v>
      </c>
      <c r="F47" s="395">
        <f>+'Bank Liabilities Analysis'!I46-'Bank Liabilities Analysis'!J46</f>
        <v>782896</v>
      </c>
      <c r="G47" s="395">
        <f>+'Bank Liabilities Analysis'!K46-'Bank Liabilities Analysis'!L46</f>
        <v>2877166</v>
      </c>
      <c r="H47" s="395">
        <f>+'Bank Liabilities Analysis'!M46-'Bank Liabilities Analysis'!N46</f>
        <v>375762</v>
      </c>
      <c r="I47" s="395">
        <f>+'Bank Liabilities Analysis'!O46-'Bank Liabilities Analysis'!P46</f>
        <v>751524</v>
      </c>
      <c r="J47" s="395">
        <f>+'Bank Liabilities Analysis'!Q46-'Bank Liabilities Analysis'!R46</f>
        <v>1862218</v>
      </c>
      <c r="K47" s="140">
        <f t="shared" si="11"/>
        <v>8148415</v>
      </c>
      <c r="L47" s="8"/>
      <c r="M47" s="8"/>
      <c r="N47" s="136"/>
      <c r="O47" s="135"/>
      <c r="P47" s="135"/>
    </row>
    <row r="48" spans="1:16" s="148" customFormat="1" ht="15.75" customHeight="1">
      <c r="A48" s="283"/>
      <c r="B48" s="282" t="s">
        <v>429</v>
      </c>
      <c r="C48" s="395">
        <f>+'Bank Liabilities Analysis'!C47-'Bank Liabilities Analysis'!D47</f>
        <v>0</v>
      </c>
      <c r="D48" s="395">
        <f>+'Bank Liabilities Analysis'!E47-'Bank Liabilities Analysis'!F47</f>
        <v>0</v>
      </c>
      <c r="E48" s="395">
        <f>+'Bank Liabilities Analysis'!G47-'Bank Liabilities Analysis'!H47</f>
        <v>0</v>
      </c>
      <c r="F48" s="395">
        <f>+'Bank Liabilities Analysis'!I47-'Bank Liabilities Analysis'!J47</f>
        <v>0</v>
      </c>
      <c r="G48" s="395">
        <f>+'Bank Liabilities Analysis'!K47-'Bank Liabilities Analysis'!L47</f>
        <v>0</v>
      </c>
      <c r="H48" s="395">
        <f>+'Bank Liabilities Analysis'!M47-'Bank Liabilities Analysis'!N47</f>
        <v>0</v>
      </c>
      <c r="I48" s="395">
        <f>+'Bank Liabilities Analysis'!O47-'Bank Liabilities Analysis'!P47</f>
        <v>0</v>
      </c>
      <c r="J48" s="395">
        <f>+'Bank Liabilities Analysis'!Q47-'Bank Liabilities Analysis'!R47</f>
        <v>0</v>
      </c>
      <c r="K48" s="140">
        <f t="shared" si="11"/>
        <v>0</v>
      </c>
      <c r="L48" s="8"/>
      <c r="M48" s="8"/>
      <c r="N48" s="136"/>
      <c r="O48" s="135"/>
      <c r="P48" s="135"/>
    </row>
    <row r="49" spans="1:16" s="148" customFormat="1" ht="15.75">
      <c r="A49" s="283"/>
      <c r="B49" s="281" t="s">
        <v>430</v>
      </c>
      <c r="C49" s="395">
        <f>+C50+C51</f>
        <v>0</v>
      </c>
      <c r="D49" s="395">
        <f t="shared" ref="D49:J49" si="14">+D50+D51</f>
        <v>0</v>
      </c>
      <c r="E49" s="395">
        <f t="shared" si="14"/>
        <v>0</v>
      </c>
      <c r="F49" s="395">
        <f t="shared" si="14"/>
        <v>16802121</v>
      </c>
      <c r="G49" s="395">
        <f t="shared" si="14"/>
        <v>52776825</v>
      </c>
      <c r="H49" s="395">
        <f t="shared" si="14"/>
        <v>75384503</v>
      </c>
      <c r="I49" s="395">
        <f t="shared" si="14"/>
        <v>147039112</v>
      </c>
      <c r="J49" s="395">
        <f t="shared" si="14"/>
        <v>492436713</v>
      </c>
      <c r="K49" s="140">
        <f t="shared" si="11"/>
        <v>784439274</v>
      </c>
      <c r="L49" s="140"/>
      <c r="M49" s="140"/>
      <c r="N49" s="136"/>
      <c r="O49" s="135"/>
      <c r="P49" s="135"/>
    </row>
    <row r="50" spans="1:16" s="148" customFormat="1" ht="15.75" customHeight="1">
      <c r="A50" s="283"/>
      <c r="B50" s="282" t="s">
        <v>428</v>
      </c>
      <c r="C50" s="395">
        <f>+'Bank Liabilities Analysis'!C49-'Bank Liabilities Analysis'!D49</f>
        <v>0</v>
      </c>
      <c r="D50" s="395">
        <f>+'Bank Liabilities Analysis'!E49-'Bank Liabilities Analysis'!F49</f>
        <v>0</v>
      </c>
      <c r="E50" s="395">
        <f>+'Bank Liabilities Analysis'!G49-'Bank Liabilities Analysis'!H49</f>
        <v>0</v>
      </c>
      <c r="F50" s="395">
        <f>+'Bank Liabilities Analysis'!I49-'Bank Liabilities Analysis'!J49</f>
        <v>16802121</v>
      </c>
      <c r="G50" s="395">
        <f>+'Bank Liabilities Analysis'!K49-'Bank Liabilities Analysis'!L49</f>
        <v>52776825</v>
      </c>
      <c r="H50" s="395">
        <f>+'Bank Liabilities Analysis'!M49-'Bank Liabilities Analysis'!N49</f>
        <v>75384503</v>
      </c>
      <c r="I50" s="395">
        <f>+'Bank Liabilities Analysis'!O49-'Bank Liabilities Analysis'!P49</f>
        <v>147039112</v>
      </c>
      <c r="J50" s="395">
        <f>+'Bank Liabilities Analysis'!Q49-'Bank Liabilities Analysis'!R49</f>
        <v>492436713</v>
      </c>
      <c r="K50" s="140">
        <f t="shared" si="11"/>
        <v>784439274</v>
      </c>
      <c r="L50" s="8"/>
      <c r="M50" s="8"/>
      <c r="N50" s="136"/>
      <c r="O50" s="135"/>
      <c r="P50" s="135"/>
    </row>
    <row r="51" spans="1:16" s="148" customFormat="1" ht="15.75" customHeight="1">
      <c r="A51" s="283"/>
      <c r="B51" s="282" t="s">
        <v>429</v>
      </c>
      <c r="C51" s="395">
        <f>+'Bank Liabilities Analysis'!C50-'Bank Liabilities Analysis'!D50</f>
        <v>0</v>
      </c>
      <c r="D51" s="395">
        <f>+'Bank Liabilities Analysis'!E50-'Bank Liabilities Analysis'!F50</f>
        <v>0</v>
      </c>
      <c r="E51" s="395">
        <f>+'Bank Liabilities Analysis'!G50-'Bank Liabilities Analysis'!H50</f>
        <v>0</v>
      </c>
      <c r="F51" s="395">
        <f>+'Bank Liabilities Analysis'!I50-'Bank Liabilities Analysis'!J50</f>
        <v>0</v>
      </c>
      <c r="G51" s="395">
        <f>+'Bank Liabilities Analysis'!K50-'Bank Liabilities Analysis'!L50</f>
        <v>0</v>
      </c>
      <c r="H51" s="395">
        <f>+'Bank Liabilities Analysis'!M50-'Bank Liabilities Analysis'!N50</f>
        <v>0</v>
      </c>
      <c r="I51" s="395">
        <f>+'Bank Liabilities Analysis'!O50-'Bank Liabilities Analysis'!P50</f>
        <v>0</v>
      </c>
      <c r="J51" s="395">
        <f>+'Bank Liabilities Analysis'!Q50-'Bank Liabilities Analysis'!R50</f>
        <v>0</v>
      </c>
      <c r="K51" s="140">
        <f t="shared" si="11"/>
        <v>0</v>
      </c>
      <c r="L51" s="8"/>
      <c r="M51" s="8"/>
      <c r="N51" s="136"/>
      <c r="O51" s="135"/>
      <c r="P51" s="135"/>
    </row>
    <row r="52" spans="1:16" s="148" customFormat="1" ht="15.75" customHeight="1">
      <c r="A52" s="283"/>
      <c r="B52" s="281" t="s">
        <v>431</v>
      </c>
      <c r="C52" s="395">
        <f>+C53+C54</f>
        <v>0</v>
      </c>
      <c r="D52" s="395">
        <f t="shared" ref="D52:J52" si="15">+D53+D54</f>
        <v>0</v>
      </c>
      <c r="E52" s="395">
        <f t="shared" si="15"/>
        <v>0</v>
      </c>
      <c r="F52" s="395">
        <f t="shared" si="15"/>
        <v>0</v>
      </c>
      <c r="G52" s="395">
        <f t="shared" si="15"/>
        <v>15482357</v>
      </c>
      <c r="H52" s="395">
        <f t="shared" si="15"/>
        <v>76431407</v>
      </c>
      <c r="I52" s="395">
        <f t="shared" si="15"/>
        <v>137380457</v>
      </c>
      <c r="J52" s="395">
        <f t="shared" si="15"/>
        <v>0</v>
      </c>
      <c r="K52" s="140">
        <f t="shared" si="11"/>
        <v>229294221</v>
      </c>
      <c r="L52" s="140"/>
      <c r="M52" s="140"/>
      <c r="N52" s="136"/>
      <c r="O52" s="135"/>
      <c r="P52" s="135"/>
    </row>
    <row r="53" spans="1:16" s="148" customFormat="1" ht="15.75" customHeight="1">
      <c r="A53" s="283"/>
      <c r="B53" s="282" t="s">
        <v>428</v>
      </c>
      <c r="C53" s="395">
        <f>+'Bank Liabilities Analysis'!C52-'Bank Liabilities Analysis'!D52</f>
        <v>0</v>
      </c>
      <c r="D53" s="395">
        <f>+'Bank Liabilities Analysis'!E52-'Bank Liabilities Analysis'!F52</f>
        <v>0</v>
      </c>
      <c r="E53" s="395">
        <f>+'Bank Liabilities Analysis'!G52-'Bank Liabilities Analysis'!H52</f>
        <v>0</v>
      </c>
      <c r="F53" s="395">
        <f>+'Bank Liabilities Analysis'!I52-'Bank Liabilities Analysis'!J52</f>
        <v>0</v>
      </c>
      <c r="G53" s="395">
        <f>+'Bank Liabilities Analysis'!K52-'Bank Liabilities Analysis'!L52</f>
        <v>15482357</v>
      </c>
      <c r="H53" s="395">
        <f>+'Bank Liabilities Analysis'!M52-'Bank Liabilities Analysis'!N52</f>
        <v>76431407</v>
      </c>
      <c r="I53" s="395">
        <f>+'Bank Liabilities Analysis'!O52-'Bank Liabilities Analysis'!P52</f>
        <v>137380457</v>
      </c>
      <c r="J53" s="395">
        <f>+'Bank Liabilities Analysis'!Q52-'Bank Liabilities Analysis'!R52</f>
        <v>0</v>
      </c>
      <c r="K53" s="140">
        <f t="shared" si="11"/>
        <v>229294221</v>
      </c>
      <c r="L53" s="8"/>
      <c r="M53" s="8"/>
      <c r="N53" s="136"/>
      <c r="O53" s="135"/>
      <c r="P53" s="135"/>
    </row>
    <row r="54" spans="1:16" s="148" customFormat="1" ht="15.75" customHeight="1">
      <c r="A54" s="283"/>
      <c r="B54" s="282" t="s">
        <v>429</v>
      </c>
      <c r="C54" s="395">
        <f>+'Bank Liabilities Analysis'!C53-'Bank Liabilities Analysis'!D53</f>
        <v>0</v>
      </c>
      <c r="D54" s="395">
        <f>+'Bank Liabilities Analysis'!E53-'Bank Liabilities Analysis'!F53</f>
        <v>0</v>
      </c>
      <c r="E54" s="395">
        <f>+'Bank Liabilities Analysis'!G53-'Bank Liabilities Analysis'!H53</f>
        <v>0</v>
      </c>
      <c r="F54" s="395">
        <f>+'Bank Liabilities Analysis'!I53-'Bank Liabilities Analysis'!J53</f>
        <v>0</v>
      </c>
      <c r="G54" s="395">
        <f>+'Bank Liabilities Analysis'!K53-'Bank Liabilities Analysis'!L53</f>
        <v>0</v>
      </c>
      <c r="H54" s="395">
        <f>+'Bank Liabilities Analysis'!M53-'Bank Liabilities Analysis'!N53</f>
        <v>0</v>
      </c>
      <c r="I54" s="395">
        <f>+'Bank Liabilities Analysis'!O53-'Bank Liabilities Analysis'!P53</f>
        <v>0</v>
      </c>
      <c r="J54" s="395">
        <f>+'Bank Liabilities Analysis'!Q53-'Bank Liabilities Analysis'!R53</f>
        <v>0</v>
      </c>
      <c r="K54" s="140">
        <f t="shared" si="11"/>
        <v>0</v>
      </c>
      <c r="L54" s="8"/>
      <c r="M54" s="8"/>
      <c r="N54" s="136"/>
      <c r="O54" s="135"/>
      <c r="P54" s="135"/>
    </row>
    <row r="55" spans="1:16" s="148" customFormat="1" ht="15.75" customHeight="1">
      <c r="A55" s="283"/>
      <c r="B55" s="281" t="s">
        <v>432</v>
      </c>
      <c r="C55" s="395">
        <f>+C56+C57</f>
        <v>0</v>
      </c>
      <c r="D55" s="395">
        <f t="shared" ref="D55:J55" si="16">+D56+D57</f>
        <v>0</v>
      </c>
      <c r="E55" s="395">
        <f t="shared" si="16"/>
        <v>0</v>
      </c>
      <c r="F55" s="395">
        <f t="shared" si="16"/>
        <v>132764</v>
      </c>
      <c r="G55" s="395">
        <f t="shared" si="16"/>
        <v>627283664</v>
      </c>
      <c r="H55" s="395">
        <f t="shared" si="16"/>
        <v>136856994</v>
      </c>
      <c r="I55" s="395">
        <f t="shared" si="16"/>
        <v>690342306</v>
      </c>
      <c r="J55" s="395">
        <f t="shared" si="16"/>
        <v>627863561</v>
      </c>
      <c r="K55" s="140">
        <f t="shared" si="11"/>
        <v>2082479289</v>
      </c>
      <c r="L55" s="140"/>
      <c r="M55" s="140"/>
      <c r="N55" s="136"/>
      <c r="O55" s="135"/>
      <c r="P55" s="135"/>
    </row>
    <row r="56" spans="1:16" s="148" customFormat="1" ht="15.75" customHeight="1">
      <c r="A56" s="283"/>
      <c r="B56" s="282" t="s">
        <v>428</v>
      </c>
      <c r="C56" s="395">
        <f>+'Bank Liabilities Analysis'!C55-'Bank Liabilities Analysis'!D55</f>
        <v>0</v>
      </c>
      <c r="D56" s="395">
        <f>+'Bank Liabilities Analysis'!E55-'Bank Liabilities Analysis'!F55</f>
        <v>0</v>
      </c>
      <c r="E56" s="395">
        <f>+'Bank Liabilities Analysis'!G55-'Bank Liabilities Analysis'!H55</f>
        <v>0</v>
      </c>
      <c r="F56" s="395">
        <f>+'Bank Liabilities Analysis'!I55-'Bank Liabilities Analysis'!J55</f>
        <v>132764</v>
      </c>
      <c r="G56" s="395">
        <f>+'Bank Liabilities Analysis'!K55-'Bank Liabilities Analysis'!L55</f>
        <v>627283664</v>
      </c>
      <c r="H56" s="395">
        <f>+'Bank Liabilities Analysis'!M55-'Bank Liabilities Analysis'!N55</f>
        <v>136856994</v>
      </c>
      <c r="I56" s="395">
        <f>+'Bank Liabilities Analysis'!O55-'Bank Liabilities Analysis'!P55</f>
        <v>690342306</v>
      </c>
      <c r="J56" s="395">
        <f>+'Bank Liabilities Analysis'!Q55-'Bank Liabilities Analysis'!R55</f>
        <v>627863561</v>
      </c>
      <c r="K56" s="140">
        <f t="shared" si="11"/>
        <v>2082479289</v>
      </c>
      <c r="L56" s="8"/>
      <c r="M56" s="8"/>
      <c r="N56" s="136"/>
      <c r="O56" s="135"/>
      <c r="P56" s="135"/>
    </row>
    <row r="57" spans="1:16" s="148" customFormat="1" ht="15.75" customHeight="1">
      <c r="A57" s="283"/>
      <c r="B57" s="282" t="s">
        <v>429</v>
      </c>
      <c r="C57" s="395">
        <f>+'Bank Liabilities Analysis'!C56-'Bank Liabilities Analysis'!D56</f>
        <v>0</v>
      </c>
      <c r="D57" s="395">
        <f>+'Bank Liabilities Analysis'!E56-'Bank Liabilities Analysis'!F56</f>
        <v>0</v>
      </c>
      <c r="E57" s="395">
        <f>+'Bank Liabilities Analysis'!G56-'Bank Liabilities Analysis'!H56</f>
        <v>0</v>
      </c>
      <c r="F57" s="395">
        <f>+'Bank Liabilities Analysis'!I56-'Bank Liabilities Analysis'!J56</f>
        <v>0</v>
      </c>
      <c r="G57" s="395">
        <f>+'Bank Liabilities Analysis'!K56-'Bank Liabilities Analysis'!L56</f>
        <v>0</v>
      </c>
      <c r="H57" s="395">
        <f>+'Bank Liabilities Analysis'!M56-'Bank Liabilities Analysis'!N56</f>
        <v>0</v>
      </c>
      <c r="I57" s="395">
        <f>+'Bank Liabilities Analysis'!O56-'Bank Liabilities Analysis'!P56</f>
        <v>0</v>
      </c>
      <c r="J57" s="395">
        <f>+'Bank Liabilities Analysis'!Q56-'Bank Liabilities Analysis'!R56</f>
        <v>0</v>
      </c>
      <c r="K57" s="140">
        <f t="shared" si="11"/>
        <v>0</v>
      </c>
      <c r="L57" s="8"/>
      <c r="M57" s="8"/>
      <c r="N57" s="136"/>
      <c r="O57" s="135"/>
      <c r="P57" s="135"/>
    </row>
    <row r="58" spans="1:16" ht="15.75">
      <c r="N58" s="136"/>
      <c r="O58" s="135"/>
      <c r="P58" s="135"/>
    </row>
    <row r="59" spans="1:16" s="18" customFormat="1" ht="15" customHeight="1">
      <c r="B59" s="4" t="s">
        <v>540</v>
      </c>
      <c r="F59" s="150"/>
      <c r="G59" s="150"/>
      <c r="H59" s="150"/>
      <c r="I59" s="150"/>
      <c r="J59" s="150"/>
      <c r="K59" s="150"/>
      <c r="L59" s="150"/>
      <c r="M59" s="150"/>
    </row>
    <row r="60" spans="1:16" s="18" customFormat="1" ht="11.25" customHeight="1">
      <c r="B60" s="4"/>
      <c r="F60" s="150"/>
      <c r="G60" s="150"/>
      <c r="H60" s="150"/>
      <c r="I60" s="150"/>
      <c r="J60" s="150"/>
      <c r="K60" s="150"/>
      <c r="L60" s="150"/>
      <c r="M60" s="150"/>
    </row>
    <row r="61" spans="1:16" s="18" customFormat="1" ht="15" customHeight="1">
      <c r="B61" s="4" t="s">
        <v>539</v>
      </c>
      <c r="F61" s="150"/>
      <c r="G61" s="150"/>
      <c r="H61" s="150"/>
      <c r="I61" s="150"/>
      <c r="J61" s="150"/>
      <c r="K61" s="150"/>
      <c r="L61" s="150"/>
      <c r="M61" s="150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C8:J40 C43:J56">
    <cfRule type="cellIs" dxfId="22" priority="1" operator="lessThan">
      <formula>0</formula>
    </cfRule>
  </conditionalFormatting>
  <conditionalFormatting sqref="L43:M57">
    <cfRule type="cellIs" dxfId="21" priority="3" operator="greaterThan">
      <formula>#REF!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>
      <formula1>0</formula1>
    </dataValidation>
    <dataValidation type="whole" operator="notEqual" allowBlank="1" showErrorMessage="1" error="Введите как целое число." sqref="C9:J13 C42:J57 C16:J20 C22:J40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9" orientation="landscape" r:id="rId1"/>
  <headerFooter alignWithMargins="0"/>
  <ignoredErrors>
    <ignoredError sqref="M37:M39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M35"/>
  <sheetViews>
    <sheetView view="pageBreakPreview" zoomScaleNormal="75" zoomScaleSheetLayoutView="100" workbookViewId="0">
      <pane xSplit="2" ySplit="3" topLeftCell="C4" activePane="bottomRight" state="frozen"/>
      <selection activeCell="G38" sqref="G38"/>
      <selection pane="topRight" activeCell="G38" sqref="G38"/>
      <selection pane="bottomLeft" activeCell="G38" sqref="G38"/>
      <selection pane="bottomRight" activeCell="G7" sqref="G7"/>
    </sheetView>
  </sheetViews>
  <sheetFormatPr defaultRowHeight="12.75"/>
  <cols>
    <col min="1" max="1" width="5.85546875" style="12" customWidth="1"/>
    <col min="2" max="2" width="88.28515625" style="18" customWidth="1"/>
    <col min="3" max="4" width="17.7109375" style="18" customWidth="1"/>
    <col min="5" max="5" width="18.5703125" style="18" customWidth="1"/>
    <col min="6" max="8" width="20.42578125" style="18" customWidth="1"/>
    <col min="9" max="9" width="9.140625" style="18"/>
    <col min="10" max="10" width="11" style="18" bestFit="1" customWidth="1"/>
    <col min="11" max="16384" width="9.140625" style="18"/>
  </cols>
  <sheetData>
    <row r="1" spans="1:8" s="148" customFormat="1" ht="32.25" customHeight="1">
      <c r="A1" s="438" t="s">
        <v>500</v>
      </c>
      <c r="B1" s="438"/>
      <c r="C1" s="438"/>
      <c r="D1" s="438"/>
      <c r="E1" s="207" t="s">
        <v>434</v>
      </c>
    </row>
    <row r="2" spans="1:8" ht="15.75">
      <c r="A2" s="207"/>
      <c r="B2" s="7" t="str">
        <f>Balance!B3</f>
        <v>"Ўзсаноатқурилишбанк" АТБ</v>
      </c>
      <c r="C2" s="355">
        <f>+Balance!D3</f>
        <v>45289</v>
      </c>
      <c r="E2" s="354" t="str">
        <f>+Balance!E3</f>
        <v>минг сўмда</v>
      </c>
    </row>
    <row r="3" spans="1:8" s="148" customFormat="1" ht="53.25" customHeight="1">
      <c r="A3" s="270" t="s">
        <v>54</v>
      </c>
      <c r="B3" s="270" t="s">
        <v>336</v>
      </c>
      <c r="C3" s="270" t="s">
        <v>176</v>
      </c>
      <c r="D3" s="270" t="s">
        <v>349</v>
      </c>
      <c r="E3" s="270" t="s">
        <v>350</v>
      </c>
    </row>
    <row r="4" spans="1:8" s="148" customFormat="1" ht="22.5" customHeight="1">
      <c r="A4" s="271" t="s">
        <v>118</v>
      </c>
      <c r="B4" s="272" t="s">
        <v>435</v>
      </c>
      <c r="C4" s="159">
        <f>+D4+E4</f>
        <v>869143191</v>
      </c>
      <c r="D4" s="95">
        <v>531367973</v>
      </c>
      <c r="E4" s="95">
        <v>337775218</v>
      </c>
      <c r="F4" s="396">
        <f>+'Bank Assets Analysis'!S46</f>
        <v>869143191</v>
      </c>
      <c r="G4" s="396">
        <f>+'Bank Assets Analysis'!T46</f>
        <v>531367973</v>
      </c>
      <c r="H4" s="396">
        <f>+'Bank Assets Analysis'!U46</f>
        <v>337775218</v>
      </c>
    </row>
    <row r="5" spans="1:8" s="148" customFormat="1" ht="22.5" customHeight="1">
      <c r="A5" s="234" t="s">
        <v>161</v>
      </c>
      <c r="B5" s="306" t="s">
        <v>436</v>
      </c>
      <c r="C5" s="159">
        <f>+D5+E5</f>
        <v>0</v>
      </c>
      <c r="D5" s="95"/>
      <c r="E5" s="95"/>
      <c r="F5" s="396">
        <f>+'Bank Assets Analysis'!S47</f>
        <v>0</v>
      </c>
      <c r="G5" s="396">
        <f>+'Bank Assets Analysis'!T47</f>
        <v>0</v>
      </c>
      <c r="H5" s="396">
        <f>+'Bank Assets Analysis'!U47</f>
        <v>0</v>
      </c>
    </row>
    <row r="6" spans="1:8" s="148" customFormat="1" ht="5.25" customHeight="1">
      <c r="A6" s="11"/>
      <c r="B6" s="10"/>
      <c r="C6" s="140"/>
      <c r="D6" s="140"/>
      <c r="E6" s="140"/>
      <c r="F6" s="397"/>
      <c r="G6" s="397"/>
      <c r="H6" s="397"/>
    </row>
    <row r="7" spans="1:8" s="148" customFormat="1" ht="22.5" customHeight="1">
      <c r="A7" s="273" t="s">
        <v>119</v>
      </c>
      <c r="B7" s="272" t="s">
        <v>437</v>
      </c>
      <c r="C7" s="159">
        <f>+D7+E7</f>
        <v>1457703020</v>
      </c>
      <c r="D7" s="95">
        <v>9363563</v>
      </c>
      <c r="E7" s="95">
        <v>1448339457</v>
      </c>
      <c r="F7" s="396">
        <f>+'Bank Assets Analysis'!S48</f>
        <v>1457703020</v>
      </c>
      <c r="G7" s="396">
        <f>+'Bank Assets Analysis'!T48</f>
        <v>9363563</v>
      </c>
      <c r="H7" s="396">
        <f>+'Bank Assets Analysis'!U48</f>
        <v>1448339457</v>
      </c>
    </row>
    <row r="8" spans="1:8" s="148" customFormat="1" ht="22.5" customHeight="1">
      <c r="A8" s="234" t="s">
        <v>150</v>
      </c>
      <c r="B8" s="306" t="s">
        <v>438</v>
      </c>
      <c r="C8" s="159">
        <f>+D8+E8</f>
        <v>186342806</v>
      </c>
      <c r="D8" s="95">
        <v>363563</v>
      </c>
      <c r="E8" s="95">
        <v>185979243</v>
      </c>
      <c r="F8" s="396">
        <f>+'Bank Assets Analysis'!S49</f>
        <v>186342806</v>
      </c>
      <c r="G8" s="396">
        <f>+'Bank Assets Analysis'!T49</f>
        <v>363563</v>
      </c>
      <c r="H8" s="396">
        <f>+'Bank Assets Analysis'!U49</f>
        <v>185979243</v>
      </c>
    </row>
    <row r="9" spans="1:8" s="148" customFormat="1" ht="5.25" customHeight="1">
      <c r="A9" s="11"/>
      <c r="B9" s="10"/>
      <c r="C9" s="140"/>
      <c r="D9" s="140"/>
      <c r="E9" s="140"/>
    </row>
    <row r="10" spans="1:8" s="148" customFormat="1" ht="29.25" customHeight="1">
      <c r="A10" s="273" t="s">
        <v>129</v>
      </c>
      <c r="B10" s="272" t="s">
        <v>439</v>
      </c>
      <c r="C10" s="159">
        <f>+D10+E10</f>
        <v>2030004069</v>
      </c>
      <c r="D10" s="14">
        <f>SUM(D11:D14)</f>
        <v>0</v>
      </c>
      <c r="E10" s="14">
        <f>SUM(E11:E14)</f>
        <v>2030004069</v>
      </c>
    </row>
    <row r="11" spans="1:8" s="148" customFormat="1" ht="22.5" customHeight="1">
      <c r="A11" s="234" t="s">
        <v>131</v>
      </c>
      <c r="B11" s="274" t="s">
        <v>501</v>
      </c>
      <c r="C11" s="140">
        <f>+D11+E11</f>
        <v>1166486266</v>
      </c>
      <c r="D11" s="206">
        <v>0</v>
      </c>
      <c r="E11" s="206">
        <v>1166486266</v>
      </c>
    </row>
    <row r="12" spans="1:8" s="148" customFormat="1" ht="30.75" customHeight="1">
      <c r="A12" s="234" t="s">
        <v>132</v>
      </c>
      <c r="B12" s="274" t="s">
        <v>440</v>
      </c>
      <c r="C12" s="140">
        <f>+D12+E12</f>
        <v>863517803</v>
      </c>
      <c r="D12" s="206">
        <v>0</v>
      </c>
      <c r="E12" s="206">
        <v>863517803</v>
      </c>
    </row>
    <row r="13" spans="1:8" s="148" customFormat="1" ht="30.75" customHeight="1">
      <c r="A13" s="234" t="s">
        <v>133</v>
      </c>
      <c r="B13" s="274" t="s">
        <v>441</v>
      </c>
      <c r="C13" s="140">
        <f>+D13+E13</f>
        <v>0</v>
      </c>
      <c r="D13" s="206">
        <v>0</v>
      </c>
      <c r="E13" s="206">
        <v>0</v>
      </c>
    </row>
    <row r="14" spans="1:8" s="148" customFormat="1" ht="25.5" customHeight="1">
      <c r="A14" s="234" t="s">
        <v>134</v>
      </c>
      <c r="B14" s="274" t="s">
        <v>442</v>
      </c>
      <c r="C14" s="140">
        <f>+D14+E14</f>
        <v>0</v>
      </c>
      <c r="D14" s="8">
        <v>0</v>
      </c>
      <c r="E14" s="8">
        <v>0</v>
      </c>
    </row>
    <row r="15" spans="1:8" s="148" customFormat="1" ht="5.25" customHeight="1">
      <c r="A15" s="11"/>
      <c r="B15" s="10"/>
      <c r="C15" s="140"/>
      <c r="D15" s="140"/>
      <c r="E15" s="140"/>
    </row>
    <row r="16" spans="1:8" s="148" customFormat="1" ht="22.5" customHeight="1">
      <c r="A16" s="273" t="s">
        <v>120</v>
      </c>
      <c r="B16" s="272" t="s">
        <v>443</v>
      </c>
      <c r="C16" s="14">
        <f>+D16+E16</f>
        <v>1120734837</v>
      </c>
      <c r="D16" s="15">
        <v>1120734837</v>
      </c>
      <c r="E16" s="15">
        <v>0</v>
      </c>
    </row>
    <row r="17" spans="1:13" s="148" customFormat="1" ht="5.25" customHeight="1">
      <c r="A17" s="11"/>
      <c r="B17" s="10"/>
      <c r="C17" s="140"/>
      <c r="D17" s="140"/>
      <c r="E17" s="140"/>
    </row>
    <row r="18" spans="1:13" s="148" customFormat="1" ht="22.5" customHeight="1">
      <c r="A18" s="273" t="s">
        <v>127</v>
      </c>
      <c r="B18" s="272" t="s">
        <v>528</v>
      </c>
      <c r="C18" s="14">
        <f t="shared" ref="C18:C24" si="0">+D18+E18</f>
        <v>6499741397</v>
      </c>
      <c r="D18" s="14">
        <f>SUM(D19:D24)</f>
        <v>1443536137</v>
      </c>
      <c r="E18" s="14">
        <f>SUM(E19:E24)</f>
        <v>5056205260</v>
      </c>
    </row>
    <row r="19" spans="1:13" s="148" customFormat="1" ht="22.5" customHeight="1">
      <c r="A19" s="275" t="s">
        <v>135</v>
      </c>
      <c r="B19" s="274" t="s">
        <v>488</v>
      </c>
      <c r="C19" s="140">
        <f t="shared" si="0"/>
        <v>246775400</v>
      </c>
      <c r="D19" s="8">
        <v>0</v>
      </c>
      <c r="E19" s="8">
        <v>246775400</v>
      </c>
    </row>
    <row r="20" spans="1:13" s="148" customFormat="1" ht="22.5" customHeight="1">
      <c r="A20" s="275" t="s">
        <v>136</v>
      </c>
      <c r="B20" s="274" t="s">
        <v>444</v>
      </c>
      <c r="C20" s="140">
        <f t="shared" si="0"/>
        <v>0</v>
      </c>
      <c r="D20" s="8">
        <v>0</v>
      </c>
      <c r="E20" s="8">
        <v>0</v>
      </c>
    </row>
    <row r="21" spans="1:13" s="148" customFormat="1" ht="22.5" customHeight="1">
      <c r="A21" s="275" t="s">
        <v>137</v>
      </c>
      <c r="B21" s="274" t="s">
        <v>445</v>
      </c>
      <c r="C21" s="140">
        <f t="shared" si="0"/>
        <v>36770760</v>
      </c>
      <c r="D21" s="8">
        <v>18262605</v>
      </c>
      <c r="E21" s="8">
        <v>18508155</v>
      </c>
    </row>
    <row r="22" spans="1:13" s="148" customFormat="1" ht="22.5" customHeight="1">
      <c r="A22" s="275" t="s">
        <v>138</v>
      </c>
      <c r="B22" s="274" t="s">
        <v>446</v>
      </c>
      <c r="C22" s="140">
        <f t="shared" si="0"/>
        <v>0</v>
      </c>
      <c r="D22" s="206">
        <v>0</v>
      </c>
      <c r="E22" s="206">
        <v>0</v>
      </c>
    </row>
    <row r="23" spans="1:13" s="148" customFormat="1" ht="29.25" customHeight="1">
      <c r="A23" s="275" t="s">
        <v>139</v>
      </c>
      <c r="B23" s="274" t="s">
        <v>447</v>
      </c>
      <c r="C23" s="140">
        <f t="shared" si="0"/>
        <v>1070685717</v>
      </c>
      <c r="D23" s="8">
        <v>1070685717</v>
      </c>
      <c r="E23" s="8">
        <v>0</v>
      </c>
    </row>
    <row r="24" spans="1:13" s="148" customFormat="1" ht="22.5" customHeight="1">
      <c r="A24" s="275" t="s">
        <v>477</v>
      </c>
      <c r="B24" s="274" t="s">
        <v>502</v>
      </c>
      <c r="C24" s="140">
        <f t="shared" si="0"/>
        <v>5145509520</v>
      </c>
      <c r="D24" s="8">
        <v>354587815</v>
      </c>
      <c r="E24" s="8">
        <v>4790921705</v>
      </c>
      <c r="J24" s="342"/>
    </row>
    <row r="25" spans="1:13" s="148" customFormat="1" ht="6" customHeight="1">
      <c r="A25" s="234"/>
      <c r="B25" s="306"/>
      <c r="C25" s="140"/>
      <c r="D25" s="140"/>
      <c r="E25" s="140"/>
    </row>
    <row r="26" spans="1:13" s="148" customFormat="1" ht="22.5" customHeight="1">
      <c r="A26" s="273" t="s">
        <v>130</v>
      </c>
      <c r="B26" s="272" t="s">
        <v>489</v>
      </c>
      <c r="C26" s="14">
        <f>+C4+C7+C10+C16+C18</f>
        <v>11977326514</v>
      </c>
      <c r="D26" s="14">
        <f>+D4+D7+D10+D16+D18</f>
        <v>3105002510</v>
      </c>
      <c r="E26" s="14">
        <f>+E4+E7+E10+E16+E18</f>
        <v>8872324004</v>
      </c>
    </row>
    <row r="27" spans="1:13">
      <c r="B27" s="13"/>
    </row>
    <row r="28" spans="1:13" ht="15" customHeight="1">
      <c r="A28" s="18"/>
      <c r="B28" s="4" t="s">
        <v>540</v>
      </c>
      <c r="F28" s="150"/>
      <c r="G28" s="150"/>
      <c r="H28" s="150"/>
      <c r="I28" s="150"/>
      <c r="J28" s="150"/>
      <c r="K28" s="150"/>
      <c r="L28" s="150"/>
      <c r="M28" s="150"/>
    </row>
    <row r="29" spans="1:13" ht="11.25" customHeight="1">
      <c r="A29" s="18"/>
      <c r="B29" s="4"/>
      <c r="F29" s="150"/>
      <c r="G29" s="150"/>
      <c r="H29" s="150"/>
      <c r="I29" s="150"/>
      <c r="J29" s="150"/>
      <c r="K29" s="150"/>
      <c r="L29" s="150"/>
      <c r="M29" s="150"/>
    </row>
    <row r="30" spans="1:13" ht="15" customHeight="1">
      <c r="A30" s="18"/>
      <c r="B30" s="4" t="s">
        <v>539</v>
      </c>
      <c r="F30" s="150"/>
      <c r="G30" s="150"/>
      <c r="H30" s="150"/>
      <c r="I30" s="150"/>
      <c r="J30" s="150"/>
      <c r="K30" s="150"/>
      <c r="L30" s="150"/>
      <c r="M30" s="150"/>
    </row>
    <row r="31" spans="1:13">
      <c r="A31" s="7"/>
      <c r="B31" s="4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4">
    <cfRule type="cellIs" dxfId="20" priority="17" operator="notEqual">
      <formula>$F$4</formula>
    </cfRule>
  </conditionalFormatting>
  <conditionalFormatting sqref="C5">
    <cfRule type="cellIs" priority="13" operator="notEqual">
      <formula>$F$5</formula>
    </cfRule>
  </conditionalFormatting>
  <conditionalFormatting sqref="C7">
    <cfRule type="cellIs" dxfId="19" priority="10" operator="notEqual">
      <formula>$F$7</formula>
    </cfRule>
    <cfRule type="cellIs" dxfId="18" priority="28" operator="notEqual">
      <formula>$D$7+$E$7</formula>
    </cfRule>
  </conditionalFormatting>
  <conditionalFormatting sqref="C8">
    <cfRule type="cellIs" dxfId="17" priority="3" operator="notEqual">
      <formula>$F$8</formula>
    </cfRule>
  </conditionalFormatting>
  <conditionalFormatting sqref="C10">
    <cfRule type="cellIs" dxfId="16" priority="26" operator="notEqual">
      <formula>$D$10+$E$10</formula>
    </cfRule>
  </conditionalFormatting>
  <conditionalFormatting sqref="D4">
    <cfRule type="cellIs" dxfId="15" priority="16" operator="notEqual">
      <formula>$G$4</formula>
    </cfRule>
  </conditionalFormatting>
  <conditionalFormatting sqref="D5">
    <cfRule type="cellIs" dxfId="14" priority="12" operator="notEqual">
      <formula>$G$5</formula>
    </cfRule>
  </conditionalFormatting>
  <conditionalFormatting sqref="D7">
    <cfRule type="cellIs" dxfId="13" priority="6" operator="notEqual">
      <formula>$G$7</formula>
    </cfRule>
  </conditionalFormatting>
  <conditionalFormatting sqref="D8">
    <cfRule type="cellIs" dxfId="12" priority="2" operator="notEqual">
      <formula>$G$8</formula>
    </cfRule>
  </conditionalFormatting>
  <conditionalFormatting sqref="D10">
    <cfRule type="cellIs" dxfId="11" priority="22" operator="notEqual">
      <formula>$D$11+$D$12+$D$13+$D$14</formula>
    </cfRule>
  </conditionalFormatting>
  <conditionalFormatting sqref="E5">
    <cfRule type="cellIs" dxfId="9" priority="11" operator="notEqual">
      <formula>$H$5</formula>
    </cfRule>
  </conditionalFormatting>
  <conditionalFormatting sqref="E7">
    <cfRule type="cellIs" dxfId="8" priority="4" operator="notEqual">
      <formula>$H$7</formula>
    </cfRule>
  </conditionalFormatting>
  <conditionalFormatting sqref="E8">
    <cfRule type="cellIs" dxfId="7" priority="5" operator="notEqual">
      <formula>$H$8</formula>
    </cfRule>
  </conditionalFormatting>
  <conditionalFormatting sqref="E10">
    <cfRule type="cellIs" dxfId="6" priority="21" operator="notEqual">
      <formula>$E$11+$E$12+$E$13+$E$14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>
      <formula1>0</formula1>
    </dataValidation>
    <dataValidation type="whole" operator="greaterThanOrEqual" allowBlank="1" showInputMessage="1" showErrorMessage="1" sqref="C25 C15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M27"/>
  <sheetViews>
    <sheetView view="pageBreakPreview" zoomScale="75" zoomScaleNormal="70" zoomScaleSheetLayoutView="75" workbookViewId="0">
      <pane xSplit="2" ySplit="3" topLeftCell="C4" activePane="bottomRight" state="frozen"/>
      <selection activeCell="G38" sqref="G38"/>
      <selection pane="topRight" activeCell="G38" sqref="G38"/>
      <selection pane="bottomLeft" activeCell="G38" sqref="G38"/>
      <selection pane="bottomRight" activeCell="C14" sqref="C14:D19"/>
    </sheetView>
  </sheetViews>
  <sheetFormatPr defaultRowHeight="18.75"/>
  <cols>
    <col min="1" max="1" width="8.5703125" style="69" customWidth="1"/>
    <col min="2" max="2" width="65.7109375" style="69" customWidth="1"/>
    <col min="3" max="3" width="24.42578125" style="69" customWidth="1"/>
    <col min="4" max="4" width="23.28515625" style="69" customWidth="1"/>
    <col min="5" max="7" width="14" style="267" customWidth="1"/>
    <col min="8" max="16384" width="9.140625" style="69"/>
  </cols>
  <sheetData>
    <row r="1" spans="1:7" ht="22.5" customHeight="1">
      <c r="A1" s="439" t="s">
        <v>448</v>
      </c>
      <c r="B1" s="439"/>
      <c r="C1" s="439"/>
      <c r="D1" s="266" t="s">
        <v>449</v>
      </c>
    </row>
    <row r="2" spans="1:7" ht="25.5" customHeight="1">
      <c r="B2" s="70" t="str">
        <f>+Balance!B3</f>
        <v>"Ўзсаноатқурилишбанк" АТБ</v>
      </c>
      <c r="C2" s="356">
        <f>+Balance!D3</f>
        <v>45289</v>
      </c>
      <c r="D2" s="268" t="s">
        <v>174</v>
      </c>
    </row>
    <row r="3" spans="1:7" ht="80.25" customHeight="1">
      <c r="A3" s="94" t="s">
        <v>54</v>
      </c>
      <c r="B3" s="94" t="s">
        <v>336</v>
      </c>
      <c r="C3" s="94" t="s">
        <v>176</v>
      </c>
      <c r="D3" s="94" t="s">
        <v>456</v>
      </c>
    </row>
    <row r="4" spans="1:7" s="71" customFormat="1" ht="45" customHeight="1">
      <c r="A4" s="335" t="s">
        <v>118</v>
      </c>
      <c r="B4" s="338" t="s">
        <v>503</v>
      </c>
      <c r="C4" s="94"/>
      <c r="D4" s="94"/>
      <c r="E4" s="269"/>
      <c r="F4" s="269"/>
      <c r="G4" s="269"/>
    </row>
    <row r="5" spans="1:7" s="71" customFormat="1" ht="35.25" customHeight="1">
      <c r="A5" s="305" t="s">
        <v>121</v>
      </c>
      <c r="B5" s="336" t="s">
        <v>450</v>
      </c>
      <c r="C5" s="81">
        <v>66234614</v>
      </c>
      <c r="D5" s="81">
        <v>443486</v>
      </c>
      <c r="E5" s="269"/>
      <c r="F5" s="269"/>
      <c r="G5" s="269"/>
    </row>
    <row r="6" spans="1:7" s="71" customFormat="1" ht="35.25" customHeight="1">
      <c r="A6" s="305" t="s">
        <v>122</v>
      </c>
      <c r="B6" s="336" t="s">
        <v>451</v>
      </c>
      <c r="C6" s="81">
        <v>1473345241</v>
      </c>
      <c r="D6" s="81">
        <v>287252364</v>
      </c>
      <c r="E6" s="269"/>
      <c r="F6" s="269"/>
      <c r="G6" s="269"/>
    </row>
    <row r="7" spans="1:7" s="71" customFormat="1" ht="35.25" customHeight="1">
      <c r="A7" s="305" t="s">
        <v>123</v>
      </c>
      <c r="B7" s="336" t="s">
        <v>452</v>
      </c>
      <c r="C7" s="81">
        <v>576393658</v>
      </c>
      <c r="D7" s="81">
        <v>324415661</v>
      </c>
      <c r="E7" s="269"/>
      <c r="F7" s="269"/>
      <c r="G7" s="269"/>
    </row>
    <row r="8" spans="1:7" s="71" customFormat="1" ht="35.25" customHeight="1">
      <c r="A8" s="305" t="s">
        <v>124</v>
      </c>
      <c r="B8" s="336" t="s">
        <v>453</v>
      </c>
      <c r="C8" s="81">
        <v>439793150</v>
      </c>
      <c r="D8" s="81">
        <v>148181145</v>
      </c>
      <c r="E8" s="269"/>
      <c r="F8" s="269"/>
      <c r="G8" s="269"/>
    </row>
    <row r="9" spans="1:7" s="71" customFormat="1" ht="35.25" customHeight="1">
      <c r="A9" s="305" t="s">
        <v>125</v>
      </c>
      <c r="B9" s="336" t="s">
        <v>454</v>
      </c>
      <c r="C9" s="81">
        <v>1307280161</v>
      </c>
      <c r="D9" s="81">
        <v>195277801</v>
      </c>
      <c r="E9" s="269"/>
      <c r="F9" s="269"/>
      <c r="G9" s="269"/>
    </row>
    <row r="10" spans="1:7" s="71" customFormat="1" ht="43.5" customHeight="1">
      <c r="A10" s="305" t="s">
        <v>126</v>
      </c>
      <c r="B10" s="339" t="s">
        <v>560</v>
      </c>
      <c r="C10" s="81">
        <v>1962456702</v>
      </c>
      <c r="D10" s="81">
        <v>1314990606</v>
      </c>
      <c r="E10" s="269"/>
      <c r="F10" s="269"/>
      <c r="G10" s="269"/>
    </row>
    <row r="11" spans="1:7" s="73" customFormat="1" ht="42" customHeight="1">
      <c r="A11" s="335" t="s">
        <v>153</v>
      </c>
      <c r="B11" s="338" t="s">
        <v>504</v>
      </c>
      <c r="C11" s="72">
        <f>SUM(C5:C10)</f>
        <v>5825503526</v>
      </c>
      <c r="D11" s="72">
        <f>SUM(D5:D10)</f>
        <v>2270561063</v>
      </c>
      <c r="E11" s="348">
        <f>+'Bank Liabilities Analysis'!S15+'Bank Liabilities Analysis'!S7</f>
        <v>5825503526</v>
      </c>
      <c r="F11" s="348">
        <f>+'Bank Liabilities Analysis'!T15+'Bank Liabilities Analysis'!T7</f>
        <v>3554942463</v>
      </c>
      <c r="G11" s="348">
        <f>+'Bank Liabilities Analysis'!U15+'Bank Liabilities Analysis'!U7</f>
        <v>2270561063</v>
      </c>
    </row>
    <row r="12" spans="1:7" s="71" customFormat="1" ht="9" customHeight="1">
      <c r="A12" s="74"/>
      <c r="B12" s="336"/>
      <c r="C12" s="75"/>
      <c r="D12" s="74"/>
      <c r="E12" s="349"/>
      <c r="F12" s="349"/>
      <c r="G12" s="349"/>
    </row>
    <row r="13" spans="1:7" s="71" customFormat="1" ht="35.25" customHeight="1">
      <c r="A13" s="335" t="s">
        <v>119</v>
      </c>
      <c r="B13" s="337" t="s">
        <v>232</v>
      </c>
      <c r="C13" s="94"/>
      <c r="D13" s="94"/>
      <c r="E13" s="350">
        <f>+C11-E11</f>
        <v>0</v>
      </c>
      <c r="F13" s="350"/>
      <c r="G13" s="350">
        <f>+D11-G11</f>
        <v>0</v>
      </c>
    </row>
    <row r="14" spans="1:7" s="71" customFormat="1" ht="35.25" customHeight="1">
      <c r="A14" s="305" t="s">
        <v>121</v>
      </c>
      <c r="B14" s="336" t="s">
        <v>450</v>
      </c>
      <c r="C14" s="81">
        <v>3856711941</v>
      </c>
      <c r="D14" s="81">
        <v>1770632191</v>
      </c>
      <c r="E14" s="351"/>
      <c r="F14" s="351"/>
      <c r="G14" s="351"/>
    </row>
    <row r="15" spans="1:7" s="71" customFormat="1" ht="35.25" customHeight="1">
      <c r="A15" s="305" t="s">
        <v>122</v>
      </c>
      <c r="B15" s="336" t="s">
        <v>451</v>
      </c>
      <c r="C15" s="81">
        <v>2966772276</v>
      </c>
      <c r="D15" s="81">
        <v>256080509</v>
      </c>
      <c r="E15" s="351"/>
      <c r="F15" s="351"/>
      <c r="G15" s="351"/>
    </row>
    <row r="16" spans="1:7" s="71" customFormat="1" ht="35.25" customHeight="1">
      <c r="A16" s="305" t="s">
        <v>123</v>
      </c>
      <c r="B16" s="336" t="s">
        <v>452</v>
      </c>
      <c r="C16" s="81">
        <v>503649426</v>
      </c>
      <c r="D16" s="81">
        <v>186162426</v>
      </c>
      <c r="E16" s="351"/>
      <c r="F16" s="351"/>
      <c r="G16" s="351"/>
    </row>
    <row r="17" spans="1:13" s="71" customFormat="1" ht="35.25" customHeight="1">
      <c r="A17" s="305" t="s">
        <v>124</v>
      </c>
      <c r="B17" s="336" t="s">
        <v>453</v>
      </c>
      <c r="C17" s="81">
        <v>441242989</v>
      </c>
      <c r="D17" s="81">
        <v>335242988</v>
      </c>
      <c r="E17" s="351"/>
      <c r="F17" s="351"/>
      <c r="G17" s="351"/>
    </row>
    <row r="18" spans="1:13" s="71" customFormat="1" ht="35.25" customHeight="1">
      <c r="A18" s="305" t="s">
        <v>125</v>
      </c>
      <c r="B18" s="336" t="s">
        <v>454</v>
      </c>
      <c r="C18" s="81">
        <v>198575990</v>
      </c>
      <c r="D18" s="81">
        <v>70330989</v>
      </c>
      <c r="E18" s="351"/>
      <c r="F18" s="351"/>
      <c r="G18" s="351"/>
    </row>
    <row r="19" spans="1:13" s="71" customFormat="1" ht="35.25" customHeight="1">
      <c r="A19" s="305" t="s">
        <v>126</v>
      </c>
      <c r="B19" s="336" t="s">
        <v>505</v>
      </c>
      <c r="C19" s="81">
        <v>6135000</v>
      </c>
      <c r="D19" s="81">
        <v>0</v>
      </c>
      <c r="E19" s="351"/>
      <c r="F19" s="351"/>
      <c r="G19" s="351"/>
    </row>
    <row r="20" spans="1:13" s="73" customFormat="1" ht="35.25" customHeight="1">
      <c r="A20" s="335" t="s">
        <v>153</v>
      </c>
      <c r="B20" s="337" t="s">
        <v>455</v>
      </c>
      <c r="C20" s="72">
        <f>SUM(C14:C19)</f>
        <v>7973087622</v>
      </c>
      <c r="D20" s="72">
        <f>SUM(D14:D19)</f>
        <v>2618449103</v>
      </c>
      <c r="E20" s="348">
        <f>+'Bank Liabilities Analysis'!S12</f>
        <v>7973087622</v>
      </c>
      <c r="F20" s="348">
        <f>+'Bank Liabilities Analysis'!T12</f>
        <v>5354638519</v>
      </c>
      <c r="G20" s="348">
        <f>+'Bank Liabilities Analysis'!U12</f>
        <v>2618449103</v>
      </c>
    </row>
    <row r="21" spans="1:13" s="71" customFormat="1" ht="9" customHeight="1">
      <c r="A21" s="305"/>
      <c r="B21" s="336"/>
      <c r="C21" s="75"/>
      <c r="D21" s="75"/>
      <c r="E21" s="350">
        <f>+C20-E20</f>
        <v>0</v>
      </c>
      <c r="F21" s="350"/>
      <c r="G21" s="350">
        <f>+D20-G20</f>
        <v>0</v>
      </c>
    </row>
    <row r="22" spans="1:13" s="73" customFormat="1" ht="35.25" customHeight="1">
      <c r="A22" s="335" t="s">
        <v>129</v>
      </c>
      <c r="B22" s="337" t="s">
        <v>418</v>
      </c>
      <c r="C22" s="72">
        <f t="shared" ref="C22:D22" si="0">+C11+C20</f>
        <v>13798591148</v>
      </c>
      <c r="D22" s="72">
        <f t="shared" si="0"/>
        <v>4889010166</v>
      </c>
      <c r="E22" s="348">
        <f>+'Bank Liabilities Analysis'!S20</f>
        <v>13798591148</v>
      </c>
      <c r="F22" s="348">
        <f>+'Bank Liabilities Analysis'!T20</f>
        <v>8909580982</v>
      </c>
      <c r="G22" s="348">
        <f>+'Bank Liabilities Analysis'!U20</f>
        <v>4889010166</v>
      </c>
    </row>
    <row r="23" spans="1:13">
      <c r="E23" s="347">
        <f>+C22-E22</f>
        <v>0</v>
      </c>
      <c r="F23" s="347"/>
      <c r="G23" s="347">
        <f>+D22-G22</f>
        <v>0</v>
      </c>
    </row>
    <row r="24" spans="1:13" s="18" customFormat="1" ht="18">
      <c r="B24" s="345" t="s">
        <v>540</v>
      </c>
      <c r="F24" s="150"/>
      <c r="G24" s="150"/>
      <c r="H24" s="150"/>
      <c r="I24" s="150"/>
      <c r="J24" s="150"/>
      <c r="K24" s="150"/>
      <c r="L24" s="150"/>
      <c r="M24" s="150"/>
    </row>
    <row r="25" spans="1:13" s="18" customFormat="1" ht="19.5" customHeight="1">
      <c r="B25" s="345"/>
      <c r="F25" s="150"/>
      <c r="G25" s="150"/>
      <c r="H25" s="150"/>
      <c r="I25" s="150"/>
      <c r="J25" s="150"/>
      <c r="K25" s="150"/>
      <c r="L25" s="150"/>
      <c r="M25" s="150"/>
    </row>
    <row r="26" spans="1:13" s="18" customFormat="1" ht="18">
      <c r="B26" s="345" t="s">
        <v>539</v>
      </c>
      <c r="F26" s="150"/>
      <c r="G26" s="150"/>
      <c r="H26" s="150"/>
      <c r="I26" s="150"/>
      <c r="J26" s="150"/>
      <c r="K26" s="150"/>
      <c r="L26" s="150"/>
      <c r="M26" s="150"/>
    </row>
    <row r="27" spans="1:13">
      <c r="B27" s="76"/>
      <c r="E27" s="69"/>
      <c r="F27" s="69"/>
      <c r="G27" s="69"/>
    </row>
  </sheetData>
  <sheetProtection password="CACA" sheet="1" objects="1" scenarios="1"/>
  <mergeCells count="1">
    <mergeCell ref="A1:C1"/>
  </mergeCells>
  <phoneticPr fontId="14" type="noConversion"/>
  <conditionalFormatting sqref="C11">
    <cfRule type="cellIs" dxfId="5" priority="15" operator="notEqual">
      <formula>$E$11</formula>
    </cfRule>
  </conditionalFormatting>
  <conditionalFormatting sqref="C20">
    <cfRule type="cellIs" dxfId="4" priority="16" operator="notEqual">
      <formula>$E$20</formula>
    </cfRule>
  </conditionalFormatting>
  <conditionalFormatting sqref="C22">
    <cfRule type="cellIs" dxfId="3" priority="17" operator="notEqual">
      <formula>$E$22</formula>
    </cfRule>
  </conditionalFormatting>
  <conditionalFormatting sqref="D11">
    <cfRule type="cellIs" dxfId="2" priority="9" operator="notEqual">
      <formula>$G$11</formula>
    </cfRule>
  </conditionalFormatting>
  <conditionalFormatting sqref="D20">
    <cfRule type="cellIs" dxfId="1" priority="10" operator="notEqual">
      <formula>$G$20</formula>
    </cfRule>
  </conditionalFormatting>
  <conditionalFormatting sqref="D22">
    <cfRule type="cellIs" dxfId="0" priority="11" operator="notEqual">
      <formula>$G$22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M44"/>
  <sheetViews>
    <sheetView view="pageBreakPreview" zoomScale="115" zoomScaleSheetLayoutView="115" workbookViewId="0">
      <pane xSplit="1" ySplit="4" topLeftCell="B35" activePane="bottomRight" state="frozen"/>
      <selection activeCell="C61" sqref="C61"/>
      <selection pane="topRight" activeCell="C61" sqref="C61"/>
      <selection pane="bottomLeft" activeCell="C61" sqref="C61"/>
      <selection pane="bottomRight" activeCell="A27" sqref="A27"/>
    </sheetView>
  </sheetViews>
  <sheetFormatPr defaultRowHeight="12.75"/>
  <cols>
    <col min="1" max="1" width="52" style="18" customWidth="1"/>
    <col min="2" max="2" width="15.42578125" style="18" customWidth="1"/>
    <col min="3" max="4" width="14.42578125" style="18" customWidth="1"/>
    <col min="5" max="5" width="16.140625" style="18" bestFit="1" customWidth="1"/>
    <col min="6" max="8" width="12.140625" style="216" customWidth="1"/>
    <col min="9" max="16384" width="9.140625" style="18"/>
  </cols>
  <sheetData>
    <row r="1" spans="1:8" ht="44.25" customHeight="1">
      <c r="A1" s="438" t="s">
        <v>457</v>
      </c>
      <c r="B1" s="438"/>
      <c r="C1" s="438"/>
      <c r="D1" s="438"/>
      <c r="E1" s="207" t="s">
        <v>458</v>
      </c>
    </row>
    <row r="2" spans="1:8" s="148" customFormat="1" ht="18" customHeight="1">
      <c r="A2" s="78" t="str">
        <f>Balance!B3</f>
        <v>"Ўзсаноатқурилишбанк" АТБ</v>
      </c>
      <c r="C2" s="442">
        <f>+Balance!D3</f>
        <v>45289</v>
      </c>
      <c r="D2" s="442"/>
      <c r="E2" s="261" t="str">
        <f>+Balance!E3</f>
        <v>минг сўмда</v>
      </c>
      <c r="F2" s="217"/>
      <c r="G2" s="217"/>
      <c r="H2" s="217"/>
    </row>
    <row r="3" spans="1:8" s="222" customFormat="1" ht="12.75" customHeight="1">
      <c r="A3" s="440" t="s">
        <v>529</v>
      </c>
      <c r="B3" s="440" t="s">
        <v>459</v>
      </c>
      <c r="C3" s="443" t="s">
        <v>338</v>
      </c>
      <c r="D3" s="444"/>
      <c r="E3" s="440" t="s">
        <v>460</v>
      </c>
      <c r="G3" s="148"/>
    </row>
    <row r="4" spans="1:8" s="222" customFormat="1" ht="46.5" customHeight="1">
      <c r="A4" s="441"/>
      <c r="B4" s="441"/>
      <c r="C4" s="262" t="s">
        <v>349</v>
      </c>
      <c r="D4" s="262" t="s">
        <v>350</v>
      </c>
      <c r="E4" s="441"/>
      <c r="G4" s="148"/>
    </row>
    <row r="5" spans="1:8" s="148" customFormat="1" ht="17.25" customHeight="1">
      <c r="A5" s="263" t="s">
        <v>461</v>
      </c>
      <c r="B5" s="140">
        <f t="shared" ref="B5:B14" si="0">+C5+D5</f>
        <v>0</v>
      </c>
      <c r="C5" s="8">
        <v>0</v>
      </c>
      <c r="D5" s="8">
        <v>0</v>
      </c>
      <c r="E5" s="8">
        <v>0</v>
      </c>
      <c r="F5" s="217"/>
      <c r="G5" s="217"/>
      <c r="H5" s="217"/>
    </row>
    <row r="6" spans="1:8" s="148" customFormat="1" ht="25.5">
      <c r="A6" s="264" t="s">
        <v>462</v>
      </c>
      <c r="B6" s="140">
        <f t="shared" si="0"/>
        <v>0</v>
      </c>
      <c r="C6" s="8">
        <v>0</v>
      </c>
      <c r="D6" s="8">
        <v>0</v>
      </c>
      <c r="E6" s="8">
        <v>0</v>
      </c>
      <c r="F6" s="217"/>
      <c r="G6" s="217"/>
      <c r="H6" s="217"/>
    </row>
    <row r="7" spans="1:8" s="148" customFormat="1" ht="16.5" customHeight="1">
      <c r="A7" s="264" t="s">
        <v>530</v>
      </c>
      <c r="B7" s="140">
        <f t="shared" si="0"/>
        <v>0</v>
      </c>
      <c r="C7" s="8">
        <v>0</v>
      </c>
      <c r="D7" s="8">
        <v>0</v>
      </c>
      <c r="E7" s="8">
        <v>0</v>
      </c>
      <c r="F7" s="217"/>
      <c r="G7" s="217"/>
      <c r="H7" s="217"/>
    </row>
    <row r="8" spans="1:8" s="148" customFormat="1" ht="16.5" customHeight="1">
      <c r="A8" s="264" t="s">
        <v>463</v>
      </c>
      <c r="B8" s="140">
        <f t="shared" si="0"/>
        <v>0</v>
      </c>
      <c r="C8" s="8">
        <v>0</v>
      </c>
      <c r="D8" s="8">
        <v>0</v>
      </c>
      <c r="E8" s="8">
        <v>0</v>
      </c>
      <c r="F8" s="217"/>
      <c r="G8" s="217"/>
      <c r="H8" s="217"/>
    </row>
    <row r="9" spans="1:8" s="148" customFormat="1" ht="25.5">
      <c r="A9" s="264" t="s">
        <v>531</v>
      </c>
      <c r="B9" s="140">
        <f t="shared" si="0"/>
        <v>19348501</v>
      </c>
      <c r="C9" s="8">
        <v>19348501</v>
      </c>
      <c r="D9" s="8">
        <v>0</v>
      </c>
      <c r="E9" s="8">
        <v>19348501</v>
      </c>
      <c r="F9" s="217"/>
      <c r="G9" s="217"/>
      <c r="H9" s="217"/>
    </row>
    <row r="10" spans="1:8" s="148" customFormat="1" ht="30" customHeight="1">
      <c r="A10" s="264" t="s">
        <v>532</v>
      </c>
      <c r="B10" s="140">
        <f t="shared" si="0"/>
        <v>390839042</v>
      </c>
      <c r="C10" s="8">
        <v>387674444</v>
      </c>
      <c r="D10" s="8">
        <v>3164598</v>
      </c>
      <c r="E10" s="8">
        <v>390839042</v>
      </c>
      <c r="F10" s="217"/>
      <c r="G10" s="217"/>
      <c r="H10" s="217"/>
    </row>
    <row r="11" spans="1:8" s="148" customFormat="1" ht="17.25" customHeight="1">
      <c r="A11" s="264" t="s">
        <v>464</v>
      </c>
      <c r="B11" s="140">
        <f t="shared" si="0"/>
        <v>3205644</v>
      </c>
      <c r="C11" s="8">
        <v>3205644</v>
      </c>
      <c r="D11" s="8">
        <v>0</v>
      </c>
      <c r="E11" s="8">
        <v>3205644</v>
      </c>
      <c r="F11" s="217"/>
      <c r="G11" s="217"/>
      <c r="H11" s="217"/>
    </row>
    <row r="12" spans="1:8" s="148" customFormat="1" ht="17.25" customHeight="1">
      <c r="A12" s="308" t="s">
        <v>465</v>
      </c>
      <c r="B12" s="14">
        <f t="shared" si="0"/>
        <v>413393187</v>
      </c>
      <c r="C12" s="14">
        <f>SUM(C5:C11)</f>
        <v>410228589</v>
      </c>
      <c r="D12" s="14">
        <f t="shared" ref="D12" si="1">SUM(D5:D11)</f>
        <v>3164598</v>
      </c>
      <c r="E12" s="14">
        <f>SUM(E5:E11)</f>
        <v>413393187</v>
      </c>
      <c r="F12" s="217"/>
      <c r="G12" s="217"/>
      <c r="H12" s="217"/>
    </row>
    <row r="13" spans="1:8" s="148" customFormat="1" ht="25.5">
      <c r="A13" s="264" t="s">
        <v>512</v>
      </c>
      <c r="B13" s="140">
        <f t="shared" si="0"/>
        <v>0</v>
      </c>
      <c r="C13" s="8">
        <v>0</v>
      </c>
      <c r="D13" s="8">
        <v>0</v>
      </c>
      <c r="E13" s="8">
        <v>0</v>
      </c>
      <c r="F13" s="217"/>
      <c r="G13" s="217"/>
      <c r="H13" s="217"/>
    </row>
    <row r="14" spans="1:8" s="148" customFormat="1" ht="18" customHeight="1">
      <c r="A14" s="340" t="s">
        <v>469</v>
      </c>
      <c r="B14" s="140">
        <f t="shared" si="0"/>
        <v>6955640</v>
      </c>
      <c r="C14" s="8">
        <v>6955640</v>
      </c>
      <c r="D14" s="8">
        <v>0</v>
      </c>
      <c r="E14" s="219"/>
      <c r="F14" s="217"/>
      <c r="G14" s="217"/>
      <c r="H14" s="217"/>
    </row>
    <row r="15" spans="1:8" s="148" customFormat="1" ht="18" customHeight="1">
      <c r="A15" s="308" t="s">
        <v>506</v>
      </c>
      <c r="B15" s="140">
        <f>+C15+D15</f>
        <v>406437547</v>
      </c>
      <c r="C15" s="140">
        <f>C12+C13-C14</f>
        <v>403272949</v>
      </c>
      <c r="D15" s="140">
        <f>D12+D13-D14</f>
        <v>3164598</v>
      </c>
      <c r="E15" s="220"/>
      <c r="F15" s="221"/>
      <c r="G15" s="217"/>
      <c r="H15" s="217"/>
    </row>
    <row r="16" spans="1:8" ht="12.75" customHeight="1">
      <c r="A16" s="4"/>
      <c r="B16" s="148"/>
      <c r="C16" s="148"/>
      <c r="D16" s="148"/>
      <c r="E16" s="148"/>
      <c r="G16" s="217"/>
      <c r="H16" s="217"/>
    </row>
    <row r="17" spans="1:8" s="222" customFormat="1" ht="12.75" customHeight="1">
      <c r="A17" s="440" t="s">
        <v>476</v>
      </c>
      <c r="B17" s="440" t="s">
        <v>459</v>
      </c>
      <c r="C17" s="443" t="s">
        <v>338</v>
      </c>
      <c r="D17" s="444"/>
      <c r="E17" s="440" t="s">
        <v>460</v>
      </c>
      <c r="G17" s="148"/>
    </row>
    <row r="18" spans="1:8" s="222" customFormat="1" ht="38.25">
      <c r="A18" s="441"/>
      <c r="B18" s="441"/>
      <c r="C18" s="262" t="s">
        <v>349</v>
      </c>
      <c r="D18" s="262" t="s">
        <v>350</v>
      </c>
      <c r="E18" s="441"/>
      <c r="G18" s="148"/>
    </row>
    <row r="19" spans="1:8" s="148" customFormat="1" ht="13.5" customHeight="1">
      <c r="A19" s="263" t="s">
        <v>507</v>
      </c>
      <c r="B19" s="140">
        <f t="shared" ref="B19:B28" si="2">+C19+D19</f>
        <v>0</v>
      </c>
      <c r="C19" s="8">
        <v>0</v>
      </c>
      <c r="D19" s="8">
        <v>0</v>
      </c>
      <c r="E19" s="8">
        <f>+C19</f>
        <v>0</v>
      </c>
      <c r="F19" s="217"/>
      <c r="H19" s="217"/>
    </row>
    <row r="20" spans="1:8" s="148" customFormat="1" ht="13.5" customHeight="1">
      <c r="A20" s="264" t="s">
        <v>466</v>
      </c>
      <c r="B20" s="140">
        <f t="shared" si="2"/>
        <v>2046792700</v>
      </c>
      <c r="C20" s="8">
        <v>1923405000</v>
      </c>
      <c r="D20" s="8">
        <v>123387700</v>
      </c>
      <c r="E20" s="8">
        <v>2046792700</v>
      </c>
      <c r="F20" s="217"/>
      <c r="H20" s="217"/>
    </row>
    <row r="21" spans="1:8" s="148" customFormat="1" ht="25.5">
      <c r="A21" s="264" t="s">
        <v>508</v>
      </c>
      <c r="B21" s="140">
        <f t="shared" si="2"/>
        <v>0</v>
      </c>
      <c r="C21" s="8">
        <v>0</v>
      </c>
      <c r="D21" s="8">
        <v>0</v>
      </c>
      <c r="E21" s="8">
        <f>+C21</f>
        <v>0</v>
      </c>
      <c r="F21" s="217"/>
      <c r="H21" s="217"/>
    </row>
    <row r="22" spans="1:8" s="148" customFormat="1" ht="25.5" customHeight="1">
      <c r="A22" s="264" t="s">
        <v>533</v>
      </c>
      <c r="B22" s="140">
        <f t="shared" si="2"/>
        <v>10000000</v>
      </c>
      <c r="C22" s="8">
        <v>10000000</v>
      </c>
      <c r="D22" s="8">
        <v>0</v>
      </c>
      <c r="E22" s="8">
        <v>10000000</v>
      </c>
      <c r="F22" s="217"/>
      <c r="H22" s="217"/>
    </row>
    <row r="23" spans="1:8" s="148" customFormat="1" ht="13.5" customHeight="1">
      <c r="A23" s="264" t="s">
        <v>467</v>
      </c>
      <c r="B23" s="140">
        <f t="shared" si="2"/>
        <v>0</v>
      </c>
      <c r="C23" s="8">
        <v>0</v>
      </c>
      <c r="D23" s="8">
        <v>0</v>
      </c>
      <c r="E23" s="8">
        <f t="shared" ref="E23:E25" si="3">+C23</f>
        <v>0</v>
      </c>
      <c r="F23" s="217"/>
      <c r="H23" s="217"/>
    </row>
    <row r="24" spans="1:8" s="148" customFormat="1" ht="13.5" customHeight="1">
      <c r="A24" s="264" t="s">
        <v>534</v>
      </c>
      <c r="B24" s="140">
        <f t="shared" si="2"/>
        <v>0</v>
      </c>
      <c r="C24" s="8">
        <v>0</v>
      </c>
      <c r="D24" s="8">
        <v>0</v>
      </c>
      <c r="E24" s="8">
        <f t="shared" si="3"/>
        <v>0</v>
      </c>
      <c r="F24" s="217"/>
      <c r="H24" s="217"/>
    </row>
    <row r="25" spans="1:8" s="148" customFormat="1" ht="13.5" customHeight="1">
      <c r="A25" s="218" t="s">
        <v>468</v>
      </c>
      <c r="B25" s="140">
        <f t="shared" si="2"/>
        <v>0</v>
      </c>
      <c r="C25" s="8">
        <v>0</v>
      </c>
      <c r="D25" s="8">
        <v>0</v>
      </c>
      <c r="E25" s="8">
        <f t="shared" si="3"/>
        <v>0</v>
      </c>
      <c r="F25" s="217"/>
      <c r="H25" s="217"/>
    </row>
    <row r="26" spans="1:8" s="148" customFormat="1" ht="25.5">
      <c r="A26" s="307" t="s">
        <v>487</v>
      </c>
      <c r="B26" s="14">
        <f t="shared" ref="B26" si="4">+C26+D26</f>
        <v>2056792700</v>
      </c>
      <c r="C26" s="14">
        <f>SUM(C19:C25)</f>
        <v>1933405000</v>
      </c>
      <c r="D26" s="14">
        <f t="shared" ref="D26" si="5">SUM(D19:D25)</f>
        <v>123387700</v>
      </c>
      <c r="E26" s="14">
        <f>SUM(E19:E25)</f>
        <v>2056792700</v>
      </c>
      <c r="F26" s="217"/>
      <c r="H26" s="217"/>
    </row>
    <row r="27" spans="1:8" s="148" customFormat="1" ht="42" customHeight="1">
      <c r="A27" s="264" t="s">
        <v>535</v>
      </c>
      <c r="B27" s="140">
        <f t="shared" si="2"/>
        <v>-13486597</v>
      </c>
      <c r="C27" s="8">
        <v>-12771091</v>
      </c>
      <c r="D27" s="8">
        <v>-715506</v>
      </c>
      <c r="E27" s="8">
        <v>-13486597</v>
      </c>
      <c r="F27" s="217"/>
      <c r="H27" s="217"/>
    </row>
    <row r="28" spans="1:8" s="148" customFormat="1">
      <c r="A28" s="263" t="s">
        <v>469</v>
      </c>
      <c r="B28" s="140">
        <f t="shared" si="2"/>
        <v>0</v>
      </c>
      <c r="C28" s="8">
        <v>0</v>
      </c>
      <c r="D28" s="8">
        <v>0</v>
      </c>
      <c r="E28" s="219"/>
      <c r="F28" s="217"/>
      <c r="H28" s="217"/>
    </row>
    <row r="29" spans="1:8" s="148" customFormat="1" ht="25.5">
      <c r="A29" s="264" t="s">
        <v>536</v>
      </c>
      <c r="B29" s="140">
        <f>+C29+D29</f>
        <v>2043306103</v>
      </c>
      <c r="C29" s="140">
        <f>+C26+C27-C28</f>
        <v>1920633909</v>
      </c>
      <c r="D29" s="140">
        <f>+D26+D27-D28</f>
        <v>122672194</v>
      </c>
      <c r="E29" s="220"/>
      <c r="F29" s="217"/>
      <c r="H29" s="217"/>
    </row>
    <row r="30" spans="1:8" ht="15.75">
      <c r="A30" s="59"/>
      <c r="B30" s="148"/>
      <c r="C30" s="148"/>
      <c r="D30" s="148"/>
      <c r="E30" s="148"/>
      <c r="G30" s="148"/>
    </row>
    <row r="31" spans="1:8" s="222" customFormat="1">
      <c r="A31" s="440" t="s">
        <v>470</v>
      </c>
      <c r="B31" s="440" t="s">
        <v>459</v>
      </c>
      <c r="C31" s="443" t="s">
        <v>338</v>
      </c>
      <c r="D31" s="444"/>
      <c r="E31" s="440" t="s">
        <v>460</v>
      </c>
      <c r="G31" s="148"/>
    </row>
    <row r="32" spans="1:8" s="222" customFormat="1" ht="38.25">
      <c r="A32" s="441"/>
      <c r="B32" s="441"/>
      <c r="C32" s="262" t="s">
        <v>349</v>
      </c>
      <c r="D32" s="262" t="s">
        <v>350</v>
      </c>
      <c r="E32" s="441"/>
      <c r="G32" s="148"/>
    </row>
    <row r="33" spans="1:13">
      <c r="A33" s="223"/>
      <c r="B33" s="218"/>
      <c r="C33" s="218"/>
      <c r="D33" s="218"/>
      <c r="E33" s="218"/>
    </row>
    <row r="34" spans="1:13" ht="13.5" customHeight="1">
      <c r="A34" s="223" t="s">
        <v>471</v>
      </c>
      <c r="B34" s="140">
        <f t="shared" ref="B34:B36" si="6">+C34+D34</f>
        <v>0</v>
      </c>
      <c r="C34" s="8">
        <v>0</v>
      </c>
      <c r="D34" s="8">
        <v>0</v>
      </c>
      <c r="E34" s="8">
        <v>0</v>
      </c>
    </row>
    <row r="35" spans="1:13" ht="13.5" customHeight="1">
      <c r="A35" s="223" t="s">
        <v>472</v>
      </c>
      <c r="B35" s="140">
        <f t="shared" si="6"/>
        <v>0</v>
      </c>
      <c r="C35" s="8">
        <v>0</v>
      </c>
      <c r="D35" s="8">
        <v>0</v>
      </c>
      <c r="E35" s="8">
        <v>0</v>
      </c>
    </row>
    <row r="36" spans="1:13" ht="13.5" customHeight="1">
      <c r="A36" s="223" t="s">
        <v>473</v>
      </c>
      <c r="B36" s="140">
        <f t="shared" si="6"/>
        <v>875</v>
      </c>
      <c r="C36" s="8">
        <v>875</v>
      </c>
      <c r="D36" s="8">
        <v>0</v>
      </c>
      <c r="E36" s="8">
        <v>875</v>
      </c>
    </row>
    <row r="37" spans="1:13" ht="13.5" customHeight="1">
      <c r="A37" s="265" t="s">
        <v>474</v>
      </c>
      <c r="B37" s="14">
        <f t="shared" ref="B37:B39" si="7">+C37+D37</f>
        <v>875</v>
      </c>
      <c r="C37" s="14">
        <f>SUM(C34:C36)</f>
        <v>875</v>
      </c>
      <c r="D37" s="14">
        <f t="shared" ref="D37" si="8">SUM(D34:D36)</f>
        <v>0</v>
      </c>
      <c r="E37" s="14">
        <f>SUM(E34:E36)</f>
        <v>875</v>
      </c>
    </row>
    <row r="38" spans="1:13" ht="13.5" customHeight="1">
      <c r="A38" s="263" t="s">
        <v>475</v>
      </c>
      <c r="B38" s="140">
        <f t="shared" si="7"/>
        <v>0</v>
      </c>
      <c r="C38" s="8">
        <v>0</v>
      </c>
      <c r="D38" s="8">
        <v>0</v>
      </c>
      <c r="E38" s="219"/>
    </row>
    <row r="39" spans="1:13" ht="26.25" customHeight="1">
      <c r="A39" s="341" t="s">
        <v>509</v>
      </c>
      <c r="B39" s="140">
        <f t="shared" si="7"/>
        <v>875</v>
      </c>
      <c r="C39" s="140">
        <f>C37-C38</f>
        <v>875</v>
      </c>
      <c r="D39" s="140">
        <f t="shared" ref="D39" si="9">D37-D38</f>
        <v>0</v>
      </c>
      <c r="E39" s="220"/>
    </row>
    <row r="40" spans="1:13" ht="12.75" customHeight="1">
      <c r="F40" s="18"/>
      <c r="G40" s="18"/>
      <c r="H40" s="18"/>
    </row>
    <row r="41" spans="1:13" ht="15" customHeight="1">
      <c r="A41" s="343" t="s">
        <v>540</v>
      </c>
      <c r="F41" s="150"/>
      <c r="G41" s="150"/>
      <c r="H41" s="150"/>
      <c r="I41" s="150"/>
      <c r="J41" s="150"/>
      <c r="K41" s="150"/>
      <c r="L41" s="150"/>
      <c r="M41" s="150"/>
    </row>
    <row r="42" spans="1:13" ht="11.25" customHeight="1">
      <c r="A42" s="343"/>
      <c r="F42" s="150"/>
      <c r="G42" s="150"/>
      <c r="H42" s="150"/>
      <c r="I42" s="150"/>
      <c r="J42" s="150"/>
      <c r="K42" s="150"/>
      <c r="L42" s="150"/>
      <c r="M42" s="150"/>
    </row>
    <row r="43" spans="1:13" ht="15" customHeight="1">
      <c r="A43" s="343" t="s">
        <v>539</v>
      </c>
      <c r="F43" s="150"/>
      <c r="G43" s="150"/>
      <c r="H43" s="150"/>
      <c r="I43" s="150"/>
      <c r="J43" s="150"/>
      <c r="K43" s="150"/>
      <c r="L43" s="150"/>
      <c r="M43" s="150"/>
    </row>
    <row r="44" spans="1:13" ht="12.75" customHeight="1">
      <c r="A44" s="4"/>
      <c r="F44" s="18"/>
      <c r="G44" s="18"/>
      <c r="H44" s="18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>
      <formula1>0</formula1>
    </dataValidation>
    <dataValidation type="whole" operator="greaterThanOrEqual" allowBlank="1" showInputMessage="1" showErrorMessage="1" prompt="Ввести как положительное число." sqref="C28:D28 C14:D14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12 E28:E35 E26 E37:E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Ulugbek Iskandarov</cp:lastModifiedBy>
  <cp:lastPrinted>2023-12-29T12:21:32Z</cp:lastPrinted>
  <dcterms:created xsi:type="dcterms:W3CDTF">2014-01-27T05:06:32Z</dcterms:created>
  <dcterms:modified xsi:type="dcterms:W3CDTF">2024-01-04T12:55:58Z</dcterms:modified>
</cp:coreProperties>
</file>