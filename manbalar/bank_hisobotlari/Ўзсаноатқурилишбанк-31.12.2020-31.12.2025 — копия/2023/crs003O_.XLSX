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Bozorov Ruslan-07.01.2026\Докторлик диссертация-20.04.2025\Докторлик дис-19.04.2025\Банклар маълумоти\Ўзсаноатқурилишбанк-31.12.2020-31.12.2025\2023\"/>
    </mc:Choice>
  </mc:AlternateContent>
  <xr:revisionPtr revIDLastSave="0" documentId="13_ncr:1_{B2DD75C8-1F81-4A0D-8BAD-25E087429E51}" xr6:coauthVersionLast="47" xr6:coauthVersionMax="47" xr10:uidLastSave="{00000000-0000-0000-0000-000000000000}"/>
  <bookViews>
    <workbookView xWindow="1335" yWindow="0" windowWidth="16635" windowHeight="14115" tabRatio="923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Deposits_av rate" sheetId="30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7" hidden="1">[1]tab17!#REF!</definedName>
    <definedName name="___add21" localSheetId="17" hidden="1">[1]tab17!#REF!</definedName>
    <definedName name="__123Graph_A" localSheetId="17" hidden="1">'[2]tab 19'!#REF!</definedName>
    <definedName name="__123Graph_B" localSheetId="17" hidden="1">[3]tab17!#REF!</definedName>
    <definedName name="__123Graph_X" localSheetId="17" hidden="1">[3]tab17!#REF!</definedName>
    <definedName name="__4__123Graph_ACHART_2" hidden="1">[4]A!$C$31:$AJ$31</definedName>
    <definedName name="__add21" localSheetId="17" hidden="1">[1]tab17!#REF!</definedName>
    <definedName name="_10__123Graph_AREALEX_WAGE" localSheetId="17" hidden="1">'[2]tab 19'!#REF!</definedName>
    <definedName name="_10__123Graph_BREALEX_WAGE" localSheetId="17" hidden="1">#REF!</definedName>
    <definedName name="_12__123Graph_BREALEX_WAGE" localSheetId="17" hidden="1">#REF!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7" hidden="1">#REF!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7" hidden="1">#REF!</definedName>
    <definedName name="_20__123Graph_BREALEX_WAGE" localSheetId="17" hidden="1">#REF!</definedName>
    <definedName name="_22__123Graph_CCHART_2" hidden="1">[4]A!$C$38:$AJ$38</definedName>
    <definedName name="_22__123Graph_XREALEX_WAGE" localSheetId="17" hidden="1">#REF!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7" hidden="1">#REF!</definedName>
    <definedName name="_36__123Graph_XREALEX_WAGE" localSheetId="17" hidden="1">#REF!</definedName>
    <definedName name="_5__123Graph_AREALEX_WAGE" localSheetId="17" hidden="1">'[2]tab 19'!#REF!</definedName>
    <definedName name="_6__123Graph_AREALEX_WAGE" localSheetId="17" hidden="1">'[5]tab 19'!#REF!</definedName>
    <definedName name="_8__123Graph_AREALEX_WAGE" localSheetId="17" hidden="1">'[2]tab 19'!#REF!</definedName>
    <definedName name="_9__123Graph_BCHART_2" hidden="1">[4]A!$C$36:$AJ$36</definedName>
    <definedName name="_add21" localSheetId="17" hidden="1">[1]tab17!#REF!</definedName>
    <definedName name="_Key1" localSheetId="17" hidden="1">#REF!</definedName>
    <definedName name="_Key2" localSheetId="17" hidden="1">#REF!</definedName>
    <definedName name="_Order2" hidden="1">0</definedName>
    <definedName name="_Parse_Out" localSheetId="17" hidden="1">#REF!</definedName>
    <definedName name="_Sort" localSheetId="17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risk'!$A$1:$Z$94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Classification'!$A$1:$AB$78</definedName>
    <definedName name="_xlnm.Print_Area" localSheetId="7">'Asset Provisioning'!$A$1:$AU$78</definedName>
    <definedName name="_xlnm.Print_Area" localSheetId="0">'Asset quality'!$A$1:$T$69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10">'Charge-offs and Recoveries'!$A$1:$J$53</definedName>
    <definedName name="_xlnm.Print_Area" localSheetId="14">'Deposits_av rate'!$A$1:$N$20</definedName>
    <definedName name="_xlnm.Print_Area" localSheetId="15">'Economic Normatives'!$A$1:$K$49</definedName>
    <definedName name="_xlnm.Print_Area" localSheetId="1">'Income '!$A$1:$E$81</definedName>
    <definedName name="_xlnm.Print_Area" localSheetId="4">'Loans Receivable'!$A$1:$Y$89</definedName>
    <definedName name="_xlnm.Print_Area" localSheetId="13">'loans type'!$A$1:$Z$46</definedName>
    <definedName name="_xlnm.Print_Area" localSheetId="11">'loans_av rate'!$A$1:$H$48</definedName>
    <definedName name="_xlnm.Print_Area" localSheetId="16">Miscellaneous!$A$1:$C$29</definedName>
    <definedName name="_xlnm.Print_Area" localSheetId="8">'Transactions of related parties'!$A$1:$Z$94</definedName>
    <definedName name="_xlnm.Print_Area" localSheetId="17">ПФУ!$A$1:$B$43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26" l="1"/>
  <c r="C64" i="26"/>
  <c r="C63" i="26"/>
  <c r="T42" i="40" l="1"/>
  <c r="T35" i="40"/>
  <c r="G8" i="30"/>
  <c r="M8" i="30"/>
  <c r="M15" i="30"/>
  <c r="K15" i="30"/>
  <c r="G15" i="30"/>
  <c r="E15" i="30"/>
  <c r="M14" i="30"/>
  <c r="K14" i="30"/>
  <c r="G14" i="30"/>
  <c r="E14" i="30"/>
  <c r="M13" i="30"/>
  <c r="K13" i="30"/>
  <c r="G13" i="30"/>
  <c r="E13" i="30"/>
  <c r="M12" i="30"/>
  <c r="K12" i="30"/>
  <c r="G12" i="30"/>
  <c r="E12" i="30"/>
  <c r="M11" i="30"/>
  <c r="K11" i="30"/>
  <c r="G11" i="30"/>
  <c r="E11" i="30"/>
  <c r="M10" i="30"/>
  <c r="K10" i="30"/>
  <c r="G10" i="30"/>
  <c r="E10" i="30"/>
  <c r="M9" i="30"/>
  <c r="K9" i="30"/>
  <c r="G9" i="30"/>
  <c r="E9" i="30"/>
  <c r="K8" i="30"/>
  <c r="E8" i="30"/>
  <c r="P64" i="26" l="1"/>
  <c r="B54" i="42" l="1"/>
  <c r="B53" i="42"/>
  <c r="B52" i="42"/>
  <c r="B51" i="42"/>
  <c r="B50" i="42"/>
  <c r="B49" i="42"/>
  <c r="B48" i="42"/>
  <c r="B47" i="42"/>
  <c r="B38" i="42"/>
  <c r="B36" i="42"/>
  <c r="B35" i="42"/>
  <c r="B33" i="42"/>
  <c r="B9" i="42"/>
  <c r="B6" i="42"/>
  <c r="I23" i="20"/>
  <c r="I22" i="20"/>
  <c r="I21" i="20"/>
  <c r="I20" i="20"/>
  <c r="I19" i="20"/>
  <c r="I18" i="20"/>
  <c r="I16" i="20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M49" i="13"/>
  <c r="G42" i="9"/>
  <c r="E92" i="24"/>
  <c r="D92" i="24"/>
  <c r="C92" i="24"/>
  <c r="D14" i="6"/>
  <c r="D8" i="6"/>
  <c r="C73" i="26"/>
  <c r="D74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D15" i="40"/>
  <c r="AE15" i="40"/>
  <c r="AF15" i="40"/>
  <c r="AG15" i="40"/>
  <c r="AH15" i="40"/>
  <c r="AD13" i="40"/>
  <c r="AE13" i="40"/>
  <c r="AF13" i="40"/>
  <c r="AG13" i="40"/>
  <c r="AH13" i="40"/>
  <c r="T74" i="26"/>
  <c r="S74" i="26"/>
  <c r="R74" i="26"/>
  <c r="Q74" i="26"/>
  <c r="H74" i="26"/>
  <c r="G74" i="26"/>
  <c r="F74" i="26"/>
  <c r="E74" i="26"/>
  <c r="G35" i="9"/>
  <c r="G6" i="2"/>
  <c r="G7" i="2"/>
  <c r="G13" i="2"/>
  <c r="G14" i="2"/>
  <c r="G23" i="2"/>
  <c r="G24" i="2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24" i="30" l="1"/>
  <c r="F83" i="48" l="1"/>
  <c r="K83" i="48"/>
  <c r="O83" i="48"/>
  <c r="S83" i="48"/>
  <c r="W83" i="48"/>
  <c r="AA83" i="48"/>
  <c r="AE83" i="48"/>
  <c r="AI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I72" i="48"/>
  <c r="AE72" i="48"/>
  <c r="AE84" i="48" s="1"/>
  <c r="AA72" i="48"/>
  <c r="W72" i="48"/>
  <c r="W84" i="48" s="1"/>
  <c r="S72" i="48"/>
  <c r="O72" i="48"/>
  <c r="O84" i="48" s="1"/>
  <c r="K72" i="48"/>
  <c r="F72" i="48"/>
  <c r="F84" i="48" s="1"/>
  <c r="F54" i="48"/>
  <c r="E54" i="48"/>
  <c r="H54" i="48" s="1"/>
  <c r="P72" i="48" l="1"/>
  <c r="Q72" i="48" s="1"/>
  <c r="K84" i="48"/>
  <c r="AN72" i="48"/>
  <c r="AO72" i="48" s="1"/>
  <c r="AI84" i="48"/>
  <c r="X72" i="48"/>
  <c r="Y72" i="48" s="1"/>
  <c r="S84" i="48"/>
  <c r="AF72" i="48"/>
  <c r="AG72" i="48" s="1"/>
  <c r="AA84" i="48"/>
  <c r="AT73" i="48"/>
  <c r="AS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N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R68" i="48"/>
  <c r="U68" i="48" s="1"/>
  <c r="O68" i="48"/>
  <c r="L68" i="48"/>
  <c r="K68" i="48"/>
  <c r="P68" i="48" s="1"/>
  <c r="J68" i="48"/>
  <c r="M68" i="48" s="1"/>
  <c r="G68" i="48"/>
  <c r="F68" i="48"/>
  <c r="E68" i="48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N52" i="48" s="1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AC51" i="48" s="1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AD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P48" i="48" s="1"/>
  <c r="J48" i="48"/>
  <c r="M48" i="48" s="1"/>
  <c r="G48" i="48"/>
  <c r="F48" i="48"/>
  <c r="E48" i="48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V46" i="48" s="1"/>
  <c r="O46" i="48"/>
  <c r="L46" i="48"/>
  <c r="AP46" i="48" s="1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J44" i="48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O43" i="48"/>
  <c r="L43" i="48"/>
  <c r="K43" i="48"/>
  <c r="P43" i="48" s="1"/>
  <c r="J43" i="48"/>
  <c r="M43" i="48" s="1"/>
  <c r="G43" i="48"/>
  <c r="F43" i="48"/>
  <c r="E43" i="48"/>
  <c r="H43" i="48" s="1"/>
  <c r="I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AM40" i="48"/>
  <c r="AJ40" i="48"/>
  <c r="AI40" i="48"/>
  <c r="AH40" i="48"/>
  <c r="AK40" i="48" s="1"/>
  <c r="AE40" i="48"/>
  <c r="AB40" i="48"/>
  <c r="AA40" i="48"/>
  <c r="AF40" i="48" s="1"/>
  <c r="Z40" i="48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U39" i="48" s="1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L38" i="48" s="1"/>
  <c r="AE38" i="48"/>
  <c r="AB38" i="48"/>
  <c r="AA38" i="48"/>
  <c r="AF38" i="48" s="1"/>
  <c r="AG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E24" i="48"/>
  <c r="AB24" i="48"/>
  <c r="AA24" i="48"/>
  <c r="AF24" i="48" s="1"/>
  <c r="Z24" i="48"/>
  <c r="AC24" i="48" s="1"/>
  <c r="W24" i="48"/>
  <c r="T24" i="48"/>
  <c r="S24" i="48"/>
  <c r="X24" i="48" s="1"/>
  <c r="R24" i="48"/>
  <c r="U24" i="48" s="1"/>
  <c r="O24" i="48"/>
  <c r="L24" i="48"/>
  <c r="K24" i="48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H12" i="48"/>
  <c r="AK12" i="48" s="1"/>
  <c r="AE12" i="48"/>
  <c r="AB12" i="48"/>
  <c r="AA12" i="48"/>
  <c r="AF12" i="48" s="1"/>
  <c r="Z12" i="48"/>
  <c r="W12" i="48"/>
  <c r="T12" i="48"/>
  <c r="S12" i="48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V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J9" i="48"/>
  <c r="M9" i="48" s="1"/>
  <c r="G9" i="48"/>
  <c r="F9" i="48"/>
  <c r="E9" i="48"/>
  <c r="H9" i="48" s="1"/>
  <c r="AM8" i="48"/>
  <c r="AJ8" i="48"/>
  <c r="AI8" i="48"/>
  <c r="AN8" i="48" s="1"/>
  <c r="AH8" i="48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W7" i="48"/>
  <c r="T7" i="48"/>
  <c r="S7" i="48"/>
  <c r="X7" i="48" s="1"/>
  <c r="R7" i="48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X68" i="48"/>
  <c r="H68" i="48"/>
  <c r="M67" i="48"/>
  <c r="AF65" i="48"/>
  <c r="AK64" i="48"/>
  <c r="P64" i="48"/>
  <c r="H61" i="48"/>
  <c r="X60" i="48"/>
  <c r="M59" i="48"/>
  <c r="AF52" i="48"/>
  <c r="U52" i="48"/>
  <c r="H48" i="48"/>
  <c r="AC47" i="48"/>
  <c r="AN45" i="48"/>
  <c r="P44" i="48"/>
  <c r="M44" i="48"/>
  <c r="U43" i="48"/>
  <c r="H41" i="48"/>
  <c r="AN40" i="48"/>
  <c r="AC40" i="48"/>
  <c r="AF36" i="48"/>
  <c r="AN30" i="48"/>
  <c r="AN29" i="48"/>
  <c r="P25" i="48"/>
  <c r="AK24" i="48"/>
  <c r="P24" i="48"/>
  <c r="X21" i="48"/>
  <c r="H18" i="48"/>
  <c r="U16" i="48"/>
  <c r="AN12" i="48"/>
  <c r="AC12" i="48"/>
  <c r="X12" i="48"/>
  <c r="P9" i="48"/>
  <c r="AK8" i="48"/>
  <c r="AC7" i="48"/>
  <c r="U7" i="48"/>
  <c r="AP35" i="48" l="1"/>
  <c r="AS40" i="48"/>
  <c r="AS60" i="48"/>
  <c r="AP45" i="48"/>
  <c r="N9" i="48"/>
  <c r="V61" i="48"/>
  <c r="AP37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R37" i="48" s="1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AR45" i="48" s="1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U10" i="48" s="1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U40" i="48" s="1"/>
  <c r="AT17" i="48"/>
  <c r="AO27" i="48"/>
  <c r="AQ30" i="48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AR25" i="48" s="1"/>
  <c r="N25" i="48"/>
  <c r="I35" i="48"/>
  <c r="H53" i="48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U18" i="48" s="1"/>
  <c r="AS21" i="48"/>
  <c r="Q21" i="48"/>
  <c r="AK53" i="48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AR35" i="48" s="1"/>
  <c r="M53" i="48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U60" i="48" s="1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U66" i="48" s="1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30" i="48" l="1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AS71" i="48"/>
  <c r="AD53" i="48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H75" i="48"/>
  <c r="H76" i="48"/>
  <c r="U77" i="48"/>
  <c r="AF76" i="48"/>
  <c r="AF75" i="48"/>
  <c r="M76" i="48"/>
  <c r="M75" i="48"/>
  <c r="AQ71" i="48"/>
  <c r="AP53" i="48"/>
  <c r="X75" i="48"/>
  <c r="X76" i="48"/>
  <c r="N31" i="48"/>
  <c r="AT53" i="48"/>
  <c r="AT74" i="48" s="1"/>
  <c r="AL53" i="48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R16" i="48"/>
  <c r="U75" i="48"/>
  <c r="U76" i="48"/>
  <c r="I53" i="48"/>
  <c r="AU71" i="48" l="1"/>
  <c r="AS77" i="48"/>
  <c r="AU31" i="48"/>
  <c r="AR31" i="48"/>
  <c r="AU53" i="48"/>
  <c r="AU74" i="48" s="1"/>
  <c r="AR53" i="48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I65" i="26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O65" i="26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D33" i="40" s="1"/>
  <c r="C32" i="40"/>
  <c r="D32" i="40" s="1"/>
  <c r="C31" i="40"/>
  <c r="D31" i="40" s="1"/>
  <c r="C29" i="40"/>
  <c r="D29" i="40" s="1"/>
  <c r="G75" i="43" l="1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3" i="24"/>
  <c r="G82" i="24"/>
  <c r="G81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3" i="24"/>
  <c r="E82" i="24"/>
  <c r="E81" i="24"/>
  <c r="E79" i="24"/>
  <c r="E78" i="24"/>
  <c r="E77" i="24"/>
  <c r="E76" i="24"/>
  <c r="E75" i="24"/>
  <c r="E74" i="24"/>
  <c r="E73" i="24"/>
  <c r="E70" i="24"/>
  <c r="E58" i="24"/>
  <c r="E50" i="24"/>
  <c r="E36" i="24"/>
  <c r="E29" i="24"/>
  <c r="E22" i="24"/>
  <c r="E14" i="24"/>
  <c r="Z33" i="9" l="1"/>
  <c r="F50" i="24"/>
  <c r="F29" i="24"/>
  <c r="F36" i="24"/>
  <c r="F22" i="24"/>
  <c r="F58" i="24"/>
  <c r="G58" i="44" l="1"/>
  <c r="Z58" i="44" s="1"/>
  <c r="G57" i="44"/>
  <c r="Z57" i="44" s="1"/>
  <c r="G56" i="44"/>
  <c r="Z56" i="44" s="1"/>
  <c r="AA58" i="44" s="1"/>
  <c r="G55" i="44"/>
  <c r="Z55" i="44" s="1"/>
  <c r="G54" i="44"/>
  <c r="Z54" i="44" s="1"/>
  <c r="G53" i="44"/>
  <c r="Z53" i="44" s="1"/>
  <c r="G52" i="44"/>
  <c r="Z52" i="44" s="1"/>
  <c r="G51" i="44"/>
  <c r="Z51" i="44" s="1"/>
  <c r="G50" i="44"/>
  <c r="Z50" i="44" s="1"/>
  <c r="G49" i="44"/>
  <c r="Z49" i="44" s="1"/>
  <c r="G48" i="44"/>
  <c r="Z48" i="44" s="1"/>
  <c r="G47" i="44"/>
  <c r="Z47" i="44" s="1"/>
  <c r="AA46" i="44"/>
  <c r="G46" i="44"/>
  <c r="Z46" i="44" s="1"/>
  <c r="G45" i="44"/>
  <c r="Z45" i="44" s="1"/>
  <c r="AA45" i="44" s="1"/>
  <c r="G44" i="44"/>
  <c r="Z44" i="44" s="1"/>
  <c r="G43" i="44"/>
  <c r="Z43" i="44" s="1"/>
  <c r="G42" i="44"/>
  <c r="Z42" i="44" s="1"/>
  <c r="AA42" i="44" s="1"/>
  <c r="G41" i="44"/>
  <c r="Z41" i="44" s="1"/>
  <c r="G40" i="44"/>
  <c r="Z40" i="44" s="1"/>
  <c r="AA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AA53" i="43"/>
  <c r="G53" i="43"/>
  <c r="Z53" i="43" s="1"/>
  <c r="AA52" i="43"/>
  <c r="G52" i="43"/>
  <c r="Z52" i="43" s="1"/>
  <c r="AA51" i="43"/>
  <c r="G51" i="43"/>
  <c r="Z51" i="43" s="1"/>
  <c r="AA50" i="43"/>
  <c r="G50" i="43"/>
  <c r="Z50" i="43" s="1"/>
  <c r="AA49" i="43"/>
  <c r="G49" i="43"/>
  <c r="Z49" i="43" s="1"/>
  <c r="G48" i="43"/>
  <c r="Z48" i="43" s="1"/>
  <c r="AA48" i="43" s="1"/>
  <c r="G47" i="43"/>
  <c r="Z47" i="43" s="1"/>
  <c r="AA47" i="43" s="1"/>
  <c r="AA50" i="44" l="1"/>
  <c r="AA56" i="44"/>
  <c r="AA49" i="44"/>
  <c r="AA57" i="44"/>
  <c r="AA54" i="44"/>
  <c r="AA51" i="44"/>
  <c r="AA55" i="44"/>
  <c r="AA47" i="44"/>
  <c r="AA52" i="44"/>
  <c r="AA48" i="44"/>
  <c r="AA53" i="44"/>
  <c r="AA44" i="44"/>
  <c r="AA38" i="44"/>
  <c r="AA43" i="44"/>
  <c r="AA41" i="44"/>
  <c r="AA37" i="44"/>
  <c r="AA39" i="44"/>
  <c r="C25" i="40"/>
  <c r="D25" i="40" s="1"/>
  <c r="C24" i="40"/>
  <c r="D24" i="40" s="1"/>
  <c r="I59" i="26" l="1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X54" i="10"/>
  <c r="AM54" i="48" s="1"/>
  <c r="W54" i="10"/>
  <c r="AJ54" i="48" s="1"/>
  <c r="V54" i="10"/>
  <c r="AI54" i="48" s="1"/>
  <c r="AN54" i="48" s="1"/>
  <c r="U54" i="10"/>
  <c r="AH54" i="48" s="1"/>
  <c r="AK54" i="48" s="1"/>
  <c r="T54" i="10"/>
  <c r="AE54" i="48" s="1"/>
  <c r="S54" i="10"/>
  <c r="AB54" i="48" s="1"/>
  <c r="R54" i="10"/>
  <c r="AA54" i="48" s="1"/>
  <c r="AF54" i="48" s="1"/>
  <c r="Q54" i="10"/>
  <c r="Z54" i="48" s="1"/>
  <c r="AC54" i="48" s="1"/>
  <c r="P54" i="10"/>
  <c r="W54" i="48" s="1"/>
  <c r="O54" i="10"/>
  <c r="T54" i="48" s="1"/>
  <c r="N54" i="10"/>
  <c r="S54" i="48" s="1"/>
  <c r="X54" i="48" s="1"/>
  <c r="M54" i="10"/>
  <c r="R54" i="48" s="1"/>
  <c r="U54" i="48" s="1"/>
  <c r="L54" i="10"/>
  <c r="O54" i="48" s="1"/>
  <c r="K54" i="10"/>
  <c r="L54" i="48" s="1"/>
  <c r="J54" i="10"/>
  <c r="K54" i="48" s="1"/>
  <c r="P54" i="48" s="1"/>
  <c r="I54" i="10"/>
  <c r="J54" i="48" s="1"/>
  <c r="M54" i="48" s="1"/>
  <c r="H54" i="10"/>
  <c r="G54" i="10"/>
  <c r="G54" i="48" s="1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L53" i="10"/>
  <c r="O53" i="48" s="1"/>
  <c r="O74" i="48" s="1"/>
  <c r="K53" i="10"/>
  <c r="L53" i="48" s="1"/>
  <c r="J53" i="10"/>
  <c r="K53" i="48" s="1"/>
  <c r="K74" i="48" s="1"/>
  <c r="I53" i="10"/>
  <c r="J53" i="48" s="1"/>
  <c r="H53" i="10"/>
  <c r="G53" i="10"/>
  <c r="G53" i="48" s="1"/>
  <c r="F53" i="10"/>
  <c r="F53" i="48" s="1"/>
  <c r="F74" i="48" s="1"/>
  <c r="E53" i="10"/>
  <c r="E53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N2" i="30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P54" i="48"/>
  <c r="V54" i="48"/>
  <c r="AL54" i="48"/>
  <c r="AQ54" i="48"/>
  <c r="AJ53" i="48"/>
  <c r="AT54" i="48"/>
  <c r="T53" i="48"/>
  <c r="N54" i="48"/>
  <c r="C54" i="10"/>
  <c r="C54" i="48" s="1"/>
  <c r="C4" i="3"/>
  <c r="C9" i="2"/>
  <c r="E28" i="3" s="1"/>
  <c r="E3" i="2"/>
  <c r="K62" i="26"/>
  <c r="L62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AA36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AA44" i="43" s="1"/>
  <c r="G45" i="43"/>
  <c r="Z45" i="43" s="1"/>
  <c r="AA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30" i="44" l="1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16" i="44" l="1"/>
  <c r="AA22" i="43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H25" i="13"/>
  <c r="E25" i="13"/>
  <c r="F25" i="13"/>
  <c r="D25" i="13"/>
  <c r="J25" i="13"/>
  <c r="I25" i="13"/>
  <c r="D49" i="13"/>
  <c r="E49" i="13"/>
  <c r="F49" i="13"/>
  <c r="G49" i="13"/>
  <c r="H49" i="13"/>
  <c r="I49" i="13"/>
  <c r="C16" i="21" l="1"/>
  <c r="C12" i="21" s="1"/>
  <c r="G3" i="13" l="1"/>
  <c r="I28" i="13" l="1"/>
  <c r="C28" i="13"/>
  <c r="J4" i="13"/>
  <c r="C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M49" i="26" s="1"/>
  <c r="T22" i="9"/>
  <c r="S22" i="9"/>
  <c r="L49" i="26" s="1"/>
  <c r="R22" i="9"/>
  <c r="Q22" i="9"/>
  <c r="P22" i="9"/>
  <c r="O22" i="9"/>
  <c r="N22" i="9"/>
  <c r="M22" i="9"/>
  <c r="J49" i="26" s="1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K49" i="26" l="1"/>
  <c r="K9" i="26" s="1"/>
  <c r="N49" i="26"/>
  <c r="I35" i="9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3" i="26" s="1"/>
  <c r="Q75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3" i="26" s="1"/>
  <c r="AD16" i="40"/>
  <c r="O8" i="40"/>
  <c r="E73" i="26" s="1"/>
  <c r="E75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3" i="26" s="1"/>
  <c r="G75" i="26" s="1"/>
  <c r="R8" i="40"/>
  <c r="H73" i="26" s="1"/>
  <c r="H75" i="26" s="1"/>
  <c r="P8" i="40"/>
  <c r="F73" i="26" s="1"/>
  <c r="F75" i="26" s="1"/>
  <c r="N8" i="40"/>
  <c r="D73" i="26" s="1"/>
  <c r="D75" i="26" s="1"/>
  <c r="S9" i="40"/>
  <c r="S8" i="40" s="1"/>
  <c r="D11" i="40"/>
  <c r="C9" i="40"/>
  <c r="G8" i="40"/>
  <c r="S73" i="26" l="1"/>
  <c r="S75" i="26" s="1"/>
  <c r="AG11" i="40"/>
  <c r="R73" i="26"/>
  <c r="R75" i="26" s="1"/>
  <c r="AF11" i="40"/>
  <c r="T73" i="26"/>
  <c r="T75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O42" i="24"/>
  <c r="O41" i="24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N41" i="24" l="1"/>
  <c r="N42" i="24"/>
  <c r="O82" i="24"/>
  <c r="C82" i="24" s="1"/>
  <c r="C18" i="9" s="1"/>
  <c r="R85" i="24"/>
  <c r="S85" i="24"/>
  <c r="T85" i="24"/>
  <c r="U85" i="24"/>
  <c r="W85" i="24"/>
  <c r="V85" i="24"/>
  <c r="X85" i="24"/>
  <c r="Y85" i="24"/>
  <c r="P85" i="24"/>
  <c r="Q85" i="24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O74" i="24"/>
  <c r="O14" i="24"/>
  <c r="C14" i="24" s="1"/>
  <c r="C25" i="9" s="1"/>
  <c r="C9" i="24"/>
  <c r="C12" i="24"/>
  <c r="O22" i="24"/>
  <c r="C22" i="24" s="1"/>
  <c r="C26" i="9" s="1"/>
  <c r="C24" i="24"/>
  <c r="O43" i="24"/>
  <c r="O83" i="24"/>
  <c r="C83" i="24" s="1"/>
  <c r="C19" i="9" s="1"/>
  <c r="C12" i="9"/>
  <c r="O84" i="24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M42" i="24" l="1"/>
  <c r="N84" i="24"/>
  <c r="M41" i="24"/>
  <c r="N80" i="24"/>
  <c r="N85" i="24" s="1"/>
  <c r="N43" i="24"/>
  <c r="AC13" i="10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7" i="10"/>
  <c r="AD17" i="10" s="1"/>
  <c r="AV17" i="48"/>
  <c r="AC35" i="10"/>
  <c r="AD35" i="10" s="1"/>
  <c r="AV35" i="48"/>
  <c r="C74" i="24"/>
  <c r="C13" i="9" s="1"/>
  <c r="AV15" i="48" s="1"/>
  <c r="O85" i="24"/>
  <c r="L41" i="24" l="1"/>
  <c r="M80" i="24"/>
  <c r="M43" i="24"/>
  <c r="L42" i="24"/>
  <c r="M84" i="24"/>
  <c r="AC15" i="10"/>
  <c r="AD15" i="10" s="1"/>
  <c r="K42" i="24" l="1"/>
  <c r="L84" i="24"/>
  <c r="M85" i="24"/>
  <c r="K41" i="24"/>
  <c r="L80" i="24"/>
  <c r="L43" i="24"/>
  <c r="B3" i="42"/>
  <c r="L85" i="24" l="1"/>
  <c r="J41" i="24"/>
  <c r="K80" i="24"/>
  <c r="K43" i="24"/>
  <c r="J42" i="24"/>
  <c r="K84" i="24"/>
  <c r="B2" i="21"/>
  <c r="K85" i="24" l="1"/>
  <c r="I42" i="24"/>
  <c r="J84" i="24"/>
  <c r="C84" i="24" s="1"/>
  <c r="C20" i="9" s="1"/>
  <c r="C42" i="24"/>
  <c r="I41" i="24"/>
  <c r="J80" i="24"/>
  <c r="J43" i="24"/>
  <c r="C43" i="24" s="1"/>
  <c r="C29" i="9" s="1"/>
  <c r="C41" i="24"/>
  <c r="A2" i="42"/>
  <c r="I2" i="20"/>
  <c r="C2" i="21" s="1"/>
  <c r="V3" i="40"/>
  <c r="F3" i="35"/>
  <c r="U3" i="10"/>
  <c r="T3" i="9"/>
  <c r="T3" i="24"/>
  <c r="C3" i="6"/>
  <c r="C3" i="3"/>
  <c r="D3" i="2"/>
  <c r="B2" i="20"/>
  <c r="B2" i="30"/>
  <c r="B3" i="40"/>
  <c r="B3" i="35"/>
  <c r="B3" i="10"/>
  <c r="B3" i="9"/>
  <c r="B3" i="24"/>
  <c r="B3" i="6"/>
  <c r="B3" i="3"/>
  <c r="B3" i="2"/>
  <c r="J85" i="24" l="1"/>
  <c r="C85" i="24" s="1"/>
  <c r="C80" i="24"/>
  <c r="C11" i="9" s="1"/>
  <c r="C35" i="9"/>
  <c r="AC43" i="10"/>
  <c r="AD43" i="10" s="1"/>
  <c r="AV43" i="48"/>
  <c r="H41" i="24"/>
  <c r="I43" i="24"/>
  <c r="I80" i="24"/>
  <c r="I85" i="24" s="1"/>
  <c r="AC29" i="10"/>
  <c r="AD29" i="10" s="1"/>
  <c r="AV29" i="48"/>
  <c r="H42" i="24"/>
  <c r="I84" i="24"/>
  <c r="W80" i="10"/>
  <c r="S80" i="10"/>
  <c r="O80" i="10"/>
  <c r="G41" i="24" l="1"/>
  <c r="H43" i="24"/>
  <c r="H80" i="24"/>
  <c r="G42" i="24"/>
  <c r="H84" i="24"/>
  <c r="D31" i="9"/>
  <c r="D26" i="9"/>
  <c r="D29" i="9"/>
  <c r="D27" i="9"/>
  <c r="D25" i="9"/>
  <c r="D30" i="9"/>
  <c r="D28" i="9"/>
  <c r="D32" i="9"/>
  <c r="D33" i="9"/>
  <c r="AC53" i="10"/>
  <c r="D35" i="9"/>
  <c r="AV53" i="48"/>
  <c r="AV11" i="48"/>
  <c r="AC11" i="10"/>
  <c r="AD11" i="10" s="1"/>
  <c r="C22" i="9"/>
  <c r="AA8" i="40"/>
  <c r="AV71" i="48"/>
  <c r="AV31" i="48"/>
  <c r="AC31" i="10"/>
  <c r="B15" i="42"/>
  <c r="AC71" i="10"/>
  <c r="O7" i="42"/>
  <c r="D19" i="9" l="1"/>
  <c r="D18" i="9"/>
  <c r="D14" i="9"/>
  <c r="D9" i="9"/>
  <c r="D20" i="9"/>
  <c r="D13" i="9"/>
  <c r="D17" i="9"/>
  <c r="D16" i="9"/>
  <c r="D15" i="9"/>
  <c r="D12" i="9"/>
  <c r="D10" i="9"/>
  <c r="D22" i="9"/>
  <c r="D11" i="9"/>
  <c r="G84" i="24"/>
  <c r="F42" i="24"/>
  <c r="H85" i="24"/>
  <c r="G43" i="24"/>
  <c r="F43" i="24" s="1"/>
  <c r="F41" i="24"/>
  <c r="G80" i="24"/>
  <c r="P71" i="10"/>
  <c r="K71" i="10"/>
  <c r="E42" i="24" l="1"/>
  <c r="F84" i="24"/>
  <c r="G85" i="24"/>
  <c r="E41" i="24"/>
  <c r="F80" i="24"/>
  <c r="F85" i="24" s="1"/>
  <c r="L71" i="48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D41" i="24" l="1"/>
  <c r="E80" i="24"/>
  <c r="E43" i="24"/>
  <c r="D42" i="24"/>
  <c r="D84" i="24" s="1"/>
  <c r="E84" i="24"/>
  <c r="W81" i="48"/>
  <c r="L81" i="48"/>
  <c r="B18" i="42"/>
  <c r="B21" i="42"/>
  <c r="L9" i="35"/>
  <c r="E85" i="24" l="1"/>
  <c r="E93" i="24" s="1"/>
  <c r="D43" i="24"/>
  <c r="D80" i="24"/>
  <c r="D85" i="24" s="1"/>
  <c r="D93" i="24" s="1"/>
  <c r="K9" i="35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7" i="2"/>
  <c r="E18" i="3" s="1"/>
  <c r="C6" i="2"/>
  <c r="E17" i="3" s="1"/>
  <c r="E69" i="3" l="1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B26" i="42" s="1"/>
  <c r="K80" i="10"/>
  <c r="I80" i="10"/>
  <c r="E80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Z71" i="10"/>
  <c r="AS80" i="48" s="1"/>
  <c r="AS81" i="48" s="1"/>
  <c r="D71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D81" i="48" s="1"/>
  <c r="E77" i="48"/>
  <c r="AJ77" i="48"/>
  <c r="AA77" i="48"/>
  <c r="C71" i="48"/>
  <c r="C80" i="48"/>
  <c r="C81" i="48" l="1"/>
  <c r="I54" i="26"/>
  <c r="O64" i="26" l="1"/>
  <c r="I64" i="26"/>
  <c r="O63" i="26" l="1"/>
  <c r="I9" i="30" l="1"/>
  <c r="J9" i="30" s="1"/>
  <c r="C9" i="30"/>
  <c r="D9" i="30" s="1"/>
  <c r="E52" i="35" l="1"/>
  <c r="C15" i="30" l="1"/>
  <c r="D15" i="30" s="1"/>
  <c r="C14" i="30"/>
  <c r="D14" i="30" s="1"/>
  <c r="C13" i="30"/>
  <c r="D13" i="30" s="1"/>
  <c r="C12" i="30"/>
  <c r="D12" i="30" s="1"/>
  <c r="C11" i="30"/>
  <c r="D11" i="30" s="1"/>
  <c r="C10" i="30"/>
  <c r="D10" i="30" s="1"/>
  <c r="I15" i="30"/>
  <c r="J15" i="30" s="1"/>
  <c r="I14" i="30"/>
  <c r="J14" i="30" s="1"/>
  <c r="I13" i="30"/>
  <c r="J13" i="30" s="1"/>
  <c r="I12" i="30"/>
  <c r="J12" i="30" s="1"/>
  <c r="I11" i="30"/>
  <c r="J11" i="30" s="1"/>
  <c r="I10" i="30"/>
  <c r="J10" i="30" s="1"/>
  <c r="I8" i="30"/>
  <c r="J8" i="30" s="1"/>
  <c r="C8" i="30"/>
  <c r="D8" i="30" s="1"/>
  <c r="C44" i="35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AA31" i="40" s="1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AA32" i="40" l="1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K72" i="10" s="1"/>
  <c r="L83" i="48" l="1"/>
  <c r="L72" i="48"/>
  <c r="I33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L84" i="48" l="1"/>
  <c r="L74" i="48"/>
  <c r="Y54" i="10"/>
  <c r="Z54" i="10"/>
  <c r="I60" i="26"/>
  <c r="I58" i="26"/>
  <c r="I57" i="26"/>
  <c r="I56" i="26"/>
  <c r="I55" i="26"/>
  <c r="I53" i="26"/>
  <c r="I52" i="26"/>
  <c r="I51" i="26"/>
  <c r="I50" i="26"/>
  <c r="I49" i="26"/>
  <c r="I48" i="26"/>
  <c r="I47" i="26"/>
  <c r="I46" i="26"/>
  <c r="I45" i="26"/>
  <c r="I44" i="26"/>
  <c r="I43" i="26"/>
  <c r="I42" i="26"/>
  <c r="I41" i="26"/>
  <c r="I40" i="26"/>
  <c r="I39" i="26"/>
  <c r="I38" i="26"/>
  <c r="I37" i="26"/>
  <c r="I36" i="26"/>
  <c r="I35" i="26"/>
  <c r="I34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1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C16" i="30"/>
  <c r="AC27" i="40" l="1"/>
  <c r="AC36" i="40"/>
  <c r="AC28" i="40"/>
  <c r="D28" i="35"/>
  <c r="AA28" i="40"/>
  <c r="AA27" i="40"/>
  <c r="AA36" i="40"/>
  <c r="AB27" i="40"/>
  <c r="AB28" i="40"/>
  <c r="AB36" i="40"/>
  <c r="C25" i="30"/>
  <c r="C26" i="30" s="1"/>
  <c r="F28" i="35"/>
  <c r="L8" i="35"/>
  <c r="L10" i="35" s="1"/>
  <c r="J8" i="35"/>
  <c r="J10" i="35" s="1"/>
  <c r="K8" i="35"/>
  <c r="K10" i="35" s="1"/>
  <c r="G55" i="35"/>
  <c r="D16" i="30"/>
  <c r="C55" i="35"/>
  <c r="G51" i="35"/>
  <c r="H28" i="35"/>
  <c r="G59" i="35"/>
  <c r="E51" i="35"/>
  <c r="C59" i="35"/>
  <c r="C51" i="35"/>
  <c r="H62" i="26"/>
  <c r="U72" i="10" s="1"/>
  <c r="G62" i="26"/>
  <c r="Q72" i="10" s="1"/>
  <c r="F62" i="26"/>
  <c r="M72" i="10" s="1"/>
  <c r="E62" i="26"/>
  <c r="I72" i="10" s="1"/>
  <c r="D62" i="26"/>
  <c r="E72" i="10" s="1"/>
  <c r="J62" i="26"/>
  <c r="M62" i="26"/>
  <c r="N62" i="26"/>
  <c r="C62" i="26"/>
  <c r="I63" i="26"/>
  <c r="E83" i="48" l="1"/>
  <c r="E72" i="48"/>
  <c r="J83" i="48"/>
  <c r="J72" i="48"/>
  <c r="R83" i="48"/>
  <c r="R72" i="48"/>
  <c r="M74" i="10"/>
  <c r="R86" i="48" s="1"/>
  <c r="Z83" i="48"/>
  <c r="Z84" i="48" s="1"/>
  <c r="Z72" i="48"/>
  <c r="Q74" i="10"/>
  <c r="Z86" i="48" s="1"/>
  <c r="AH83" i="48"/>
  <c r="AH84" i="48" s="1"/>
  <c r="AH72" i="48"/>
  <c r="U74" i="10"/>
  <c r="AH86" i="48" s="1"/>
  <c r="I62" i="26"/>
  <c r="Z34" i="9"/>
  <c r="Z24" i="9"/>
  <c r="Z23" i="9"/>
  <c r="J84" i="48" l="1"/>
  <c r="U72" i="48"/>
  <c r="R74" i="48"/>
  <c r="R87" i="48" s="1"/>
  <c r="R84" i="48"/>
  <c r="AK72" i="48"/>
  <c r="AH74" i="48"/>
  <c r="AH87" i="48" s="1"/>
  <c r="M72" i="48"/>
  <c r="J74" i="48"/>
  <c r="H72" i="48"/>
  <c r="E74" i="48"/>
  <c r="AC72" i="48"/>
  <c r="Z74" i="48"/>
  <c r="Z87" i="48" s="1"/>
  <c r="E84" i="48"/>
  <c r="C7" i="10"/>
  <c r="AC74" i="48" l="1"/>
  <c r="AK74" i="48"/>
  <c r="N72" i="48"/>
  <c r="N74" i="48" s="1"/>
  <c r="AQ72" i="48"/>
  <c r="M74" i="48"/>
  <c r="H74" i="48"/>
  <c r="U74" i="48"/>
  <c r="C7" i="48"/>
  <c r="AD7" i="10"/>
  <c r="M16" i="30"/>
  <c r="M28" i="30" s="1"/>
  <c r="K16" i="30"/>
  <c r="L16" i="30" s="1"/>
  <c r="I16" i="30"/>
  <c r="G16" i="30"/>
  <c r="E16" i="30"/>
  <c r="F16" i="30" s="1"/>
  <c r="AQ74" i="48" l="1"/>
  <c r="K28" i="30"/>
  <c r="I28" i="30"/>
  <c r="G25" i="30"/>
  <c r="G26" i="30" s="1"/>
  <c r="E25" i="30"/>
  <c r="E26" i="30" s="1"/>
  <c r="N16" i="30"/>
  <c r="H16" i="30"/>
  <c r="J16" i="30"/>
  <c r="N9" i="26"/>
  <c r="M9" i="26"/>
  <c r="L9" i="26"/>
  <c r="J9" i="26"/>
  <c r="K2" i="30" l="1"/>
  <c r="C26" i="2" l="1"/>
  <c r="T62" i="26" l="1"/>
  <c r="W72" i="10" s="1"/>
  <c r="S62" i="26"/>
  <c r="S72" i="10" s="1"/>
  <c r="R62" i="26"/>
  <c r="O72" i="10" s="1"/>
  <c r="P62" i="26"/>
  <c r="G72" i="10" s="1"/>
  <c r="O62" i="26"/>
  <c r="T83" i="48" l="1"/>
  <c r="T72" i="48"/>
  <c r="AB83" i="48"/>
  <c r="AB72" i="48"/>
  <c r="G83" i="48"/>
  <c r="G72" i="48"/>
  <c r="AJ83" i="48"/>
  <c r="AJ72" i="48"/>
  <c r="X32" i="10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AD10" i="40" s="1"/>
  <c r="AD11" i="40" s="1"/>
  <c r="F31" i="10"/>
  <c r="F31" i="48" s="1"/>
  <c r="E31" i="10"/>
  <c r="AD8" i="40" s="1"/>
  <c r="AD9" i="40" s="1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T32" i="48" l="1"/>
  <c r="AJ84" i="48"/>
  <c r="AJ74" i="48"/>
  <c r="AL72" i="48"/>
  <c r="AL74" i="48" s="1"/>
  <c r="G84" i="48"/>
  <c r="G74" i="48"/>
  <c r="I72" i="48"/>
  <c r="I74" i="48" s="1"/>
  <c r="AB84" i="48"/>
  <c r="AB74" i="48"/>
  <c r="AD72" i="48"/>
  <c r="AD74" i="48" s="1"/>
  <c r="T84" i="48"/>
  <c r="T74" i="48"/>
  <c r="AP72" i="48"/>
  <c r="V72" i="48"/>
  <c r="V74" i="48" s="1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Z75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AP74" i="48" l="1"/>
  <c r="AR72" i="48"/>
  <c r="AR74" i="48" s="1"/>
  <c r="R75" i="48"/>
  <c r="AH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Z22" i="9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E42" i="3" s="1"/>
  <c r="C22" i="2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86" i="48" l="1"/>
  <c r="AP87" i="48" s="1"/>
  <c r="B27" i="42"/>
  <c r="B23" i="42"/>
  <c r="C34" i="2"/>
  <c r="C54" i="2" s="1"/>
  <c r="C70" i="2" s="1"/>
  <c r="B17" i="42" s="1"/>
  <c r="B16" i="42" s="1"/>
  <c r="E46" i="41"/>
  <c r="C45" i="41"/>
  <c r="C44" i="41"/>
  <c r="D52" i="41"/>
  <c r="B24" i="42" l="1"/>
  <c r="B22" i="42" s="1"/>
  <c r="B25" i="42"/>
  <c r="C46" i="41"/>
  <c r="C43" i="41" s="1"/>
  <c r="C35" i="41" s="1"/>
  <c r="C40" i="41" s="1"/>
  <c r="K44" i="20" l="1"/>
  <c r="C51" i="41"/>
  <c r="F14" i="24" l="1"/>
  <c r="Q9" i="26" l="1"/>
  <c r="K81" i="10" s="1"/>
  <c r="K83" i="10" l="1"/>
  <c r="Y81" i="10"/>
  <c r="Y83" i="10" s="1"/>
  <c r="D9" i="26" l="1"/>
  <c r="D73" i="2" l="1"/>
  <c r="D77" i="2" s="1"/>
  <c r="E73" i="2"/>
  <c r="E77" i="2" s="1"/>
  <c r="C71" i="2"/>
  <c r="C73" i="2" s="1"/>
  <c r="C77" i="2" s="1"/>
  <c r="C8" i="6" l="1"/>
  <c r="B20" i="42"/>
  <c r="B19" i="42" s="1"/>
  <c r="C14" i="6" l="1"/>
  <c r="Q9" i="30" l="1"/>
  <c r="E8" i="6" l="1"/>
  <c r="C93" i="24" l="1"/>
  <c r="Q14" i="30" l="1"/>
  <c r="Q11" i="30"/>
  <c r="M29" i="30" l="1"/>
  <c r="Q15" i="30"/>
  <c r="Q12" i="30"/>
  <c r="Q10" i="30" l="1"/>
  <c r="Q13" i="30"/>
  <c r="B32" i="42" l="1"/>
  <c r="B29" i="42" s="1"/>
  <c r="E14" i="6" l="1"/>
  <c r="B12" i="42" l="1"/>
  <c r="B10" i="42" s="1"/>
  <c r="B39" i="42"/>
  <c r="K27" i="30"/>
  <c r="K29" i="30" s="1"/>
  <c r="I29" i="30"/>
  <c r="Q8" i="30" l="1"/>
  <c r="B31" i="42" l="1"/>
  <c r="Q16" i="30"/>
  <c r="B37" i="42" l="1"/>
  <c r="K23" i="20" l="1"/>
  <c r="K20" i="20" l="1"/>
  <c r="B30" i="42" l="1"/>
  <c r="B28" i="42" s="1"/>
  <c r="B34" i="42"/>
  <c r="K16" i="20" l="1"/>
  <c r="K21" i="20" l="1"/>
  <c r="K22" i="20"/>
  <c r="K19" i="20"/>
  <c r="K18" i="20" l="1"/>
  <c r="O54" i="26" l="1"/>
  <c r="C54" i="26" s="1"/>
  <c r="O53" i="26"/>
  <c r="C53" i="26"/>
  <c r="O49" i="26"/>
  <c r="C49" i="26" s="1"/>
  <c r="O12" i="26"/>
  <c r="C12" i="26" s="1"/>
  <c r="G80" i="10"/>
  <c r="G82" i="10" s="1"/>
  <c r="O20" i="26"/>
  <c r="C20" i="26" s="1"/>
  <c r="O51" i="26"/>
  <c r="C51" i="26" s="1"/>
  <c r="O35" i="26"/>
  <c r="C35" i="26" s="1"/>
  <c r="O39" i="26"/>
  <c r="C39" i="26" s="1"/>
  <c r="O43" i="26"/>
  <c r="C43" i="26" s="1"/>
  <c r="O47" i="26"/>
  <c r="C47" i="26" s="1"/>
  <c r="O57" i="26"/>
  <c r="C57" i="26" s="1"/>
  <c r="O52" i="26"/>
  <c r="C52" i="26"/>
  <c r="O25" i="26"/>
  <c r="C25" i="26" s="1"/>
  <c r="O18" i="26"/>
  <c r="C18" i="26" s="1"/>
  <c r="O36" i="26"/>
  <c r="C36" i="26" s="1"/>
  <c r="O44" i="26"/>
  <c r="C44" i="26" s="1"/>
  <c r="O58" i="26"/>
  <c r="C58" i="26" s="1"/>
  <c r="O21" i="26"/>
  <c r="C21" i="26" s="1"/>
  <c r="O30" i="26"/>
  <c r="C30" i="26"/>
  <c r="O40" i="26"/>
  <c r="C40" i="26" s="1"/>
  <c r="O48" i="26"/>
  <c r="C48" i="26" s="1"/>
  <c r="O13" i="26"/>
  <c r="C13" i="26" s="1"/>
  <c r="O14" i="26"/>
  <c r="C14" i="26" s="1"/>
  <c r="O15" i="26"/>
  <c r="C15" i="26" s="1"/>
  <c r="O23" i="26"/>
  <c r="C23" i="26" s="1"/>
  <c r="O31" i="26"/>
  <c r="C31" i="26" s="1"/>
  <c r="O41" i="26"/>
  <c r="C41" i="26"/>
  <c r="O45" i="26"/>
  <c r="C45" i="26" s="1"/>
  <c r="O55" i="26"/>
  <c r="C55" i="26" s="1"/>
  <c r="O60" i="26"/>
  <c r="C60" i="26" s="1"/>
  <c r="O29" i="26"/>
  <c r="C29" i="26" s="1"/>
  <c r="O26" i="26"/>
  <c r="C26" i="26" s="1"/>
  <c r="O19" i="26"/>
  <c r="C19" i="26" s="1"/>
  <c r="O27" i="26"/>
  <c r="C27" i="26" s="1"/>
  <c r="O37" i="26"/>
  <c r="C37" i="26"/>
  <c r="O50" i="26"/>
  <c r="C50" i="26"/>
  <c r="O17" i="26"/>
  <c r="C17" i="26" s="1"/>
  <c r="O22" i="26"/>
  <c r="C22" i="26" s="1"/>
  <c r="O11" i="26"/>
  <c r="C11" i="26" s="1"/>
  <c r="O24" i="26"/>
  <c r="C24" i="26" s="1"/>
  <c r="O28" i="26"/>
  <c r="C28" i="26" s="1"/>
  <c r="O34" i="26"/>
  <c r="C34" i="26" s="1"/>
  <c r="O38" i="26"/>
  <c r="C38" i="26" s="1"/>
  <c r="O42" i="26"/>
  <c r="C42" i="26" s="1"/>
  <c r="O46" i="26"/>
  <c r="C46" i="26" s="1"/>
  <c r="O56" i="26"/>
  <c r="C56" i="26" s="1"/>
  <c r="O32" i="26"/>
  <c r="C32" i="26" s="1"/>
  <c r="O33" i="26"/>
  <c r="C33" i="26" s="1"/>
  <c r="P9" i="26"/>
  <c r="G81" i="10" s="1"/>
  <c r="G83" i="10" s="1"/>
  <c r="O16" i="26"/>
  <c r="C16" i="26" s="1"/>
  <c r="P74" i="26"/>
  <c r="P75" i="26" s="1"/>
  <c r="O59" i="26"/>
  <c r="C59" i="26" s="1"/>
  <c r="O10" i="26"/>
  <c r="C10" i="26" s="1"/>
  <c r="C9" i="26" l="1"/>
  <c r="O9" i="26"/>
  <c r="I34" i="20" l="1"/>
  <c r="K34" i="20" s="1"/>
  <c r="I29" i="20"/>
  <c r="K29" i="20" s="1"/>
  <c r="I27" i="20"/>
  <c r="K27" i="20" s="1"/>
  <c r="I36" i="20"/>
  <c r="K36" i="20" s="1"/>
  <c r="B8" i="42"/>
  <c r="B7" i="42" s="1"/>
  <c r="I31" i="20"/>
  <c r="K31" i="20" s="1"/>
  <c r="I25" i="20"/>
  <c r="K25" i="20" s="1"/>
  <c r="I41" i="20"/>
  <c r="K41" i="20" s="1"/>
  <c r="I39" i="20"/>
  <c r="K39" i="20" s="1"/>
  <c r="I11" i="20"/>
  <c r="K11" i="20" s="1"/>
  <c r="I13" i="20"/>
  <c r="K13" i="20" s="1"/>
  <c r="I9" i="20"/>
  <c r="K9" i="20" s="1"/>
  <c r="B5" i="42" l="1"/>
  <c r="B4" i="42" s="1"/>
  <c r="I7" i="20" l="1"/>
  <c r="K7" i="20" s="1"/>
</calcChain>
</file>

<file path=xl/sharedStrings.xml><?xml version="1.0" encoding="utf-8"?>
<sst xmlns="http://schemas.openxmlformats.org/spreadsheetml/2006/main" count="2029" uniqueCount="1010">
  <si>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</si>
  <si>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</si>
  <si>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</si>
  <si>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</si>
  <si>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</si>
  <si>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</si>
  <si>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</si>
  <si>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</si>
  <si>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</si>
  <si>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</si>
  <si>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</si>
  <si>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</si>
  <si>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</si>
  <si>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</si>
  <si>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</si>
  <si>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</si>
  <si>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</si>
  <si>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</si>
  <si>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</si>
  <si>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</si>
  <si>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</si>
  <si>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</si>
  <si>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</si>
  <si>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</si>
  <si>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</si>
  <si>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</si>
  <si>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</si>
  <si>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</si>
  <si>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</si>
  <si>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</si>
  <si>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</si>
  <si>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</si>
  <si>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</si>
  <si>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</si>
  <si>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</si>
  <si>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</si>
  <si>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</si>
  <si>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</si>
  <si>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</si>
  <si>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</si>
  <si>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</si>
  <si>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</si>
  <si>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</si>
  <si>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</si>
  <si>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</si>
  <si>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</si>
  <si>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</si>
  <si>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</si>
  <si>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</si>
  <si>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</si>
  <si>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</si>
  <si>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</si>
  <si>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</si>
  <si>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</si>
  <si>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</si>
  <si>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</si>
  <si>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</si>
  <si>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</si>
  <si>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</si>
  <si>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</si>
  <si>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</si>
  <si>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</si>
  <si>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</si>
  <si>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</si>
  <si>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</si>
  <si>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</si>
  <si>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</si>
  <si>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</si>
  <si>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</si>
  <si>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</si>
  <si>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</si>
  <si>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</si>
  <si>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</si>
  <si>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</si>
  <si>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</si>
  <si>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</si>
  <si>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</si>
  <si>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</si>
  <si>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</si>
  <si>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</si>
  <si>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</si>
  <si>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</si>
  <si>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</si>
  <si>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</si>
  <si>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</si>
  <si>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</si>
  <si>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</si>
  <si>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</si>
  <si>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</si>
  <si>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</si>
  <si>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</si>
  <si>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</si>
  <si>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</si>
  <si>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</si>
  <si>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</si>
  <si>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</si>
  <si>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</si>
  <si>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</si>
  <si>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</si>
  <si>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</si>
  <si>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</si>
  <si>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</si>
  <si>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</si>
  <si>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</si>
  <si>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</si>
  <si>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</si>
  <si>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</si>
  <si>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</si>
  <si>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</si>
  <si>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</si>
  <si>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</si>
  <si>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</si>
  <si>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</si>
  <si>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</si>
  <si>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</si>
  <si>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</si>
  <si>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</si>
  <si>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</si>
  <si>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</si>
  <si>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</si>
  <si>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</si>
  <si>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</si>
  <si>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</si>
  <si>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</si>
  <si>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</si>
  <si>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</si>
  <si>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</si>
  <si>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</si>
  <si>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</si>
  <si>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</si>
  <si>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</si>
  <si>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</si>
  <si>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</si>
  <si>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</si>
  <si>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</si>
  <si>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</si>
  <si>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</si>
  <si>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</si>
  <si>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</si>
  <si>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</si>
  <si>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</si>
  <si>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</si>
  <si>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</si>
  <si>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</si>
  <si>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</si>
  <si>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</si>
  <si>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</si>
  <si>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</si>
  <si>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</si>
  <si>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</si>
  <si>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</si>
  <si>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</si>
  <si>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</si>
  <si>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</si>
  <si>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</si>
  <si>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</si>
  <si>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</si>
  <si>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</si>
  <si>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</si>
  <si>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</si>
  <si>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</si>
  <si>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</si>
  <si>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</si>
  <si>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</si>
  <si>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</si>
  <si>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</si>
  <si>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</si>
  <si>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</si>
  <si>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</si>
  <si>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</si>
  <si>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</si>
  <si>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</si>
  <si>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</si>
  <si>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</si>
  <si>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</si>
  <si>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</si>
  <si>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</si>
  <si>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</si>
  <si>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</si>
  <si>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</si>
  <si>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</si>
  <si>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</si>
  <si>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</si>
  <si>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</si>
  <si>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</si>
  <si>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</si>
  <si>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</si>
  <si>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50</t>
  </si>
  <si>
    <t>У</t>
  </si>
  <si>
    <t>Физлица</t>
  </si>
  <si>
    <t>Юрзлица</t>
  </si>
  <si>
    <t>51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</si>
  <si>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</si>
  <si>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</si>
  <si>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</si>
  <si>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</si>
  <si>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</si>
  <si>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</si>
  <si>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</si>
  <si>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</si>
  <si>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</si>
  <si>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</si>
  <si>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</si>
  <si>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</si>
  <si>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</si>
  <si>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</si>
  <si>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</si>
  <si>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</si>
  <si>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</si>
  <si>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</si>
  <si>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</si>
  <si>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</si>
  <si>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</si>
  <si>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</si>
  <si>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</si>
  <si>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</si>
  <si>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</si>
  <si>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</si>
  <si>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</si>
  <si>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</si>
  <si>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</si>
  <si>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</si>
  <si>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</si>
  <si>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</si>
  <si>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</si>
  <si>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</si>
  <si>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</si>
  <si>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</si>
  <si>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</si>
  <si>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</si>
  <si>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</si>
  <si>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</si>
  <si>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</si>
  <si>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</si>
  <si>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</si>
  <si>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</si>
  <si>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</si>
  <si>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</si>
  <si>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</si>
  <si>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</si>
  <si>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</si>
  <si>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</si>
  <si>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</si>
  <si>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</si>
  <si>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</si>
  <si>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</si>
  <si>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</si>
  <si>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</si>
  <si>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</si>
  <si>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</si>
  <si>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</si>
  <si>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</si>
  <si>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</si>
  <si>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</si>
  <si>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</si>
  <si>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</si>
  <si>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</si>
  <si>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</si>
  <si>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</si>
  <si>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</si>
  <si>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</si>
  <si>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</si>
  <si>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</si>
  <si>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</si>
  <si>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</si>
  <si>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</si>
  <si>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</si>
  <si>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</si>
  <si>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</si>
  <si>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</si>
  <si>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</si>
  <si>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</si>
  <si>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</si>
  <si>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</si>
  <si>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</si>
  <si>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</si>
  <si>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</si>
  <si>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</si>
  <si>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</si>
  <si>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</si>
  <si>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</si>
  <si>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</si>
  <si>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</si>
  <si>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</si>
  <si>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</si>
  <si>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</si>
  <si>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</si>
  <si>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</si>
  <si>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</si>
  <si>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</si>
  <si>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</si>
  <si>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</si>
  <si>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</si>
  <si>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</si>
  <si>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</si>
  <si>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</si>
  <si>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</si>
  <si>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</si>
  <si>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</si>
  <si>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</si>
  <si>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</si>
  <si>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</si>
  <si>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</si>
  <si>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</si>
  <si>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</si>
  <si>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</si>
  <si>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</si>
  <si>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</si>
  <si>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</si>
  <si>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</si>
  <si>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</si>
  <si>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</si>
  <si>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</si>
  <si>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</si>
  <si>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</si>
  <si>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</si>
  <si>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</si>
  <si>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</si>
  <si>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</si>
  <si>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</si>
  <si>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</si>
  <si>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</si>
  <si>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</si>
  <si>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</si>
  <si>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</si>
  <si>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</si>
  <si>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</si>
  <si>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</si>
  <si>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</si>
  <si>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</si>
  <si>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</si>
  <si>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</si>
  <si>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</si>
  <si>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</si>
  <si>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</si>
  <si>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Активлар бўйича эҳтимолий йўқотишларга қарши яратилган захираларни қайтарилиши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</si>
  <si>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</si>
  <si>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</si>
  <si>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</si>
  <si>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</si>
  <si>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</si>
  <si>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</si>
  <si>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</si>
  <si>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</si>
  <si>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</si>
  <si>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</si>
  <si>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</si>
  <si>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</si>
  <si>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</si>
  <si>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</si>
  <si>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</si>
  <si>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</si>
  <si>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</si>
  <si>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</si>
  <si>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</si>
  <si>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</si>
  <si>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</si>
  <si>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</si>
  <si>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</si>
  <si>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</si>
  <si>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</si>
  <si>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</si>
  <si>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</si>
  <si>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</si>
  <si>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</si>
  <si>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</si>
  <si>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</si>
  <si>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</si>
  <si>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</si>
  <si>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</si>
  <si>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</si>
  <si>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</si>
  <si>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</si>
  <si>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</si>
  <si>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</si>
  <si>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</si>
  <si>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</si>
  <si>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</si>
  <si>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</si>
  <si>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</si>
  <si>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</si>
  <si>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</si>
  <si>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</si>
  <si>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</si>
  <si>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</si>
  <si>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</si>
  <si>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</si>
  <si>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</si>
  <si>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</si>
  <si>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</si>
  <si>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</si>
  <si>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</si>
  <si>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</si>
  <si>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</si>
  <si>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</si>
  <si>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</si>
  <si>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</si>
  <si>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</si>
  <si>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</si>
  <si>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</si>
  <si>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</si>
  <si>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</si>
  <si>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</si>
  <si>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</si>
  <si>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</si>
  <si>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</si>
  <si>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</si>
  <si>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</si>
  <si>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</si>
  <si>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</si>
  <si>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</si>
  <si>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</si>
  <si>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</si>
  <si>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</si>
  <si>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</si>
  <si>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</si>
  <si>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</si>
  <si>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</si>
  <si>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</si>
  <si>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</si>
  <si>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</si>
  <si>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</si>
  <si>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</si>
  <si>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</si>
  <si>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</si>
  <si>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</si>
  <si>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</si>
  <si>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</si>
  <si>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</si>
  <si>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</si>
  <si>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</si>
  <si>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</si>
  <si>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</si>
  <si>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</si>
  <si>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</si>
  <si>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</si>
  <si>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</si>
  <si>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</si>
  <si>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</si>
  <si>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</si>
  <si>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</si>
  <si>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</si>
  <si>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</si>
  <si>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</si>
  <si>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</si>
  <si>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</si>
  <si>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</si>
  <si>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</si>
  <si>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</si>
  <si>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</si>
  <si>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</si>
  <si>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</si>
  <si>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</si>
  <si>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</si>
  <si>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</si>
  <si>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</si>
  <si>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</si>
  <si>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</si>
  <si>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</si>
  <si>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</si>
  <si>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</si>
  <si>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</si>
  <si>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Кредит ва лизингларни ҳисобдан чиқариш ва қайтариш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</si>
  <si>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</si>
  <si>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</si>
  <si>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</si>
  <si>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</si>
  <si>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</si>
  <si>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</si>
  <si>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</si>
  <si>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</si>
  <si>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</si>
  <si>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</si>
  <si>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</si>
  <si>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</si>
  <si>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</si>
  <si>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</si>
  <si>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</si>
  <si>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</si>
  <si>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</si>
  <si>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 xml:space="preserve">Кредит ва лизинг бўйича эҳтимолий йўқотишларга қарши захиралар 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</si>
  <si>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</si>
  <si>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</si>
  <si>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</si>
  <si>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</si>
  <si>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</si>
  <si>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</si>
  <si>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</si>
  <si>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</si>
  <si>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</si>
  <si>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</si>
  <si>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</si>
  <si>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</si>
  <si>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</si>
  <si>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</si>
  <si>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</si>
  <si>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</si>
  <si>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</si>
  <si>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</si>
  <si>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</si>
  <si>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</si>
  <si>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</si>
  <si>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КРЕДИТ ПОРТФЕЛЬ ТАРКИБИ ТЎҒРИСИДА ҲИСОБОТ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</si>
  <si>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</si>
  <si>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</si>
  <si>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</si>
  <si>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</si>
  <si>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</si>
  <si>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</si>
  <si>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</si>
  <si>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</si>
  <si>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</si>
  <si>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</si>
  <si>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</si>
  <si>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</si>
  <si>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</si>
  <si>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</si>
  <si>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</si>
  <si>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</si>
  <si>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</si>
  <si>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</si>
  <si>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</si>
  <si>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</si>
  <si>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</si>
  <si>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</si>
  <si>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</si>
  <si>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</si>
  <si>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</si>
  <si>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</si>
  <si>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</si>
  <si>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</si>
  <si>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</si>
  <si>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</si>
  <si>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ҳукумат томонидан  ажратилган кредитлар</t>
  </si>
  <si>
    <t>бошқа мақсадли кредитлар</t>
  </si>
  <si>
    <t>БАНК ТОМОНИДАН ЖАЛБ ҚИЛИНГАН ДЕПОЗИТЛАРНИНГ ЎРТАЧА ТОРТИЛГАН ФОИЗ СТАВКАЛАРИ ТЎҒРИСИДА ҲИСОБОТ</t>
  </si>
  <si>
    <t>21-жадвал</t>
  </si>
  <si>
    <t>Жалб қилинган 
маблағларнинг муддатлари</t>
  </si>
  <si>
    <t>Жисмоний шахсларнинг депозит (омонат) лари</t>
  </si>
  <si>
    <t>Юридик шахсларнинг депозит (омонат) лари</t>
  </si>
  <si>
    <t>жами сумма</t>
  </si>
  <si>
    <t>Муддатсиз</t>
  </si>
  <si>
    <t>1-7 кун</t>
  </si>
  <si>
    <t>8-30 кун</t>
  </si>
  <si>
    <t>31-90 кун</t>
  </si>
  <si>
    <t>91-180 кун</t>
  </si>
  <si>
    <t>181-365 кун</t>
  </si>
  <si>
    <t>366-730 кун</t>
  </si>
  <si>
    <t>2 йилдан ортиқ</t>
  </si>
  <si>
    <t>Жами (1, 2, 3, 4, 5, 6, 7, 8 қаторлар йиғиндиси)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</si>
  <si>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</si>
  <si>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</si>
  <si>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</si>
  <si>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</si>
  <si>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</si>
  <si>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</si>
  <si>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</si>
  <si>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</si>
  <si>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</si>
  <si>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</si>
  <si>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</si>
  <si>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</si>
  <si>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</si>
  <si>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</si>
  <si>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</si>
  <si>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</si>
  <si>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</si>
  <si>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</si>
  <si>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</si>
  <si>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</si>
  <si>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</si>
  <si>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</si>
  <si>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</si>
  <si>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</si>
  <si>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</si>
  <si>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</si>
  <si>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</si>
  <si>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</si>
  <si>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</si>
  <si>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</si>
  <si>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</si>
  <si>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</si>
  <si>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</si>
  <si>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</si>
  <si>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</si>
  <si>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</si>
  <si>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</si>
  <si>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</si>
  <si>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</si>
  <si>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</si>
  <si>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</si>
  <si>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</si>
  <si>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</si>
  <si>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</si>
  <si>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</si>
  <si>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</si>
  <si>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</si>
  <si>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</si>
  <si>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</si>
  <si>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</si>
  <si>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</si>
  <si>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</si>
  <si>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</si>
  <si>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</si>
  <si>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</si>
  <si>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</si>
  <si>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</si>
  <si>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</si>
  <si>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</si>
  <si>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</si>
  <si>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</si>
  <si>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</si>
  <si>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</si>
  <si>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</si>
  <si>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</si>
  <si>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</si>
  <si>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</si>
  <si>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</si>
  <si>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 xml:space="preserve">Захиралар чегирилган ҳолда харакатсиз кредитлар/жами капитал </t>
  </si>
  <si>
    <t>Захиралар чегирилган ҳолда харакатсиз кредитлар миқдори</t>
  </si>
  <si>
    <t xml:space="preserve">Жами капитал 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</si>
  <si>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</si>
  <si>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</si>
  <si>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</si>
  <si>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</si>
  <si>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</si>
  <si>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</si>
  <si>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</si>
  <si>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</si>
  <si>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Жами капитал ҳажми (мазкур давр учун ўртача)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</si>
  <si>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</si>
  <si>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</si>
  <si>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</si>
  <si>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</si>
  <si>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</si>
  <si>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</si>
  <si>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</si>
  <si>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</si>
  <si>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</si>
  <si>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Жами капитал/жами активлар</t>
  </si>
  <si>
    <t xml:space="preserve">Очиқ валюта позицияси, соф / Жами капитал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</si>
  <si>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</si>
  <si>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</si>
  <si>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</si>
  <si>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</si>
  <si>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</si>
  <si>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</si>
  <si>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</si>
  <si>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</si>
  <si>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</si>
  <si>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</si>
  <si>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</si>
  <si>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</si>
  <si>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</si>
  <si>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</si>
  <si>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</si>
  <si>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</si>
  <si>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</si>
  <si>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</si>
  <si>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</si>
  <si>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</si>
  <si>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</si>
  <si>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</si>
  <si>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</si>
  <si>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</si>
  <si>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</si>
  <si>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</si>
  <si>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</si>
  <si>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</si>
  <si>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</si>
  <si>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</si>
  <si>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</si>
  <si>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</si>
  <si>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</si>
  <si>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</si>
  <si>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</si>
  <si>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</si>
  <si>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</si>
  <si>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</si>
  <si>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</si>
  <si>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</si>
  <si>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</si>
  <si>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</si>
  <si>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</si>
  <si>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</si>
  <si>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</si>
  <si>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</si>
  <si>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</si>
  <si>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</si>
  <si>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</si>
  <si>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</si>
  <si>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</si>
  <si>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</si>
  <si>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</si>
  <si>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</si>
  <si>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</si>
  <si>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</si>
  <si>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</si>
  <si>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</si>
  <si>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</si>
  <si>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</si>
  <si>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</si>
  <si>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</si>
  <si>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</si>
  <si>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</si>
  <si>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</si>
  <si>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</si>
  <si>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</si>
  <si>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</si>
  <si>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</si>
  <si>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</si>
  <si>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</si>
  <si>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</si>
  <si>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</si>
  <si>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</si>
  <si>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</si>
  <si>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</si>
  <si>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</si>
  <si>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</si>
  <si>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</si>
  <si>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</si>
  <si>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</si>
  <si>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</si>
  <si>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</si>
  <si>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</si>
  <si>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</si>
  <si>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</si>
  <si>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</si>
  <si>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</si>
  <si>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</si>
  <si>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</si>
  <si>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</si>
  <si>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</si>
  <si>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</si>
  <si>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</si>
  <si>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</si>
  <si>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</si>
  <si>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</si>
  <si>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</si>
  <si>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</si>
  <si>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</si>
  <si>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</si>
  <si>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</si>
  <si>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</si>
  <si>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</si>
  <si>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</si>
  <si>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</si>
  <si>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</si>
  <si>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</si>
  <si>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</si>
  <si>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</si>
  <si>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</si>
  <si>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</si>
  <si>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</si>
  <si>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</si>
  <si>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</si>
  <si>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</si>
  <si>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</si>
  <si>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</si>
  <si>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</si>
  <si>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</si>
  <si>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</si>
  <si>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</si>
  <si>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</si>
  <si>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</si>
  <si>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</si>
  <si>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</si>
  <si>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</si>
  <si>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</si>
  <si>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</si>
  <si>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</si>
  <si>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</si>
  <si>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</si>
  <si>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</si>
  <si>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</si>
  <si>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</si>
  <si>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</si>
  <si>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</si>
  <si>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</si>
  <si>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</si>
  <si>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</si>
  <si>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</si>
  <si>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</si>
  <si>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</si>
  <si>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</si>
  <si>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</si>
  <si>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</si>
  <si>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</si>
  <si>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</si>
  <si>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</si>
  <si>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</si>
  <si>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</si>
  <si>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</si>
  <si>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</si>
  <si>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</si>
  <si>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</si>
  <si>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</si>
  <si>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</si>
  <si>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</si>
  <si>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</si>
  <si>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</si>
  <si>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</si>
  <si>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</si>
  <si>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</si>
  <si>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</si>
  <si>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№1</t>
  </si>
  <si>
    <t>"Ўзсаноатқурилишибанк" АТБ</t>
  </si>
  <si>
    <t>"SQB CAPITAL" MChJ</t>
  </si>
  <si>
    <t>000</t>
  </si>
  <si>
    <t>"SQB Insurance Sug'urta Kompaniyasi" AJ</t>
  </si>
  <si>
    <t>Шамирзаев Диёр Худоёрович</t>
  </si>
  <si>
    <t>Рамазанов Лазизбек Исмаилович</t>
  </si>
  <si>
    <t>Абидов Исмоил Рамазанович</t>
  </si>
  <si>
    <t>Рамазанов Муслимбек Исмоил ўғли</t>
  </si>
  <si>
    <t>Аминова Умида Пазилджановна</t>
  </si>
  <si>
    <t>Бердибеков Олимбек Турсунович</t>
  </si>
  <si>
    <t>Бердибеков Сардор Турсунович</t>
  </si>
  <si>
    <t>Турсунова Гулрух Олимбек кизи</t>
  </si>
  <si>
    <t>Турсунов Отабек Олимбек угли</t>
  </si>
  <si>
    <t>Узақов Бехзод Бахтиерович</t>
  </si>
  <si>
    <t>Абдувалиев Фаррух Ином ўғли</t>
  </si>
  <si>
    <t>Сафаров Мухаммад Холиёр уғли</t>
  </si>
  <si>
    <t>Санжаров Сирожиддин Дилшод угли</t>
  </si>
  <si>
    <t>Муллажанов Бобуржон Кодирович</t>
  </si>
  <si>
    <t>Юсупов Юсуфбой Косимович</t>
  </si>
  <si>
    <t>Еқубжонов Аброр Рустам ўғли</t>
  </si>
  <si>
    <t xml:space="preserve">Холмуродов Жовли </t>
  </si>
  <si>
    <t>Садиров Дурбек Мейлижонович</t>
  </si>
  <si>
    <t>Садирова Малохатхон Ботир қизи</t>
  </si>
  <si>
    <t>Равшанов Авазбек Ибадуллоевич</t>
  </si>
  <si>
    <t>Ибодуллаев Акбаршох Ибадуллоевич</t>
  </si>
  <si>
    <t>Сатторов Фаррух Исомиддинович</t>
  </si>
  <si>
    <t>Байиров Санжар Мансурович</t>
  </si>
  <si>
    <t>Хасанов Фатхулла Муратович</t>
  </si>
  <si>
    <t>Каримов Мусобек Махсуд ўғли</t>
  </si>
  <si>
    <t>AB6193141</t>
  </si>
  <si>
    <t>Акбаржонов Азиз Акбаржон ўғли</t>
  </si>
  <si>
    <t>Халилов Шерзод Абдиманнонович</t>
  </si>
  <si>
    <t>Гултураев Шохпур Негматуллаевич</t>
  </si>
  <si>
    <t>Сулаймонов Одил Яхёевич</t>
  </si>
  <si>
    <t>Бобомуродов Шокир Тангирович</t>
  </si>
  <si>
    <t>Хакимов Абдурашид Бахром ўғли</t>
  </si>
  <si>
    <t>Хайруллаев Даврон Фазлиддинович</t>
  </si>
  <si>
    <t>Эшматов Масрур Курбонович</t>
  </si>
  <si>
    <t>Азимова Малике Искандеровна</t>
  </si>
  <si>
    <t>Ботиров Улуғбек Азизович</t>
  </si>
  <si>
    <t>Акбаров Хикмат Гайратович</t>
  </si>
  <si>
    <t>Халилов Aбдулазиз Aбдушукурович</t>
  </si>
  <si>
    <t>Юсупов Шохзод Махматмуродович</t>
  </si>
  <si>
    <t>АО НАВОИАЗОТ</t>
  </si>
  <si>
    <t>200002933</t>
  </si>
  <si>
    <t>20151</t>
  </si>
  <si>
    <t xml:space="preserve">000 840 </t>
  </si>
  <si>
    <t>"Dehqonobod kaliy zavodi" AJ</t>
  </si>
  <si>
    <t>206887857</t>
  </si>
  <si>
    <t xml:space="preserve"> 840 </t>
  </si>
  <si>
    <t>QO`NG`IROT SODA ZAVODI</t>
  </si>
  <si>
    <t>200949269</t>
  </si>
  <si>
    <t>20130</t>
  </si>
  <si>
    <t>MCHJ shaklidagi SAMARKAND-NPK QUSHMA KORXONASI</t>
  </si>
  <si>
    <t>303295841</t>
  </si>
  <si>
    <t>"AMMIAK VA KARBAMID ZAVODINI QURISH DIREKSIYASI" MCHJ</t>
  </si>
  <si>
    <t>305592186</t>
  </si>
  <si>
    <t>41202</t>
  </si>
  <si>
    <t>"CHEMISTRY INTERNATIONAL" MCHJ QK</t>
  </si>
  <si>
    <t>308989789</t>
  </si>
  <si>
    <t>20590</t>
  </si>
  <si>
    <t>MAXAM - CHIRCHIQ АЖ</t>
  </si>
  <si>
    <t>200941518</t>
  </si>
  <si>
    <t xml:space="preserve">000  </t>
  </si>
  <si>
    <t>FARGONAAZOT акциядорлик жамияти</t>
  </si>
  <si>
    <t>200202240</t>
  </si>
  <si>
    <t>20152</t>
  </si>
  <si>
    <t>UZBEKISTON TEMIR YULLARI AJ</t>
  </si>
  <si>
    <t>201051951</t>
  </si>
  <si>
    <t>49200</t>
  </si>
  <si>
    <t>AJ OZTEMIRYOLYOLOVCHI</t>
  </si>
  <si>
    <t>202472894</t>
  </si>
  <si>
    <t>49100</t>
  </si>
  <si>
    <t>"YANGI ZAMON BINO" Mas'uliyati cheklangan jamiyat</t>
  </si>
  <si>
    <t>304424670</t>
  </si>
  <si>
    <t>ООО "ORIENT GROUP MANAGEMENT"</t>
  </si>
  <si>
    <t>307236673</t>
  </si>
  <si>
    <t>70220</t>
  </si>
  <si>
    <t>"ANGREN ISSIQLIK ELEKTR STANSIYASI" АЖ</t>
  </si>
  <si>
    <t>200595949</t>
  </si>
  <si>
    <t>35111</t>
  </si>
  <si>
    <t>АО "SIRDARYO ISSIQLIK ELEKTR STANSIYASI"</t>
  </si>
  <si>
    <t>201169179</t>
  </si>
  <si>
    <t>Талимаржан Иссиклик электростанцияси унитар корхонаси</t>
  </si>
  <si>
    <t>201284979</t>
  </si>
  <si>
    <t>АО ISSIQLIK ELEKTR STANSIYALARI</t>
  </si>
  <si>
    <t>306349304</t>
  </si>
  <si>
    <t>70100</t>
  </si>
  <si>
    <t>ООО "SIRDARYO MEGA LUKS"</t>
  </si>
  <si>
    <t>301024585</t>
  </si>
  <si>
    <t>22220</t>
  </si>
  <si>
    <t>000 840 978</t>
  </si>
  <si>
    <t>SANOAT ENERGETIKA GURUHI</t>
  </si>
  <si>
    <t>304936120</t>
  </si>
  <si>
    <t>06100</t>
  </si>
  <si>
    <t xml:space="preserve"> 840 978</t>
  </si>
  <si>
    <t>BASFIBER TRADE MCHJ QK</t>
  </si>
  <si>
    <t>308995046</t>
  </si>
  <si>
    <t>20600</t>
  </si>
  <si>
    <t>"ROCKFIBER" MChJ</t>
  </si>
  <si>
    <t>309583004</t>
  </si>
  <si>
    <t>"ECOBASALT GROUP" МЧЖ Кушма корхона</t>
  </si>
  <si>
    <t>306561667</t>
  </si>
  <si>
    <t>23990</t>
  </si>
  <si>
    <t>"GEOBASALT PRODUCTS" МЧЖ</t>
  </si>
  <si>
    <t>306561674</t>
  </si>
  <si>
    <t>AZIA TASHKENT TEXTILE</t>
  </si>
  <si>
    <t>307926828</t>
  </si>
  <si>
    <t>13101</t>
  </si>
  <si>
    <t>OZBEKNEFTGAZ AJ</t>
  </si>
  <si>
    <t>200837914</t>
  </si>
  <si>
    <t>06200</t>
  </si>
  <si>
    <t>"BUXORO NEFTNI QAYTA ISHLASH ZAVODI" MChJ</t>
  </si>
  <si>
    <t>202080378</t>
  </si>
  <si>
    <t>"ТЕХНОМАШ" МЧЖ</t>
  </si>
  <si>
    <t>201566753</t>
  </si>
  <si>
    <t>46730</t>
  </si>
  <si>
    <t>"ANDIJONNEFTGAZQUDUQTA`MIRLASH" MCHJ</t>
  </si>
  <si>
    <t>206649051</t>
  </si>
  <si>
    <t>09100</t>
  </si>
  <si>
    <t>СП OOO AMIRSOY</t>
  </si>
  <si>
    <t>305152772</t>
  </si>
  <si>
    <t>93290</t>
  </si>
  <si>
    <t>АЖ "O''ZTRANSGAZ"</t>
  </si>
  <si>
    <t>200626188</t>
  </si>
  <si>
    <t>49500</t>
  </si>
  <si>
    <t>JPMORGAN CHASE BANK, N.A.</t>
  </si>
  <si>
    <t/>
  </si>
  <si>
    <t>CITIBANK N.A.</t>
  </si>
  <si>
    <t>"HUDUDGAZTA'MINOT" AJ</t>
  </si>
  <si>
    <t>306605769</t>
  </si>
  <si>
    <t>35220</t>
  </si>
  <si>
    <t xml:space="preserve">ICBC STANDARD BANK PLC </t>
  </si>
  <si>
    <t>ANGREN SHAKAR MChJ</t>
  </si>
  <si>
    <t>207155445</t>
  </si>
  <si>
    <t>10810</t>
  </si>
  <si>
    <t>"XORAZM SHAKAR" МЧЖ</t>
  </si>
  <si>
    <t>202586539</t>
  </si>
  <si>
    <t>MCHJ ADM JIZZAKH</t>
  </si>
  <si>
    <t>307057209</t>
  </si>
  <si>
    <t>29100</t>
  </si>
  <si>
    <t>"TEXNOPARK" MCHJ</t>
  </si>
  <si>
    <t>306493973</t>
  </si>
  <si>
    <t>27510</t>
  </si>
  <si>
    <t>OQ SAROY KLASTER МЧЖ</t>
  </si>
  <si>
    <t>305692956</t>
  </si>
  <si>
    <t>01161</t>
  </si>
  <si>
    <t>000  978</t>
  </si>
  <si>
    <t>SHAHRISABZ TEXTILE MCHJ</t>
  </si>
  <si>
    <t>304139828</t>
  </si>
  <si>
    <t>14130</t>
  </si>
  <si>
    <t>OQ SAROY TEXTILE M.CH.J</t>
  </si>
  <si>
    <t>301016397</t>
  </si>
  <si>
    <t>ООО "SARDOBA OQSAROY TEKSTIL"</t>
  </si>
  <si>
    <t>307375880</t>
  </si>
  <si>
    <t>13201</t>
  </si>
  <si>
    <t>ООО "MADINA MAVLON"</t>
  </si>
  <si>
    <t>204377543</t>
  </si>
  <si>
    <t>23630</t>
  </si>
  <si>
    <t>"ZOMIN NON SQB" МЧЖ</t>
  </si>
  <si>
    <t>306853414</t>
  </si>
  <si>
    <t>10710</t>
  </si>
  <si>
    <t>KASBI YARNTEX" MCHJ</t>
  </si>
  <si>
    <t>308118558</t>
  </si>
  <si>
    <t>14390</t>
  </si>
  <si>
    <t>"AGROPROM TERMINAL" MChJ</t>
  </si>
  <si>
    <t>301976343</t>
  </si>
  <si>
    <t>52240</t>
  </si>
  <si>
    <t>"ZARBDOR NON SQB" МЧЖ</t>
  </si>
  <si>
    <t>306854214</t>
  </si>
  <si>
    <t>ООО "UNITED CEMENT GROUP"</t>
  </si>
  <si>
    <t>307163092</t>
  </si>
  <si>
    <t xml:space="preserve">  978</t>
  </si>
  <si>
    <t>ОАО "Кувасайцемент"</t>
  </si>
  <si>
    <t>200124805</t>
  </si>
  <si>
    <t>23510</t>
  </si>
  <si>
    <t>ООО "SILQ FORUM"</t>
  </si>
  <si>
    <t>309461686</t>
  </si>
  <si>
    <t>68202</t>
  </si>
  <si>
    <t>"FERGANA GLOBAL TEXTILE" МЧЖ</t>
  </si>
  <si>
    <t>305785017</t>
  </si>
  <si>
    <t>"Bobur XBK" МЧЖ</t>
  </si>
  <si>
    <t>304406559</t>
  </si>
  <si>
    <t>WBM FABRICS" МЧЖ</t>
  </si>
  <si>
    <t>305561350</t>
  </si>
  <si>
    <t>13910</t>
  </si>
  <si>
    <t>"TOSHKENT METALLURGIYA ZAVODI" MChJ QK</t>
  </si>
  <si>
    <t>304574612</t>
  </si>
  <si>
    <t>28910</t>
  </si>
  <si>
    <t>ООО "GLOBAL TEXTILE INFINITY"</t>
  </si>
  <si>
    <t>308285866</t>
  </si>
  <si>
    <t>"APK BUKA" МЧЖ</t>
  </si>
  <si>
    <t>307240259</t>
  </si>
  <si>
    <t>"APK BEKABOD" MCHJ</t>
  </si>
  <si>
    <t>306912173</t>
  </si>
  <si>
    <t>МЧЖ "TEXTILE TECHNOLOGIES GROUP" ХК.</t>
  </si>
  <si>
    <t>207071646</t>
  </si>
  <si>
    <t>ООО"APK OQOLTIN"</t>
  </si>
  <si>
    <t>306980240</t>
  </si>
  <si>
    <t>УП "APK CHINOZ"</t>
  </si>
  <si>
    <t>306713871</t>
  </si>
  <si>
    <t>10610</t>
  </si>
  <si>
    <t>Fitch Ratings, S&amp;P</t>
  </si>
  <si>
    <t>ВВ-, ВВ-, прогноз "Стабильный"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</si>
</sst>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sz val="9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b/>
      <sz val="20"/>
      <color rgb="FFB6FF5D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1">
    <xf numFmtId="0" fontId="0" fillId="0" borderId="0"/>
    <xf numFmtId="0" fontId="26" fillId="0" borderId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7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8" fillId="0" borderId="17">
      <protection locked="0"/>
    </xf>
    <xf numFmtId="174" fontId="60" fillId="0" borderId="0">
      <protection locked="0"/>
    </xf>
    <xf numFmtId="175" fontId="60" fillId="0" borderId="17">
      <protection locked="0"/>
    </xf>
    <xf numFmtId="176" fontId="60" fillId="0" borderId="0">
      <protection locked="0"/>
    </xf>
    <xf numFmtId="4" fontId="60" fillId="0" borderId="0">
      <protection locked="0"/>
    </xf>
    <xf numFmtId="177" fontId="60" fillId="0" borderId="0">
      <protection locked="0"/>
    </xf>
    <xf numFmtId="175" fontId="61" fillId="0" borderId="0">
      <protection locked="0"/>
    </xf>
    <xf numFmtId="175" fontId="62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3" fillId="0" borderId="5">
      <alignment horizontal="center"/>
    </xf>
    <xf numFmtId="166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64" fillId="0" borderId="0"/>
    <xf numFmtId="0" fontId="30" fillId="0" borderId="0"/>
    <xf numFmtId="9" fontId="32" fillId="0" borderId="0" applyFont="0" applyFill="0" applyBorder="0" applyAlignment="0" applyProtection="0"/>
    <xf numFmtId="0" fontId="6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1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7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68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6" fillId="0" borderId="0"/>
    <xf numFmtId="0" fontId="65" fillId="0" borderId="0"/>
    <xf numFmtId="0" fontId="2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65" fillId="0" borderId="0"/>
    <xf numFmtId="0" fontId="30" fillId="0" borderId="0"/>
    <xf numFmtId="0" fontId="6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67" fillId="0" borderId="0"/>
    <xf numFmtId="0" fontId="2" fillId="0" borderId="0"/>
    <xf numFmtId="0" fontId="6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3" fillId="0" borderId="0"/>
    <xf numFmtId="0" fontId="32" fillId="0" borderId="0"/>
    <xf numFmtId="0" fontId="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67" fillId="0" borderId="0"/>
    <xf numFmtId="0" fontId="65" fillId="0" borderId="0"/>
    <xf numFmtId="0" fontId="70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2" fillId="0" borderId="0"/>
    <xf numFmtId="0" fontId="2" fillId="0" borderId="0"/>
    <xf numFmtId="0" fontId="71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72" fillId="0" borderId="0"/>
    <xf numFmtId="0" fontId="3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3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67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32" fillId="0" borderId="0"/>
    <xf numFmtId="0" fontId="31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9" fontId="6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74" fillId="0" borderId="0"/>
    <xf numFmtId="166" fontId="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5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1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3" fontId="69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9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0" fontId="3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1" fontId="6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7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7" fontId="7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58" fillId="0" borderId="0">
      <protection locked="0"/>
    </xf>
    <xf numFmtId="0" fontId="8" fillId="0" borderId="0">
      <alignment vertical="top"/>
    </xf>
    <xf numFmtId="184" fontId="80" fillId="0" borderId="0" applyFont="0" applyFill="0" applyBorder="0" applyAlignment="0" applyProtection="0"/>
    <xf numFmtId="185" fontId="80" fillId="0" borderId="0" applyFont="0" applyFill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186" fontId="80" fillId="0" borderId="0" applyFont="0" applyFill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0" borderId="0" applyNumberFormat="0" applyBorder="0" applyAlignment="0" applyProtection="0"/>
    <xf numFmtId="0" fontId="69" fillId="25" borderId="0" applyNumberFormat="0" applyBorder="0" applyAlignment="0" applyProtection="0"/>
    <xf numFmtId="0" fontId="69" fillId="28" borderId="0" applyNumberFormat="0" applyBorder="0" applyAlignment="0" applyProtection="0"/>
    <xf numFmtId="0" fontId="69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1" fillId="37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9" borderId="0" applyNumberFormat="0" applyBorder="0" applyAlignment="0" applyProtection="0"/>
    <xf numFmtId="0" fontId="82" fillId="23" borderId="0" applyNumberFormat="0" applyBorder="0" applyAlignment="0" applyProtection="0"/>
    <xf numFmtId="0" fontId="83" fillId="40" borderId="20" applyNumberFormat="0" applyAlignment="0" applyProtection="0"/>
    <xf numFmtId="0" fontId="84" fillId="41" borderId="21" applyNumberFormat="0" applyAlignment="0" applyProtection="0"/>
    <xf numFmtId="178" fontId="85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4" fillId="0" borderId="0" applyNumberFormat="0" applyFont="0" applyFill="0" applyBorder="0" applyAlignment="0"/>
    <xf numFmtId="187" fontId="30" fillId="0" borderId="0" applyFont="0" applyFill="0" applyBorder="0" applyAlignment="0" applyProtection="0"/>
    <xf numFmtId="188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9" fontId="20" fillId="0" borderId="0" applyFont="0" applyFill="0" applyBorder="0" applyAlignment="0" applyProtection="0"/>
    <xf numFmtId="190" fontId="86" fillId="0" borderId="0"/>
    <xf numFmtId="0" fontId="87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88" fillId="2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22" applyNumberFormat="0" applyFill="0" applyAlignment="0" applyProtection="0"/>
    <xf numFmtId="0" fontId="91" fillId="0" borderId="0" applyNumberFormat="0" applyFill="0" applyBorder="0" applyAlignment="0" applyProtection="0"/>
    <xf numFmtId="173" fontId="80" fillId="0" borderId="0" applyFont="0" applyFill="0" applyBorder="0" applyAlignment="0" applyProtection="0"/>
    <xf numFmtId="0" fontId="92" fillId="27" borderId="20" applyNumberFormat="0" applyAlignment="0" applyProtection="0"/>
    <xf numFmtId="0" fontId="93" fillId="0" borderId="23" applyNumberFormat="0" applyFill="0" applyAlignment="0" applyProtection="0"/>
    <xf numFmtId="191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3" fontId="8" fillId="0" borderId="0" applyFont="0" applyFill="0" applyBorder="0" applyAlignment="0" applyProtection="0"/>
    <xf numFmtId="173" fontId="94" fillId="0" borderId="0" applyFill="0" applyBorder="0"/>
    <xf numFmtId="0" fontId="95" fillId="42" borderId="0" applyNumberFormat="0" applyBorder="0" applyAlignment="0" applyProtection="0"/>
    <xf numFmtId="0" fontId="94" fillId="0" borderId="0"/>
    <xf numFmtId="0" fontId="32" fillId="43" borderId="24" applyNumberFormat="0" applyFont="0" applyAlignment="0" applyProtection="0"/>
    <xf numFmtId="0" fontId="96" fillId="40" borderId="25" applyNumberFormat="0" applyAlignment="0" applyProtection="0"/>
    <xf numFmtId="9" fontId="30" fillId="0" borderId="0" applyFont="0" applyFill="0" applyBorder="0" applyAlignment="0" applyProtection="0"/>
    <xf numFmtId="194" fontId="8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30" fillId="0" borderId="26" applyNumberFormat="0" applyFont="0" applyFill="0" applyAlignment="0" applyProtection="0"/>
    <xf numFmtId="0" fontId="98" fillId="0" borderId="0" applyNumberForma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</cellStyleXfs>
  <cellXfs count="762">
    <xf numFmtId="0" fontId="0" fillId="0" borderId="0" xfId="0"/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Continuous"/>
    </xf>
    <xf numFmtId="0" fontId="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Continuous"/>
    </xf>
    <xf numFmtId="0" fontId="9" fillId="0" borderId="0" xfId="0" applyFont="1"/>
    <xf numFmtId="0" fontId="8" fillId="0" borderId="0" xfId="0" applyFont="1" applyAlignment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6" fillId="0" borderId="0" xfId="4" applyNumberFormat="1" applyFont="1" applyFill="1" applyBorder="1" applyAlignment="1" applyProtection="1">
      <alignment vertical="center"/>
    </xf>
    <xf numFmtId="0" fontId="16" fillId="0" borderId="0" xfId="4" applyNumberFormat="1" applyFont="1" applyFill="1" applyBorder="1" applyAlignment="1" applyProtection="1">
      <alignment vertical="top"/>
    </xf>
    <xf numFmtId="0" fontId="16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Border="1" applyAlignment="1" applyProtection="1">
      <alignment vertical="center"/>
      <protection locked="0"/>
    </xf>
    <xf numFmtId="3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3" fontId="6" fillId="0" borderId="1" xfId="0" applyNumberFormat="1" applyFont="1" applyBorder="1" applyAlignment="1" applyProtection="1">
      <alignment horizontal="center" vertical="center" wrapText="1"/>
      <protection locked="0"/>
    </xf>
    <xf numFmtId="0" fontId="33" fillId="0" borderId="0" xfId="0" applyFont="1"/>
    <xf numFmtId="3" fontId="33" fillId="0" borderId="0" xfId="0" applyNumberFormat="1" applyFont="1" applyAlignment="1">
      <alignment horizontal="centerContinuous"/>
    </xf>
    <xf numFmtId="0" fontId="9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/>
    <xf numFmtId="0" fontId="34" fillId="0" borderId="0" xfId="0" applyFont="1" applyProtection="1">
      <protection hidden="1"/>
    </xf>
    <xf numFmtId="0" fontId="3" fillId="0" borderId="0" xfId="0" applyFont="1"/>
    <xf numFmtId="170" fontId="22" fillId="0" borderId="0" xfId="3" applyNumberFormat="1" applyFont="1" applyBorder="1" applyAlignment="1" applyProtection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170" fontId="18" fillId="0" borderId="1" xfId="3" applyNumberFormat="1" applyFont="1" applyBorder="1" applyAlignment="1" applyProtection="1">
      <alignment horizontal="left" vertical="center"/>
    </xf>
    <xf numFmtId="3" fontId="18" fillId="0" borderId="1" xfId="3" applyNumberFormat="1" applyFont="1" applyBorder="1" applyAlignment="1" applyProtection="1">
      <alignment horizontal="center" vertical="center"/>
    </xf>
    <xf numFmtId="3" fontId="19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 indent="2"/>
    </xf>
    <xf numFmtId="0" fontId="2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 indent="2"/>
    </xf>
    <xf numFmtId="0" fontId="1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27" fillId="0" borderId="0" xfId="0" applyFont="1"/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Alignment="1">
      <alignment vertical="center"/>
    </xf>
    <xf numFmtId="0" fontId="18" fillId="0" borderId="0" xfId="0" applyFont="1"/>
    <xf numFmtId="170" fontId="19" fillId="0" borderId="0" xfId="3" applyNumberFormat="1" applyFont="1" applyProtection="1"/>
    <xf numFmtId="0" fontId="18" fillId="0" borderId="0" xfId="0" applyFont="1" applyAlignment="1">
      <alignment horizontal="right"/>
    </xf>
    <xf numFmtId="171" fontId="19" fillId="0" borderId="0" xfId="0" applyNumberFormat="1" applyFont="1" applyAlignment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8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16" fillId="0" borderId="0" xfId="5" applyNumberFormat="1" applyFont="1" applyFill="1" applyBorder="1" applyAlignment="1" applyProtection="1">
      <alignment vertical="top"/>
    </xf>
    <xf numFmtId="0" fontId="16" fillId="0" borderId="0" xfId="5" applyNumberFormat="1" applyFont="1" applyFill="1" applyBorder="1" applyAlignment="1" applyProtection="1">
      <alignment horizontal="center" vertical="center"/>
    </xf>
    <xf numFmtId="0" fontId="35" fillId="0" borderId="0" xfId="5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7" fillId="0" borderId="0" xfId="3" applyFont="1" applyFill="1" applyBorder="1" applyAlignment="1" applyProtection="1">
      <alignment vertical="center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27" fillId="0" borderId="1" xfId="0" applyFont="1" applyBorder="1" applyAlignment="1">
      <alignment horizontal="left" vertical="center" indent="2"/>
    </xf>
    <xf numFmtId="3" fontId="16" fillId="0" borderId="0" xfId="4" applyNumberFormat="1" applyFont="1" applyFill="1" applyBorder="1" applyAlignment="1" applyProtection="1">
      <alignment vertical="top"/>
    </xf>
    <xf numFmtId="3" fontId="40" fillId="0" borderId="1" xfId="3" applyNumberFormat="1" applyFont="1" applyFill="1" applyBorder="1" applyAlignment="1" applyProtection="1">
      <alignment horizontal="center"/>
    </xf>
    <xf numFmtId="0" fontId="16" fillId="0" borderId="0" xfId="5" applyNumberFormat="1" applyFont="1" applyFill="1" applyBorder="1" applyAlignment="1" applyProtection="1">
      <alignment horizontal="center" vertical="top"/>
    </xf>
    <xf numFmtId="15" fontId="16" fillId="0" borderId="0" xfId="5" applyNumberFormat="1" applyFont="1" applyFill="1" applyBorder="1" applyAlignment="1" applyProtection="1">
      <alignment vertical="top"/>
    </xf>
    <xf numFmtId="0" fontId="41" fillId="0" borderId="0" xfId="0" applyFont="1" applyAlignment="1">
      <alignment horizontal="center" vertical="center"/>
    </xf>
    <xf numFmtId="15" fontId="31" fillId="0" borderId="0" xfId="0" applyNumberFormat="1" applyFont="1" applyAlignment="1">
      <alignment horizontal="left" wrapText="1" indent="3"/>
    </xf>
    <xf numFmtId="170" fontId="22" fillId="0" borderId="0" xfId="3" applyNumberFormat="1" applyFont="1" applyBorder="1" applyAlignment="1" applyProtection="1">
      <alignment horizontal="left" indent="2"/>
    </xf>
    <xf numFmtId="3" fontId="28" fillId="0" borderId="0" xfId="0" applyNumberFormat="1" applyFont="1"/>
    <xf numFmtId="3" fontId="42" fillId="0" borderId="0" xfId="0" applyNumberFormat="1" applyFont="1" applyAlignment="1">
      <alignment horizontal="center"/>
    </xf>
    <xf numFmtId="0" fontId="39" fillId="0" borderId="0" xfId="5" applyNumberFormat="1" applyFont="1" applyFill="1" applyBorder="1" applyAlignment="1" applyProtection="1">
      <alignment horizontal="center" vertical="top"/>
    </xf>
    <xf numFmtId="3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6" fillId="0" borderId="1" xfId="4" applyNumberFormat="1" applyFont="1" applyFill="1" applyBorder="1" applyAlignment="1" applyProtection="1">
      <alignment horizontal="center" vertical="top" wrapText="1"/>
      <protection locked="0"/>
    </xf>
    <xf numFmtId="0" fontId="4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Continuous" vertical="center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6" fillId="0" borderId="1" xfId="5" applyNumberFormat="1" applyFont="1" applyFill="1" applyBorder="1" applyAlignment="1" applyProtection="1">
      <alignment horizontal="center" vertical="center" wrapText="1"/>
    </xf>
    <xf numFmtId="1" fontId="9" fillId="0" borderId="1" xfId="0" applyNumberFormat="1" applyFont="1" applyBorder="1" applyAlignment="1">
      <alignment vertical="center"/>
    </xf>
    <xf numFmtId="9" fontId="9" fillId="0" borderId="1" xfId="0" applyNumberFormat="1" applyFont="1" applyBorder="1" applyAlignment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</xf>
    <xf numFmtId="0" fontId="31" fillId="0" borderId="1" xfId="0" applyFont="1" applyBorder="1" applyAlignment="1">
      <alignment horizontal="left" vertical="center" wrapText="1" indent="1"/>
    </xf>
    <xf numFmtId="0" fontId="31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wrapText="1" indent="1"/>
    </xf>
    <xf numFmtId="9" fontId="16" fillId="0" borderId="0" xfId="2" applyFont="1" applyFill="1" applyBorder="1" applyAlignment="1" applyProtection="1">
      <alignment vertical="top"/>
    </xf>
    <xf numFmtId="9" fontId="16" fillId="0" borderId="1" xfId="2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>
      <alignment horizontal="center" vertical="center" wrapText="1"/>
    </xf>
    <xf numFmtId="3" fontId="28" fillId="3" borderId="1" xfId="0" applyNumberFormat="1" applyFont="1" applyFill="1" applyBorder="1" applyAlignment="1">
      <alignment horizontal="center" vertical="center" wrapText="1"/>
    </xf>
    <xf numFmtId="3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vertical="center" wrapText="1"/>
    </xf>
    <xf numFmtId="3" fontId="28" fillId="0" borderId="3" xfId="0" applyNumberFormat="1" applyFont="1" applyBorder="1" applyAlignment="1">
      <alignment vertical="center"/>
    </xf>
    <xf numFmtId="3" fontId="28" fillId="0" borderId="1" xfId="0" applyNumberFormat="1" applyFont="1" applyBorder="1" applyAlignment="1">
      <alignment horizontal="center" vertical="center" wrapText="1"/>
    </xf>
    <xf numFmtId="0" fontId="46" fillId="0" borderId="0" xfId="0" applyFont="1"/>
    <xf numFmtId="167" fontId="46" fillId="0" borderId="0" xfId="3" applyFont="1" applyBorder="1" applyProtection="1"/>
    <xf numFmtId="0" fontId="46" fillId="0" borderId="0" xfId="0" applyFont="1" applyAlignment="1">
      <alignment vertical="center"/>
    </xf>
    <xf numFmtId="167" fontId="46" fillId="0" borderId="0" xfId="3" applyFont="1" applyBorder="1" applyAlignment="1" applyProtection="1">
      <alignment vertical="center"/>
    </xf>
    <xf numFmtId="0" fontId="37" fillId="0" borderId="0" xfId="0" applyFont="1" applyAlignment="1">
      <alignment vertical="center"/>
    </xf>
    <xf numFmtId="3" fontId="47" fillId="0" borderId="0" xfId="0" applyNumberFormat="1" applyFont="1"/>
    <xf numFmtId="167" fontId="47" fillId="0" borderId="0" xfId="3" applyFont="1" applyBorder="1" applyProtection="1"/>
    <xf numFmtId="0" fontId="47" fillId="0" borderId="0" xfId="0" applyFont="1"/>
    <xf numFmtId="0" fontId="47" fillId="0" borderId="0" xfId="0" applyFont="1" applyAlignment="1">
      <alignment vertical="center"/>
    </xf>
    <xf numFmtId="167" fontId="47" fillId="0" borderId="0" xfId="3" applyFont="1" applyBorder="1" applyAlignment="1" applyProtection="1">
      <alignment vertical="center"/>
    </xf>
    <xf numFmtId="170" fontId="47" fillId="0" borderId="0" xfId="3" applyNumberFormat="1" applyFont="1" applyAlignment="1" applyProtection="1">
      <alignment vertical="center"/>
    </xf>
    <xf numFmtId="3" fontId="46" fillId="0" borderId="0" xfId="0" applyNumberFormat="1" applyFont="1" applyAlignment="1">
      <alignment vertical="center"/>
    </xf>
    <xf numFmtId="167" fontId="46" fillId="0" borderId="0" xfId="3" applyFont="1" applyFill="1" applyBorder="1" applyAlignment="1" applyProtection="1">
      <alignment vertical="center"/>
    </xf>
    <xf numFmtId="0" fontId="48" fillId="0" borderId="0" xfId="0" applyFont="1" applyAlignment="1">
      <alignment vertical="center"/>
    </xf>
    <xf numFmtId="167" fontId="48" fillId="0" borderId="0" xfId="3" applyFont="1" applyFill="1" applyBorder="1" applyAlignment="1" applyProtection="1">
      <alignment vertical="center"/>
    </xf>
    <xf numFmtId="3" fontId="48" fillId="0" borderId="0" xfId="0" applyNumberFormat="1" applyFont="1" applyAlignment="1">
      <alignment vertical="center"/>
    </xf>
    <xf numFmtId="167" fontId="48" fillId="0" borderId="0" xfId="3" applyFont="1" applyBorder="1" applyAlignment="1" applyProtection="1">
      <alignment vertical="center"/>
    </xf>
    <xf numFmtId="0" fontId="16" fillId="0" borderId="0" xfId="0" applyFont="1"/>
    <xf numFmtId="49" fontId="16" fillId="6" borderId="1" xfId="4" applyNumberFormat="1" applyFont="1" applyFill="1" applyBorder="1" applyAlignment="1" applyProtection="1">
      <alignment horizontal="center" vertical="center" wrapText="1"/>
    </xf>
    <xf numFmtId="3" fontId="16" fillId="6" borderId="1" xfId="4" applyNumberFormat="1" applyFont="1" applyFill="1" applyBorder="1" applyAlignment="1" applyProtection="1">
      <alignment horizontal="center" vertical="center" wrapText="1"/>
    </xf>
    <xf numFmtId="0" fontId="51" fillId="0" borderId="0" xfId="0" applyFont="1" applyAlignment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7" fontId="51" fillId="0" borderId="0" xfId="3" applyFont="1" applyBorder="1" applyAlignment="1" applyProtection="1">
      <alignment vertical="center"/>
    </xf>
    <xf numFmtId="3" fontId="51" fillId="0" borderId="1" xfId="3" applyNumberFormat="1" applyFont="1" applyFill="1" applyBorder="1" applyAlignment="1" applyProtection="1">
      <alignment horizontal="center"/>
    </xf>
    <xf numFmtId="0" fontId="39" fillId="0" borderId="0" xfId="4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Border="1"/>
    <xf numFmtId="3" fontId="9" fillId="0" borderId="0" xfId="0" applyNumberFormat="1" applyFont="1"/>
    <xf numFmtId="3" fontId="5" fillId="0" borderId="0" xfId="0" applyNumberFormat="1" applyFont="1"/>
    <xf numFmtId="171" fontId="12" fillId="0" borderId="10" xfId="0" applyNumberFormat="1" applyFont="1" applyBorder="1" applyAlignment="1">
      <alignment horizontal="centerContinuous"/>
    </xf>
    <xf numFmtId="3" fontId="53" fillId="0" borderId="0" xfId="0" applyNumberFormat="1" applyFont="1" applyAlignment="1">
      <alignment horizontal="centerContinuous"/>
    </xf>
    <xf numFmtId="3" fontId="54" fillId="0" borderId="0" xfId="0" applyNumberFormat="1" applyFont="1" applyAlignment="1">
      <alignment horizontal="centerContinuous"/>
    </xf>
    <xf numFmtId="0" fontId="54" fillId="0" borderId="0" xfId="0" applyFont="1"/>
    <xf numFmtId="3" fontId="53" fillId="0" borderId="0" xfId="0" applyNumberFormat="1" applyFont="1" applyAlignment="1">
      <alignment horizontal="center"/>
    </xf>
    <xf numFmtId="0" fontId="55" fillId="0" borderId="0" xfId="4" applyNumberFormat="1" applyFont="1" applyFill="1" applyBorder="1" applyAlignment="1" applyProtection="1">
      <alignment vertical="top"/>
    </xf>
    <xf numFmtId="3" fontId="55" fillId="0" borderId="0" xfId="4" applyNumberFormat="1" applyFont="1" applyFill="1" applyBorder="1" applyAlignment="1" applyProtection="1">
      <alignment vertical="top"/>
    </xf>
    <xf numFmtId="9" fontId="45" fillId="5" borderId="1" xfId="2" applyFont="1" applyFill="1" applyBorder="1" applyAlignment="1" applyProtection="1">
      <alignment horizontal="center" vertical="center" wrapText="1"/>
      <protection locked="0"/>
    </xf>
    <xf numFmtId="0" fontId="45" fillId="0" borderId="0" xfId="5" applyNumberFormat="1" applyFont="1" applyFill="1" applyBorder="1" applyAlignment="1" applyProtection="1">
      <alignment horizontal="center" vertical="center"/>
    </xf>
    <xf numFmtId="0" fontId="45" fillId="0" borderId="0" xfId="5" applyNumberFormat="1" applyFont="1" applyFill="1" applyBorder="1" applyAlignment="1" applyProtection="1">
      <alignment vertical="center"/>
    </xf>
    <xf numFmtId="173" fontId="16" fillId="0" borderId="1" xfId="5" applyNumberFormat="1" applyFont="1" applyFill="1" applyBorder="1" applyAlignment="1" applyProtection="1">
      <alignment horizontal="center" vertical="center" wrapText="1"/>
    </xf>
    <xf numFmtId="173" fontId="16" fillId="0" borderId="1" xfId="5" applyNumberFormat="1" applyFont="1" applyFill="1" applyBorder="1" applyAlignment="1" applyProtection="1">
      <alignment horizontal="center" vertical="center" wrapText="1"/>
      <protection locked="0"/>
    </xf>
    <xf numFmtId="173" fontId="14" fillId="0" borderId="1" xfId="5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  <protection locked="0"/>
    </xf>
    <xf numFmtId="173" fontId="17" fillId="5" borderId="1" xfId="7" applyNumberFormat="1" applyFont="1" applyFill="1" applyBorder="1" applyAlignment="1" applyProtection="1">
      <alignment horizontal="center" vertical="center" wrapText="1"/>
    </xf>
    <xf numFmtId="172" fontId="17" fillId="5" borderId="1" xfId="2" applyNumberFormat="1" applyFont="1" applyFill="1" applyBorder="1" applyAlignment="1" applyProtection="1">
      <alignment horizontal="center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</xf>
    <xf numFmtId="3" fontId="10" fillId="0" borderId="1" xfId="3" applyNumberFormat="1" applyFont="1" applyFill="1" applyBorder="1" applyAlignment="1" applyProtection="1">
      <alignment horizontal="center" vertical="center" wrapText="1"/>
    </xf>
    <xf numFmtId="0" fontId="51" fillId="20" borderId="1" xfId="0" applyFont="1" applyFill="1" applyBorder="1" applyAlignment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vertical="top"/>
    </xf>
    <xf numFmtId="9" fontId="35" fillId="0" borderId="0" xfId="10" applyFont="1" applyFill="1" applyBorder="1" applyAlignment="1" applyProtection="1">
      <alignment vertical="top"/>
    </xf>
    <xf numFmtId="0" fontId="35" fillId="0" borderId="0" xfId="9" applyNumberFormat="1" applyFont="1" applyFill="1" applyBorder="1" applyAlignment="1" applyProtection="1">
      <alignment vertical="center"/>
    </xf>
    <xf numFmtId="0" fontId="35" fillId="0" borderId="0" xfId="9" applyNumberFormat="1" applyFont="1" applyFill="1" applyBorder="1" applyAlignment="1" applyProtection="1">
      <alignment horizontal="center" vertical="center"/>
    </xf>
    <xf numFmtId="3" fontId="39" fillId="0" borderId="1" xfId="9" applyNumberFormat="1" applyFont="1" applyFill="1" applyBorder="1" applyAlignment="1" applyProtection="1">
      <alignment horizontal="center" vertical="center" wrapText="1"/>
    </xf>
    <xf numFmtId="0" fontId="57" fillId="0" borderId="0" xfId="9" applyNumberFormat="1" applyFont="1" applyFill="1" applyBorder="1" applyAlignment="1" applyProtection="1">
      <alignment horizontal="center" vertical="center"/>
    </xf>
    <xf numFmtId="0" fontId="31" fillId="20" borderId="1" xfId="0" applyFont="1" applyFill="1" applyBorder="1" applyAlignment="1">
      <alignment horizontal="left" vertical="center" wrapText="1" indent="1"/>
    </xf>
    <xf numFmtId="0" fontId="39" fillId="0" borderId="0" xfId="9" applyNumberFormat="1" applyFont="1" applyFill="1" applyBorder="1" applyAlignment="1" applyProtection="1">
      <alignment horizontal="center" vertical="center"/>
    </xf>
    <xf numFmtId="173" fontId="35" fillId="0" borderId="0" xfId="9" applyNumberFormat="1" applyFont="1" applyFill="1" applyBorder="1" applyAlignment="1" applyProtection="1">
      <alignment horizontal="center" vertical="center" wrapText="1"/>
    </xf>
    <xf numFmtId="0" fontId="16" fillId="0" borderId="0" xfId="9" applyNumberFormat="1" applyFont="1" applyFill="1" applyBorder="1" applyAlignment="1" applyProtection="1">
      <alignment horizontal="center" vertical="top"/>
    </xf>
    <xf numFmtId="0" fontId="16" fillId="0" borderId="0" xfId="9" applyNumberFormat="1" applyFont="1" applyFill="1" applyBorder="1" applyAlignment="1" applyProtection="1">
      <alignment vertical="top"/>
    </xf>
    <xf numFmtId="3" fontId="35" fillId="0" borderId="1" xfId="9" applyNumberFormat="1" applyFont="1" applyFill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39" fillId="21" borderId="1" xfId="9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79" fillId="0" borderId="0" xfId="0" applyFont="1"/>
    <xf numFmtId="14" fontId="79" fillId="0" borderId="0" xfId="0" applyNumberFormat="1" applyFont="1"/>
    <xf numFmtId="0" fontId="79" fillId="0" borderId="0" xfId="0" applyFont="1" applyAlignment="1">
      <alignment wrapText="1"/>
    </xf>
    <xf numFmtId="0" fontId="79" fillId="0" borderId="0" xfId="0" applyFont="1" applyAlignment="1">
      <alignment horizontal="center"/>
    </xf>
    <xf numFmtId="0" fontId="100" fillId="0" borderId="0" xfId="0" applyFont="1"/>
    <xf numFmtId="0" fontId="3" fillId="0" borderId="1" xfId="0" applyFont="1" applyBorder="1" applyAlignment="1">
      <alignment horizontal="left" vertical="center" wrapText="1" indent="2"/>
    </xf>
    <xf numFmtId="14" fontId="79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14" fontId="79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3" fontId="79" fillId="0" borderId="0" xfId="0" applyNumberFormat="1" applyFont="1"/>
    <xf numFmtId="10" fontId="78" fillId="0" borderId="1" xfId="1225" applyNumberFormat="1" applyFont="1" applyBorder="1" applyAlignment="1">
      <alignment horizontal="center" vertical="center" wrapText="1"/>
    </xf>
    <xf numFmtId="183" fontId="79" fillId="0" borderId="18" xfId="1225" applyNumberFormat="1" applyFont="1" applyBorder="1" applyAlignment="1">
      <alignment horizontal="center" vertical="center" wrapText="1"/>
    </xf>
    <xf numFmtId="183" fontId="79" fillId="0" borderId="19" xfId="1225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 indent="2"/>
    </xf>
    <xf numFmtId="49" fontId="6" fillId="0" borderId="1" xfId="0" applyNumberFormat="1" applyFont="1" applyBorder="1" applyAlignment="1">
      <alignment horizontal="center" vertical="center"/>
    </xf>
    <xf numFmtId="170" fontId="79" fillId="0" borderId="0" xfId="3" applyNumberFormat="1" applyFont="1" applyFill="1" applyAlignment="1" applyProtection="1">
      <alignment horizontal="center" vertical="center"/>
      <protection locked="0"/>
    </xf>
    <xf numFmtId="3" fontId="39" fillId="3" borderId="1" xfId="0" applyNumberFormat="1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3" fontId="38" fillId="0" borderId="0" xfId="0" applyNumberFormat="1" applyFont="1" applyAlignment="1">
      <alignment horizontal="center"/>
    </xf>
    <xf numFmtId="0" fontId="99" fillId="0" borderId="0" xfId="0" applyFont="1" applyAlignment="1">
      <alignment horizontal="center" vertical="center" wrapText="1"/>
    </xf>
    <xf numFmtId="0" fontId="41" fillId="0" borderId="0" xfId="0" applyFont="1" applyAlignment="1" applyProtection="1">
      <alignment horizontal="center" vertical="center"/>
      <protection locked="0"/>
    </xf>
    <xf numFmtId="0" fontId="6" fillId="0" borderId="0" xfId="0" applyFont="1"/>
    <xf numFmtId="0" fontId="6" fillId="0" borderId="0" xfId="0" applyFont="1" applyAlignment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 vertical="center"/>
    </xf>
    <xf numFmtId="3" fontId="36" fillId="0" borderId="0" xfId="0" applyNumberFormat="1" applyFont="1" applyAlignment="1">
      <alignment horizontal="centerContinuous" vertical="center"/>
    </xf>
    <xf numFmtId="3" fontId="36" fillId="0" borderId="0" xfId="0" applyNumberFormat="1" applyFont="1" applyAlignment="1">
      <alignment horizontal="centerContinuous"/>
    </xf>
    <xf numFmtId="0" fontId="52" fillId="0" borderId="0" xfId="0" applyFont="1"/>
    <xf numFmtId="3" fontId="5" fillId="0" borderId="0" xfId="0" applyNumberFormat="1" applyFont="1" applyAlignment="1">
      <alignment horizontal="centerContinuous"/>
    </xf>
    <xf numFmtId="0" fontId="42" fillId="0" borderId="0" xfId="0" applyFont="1" applyAlignment="1">
      <alignment horizontal="center"/>
    </xf>
    <xf numFmtId="3" fontId="50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center" vertical="center" textRotation="90" wrapText="1"/>
    </xf>
    <xf numFmtId="3" fontId="4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13" fillId="0" borderId="0" xfId="0" applyNumberFormat="1" applyFont="1"/>
    <xf numFmtId="171" fontId="3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indent="2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3" fontId="29" fillId="0" borderId="1" xfId="0" applyNumberFormat="1" applyFont="1" applyBorder="1" applyAlignment="1">
      <alignment horizontal="center" vertical="center"/>
    </xf>
    <xf numFmtId="3" fontId="3" fillId="0" borderId="0" xfId="0" applyNumberFormat="1" applyFont="1"/>
    <xf numFmtId="171" fontId="3" fillId="0" borderId="0" xfId="0" applyNumberFormat="1" applyFont="1"/>
    <xf numFmtId="3" fontId="6" fillId="0" borderId="0" xfId="0" applyNumberFormat="1" applyFont="1" applyAlignment="1">
      <alignment horizontal="centerContinuous"/>
    </xf>
    <xf numFmtId="3" fontId="11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101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3" fillId="0" borderId="1" xfId="0" applyNumberFormat="1" applyFont="1" applyBorder="1" applyAlignment="1" applyProtection="1">
      <alignment horizontal="left" vertical="center" wrapText="1" indent="1"/>
      <protection locked="0"/>
    </xf>
    <xf numFmtId="0" fontId="15" fillId="0" borderId="0" xfId="0" applyFont="1" applyAlignment="1">
      <alignment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15" fillId="0" borderId="0" xfId="0" applyNumberFormat="1" applyFont="1" applyAlignment="1">
      <alignment vertical="center"/>
    </xf>
    <xf numFmtId="3" fontId="41" fillId="3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 applyProtection="1">
      <alignment horizontal="right" vertical="center" wrapText="1" indent="1"/>
      <protection locked="0"/>
    </xf>
    <xf numFmtId="3" fontId="3" fillId="0" borderId="3" xfId="1288" applyNumberFormat="1" applyBorder="1"/>
    <xf numFmtId="0" fontId="3" fillId="0" borderId="0" xfId="0" applyFont="1" applyAlignment="1">
      <alignment vertical="center" wrapText="1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1" xfId="1288" applyNumberFormat="1" applyBorder="1" applyProtection="1">
      <protection locked="0"/>
    </xf>
    <xf numFmtId="3" fontId="3" fillId="0" borderId="3" xfId="1288" applyNumberFormat="1" applyBorder="1" applyProtection="1">
      <protection locked="0"/>
    </xf>
    <xf numFmtId="0" fontId="28" fillId="0" borderId="0" xfId="0" applyFont="1"/>
    <xf numFmtId="171" fontId="6" fillId="0" borderId="0" xfId="0" applyNumberFormat="1" applyFont="1" applyAlignment="1">
      <alignment horizontal="center"/>
    </xf>
    <xf numFmtId="195" fontId="3" fillId="0" borderId="1" xfId="0" applyNumberFormat="1" applyFont="1" applyBorder="1" applyAlignment="1">
      <alignment horizontal="right" vertical="center"/>
    </xf>
    <xf numFmtId="195" fontId="3" fillId="0" borderId="1" xfId="0" applyNumberFormat="1" applyFont="1" applyBorder="1" applyAlignment="1" applyProtection="1">
      <alignment vertical="center" wrapText="1"/>
      <protection locked="0"/>
    </xf>
    <xf numFmtId="195" fontId="3" fillId="0" borderId="1" xfId="0" applyNumberFormat="1" applyFont="1" applyBorder="1" applyAlignment="1" applyProtection="1">
      <alignment vertical="center"/>
      <protection locked="0"/>
    </xf>
    <xf numFmtId="195" fontId="3" fillId="0" borderId="3" xfId="1288" applyNumberFormat="1" applyBorder="1"/>
    <xf numFmtId="195" fontId="3" fillId="0" borderId="1" xfId="0" applyNumberFormat="1" applyFont="1" applyBorder="1" applyAlignment="1" applyProtection="1">
      <alignment horizontal="right" vertical="center"/>
      <protection locked="0"/>
    </xf>
    <xf numFmtId="3" fontId="35" fillId="3" borderId="5" xfId="0" applyNumberFormat="1" applyFont="1" applyFill="1" applyBorder="1" applyAlignment="1">
      <alignment horizontal="center" vertical="center" wrapText="1"/>
    </xf>
    <xf numFmtId="15" fontId="3" fillId="0" borderId="0" xfId="0" applyNumberFormat="1" applyFont="1"/>
    <xf numFmtId="3" fontId="3" fillId="4" borderId="7" xfId="0" applyNumberFormat="1" applyFont="1" applyFill="1" applyBorder="1" applyAlignment="1">
      <alignment horizontal="right"/>
    </xf>
    <xf numFmtId="3" fontId="3" fillId="0" borderId="3" xfId="1288" applyNumberFormat="1" applyBorder="1" applyAlignment="1">
      <alignment vertical="center"/>
    </xf>
    <xf numFmtId="3" fontId="3" fillId="4" borderId="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wrapText="1"/>
    </xf>
    <xf numFmtId="196" fontId="30" fillId="0" borderId="9" xfId="4" applyNumberFormat="1" applyFont="1" applyFill="1" applyBorder="1" applyAlignment="1" applyProtection="1">
      <alignment vertical="center" wrapText="1"/>
      <protection locked="0"/>
    </xf>
    <xf numFmtId="196" fontId="30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39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8" fillId="0" borderId="5" xfId="0" applyNumberFormat="1" applyFont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 wrapText="1"/>
    </xf>
    <xf numFmtId="3" fontId="16" fillId="0" borderId="0" xfId="5" applyNumberFormat="1" applyFont="1" applyFill="1" applyBorder="1" applyAlignment="1" applyProtection="1">
      <alignment horizontal="center" vertical="center"/>
    </xf>
    <xf numFmtId="197" fontId="100" fillId="0" borderId="0" xfId="3" applyNumberFormat="1" applyFont="1" applyFill="1" applyProtection="1"/>
    <xf numFmtId="197" fontId="99" fillId="0" borderId="0" xfId="3" applyNumberFormat="1" applyFont="1" applyFill="1" applyBorder="1" applyAlignment="1" applyProtection="1">
      <alignment vertical="center" wrapText="1"/>
    </xf>
    <xf numFmtId="197" fontId="79" fillId="0" borderId="0" xfId="3" applyNumberFormat="1" applyFont="1" applyFill="1" applyProtection="1"/>
    <xf numFmtId="197" fontId="9" fillId="0" borderId="0" xfId="3" applyNumberFormat="1" applyFont="1" applyProtection="1">
      <protection locked="0"/>
    </xf>
    <xf numFmtId="3" fontId="103" fillId="0" borderId="0" xfId="0" applyNumberFormat="1" applyFont="1" applyAlignment="1">
      <alignment horizontal="center" vertical="center"/>
    </xf>
    <xf numFmtId="0" fontId="35" fillId="0" borderId="0" xfId="4" applyNumberFormat="1" applyFont="1" applyFill="1" applyBorder="1" applyAlignment="1" applyProtection="1">
      <alignment horizontal="right" vertical="top" indent="2"/>
    </xf>
    <xf numFmtId="15" fontId="35" fillId="0" borderId="0" xfId="4" applyNumberFormat="1" applyFont="1" applyFill="1" applyBorder="1" applyAlignment="1" applyProtection="1">
      <alignment horizontal="center"/>
    </xf>
    <xf numFmtId="49" fontId="14" fillId="5" borderId="1" xfId="4" applyNumberFormat="1" applyFont="1" applyFill="1" applyBorder="1" applyAlignment="1" applyProtection="1">
      <alignment horizontal="center" vertical="center" wrapText="1"/>
    </xf>
    <xf numFmtId="0" fontId="14" fillId="5" borderId="1" xfId="4" applyNumberFormat="1" applyFont="1" applyFill="1" applyBorder="1" applyAlignment="1" applyProtection="1">
      <alignment horizontal="center" vertical="center" wrapText="1"/>
    </xf>
    <xf numFmtId="3" fontId="14" fillId="5" borderId="1" xfId="4" applyNumberFormat="1" applyFont="1" applyFill="1" applyBorder="1" applyAlignment="1" applyProtection="1">
      <alignment horizontal="center" vertical="center" wrapText="1"/>
    </xf>
    <xf numFmtId="49" fontId="14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4" fillId="6" borderId="1" xfId="4" applyNumberFormat="1" applyFont="1" applyFill="1" applyBorder="1" applyAlignment="1" applyProtection="1">
      <alignment horizontal="center" vertical="center" wrapText="1"/>
    </xf>
    <xf numFmtId="49" fontId="16" fillId="0" borderId="1" xfId="4" applyNumberFormat="1" applyFont="1" applyFill="1" applyBorder="1" applyAlignment="1" applyProtection="1">
      <alignment horizontal="center" vertical="center" wrapText="1"/>
    </xf>
    <xf numFmtId="0" fontId="32" fillId="0" borderId="0" xfId="0" applyFont="1"/>
    <xf numFmtId="0" fontId="16" fillId="0" borderId="0" xfId="4" applyNumberFormat="1" applyFont="1" applyFill="1" applyBorder="1" applyAlignment="1" applyProtection="1">
      <alignment vertical="center" wrapText="1"/>
    </xf>
    <xf numFmtId="0" fontId="16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28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3" fontId="3" fillId="0" borderId="3" xfId="0" applyNumberFormat="1" applyFont="1" applyBorder="1" applyAlignment="1">
      <alignment vertical="center"/>
    </xf>
    <xf numFmtId="0" fontId="39" fillId="0" borderId="1" xfId="1225" applyFont="1" applyBorder="1" applyAlignment="1">
      <alignment horizontal="left" vertical="center" wrapText="1"/>
    </xf>
    <xf numFmtId="49" fontId="79" fillId="0" borderId="0" xfId="0" applyNumberFormat="1" applyFont="1"/>
    <xf numFmtId="0" fontId="35" fillId="0" borderId="18" xfId="1225" applyFont="1" applyBorder="1" applyAlignment="1">
      <alignment horizontal="left" vertical="center" wrapText="1" indent="2"/>
    </xf>
    <xf numFmtId="0" fontId="35" fillId="0" borderId="19" xfId="1225" applyFont="1" applyBorder="1" applyAlignment="1">
      <alignment horizontal="left" vertical="center" wrapText="1" indent="2"/>
    </xf>
    <xf numFmtId="0" fontId="78" fillId="0" borderId="1" xfId="1225" applyFont="1" applyBorder="1" applyAlignment="1">
      <alignment horizontal="left" vertical="center" wrapText="1"/>
    </xf>
    <xf numFmtId="0" fontId="79" fillId="0" borderId="18" xfId="1225" applyFont="1" applyBorder="1" applyAlignment="1">
      <alignment horizontal="left" vertical="center" wrapText="1" indent="2"/>
    </xf>
    <xf numFmtId="0" fontId="79" fillId="0" borderId="19" xfId="1225" applyFont="1" applyBorder="1" applyAlignment="1">
      <alignment horizontal="left" vertical="center" wrapText="1" indent="2"/>
    </xf>
    <xf numFmtId="0" fontId="5" fillId="0" borderId="0" xfId="0" applyFont="1" applyAlignment="1">
      <alignment horizontal="centerContinuous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28" fillId="0" borderId="1" xfId="0" applyFont="1" applyBorder="1" applyAlignment="1">
      <alignment horizontal="left" vertical="center" indent="2"/>
    </xf>
    <xf numFmtId="3" fontId="3" fillId="0" borderId="1" xfId="0" applyNumberFormat="1" applyFont="1" applyBorder="1" applyProtection="1">
      <protection locked="0"/>
    </xf>
    <xf numFmtId="0" fontId="3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3" fontId="3" fillId="2" borderId="3" xfId="0" applyNumberFormat="1" applyFont="1" applyFill="1" applyBorder="1"/>
    <xf numFmtId="0" fontId="6" fillId="0" borderId="1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2"/>
    </xf>
    <xf numFmtId="3" fontId="3" fillId="0" borderId="3" xfId="0" applyNumberFormat="1" applyFont="1" applyBorder="1" applyAlignment="1" applyProtection="1">
      <alignment vertical="center"/>
      <protection locked="0"/>
    </xf>
    <xf numFmtId="168" fontId="3" fillId="0" borderId="3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3" xfId="0" quotePrefix="1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3" fontId="36" fillId="0" borderId="0" xfId="0" applyNumberFormat="1" applyFont="1" applyAlignment="1">
      <alignment horizontal="center"/>
    </xf>
    <xf numFmtId="3" fontId="9" fillId="0" borderId="0" xfId="0" applyNumberFormat="1" applyFont="1" applyAlignment="1">
      <alignment vertical="top"/>
    </xf>
    <xf numFmtId="3" fontId="42" fillId="0" borderId="1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left" vertical="center"/>
    </xf>
    <xf numFmtId="170" fontId="3" fillId="0" borderId="0" xfId="3" applyNumberFormat="1" applyFont="1"/>
    <xf numFmtId="170" fontId="106" fillId="0" borderId="0" xfId="3" applyNumberFormat="1" applyFont="1"/>
    <xf numFmtId="170" fontId="3" fillId="0" borderId="0" xfId="3" applyNumberFormat="1" applyFont="1" applyProtection="1"/>
    <xf numFmtId="3" fontId="50" fillId="3" borderId="3" xfId="0" applyNumberFormat="1" applyFont="1" applyFill="1" applyBorder="1" applyAlignment="1">
      <alignment horizontal="center" vertical="center" wrapText="1"/>
    </xf>
    <xf numFmtId="3" fontId="41" fillId="3" borderId="5" xfId="0" applyNumberFormat="1" applyFont="1" applyFill="1" applyBorder="1" applyAlignment="1">
      <alignment horizontal="center" vertical="center" wrapText="1"/>
    </xf>
    <xf numFmtId="170" fontId="6" fillId="0" borderId="0" xfId="3" applyNumberFormat="1" applyFont="1" applyProtection="1"/>
    <xf numFmtId="0" fontId="3" fillId="0" borderId="2" xfId="0" applyFont="1" applyBorder="1" applyAlignment="1" applyProtection="1">
      <alignment horizontal="left" vertical="center" indent="1"/>
      <protection locked="0"/>
    </xf>
    <xf numFmtId="170" fontId="3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3" fillId="0" borderId="0" xfId="3" applyNumberFormat="1" applyFont="1" applyAlignment="1" applyProtection="1">
      <alignment vertical="center"/>
    </xf>
    <xf numFmtId="170" fontId="3" fillId="0" borderId="0" xfId="3" applyNumberFormat="1" applyFont="1" applyBorder="1" applyProtection="1"/>
    <xf numFmtId="170" fontId="3" fillId="0" borderId="0" xfId="3" applyNumberFormat="1" applyFont="1" applyAlignment="1" applyProtection="1">
      <alignment wrapText="1"/>
    </xf>
    <xf numFmtId="3" fontId="5" fillId="0" borderId="0" xfId="0" applyNumberFormat="1" applyFont="1" applyAlignment="1">
      <alignment horizontal="center" vertical="center" wrapText="1"/>
    </xf>
    <xf numFmtId="3" fontId="44" fillId="0" borderId="10" xfId="0" applyNumberFormat="1" applyFont="1" applyBorder="1"/>
    <xf numFmtId="3" fontId="29" fillId="0" borderId="1" xfId="0" applyNumberFormat="1" applyFont="1" applyBorder="1" applyAlignment="1">
      <alignment horizontal="left" vertical="center" wrapText="1" indent="1"/>
    </xf>
    <xf numFmtId="16" fontId="16" fillId="0" borderId="1" xfId="5" applyNumberFormat="1" applyFont="1" applyFill="1" applyBorder="1" applyAlignment="1" applyProtection="1">
      <alignment horizontal="left" vertical="center" wrapText="1" indent="2"/>
    </xf>
    <xf numFmtId="0" fontId="14" fillId="0" borderId="0" xfId="5" applyNumberFormat="1" applyFont="1" applyFill="1" applyBorder="1" applyAlignment="1" applyProtection="1">
      <alignment horizontal="center" vertical="center"/>
    </xf>
    <xf numFmtId="9" fontId="14" fillId="0" borderId="0" xfId="2" applyFont="1" applyFill="1" applyBorder="1" applyAlignment="1" applyProtection="1">
      <alignment horizontal="center" vertical="center"/>
    </xf>
    <xf numFmtId="15" fontId="20" fillId="0" borderId="0" xfId="5" applyNumberFormat="1" applyFont="1" applyFill="1" applyBorder="1" applyAlignment="1" applyProtection="1">
      <alignment horizontal="center"/>
    </xf>
    <xf numFmtId="3" fontId="16" fillId="3" borderId="5" xfId="0" applyNumberFormat="1" applyFont="1" applyFill="1" applyBorder="1" applyAlignment="1">
      <alignment horizontal="center" vertical="center" wrapText="1"/>
    </xf>
    <xf numFmtId="0" fontId="16" fillId="5" borderId="1" xfId="5" applyNumberFormat="1" applyFont="1" applyFill="1" applyBorder="1" applyAlignment="1" applyProtection="1">
      <alignment horizontal="left" vertical="center" wrapText="1" indent="2"/>
    </xf>
    <xf numFmtId="0" fontId="14" fillId="5" borderId="1" xfId="5" applyNumberFormat="1" applyFont="1" applyFill="1" applyBorder="1" applyAlignment="1" applyProtection="1">
      <alignment horizontal="left" vertical="center" wrapText="1" indent="2"/>
    </xf>
    <xf numFmtId="172" fontId="14" fillId="0" borderId="1" xfId="2" applyNumberFormat="1" applyFont="1" applyFill="1" applyBorder="1" applyAlignment="1" applyProtection="1">
      <alignment horizontal="center" vertical="center" wrapText="1"/>
    </xf>
    <xf numFmtId="0" fontId="107" fillId="5" borderId="1" xfId="5" applyNumberFormat="1" applyFont="1" applyFill="1" applyBorder="1" applyAlignment="1" applyProtection="1">
      <alignment horizontal="left" vertical="center" wrapText="1" indent="4"/>
    </xf>
    <xf numFmtId="0" fontId="16" fillId="5" borderId="1" xfId="5" applyNumberFormat="1" applyFont="1" applyFill="1" applyBorder="1" applyAlignment="1" applyProtection="1">
      <alignment horizontal="left" vertical="center" wrapText="1" indent="1"/>
    </xf>
    <xf numFmtId="172" fontId="1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5" applyNumberFormat="1" applyFont="1" applyFill="1" applyBorder="1" applyAlignment="1" applyProtection="1">
      <alignment horizontal="left" vertical="center" wrapText="1" indent="2"/>
    </xf>
    <xf numFmtId="0" fontId="16" fillId="0" borderId="1" xfId="5" applyNumberFormat="1" applyFont="1" applyFill="1" applyBorder="1" applyAlignment="1" applyProtection="1">
      <alignment horizontal="left" vertical="center" wrapText="1" indent="1"/>
    </xf>
    <xf numFmtId="173" fontId="16" fillId="0" borderId="0" xfId="5" applyNumberFormat="1" applyFont="1" applyFill="1" applyBorder="1" applyAlignment="1" applyProtection="1">
      <alignment horizontal="center" vertical="top"/>
    </xf>
    <xf numFmtId="0" fontId="39" fillId="0" borderId="9" xfId="9" applyNumberFormat="1" applyFont="1" applyFill="1" applyBorder="1" applyAlignment="1" applyProtection="1">
      <alignment vertical="center"/>
    </xf>
    <xf numFmtId="3" fontId="35" fillId="3" borderId="1" xfId="0" applyNumberFormat="1" applyFont="1" applyFill="1" applyBorder="1" applyAlignment="1">
      <alignment horizontal="center" vertical="center" wrapText="1"/>
    </xf>
    <xf numFmtId="3" fontId="35" fillId="0" borderId="0" xfId="9" applyNumberFormat="1" applyFont="1" applyFill="1" applyBorder="1" applyAlignment="1" applyProtection="1">
      <alignment horizontal="center" vertical="center"/>
    </xf>
    <xf numFmtId="0" fontId="35" fillId="5" borderId="1" xfId="9" applyNumberFormat="1" applyFont="1" applyFill="1" applyBorder="1" applyAlignment="1" applyProtection="1">
      <alignment horizontal="left" vertical="center" wrapText="1" indent="2"/>
    </xf>
    <xf numFmtId="0" fontId="39" fillId="5" borderId="1" xfId="9" applyNumberFormat="1" applyFont="1" applyFill="1" applyBorder="1" applyAlignment="1" applyProtection="1">
      <alignment horizontal="left" vertical="center" wrapText="1" indent="2"/>
    </xf>
    <xf numFmtId="172" fontId="39" fillId="0" borderId="1" xfId="10" applyNumberFormat="1" applyFont="1" applyFill="1" applyBorder="1" applyAlignment="1" applyProtection="1">
      <alignment horizontal="center" vertical="center" wrapText="1"/>
    </xf>
    <xf numFmtId="3" fontId="39" fillId="0" borderId="0" xfId="9" applyNumberFormat="1" applyFont="1" applyFill="1" applyBorder="1" applyAlignment="1" applyProtection="1">
      <alignment horizontal="center" vertical="center"/>
    </xf>
    <xf numFmtId="0" fontId="35" fillId="21" borderId="1" xfId="9" applyNumberFormat="1" applyFont="1" applyFill="1" applyBorder="1" applyAlignment="1" applyProtection="1">
      <alignment horizontal="center" vertical="center" wrapText="1"/>
    </xf>
    <xf numFmtId="0" fontId="35" fillId="21" borderId="1" xfId="9" applyNumberFormat="1" applyFont="1" applyFill="1" applyBorder="1" applyAlignment="1" applyProtection="1">
      <alignment horizontal="left" vertical="center" wrapText="1" indent="1"/>
    </xf>
    <xf numFmtId="172" fontId="39" fillId="21" borderId="1" xfId="10" applyNumberFormat="1" applyFont="1" applyFill="1" applyBorder="1" applyAlignment="1" applyProtection="1">
      <alignment horizontal="center" vertical="center" wrapText="1"/>
    </xf>
    <xf numFmtId="0" fontId="35" fillId="0" borderId="1" xfId="9" applyNumberFormat="1" applyFont="1" applyFill="1" applyBorder="1" applyAlignment="1" applyProtection="1">
      <alignment horizontal="center" vertical="center" wrapText="1"/>
    </xf>
    <xf numFmtId="0" fontId="35" fillId="5" borderId="1" xfId="9" applyNumberFormat="1" applyFont="1" applyFill="1" applyBorder="1" applyAlignment="1" applyProtection="1">
      <alignment horizontal="left" vertical="center" wrapText="1" indent="1"/>
    </xf>
    <xf numFmtId="172" fontId="35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7" fillId="0" borderId="1" xfId="9" applyNumberFormat="1" applyFont="1" applyFill="1" applyBorder="1" applyAlignment="1" applyProtection="1">
      <alignment horizontal="center" vertical="center" wrapText="1"/>
    </xf>
    <xf numFmtId="0" fontId="57" fillId="5" borderId="1" xfId="9" applyNumberFormat="1" applyFont="1" applyFill="1" applyBorder="1" applyAlignment="1" applyProtection="1">
      <alignment horizontal="left" vertical="center" wrapText="1" indent="1"/>
    </xf>
    <xf numFmtId="0" fontId="35" fillId="0" borderId="1" xfId="9" applyNumberFormat="1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horizontal="center" vertical="center" wrapText="1"/>
    </xf>
    <xf numFmtId="0" fontId="35" fillId="0" borderId="0" xfId="9" applyNumberFormat="1" applyFont="1" applyFill="1" applyBorder="1" applyAlignment="1" applyProtection="1">
      <alignment horizontal="left" vertical="center" wrapText="1" indent="1"/>
    </xf>
    <xf numFmtId="172" fontId="35" fillId="0" borderId="0" xfId="1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left" vertical="center" wrapText="1" indent="2"/>
    </xf>
    <xf numFmtId="3" fontId="45" fillId="0" borderId="0" xfId="5" applyNumberFormat="1" applyFont="1" applyFill="1" applyBorder="1" applyAlignment="1" applyProtection="1">
      <alignment horizontal="center" vertical="center"/>
    </xf>
    <xf numFmtId="0" fontId="21" fillId="5" borderId="1" xfId="5" applyNumberFormat="1" applyFont="1" applyFill="1" applyBorder="1" applyAlignment="1" applyProtection="1">
      <alignment horizontal="left" vertical="center" wrapText="1" indent="1"/>
    </xf>
    <xf numFmtId="3" fontId="21" fillId="0" borderId="0" xfId="5" applyNumberFormat="1" applyFont="1" applyFill="1" applyBorder="1" applyAlignment="1" applyProtection="1">
      <alignment horizontal="center" vertical="center"/>
    </xf>
    <xf numFmtId="171" fontId="6" fillId="0" borderId="0" xfId="0" quotePrefix="1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6" fillId="0" borderId="1" xfId="0" applyFont="1" applyBorder="1" applyAlignment="1">
      <alignment horizontal="center" vertical="center"/>
    </xf>
    <xf numFmtId="169" fontId="3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4"/>
    </xf>
    <xf numFmtId="0" fontId="104" fillId="0" borderId="1" xfId="0" applyFont="1" applyBorder="1" applyAlignment="1">
      <alignment horizontal="left" vertical="center" indent="4"/>
    </xf>
    <xf numFmtId="0" fontId="104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4"/>
    </xf>
    <xf numFmtId="0" fontId="29" fillId="0" borderId="1" xfId="0" applyFont="1" applyBorder="1" applyAlignment="1">
      <alignment horizontal="left" vertical="center" wrapText="1" indent="5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70" fontId="79" fillId="0" borderId="0" xfId="3" applyNumberFormat="1" applyFont="1" applyFill="1" applyAlignment="1" applyProtection="1">
      <alignment vertical="center"/>
    </xf>
    <xf numFmtId="170" fontId="78" fillId="0" borderId="0" xfId="3" applyNumberFormat="1" applyFont="1" applyFill="1" applyAlignment="1" applyProtection="1">
      <alignment vertical="center"/>
    </xf>
    <xf numFmtId="171" fontId="3" fillId="0" borderId="0" xfId="0" applyNumberFormat="1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13" fillId="3" borderId="1" xfId="0" applyNumberFormat="1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 vertical="center"/>
    </xf>
    <xf numFmtId="3" fontId="13" fillId="3" borderId="1" xfId="0" applyNumberFormat="1" applyFont="1" applyFill="1" applyBorder="1"/>
    <xf numFmtId="3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left" vertical="center" indent="2"/>
    </xf>
    <xf numFmtId="3" fontId="13" fillId="0" borderId="1" xfId="0" applyNumberFormat="1" applyFont="1" applyBorder="1" applyAlignment="1">
      <alignment vertical="center"/>
    </xf>
    <xf numFmtId="3" fontId="13" fillId="3" borderId="1" xfId="0" applyNumberFormat="1" applyFont="1" applyFill="1" applyBorder="1" applyAlignment="1">
      <alignment vertical="center"/>
    </xf>
    <xf numFmtId="9" fontId="13" fillId="3" borderId="1" xfId="2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3" fontId="11" fillId="0" borderId="1" xfId="0" applyNumberFormat="1" applyFont="1" applyBorder="1" applyAlignment="1">
      <alignment horizontal="left" vertical="center" indent="2"/>
    </xf>
    <xf numFmtId="3" fontId="6" fillId="0" borderId="1" xfId="0" applyNumberFormat="1" applyFont="1" applyBorder="1" applyAlignment="1">
      <alignment horizontal="right" vertical="center" wrapText="1"/>
    </xf>
    <xf numFmtId="196" fontId="17" fillId="3" borderId="1" xfId="0" applyNumberFormat="1" applyFont="1" applyFill="1" applyBorder="1" applyAlignment="1">
      <alignment horizontal="center" vertical="center" wrapText="1"/>
    </xf>
    <xf numFmtId="170" fontId="45" fillId="0" borderId="0" xfId="3" applyNumberFormat="1" applyFont="1" applyFill="1" applyBorder="1" applyAlignment="1" applyProtection="1">
      <alignment horizontal="center" vertical="top"/>
    </xf>
    <xf numFmtId="3" fontId="45" fillId="0" borderId="0" xfId="5" applyNumberFormat="1" applyFont="1" applyFill="1" applyBorder="1" applyAlignment="1" applyProtection="1">
      <alignment horizontal="center" vertical="top"/>
    </xf>
    <xf numFmtId="170" fontId="45" fillId="0" borderId="0" xfId="3" applyNumberFormat="1" applyFont="1" applyFill="1" applyBorder="1" applyAlignment="1" applyProtection="1">
      <alignment vertical="top"/>
    </xf>
    <xf numFmtId="0" fontId="45" fillId="0" borderId="0" xfId="5" applyNumberFormat="1" applyFont="1" applyFill="1" applyBorder="1" applyAlignment="1" applyProtection="1">
      <alignment vertical="top"/>
    </xf>
    <xf numFmtId="0" fontId="109" fillId="0" borderId="0" xfId="0" applyFont="1" applyAlignment="1">
      <alignment vertical="center"/>
    </xf>
    <xf numFmtId="0" fontId="14" fillId="0" borderId="0" xfId="4" applyNumberFormat="1" applyFont="1" applyFill="1" applyBorder="1" applyAlignment="1" applyProtection="1">
      <alignment vertical="center"/>
    </xf>
    <xf numFmtId="3" fontId="38" fillId="3" borderId="5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09" fillId="0" borderId="0" xfId="0" applyFont="1" applyAlignment="1">
      <alignment horizontal="justify" vertical="center"/>
    </xf>
    <xf numFmtId="0" fontId="112" fillId="0" borderId="0" xfId="0" applyFont="1"/>
    <xf numFmtId="0" fontId="113" fillId="0" borderId="0" xfId="0" applyFont="1"/>
    <xf numFmtId="0" fontId="114" fillId="0" borderId="0" xfId="5" applyNumberFormat="1" applyFont="1" applyFill="1" applyBorder="1" applyAlignment="1" applyProtection="1">
      <alignment horizontal="center" vertical="top"/>
    </xf>
    <xf numFmtId="170" fontId="114" fillId="0" borderId="0" xfId="3" applyNumberFormat="1" applyFont="1" applyFill="1" applyBorder="1" applyAlignment="1" applyProtection="1">
      <alignment horizontal="center" vertical="top"/>
    </xf>
    <xf numFmtId="0" fontId="114" fillId="0" borderId="0" xfId="5" applyNumberFormat="1" applyFont="1" applyFill="1" applyBorder="1" applyAlignment="1" applyProtection="1">
      <alignment vertical="top"/>
    </xf>
    <xf numFmtId="170" fontId="114" fillId="0" borderId="0" xfId="3" applyNumberFormat="1" applyFont="1" applyFill="1" applyBorder="1" applyAlignment="1" applyProtection="1">
      <alignment vertical="top"/>
    </xf>
    <xf numFmtId="173" fontId="114" fillId="0" borderId="0" xfId="5" applyNumberFormat="1" applyFont="1" applyFill="1" applyBorder="1" applyAlignment="1" applyProtection="1">
      <alignment horizontal="center" vertical="top"/>
    </xf>
    <xf numFmtId="9" fontId="114" fillId="0" borderId="0" xfId="2" applyFont="1" applyFill="1" applyBorder="1" applyAlignment="1" applyProtection="1">
      <alignment vertical="top"/>
    </xf>
    <xf numFmtId="3" fontId="114" fillId="0" borderId="0" xfId="5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Border="1" applyAlignment="1">
      <alignment horizontal="center"/>
    </xf>
    <xf numFmtId="3" fontId="28" fillId="0" borderId="1" xfId="0" applyNumberFormat="1" applyFont="1" applyBorder="1"/>
    <xf numFmtId="3" fontId="28" fillId="2" borderId="3" xfId="0" applyNumberFormat="1" applyFont="1" applyFill="1" applyBorder="1"/>
    <xf numFmtId="0" fontId="110" fillId="0" borderId="0" xfId="0" applyFont="1"/>
    <xf numFmtId="0" fontId="111" fillId="0" borderId="0" xfId="0" applyFont="1" applyAlignment="1">
      <alignment vertical="center"/>
    </xf>
    <xf numFmtId="0" fontId="111" fillId="0" borderId="0" xfId="0" applyFont="1"/>
    <xf numFmtId="3" fontId="39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5" fillId="0" borderId="0" xfId="3" applyNumberFormat="1" applyFont="1" applyFill="1" applyBorder="1" applyAlignment="1" applyProtection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indent="2"/>
    </xf>
    <xf numFmtId="0" fontId="78" fillId="0" borderId="0" xfId="0" applyFont="1" applyAlignment="1">
      <alignment horizontal="left" vertical="center" wrapText="1" indent="2"/>
    </xf>
    <xf numFmtId="0" fontId="12" fillId="0" borderId="0" xfId="0" applyFont="1"/>
    <xf numFmtId="3" fontId="28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8" fillId="0" borderId="1" xfId="0" applyNumberFormat="1" applyFont="1" applyBorder="1" applyAlignment="1">
      <alignment vertical="center" wrapText="1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3" fontId="0" fillId="0" borderId="1" xfId="0" applyNumberFormat="1" applyBorder="1" applyAlignment="1" applyProtection="1">
      <alignment horizontal="right" vertical="center" wrapText="1"/>
      <protection locked="0"/>
    </xf>
    <xf numFmtId="3" fontId="41" fillId="3" borderId="1" xfId="0" applyNumberFormat="1" applyFont="1" applyFill="1" applyBorder="1" applyAlignment="1">
      <alignment horizontal="center" vertical="center"/>
    </xf>
    <xf numFmtId="3" fontId="41" fillId="3" borderId="1" xfId="0" applyNumberFormat="1" applyFont="1" applyFill="1" applyBorder="1" applyAlignment="1">
      <alignment vertical="center"/>
    </xf>
    <xf numFmtId="0" fontId="41" fillId="0" borderId="0" xfId="0" applyFont="1"/>
    <xf numFmtId="3" fontId="41" fillId="0" borderId="0" xfId="0" applyNumberFormat="1" applyFont="1"/>
    <xf numFmtId="3" fontId="9" fillId="3" borderId="1" xfId="0" applyNumberFormat="1" applyFont="1" applyFill="1" applyBorder="1" applyAlignment="1">
      <alignment horizontal="center" vertical="center" wrapText="1"/>
    </xf>
    <xf numFmtId="9" fontId="9" fillId="3" borderId="1" xfId="2" applyFont="1" applyFill="1" applyBorder="1" applyAlignment="1" applyProtection="1">
      <alignment horizontal="center" vertical="center" wrapText="1"/>
    </xf>
    <xf numFmtId="9" fontId="9" fillId="0" borderId="1" xfId="0" applyNumberFormat="1" applyFont="1" applyBorder="1"/>
    <xf numFmtId="167" fontId="35" fillId="0" borderId="0" xfId="3" applyFont="1" applyFill="1" applyBorder="1" applyAlignment="1" applyProtection="1">
      <alignment horizontal="center" vertical="center"/>
    </xf>
    <xf numFmtId="167" fontId="45" fillId="0" borderId="0" xfId="3" applyFont="1" applyFill="1" applyBorder="1" applyAlignment="1" applyProtection="1">
      <alignment horizontal="center" vertical="center"/>
    </xf>
    <xf numFmtId="198" fontId="45" fillId="0" borderId="0" xfId="3" applyNumberFormat="1" applyFont="1" applyFill="1" applyBorder="1" applyAlignment="1" applyProtection="1">
      <alignment horizontal="center" vertical="top"/>
    </xf>
    <xf numFmtId="3" fontId="9" fillId="0" borderId="0" xfId="0" applyNumberFormat="1" applyFont="1" applyAlignment="1">
      <alignment horizontal="center" vertical="center"/>
    </xf>
    <xf numFmtId="172" fontId="35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3" fillId="0" borderId="0" xfId="3" applyFont="1"/>
    <xf numFmtId="167" fontId="14" fillId="0" borderId="0" xfId="3" applyFont="1" applyFill="1" applyBorder="1" applyAlignment="1" applyProtection="1">
      <alignment horizontal="center" vertical="center"/>
    </xf>
    <xf numFmtId="167" fontId="109" fillId="0" borderId="0" xfId="3" applyFont="1" applyAlignment="1">
      <alignment vertical="center"/>
    </xf>
    <xf numFmtId="167" fontId="16" fillId="0" borderId="0" xfId="3" applyFont="1" applyFill="1" applyBorder="1" applyAlignment="1" applyProtection="1">
      <alignment vertical="center"/>
    </xf>
    <xf numFmtId="167" fontId="14" fillId="0" borderId="0" xfId="3" applyFont="1" applyFill="1" applyBorder="1" applyAlignment="1" applyProtection="1">
      <alignment vertical="center"/>
    </xf>
    <xf numFmtId="3" fontId="11" fillId="3" borderId="1" xfId="0" applyNumberFormat="1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" fontId="28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 applyProtection="1">
      <alignment vertical="center" wrapText="1"/>
      <protection locked="0"/>
    </xf>
    <xf numFmtId="3" fontId="3" fillId="0" borderId="3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horizontal="center" vertical="center"/>
      <protection locked="0"/>
    </xf>
    <xf numFmtId="3" fontId="3" fillId="0" borderId="3" xfId="0" applyNumberFormat="1" applyFont="1" applyBorder="1" applyAlignment="1">
      <alignment horizontal="right" vertical="center"/>
    </xf>
    <xf numFmtId="0" fontId="56" fillId="0" borderId="0" xfId="4" quotePrefix="1" applyNumberFormat="1" applyFont="1" applyFill="1" applyBorder="1" applyAlignment="1" applyProtection="1">
      <alignment horizontal="center" vertical="top"/>
      <protection locked="0"/>
    </xf>
    <xf numFmtId="3" fontId="38" fillId="3" borderId="1" xfId="0" applyNumberFormat="1" applyFont="1" applyFill="1" applyBorder="1" applyAlignment="1">
      <alignment horizontal="center" vertical="center" wrapText="1"/>
    </xf>
    <xf numFmtId="172" fontId="16" fillId="0" borderId="1" xfId="2" applyNumberFormat="1" applyFont="1" applyFill="1" applyBorder="1" applyAlignment="1" applyProtection="1">
      <alignment horizontal="center" vertical="center" wrapText="1"/>
    </xf>
    <xf numFmtId="172" fontId="35" fillId="0" borderId="1" xfId="10" applyNumberFormat="1" applyFont="1" applyFill="1" applyBorder="1" applyAlignment="1" applyProtection="1">
      <alignment horizontal="center" vertical="center" wrapText="1"/>
    </xf>
    <xf numFmtId="9" fontId="45" fillId="5" borderId="1" xfId="2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vertical="center"/>
      <protection locked="0"/>
    </xf>
    <xf numFmtId="195" fontId="28" fillId="0" borderId="1" xfId="0" applyNumberFormat="1" applyFont="1" applyBorder="1" applyAlignment="1">
      <alignment vertical="center"/>
    </xf>
    <xf numFmtId="195" fontId="11" fillId="3" borderId="1" xfId="0" applyNumberFormat="1" applyFont="1" applyFill="1" applyBorder="1" applyAlignment="1">
      <alignment horizontal="center" vertical="center" wrapText="1"/>
    </xf>
    <xf numFmtId="167" fontId="3" fillId="0" borderId="0" xfId="3" applyFont="1" applyProtection="1"/>
    <xf numFmtId="167" fontId="3" fillId="0" borderId="0" xfId="3" applyFont="1" applyBorder="1" applyProtection="1"/>
    <xf numFmtId="195" fontId="28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6" fillId="0" borderId="1" xfId="0" applyNumberFormat="1" applyFont="1" applyBorder="1" applyAlignment="1">
      <alignment vertical="center" wrapText="1"/>
    </xf>
    <xf numFmtId="195" fontId="6" fillId="0" borderId="1" xfId="0" applyNumberFormat="1" applyFont="1" applyBorder="1" applyAlignment="1">
      <alignment horizontal="center" vertical="center" wrapText="1"/>
    </xf>
    <xf numFmtId="195" fontId="28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34" fillId="0" borderId="0" xfId="0" applyFont="1"/>
    <xf numFmtId="0" fontId="115" fillId="0" borderId="0" xfId="0" applyFont="1"/>
    <xf numFmtId="3" fontId="34" fillId="0" borderId="0" xfId="0" applyNumberFormat="1" applyFont="1"/>
    <xf numFmtId="195" fontId="34" fillId="0" borderId="0" xfId="0" applyNumberFormat="1" applyFont="1"/>
    <xf numFmtId="195" fontId="3" fillId="0" borderId="0" xfId="0" applyNumberFormat="1" applyFont="1"/>
    <xf numFmtId="3" fontId="0" fillId="0" borderId="1" xfId="0" applyNumberFormat="1" applyBorder="1" applyAlignment="1" applyProtection="1">
      <alignment horizontal="right" vertical="center"/>
      <protection locked="0"/>
    </xf>
    <xf numFmtId="3" fontId="0" fillId="0" borderId="3" xfId="0" applyNumberFormat="1" applyBorder="1" applyAlignment="1">
      <alignment vertical="center"/>
    </xf>
    <xf numFmtId="0" fontId="117" fillId="0" borderId="0" xfId="0" applyFont="1" applyProtection="1">
      <protection hidden="1"/>
    </xf>
    <xf numFmtId="3" fontId="117" fillId="0" borderId="0" xfId="0" applyNumberFormat="1" applyFont="1" applyProtection="1">
      <protection hidden="1"/>
    </xf>
    <xf numFmtId="0" fontId="117" fillId="0" borderId="0" xfId="0" applyFont="1"/>
    <xf numFmtId="0" fontId="42" fillId="0" borderId="0" xfId="0" applyFont="1" applyAlignment="1">
      <alignment horizontal="center" vertical="center" wrapText="1"/>
    </xf>
    <xf numFmtId="198" fontId="118" fillId="0" borderId="0" xfId="3" applyNumberFormat="1" applyFont="1" applyBorder="1" applyProtection="1"/>
    <xf numFmtId="0" fontId="42" fillId="0" borderId="0" xfId="0" applyFont="1" applyAlignment="1">
      <alignment horizontal="center" wrapText="1"/>
    </xf>
    <xf numFmtId="171" fontId="0" fillId="0" borderId="0" xfId="0" applyNumberFormat="1" applyAlignment="1">
      <alignment horizontal="center" wrapText="1"/>
    </xf>
    <xf numFmtId="196" fontId="119" fillId="0" borderId="9" xfId="4" applyNumberFormat="1" applyFont="1" applyFill="1" applyBorder="1" applyAlignment="1" applyProtection="1">
      <alignment vertical="center" wrapText="1"/>
      <protection locked="0"/>
    </xf>
    <xf numFmtId="0" fontId="28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wrapText="1" indent="1"/>
    </xf>
    <xf numFmtId="3" fontId="0" fillId="0" borderId="3" xfId="0" applyNumberFormat="1" applyBorder="1" applyAlignment="1" applyProtection="1">
      <alignment vertical="center"/>
      <protection locked="0"/>
    </xf>
    <xf numFmtId="0" fontId="28" fillId="0" borderId="2" xfId="0" quotePrefix="1" applyFont="1" applyBorder="1" applyAlignment="1">
      <alignment horizontal="left" vertical="center" indent="1"/>
    </xf>
    <xf numFmtId="3" fontId="0" fillId="2" borderId="3" xfId="0" applyNumberFormat="1" applyFill="1" applyBorder="1" applyAlignment="1">
      <alignment vertical="center"/>
    </xf>
    <xf numFmtId="198" fontId="120" fillId="0" borderId="0" xfId="3" applyNumberFormat="1" applyFont="1" applyBorder="1" applyProtection="1"/>
    <xf numFmtId="0" fontId="28" fillId="0" borderId="2" xfId="0" quotePrefix="1" applyFont="1" applyBorder="1" applyAlignment="1">
      <alignment horizontal="center" vertical="center" wrapText="1"/>
    </xf>
    <xf numFmtId="0" fontId="121" fillId="0" borderId="0" xfId="0" applyFont="1"/>
    <xf numFmtId="3" fontId="0" fillId="4" borderId="1" xfId="0" applyNumberFormat="1" applyFill="1" applyBorder="1" applyAlignment="1">
      <alignment horizontal="right" vertical="center"/>
    </xf>
    <xf numFmtId="198" fontId="118" fillId="0" borderId="0" xfId="3" quotePrefix="1" applyNumberFormat="1" applyFont="1" applyBorder="1" applyAlignment="1" applyProtection="1">
      <alignment horizontal="left"/>
    </xf>
    <xf numFmtId="0" fontId="122" fillId="0" borderId="0" xfId="0" applyFont="1"/>
    <xf numFmtId="198" fontId="122" fillId="0" borderId="0" xfId="3" applyNumberFormat="1" applyFont="1" applyBorder="1" applyProtection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7" fontId="123" fillId="0" borderId="0" xfId="3" applyFont="1" applyFill="1" applyBorder="1" applyAlignment="1" applyProtection="1">
      <alignment vertical="top"/>
    </xf>
    <xf numFmtId="3" fontId="117" fillId="0" borderId="0" xfId="0" applyNumberFormat="1" applyFont="1" applyAlignment="1">
      <alignment vertical="center"/>
    </xf>
    <xf numFmtId="0" fontId="117" fillId="0" borderId="0" xfId="0" applyFont="1" applyAlignment="1">
      <alignment vertical="center"/>
    </xf>
    <xf numFmtId="167" fontId="117" fillId="0" borderId="0" xfId="3" applyFont="1" applyAlignment="1" applyProtection="1">
      <alignment horizontal="center" vertical="center"/>
    </xf>
    <xf numFmtId="167" fontId="117" fillId="0" borderId="0" xfId="3" applyFont="1" applyProtection="1"/>
    <xf numFmtId="167" fontId="117" fillId="0" borderId="0" xfId="3" applyFont="1" applyBorder="1" applyProtection="1"/>
    <xf numFmtId="3" fontId="116" fillId="0" borderId="0" xfId="0" applyNumberFormat="1" applyFont="1"/>
    <xf numFmtId="0" fontId="116" fillId="0" borderId="0" xfId="0" applyFont="1"/>
    <xf numFmtId="3" fontId="9" fillId="0" borderId="0" xfId="0" applyNumberFormat="1" applyFont="1" applyAlignment="1">
      <alignment vertical="center"/>
    </xf>
    <xf numFmtId="167" fontId="33" fillId="0" borderId="0" xfId="3" applyFont="1" applyAlignment="1">
      <alignment vertical="center"/>
    </xf>
    <xf numFmtId="167" fontId="33" fillId="0" borderId="0" xfId="3" applyFont="1" applyFill="1" applyAlignment="1">
      <alignment vertical="center"/>
    </xf>
    <xf numFmtId="167" fontId="33" fillId="0" borderId="0" xfId="3" applyFont="1"/>
    <xf numFmtId="167" fontId="33" fillId="0" borderId="0" xfId="3" applyFont="1" applyBorder="1" applyProtection="1"/>
    <xf numFmtId="0" fontId="124" fillId="0" borderId="0" xfId="0" applyFont="1" applyAlignment="1">
      <alignment horizontal="center"/>
    </xf>
    <xf numFmtId="3" fontId="38" fillId="3" borderId="5" xfId="0" applyNumberFormat="1" applyFont="1" applyFill="1" applyBorder="1" applyAlignment="1">
      <alignment horizontal="center" vertical="center" wrapText="1"/>
    </xf>
    <xf numFmtId="3" fontId="38" fillId="3" borderId="12" xfId="0" applyNumberFormat="1" applyFont="1" applyFill="1" applyBorder="1" applyAlignment="1">
      <alignment horizontal="center" vertical="center" wrapText="1"/>
    </xf>
    <xf numFmtId="3" fontId="38" fillId="3" borderId="3" xfId="0" applyNumberFormat="1" applyFont="1" applyFill="1" applyBorder="1" applyAlignment="1">
      <alignment horizontal="center" vertical="center" wrapText="1"/>
    </xf>
    <xf numFmtId="3" fontId="38" fillId="3" borderId="1" xfId="0" applyNumberFormat="1" applyFont="1" applyFill="1" applyBorder="1" applyAlignment="1">
      <alignment horizontal="center" vertical="center" wrapText="1"/>
    </xf>
    <xf numFmtId="196" fontId="39" fillId="0" borderId="9" xfId="4" applyNumberFormat="1" applyFont="1" applyFill="1" applyBorder="1" applyAlignment="1" applyProtection="1">
      <alignment horizontal="center" vertical="center" wrapText="1"/>
      <protection locked="0"/>
    </xf>
    <xf numFmtId="0" fontId="102" fillId="0" borderId="0" xfId="4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/>
    </xf>
    <xf numFmtId="0" fontId="38" fillId="0" borderId="0" xfId="0" applyFont="1" applyAlignment="1">
      <alignment horizontal="center" vertical="center" wrapText="1"/>
    </xf>
    <xf numFmtId="3" fontId="38" fillId="3" borderId="7" xfId="0" applyNumberFormat="1" applyFont="1" applyFill="1" applyBorder="1" applyAlignment="1">
      <alignment horizontal="center" vertical="center" wrapText="1"/>
    </xf>
    <xf numFmtId="3" fontId="38" fillId="3" borderId="11" xfId="0" applyNumberFormat="1" applyFont="1" applyFill="1" applyBorder="1" applyAlignment="1">
      <alignment horizontal="center" vertical="center" wrapText="1"/>
    </xf>
    <xf numFmtId="3" fontId="38" fillId="3" borderId="15" xfId="0" applyNumberFormat="1" applyFont="1" applyFill="1" applyBorder="1" applyAlignment="1">
      <alignment horizontal="center" vertical="center" wrapText="1"/>
    </xf>
    <xf numFmtId="3" fontId="38" fillId="3" borderId="10" xfId="0" applyNumberFormat="1" applyFont="1" applyFill="1" applyBorder="1" applyAlignment="1">
      <alignment horizontal="center" vertical="center" wrapText="1"/>
    </xf>
    <xf numFmtId="3" fontId="38" fillId="3" borderId="0" xfId="0" applyNumberFormat="1" applyFont="1" applyFill="1" applyAlignment="1">
      <alignment horizontal="center" vertical="center" wrapText="1"/>
    </xf>
    <xf numFmtId="3" fontId="38" fillId="3" borderId="13" xfId="0" applyNumberFormat="1" applyFont="1" applyFill="1" applyBorder="1" applyAlignment="1">
      <alignment horizontal="center" vertical="center" wrapText="1"/>
    </xf>
    <xf numFmtId="3" fontId="38" fillId="3" borderId="2" xfId="0" applyNumberFormat="1" applyFont="1" applyFill="1" applyBorder="1" applyAlignment="1">
      <alignment horizontal="center" vertical="center" wrapText="1"/>
    </xf>
    <xf numFmtId="3" fontId="38" fillId="3" borderId="9" xfId="0" applyNumberFormat="1" applyFont="1" applyFill="1" applyBorder="1" applyAlignment="1">
      <alignment horizontal="center" vertical="center" wrapText="1"/>
    </xf>
    <xf numFmtId="3" fontId="38" fillId="3" borderId="14" xfId="0" applyNumberFormat="1" applyFont="1" applyFill="1" applyBorder="1" applyAlignment="1">
      <alignment horizontal="center" vertical="center" wrapText="1"/>
    </xf>
    <xf numFmtId="3" fontId="38" fillId="3" borderId="4" xfId="0" applyNumberFormat="1" applyFont="1" applyFill="1" applyBorder="1" applyAlignment="1">
      <alignment horizontal="center" vertical="center" wrapText="1"/>
    </xf>
    <xf numFmtId="3" fontId="38" fillId="3" borderId="8" xfId="0" applyNumberFormat="1" applyFont="1" applyFill="1" applyBorder="1" applyAlignment="1">
      <alignment horizontal="center" vertical="center" wrapText="1"/>
    </xf>
    <xf numFmtId="3" fontId="38" fillId="3" borderId="6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 wrapText="1"/>
    </xf>
    <xf numFmtId="3" fontId="13" fillId="3" borderId="5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/>
    </xf>
    <xf numFmtId="3" fontId="13" fillId="3" borderId="3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 wrapText="1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3" xfId="0" applyNumberFormat="1" applyFont="1" applyFill="1" applyBorder="1" applyAlignment="1">
      <alignment horizontal="center" vertical="center" wrapText="1"/>
    </xf>
    <xf numFmtId="3" fontId="13" fillId="3" borderId="4" xfId="0" applyNumberFormat="1" applyFont="1" applyFill="1" applyBorder="1" applyAlignment="1">
      <alignment horizontal="center" vertical="center" wrapText="1"/>
    </xf>
    <xf numFmtId="3" fontId="13" fillId="3" borderId="6" xfId="0" applyNumberFormat="1" applyFont="1" applyFill="1" applyBorder="1" applyAlignment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 textRotation="90" wrapText="1"/>
    </xf>
    <xf numFmtId="3" fontId="13" fillId="3" borderId="3" xfId="0" applyNumberFormat="1" applyFont="1" applyFill="1" applyBorder="1" applyAlignment="1">
      <alignment horizontal="center" vertical="center" textRotation="90" wrapText="1"/>
    </xf>
    <xf numFmtId="3" fontId="42" fillId="3" borderId="4" xfId="0" applyNumberFormat="1" applyFont="1" applyFill="1" applyBorder="1" applyAlignment="1">
      <alignment horizontal="center" vertical="center" wrapText="1"/>
    </xf>
    <xf numFmtId="3" fontId="42" fillId="3" borderId="6" xfId="0" applyNumberFormat="1" applyFont="1" applyFill="1" applyBorder="1" applyAlignment="1">
      <alignment horizontal="center" vertical="center" wrapText="1"/>
    </xf>
    <xf numFmtId="3" fontId="42" fillId="3" borderId="8" xfId="0" applyNumberFormat="1" applyFont="1" applyFill="1" applyBorder="1" applyAlignment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196" fontId="85" fillId="0" borderId="9" xfId="4" applyNumberFormat="1" applyFont="1" applyFill="1" applyBorder="1" applyAlignment="1" applyProtection="1">
      <alignment horizontal="center" vertical="center" wrapText="1"/>
    </xf>
    <xf numFmtId="3" fontId="6" fillId="0" borderId="5" xfId="0" quotePrefix="1" applyNumberFormat="1" applyFont="1" applyBorder="1" applyAlignment="1">
      <alignment horizontal="center" vertical="center"/>
    </xf>
    <xf numFmtId="3" fontId="6" fillId="0" borderId="3" xfId="0" quotePrefix="1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 textRotation="90" wrapText="1"/>
    </xf>
    <xf numFmtId="3" fontId="6" fillId="0" borderId="3" xfId="0" applyNumberFormat="1" applyFont="1" applyBorder="1" applyAlignment="1">
      <alignment horizontal="center" vertical="center" textRotation="90" wrapText="1"/>
    </xf>
    <xf numFmtId="3" fontId="28" fillId="0" borderId="4" xfId="0" applyNumberFormat="1" applyFont="1" applyBorder="1" applyAlignment="1">
      <alignment horizontal="center" vertical="center" wrapText="1"/>
    </xf>
    <xf numFmtId="3" fontId="28" fillId="0" borderId="8" xfId="0" applyNumberFormat="1" applyFont="1" applyBorder="1" applyAlignment="1">
      <alignment horizontal="center" vertical="center" wrapText="1"/>
    </xf>
    <xf numFmtId="3" fontId="41" fillId="3" borderId="5" xfId="0" applyNumberFormat="1" applyFont="1" applyFill="1" applyBorder="1" applyAlignment="1">
      <alignment horizontal="center" vertical="center" textRotation="90" wrapText="1"/>
    </xf>
    <xf numFmtId="3" fontId="41" fillId="3" borderId="12" xfId="0" applyNumberFormat="1" applyFont="1" applyFill="1" applyBorder="1" applyAlignment="1">
      <alignment horizontal="center" vertical="center" textRotation="90" wrapText="1"/>
    </xf>
    <xf numFmtId="3" fontId="41" fillId="3" borderId="3" xfId="0" applyNumberFormat="1" applyFont="1" applyFill="1" applyBorder="1" applyAlignment="1">
      <alignment horizontal="center" vertical="center" textRotation="90" wrapText="1"/>
    </xf>
    <xf numFmtId="3" fontId="50" fillId="3" borderId="4" xfId="0" applyNumberFormat="1" applyFont="1" applyFill="1" applyBorder="1" applyAlignment="1">
      <alignment horizontal="center" vertical="center" wrapText="1"/>
    </xf>
    <xf numFmtId="3" fontId="50" fillId="3" borderId="8" xfId="0" applyNumberFormat="1" applyFont="1" applyFill="1" applyBorder="1" applyAlignment="1">
      <alignment horizontal="center" vertical="center" wrapText="1"/>
    </xf>
    <xf numFmtId="3" fontId="50" fillId="3" borderId="6" xfId="0" applyNumberFormat="1" applyFont="1" applyFill="1" applyBorder="1" applyAlignment="1">
      <alignment horizontal="center" vertical="center" wrapText="1"/>
    </xf>
    <xf numFmtId="3" fontId="41" fillId="3" borderId="4" xfId="0" applyNumberFormat="1" applyFont="1" applyFill="1" applyBorder="1" applyAlignment="1">
      <alignment horizontal="center" vertical="center" textRotation="90" wrapText="1"/>
    </xf>
    <xf numFmtId="3" fontId="41" fillId="3" borderId="6" xfId="0" applyNumberFormat="1" applyFont="1" applyFill="1" applyBorder="1" applyAlignment="1">
      <alignment horizontal="center" vertical="center" textRotation="90" wrapText="1"/>
    </xf>
    <xf numFmtId="0" fontId="16" fillId="0" borderId="0" xfId="0" applyFont="1" applyAlignment="1">
      <alignment horizontal="left" indent="1"/>
    </xf>
    <xf numFmtId="3" fontId="3" fillId="0" borderId="9" xfId="0" applyNumberFormat="1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3" fontId="41" fillId="3" borderId="5" xfId="0" applyNumberFormat="1" applyFont="1" applyFill="1" applyBorder="1" applyAlignment="1">
      <alignment horizontal="center" vertical="center" wrapText="1"/>
    </xf>
    <xf numFmtId="3" fontId="41" fillId="3" borderId="12" xfId="0" applyNumberFormat="1" applyFont="1" applyFill="1" applyBorder="1" applyAlignment="1">
      <alignment horizontal="center" vertical="center" wrapText="1"/>
    </xf>
    <xf numFmtId="3" fontId="41" fillId="3" borderId="3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3" fontId="41" fillId="3" borderId="4" xfId="0" applyNumberFormat="1" applyFont="1" applyFill="1" applyBorder="1" applyAlignment="1">
      <alignment horizontal="center" vertical="center" wrapText="1"/>
    </xf>
    <xf numFmtId="3" fontId="41" fillId="3" borderId="6" xfId="0" applyNumberFormat="1" applyFont="1" applyFill="1" applyBorder="1" applyAlignment="1">
      <alignment horizontal="center" vertical="center" wrapText="1"/>
    </xf>
    <xf numFmtId="3" fontId="41" fillId="3" borderId="7" xfId="0" applyNumberFormat="1" applyFont="1" applyFill="1" applyBorder="1" applyAlignment="1">
      <alignment horizontal="center" vertical="center" wrapText="1"/>
    </xf>
    <xf numFmtId="3" fontId="41" fillId="3" borderId="15" xfId="0" applyNumberFormat="1" applyFont="1" applyFill="1" applyBorder="1" applyAlignment="1">
      <alignment horizontal="center" vertical="center" wrapText="1"/>
    </xf>
    <xf numFmtId="3" fontId="41" fillId="3" borderId="2" xfId="0" applyNumberFormat="1" applyFont="1" applyFill="1" applyBorder="1" applyAlignment="1">
      <alignment horizontal="center" vertical="center" wrapText="1"/>
    </xf>
    <xf numFmtId="3" fontId="41" fillId="3" borderId="14" xfId="0" applyNumberFormat="1" applyFont="1" applyFill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left" vertical="center" wrapText="1" indent="1"/>
    </xf>
    <xf numFmtId="3" fontId="6" fillId="0" borderId="8" xfId="0" applyNumberFormat="1" applyFont="1" applyBorder="1" applyAlignment="1">
      <alignment horizontal="left" vertical="center" wrapText="1" indent="1"/>
    </xf>
    <xf numFmtId="3" fontId="6" fillId="0" borderId="6" xfId="0" applyNumberFormat="1" applyFont="1" applyBorder="1" applyAlignment="1">
      <alignment horizontal="left" vertical="center" wrapText="1" indent="1"/>
    </xf>
    <xf numFmtId="3" fontId="6" fillId="0" borderId="4" xfId="0" applyNumberFormat="1" applyFont="1" applyBorder="1" applyAlignment="1">
      <alignment horizontal="left" wrapText="1" indent="2"/>
    </xf>
    <xf numFmtId="3" fontId="6" fillId="0" borderId="8" xfId="0" applyNumberFormat="1" applyFont="1" applyBorder="1" applyAlignment="1">
      <alignment horizontal="left" wrapText="1" indent="2"/>
    </xf>
    <xf numFmtId="3" fontId="6" fillId="0" borderId="6" xfId="0" applyNumberFormat="1" applyFont="1" applyBorder="1" applyAlignment="1">
      <alignment horizontal="left" wrapText="1" indent="2"/>
    </xf>
    <xf numFmtId="3" fontId="5" fillId="0" borderId="0" xfId="0" applyNumberFormat="1" applyFont="1" applyAlignment="1">
      <alignment horizontal="center" vertical="center" wrapText="1"/>
    </xf>
    <xf numFmtId="14" fontId="41" fillId="3" borderId="5" xfId="0" applyNumberFormat="1" applyFont="1" applyFill="1" applyBorder="1" applyAlignment="1">
      <alignment horizontal="center" vertical="center" wrapText="1"/>
    </xf>
    <xf numFmtId="14" fontId="41" fillId="3" borderId="12" xfId="0" applyNumberFormat="1" applyFont="1" applyFill="1" applyBorder="1" applyAlignment="1">
      <alignment horizontal="center" vertical="center" wrapText="1"/>
    </xf>
    <xf numFmtId="14" fontId="41" fillId="3" borderId="3" xfId="0" applyNumberFormat="1" applyFont="1" applyFill="1" applyBorder="1" applyAlignment="1">
      <alignment horizontal="center" vertical="center" wrapText="1"/>
    </xf>
    <xf numFmtId="3" fontId="41" fillId="3" borderId="8" xfId="0" applyNumberFormat="1" applyFont="1" applyFill="1" applyBorder="1" applyAlignment="1">
      <alignment horizontal="center" vertical="center" wrapText="1"/>
    </xf>
    <xf numFmtId="3" fontId="41" fillId="3" borderId="10" xfId="0" applyNumberFormat="1" applyFont="1" applyFill="1" applyBorder="1" applyAlignment="1">
      <alignment horizontal="center" vertical="center" wrapText="1"/>
    </xf>
    <xf numFmtId="3" fontId="41" fillId="3" borderId="13" xfId="0" applyNumberFormat="1" applyFont="1" applyFill="1" applyBorder="1" applyAlignment="1">
      <alignment horizontal="center" vertical="center" wrapText="1"/>
    </xf>
    <xf numFmtId="3" fontId="41" fillId="3" borderId="9" xfId="0" applyNumberFormat="1" applyFont="1" applyFill="1" applyBorder="1" applyAlignment="1">
      <alignment horizontal="center" vertical="center" wrapText="1"/>
    </xf>
    <xf numFmtId="3" fontId="16" fillId="3" borderId="5" xfId="0" applyNumberFormat="1" applyFont="1" applyFill="1" applyBorder="1" applyAlignment="1">
      <alignment horizontal="center" vertical="center" wrapText="1"/>
    </xf>
    <xf numFmtId="3" fontId="16" fillId="3" borderId="12" xfId="0" applyNumberFormat="1" applyFont="1" applyFill="1" applyBorder="1" applyAlignment="1">
      <alignment horizontal="center" vertical="center" wrapText="1"/>
    </xf>
    <xf numFmtId="3" fontId="16" fillId="3" borderId="3" xfId="0" applyNumberFormat="1" applyFont="1" applyFill="1" applyBorder="1" applyAlignment="1">
      <alignment horizontal="center" vertical="center" wrapText="1"/>
    </xf>
    <xf numFmtId="0" fontId="39" fillId="0" borderId="0" xfId="5" applyNumberFormat="1" applyFont="1" applyFill="1" applyBorder="1" applyAlignment="1" applyProtection="1">
      <alignment horizontal="center" vertical="center" wrapText="1"/>
    </xf>
    <xf numFmtId="0" fontId="14" fillId="0" borderId="0" xfId="5" applyNumberFormat="1" applyFont="1" applyFill="1" applyBorder="1" applyAlignment="1" applyProtection="1">
      <alignment horizontal="center" vertical="center"/>
    </xf>
    <xf numFmtId="3" fontId="16" fillId="3" borderId="7" xfId="0" applyNumberFormat="1" applyFont="1" applyFill="1" applyBorder="1" applyAlignment="1">
      <alignment horizontal="center" vertical="center" wrapText="1"/>
    </xf>
    <xf numFmtId="3" fontId="16" fillId="3" borderId="15" xfId="0" applyNumberFormat="1" applyFont="1" applyFill="1" applyBorder="1" applyAlignment="1">
      <alignment horizontal="center" vertical="center" wrapText="1"/>
    </xf>
    <xf numFmtId="3" fontId="16" fillId="3" borderId="2" xfId="0" applyNumberFormat="1" applyFont="1" applyFill="1" applyBorder="1" applyAlignment="1">
      <alignment horizontal="center" vertical="center" wrapText="1"/>
    </xf>
    <xf numFmtId="3" fontId="16" fillId="3" borderId="14" xfId="0" applyNumberFormat="1" applyFont="1" applyFill="1" applyBorder="1" applyAlignment="1">
      <alignment horizontal="center" vertical="center" wrapText="1"/>
    </xf>
    <xf numFmtId="3" fontId="16" fillId="3" borderId="4" xfId="0" applyNumberFormat="1" applyFont="1" applyFill="1" applyBorder="1" applyAlignment="1">
      <alignment horizontal="center" vertical="center" wrapText="1"/>
    </xf>
    <xf numFmtId="3" fontId="16" fillId="3" borderId="8" xfId="0" applyNumberFormat="1" applyFont="1" applyFill="1" applyBorder="1" applyAlignment="1">
      <alignment horizontal="center" vertical="center" wrapText="1"/>
    </xf>
    <xf numFmtId="3" fontId="16" fillId="3" borderId="6" xfId="0" applyNumberFormat="1" applyFont="1" applyFill="1" applyBorder="1" applyAlignment="1">
      <alignment horizontal="center" vertical="center" wrapText="1"/>
    </xf>
    <xf numFmtId="196" fontId="30" fillId="0" borderId="9" xfId="4" applyNumberFormat="1" applyFont="1" applyFill="1" applyBorder="1" applyAlignment="1" applyProtection="1">
      <alignment horizontal="center" wrapText="1"/>
      <protection locked="0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35" fillId="3" borderId="1" xfId="0" applyNumberFormat="1" applyFont="1" applyFill="1" applyBorder="1" applyAlignment="1">
      <alignment horizontal="center" vertical="center" wrapText="1"/>
    </xf>
    <xf numFmtId="0" fontId="108" fillId="0" borderId="0" xfId="9" applyNumberFormat="1" applyFont="1" applyFill="1" applyBorder="1" applyAlignment="1" applyProtection="1">
      <alignment horizontal="center" vertical="center" wrapText="1"/>
    </xf>
    <xf numFmtId="3" fontId="35" fillId="3" borderId="5" xfId="0" applyNumberFormat="1" applyFont="1" applyFill="1" applyBorder="1" applyAlignment="1">
      <alignment horizontal="center" vertical="center" wrapText="1"/>
    </xf>
    <xf numFmtId="3" fontId="35" fillId="3" borderId="12" xfId="0" applyNumberFormat="1" applyFont="1" applyFill="1" applyBorder="1" applyAlignment="1">
      <alignment horizontal="center" vertical="center" wrapText="1"/>
    </xf>
    <xf numFmtId="3" fontId="35" fillId="3" borderId="3" xfId="0" applyNumberFormat="1" applyFont="1" applyFill="1" applyBorder="1" applyAlignment="1">
      <alignment horizontal="center" vertical="center" wrapText="1"/>
    </xf>
    <xf numFmtId="3" fontId="35" fillId="3" borderId="7" xfId="0" applyNumberFormat="1" applyFont="1" applyFill="1" applyBorder="1" applyAlignment="1">
      <alignment horizontal="center" vertical="center" wrapText="1"/>
    </xf>
    <xf numFmtId="3" fontId="35" fillId="3" borderId="11" xfId="0" applyNumberFormat="1" applyFont="1" applyFill="1" applyBorder="1" applyAlignment="1">
      <alignment horizontal="center" vertical="center" wrapText="1"/>
    </xf>
    <xf numFmtId="3" fontId="35" fillId="3" borderId="15" xfId="0" applyNumberFormat="1" applyFont="1" applyFill="1" applyBorder="1" applyAlignment="1">
      <alignment horizontal="center" vertical="center" wrapText="1"/>
    </xf>
    <xf numFmtId="3" fontId="35" fillId="3" borderId="2" xfId="0" applyNumberFormat="1" applyFont="1" applyFill="1" applyBorder="1" applyAlignment="1">
      <alignment horizontal="center" vertical="center" wrapText="1"/>
    </xf>
    <xf numFmtId="3" fontId="35" fillId="3" borderId="9" xfId="0" applyNumberFormat="1" applyFont="1" applyFill="1" applyBorder="1" applyAlignment="1">
      <alignment horizontal="center" vertical="center" wrapText="1"/>
    </xf>
    <xf numFmtId="3" fontId="35" fillId="3" borderId="14" xfId="0" applyNumberFormat="1" applyFont="1" applyFill="1" applyBorder="1" applyAlignment="1">
      <alignment horizontal="center" vertical="center" wrapText="1"/>
    </xf>
    <xf numFmtId="3" fontId="35" fillId="3" borderId="4" xfId="0" applyNumberFormat="1" applyFont="1" applyFill="1" applyBorder="1" applyAlignment="1">
      <alignment horizontal="center" vertical="center" wrapText="1"/>
    </xf>
    <xf numFmtId="3" fontId="35" fillId="3" borderId="8" xfId="0" applyNumberFormat="1" applyFont="1" applyFill="1" applyBorder="1" applyAlignment="1">
      <alignment horizontal="center" vertical="center" wrapText="1"/>
    </xf>
    <xf numFmtId="3" fontId="35" fillId="3" borderId="6" xfId="0" applyNumberFormat="1" applyFont="1" applyFill="1" applyBorder="1" applyAlignment="1">
      <alignment horizontal="center" vertical="center" wrapText="1"/>
    </xf>
    <xf numFmtId="196" fontId="3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9" fontId="8" fillId="0" borderId="5" xfId="0" applyNumberFormat="1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0" fontId="106" fillId="0" borderId="7" xfId="0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9" fontId="8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06" fillId="0" borderId="4" xfId="0" applyFont="1" applyBorder="1" applyAlignment="1">
      <alignment horizontal="center" vertical="center" wrapText="1"/>
    </xf>
    <xf numFmtId="0" fontId="106" fillId="0" borderId="8" xfId="0" applyFont="1" applyBorder="1" applyAlignment="1">
      <alignment horizontal="center" vertical="center" wrapText="1"/>
    </xf>
    <xf numFmtId="0" fontId="106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6" fillId="0" borderId="4" xfId="0" applyFont="1" applyBorder="1" applyAlignment="1">
      <alignment horizontal="center" vertical="center"/>
    </xf>
    <xf numFmtId="0" fontId="106" fillId="0" borderId="8" xfId="0" applyFont="1" applyBorder="1" applyAlignment="1">
      <alignment horizontal="center" vertical="center"/>
    </xf>
    <xf numFmtId="0" fontId="106" fillId="0" borderId="6" xfId="0" applyFont="1" applyBorder="1" applyAlignment="1">
      <alignment horizontal="center" vertical="center"/>
    </xf>
    <xf numFmtId="0" fontId="106" fillId="0" borderId="7" xfId="0" applyFont="1" applyBorder="1" applyAlignment="1">
      <alignment horizontal="center"/>
    </xf>
    <xf numFmtId="0" fontId="106" fillId="0" borderId="11" xfId="0" applyFont="1" applyBorder="1" applyAlignment="1">
      <alignment horizontal="center"/>
    </xf>
    <xf numFmtId="0" fontId="106" fillId="0" borderId="15" xfId="0" applyFont="1" applyBorder="1" applyAlignment="1">
      <alignment horizontal="center"/>
    </xf>
    <xf numFmtId="0" fontId="106" fillId="0" borderId="7" xfId="0" applyFont="1" applyBorder="1" applyAlignment="1">
      <alignment horizontal="center" vertical="center" wrapText="1"/>
    </xf>
    <xf numFmtId="0" fontId="106" fillId="0" borderId="11" xfId="0" quotePrefix="1" applyFont="1" applyBorder="1" applyAlignment="1">
      <alignment horizontal="center" vertical="center" wrapText="1"/>
    </xf>
    <xf numFmtId="0" fontId="106" fillId="0" borderId="15" xfId="0" quotePrefix="1" applyFont="1" applyBorder="1" applyAlignment="1">
      <alignment horizontal="center" vertical="center" wrapText="1"/>
    </xf>
    <xf numFmtId="0" fontId="106" fillId="0" borderId="4" xfId="0" applyFont="1" applyBorder="1" applyAlignment="1">
      <alignment horizontal="center"/>
    </xf>
    <xf numFmtId="0" fontId="106" fillId="0" borderId="8" xfId="0" applyFont="1" applyBorder="1" applyAlignment="1">
      <alignment horizontal="center"/>
    </xf>
    <xf numFmtId="0" fontId="106" fillId="0" borderId="6" xfId="0" applyFont="1" applyBorder="1" applyAlignment="1">
      <alignment horizontal="center"/>
    </xf>
    <xf numFmtId="0" fontId="106" fillId="0" borderId="4" xfId="0" quotePrefix="1" applyFont="1" applyBorder="1" applyAlignment="1">
      <alignment horizontal="center" vertical="center" wrapText="1"/>
    </xf>
    <xf numFmtId="0" fontId="106" fillId="0" borderId="8" xfId="0" quotePrefix="1" applyFont="1" applyBorder="1" applyAlignment="1">
      <alignment horizontal="center" vertical="center" wrapText="1"/>
    </xf>
    <xf numFmtId="0" fontId="106" fillId="0" borderId="6" xfId="0" quotePrefix="1" applyFont="1" applyBorder="1" applyAlignment="1">
      <alignment horizontal="center" vertical="center" wrapText="1"/>
    </xf>
    <xf numFmtId="0" fontId="106" fillId="0" borderId="7" xfId="0" quotePrefix="1" applyFont="1" applyBorder="1" applyAlignment="1">
      <alignment horizontal="center" vertical="center" wrapText="1"/>
    </xf>
    <xf numFmtId="0" fontId="106" fillId="0" borderId="10" xfId="0" quotePrefix="1" applyFont="1" applyBorder="1" applyAlignment="1">
      <alignment horizontal="center" vertical="center" wrapText="1"/>
    </xf>
    <xf numFmtId="0" fontId="106" fillId="0" borderId="0" xfId="0" quotePrefix="1" applyFont="1" applyAlignment="1">
      <alignment horizontal="center" vertical="center" wrapText="1"/>
    </xf>
    <xf numFmtId="0" fontId="106" fillId="0" borderId="2" xfId="0" quotePrefix="1" applyFont="1" applyBorder="1" applyAlignment="1">
      <alignment horizontal="center" vertical="center" wrapText="1"/>
    </xf>
    <xf numFmtId="0" fontId="106" fillId="0" borderId="9" xfId="0" quotePrefix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9" fontId="8" fillId="0" borderId="5" xfId="0" applyNumberFormat="1" applyFont="1" applyBorder="1" applyAlignment="1" applyProtection="1">
      <alignment horizontal="center" vertical="center"/>
      <protection locked="0"/>
    </xf>
    <xf numFmtId="169" fontId="3" fillId="0" borderId="3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wrapText="1"/>
    </xf>
    <xf numFmtId="169" fontId="3" fillId="0" borderId="3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3" xfId="0" applyBorder="1"/>
    <xf numFmtId="0" fontId="106" fillId="0" borderId="1" xfId="0" applyFont="1" applyBorder="1" applyAlignment="1">
      <alignment horizontal="center" vertical="center" wrapText="1"/>
    </xf>
    <xf numFmtId="0" fontId="106" fillId="0" borderId="9" xfId="0" applyFont="1" applyBorder="1" applyAlignment="1">
      <alignment horizontal="center" vertical="center" wrapText="1"/>
    </xf>
    <xf numFmtId="0" fontId="106" fillId="0" borderId="14" xfId="0" applyFont="1" applyBorder="1" applyAlignment="1">
      <alignment horizontal="center" vertical="center" wrapText="1"/>
    </xf>
    <xf numFmtId="169" fontId="8" fillId="0" borderId="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6" fillId="0" borderId="11" xfId="0" applyFont="1" applyBorder="1" applyAlignment="1">
      <alignment horizontal="center" vertical="center" wrapText="1"/>
    </xf>
    <xf numFmtId="0" fontId="106" fillId="0" borderId="10" xfId="0" applyFont="1" applyBorder="1" applyAlignment="1">
      <alignment horizontal="center" vertical="center" wrapText="1"/>
    </xf>
    <xf numFmtId="0" fontId="106" fillId="0" borderId="13" xfId="0" quotePrefix="1" applyFont="1" applyBorder="1" applyAlignment="1">
      <alignment horizontal="center" vertical="center" wrapText="1"/>
    </xf>
    <xf numFmtId="0" fontId="99" fillId="0" borderId="0" xfId="0" applyFont="1" applyAlignment="1">
      <alignment horizontal="center" vertical="center" wrapText="1"/>
    </xf>
  </cellXfs>
  <cellStyles count="1291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0" xfId="740" xr:uid="{00000000-0005-0000-0000-00001D030000}"/>
    <cellStyle name="Обычный 30 2" xfId="741" xr:uid="{00000000-0005-0000-0000-00001E030000}"/>
    <cellStyle name="Обычный 31" xfId="742" xr:uid="{00000000-0005-0000-0000-00001F030000}"/>
    <cellStyle name="Обычный 31 2" xfId="743" xr:uid="{00000000-0005-0000-0000-000020030000}"/>
    <cellStyle name="Обычный 32" xfId="744" xr:uid="{00000000-0005-0000-0000-000021030000}"/>
    <cellStyle name="Обычный 32 2" xfId="745" xr:uid="{00000000-0005-0000-0000-000022030000}"/>
    <cellStyle name="Обычный 33" xfId="746" xr:uid="{00000000-0005-0000-0000-000023030000}"/>
    <cellStyle name="Обычный 33 2" xfId="747" xr:uid="{00000000-0005-0000-0000-000024030000}"/>
    <cellStyle name="Обычный 34" xfId="748" xr:uid="{00000000-0005-0000-0000-000025030000}"/>
    <cellStyle name="Обычный 34 2" xfId="749" xr:uid="{00000000-0005-0000-0000-000026030000}"/>
    <cellStyle name="Обычный 35" xfId="750" xr:uid="{00000000-0005-0000-0000-000027030000}"/>
    <cellStyle name="Обычный 35 10" xfId="751" xr:uid="{00000000-0005-0000-0000-000028030000}"/>
    <cellStyle name="Обычный 35 11" xfId="752" xr:uid="{00000000-0005-0000-0000-000029030000}"/>
    <cellStyle name="Обычный 35 12" xfId="753" xr:uid="{00000000-0005-0000-0000-00002A030000}"/>
    <cellStyle name="Обычный 35 13" xfId="754" xr:uid="{00000000-0005-0000-0000-00002B030000}"/>
    <cellStyle name="Обычный 35 14" xfId="755" xr:uid="{00000000-0005-0000-0000-00002C030000}"/>
    <cellStyle name="Обычный 35 15" xfId="756" xr:uid="{00000000-0005-0000-0000-00002D030000}"/>
    <cellStyle name="Обычный 35 16" xfId="757" xr:uid="{00000000-0005-0000-0000-00002E030000}"/>
    <cellStyle name="Обычный 35 17" xfId="758" xr:uid="{00000000-0005-0000-0000-00002F030000}"/>
    <cellStyle name="Обычный 35 18" xfId="759" xr:uid="{00000000-0005-0000-0000-000030030000}"/>
    <cellStyle name="Обычный 35 19" xfId="760" xr:uid="{00000000-0005-0000-0000-000031030000}"/>
    <cellStyle name="Обычный 35 2" xfId="761" xr:uid="{00000000-0005-0000-0000-000032030000}"/>
    <cellStyle name="Обычный 35 2 2" xfId="762" xr:uid="{00000000-0005-0000-0000-000033030000}"/>
    <cellStyle name="Обычный 35 20" xfId="763" xr:uid="{00000000-0005-0000-0000-000034030000}"/>
    <cellStyle name="Обычный 35 21" xfId="764" xr:uid="{00000000-0005-0000-0000-000035030000}"/>
    <cellStyle name="Обычный 35 22" xfId="765" xr:uid="{00000000-0005-0000-0000-000036030000}"/>
    <cellStyle name="Обычный 35 23" xfId="766" xr:uid="{00000000-0005-0000-0000-000037030000}"/>
    <cellStyle name="Обычный 35 24" xfId="767" xr:uid="{00000000-0005-0000-0000-000038030000}"/>
    <cellStyle name="Обычный 35 25" xfId="768" xr:uid="{00000000-0005-0000-0000-000039030000}"/>
    <cellStyle name="Обычный 35 26" xfId="769" xr:uid="{00000000-0005-0000-0000-00003A030000}"/>
    <cellStyle name="Обычный 35 27" xfId="770" xr:uid="{00000000-0005-0000-0000-00003B030000}"/>
    <cellStyle name="Обычный 35 28" xfId="771" xr:uid="{00000000-0005-0000-0000-00003C030000}"/>
    <cellStyle name="Обычный 35 29" xfId="772" xr:uid="{00000000-0005-0000-0000-00003D030000}"/>
    <cellStyle name="Обычный 35 3" xfId="773" xr:uid="{00000000-0005-0000-0000-00003E030000}"/>
    <cellStyle name="Обычный 35 30" xfId="774" xr:uid="{00000000-0005-0000-0000-00003F030000}"/>
    <cellStyle name="Обычный 35 31" xfId="775" xr:uid="{00000000-0005-0000-0000-000040030000}"/>
    <cellStyle name="Обычный 35 4" xfId="776" xr:uid="{00000000-0005-0000-0000-000041030000}"/>
    <cellStyle name="Обычный 35 5" xfId="777" xr:uid="{00000000-0005-0000-0000-000042030000}"/>
    <cellStyle name="Обычный 35 6" xfId="778" xr:uid="{00000000-0005-0000-0000-000043030000}"/>
    <cellStyle name="Обычный 35 7" xfId="779" xr:uid="{00000000-0005-0000-0000-000044030000}"/>
    <cellStyle name="Обычный 35 8" xfId="780" xr:uid="{00000000-0005-0000-0000-000045030000}"/>
    <cellStyle name="Обычный 35 9" xfId="781" xr:uid="{00000000-0005-0000-0000-000046030000}"/>
    <cellStyle name="Обычный 36" xfId="782" xr:uid="{00000000-0005-0000-0000-000047030000}"/>
    <cellStyle name="Обычный 36 2" xfId="783" xr:uid="{00000000-0005-0000-0000-000048030000}"/>
    <cellStyle name="Обычный 37" xfId="784" xr:uid="{00000000-0005-0000-0000-000049030000}"/>
    <cellStyle name="Обычный 37 2" xfId="785" xr:uid="{00000000-0005-0000-0000-00004A030000}"/>
    <cellStyle name="Обычный 38" xfId="786" xr:uid="{00000000-0005-0000-0000-00004B030000}"/>
    <cellStyle name="Обычный 38 2" xfId="787" xr:uid="{00000000-0005-0000-0000-00004C030000}"/>
    <cellStyle name="Обычный 39" xfId="788" xr:uid="{00000000-0005-0000-0000-00004D030000}"/>
    <cellStyle name="Обычный 39 2" xfId="789" xr:uid="{00000000-0005-0000-0000-00004E030000}"/>
    <cellStyle name="Обычный 4" xfId="6" xr:uid="{00000000-0005-0000-0000-00004F030000}"/>
    <cellStyle name="Обычный 4 2" xfId="4" xr:uid="{00000000-0005-0000-0000-000050030000}"/>
    <cellStyle name="Обычный 4 2 2" xfId="790" xr:uid="{00000000-0005-0000-0000-000051030000}"/>
    <cellStyle name="Обычный 4 2 3" xfId="791" xr:uid="{00000000-0005-0000-0000-000052030000}"/>
    <cellStyle name="Обычный 4 3" xfId="792" xr:uid="{00000000-0005-0000-0000-000053030000}"/>
    <cellStyle name="Обычный 4 3 2" xfId="793" xr:uid="{00000000-0005-0000-0000-000054030000}"/>
    <cellStyle name="Обычный 4 4" xfId="794" xr:uid="{00000000-0005-0000-0000-000055030000}"/>
    <cellStyle name="Обычный 4 4 2" xfId="795" xr:uid="{00000000-0005-0000-0000-000056030000}"/>
    <cellStyle name="Обычный 4 5" xfId="796" xr:uid="{00000000-0005-0000-0000-000057030000}"/>
    <cellStyle name="Обычный 40" xfId="797" xr:uid="{00000000-0005-0000-0000-000058030000}"/>
    <cellStyle name="Обычный 40 10" xfId="798" xr:uid="{00000000-0005-0000-0000-000059030000}"/>
    <cellStyle name="Обычный 40 11" xfId="799" xr:uid="{00000000-0005-0000-0000-00005A030000}"/>
    <cellStyle name="Обычный 40 12" xfId="800" xr:uid="{00000000-0005-0000-0000-00005B030000}"/>
    <cellStyle name="Обычный 40 13" xfId="801" xr:uid="{00000000-0005-0000-0000-00005C030000}"/>
    <cellStyle name="Обычный 40 14" xfId="802" xr:uid="{00000000-0005-0000-0000-00005D030000}"/>
    <cellStyle name="Обычный 40 15" xfId="803" xr:uid="{00000000-0005-0000-0000-00005E030000}"/>
    <cellStyle name="Обычный 40 16" xfId="804" xr:uid="{00000000-0005-0000-0000-00005F030000}"/>
    <cellStyle name="Обычный 40 17" xfId="805" xr:uid="{00000000-0005-0000-0000-000060030000}"/>
    <cellStyle name="Обычный 40 18" xfId="806" xr:uid="{00000000-0005-0000-0000-000061030000}"/>
    <cellStyle name="Обычный 40 19" xfId="807" xr:uid="{00000000-0005-0000-0000-000062030000}"/>
    <cellStyle name="Обычный 40 2" xfId="808" xr:uid="{00000000-0005-0000-0000-000063030000}"/>
    <cellStyle name="Обычный 40 2 2" xfId="809" xr:uid="{00000000-0005-0000-0000-000064030000}"/>
    <cellStyle name="Обычный 40 20" xfId="810" xr:uid="{00000000-0005-0000-0000-000065030000}"/>
    <cellStyle name="Обычный 40 21" xfId="811" xr:uid="{00000000-0005-0000-0000-000066030000}"/>
    <cellStyle name="Обычный 40 22" xfId="812" xr:uid="{00000000-0005-0000-0000-000067030000}"/>
    <cellStyle name="Обычный 40 23" xfId="813" xr:uid="{00000000-0005-0000-0000-000068030000}"/>
    <cellStyle name="Обычный 40 24" xfId="814" xr:uid="{00000000-0005-0000-0000-000069030000}"/>
    <cellStyle name="Обычный 40 25" xfId="815" xr:uid="{00000000-0005-0000-0000-00006A030000}"/>
    <cellStyle name="Обычный 40 26" xfId="816" xr:uid="{00000000-0005-0000-0000-00006B030000}"/>
    <cellStyle name="Обычный 40 27" xfId="817" xr:uid="{00000000-0005-0000-0000-00006C030000}"/>
    <cellStyle name="Обычный 40 28" xfId="818" xr:uid="{00000000-0005-0000-0000-00006D030000}"/>
    <cellStyle name="Обычный 40 29" xfId="819" xr:uid="{00000000-0005-0000-0000-00006E030000}"/>
    <cellStyle name="Обычный 40 3" xfId="820" xr:uid="{00000000-0005-0000-0000-00006F030000}"/>
    <cellStyle name="Обычный 40 30" xfId="821" xr:uid="{00000000-0005-0000-0000-000070030000}"/>
    <cellStyle name="Обычный 40 31" xfId="822" xr:uid="{00000000-0005-0000-0000-000071030000}"/>
    <cellStyle name="Обычный 40 32" xfId="823" xr:uid="{00000000-0005-0000-0000-000072030000}"/>
    <cellStyle name="Обычный 40 4" xfId="824" xr:uid="{00000000-0005-0000-0000-000073030000}"/>
    <cellStyle name="Обычный 40 5" xfId="825" xr:uid="{00000000-0005-0000-0000-000074030000}"/>
    <cellStyle name="Обычный 40 6" xfId="826" xr:uid="{00000000-0005-0000-0000-000075030000}"/>
    <cellStyle name="Обычный 40 7" xfId="827" xr:uid="{00000000-0005-0000-0000-000076030000}"/>
    <cellStyle name="Обычный 40 8" xfId="828" xr:uid="{00000000-0005-0000-0000-000077030000}"/>
    <cellStyle name="Обычный 40 9" xfId="829" xr:uid="{00000000-0005-0000-0000-000078030000}"/>
    <cellStyle name="Обычный 41" xfId="830" xr:uid="{00000000-0005-0000-0000-000079030000}"/>
    <cellStyle name="Обычный 41 10" xfId="831" xr:uid="{00000000-0005-0000-0000-00007A030000}"/>
    <cellStyle name="Обычный 41 11" xfId="832" xr:uid="{00000000-0005-0000-0000-00007B030000}"/>
    <cellStyle name="Обычный 41 12" xfId="833" xr:uid="{00000000-0005-0000-0000-00007C030000}"/>
    <cellStyle name="Обычный 41 13" xfId="834" xr:uid="{00000000-0005-0000-0000-00007D030000}"/>
    <cellStyle name="Обычный 41 14" xfId="835" xr:uid="{00000000-0005-0000-0000-00007E030000}"/>
    <cellStyle name="Обычный 41 15" xfId="836" xr:uid="{00000000-0005-0000-0000-00007F030000}"/>
    <cellStyle name="Обычный 41 16" xfId="837" xr:uid="{00000000-0005-0000-0000-000080030000}"/>
    <cellStyle name="Обычный 41 17" xfId="838" xr:uid="{00000000-0005-0000-0000-000081030000}"/>
    <cellStyle name="Обычный 41 18" xfId="839" xr:uid="{00000000-0005-0000-0000-000082030000}"/>
    <cellStyle name="Обычный 41 19" xfId="840" xr:uid="{00000000-0005-0000-0000-000083030000}"/>
    <cellStyle name="Обычный 41 2" xfId="841" xr:uid="{00000000-0005-0000-0000-000084030000}"/>
    <cellStyle name="Обычный 41 2 2" xfId="842" xr:uid="{00000000-0005-0000-0000-000085030000}"/>
    <cellStyle name="Обычный 41 20" xfId="843" xr:uid="{00000000-0005-0000-0000-000086030000}"/>
    <cellStyle name="Обычный 41 21" xfId="844" xr:uid="{00000000-0005-0000-0000-000087030000}"/>
    <cellStyle name="Обычный 41 22" xfId="845" xr:uid="{00000000-0005-0000-0000-000088030000}"/>
    <cellStyle name="Обычный 41 23" xfId="846" xr:uid="{00000000-0005-0000-0000-000089030000}"/>
    <cellStyle name="Обычный 41 24" xfId="847" xr:uid="{00000000-0005-0000-0000-00008A030000}"/>
    <cellStyle name="Обычный 41 25" xfId="848" xr:uid="{00000000-0005-0000-0000-00008B030000}"/>
    <cellStyle name="Обычный 41 26" xfId="849" xr:uid="{00000000-0005-0000-0000-00008C030000}"/>
    <cellStyle name="Обычный 41 27" xfId="850" xr:uid="{00000000-0005-0000-0000-00008D030000}"/>
    <cellStyle name="Обычный 41 28" xfId="851" xr:uid="{00000000-0005-0000-0000-00008E030000}"/>
    <cellStyle name="Обычный 41 29" xfId="852" xr:uid="{00000000-0005-0000-0000-00008F030000}"/>
    <cellStyle name="Обычный 41 3" xfId="853" xr:uid="{00000000-0005-0000-0000-000090030000}"/>
    <cellStyle name="Обычный 41 30" xfId="854" xr:uid="{00000000-0005-0000-0000-000091030000}"/>
    <cellStyle name="Обычный 41 31" xfId="855" xr:uid="{00000000-0005-0000-0000-000092030000}"/>
    <cellStyle name="Обычный 41 32" xfId="856" xr:uid="{00000000-0005-0000-0000-000093030000}"/>
    <cellStyle name="Обычный 41 4" xfId="857" xr:uid="{00000000-0005-0000-0000-000094030000}"/>
    <cellStyle name="Обычный 41 5" xfId="858" xr:uid="{00000000-0005-0000-0000-000095030000}"/>
    <cellStyle name="Обычный 41 6" xfId="859" xr:uid="{00000000-0005-0000-0000-000096030000}"/>
    <cellStyle name="Обычный 41 7" xfId="860" xr:uid="{00000000-0005-0000-0000-000097030000}"/>
    <cellStyle name="Обычный 41 8" xfId="861" xr:uid="{00000000-0005-0000-0000-000098030000}"/>
    <cellStyle name="Обычный 41 9" xfId="862" xr:uid="{00000000-0005-0000-0000-000099030000}"/>
    <cellStyle name="Обычный 42" xfId="863" xr:uid="{00000000-0005-0000-0000-00009A030000}"/>
    <cellStyle name="Обычный 43" xfId="864" xr:uid="{00000000-0005-0000-0000-00009B030000}"/>
    <cellStyle name="Обычный 44" xfId="865" xr:uid="{00000000-0005-0000-0000-00009C030000}"/>
    <cellStyle name="Обычный 45" xfId="866" xr:uid="{00000000-0005-0000-0000-00009D030000}"/>
    <cellStyle name="Обычный 46" xfId="867" xr:uid="{00000000-0005-0000-0000-00009E030000}"/>
    <cellStyle name="Обычный 47" xfId="868" xr:uid="{00000000-0005-0000-0000-00009F030000}"/>
    <cellStyle name="Обычный 47 2" xfId="869" xr:uid="{00000000-0005-0000-0000-0000A0030000}"/>
    <cellStyle name="Обычный 47 3" xfId="870" xr:uid="{00000000-0005-0000-0000-0000A1030000}"/>
    <cellStyle name="Обычный 47 4" xfId="871" xr:uid="{00000000-0005-0000-0000-0000A2030000}"/>
    <cellStyle name="Обычный 47 5" xfId="872" xr:uid="{00000000-0005-0000-0000-0000A3030000}"/>
    <cellStyle name="Обычный 47 6" xfId="873" xr:uid="{00000000-0005-0000-0000-0000A4030000}"/>
    <cellStyle name="Обычный 47 7" xfId="874" xr:uid="{00000000-0005-0000-0000-0000A5030000}"/>
    <cellStyle name="Обычный 48" xfId="875" xr:uid="{00000000-0005-0000-0000-0000A6030000}"/>
    <cellStyle name="Обычный 48 2" xfId="876" xr:uid="{00000000-0005-0000-0000-0000A7030000}"/>
    <cellStyle name="Обычный 48 3" xfId="877" xr:uid="{00000000-0005-0000-0000-0000A8030000}"/>
    <cellStyle name="Обычный 49" xfId="878" xr:uid="{00000000-0005-0000-0000-0000A9030000}"/>
    <cellStyle name="Обычный 5" xfId="879" xr:uid="{00000000-0005-0000-0000-0000AA030000}"/>
    <cellStyle name="Обычный 5 2" xfId="880" xr:uid="{00000000-0005-0000-0000-0000AB030000}"/>
    <cellStyle name="Обычный 5 2 2" xfId="881" xr:uid="{00000000-0005-0000-0000-0000AC030000}"/>
    <cellStyle name="Обычный 5 2 2 2" xfId="882" xr:uid="{00000000-0005-0000-0000-0000AD030000}"/>
    <cellStyle name="Обычный 5 2 3" xfId="883" xr:uid="{00000000-0005-0000-0000-0000AE030000}"/>
    <cellStyle name="Обычный 5 3" xfId="884" xr:uid="{00000000-0005-0000-0000-0000AF030000}"/>
    <cellStyle name="Обычный 5 3 2" xfId="885" xr:uid="{00000000-0005-0000-0000-0000B0030000}"/>
    <cellStyle name="Обычный 5 3 2 2" xfId="886" xr:uid="{00000000-0005-0000-0000-0000B1030000}"/>
    <cellStyle name="Обычный 5 3 3" xfId="887" xr:uid="{00000000-0005-0000-0000-0000B2030000}"/>
    <cellStyle name="Обычный 5 3 4" xfId="888" xr:uid="{00000000-0005-0000-0000-0000B3030000}"/>
    <cellStyle name="Обычный 5 4" xfId="889" xr:uid="{00000000-0005-0000-0000-0000B4030000}"/>
    <cellStyle name="Обычный 5 4 2" xfId="890" xr:uid="{00000000-0005-0000-0000-0000B5030000}"/>
    <cellStyle name="Обычный 5 5" xfId="891" xr:uid="{00000000-0005-0000-0000-0000B6030000}"/>
    <cellStyle name="Обычный 5 5 2" xfId="892" xr:uid="{00000000-0005-0000-0000-0000B7030000}"/>
    <cellStyle name="Обычный 5 6" xfId="893" xr:uid="{00000000-0005-0000-0000-0000B8030000}"/>
    <cellStyle name="Обычный 5 6 2" xfId="894" xr:uid="{00000000-0005-0000-0000-0000B9030000}"/>
    <cellStyle name="Обычный 5 7" xfId="895" xr:uid="{00000000-0005-0000-0000-0000BA030000}"/>
    <cellStyle name="Обычный 5 7 2" xfId="896" xr:uid="{00000000-0005-0000-0000-0000BB030000}"/>
    <cellStyle name="Обычный 5 8" xfId="897" xr:uid="{00000000-0005-0000-0000-0000BC030000}"/>
    <cellStyle name="Обычный 5 8 2" xfId="898" xr:uid="{00000000-0005-0000-0000-0000BD030000}"/>
    <cellStyle name="Обычный 50" xfId="899" xr:uid="{00000000-0005-0000-0000-0000BE030000}"/>
    <cellStyle name="Обычный 51" xfId="900" xr:uid="{00000000-0005-0000-0000-0000BF030000}"/>
    <cellStyle name="Обычный 52" xfId="901" xr:uid="{00000000-0005-0000-0000-0000C0030000}"/>
    <cellStyle name="Обычный 53" xfId="902" xr:uid="{00000000-0005-0000-0000-0000C1030000}"/>
    <cellStyle name="Обычный 54" xfId="903" xr:uid="{00000000-0005-0000-0000-0000C2030000}"/>
    <cellStyle name="Обычный 55" xfId="904" xr:uid="{00000000-0005-0000-0000-0000C3030000}"/>
    <cellStyle name="Обычный 56" xfId="905" xr:uid="{00000000-0005-0000-0000-0000C4030000}"/>
    <cellStyle name="Обычный 57" xfId="906" xr:uid="{00000000-0005-0000-0000-0000C5030000}"/>
    <cellStyle name="Обычный 58" xfId="907" xr:uid="{00000000-0005-0000-0000-0000C6030000}"/>
    <cellStyle name="Обычный 59" xfId="908" xr:uid="{00000000-0005-0000-0000-0000C7030000}"/>
    <cellStyle name="Обычный 6" xfId="909" xr:uid="{00000000-0005-0000-0000-0000C8030000}"/>
    <cellStyle name="Обычный 6 2" xfId="910" xr:uid="{00000000-0005-0000-0000-0000C9030000}"/>
    <cellStyle name="Обычный 6 2 2" xfId="911" xr:uid="{00000000-0005-0000-0000-0000CA030000}"/>
    <cellStyle name="Обычный 6 2 3" xfId="912" xr:uid="{00000000-0005-0000-0000-0000CB030000}"/>
    <cellStyle name="Обычный 6 3" xfId="913" xr:uid="{00000000-0005-0000-0000-0000CC030000}"/>
    <cellStyle name="Обычный 6 3 2" xfId="914" xr:uid="{00000000-0005-0000-0000-0000CD030000}"/>
    <cellStyle name="Обычный 6 4" xfId="915" xr:uid="{00000000-0005-0000-0000-0000CE030000}"/>
    <cellStyle name="Обычный 6 5" xfId="916" xr:uid="{00000000-0005-0000-0000-0000CF030000}"/>
    <cellStyle name="Обычный 6 6" xfId="917" xr:uid="{00000000-0005-0000-0000-0000D0030000}"/>
    <cellStyle name="Обычный 60" xfId="918" xr:uid="{00000000-0005-0000-0000-0000D1030000}"/>
    <cellStyle name="Обычный 61" xfId="919" xr:uid="{00000000-0005-0000-0000-0000D2030000}"/>
    <cellStyle name="Обычный 62" xfId="920" xr:uid="{00000000-0005-0000-0000-0000D3030000}"/>
    <cellStyle name="Обычный 63" xfId="921" xr:uid="{00000000-0005-0000-0000-0000D4030000}"/>
    <cellStyle name="Обычный 64" xfId="922" xr:uid="{00000000-0005-0000-0000-0000D5030000}"/>
    <cellStyle name="Обычный 65" xfId="923" xr:uid="{00000000-0005-0000-0000-0000D6030000}"/>
    <cellStyle name="Обычный 65 2" xfId="924" xr:uid="{00000000-0005-0000-0000-0000D7030000}"/>
    <cellStyle name="Обычный 66" xfId="925" xr:uid="{00000000-0005-0000-0000-0000D8030000}"/>
    <cellStyle name="Обычный 66 2" xfId="926" xr:uid="{00000000-0005-0000-0000-0000D9030000}"/>
    <cellStyle name="Обычный 66 3" xfId="927" xr:uid="{00000000-0005-0000-0000-0000DA030000}"/>
    <cellStyle name="Обычный 67" xfId="928" xr:uid="{00000000-0005-0000-0000-0000DB030000}"/>
    <cellStyle name="Обычный 68" xfId="929" xr:uid="{00000000-0005-0000-0000-0000DC030000}"/>
    <cellStyle name="Обычный 69" xfId="930" xr:uid="{00000000-0005-0000-0000-0000DD030000}"/>
    <cellStyle name="Обычный 7" xfId="931" xr:uid="{00000000-0005-0000-0000-0000DE030000}"/>
    <cellStyle name="Обычный 7 2" xfId="932" xr:uid="{00000000-0005-0000-0000-0000DF030000}"/>
    <cellStyle name="Обычный 7 2 2" xfId="933" xr:uid="{00000000-0005-0000-0000-0000E0030000}"/>
    <cellStyle name="Обычный 7 2 3" xfId="934" xr:uid="{00000000-0005-0000-0000-0000E1030000}"/>
    <cellStyle name="Обычный 7 3" xfId="935" xr:uid="{00000000-0005-0000-0000-0000E2030000}"/>
    <cellStyle name="Обычный 7 3 2" xfId="936" xr:uid="{00000000-0005-0000-0000-0000E3030000}"/>
    <cellStyle name="Обычный 7 4" xfId="937" xr:uid="{00000000-0005-0000-0000-0000E4030000}"/>
    <cellStyle name="Обычный 7 4 2" xfId="938" xr:uid="{00000000-0005-0000-0000-0000E5030000}"/>
    <cellStyle name="Обычный 7 5" xfId="939" xr:uid="{00000000-0005-0000-0000-0000E6030000}"/>
    <cellStyle name="Обычный 70" xfId="940" xr:uid="{00000000-0005-0000-0000-0000E7030000}"/>
    <cellStyle name="Обычный 71" xfId="941" xr:uid="{00000000-0005-0000-0000-0000E8030000}"/>
    <cellStyle name="Обычный 72" xfId="942" xr:uid="{00000000-0005-0000-0000-0000E9030000}"/>
    <cellStyle name="Обычный 73" xfId="943" xr:uid="{00000000-0005-0000-0000-0000EA030000}"/>
    <cellStyle name="Обычный 73 2" xfId="944" xr:uid="{00000000-0005-0000-0000-0000EB030000}"/>
    <cellStyle name="Обычный 73 3" xfId="945" xr:uid="{00000000-0005-0000-0000-0000EC030000}"/>
    <cellStyle name="Обычный 73 4" xfId="946" xr:uid="{00000000-0005-0000-0000-0000ED030000}"/>
    <cellStyle name="Обычный 74" xfId="947" xr:uid="{00000000-0005-0000-0000-0000EE030000}"/>
    <cellStyle name="Обычный 75" xfId="948" xr:uid="{00000000-0005-0000-0000-0000EF030000}"/>
    <cellStyle name="Обычный 75 2" xfId="949" xr:uid="{00000000-0005-0000-0000-0000F0030000}"/>
    <cellStyle name="Обычный 76" xfId="950" xr:uid="{00000000-0005-0000-0000-0000F1030000}"/>
    <cellStyle name="Обычный 77" xfId="951" xr:uid="{00000000-0005-0000-0000-0000F2030000}"/>
    <cellStyle name="Обычный 78" xfId="952" xr:uid="{00000000-0005-0000-0000-0000F3030000}"/>
    <cellStyle name="Обычный 78 2" xfId="953" xr:uid="{00000000-0005-0000-0000-0000F4030000}"/>
    <cellStyle name="Обычный 78 3" xfId="954" xr:uid="{00000000-0005-0000-0000-0000F5030000}"/>
    <cellStyle name="Обычный 79" xfId="955" xr:uid="{00000000-0005-0000-0000-0000F6030000}"/>
    <cellStyle name="Обычный 8" xfId="956" xr:uid="{00000000-0005-0000-0000-0000F7030000}"/>
    <cellStyle name="Обычный 8 2" xfId="957" xr:uid="{00000000-0005-0000-0000-0000F8030000}"/>
    <cellStyle name="Обычный 8 2 2" xfId="958" xr:uid="{00000000-0005-0000-0000-0000F9030000}"/>
    <cellStyle name="Обычный 8 2 3" xfId="959" xr:uid="{00000000-0005-0000-0000-0000FA030000}"/>
    <cellStyle name="Обычный 8 3" xfId="960" xr:uid="{00000000-0005-0000-0000-0000FB030000}"/>
    <cellStyle name="Обычный 8 3 2" xfId="961" xr:uid="{00000000-0005-0000-0000-0000FC030000}"/>
    <cellStyle name="Обычный 8 4" xfId="962" xr:uid="{00000000-0005-0000-0000-0000FD030000}"/>
    <cellStyle name="Обычный 8 5" xfId="963" xr:uid="{00000000-0005-0000-0000-0000FE030000}"/>
    <cellStyle name="Обычный 8 6" xfId="964" xr:uid="{00000000-0005-0000-0000-0000FF030000}"/>
    <cellStyle name="Обычный 80" xfId="965" xr:uid="{00000000-0005-0000-0000-000000040000}"/>
    <cellStyle name="Обычный 81" xfId="966" xr:uid="{00000000-0005-0000-0000-000001040000}"/>
    <cellStyle name="Обычный 82" xfId="967" xr:uid="{00000000-0005-0000-0000-000002040000}"/>
    <cellStyle name="Обычный 83" xfId="968" xr:uid="{00000000-0005-0000-0000-000003040000}"/>
    <cellStyle name="Обычный 84" xfId="969" xr:uid="{00000000-0005-0000-0000-000004040000}"/>
    <cellStyle name="Обычный 85" xfId="970" xr:uid="{00000000-0005-0000-0000-000005040000}"/>
    <cellStyle name="Обычный 86" xfId="971" xr:uid="{00000000-0005-0000-0000-000006040000}"/>
    <cellStyle name="Обычный 87" xfId="972" xr:uid="{00000000-0005-0000-0000-000007040000}"/>
    <cellStyle name="Обычный 87 2" xfId="973" xr:uid="{00000000-0005-0000-0000-000008040000}"/>
    <cellStyle name="Обычный 87 3" xfId="974" xr:uid="{00000000-0005-0000-0000-000009040000}"/>
    <cellStyle name="Обычный 88" xfId="975" xr:uid="{00000000-0005-0000-0000-00000A040000}"/>
    <cellStyle name="Обычный 88 2" xfId="976" xr:uid="{00000000-0005-0000-0000-00000B040000}"/>
    <cellStyle name="Обычный 88 3" xfId="977" xr:uid="{00000000-0005-0000-0000-00000C040000}"/>
    <cellStyle name="Обычный 89" xfId="978" xr:uid="{00000000-0005-0000-0000-00000D040000}"/>
    <cellStyle name="Обычный 9" xfId="979" xr:uid="{00000000-0005-0000-0000-00000E040000}"/>
    <cellStyle name="Обычный 9 2" xfId="980" xr:uid="{00000000-0005-0000-0000-00000F040000}"/>
    <cellStyle name="Обычный 9 2 2" xfId="981" xr:uid="{00000000-0005-0000-0000-000010040000}"/>
    <cellStyle name="Обычный 9 2 3" xfId="982" xr:uid="{00000000-0005-0000-0000-000011040000}"/>
    <cellStyle name="Обычный 9 3" xfId="983" xr:uid="{00000000-0005-0000-0000-000012040000}"/>
    <cellStyle name="Обычный 9 3 2" xfId="984" xr:uid="{00000000-0005-0000-0000-000013040000}"/>
    <cellStyle name="Обычный 9 4" xfId="985" xr:uid="{00000000-0005-0000-0000-000014040000}"/>
    <cellStyle name="Обычный 90" xfId="986" xr:uid="{00000000-0005-0000-0000-000015040000}"/>
    <cellStyle name="Обычный 90 2" xfId="987" xr:uid="{00000000-0005-0000-0000-000016040000}"/>
    <cellStyle name="Обычный 91" xfId="988" xr:uid="{00000000-0005-0000-0000-000017040000}"/>
    <cellStyle name="Обычный 92" xfId="989" xr:uid="{00000000-0005-0000-0000-000018040000}"/>
    <cellStyle name="Обычный 92 2" xfId="990" xr:uid="{00000000-0005-0000-0000-000019040000}"/>
    <cellStyle name="Обычный 93" xfId="991" xr:uid="{00000000-0005-0000-0000-00001A040000}"/>
    <cellStyle name="Обычный 93 2" xfId="992" xr:uid="{00000000-0005-0000-0000-00001B040000}"/>
    <cellStyle name="Обычный 93 3" xfId="993" xr:uid="{00000000-0005-0000-0000-00001C040000}"/>
    <cellStyle name="Обычный 94" xfId="994" xr:uid="{00000000-0005-0000-0000-00001D040000}"/>
    <cellStyle name="Обычный 94 2" xfId="995" xr:uid="{00000000-0005-0000-0000-00001E040000}"/>
    <cellStyle name="Обычный 94 3" xfId="996" xr:uid="{00000000-0005-0000-0000-00001F040000}"/>
    <cellStyle name="Обычный 95" xfId="997" xr:uid="{00000000-0005-0000-0000-000020040000}"/>
    <cellStyle name="Обычный 95 2" xfId="998" xr:uid="{00000000-0005-0000-0000-000021040000}"/>
    <cellStyle name="Обычный 96" xfId="999" xr:uid="{00000000-0005-0000-0000-000022040000}"/>
    <cellStyle name="Обычный 97" xfId="1000" xr:uid="{00000000-0005-0000-0000-000023040000}"/>
    <cellStyle name="Обычный 97 2" xfId="1001" xr:uid="{00000000-0005-0000-0000-000024040000}"/>
    <cellStyle name="Обычный 98" xfId="1002" xr:uid="{00000000-0005-0000-0000-000025040000}"/>
    <cellStyle name="Обычный 99" xfId="1003" xr:uid="{00000000-0005-0000-0000-000026040000}"/>
    <cellStyle name="Обычный 99 2" xfId="1004" xr:uid="{00000000-0005-0000-0000-000027040000}"/>
    <cellStyle name="Обычный 99 2 2" xfId="1005" xr:uid="{00000000-0005-0000-0000-000028040000}"/>
    <cellStyle name="Обычный_Книга3" xfId="1288" xr:uid="{00000000-0005-0000-0000-000029040000}"/>
    <cellStyle name="Примечание 10" xfId="1006" xr:uid="{00000000-0005-0000-0000-00002A040000}"/>
    <cellStyle name="Примечание 11" xfId="1007" xr:uid="{00000000-0005-0000-0000-00002B040000}"/>
    <cellStyle name="Примечание 12" xfId="1008" xr:uid="{00000000-0005-0000-0000-00002C040000}"/>
    <cellStyle name="Примечание 13" xfId="1009" xr:uid="{00000000-0005-0000-0000-00002D040000}"/>
    <cellStyle name="Примечание 14" xfId="1010" xr:uid="{00000000-0005-0000-0000-00002E040000}"/>
    <cellStyle name="Примечание 15" xfId="1011" xr:uid="{00000000-0005-0000-0000-00002F040000}"/>
    <cellStyle name="Примечание 16" xfId="1012" xr:uid="{00000000-0005-0000-0000-000030040000}"/>
    <cellStyle name="Примечание 17" xfId="1013" xr:uid="{00000000-0005-0000-0000-000031040000}"/>
    <cellStyle name="Примечание 18" xfId="1014" xr:uid="{00000000-0005-0000-0000-000032040000}"/>
    <cellStyle name="Примечание 19" xfId="1015" xr:uid="{00000000-0005-0000-0000-000033040000}"/>
    <cellStyle name="Примечание 2" xfId="1016" xr:uid="{00000000-0005-0000-0000-000034040000}"/>
    <cellStyle name="Примечание 2 2" xfId="1017" xr:uid="{00000000-0005-0000-0000-000035040000}"/>
    <cellStyle name="Примечание 2 3" xfId="1018" xr:uid="{00000000-0005-0000-0000-000036040000}"/>
    <cellStyle name="Примечание 20" xfId="1019" xr:uid="{00000000-0005-0000-0000-000037040000}"/>
    <cellStyle name="Примечание 21" xfId="1020" xr:uid="{00000000-0005-0000-0000-000038040000}"/>
    <cellStyle name="Примечание 22" xfId="1021" xr:uid="{00000000-0005-0000-0000-000039040000}"/>
    <cellStyle name="Примечание 23" xfId="1022" xr:uid="{00000000-0005-0000-0000-00003A040000}"/>
    <cellStyle name="Примечание 24" xfId="1023" xr:uid="{00000000-0005-0000-0000-00003B040000}"/>
    <cellStyle name="Примечание 25" xfId="1024" xr:uid="{00000000-0005-0000-0000-00003C040000}"/>
    <cellStyle name="Примечание 26" xfId="1025" xr:uid="{00000000-0005-0000-0000-00003D040000}"/>
    <cellStyle name="Примечание 27" xfId="1026" xr:uid="{00000000-0005-0000-0000-00003E040000}"/>
    <cellStyle name="Примечание 28" xfId="1027" xr:uid="{00000000-0005-0000-0000-00003F040000}"/>
    <cellStyle name="Примечание 29" xfId="1028" xr:uid="{00000000-0005-0000-0000-000040040000}"/>
    <cellStyle name="Примечание 3" xfId="1029" xr:uid="{00000000-0005-0000-0000-000041040000}"/>
    <cellStyle name="Примечание 3 2" xfId="1030" xr:uid="{00000000-0005-0000-0000-000042040000}"/>
    <cellStyle name="Примечание 3 3" xfId="1031" xr:uid="{00000000-0005-0000-0000-000043040000}"/>
    <cellStyle name="Примечание 30" xfId="1032" xr:uid="{00000000-0005-0000-0000-000044040000}"/>
    <cellStyle name="Примечание 4" xfId="1033" xr:uid="{00000000-0005-0000-0000-000045040000}"/>
    <cellStyle name="Примечание 4 2" xfId="1034" xr:uid="{00000000-0005-0000-0000-000046040000}"/>
    <cellStyle name="Примечание 4 3" xfId="1035" xr:uid="{00000000-0005-0000-0000-000047040000}"/>
    <cellStyle name="Примечание 5" xfId="1036" xr:uid="{00000000-0005-0000-0000-000048040000}"/>
    <cellStyle name="Примечание 5 2" xfId="1037" xr:uid="{00000000-0005-0000-0000-000049040000}"/>
    <cellStyle name="Примечание 5 3" xfId="1038" xr:uid="{00000000-0005-0000-0000-00004A040000}"/>
    <cellStyle name="Примечание 6" xfId="1039" xr:uid="{00000000-0005-0000-0000-00004B040000}"/>
    <cellStyle name="Примечание 6 2" xfId="1040" xr:uid="{00000000-0005-0000-0000-00004C040000}"/>
    <cellStyle name="Примечание 6 3" xfId="1041" xr:uid="{00000000-0005-0000-0000-00004D040000}"/>
    <cellStyle name="Примечание 7" xfId="1042" xr:uid="{00000000-0005-0000-0000-00004E040000}"/>
    <cellStyle name="Примечание 7 2" xfId="1043" xr:uid="{00000000-0005-0000-0000-00004F040000}"/>
    <cellStyle name="Примечание 7 3" xfId="1044" xr:uid="{00000000-0005-0000-0000-000050040000}"/>
    <cellStyle name="Примечание 8" xfId="1045" xr:uid="{00000000-0005-0000-0000-000051040000}"/>
    <cellStyle name="Примечание 8 2" xfId="1046" xr:uid="{00000000-0005-0000-0000-000052040000}"/>
    <cellStyle name="Примечание 8 3" xfId="1047" xr:uid="{00000000-0005-0000-0000-000053040000}"/>
    <cellStyle name="Примечание 9" xfId="1048" xr:uid="{00000000-0005-0000-0000-000054040000}"/>
    <cellStyle name="Примечание 9 2" xfId="1049" xr:uid="{00000000-0005-0000-0000-000055040000}"/>
    <cellStyle name="Процентный" xfId="2" builtinId="5"/>
    <cellStyle name="Процентный 2" xfId="8" xr:uid="{00000000-0005-0000-0000-000057040000}"/>
    <cellStyle name="Процентный 2 2" xfId="1050" xr:uid="{00000000-0005-0000-0000-000058040000}"/>
    <cellStyle name="Процентный 2 2 2" xfId="10" xr:uid="{00000000-0005-0000-0000-000059040000}"/>
    <cellStyle name="Процентный 2 2 3" xfId="1051" xr:uid="{00000000-0005-0000-0000-00005A040000}"/>
    <cellStyle name="Процентный 2 3" xfId="1052" xr:uid="{00000000-0005-0000-0000-00005B040000}"/>
    <cellStyle name="Процентный 2 4" xfId="1053" xr:uid="{00000000-0005-0000-0000-00005C040000}"/>
    <cellStyle name="Процентный 2 5" xfId="1054" xr:uid="{00000000-0005-0000-0000-00005D040000}"/>
    <cellStyle name="Процентный 2 6" xfId="1055" xr:uid="{00000000-0005-0000-0000-00005E040000}"/>
    <cellStyle name="Процентный 2 7" xfId="1056" xr:uid="{00000000-0005-0000-0000-00005F040000}"/>
    <cellStyle name="Процентный 3" xfId="1057" xr:uid="{00000000-0005-0000-0000-000060040000}"/>
    <cellStyle name="Процентный 4" xfId="1058" xr:uid="{00000000-0005-0000-0000-000061040000}"/>
    <cellStyle name="Стиль 1" xfId="1059" xr:uid="{00000000-0005-0000-0000-000062040000}"/>
    <cellStyle name="Финансовый" xfId="3" builtinId="3"/>
    <cellStyle name="Финансовый [0] 2" xfId="1060" xr:uid="{00000000-0005-0000-0000-000064040000}"/>
    <cellStyle name="Финансовый [0] 2 2" xfId="1061" xr:uid="{00000000-0005-0000-0000-000065040000}"/>
    <cellStyle name="Финансовый [0] 67" xfId="1062" xr:uid="{00000000-0005-0000-0000-000066040000}"/>
    <cellStyle name="Финансовый 10" xfId="1063" xr:uid="{00000000-0005-0000-0000-000067040000}"/>
    <cellStyle name="Финансовый 10 2" xfId="1064" xr:uid="{00000000-0005-0000-0000-000068040000}"/>
    <cellStyle name="Финансовый 11" xfId="1065" xr:uid="{00000000-0005-0000-0000-000069040000}"/>
    <cellStyle name="Финансовый 11 2" xfId="1066" xr:uid="{00000000-0005-0000-0000-00006A040000}"/>
    <cellStyle name="Финансовый 12" xfId="1290" xr:uid="{00000000-0005-0000-0000-00006B040000}"/>
    <cellStyle name="Финансовый 13" xfId="1067" xr:uid="{00000000-0005-0000-0000-00006C040000}"/>
    <cellStyle name="Финансовый 13 2" xfId="1068" xr:uid="{00000000-0005-0000-0000-00006D040000}"/>
    <cellStyle name="Финансовый 13 3" xfId="1069" xr:uid="{00000000-0005-0000-0000-00006E040000}"/>
    <cellStyle name="Финансовый 17" xfId="1070" xr:uid="{00000000-0005-0000-0000-00006F040000}"/>
    <cellStyle name="Финансовый 19" xfId="1071" xr:uid="{00000000-0005-0000-0000-000070040000}"/>
    <cellStyle name="Финансовый 19 2" xfId="1072" xr:uid="{00000000-0005-0000-0000-000071040000}"/>
    <cellStyle name="Финансовый 19 3" xfId="1073" xr:uid="{00000000-0005-0000-0000-000072040000}"/>
    <cellStyle name="Финансовый 2" xfId="7" xr:uid="{00000000-0005-0000-0000-000073040000}"/>
    <cellStyle name="Финансовый 2 10" xfId="1074" xr:uid="{00000000-0005-0000-0000-000074040000}"/>
    <cellStyle name="Финансовый 2 11" xfId="1075" xr:uid="{00000000-0005-0000-0000-000075040000}"/>
    <cellStyle name="Финансовый 2 12" xfId="1076" xr:uid="{00000000-0005-0000-0000-000076040000}"/>
    <cellStyle name="Финансовый 2 13" xfId="1077" xr:uid="{00000000-0005-0000-0000-000077040000}"/>
    <cellStyle name="Финансовый 2 14" xfId="1078" xr:uid="{00000000-0005-0000-0000-000078040000}"/>
    <cellStyle name="Финансовый 2 15" xfId="1079" xr:uid="{00000000-0005-0000-0000-000079040000}"/>
    <cellStyle name="Финансовый 2 16" xfId="1080" xr:uid="{00000000-0005-0000-0000-00007A040000}"/>
    <cellStyle name="Финансовый 2 17" xfId="1081" xr:uid="{00000000-0005-0000-0000-00007B040000}"/>
    <cellStyle name="Финансовый 2 18" xfId="1082" xr:uid="{00000000-0005-0000-0000-00007C040000}"/>
    <cellStyle name="Финансовый 2 19" xfId="1083" xr:uid="{00000000-0005-0000-0000-00007D040000}"/>
    <cellStyle name="Финансовый 2 2" xfId="1084" xr:uid="{00000000-0005-0000-0000-00007E040000}"/>
    <cellStyle name="Финансовый 2 2 2" xfId="1085" xr:uid="{00000000-0005-0000-0000-00007F040000}"/>
    <cellStyle name="Финансовый 2 2 2 2" xfId="1086" xr:uid="{00000000-0005-0000-0000-000080040000}"/>
    <cellStyle name="Финансовый 2 2 2 3" xfId="1087" xr:uid="{00000000-0005-0000-0000-000081040000}"/>
    <cellStyle name="Финансовый 2 2 3" xfId="1088" xr:uid="{00000000-0005-0000-0000-000082040000}"/>
    <cellStyle name="Финансовый 2 2 4" xfId="1089" xr:uid="{00000000-0005-0000-0000-000083040000}"/>
    <cellStyle name="Финансовый 2 20" xfId="1090" xr:uid="{00000000-0005-0000-0000-000084040000}"/>
    <cellStyle name="Финансовый 2 21" xfId="1091" xr:uid="{00000000-0005-0000-0000-000085040000}"/>
    <cellStyle name="Финансовый 2 22" xfId="1092" xr:uid="{00000000-0005-0000-0000-000086040000}"/>
    <cellStyle name="Финансовый 2 23" xfId="1093" xr:uid="{00000000-0005-0000-0000-000087040000}"/>
    <cellStyle name="Финансовый 2 24" xfId="1094" xr:uid="{00000000-0005-0000-0000-000088040000}"/>
    <cellStyle name="Финансовый 2 25" xfId="1095" xr:uid="{00000000-0005-0000-0000-000089040000}"/>
    <cellStyle name="Финансовый 2 26" xfId="1096" xr:uid="{00000000-0005-0000-0000-00008A040000}"/>
    <cellStyle name="Финансовый 2 27" xfId="1097" xr:uid="{00000000-0005-0000-0000-00008B040000}"/>
    <cellStyle name="Финансовый 2 28" xfId="1098" xr:uid="{00000000-0005-0000-0000-00008C040000}"/>
    <cellStyle name="Финансовый 2 29" xfId="1099" xr:uid="{00000000-0005-0000-0000-00008D040000}"/>
    <cellStyle name="Финансовый 2 3" xfId="1100" xr:uid="{00000000-0005-0000-0000-00008E040000}"/>
    <cellStyle name="Финансовый 2 3 2" xfId="1101" xr:uid="{00000000-0005-0000-0000-00008F040000}"/>
    <cellStyle name="Финансовый 2 3 3" xfId="1102" xr:uid="{00000000-0005-0000-0000-000090040000}"/>
    <cellStyle name="Финансовый 2 3 4" xfId="1103" xr:uid="{00000000-0005-0000-0000-000091040000}"/>
    <cellStyle name="Финансовый 2 30" xfId="1104" xr:uid="{00000000-0005-0000-0000-000092040000}"/>
    <cellStyle name="Финансовый 2 4" xfId="1105" xr:uid="{00000000-0005-0000-0000-000093040000}"/>
    <cellStyle name="Финансовый 2 4 2" xfId="1106" xr:uid="{00000000-0005-0000-0000-000094040000}"/>
    <cellStyle name="Финансовый 2 4 3" xfId="1107" xr:uid="{00000000-0005-0000-0000-000095040000}"/>
    <cellStyle name="Финансовый 2 4 4" xfId="1108" xr:uid="{00000000-0005-0000-0000-000096040000}"/>
    <cellStyle name="Финансовый 2 5" xfId="1109" xr:uid="{00000000-0005-0000-0000-000097040000}"/>
    <cellStyle name="Финансовый 2 5 2" xfId="1110" xr:uid="{00000000-0005-0000-0000-000098040000}"/>
    <cellStyle name="Финансовый 2 6" xfId="1111" xr:uid="{00000000-0005-0000-0000-000099040000}"/>
    <cellStyle name="Финансовый 2 6 2" xfId="1112" xr:uid="{00000000-0005-0000-0000-00009A040000}"/>
    <cellStyle name="Финансовый 2 7" xfId="1113" xr:uid="{00000000-0005-0000-0000-00009B040000}"/>
    <cellStyle name="Финансовый 2 8" xfId="1114" xr:uid="{00000000-0005-0000-0000-00009C040000}"/>
    <cellStyle name="Финансовый 2 9" xfId="1115" xr:uid="{00000000-0005-0000-0000-00009D040000}"/>
    <cellStyle name="Финансовый 20" xfId="1116" xr:uid="{00000000-0005-0000-0000-00009E040000}"/>
    <cellStyle name="Финансовый 21" xfId="1117" xr:uid="{00000000-0005-0000-0000-00009F040000}"/>
    <cellStyle name="Финансовый 23" xfId="1118" xr:uid="{00000000-0005-0000-0000-0000A0040000}"/>
    <cellStyle name="Финансовый 24" xfId="1119" xr:uid="{00000000-0005-0000-0000-0000A1040000}"/>
    <cellStyle name="Финансовый 25" xfId="1120" xr:uid="{00000000-0005-0000-0000-0000A2040000}"/>
    <cellStyle name="Финансовый 26" xfId="1121" xr:uid="{00000000-0005-0000-0000-0000A3040000}"/>
    <cellStyle name="Финансовый 27" xfId="1122" xr:uid="{00000000-0005-0000-0000-0000A4040000}"/>
    <cellStyle name="Финансовый 28" xfId="1123" xr:uid="{00000000-0005-0000-0000-0000A5040000}"/>
    <cellStyle name="Финансовый 3" xfId="1124" xr:uid="{00000000-0005-0000-0000-0000A6040000}"/>
    <cellStyle name="Финансовый 3 10" xfId="1125" xr:uid="{00000000-0005-0000-0000-0000A7040000}"/>
    <cellStyle name="Финансовый 3 11" xfId="1126" xr:uid="{00000000-0005-0000-0000-0000A8040000}"/>
    <cellStyle name="Финансовый 3 12" xfId="1127" xr:uid="{00000000-0005-0000-0000-0000A9040000}"/>
    <cellStyle name="Финансовый 3 13" xfId="1128" xr:uid="{00000000-0005-0000-0000-0000AA040000}"/>
    <cellStyle name="Финансовый 3 14" xfId="1129" xr:uid="{00000000-0005-0000-0000-0000AB040000}"/>
    <cellStyle name="Финансовый 3 15" xfId="1130" xr:uid="{00000000-0005-0000-0000-0000AC040000}"/>
    <cellStyle name="Финансовый 3 16" xfId="1131" xr:uid="{00000000-0005-0000-0000-0000AD040000}"/>
    <cellStyle name="Финансовый 3 17" xfId="1132" xr:uid="{00000000-0005-0000-0000-0000AE040000}"/>
    <cellStyle name="Финансовый 3 18" xfId="1133" xr:uid="{00000000-0005-0000-0000-0000AF040000}"/>
    <cellStyle name="Финансовый 3 19" xfId="1134" xr:uid="{00000000-0005-0000-0000-0000B0040000}"/>
    <cellStyle name="Финансовый 3 2" xfId="1135" xr:uid="{00000000-0005-0000-0000-0000B1040000}"/>
    <cellStyle name="Финансовый 3 2 2" xfId="1136" xr:uid="{00000000-0005-0000-0000-0000B2040000}"/>
    <cellStyle name="Финансовый 3 2 2 2" xfId="1137" xr:uid="{00000000-0005-0000-0000-0000B3040000}"/>
    <cellStyle name="Финансовый 3 2 2 3" xfId="1138" xr:uid="{00000000-0005-0000-0000-0000B4040000}"/>
    <cellStyle name="Финансовый 3 2 3" xfId="1139" xr:uid="{00000000-0005-0000-0000-0000B5040000}"/>
    <cellStyle name="Финансовый 3 2 3 2" xfId="1140" xr:uid="{00000000-0005-0000-0000-0000B6040000}"/>
    <cellStyle name="Финансовый 3 2 4" xfId="1141" xr:uid="{00000000-0005-0000-0000-0000B7040000}"/>
    <cellStyle name="Финансовый 3 2 5" xfId="1142" xr:uid="{00000000-0005-0000-0000-0000B8040000}"/>
    <cellStyle name="Финансовый 3 2 6" xfId="1143" xr:uid="{00000000-0005-0000-0000-0000B9040000}"/>
    <cellStyle name="Финансовый 3 20" xfId="1144" xr:uid="{00000000-0005-0000-0000-0000BA040000}"/>
    <cellStyle name="Финансовый 3 21" xfId="1145" xr:uid="{00000000-0005-0000-0000-0000BB040000}"/>
    <cellStyle name="Финансовый 3 22" xfId="1146" xr:uid="{00000000-0005-0000-0000-0000BC040000}"/>
    <cellStyle name="Финансовый 3 3" xfId="1147" xr:uid="{00000000-0005-0000-0000-0000BD040000}"/>
    <cellStyle name="Финансовый 3 3 2" xfId="1148" xr:uid="{00000000-0005-0000-0000-0000BE040000}"/>
    <cellStyle name="Финансовый 3 3 3" xfId="1149" xr:uid="{00000000-0005-0000-0000-0000BF040000}"/>
    <cellStyle name="Финансовый 3 4" xfId="1150" xr:uid="{00000000-0005-0000-0000-0000C0040000}"/>
    <cellStyle name="Финансовый 3 4 2" xfId="1151" xr:uid="{00000000-0005-0000-0000-0000C1040000}"/>
    <cellStyle name="Финансовый 3 4 3" xfId="1152" xr:uid="{00000000-0005-0000-0000-0000C2040000}"/>
    <cellStyle name="Финансовый 3 5" xfId="1153" xr:uid="{00000000-0005-0000-0000-0000C3040000}"/>
    <cellStyle name="Финансовый 3 5 2" xfId="1154" xr:uid="{00000000-0005-0000-0000-0000C4040000}"/>
    <cellStyle name="Финансовый 3 5 3" xfId="1155" xr:uid="{00000000-0005-0000-0000-0000C5040000}"/>
    <cellStyle name="Финансовый 3 5 4" xfId="1156" xr:uid="{00000000-0005-0000-0000-0000C6040000}"/>
    <cellStyle name="Финансовый 3 6" xfId="1157" xr:uid="{00000000-0005-0000-0000-0000C7040000}"/>
    <cellStyle name="Финансовый 3 6 2" xfId="1158" xr:uid="{00000000-0005-0000-0000-0000C8040000}"/>
    <cellStyle name="Финансовый 3 7" xfId="1159" xr:uid="{00000000-0005-0000-0000-0000C9040000}"/>
    <cellStyle name="Финансовый 3 7 2" xfId="1160" xr:uid="{00000000-0005-0000-0000-0000CA040000}"/>
    <cellStyle name="Финансовый 3 8" xfId="1161" xr:uid="{00000000-0005-0000-0000-0000CB040000}"/>
    <cellStyle name="Финансовый 3 9" xfId="1162" xr:uid="{00000000-0005-0000-0000-0000CC040000}"/>
    <cellStyle name="Финансовый 30" xfId="1163" xr:uid="{00000000-0005-0000-0000-0000CD040000}"/>
    <cellStyle name="Финансовый 31" xfId="1164" xr:uid="{00000000-0005-0000-0000-0000CE040000}"/>
    <cellStyle name="Финансовый 31 2" xfId="1165" xr:uid="{00000000-0005-0000-0000-0000CF040000}"/>
    <cellStyle name="Финансовый 32" xfId="1166" xr:uid="{00000000-0005-0000-0000-0000D0040000}"/>
    <cellStyle name="Финансовый 32 2" xfId="1167" xr:uid="{00000000-0005-0000-0000-0000D1040000}"/>
    <cellStyle name="Финансовый 33" xfId="1168" xr:uid="{00000000-0005-0000-0000-0000D2040000}"/>
    <cellStyle name="Финансовый 33 2" xfId="1169" xr:uid="{00000000-0005-0000-0000-0000D3040000}"/>
    <cellStyle name="Финансовый 34" xfId="1170" xr:uid="{00000000-0005-0000-0000-0000D4040000}"/>
    <cellStyle name="Финансовый 34 2" xfId="1171" xr:uid="{00000000-0005-0000-0000-0000D5040000}"/>
    <cellStyle name="Финансовый 35" xfId="1172" xr:uid="{00000000-0005-0000-0000-0000D6040000}"/>
    <cellStyle name="Финансовый 35 2" xfId="1173" xr:uid="{00000000-0005-0000-0000-0000D7040000}"/>
    <cellStyle name="Финансовый 36" xfId="1174" xr:uid="{00000000-0005-0000-0000-0000D8040000}"/>
    <cellStyle name="Финансовый 36 2" xfId="1175" xr:uid="{00000000-0005-0000-0000-0000D9040000}"/>
    <cellStyle name="Финансовый 37" xfId="1176" xr:uid="{00000000-0005-0000-0000-0000DA040000}"/>
    <cellStyle name="Финансовый 37 2" xfId="1177" xr:uid="{00000000-0005-0000-0000-0000DB040000}"/>
    <cellStyle name="Финансовый 38" xfId="1178" xr:uid="{00000000-0005-0000-0000-0000DC040000}"/>
    <cellStyle name="Финансовый 38 2" xfId="1179" xr:uid="{00000000-0005-0000-0000-0000DD040000}"/>
    <cellStyle name="Финансовый 39" xfId="1180" xr:uid="{00000000-0005-0000-0000-0000DE040000}"/>
    <cellStyle name="Финансовый 4" xfId="1181" xr:uid="{00000000-0005-0000-0000-0000DF040000}"/>
    <cellStyle name="Финансовый 4 2" xfId="1182" xr:uid="{00000000-0005-0000-0000-0000E0040000}"/>
    <cellStyle name="Финансовый 4 2 2" xfId="1183" xr:uid="{00000000-0005-0000-0000-0000E1040000}"/>
    <cellStyle name="Финансовый 4 2 2 2" xfId="1184" xr:uid="{00000000-0005-0000-0000-0000E2040000}"/>
    <cellStyle name="Финансовый 4 2 3" xfId="1185" xr:uid="{00000000-0005-0000-0000-0000E3040000}"/>
    <cellStyle name="Финансовый 4 3" xfId="1186" xr:uid="{00000000-0005-0000-0000-0000E4040000}"/>
    <cellStyle name="Финансовый 4 3 2" xfId="1187" xr:uid="{00000000-0005-0000-0000-0000E5040000}"/>
    <cellStyle name="Финансовый 4 4" xfId="1188" xr:uid="{00000000-0005-0000-0000-0000E6040000}"/>
    <cellStyle name="Финансовый 4 4 2" xfId="1189" xr:uid="{00000000-0005-0000-0000-0000E7040000}"/>
    <cellStyle name="Финансовый 4 5" xfId="1190" xr:uid="{00000000-0005-0000-0000-0000E8040000}"/>
    <cellStyle name="Финансовый 4 6" xfId="1191" xr:uid="{00000000-0005-0000-0000-0000E9040000}"/>
    <cellStyle name="Финансовый 4 7" xfId="1192" xr:uid="{00000000-0005-0000-0000-0000EA040000}"/>
    <cellStyle name="Финансовый 4 8" xfId="1193" xr:uid="{00000000-0005-0000-0000-0000EB040000}"/>
    <cellStyle name="Финансовый 4 9" xfId="1194" xr:uid="{00000000-0005-0000-0000-0000EC040000}"/>
    <cellStyle name="Финансовый 40" xfId="1195" xr:uid="{00000000-0005-0000-0000-0000ED040000}"/>
    <cellStyle name="Финансовый 41" xfId="1196" xr:uid="{00000000-0005-0000-0000-0000EE040000}"/>
    <cellStyle name="Финансовый 42" xfId="1197" xr:uid="{00000000-0005-0000-0000-0000EF040000}"/>
    <cellStyle name="Финансовый 42 2" xfId="1198" xr:uid="{00000000-0005-0000-0000-0000F0040000}"/>
    <cellStyle name="Финансовый 44" xfId="1199" xr:uid="{00000000-0005-0000-0000-0000F1040000}"/>
    <cellStyle name="Финансовый 46" xfId="1200" xr:uid="{00000000-0005-0000-0000-0000F2040000}"/>
    <cellStyle name="Финансовый 47" xfId="1201" xr:uid="{00000000-0005-0000-0000-0000F3040000}"/>
    <cellStyle name="Финансовый 5" xfId="1202" xr:uid="{00000000-0005-0000-0000-0000F4040000}"/>
    <cellStyle name="Финансовый 5 2" xfId="1203" xr:uid="{00000000-0005-0000-0000-0000F5040000}"/>
    <cellStyle name="Финансовый 5 2 2" xfId="1204" xr:uid="{00000000-0005-0000-0000-0000F6040000}"/>
    <cellStyle name="Финансовый 5 3" xfId="1205" xr:uid="{00000000-0005-0000-0000-0000F7040000}"/>
    <cellStyle name="Финансовый 5 3 2" xfId="1206" xr:uid="{00000000-0005-0000-0000-0000F8040000}"/>
    <cellStyle name="Финансовый 5 3 3" xfId="1207" xr:uid="{00000000-0005-0000-0000-0000F9040000}"/>
    <cellStyle name="Финансовый 5 4" xfId="1208" xr:uid="{00000000-0005-0000-0000-0000FA040000}"/>
    <cellStyle name="Финансовый 5 5" xfId="1209" xr:uid="{00000000-0005-0000-0000-0000FB040000}"/>
    <cellStyle name="Финансовый 6" xfId="1210" xr:uid="{00000000-0005-0000-0000-0000FC040000}"/>
    <cellStyle name="Финансовый 6 2" xfId="1211" xr:uid="{00000000-0005-0000-0000-0000FD040000}"/>
    <cellStyle name="Финансовый 6 2 2" xfId="1212" xr:uid="{00000000-0005-0000-0000-0000FE040000}"/>
    <cellStyle name="Финансовый 6 2 3" xfId="1213" xr:uid="{00000000-0005-0000-0000-0000FF040000}"/>
    <cellStyle name="Финансовый 6 3" xfId="1214" xr:uid="{00000000-0005-0000-0000-000000050000}"/>
    <cellStyle name="Финансовый 6 4" xfId="1215" xr:uid="{00000000-0005-0000-0000-000001050000}"/>
    <cellStyle name="Финансовый 7" xfId="1216" xr:uid="{00000000-0005-0000-0000-000002050000}"/>
    <cellStyle name="Финансовый 7 2" xfId="1217" xr:uid="{00000000-0005-0000-0000-000003050000}"/>
    <cellStyle name="Финансовый 7 2 2" xfId="1218" xr:uid="{00000000-0005-0000-0000-000004050000}"/>
    <cellStyle name="Финансовый 7 2 3" xfId="1219" xr:uid="{00000000-0005-0000-0000-000005050000}"/>
    <cellStyle name="Финансовый 7 3" xfId="1220" xr:uid="{00000000-0005-0000-0000-000006050000}"/>
    <cellStyle name="Финансовый 8" xfId="1221" xr:uid="{00000000-0005-0000-0000-000007050000}"/>
    <cellStyle name="Финансовый 8 2" xfId="1222" xr:uid="{00000000-0005-0000-0000-000008050000}"/>
    <cellStyle name="Финансовый 9" xfId="1223" xr:uid="{00000000-0005-0000-0000-000009050000}"/>
    <cellStyle name="Џђћ–…ќ’ќ›‰" xfId="1224" xr:uid="{00000000-0005-0000-0000-00000A050000}"/>
  </cellStyles>
  <dxfs count="264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21-&#1090;&#1072;&#1073;&#1083;\2024\01.01.2024\crs003L.XLSX" TargetMode="External"/><Relationship Id="rId1" Type="http://schemas.openxmlformats.org/officeDocument/2006/relationships/externalLinkPath" Target="file:///S:\21-&#1090;&#1072;&#1073;&#1083;\2024\01.01.2024\crs003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%20&#1076;&#1080;&#1089;&#1082;/21-11/2024/01/crs003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Пост по регион (2)"/>
      <sheetName val="TAB158"/>
      <sheetName val="ЭСЛАТМА!!"/>
      <sheetName val="Лист1"/>
      <sheetName val="Тегишилмасин"/>
      <sheetName val="Лист2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  <sheetName val="T17_T18_MSURC"/>
      <sheetName val="Ti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/>
      <sheetData sheetId="72">
        <row r="5">
          <cell r="C5">
            <v>597958561</v>
          </cell>
        </row>
      </sheetData>
      <sheetData sheetId="73">
        <row r="5">
          <cell r="C5">
            <v>597958561</v>
          </cell>
        </row>
      </sheetData>
      <sheetData sheetId="74">
        <row r="5">
          <cell r="C5">
            <v>597958561</v>
          </cell>
        </row>
      </sheetData>
      <sheetData sheetId="75">
        <row r="5">
          <cell r="C5">
            <v>597958561</v>
          </cell>
        </row>
      </sheetData>
      <sheetData sheetId="76">
        <row r="5">
          <cell r="C5">
            <v>597958561</v>
          </cell>
        </row>
      </sheetData>
      <sheetData sheetId="77">
        <row r="5">
          <cell r="C5">
            <v>597958561</v>
          </cell>
        </row>
      </sheetData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57124403912</v>
          </cell>
          <cell r="D25">
            <v>19111443266</v>
          </cell>
          <cell r="E25">
            <v>38012960646</v>
          </cell>
        </row>
        <row r="26">
          <cell r="C26">
            <v>1148828567</v>
          </cell>
        </row>
        <row r="47">
          <cell r="C47">
            <v>74634423198</v>
          </cell>
        </row>
        <row r="76">
          <cell r="C76">
            <v>911684119</v>
          </cell>
        </row>
        <row r="77">
          <cell r="C77">
            <v>8728360152</v>
          </cell>
        </row>
      </sheetData>
      <sheetData sheetId="1" refreshError="1"/>
      <sheetData sheetId="2">
        <row r="18">
          <cell r="C18">
            <v>0.10943290914681444</v>
          </cell>
        </row>
        <row r="24">
          <cell r="C24">
            <v>1.7727613514083835</v>
          </cell>
          <cell r="D24">
            <v>1.1596058072202307</v>
          </cell>
          <cell r="E24">
            <v>2.2240678589597969</v>
          </cell>
        </row>
        <row r="29">
          <cell r="C29">
            <v>1.0417986165736799</v>
          </cell>
          <cell r="D29">
            <v>1.0332123714043993</v>
          </cell>
          <cell r="E29">
            <v>1.0484544062965189</v>
          </cell>
        </row>
        <row r="51">
          <cell r="C51">
            <v>1565390456</v>
          </cell>
        </row>
        <row r="52">
          <cell r="C52">
            <v>2526034447</v>
          </cell>
        </row>
        <row r="53">
          <cell r="C53">
            <v>2973816111</v>
          </cell>
        </row>
        <row r="54">
          <cell r="C54">
            <v>0</v>
          </cell>
        </row>
        <row r="55">
          <cell r="C55">
            <v>2046792700</v>
          </cell>
        </row>
        <row r="58">
          <cell r="C58">
            <v>9112033714</v>
          </cell>
        </row>
      </sheetData>
      <sheetData sheetId="3">
        <row r="31">
          <cell r="S31">
            <v>83375035</v>
          </cell>
        </row>
      </sheetData>
      <sheetData sheetId="4" refreshError="1"/>
      <sheetData sheetId="5">
        <row r="8">
          <cell r="D8">
            <v>124306460</v>
          </cell>
        </row>
        <row r="13">
          <cell r="D13">
            <v>58666</v>
          </cell>
          <cell r="F13">
            <v>14280507</v>
          </cell>
          <cell r="H13">
            <v>26110501</v>
          </cell>
          <cell r="J13">
            <v>86729727</v>
          </cell>
          <cell r="L13">
            <v>110892475</v>
          </cell>
          <cell r="N13">
            <v>18008633</v>
          </cell>
          <cell r="P13">
            <v>0</v>
          </cell>
          <cell r="R13">
            <v>0</v>
          </cell>
        </row>
        <row r="16">
          <cell r="D16">
            <v>162945903</v>
          </cell>
        </row>
        <row r="20">
          <cell r="C20">
            <v>4690798040</v>
          </cell>
          <cell r="D20">
            <v>1104133465</v>
          </cell>
          <cell r="E20">
            <v>53385736</v>
          </cell>
          <cell r="F20">
            <v>14321636</v>
          </cell>
          <cell r="G20">
            <v>445760687</v>
          </cell>
          <cell r="H20">
            <v>207800994</v>
          </cell>
          <cell r="I20">
            <v>1028424654</v>
          </cell>
          <cell r="J20">
            <v>336574424</v>
          </cell>
          <cell r="K20">
            <v>1569799279</v>
          </cell>
          <cell r="L20">
            <v>620873929</v>
          </cell>
          <cell r="M20">
            <v>1963369716</v>
          </cell>
          <cell r="N20">
            <v>524447403</v>
          </cell>
          <cell r="O20">
            <v>1899943539</v>
          </cell>
          <cell r="P20">
            <v>1243900529</v>
          </cell>
          <cell r="Q20">
            <v>2147109497</v>
          </cell>
          <cell r="R20">
            <v>836957786</v>
          </cell>
          <cell r="S20">
            <v>13798591148</v>
          </cell>
        </row>
        <row r="40">
          <cell r="C40">
            <v>5886695666</v>
          </cell>
          <cell r="E40">
            <v>1173984237</v>
          </cell>
          <cell r="G40">
            <v>2455369145</v>
          </cell>
          <cell r="I40">
            <v>5721807646</v>
          </cell>
          <cell r="K40">
            <v>5889172184</v>
          </cell>
          <cell r="M40">
            <v>13173458178</v>
          </cell>
        </row>
      </sheetData>
      <sheetData sheetId="6">
        <row r="9">
          <cell r="C9">
            <v>57503603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4">
          <cell r="C14">
            <v>32051864</v>
          </cell>
          <cell r="D14">
            <v>37284099</v>
          </cell>
          <cell r="E14">
            <v>143693397</v>
          </cell>
          <cell r="F14">
            <v>572270433</v>
          </cell>
          <cell r="G14">
            <v>338379549</v>
          </cell>
          <cell r="H14">
            <v>1169984956</v>
          </cell>
          <cell r="I14">
            <v>412935434</v>
          </cell>
          <cell r="J14">
            <v>4092035</v>
          </cell>
        </row>
        <row r="17">
          <cell r="C17">
            <v>1128589274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21">
          <cell r="C21">
            <v>3586664575</v>
          </cell>
          <cell r="D21">
            <v>39064100</v>
          </cell>
          <cell r="E21">
            <v>237959693</v>
          </cell>
          <cell r="F21">
            <v>691850230</v>
          </cell>
          <cell r="G21">
            <v>948925350</v>
          </cell>
          <cell r="H21">
            <v>1438922313</v>
          </cell>
          <cell r="I21">
            <v>656043010</v>
          </cell>
          <cell r="J21">
            <v>1310151711</v>
          </cell>
        </row>
      </sheetData>
      <sheetData sheetId="7">
        <row r="4">
          <cell r="C4">
            <v>869143191</v>
          </cell>
        </row>
      </sheetData>
      <sheetData sheetId="8">
        <row r="6">
          <cell r="C6">
            <v>1473345241</v>
          </cell>
          <cell r="D6">
            <v>287252364</v>
          </cell>
        </row>
        <row r="15">
          <cell r="C15">
            <v>2966772276</v>
          </cell>
          <cell r="D15">
            <v>256080509</v>
          </cell>
        </row>
        <row r="22">
          <cell r="C22">
            <v>13798591148</v>
          </cell>
          <cell r="D22">
            <v>4889010166</v>
          </cell>
        </row>
      </sheetData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406437547</v>
          </cell>
        </row>
        <row r="22">
          <cell r="B22">
            <v>10000000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7729909449</v>
          </cell>
        </row>
        <row r="44">
          <cell r="C44">
            <v>11281096389</v>
          </cell>
        </row>
        <row r="45">
          <cell r="C45">
            <v>70034430030.823837</v>
          </cell>
        </row>
        <row r="49">
          <cell r="C49">
            <v>0.11026267115476318</v>
          </cell>
        </row>
        <row r="50">
          <cell r="C50">
            <v>0.11037299005072049</v>
          </cell>
        </row>
        <row r="51">
          <cell r="C51">
            <v>0.16107929177170313</v>
          </cell>
        </row>
        <row r="57">
          <cell r="C57">
            <v>9.6637034646342601E-2</v>
          </cell>
        </row>
      </sheetData>
      <sheetData sheetId="1"/>
      <sheetData sheetId="2"/>
      <sheetData sheetId="3"/>
      <sheetData sheetId="4"/>
      <sheetData sheetId="5">
        <row r="26">
          <cell r="C26">
            <v>180006240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79"/>
  <sheetViews>
    <sheetView tabSelected="1" view="pageBreakPreview" zoomScale="70" zoomScaleNormal="55" zoomScaleSheetLayoutView="70" workbookViewId="0">
      <pane xSplit="3" ySplit="9" topLeftCell="D10" activePane="bottomRight" state="frozen"/>
      <selection activeCell="J47" sqref="J47"/>
      <selection pane="topRight" activeCell="J47" sqref="J47"/>
      <selection pane="bottomLeft" activeCell="J47" sqref="J47"/>
      <selection pane="bottomRight" activeCell="C65" sqref="C65"/>
    </sheetView>
  </sheetViews>
  <sheetFormatPr defaultRowHeight="15.75"/>
  <cols>
    <col min="1" max="1" width="8" style="10" customWidth="1"/>
    <col min="2" max="2" width="108.7109375" style="11" customWidth="1"/>
    <col min="3" max="3" width="19.42578125" style="75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10" customWidth="1"/>
    <col min="24" max="16384" width="9.140625" style="10"/>
  </cols>
  <sheetData>
    <row r="1" spans="1:24" s="73" customFormat="1" ht="27.75" customHeight="1">
      <c r="A1" s="568" t="s">
        <v>242</v>
      </c>
      <c r="B1" s="569"/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69"/>
      <c r="N1" s="569"/>
      <c r="O1" s="569"/>
      <c r="P1" s="569"/>
      <c r="Q1" s="569"/>
      <c r="R1" s="569"/>
      <c r="S1" s="570" t="s">
        <v>243</v>
      </c>
      <c r="T1" s="570"/>
      <c r="V1" s="562" t="s">
        <v>805</v>
      </c>
    </row>
    <row r="2" spans="1:24" ht="8.25" customHeight="1"/>
    <row r="3" spans="1:24" s="140" customFormat="1" ht="26.25">
      <c r="B3" s="493" t="s">
        <v>806</v>
      </c>
      <c r="C3" s="141"/>
      <c r="N3" s="271"/>
      <c r="Q3" s="567">
        <v>45289</v>
      </c>
      <c r="R3" s="567"/>
      <c r="S3" s="272"/>
      <c r="T3" s="273" t="s">
        <v>244</v>
      </c>
    </row>
    <row r="4" spans="1:24" s="131" customFormat="1" ht="30.75" customHeight="1">
      <c r="A4" s="563" t="s">
        <v>61</v>
      </c>
      <c r="B4" s="563" t="s">
        <v>229</v>
      </c>
      <c r="C4" s="563" t="s">
        <v>230</v>
      </c>
      <c r="D4" s="571" t="s">
        <v>231</v>
      </c>
      <c r="E4" s="572"/>
      <c r="F4" s="572"/>
      <c r="G4" s="572"/>
      <c r="H4" s="573"/>
      <c r="I4" s="580" t="s">
        <v>232</v>
      </c>
      <c r="J4" s="581"/>
      <c r="K4" s="581"/>
      <c r="L4" s="581"/>
      <c r="M4" s="581"/>
      <c r="N4" s="582"/>
      <c r="O4" s="566" t="s">
        <v>233</v>
      </c>
      <c r="P4" s="566"/>
      <c r="Q4" s="566"/>
      <c r="R4" s="566"/>
      <c r="S4" s="566"/>
      <c r="T4" s="566"/>
    </row>
    <row r="5" spans="1:24" s="131" customFormat="1" ht="30.75" customHeight="1">
      <c r="A5" s="564"/>
      <c r="B5" s="564"/>
      <c r="C5" s="564"/>
      <c r="D5" s="574"/>
      <c r="E5" s="575"/>
      <c r="F5" s="575"/>
      <c r="G5" s="575"/>
      <c r="H5" s="576"/>
      <c r="I5" s="563" t="s">
        <v>234</v>
      </c>
      <c r="J5" s="563" t="s">
        <v>235</v>
      </c>
      <c r="K5" s="563" t="s">
        <v>236</v>
      </c>
      <c r="L5" s="563" t="s">
        <v>237</v>
      </c>
      <c r="M5" s="563" t="s">
        <v>238</v>
      </c>
      <c r="N5" s="563" t="s">
        <v>239</v>
      </c>
      <c r="O5" s="566" t="s">
        <v>240</v>
      </c>
      <c r="P5" s="566"/>
      <c r="Q5" s="566"/>
      <c r="R5" s="566"/>
      <c r="S5" s="566"/>
      <c r="T5" s="566"/>
    </row>
    <row r="6" spans="1:24" s="131" customFormat="1" ht="30.75" customHeight="1">
      <c r="A6" s="564"/>
      <c r="B6" s="564"/>
      <c r="C6" s="564"/>
      <c r="D6" s="577"/>
      <c r="E6" s="578"/>
      <c r="F6" s="578"/>
      <c r="G6" s="578"/>
      <c r="H6" s="579"/>
      <c r="I6" s="564"/>
      <c r="J6" s="564"/>
      <c r="K6" s="564"/>
      <c r="L6" s="564"/>
      <c r="M6" s="564"/>
      <c r="N6" s="564"/>
      <c r="O6" s="566" t="s">
        <v>234</v>
      </c>
      <c r="P6" s="566" t="s">
        <v>241</v>
      </c>
      <c r="Q6" s="566"/>
      <c r="R6" s="566"/>
      <c r="S6" s="566"/>
      <c r="T6" s="566"/>
    </row>
    <row r="7" spans="1:24" s="131" customFormat="1" ht="21" customHeight="1">
      <c r="A7" s="565"/>
      <c r="B7" s="565"/>
      <c r="C7" s="565"/>
      <c r="D7" s="435" t="s">
        <v>120</v>
      </c>
      <c r="E7" s="435" t="s">
        <v>53</v>
      </c>
      <c r="F7" s="435" t="s">
        <v>55</v>
      </c>
      <c r="G7" s="435" t="s">
        <v>56</v>
      </c>
      <c r="H7" s="435" t="s">
        <v>59</v>
      </c>
      <c r="I7" s="565"/>
      <c r="J7" s="565"/>
      <c r="K7" s="565"/>
      <c r="L7" s="565"/>
      <c r="M7" s="565"/>
      <c r="N7" s="565"/>
      <c r="O7" s="566"/>
      <c r="P7" s="494" t="s">
        <v>120</v>
      </c>
      <c r="Q7" s="494" t="s">
        <v>53</v>
      </c>
      <c r="R7" s="494" t="s">
        <v>55</v>
      </c>
      <c r="S7" s="494" t="s">
        <v>56</v>
      </c>
      <c r="T7" s="494" t="s">
        <v>59</v>
      </c>
    </row>
    <row r="8" spans="1:24" s="12" customFormat="1">
      <c r="A8" s="274" t="s">
        <v>78</v>
      </c>
      <c r="B8" s="275" t="s">
        <v>79</v>
      </c>
      <c r="C8" s="276" t="s">
        <v>89</v>
      </c>
      <c r="D8" s="275" t="s">
        <v>80</v>
      </c>
      <c r="E8" s="275" t="s">
        <v>81</v>
      </c>
      <c r="F8" s="275" t="s">
        <v>90</v>
      </c>
      <c r="G8" s="275" t="s">
        <v>82</v>
      </c>
      <c r="H8" s="275" t="s">
        <v>83</v>
      </c>
      <c r="I8" s="275" t="s">
        <v>84</v>
      </c>
      <c r="J8" s="275" t="s">
        <v>85</v>
      </c>
      <c r="K8" s="275" t="s">
        <v>86</v>
      </c>
      <c r="L8" s="275" t="s">
        <v>87</v>
      </c>
      <c r="M8" s="275" t="s">
        <v>88</v>
      </c>
      <c r="N8" s="275" t="s">
        <v>154</v>
      </c>
      <c r="O8" s="275" t="s">
        <v>155</v>
      </c>
      <c r="P8" s="275" t="s">
        <v>156</v>
      </c>
      <c r="Q8" s="275" t="s">
        <v>157</v>
      </c>
      <c r="R8" s="275" t="s">
        <v>179</v>
      </c>
      <c r="S8" s="275" t="s">
        <v>188</v>
      </c>
      <c r="T8" s="275" t="s">
        <v>193</v>
      </c>
    </row>
    <row r="9" spans="1:24" s="12" customFormat="1" ht="29.25" customHeight="1">
      <c r="A9" s="277"/>
      <c r="B9" s="278" t="s">
        <v>281</v>
      </c>
      <c r="C9" s="279">
        <f>SUM(C10:C58)+C60-C59</f>
        <v>74634423198</v>
      </c>
      <c r="D9" s="279">
        <f>SUM(D10:D58)-D59+D60</f>
        <v>67214176078</v>
      </c>
      <c r="E9" s="279">
        <f>SUM(E10:E58)-E59+E60</f>
        <v>7113099068</v>
      </c>
      <c r="F9" s="279">
        <f>SUM(F10:F58)-F59+F60</f>
        <v>597604434</v>
      </c>
      <c r="G9" s="279">
        <f>SUM(G10:G58)-G59+G60</f>
        <v>922834968</v>
      </c>
      <c r="H9" s="279">
        <f>SUM(H10:H58)-H59+H60</f>
        <v>397013815</v>
      </c>
      <c r="I9" s="279">
        <f t="shared" ref="I9:T9" si="0">SUM(I10:I60)</f>
        <v>1409911974</v>
      </c>
      <c r="J9" s="279">
        <f t="shared" si="0"/>
        <v>581272080</v>
      </c>
      <c r="K9" s="279">
        <f t="shared" si="0"/>
        <v>370487760</v>
      </c>
      <c r="L9" s="279">
        <f t="shared" si="0"/>
        <v>163070980</v>
      </c>
      <c r="M9" s="279">
        <f t="shared" si="0"/>
        <v>275815334</v>
      </c>
      <c r="N9" s="279">
        <f t="shared" si="0"/>
        <v>19265820</v>
      </c>
      <c r="O9" s="279">
        <f t="shared" si="0"/>
        <v>2225477374</v>
      </c>
      <c r="P9" s="279">
        <f t="shared" si="0"/>
        <v>615172209</v>
      </c>
      <c r="Q9" s="279">
        <f t="shared" si="0"/>
        <v>795876601</v>
      </c>
      <c r="R9" s="279">
        <f t="shared" si="0"/>
        <v>127788272</v>
      </c>
      <c r="S9" s="279">
        <f t="shared" si="0"/>
        <v>382363887</v>
      </c>
      <c r="T9" s="279">
        <f t="shared" si="0"/>
        <v>304276405</v>
      </c>
      <c r="V9" s="480"/>
      <c r="W9" s="480"/>
    </row>
    <row r="10" spans="1:24" s="9" customFormat="1" ht="23.25" customHeight="1">
      <c r="A10" s="280" t="s">
        <v>2</v>
      </c>
      <c r="B10" s="104" t="s">
        <v>245</v>
      </c>
      <c r="C10" s="102">
        <f>SUM(D10:H10)-O10+P10</f>
        <v>1565389581</v>
      </c>
      <c r="D10" s="85">
        <v>1565389581</v>
      </c>
      <c r="E10" s="85">
        <v>0</v>
      </c>
      <c r="F10" s="85">
        <v>0</v>
      </c>
      <c r="G10" s="85">
        <v>0</v>
      </c>
      <c r="H10" s="85">
        <v>0</v>
      </c>
      <c r="I10" s="102">
        <f t="shared" ref="I10:I11" si="1">SUM(J10:N10)</f>
        <v>0</v>
      </c>
      <c r="J10" s="85"/>
      <c r="K10" s="85"/>
      <c r="L10" s="85"/>
      <c r="M10" s="85"/>
      <c r="N10" s="85"/>
      <c r="O10" s="102">
        <f>SUM(P10:T10)</f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U10" s="9">
        <v>10100</v>
      </c>
      <c r="V10" s="481"/>
      <c r="W10" s="482"/>
      <c r="X10" s="433"/>
    </row>
    <row r="11" spans="1:24" s="9" customFormat="1" ht="23.25" customHeight="1">
      <c r="A11" s="280" t="s">
        <v>5</v>
      </c>
      <c r="B11" s="104" t="s">
        <v>750</v>
      </c>
      <c r="C11" s="102">
        <f t="shared" ref="C11:C60" si="2">SUM(D11:H11)-O11+P11</f>
        <v>2526034447</v>
      </c>
      <c r="D11" s="85">
        <v>2526034447</v>
      </c>
      <c r="E11" s="85">
        <v>0</v>
      </c>
      <c r="F11" s="85">
        <v>0</v>
      </c>
      <c r="G11" s="85">
        <v>0</v>
      </c>
      <c r="H11" s="85">
        <v>0</v>
      </c>
      <c r="I11" s="102">
        <f t="shared" si="1"/>
        <v>0</v>
      </c>
      <c r="J11" s="85"/>
      <c r="K11" s="85"/>
      <c r="L11" s="85"/>
      <c r="M11" s="85"/>
      <c r="N11" s="85"/>
      <c r="O11" s="102">
        <f t="shared" ref="O11:O60" si="3">SUM(P11:T11)</f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U11" s="124">
        <v>10300</v>
      </c>
      <c r="V11" s="481"/>
      <c r="W11" s="483"/>
      <c r="X11" s="433"/>
    </row>
    <row r="12" spans="1:24" s="9" customFormat="1" ht="23.25" customHeight="1">
      <c r="A12" s="280" t="s">
        <v>6</v>
      </c>
      <c r="B12" s="104" t="s">
        <v>751</v>
      </c>
      <c r="C12" s="102">
        <f t="shared" si="2"/>
        <v>5562959410</v>
      </c>
      <c r="D12" s="85">
        <v>5562959410</v>
      </c>
      <c r="E12" s="85">
        <v>0</v>
      </c>
      <c r="F12" s="85">
        <v>0</v>
      </c>
      <c r="G12" s="85">
        <v>0</v>
      </c>
      <c r="H12" s="85">
        <v>37257367</v>
      </c>
      <c r="I12" s="102">
        <f>SUM(J12:N12)</f>
        <v>0</v>
      </c>
      <c r="J12" s="85"/>
      <c r="K12" s="85"/>
      <c r="L12" s="85"/>
      <c r="M12" s="85"/>
      <c r="N12" s="85"/>
      <c r="O12" s="102">
        <f t="shared" si="3"/>
        <v>92886961</v>
      </c>
      <c r="P12" s="85">
        <v>55629594</v>
      </c>
      <c r="Q12" s="85">
        <v>0</v>
      </c>
      <c r="R12" s="85">
        <v>0</v>
      </c>
      <c r="S12" s="85">
        <v>0</v>
      </c>
      <c r="T12" s="85">
        <v>37257367</v>
      </c>
      <c r="U12" s="124">
        <v>10500</v>
      </c>
      <c r="V12" s="433"/>
      <c r="X12" s="433"/>
    </row>
    <row r="13" spans="1:24" s="9" customFormat="1" ht="23.25" customHeight="1">
      <c r="A13" s="280" t="s">
        <v>4</v>
      </c>
      <c r="B13" s="104" t="s">
        <v>758</v>
      </c>
      <c r="C13" s="102">
        <f t="shared" si="2"/>
        <v>2033306103</v>
      </c>
      <c r="D13" s="85">
        <v>2033306103</v>
      </c>
      <c r="E13" s="85">
        <v>0</v>
      </c>
      <c r="F13" s="85">
        <v>0</v>
      </c>
      <c r="G13" s="85">
        <v>0</v>
      </c>
      <c r="H13" s="85">
        <v>0</v>
      </c>
      <c r="I13" s="102">
        <f t="shared" ref="I13:I60" si="4">SUM(J13:N13)</f>
        <v>0</v>
      </c>
      <c r="J13" s="85"/>
      <c r="K13" s="85"/>
      <c r="L13" s="85"/>
      <c r="M13" s="85"/>
      <c r="N13" s="85"/>
      <c r="O13" s="102">
        <f t="shared" si="3"/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U13" s="9">
        <v>10700</v>
      </c>
      <c r="V13" s="433"/>
      <c r="X13" s="433"/>
    </row>
    <row r="14" spans="1:24" s="9" customFormat="1" ht="35.25" customHeight="1">
      <c r="A14" s="280" t="s">
        <v>3</v>
      </c>
      <c r="B14" s="104" t="s">
        <v>759</v>
      </c>
      <c r="C14" s="102">
        <f t="shared" si="2"/>
        <v>10000000</v>
      </c>
      <c r="D14" s="85">
        <v>10000000</v>
      </c>
      <c r="E14" s="85">
        <v>0</v>
      </c>
      <c r="F14" s="85">
        <v>0</v>
      </c>
      <c r="G14" s="85">
        <v>0</v>
      </c>
      <c r="H14" s="85">
        <v>0</v>
      </c>
      <c r="I14" s="102">
        <f t="shared" si="4"/>
        <v>0</v>
      </c>
      <c r="J14" s="85"/>
      <c r="K14" s="85"/>
      <c r="L14" s="85"/>
      <c r="M14" s="85"/>
      <c r="N14" s="85"/>
      <c r="O14" s="102">
        <f t="shared" si="3"/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U14" s="9">
        <v>10800</v>
      </c>
      <c r="V14" s="433"/>
      <c r="X14" s="433"/>
    </row>
    <row r="15" spans="1:24" s="9" customFormat="1" ht="23.25" customHeight="1">
      <c r="A15" s="280" t="s">
        <v>8</v>
      </c>
      <c r="B15" s="104" t="s">
        <v>246</v>
      </c>
      <c r="C15" s="102">
        <f t="shared" si="2"/>
        <v>875</v>
      </c>
      <c r="D15" s="85">
        <v>875</v>
      </c>
      <c r="E15" s="85">
        <v>0</v>
      </c>
      <c r="F15" s="85">
        <v>0</v>
      </c>
      <c r="G15" s="85">
        <v>0</v>
      </c>
      <c r="H15" s="85">
        <v>0</v>
      </c>
      <c r="I15" s="102">
        <f t="shared" si="4"/>
        <v>0</v>
      </c>
      <c r="J15" s="85"/>
      <c r="K15" s="85"/>
      <c r="L15" s="85"/>
      <c r="M15" s="85"/>
      <c r="N15" s="85"/>
      <c r="O15" s="102">
        <f t="shared" si="3"/>
        <v>9</v>
      </c>
      <c r="P15" s="85">
        <v>9</v>
      </c>
      <c r="Q15" s="85">
        <v>0</v>
      </c>
      <c r="R15" s="85">
        <v>0</v>
      </c>
      <c r="S15" s="85">
        <v>0</v>
      </c>
      <c r="T15" s="85">
        <v>0</v>
      </c>
      <c r="U15" s="9">
        <v>10900</v>
      </c>
      <c r="V15" s="433"/>
      <c r="X15" s="433"/>
    </row>
    <row r="16" spans="1:24" s="9" customFormat="1" ht="23.25" customHeight="1">
      <c r="A16" s="280" t="s">
        <v>7</v>
      </c>
      <c r="B16" s="104" t="s">
        <v>760</v>
      </c>
      <c r="C16" s="102">
        <f t="shared" si="2"/>
        <v>98000001</v>
      </c>
      <c r="D16" s="85">
        <v>98000001</v>
      </c>
      <c r="E16" s="85">
        <v>0</v>
      </c>
      <c r="F16" s="85">
        <v>0</v>
      </c>
      <c r="G16" s="85">
        <v>0</v>
      </c>
      <c r="H16" s="85">
        <v>0</v>
      </c>
      <c r="I16" s="102">
        <f t="shared" si="4"/>
        <v>0</v>
      </c>
      <c r="J16" s="85"/>
      <c r="K16" s="85"/>
      <c r="L16" s="85"/>
      <c r="M16" s="85"/>
      <c r="N16" s="85"/>
      <c r="O16" s="102">
        <f t="shared" si="3"/>
        <v>980000</v>
      </c>
      <c r="P16" s="85">
        <v>980000</v>
      </c>
      <c r="Q16" s="85">
        <v>0</v>
      </c>
      <c r="R16" s="85">
        <v>0</v>
      </c>
      <c r="S16" s="85">
        <v>0</v>
      </c>
      <c r="T16" s="85">
        <v>0</v>
      </c>
      <c r="U16" s="9">
        <v>11100</v>
      </c>
      <c r="V16" s="433"/>
      <c r="X16" s="433"/>
    </row>
    <row r="17" spans="1:24" ht="31.5">
      <c r="A17" s="103">
        <v>8</v>
      </c>
      <c r="B17" s="104" t="s">
        <v>247</v>
      </c>
      <c r="C17" s="102">
        <f t="shared" si="2"/>
        <v>81572337</v>
      </c>
      <c r="D17" s="85">
        <v>0</v>
      </c>
      <c r="E17" s="85">
        <v>0</v>
      </c>
      <c r="F17" s="85">
        <v>0</v>
      </c>
      <c r="G17" s="85">
        <v>0</v>
      </c>
      <c r="H17" s="85">
        <v>110235813</v>
      </c>
      <c r="I17" s="102">
        <f t="shared" si="4"/>
        <v>0</v>
      </c>
      <c r="J17" s="85"/>
      <c r="K17" s="85"/>
      <c r="L17" s="85"/>
      <c r="M17" s="85"/>
      <c r="N17" s="85"/>
      <c r="O17" s="102">
        <f t="shared" si="3"/>
        <v>28663476</v>
      </c>
      <c r="P17" s="85">
        <v>0</v>
      </c>
      <c r="Q17" s="85">
        <v>0</v>
      </c>
      <c r="R17" s="85">
        <v>0</v>
      </c>
      <c r="S17" s="85">
        <v>0</v>
      </c>
      <c r="T17" s="85">
        <v>28663476</v>
      </c>
      <c r="U17" s="124">
        <v>11500</v>
      </c>
      <c r="V17" s="433"/>
      <c r="W17" s="9"/>
      <c r="X17" s="433"/>
    </row>
    <row r="18" spans="1:24" ht="23.25" customHeight="1">
      <c r="A18" s="103">
        <v>9</v>
      </c>
      <c r="B18" s="104" t="s">
        <v>248</v>
      </c>
      <c r="C18" s="102">
        <f t="shared" si="2"/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102">
        <f t="shared" si="4"/>
        <v>0</v>
      </c>
      <c r="J18" s="85"/>
      <c r="K18" s="85"/>
      <c r="L18" s="85"/>
      <c r="M18" s="85"/>
      <c r="N18" s="85"/>
      <c r="O18" s="102">
        <f t="shared" si="3"/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U18" s="124">
        <v>11700</v>
      </c>
      <c r="V18" s="433"/>
      <c r="W18" s="9"/>
      <c r="X18" s="433"/>
    </row>
    <row r="19" spans="1:24" ht="23.25" customHeight="1">
      <c r="A19" s="103">
        <v>10</v>
      </c>
      <c r="B19" s="282" t="s">
        <v>249</v>
      </c>
      <c r="C19" s="102">
        <f t="shared" si="2"/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102">
        <f t="shared" si="4"/>
        <v>0</v>
      </c>
      <c r="J19" s="85"/>
      <c r="K19" s="85"/>
      <c r="L19" s="85"/>
      <c r="M19" s="85"/>
      <c r="N19" s="85"/>
      <c r="O19" s="102">
        <f t="shared" si="3"/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124">
        <v>11800</v>
      </c>
      <c r="V19" s="433"/>
      <c r="W19" s="9"/>
      <c r="X19" s="433"/>
    </row>
    <row r="20" spans="1:24" ht="23.25" customHeight="1">
      <c r="A20" s="103">
        <v>11</v>
      </c>
      <c r="B20" s="104" t="s">
        <v>250</v>
      </c>
      <c r="C20" s="102">
        <f t="shared" si="2"/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102">
        <f t="shared" si="4"/>
        <v>0</v>
      </c>
      <c r="J20" s="85"/>
      <c r="K20" s="85"/>
      <c r="L20" s="85"/>
      <c r="M20" s="85"/>
      <c r="N20" s="85"/>
      <c r="O20" s="102">
        <f t="shared" si="3"/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124">
        <v>11900</v>
      </c>
      <c r="V20" s="433"/>
      <c r="W20" s="9"/>
      <c r="X20" s="433"/>
    </row>
    <row r="21" spans="1:24" ht="23.25" customHeight="1">
      <c r="A21" s="103">
        <v>12</v>
      </c>
      <c r="B21" s="104" t="s">
        <v>251</v>
      </c>
      <c r="C21" s="102">
        <f t="shared" si="2"/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102">
        <f t="shared" si="4"/>
        <v>0</v>
      </c>
      <c r="J21" s="85"/>
      <c r="K21" s="85"/>
      <c r="L21" s="85"/>
      <c r="M21" s="85"/>
      <c r="N21" s="85"/>
      <c r="O21" s="102">
        <f t="shared" si="3"/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U21" s="124">
        <v>12100</v>
      </c>
      <c r="V21" s="433"/>
      <c r="W21" s="9"/>
      <c r="X21" s="433"/>
    </row>
    <row r="22" spans="1:24" ht="23.25" customHeight="1">
      <c r="A22" s="103">
        <v>13</v>
      </c>
      <c r="B22" s="104" t="s">
        <v>252</v>
      </c>
      <c r="C22" s="102">
        <f t="shared" si="2"/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102">
        <f t="shared" si="4"/>
        <v>0</v>
      </c>
      <c r="J22" s="85"/>
      <c r="K22" s="85"/>
      <c r="L22" s="85"/>
      <c r="M22" s="85"/>
      <c r="N22" s="85"/>
      <c r="O22" s="102">
        <f t="shared" si="3"/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U22" s="124">
        <v>12300</v>
      </c>
      <c r="V22" s="433"/>
      <c r="W22" s="9"/>
      <c r="X22" s="433"/>
    </row>
    <row r="23" spans="1:24" ht="23.25" customHeight="1">
      <c r="A23" s="103">
        <v>14</v>
      </c>
      <c r="B23" s="104" t="s">
        <v>253</v>
      </c>
      <c r="C23" s="102">
        <f t="shared" si="2"/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102">
        <f t="shared" si="4"/>
        <v>0</v>
      </c>
      <c r="J23" s="85"/>
      <c r="K23" s="85"/>
      <c r="L23" s="85"/>
      <c r="M23" s="85"/>
      <c r="N23" s="85"/>
      <c r="O23" s="102">
        <f t="shared" si="3"/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124">
        <v>12400</v>
      </c>
      <c r="V23" s="433"/>
      <c r="W23" s="9"/>
      <c r="X23" s="433"/>
    </row>
    <row r="24" spans="1:24" ht="23.25" customHeight="1">
      <c r="A24" s="103">
        <v>15</v>
      </c>
      <c r="B24" s="104" t="s">
        <v>254</v>
      </c>
      <c r="C24" s="102">
        <f>SUM(D24:H24)-O24+P24</f>
        <v>148925943</v>
      </c>
      <c r="D24" s="85">
        <v>147739621</v>
      </c>
      <c r="E24" s="85">
        <v>948395</v>
      </c>
      <c r="F24" s="85">
        <v>311797</v>
      </c>
      <c r="G24" s="85">
        <v>197836</v>
      </c>
      <c r="H24" s="85">
        <v>0</v>
      </c>
      <c r="I24" s="102">
        <f t="shared" si="4"/>
        <v>976239</v>
      </c>
      <c r="J24" s="85">
        <v>326455</v>
      </c>
      <c r="K24" s="85">
        <v>328035</v>
      </c>
      <c r="L24" s="85">
        <v>235604</v>
      </c>
      <c r="M24" s="85">
        <v>86145</v>
      </c>
      <c r="N24" s="85">
        <v>0</v>
      </c>
      <c r="O24" s="102">
        <f t="shared" si="3"/>
        <v>1749102</v>
      </c>
      <c r="P24" s="85">
        <v>1477396</v>
      </c>
      <c r="Q24" s="85">
        <v>94839</v>
      </c>
      <c r="R24" s="85">
        <v>77949</v>
      </c>
      <c r="S24" s="85">
        <v>98918</v>
      </c>
      <c r="T24" s="85">
        <v>0</v>
      </c>
      <c r="U24" s="124">
        <v>12500</v>
      </c>
      <c r="V24" s="433"/>
      <c r="W24" s="9"/>
      <c r="X24" s="433"/>
    </row>
    <row r="25" spans="1:24" ht="23.25" customHeight="1">
      <c r="A25" s="103">
        <v>16</v>
      </c>
      <c r="B25" s="104" t="s">
        <v>255</v>
      </c>
      <c r="C25" s="102">
        <f t="shared" si="2"/>
        <v>20304028</v>
      </c>
      <c r="D25" s="85">
        <v>16905572</v>
      </c>
      <c r="E25" s="85">
        <v>1640587</v>
      </c>
      <c r="F25" s="85">
        <v>1094056</v>
      </c>
      <c r="G25" s="85">
        <v>2354312</v>
      </c>
      <c r="H25" s="85">
        <v>0</v>
      </c>
      <c r="I25" s="102">
        <f t="shared" si="4"/>
        <v>4796166</v>
      </c>
      <c r="J25" s="85">
        <v>653717</v>
      </c>
      <c r="K25" s="85">
        <v>999727</v>
      </c>
      <c r="L25" s="85">
        <v>788410</v>
      </c>
      <c r="M25" s="85">
        <v>2354312</v>
      </c>
      <c r="N25" s="85">
        <v>0</v>
      </c>
      <c r="O25" s="102">
        <f t="shared" si="3"/>
        <v>1859555</v>
      </c>
      <c r="P25" s="85">
        <v>169056</v>
      </c>
      <c r="Q25" s="85">
        <v>239828</v>
      </c>
      <c r="R25" s="85">
        <v>273514</v>
      </c>
      <c r="S25" s="85">
        <v>1177157</v>
      </c>
      <c r="T25" s="85">
        <v>0</v>
      </c>
      <c r="U25" s="124">
        <v>12600</v>
      </c>
      <c r="V25" s="433"/>
      <c r="W25" s="9"/>
      <c r="X25" s="433"/>
    </row>
    <row r="26" spans="1:24" ht="23.25" customHeight="1">
      <c r="A26" s="103">
        <v>17</v>
      </c>
      <c r="B26" s="104" t="s">
        <v>761</v>
      </c>
      <c r="C26" s="102">
        <f>SUM(D26:H26)-O26+P26</f>
        <v>3986468558</v>
      </c>
      <c r="D26" s="85">
        <v>3982421725</v>
      </c>
      <c r="E26" s="85">
        <v>4496481</v>
      </c>
      <c r="F26" s="85">
        <v>0</v>
      </c>
      <c r="G26" s="85">
        <v>0</v>
      </c>
      <c r="H26" s="85">
        <v>0</v>
      </c>
      <c r="I26" s="102">
        <f t="shared" si="4"/>
        <v>78885468</v>
      </c>
      <c r="J26" s="85">
        <v>78885468</v>
      </c>
      <c r="K26" s="85">
        <v>0</v>
      </c>
      <c r="L26" s="85">
        <v>0</v>
      </c>
      <c r="M26" s="85">
        <v>0</v>
      </c>
      <c r="N26" s="85">
        <v>0</v>
      </c>
      <c r="O26" s="102">
        <f t="shared" si="3"/>
        <v>40273865</v>
      </c>
      <c r="P26" s="85">
        <v>39824217</v>
      </c>
      <c r="Q26" s="85">
        <v>449648</v>
      </c>
      <c r="R26" s="85">
        <v>0</v>
      </c>
      <c r="S26" s="85">
        <v>0</v>
      </c>
      <c r="T26" s="85">
        <v>0</v>
      </c>
      <c r="U26" s="124">
        <v>12700</v>
      </c>
      <c r="V26" s="433"/>
      <c r="W26" s="434"/>
      <c r="X26" s="433"/>
    </row>
    <row r="27" spans="1:24" ht="33.75" customHeight="1">
      <c r="A27" s="103">
        <v>18</v>
      </c>
      <c r="B27" s="104" t="s">
        <v>762</v>
      </c>
      <c r="C27" s="102">
        <f t="shared" si="2"/>
        <v>149038227</v>
      </c>
      <c r="D27" s="85">
        <v>137248835</v>
      </c>
      <c r="E27" s="85">
        <v>7526650</v>
      </c>
      <c r="F27" s="85">
        <v>0</v>
      </c>
      <c r="G27" s="85">
        <v>10030814</v>
      </c>
      <c r="H27" s="85">
        <v>0</v>
      </c>
      <c r="I27" s="102">
        <f t="shared" si="4"/>
        <v>10030814</v>
      </c>
      <c r="J27" s="85">
        <v>0</v>
      </c>
      <c r="K27" s="85">
        <v>0</v>
      </c>
      <c r="L27" s="85">
        <v>10030814</v>
      </c>
      <c r="M27" s="85">
        <v>0</v>
      </c>
      <c r="N27" s="85">
        <v>0</v>
      </c>
      <c r="O27" s="102">
        <f t="shared" si="3"/>
        <v>7140560</v>
      </c>
      <c r="P27" s="85">
        <v>1372488</v>
      </c>
      <c r="Q27" s="85">
        <v>3446107</v>
      </c>
      <c r="R27" s="85">
        <v>0</v>
      </c>
      <c r="S27" s="85">
        <v>1321965</v>
      </c>
      <c r="T27" s="85">
        <v>1000000</v>
      </c>
      <c r="U27" s="124">
        <v>12800</v>
      </c>
      <c r="V27" s="433"/>
      <c r="W27" s="434"/>
      <c r="X27" s="438"/>
    </row>
    <row r="28" spans="1:24" ht="23.25" customHeight="1">
      <c r="A28" s="103">
        <v>19</v>
      </c>
      <c r="B28" s="104" t="s">
        <v>256</v>
      </c>
      <c r="C28" s="102">
        <f t="shared" si="2"/>
        <v>2217667706</v>
      </c>
      <c r="D28" s="85">
        <v>2213334426</v>
      </c>
      <c r="E28" s="85">
        <v>2603856</v>
      </c>
      <c r="F28" s="85">
        <v>810756</v>
      </c>
      <c r="G28" s="85">
        <v>2763487</v>
      </c>
      <c r="H28" s="85">
        <v>0</v>
      </c>
      <c r="I28" s="102">
        <f t="shared" si="4"/>
        <v>6384711</v>
      </c>
      <c r="J28" s="85">
        <v>1666667</v>
      </c>
      <c r="K28" s="85">
        <v>1399356</v>
      </c>
      <c r="L28" s="85">
        <v>555201</v>
      </c>
      <c r="M28" s="85">
        <v>2763487</v>
      </c>
      <c r="N28" s="85">
        <v>0</v>
      </c>
      <c r="O28" s="102">
        <f t="shared" si="3"/>
        <v>23978163</v>
      </c>
      <c r="P28" s="85">
        <v>22133344</v>
      </c>
      <c r="Q28" s="85">
        <v>260386</v>
      </c>
      <c r="R28" s="85">
        <v>202689</v>
      </c>
      <c r="S28" s="85">
        <v>1381744</v>
      </c>
      <c r="T28" s="85">
        <v>0</v>
      </c>
      <c r="U28" s="124">
        <v>12900</v>
      </c>
      <c r="V28" s="433"/>
      <c r="W28" s="9"/>
      <c r="X28" s="433"/>
    </row>
    <row r="29" spans="1:24" ht="24" customHeight="1">
      <c r="A29" s="103">
        <v>20</v>
      </c>
      <c r="B29" s="104" t="s">
        <v>257</v>
      </c>
      <c r="C29" s="102">
        <f t="shared" si="2"/>
        <v>13281</v>
      </c>
      <c r="D29" s="85">
        <v>13281</v>
      </c>
      <c r="E29" s="85">
        <v>0</v>
      </c>
      <c r="F29" s="85">
        <v>0</v>
      </c>
      <c r="G29" s="85">
        <v>0</v>
      </c>
      <c r="H29" s="85">
        <v>0</v>
      </c>
      <c r="I29" s="102">
        <f t="shared" si="4"/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102">
        <f t="shared" si="3"/>
        <v>133</v>
      </c>
      <c r="P29" s="85">
        <v>133</v>
      </c>
      <c r="Q29" s="85">
        <v>0</v>
      </c>
      <c r="R29" s="85">
        <v>0</v>
      </c>
      <c r="S29" s="85">
        <v>0</v>
      </c>
      <c r="T29" s="85">
        <v>0</v>
      </c>
      <c r="U29" s="124">
        <v>13000</v>
      </c>
      <c r="V29" s="433"/>
      <c r="W29" s="9"/>
      <c r="X29" s="433"/>
    </row>
    <row r="30" spans="1:24" ht="33.75" customHeight="1">
      <c r="A30" s="103">
        <v>21</v>
      </c>
      <c r="B30" s="104" t="s">
        <v>258</v>
      </c>
      <c r="C30" s="102">
        <f t="shared" si="2"/>
        <v>4935705825</v>
      </c>
      <c r="D30" s="85">
        <v>4619358133</v>
      </c>
      <c r="E30" s="85">
        <v>271591493</v>
      </c>
      <c r="F30" s="85">
        <v>48922451</v>
      </c>
      <c r="G30" s="85">
        <v>84946828</v>
      </c>
      <c r="H30" s="85">
        <v>350000</v>
      </c>
      <c r="I30" s="102">
        <f t="shared" si="4"/>
        <v>175785316</v>
      </c>
      <c r="J30" s="85">
        <v>23386912</v>
      </c>
      <c r="K30" s="85">
        <v>23683229</v>
      </c>
      <c r="L30" s="85">
        <v>43418347</v>
      </c>
      <c r="M30" s="85">
        <v>84946828</v>
      </c>
      <c r="N30" s="85">
        <v>350000</v>
      </c>
      <c r="O30" s="102">
        <f t="shared" si="3"/>
        <v>135656661</v>
      </c>
      <c r="P30" s="85">
        <v>46193581</v>
      </c>
      <c r="Q30" s="85">
        <v>30305809</v>
      </c>
      <c r="R30" s="85">
        <v>10835797</v>
      </c>
      <c r="S30" s="85">
        <v>47971474</v>
      </c>
      <c r="T30" s="85">
        <v>350000</v>
      </c>
      <c r="U30" s="124">
        <v>13100</v>
      </c>
      <c r="V30" s="433"/>
      <c r="W30" s="9"/>
      <c r="X30" s="433"/>
    </row>
    <row r="31" spans="1:24" ht="23.25" customHeight="1">
      <c r="A31" s="103">
        <v>22</v>
      </c>
      <c r="B31" s="104" t="s">
        <v>259</v>
      </c>
      <c r="C31" s="102">
        <f t="shared" si="2"/>
        <v>118872</v>
      </c>
      <c r="D31" s="85">
        <v>118872</v>
      </c>
      <c r="E31" s="85">
        <v>0</v>
      </c>
      <c r="F31" s="85">
        <v>0</v>
      </c>
      <c r="G31" s="85">
        <v>0</v>
      </c>
      <c r="H31" s="85">
        <v>0</v>
      </c>
      <c r="I31" s="102">
        <f t="shared" si="4"/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102">
        <f t="shared" si="3"/>
        <v>1189</v>
      </c>
      <c r="P31" s="85">
        <v>1189</v>
      </c>
      <c r="Q31" s="85">
        <v>0</v>
      </c>
      <c r="R31" s="85">
        <v>0</v>
      </c>
      <c r="S31" s="85">
        <v>0</v>
      </c>
      <c r="T31" s="85">
        <v>0</v>
      </c>
      <c r="U31" s="124">
        <v>13200</v>
      </c>
      <c r="V31" s="433"/>
      <c r="W31" s="9"/>
      <c r="X31" s="433"/>
    </row>
    <row r="32" spans="1:24" ht="32.25" customHeight="1">
      <c r="A32" s="103">
        <v>23</v>
      </c>
      <c r="B32" s="104" t="s">
        <v>260</v>
      </c>
      <c r="C32" s="102">
        <f t="shared" si="2"/>
        <v>95979403</v>
      </c>
      <c r="D32" s="85">
        <v>95979403</v>
      </c>
      <c r="E32" s="85">
        <v>0</v>
      </c>
      <c r="F32" s="85">
        <v>0</v>
      </c>
      <c r="G32" s="85">
        <v>0</v>
      </c>
      <c r="H32" s="85">
        <v>0</v>
      </c>
      <c r="I32" s="102">
        <f t="shared" ref="I32:I33" si="5">SUM(J32:N32)</f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102">
        <f t="shared" si="3"/>
        <v>959794</v>
      </c>
      <c r="P32" s="85">
        <v>959794</v>
      </c>
      <c r="Q32" s="85">
        <v>0</v>
      </c>
      <c r="R32" s="85">
        <v>0</v>
      </c>
      <c r="S32" s="85">
        <v>0</v>
      </c>
      <c r="T32" s="85">
        <v>0</v>
      </c>
      <c r="U32" s="124">
        <v>13300</v>
      </c>
      <c r="V32" s="433"/>
      <c r="W32" s="9"/>
      <c r="X32" s="433"/>
    </row>
    <row r="33" spans="1:24" ht="32.25" customHeight="1">
      <c r="A33" s="103">
        <v>24</v>
      </c>
      <c r="B33" s="104" t="s">
        <v>763</v>
      </c>
      <c r="C33" s="102">
        <f t="shared" si="2"/>
        <v>1649230335</v>
      </c>
      <c r="D33" s="85">
        <v>775268383</v>
      </c>
      <c r="E33" s="85">
        <v>857553659</v>
      </c>
      <c r="F33" s="85">
        <v>80406648</v>
      </c>
      <c r="G33" s="85">
        <v>0</v>
      </c>
      <c r="H33" s="85">
        <v>0</v>
      </c>
      <c r="I33" s="102">
        <f t="shared" si="5"/>
        <v>224002222</v>
      </c>
      <c r="J33" s="85">
        <v>37479137</v>
      </c>
      <c r="K33" s="85">
        <v>186523085</v>
      </c>
      <c r="L33" s="85">
        <v>0</v>
      </c>
      <c r="M33" s="85">
        <v>0</v>
      </c>
      <c r="N33" s="85">
        <v>0</v>
      </c>
      <c r="O33" s="102">
        <f t="shared" si="3"/>
        <v>71751039</v>
      </c>
      <c r="P33" s="85">
        <v>7752684</v>
      </c>
      <c r="Q33" s="85">
        <v>43896693</v>
      </c>
      <c r="R33" s="85">
        <v>20101662</v>
      </c>
      <c r="S33" s="85">
        <v>0</v>
      </c>
      <c r="T33" s="85">
        <v>0</v>
      </c>
      <c r="U33" s="124">
        <v>14300</v>
      </c>
      <c r="V33" s="433"/>
      <c r="W33" s="434"/>
      <c r="X33" s="433"/>
    </row>
    <row r="34" spans="1:24" ht="33.75" customHeight="1">
      <c r="A34" s="103">
        <v>25</v>
      </c>
      <c r="B34" s="104" t="s">
        <v>764</v>
      </c>
      <c r="C34" s="102">
        <f t="shared" si="2"/>
        <v>2855036998</v>
      </c>
      <c r="D34" s="85">
        <v>2045555885</v>
      </c>
      <c r="E34" s="85">
        <v>572712398</v>
      </c>
      <c r="F34" s="85">
        <v>147830825</v>
      </c>
      <c r="G34" s="85">
        <v>344420946</v>
      </c>
      <c r="H34" s="85">
        <v>16339332</v>
      </c>
      <c r="I34" s="102">
        <f t="shared" si="4"/>
        <v>190499105</v>
      </c>
      <c r="J34" s="85">
        <v>23239708</v>
      </c>
      <c r="K34" s="85">
        <v>43385102</v>
      </c>
      <c r="L34" s="85">
        <v>23052318</v>
      </c>
      <c r="M34" s="85">
        <v>94176217</v>
      </c>
      <c r="N34" s="85">
        <v>6645760</v>
      </c>
      <c r="O34" s="102">
        <f t="shared" si="3"/>
        <v>292277947</v>
      </c>
      <c r="P34" s="85">
        <v>20455559</v>
      </c>
      <c r="Q34" s="85">
        <v>46314877</v>
      </c>
      <c r="R34" s="85">
        <v>36957706</v>
      </c>
      <c r="S34" s="85">
        <v>172210473</v>
      </c>
      <c r="T34" s="85">
        <v>16339332</v>
      </c>
      <c r="U34" s="124">
        <v>14400</v>
      </c>
      <c r="V34" s="433"/>
      <c r="W34" s="434"/>
      <c r="X34" s="433"/>
    </row>
    <row r="35" spans="1:24" ht="23.25" customHeight="1">
      <c r="A35" s="103">
        <v>26</v>
      </c>
      <c r="B35" s="104" t="s">
        <v>261</v>
      </c>
      <c r="C35" s="102">
        <f t="shared" si="2"/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102">
        <f t="shared" si="4"/>
        <v>0</v>
      </c>
      <c r="J35" s="85">
        <v>0</v>
      </c>
      <c r="K35" s="85">
        <v>0</v>
      </c>
      <c r="L35" s="85">
        <v>0</v>
      </c>
      <c r="M35" s="85">
        <v>0</v>
      </c>
      <c r="N35" s="85">
        <v>0</v>
      </c>
      <c r="O35" s="102">
        <f t="shared" si="3"/>
        <v>0</v>
      </c>
      <c r="P35" s="85">
        <v>0</v>
      </c>
      <c r="Q35" s="85">
        <v>0</v>
      </c>
      <c r="R35" s="85">
        <v>0</v>
      </c>
      <c r="S35" s="85">
        <v>0</v>
      </c>
      <c r="T35" s="85">
        <v>0</v>
      </c>
      <c r="U35" s="124">
        <v>14500</v>
      </c>
      <c r="V35" s="433"/>
      <c r="W35" s="9"/>
      <c r="X35" s="433"/>
    </row>
    <row r="36" spans="1:24" ht="23.25" customHeight="1">
      <c r="A36" s="103">
        <v>27</v>
      </c>
      <c r="B36" s="104" t="s">
        <v>262</v>
      </c>
      <c r="C36" s="102">
        <f t="shared" si="2"/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102">
        <f t="shared" si="4"/>
        <v>0</v>
      </c>
      <c r="J36" s="85">
        <v>0</v>
      </c>
      <c r="K36" s="85">
        <v>0</v>
      </c>
      <c r="L36" s="85">
        <v>0</v>
      </c>
      <c r="M36" s="85">
        <v>0</v>
      </c>
      <c r="N36" s="85">
        <v>0</v>
      </c>
      <c r="O36" s="102">
        <f t="shared" si="3"/>
        <v>0</v>
      </c>
      <c r="P36" s="85">
        <v>0</v>
      </c>
      <c r="Q36" s="85">
        <v>0</v>
      </c>
      <c r="R36" s="85">
        <v>0</v>
      </c>
      <c r="S36" s="85">
        <v>0</v>
      </c>
      <c r="T36" s="85">
        <v>0</v>
      </c>
      <c r="U36" s="124">
        <v>14700</v>
      </c>
      <c r="V36" s="433"/>
      <c r="W36" s="9"/>
      <c r="X36" s="433"/>
    </row>
    <row r="37" spans="1:24" ht="23.25" customHeight="1">
      <c r="A37" s="103">
        <v>28</v>
      </c>
      <c r="B37" s="104" t="s">
        <v>263</v>
      </c>
      <c r="C37" s="102">
        <f t="shared" si="2"/>
        <v>0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102">
        <f t="shared" si="4"/>
        <v>0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102">
        <f t="shared" si="3"/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124">
        <v>14800</v>
      </c>
      <c r="V37" s="433"/>
      <c r="W37" s="9"/>
      <c r="X37" s="433"/>
    </row>
    <row r="38" spans="1:24" ht="23.25" customHeight="1">
      <c r="A38" s="103">
        <v>29</v>
      </c>
      <c r="B38" s="104" t="s">
        <v>264</v>
      </c>
      <c r="C38" s="102">
        <f t="shared" si="2"/>
        <v>7635025141</v>
      </c>
      <c r="D38" s="85">
        <v>7477912607</v>
      </c>
      <c r="E38" s="85">
        <v>146898248</v>
      </c>
      <c r="F38" s="85">
        <v>18728076</v>
      </c>
      <c r="G38" s="85">
        <v>21712346</v>
      </c>
      <c r="H38" s="85">
        <v>0</v>
      </c>
      <c r="I38" s="102">
        <f t="shared" si="4"/>
        <v>6880423</v>
      </c>
      <c r="J38" s="85">
        <v>1421885</v>
      </c>
      <c r="K38" s="85">
        <v>2169018</v>
      </c>
      <c r="L38" s="85">
        <v>1041380</v>
      </c>
      <c r="M38" s="85">
        <v>2248140</v>
      </c>
      <c r="N38" s="85">
        <v>0</v>
      </c>
      <c r="O38" s="102">
        <f t="shared" si="3"/>
        <v>105005262</v>
      </c>
      <c r="P38" s="85">
        <v>74779126</v>
      </c>
      <c r="Q38" s="85">
        <v>14687933</v>
      </c>
      <c r="R38" s="85">
        <v>4682030</v>
      </c>
      <c r="S38" s="85">
        <v>10856173</v>
      </c>
      <c r="T38" s="85">
        <v>0</v>
      </c>
      <c r="U38" s="124">
        <v>14900</v>
      </c>
      <c r="V38" s="433"/>
      <c r="W38" s="9"/>
      <c r="X38" s="433"/>
    </row>
    <row r="39" spans="1:24" ht="23.25" customHeight="1">
      <c r="A39" s="103">
        <v>30</v>
      </c>
      <c r="B39" s="104" t="s">
        <v>265</v>
      </c>
      <c r="C39" s="102">
        <f t="shared" si="2"/>
        <v>203580111</v>
      </c>
      <c r="D39" s="85">
        <v>181725088</v>
      </c>
      <c r="E39" s="85">
        <v>16214645</v>
      </c>
      <c r="F39" s="85">
        <v>7814512</v>
      </c>
      <c r="G39" s="85">
        <v>2268610</v>
      </c>
      <c r="H39" s="85">
        <v>0</v>
      </c>
      <c r="I39" s="102">
        <f t="shared" si="4"/>
        <v>7049270</v>
      </c>
      <c r="J39" s="85">
        <v>1264034</v>
      </c>
      <c r="K39" s="85">
        <v>2807042</v>
      </c>
      <c r="L39" s="85">
        <v>2935422</v>
      </c>
      <c r="M39" s="85">
        <v>42772</v>
      </c>
      <c r="N39" s="85">
        <v>0</v>
      </c>
      <c r="O39" s="102">
        <f t="shared" si="3"/>
        <v>6259995</v>
      </c>
      <c r="P39" s="85">
        <v>1817251</v>
      </c>
      <c r="Q39" s="85">
        <v>1354811</v>
      </c>
      <c r="R39" s="85">
        <v>1953628</v>
      </c>
      <c r="S39" s="85">
        <v>1134305</v>
      </c>
      <c r="T39" s="85">
        <v>0</v>
      </c>
      <c r="U39" s="124">
        <v>15000</v>
      </c>
      <c r="V39" s="433"/>
      <c r="W39" s="9"/>
      <c r="X39" s="433"/>
    </row>
    <row r="40" spans="1:24" ht="33.75" customHeight="1">
      <c r="A40" s="103">
        <v>31</v>
      </c>
      <c r="B40" s="104" t="s">
        <v>765</v>
      </c>
      <c r="C40" s="102">
        <f t="shared" si="2"/>
        <v>10115816929</v>
      </c>
      <c r="D40" s="85">
        <v>10115816929</v>
      </c>
      <c r="E40" s="85">
        <v>0</v>
      </c>
      <c r="F40" s="85">
        <v>0</v>
      </c>
      <c r="G40" s="85">
        <v>0</v>
      </c>
      <c r="H40" s="85">
        <v>0</v>
      </c>
      <c r="I40" s="102">
        <f t="shared" si="4"/>
        <v>19434398</v>
      </c>
      <c r="J40" s="85">
        <v>19434398</v>
      </c>
      <c r="K40" s="85">
        <v>0</v>
      </c>
      <c r="L40" s="85">
        <v>0</v>
      </c>
      <c r="M40" s="85">
        <v>0</v>
      </c>
      <c r="N40" s="85">
        <v>0</v>
      </c>
      <c r="O40" s="102">
        <f t="shared" si="3"/>
        <v>110624629</v>
      </c>
      <c r="P40" s="85">
        <v>110624629</v>
      </c>
      <c r="Q40" s="85">
        <v>0</v>
      </c>
      <c r="R40" s="85">
        <v>0</v>
      </c>
      <c r="S40" s="85">
        <v>0</v>
      </c>
      <c r="T40" s="85">
        <v>0</v>
      </c>
      <c r="U40" s="124">
        <v>15100</v>
      </c>
      <c r="V40" s="433"/>
      <c r="W40" s="434"/>
      <c r="X40" s="433"/>
    </row>
    <row r="41" spans="1:24" ht="23.25" customHeight="1">
      <c r="A41" s="103">
        <v>32</v>
      </c>
      <c r="B41" s="104" t="s">
        <v>266</v>
      </c>
      <c r="C41" s="102">
        <f t="shared" si="2"/>
        <v>1557753</v>
      </c>
      <c r="D41" s="85">
        <v>1454159</v>
      </c>
      <c r="E41" s="85">
        <v>0</v>
      </c>
      <c r="F41" s="85">
        <v>138125</v>
      </c>
      <c r="G41" s="85">
        <v>0</v>
      </c>
      <c r="H41" s="85">
        <v>0</v>
      </c>
      <c r="I41" s="102">
        <f t="shared" si="4"/>
        <v>13281</v>
      </c>
      <c r="J41" s="85">
        <v>0</v>
      </c>
      <c r="K41" s="85">
        <v>0</v>
      </c>
      <c r="L41" s="85">
        <v>13281</v>
      </c>
      <c r="M41" s="85">
        <v>0</v>
      </c>
      <c r="N41" s="85">
        <v>0</v>
      </c>
      <c r="O41" s="102">
        <f t="shared" si="3"/>
        <v>49073</v>
      </c>
      <c r="P41" s="85">
        <v>14542</v>
      </c>
      <c r="Q41" s="85">
        <v>0</v>
      </c>
      <c r="R41" s="85">
        <v>34531</v>
      </c>
      <c r="S41" s="85">
        <v>0</v>
      </c>
      <c r="T41" s="85">
        <v>0</v>
      </c>
      <c r="U41" s="124">
        <v>15200</v>
      </c>
      <c r="V41" s="433"/>
      <c r="W41" s="9"/>
      <c r="X41" s="433"/>
    </row>
    <row r="42" spans="1:24" ht="23.25" customHeight="1">
      <c r="A42" s="103">
        <v>33</v>
      </c>
      <c r="B42" s="104" t="s">
        <v>267</v>
      </c>
      <c r="C42" s="102">
        <f t="shared" si="2"/>
        <v>6285497620</v>
      </c>
      <c r="D42" s="85">
        <v>4589266377</v>
      </c>
      <c r="E42" s="85">
        <v>1884701381</v>
      </c>
      <c r="F42" s="85">
        <v>0</v>
      </c>
      <c r="G42" s="85">
        <v>0</v>
      </c>
      <c r="H42" s="85">
        <v>0</v>
      </c>
      <c r="I42" s="102">
        <f t="shared" si="4"/>
        <v>109229189</v>
      </c>
      <c r="J42" s="85">
        <v>72707999</v>
      </c>
      <c r="K42" s="85">
        <v>36521190</v>
      </c>
      <c r="L42" s="85">
        <v>0</v>
      </c>
      <c r="M42" s="85">
        <v>0</v>
      </c>
      <c r="N42" s="85">
        <v>0</v>
      </c>
      <c r="O42" s="102">
        <f t="shared" si="3"/>
        <v>234362802</v>
      </c>
      <c r="P42" s="85">
        <v>45892664</v>
      </c>
      <c r="Q42" s="85">
        <v>188470138</v>
      </c>
      <c r="R42" s="85">
        <v>0</v>
      </c>
      <c r="S42" s="85">
        <v>0</v>
      </c>
      <c r="T42" s="85">
        <v>0</v>
      </c>
      <c r="U42" s="124">
        <v>15300</v>
      </c>
      <c r="V42" s="433"/>
      <c r="W42" s="9"/>
      <c r="X42" s="433"/>
    </row>
    <row r="43" spans="1:24" ht="23.25" customHeight="1">
      <c r="A43" s="103">
        <v>34</v>
      </c>
      <c r="B43" s="104" t="s">
        <v>268</v>
      </c>
      <c r="C43" s="102">
        <f t="shared" si="2"/>
        <v>2604493</v>
      </c>
      <c r="D43" s="85">
        <v>2381128</v>
      </c>
      <c r="E43" s="85">
        <v>0</v>
      </c>
      <c r="F43" s="85">
        <v>0</v>
      </c>
      <c r="G43" s="85">
        <v>446729</v>
      </c>
      <c r="H43" s="85">
        <v>0</v>
      </c>
      <c r="I43" s="102">
        <f t="shared" si="4"/>
        <v>118872</v>
      </c>
      <c r="J43" s="85">
        <v>0</v>
      </c>
      <c r="K43" s="85">
        <v>0</v>
      </c>
      <c r="L43" s="85">
        <v>38743</v>
      </c>
      <c r="M43" s="85">
        <v>80129</v>
      </c>
      <c r="N43" s="85">
        <v>0</v>
      </c>
      <c r="O43" s="102">
        <f t="shared" si="3"/>
        <v>247175</v>
      </c>
      <c r="P43" s="85">
        <v>23811</v>
      </c>
      <c r="Q43" s="85">
        <v>0</v>
      </c>
      <c r="R43" s="85">
        <v>0</v>
      </c>
      <c r="S43" s="85">
        <v>223364</v>
      </c>
      <c r="T43" s="85">
        <v>0</v>
      </c>
      <c r="U43" s="124">
        <v>15400</v>
      </c>
      <c r="V43" s="433"/>
      <c r="W43" s="9"/>
      <c r="X43" s="433"/>
    </row>
    <row r="44" spans="1:24" ht="33.75" customHeight="1">
      <c r="A44" s="103">
        <v>35</v>
      </c>
      <c r="B44" s="104" t="s">
        <v>269</v>
      </c>
      <c r="C44" s="102">
        <f t="shared" si="2"/>
        <v>15090322433</v>
      </c>
      <c r="D44" s="85">
        <v>12646944183</v>
      </c>
      <c r="E44" s="85">
        <v>2525588929</v>
      </c>
      <c r="F44" s="85">
        <v>187367280</v>
      </c>
      <c r="G44" s="85">
        <v>135482702</v>
      </c>
      <c r="H44" s="85">
        <v>10550000</v>
      </c>
      <c r="I44" s="102">
        <f t="shared" si="4"/>
        <v>157068960</v>
      </c>
      <c r="J44" s="85">
        <v>33790306</v>
      </c>
      <c r="K44" s="85">
        <v>31195159</v>
      </c>
      <c r="L44" s="85">
        <v>52427466</v>
      </c>
      <c r="M44" s="85">
        <v>33656029</v>
      </c>
      <c r="N44" s="85">
        <v>6000000</v>
      </c>
      <c r="O44" s="102">
        <f t="shared" si="3"/>
        <v>542080103</v>
      </c>
      <c r="P44" s="85">
        <v>126469442</v>
      </c>
      <c r="Q44" s="85">
        <v>283030583</v>
      </c>
      <c r="R44" s="85">
        <v>48236636</v>
      </c>
      <c r="S44" s="85">
        <v>65936734</v>
      </c>
      <c r="T44" s="85">
        <v>18406708</v>
      </c>
      <c r="U44" s="124">
        <v>15500</v>
      </c>
      <c r="V44" s="433"/>
      <c r="W44" s="9"/>
      <c r="X44" s="433"/>
    </row>
    <row r="45" spans="1:24" ht="18" customHeight="1">
      <c r="A45" s="103">
        <v>36</v>
      </c>
      <c r="B45" s="104" t="s">
        <v>270</v>
      </c>
      <c r="C45" s="102">
        <f t="shared" si="2"/>
        <v>401306653</v>
      </c>
      <c r="D45" s="85">
        <v>401306653</v>
      </c>
      <c r="E45" s="85">
        <v>0</v>
      </c>
      <c r="F45" s="85">
        <v>0</v>
      </c>
      <c r="G45" s="85">
        <v>0</v>
      </c>
      <c r="H45" s="85">
        <v>0</v>
      </c>
      <c r="I45" s="102">
        <f t="shared" si="4"/>
        <v>0</v>
      </c>
      <c r="J45" s="85"/>
      <c r="K45" s="85"/>
      <c r="L45" s="85"/>
      <c r="M45" s="85"/>
      <c r="N45" s="85"/>
      <c r="O45" s="102">
        <f t="shared" si="3"/>
        <v>4013067</v>
      </c>
      <c r="P45" s="85">
        <v>4013067</v>
      </c>
      <c r="Q45" s="85">
        <v>0</v>
      </c>
      <c r="R45" s="85">
        <v>0</v>
      </c>
      <c r="S45" s="85">
        <v>0</v>
      </c>
      <c r="T45" s="85">
        <v>0</v>
      </c>
      <c r="U45" s="124">
        <v>15600</v>
      </c>
      <c r="V45" s="433"/>
      <c r="W45" s="9"/>
      <c r="X45" s="433"/>
    </row>
    <row r="46" spans="1:24" ht="23.25" customHeight="1">
      <c r="A46" s="103">
        <v>37</v>
      </c>
      <c r="B46" s="104" t="s">
        <v>772</v>
      </c>
      <c r="C46" s="102">
        <f t="shared" si="2"/>
        <v>83375035</v>
      </c>
      <c r="D46" s="85">
        <v>0</v>
      </c>
      <c r="E46" s="85">
        <v>0</v>
      </c>
      <c r="F46" s="85">
        <v>12579961</v>
      </c>
      <c r="G46" s="85">
        <v>145307500</v>
      </c>
      <c r="H46" s="85">
        <v>0</v>
      </c>
      <c r="I46" s="102">
        <f t="shared" si="4"/>
        <v>0</v>
      </c>
      <c r="J46" s="85"/>
      <c r="K46" s="85"/>
      <c r="L46" s="85"/>
      <c r="M46" s="85"/>
      <c r="N46" s="85"/>
      <c r="O46" s="102">
        <f t="shared" si="3"/>
        <v>74512426</v>
      </c>
      <c r="P46" s="85">
        <v>0</v>
      </c>
      <c r="Q46" s="85">
        <v>7570393</v>
      </c>
      <c r="R46" s="85">
        <v>3144991</v>
      </c>
      <c r="S46" s="85">
        <v>72653750</v>
      </c>
      <c r="T46" s="85">
        <v>-8856708</v>
      </c>
      <c r="U46" s="124">
        <v>15700</v>
      </c>
      <c r="V46" s="433"/>
      <c r="W46" s="434"/>
      <c r="X46" s="433"/>
    </row>
    <row r="47" spans="1:24" ht="33.75" customHeight="1">
      <c r="A47" s="103">
        <v>38</v>
      </c>
      <c r="B47" s="104" t="s">
        <v>773</v>
      </c>
      <c r="C47" s="102">
        <f t="shared" si="2"/>
        <v>406437548</v>
      </c>
      <c r="D47" s="85">
        <v>402687552</v>
      </c>
      <c r="E47" s="85">
        <v>0</v>
      </c>
      <c r="F47" s="85">
        <v>0</v>
      </c>
      <c r="G47" s="85">
        <v>7499992</v>
      </c>
      <c r="H47" s="85">
        <v>3205644</v>
      </c>
      <c r="I47" s="102">
        <f t="shared" si="4"/>
        <v>0</v>
      </c>
      <c r="J47" s="85"/>
      <c r="K47" s="85"/>
      <c r="L47" s="85"/>
      <c r="M47" s="85"/>
      <c r="N47" s="85"/>
      <c r="O47" s="102">
        <f t="shared" si="3"/>
        <v>10982516</v>
      </c>
      <c r="P47" s="85">
        <v>4026876</v>
      </c>
      <c r="Q47" s="85">
        <v>0</v>
      </c>
      <c r="R47" s="85">
        <v>0</v>
      </c>
      <c r="S47" s="85">
        <v>3749996</v>
      </c>
      <c r="T47" s="85">
        <v>3205644</v>
      </c>
      <c r="U47" s="124">
        <v>15800</v>
      </c>
      <c r="V47" s="433"/>
      <c r="W47" s="434"/>
      <c r="X47" s="433"/>
    </row>
    <row r="48" spans="1:24" ht="23.25" customHeight="1">
      <c r="A48" s="103">
        <v>39</v>
      </c>
      <c r="B48" s="104" t="s">
        <v>770</v>
      </c>
      <c r="C48" s="102">
        <f t="shared" si="2"/>
        <v>0</v>
      </c>
      <c r="D48" s="85">
        <v>0</v>
      </c>
      <c r="E48" s="85">
        <v>0</v>
      </c>
      <c r="F48" s="85">
        <v>0</v>
      </c>
      <c r="G48" s="85">
        <v>0</v>
      </c>
      <c r="H48" s="85">
        <v>0</v>
      </c>
      <c r="I48" s="102">
        <f t="shared" si="4"/>
        <v>0</v>
      </c>
      <c r="J48" s="85"/>
      <c r="K48" s="85"/>
      <c r="L48" s="85"/>
      <c r="M48" s="85"/>
      <c r="N48" s="85"/>
      <c r="O48" s="102">
        <f t="shared" si="3"/>
        <v>0</v>
      </c>
      <c r="P48" s="85">
        <v>0</v>
      </c>
      <c r="Q48" s="85">
        <v>0</v>
      </c>
      <c r="R48" s="85">
        <v>0</v>
      </c>
      <c r="S48" s="85">
        <v>0</v>
      </c>
      <c r="T48" s="85">
        <v>0</v>
      </c>
      <c r="U48" s="124">
        <v>15900</v>
      </c>
      <c r="V48" s="433"/>
      <c r="W48" s="434"/>
      <c r="X48" s="433"/>
    </row>
    <row r="49" spans="1:30" ht="23.25" customHeight="1">
      <c r="A49" s="103">
        <v>40</v>
      </c>
      <c r="B49" s="104" t="s">
        <v>771</v>
      </c>
      <c r="C49" s="102">
        <f t="shared" si="2"/>
        <v>2735021105</v>
      </c>
      <c r="D49" s="85">
        <v>1929213128</v>
      </c>
      <c r="E49" s="85">
        <v>779730245</v>
      </c>
      <c r="F49" s="85">
        <v>66596339</v>
      </c>
      <c r="G49" s="85">
        <v>123673175</v>
      </c>
      <c r="H49" s="85">
        <v>9008305</v>
      </c>
      <c r="I49" s="102">
        <f t="shared" si="4"/>
        <v>418757540</v>
      </c>
      <c r="J49" s="85">
        <f>'Aging Analysis'!M22</f>
        <v>287015394</v>
      </c>
      <c r="K49" s="85">
        <f>'Aging Analysis'!O22+'Aging Analysis'!Q22</f>
        <v>41476817</v>
      </c>
      <c r="L49" s="85">
        <f>'Aging Analysis'!S22</f>
        <v>28533994</v>
      </c>
      <c r="M49" s="85">
        <f>'Aging Analysis'!U22</f>
        <v>55461275</v>
      </c>
      <c r="N49" s="85">
        <f>'Aging Analysis'!W22+'Aging Analysis'!Y22</f>
        <v>6270060</v>
      </c>
      <c r="O49" s="102">
        <f t="shared" si="3"/>
        <v>192492218</v>
      </c>
      <c r="P49" s="85">
        <v>19292131</v>
      </c>
      <c r="Q49" s="85">
        <v>173200087</v>
      </c>
      <c r="R49" s="85">
        <v>0</v>
      </c>
      <c r="S49" s="85">
        <v>0</v>
      </c>
      <c r="T49" s="85">
        <v>0</v>
      </c>
      <c r="U49" s="124">
        <v>16300</v>
      </c>
      <c r="V49" s="433"/>
      <c r="W49" s="434"/>
      <c r="X49" s="433"/>
    </row>
    <row r="50" spans="1:30" ht="23.25" customHeight="1">
      <c r="A50" s="103">
        <v>41</v>
      </c>
      <c r="B50" s="104" t="s">
        <v>769</v>
      </c>
      <c r="C50" s="102">
        <f t="shared" si="2"/>
        <v>18910189</v>
      </c>
      <c r="D50" s="85">
        <v>15409969</v>
      </c>
      <c r="E50" s="85">
        <v>3455855</v>
      </c>
      <c r="F50" s="85">
        <v>212095</v>
      </c>
      <c r="G50" s="85">
        <v>1320059</v>
      </c>
      <c r="H50" s="85">
        <v>1204494</v>
      </c>
      <c r="I50" s="102">
        <f t="shared" si="4"/>
        <v>0</v>
      </c>
      <c r="J50" s="85"/>
      <c r="K50" s="85"/>
      <c r="L50" s="85"/>
      <c r="M50" s="85"/>
      <c r="N50" s="85"/>
      <c r="O50" s="102">
        <f t="shared" si="3"/>
        <v>2846383</v>
      </c>
      <c r="P50" s="85">
        <v>154100</v>
      </c>
      <c r="Q50" s="85">
        <v>398299</v>
      </c>
      <c r="R50" s="85">
        <v>60764</v>
      </c>
      <c r="S50" s="85">
        <v>1028726</v>
      </c>
      <c r="T50" s="85">
        <v>1204494</v>
      </c>
      <c r="U50" s="124">
        <v>16400</v>
      </c>
      <c r="V50" s="433"/>
      <c r="W50" s="434"/>
      <c r="X50" s="433"/>
    </row>
    <row r="51" spans="1:30" ht="23.25" customHeight="1">
      <c r="A51" s="103">
        <v>42</v>
      </c>
      <c r="B51" s="104" t="s">
        <v>271</v>
      </c>
      <c r="C51" s="102">
        <f t="shared" si="2"/>
        <v>3099257205</v>
      </c>
      <c r="D51" s="85">
        <v>3099257205</v>
      </c>
      <c r="E51" s="85">
        <v>0</v>
      </c>
      <c r="F51" s="85">
        <v>0</v>
      </c>
      <c r="G51" s="85">
        <v>0</v>
      </c>
      <c r="H51" s="85">
        <v>0</v>
      </c>
      <c r="I51" s="102">
        <f t="shared" si="4"/>
        <v>0</v>
      </c>
      <c r="J51" s="85"/>
      <c r="K51" s="85"/>
      <c r="L51" s="85"/>
      <c r="M51" s="85"/>
      <c r="N51" s="85"/>
      <c r="O51" s="102">
        <f t="shared" si="3"/>
        <v>0</v>
      </c>
      <c r="P51" s="85">
        <v>0</v>
      </c>
      <c r="Q51" s="85">
        <v>0</v>
      </c>
      <c r="R51" s="85">
        <v>0</v>
      </c>
      <c r="S51" s="85">
        <v>0</v>
      </c>
      <c r="T51" s="85">
        <v>0</v>
      </c>
      <c r="U51" s="124">
        <v>16500</v>
      </c>
      <c r="V51" s="433"/>
      <c r="W51" s="434"/>
      <c r="X51" s="433"/>
    </row>
    <row r="52" spans="1:30" ht="23.25" customHeight="1">
      <c r="A52" s="103">
        <v>43</v>
      </c>
      <c r="B52" s="104" t="s">
        <v>272</v>
      </c>
      <c r="C52" s="102">
        <f t="shared" si="2"/>
        <v>25973937</v>
      </c>
      <c r="D52" s="85">
        <v>25973937</v>
      </c>
      <c r="E52" s="85">
        <v>0</v>
      </c>
      <c r="F52" s="85">
        <v>0</v>
      </c>
      <c r="G52" s="85">
        <v>0</v>
      </c>
      <c r="H52" s="85">
        <v>0</v>
      </c>
      <c r="I52" s="102">
        <f t="shared" si="4"/>
        <v>0</v>
      </c>
      <c r="J52" s="85"/>
      <c r="K52" s="85"/>
      <c r="L52" s="85"/>
      <c r="M52" s="85"/>
      <c r="N52" s="85"/>
      <c r="O52" s="102">
        <f t="shared" si="3"/>
        <v>0</v>
      </c>
      <c r="P52" s="85">
        <v>0</v>
      </c>
      <c r="Q52" s="85">
        <v>0</v>
      </c>
      <c r="R52" s="85">
        <v>0</v>
      </c>
      <c r="S52" s="85">
        <v>0</v>
      </c>
      <c r="T52" s="85">
        <v>0</v>
      </c>
      <c r="U52" s="124">
        <v>16600</v>
      </c>
      <c r="V52" s="433"/>
      <c r="W52" s="434"/>
      <c r="X52" s="433"/>
    </row>
    <row r="53" spans="1:30" ht="23.25" customHeight="1">
      <c r="A53" s="103">
        <v>44</v>
      </c>
      <c r="B53" s="104" t="s">
        <v>273</v>
      </c>
      <c r="C53" s="102">
        <f t="shared" si="2"/>
        <v>70914978</v>
      </c>
      <c r="D53" s="85">
        <v>67185189</v>
      </c>
      <c r="E53" s="85">
        <v>2492552</v>
      </c>
      <c r="F53" s="85">
        <v>175298</v>
      </c>
      <c r="G53" s="85">
        <v>2193814</v>
      </c>
      <c r="H53" s="85">
        <v>188155031</v>
      </c>
      <c r="I53" s="102">
        <f t="shared" si="4"/>
        <v>0</v>
      </c>
      <c r="J53" s="85"/>
      <c r="K53" s="85"/>
      <c r="L53" s="85"/>
      <c r="M53" s="85"/>
      <c r="N53" s="85"/>
      <c r="O53" s="102">
        <f t="shared" si="3"/>
        <v>189958758</v>
      </c>
      <c r="P53" s="85">
        <v>671852</v>
      </c>
      <c r="Q53" s="85">
        <v>2137500</v>
      </c>
      <c r="R53" s="85">
        <v>0</v>
      </c>
      <c r="S53" s="85">
        <v>0</v>
      </c>
      <c r="T53" s="85">
        <v>187149406</v>
      </c>
      <c r="U53" s="124">
        <v>16700</v>
      </c>
      <c r="V53" s="433"/>
      <c r="W53" s="434"/>
      <c r="X53" s="433"/>
    </row>
    <row r="54" spans="1:30" ht="23.25" customHeight="1">
      <c r="A54" s="103">
        <v>45</v>
      </c>
      <c r="B54" s="104" t="s">
        <v>768</v>
      </c>
      <c r="C54" s="102">
        <f t="shared" ref="C54" si="6">SUM(D54:H54)-O54+P54</f>
        <v>442418991</v>
      </c>
      <c r="D54" s="85">
        <v>354071871</v>
      </c>
      <c r="E54" s="85">
        <v>30933776</v>
      </c>
      <c r="F54" s="85">
        <v>20978855</v>
      </c>
      <c r="G54" s="85">
        <v>35283346</v>
      </c>
      <c r="H54" s="85">
        <v>19750000</v>
      </c>
      <c r="I54" s="102">
        <f t="shared" ref="I54" si="7">SUM(J54:N54)</f>
        <v>0</v>
      </c>
      <c r="J54" s="85"/>
      <c r="K54" s="85"/>
      <c r="L54" s="85"/>
      <c r="M54" s="85"/>
      <c r="N54" s="85"/>
      <c r="O54" s="102">
        <f t="shared" ref="O54" si="8">SUM(P54:T54)</f>
        <v>22139576</v>
      </c>
      <c r="P54" s="85">
        <v>3540719</v>
      </c>
      <c r="Q54" s="85">
        <v>0</v>
      </c>
      <c r="R54" s="85">
        <v>0</v>
      </c>
      <c r="S54" s="85">
        <v>0</v>
      </c>
      <c r="T54" s="85">
        <v>18598857</v>
      </c>
      <c r="U54" s="124">
        <v>16800</v>
      </c>
      <c r="V54" s="433"/>
      <c r="W54" s="434"/>
      <c r="X54" s="433"/>
    </row>
    <row r="55" spans="1:30" ht="23.25" customHeight="1">
      <c r="A55" s="103">
        <v>46</v>
      </c>
      <c r="B55" s="104" t="s">
        <v>274</v>
      </c>
      <c r="C55" s="102">
        <f t="shared" si="2"/>
        <v>0</v>
      </c>
      <c r="D55" s="85">
        <v>0</v>
      </c>
      <c r="E55" s="85">
        <v>0</v>
      </c>
      <c r="F55" s="85">
        <v>0</v>
      </c>
      <c r="G55" s="85">
        <v>0</v>
      </c>
      <c r="H55" s="85">
        <v>0</v>
      </c>
      <c r="I55" s="102">
        <f t="shared" si="4"/>
        <v>0</v>
      </c>
      <c r="J55" s="85"/>
      <c r="K55" s="85"/>
      <c r="L55" s="85"/>
      <c r="M55" s="85"/>
      <c r="N55" s="85"/>
      <c r="O55" s="102">
        <f t="shared" si="3"/>
        <v>0</v>
      </c>
      <c r="P55" s="85">
        <v>0</v>
      </c>
      <c r="Q55" s="85">
        <v>0</v>
      </c>
      <c r="R55" s="85">
        <v>0</v>
      </c>
      <c r="S55" s="85">
        <v>0</v>
      </c>
      <c r="T55" s="85">
        <v>0</v>
      </c>
      <c r="U55" s="124">
        <v>16900</v>
      </c>
      <c r="V55" s="433"/>
      <c r="W55" s="434"/>
      <c r="X55" s="433"/>
    </row>
    <row r="56" spans="1:30" ht="23.25" customHeight="1">
      <c r="A56" s="103">
        <v>47</v>
      </c>
      <c r="B56" s="104" t="s">
        <v>767</v>
      </c>
      <c r="C56" s="102">
        <f t="shared" si="2"/>
        <v>0</v>
      </c>
      <c r="D56" s="85">
        <v>0</v>
      </c>
      <c r="E56" s="85">
        <v>0</v>
      </c>
      <c r="F56" s="85">
        <v>0</v>
      </c>
      <c r="G56" s="85">
        <v>0</v>
      </c>
      <c r="H56" s="85">
        <v>0</v>
      </c>
      <c r="I56" s="102">
        <f t="shared" si="4"/>
        <v>0</v>
      </c>
      <c r="J56" s="85"/>
      <c r="K56" s="85"/>
      <c r="L56" s="85"/>
      <c r="M56" s="85"/>
      <c r="N56" s="85"/>
      <c r="O56" s="102">
        <f t="shared" si="3"/>
        <v>0</v>
      </c>
      <c r="P56" s="85">
        <v>0</v>
      </c>
      <c r="Q56" s="85">
        <v>0</v>
      </c>
      <c r="R56" s="85">
        <v>0</v>
      </c>
      <c r="S56" s="85">
        <v>0</v>
      </c>
      <c r="T56" s="85">
        <v>0</v>
      </c>
      <c r="U56" s="124">
        <v>17100</v>
      </c>
      <c r="V56" s="433"/>
      <c r="W56" s="434"/>
      <c r="X56" s="433"/>
    </row>
    <row r="57" spans="1:30" ht="23.25" customHeight="1">
      <c r="A57" s="103">
        <v>48</v>
      </c>
      <c r="B57" s="104" t="s">
        <v>275</v>
      </c>
      <c r="C57" s="102">
        <f t="shared" si="2"/>
        <v>0</v>
      </c>
      <c r="D57" s="85">
        <v>0</v>
      </c>
      <c r="E57" s="85">
        <v>0</v>
      </c>
      <c r="F57" s="85">
        <v>0</v>
      </c>
      <c r="G57" s="85">
        <v>0</v>
      </c>
      <c r="H57" s="85">
        <v>0</v>
      </c>
      <c r="I57" s="102">
        <f t="shared" si="4"/>
        <v>0</v>
      </c>
      <c r="J57" s="85"/>
      <c r="K57" s="85"/>
      <c r="L57" s="85"/>
      <c r="M57" s="85"/>
      <c r="N57" s="85"/>
      <c r="O57" s="102">
        <f t="shared" si="3"/>
        <v>0</v>
      </c>
      <c r="P57" s="85">
        <v>0</v>
      </c>
      <c r="Q57" s="85">
        <v>0</v>
      </c>
      <c r="R57" s="85">
        <v>0</v>
      </c>
      <c r="S57" s="85">
        <v>0</v>
      </c>
      <c r="T57" s="85">
        <v>0</v>
      </c>
      <c r="U57" s="124">
        <v>17300</v>
      </c>
      <c r="V57" s="433"/>
      <c r="W57" s="434"/>
      <c r="X57" s="433"/>
    </row>
    <row r="58" spans="1:30" ht="35.25" customHeight="1">
      <c r="A58" s="103">
        <v>49</v>
      </c>
      <c r="B58" s="104" t="s">
        <v>766</v>
      </c>
      <c r="C58" s="102">
        <f t="shared" si="2"/>
        <v>62878271</v>
      </c>
      <c r="D58" s="85">
        <v>62878271</v>
      </c>
      <c r="E58" s="85">
        <v>0</v>
      </c>
      <c r="F58" s="85">
        <v>0</v>
      </c>
      <c r="G58" s="85">
        <v>0</v>
      </c>
      <c r="H58" s="85">
        <v>0</v>
      </c>
      <c r="I58" s="102">
        <f t="shared" si="4"/>
        <v>0</v>
      </c>
      <c r="J58" s="85"/>
      <c r="K58" s="85"/>
      <c r="L58" s="85"/>
      <c r="M58" s="85"/>
      <c r="N58" s="85"/>
      <c r="O58" s="102">
        <f t="shared" si="3"/>
        <v>628783</v>
      </c>
      <c r="P58" s="85">
        <v>628783</v>
      </c>
      <c r="Q58" s="85">
        <v>0</v>
      </c>
      <c r="R58" s="85">
        <v>0</v>
      </c>
      <c r="S58" s="85">
        <v>0</v>
      </c>
      <c r="T58" s="85">
        <v>0</v>
      </c>
      <c r="U58" s="124">
        <v>17400</v>
      </c>
      <c r="V58" s="433"/>
      <c r="W58" s="434"/>
      <c r="X58" s="433"/>
      <c r="Y58" s="283"/>
      <c r="Z58" s="283"/>
      <c r="AA58" s="283"/>
      <c r="AB58" s="283"/>
      <c r="AC58" s="283"/>
      <c r="AD58" s="283"/>
    </row>
    <row r="59" spans="1:30" ht="23.25" customHeight="1">
      <c r="A59" s="103" t="s">
        <v>187</v>
      </c>
      <c r="B59" s="104" t="s">
        <v>757</v>
      </c>
      <c r="C59" s="102">
        <f>SUM(D59:H59)-O59</f>
        <v>615172207</v>
      </c>
      <c r="D59" s="85">
        <v>615172207</v>
      </c>
      <c r="E59" s="85">
        <v>0</v>
      </c>
      <c r="F59" s="85">
        <v>0</v>
      </c>
      <c r="G59" s="85">
        <v>0</v>
      </c>
      <c r="H59" s="85">
        <v>0</v>
      </c>
      <c r="I59" s="102">
        <f t="shared" si="4"/>
        <v>0</v>
      </c>
      <c r="J59" s="85"/>
      <c r="K59" s="85"/>
      <c r="L59" s="85"/>
      <c r="M59" s="85"/>
      <c r="N59" s="85"/>
      <c r="O59" s="102">
        <f t="shared" si="3"/>
        <v>0</v>
      </c>
      <c r="P59" s="85">
        <v>0</v>
      </c>
      <c r="Q59" s="85">
        <v>0</v>
      </c>
      <c r="R59" s="85">
        <v>0</v>
      </c>
      <c r="S59" s="85">
        <v>0</v>
      </c>
      <c r="T59" s="85">
        <v>0</v>
      </c>
      <c r="U59" s="124">
        <v>17700</v>
      </c>
      <c r="V59" s="433"/>
      <c r="W59" s="434"/>
      <c r="X59" s="433"/>
    </row>
    <row r="60" spans="1:30" s="283" customFormat="1" ht="23.25" customHeight="1">
      <c r="A60" s="280" t="s">
        <v>191</v>
      </c>
      <c r="B60" s="104" t="s">
        <v>276</v>
      </c>
      <c r="C60" s="102">
        <f t="shared" si="2"/>
        <v>632945083</v>
      </c>
      <c r="D60" s="85">
        <v>626229486</v>
      </c>
      <c r="E60" s="85">
        <v>4009918</v>
      </c>
      <c r="F60" s="85">
        <v>3637360</v>
      </c>
      <c r="G60" s="85">
        <v>2932472</v>
      </c>
      <c r="H60" s="85">
        <v>957829</v>
      </c>
      <c r="I60" s="102">
        <f t="shared" si="4"/>
        <v>0</v>
      </c>
      <c r="J60" s="85"/>
      <c r="K60" s="85"/>
      <c r="L60" s="85"/>
      <c r="M60" s="85"/>
      <c r="N60" s="85"/>
      <c r="O60" s="102">
        <f t="shared" si="3"/>
        <v>31096154</v>
      </c>
      <c r="P60" s="85">
        <v>26274172</v>
      </c>
      <c r="Q60" s="85">
        <v>18670</v>
      </c>
      <c r="R60" s="85">
        <v>1226375</v>
      </c>
      <c r="S60" s="85">
        <v>2619108</v>
      </c>
      <c r="T60" s="85">
        <v>957829</v>
      </c>
      <c r="U60" s="124">
        <v>19900</v>
      </c>
      <c r="V60" s="433"/>
      <c r="W60" s="434"/>
      <c r="X60" s="433"/>
      <c r="Y60" s="9"/>
      <c r="Z60" s="9"/>
      <c r="AA60" s="9"/>
      <c r="AB60" s="9"/>
      <c r="AC60" s="9"/>
      <c r="AD60" s="9"/>
    </row>
    <row r="61" spans="1:30" s="283" customFormat="1" ht="15" customHeight="1">
      <c r="A61" s="280"/>
      <c r="B61" s="104"/>
      <c r="C61" s="102"/>
      <c r="D61" s="102"/>
      <c r="E61" s="103"/>
      <c r="F61" s="103"/>
      <c r="G61" s="103"/>
      <c r="H61" s="103"/>
      <c r="I61" s="102"/>
      <c r="J61" s="85"/>
      <c r="K61" s="85"/>
      <c r="L61" s="85"/>
      <c r="M61" s="85"/>
      <c r="N61" s="85"/>
      <c r="O61" s="102"/>
      <c r="P61" s="87"/>
      <c r="Q61" s="87"/>
      <c r="R61" s="87"/>
      <c r="S61" s="87"/>
      <c r="T61" s="87"/>
      <c r="U61" s="124"/>
      <c r="V61" s="281"/>
      <c r="W61" s="9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25"/>
      <c r="B62" s="278" t="s">
        <v>277</v>
      </c>
      <c r="C62" s="126">
        <f t="shared" ref="C62:H62" si="9">SUM(C63:C65)</f>
        <v>4356850281</v>
      </c>
      <c r="D62" s="126">
        <f t="shared" si="9"/>
        <v>4079775059</v>
      </c>
      <c r="E62" s="126">
        <f t="shared" si="9"/>
        <v>71638495</v>
      </c>
      <c r="F62" s="126">
        <f t="shared" si="9"/>
        <v>382210</v>
      </c>
      <c r="G62" s="126">
        <f t="shared" si="9"/>
        <v>1280618</v>
      </c>
      <c r="H62" s="126">
        <f t="shared" si="9"/>
        <v>203773899</v>
      </c>
      <c r="I62" s="126">
        <f t="shared" ref="I62:I63" si="10">SUM(J62:N62)</f>
        <v>0</v>
      </c>
      <c r="J62" s="126">
        <f>SUM(J63:J65)</f>
        <v>0</v>
      </c>
      <c r="K62" s="126">
        <f t="shared" ref="K62:L62" si="11">SUM(K63:K65)</f>
        <v>0</v>
      </c>
      <c r="L62" s="126">
        <f t="shared" si="11"/>
        <v>0</v>
      </c>
      <c r="M62" s="126">
        <f t="shared" ref="M62:T62" si="12">SUM(M63:M65)</f>
        <v>0</v>
      </c>
      <c r="N62" s="126">
        <f t="shared" si="12"/>
        <v>0</v>
      </c>
      <c r="O62" s="126">
        <f t="shared" si="12"/>
        <v>16308193</v>
      </c>
      <c r="P62" s="126">
        <f t="shared" si="12"/>
        <v>16095591</v>
      </c>
      <c r="Q62" s="126">
        <f t="shared" si="12"/>
        <v>212329</v>
      </c>
      <c r="R62" s="126">
        <f t="shared" si="12"/>
        <v>272</v>
      </c>
      <c r="S62" s="126">
        <f t="shared" si="12"/>
        <v>1</v>
      </c>
      <c r="T62" s="126">
        <f t="shared" si="12"/>
        <v>0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23.25" customHeight="1">
      <c r="A63" s="280" t="s">
        <v>2</v>
      </c>
      <c r="B63" s="104" t="s">
        <v>278</v>
      </c>
      <c r="C63" s="102">
        <f>SUM(D63:H63)</f>
        <v>2030004069</v>
      </c>
      <c r="D63" s="85">
        <v>2023747655</v>
      </c>
      <c r="E63" s="85">
        <v>6256414</v>
      </c>
      <c r="F63" s="86">
        <v>0</v>
      </c>
      <c r="G63" s="86">
        <v>0</v>
      </c>
      <c r="H63" s="86">
        <v>0</v>
      </c>
      <c r="I63" s="102">
        <f t="shared" si="10"/>
        <v>0</v>
      </c>
      <c r="J63" s="87"/>
      <c r="K63" s="87"/>
      <c r="L63" s="87"/>
      <c r="M63" s="87"/>
      <c r="N63" s="87"/>
      <c r="O63" s="102">
        <f t="shared" ref="O63" si="13">SUM(P63:T63)</f>
        <v>1379064</v>
      </c>
      <c r="P63" s="85">
        <v>1379064</v>
      </c>
      <c r="Q63" s="87">
        <v>0</v>
      </c>
      <c r="R63" s="87">
        <v>0</v>
      </c>
      <c r="S63" s="87">
        <v>0</v>
      </c>
      <c r="T63" s="87">
        <v>0</v>
      </c>
      <c r="U63" s="124" t="s">
        <v>198</v>
      </c>
    </row>
    <row r="64" spans="1:30" ht="23.25" customHeight="1">
      <c r="A64" s="280" t="s">
        <v>5</v>
      </c>
      <c r="B64" s="104" t="s">
        <v>279</v>
      </c>
      <c r="C64" s="102">
        <f>SUM(D64:H64)</f>
        <v>1457703020</v>
      </c>
      <c r="D64" s="85">
        <v>1219331041</v>
      </c>
      <c r="E64" s="85">
        <v>34598080</v>
      </c>
      <c r="F64" s="86">
        <v>0</v>
      </c>
      <c r="G64" s="86">
        <v>0</v>
      </c>
      <c r="H64" s="85">
        <v>203773899</v>
      </c>
      <c r="I64" s="102">
        <f>SUM(J64:N64)</f>
        <v>0</v>
      </c>
      <c r="J64" s="87"/>
      <c r="K64" s="87"/>
      <c r="L64" s="87"/>
      <c r="M64" s="87"/>
      <c r="N64" s="87"/>
      <c r="O64" s="102">
        <f>SUM(P64:T64)</f>
        <v>11626206</v>
      </c>
      <c r="P64" s="85">
        <f>10480615+1145591</f>
        <v>11626206</v>
      </c>
      <c r="Q64" s="87">
        <v>0</v>
      </c>
      <c r="R64" s="87">
        <v>0</v>
      </c>
      <c r="S64" s="87">
        <v>0</v>
      </c>
      <c r="T64" s="87">
        <v>0</v>
      </c>
      <c r="U64" s="10">
        <v>90993</v>
      </c>
    </row>
    <row r="65" spans="1:30" ht="23.25" customHeight="1">
      <c r="A65" s="280" t="s">
        <v>6</v>
      </c>
      <c r="B65" s="104" t="s">
        <v>280</v>
      </c>
      <c r="C65" s="102">
        <f>SUM(D65:H65)</f>
        <v>869143192</v>
      </c>
      <c r="D65" s="85">
        <v>836696363</v>
      </c>
      <c r="E65" s="85">
        <v>30784001</v>
      </c>
      <c r="F65" s="85">
        <v>382210</v>
      </c>
      <c r="G65" s="85">
        <v>1280618</v>
      </c>
      <c r="H65" s="86">
        <v>0</v>
      </c>
      <c r="I65" s="102">
        <f>SUM(J65:N65)</f>
        <v>0</v>
      </c>
      <c r="J65" s="87"/>
      <c r="K65" s="87"/>
      <c r="L65" s="87"/>
      <c r="M65" s="87"/>
      <c r="N65" s="87"/>
      <c r="O65" s="102">
        <f>SUM(P65:T65)</f>
        <v>3302923</v>
      </c>
      <c r="P65" s="85">
        <v>3090321</v>
      </c>
      <c r="Q65" s="85">
        <v>212329</v>
      </c>
      <c r="R65" s="87">
        <v>272</v>
      </c>
      <c r="S65" s="87">
        <v>1</v>
      </c>
      <c r="T65" s="87">
        <v>0</v>
      </c>
      <c r="U65" s="10">
        <v>91809</v>
      </c>
    </row>
    <row r="67" spans="1:30" s="30" customFormat="1" ht="15" customHeight="1">
      <c r="B67" s="28" t="s">
        <v>778</v>
      </c>
      <c r="F67" s="183"/>
      <c r="G67" s="183"/>
      <c r="H67" s="183"/>
      <c r="I67" s="183"/>
      <c r="J67" s="183"/>
      <c r="K67" s="183"/>
      <c r="L67" s="183"/>
      <c r="M67" s="183"/>
    </row>
    <row r="68" spans="1:30" s="30" customFormat="1" ht="11.25" customHeight="1">
      <c r="B68" s="28"/>
      <c r="F68" s="183"/>
      <c r="G68" s="183"/>
      <c r="H68" s="183"/>
      <c r="I68" s="183"/>
      <c r="J68" s="183"/>
      <c r="K68" s="183"/>
      <c r="L68" s="183"/>
      <c r="M68" s="183"/>
    </row>
    <row r="69" spans="1:30" s="30" customFormat="1" ht="15" customHeight="1">
      <c r="B69" s="28" t="s">
        <v>779</v>
      </c>
      <c r="F69" s="183"/>
      <c r="G69" s="183"/>
      <c r="H69" s="183"/>
      <c r="I69" s="183"/>
      <c r="J69" s="183"/>
      <c r="K69" s="183"/>
      <c r="L69" s="183"/>
      <c r="M69" s="183"/>
    </row>
    <row r="70" spans="1:30" s="30" customFormat="1" ht="15" customHeight="1">
      <c r="B70" s="201"/>
      <c r="F70" s="183"/>
      <c r="G70" s="183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3" spans="1:30">
      <c r="C73" s="75">
        <f>+[8]Balance!$C$47</f>
        <v>74634423198</v>
      </c>
      <c r="D73" s="547">
        <f>+'loans type'!N8</f>
        <v>49548751261</v>
      </c>
      <c r="E73" s="547">
        <f>+'loans type'!O8</f>
        <v>6292476722</v>
      </c>
      <c r="F73" s="547">
        <f>+'loans type'!P8</f>
        <v>506004487</v>
      </c>
      <c r="G73" s="547">
        <f>+'loans type'!Q8</f>
        <v>749932110</v>
      </c>
      <c r="H73" s="547">
        <f>+'loans type'!R8</f>
        <v>27239332</v>
      </c>
      <c r="I73" s="548"/>
      <c r="J73" s="548"/>
      <c r="K73" s="548"/>
      <c r="L73" s="548"/>
      <c r="M73" s="548"/>
      <c r="N73" s="548"/>
      <c r="O73" s="548"/>
      <c r="P73" s="547">
        <f>+'loans type'!T8</f>
        <v>504953973</v>
      </c>
      <c r="Q73" s="547">
        <f>+'loans type'!U8</f>
        <v>620122045</v>
      </c>
      <c r="R73" s="547">
        <f>+'loans type'!V8</f>
        <v>126501133</v>
      </c>
      <c r="S73" s="547">
        <f>+'loans type'!W8</f>
        <v>374966057</v>
      </c>
      <c r="T73" s="547">
        <f>+'loans type'!X8</f>
        <v>27239332</v>
      </c>
      <c r="U73" s="548"/>
    </row>
    <row r="74" spans="1:30">
      <c r="D74" s="547">
        <f>+D16+D20+D21+D22+D23+D24+D25+D26+D27+D28+D29+D30+D31+D32+D33+D34+D35+D36+D37+D38+D39+D40+D41+D42+D43+D44+D45+D46</f>
        <v>49548751261</v>
      </c>
      <c r="E74" s="547">
        <f t="shared" ref="E74:H74" si="14">+E16+E19+E20+E21+E22+E23+E24+E25+E26+E27+E28+E29+E30+E31+E32+E33+E34+E35+E36+E37+E38+E39+E40+E41+E42+E43+E44+E45+E46</f>
        <v>6292476722</v>
      </c>
      <c r="F74" s="547">
        <f t="shared" si="14"/>
        <v>506004487</v>
      </c>
      <c r="G74" s="547">
        <f t="shared" si="14"/>
        <v>749932110</v>
      </c>
      <c r="H74" s="547">
        <f t="shared" si="14"/>
        <v>27239332</v>
      </c>
      <c r="I74" s="548"/>
      <c r="J74" s="548"/>
      <c r="K74" s="548"/>
      <c r="L74" s="548"/>
      <c r="M74" s="548"/>
      <c r="N74" s="548"/>
      <c r="O74" s="548"/>
      <c r="P74" s="547">
        <f>+P16+P19+P20+P21+P22+P23+P24+P25+P26+P27+P28+P29+P30+P31+P32+P33+P34+P35+P36+P37+P38+P39+P40+P41+P42+P43+P44+P45+P46</f>
        <v>504953973</v>
      </c>
      <c r="Q74" s="547">
        <f>+Q16+Q19+Q20+Q21+Q22+Q23+Q24+Q25+Q26+Q27+Q28+Q29+Q30+Q31+Q32+Q33+Q34+Q35+Q36+Q37+Q38+Q39+Q40+Q41+Q42+Q43+Q44+Q45+Q46</f>
        <v>620122045</v>
      </c>
      <c r="R74" s="547">
        <f>+R16+R19+R20+R21+R22+R23+R24+R25+R26+R27+R28+R29+R30+R31+R32+R33+R34+R35+R36+R37+R38+R39+R40+R41+R42+R43+R44+R45+R46</f>
        <v>126501133</v>
      </c>
      <c r="S74" s="547">
        <f>+S16+S19+S20+S21+S22+S23+S24+S25+S26+S27+S28+S29+S30+S31+S32+S33+S34+S35+S36+S37+S38+S39+S40+S41+S42+S43+S44+S45+S46</f>
        <v>374966057</v>
      </c>
      <c r="T74" s="547">
        <f>+T16+T19+T20+T21+T22+T23+T24+T25+T26+T27+T28+T29+T30+T31+T32+T33+T34+T35+T36+T37+T38+T39+T40+T41+T42+T43+T44+T45+T46</f>
        <v>27239332</v>
      </c>
      <c r="U74" s="548"/>
    </row>
    <row r="75" spans="1:30">
      <c r="D75" s="549">
        <f>+D73-D74</f>
        <v>0</v>
      </c>
      <c r="E75" s="549">
        <f t="shared" ref="E75:H75" si="15">+E73-E74</f>
        <v>0</v>
      </c>
      <c r="F75" s="549">
        <f t="shared" si="15"/>
        <v>0</v>
      </c>
      <c r="G75" s="549">
        <f t="shared" si="15"/>
        <v>0</v>
      </c>
      <c r="H75" s="549">
        <f t="shared" si="15"/>
        <v>0</v>
      </c>
      <c r="I75" s="549"/>
      <c r="J75" s="549"/>
      <c r="K75" s="549"/>
      <c r="L75" s="549"/>
      <c r="M75" s="549"/>
      <c r="N75" s="549"/>
      <c r="O75" s="549"/>
      <c r="P75" s="549">
        <f>+P73-P74</f>
        <v>0</v>
      </c>
      <c r="Q75" s="549">
        <f>+Q73-Q74</f>
        <v>0</v>
      </c>
      <c r="R75" s="549">
        <f>+R73-R74</f>
        <v>0</v>
      </c>
      <c r="S75" s="549">
        <f>+S73-S74</f>
        <v>0</v>
      </c>
      <c r="T75" s="549">
        <f>+T73-T74</f>
        <v>0</v>
      </c>
      <c r="U75" s="548"/>
    </row>
    <row r="76" spans="1:30">
      <c r="D76" s="548"/>
      <c r="E76" s="548"/>
      <c r="F76" s="548"/>
      <c r="G76" s="548"/>
      <c r="H76" s="548"/>
      <c r="I76" s="548"/>
      <c r="J76" s="548"/>
      <c r="K76" s="548"/>
      <c r="L76" s="548"/>
      <c r="M76" s="548"/>
      <c r="N76" s="548"/>
      <c r="O76" s="548"/>
      <c r="P76" s="548"/>
      <c r="Q76" s="548"/>
      <c r="R76" s="548"/>
      <c r="S76" s="548"/>
      <c r="T76" s="548"/>
      <c r="U76" s="548"/>
    </row>
    <row r="77" spans="1:30">
      <c r="D77" s="548"/>
      <c r="E77" s="548"/>
      <c r="F77" s="548"/>
      <c r="G77" s="548"/>
      <c r="H77" s="548"/>
      <c r="I77" s="548"/>
      <c r="J77" s="548"/>
      <c r="K77" s="548"/>
      <c r="L77" s="548"/>
      <c r="M77" s="548"/>
      <c r="N77" s="548"/>
      <c r="O77" s="548"/>
      <c r="P77" s="548"/>
      <c r="Q77" s="548"/>
      <c r="R77" s="548"/>
      <c r="S77" s="548"/>
      <c r="T77" s="548"/>
      <c r="U77" s="548"/>
    </row>
    <row r="78" spans="1:30">
      <c r="D78" s="548"/>
      <c r="E78" s="548"/>
      <c r="F78" s="548"/>
      <c r="G78" s="548"/>
      <c r="H78" s="548"/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</row>
    <row r="79" spans="1:30">
      <c r="D79" s="548"/>
      <c r="E79" s="548"/>
      <c r="F79" s="548"/>
      <c r="G79" s="548"/>
      <c r="H79" s="548"/>
      <c r="I79" s="548"/>
      <c r="J79" s="548"/>
      <c r="K79" s="548"/>
      <c r="L79" s="548"/>
      <c r="M79" s="548"/>
      <c r="N79" s="548"/>
      <c r="O79" s="548"/>
      <c r="P79" s="548"/>
      <c r="Q79" s="548"/>
      <c r="R79" s="548"/>
      <c r="S79" s="548"/>
      <c r="T79" s="548"/>
      <c r="U79" s="548"/>
    </row>
  </sheetData>
  <sheetProtection password="CACA" sheet="1" objects="1" scenarios="1"/>
  <mergeCells count="18"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  <mergeCell ref="K5:K7"/>
    <mergeCell ref="Q3:R3"/>
    <mergeCell ref="O6:O7"/>
    <mergeCell ref="P6:T6"/>
  </mergeCells>
  <conditionalFormatting sqref="C9">
    <cfRule type="cellIs" dxfId="263" priority="3" operator="notEqual">
      <formula>$C$73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6 C66 R66:T66 R62:T62 Q66 D62:H62 I49:I53 D66:H66 D61:H61 I17:I18 I15:I16 I12:I14 I19:I35" unlockedFormula="1"/>
    <ignoredError sqref="T61 O49:O53 Q62 O17:O18 O12:O16 O19:O35" formulaRange="1" unlockedFormula="1"/>
    <ignoredError sqref="O36:O48 O10:O11" formulaRange="1"/>
    <ignoredError sqref="I60 I54:I58 I61 I65:N65 I59 I66:J66 L66:P66 I62 I64:N64 J62:N62 I63:N63 K66" formula="1" unlockedFormula="1"/>
    <ignoredError sqref="R61:S61 Q61 O54:O58 P62 O59 O65 O60 O61:P61 O63:O64 O62" formula="1" formulaRange="1" unlockedFormula="1"/>
    <ignoredError sqref="C60:C61 C54:C58" formula="1"/>
    <ignoredError sqref="A10:B10 A15:B15 A11 A12 A13 A14 B17:B25 A16 B28:B32 B35:B39 B41:B45 B51:B53 B55 B57 B59:B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2"/>
  <sheetViews>
    <sheetView view="pageBreakPreview" zoomScaleSheetLayoutView="100" workbookViewId="0">
      <pane xSplit="2" ySplit="4" topLeftCell="C47" activePane="bottomRight" state="frozen"/>
      <selection activeCell="J47" sqref="J47"/>
      <selection pane="topRight" activeCell="J47" sqref="J47"/>
      <selection pane="bottomLeft" activeCell="J47" sqref="J47"/>
      <selection pane="bottomRight" activeCell="C68" sqref="C68"/>
    </sheetView>
  </sheetViews>
  <sheetFormatPr defaultRowHeight="15" customHeight="1"/>
  <cols>
    <col min="1" max="1" width="5.7109375" style="545" customWidth="1"/>
    <col min="2" max="2" width="80.28515625" customWidth="1"/>
    <col min="3" max="3" width="16.85546875" customWidth="1"/>
    <col min="4" max="4" width="17.7109375" customWidth="1"/>
    <col min="5" max="5" width="16.85546875" customWidth="1"/>
    <col min="6" max="6" width="7.42578125" customWidth="1"/>
    <col min="7" max="7" width="18.5703125" style="522" customWidth="1"/>
    <col min="8" max="10" width="7.42578125" customWidth="1"/>
  </cols>
  <sheetData>
    <row r="1" spans="1:7" ht="18.75" customHeight="1">
      <c r="A1" s="583" t="s">
        <v>282</v>
      </c>
      <c r="B1" s="583"/>
      <c r="C1" s="583"/>
      <c r="D1" s="583"/>
      <c r="E1" s="521" t="s">
        <v>283</v>
      </c>
    </row>
    <row r="2" spans="1:7" ht="7.5" customHeight="1">
      <c r="A2" s="523"/>
      <c r="B2" s="209"/>
      <c r="C2" s="521"/>
      <c r="D2" s="521"/>
      <c r="E2" s="521"/>
    </row>
    <row r="3" spans="1:7" ht="15" customHeight="1">
      <c r="A3" s="524"/>
      <c r="B3" s="200" t="str">
        <f>+'Asset quality'!B3</f>
        <v>"Ўзсаноатқурилишибанк" АТБ</v>
      </c>
      <c r="D3" s="525">
        <f>+'Asset quality'!Q3</f>
        <v>45289</v>
      </c>
      <c r="E3" s="284" t="str">
        <f>+'Asset quality'!T3</f>
        <v>минг. сўмда</v>
      </c>
    </row>
    <row r="4" spans="1:7" ht="42" customHeight="1">
      <c r="A4" s="101" t="s">
        <v>61</v>
      </c>
      <c r="B4" s="101" t="s">
        <v>284</v>
      </c>
      <c r="C4" s="101" t="s">
        <v>234</v>
      </c>
      <c r="D4" s="101" t="s">
        <v>777</v>
      </c>
      <c r="E4" s="101" t="s">
        <v>286</v>
      </c>
    </row>
    <row r="5" spans="1:7" ht="15" customHeight="1">
      <c r="A5" s="436" t="s">
        <v>287</v>
      </c>
      <c r="B5" s="526" t="s">
        <v>288</v>
      </c>
      <c r="C5" s="101"/>
      <c r="D5" s="101"/>
      <c r="E5" s="101"/>
    </row>
    <row r="6" spans="1:7" ht="15" customHeight="1">
      <c r="A6" s="527" t="s">
        <v>289</v>
      </c>
      <c r="B6" s="478" t="s">
        <v>290</v>
      </c>
      <c r="C6" s="517">
        <f>+D6+E6</f>
        <v>13993151</v>
      </c>
      <c r="D6" s="533">
        <v>13993151</v>
      </c>
      <c r="E6" s="533">
        <v>0</v>
      </c>
      <c r="G6" s="522">
        <f>+'Analysis of Interest'!C17</f>
        <v>13993151</v>
      </c>
    </row>
    <row r="7" spans="1:7" ht="15" customHeight="1">
      <c r="A7" s="527" t="s">
        <v>291</v>
      </c>
      <c r="B7" s="478" t="s">
        <v>292</v>
      </c>
      <c r="C7" s="517">
        <f t="shared" ref="C7:C14" si="0">+D7+E7</f>
        <v>472306870</v>
      </c>
      <c r="D7" s="533">
        <v>55384248</v>
      </c>
      <c r="E7" s="533">
        <v>416922622</v>
      </c>
      <c r="G7" s="522">
        <f>+'Analysis of Interest'!C18</f>
        <v>472306870</v>
      </c>
    </row>
    <row r="8" spans="1:7" ht="25.5">
      <c r="A8" s="527" t="s">
        <v>293</v>
      </c>
      <c r="B8" s="528" t="s">
        <v>308</v>
      </c>
      <c r="C8" s="517">
        <f t="shared" si="0"/>
        <v>626507</v>
      </c>
      <c r="D8" s="533">
        <v>626507</v>
      </c>
      <c r="E8" s="533">
        <v>0</v>
      </c>
    </row>
    <row r="9" spans="1:7" ht="15" customHeight="1">
      <c r="A9" s="527" t="s">
        <v>294</v>
      </c>
      <c r="B9" s="528" t="s">
        <v>295</v>
      </c>
      <c r="C9" s="517">
        <f t="shared" ref="C9" si="1">+D9+E9</f>
        <v>398059254</v>
      </c>
      <c r="D9" s="533">
        <v>387708461</v>
      </c>
      <c r="E9" s="533">
        <v>10350793</v>
      </c>
      <c r="G9" s="522">
        <f>+'Analysis of Interest'!C28</f>
        <v>398059254</v>
      </c>
    </row>
    <row r="10" spans="1:7" ht="15" customHeight="1">
      <c r="A10" s="529" t="s">
        <v>296</v>
      </c>
      <c r="B10" s="530" t="s">
        <v>297</v>
      </c>
      <c r="C10" s="517">
        <f t="shared" si="0"/>
        <v>0</v>
      </c>
      <c r="D10" s="533">
        <v>0</v>
      </c>
      <c r="E10" s="533">
        <v>0</v>
      </c>
    </row>
    <row r="11" spans="1:7" ht="25.5">
      <c r="A11" s="529" t="s">
        <v>298</v>
      </c>
      <c r="B11" s="530" t="s">
        <v>299</v>
      </c>
      <c r="C11" s="517">
        <f t="shared" si="0"/>
        <v>0</v>
      </c>
      <c r="D11" s="533">
        <v>0</v>
      </c>
      <c r="E11" s="533">
        <v>0</v>
      </c>
    </row>
    <row r="12" spans="1:7" ht="15" customHeight="1">
      <c r="A12" s="529" t="s">
        <v>300</v>
      </c>
      <c r="B12" s="531" t="s">
        <v>301</v>
      </c>
      <c r="C12" s="517">
        <f t="shared" si="0"/>
        <v>6278755813</v>
      </c>
      <c r="D12" s="533">
        <v>3433027405</v>
      </c>
      <c r="E12" s="533">
        <v>2845728408</v>
      </c>
      <c r="G12" s="522">
        <f>+'Analysis of Interest'!C14</f>
        <v>6278755813</v>
      </c>
    </row>
    <row r="13" spans="1:7" ht="25.5">
      <c r="A13" s="437" t="s">
        <v>302</v>
      </c>
      <c r="B13" s="532" t="s">
        <v>303</v>
      </c>
      <c r="C13" s="517">
        <f t="shared" si="0"/>
        <v>2784649</v>
      </c>
      <c r="D13" s="533">
        <v>2784649</v>
      </c>
      <c r="E13" s="533">
        <v>0</v>
      </c>
      <c r="G13" s="522">
        <f>+'Analysis of Interest'!C39</f>
        <v>2784649</v>
      </c>
    </row>
    <row r="14" spans="1:7" ht="15" customHeight="1">
      <c r="A14" s="437" t="s">
        <v>304</v>
      </c>
      <c r="B14" s="286" t="s">
        <v>305</v>
      </c>
      <c r="C14" s="517">
        <f t="shared" si="0"/>
        <v>13335904</v>
      </c>
      <c r="D14" s="533">
        <v>13335904</v>
      </c>
      <c r="E14" s="533">
        <v>0</v>
      </c>
      <c r="G14" s="522">
        <f>+'Analysis of Interest'!C40</f>
        <v>13335904</v>
      </c>
    </row>
    <row r="15" spans="1:7" ht="15" customHeight="1">
      <c r="A15" s="436" t="s">
        <v>306</v>
      </c>
      <c r="B15" s="534" t="s">
        <v>307</v>
      </c>
      <c r="C15" s="105">
        <f>SUM(C6:C14)</f>
        <v>7179862148</v>
      </c>
      <c r="D15" s="105">
        <f>SUM(D6:D14)</f>
        <v>3906860325</v>
      </c>
      <c r="E15" s="105">
        <f>SUM(E6:E14)</f>
        <v>3273001823</v>
      </c>
      <c r="G15" s="522">
        <f>+'Analysis of Interest'!C42</f>
        <v>7179862148</v>
      </c>
    </row>
    <row r="16" spans="1:7" ht="7.5" customHeight="1">
      <c r="A16" s="436"/>
      <c r="B16" s="526"/>
      <c r="C16" s="535"/>
      <c r="D16" s="535"/>
      <c r="E16" s="535"/>
    </row>
    <row r="17" spans="1:7" ht="15" customHeight="1">
      <c r="A17" s="436" t="s">
        <v>309</v>
      </c>
      <c r="B17" s="526" t="s">
        <v>310</v>
      </c>
      <c r="C17" s="101"/>
      <c r="D17" s="101"/>
      <c r="E17" s="101"/>
    </row>
    <row r="18" spans="1:7" ht="15" customHeight="1">
      <c r="A18" s="527" t="s">
        <v>311</v>
      </c>
      <c r="B18" s="478" t="s">
        <v>312</v>
      </c>
      <c r="C18" s="517">
        <f t="shared" ref="C18:C21" si="2">+D18+E18</f>
        <v>15186418</v>
      </c>
      <c r="D18" s="533">
        <v>12113448</v>
      </c>
      <c r="E18" s="533">
        <v>3072970</v>
      </c>
      <c r="G18" s="522">
        <f>+'Analysis of Interest'!C52</f>
        <v>15186418</v>
      </c>
    </row>
    <row r="19" spans="1:7" ht="15" customHeight="1">
      <c r="A19" s="527" t="s">
        <v>291</v>
      </c>
      <c r="B19" s="478" t="s">
        <v>313</v>
      </c>
      <c r="C19" s="517">
        <f t="shared" si="2"/>
        <v>1125844088</v>
      </c>
      <c r="D19" s="533">
        <v>994421587</v>
      </c>
      <c r="E19" s="533">
        <v>131422501</v>
      </c>
      <c r="G19" s="522">
        <f>+'Analysis of Interest'!C61</f>
        <v>1125844088</v>
      </c>
    </row>
    <row r="20" spans="1:7" ht="15" customHeight="1">
      <c r="A20" s="527" t="s">
        <v>293</v>
      </c>
      <c r="B20" s="478" t="s">
        <v>314</v>
      </c>
      <c r="C20" s="517">
        <f t="shared" si="2"/>
        <v>0</v>
      </c>
      <c r="D20" s="533">
        <v>0</v>
      </c>
      <c r="E20" s="533">
        <v>0</v>
      </c>
    </row>
    <row r="21" spans="1:7" ht="15" customHeight="1">
      <c r="A21" s="527" t="s">
        <v>294</v>
      </c>
      <c r="B21" s="478" t="s">
        <v>315</v>
      </c>
      <c r="C21" s="517">
        <f t="shared" si="2"/>
        <v>562077232</v>
      </c>
      <c r="D21" s="533">
        <v>319166644</v>
      </c>
      <c r="E21" s="533">
        <v>242910588</v>
      </c>
    </row>
    <row r="22" spans="1:7" s="247" customFormat="1" ht="15" customHeight="1">
      <c r="A22" s="436" t="s">
        <v>296</v>
      </c>
      <c r="B22" s="526" t="s">
        <v>316</v>
      </c>
      <c r="C22" s="105">
        <f>SUM(C18:C21)</f>
        <v>1703107738</v>
      </c>
      <c r="D22" s="105">
        <f>SUM(D18:D21)</f>
        <v>1325701679</v>
      </c>
      <c r="E22" s="105">
        <f>SUM(E18:E21)</f>
        <v>377406059</v>
      </c>
      <c r="G22" s="536"/>
    </row>
    <row r="23" spans="1:7" ht="15.75" customHeight="1">
      <c r="A23" s="527" t="s">
        <v>298</v>
      </c>
      <c r="B23" s="478" t="s">
        <v>317</v>
      </c>
      <c r="C23" s="517">
        <f t="shared" ref="C23:C25" si="3">+D23+E23</f>
        <v>2153234424</v>
      </c>
      <c r="D23" s="533">
        <v>564507134</v>
      </c>
      <c r="E23" s="533">
        <v>1588727290</v>
      </c>
      <c r="G23" s="522">
        <f>+'Analysis of Interest'!C67</f>
        <v>2153234424</v>
      </c>
    </row>
    <row r="24" spans="1:7" ht="15.75" customHeight="1">
      <c r="A24" s="437" t="s">
        <v>300</v>
      </c>
      <c r="B24" s="286" t="s">
        <v>318</v>
      </c>
      <c r="C24" s="517">
        <f t="shared" si="3"/>
        <v>24948798</v>
      </c>
      <c r="D24" s="533">
        <v>24948798</v>
      </c>
      <c r="E24" s="533">
        <v>0</v>
      </c>
      <c r="G24" s="522">
        <f>+'Analysis of Interest'!C68</f>
        <v>24948798</v>
      </c>
    </row>
    <row r="25" spans="1:7" ht="15.75" customHeight="1">
      <c r="A25" s="437" t="s">
        <v>302</v>
      </c>
      <c r="B25" s="286" t="s">
        <v>319</v>
      </c>
      <c r="C25" s="517">
        <f t="shared" si="3"/>
        <v>316609174</v>
      </c>
      <c r="D25" s="533">
        <v>35242946</v>
      </c>
      <c r="E25" s="533">
        <v>281366228</v>
      </c>
    </row>
    <row r="26" spans="1:7" ht="15" customHeight="1">
      <c r="A26" s="537" t="s">
        <v>304</v>
      </c>
      <c r="B26" s="534" t="s">
        <v>320</v>
      </c>
      <c r="C26" s="105">
        <f>SUM(C23:C25)</f>
        <v>2494792396</v>
      </c>
      <c r="D26" s="105">
        <f>SUM(D23:D25)</f>
        <v>624698878</v>
      </c>
      <c r="E26" s="105">
        <f>SUM(E23:E25)</f>
        <v>1870093518</v>
      </c>
    </row>
    <row r="27" spans="1:7" ht="15" customHeight="1">
      <c r="A27" s="537" t="s">
        <v>306</v>
      </c>
      <c r="B27" s="534" t="s">
        <v>321</v>
      </c>
      <c r="C27" s="105">
        <f>C26+C22</f>
        <v>4197900134</v>
      </c>
      <c r="D27" s="105">
        <f>D26+D22</f>
        <v>1950400557</v>
      </c>
      <c r="E27" s="105">
        <f>E26+E22</f>
        <v>2247499577</v>
      </c>
      <c r="G27" s="522">
        <f>+'Analysis of Interest'!C72</f>
        <v>4197900134</v>
      </c>
    </row>
    <row r="28" spans="1:7" ht="7.5" customHeight="1">
      <c r="A28" s="527"/>
      <c r="B28" s="478"/>
      <c r="C28" s="535"/>
      <c r="D28" s="535"/>
      <c r="E28" s="535"/>
    </row>
    <row r="29" spans="1:7" s="247" customFormat="1" ht="25.5">
      <c r="A29" s="436" t="s">
        <v>91</v>
      </c>
      <c r="B29" s="285" t="s">
        <v>322</v>
      </c>
      <c r="C29" s="105">
        <f>C15-C27</f>
        <v>2981962014</v>
      </c>
      <c r="D29" s="105">
        <f>D15-D27</f>
        <v>1956459768</v>
      </c>
      <c r="E29" s="105">
        <f>E15-E27</f>
        <v>1025502246</v>
      </c>
      <c r="G29" s="536"/>
    </row>
    <row r="30" spans="1:7" ht="15.75" customHeight="1">
      <c r="A30" s="437" t="s">
        <v>311</v>
      </c>
      <c r="B30" s="286" t="s">
        <v>323</v>
      </c>
      <c r="C30" s="517">
        <f t="shared" ref="C30:C33" si="4">+D30+E30</f>
        <v>1676463088</v>
      </c>
      <c r="D30" s="533">
        <v>683983511</v>
      </c>
      <c r="E30" s="533">
        <v>992479577</v>
      </c>
    </row>
    <row r="31" spans="1:7" ht="15.75" customHeight="1">
      <c r="A31" s="437" t="s">
        <v>291</v>
      </c>
      <c r="B31" s="286" t="s">
        <v>324</v>
      </c>
      <c r="C31" s="517">
        <f t="shared" si="4"/>
        <v>0</v>
      </c>
      <c r="D31" s="533">
        <v>0</v>
      </c>
      <c r="E31" s="533">
        <v>0</v>
      </c>
    </row>
    <row r="32" spans="1:7" ht="15.75" customHeight="1">
      <c r="A32" s="437" t="s">
        <v>293</v>
      </c>
      <c r="B32" s="286" t="s">
        <v>325</v>
      </c>
      <c r="C32" s="517">
        <f t="shared" si="4"/>
        <v>1874998</v>
      </c>
      <c r="D32" s="533">
        <v>1874998</v>
      </c>
      <c r="E32" s="533">
        <v>0</v>
      </c>
    </row>
    <row r="33" spans="1:8" ht="15.75" customHeight="1">
      <c r="A33" s="437" t="s">
        <v>294</v>
      </c>
      <c r="B33" s="286" t="s">
        <v>326</v>
      </c>
      <c r="C33" s="517">
        <f t="shared" si="4"/>
        <v>593274940</v>
      </c>
      <c r="D33" s="533">
        <v>400638979</v>
      </c>
      <c r="E33" s="533">
        <v>192635961</v>
      </c>
    </row>
    <row r="34" spans="1:8" ht="12.75">
      <c r="A34" s="436" t="s">
        <v>296</v>
      </c>
      <c r="B34" s="285" t="s">
        <v>327</v>
      </c>
      <c r="C34" s="105">
        <f>C29-C30-C31-C32-C33</f>
        <v>710348988</v>
      </c>
      <c r="D34" s="105">
        <f>D29-D30-D31-D32-D33</f>
        <v>869962280</v>
      </c>
      <c r="E34" s="105">
        <f>E29-E30-E31-E32-E33</f>
        <v>-159613292</v>
      </c>
    </row>
    <row r="35" spans="1:8" ht="7.5" customHeight="1">
      <c r="A35" s="527"/>
      <c r="B35" s="478"/>
      <c r="C35" s="535"/>
      <c r="D35" s="535"/>
      <c r="E35" s="535"/>
    </row>
    <row r="36" spans="1:8" ht="15" customHeight="1">
      <c r="A36" s="436" t="s">
        <v>328</v>
      </c>
      <c r="B36" s="526" t="s">
        <v>329</v>
      </c>
      <c r="C36" s="101"/>
      <c r="D36" s="101"/>
      <c r="E36" s="101"/>
    </row>
    <row r="37" spans="1:8" ht="15" customHeight="1">
      <c r="A37" s="527" t="s">
        <v>311</v>
      </c>
      <c r="B37" s="478" t="s">
        <v>783</v>
      </c>
      <c r="C37" s="517">
        <f t="shared" ref="C37:C43" si="5">+D37+E37</f>
        <v>531777445</v>
      </c>
      <c r="D37" s="533">
        <v>441030394</v>
      </c>
      <c r="E37" s="533">
        <v>90747051</v>
      </c>
      <c r="H37" s="538"/>
    </row>
    <row r="38" spans="1:8" ht="15" customHeight="1">
      <c r="A38" s="527" t="s">
        <v>291</v>
      </c>
      <c r="B38" s="478" t="s">
        <v>330</v>
      </c>
      <c r="C38" s="517">
        <f t="shared" si="5"/>
        <v>2075380431</v>
      </c>
      <c r="D38" s="533">
        <v>267053605</v>
      </c>
      <c r="E38" s="533">
        <v>1808326826</v>
      </c>
    </row>
    <row r="39" spans="1:8" ht="15" customHeight="1">
      <c r="A39" s="527" t="s">
        <v>293</v>
      </c>
      <c r="B39" s="478" t="s">
        <v>331</v>
      </c>
      <c r="C39" s="517">
        <f t="shared" si="5"/>
        <v>0</v>
      </c>
      <c r="D39" s="533">
        <v>0</v>
      </c>
      <c r="E39" s="533">
        <v>0</v>
      </c>
    </row>
    <row r="40" spans="1:8" ht="15" customHeight="1">
      <c r="A40" s="527" t="s">
        <v>294</v>
      </c>
      <c r="B40" s="478" t="s">
        <v>332</v>
      </c>
      <c r="C40" s="517">
        <f t="shared" si="5"/>
        <v>22179591</v>
      </c>
      <c r="D40" s="533">
        <v>21922751</v>
      </c>
      <c r="E40" s="533">
        <v>256840</v>
      </c>
    </row>
    <row r="41" spans="1:8" ht="15" customHeight="1">
      <c r="A41" s="527" t="s">
        <v>296</v>
      </c>
      <c r="B41" s="478" t="s">
        <v>335</v>
      </c>
      <c r="C41" s="517">
        <f>+D41+E41</f>
        <v>115507327</v>
      </c>
      <c r="D41" s="533">
        <v>102698261</v>
      </c>
      <c r="E41" s="533">
        <v>12809066</v>
      </c>
    </row>
    <row r="42" spans="1:8" ht="15" customHeight="1">
      <c r="A42" s="527" t="s">
        <v>298</v>
      </c>
      <c r="B42" s="478" t="s">
        <v>336</v>
      </c>
      <c r="C42" s="517">
        <f>+D42+E42</f>
        <v>932350041</v>
      </c>
      <c r="D42" s="533">
        <v>280356779</v>
      </c>
      <c r="E42" s="533">
        <v>651993262</v>
      </c>
    </row>
    <row r="43" spans="1:8" ht="15" customHeight="1">
      <c r="A43" s="527" t="s">
        <v>300</v>
      </c>
      <c r="B43" s="478" t="s">
        <v>333</v>
      </c>
      <c r="C43" s="517">
        <f t="shared" si="5"/>
        <v>214544073</v>
      </c>
      <c r="D43" s="533">
        <v>190803609</v>
      </c>
      <c r="E43" s="533">
        <v>23740464</v>
      </c>
    </row>
    <row r="44" spans="1:8" ht="15" customHeight="1">
      <c r="A44" s="436" t="s">
        <v>298</v>
      </c>
      <c r="B44" s="526" t="s">
        <v>337</v>
      </c>
      <c r="C44" s="105">
        <f>SUM(C37:C43)</f>
        <v>3891738908</v>
      </c>
      <c r="D44" s="105">
        <f>SUM(D37:D43)</f>
        <v>1303865399</v>
      </c>
      <c r="E44" s="105">
        <f>SUM(E37:E43)</f>
        <v>2587873509</v>
      </c>
    </row>
    <row r="45" spans="1:8" ht="7.5" customHeight="1">
      <c r="A45" s="527"/>
      <c r="B45" s="478"/>
      <c r="C45" s="535"/>
      <c r="D45" s="535"/>
      <c r="E45" s="535"/>
    </row>
    <row r="46" spans="1:8" ht="15" customHeight="1">
      <c r="A46" s="436" t="s">
        <v>338</v>
      </c>
      <c r="B46" s="526" t="s">
        <v>339</v>
      </c>
      <c r="C46" s="101"/>
      <c r="D46" s="101"/>
      <c r="E46" s="101"/>
    </row>
    <row r="47" spans="1:8" ht="15" customHeight="1">
      <c r="A47" s="527" t="s">
        <v>311</v>
      </c>
      <c r="B47" s="478" t="s">
        <v>784</v>
      </c>
      <c r="C47" s="517">
        <f t="shared" ref="C47:C51" si="6">+D47+E47</f>
        <v>254386568</v>
      </c>
      <c r="D47" s="533">
        <v>166602752</v>
      </c>
      <c r="E47" s="533">
        <v>87783816</v>
      </c>
    </row>
    <row r="48" spans="1:8" ht="15" customHeight="1">
      <c r="A48" s="527" t="s">
        <v>291</v>
      </c>
      <c r="B48" s="478" t="s">
        <v>340</v>
      </c>
      <c r="C48" s="517">
        <f t="shared" si="6"/>
        <v>1643886335</v>
      </c>
      <c r="D48" s="533">
        <v>42897</v>
      </c>
      <c r="E48" s="533">
        <v>1643843438</v>
      </c>
    </row>
    <row r="49" spans="1:5" ht="15" customHeight="1">
      <c r="A49" s="527" t="s">
        <v>293</v>
      </c>
      <c r="B49" s="478" t="s">
        <v>341</v>
      </c>
      <c r="C49" s="517">
        <f t="shared" si="6"/>
        <v>0</v>
      </c>
      <c r="D49" s="533">
        <v>0</v>
      </c>
      <c r="E49" s="533">
        <v>0</v>
      </c>
    </row>
    <row r="50" spans="1:5" ht="15" customHeight="1">
      <c r="A50" s="527" t="s">
        <v>294</v>
      </c>
      <c r="B50" s="478" t="s">
        <v>342</v>
      </c>
      <c r="C50" s="517">
        <f t="shared" si="6"/>
        <v>0</v>
      </c>
      <c r="D50" s="533">
        <v>0</v>
      </c>
      <c r="E50" s="533">
        <v>0</v>
      </c>
    </row>
    <row r="51" spans="1:5" ht="15" customHeight="1">
      <c r="A51" s="527" t="s">
        <v>296</v>
      </c>
      <c r="B51" s="478" t="s">
        <v>343</v>
      </c>
      <c r="C51" s="517">
        <f t="shared" si="6"/>
        <v>5886951</v>
      </c>
      <c r="D51" s="533">
        <v>5075059</v>
      </c>
      <c r="E51" s="533">
        <v>811892</v>
      </c>
    </row>
    <row r="52" spans="1:5" ht="15" customHeight="1">
      <c r="A52" s="436" t="s">
        <v>298</v>
      </c>
      <c r="B52" s="526" t="s">
        <v>344</v>
      </c>
      <c r="C52" s="105">
        <f>SUM(C47:C51)</f>
        <v>1904159854</v>
      </c>
      <c r="D52" s="105">
        <f>SUM(D47:D51)</f>
        <v>171720708</v>
      </c>
      <c r="E52" s="105">
        <f>SUM(E47:E51)</f>
        <v>1732439146</v>
      </c>
    </row>
    <row r="53" spans="1:5" ht="7.5" customHeight="1">
      <c r="A53" s="436"/>
      <c r="B53" s="526"/>
      <c r="C53" s="517"/>
      <c r="D53" s="517"/>
      <c r="E53" s="517"/>
    </row>
    <row r="54" spans="1:5" ht="15" customHeight="1">
      <c r="A54" s="436" t="s">
        <v>345</v>
      </c>
      <c r="B54" s="526" t="s">
        <v>346</v>
      </c>
      <c r="C54" s="105">
        <f>C34+C44-C52</f>
        <v>2697928042</v>
      </c>
      <c r="D54" s="105">
        <f>D34+D44-D52</f>
        <v>2002106971</v>
      </c>
      <c r="E54" s="105">
        <f>E34+E44-E52</f>
        <v>695821071</v>
      </c>
    </row>
    <row r="55" spans="1:5" ht="7.5" customHeight="1">
      <c r="A55" s="436"/>
      <c r="B55" s="526"/>
      <c r="C55" s="517"/>
      <c r="D55" s="517"/>
      <c r="E55" s="517"/>
    </row>
    <row r="56" spans="1:5" ht="15" customHeight="1">
      <c r="A56" s="436" t="s">
        <v>347</v>
      </c>
      <c r="B56" s="526" t="s">
        <v>348</v>
      </c>
      <c r="C56" s="101"/>
      <c r="D56" s="101"/>
      <c r="E56" s="101"/>
    </row>
    <row r="57" spans="1:5" ht="15" customHeight="1">
      <c r="A57" s="527" t="s">
        <v>311</v>
      </c>
      <c r="B57" s="478" t="s">
        <v>349</v>
      </c>
      <c r="C57" s="533">
        <v>1026816770</v>
      </c>
      <c r="D57" s="533">
        <v>1026816770</v>
      </c>
      <c r="E57" s="539"/>
    </row>
    <row r="58" spans="1:5" ht="15" customHeight="1">
      <c r="A58" s="528" t="s">
        <v>350</v>
      </c>
      <c r="B58" s="478" t="s">
        <v>351</v>
      </c>
      <c r="C58" s="533">
        <v>40136079</v>
      </c>
      <c r="D58" s="533">
        <v>40136079</v>
      </c>
      <c r="E58" s="539"/>
    </row>
    <row r="59" spans="1:5" ht="15" customHeight="1">
      <c r="A59" s="527" t="s">
        <v>291</v>
      </c>
      <c r="B59" s="478" t="s">
        <v>352</v>
      </c>
      <c r="C59" s="533">
        <v>110709526</v>
      </c>
      <c r="D59" s="533">
        <v>110709526</v>
      </c>
      <c r="E59" s="539"/>
    </row>
    <row r="60" spans="1:5" ht="15" customHeight="1">
      <c r="A60" s="527" t="s">
        <v>293</v>
      </c>
      <c r="B60" s="478" t="s">
        <v>353</v>
      </c>
      <c r="C60" s="533">
        <v>17989555</v>
      </c>
      <c r="D60" s="533">
        <v>17989555</v>
      </c>
      <c r="E60" s="539"/>
    </row>
    <row r="61" spans="1:5" ht="15" customHeight="1">
      <c r="A61" s="527" t="s">
        <v>294</v>
      </c>
      <c r="B61" s="478" t="s">
        <v>354</v>
      </c>
      <c r="C61" s="533">
        <v>42883035</v>
      </c>
      <c r="D61" s="533">
        <v>42883035</v>
      </c>
      <c r="E61" s="539"/>
    </row>
    <row r="62" spans="1:5" ht="15" customHeight="1">
      <c r="A62" s="527" t="s">
        <v>296</v>
      </c>
      <c r="B62" s="478" t="s">
        <v>355</v>
      </c>
      <c r="C62" s="533">
        <v>118510637</v>
      </c>
      <c r="D62" s="533">
        <v>118510637</v>
      </c>
      <c r="E62" s="539"/>
    </row>
    <row r="63" spans="1:5" ht="15" customHeight="1">
      <c r="A63" s="527" t="s">
        <v>298</v>
      </c>
      <c r="B63" s="478" t="s">
        <v>356</v>
      </c>
      <c r="C63" s="533">
        <v>106150024</v>
      </c>
      <c r="D63" s="533">
        <v>106150024</v>
      </c>
      <c r="E63" s="539"/>
    </row>
    <row r="64" spans="1:5" ht="15" customHeight="1">
      <c r="A64" s="527" t="s">
        <v>300</v>
      </c>
      <c r="B64" s="478" t="s">
        <v>357</v>
      </c>
      <c r="C64" s="533">
        <v>1963365</v>
      </c>
      <c r="D64" s="533">
        <v>1963365</v>
      </c>
      <c r="E64" s="539"/>
    </row>
    <row r="65" spans="1:13" ht="15" customHeight="1">
      <c r="A65" s="527" t="s">
        <v>302</v>
      </c>
      <c r="B65" s="478" t="s">
        <v>358</v>
      </c>
      <c r="C65" s="533">
        <v>102182136</v>
      </c>
      <c r="D65" s="533">
        <v>102182136</v>
      </c>
      <c r="E65" s="539"/>
    </row>
    <row r="66" spans="1:13" ht="15" customHeight="1">
      <c r="A66" s="527" t="s">
        <v>304</v>
      </c>
      <c r="B66" s="478" t="s">
        <v>359</v>
      </c>
      <c r="C66" s="533">
        <v>1177805</v>
      </c>
      <c r="D66" s="533">
        <v>1177805</v>
      </c>
      <c r="E66" s="539"/>
    </row>
    <row r="67" spans="1:13" ht="15" customHeight="1">
      <c r="A67" s="527" t="s">
        <v>306</v>
      </c>
      <c r="B67" s="478" t="s">
        <v>360</v>
      </c>
      <c r="C67" s="533">
        <v>38103484</v>
      </c>
      <c r="D67" s="533">
        <v>38103484</v>
      </c>
      <c r="E67" s="539"/>
    </row>
    <row r="68" spans="1:13" ht="15" customHeight="1">
      <c r="A68" s="436" t="s">
        <v>361</v>
      </c>
      <c r="B68" s="526" t="s">
        <v>362</v>
      </c>
      <c r="C68" s="105">
        <f>SUM(C57:C67)-C58</f>
        <v>1566486337</v>
      </c>
      <c r="D68" s="105">
        <f>SUM(D57:D67)-D58</f>
        <v>1566486337</v>
      </c>
      <c r="E68" s="539"/>
      <c r="G68" s="540"/>
    </row>
    <row r="69" spans="1:13" ht="7.5" customHeight="1">
      <c r="A69" s="527" t="s">
        <v>9</v>
      </c>
      <c r="B69" s="478" t="s">
        <v>9</v>
      </c>
      <c r="C69" s="535"/>
      <c r="D69" s="535"/>
      <c r="E69" s="535"/>
    </row>
    <row r="70" spans="1:13" ht="15" customHeight="1">
      <c r="A70" s="436" t="s">
        <v>363</v>
      </c>
      <c r="B70" s="526" t="s">
        <v>364</v>
      </c>
      <c r="C70" s="105">
        <f>C54-C68</f>
        <v>1131441705</v>
      </c>
      <c r="D70" s="105">
        <f>D54-D68</f>
        <v>435620634</v>
      </c>
      <c r="E70" s="105">
        <f>+E54-(C68-D68)</f>
        <v>695821071</v>
      </c>
      <c r="G70" s="540"/>
    </row>
    <row r="71" spans="1:13" ht="15" customHeight="1">
      <c r="A71" s="527" t="s">
        <v>311</v>
      </c>
      <c r="B71" s="478" t="s">
        <v>365</v>
      </c>
      <c r="C71" s="517">
        <f>+D71+E71</f>
        <v>219757586</v>
      </c>
      <c r="D71" s="533">
        <v>219757586</v>
      </c>
      <c r="E71" s="533">
        <v>0</v>
      </c>
    </row>
    <row r="72" spans="1:13" ht="7.5" customHeight="1">
      <c r="A72" s="527"/>
      <c r="B72" s="478"/>
      <c r="C72" s="517"/>
      <c r="D72" s="517"/>
      <c r="E72" s="517"/>
    </row>
    <row r="73" spans="1:13" ht="15" customHeight="1">
      <c r="A73" s="436" t="s">
        <v>366</v>
      </c>
      <c r="B73" s="526" t="s">
        <v>367</v>
      </c>
      <c r="C73" s="105">
        <f>C70-C71</f>
        <v>911684119</v>
      </c>
      <c r="D73" s="105">
        <f>D70-D71</f>
        <v>215863048</v>
      </c>
      <c r="E73" s="105">
        <f>E70-E71</f>
        <v>695821071</v>
      </c>
      <c r="G73" s="540"/>
    </row>
    <row r="74" spans="1:13" ht="15" customHeight="1">
      <c r="A74" s="527" t="s">
        <v>311</v>
      </c>
      <c r="B74" s="478" t="s">
        <v>368</v>
      </c>
      <c r="C74" s="517">
        <f t="shared" ref="C74:C75" si="7">+D74+E74</f>
        <v>0</v>
      </c>
      <c r="D74" s="533">
        <v>0</v>
      </c>
      <c r="E74" s="533">
        <v>0</v>
      </c>
    </row>
    <row r="75" spans="1:13" ht="15" customHeight="1">
      <c r="A75" s="527" t="s">
        <v>291</v>
      </c>
      <c r="B75" s="478" t="s">
        <v>369</v>
      </c>
      <c r="C75" s="517">
        <f t="shared" si="7"/>
        <v>0</v>
      </c>
      <c r="D75" s="533">
        <v>0</v>
      </c>
      <c r="E75" s="533">
        <v>0</v>
      </c>
    </row>
    <row r="76" spans="1:13" ht="7.5" customHeight="1">
      <c r="A76" s="436"/>
      <c r="B76" s="526"/>
      <c r="C76" s="535"/>
      <c r="D76" s="535"/>
      <c r="E76" s="535"/>
    </row>
    <row r="77" spans="1:13" ht="15" customHeight="1">
      <c r="A77" s="436" t="s">
        <v>370</v>
      </c>
      <c r="B77" s="526" t="s">
        <v>371</v>
      </c>
      <c r="C77" s="105">
        <f>C73+C74+C75</f>
        <v>911684119</v>
      </c>
      <c r="D77" s="105">
        <f>D73+D74+D75</f>
        <v>215863048</v>
      </c>
      <c r="E77" s="105">
        <f>E73+E74+E75</f>
        <v>695821071</v>
      </c>
      <c r="G77" s="540"/>
    </row>
    <row r="78" spans="1:13" ht="15" customHeight="1">
      <c r="A78"/>
    </row>
    <row r="79" spans="1:13" ht="19.5" customHeight="1">
      <c r="A79"/>
      <c r="B79" s="247" t="s">
        <v>778</v>
      </c>
      <c r="F79" s="541"/>
      <c r="G79" s="542"/>
      <c r="H79" s="541"/>
      <c r="I79" s="541"/>
      <c r="J79" s="541"/>
      <c r="K79" s="541"/>
      <c r="L79" s="541"/>
      <c r="M79" s="541"/>
    </row>
    <row r="80" spans="1:13" ht="12.75" customHeight="1">
      <c r="A80"/>
      <c r="B80" s="247"/>
      <c r="F80" s="541"/>
      <c r="G80" s="542"/>
      <c r="H80" s="541"/>
      <c r="I80" s="541"/>
      <c r="J80" s="541"/>
      <c r="K80" s="541"/>
      <c r="L80" s="541"/>
      <c r="M80" s="541"/>
    </row>
    <row r="81" spans="1:13" ht="19.5" customHeight="1">
      <c r="A81"/>
      <c r="B81" s="247" t="s">
        <v>779</v>
      </c>
      <c r="F81" s="541"/>
      <c r="G81" s="542"/>
      <c r="H81" s="541"/>
      <c r="I81" s="541"/>
      <c r="J81" s="541"/>
      <c r="K81" s="541"/>
      <c r="L81" s="541"/>
      <c r="M81" s="541"/>
    </row>
    <row r="82" spans="1:13" ht="15" customHeight="1">
      <c r="A82"/>
    </row>
    <row r="83" spans="1:13" ht="15" customHeight="1">
      <c r="A83"/>
    </row>
    <row r="84" spans="1:13" ht="15" customHeight="1">
      <c r="A84"/>
    </row>
    <row r="85" spans="1:13" ht="15" customHeight="1">
      <c r="A85"/>
    </row>
    <row r="86" spans="1:13" ht="15" customHeight="1">
      <c r="A86"/>
    </row>
    <row r="87" spans="1:13" ht="15" customHeight="1">
      <c r="A87" s="543"/>
    </row>
    <row r="88" spans="1:13" ht="15" customHeight="1">
      <c r="A88" s="543"/>
    </row>
    <row r="92" spans="1:13" ht="15" customHeight="1">
      <c r="A92" s="544"/>
    </row>
  </sheetData>
  <sheetProtection password="CACA" sheet="1" objects="1" scenarios="1"/>
  <mergeCells count="1">
    <mergeCell ref="A1:D1"/>
  </mergeCells>
  <phoneticPr fontId="15" type="noConversion"/>
  <conditionalFormatting sqref="C6:C7">
    <cfRule type="cellIs" dxfId="262" priority="21" operator="notEqual">
      <formula>G6</formula>
    </cfRule>
    <cfRule type="cellIs" dxfId="261" priority="22" operator="notEqual">
      <formula>G6</formula>
    </cfRule>
  </conditionalFormatting>
  <conditionalFormatting sqref="C9">
    <cfRule type="cellIs" dxfId="260" priority="19" operator="notEqual">
      <formula>G9</formula>
    </cfRule>
    <cfRule type="cellIs" dxfId="259" priority="20" operator="notEqual">
      <formula>G9</formula>
    </cfRule>
  </conditionalFormatting>
  <conditionalFormatting sqref="C12:C14">
    <cfRule type="cellIs" dxfId="258" priority="13" operator="notEqual">
      <formula>G12</formula>
    </cfRule>
    <cfRule type="cellIs" dxfId="257" priority="14" operator="notEqual">
      <formula>G12</formula>
    </cfRule>
  </conditionalFormatting>
  <conditionalFormatting sqref="C18:C19">
    <cfRule type="cellIs" dxfId="256" priority="9" operator="notEqual">
      <formula>G18</formula>
    </cfRule>
    <cfRule type="cellIs" dxfId="255" priority="10" operator="notEqual">
      <formula>G18</formula>
    </cfRule>
  </conditionalFormatting>
  <conditionalFormatting sqref="C23:C24">
    <cfRule type="cellIs" dxfId="254" priority="5" operator="notEqual">
      <formula>G23</formula>
    </cfRule>
    <cfRule type="cellIs" dxfId="253" priority="6" operator="notEqual">
      <formula>G23</formula>
    </cfRule>
  </conditionalFormatting>
  <conditionalFormatting sqref="C27">
    <cfRule type="cellIs" dxfId="252" priority="3" operator="notEqual">
      <formula>G27</formula>
    </cfRule>
    <cfRule type="cellIs" dxfId="251" priority="4" operator="notEqual">
      <formula>G27</formula>
    </cfRule>
  </conditionalFormatting>
  <conditionalFormatting sqref="G15">
    <cfRule type="cellIs" dxfId="250" priority="69" operator="notEqual">
      <formula>$C$15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6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SheetLayoutView="100" workbookViewId="0">
      <pane xSplit="2" ySplit="4" topLeftCell="C5" activePane="bottomRight" state="frozen"/>
      <selection activeCell="J47" sqref="J47"/>
      <selection pane="topRight" activeCell="J47" sqref="J47"/>
      <selection pane="bottomLeft" activeCell="J47" sqref="J47"/>
      <selection pane="bottomRight" activeCell="C67" sqref="C67"/>
    </sheetView>
  </sheetViews>
  <sheetFormatPr defaultRowHeight="12.75"/>
  <cols>
    <col min="1" max="1" width="7.140625" style="204" customWidth="1"/>
    <col min="2" max="2" width="82.140625" style="30" customWidth="1"/>
    <col min="3" max="3" width="19" style="30" customWidth="1"/>
    <col min="4" max="4" width="6.42578125" style="30" customWidth="1"/>
    <col min="5" max="5" width="17.7109375" style="30" customWidth="1"/>
    <col min="6" max="10" width="6.42578125" style="30" customWidth="1"/>
    <col min="11" max="16384" width="9.140625" style="30"/>
  </cols>
  <sheetData>
    <row r="1" spans="1:20" s="15" customFormat="1" ht="21" customHeight="1">
      <c r="A1" s="4"/>
      <c r="B1" s="295" t="s">
        <v>373</v>
      </c>
      <c r="C1" s="16" t="s">
        <v>372</v>
      </c>
      <c r="D1" s="296"/>
      <c r="E1" s="296"/>
      <c r="F1" s="296"/>
      <c r="G1" s="296"/>
      <c r="H1" s="296"/>
    </row>
    <row r="2" spans="1:20" ht="9" customHeight="1">
      <c r="A2" s="4"/>
      <c r="B2" s="3"/>
      <c r="C2" s="16"/>
      <c r="D2" s="297"/>
      <c r="E2" s="297"/>
      <c r="F2" s="297"/>
      <c r="G2" s="297"/>
      <c r="H2" s="297"/>
    </row>
    <row r="3" spans="1:20" ht="15">
      <c r="A3" s="405"/>
      <c r="B3" s="79" t="str">
        <f>+'Asset quality'!B3</f>
        <v>"Ўзсаноатқурилишибанк" АТБ</v>
      </c>
      <c r="C3" s="260">
        <f>+'Asset quality'!Q3</f>
        <v>45289</v>
      </c>
      <c r="D3" s="297"/>
      <c r="E3" s="297"/>
      <c r="F3" s="297"/>
      <c r="G3" s="297"/>
      <c r="H3" s="297"/>
    </row>
    <row r="4" spans="1:20" ht="24" customHeight="1">
      <c r="A4" s="101" t="s">
        <v>61</v>
      </c>
      <c r="B4" s="101" t="s">
        <v>284</v>
      </c>
      <c r="C4" s="101" t="str">
        <f>+'Asset quality'!T3</f>
        <v>минг. сўмда</v>
      </c>
      <c r="D4" s="297"/>
      <c r="E4" s="297"/>
      <c r="F4" s="297"/>
      <c r="G4" s="297"/>
      <c r="H4" s="297"/>
    </row>
    <row r="5" spans="1:20">
      <c r="A5" s="406" t="s">
        <v>287</v>
      </c>
      <c r="B5" s="298" t="s">
        <v>374</v>
      </c>
      <c r="C5" s="101"/>
      <c r="D5" s="297"/>
      <c r="E5" s="297"/>
      <c r="F5" s="297"/>
      <c r="G5" s="297"/>
      <c r="H5" s="297"/>
    </row>
    <row r="6" spans="1:20">
      <c r="A6" s="407" t="s">
        <v>289</v>
      </c>
      <c r="B6" s="509" t="s">
        <v>250</v>
      </c>
      <c r="C6" s="299">
        <v>0</v>
      </c>
      <c r="D6" s="297"/>
      <c r="E6" s="297"/>
      <c r="F6" s="297"/>
      <c r="G6" s="297"/>
      <c r="H6" s="297"/>
    </row>
    <row r="7" spans="1:20">
      <c r="A7" s="407" t="s">
        <v>291</v>
      </c>
      <c r="B7" s="509" t="s">
        <v>794</v>
      </c>
      <c r="C7" s="299">
        <v>0</v>
      </c>
      <c r="D7" s="297"/>
      <c r="E7" s="297"/>
      <c r="F7" s="297"/>
      <c r="G7" s="297"/>
      <c r="H7" s="297"/>
    </row>
    <row r="8" spans="1:20">
      <c r="A8" s="408" t="s">
        <v>293</v>
      </c>
      <c r="B8" s="509" t="s">
        <v>795</v>
      </c>
      <c r="C8" s="299">
        <v>16027206</v>
      </c>
      <c r="D8" s="297"/>
      <c r="E8" s="518"/>
      <c r="F8" s="297"/>
      <c r="G8" s="297"/>
      <c r="H8" s="297"/>
    </row>
    <row r="9" spans="1:20">
      <c r="A9" s="408" t="s">
        <v>294</v>
      </c>
      <c r="B9" s="509" t="s">
        <v>796</v>
      </c>
      <c r="C9" s="299">
        <v>1249916675</v>
      </c>
      <c r="D9" s="297"/>
      <c r="E9" s="518"/>
      <c r="F9" s="297"/>
      <c r="G9" s="297"/>
      <c r="H9" s="297"/>
    </row>
    <row r="10" spans="1:20">
      <c r="A10" s="409" t="s">
        <v>296</v>
      </c>
      <c r="B10" s="510" t="s">
        <v>797</v>
      </c>
      <c r="C10" s="299">
        <v>1161079360</v>
      </c>
      <c r="D10" s="297"/>
      <c r="E10" s="518"/>
      <c r="F10" s="297"/>
      <c r="G10" s="297"/>
      <c r="H10" s="297"/>
    </row>
    <row r="11" spans="1:20">
      <c r="A11" s="409" t="s">
        <v>298</v>
      </c>
      <c r="B11" s="510" t="s">
        <v>798</v>
      </c>
      <c r="C11" s="299">
        <v>1166410537</v>
      </c>
      <c r="D11" s="297"/>
      <c r="E11" s="518"/>
      <c r="F11" s="297"/>
      <c r="G11" s="297"/>
      <c r="H11" s="297"/>
    </row>
    <row r="12" spans="1:20" ht="15.75" customHeight="1">
      <c r="A12" s="408" t="s">
        <v>300</v>
      </c>
      <c r="B12" s="510" t="s">
        <v>799</v>
      </c>
      <c r="C12" s="299">
        <v>2570519222</v>
      </c>
      <c r="D12" s="297"/>
      <c r="E12" s="518"/>
      <c r="F12" s="297"/>
      <c r="G12" s="297"/>
      <c r="H12" s="297"/>
    </row>
    <row r="13" spans="1:20">
      <c r="A13" s="408" t="s">
        <v>302</v>
      </c>
      <c r="B13" s="509" t="s">
        <v>800</v>
      </c>
      <c r="C13" s="299">
        <v>114802813</v>
      </c>
      <c r="D13" s="297"/>
      <c r="E13" s="518"/>
      <c r="F13" s="297"/>
      <c r="G13" s="297"/>
      <c r="H13" s="297"/>
    </row>
    <row r="14" spans="1:20">
      <c r="A14" s="390" t="s">
        <v>304</v>
      </c>
      <c r="B14" s="301" t="s">
        <v>375</v>
      </c>
      <c r="C14" s="449">
        <f>SUM(C6:C13)</f>
        <v>6278755813</v>
      </c>
      <c r="D14" s="297"/>
      <c r="E14" s="519">
        <f>+'Income '!C12</f>
        <v>6278755813</v>
      </c>
      <c r="F14" s="297"/>
      <c r="G14" s="297"/>
      <c r="H14" s="297"/>
    </row>
    <row r="15" spans="1:20" ht="7.5" customHeight="1">
      <c r="A15" s="8"/>
      <c r="B15" s="302"/>
      <c r="C15" s="303"/>
      <c r="D15" s="297"/>
      <c r="E15" s="518"/>
      <c r="F15" s="297"/>
      <c r="G15" s="297"/>
      <c r="H15" s="297"/>
      <c r="I15" s="297"/>
      <c r="J15" s="297"/>
      <c r="K15" s="297"/>
      <c r="L15" s="297"/>
      <c r="M15" s="297"/>
      <c r="N15" s="297"/>
      <c r="O15" s="297"/>
      <c r="P15" s="297"/>
      <c r="Q15" s="297"/>
      <c r="R15" s="297"/>
      <c r="S15" s="297"/>
      <c r="T15" s="297"/>
    </row>
    <row r="16" spans="1:20">
      <c r="A16" s="390" t="s">
        <v>309</v>
      </c>
      <c r="B16" s="301" t="s">
        <v>376</v>
      </c>
      <c r="C16" s="101"/>
      <c r="D16" s="297"/>
      <c r="E16" s="518"/>
      <c r="F16" s="297"/>
      <c r="G16" s="297"/>
      <c r="H16" s="297"/>
    </row>
    <row r="17" spans="1:20">
      <c r="A17" s="408" t="s">
        <v>289</v>
      </c>
      <c r="B17" s="300" t="s">
        <v>290</v>
      </c>
      <c r="C17" s="546">
        <v>13993151</v>
      </c>
      <c r="D17" s="297"/>
      <c r="E17" s="519">
        <f>+'Income '!C6</f>
        <v>13993151</v>
      </c>
      <c r="F17" s="297"/>
      <c r="G17" s="297"/>
      <c r="H17" s="297"/>
    </row>
    <row r="18" spans="1:20">
      <c r="A18" s="408" t="s">
        <v>291</v>
      </c>
      <c r="B18" s="300" t="s">
        <v>292</v>
      </c>
      <c r="C18" s="546">
        <v>472306870</v>
      </c>
      <c r="D18" s="297"/>
      <c r="E18" s="519">
        <f>+'Income '!C7</f>
        <v>472306870</v>
      </c>
      <c r="F18" s="297"/>
      <c r="G18" s="297"/>
      <c r="H18" s="297"/>
    </row>
    <row r="19" spans="1:20">
      <c r="A19" s="390"/>
      <c r="B19" s="301" t="s">
        <v>377</v>
      </c>
      <c r="C19" s="449">
        <f>SUM(C17:C18)</f>
        <v>486300021</v>
      </c>
      <c r="D19" s="297"/>
      <c r="E19" s="518"/>
      <c r="F19" s="297"/>
      <c r="G19" s="297"/>
      <c r="H19" s="297"/>
    </row>
    <row r="20" spans="1:20" ht="7.5" customHeight="1">
      <c r="A20" s="8"/>
      <c r="B20" s="302"/>
      <c r="C20" s="303"/>
      <c r="D20" s="297"/>
      <c r="E20" s="518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</row>
    <row r="21" spans="1:20" ht="25.5">
      <c r="A21" s="410" t="s">
        <v>91</v>
      </c>
      <c r="B21" s="304" t="s">
        <v>378</v>
      </c>
      <c r="C21" s="101"/>
      <c r="D21" s="297"/>
      <c r="E21" s="518"/>
      <c r="F21" s="297"/>
      <c r="G21" s="297"/>
      <c r="H21" s="297"/>
    </row>
    <row r="22" spans="1:20">
      <c r="A22" s="409" t="s">
        <v>289</v>
      </c>
      <c r="B22" s="300" t="s">
        <v>379</v>
      </c>
      <c r="C22" s="299">
        <v>360316265</v>
      </c>
      <c r="D22" s="297"/>
      <c r="E22" s="518"/>
      <c r="F22" s="297"/>
      <c r="G22" s="297"/>
      <c r="H22" s="297"/>
    </row>
    <row r="23" spans="1:20">
      <c r="A23" s="408" t="s">
        <v>291</v>
      </c>
      <c r="B23" s="300" t="s">
        <v>380</v>
      </c>
      <c r="C23" s="299">
        <v>37508742</v>
      </c>
      <c r="D23" s="297"/>
      <c r="E23" s="518"/>
      <c r="F23" s="297"/>
      <c r="G23" s="297"/>
      <c r="H23" s="297"/>
    </row>
    <row r="24" spans="1:20">
      <c r="A24" s="408" t="s">
        <v>293</v>
      </c>
      <c r="B24" s="300" t="s">
        <v>381</v>
      </c>
      <c r="C24" s="299">
        <v>234247</v>
      </c>
      <c r="D24" s="297"/>
      <c r="E24" s="518"/>
      <c r="F24" s="297"/>
      <c r="G24" s="297"/>
      <c r="H24" s="297"/>
    </row>
    <row r="25" spans="1:20">
      <c r="A25" s="408" t="s">
        <v>294</v>
      </c>
      <c r="B25" s="300" t="s">
        <v>382</v>
      </c>
      <c r="C25" s="299">
        <v>0</v>
      </c>
      <c r="D25" s="297"/>
      <c r="E25" s="518"/>
      <c r="F25" s="297"/>
      <c r="G25" s="297"/>
      <c r="H25" s="297"/>
    </row>
    <row r="26" spans="1:20">
      <c r="A26" s="408" t="s">
        <v>296</v>
      </c>
      <c r="B26" s="300" t="s">
        <v>383</v>
      </c>
      <c r="C26" s="299">
        <v>0</v>
      </c>
      <c r="D26" s="297"/>
      <c r="E26" s="518"/>
      <c r="F26" s="297"/>
      <c r="G26" s="297"/>
      <c r="H26" s="297"/>
    </row>
    <row r="27" spans="1:20">
      <c r="A27" s="408" t="s">
        <v>298</v>
      </c>
      <c r="B27" s="300" t="s">
        <v>384</v>
      </c>
      <c r="C27" s="299">
        <v>0</v>
      </c>
      <c r="D27" s="297"/>
      <c r="E27" s="518"/>
      <c r="F27" s="297"/>
      <c r="G27" s="297"/>
      <c r="H27" s="297"/>
    </row>
    <row r="28" spans="1:20">
      <c r="A28" s="408" t="s">
        <v>300</v>
      </c>
      <c r="B28" s="301" t="s">
        <v>385</v>
      </c>
      <c r="C28" s="449">
        <f>SUM(C22:C27)</f>
        <v>398059254</v>
      </c>
      <c r="D28" s="297"/>
      <c r="E28" s="519">
        <f>+'Income '!C9</f>
        <v>398059254</v>
      </c>
      <c r="F28" s="297"/>
      <c r="G28" s="297"/>
      <c r="H28" s="297"/>
    </row>
    <row r="29" spans="1:20" ht="7.5" customHeight="1">
      <c r="A29" s="8"/>
      <c r="B29" s="302"/>
      <c r="C29" s="303"/>
      <c r="D29" s="297"/>
      <c r="E29" s="518"/>
      <c r="F29" s="297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97"/>
    </row>
    <row r="30" spans="1:20">
      <c r="A30" s="390" t="s">
        <v>328</v>
      </c>
      <c r="B30" s="301" t="s">
        <v>386</v>
      </c>
      <c r="C30" s="101"/>
      <c r="D30" s="297"/>
      <c r="E30" s="518"/>
      <c r="F30" s="297"/>
      <c r="G30" s="297"/>
      <c r="H30" s="297"/>
    </row>
    <row r="31" spans="1:20">
      <c r="A31" s="408" t="s">
        <v>289</v>
      </c>
      <c r="B31" s="300" t="s">
        <v>379</v>
      </c>
      <c r="C31" s="299">
        <v>0</v>
      </c>
      <c r="D31" s="297"/>
      <c r="E31" s="518"/>
      <c r="F31" s="297"/>
      <c r="G31" s="297"/>
      <c r="H31" s="297"/>
    </row>
    <row r="32" spans="1:20" ht="25.5">
      <c r="A32" s="409" t="s">
        <v>291</v>
      </c>
      <c r="B32" s="178" t="s">
        <v>387</v>
      </c>
      <c r="C32" s="299">
        <v>0</v>
      </c>
      <c r="D32" s="297"/>
      <c r="E32" s="518"/>
      <c r="F32" s="297"/>
      <c r="G32" s="297"/>
      <c r="H32" s="297"/>
    </row>
    <row r="33" spans="1:20" ht="25.5">
      <c r="A33" s="409" t="s">
        <v>293</v>
      </c>
      <c r="B33" s="178" t="s">
        <v>388</v>
      </c>
      <c r="C33" s="299">
        <v>626507</v>
      </c>
      <c r="D33" s="297"/>
      <c r="E33" s="518"/>
      <c r="F33" s="297"/>
      <c r="G33" s="297"/>
      <c r="H33" s="297"/>
    </row>
    <row r="34" spans="1:20">
      <c r="A34" s="408" t="s">
        <v>294</v>
      </c>
      <c r="B34" s="300" t="s">
        <v>389</v>
      </c>
      <c r="C34" s="299">
        <v>0</v>
      </c>
      <c r="D34" s="297"/>
      <c r="E34" s="518"/>
      <c r="F34" s="297"/>
      <c r="G34" s="297"/>
      <c r="H34" s="297"/>
    </row>
    <row r="35" spans="1:20">
      <c r="A35" s="408" t="s">
        <v>296</v>
      </c>
      <c r="B35" s="300" t="s">
        <v>384</v>
      </c>
      <c r="C35" s="299">
        <v>0</v>
      </c>
      <c r="D35" s="297"/>
      <c r="E35" s="518"/>
      <c r="F35" s="297"/>
      <c r="G35" s="297"/>
      <c r="H35" s="297"/>
    </row>
    <row r="36" spans="1:20">
      <c r="A36" s="408" t="s">
        <v>298</v>
      </c>
      <c r="B36" s="301" t="s">
        <v>390</v>
      </c>
      <c r="C36" s="449">
        <f>SUM(C31:C35)</f>
        <v>626507</v>
      </c>
      <c r="D36" s="297"/>
      <c r="E36" s="518"/>
      <c r="F36" s="297"/>
      <c r="G36" s="297"/>
      <c r="H36" s="297"/>
    </row>
    <row r="37" spans="1:20" ht="7.5" customHeight="1">
      <c r="A37" s="8"/>
      <c r="B37" s="302"/>
      <c r="C37" s="303"/>
      <c r="D37" s="297"/>
      <c r="E37" s="518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</row>
    <row r="38" spans="1:20">
      <c r="A38" s="390" t="s">
        <v>338</v>
      </c>
      <c r="B38" s="301" t="s">
        <v>391</v>
      </c>
      <c r="C38" s="101"/>
      <c r="D38" s="297"/>
      <c r="E38" s="518"/>
      <c r="F38" s="297"/>
      <c r="G38" s="297"/>
      <c r="H38" s="297"/>
    </row>
    <row r="39" spans="1:20">
      <c r="A39" s="408" t="s">
        <v>289</v>
      </c>
      <c r="B39" s="305" t="s">
        <v>392</v>
      </c>
      <c r="C39" s="299">
        <v>2784649</v>
      </c>
      <c r="D39" s="297"/>
      <c r="E39" s="518"/>
      <c r="F39" s="297"/>
      <c r="G39" s="297"/>
      <c r="H39" s="297"/>
    </row>
    <row r="40" spans="1:20">
      <c r="A40" s="408" t="s">
        <v>291</v>
      </c>
      <c r="B40" s="305" t="s">
        <v>305</v>
      </c>
      <c r="C40" s="546">
        <v>13335904</v>
      </c>
      <c r="D40" s="297"/>
      <c r="E40" s="519">
        <f>+'Income '!C14</f>
        <v>13335904</v>
      </c>
      <c r="F40" s="297"/>
      <c r="G40" s="297"/>
      <c r="H40" s="297"/>
    </row>
    <row r="41" spans="1:20" ht="7.5" customHeight="1">
      <c r="A41" s="8"/>
      <c r="B41" s="302"/>
      <c r="C41" s="303"/>
      <c r="D41" s="297"/>
      <c r="E41" s="518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</row>
    <row r="42" spans="1:20">
      <c r="A42" s="390" t="s">
        <v>345</v>
      </c>
      <c r="B42" s="301" t="s">
        <v>393</v>
      </c>
      <c r="C42" s="449">
        <f>C14+C19+C28+C36+C39+C40</f>
        <v>7179862148</v>
      </c>
      <c r="D42" s="297"/>
      <c r="E42" s="519">
        <f>+'Income '!C15</f>
        <v>7179862148</v>
      </c>
      <c r="F42" s="297"/>
      <c r="G42" s="297"/>
      <c r="H42" s="297"/>
    </row>
    <row r="43" spans="1:20" ht="7.5" customHeight="1">
      <c r="A43" s="8"/>
      <c r="B43" s="302"/>
      <c r="C43" s="303"/>
      <c r="D43" s="297"/>
      <c r="E43" s="518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</row>
    <row r="44" spans="1:20">
      <c r="A44" s="390" t="s">
        <v>347</v>
      </c>
      <c r="B44" s="301" t="s">
        <v>394</v>
      </c>
      <c r="C44" s="101"/>
      <c r="D44" s="297"/>
      <c r="E44" s="518"/>
      <c r="F44" s="297"/>
      <c r="G44" s="297"/>
      <c r="H44" s="297"/>
    </row>
    <row r="45" spans="1:20">
      <c r="A45" s="390" t="s">
        <v>395</v>
      </c>
      <c r="B45" s="301" t="s">
        <v>396</v>
      </c>
      <c r="C45" s="299"/>
      <c r="D45" s="297"/>
      <c r="E45" s="518"/>
      <c r="F45" s="297"/>
      <c r="G45" s="297"/>
      <c r="H45" s="297"/>
    </row>
    <row r="46" spans="1:20">
      <c r="A46" s="408" t="s">
        <v>289</v>
      </c>
      <c r="B46" s="300" t="s">
        <v>397</v>
      </c>
      <c r="C46" s="299">
        <v>7516492</v>
      </c>
      <c r="D46" s="297"/>
      <c r="E46" s="518"/>
      <c r="F46" s="297"/>
      <c r="G46" s="297"/>
      <c r="H46" s="297"/>
    </row>
    <row r="47" spans="1:20">
      <c r="A47" s="408" t="s">
        <v>291</v>
      </c>
      <c r="B47" s="300" t="s">
        <v>398</v>
      </c>
      <c r="C47" s="299">
        <v>1</v>
      </c>
      <c r="D47" s="297"/>
      <c r="E47" s="518"/>
      <c r="F47" s="297"/>
      <c r="G47" s="297"/>
      <c r="H47" s="297"/>
    </row>
    <row r="48" spans="1:20">
      <c r="A48" s="408" t="s">
        <v>293</v>
      </c>
      <c r="B48" s="300" t="s">
        <v>399</v>
      </c>
      <c r="C48" s="299">
        <v>7264881</v>
      </c>
      <c r="D48" s="297"/>
      <c r="E48" s="518"/>
      <c r="F48" s="297"/>
      <c r="G48" s="297"/>
      <c r="H48" s="297"/>
    </row>
    <row r="49" spans="1:20">
      <c r="A49" s="408" t="s">
        <v>294</v>
      </c>
      <c r="B49" s="300" t="s">
        <v>400</v>
      </c>
      <c r="C49" s="299">
        <v>405044</v>
      </c>
      <c r="D49" s="297"/>
      <c r="E49" s="518"/>
      <c r="F49" s="297"/>
      <c r="G49" s="297"/>
      <c r="H49" s="297"/>
    </row>
    <row r="50" spans="1:20">
      <c r="A50" s="408" t="s">
        <v>296</v>
      </c>
      <c r="B50" s="300" t="s">
        <v>401</v>
      </c>
      <c r="C50" s="299">
        <v>0</v>
      </c>
      <c r="D50" s="297"/>
      <c r="E50" s="518"/>
      <c r="F50" s="297"/>
      <c r="G50" s="297"/>
      <c r="H50" s="297"/>
    </row>
    <row r="51" spans="1:20">
      <c r="A51" s="408" t="s">
        <v>298</v>
      </c>
      <c r="B51" s="300" t="s">
        <v>402</v>
      </c>
      <c r="C51" s="299">
        <v>0</v>
      </c>
      <c r="D51" s="297"/>
      <c r="E51" s="518"/>
      <c r="F51" s="297"/>
      <c r="G51" s="297"/>
      <c r="H51" s="297"/>
    </row>
    <row r="52" spans="1:20">
      <c r="A52" s="406" t="s">
        <v>300</v>
      </c>
      <c r="B52" s="298" t="s">
        <v>403</v>
      </c>
      <c r="C52" s="449">
        <f>SUM(C46:C51)</f>
        <v>15186418</v>
      </c>
      <c r="D52" s="297"/>
      <c r="E52" s="519">
        <f>+'Income '!C18</f>
        <v>15186418</v>
      </c>
      <c r="F52" s="297"/>
      <c r="G52" s="297"/>
      <c r="H52" s="297"/>
    </row>
    <row r="53" spans="1:20" ht="7.5" customHeight="1">
      <c r="A53" s="8"/>
      <c r="B53" s="302"/>
      <c r="C53" s="303"/>
      <c r="D53" s="297"/>
      <c r="E53" s="520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</row>
    <row r="54" spans="1:20">
      <c r="A54" s="390" t="s">
        <v>404</v>
      </c>
      <c r="B54" s="301" t="s">
        <v>405</v>
      </c>
      <c r="C54" s="101"/>
      <c r="D54" s="297"/>
      <c r="E54" s="518"/>
      <c r="F54" s="297"/>
      <c r="G54" s="297"/>
      <c r="H54" s="297"/>
    </row>
    <row r="55" spans="1:20">
      <c r="A55" s="408" t="s">
        <v>289</v>
      </c>
      <c r="B55" s="300" t="s">
        <v>397</v>
      </c>
      <c r="C55" s="299">
        <v>377707695</v>
      </c>
      <c r="D55" s="297"/>
      <c r="E55" s="518"/>
      <c r="F55" s="297"/>
      <c r="G55" s="297"/>
      <c r="H55" s="297"/>
    </row>
    <row r="56" spans="1:20">
      <c r="A56" s="408" t="s">
        <v>291</v>
      </c>
      <c r="B56" s="300" t="s">
        <v>398</v>
      </c>
      <c r="C56" s="299">
        <v>643574845</v>
      </c>
      <c r="D56" s="297"/>
      <c r="E56" s="518"/>
      <c r="F56" s="297"/>
      <c r="G56" s="297"/>
      <c r="H56" s="297"/>
    </row>
    <row r="57" spans="1:20">
      <c r="A57" s="408" t="s">
        <v>293</v>
      </c>
      <c r="B57" s="300" t="s">
        <v>399</v>
      </c>
      <c r="C57" s="299">
        <v>18399104</v>
      </c>
      <c r="D57" s="297"/>
      <c r="E57" s="518"/>
      <c r="F57" s="297"/>
      <c r="G57" s="297"/>
      <c r="H57" s="297"/>
    </row>
    <row r="58" spans="1:20">
      <c r="A58" s="408" t="s">
        <v>294</v>
      </c>
      <c r="B58" s="300" t="s">
        <v>400</v>
      </c>
      <c r="C58" s="299">
        <v>65390485</v>
      </c>
      <c r="D58" s="297"/>
      <c r="E58" s="518"/>
      <c r="F58" s="297"/>
      <c r="G58" s="297"/>
      <c r="H58" s="297"/>
    </row>
    <row r="59" spans="1:20">
      <c r="A59" s="408" t="s">
        <v>296</v>
      </c>
      <c r="B59" s="300" t="s">
        <v>401</v>
      </c>
      <c r="C59" s="299">
        <v>14799201</v>
      </c>
      <c r="D59" s="297"/>
      <c r="E59" s="518"/>
      <c r="F59" s="297"/>
      <c r="G59" s="297"/>
      <c r="H59" s="297"/>
    </row>
    <row r="60" spans="1:20">
      <c r="A60" s="408" t="s">
        <v>298</v>
      </c>
      <c r="B60" s="300" t="s">
        <v>402</v>
      </c>
      <c r="C60" s="299">
        <v>5972758</v>
      </c>
      <c r="D60" s="297"/>
      <c r="E60" s="518"/>
      <c r="F60" s="297"/>
      <c r="G60" s="297"/>
      <c r="H60" s="297"/>
    </row>
    <row r="61" spans="1:20" ht="13.5" customHeight="1">
      <c r="A61" s="406" t="s">
        <v>300</v>
      </c>
      <c r="B61" s="298" t="s">
        <v>406</v>
      </c>
      <c r="C61" s="449">
        <f>SUM(C55:C60)</f>
        <v>1125844088</v>
      </c>
      <c r="D61" s="297"/>
      <c r="E61" s="519">
        <f>+'Income '!C19</f>
        <v>1125844088</v>
      </c>
      <c r="F61" s="297"/>
      <c r="G61" s="297"/>
      <c r="H61" s="297"/>
    </row>
    <row r="62" spans="1:20" ht="7.5" customHeight="1">
      <c r="A62" s="8"/>
      <c r="B62" s="302"/>
      <c r="C62" s="303"/>
      <c r="D62" s="297"/>
      <c r="E62" s="518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</row>
    <row r="63" spans="1:20">
      <c r="A63" s="390" t="s">
        <v>407</v>
      </c>
      <c r="B63" s="301" t="s">
        <v>408</v>
      </c>
      <c r="C63" s="449">
        <f>C52+C61</f>
        <v>1141030506</v>
      </c>
      <c r="D63" s="297"/>
      <c r="E63" s="518"/>
      <c r="F63" s="297"/>
      <c r="G63" s="297"/>
      <c r="H63" s="297"/>
    </row>
    <row r="64" spans="1:20" ht="7.5" customHeight="1">
      <c r="A64" s="8"/>
      <c r="B64" s="302"/>
      <c r="C64" s="303"/>
      <c r="D64" s="297"/>
      <c r="E64" s="518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</row>
    <row r="65" spans="1:20">
      <c r="A65" s="390" t="s">
        <v>363</v>
      </c>
      <c r="B65" s="301" t="s">
        <v>409</v>
      </c>
      <c r="C65" s="101"/>
      <c r="D65" s="297"/>
      <c r="E65" s="518"/>
      <c r="F65" s="297"/>
      <c r="G65" s="297"/>
      <c r="H65" s="297"/>
    </row>
    <row r="66" spans="1:20">
      <c r="A66" s="408" t="s">
        <v>311</v>
      </c>
      <c r="B66" s="300" t="s">
        <v>410</v>
      </c>
      <c r="C66" s="299">
        <v>0</v>
      </c>
      <c r="D66" s="297"/>
      <c r="E66" s="518"/>
      <c r="F66" s="297"/>
      <c r="G66" s="297"/>
      <c r="H66" s="297"/>
    </row>
    <row r="67" spans="1:20">
      <c r="A67" s="408" t="s">
        <v>291</v>
      </c>
      <c r="B67" s="305" t="s">
        <v>317</v>
      </c>
      <c r="C67" s="546">
        <v>2153234424</v>
      </c>
      <c r="D67" s="297"/>
      <c r="E67" s="519">
        <f>+'Income '!C23</f>
        <v>2153234424</v>
      </c>
      <c r="F67" s="297"/>
      <c r="G67" s="297"/>
      <c r="H67" s="297"/>
    </row>
    <row r="68" spans="1:20">
      <c r="A68" s="408" t="s">
        <v>293</v>
      </c>
      <c r="B68" s="305" t="s">
        <v>318</v>
      </c>
      <c r="C68" s="546">
        <v>24948798</v>
      </c>
      <c r="D68" s="297"/>
      <c r="E68" s="519">
        <f>+'Income '!C24</f>
        <v>24948798</v>
      </c>
      <c r="F68" s="297"/>
      <c r="G68" s="297"/>
      <c r="H68" s="297"/>
    </row>
    <row r="69" spans="1:20">
      <c r="A69" s="408" t="s">
        <v>294</v>
      </c>
      <c r="B69" s="305" t="s">
        <v>319</v>
      </c>
      <c r="C69" s="546">
        <v>878686406</v>
      </c>
      <c r="D69" s="297"/>
      <c r="E69" s="519">
        <f>+'Income '!C25+'Income '!C21</f>
        <v>878686406</v>
      </c>
      <c r="F69" s="297"/>
      <c r="G69" s="297"/>
      <c r="H69" s="297"/>
    </row>
    <row r="70" spans="1:20">
      <c r="A70" s="390" t="s">
        <v>296</v>
      </c>
      <c r="B70" s="306" t="s">
        <v>411</v>
      </c>
      <c r="C70" s="449">
        <f>SUM(C66:C69)</f>
        <v>3056869628</v>
      </c>
      <c r="D70" s="297"/>
      <c r="E70" s="518"/>
      <c r="F70" s="297"/>
      <c r="G70" s="297"/>
      <c r="H70" s="297"/>
    </row>
    <row r="71" spans="1:20" ht="7.5" customHeight="1">
      <c r="A71" s="8"/>
      <c r="B71" s="302"/>
      <c r="C71" s="450"/>
      <c r="D71" s="297"/>
      <c r="E71" s="518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</row>
    <row r="72" spans="1:20">
      <c r="A72" s="390" t="s">
        <v>366</v>
      </c>
      <c r="B72" s="301" t="s">
        <v>412</v>
      </c>
      <c r="C72" s="449">
        <f>C63+C70</f>
        <v>4197900134</v>
      </c>
      <c r="D72" s="297"/>
      <c r="E72" s="519">
        <f>+'Income '!C27</f>
        <v>4197900134</v>
      </c>
      <c r="F72" s="297"/>
      <c r="G72" s="297"/>
      <c r="H72" s="297"/>
    </row>
    <row r="73" spans="1:20">
      <c r="D73" s="297"/>
      <c r="E73" s="518"/>
      <c r="F73" s="297"/>
      <c r="G73" s="297"/>
      <c r="H73" s="297"/>
    </row>
    <row r="74" spans="1:20" ht="15" customHeight="1">
      <c r="A74" s="30"/>
      <c r="B74" s="201" t="s">
        <v>778</v>
      </c>
      <c r="E74" s="520"/>
      <c r="F74" s="183"/>
      <c r="G74" s="183"/>
      <c r="H74" s="183"/>
      <c r="I74" s="183"/>
      <c r="J74" s="183"/>
      <c r="K74" s="183"/>
      <c r="L74" s="183"/>
      <c r="M74" s="183"/>
    </row>
    <row r="75" spans="1:20" ht="11.25" customHeight="1">
      <c r="A75" s="30"/>
      <c r="B75" s="201"/>
      <c r="E75" s="520"/>
      <c r="F75" s="183"/>
      <c r="G75" s="183"/>
      <c r="H75" s="183"/>
      <c r="I75" s="183"/>
      <c r="J75" s="183"/>
      <c r="K75" s="183"/>
      <c r="L75" s="183"/>
      <c r="M75" s="183"/>
    </row>
    <row r="76" spans="1:20" ht="15" customHeight="1">
      <c r="A76" s="30"/>
      <c r="B76" s="201" t="s">
        <v>779</v>
      </c>
      <c r="E76" s="520"/>
      <c r="F76" s="183"/>
      <c r="G76" s="183"/>
      <c r="H76" s="183"/>
      <c r="I76" s="183"/>
      <c r="J76" s="183"/>
      <c r="K76" s="183"/>
      <c r="L76" s="183"/>
      <c r="M76" s="183"/>
    </row>
    <row r="77" spans="1:20">
      <c r="D77" s="297"/>
      <c r="E77" s="518"/>
      <c r="F77" s="297"/>
      <c r="G77" s="297"/>
      <c r="H77" s="297"/>
    </row>
    <row r="78" spans="1:20">
      <c r="A78" s="411"/>
      <c r="D78" s="297"/>
      <c r="E78" s="518"/>
      <c r="F78" s="297"/>
      <c r="G78" s="297"/>
      <c r="H78" s="297"/>
    </row>
    <row r="79" spans="1:20">
      <c r="A79" s="411"/>
      <c r="D79" s="297"/>
      <c r="E79" s="518"/>
      <c r="F79" s="297"/>
      <c r="G79" s="297"/>
      <c r="H79" s="297"/>
    </row>
    <row r="80" spans="1:20">
      <c r="D80" s="297"/>
      <c r="E80" s="518"/>
      <c r="F80" s="297"/>
      <c r="G80" s="297"/>
      <c r="H80" s="297"/>
    </row>
    <row r="81" spans="4:8">
      <c r="D81" s="297"/>
      <c r="E81" s="297"/>
      <c r="F81" s="297"/>
      <c r="G81" s="297"/>
      <c r="H81" s="297"/>
    </row>
    <row r="82" spans="4:8">
      <c r="D82" s="297"/>
      <c r="E82" s="297"/>
      <c r="F82" s="297"/>
      <c r="G82" s="297"/>
      <c r="H82" s="297"/>
    </row>
    <row r="83" spans="4:8">
      <c r="D83" s="297"/>
      <c r="E83" s="297"/>
      <c r="F83" s="297"/>
      <c r="G83" s="297"/>
      <c r="H83" s="297"/>
    </row>
    <row r="84" spans="4:8">
      <c r="D84" s="297"/>
      <c r="E84" s="297"/>
      <c r="F84" s="297"/>
      <c r="G84" s="297"/>
      <c r="H84" s="297"/>
    </row>
    <row r="85" spans="4:8">
      <c r="D85" s="297"/>
      <c r="E85" s="297"/>
      <c r="F85" s="297"/>
      <c r="G85" s="297"/>
      <c r="H85" s="297"/>
    </row>
    <row r="86" spans="4:8">
      <c r="D86" s="297"/>
      <c r="E86" s="297"/>
      <c r="F86" s="297"/>
      <c r="G86" s="297"/>
      <c r="H86" s="297"/>
    </row>
    <row r="87" spans="4:8">
      <c r="D87" s="297"/>
      <c r="E87" s="297"/>
      <c r="F87" s="297"/>
      <c r="G87" s="297"/>
      <c r="H87" s="297"/>
    </row>
    <row r="88" spans="4:8">
      <c r="D88" s="297"/>
      <c r="E88" s="297"/>
      <c r="F88" s="297"/>
      <c r="G88" s="297"/>
      <c r="H88" s="297"/>
    </row>
    <row r="89" spans="4:8">
      <c r="D89" s="297"/>
      <c r="E89" s="297"/>
      <c r="F89" s="297"/>
      <c r="G89" s="297"/>
      <c r="H89" s="297"/>
    </row>
    <row r="90" spans="4:8">
      <c r="D90" s="297"/>
      <c r="E90" s="297"/>
      <c r="F90" s="297"/>
      <c r="G90" s="297"/>
      <c r="H90" s="297"/>
    </row>
    <row r="91" spans="4:8">
      <c r="D91" s="297"/>
      <c r="E91" s="297"/>
      <c r="F91" s="297"/>
      <c r="G91" s="297"/>
      <c r="H91" s="297"/>
    </row>
    <row r="92" spans="4:8">
      <c r="D92" s="297"/>
      <c r="E92" s="297"/>
      <c r="F92" s="297"/>
      <c r="G92" s="297"/>
      <c r="H92" s="297"/>
    </row>
    <row r="93" spans="4:8">
      <c r="D93" s="297"/>
      <c r="E93" s="297"/>
      <c r="F93" s="297"/>
      <c r="G93" s="297"/>
      <c r="H93" s="297"/>
    </row>
    <row r="94" spans="4:8">
      <c r="D94" s="297"/>
      <c r="E94" s="297"/>
      <c r="F94" s="297"/>
      <c r="G94" s="297"/>
      <c r="H94" s="297"/>
    </row>
    <row r="95" spans="4:8">
      <c r="D95" s="297"/>
      <c r="E95" s="297"/>
      <c r="F95" s="297"/>
      <c r="G95" s="297"/>
      <c r="H95" s="297"/>
    </row>
    <row r="96" spans="4:8">
      <c r="D96" s="297"/>
      <c r="E96" s="297"/>
      <c r="F96" s="297"/>
      <c r="G96" s="297"/>
      <c r="H96" s="297"/>
    </row>
    <row r="97" spans="4:8">
      <c r="D97" s="297"/>
      <c r="E97" s="297"/>
      <c r="F97" s="297"/>
      <c r="G97" s="297"/>
      <c r="H97" s="297"/>
    </row>
    <row r="98" spans="4:8">
      <c r="D98" s="297"/>
      <c r="E98" s="297"/>
      <c r="F98" s="297"/>
      <c r="G98" s="297"/>
      <c r="H98" s="297"/>
    </row>
  </sheetData>
  <sheetProtection password="CACA" sheet="1" objects="1" scenarios="1"/>
  <phoneticPr fontId="15" type="noConversion"/>
  <conditionalFormatting sqref="C14">
    <cfRule type="cellIs" dxfId="249" priority="14" operator="notEqual">
      <formula>E14</formula>
    </cfRule>
  </conditionalFormatting>
  <conditionalFormatting sqref="C17:C18">
    <cfRule type="cellIs" dxfId="248" priority="6" operator="notEqual">
      <formula>E17</formula>
    </cfRule>
  </conditionalFormatting>
  <conditionalFormatting sqref="C28">
    <cfRule type="cellIs" dxfId="247" priority="11" operator="notEqual">
      <formula>E28</formula>
    </cfRule>
  </conditionalFormatting>
  <conditionalFormatting sqref="C40">
    <cfRule type="cellIs" dxfId="246" priority="5" operator="notEqual">
      <formula>E40</formula>
    </cfRule>
  </conditionalFormatting>
  <conditionalFormatting sqref="C42">
    <cfRule type="cellIs" dxfId="245" priority="10" operator="notEqual">
      <formula>E42</formula>
    </cfRule>
  </conditionalFormatting>
  <conditionalFormatting sqref="C52">
    <cfRule type="cellIs" dxfId="244" priority="9" operator="notEqual">
      <formula>E52</formula>
    </cfRule>
  </conditionalFormatting>
  <conditionalFormatting sqref="C61">
    <cfRule type="cellIs" dxfId="243" priority="8" operator="notEqual">
      <formula>E61</formula>
    </cfRule>
  </conditionalFormatting>
  <conditionalFormatting sqref="C67:C68">
    <cfRule type="cellIs" dxfId="242" priority="2" operator="notEqual">
      <formula>E67</formula>
    </cfRule>
  </conditionalFormatting>
  <conditionalFormatting sqref="C72">
    <cfRule type="cellIs" dxfId="241" priority="7" operator="notEqual">
      <formula>E72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activeCell="C8" sqref="C8"/>
    </sheetView>
  </sheetViews>
  <sheetFormatPr defaultRowHeight="12.75"/>
  <cols>
    <col min="1" max="1" width="5.85546875" style="219" customWidth="1"/>
    <col min="2" max="2" width="89.42578125" style="30" customWidth="1"/>
    <col min="3" max="3" width="27.42578125" style="30" customWidth="1"/>
    <col min="4" max="5" width="15.7109375" style="30" customWidth="1"/>
    <col min="6" max="8" width="9.140625" style="30"/>
    <col min="9" max="9" width="10.28515625" style="30" bestFit="1" customWidth="1"/>
    <col min="10" max="16384" width="9.140625" style="30"/>
  </cols>
  <sheetData>
    <row r="1" spans="1:13" ht="15.75">
      <c r="A1" s="584" t="s">
        <v>413</v>
      </c>
      <c r="B1" s="584"/>
      <c r="C1" s="16" t="s">
        <v>414</v>
      </c>
    </row>
    <row r="2" spans="1:13" ht="8.25" customHeight="1">
      <c r="A2" s="4"/>
      <c r="B2" s="4"/>
      <c r="C2" s="16"/>
    </row>
    <row r="3" spans="1:13" ht="15.75">
      <c r="A3" s="216"/>
      <c r="B3" s="217" t="str">
        <f>+'Asset quality'!B3</f>
        <v>"Ўзсаноатқурилишибанк" АТБ</v>
      </c>
      <c r="C3" s="260">
        <f>+'Asset quality'!Q3</f>
        <v>45289</v>
      </c>
    </row>
    <row r="4" spans="1:13" s="15" customFormat="1" ht="33.75" customHeight="1">
      <c r="A4" s="235" t="s">
        <v>61</v>
      </c>
      <c r="B4" s="235" t="s">
        <v>284</v>
      </c>
      <c r="C4" s="235" t="str">
        <f>+'Asset quality'!T3</f>
        <v>минг. сўмда</v>
      </c>
    </row>
    <row r="5" spans="1:13" ht="18.75" customHeight="1">
      <c r="A5" s="307" t="s">
        <v>147</v>
      </c>
      <c r="B5" s="308" t="s">
        <v>415</v>
      </c>
      <c r="C5" s="244">
        <v>7828121193</v>
      </c>
    </row>
    <row r="6" spans="1:13" ht="18.75" customHeight="1">
      <c r="A6" s="309" t="s">
        <v>148</v>
      </c>
      <c r="B6" s="310" t="s">
        <v>416</v>
      </c>
      <c r="C6" s="244">
        <v>0</v>
      </c>
    </row>
    <row r="7" spans="1:13" ht="18.75" customHeight="1">
      <c r="A7" s="309" t="s">
        <v>159</v>
      </c>
      <c r="B7" s="311" t="s">
        <v>417</v>
      </c>
      <c r="C7" s="287">
        <f>SUM(C5:C6)</f>
        <v>7828121193</v>
      </c>
      <c r="D7" s="520"/>
      <c r="E7" s="520"/>
    </row>
    <row r="8" spans="1:13" ht="18.75" customHeight="1">
      <c r="A8" s="309" t="s">
        <v>149</v>
      </c>
      <c r="B8" s="311" t="s">
        <v>418</v>
      </c>
      <c r="C8" s="287">
        <f>+'Income '!C77</f>
        <v>911684119</v>
      </c>
      <c r="D8" s="550">
        <f>+[8]Balance!$C$76</f>
        <v>911684119</v>
      </c>
      <c r="E8" s="552">
        <f>+C8-D8</f>
        <v>0</v>
      </c>
    </row>
    <row r="9" spans="1:13" ht="18.75" customHeight="1">
      <c r="A9" s="309" t="s">
        <v>150</v>
      </c>
      <c r="B9" s="310" t="s">
        <v>419</v>
      </c>
      <c r="C9" s="312">
        <v>-5571976</v>
      </c>
      <c r="D9" s="551"/>
      <c r="E9" s="553"/>
    </row>
    <row r="10" spans="1:13" ht="18.75" customHeight="1">
      <c r="A10" s="309" t="s">
        <v>160</v>
      </c>
      <c r="B10" s="311" t="s">
        <v>420</v>
      </c>
      <c r="C10" s="312">
        <v>-1425151</v>
      </c>
      <c r="D10" s="551"/>
      <c r="E10" s="553"/>
      <c r="I10" s="224"/>
    </row>
    <row r="11" spans="1:13" ht="18.75" customHeight="1">
      <c r="A11" s="309" t="s">
        <v>151</v>
      </c>
      <c r="B11" s="311" t="s">
        <v>421</v>
      </c>
      <c r="C11" s="313">
        <v>1616900</v>
      </c>
      <c r="D11" s="551"/>
      <c r="E11" s="553"/>
    </row>
    <row r="12" spans="1:13" ht="18.75" customHeight="1">
      <c r="A12" s="309" t="s">
        <v>158</v>
      </c>
      <c r="B12" s="311" t="s">
        <v>422</v>
      </c>
      <c r="C12" s="312"/>
      <c r="D12" s="551"/>
      <c r="E12" s="553"/>
    </row>
    <row r="13" spans="1:13" ht="18.75" customHeight="1">
      <c r="A13" s="309" t="s">
        <v>152</v>
      </c>
      <c r="B13" s="311" t="s">
        <v>423</v>
      </c>
      <c r="C13" s="312">
        <v>-2831133</v>
      </c>
      <c r="D13" s="551"/>
      <c r="E13" s="553"/>
    </row>
    <row r="14" spans="1:13" ht="18.75" customHeight="1">
      <c r="A14" s="309" t="s">
        <v>153</v>
      </c>
      <c r="B14" s="311" t="s">
        <v>424</v>
      </c>
      <c r="C14" s="287">
        <f>C7+SUM(C8:C10)-SUM(C11:C12)+C13</f>
        <v>8728360152</v>
      </c>
      <c r="D14" s="550">
        <f>+[8]Balance!$C$77</f>
        <v>8728360152</v>
      </c>
      <c r="E14" s="552">
        <f>+C14-D14</f>
        <v>0</v>
      </c>
      <c r="I14" s="314"/>
    </row>
    <row r="15" spans="1:13">
      <c r="A15" s="204"/>
      <c r="D15" s="520"/>
      <c r="E15" s="553"/>
    </row>
    <row r="16" spans="1:13" ht="15" customHeight="1">
      <c r="A16" s="30"/>
      <c r="B16" s="201" t="s">
        <v>778</v>
      </c>
      <c r="D16" s="520"/>
      <c r="E16" s="554"/>
      <c r="F16" s="183"/>
      <c r="G16" s="183"/>
      <c r="H16" s="183"/>
      <c r="I16" s="183"/>
      <c r="J16" s="183"/>
      <c r="K16" s="183"/>
      <c r="L16" s="183"/>
      <c r="M16" s="183"/>
    </row>
    <row r="17" spans="1:13" ht="11.25" customHeight="1">
      <c r="A17" s="30"/>
      <c r="B17" s="201"/>
      <c r="D17" s="520"/>
      <c r="E17" s="554"/>
      <c r="F17" s="183"/>
      <c r="G17" s="183"/>
      <c r="H17" s="183"/>
      <c r="I17" s="183"/>
      <c r="J17" s="183"/>
      <c r="K17" s="183"/>
      <c r="L17" s="183"/>
      <c r="M17" s="183"/>
    </row>
    <row r="18" spans="1:13" ht="15" customHeight="1">
      <c r="A18" s="30"/>
      <c r="B18" s="201" t="s">
        <v>779</v>
      </c>
      <c r="D18" s="520"/>
      <c r="E18" s="554"/>
      <c r="F18" s="183"/>
      <c r="G18" s="183"/>
      <c r="H18" s="183"/>
      <c r="I18" s="183"/>
      <c r="J18" s="183"/>
      <c r="K18" s="183"/>
      <c r="L18" s="183"/>
      <c r="M18" s="183"/>
    </row>
    <row r="20" spans="1:13" ht="12.75" customHeight="1">
      <c r="A20" s="218"/>
    </row>
    <row r="21" spans="1:13">
      <c r="A21" s="218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5" type="noConversion"/>
  <conditionalFormatting sqref="C14">
    <cfRule type="cellIs" dxfId="240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topLeftCell="A4" zoomScale="75" zoomScaleNormal="40" zoomScaleSheetLayoutView="75" workbookViewId="0">
      <pane xSplit="3" ySplit="3" topLeftCell="D64" activePane="bottomRight" state="frozen"/>
      <selection activeCell="J47" sqref="J47"/>
      <selection pane="topRight" activeCell="J47" sqref="J47"/>
      <selection pane="bottomLeft" activeCell="J47" sqref="J47"/>
      <selection pane="bottomRight" activeCell="G63" sqref="G63"/>
    </sheetView>
  </sheetViews>
  <sheetFormatPr defaultRowHeight="12.75"/>
  <cols>
    <col min="1" max="1" width="7" style="30" customWidth="1"/>
    <col min="2" max="2" width="57.5703125" style="30" customWidth="1"/>
    <col min="3" max="3" width="18.42578125" style="30" customWidth="1"/>
    <col min="4" max="9" width="17.140625" style="30" customWidth="1"/>
    <col min="10" max="10" width="16" style="30" customWidth="1"/>
    <col min="11" max="11" width="17" style="30" customWidth="1"/>
    <col min="12" max="12" width="25.28515625" style="30" bestFit="1" customWidth="1"/>
    <col min="13" max="13" width="16.85546875" style="30" customWidth="1"/>
    <col min="14" max="25" width="17.140625" style="30" customWidth="1"/>
    <col min="26" max="16384" width="9.140625" style="30"/>
  </cols>
  <sheetData>
    <row r="1" spans="1:28" s="207" customFormat="1" ht="31.5" customHeight="1">
      <c r="A1" s="205" t="s">
        <v>704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6" t="s">
        <v>703</v>
      </c>
      <c r="X1" s="5"/>
      <c r="Y1" s="206"/>
    </row>
    <row r="2" spans="1:28" ht="9" customHeight="1">
      <c r="A2" s="5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5"/>
      <c r="X2" s="208"/>
      <c r="Y2" s="208"/>
    </row>
    <row r="3" spans="1:28" ht="15.75">
      <c r="A3" s="222"/>
      <c r="B3" s="209" t="str">
        <f>+'Asset quality'!B3</f>
        <v>"Ўзсаноатқурилишибанк" АТБ</v>
      </c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594">
        <f>+'Asset quality'!Q3</f>
        <v>45289</v>
      </c>
      <c r="U3" s="594"/>
      <c r="V3" s="210"/>
      <c r="W3" s="210"/>
      <c r="X3" s="315" t="str">
        <f>+'Asset quality'!T3</f>
        <v>минг. сўмда</v>
      </c>
      <c r="Y3" s="224"/>
    </row>
    <row r="4" spans="1:28" s="211" customFormat="1" ht="32.25" customHeight="1">
      <c r="A4" s="586" t="s">
        <v>61</v>
      </c>
      <c r="B4" s="586" t="s">
        <v>705</v>
      </c>
      <c r="C4" s="589" t="s">
        <v>706</v>
      </c>
      <c r="D4" s="592" t="s">
        <v>334</v>
      </c>
      <c r="E4" s="593"/>
      <c r="F4" s="585" t="s">
        <v>710</v>
      </c>
      <c r="G4" s="585"/>
      <c r="H4" s="585"/>
      <c r="I4" s="585"/>
      <c r="J4" s="596" t="s">
        <v>334</v>
      </c>
      <c r="K4" s="596"/>
      <c r="L4" s="596"/>
      <c r="M4" s="596"/>
      <c r="N4" s="596"/>
      <c r="O4" s="596"/>
      <c r="P4" s="596"/>
      <c r="Q4" s="596"/>
      <c r="R4" s="596"/>
      <c r="S4" s="596"/>
      <c r="T4" s="596"/>
      <c r="U4" s="596"/>
      <c r="V4" s="596"/>
      <c r="W4" s="596"/>
      <c r="X4" s="596"/>
      <c r="Y4" s="596"/>
    </row>
    <row r="5" spans="1:28" s="211" customFormat="1" ht="18" customHeight="1">
      <c r="A5" s="587"/>
      <c r="B5" s="587"/>
      <c r="C5" s="590"/>
      <c r="D5" s="589" t="s">
        <v>285</v>
      </c>
      <c r="E5" s="589" t="s">
        <v>286</v>
      </c>
      <c r="F5" s="585" t="s">
        <v>711</v>
      </c>
      <c r="G5" s="585" t="s">
        <v>334</v>
      </c>
      <c r="H5" s="585"/>
      <c r="I5" s="585"/>
      <c r="J5" s="595" t="s">
        <v>714</v>
      </c>
      <c r="K5" s="595" t="s">
        <v>715</v>
      </c>
      <c r="L5" s="413" t="s">
        <v>334</v>
      </c>
      <c r="M5" s="597" t="s">
        <v>717</v>
      </c>
      <c r="N5" s="597" t="s">
        <v>718</v>
      </c>
      <c r="O5" s="597" t="s">
        <v>719</v>
      </c>
      <c r="P5" s="596" t="s">
        <v>334</v>
      </c>
      <c r="Q5" s="596"/>
      <c r="R5" s="595" t="s">
        <v>722</v>
      </c>
      <c r="S5" s="595" t="s">
        <v>723</v>
      </c>
      <c r="T5" s="595" t="s">
        <v>724</v>
      </c>
      <c r="U5" s="595" t="s">
        <v>725</v>
      </c>
      <c r="V5" s="595" t="s">
        <v>726</v>
      </c>
      <c r="W5" s="595" t="s">
        <v>727</v>
      </c>
      <c r="X5" s="595" t="s">
        <v>728</v>
      </c>
      <c r="Y5" s="595" t="s">
        <v>729</v>
      </c>
    </row>
    <row r="6" spans="1:28" s="211" customFormat="1" ht="102" customHeight="1">
      <c r="A6" s="588"/>
      <c r="B6" s="588"/>
      <c r="C6" s="591"/>
      <c r="D6" s="591"/>
      <c r="E6" s="591"/>
      <c r="F6" s="585"/>
      <c r="G6" s="412" t="s">
        <v>649</v>
      </c>
      <c r="H6" s="412" t="s">
        <v>651</v>
      </c>
      <c r="I6" s="412" t="s">
        <v>653</v>
      </c>
      <c r="J6" s="595"/>
      <c r="K6" s="595"/>
      <c r="L6" s="412" t="s">
        <v>716</v>
      </c>
      <c r="M6" s="598"/>
      <c r="N6" s="598"/>
      <c r="O6" s="598"/>
      <c r="P6" s="412" t="s">
        <v>720</v>
      </c>
      <c r="Q6" s="412" t="s">
        <v>721</v>
      </c>
      <c r="R6" s="595"/>
      <c r="S6" s="595"/>
      <c r="T6" s="595"/>
      <c r="U6" s="595"/>
      <c r="V6" s="595"/>
      <c r="W6" s="595"/>
      <c r="X6" s="595"/>
      <c r="Y6" s="595"/>
      <c r="AA6" s="212"/>
    </row>
    <row r="7" spans="1:28" s="214" customFormat="1" ht="15">
      <c r="A7" s="213" t="s">
        <v>65</v>
      </c>
      <c r="B7" s="316" t="s">
        <v>66</v>
      </c>
      <c r="C7" s="316" t="s">
        <v>36</v>
      </c>
      <c r="D7" s="316" t="s">
        <v>181</v>
      </c>
      <c r="E7" s="316" t="s">
        <v>182</v>
      </c>
      <c r="F7" s="316" t="s">
        <v>37</v>
      </c>
      <c r="G7" s="316" t="s">
        <v>712</v>
      </c>
      <c r="H7" s="317" t="s">
        <v>713</v>
      </c>
      <c r="I7" s="317" t="s">
        <v>730</v>
      </c>
      <c r="J7" s="317" t="s">
        <v>38</v>
      </c>
      <c r="K7" s="317" t="s">
        <v>62</v>
      </c>
      <c r="L7" s="316" t="s">
        <v>731</v>
      </c>
      <c r="M7" s="317" t="s">
        <v>63</v>
      </c>
      <c r="N7" s="317" t="s">
        <v>64</v>
      </c>
      <c r="O7" s="317" t="s">
        <v>67</v>
      </c>
      <c r="P7" s="316" t="s">
        <v>166</v>
      </c>
      <c r="Q7" s="316" t="s">
        <v>732</v>
      </c>
      <c r="R7" s="317" t="s">
        <v>68</v>
      </c>
      <c r="S7" s="317" t="s">
        <v>69</v>
      </c>
      <c r="T7" s="317" t="s">
        <v>70</v>
      </c>
      <c r="U7" s="317" t="s">
        <v>71</v>
      </c>
      <c r="V7" s="317" t="s">
        <v>72</v>
      </c>
      <c r="W7" s="317" t="s">
        <v>73</v>
      </c>
      <c r="X7" s="317" t="s">
        <v>74</v>
      </c>
      <c r="Y7" s="318" t="s">
        <v>75</v>
      </c>
    </row>
    <row r="8" spans="1:28" s="211" customFormat="1" ht="15.75" customHeight="1">
      <c r="A8" s="416"/>
      <c r="B8" s="417" t="s">
        <v>468</v>
      </c>
      <c r="C8" s="418"/>
      <c r="D8" s="418"/>
      <c r="E8" s="418"/>
      <c r="F8" s="418"/>
      <c r="G8" s="418"/>
      <c r="H8" s="418"/>
      <c r="I8" s="418"/>
      <c r="J8" s="418"/>
      <c r="K8" s="418"/>
      <c r="L8" s="418"/>
      <c r="M8" s="418"/>
      <c r="N8" s="418"/>
      <c r="O8" s="418"/>
      <c r="P8" s="418"/>
      <c r="Q8" s="418"/>
      <c r="R8" s="418"/>
      <c r="S8" s="418"/>
      <c r="T8" s="418"/>
      <c r="U8" s="418"/>
      <c r="V8" s="418"/>
      <c r="W8" s="418"/>
      <c r="X8" s="418"/>
      <c r="Y8" s="418"/>
    </row>
    <row r="9" spans="1:28" s="211" customFormat="1" ht="15.75" customHeight="1">
      <c r="A9" s="419">
        <v>10</v>
      </c>
      <c r="B9" s="420" t="s">
        <v>662</v>
      </c>
      <c r="C9" s="421">
        <f t="shared" ref="C9:C10" si="0">SUM(J9:Y9)-L9-P9-Q9</f>
        <v>9043576442</v>
      </c>
      <c r="D9" s="203">
        <v>2394277397</v>
      </c>
      <c r="E9" s="203">
        <v>6649299045</v>
      </c>
      <c r="F9" s="421">
        <f>+G9+H9+I9</f>
        <v>0</v>
      </c>
      <c r="G9" s="203">
        <v>0</v>
      </c>
      <c r="H9" s="203">
        <v>0</v>
      </c>
      <c r="I9" s="203">
        <v>0</v>
      </c>
      <c r="J9" s="203">
        <v>0</v>
      </c>
      <c r="K9" s="203">
        <v>4785668881</v>
      </c>
      <c r="L9" s="203">
        <v>4245386620</v>
      </c>
      <c r="M9" s="203">
        <v>0</v>
      </c>
      <c r="N9" s="203">
        <v>377148300</v>
      </c>
      <c r="O9" s="421">
        <f t="shared" ref="O9:O13" si="1">+P9+Q9</f>
        <v>347845253</v>
      </c>
      <c r="P9" s="203">
        <v>0</v>
      </c>
      <c r="Q9" s="203">
        <v>347845253</v>
      </c>
      <c r="R9" s="203">
        <v>561819579</v>
      </c>
      <c r="S9" s="203">
        <v>0</v>
      </c>
      <c r="T9" s="203">
        <v>127632450</v>
      </c>
      <c r="U9" s="203">
        <v>0</v>
      </c>
      <c r="V9" s="203">
        <v>1470039773</v>
      </c>
      <c r="W9" s="203">
        <v>0</v>
      </c>
      <c r="X9" s="203">
        <v>0</v>
      </c>
      <c r="Y9" s="203">
        <v>1373422206</v>
      </c>
      <c r="AB9" s="215"/>
    </row>
    <row r="10" spans="1:28" s="211" customFormat="1" ht="15.75" customHeight="1">
      <c r="A10" s="419">
        <f t="shared" ref="A10:A66" si="2">A9+10</f>
        <v>20</v>
      </c>
      <c r="B10" s="420" t="s">
        <v>400</v>
      </c>
      <c r="C10" s="421">
        <f t="shared" si="0"/>
        <v>8066997417</v>
      </c>
      <c r="D10" s="203">
        <v>435809228</v>
      </c>
      <c r="E10" s="203">
        <v>7631188189</v>
      </c>
      <c r="F10" s="421">
        <f t="shared" ref="F10:F14" si="3">+G10+H10+I10</f>
        <v>56216040</v>
      </c>
      <c r="G10" s="203">
        <v>0</v>
      </c>
      <c r="H10" s="203">
        <v>46247548</v>
      </c>
      <c r="I10" s="203">
        <v>9968492</v>
      </c>
      <c r="J10" s="203">
        <v>1233877</v>
      </c>
      <c r="K10" s="203">
        <v>0</v>
      </c>
      <c r="L10" s="203">
        <v>0</v>
      </c>
      <c r="M10" s="203">
        <v>4844791</v>
      </c>
      <c r="N10" s="203">
        <v>145131391</v>
      </c>
      <c r="O10" s="421">
        <f t="shared" si="1"/>
        <v>2029463925</v>
      </c>
      <c r="P10" s="203">
        <v>0</v>
      </c>
      <c r="Q10" s="203">
        <v>2029463925</v>
      </c>
      <c r="R10" s="203">
        <v>2661030818</v>
      </c>
      <c r="S10" s="203">
        <v>0</v>
      </c>
      <c r="T10" s="203">
        <v>0</v>
      </c>
      <c r="U10" s="203">
        <v>0</v>
      </c>
      <c r="V10" s="203">
        <v>1790251356</v>
      </c>
      <c r="W10" s="203">
        <v>340906107</v>
      </c>
      <c r="X10" s="203">
        <v>0</v>
      </c>
      <c r="Y10" s="203">
        <v>1094135152</v>
      </c>
      <c r="AB10" s="215"/>
    </row>
    <row r="11" spans="1:28" s="211" customFormat="1" ht="15.75" customHeight="1">
      <c r="A11" s="419">
        <f t="shared" si="2"/>
        <v>30</v>
      </c>
      <c r="B11" s="420" t="s">
        <v>401</v>
      </c>
      <c r="C11" s="421">
        <f>SUM(J11:Y11)-L11-P11-Q11</f>
        <v>12801927212</v>
      </c>
      <c r="D11" s="203">
        <v>1933287232</v>
      </c>
      <c r="E11" s="203">
        <v>10868639980</v>
      </c>
      <c r="F11" s="421">
        <f t="shared" si="3"/>
        <v>444638825</v>
      </c>
      <c r="G11" s="203">
        <v>201641115</v>
      </c>
      <c r="H11" s="203">
        <v>242997710</v>
      </c>
      <c r="I11" s="203">
        <v>0</v>
      </c>
      <c r="J11" s="203">
        <v>85489626</v>
      </c>
      <c r="K11" s="203">
        <v>0</v>
      </c>
      <c r="L11" s="203">
        <v>0</v>
      </c>
      <c r="M11" s="203">
        <v>56954934</v>
      </c>
      <c r="N11" s="203">
        <v>569706122</v>
      </c>
      <c r="O11" s="421">
        <f t="shared" si="1"/>
        <v>3447741382</v>
      </c>
      <c r="P11" s="203">
        <v>82069057</v>
      </c>
      <c r="Q11" s="203">
        <v>3365672325</v>
      </c>
      <c r="R11" s="203">
        <v>2303737768</v>
      </c>
      <c r="S11" s="203">
        <v>0</v>
      </c>
      <c r="T11" s="203">
        <v>0</v>
      </c>
      <c r="U11" s="203">
        <v>0</v>
      </c>
      <c r="V11" s="203">
        <v>4270803877</v>
      </c>
      <c r="W11" s="203">
        <v>1376344550</v>
      </c>
      <c r="X11" s="203">
        <v>0</v>
      </c>
      <c r="Y11" s="203">
        <v>691148953</v>
      </c>
      <c r="AB11" s="215"/>
    </row>
    <row r="12" spans="1:28" s="211" customFormat="1" ht="15.75" customHeight="1">
      <c r="A12" s="419">
        <f t="shared" si="2"/>
        <v>40</v>
      </c>
      <c r="B12" s="420" t="s">
        <v>397</v>
      </c>
      <c r="C12" s="421">
        <f t="shared" ref="C12:C13" si="4">SUM(J12:Y12)-L12-P12-Q12</f>
        <v>0</v>
      </c>
      <c r="D12" s="203">
        <v>0</v>
      </c>
      <c r="E12" s="203">
        <v>0</v>
      </c>
      <c r="F12" s="421">
        <f t="shared" si="3"/>
        <v>0</v>
      </c>
      <c r="G12" s="203">
        <v>0</v>
      </c>
      <c r="H12" s="203"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421">
        <f t="shared" si="1"/>
        <v>0</v>
      </c>
      <c r="P12" s="203">
        <v>0</v>
      </c>
      <c r="Q12" s="203">
        <v>0</v>
      </c>
      <c r="R12" s="203">
        <v>0</v>
      </c>
      <c r="S12" s="203">
        <v>0</v>
      </c>
      <c r="T12" s="203">
        <v>0</v>
      </c>
      <c r="U12" s="203">
        <v>0</v>
      </c>
      <c r="V12" s="203">
        <v>0</v>
      </c>
      <c r="W12" s="203">
        <v>0</v>
      </c>
      <c r="X12" s="203">
        <v>0</v>
      </c>
      <c r="Y12" s="203">
        <v>0</v>
      </c>
      <c r="AB12" s="215"/>
    </row>
    <row r="13" spans="1:28" s="211" customFormat="1" ht="15.75" customHeight="1">
      <c r="A13" s="419">
        <f>A12+10</f>
        <v>50</v>
      </c>
      <c r="B13" s="420" t="s">
        <v>667</v>
      </c>
      <c r="C13" s="421">
        <f t="shared" si="4"/>
        <v>0</v>
      </c>
      <c r="D13" s="203">
        <v>0</v>
      </c>
      <c r="E13" s="203">
        <v>0</v>
      </c>
      <c r="F13" s="421">
        <f t="shared" si="3"/>
        <v>0</v>
      </c>
      <c r="G13" s="203">
        <v>0</v>
      </c>
      <c r="H13" s="203">
        <v>0</v>
      </c>
      <c r="I13" s="203">
        <v>0</v>
      </c>
      <c r="J13" s="203">
        <v>0</v>
      </c>
      <c r="K13" s="203">
        <v>0</v>
      </c>
      <c r="L13" s="203">
        <v>0</v>
      </c>
      <c r="M13" s="203">
        <v>0</v>
      </c>
      <c r="N13" s="203">
        <v>0</v>
      </c>
      <c r="O13" s="421">
        <f t="shared" si="1"/>
        <v>0</v>
      </c>
      <c r="P13" s="203">
        <v>0</v>
      </c>
      <c r="Q13" s="203">
        <v>0</v>
      </c>
      <c r="R13" s="203">
        <v>0</v>
      </c>
      <c r="S13" s="203">
        <v>0</v>
      </c>
      <c r="T13" s="203">
        <v>0</v>
      </c>
      <c r="U13" s="203">
        <v>0</v>
      </c>
      <c r="V13" s="203">
        <v>0</v>
      </c>
      <c r="W13" s="203">
        <v>0</v>
      </c>
      <c r="X13" s="203">
        <v>0</v>
      </c>
      <c r="Y13" s="203">
        <v>0</v>
      </c>
      <c r="AB13" s="215"/>
    </row>
    <row r="14" spans="1:28" s="468" customFormat="1" ht="15.75" customHeight="1">
      <c r="A14" s="466">
        <f>A13+10</f>
        <v>60</v>
      </c>
      <c r="B14" s="466" t="s">
        <v>234</v>
      </c>
      <c r="C14" s="467">
        <f t="shared" ref="C14" si="5">SUM(J14:Y14)-L14-P14-Q14</f>
        <v>29912501071</v>
      </c>
      <c r="D14" s="467">
        <f>SUM(D9:D13)</f>
        <v>4763373857</v>
      </c>
      <c r="E14" s="467">
        <f>SUM(E9:E13)</f>
        <v>25149127214</v>
      </c>
      <c r="F14" s="467">
        <f t="shared" si="3"/>
        <v>500854865</v>
      </c>
      <c r="G14" s="467">
        <f t="shared" ref="G14" si="6">SUM(G9:G13)</f>
        <v>201641115</v>
      </c>
      <c r="H14" s="467">
        <f t="shared" ref="H14:Y14" si="7">SUM(H9:H13)</f>
        <v>289245258</v>
      </c>
      <c r="I14" s="467">
        <f t="shared" si="7"/>
        <v>9968492</v>
      </c>
      <c r="J14" s="467">
        <f t="shared" si="7"/>
        <v>86723503</v>
      </c>
      <c r="K14" s="467">
        <f t="shared" si="7"/>
        <v>4785668881</v>
      </c>
      <c r="L14" s="467">
        <f t="shared" si="7"/>
        <v>4245386620</v>
      </c>
      <c r="M14" s="467">
        <f t="shared" si="7"/>
        <v>61799725</v>
      </c>
      <c r="N14" s="467">
        <f t="shared" si="7"/>
        <v>1091985813</v>
      </c>
      <c r="O14" s="467">
        <f t="shared" si="7"/>
        <v>5825050560</v>
      </c>
      <c r="P14" s="467">
        <f t="shared" si="7"/>
        <v>82069057</v>
      </c>
      <c r="Q14" s="467">
        <f t="shared" si="7"/>
        <v>5742981503</v>
      </c>
      <c r="R14" s="467">
        <f t="shared" si="7"/>
        <v>5526588165</v>
      </c>
      <c r="S14" s="467">
        <f t="shared" si="7"/>
        <v>0</v>
      </c>
      <c r="T14" s="467">
        <f t="shared" si="7"/>
        <v>127632450</v>
      </c>
      <c r="U14" s="467">
        <f t="shared" si="7"/>
        <v>0</v>
      </c>
      <c r="V14" s="467">
        <f t="shared" si="7"/>
        <v>7531095006</v>
      </c>
      <c r="W14" s="467">
        <f t="shared" si="7"/>
        <v>1717250657</v>
      </c>
      <c r="X14" s="467">
        <f t="shared" si="7"/>
        <v>0</v>
      </c>
      <c r="Y14" s="467">
        <f t="shared" si="7"/>
        <v>3158706311</v>
      </c>
      <c r="AB14" s="469"/>
    </row>
    <row r="15" spans="1:28" s="211" customFormat="1" ht="15.75" customHeight="1">
      <c r="A15" s="413"/>
      <c r="B15" s="417" t="s">
        <v>469</v>
      </c>
      <c r="C15" s="422"/>
      <c r="D15" s="422"/>
      <c r="E15" s="422"/>
      <c r="F15" s="422"/>
      <c r="G15" s="423"/>
      <c r="H15" s="422"/>
      <c r="I15" s="422"/>
      <c r="J15" s="422"/>
      <c r="K15" s="422"/>
      <c r="L15" s="422"/>
      <c r="M15" s="422"/>
      <c r="N15" s="422"/>
      <c r="O15" s="422"/>
      <c r="P15" s="422"/>
      <c r="Q15" s="422"/>
      <c r="R15" s="422"/>
      <c r="S15" s="422"/>
      <c r="T15" s="422"/>
      <c r="U15" s="422"/>
      <c r="V15" s="422"/>
      <c r="W15" s="422"/>
      <c r="X15" s="422"/>
      <c r="Y15" s="422"/>
      <c r="AB15" s="215"/>
    </row>
    <row r="16" spans="1:28" s="211" customFormat="1" ht="15.75" customHeight="1">
      <c r="A16" s="419">
        <v>70</v>
      </c>
      <c r="B16" s="420" t="s">
        <v>662</v>
      </c>
      <c r="C16" s="421">
        <f t="shared" ref="C16:C22" si="8">SUM(J16:Y16)-L16-P16-Q16</f>
        <v>0</v>
      </c>
      <c r="D16" s="203">
        <v>0</v>
      </c>
      <c r="E16" s="203">
        <v>0</v>
      </c>
      <c r="F16" s="421">
        <f t="shared" ref="F16:F22" si="9">+G16+H16+I16</f>
        <v>0</v>
      </c>
      <c r="G16" s="203">
        <v>0</v>
      </c>
      <c r="H16" s="203"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421">
        <f t="shared" ref="O16:O20" si="10">+P16+Q16</f>
        <v>0</v>
      </c>
      <c r="P16" s="203">
        <v>0</v>
      </c>
      <c r="Q16" s="203">
        <v>0</v>
      </c>
      <c r="R16" s="203">
        <v>0</v>
      </c>
      <c r="S16" s="203">
        <v>0</v>
      </c>
      <c r="T16" s="203">
        <v>0</v>
      </c>
      <c r="U16" s="203">
        <v>0</v>
      </c>
      <c r="V16" s="203">
        <v>0</v>
      </c>
      <c r="W16" s="203">
        <v>0</v>
      </c>
      <c r="X16" s="203">
        <v>0</v>
      </c>
      <c r="Y16" s="203">
        <v>0</v>
      </c>
      <c r="AB16" s="215"/>
    </row>
    <row r="17" spans="1:28" s="211" customFormat="1" ht="15.75" customHeight="1">
      <c r="A17" s="419">
        <f t="shared" si="2"/>
        <v>80</v>
      </c>
      <c r="B17" s="420" t="s">
        <v>400</v>
      </c>
      <c r="C17" s="421">
        <f t="shared" si="8"/>
        <v>789288690</v>
      </c>
      <c r="D17" s="203">
        <v>330794749</v>
      </c>
      <c r="E17" s="203">
        <v>458493941</v>
      </c>
      <c r="F17" s="421">
        <f t="shared" si="9"/>
        <v>0</v>
      </c>
      <c r="G17" s="203">
        <v>0</v>
      </c>
      <c r="H17" s="203">
        <v>0</v>
      </c>
      <c r="I17" s="203">
        <v>0</v>
      </c>
      <c r="J17" s="203">
        <v>41195460</v>
      </c>
      <c r="K17" s="203">
        <v>0</v>
      </c>
      <c r="L17" s="203">
        <v>0</v>
      </c>
      <c r="M17" s="203">
        <v>9015628</v>
      </c>
      <c r="N17" s="203">
        <v>0</v>
      </c>
      <c r="O17" s="421">
        <f t="shared" si="10"/>
        <v>327185990</v>
      </c>
      <c r="P17" s="203">
        <v>1556788</v>
      </c>
      <c r="Q17" s="203">
        <v>325629202</v>
      </c>
      <c r="R17" s="203">
        <v>121218327</v>
      </c>
      <c r="S17" s="203">
        <v>0</v>
      </c>
      <c r="T17" s="203">
        <v>0</v>
      </c>
      <c r="U17" s="203">
        <v>0</v>
      </c>
      <c r="V17" s="203">
        <v>25611990</v>
      </c>
      <c r="W17" s="203">
        <v>265061295</v>
      </c>
      <c r="X17" s="203">
        <v>0</v>
      </c>
      <c r="Y17" s="203">
        <v>0</v>
      </c>
      <c r="AB17" s="215"/>
    </row>
    <row r="18" spans="1:28" s="211" customFormat="1" ht="15.75" customHeight="1">
      <c r="A18" s="419">
        <f t="shared" si="2"/>
        <v>90</v>
      </c>
      <c r="B18" s="420" t="s">
        <v>401</v>
      </c>
      <c r="C18" s="421">
        <f t="shared" si="8"/>
        <v>4015699054</v>
      </c>
      <c r="D18" s="203">
        <v>2001495554</v>
      </c>
      <c r="E18" s="203">
        <v>2014203500</v>
      </c>
      <c r="F18" s="421">
        <f t="shared" si="9"/>
        <v>260746305</v>
      </c>
      <c r="G18" s="203">
        <v>107673112</v>
      </c>
      <c r="H18" s="203">
        <v>153073193</v>
      </c>
      <c r="I18" s="203">
        <v>0</v>
      </c>
      <c r="J18" s="203">
        <v>416758</v>
      </c>
      <c r="K18" s="203">
        <v>0</v>
      </c>
      <c r="L18" s="203">
        <v>0</v>
      </c>
      <c r="M18" s="203">
        <v>31454007</v>
      </c>
      <c r="N18" s="203">
        <v>13003626</v>
      </c>
      <c r="O18" s="421">
        <f t="shared" si="10"/>
        <v>865245645</v>
      </c>
      <c r="P18" s="203">
        <v>21357688</v>
      </c>
      <c r="Q18" s="203">
        <v>843887957</v>
      </c>
      <c r="R18" s="203">
        <v>426787534</v>
      </c>
      <c r="S18" s="203">
        <v>0</v>
      </c>
      <c r="T18" s="203">
        <v>0</v>
      </c>
      <c r="U18" s="203">
        <v>0</v>
      </c>
      <c r="V18" s="203">
        <v>1489794285</v>
      </c>
      <c r="W18" s="203">
        <v>1182472123</v>
      </c>
      <c r="X18" s="203">
        <v>0</v>
      </c>
      <c r="Y18" s="203">
        <v>6525076</v>
      </c>
      <c r="AB18" s="215"/>
    </row>
    <row r="19" spans="1:28" s="211" customFormat="1" ht="15.75" customHeight="1">
      <c r="A19" s="419">
        <f>A18+10</f>
        <v>100</v>
      </c>
      <c r="B19" s="420" t="s">
        <v>663</v>
      </c>
      <c r="C19" s="421">
        <f t="shared" si="8"/>
        <v>121348475</v>
      </c>
      <c r="D19" s="203">
        <v>28204799</v>
      </c>
      <c r="E19" s="203">
        <v>93143676</v>
      </c>
      <c r="F19" s="421">
        <f t="shared" si="9"/>
        <v>16944233</v>
      </c>
      <c r="G19" s="203">
        <v>1534407</v>
      </c>
      <c r="H19" s="203">
        <v>15409826</v>
      </c>
      <c r="I19" s="203">
        <v>0</v>
      </c>
      <c r="J19" s="203">
        <v>0</v>
      </c>
      <c r="K19" s="203">
        <v>0</v>
      </c>
      <c r="L19" s="203">
        <v>0</v>
      </c>
      <c r="M19" s="203">
        <v>2236327</v>
      </c>
      <c r="N19" s="203">
        <v>0</v>
      </c>
      <c r="O19" s="421">
        <f t="shared" si="10"/>
        <v>46516068</v>
      </c>
      <c r="P19" s="203">
        <v>1588577</v>
      </c>
      <c r="Q19" s="203">
        <v>44927491</v>
      </c>
      <c r="R19" s="203">
        <v>17209353</v>
      </c>
      <c r="S19" s="203">
        <v>0</v>
      </c>
      <c r="T19" s="203">
        <v>0</v>
      </c>
      <c r="U19" s="203">
        <v>0</v>
      </c>
      <c r="V19" s="203">
        <v>51389821</v>
      </c>
      <c r="W19" s="203">
        <v>3996906</v>
      </c>
      <c r="X19" s="203">
        <v>0</v>
      </c>
      <c r="Y19" s="203">
        <v>0</v>
      </c>
      <c r="AB19" s="215"/>
    </row>
    <row r="20" spans="1:28" s="211" customFormat="1" ht="15.75" customHeight="1">
      <c r="A20" s="419">
        <f t="shared" si="2"/>
        <v>110</v>
      </c>
      <c r="B20" s="420" t="s">
        <v>397</v>
      </c>
      <c r="C20" s="421">
        <f t="shared" si="8"/>
        <v>0</v>
      </c>
      <c r="D20" s="203">
        <v>0</v>
      </c>
      <c r="E20" s="203">
        <v>0</v>
      </c>
      <c r="F20" s="421">
        <f t="shared" si="9"/>
        <v>0</v>
      </c>
      <c r="G20" s="203">
        <v>0</v>
      </c>
      <c r="H20" s="203"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421">
        <f t="shared" si="10"/>
        <v>0</v>
      </c>
      <c r="P20" s="203">
        <v>0</v>
      </c>
      <c r="Q20" s="203">
        <v>0</v>
      </c>
      <c r="R20" s="203">
        <v>0</v>
      </c>
      <c r="S20" s="203">
        <v>0</v>
      </c>
      <c r="T20" s="203">
        <v>0</v>
      </c>
      <c r="U20" s="203">
        <v>0</v>
      </c>
      <c r="V20" s="203">
        <v>0</v>
      </c>
      <c r="W20" s="203">
        <v>0</v>
      </c>
      <c r="X20" s="203">
        <v>0</v>
      </c>
      <c r="Y20" s="203">
        <v>0</v>
      </c>
      <c r="AB20" s="215"/>
    </row>
    <row r="21" spans="1:28" s="211" customFormat="1" ht="15.75" customHeight="1">
      <c r="A21" s="419">
        <f>A20+10</f>
        <v>120</v>
      </c>
      <c r="B21" s="420" t="s">
        <v>667</v>
      </c>
      <c r="C21" s="421">
        <f t="shared" si="8"/>
        <v>0</v>
      </c>
      <c r="D21" s="203">
        <v>0</v>
      </c>
      <c r="E21" s="203">
        <v>0</v>
      </c>
      <c r="F21" s="421">
        <f t="shared" si="9"/>
        <v>0</v>
      </c>
      <c r="G21" s="203">
        <v>0</v>
      </c>
      <c r="H21" s="203"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421">
        <f>+P21+Q21</f>
        <v>0</v>
      </c>
      <c r="P21" s="203">
        <v>0</v>
      </c>
      <c r="Q21" s="203">
        <v>0</v>
      </c>
      <c r="R21" s="203">
        <v>0</v>
      </c>
      <c r="S21" s="203">
        <v>0</v>
      </c>
      <c r="T21" s="203">
        <v>0</v>
      </c>
      <c r="U21" s="203">
        <v>0</v>
      </c>
      <c r="V21" s="203">
        <v>0</v>
      </c>
      <c r="W21" s="203">
        <v>0</v>
      </c>
      <c r="X21" s="203">
        <v>0</v>
      </c>
      <c r="Y21" s="203">
        <v>0</v>
      </c>
      <c r="AB21" s="215"/>
    </row>
    <row r="22" spans="1:28" s="468" customFormat="1" ht="15.75" customHeight="1">
      <c r="A22" s="466">
        <f>A21+10</f>
        <v>130</v>
      </c>
      <c r="B22" s="466" t="s">
        <v>234</v>
      </c>
      <c r="C22" s="467">
        <f t="shared" si="8"/>
        <v>4926336219</v>
      </c>
      <c r="D22" s="467">
        <f>SUM(D16:D21)</f>
        <v>2360495102</v>
      </c>
      <c r="E22" s="467">
        <f>SUM(E16:E21)</f>
        <v>2565841117</v>
      </c>
      <c r="F22" s="467">
        <f t="shared" si="9"/>
        <v>277690538</v>
      </c>
      <c r="G22" s="467">
        <f t="shared" ref="G22:I22" si="11">SUM(G17:G21)</f>
        <v>109207519</v>
      </c>
      <c r="H22" s="467">
        <f t="shared" si="11"/>
        <v>168483019</v>
      </c>
      <c r="I22" s="467">
        <f t="shared" si="11"/>
        <v>0</v>
      </c>
      <c r="J22" s="467">
        <f t="shared" ref="J22:Y22" si="12">SUM(J16:J21)</f>
        <v>41612218</v>
      </c>
      <c r="K22" s="467">
        <f t="shared" si="12"/>
        <v>0</v>
      </c>
      <c r="L22" s="467">
        <f t="shared" si="12"/>
        <v>0</v>
      </c>
      <c r="M22" s="467">
        <f t="shared" si="12"/>
        <v>42705962</v>
      </c>
      <c r="N22" s="467">
        <f t="shared" si="12"/>
        <v>13003626</v>
      </c>
      <c r="O22" s="467">
        <f t="shared" si="12"/>
        <v>1238947703</v>
      </c>
      <c r="P22" s="467">
        <f t="shared" si="12"/>
        <v>24503053</v>
      </c>
      <c r="Q22" s="467">
        <f t="shared" si="12"/>
        <v>1214444650</v>
      </c>
      <c r="R22" s="467">
        <f t="shared" si="12"/>
        <v>565215214</v>
      </c>
      <c r="S22" s="467">
        <f t="shared" si="12"/>
        <v>0</v>
      </c>
      <c r="T22" s="467">
        <f t="shared" si="12"/>
        <v>0</v>
      </c>
      <c r="U22" s="467">
        <f t="shared" si="12"/>
        <v>0</v>
      </c>
      <c r="V22" s="467">
        <f t="shared" si="12"/>
        <v>1566796096</v>
      </c>
      <c r="W22" s="467">
        <f t="shared" si="12"/>
        <v>1451530324</v>
      </c>
      <c r="X22" s="467">
        <f t="shared" si="12"/>
        <v>0</v>
      </c>
      <c r="Y22" s="467">
        <f t="shared" si="12"/>
        <v>6525076</v>
      </c>
      <c r="AB22" s="469"/>
    </row>
    <row r="23" spans="1:28" s="211" customFormat="1" ht="15.75" customHeight="1">
      <c r="A23" s="413"/>
      <c r="B23" s="417" t="s">
        <v>470</v>
      </c>
      <c r="C23" s="422"/>
      <c r="D23" s="422"/>
      <c r="E23" s="422"/>
      <c r="F23" s="422"/>
      <c r="G23" s="423"/>
      <c r="H23" s="422"/>
      <c r="I23" s="422"/>
      <c r="J23" s="422"/>
      <c r="K23" s="422"/>
      <c r="L23" s="422"/>
      <c r="M23" s="422"/>
      <c r="N23" s="422"/>
      <c r="O23" s="422"/>
      <c r="P23" s="422"/>
      <c r="Q23" s="422"/>
      <c r="R23" s="422"/>
      <c r="S23" s="422"/>
      <c r="T23" s="422"/>
      <c r="U23" s="422"/>
      <c r="V23" s="422"/>
      <c r="W23" s="422"/>
      <c r="X23" s="422"/>
      <c r="Y23" s="422"/>
      <c r="AB23" s="215"/>
    </row>
    <row r="24" spans="1:28" s="211" customFormat="1" ht="15.75" customHeight="1">
      <c r="A24" s="419">
        <v>140</v>
      </c>
      <c r="B24" s="420" t="s">
        <v>662</v>
      </c>
      <c r="C24" s="421">
        <f t="shared" ref="C24:C29" si="13">SUM(J24:Y24)-L24-P24-Q24</f>
        <v>3130908071</v>
      </c>
      <c r="D24" s="203">
        <v>0</v>
      </c>
      <c r="E24" s="203">
        <v>3130908071</v>
      </c>
      <c r="F24" s="421">
        <f>+G24+H24+I24</f>
        <v>0</v>
      </c>
      <c r="G24" s="203">
        <v>0</v>
      </c>
      <c r="H24" s="203">
        <v>0</v>
      </c>
      <c r="I24" s="203">
        <v>0</v>
      </c>
      <c r="J24" s="203">
        <v>881006874</v>
      </c>
      <c r="K24" s="203">
        <v>1583896166</v>
      </c>
      <c r="L24" s="203">
        <v>1583896166</v>
      </c>
      <c r="M24" s="203">
        <v>0</v>
      </c>
      <c r="N24" s="203">
        <v>0</v>
      </c>
      <c r="O24" s="421">
        <f t="shared" ref="O24:O28" si="14">+P24+Q24</f>
        <v>0</v>
      </c>
      <c r="P24" s="203">
        <v>0</v>
      </c>
      <c r="Q24" s="203">
        <v>0</v>
      </c>
      <c r="R24" s="203">
        <v>17710248</v>
      </c>
      <c r="S24" s="203">
        <v>0</v>
      </c>
      <c r="T24" s="203">
        <v>0</v>
      </c>
      <c r="U24" s="203">
        <v>0</v>
      </c>
      <c r="V24" s="203">
        <v>528380933</v>
      </c>
      <c r="W24" s="203">
        <v>0</v>
      </c>
      <c r="X24" s="203">
        <v>0</v>
      </c>
      <c r="Y24" s="203">
        <v>119913850</v>
      </c>
      <c r="AB24" s="215"/>
    </row>
    <row r="25" spans="1:28" s="211" customFormat="1" ht="15.75" customHeight="1">
      <c r="A25" s="419">
        <f t="shared" si="2"/>
        <v>150</v>
      </c>
      <c r="B25" s="420" t="s">
        <v>400</v>
      </c>
      <c r="C25" s="421">
        <f t="shared" si="13"/>
        <v>0</v>
      </c>
      <c r="D25" s="203">
        <v>0</v>
      </c>
      <c r="E25" s="203">
        <v>0</v>
      </c>
      <c r="F25" s="421">
        <f t="shared" ref="F25:F29" si="15">+G25+H25+I25</f>
        <v>0</v>
      </c>
      <c r="G25" s="203">
        <v>0</v>
      </c>
      <c r="H25" s="203">
        <v>0</v>
      </c>
      <c r="I25" s="203">
        <v>0</v>
      </c>
      <c r="J25" s="203">
        <v>0</v>
      </c>
      <c r="K25" s="203">
        <v>0</v>
      </c>
      <c r="L25" s="203">
        <v>0</v>
      </c>
      <c r="M25" s="203">
        <v>0</v>
      </c>
      <c r="N25" s="203">
        <v>0</v>
      </c>
      <c r="O25" s="421">
        <f t="shared" si="14"/>
        <v>0</v>
      </c>
      <c r="P25" s="203">
        <v>0</v>
      </c>
      <c r="Q25" s="203">
        <v>0</v>
      </c>
      <c r="R25" s="203">
        <v>0</v>
      </c>
      <c r="S25" s="203">
        <v>0</v>
      </c>
      <c r="T25" s="203">
        <v>0</v>
      </c>
      <c r="U25" s="203">
        <v>0</v>
      </c>
      <c r="V25" s="203">
        <v>0</v>
      </c>
      <c r="W25" s="203">
        <v>0</v>
      </c>
      <c r="X25" s="203">
        <v>0</v>
      </c>
      <c r="Y25" s="203">
        <v>0</v>
      </c>
      <c r="AB25" s="215"/>
    </row>
    <row r="26" spans="1:28" s="211" customFormat="1" ht="15.75" customHeight="1">
      <c r="A26" s="419">
        <f t="shared" si="2"/>
        <v>160</v>
      </c>
      <c r="B26" s="420" t="s">
        <v>401</v>
      </c>
      <c r="C26" s="421">
        <f t="shared" si="13"/>
        <v>837205251</v>
      </c>
      <c r="D26" s="203">
        <v>120515494</v>
      </c>
      <c r="E26" s="203">
        <v>716689757</v>
      </c>
      <c r="F26" s="421">
        <f t="shared" si="15"/>
        <v>68756122</v>
      </c>
      <c r="G26" s="203">
        <v>63274014</v>
      </c>
      <c r="H26" s="203">
        <v>3800001</v>
      </c>
      <c r="I26" s="203">
        <v>1682107</v>
      </c>
      <c r="J26" s="203">
        <v>430163</v>
      </c>
      <c r="K26" s="203">
        <v>0</v>
      </c>
      <c r="L26" s="203">
        <v>0</v>
      </c>
      <c r="M26" s="203">
        <v>54758747</v>
      </c>
      <c r="N26" s="203">
        <v>0</v>
      </c>
      <c r="O26" s="421">
        <f t="shared" si="14"/>
        <v>358447299</v>
      </c>
      <c r="P26" s="203">
        <v>2884083</v>
      </c>
      <c r="Q26" s="203">
        <v>355563216</v>
      </c>
      <c r="R26" s="203">
        <v>33472246</v>
      </c>
      <c r="S26" s="203">
        <v>0</v>
      </c>
      <c r="T26" s="203">
        <v>0</v>
      </c>
      <c r="U26" s="203">
        <v>0</v>
      </c>
      <c r="V26" s="203">
        <v>180730754</v>
      </c>
      <c r="W26" s="203">
        <v>209100650</v>
      </c>
      <c r="X26" s="203">
        <v>0</v>
      </c>
      <c r="Y26" s="203">
        <v>265392</v>
      </c>
      <c r="AB26" s="215"/>
    </row>
    <row r="27" spans="1:28" s="211" customFormat="1" ht="15.75" customHeight="1">
      <c r="A27" s="419">
        <f t="shared" si="2"/>
        <v>170</v>
      </c>
      <c r="B27" s="420" t="s">
        <v>397</v>
      </c>
      <c r="C27" s="421">
        <f t="shared" si="13"/>
        <v>0</v>
      </c>
      <c r="D27" s="203">
        <v>0</v>
      </c>
      <c r="E27" s="203">
        <v>0</v>
      </c>
      <c r="F27" s="421">
        <f t="shared" si="15"/>
        <v>0</v>
      </c>
      <c r="G27" s="203">
        <v>0</v>
      </c>
      <c r="H27" s="203">
        <v>0</v>
      </c>
      <c r="I27" s="203">
        <v>0</v>
      </c>
      <c r="J27" s="203">
        <v>0</v>
      </c>
      <c r="K27" s="203">
        <v>0</v>
      </c>
      <c r="L27" s="203">
        <v>0</v>
      </c>
      <c r="M27" s="203">
        <v>0</v>
      </c>
      <c r="N27" s="203">
        <v>0</v>
      </c>
      <c r="O27" s="421">
        <f t="shared" si="14"/>
        <v>0</v>
      </c>
      <c r="P27" s="203">
        <v>0</v>
      </c>
      <c r="Q27" s="203">
        <v>0</v>
      </c>
      <c r="R27" s="203">
        <v>0</v>
      </c>
      <c r="S27" s="203">
        <v>0</v>
      </c>
      <c r="T27" s="203">
        <v>0</v>
      </c>
      <c r="U27" s="203">
        <v>0</v>
      </c>
      <c r="V27" s="203">
        <v>0</v>
      </c>
      <c r="W27" s="203">
        <v>0</v>
      </c>
      <c r="X27" s="203">
        <v>0</v>
      </c>
      <c r="Y27" s="203">
        <v>0</v>
      </c>
      <c r="AB27" s="215"/>
    </row>
    <row r="28" spans="1:28" s="211" customFormat="1" ht="15.75" customHeight="1">
      <c r="A28" s="419">
        <f>A27+10</f>
        <v>180</v>
      </c>
      <c r="B28" s="421" t="s">
        <v>667</v>
      </c>
      <c r="C28" s="421">
        <f t="shared" si="13"/>
        <v>0</v>
      </c>
      <c r="D28" s="203">
        <v>0</v>
      </c>
      <c r="E28" s="203">
        <v>0</v>
      </c>
      <c r="F28" s="421">
        <f t="shared" si="15"/>
        <v>0</v>
      </c>
      <c r="G28" s="203"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421">
        <f t="shared" si="14"/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AB28" s="215"/>
    </row>
    <row r="29" spans="1:28" s="468" customFormat="1" ht="15.75" customHeight="1">
      <c r="A29" s="466">
        <f>A28+10</f>
        <v>190</v>
      </c>
      <c r="B29" s="466" t="s">
        <v>234</v>
      </c>
      <c r="C29" s="467">
        <f t="shared" si="13"/>
        <v>3968113322</v>
      </c>
      <c r="D29" s="467">
        <f>SUM(D24:D28)</f>
        <v>120515494</v>
      </c>
      <c r="E29" s="467">
        <f>SUM(E24:E28)</f>
        <v>3847597828</v>
      </c>
      <c r="F29" s="467">
        <f t="shared" si="15"/>
        <v>68756122</v>
      </c>
      <c r="G29" s="467">
        <f t="shared" ref="G29:I29" si="16">SUM(G24:G28)</f>
        <v>63274014</v>
      </c>
      <c r="H29" s="467">
        <f t="shared" si="16"/>
        <v>3800001</v>
      </c>
      <c r="I29" s="467">
        <f t="shared" si="16"/>
        <v>1682107</v>
      </c>
      <c r="J29" s="467">
        <f t="shared" ref="J29:Y29" si="17">SUM(J24:J28)</f>
        <v>881437037</v>
      </c>
      <c r="K29" s="467">
        <f t="shared" si="17"/>
        <v>1583896166</v>
      </c>
      <c r="L29" s="467">
        <f t="shared" si="17"/>
        <v>1583896166</v>
      </c>
      <c r="M29" s="467">
        <f t="shared" si="17"/>
        <v>54758747</v>
      </c>
      <c r="N29" s="467">
        <f t="shared" si="17"/>
        <v>0</v>
      </c>
      <c r="O29" s="467">
        <f t="shared" si="17"/>
        <v>358447299</v>
      </c>
      <c r="P29" s="467">
        <f t="shared" si="17"/>
        <v>2884083</v>
      </c>
      <c r="Q29" s="467">
        <f t="shared" si="17"/>
        <v>355563216</v>
      </c>
      <c r="R29" s="467">
        <f t="shared" si="17"/>
        <v>51182494</v>
      </c>
      <c r="S29" s="467">
        <f t="shared" si="17"/>
        <v>0</v>
      </c>
      <c r="T29" s="467">
        <f t="shared" si="17"/>
        <v>0</v>
      </c>
      <c r="U29" s="467">
        <f t="shared" si="17"/>
        <v>0</v>
      </c>
      <c r="V29" s="467">
        <f t="shared" si="17"/>
        <v>709111687</v>
      </c>
      <c r="W29" s="467">
        <f t="shared" si="17"/>
        <v>209100650</v>
      </c>
      <c r="X29" s="467">
        <f t="shared" si="17"/>
        <v>0</v>
      </c>
      <c r="Y29" s="467">
        <f t="shared" si="17"/>
        <v>120179242</v>
      </c>
      <c r="AB29" s="469"/>
    </row>
    <row r="30" spans="1:28" s="211" customFormat="1" ht="15.75" customHeight="1">
      <c r="A30" s="413"/>
      <c r="B30" s="417" t="s">
        <v>471</v>
      </c>
      <c r="C30" s="422"/>
      <c r="D30" s="422"/>
      <c r="E30" s="422"/>
      <c r="F30" s="422"/>
      <c r="G30" s="423"/>
      <c r="H30" s="422"/>
      <c r="I30" s="422"/>
      <c r="J30" s="422"/>
      <c r="K30" s="422"/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422"/>
      <c r="W30" s="422"/>
      <c r="X30" s="422"/>
      <c r="Y30" s="422"/>
      <c r="AB30" s="215"/>
    </row>
    <row r="31" spans="1:28" s="211" customFormat="1" ht="15.75" customHeight="1">
      <c r="A31" s="419">
        <v>200</v>
      </c>
      <c r="B31" s="420" t="s">
        <v>662</v>
      </c>
      <c r="C31" s="421">
        <f t="shared" ref="C31:C36" si="18">SUM(J31:Y31)-L31-P31-Q31</f>
        <v>0</v>
      </c>
      <c r="D31" s="203">
        <v>0</v>
      </c>
      <c r="E31" s="203">
        <v>0</v>
      </c>
      <c r="F31" s="421">
        <f>+G31+H31+I31</f>
        <v>0</v>
      </c>
      <c r="G31" s="203"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421">
        <f t="shared" ref="O31:O35" si="19">+P31+Q31</f>
        <v>0</v>
      </c>
      <c r="P31" s="203">
        <v>0</v>
      </c>
      <c r="Q31" s="203">
        <v>0</v>
      </c>
      <c r="R31" s="203">
        <v>0</v>
      </c>
      <c r="S31" s="203">
        <v>0</v>
      </c>
      <c r="T31" s="203">
        <v>0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AB31" s="215"/>
    </row>
    <row r="32" spans="1:28" s="211" customFormat="1" ht="15.75" customHeight="1">
      <c r="A32" s="419">
        <f t="shared" si="2"/>
        <v>210</v>
      </c>
      <c r="B32" s="420" t="s">
        <v>400</v>
      </c>
      <c r="C32" s="421">
        <f t="shared" si="18"/>
        <v>2516725</v>
      </c>
      <c r="D32" s="203">
        <v>1170701</v>
      </c>
      <c r="E32" s="203">
        <v>1346024</v>
      </c>
      <c r="F32" s="421">
        <f t="shared" ref="F32:F36" si="20">+G32+H32+I32</f>
        <v>810756</v>
      </c>
      <c r="G32" s="203">
        <v>810756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139645</v>
      </c>
      <c r="N32" s="203">
        <v>0</v>
      </c>
      <c r="O32" s="421">
        <f t="shared" si="19"/>
        <v>919363</v>
      </c>
      <c r="P32" s="203">
        <v>0</v>
      </c>
      <c r="Q32" s="203">
        <v>919363</v>
      </c>
      <c r="R32" s="203">
        <v>0</v>
      </c>
      <c r="S32" s="203">
        <v>0</v>
      </c>
      <c r="T32" s="203">
        <v>0</v>
      </c>
      <c r="U32" s="203">
        <v>0</v>
      </c>
      <c r="V32" s="203">
        <v>1126054</v>
      </c>
      <c r="W32" s="203">
        <v>331663</v>
      </c>
      <c r="X32" s="203">
        <v>0</v>
      </c>
      <c r="Y32" s="203">
        <v>0</v>
      </c>
      <c r="AB32" s="215"/>
    </row>
    <row r="33" spans="1:28" s="211" customFormat="1" ht="15.75" customHeight="1">
      <c r="A33" s="419">
        <f t="shared" si="2"/>
        <v>220</v>
      </c>
      <c r="B33" s="420" t="s">
        <v>401</v>
      </c>
      <c r="C33" s="421">
        <f t="shared" si="18"/>
        <v>1309241651</v>
      </c>
      <c r="D33" s="203">
        <v>368458372</v>
      </c>
      <c r="E33" s="203">
        <v>940783279</v>
      </c>
      <c r="F33" s="421">
        <f t="shared" si="20"/>
        <v>93917041</v>
      </c>
      <c r="G33" s="203">
        <v>42107696</v>
      </c>
      <c r="H33" s="203">
        <v>51809345</v>
      </c>
      <c r="I33" s="203">
        <v>0</v>
      </c>
      <c r="J33" s="203">
        <v>93641</v>
      </c>
      <c r="K33" s="203">
        <v>0</v>
      </c>
      <c r="L33" s="203">
        <v>0</v>
      </c>
      <c r="M33" s="203">
        <v>26385606</v>
      </c>
      <c r="N33" s="203">
        <v>76350</v>
      </c>
      <c r="O33" s="421">
        <f t="shared" si="19"/>
        <v>440026532</v>
      </c>
      <c r="P33" s="203">
        <v>6729521</v>
      </c>
      <c r="Q33" s="203">
        <v>433297011</v>
      </c>
      <c r="R33" s="203">
        <v>35361268</v>
      </c>
      <c r="S33" s="203">
        <v>0</v>
      </c>
      <c r="T33" s="203">
        <v>0</v>
      </c>
      <c r="U33" s="203">
        <v>0</v>
      </c>
      <c r="V33" s="203">
        <v>680260077</v>
      </c>
      <c r="W33" s="203">
        <v>126847315</v>
      </c>
      <c r="X33" s="203">
        <v>0</v>
      </c>
      <c r="Y33" s="203">
        <v>190862</v>
      </c>
      <c r="AB33" s="215"/>
    </row>
    <row r="34" spans="1:28" s="211" customFormat="1" ht="15.75" customHeight="1">
      <c r="A34" s="419">
        <f t="shared" si="2"/>
        <v>230</v>
      </c>
      <c r="B34" s="420" t="s">
        <v>397</v>
      </c>
      <c r="C34" s="421">
        <f t="shared" si="18"/>
        <v>0</v>
      </c>
      <c r="D34" s="203">
        <v>0</v>
      </c>
      <c r="E34" s="203">
        <v>0</v>
      </c>
      <c r="F34" s="421">
        <f t="shared" si="20"/>
        <v>0</v>
      </c>
      <c r="G34" s="203"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421">
        <f t="shared" si="19"/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AB34" s="215"/>
    </row>
    <row r="35" spans="1:28" s="211" customFormat="1" ht="15.75" customHeight="1">
      <c r="A35" s="419">
        <f>A34+10</f>
        <v>240</v>
      </c>
      <c r="B35" s="420" t="s">
        <v>667</v>
      </c>
      <c r="C35" s="421">
        <f t="shared" si="18"/>
        <v>0</v>
      </c>
      <c r="D35" s="203">
        <v>0</v>
      </c>
      <c r="E35" s="203">
        <v>0</v>
      </c>
      <c r="F35" s="421">
        <f t="shared" si="20"/>
        <v>0</v>
      </c>
      <c r="G35" s="203"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421">
        <f t="shared" si="19"/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AB35" s="215"/>
    </row>
    <row r="36" spans="1:28" s="468" customFormat="1" ht="15.75" customHeight="1">
      <c r="A36" s="466">
        <f>A35+10</f>
        <v>250</v>
      </c>
      <c r="B36" s="466" t="s">
        <v>234</v>
      </c>
      <c r="C36" s="467">
        <f t="shared" si="18"/>
        <v>1311758376</v>
      </c>
      <c r="D36" s="467">
        <f>SUM(D31:D35)</f>
        <v>369629073</v>
      </c>
      <c r="E36" s="467">
        <f>SUM(E31:E35)</f>
        <v>942129303</v>
      </c>
      <c r="F36" s="467">
        <f t="shared" si="20"/>
        <v>94727797</v>
      </c>
      <c r="G36" s="467">
        <f t="shared" ref="G36:I36" si="21">SUM(G31:G35)</f>
        <v>42918452</v>
      </c>
      <c r="H36" s="467">
        <f t="shared" si="21"/>
        <v>51809345</v>
      </c>
      <c r="I36" s="467">
        <f t="shared" si="21"/>
        <v>0</v>
      </c>
      <c r="J36" s="467">
        <f t="shared" ref="J36:Y36" si="22">SUM(J31:J35)</f>
        <v>93641</v>
      </c>
      <c r="K36" s="467">
        <f t="shared" si="22"/>
        <v>0</v>
      </c>
      <c r="L36" s="467">
        <f t="shared" si="22"/>
        <v>0</v>
      </c>
      <c r="M36" s="467">
        <f t="shared" si="22"/>
        <v>26525251</v>
      </c>
      <c r="N36" s="467">
        <f t="shared" si="22"/>
        <v>76350</v>
      </c>
      <c r="O36" s="467">
        <f t="shared" si="22"/>
        <v>440945895</v>
      </c>
      <c r="P36" s="467">
        <f t="shared" si="22"/>
        <v>6729521</v>
      </c>
      <c r="Q36" s="467">
        <f t="shared" si="22"/>
        <v>434216374</v>
      </c>
      <c r="R36" s="467">
        <f t="shared" si="22"/>
        <v>35361268</v>
      </c>
      <c r="S36" s="467">
        <f t="shared" si="22"/>
        <v>0</v>
      </c>
      <c r="T36" s="467">
        <f t="shared" si="22"/>
        <v>0</v>
      </c>
      <c r="U36" s="467">
        <f t="shared" si="22"/>
        <v>0</v>
      </c>
      <c r="V36" s="467">
        <f t="shared" si="22"/>
        <v>681386131</v>
      </c>
      <c r="W36" s="467">
        <f t="shared" si="22"/>
        <v>127178978</v>
      </c>
      <c r="X36" s="467">
        <f t="shared" si="22"/>
        <v>0</v>
      </c>
      <c r="Y36" s="467">
        <f t="shared" si="22"/>
        <v>190862</v>
      </c>
      <c r="AB36" s="469"/>
    </row>
    <row r="37" spans="1:28" s="211" customFormat="1" ht="15.75" customHeight="1">
      <c r="A37" s="413"/>
      <c r="B37" s="417" t="s">
        <v>472</v>
      </c>
      <c r="C37" s="422"/>
      <c r="D37" s="422"/>
      <c r="E37" s="422"/>
      <c r="F37" s="422"/>
      <c r="G37" s="423"/>
      <c r="H37" s="422"/>
      <c r="I37" s="422"/>
      <c r="J37" s="422"/>
      <c r="K37" s="422"/>
      <c r="L37" s="422"/>
      <c r="M37" s="422"/>
      <c r="N37" s="422"/>
      <c r="O37" s="422"/>
      <c r="P37" s="422"/>
      <c r="Q37" s="422"/>
      <c r="R37" s="422"/>
      <c r="S37" s="422"/>
      <c r="T37" s="422"/>
      <c r="U37" s="422"/>
      <c r="V37" s="422"/>
      <c r="W37" s="422"/>
      <c r="X37" s="422"/>
      <c r="Y37" s="422"/>
      <c r="AB37" s="215"/>
    </row>
    <row r="38" spans="1:28" s="211" customFormat="1" ht="15.75" customHeight="1">
      <c r="A38" s="419">
        <v>260</v>
      </c>
      <c r="B38" s="420" t="s">
        <v>662</v>
      </c>
      <c r="C38" s="421">
        <f t="shared" ref="C38:C42" si="23">SUM(J38:Y38)-L38-P38-Q38</f>
        <v>0</v>
      </c>
      <c r="D38" s="203">
        <v>0</v>
      </c>
      <c r="E38" s="203">
        <v>0</v>
      </c>
      <c r="F38" s="421">
        <f>+G38+H38+I38</f>
        <v>0</v>
      </c>
      <c r="G38" s="203"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421">
        <f t="shared" ref="O38:O42" si="24">+P38+Q38</f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AB38" s="215"/>
    </row>
    <row r="39" spans="1:28" s="211" customFormat="1" ht="15.75" customHeight="1">
      <c r="A39" s="419">
        <f t="shared" si="2"/>
        <v>270</v>
      </c>
      <c r="B39" s="420" t="s">
        <v>400</v>
      </c>
      <c r="C39" s="421">
        <f t="shared" si="23"/>
        <v>210505732</v>
      </c>
      <c r="D39" s="203">
        <v>2886030</v>
      </c>
      <c r="E39" s="203">
        <v>207619702</v>
      </c>
      <c r="F39" s="421">
        <f t="shared" ref="F39:F43" si="25">+G39+H39+I39</f>
        <v>0</v>
      </c>
      <c r="G39" s="203"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5533725</v>
      </c>
      <c r="N39" s="203">
        <v>0</v>
      </c>
      <c r="O39" s="421">
        <f t="shared" si="24"/>
        <v>46329299</v>
      </c>
      <c r="P39" s="203">
        <v>0</v>
      </c>
      <c r="Q39" s="203">
        <v>46329299</v>
      </c>
      <c r="R39" s="203">
        <v>12183800</v>
      </c>
      <c r="S39" s="203">
        <v>0</v>
      </c>
      <c r="T39" s="203">
        <v>0</v>
      </c>
      <c r="U39" s="203">
        <v>0</v>
      </c>
      <c r="V39" s="203">
        <v>140778051</v>
      </c>
      <c r="W39" s="203">
        <v>5680857</v>
      </c>
      <c r="X39" s="203">
        <v>0</v>
      </c>
      <c r="Y39" s="203">
        <v>0</v>
      </c>
      <c r="AB39" s="215"/>
    </row>
    <row r="40" spans="1:28" s="211" customFormat="1" ht="15.75" customHeight="1">
      <c r="A40" s="419">
        <f t="shared" si="2"/>
        <v>280</v>
      </c>
      <c r="B40" s="420" t="s">
        <v>401</v>
      </c>
      <c r="C40" s="421">
        <f t="shared" si="23"/>
        <v>3255933640</v>
      </c>
      <c r="D40" s="203">
        <v>707116615</v>
      </c>
      <c r="E40" s="203">
        <v>2548817025</v>
      </c>
      <c r="F40" s="421">
        <f t="shared" si="25"/>
        <v>264987535</v>
      </c>
      <c r="G40" s="203">
        <v>60676560</v>
      </c>
      <c r="H40" s="203">
        <v>193760975</v>
      </c>
      <c r="I40" s="203">
        <v>10550000</v>
      </c>
      <c r="J40" s="203">
        <v>281355</v>
      </c>
      <c r="K40" s="203">
        <v>0</v>
      </c>
      <c r="L40" s="203">
        <v>0</v>
      </c>
      <c r="M40" s="203">
        <v>63006710</v>
      </c>
      <c r="N40" s="203">
        <v>98572342</v>
      </c>
      <c r="O40" s="421">
        <f t="shared" si="24"/>
        <v>1259278840</v>
      </c>
      <c r="P40" s="203">
        <v>7623843</v>
      </c>
      <c r="Q40" s="203">
        <v>1251654997</v>
      </c>
      <c r="R40" s="203">
        <v>80183014</v>
      </c>
      <c r="S40" s="203">
        <v>0</v>
      </c>
      <c r="T40" s="203">
        <v>0</v>
      </c>
      <c r="U40" s="203">
        <v>0</v>
      </c>
      <c r="V40" s="203">
        <v>685150388</v>
      </c>
      <c r="W40" s="203">
        <v>1067567991</v>
      </c>
      <c r="X40" s="203">
        <v>0</v>
      </c>
      <c r="Y40" s="203">
        <v>1893000</v>
      </c>
      <c r="AB40" s="215"/>
    </row>
    <row r="41" spans="1:28" s="211" customFormat="1" ht="15.75" customHeight="1">
      <c r="A41" s="419">
        <f t="shared" si="2"/>
        <v>290</v>
      </c>
      <c r="B41" s="420" t="s">
        <v>397</v>
      </c>
      <c r="C41" s="421">
        <f t="shared" si="23"/>
        <v>0</v>
      </c>
      <c r="D41" s="203">
        <f t="shared" ref="D41:D42" si="26">+E41+F41</f>
        <v>0</v>
      </c>
      <c r="E41" s="203">
        <f t="shared" ref="E41:E42" si="27">+F41+G41</f>
        <v>0</v>
      </c>
      <c r="F41" s="421">
        <f t="shared" si="25"/>
        <v>0</v>
      </c>
      <c r="G41" s="203">
        <f t="shared" ref="G41:G42" si="28">+H41+I41</f>
        <v>0</v>
      </c>
      <c r="H41" s="203">
        <f t="shared" ref="H41:H42" si="29">+I41+J41</f>
        <v>0</v>
      </c>
      <c r="I41" s="203">
        <f t="shared" ref="I41:I42" si="30">+J41+K41</f>
        <v>0</v>
      </c>
      <c r="J41" s="203">
        <f t="shared" ref="J41:J42" si="31">+K41+L41</f>
        <v>0</v>
      </c>
      <c r="K41" s="203">
        <f t="shared" ref="K41:K42" si="32">+L41+M41</f>
        <v>0</v>
      </c>
      <c r="L41" s="203">
        <f t="shared" ref="L41:L42" si="33">+M41+N41</f>
        <v>0</v>
      </c>
      <c r="M41" s="203">
        <f t="shared" ref="M41:M42" si="34">+N41+O41</f>
        <v>0</v>
      </c>
      <c r="N41" s="203">
        <f t="shared" ref="N41:N42" si="35">+O41+P41</f>
        <v>0</v>
      </c>
      <c r="O41" s="421">
        <f t="shared" si="24"/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AB41" s="215"/>
    </row>
    <row r="42" spans="1:28" s="211" customFormat="1" ht="15.75" customHeight="1">
      <c r="A42" s="419">
        <f>A41+10</f>
        <v>300</v>
      </c>
      <c r="B42" s="420" t="s">
        <v>667</v>
      </c>
      <c r="C42" s="421">
        <f t="shared" si="23"/>
        <v>0</v>
      </c>
      <c r="D42" s="203">
        <f t="shared" si="26"/>
        <v>0</v>
      </c>
      <c r="E42" s="203">
        <f t="shared" si="27"/>
        <v>0</v>
      </c>
      <c r="F42" s="421">
        <f t="shared" si="25"/>
        <v>0</v>
      </c>
      <c r="G42" s="203">
        <f t="shared" si="28"/>
        <v>0</v>
      </c>
      <c r="H42" s="203">
        <f t="shared" si="29"/>
        <v>0</v>
      </c>
      <c r="I42" s="203">
        <f t="shared" si="30"/>
        <v>0</v>
      </c>
      <c r="J42" s="203">
        <f t="shared" si="31"/>
        <v>0</v>
      </c>
      <c r="K42" s="203">
        <f t="shared" si="32"/>
        <v>0</v>
      </c>
      <c r="L42" s="203">
        <f t="shared" si="33"/>
        <v>0</v>
      </c>
      <c r="M42" s="203">
        <f t="shared" si="34"/>
        <v>0</v>
      </c>
      <c r="N42" s="203">
        <f t="shared" si="35"/>
        <v>0</v>
      </c>
      <c r="O42" s="421">
        <f t="shared" si="24"/>
        <v>0</v>
      </c>
      <c r="P42" s="203">
        <v>0</v>
      </c>
      <c r="Q42" s="203">
        <v>0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AB42" s="215"/>
    </row>
    <row r="43" spans="1:28" s="468" customFormat="1" ht="15.75" customHeight="1">
      <c r="A43" s="466">
        <f>A42+10</f>
        <v>310</v>
      </c>
      <c r="B43" s="466" t="s">
        <v>234</v>
      </c>
      <c r="C43" s="467">
        <f t="shared" ref="C43" si="36">SUM(J43:Y43)-L43-P43-Q43</f>
        <v>3466439372</v>
      </c>
      <c r="D43" s="467">
        <f>SUM(D38:D42)</f>
        <v>710002645</v>
      </c>
      <c r="E43" s="467">
        <f>SUM(E38:E42)</f>
        <v>2756436727</v>
      </c>
      <c r="F43" s="467">
        <f t="shared" si="25"/>
        <v>264987535</v>
      </c>
      <c r="G43" s="467">
        <f t="shared" ref="G43:I43" si="37">SUM(G38:G42)</f>
        <v>60676560</v>
      </c>
      <c r="H43" s="467">
        <f t="shared" si="37"/>
        <v>193760975</v>
      </c>
      <c r="I43" s="467">
        <f t="shared" si="37"/>
        <v>10550000</v>
      </c>
      <c r="J43" s="467">
        <f t="shared" ref="J43:Y43" si="38">SUM(J38:J42)</f>
        <v>281355</v>
      </c>
      <c r="K43" s="467">
        <f t="shared" si="38"/>
        <v>0</v>
      </c>
      <c r="L43" s="467">
        <f t="shared" si="38"/>
        <v>0</v>
      </c>
      <c r="M43" s="467">
        <f t="shared" si="38"/>
        <v>68540435</v>
      </c>
      <c r="N43" s="467">
        <f t="shared" si="38"/>
        <v>98572342</v>
      </c>
      <c r="O43" s="467">
        <f t="shared" si="38"/>
        <v>1305608139</v>
      </c>
      <c r="P43" s="467">
        <f t="shared" si="38"/>
        <v>7623843</v>
      </c>
      <c r="Q43" s="467">
        <f t="shared" si="38"/>
        <v>1297984296</v>
      </c>
      <c r="R43" s="467">
        <f t="shared" si="38"/>
        <v>92366814</v>
      </c>
      <c r="S43" s="467">
        <f t="shared" si="38"/>
        <v>0</v>
      </c>
      <c r="T43" s="467">
        <f t="shared" si="38"/>
        <v>0</v>
      </c>
      <c r="U43" s="467">
        <f t="shared" si="38"/>
        <v>0</v>
      </c>
      <c r="V43" s="467">
        <f t="shared" si="38"/>
        <v>825928439</v>
      </c>
      <c r="W43" s="467">
        <f t="shared" si="38"/>
        <v>1073248848</v>
      </c>
      <c r="X43" s="467">
        <f t="shared" si="38"/>
        <v>0</v>
      </c>
      <c r="Y43" s="467">
        <f t="shared" si="38"/>
        <v>1893000</v>
      </c>
      <c r="AB43" s="469"/>
    </row>
    <row r="44" spans="1:28" s="211" customFormat="1" ht="15.75" customHeight="1">
      <c r="A44" s="413"/>
      <c r="B44" s="417" t="s">
        <v>473</v>
      </c>
      <c r="C44" s="422"/>
      <c r="D44" s="422"/>
      <c r="E44" s="422"/>
      <c r="F44" s="422"/>
      <c r="G44" s="423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AB44" s="215"/>
    </row>
    <row r="45" spans="1:28" s="211" customFormat="1" ht="15.75" customHeight="1">
      <c r="A45" s="419">
        <v>320</v>
      </c>
      <c r="B45" s="420" t="s">
        <v>662</v>
      </c>
      <c r="C45" s="421">
        <f t="shared" ref="C45:C50" si="39">SUM(J45:Y45)-L45-P45-Q45</f>
        <v>1556420375</v>
      </c>
      <c r="D45" s="203">
        <v>1435427852</v>
      </c>
      <c r="E45" s="203">
        <v>120992523</v>
      </c>
      <c r="F45" s="421">
        <f>+G45+H45+I45</f>
        <v>0</v>
      </c>
      <c r="G45" s="203"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421">
        <f t="shared" ref="O45:O49" si="40">+P45+Q45</f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41540404</v>
      </c>
      <c r="W45" s="203">
        <v>0</v>
      </c>
      <c r="X45" s="203">
        <v>0</v>
      </c>
      <c r="Y45" s="203">
        <v>1514879971</v>
      </c>
      <c r="AB45" s="215"/>
    </row>
    <row r="46" spans="1:28" s="211" customFormat="1" ht="15.75" customHeight="1">
      <c r="A46" s="419">
        <f t="shared" si="2"/>
        <v>330</v>
      </c>
      <c r="B46" s="420" t="s">
        <v>400</v>
      </c>
      <c r="C46" s="421">
        <f t="shared" si="39"/>
        <v>8609646</v>
      </c>
      <c r="D46" s="203">
        <v>0</v>
      </c>
      <c r="E46" s="203">
        <v>8609646</v>
      </c>
      <c r="F46" s="421">
        <f t="shared" ref="F46:F50" si="41">+G46+H46+I46</f>
        <v>0</v>
      </c>
      <c r="G46" s="203">
        <v>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421">
        <f t="shared" si="40"/>
        <v>3736133</v>
      </c>
      <c r="P46" s="203">
        <v>0</v>
      </c>
      <c r="Q46" s="203">
        <v>3736133</v>
      </c>
      <c r="R46" s="203">
        <v>4873513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AB46" s="215"/>
    </row>
    <row r="47" spans="1:28" s="211" customFormat="1" ht="15.75" customHeight="1">
      <c r="A47" s="419">
        <f t="shared" si="2"/>
        <v>340</v>
      </c>
      <c r="B47" s="420" t="s">
        <v>401</v>
      </c>
      <c r="C47" s="421">
        <f t="shared" si="39"/>
        <v>592746241</v>
      </c>
      <c r="D47" s="203">
        <v>422140890</v>
      </c>
      <c r="E47" s="203">
        <v>170605351</v>
      </c>
      <c r="F47" s="421">
        <f t="shared" si="41"/>
        <v>5316686</v>
      </c>
      <c r="G47" s="203">
        <v>246815</v>
      </c>
      <c r="H47" s="203">
        <v>31138</v>
      </c>
      <c r="I47" s="203">
        <v>5038733</v>
      </c>
      <c r="J47" s="203">
        <v>0</v>
      </c>
      <c r="K47" s="203">
        <v>0</v>
      </c>
      <c r="L47" s="203">
        <v>0</v>
      </c>
      <c r="M47" s="203">
        <v>22115782</v>
      </c>
      <c r="N47" s="203">
        <v>0</v>
      </c>
      <c r="O47" s="421">
        <f t="shared" si="40"/>
        <v>246095042</v>
      </c>
      <c r="P47" s="203">
        <v>1140892</v>
      </c>
      <c r="Q47" s="203">
        <v>244954150</v>
      </c>
      <c r="R47" s="203">
        <v>6052989</v>
      </c>
      <c r="S47" s="203">
        <v>0</v>
      </c>
      <c r="T47" s="203">
        <v>0</v>
      </c>
      <c r="U47" s="203">
        <v>0</v>
      </c>
      <c r="V47" s="203">
        <v>294037765</v>
      </c>
      <c r="W47" s="203">
        <v>24444663</v>
      </c>
      <c r="X47" s="203">
        <v>0</v>
      </c>
      <c r="Y47" s="203">
        <v>0</v>
      </c>
      <c r="AB47" s="215"/>
    </row>
    <row r="48" spans="1:28" s="211" customFormat="1" ht="15.75" customHeight="1">
      <c r="A48" s="419">
        <f t="shared" si="2"/>
        <v>350</v>
      </c>
      <c r="B48" s="420" t="s">
        <v>397</v>
      </c>
      <c r="C48" s="421">
        <f t="shared" si="39"/>
        <v>0</v>
      </c>
      <c r="D48" s="203">
        <v>0</v>
      </c>
      <c r="E48" s="203">
        <v>0</v>
      </c>
      <c r="F48" s="421">
        <f t="shared" si="41"/>
        <v>0</v>
      </c>
      <c r="G48" s="203"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421">
        <f t="shared" si="40"/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AB48" s="215"/>
    </row>
    <row r="49" spans="1:28" s="211" customFormat="1" ht="15.75" customHeight="1">
      <c r="A49" s="419">
        <f>A48+10</f>
        <v>360</v>
      </c>
      <c r="B49" s="420" t="s">
        <v>667</v>
      </c>
      <c r="C49" s="421">
        <f t="shared" si="39"/>
        <v>0</v>
      </c>
      <c r="D49" s="203">
        <v>0</v>
      </c>
      <c r="E49" s="203">
        <v>0</v>
      </c>
      <c r="F49" s="421">
        <f t="shared" si="41"/>
        <v>0</v>
      </c>
      <c r="G49" s="203"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421">
        <f t="shared" si="40"/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AB49" s="215"/>
    </row>
    <row r="50" spans="1:28" s="468" customFormat="1" ht="15.75" customHeight="1">
      <c r="A50" s="466">
        <f>A49+10</f>
        <v>370</v>
      </c>
      <c r="B50" s="466" t="s">
        <v>234</v>
      </c>
      <c r="C50" s="467">
        <f t="shared" si="39"/>
        <v>2157776262</v>
      </c>
      <c r="D50" s="467">
        <f>SUM(D45:D49)</f>
        <v>1857568742</v>
      </c>
      <c r="E50" s="467">
        <f>SUM(E45:E49)</f>
        <v>300207520</v>
      </c>
      <c r="F50" s="467">
        <f t="shared" si="41"/>
        <v>5316686</v>
      </c>
      <c r="G50" s="467">
        <f t="shared" ref="G50:I50" si="42">SUM(G45:G49)</f>
        <v>246815</v>
      </c>
      <c r="H50" s="467">
        <f t="shared" si="42"/>
        <v>31138</v>
      </c>
      <c r="I50" s="467">
        <f t="shared" si="42"/>
        <v>5038733</v>
      </c>
      <c r="J50" s="467">
        <f t="shared" ref="J50:Y50" si="43">SUM(J45:J49)</f>
        <v>0</v>
      </c>
      <c r="K50" s="467">
        <f t="shared" si="43"/>
        <v>0</v>
      </c>
      <c r="L50" s="467">
        <f t="shared" si="43"/>
        <v>0</v>
      </c>
      <c r="M50" s="467">
        <f t="shared" si="43"/>
        <v>22115782</v>
      </c>
      <c r="N50" s="467">
        <f t="shared" si="43"/>
        <v>0</v>
      </c>
      <c r="O50" s="467">
        <f t="shared" si="43"/>
        <v>249831175</v>
      </c>
      <c r="P50" s="467">
        <f t="shared" si="43"/>
        <v>1140892</v>
      </c>
      <c r="Q50" s="467">
        <f t="shared" si="43"/>
        <v>248690283</v>
      </c>
      <c r="R50" s="467">
        <f t="shared" si="43"/>
        <v>10926502</v>
      </c>
      <c r="S50" s="467">
        <f t="shared" si="43"/>
        <v>0</v>
      </c>
      <c r="T50" s="467">
        <f t="shared" si="43"/>
        <v>0</v>
      </c>
      <c r="U50" s="467">
        <f t="shared" si="43"/>
        <v>0</v>
      </c>
      <c r="V50" s="467">
        <f t="shared" si="43"/>
        <v>335578169</v>
      </c>
      <c r="W50" s="467">
        <f t="shared" si="43"/>
        <v>24444663</v>
      </c>
      <c r="X50" s="467">
        <f t="shared" si="43"/>
        <v>0</v>
      </c>
      <c r="Y50" s="467">
        <f t="shared" si="43"/>
        <v>1514879971</v>
      </c>
      <c r="AB50" s="469"/>
    </row>
    <row r="51" spans="1:28" s="211" customFormat="1" ht="15.75" customHeight="1">
      <c r="A51" s="413"/>
      <c r="B51" s="417" t="s">
        <v>474</v>
      </c>
      <c r="C51" s="422"/>
      <c r="D51" s="422"/>
      <c r="E51" s="422"/>
      <c r="F51" s="422"/>
      <c r="G51" s="423"/>
      <c r="H51" s="422"/>
      <c r="I51" s="422"/>
      <c r="J51" s="422"/>
      <c r="K51" s="422"/>
      <c r="L51" s="422"/>
      <c r="M51" s="422"/>
      <c r="N51" s="422"/>
      <c r="O51" s="422"/>
      <c r="P51" s="422"/>
      <c r="Q51" s="422"/>
      <c r="R51" s="422"/>
      <c r="S51" s="422"/>
      <c r="T51" s="422"/>
      <c r="U51" s="422"/>
      <c r="V51" s="422"/>
      <c r="W51" s="422"/>
      <c r="X51" s="422"/>
      <c r="Y51" s="422"/>
      <c r="AB51" s="215"/>
    </row>
    <row r="52" spans="1:28" s="211" customFormat="1" ht="15.75" customHeight="1">
      <c r="A52" s="419">
        <v>380</v>
      </c>
      <c r="B52" s="420" t="s">
        <v>662</v>
      </c>
      <c r="C52" s="421">
        <f t="shared" ref="C52:C57" si="44">SUM(J52:Y52)-L52-P52-Q52</f>
        <v>0</v>
      </c>
      <c r="D52" s="203">
        <v>0</v>
      </c>
      <c r="E52" s="203">
        <v>0</v>
      </c>
      <c r="F52" s="421">
        <f t="shared" ref="F52" si="45">+G52+H52+I52</f>
        <v>0</v>
      </c>
      <c r="G52" s="203">
        <v>0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421">
        <f t="shared" ref="O52:O57" si="46">+P52+Q52</f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AB52" s="215"/>
    </row>
    <row r="53" spans="1:28" s="211" customFormat="1" ht="15.75" customHeight="1">
      <c r="A53" s="419">
        <f t="shared" si="2"/>
        <v>390</v>
      </c>
      <c r="B53" s="420" t="s">
        <v>400</v>
      </c>
      <c r="C53" s="421">
        <f t="shared" si="44"/>
        <v>0</v>
      </c>
      <c r="D53" s="203">
        <v>0</v>
      </c>
      <c r="E53" s="203">
        <v>0</v>
      </c>
      <c r="F53" s="421">
        <f>+G53+H53+I53</f>
        <v>0</v>
      </c>
      <c r="G53" s="203">
        <v>0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421">
        <f t="shared" si="46"/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AB53" s="215"/>
    </row>
    <row r="54" spans="1:28" s="211" customFormat="1" ht="15.75" customHeight="1">
      <c r="A54" s="419">
        <f t="shared" si="2"/>
        <v>400</v>
      </c>
      <c r="B54" s="420" t="s">
        <v>401</v>
      </c>
      <c r="C54" s="421">
        <f t="shared" si="44"/>
        <v>0</v>
      </c>
      <c r="D54" s="203">
        <v>0</v>
      </c>
      <c r="E54" s="203">
        <v>0</v>
      </c>
      <c r="F54" s="421">
        <f t="shared" ref="F54:F58" si="47">+G54+H54+I54</f>
        <v>0</v>
      </c>
      <c r="G54" s="203">
        <v>0</v>
      </c>
      <c r="H54" s="203">
        <v>0</v>
      </c>
      <c r="I54" s="203">
        <v>0</v>
      </c>
      <c r="J54" s="203">
        <v>0</v>
      </c>
      <c r="K54" s="203">
        <v>0</v>
      </c>
      <c r="L54" s="203">
        <v>0</v>
      </c>
      <c r="M54" s="203">
        <v>0</v>
      </c>
      <c r="N54" s="203">
        <v>0</v>
      </c>
      <c r="O54" s="421">
        <f t="shared" si="46"/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AB54" s="215"/>
    </row>
    <row r="55" spans="1:28" s="211" customFormat="1" ht="15.75" customHeight="1">
      <c r="A55" s="419">
        <f t="shared" si="2"/>
        <v>410</v>
      </c>
      <c r="B55" s="420" t="s">
        <v>397</v>
      </c>
      <c r="C55" s="421">
        <f t="shared" si="44"/>
        <v>0</v>
      </c>
      <c r="D55" s="203">
        <v>0</v>
      </c>
      <c r="E55" s="203">
        <v>0</v>
      </c>
      <c r="F55" s="421">
        <f t="shared" si="47"/>
        <v>0</v>
      </c>
      <c r="G55" s="203"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421">
        <f t="shared" si="46"/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AB55" s="215"/>
    </row>
    <row r="56" spans="1:28" s="211" customFormat="1" ht="15.75" customHeight="1">
      <c r="A56" s="419">
        <v>485</v>
      </c>
      <c r="B56" s="420" t="s">
        <v>665</v>
      </c>
      <c r="C56" s="421">
        <f t="shared" ref="C56" si="48">SUM(J56:Y56)-L56-P56-Q56</f>
        <v>1605566</v>
      </c>
      <c r="D56" s="203">
        <v>1605566</v>
      </c>
      <c r="E56" s="203">
        <v>0</v>
      </c>
      <c r="F56" s="421">
        <f t="shared" si="47"/>
        <v>138125</v>
      </c>
      <c r="G56" s="203">
        <v>138125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421">
        <f t="shared" si="46"/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1003838</v>
      </c>
      <c r="W56" s="203">
        <v>571728</v>
      </c>
      <c r="X56" s="203">
        <v>0</v>
      </c>
      <c r="Y56" s="203">
        <v>30000</v>
      </c>
      <c r="AB56" s="215"/>
    </row>
    <row r="57" spans="1:28" s="211" customFormat="1" ht="15.75" customHeight="1">
      <c r="A57" s="419">
        <f>A55+10</f>
        <v>420</v>
      </c>
      <c r="B57" s="420" t="s">
        <v>667</v>
      </c>
      <c r="C57" s="421">
        <f t="shared" si="44"/>
        <v>0</v>
      </c>
      <c r="D57" s="203">
        <v>0</v>
      </c>
      <c r="E57" s="203">
        <v>0</v>
      </c>
      <c r="F57" s="421">
        <f t="shared" si="47"/>
        <v>0</v>
      </c>
      <c r="G57" s="203">
        <v>0</v>
      </c>
      <c r="H57" s="203">
        <v>0</v>
      </c>
      <c r="I57" s="203">
        <v>0</v>
      </c>
      <c r="J57" s="203">
        <v>0</v>
      </c>
      <c r="K57" s="203">
        <v>0</v>
      </c>
      <c r="L57" s="203">
        <v>0</v>
      </c>
      <c r="M57" s="203">
        <v>0</v>
      </c>
      <c r="N57" s="203">
        <v>0</v>
      </c>
      <c r="O57" s="421">
        <f t="shared" si="46"/>
        <v>0</v>
      </c>
      <c r="P57" s="203">
        <v>0</v>
      </c>
      <c r="Q57" s="203">
        <v>0</v>
      </c>
      <c r="R57" s="203">
        <v>0</v>
      </c>
      <c r="S57" s="203">
        <v>0</v>
      </c>
      <c r="T57" s="203">
        <v>0</v>
      </c>
      <c r="U57" s="203">
        <v>0</v>
      </c>
      <c r="V57" s="203">
        <v>0</v>
      </c>
      <c r="W57" s="203">
        <v>0</v>
      </c>
      <c r="X57" s="203">
        <v>0</v>
      </c>
      <c r="Y57" s="203">
        <v>0</v>
      </c>
      <c r="AB57" s="215"/>
    </row>
    <row r="58" spans="1:28" s="468" customFormat="1" ht="15.75" customHeight="1">
      <c r="A58" s="466">
        <f>A57+10</f>
        <v>430</v>
      </c>
      <c r="B58" s="466" t="s">
        <v>234</v>
      </c>
      <c r="C58" s="467">
        <f t="shared" ref="C58:C71" si="49">SUM(J58:Y58)-L58-P58-Q58</f>
        <v>1605566</v>
      </c>
      <c r="D58" s="467">
        <f>SUM(D52:D57)</f>
        <v>1605566</v>
      </c>
      <c r="E58" s="467">
        <f>SUM(E52:E57)</f>
        <v>0</v>
      </c>
      <c r="F58" s="467">
        <f t="shared" si="47"/>
        <v>138125</v>
      </c>
      <c r="G58" s="467">
        <f t="shared" ref="G58:I58" si="50">SUM(G53:G57)</f>
        <v>138125</v>
      </c>
      <c r="H58" s="467">
        <f t="shared" si="50"/>
        <v>0</v>
      </c>
      <c r="I58" s="467">
        <f t="shared" si="50"/>
        <v>0</v>
      </c>
      <c r="J58" s="467">
        <f t="shared" ref="J58:Y58" si="51">SUM(J52:J57)</f>
        <v>0</v>
      </c>
      <c r="K58" s="467">
        <f t="shared" si="51"/>
        <v>0</v>
      </c>
      <c r="L58" s="467">
        <f t="shared" si="51"/>
        <v>0</v>
      </c>
      <c r="M58" s="467">
        <f t="shared" si="51"/>
        <v>0</v>
      </c>
      <c r="N58" s="467">
        <f t="shared" si="51"/>
        <v>0</v>
      </c>
      <c r="O58" s="467">
        <f t="shared" si="51"/>
        <v>0</v>
      </c>
      <c r="P58" s="467">
        <f t="shared" si="51"/>
        <v>0</v>
      </c>
      <c r="Q58" s="467">
        <f t="shared" si="51"/>
        <v>0</v>
      </c>
      <c r="R58" s="467">
        <f t="shared" si="51"/>
        <v>0</v>
      </c>
      <c r="S58" s="467">
        <f t="shared" si="51"/>
        <v>0</v>
      </c>
      <c r="T58" s="467">
        <f t="shared" si="51"/>
        <v>0</v>
      </c>
      <c r="U58" s="467">
        <f t="shared" si="51"/>
        <v>0</v>
      </c>
      <c r="V58" s="467">
        <f t="shared" si="51"/>
        <v>1003838</v>
      </c>
      <c r="W58" s="467">
        <f t="shared" si="51"/>
        <v>571728</v>
      </c>
      <c r="X58" s="467">
        <f t="shared" si="51"/>
        <v>0</v>
      </c>
      <c r="Y58" s="467">
        <f t="shared" si="51"/>
        <v>30000</v>
      </c>
      <c r="AB58" s="469"/>
    </row>
    <row r="59" spans="1:28" s="211" customFormat="1" ht="15.75" customHeight="1">
      <c r="A59" s="413"/>
      <c r="B59" s="417" t="s">
        <v>475</v>
      </c>
      <c r="C59" s="422"/>
      <c r="D59" s="424"/>
      <c r="E59" s="424"/>
      <c r="F59" s="422"/>
      <c r="G59" s="425"/>
      <c r="H59" s="424"/>
      <c r="I59" s="424"/>
      <c r="J59" s="424"/>
      <c r="K59" s="424"/>
      <c r="L59" s="424"/>
      <c r="M59" s="424"/>
      <c r="N59" s="424"/>
      <c r="O59" s="422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AB59" s="215"/>
    </row>
    <row r="60" spans="1:28" s="211" customFormat="1" ht="15.75" customHeight="1">
      <c r="A60" s="419">
        <v>440</v>
      </c>
      <c r="B60" s="420" t="s">
        <v>662</v>
      </c>
      <c r="C60" s="421">
        <f t="shared" si="49"/>
        <v>371830246</v>
      </c>
      <c r="D60" s="203">
        <v>371830246</v>
      </c>
      <c r="E60" s="203">
        <v>0</v>
      </c>
      <c r="F60" s="421">
        <f t="shared" ref="F60:F65" si="52">+G60+H60+I60</f>
        <v>0</v>
      </c>
      <c r="G60" s="203">
        <v>0</v>
      </c>
      <c r="H60" s="203">
        <v>0</v>
      </c>
      <c r="I60" s="203">
        <v>0</v>
      </c>
      <c r="J60" s="203">
        <v>0</v>
      </c>
      <c r="K60" s="203">
        <v>121000801</v>
      </c>
      <c r="L60" s="203">
        <v>0</v>
      </c>
      <c r="M60" s="203">
        <v>28758609</v>
      </c>
      <c r="N60" s="203">
        <v>0</v>
      </c>
      <c r="O60" s="421">
        <f t="shared" ref="O60:O71" si="53">+P60+Q60</f>
        <v>175478979</v>
      </c>
      <c r="P60" s="203">
        <v>0</v>
      </c>
      <c r="Q60" s="203">
        <v>175478979</v>
      </c>
      <c r="R60" s="203">
        <v>0</v>
      </c>
      <c r="S60" s="203">
        <v>0</v>
      </c>
      <c r="T60" s="203">
        <v>0</v>
      </c>
      <c r="U60" s="203">
        <v>0</v>
      </c>
      <c r="V60" s="203">
        <v>41940806</v>
      </c>
      <c r="W60" s="203">
        <v>4651051</v>
      </c>
      <c r="X60" s="203">
        <v>0</v>
      </c>
      <c r="Y60" s="203">
        <v>0</v>
      </c>
      <c r="AB60" s="215"/>
    </row>
    <row r="61" spans="1:28" s="211" customFormat="1" ht="15.75" customHeight="1">
      <c r="A61" s="419">
        <f t="shared" si="2"/>
        <v>450</v>
      </c>
      <c r="B61" s="420" t="s">
        <v>400</v>
      </c>
      <c r="C61" s="421">
        <f t="shared" si="49"/>
        <v>1218707466</v>
      </c>
      <c r="D61" s="203">
        <v>126831270</v>
      </c>
      <c r="E61" s="203">
        <v>1091876196</v>
      </c>
      <c r="F61" s="421">
        <f t="shared" si="52"/>
        <v>0</v>
      </c>
      <c r="G61" s="203">
        <v>0</v>
      </c>
      <c r="H61" s="203">
        <v>0</v>
      </c>
      <c r="I61" s="203">
        <v>0</v>
      </c>
      <c r="J61" s="203">
        <v>0</v>
      </c>
      <c r="K61" s="203">
        <v>0</v>
      </c>
      <c r="L61" s="203">
        <v>0</v>
      </c>
      <c r="M61" s="203">
        <v>46295763</v>
      </c>
      <c r="N61" s="203">
        <v>0</v>
      </c>
      <c r="O61" s="421">
        <f t="shared" si="53"/>
        <v>964259005</v>
      </c>
      <c r="P61" s="203">
        <v>0</v>
      </c>
      <c r="Q61" s="203">
        <v>964259005</v>
      </c>
      <c r="R61" s="203">
        <v>25735139</v>
      </c>
      <c r="S61" s="203">
        <v>0</v>
      </c>
      <c r="T61" s="203">
        <v>0</v>
      </c>
      <c r="U61" s="203">
        <v>0</v>
      </c>
      <c r="V61" s="203">
        <v>182417559</v>
      </c>
      <c r="W61" s="203">
        <v>0</v>
      </c>
      <c r="X61" s="203">
        <v>0</v>
      </c>
      <c r="Y61" s="203">
        <v>0</v>
      </c>
      <c r="AB61" s="215"/>
    </row>
    <row r="62" spans="1:28" s="211" customFormat="1" ht="15.75" customHeight="1">
      <c r="A62" s="419">
        <f t="shared" si="2"/>
        <v>460</v>
      </c>
      <c r="B62" s="420" t="s">
        <v>401</v>
      </c>
      <c r="C62" s="421">
        <f t="shared" si="49"/>
        <v>1971896497</v>
      </c>
      <c r="D62" s="203">
        <v>612151756</v>
      </c>
      <c r="E62" s="203">
        <v>1359744741</v>
      </c>
      <c r="F62" s="421">
        <f t="shared" si="52"/>
        <v>29263619</v>
      </c>
      <c r="G62" s="203">
        <v>8839572</v>
      </c>
      <c r="H62" s="203">
        <v>20424047</v>
      </c>
      <c r="I62" s="203">
        <v>0</v>
      </c>
      <c r="J62" s="203">
        <v>50000000</v>
      </c>
      <c r="K62" s="203">
        <v>0</v>
      </c>
      <c r="L62" s="203">
        <v>0</v>
      </c>
      <c r="M62" s="203">
        <v>26306417</v>
      </c>
      <c r="N62" s="203">
        <v>0</v>
      </c>
      <c r="O62" s="421">
        <f t="shared" si="53"/>
        <v>724133918</v>
      </c>
      <c r="P62" s="203">
        <v>25141676</v>
      </c>
      <c r="Q62" s="203">
        <v>698992242</v>
      </c>
      <c r="R62" s="203">
        <v>95238190</v>
      </c>
      <c r="S62" s="203">
        <v>0</v>
      </c>
      <c r="T62" s="203">
        <v>0</v>
      </c>
      <c r="U62" s="203">
        <v>285418</v>
      </c>
      <c r="V62" s="203">
        <v>976703346</v>
      </c>
      <c r="W62" s="203">
        <v>93187430</v>
      </c>
      <c r="X62" s="203">
        <v>0</v>
      </c>
      <c r="Y62" s="203">
        <v>6041778</v>
      </c>
      <c r="AB62" s="215"/>
    </row>
    <row r="63" spans="1:28" s="211" customFormat="1" ht="15.75" customHeight="1">
      <c r="A63" s="419">
        <f t="shared" si="2"/>
        <v>470</v>
      </c>
      <c r="B63" s="420" t="s">
        <v>659</v>
      </c>
      <c r="C63" s="421">
        <f t="shared" si="49"/>
        <v>0</v>
      </c>
      <c r="D63" s="203">
        <v>0</v>
      </c>
      <c r="E63" s="203">
        <v>0</v>
      </c>
      <c r="F63" s="421">
        <f t="shared" si="52"/>
        <v>0</v>
      </c>
      <c r="G63" s="203">
        <v>0</v>
      </c>
      <c r="H63" s="203">
        <v>0</v>
      </c>
      <c r="I63" s="203">
        <v>0</v>
      </c>
      <c r="J63" s="203">
        <v>0</v>
      </c>
      <c r="K63" s="203">
        <v>0</v>
      </c>
      <c r="L63" s="203">
        <v>0</v>
      </c>
      <c r="M63" s="203">
        <v>0</v>
      </c>
      <c r="N63" s="203">
        <v>0</v>
      </c>
      <c r="O63" s="421">
        <f t="shared" si="53"/>
        <v>0</v>
      </c>
      <c r="P63" s="203">
        <v>0</v>
      </c>
      <c r="Q63" s="203">
        <v>0</v>
      </c>
      <c r="R63" s="203">
        <v>0</v>
      </c>
      <c r="S63" s="203">
        <v>0</v>
      </c>
      <c r="T63" s="203">
        <v>0</v>
      </c>
      <c r="U63" s="203">
        <v>0</v>
      </c>
      <c r="V63" s="203">
        <v>0</v>
      </c>
      <c r="W63" s="203">
        <v>0</v>
      </c>
      <c r="X63" s="203">
        <v>0</v>
      </c>
      <c r="Y63" s="203">
        <v>0</v>
      </c>
      <c r="AB63" s="215"/>
    </row>
    <row r="64" spans="1:28" s="211" customFormat="1" ht="15.75" customHeight="1">
      <c r="A64" s="419">
        <f t="shared" si="2"/>
        <v>480</v>
      </c>
      <c r="B64" s="420" t="s">
        <v>661</v>
      </c>
      <c r="C64" s="421">
        <f t="shared" si="49"/>
        <v>0</v>
      </c>
      <c r="D64" s="203">
        <v>0</v>
      </c>
      <c r="E64" s="203">
        <v>0</v>
      </c>
      <c r="F64" s="421">
        <f t="shared" si="52"/>
        <v>0</v>
      </c>
      <c r="G64" s="203">
        <v>0</v>
      </c>
      <c r="H64" s="203">
        <v>0</v>
      </c>
      <c r="I64" s="203">
        <v>0</v>
      </c>
      <c r="J64" s="203">
        <v>0</v>
      </c>
      <c r="K64" s="203">
        <v>0</v>
      </c>
      <c r="L64" s="203">
        <v>0</v>
      </c>
      <c r="M64" s="203">
        <v>0</v>
      </c>
      <c r="N64" s="203">
        <v>0</v>
      </c>
      <c r="O64" s="421">
        <f t="shared" si="53"/>
        <v>0</v>
      </c>
      <c r="P64" s="203">
        <v>0</v>
      </c>
      <c r="Q64" s="203">
        <v>0</v>
      </c>
      <c r="R64" s="203">
        <v>0</v>
      </c>
      <c r="S64" s="203">
        <v>0</v>
      </c>
      <c r="T64" s="203">
        <v>0</v>
      </c>
      <c r="U64" s="203">
        <v>0</v>
      </c>
      <c r="V64" s="203">
        <v>0</v>
      </c>
      <c r="W64" s="203">
        <v>0</v>
      </c>
      <c r="X64" s="203">
        <v>0</v>
      </c>
      <c r="Y64" s="203">
        <v>0</v>
      </c>
      <c r="AB64" s="215"/>
    </row>
    <row r="65" spans="1:28" s="211" customFormat="1" ht="15.75" customHeight="1">
      <c r="A65" s="419">
        <f t="shared" si="2"/>
        <v>490</v>
      </c>
      <c r="B65" s="420" t="s">
        <v>397</v>
      </c>
      <c r="C65" s="421">
        <f t="shared" si="49"/>
        <v>0</v>
      </c>
      <c r="D65" s="203">
        <v>0</v>
      </c>
      <c r="E65" s="203">
        <v>0</v>
      </c>
      <c r="F65" s="421">
        <f t="shared" si="52"/>
        <v>0</v>
      </c>
      <c r="G65" s="203">
        <v>0</v>
      </c>
      <c r="H65" s="203">
        <v>0</v>
      </c>
      <c r="I65" s="203">
        <v>0</v>
      </c>
      <c r="J65" s="203">
        <v>0</v>
      </c>
      <c r="K65" s="203">
        <v>0</v>
      </c>
      <c r="L65" s="203">
        <v>0</v>
      </c>
      <c r="M65" s="203">
        <v>0</v>
      </c>
      <c r="N65" s="203">
        <v>0</v>
      </c>
      <c r="O65" s="421">
        <f t="shared" si="53"/>
        <v>0</v>
      </c>
      <c r="P65" s="203">
        <v>0</v>
      </c>
      <c r="Q65" s="203">
        <v>0</v>
      </c>
      <c r="R65" s="203">
        <v>0</v>
      </c>
      <c r="S65" s="203">
        <v>0</v>
      </c>
      <c r="T65" s="203">
        <v>0</v>
      </c>
      <c r="U65" s="203">
        <v>0</v>
      </c>
      <c r="V65" s="203">
        <v>0</v>
      </c>
      <c r="W65" s="203">
        <v>0</v>
      </c>
      <c r="X65" s="203">
        <v>0</v>
      </c>
      <c r="Y65" s="203">
        <v>0</v>
      </c>
      <c r="AB65" s="215"/>
    </row>
    <row r="66" spans="1:28" s="211" customFormat="1" ht="15.75" customHeight="1">
      <c r="A66" s="419">
        <f t="shared" si="2"/>
        <v>500</v>
      </c>
      <c r="B66" s="420" t="s">
        <v>709</v>
      </c>
      <c r="C66" s="421">
        <f t="shared" si="49"/>
        <v>2946729</v>
      </c>
      <c r="D66" s="203">
        <v>2946729</v>
      </c>
      <c r="E66" s="203">
        <v>0</v>
      </c>
      <c r="F66" s="421">
        <f t="shared" ref="F66:F71" si="54">+G66+H66+I66</f>
        <v>446729</v>
      </c>
      <c r="G66" s="203">
        <v>0</v>
      </c>
      <c r="H66" s="203">
        <v>446729</v>
      </c>
      <c r="I66" s="203">
        <v>0</v>
      </c>
      <c r="J66" s="203">
        <v>0</v>
      </c>
      <c r="K66" s="203">
        <v>0</v>
      </c>
      <c r="L66" s="203">
        <v>0</v>
      </c>
      <c r="M66" s="203">
        <v>446729</v>
      </c>
      <c r="N66" s="203">
        <v>0</v>
      </c>
      <c r="O66" s="421">
        <f t="shared" si="53"/>
        <v>2500000</v>
      </c>
      <c r="P66" s="203">
        <v>0</v>
      </c>
      <c r="Q66" s="203">
        <v>2500000</v>
      </c>
      <c r="R66" s="203">
        <v>0</v>
      </c>
      <c r="S66" s="203">
        <v>0</v>
      </c>
      <c r="T66" s="203">
        <v>0</v>
      </c>
      <c r="U66" s="203">
        <v>0</v>
      </c>
      <c r="V66" s="203">
        <v>0</v>
      </c>
      <c r="W66" s="203">
        <v>0</v>
      </c>
      <c r="X66" s="203">
        <v>0</v>
      </c>
      <c r="Y66" s="203">
        <v>0</v>
      </c>
      <c r="AB66" s="215"/>
    </row>
    <row r="67" spans="1:28" s="211" customFormat="1" ht="15.75" customHeight="1">
      <c r="A67" s="419">
        <f t="shared" ref="A67:A85" si="55">A66+10</f>
        <v>510</v>
      </c>
      <c r="B67" s="420" t="s">
        <v>665</v>
      </c>
      <c r="C67" s="421">
        <f t="shared" si="49"/>
        <v>0</v>
      </c>
      <c r="D67" s="203">
        <v>0</v>
      </c>
      <c r="E67" s="203">
        <v>0</v>
      </c>
      <c r="F67" s="421">
        <f t="shared" si="54"/>
        <v>0</v>
      </c>
      <c r="G67" s="203">
        <v>0</v>
      </c>
      <c r="H67" s="203">
        <v>0</v>
      </c>
      <c r="I67" s="203">
        <v>0</v>
      </c>
      <c r="J67" s="203">
        <v>0</v>
      </c>
      <c r="K67" s="203">
        <v>0</v>
      </c>
      <c r="L67" s="203">
        <v>0</v>
      </c>
      <c r="M67" s="203">
        <v>0</v>
      </c>
      <c r="N67" s="203">
        <v>0</v>
      </c>
      <c r="O67" s="421">
        <f t="shared" si="53"/>
        <v>0</v>
      </c>
      <c r="P67" s="203">
        <v>0</v>
      </c>
      <c r="Q67" s="203">
        <v>0</v>
      </c>
      <c r="R67" s="203">
        <v>0</v>
      </c>
      <c r="S67" s="203">
        <v>0</v>
      </c>
      <c r="T67" s="203">
        <v>0</v>
      </c>
      <c r="U67" s="203">
        <v>0</v>
      </c>
      <c r="V67" s="203">
        <v>0</v>
      </c>
      <c r="W67" s="203">
        <v>0</v>
      </c>
      <c r="X67" s="203">
        <v>0</v>
      </c>
      <c r="Y67" s="203">
        <v>0</v>
      </c>
      <c r="AB67" s="215"/>
    </row>
    <row r="68" spans="1:28" s="211" customFormat="1" ht="15.75" customHeight="1">
      <c r="A68" s="419">
        <f t="shared" si="55"/>
        <v>520</v>
      </c>
      <c r="B68" s="420" t="s">
        <v>666</v>
      </c>
      <c r="C68" s="421">
        <f t="shared" si="49"/>
        <v>0</v>
      </c>
      <c r="D68" s="203">
        <v>0</v>
      </c>
      <c r="E68" s="203">
        <v>0</v>
      </c>
      <c r="F68" s="421">
        <f t="shared" si="54"/>
        <v>0</v>
      </c>
      <c r="G68" s="203">
        <v>0</v>
      </c>
      <c r="H68" s="203">
        <v>0</v>
      </c>
      <c r="I68" s="203">
        <v>0</v>
      </c>
      <c r="J68" s="203">
        <v>0</v>
      </c>
      <c r="K68" s="203">
        <v>0</v>
      </c>
      <c r="L68" s="203">
        <v>0</v>
      </c>
      <c r="M68" s="203">
        <v>0</v>
      </c>
      <c r="N68" s="203">
        <v>0</v>
      </c>
      <c r="O68" s="421">
        <f t="shared" si="53"/>
        <v>0</v>
      </c>
      <c r="P68" s="203">
        <v>0</v>
      </c>
      <c r="Q68" s="203">
        <v>0</v>
      </c>
      <c r="R68" s="203">
        <v>0</v>
      </c>
      <c r="S68" s="203">
        <v>0</v>
      </c>
      <c r="T68" s="203">
        <v>0</v>
      </c>
      <c r="U68" s="203">
        <v>0</v>
      </c>
      <c r="V68" s="203">
        <v>0</v>
      </c>
      <c r="W68" s="203">
        <v>0</v>
      </c>
      <c r="X68" s="203">
        <v>0</v>
      </c>
      <c r="Y68" s="203">
        <v>0</v>
      </c>
      <c r="AB68" s="215"/>
    </row>
    <row r="69" spans="1:28" s="211" customFormat="1" ht="15.75" customHeight="1">
      <c r="A69" s="419">
        <f>A68+10</f>
        <v>530</v>
      </c>
      <c r="B69" s="420" t="s">
        <v>667</v>
      </c>
      <c r="C69" s="421">
        <f t="shared" si="49"/>
        <v>0</v>
      </c>
      <c r="D69" s="203">
        <v>0</v>
      </c>
      <c r="E69" s="203">
        <v>0</v>
      </c>
      <c r="F69" s="421">
        <f t="shared" si="54"/>
        <v>0</v>
      </c>
      <c r="G69" s="203">
        <v>0</v>
      </c>
      <c r="H69" s="203">
        <v>0</v>
      </c>
      <c r="I69" s="203">
        <v>0</v>
      </c>
      <c r="J69" s="203">
        <v>0</v>
      </c>
      <c r="K69" s="203">
        <v>0</v>
      </c>
      <c r="L69" s="203">
        <v>0</v>
      </c>
      <c r="M69" s="203">
        <v>0</v>
      </c>
      <c r="N69" s="203">
        <v>0</v>
      </c>
      <c r="O69" s="421">
        <f t="shared" si="53"/>
        <v>0</v>
      </c>
      <c r="P69" s="203">
        <v>0</v>
      </c>
      <c r="Q69" s="203">
        <v>0</v>
      </c>
      <c r="R69" s="203">
        <v>0</v>
      </c>
      <c r="S69" s="203">
        <v>0</v>
      </c>
      <c r="T69" s="203">
        <v>0</v>
      </c>
      <c r="U69" s="203">
        <v>0</v>
      </c>
      <c r="V69" s="203">
        <v>0</v>
      </c>
      <c r="W69" s="203">
        <v>0</v>
      </c>
      <c r="X69" s="203">
        <v>0</v>
      </c>
      <c r="Y69" s="203">
        <v>0</v>
      </c>
      <c r="AB69" s="215"/>
    </row>
    <row r="70" spans="1:28" s="468" customFormat="1" ht="15.75" customHeight="1">
      <c r="A70" s="466">
        <f>A69+10</f>
        <v>540</v>
      </c>
      <c r="B70" s="466" t="s">
        <v>234</v>
      </c>
      <c r="C70" s="467">
        <f t="shared" si="49"/>
        <v>3565380938</v>
      </c>
      <c r="D70" s="467">
        <f>SUM(D60:D69)</f>
        <v>1113760001</v>
      </c>
      <c r="E70" s="467">
        <f>SUM(E60:E69)</f>
        <v>2451620937</v>
      </c>
      <c r="F70" s="467">
        <f t="shared" si="54"/>
        <v>29710348</v>
      </c>
      <c r="G70" s="467">
        <f>SUM(G60:G69)</f>
        <v>8839572</v>
      </c>
      <c r="H70" s="467">
        <f>SUM(H60:H69)</f>
        <v>20870776</v>
      </c>
      <c r="I70" s="467">
        <f>SUM(I60:I69)</f>
        <v>0</v>
      </c>
      <c r="J70" s="467">
        <f t="shared" ref="J70:Y70" si="56">SUM(J60:J69)</f>
        <v>50000000</v>
      </c>
      <c r="K70" s="467">
        <f t="shared" si="56"/>
        <v>121000801</v>
      </c>
      <c r="L70" s="467">
        <f t="shared" si="56"/>
        <v>0</v>
      </c>
      <c r="M70" s="467">
        <f t="shared" si="56"/>
        <v>101807518</v>
      </c>
      <c r="N70" s="467">
        <f t="shared" si="56"/>
        <v>0</v>
      </c>
      <c r="O70" s="467">
        <f t="shared" si="56"/>
        <v>1866371902</v>
      </c>
      <c r="P70" s="467">
        <f t="shared" si="56"/>
        <v>25141676</v>
      </c>
      <c r="Q70" s="467">
        <f t="shared" si="56"/>
        <v>1841230226</v>
      </c>
      <c r="R70" s="467">
        <f t="shared" si="56"/>
        <v>120973329</v>
      </c>
      <c r="S70" s="467">
        <f t="shared" si="56"/>
        <v>0</v>
      </c>
      <c r="T70" s="467">
        <f t="shared" si="56"/>
        <v>0</v>
      </c>
      <c r="U70" s="467">
        <f t="shared" si="56"/>
        <v>285418</v>
      </c>
      <c r="V70" s="467">
        <f t="shared" si="56"/>
        <v>1201061711</v>
      </c>
      <c r="W70" s="467">
        <f t="shared" si="56"/>
        <v>97838481</v>
      </c>
      <c r="X70" s="467">
        <f t="shared" si="56"/>
        <v>0</v>
      </c>
      <c r="Y70" s="467">
        <f t="shared" si="56"/>
        <v>6041778</v>
      </c>
      <c r="AB70" s="469"/>
    </row>
    <row r="71" spans="1:28" s="211" customFormat="1" ht="17.25" customHeight="1">
      <c r="A71" s="419">
        <v>550</v>
      </c>
      <c r="B71" s="426" t="s">
        <v>707</v>
      </c>
      <c r="C71" s="421">
        <f t="shared" si="49"/>
        <v>7814492786</v>
      </c>
      <c r="D71" s="203">
        <v>7814492786</v>
      </c>
      <c r="E71" s="203">
        <v>0</v>
      </c>
      <c r="F71" s="421">
        <f t="shared" si="54"/>
        <v>40993913</v>
      </c>
      <c r="G71" s="203">
        <v>19062315</v>
      </c>
      <c r="H71" s="203">
        <v>21931598</v>
      </c>
      <c r="I71" s="203">
        <v>0</v>
      </c>
      <c r="J71" s="203">
        <v>0</v>
      </c>
      <c r="K71" s="203">
        <v>0</v>
      </c>
      <c r="L71" s="203">
        <v>0</v>
      </c>
      <c r="M71" s="203">
        <v>438097917</v>
      </c>
      <c r="N71" s="203">
        <v>0</v>
      </c>
      <c r="O71" s="421">
        <f t="shared" si="53"/>
        <v>4705786266</v>
      </c>
      <c r="P71" s="203">
        <v>4703336166</v>
      </c>
      <c r="Q71" s="203">
        <v>2450100</v>
      </c>
      <c r="R71" s="203">
        <v>0</v>
      </c>
      <c r="S71" s="203">
        <v>0</v>
      </c>
      <c r="T71" s="203">
        <v>0</v>
      </c>
      <c r="U71" s="203">
        <v>154457</v>
      </c>
      <c r="V71" s="203">
        <v>1717574217</v>
      </c>
      <c r="W71" s="203">
        <v>945825798</v>
      </c>
      <c r="X71" s="203">
        <v>4031829</v>
      </c>
      <c r="Y71" s="203">
        <v>3022302</v>
      </c>
    </row>
    <row r="72" spans="1:28" s="211" customFormat="1" ht="15.75" customHeight="1">
      <c r="A72" s="413"/>
      <c r="B72" s="417" t="s">
        <v>708</v>
      </c>
      <c r="C72" s="422"/>
      <c r="D72" s="422"/>
      <c r="E72" s="422"/>
      <c r="F72" s="422"/>
      <c r="G72" s="423"/>
      <c r="H72" s="422"/>
      <c r="I72" s="422"/>
      <c r="J72" s="422"/>
      <c r="K72" s="422"/>
      <c r="L72" s="422"/>
      <c r="M72" s="422"/>
      <c r="N72" s="422"/>
      <c r="O72" s="422"/>
      <c r="P72" s="422"/>
      <c r="Q72" s="422"/>
      <c r="R72" s="422"/>
      <c r="S72" s="422"/>
      <c r="T72" s="422"/>
      <c r="U72" s="422"/>
      <c r="V72" s="422"/>
      <c r="W72" s="422"/>
      <c r="X72" s="422"/>
      <c r="Y72" s="422"/>
      <c r="AB72" s="215"/>
    </row>
    <row r="73" spans="1:28" s="211" customFormat="1" ht="15.75" customHeight="1">
      <c r="A73" s="419">
        <f>A71+10</f>
        <v>560</v>
      </c>
      <c r="B73" s="420" t="s">
        <v>398</v>
      </c>
      <c r="C73" s="421">
        <f t="shared" ref="C73:C85" si="57">SUM(J73:Y73)-L73-P73-Q73</f>
        <v>7814492786</v>
      </c>
      <c r="D73" s="421">
        <f t="shared" ref="D73:Y73" si="58">+D71</f>
        <v>7814492786</v>
      </c>
      <c r="E73" s="421">
        <f t="shared" ref="E73" si="59">+E71</f>
        <v>0</v>
      </c>
      <c r="F73" s="421">
        <f t="shared" si="58"/>
        <v>40993913</v>
      </c>
      <c r="G73" s="421">
        <f t="shared" ref="G73" si="60">+G71</f>
        <v>19062315</v>
      </c>
      <c r="H73" s="421">
        <f t="shared" si="58"/>
        <v>21931598</v>
      </c>
      <c r="I73" s="421">
        <f t="shared" si="58"/>
        <v>0</v>
      </c>
      <c r="J73" s="421">
        <f t="shared" si="58"/>
        <v>0</v>
      </c>
      <c r="K73" s="421">
        <f t="shared" si="58"/>
        <v>0</v>
      </c>
      <c r="L73" s="421">
        <f t="shared" si="58"/>
        <v>0</v>
      </c>
      <c r="M73" s="421">
        <f t="shared" si="58"/>
        <v>438097917</v>
      </c>
      <c r="N73" s="421">
        <f t="shared" si="58"/>
        <v>0</v>
      </c>
      <c r="O73" s="421">
        <f t="shared" si="58"/>
        <v>4705786266</v>
      </c>
      <c r="P73" s="421">
        <f t="shared" si="58"/>
        <v>4703336166</v>
      </c>
      <c r="Q73" s="421">
        <f t="shared" si="58"/>
        <v>2450100</v>
      </c>
      <c r="R73" s="421">
        <f t="shared" si="58"/>
        <v>0</v>
      </c>
      <c r="S73" s="421">
        <f t="shared" si="58"/>
        <v>0</v>
      </c>
      <c r="T73" s="421">
        <f t="shared" si="58"/>
        <v>0</v>
      </c>
      <c r="U73" s="421">
        <f t="shared" si="58"/>
        <v>154457</v>
      </c>
      <c r="V73" s="421">
        <f t="shared" si="58"/>
        <v>1717574217</v>
      </c>
      <c r="W73" s="421">
        <f t="shared" si="58"/>
        <v>945825798</v>
      </c>
      <c r="X73" s="421">
        <f t="shared" si="58"/>
        <v>4031829</v>
      </c>
      <c r="Y73" s="421">
        <f t="shared" si="58"/>
        <v>3022302</v>
      </c>
      <c r="AB73" s="215"/>
    </row>
    <row r="74" spans="1:28" s="211" customFormat="1" ht="15.75" customHeight="1">
      <c r="A74" s="419">
        <f t="shared" si="55"/>
        <v>570</v>
      </c>
      <c r="B74" s="420" t="s">
        <v>662</v>
      </c>
      <c r="C74" s="421">
        <f t="shared" si="57"/>
        <v>14102735134</v>
      </c>
      <c r="D74" s="421">
        <f t="shared" ref="D74:F76" si="61">D9+D16+D24+D31+D38+D45+D52+D60</f>
        <v>4201535495</v>
      </c>
      <c r="E74" s="421">
        <f t="shared" si="61"/>
        <v>9901199639</v>
      </c>
      <c r="F74" s="421">
        <f t="shared" si="61"/>
        <v>0</v>
      </c>
      <c r="G74" s="421">
        <f t="shared" ref="G74" si="62">G9+G16+G24+G31+G38+G45+G52+G60</f>
        <v>0</v>
      </c>
      <c r="H74" s="421">
        <f t="shared" ref="H74:Y74" si="63">H9+H16+H24+H31+H38+H45+H52+H60</f>
        <v>0</v>
      </c>
      <c r="I74" s="421">
        <f t="shared" si="63"/>
        <v>0</v>
      </c>
      <c r="J74" s="421">
        <f t="shared" si="63"/>
        <v>881006874</v>
      </c>
      <c r="K74" s="421">
        <f t="shared" si="63"/>
        <v>6490565848</v>
      </c>
      <c r="L74" s="421">
        <f t="shared" si="63"/>
        <v>5829282786</v>
      </c>
      <c r="M74" s="421">
        <f t="shared" si="63"/>
        <v>28758609</v>
      </c>
      <c r="N74" s="421">
        <f t="shared" si="63"/>
        <v>377148300</v>
      </c>
      <c r="O74" s="421">
        <f t="shared" si="63"/>
        <v>523324232</v>
      </c>
      <c r="P74" s="421">
        <f t="shared" si="63"/>
        <v>0</v>
      </c>
      <c r="Q74" s="421">
        <f t="shared" si="63"/>
        <v>523324232</v>
      </c>
      <c r="R74" s="421">
        <f t="shared" si="63"/>
        <v>579529827</v>
      </c>
      <c r="S74" s="421">
        <f t="shared" si="63"/>
        <v>0</v>
      </c>
      <c r="T74" s="421">
        <f t="shared" si="63"/>
        <v>127632450</v>
      </c>
      <c r="U74" s="421">
        <f t="shared" si="63"/>
        <v>0</v>
      </c>
      <c r="V74" s="421">
        <f t="shared" si="63"/>
        <v>2081901916</v>
      </c>
      <c r="W74" s="421">
        <f t="shared" si="63"/>
        <v>4651051</v>
      </c>
      <c r="X74" s="421">
        <f t="shared" si="63"/>
        <v>0</v>
      </c>
      <c r="Y74" s="421">
        <f t="shared" si="63"/>
        <v>3008216027</v>
      </c>
      <c r="AB74" s="215"/>
    </row>
    <row r="75" spans="1:28" s="211" customFormat="1" ht="15.75" customHeight="1">
      <c r="A75" s="419">
        <f t="shared" si="55"/>
        <v>580</v>
      </c>
      <c r="B75" s="420" t="s">
        <v>400</v>
      </c>
      <c r="C75" s="421">
        <f t="shared" si="57"/>
        <v>10296625676</v>
      </c>
      <c r="D75" s="421">
        <f t="shared" si="61"/>
        <v>897491978</v>
      </c>
      <c r="E75" s="421">
        <f t="shared" si="61"/>
        <v>9399133698</v>
      </c>
      <c r="F75" s="421">
        <f t="shared" si="61"/>
        <v>57026796</v>
      </c>
      <c r="G75" s="421">
        <f t="shared" ref="G75" si="64">G10+G17+G25+G32+G39+G46+G53+G61</f>
        <v>810756</v>
      </c>
      <c r="H75" s="421">
        <f t="shared" ref="H75:Y75" si="65">H10+H17+H25+H32+H39+H46+H53+H61</f>
        <v>46247548</v>
      </c>
      <c r="I75" s="421">
        <f t="shared" si="65"/>
        <v>9968492</v>
      </c>
      <c r="J75" s="421">
        <f t="shared" si="65"/>
        <v>42429337</v>
      </c>
      <c r="K75" s="421">
        <f t="shared" si="65"/>
        <v>0</v>
      </c>
      <c r="L75" s="421">
        <f t="shared" si="65"/>
        <v>0</v>
      </c>
      <c r="M75" s="421">
        <f t="shared" si="65"/>
        <v>65829552</v>
      </c>
      <c r="N75" s="421">
        <f t="shared" si="65"/>
        <v>145131391</v>
      </c>
      <c r="O75" s="421">
        <f t="shared" si="65"/>
        <v>3371893715</v>
      </c>
      <c r="P75" s="421">
        <f t="shared" si="65"/>
        <v>1556788</v>
      </c>
      <c r="Q75" s="421">
        <f t="shared" si="65"/>
        <v>3370336927</v>
      </c>
      <c r="R75" s="421">
        <f t="shared" si="65"/>
        <v>2825041597</v>
      </c>
      <c r="S75" s="421">
        <f t="shared" si="65"/>
        <v>0</v>
      </c>
      <c r="T75" s="421">
        <f t="shared" si="65"/>
        <v>0</v>
      </c>
      <c r="U75" s="421">
        <f t="shared" si="65"/>
        <v>0</v>
      </c>
      <c r="V75" s="421">
        <f t="shared" si="65"/>
        <v>2140185010</v>
      </c>
      <c r="W75" s="421">
        <f t="shared" si="65"/>
        <v>611979922</v>
      </c>
      <c r="X75" s="421">
        <f t="shared" si="65"/>
        <v>0</v>
      </c>
      <c r="Y75" s="421">
        <f t="shared" si="65"/>
        <v>1094135152</v>
      </c>
      <c r="AB75" s="215"/>
    </row>
    <row r="76" spans="1:28" s="211" customFormat="1" ht="15.75" customHeight="1">
      <c r="A76" s="419">
        <f t="shared" si="55"/>
        <v>590</v>
      </c>
      <c r="B76" s="420" t="s">
        <v>401</v>
      </c>
      <c r="C76" s="421">
        <f t="shared" si="57"/>
        <v>24784649546</v>
      </c>
      <c r="D76" s="421">
        <f t="shared" si="61"/>
        <v>6165165913</v>
      </c>
      <c r="E76" s="421">
        <f t="shared" si="61"/>
        <v>18619483633</v>
      </c>
      <c r="F76" s="421">
        <f t="shared" si="61"/>
        <v>1167626133</v>
      </c>
      <c r="G76" s="421">
        <f t="shared" ref="G76" si="66">G11+G18+G26+G33+G40+G47+G54+G62</f>
        <v>484458884</v>
      </c>
      <c r="H76" s="421">
        <f t="shared" ref="H76:Y76" si="67">H11+H18+H26+H33+H40+H47+H54+H62</f>
        <v>665896409</v>
      </c>
      <c r="I76" s="421">
        <f t="shared" si="67"/>
        <v>17270840</v>
      </c>
      <c r="J76" s="421">
        <f t="shared" si="67"/>
        <v>136711543</v>
      </c>
      <c r="K76" s="421">
        <f t="shared" si="67"/>
        <v>0</v>
      </c>
      <c r="L76" s="421">
        <f t="shared" si="67"/>
        <v>0</v>
      </c>
      <c r="M76" s="421">
        <f t="shared" si="67"/>
        <v>280982203</v>
      </c>
      <c r="N76" s="421">
        <f t="shared" si="67"/>
        <v>681358440</v>
      </c>
      <c r="O76" s="421">
        <f t="shared" si="67"/>
        <v>7340968658</v>
      </c>
      <c r="P76" s="421">
        <f t="shared" si="67"/>
        <v>146946760</v>
      </c>
      <c r="Q76" s="421">
        <f t="shared" si="67"/>
        <v>7194021898</v>
      </c>
      <c r="R76" s="421">
        <f t="shared" si="67"/>
        <v>2980833009</v>
      </c>
      <c r="S76" s="421">
        <f t="shared" si="67"/>
        <v>0</v>
      </c>
      <c r="T76" s="421">
        <f t="shared" si="67"/>
        <v>0</v>
      </c>
      <c r="U76" s="421">
        <f t="shared" si="67"/>
        <v>285418</v>
      </c>
      <c r="V76" s="421">
        <f t="shared" si="67"/>
        <v>8577480492</v>
      </c>
      <c r="W76" s="421">
        <f t="shared" si="67"/>
        <v>4079964722</v>
      </c>
      <c r="X76" s="421">
        <f t="shared" si="67"/>
        <v>0</v>
      </c>
      <c r="Y76" s="421">
        <f t="shared" si="67"/>
        <v>706065061</v>
      </c>
      <c r="AB76" s="215"/>
    </row>
    <row r="77" spans="1:28" s="211" customFormat="1" ht="15.75" customHeight="1">
      <c r="A77" s="419">
        <f t="shared" si="55"/>
        <v>600</v>
      </c>
      <c r="B77" s="420" t="s">
        <v>663</v>
      </c>
      <c r="C77" s="421">
        <f t="shared" si="57"/>
        <v>121348475</v>
      </c>
      <c r="D77" s="421">
        <f>D19</f>
        <v>28204799</v>
      </c>
      <c r="E77" s="421">
        <f>E19</f>
        <v>93143676</v>
      </c>
      <c r="F77" s="421">
        <f>F19</f>
        <v>16944233</v>
      </c>
      <c r="G77" s="421">
        <f t="shared" ref="G77" si="68">G19</f>
        <v>1534407</v>
      </c>
      <c r="H77" s="421">
        <f t="shared" ref="H77:Y77" si="69">H19</f>
        <v>15409826</v>
      </c>
      <c r="I77" s="421">
        <f t="shared" si="69"/>
        <v>0</v>
      </c>
      <c r="J77" s="421">
        <f t="shared" si="69"/>
        <v>0</v>
      </c>
      <c r="K77" s="421">
        <f t="shared" si="69"/>
        <v>0</v>
      </c>
      <c r="L77" s="421">
        <f t="shared" si="69"/>
        <v>0</v>
      </c>
      <c r="M77" s="421">
        <f t="shared" si="69"/>
        <v>2236327</v>
      </c>
      <c r="N77" s="421">
        <f t="shared" si="69"/>
        <v>0</v>
      </c>
      <c r="O77" s="421">
        <f t="shared" si="69"/>
        <v>46516068</v>
      </c>
      <c r="P77" s="421">
        <f t="shared" si="69"/>
        <v>1588577</v>
      </c>
      <c r="Q77" s="421">
        <f t="shared" si="69"/>
        <v>44927491</v>
      </c>
      <c r="R77" s="421">
        <f t="shared" si="69"/>
        <v>17209353</v>
      </c>
      <c r="S77" s="421">
        <f t="shared" si="69"/>
        <v>0</v>
      </c>
      <c r="T77" s="421">
        <f t="shared" si="69"/>
        <v>0</v>
      </c>
      <c r="U77" s="421">
        <f t="shared" si="69"/>
        <v>0</v>
      </c>
      <c r="V77" s="421">
        <f t="shared" si="69"/>
        <v>51389821</v>
      </c>
      <c r="W77" s="421">
        <f t="shared" si="69"/>
        <v>3996906</v>
      </c>
      <c r="X77" s="421">
        <f t="shared" si="69"/>
        <v>0</v>
      </c>
      <c r="Y77" s="421">
        <f t="shared" si="69"/>
        <v>0</v>
      </c>
      <c r="AB77" s="215"/>
    </row>
    <row r="78" spans="1:28" s="211" customFormat="1" ht="15.75" customHeight="1">
      <c r="A78" s="419">
        <f t="shared" si="55"/>
        <v>610</v>
      </c>
      <c r="B78" s="420" t="s">
        <v>661</v>
      </c>
      <c r="C78" s="421">
        <f t="shared" si="57"/>
        <v>0</v>
      </c>
      <c r="D78" s="421">
        <f t="shared" ref="D78:Y78" si="70">D64</f>
        <v>0</v>
      </c>
      <c r="E78" s="421">
        <f t="shared" ref="E78" si="71">E64</f>
        <v>0</v>
      </c>
      <c r="F78" s="421">
        <f t="shared" si="70"/>
        <v>0</v>
      </c>
      <c r="G78" s="421">
        <f t="shared" ref="G78" si="72">G64</f>
        <v>0</v>
      </c>
      <c r="H78" s="421">
        <f t="shared" si="70"/>
        <v>0</v>
      </c>
      <c r="I78" s="421">
        <f t="shared" si="70"/>
        <v>0</v>
      </c>
      <c r="J78" s="421">
        <f t="shared" si="70"/>
        <v>0</v>
      </c>
      <c r="K78" s="421">
        <f t="shared" si="70"/>
        <v>0</v>
      </c>
      <c r="L78" s="421">
        <f t="shared" si="70"/>
        <v>0</v>
      </c>
      <c r="M78" s="421">
        <f t="shared" si="70"/>
        <v>0</v>
      </c>
      <c r="N78" s="421">
        <f t="shared" si="70"/>
        <v>0</v>
      </c>
      <c r="O78" s="421">
        <f t="shared" si="70"/>
        <v>0</v>
      </c>
      <c r="P78" s="421">
        <f t="shared" si="70"/>
        <v>0</v>
      </c>
      <c r="Q78" s="421">
        <f t="shared" si="70"/>
        <v>0</v>
      </c>
      <c r="R78" s="421">
        <f t="shared" si="70"/>
        <v>0</v>
      </c>
      <c r="S78" s="421">
        <f t="shared" si="70"/>
        <v>0</v>
      </c>
      <c r="T78" s="421">
        <f t="shared" si="70"/>
        <v>0</v>
      </c>
      <c r="U78" s="421">
        <f t="shared" si="70"/>
        <v>0</v>
      </c>
      <c r="V78" s="421">
        <f t="shared" si="70"/>
        <v>0</v>
      </c>
      <c r="W78" s="421">
        <f t="shared" si="70"/>
        <v>0</v>
      </c>
      <c r="X78" s="421">
        <f t="shared" si="70"/>
        <v>0</v>
      </c>
      <c r="Y78" s="421">
        <f t="shared" si="70"/>
        <v>0</v>
      </c>
      <c r="AB78" s="215"/>
    </row>
    <row r="79" spans="1:28" s="211" customFormat="1" ht="15.75" customHeight="1">
      <c r="A79" s="419">
        <f t="shared" si="55"/>
        <v>620</v>
      </c>
      <c r="B79" s="420" t="s">
        <v>659</v>
      </c>
      <c r="C79" s="421">
        <f t="shared" si="57"/>
        <v>0</v>
      </c>
      <c r="D79" s="421">
        <f t="shared" ref="D79:Y79" si="73">D63</f>
        <v>0</v>
      </c>
      <c r="E79" s="421">
        <f t="shared" ref="E79" si="74">E63</f>
        <v>0</v>
      </c>
      <c r="F79" s="421">
        <f t="shared" si="73"/>
        <v>0</v>
      </c>
      <c r="G79" s="421">
        <f t="shared" ref="G79" si="75">G63</f>
        <v>0</v>
      </c>
      <c r="H79" s="421">
        <f t="shared" si="73"/>
        <v>0</v>
      </c>
      <c r="I79" s="421">
        <f t="shared" si="73"/>
        <v>0</v>
      </c>
      <c r="J79" s="421">
        <f t="shared" si="73"/>
        <v>0</v>
      </c>
      <c r="K79" s="421">
        <f t="shared" si="73"/>
        <v>0</v>
      </c>
      <c r="L79" s="421">
        <f t="shared" si="73"/>
        <v>0</v>
      </c>
      <c r="M79" s="421">
        <f t="shared" si="73"/>
        <v>0</v>
      </c>
      <c r="N79" s="421">
        <f t="shared" si="73"/>
        <v>0</v>
      </c>
      <c r="O79" s="421">
        <f t="shared" si="73"/>
        <v>0</v>
      </c>
      <c r="P79" s="421">
        <f t="shared" si="73"/>
        <v>0</v>
      </c>
      <c r="Q79" s="421">
        <f t="shared" si="73"/>
        <v>0</v>
      </c>
      <c r="R79" s="421">
        <f t="shared" si="73"/>
        <v>0</v>
      </c>
      <c r="S79" s="421">
        <f t="shared" si="73"/>
        <v>0</v>
      </c>
      <c r="T79" s="421">
        <f t="shared" si="73"/>
        <v>0</v>
      </c>
      <c r="U79" s="421">
        <f t="shared" si="73"/>
        <v>0</v>
      </c>
      <c r="V79" s="421">
        <f t="shared" si="73"/>
        <v>0</v>
      </c>
      <c r="W79" s="421">
        <f t="shared" si="73"/>
        <v>0</v>
      </c>
      <c r="X79" s="421">
        <f t="shared" si="73"/>
        <v>0</v>
      </c>
      <c r="Y79" s="421">
        <f t="shared" si="73"/>
        <v>0</v>
      </c>
      <c r="AB79" s="215"/>
    </row>
    <row r="80" spans="1:28" s="211" customFormat="1" ht="15.75" customHeight="1">
      <c r="A80" s="419">
        <f t="shared" si="55"/>
        <v>630</v>
      </c>
      <c r="B80" s="420" t="s">
        <v>397</v>
      </c>
      <c r="C80" s="421">
        <f t="shared" si="57"/>
        <v>0</v>
      </c>
      <c r="D80" s="421">
        <f>D12+D20+D27+D34+D41+D48+D55+D65</f>
        <v>0</v>
      </c>
      <c r="E80" s="421">
        <f>E12+E20+E27+E34+E41+E48+E55+E65</f>
        <v>0</v>
      </c>
      <c r="F80" s="421">
        <f>F12+F20+F27+F34+F41+F48+F55+F65</f>
        <v>0</v>
      </c>
      <c r="G80" s="421">
        <f t="shared" ref="G80" si="76">G12+G20+G27+G34+G41+G48+G55+G65</f>
        <v>0</v>
      </c>
      <c r="H80" s="421">
        <f t="shared" ref="H80:Y80" si="77">H12+H20+H27+H34+H41+H48+H55+H65</f>
        <v>0</v>
      </c>
      <c r="I80" s="421">
        <f t="shared" si="77"/>
        <v>0</v>
      </c>
      <c r="J80" s="421">
        <f t="shared" si="77"/>
        <v>0</v>
      </c>
      <c r="K80" s="421">
        <f t="shared" si="77"/>
        <v>0</v>
      </c>
      <c r="L80" s="421">
        <f t="shared" si="77"/>
        <v>0</v>
      </c>
      <c r="M80" s="421">
        <f t="shared" si="77"/>
        <v>0</v>
      </c>
      <c r="N80" s="421">
        <f t="shared" si="77"/>
        <v>0</v>
      </c>
      <c r="O80" s="421">
        <f t="shared" si="77"/>
        <v>0</v>
      </c>
      <c r="P80" s="421">
        <f t="shared" si="77"/>
        <v>0</v>
      </c>
      <c r="Q80" s="421">
        <f t="shared" si="77"/>
        <v>0</v>
      </c>
      <c r="R80" s="421">
        <f t="shared" si="77"/>
        <v>0</v>
      </c>
      <c r="S80" s="421">
        <f t="shared" si="77"/>
        <v>0</v>
      </c>
      <c r="T80" s="421">
        <f t="shared" si="77"/>
        <v>0</v>
      </c>
      <c r="U80" s="421">
        <f t="shared" si="77"/>
        <v>0</v>
      </c>
      <c r="V80" s="421">
        <f t="shared" si="77"/>
        <v>0</v>
      </c>
      <c r="W80" s="421">
        <f t="shared" si="77"/>
        <v>0</v>
      </c>
      <c r="X80" s="421">
        <f t="shared" si="77"/>
        <v>0</v>
      </c>
      <c r="Y80" s="421">
        <f t="shared" si="77"/>
        <v>0</v>
      </c>
      <c r="AB80" s="215"/>
    </row>
    <row r="81" spans="1:28" s="211" customFormat="1" ht="15.75" customHeight="1">
      <c r="A81" s="419">
        <f t="shared" si="55"/>
        <v>640</v>
      </c>
      <c r="B81" s="420" t="s">
        <v>709</v>
      </c>
      <c r="C81" s="421">
        <f t="shared" si="57"/>
        <v>2946729</v>
      </c>
      <c r="D81" s="421">
        <f t="shared" ref="D81:Y81" si="78">D66</f>
        <v>2946729</v>
      </c>
      <c r="E81" s="421">
        <f t="shared" ref="E81" si="79">E66</f>
        <v>0</v>
      </c>
      <c r="F81" s="421">
        <f t="shared" si="78"/>
        <v>446729</v>
      </c>
      <c r="G81" s="421">
        <f t="shared" ref="G81" si="80">G66</f>
        <v>0</v>
      </c>
      <c r="H81" s="421">
        <f t="shared" si="78"/>
        <v>446729</v>
      </c>
      <c r="I81" s="421">
        <f t="shared" si="78"/>
        <v>0</v>
      </c>
      <c r="J81" s="421">
        <f t="shared" si="78"/>
        <v>0</v>
      </c>
      <c r="K81" s="421">
        <f t="shared" si="78"/>
        <v>0</v>
      </c>
      <c r="L81" s="421">
        <f t="shared" si="78"/>
        <v>0</v>
      </c>
      <c r="M81" s="421">
        <f t="shared" si="78"/>
        <v>446729</v>
      </c>
      <c r="N81" s="421">
        <f t="shared" si="78"/>
        <v>0</v>
      </c>
      <c r="O81" s="421">
        <f t="shared" si="78"/>
        <v>2500000</v>
      </c>
      <c r="P81" s="421">
        <f t="shared" si="78"/>
        <v>0</v>
      </c>
      <c r="Q81" s="421">
        <f t="shared" si="78"/>
        <v>2500000</v>
      </c>
      <c r="R81" s="421">
        <f t="shared" si="78"/>
        <v>0</v>
      </c>
      <c r="S81" s="421">
        <f t="shared" si="78"/>
        <v>0</v>
      </c>
      <c r="T81" s="421">
        <f t="shared" si="78"/>
        <v>0</v>
      </c>
      <c r="U81" s="421">
        <f t="shared" si="78"/>
        <v>0</v>
      </c>
      <c r="V81" s="421">
        <f t="shared" si="78"/>
        <v>0</v>
      </c>
      <c r="W81" s="421">
        <f t="shared" si="78"/>
        <v>0</v>
      </c>
      <c r="X81" s="421">
        <f t="shared" si="78"/>
        <v>0</v>
      </c>
      <c r="Y81" s="421">
        <f t="shared" si="78"/>
        <v>0</v>
      </c>
      <c r="AB81" s="215"/>
    </row>
    <row r="82" spans="1:28" s="211" customFormat="1" ht="15.75" customHeight="1">
      <c r="A82" s="419">
        <f t="shared" si="55"/>
        <v>650</v>
      </c>
      <c r="B82" s="420" t="s">
        <v>665</v>
      </c>
      <c r="C82" s="421">
        <f>SUM(J82:Y82)-L82-P82-Q82</f>
        <v>1605566</v>
      </c>
      <c r="D82" s="421">
        <f>+D56+D67</f>
        <v>1605566</v>
      </c>
      <c r="E82" s="421">
        <f>+E56+E67</f>
        <v>0</v>
      </c>
      <c r="F82" s="421">
        <f>+F56+F67</f>
        <v>138125</v>
      </c>
      <c r="G82" s="421">
        <f t="shared" ref="G82" si="81">+G56+G67</f>
        <v>138125</v>
      </c>
      <c r="H82" s="421">
        <f t="shared" ref="H82:Y82" si="82">+H56+H67</f>
        <v>0</v>
      </c>
      <c r="I82" s="421">
        <f t="shared" si="82"/>
        <v>0</v>
      </c>
      <c r="J82" s="421">
        <f t="shared" si="82"/>
        <v>0</v>
      </c>
      <c r="K82" s="421">
        <f t="shared" si="82"/>
        <v>0</v>
      </c>
      <c r="L82" s="421">
        <f t="shared" si="82"/>
        <v>0</v>
      </c>
      <c r="M82" s="421">
        <f t="shared" si="82"/>
        <v>0</v>
      </c>
      <c r="N82" s="421">
        <f t="shared" si="82"/>
        <v>0</v>
      </c>
      <c r="O82" s="421">
        <f t="shared" si="82"/>
        <v>0</v>
      </c>
      <c r="P82" s="421">
        <f t="shared" si="82"/>
        <v>0</v>
      </c>
      <c r="Q82" s="421">
        <f t="shared" si="82"/>
        <v>0</v>
      </c>
      <c r="R82" s="421">
        <f t="shared" si="82"/>
        <v>0</v>
      </c>
      <c r="S82" s="421">
        <f t="shared" si="82"/>
        <v>0</v>
      </c>
      <c r="T82" s="421">
        <f t="shared" si="82"/>
        <v>0</v>
      </c>
      <c r="U82" s="421">
        <f t="shared" si="82"/>
        <v>0</v>
      </c>
      <c r="V82" s="421">
        <f t="shared" si="82"/>
        <v>1003838</v>
      </c>
      <c r="W82" s="421">
        <f t="shared" si="82"/>
        <v>571728</v>
      </c>
      <c r="X82" s="421">
        <f t="shared" si="82"/>
        <v>0</v>
      </c>
      <c r="Y82" s="421">
        <f t="shared" si="82"/>
        <v>30000</v>
      </c>
      <c r="AB82" s="215"/>
    </row>
    <row r="83" spans="1:28" s="211" customFormat="1" ht="15.75" customHeight="1">
      <c r="A83" s="419">
        <f t="shared" si="55"/>
        <v>660</v>
      </c>
      <c r="B83" s="420" t="s">
        <v>666</v>
      </c>
      <c r="C83" s="421">
        <f t="shared" si="57"/>
        <v>0</v>
      </c>
      <c r="D83" s="421">
        <f t="shared" ref="D83:Y83" si="83">D68</f>
        <v>0</v>
      </c>
      <c r="E83" s="421">
        <f t="shared" ref="E83" si="84">E68</f>
        <v>0</v>
      </c>
      <c r="F83" s="421">
        <f t="shared" si="83"/>
        <v>0</v>
      </c>
      <c r="G83" s="421">
        <f t="shared" ref="G83" si="85">G68</f>
        <v>0</v>
      </c>
      <c r="H83" s="421">
        <f t="shared" si="83"/>
        <v>0</v>
      </c>
      <c r="I83" s="421">
        <f t="shared" si="83"/>
        <v>0</v>
      </c>
      <c r="J83" s="421">
        <f t="shared" si="83"/>
        <v>0</v>
      </c>
      <c r="K83" s="421">
        <f t="shared" si="83"/>
        <v>0</v>
      </c>
      <c r="L83" s="421">
        <f t="shared" si="83"/>
        <v>0</v>
      </c>
      <c r="M83" s="421">
        <f t="shared" si="83"/>
        <v>0</v>
      </c>
      <c r="N83" s="421">
        <f t="shared" si="83"/>
        <v>0</v>
      </c>
      <c r="O83" s="421">
        <f t="shared" si="83"/>
        <v>0</v>
      </c>
      <c r="P83" s="421">
        <f t="shared" si="83"/>
        <v>0</v>
      </c>
      <c r="Q83" s="421">
        <f t="shared" si="83"/>
        <v>0</v>
      </c>
      <c r="R83" s="421">
        <f t="shared" si="83"/>
        <v>0</v>
      </c>
      <c r="S83" s="421">
        <f t="shared" si="83"/>
        <v>0</v>
      </c>
      <c r="T83" s="421">
        <f t="shared" si="83"/>
        <v>0</v>
      </c>
      <c r="U83" s="421">
        <f t="shared" si="83"/>
        <v>0</v>
      </c>
      <c r="V83" s="421">
        <f t="shared" si="83"/>
        <v>0</v>
      </c>
      <c r="W83" s="421">
        <f t="shared" si="83"/>
        <v>0</v>
      </c>
      <c r="X83" s="421">
        <f t="shared" si="83"/>
        <v>0</v>
      </c>
      <c r="Y83" s="421">
        <f t="shared" si="83"/>
        <v>0</v>
      </c>
      <c r="AB83" s="215"/>
    </row>
    <row r="84" spans="1:28" s="211" customFormat="1" ht="15.75" customHeight="1">
      <c r="A84" s="419">
        <f>A83+10</f>
        <v>670</v>
      </c>
      <c r="B84" s="420" t="s">
        <v>667</v>
      </c>
      <c r="C84" s="421">
        <f t="shared" si="57"/>
        <v>0</v>
      </c>
      <c r="D84" s="421">
        <f>D13+D21+D28+D35+D42+D49+D57+D69</f>
        <v>0</v>
      </c>
      <c r="E84" s="421">
        <f>E13+E21+E28+E35+E42+E49+E57+E69</f>
        <v>0</v>
      </c>
      <c r="F84" s="421">
        <f>F13+F21+F28+F35+F42+F49+F57+F69</f>
        <v>0</v>
      </c>
      <c r="G84" s="421">
        <f t="shared" ref="G84" si="86">G13+G21+G28+G35+G42+G49+G57+G69</f>
        <v>0</v>
      </c>
      <c r="H84" s="421">
        <f t="shared" ref="H84:Y84" si="87">H13+H21+H28+H35+H42+H49+H57+H69</f>
        <v>0</v>
      </c>
      <c r="I84" s="421">
        <f t="shared" si="87"/>
        <v>0</v>
      </c>
      <c r="J84" s="421">
        <f t="shared" si="87"/>
        <v>0</v>
      </c>
      <c r="K84" s="421">
        <f t="shared" si="87"/>
        <v>0</v>
      </c>
      <c r="L84" s="421">
        <f t="shared" si="87"/>
        <v>0</v>
      </c>
      <c r="M84" s="421">
        <f t="shared" si="87"/>
        <v>0</v>
      </c>
      <c r="N84" s="421">
        <f t="shared" si="87"/>
        <v>0</v>
      </c>
      <c r="O84" s="421">
        <f t="shared" si="87"/>
        <v>0</v>
      </c>
      <c r="P84" s="421">
        <f t="shared" si="87"/>
        <v>0</v>
      </c>
      <c r="Q84" s="421">
        <f t="shared" si="87"/>
        <v>0</v>
      </c>
      <c r="R84" s="421">
        <f t="shared" si="87"/>
        <v>0</v>
      </c>
      <c r="S84" s="421">
        <f t="shared" si="87"/>
        <v>0</v>
      </c>
      <c r="T84" s="421">
        <f t="shared" si="87"/>
        <v>0</v>
      </c>
      <c r="U84" s="421">
        <f t="shared" si="87"/>
        <v>0</v>
      </c>
      <c r="V84" s="421">
        <f t="shared" si="87"/>
        <v>0</v>
      </c>
      <c r="W84" s="421">
        <f t="shared" si="87"/>
        <v>0</v>
      </c>
      <c r="X84" s="421">
        <f t="shared" si="87"/>
        <v>0</v>
      </c>
      <c r="Y84" s="421">
        <f t="shared" si="87"/>
        <v>0</v>
      </c>
      <c r="AB84" s="215"/>
    </row>
    <row r="85" spans="1:28" s="468" customFormat="1" ht="15.75" customHeight="1">
      <c r="A85" s="466">
        <f t="shared" si="55"/>
        <v>680</v>
      </c>
      <c r="B85" s="466" t="s">
        <v>668</v>
      </c>
      <c r="C85" s="467">
        <f t="shared" si="57"/>
        <v>57124403912</v>
      </c>
      <c r="D85" s="467">
        <f>SUM(D73:D84)</f>
        <v>19111443266</v>
      </c>
      <c r="E85" s="467">
        <f>SUM(E73:E84)</f>
        <v>38012960646</v>
      </c>
      <c r="F85" s="467">
        <f>SUM(F73:F84)</f>
        <v>1283175929</v>
      </c>
      <c r="G85" s="467">
        <f t="shared" ref="G85" si="88">SUM(G73:G84)</f>
        <v>506004487</v>
      </c>
      <c r="H85" s="467">
        <f t="shared" ref="H85:Y85" si="89">SUM(H73:H84)</f>
        <v>749932110</v>
      </c>
      <c r="I85" s="467">
        <f t="shared" si="89"/>
        <v>27239332</v>
      </c>
      <c r="J85" s="467">
        <f t="shared" si="89"/>
        <v>1060147754</v>
      </c>
      <c r="K85" s="467">
        <f t="shared" si="89"/>
        <v>6490565848</v>
      </c>
      <c r="L85" s="467">
        <f t="shared" si="89"/>
        <v>5829282786</v>
      </c>
      <c r="M85" s="467">
        <f t="shared" si="89"/>
        <v>816351337</v>
      </c>
      <c r="N85" s="467">
        <f t="shared" si="89"/>
        <v>1203638131</v>
      </c>
      <c r="O85" s="467">
        <f t="shared" si="89"/>
        <v>15990988939</v>
      </c>
      <c r="P85" s="467">
        <f t="shared" si="89"/>
        <v>4853428291</v>
      </c>
      <c r="Q85" s="467">
        <f t="shared" si="89"/>
        <v>11137560648</v>
      </c>
      <c r="R85" s="467">
        <f t="shared" si="89"/>
        <v>6402613786</v>
      </c>
      <c r="S85" s="467">
        <f t="shared" si="89"/>
        <v>0</v>
      </c>
      <c r="T85" s="467">
        <f t="shared" si="89"/>
        <v>127632450</v>
      </c>
      <c r="U85" s="467">
        <f t="shared" si="89"/>
        <v>439875</v>
      </c>
      <c r="V85" s="467">
        <f t="shared" si="89"/>
        <v>14569535294</v>
      </c>
      <c r="W85" s="467">
        <f t="shared" si="89"/>
        <v>5646990127</v>
      </c>
      <c r="X85" s="467">
        <f t="shared" si="89"/>
        <v>4031829</v>
      </c>
      <c r="Y85" s="467">
        <f t="shared" si="89"/>
        <v>4811468542</v>
      </c>
      <c r="AB85" s="469"/>
    </row>
    <row r="86" spans="1:28" ht="19.5" customHeight="1">
      <c r="A86" s="224"/>
      <c r="B86" s="224"/>
      <c r="C86" s="224"/>
      <c r="D86" s="224"/>
      <c r="E86" s="224"/>
      <c r="F86" s="224"/>
      <c r="G86" s="224"/>
      <c r="H86" s="22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224"/>
      <c r="V86" s="224"/>
      <c r="W86" s="224"/>
      <c r="X86" s="224"/>
      <c r="Y86" s="224"/>
    </row>
    <row r="87" spans="1:28" ht="15.75" customHeight="1">
      <c r="B87" s="456" t="s">
        <v>778</v>
      </c>
      <c r="F87" s="183"/>
      <c r="G87" s="183"/>
      <c r="H87" s="183"/>
      <c r="I87" s="183"/>
      <c r="J87" s="183"/>
      <c r="K87" s="183"/>
      <c r="L87" s="183"/>
      <c r="M87" s="183"/>
    </row>
    <row r="88" spans="1:28" ht="15.75" customHeight="1">
      <c r="B88" s="456"/>
      <c r="F88" s="183"/>
      <c r="G88" s="183"/>
      <c r="H88" s="183"/>
      <c r="I88" s="183"/>
      <c r="J88" s="183"/>
      <c r="K88" s="183"/>
      <c r="L88" s="183"/>
      <c r="M88" s="183"/>
    </row>
    <row r="89" spans="1:28" ht="15.75" customHeight="1">
      <c r="B89" s="456" t="s">
        <v>779</v>
      </c>
      <c r="F89" s="183"/>
      <c r="G89" s="183"/>
      <c r="H89" s="183"/>
      <c r="I89" s="183"/>
      <c r="J89" s="183"/>
      <c r="K89" s="183"/>
      <c r="L89" s="183"/>
      <c r="M89" s="183"/>
    </row>
    <row r="90" spans="1:28">
      <c r="B90" s="201"/>
      <c r="C90" s="224"/>
    </row>
    <row r="91" spans="1:28">
      <c r="C91" s="555"/>
      <c r="D91" s="556"/>
      <c r="E91" s="556"/>
      <c r="F91" s="556"/>
      <c r="G91" s="556"/>
      <c r="H91" s="556"/>
      <c r="I91" s="556"/>
      <c r="J91" s="556"/>
    </row>
    <row r="92" spans="1:28">
      <c r="C92" s="555">
        <f>+[8]Balance!C25</f>
        <v>57124403912</v>
      </c>
      <c r="D92" s="555">
        <f>+[8]Balance!D25</f>
        <v>19111443266</v>
      </c>
      <c r="E92" s="555">
        <f>+[8]Balance!E25</f>
        <v>38012960646</v>
      </c>
      <c r="F92" s="555">
        <f>+'Asset Classification'!M31+'Asset Classification'!Q31+'Asset Classification'!U31</f>
        <v>1283175929</v>
      </c>
      <c r="G92" s="555">
        <f>+'Asset Classification'!M31</f>
        <v>506004487</v>
      </c>
      <c r="H92" s="555">
        <f>+'Asset Classification'!Q31</f>
        <v>749932110</v>
      </c>
      <c r="I92" s="555">
        <f>+'Asset Classification'!U31</f>
        <v>27239332</v>
      </c>
      <c r="J92" s="555"/>
    </row>
    <row r="93" spans="1:28">
      <c r="C93" s="555">
        <f t="shared" ref="C93:I93" si="90">+C85-C92</f>
        <v>0</v>
      </c>
      <c r="D93" s="555">
        <f t="shared" si="90"/>
        <v>0</v>
      </c>
      <c r="E93" s="555">
        <f t="shared" si="90"/>
        <v>0</v>
      </c>
      <c r="F93" s="555">
        <f t="shared" si="90"/>
        <v>0</v>
      </c>
      <c r="G93" s="555">
        <f t="shared" si="90"/>
        <v>0</v>
      </c>
      <c r="H93" s="555">
        <f t="shared" si="90"/>
        <v>0</v>
      </c>
      <c r="I93" s="555">
        <f t="shared" si="90"/>
        <v>0</v>
      </c>
      <c r="J93" s="555"/>
    </row>
    <row r="94" spans="1:28">
      <c r="C94" s="555"/>
      <c r="D94" s="556"/>
      <c r="E94" s="556"/>
      <c r="F94" s="556"/>
      <c r="G94" s="556"/>
      <c r="H94" s="556"/>
      <c r="I94" s="556"/>
      <c r="J94" s="556"/>
    </row>
    <row r="95" spans="1:28">
      <c r="C95" s="224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5" type="noConversion"/>
  <conditionalFormatting sqref="C9:C13">
    <cfRule type="cellIs" dxfId="239" priority="20" operator="notEqual">
      <formula>D9+E9</formula>
    </cfRule>
  </conditionalFormatting>
  <conditionalFormatting sqref="C16:C21">
    <cfRule type="cellIs" dxfId="238" priority="17" operator="notEqual">
      <formula>D16+E16</formula>
    </cfRule>
  </conditionalFormatting>
  <conditionalFormatting sqref="C24:C28">
    <cfRule type="cellIs" dxfId="237" priority="16" operator="notEqual">
      <formula>D24+E24</formula>
    </cfRule>
  </conditionalFormatting>
  <conditionalFormatting sqref="C31:C35">
    <cfRule type="cellIs" dxfId="236" priority="15" operator="notEqual">
      <formula>D31+E31</formula>
    </cfRule>
  </conditionalFormatting>
  <conditionalFormatting sqref="C38:C42">
    <cfRule type="cellIs" dxfId="235" priority="14" operator="notEqual">
      <formula>D38+E38</formula>
    </cfRule>
  </conditionalFormatting>
  <conditionalFormatting sqref="C45:C49">
    <cfRule type="cellIs" dxfId="234" priority="13" operator="notEqual">
      <formula>D45+E45</formula>
    </cfRule>
  </conditionalFormatting>
  <conditionalFormatting sqref="C52:C57">
    <cfRule type="cellIs" dxfId="233" priority="12" operator="notEqual">
      <formula>D52+E52</formula>
    </cfRule>
  </conditionalFormatting>
  <conditionalFormatting sqref="C60:C69">
    <cfRule type="cellIs" dxfId="232" priority="11" operator="notEqual">
      <formula>D60+E60</formula>
    </cfRule>
  </conditionalFormatting>
  <conditionalFormatting sqref="C71">
    <cfRule type="cellIs" dxfId="231" priority="9" operator="notEqual">
      <formula>D71+E71</formula>
    </cfRule>
  </conditionalFormatting>
  <conditionalFormatting sqref="C73:C84">
    <cfRule type="cellIs" dxfId="230" priority="10" operator="notEqual">
      <formula>D73+E73</formula>
    </cfRule>
  </conditionalFormatting>
  <conditionalFormatting sqref="C85:I85">
    <cfRule type="cellIs" dxfId="229" priority="1" operator="notEqual">
      <formula>C92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A42"/>
  <sheetViews>
    <sheetView view="pageBreakPreview" zoomScale="70" zoomScaleNormal="71" zoomScaleSheetLayoutView="70" workbookViewId="0">
      <pane xSplit="4" ySplit="8" topLeftCell="E9" activePane="bottomRight" state="frozen"/>
      <selection activeCell="J47" sqref="J47"/>
      <selection pane="topRight" activeCell="J47" sqref="J47"/>
      <selection pane="bottomLeft" activeCell="J47" sqref="J47"/>
      <selection pane="bottomRight" activeCell="J26" sqref="J26"/>
    </sheetView>
  </sheetViews>
  <sheetFormatPr defaultRowHeight="15"/>
  <cols>
    <col min="1" max="1" width="5" style="6" customWidth="1"/>
    <col min="2" max="2" width="48.140625" style="6" customWidth="1"/>
    <col min="3" max="3" width="19.140625" style="6" customWidth="1"/>
    <col min="4" max="4" width="7.140625" style="6" customWidth="1"/>
    <col min="5" max="5" width="21.85546875" style="6" customWidth="1"/>
    <col min="6" max="6" width="8.5703125" style="6" customWidth="1"/>
    <col min="7" max="7" width="21.85546875" style="6" customWidth="1"/>
    <col min="8" max="8" width="7.140625" style="6" customWidth="1"/>
    <col min="9" max="10" width="17.28515625" style="6" customWidth="1"/>
    <col min="11" max="11" width="8.7109375" style="6" customWidth="1"/>
    <col min="12" max="25" width="17.140625" style="6" customWidth="1"/>
    <col min="26" max="26" width="14.28515625" style="183" bestFit="1" customWidth="1"/>
    <col min="27" max="16384" width="9.140625" style="6"/>
  </cols>
  <sheetData>
    <row r="1" spans="1:27" s="138" customFormat="1" ht="36.75" customHeight="1">
      <c r="A1" s="136" t="s">
        <v>687</v>
      </c>
      <c r="B1" s="137"/>
      <c r="C1" s="137"/>
      <c r="D1" s="137"/>
      <c r="E1" s="137"/>
      <c r="F1" s="137"/>
      <c r="G1" s="137"/>
      <c r="H1" s="137"/>
      <c r="I1" s="136"/>
      <c r="J1" s="136"/>
      <c r="K1" s="136"/>
      <c r="L1" s="136"/>
      <c r="M1" s="136"/>
      <c r="N1" s="136"/>
      <c r="O1" s="136"/>
      <c r="P1" s="136"/>
      <c r="Q1" s="136"/>
      <c r="R1" s="137"/>
      <c r="S1" s="137"/>
      <c r="T1" s="137"/>
      <c r="U1" s="137"/>
      <c r="W1" s="139"/>
      <c r="X1" s="319" t="s">
        <v>688</v>
      </c>
      <c r="Y1" s="137"/>
    </row>
    <row r="2" spans="1:27" s="21" customFormat="1" ht="18">
      <c r="A2" s="135"/>
      <c r="B2" s="22"/>
      <c r="C2" s="22"/>
      <c r="D2" s="22"/>
      <c r="E2" s="22"/>
      <c r="F2" s="22"/>
      <c r="G2" s="22"/>
      <c r="H2" s="22"/>
      <c r="I2" s="5"/>
      <c r="J2" s="5"/>
      <c r="K2" s="5"/>
      <c r="L2" s="22"/>
      <c r="M2" s="22"/>
      <c r="N2" s="22"/>
      <c r="O2" s="22"/>
      <c r="P2" s="22"/>
      <c r="Q2" s="22"/>
      <c r="R2" s="22"/>
      <c r="S2" s="22"/>
      <c r="U2" s="22"/>
      <c r="V2" s="22"/>
      <c r="W2" s="22"/>
      <c r="X2" s="22"/>
    </row>
    <row r="3" spans="1:27" ht="18">
      <c r="A3" s="132"/>
      <c r="B3" s="198" t="str">
        <f>+'Asset quality'!B3</f>
        <v>"Ўзсаноатқурилишибанк" АТБ</v>
      </c>
      <c r="D3" s="133"/>
      <c r="E3" s="133"/>
      <c r="F3" s="133"/>
      <c r="G3" s="133"/>
      <c r="H3" s="133"/>
      <c r="I3" s="133"/>
      <c r="J3" s="134"/>
      <c r="K3" s="134"/>
      <c r="L3" s="134"/>
      <c r="M3" s="133"/>
      <c r="N3" s="133"/>
      <c r="O3" s="133"/>
      <c r="P3" s="133"/>
      <c r="Q3" s="133"/>
      <c r="R3" s="133"/>
      <c r="S3" s="133"/>
      <c r="T3" s="602">
        <f>+'Asset quality'!Q3</f>
        <v>45289</v>
      </c>
      <c r="U3" s="602"/>
      <c r="X3" s="320" t="str">
        <f>+'Asset quality'!T3</f>
        <v>минг. сўмда</v>
      </c>
      <c r="Z3" s="6"/>
    </row>
    <row r="4" spans="1:27" ht="30" customHeight="1">
      <c r="A4" s="607" t="s">
        <v>61</v>
      </c>
      <c r="B4" s="607" t="s">
        <v>284</v>
      </c>
      <c r="C4" s="607" t="s">
        <v>689</v>
      </c>
      <c r="D4" s="607" t="s">
        <v>76</v>
      </c>
      <c r="E4" s="607" t="s">
        <v>690</v>
      </c>
      <c r="F4" s="607" t="s">
        <v>76</v>
      </c>
      <c r="G4" s="607" t="s">
        <v>691</v>
      </c>
      <c r="H4" s="607" t="s">
        <v>76</v>
      </c>
      <c r="I4" s="603" t="s">
        <v>692</v>
      </c>
      <c r="J4" s="604"/>
      <c r="K4" s="607" t="s">
        <v>76</v>
      </c>
      <c r="L4" s="599" t="s">
        <v>693</v>
      </c>
      <c r="M4" s="601"/>
      <c r="N4" s="601"/>
      <c r="O4" s="601"/>
      <c r="P4" s="601"/>
      <c r="Q4" s="601"/>
      <c r="R4" s="601"/>
      <c r="S4" s="601"/>
      <c r="T4" s="601"/>
      <c r="U4" s="601"/>
      <c r="V4" s="601"/>
      <c r="W4" s="601"/>
      <c r="X4" s="601"/>
      <c r="Y4" s="600"/>
    </row>
    <row r="5" spans="1:27" ht="25.5" customHeight="1">
      <c r="A5" s="608"/>
      <c r="B5" s="608"/>
      <c r="C5" s="608"/>
      <c r="D5" s="608"/>
      <c r="E5" s="608"/>
      <c r="F5" s="608"/>
      <c r="G5" s="608"/>
      <c r="H5" s="608"/>
      <c r="I5" s="605"/>
      <c r="J5" s="606"/>
      <c r="K5" s="608"/>
      <c r="L5" s="599" t="s">
        <v>694</v>
      </c>
      <c r="M5" s="600"/>
      <c r="N5" s="599" t="s">
        <v>695</v>
      </c>
      <c r="O5" s="600"/>
      <c r="P5" s="599" t="s">
        <v>696</v>
      </c>
      <c r="Q5" s="600"/>
      <c r="R5" s="599" t="s">
        <v>545</v>
      </c>
      <c r="S5" s="600"/>
      <c r="T5" s="599" t="s">
        <v>546</v>
      </c>
      <c r="U5" s="600"/>
      <c r="V5" s="599" t="s">
        <v>547</v>
      </c>
      <c r="W5" s="600"/>
      <c r="X5" s="599" t="s">
        <v>548</v>
      </c>
      <c r="Y5" s="600"/>
    </row>
    <row r="6" spans="1:27" ht="31.5">
      <c r="A6" s="609"/>
      <c r="B6" s="609"/>
      <c r="C6" s="609"/>
      <c r="D6" s="609"/>
      <c r="E6" s="609"/>
      <c r="F6" s="609"/>
      <c r="G6" s="609"/>
      <c r="H6" s="609"/>
      <c r="I6" s="100" t="s">
        <v>697</v>
      </c>
      <c r="J6" s="100" t="s">
        <v>698</v>
      </c>
      <c r="K6" s="609"/>
      <c r="L6" s="100" t="s">
        <v>697</v>
      </c>
      <c r="M6" s="100" t="s">
        <v>698</v>
      </c>
      <c r="N6" s="100" t="s">
        <v>697</v>
      </c>
      <c r="O6" s="100" t="s">
        <v>698</v>
      </c>
      <c r="P6" s="100" t="s">
        <v>697</v>
      </c>
      <c r="Q6" s="100" t="s">
        <v>698</v>
      </c>
      <c r="R6" s="100" t="s">
        <v>697</v>
      </c>
      <c r="S6" s="100" t="s">
        <v>698</v>
      </c>
      <c r="T6" s="100" t="s">
        <v>697</v>
      </c>
      <c r="U6" s="100" t="s">
        <v>698</v>
      </c>
      <c r="V6" s="100" t="s">
        <v>697</v>
      </c>
      <c r="W6" s="100" t="s">
        <v>698</v>
      </c>
      <c r="X6" s="100" t="s">
        <v>697</v>
      </c>
      <c r="Y6" s="100" t="s">
        <v>698</v>
      </c>
    </row>
    <row r="7" spans="1:27" ht="15.75">
      <c r="A7" s="100"/>
      <c r="B7" s="100" t="s">
        <v>66</v>
      </c>
      <c r="C7" s="100" t="s">
        <v>36</v>
      </c>
      <c r="D7" s="100" t="s">
        <v>37</v>
      </c>
      <c r="E7" s="100" t="s">
        <v>38</v>
      </c>
      <c r="F7" s="100" t="s">
        <v>62</v>
      </c>
      <c r="G7" s="100" t="s">
        <v>63</v>
      </c>
      <c r="H7" s="100" t="s">
        <v>64</v>
      </c>
      <c r="I7" s="100" t="s">
        <v>67</v>
      </c>
      <c r="J7" s="100" t="s">
        <v>166</v>
      </c>
      <c r="K7" s="100" t="s">
        <v>68</v>
      </c>
      <c r="L7" s="100" t="s">
        <v>69</v>
      </c>
      <c r="M7" s="100" t="s">
        <v>165</v>
      </c>
      <c r="N7" s="100" t="s">
        <v>70</v>
      </c>
      <c r="O7" s="100" t="s">
        <v>167</v>
      </c>
      <c r="P7" s="100" t="s">
        <v>71</v>
      </c>
      <c r="Q7" s="100" t="s">
        <v>168</v>
      </c>
      <c r="R7" s="100" t="s">
        <v>72</v>
      </c>
      <c r="S7" s="100" t="s">
        <v>169</v>
      </c>
      <c r="T7" s="100" t="s">
        <v>73</v>
      </c>
      <c r="U7" s="100" t="s">
        <v>170</v>
      </c>
      <c r="V7" s="100" t="s">
        <v>74</v>
      </c>
      <c r="W7" s="100" t="s">
        <v>171</v>
      </c>
      <c r="X7" s="100" t="s">
        <v>75</v>
      </c>
      <c r="Y7" s="100" t="s">
        <v>172</v>
      </c>
    </row>
    <row r="8" spans="1:27" s="23" customFormat="1" ht="27.75" customHeight="1">
      <c r="A8" s="100"/>
      <c r="B8" s="100" t="s">
        <v>658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234"/>
    </row>
    <row r="9" spans="1:27" s="23" customFormat="1" ht="26.25" customHeight="1">
      <c r="A9" s="321">
        <v>1</v>
      </c>
      <c r="B9" s="322" t="s">
        <v>659</v>
      </c>
      <c r="C9" s="25">
        <f>+'Loans Receivable'!C79</f>
        <v>0</v>
      </c>
      <c r="D9" s="93">
        <f t="shared" ref="D9:D20" si="0">IF(C$22=0,"",C9/C$22)</f>
        <v>0</v>
      </c>
      <c r="E9" s="26"/>
      <c r="F9" s="93">
        <f t="shared" ref="F9:F20" si="1">IF(E$22=0,"",E9/E$22)</f>
        <v>0</v>
      </c>
      <c r="G9" s="26"/>
      <c r="H9" s="93">
        <f t="shared" ref="H9:H20" si="2">IF($G$22=0,"",G9/$G$22)</f>
        <v>0</v>
      </c>
      <c r="I9" s="25">
        <f t="shared" ref="I9:J20" si="3">+L9+N9+P9+R9+T9+V9+X9</f>
        <v>0</v>
      </c>
      <c r="J9" s="25">
        <f>+M9+O9+T9+S9+U9+W9+Y9</f>
        <v>0</v>
      </c>
      <c r="K9" s="93">
        <f t="shared" ref="K9:K20" si="4">IF($Z$22=0,"",Z9/$Z$22)</f>
        <v>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36">
        <f>+I9+J9</f>
        <v>0</v>
      </c>
      <c r="AA9" s="557">
        <f>+C9-Z9</f>
        <v>0</v>
      </c>
    </row>
    <row r="10" spans="1:27" s="23" customFormat="1" ht="26.25" customHeight="1">
      <c r="A10" s="321">
        <v>2</v>
      </c>
      <c r="B10" s="322" t="s">
        <v>661</v>
      </c>
      <c r="C10" s="25">
        <f>+'Loans Receivable'!C78</f>
        <v>0</v>
      </c>
      <c r="D10" s="93">
        <f t="shared" si="0"/>
        <v>0</v>
      </c>
      <c r="E10" s="26"/>
      <c r="F10" s="93">
        <f t="shared" si="1"/>
        <v>0</v>
      </c>
      <c r="G10" s="26"/>
      <c r="H10" s="93">
        <f t="shared" si="2"/>
        <v>0</v>
      </c>
      <c r="I10" s="25">
        <f t="shared" si="3"/>
        <v>0</v>
      </c>
      <c r="J10" s="25">
        <f t="shared" si="3"/>
        <v>0</v>
      </c>
      <c r="K10" s="93">
        <f t="shared" si="4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36">
        <f t="shared" ref="Z10:Z35" si="5">+I10+J10</f>
        <v>0</v>
      </c>
    </row>
    <row r="11" spans="1:27" s="23" customFormat="1" ht="26.25" customHeight="1">
      <c r="A11" s="321">
        <v>3</v>
      </c>
      <c r="B11" s="322" t="s">
        <v>397</v>
      </c>
      <c r="C11" s="25">
        <f>+'Loans Receivable'!C80</f>
        <v>0</v>
      </c>
      <c r="D11" s="93">
        <f t="shared" si="0"/>
        <v>0</v>
      </c>
      <c r="E11" s="26"/>
      <c r="F11" s="93">
        <f t="shared" si="1"/>
        <v>0</v>
      </c>
      <c r="G11" s="26"/>
      <c r="H11" s="93">
        <f t="shared" si="2"/>
        <v>0</v>
      </c>
      <c r="I11" s="25">
        <f t="shared" si="3"/>
        <v>0</v>
      </c>
      <c r="J11" s="25">
        <f t="shared" si="3"/>
        <v>0</v>
      </c>
      <c r="K11" s="93">
        <f t="shared" si="4"/>
        <v>0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36">
        <f t="shared" si="5"/>
        <v>0</v>
      </c>
    </row>
    <row r="12" spans="1:27" s="23" customFormat="1" ht="26.25" customHeight="1">
      <c r="A12" s="321">
        <v>4</v>
      </c>
      <c r="B12" s="322" t="s">
        <v>398</v>
      </c>
      <c r="C12" s="25">
        <f>+'Loans Receivable'!C73</f>
        <v>7814492786</v>
      </c>
      <c r="D12" s="93">
        <f t="shared" si="0"/>
        <v>0.13679780007924822</v>
      </c>
      <c r="E12" s="26">
        <v>11346858</v>
      </c>
      <c r="F12" s="93">
        <f t="shared" si="1"/>
        <v>0.19429271242356402</v>
      </c>
      <c r="G12" s="26">
        <v>43859</v>
      </c>
      <c r="H12" s="93">
        <f t="shared" si="2"/>
        <v>2.7778646540027352E-4</v>
      </c>
      <c r="I12" s="25">
        <f t="shared" si="3"/>
        <v>7856662</v>
      </c>
      <c r="J12" s="25">
        <f t="shared" si="3"/>
        <v>7474846</v>
      </c>
      <c r="K12" s="93">
        <f t="shared" si="4"/>
        <v>1.0874088796127921E-2</v>
      </c>
      <c r="L12" s="26">
        <v>1748340</v>
      </c>
      <c r="M12" s="26">
        <v>2291587</v>
      </c>
      <c r="N12" s="26">
        <v>1245341</v>
      </c>
      <c r="O12" s="26">
        <v>705234</v>
      </c>
      <c r="P12" s="26">
        <v>1251712</v>
      </c>
      <c r="Q12" s="26">
        <v>939523</v>
      </c>
      <c r="R12" s="26">
        <v>1276984</v>
      </c>
      <c r="S12" s="26">
        <v>767116</v>
      </c>
      <c r="T12" s="26">
        <v>2334285</v>
      </c>
      <c r="U12" s="26">
        <v>2771386</v>
      </c>
      <c r="V12" s="26">
        <v>0</v>
      </c>
      <c r="W12" s="26">
        <v>0</v>
      </c>
      <c r="X12" s="26">
        <v>0</v>
      </c>
      <c r="Y12" s="26">
        <v>0</v>
      </c>
      <c r="Z12" s="236">
        <f t="shared" si="5"/>
        <v>15331508</v>
      </c>
    </row>
    <row r="13" spans="1:27" s="23" customFormat="1" ht="26.25" customHeight="1">
      <c r="A13" s="321">
        <v>5</v>
      </c>
      <c r="B13" s="322" t="s">
        <v>399</v>
      </c>
      <c r="C13" s="25">
        <f>+'Loans Receivable'!C74</f>
        <v>14102735134</v>
      </c>
      <c r="D13" s="93">
        <f t="shared" si="0"/>
        <v>0.2468775894051381</v>
      </c>
      <c r="E13" s="26">
        <v>4496481</v>
      </c>
      <c r="F13" s="93">
        <f t="shared" si="1"/>
        <v>7.6993427594759675E-2</v>
      </c>
      <c r="G13" s="26">
        <v>0</v>
      </c>
      <c r="H13" s="93">
        <f t="shared" si="2"/>
        <v>0</v>
      </c>
      <c r="I13" s="25">
        <f t="shared" si="3"/>
        <v>98319866</v>
      </c>
      <c r="J13" s="25">
        <f t="shared" si="3"/>
        <v>2441554</v>
      </c>
      <c r="K13" s="93">
        <f t="shared" si="4"/>
        <v>7.1466461635994308E-2</v>
      </c>
      <c r="L13" s="26">
        <v>98319866</v>
      </c>
      <c r="M13" s="26">
        <v>2441554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36">
        <f t="shared" si="5"/>
        <v>100761420</v>
      </c>
    </row>
    <row r="14" spans="1:27" s="23" customFormat="1" ht="26.25" customHeight="1">
      <c r="A14" s="321">
        <v>6</v>
      </c>
      <c r="B14" s="322" t="s">
        <v>400</v>
      </c>
      <c r="C14" s="25">
        <f>+'Loans Receivable'!C75</f>
        <v>10296625676</v>
      </c>
      <c r="D14" s="93">
        <f t="shared" si="0"/>
        <v>0.18024915746800485</v>
      </c>
      <c r="E14" s="26">
        <v>0</v>
      </c>
      <c r="F14" s="93">
        <f t="shared" si="1"/>
        <v>0</v>
      </c>
      <c r="G14" s="26">
        <v>0</v>
      </c>
      <c r="H14" s="93">
        <f t="shared" si="2"/>
        <v>0</v>
      </c>
      <c r="I14" s="25">
        <f t="shared" si="3"/>
        <v>150059657</v>
      </c>
      <c r="J14" s="25">
        <f t="shared" si="3"/>
        <v>127290347</v>
      </c>
      <c r="K14" s="93">
        <f t="shared" si="4"/>
        <v>0.19671441133529943</v>
      </c>
      <c r="L14" s="26">
        <v>78208666</v>
      </c>
      <c r="M14" s="26">
        <v>114030712</v>
      </c>
      <c r="N14" s="26">
        <v>14354547</v>
      </c>
      <c r="O14" s="26">
        <v>1555895</v>
      </c>
      <c r="P14" s="26">
        <v>30138339</v>
      </c>
      <c r="Q14" s="26">
        <v>6264672</v>
      </c>
      <c r="R14" s="26">
        <v>555201</v>
      </c>
      <c r="S14" s="26">
        <v>131412</v>
      </c>
      <c r="T14" s="26">
        <v>20157144</v>
      </c>
      <c r="U14" s="26">
        <v>2379726</v>
      </c>
      <c r="V14" s="26">
        <v>6645760</v>
      </c>
      <c r="W14" s="26">
        <v>2927930</v>
      </c>
      <c r="X14" s="26">
        <v>0</v>
      </c>
      <c r="Y14" s="26">
        <v>0</v>
      </c>
      <c r="Z14" s="236">
        <f t="shared" si="5"/>
        <v>277350004</v>
      </c>
    </row>
    <row r="15" spans="1:27" s="23" customFormat="1" ht="26.25" customHeight="1">
      <c r="A15" s="321">
        <v>7</v>
      </c>
      <c r="B15" s="322" t="s">
        <v>401</v>
      </c>
      <c r="C15" s="25">
        <f>+'Loans Receivable'!C76</f>
        <v>24784649546</v>
      </c>
      <c r="D15" s="93">
        <f t="shared" si="0"/>
        <v>0.43387147783950081</v>
      </c>
      <c r="E15" s="26">
        <v>40892838</v>
      </c>
      <c r="F15" s="93">
        <f t="shared" si="1"/>
        <v>0.70020973327747571</v>
      </c>
      <c r="G15" s="26">
        <v>157843603</v>
      </c>
      <c r="H15" s="93">
        <f t="shared" si="2"/>
        <v>0.99972221353459978</v>
      </c>
      <c r="I15" s="25">
        <f t="shared" si="3"/>
        <v>728560050</v>
      </c>
      <c r="J15" s="25">
        <f t="shared" si="3"/>
        <v>277799568</v>
      </c>
      <c r="K15" s="93">
        <f t="shared" si="4"/>
        <v>0.71377478633995917</v>
      </c>
      <c r="L15" s="26">
        <v>113971397</v>
      </c>
      <c r="M15" s="26">
        <v>165987458</v>
      </c>
      <c r="N15" s="26">
        <v>177054680</v>
      </c>
      <c r="O15" s="26">
        <v>18045871</v>
      </c>
      <c r="P15" s="26">
        <v>104436616</v>
      </c>
      <c r="Q15" s="26">
        <v>13699389</v>
      </c>
      <c r="R15" s="26">
        <v>132240698</v>
      </c>
      <c r="S15" s="26">
        <v>27403948</v>
      </c>
      <c r="T15" s="26">
        <v>194506659</v>
      </c>
      <c r="U15" s="26">
        <v>49320772</v>
      </c>
      <c r="V15" s="26">
        <v>6350000</v>
      </c>
      <c r="W15" s="26">
        <v>3342130</v>
      </c>
      <c r="X15" s="26">
        <v>0</v>
      </c>
      <c r="Y15" s="26">
        <v>0</v>
      </c>
      <c r="Z15" s="236">
        <f t="shared" si="5"/>
        <v>1006359618</v>
      </c>
    </row>
    <row r="16" spans="1:27" s="23" customFormat="1" ht="26.25" customHeight="1">
      <c r="A16" s="321">
        <v>8</v>
      </c>
      <c r="B16" s="322" t="s">
        <v>699</v>
      </c>
      <c r="C16" s="25">
        <f>+'Loans Receivable'!C77</f>
        <v>121348475</v>
      </c>
      <c r="D16" s="93">
        <f t="shared" si="0"/>
        <v>2.1242843109039182E-3</v>
      </c>
      <c r="E16" s="26">
        <v>1664665</v>
      </c>
      <c r="F16" s="93">
        <f t="shared" si="1"/>
        <v>2.8504126704200602E-2</v>
      </c>
      <c r="G16" s="26">
        <v>0</v>
      </c>
      <c r="H16" s="93">
        <f t="shared" si="2"/>
        <v>0</v>
      </c>
      <c r="I16" s="25">
        <f t="shared" si="3"/>
        <v>6226046</v>
      </c>
      <c r="J16" s="25">
        <f t="shared" si="3"/>
        <v>3683202</v>
      </c>
      <c r="K16" s="93">
        <f t="shared" si="4"/>
        <v>7.0282742346579998E-3</v>
      </c>
      <c r="L16" s="26">
        <v>2008417</v>
      </c>
      <c r="M16" s="26">
        <v>2263948</v>
      </c>
      <c r="N16" s="26">
        <v>122615</v>
      </c>
      <c r="O16" s="26">
        <v>97805</v>
      </c>
      <c r="P16" s="26">
        <v>407093</v>
      </c>
      <c r="Q16" s="26">
        <v>168428</v>
      </c>
      <c r="R16" s="26">
        <v>412079</v>
      </c>
      <c r="S16" s="26">
        <v>215537</v>
      </c>
      <c r="T16" s="26">
        <v>3275842</v>
      </c>
      <c r="U16" s="26">
        <v>937484</v>
      </c>
      <c r="V16" s="26">
        <v>0</v>
      </c>
      <c r="W16" s="26">
        <v>0</v>
      </c>
      <c r="X16" s="26">
        <v>0</v>
      </c>
      <c r="Y16" s="26">
        <v>0</v>
      </c>
      <c r="Z16" s="236">
        <f t="shared" si="5"/>
        <v>9909248</v>
      </c>
    </row>
    <row r="17" spans="1:26" s="23" customFormat="1" ht="26.25" customHeight="1">
      <c r="A17" s="321">
        <v>9</v>
      </c>
      <c r="B17" s="323" t="s">
        <v>700</v>
      </c>
      <c r="C17" s="25">
        <f>+'Loans Receivable'!C81</f>
        <v>2946729</v>
      </c>
      <c r="D17" s="93">
        <f t="shared" si="0"/>
        <v>5.1584415734813246E-5</v>
      </c>
      <c r="E17" s="26">
        <v>0</v>
      </c>
      <c r="F17" s="93">
        <f t="shared" si="1"/>
        <v>0</v>
      </c>
      <c r="G17" s="26">
        <v>0</v>
      </c>
      <c r="H17" s="93">
        <f t="shared" si="2"/>
        <v>0</v>
      </c>
      <c r="I17" s="25">
        <f t="shared" si="3"/>
        <v>118872</v>
      </c>
      <c r="J17" s="25">
        <f t="shared" si="3"/>
        <v>62346</v>
      </c>
      <c r="K17" s="93">
        <f t="shared" si="4"/>
        <v>1.2853142844504987E-4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38743</v>
      </c>
      <c r="S17" s="26">
        <v>10439</v>
      </c>
      <c r="T17" s="26">
        <v>80129</v>
      </c>
      <c r="U17" s="26">
        <v>51907</v>
      </c>
      <c r="V17" s="26">
        <v>0</v>
      </c>
      <c r="W17" s="26">
        <v>0</v>
      </c>
      <c r="X17" s="26">
        <v>0</v>
      </c>
      <c r="Y17" s="26">
        <v>0</v>
      </c>
      <c r="Z17" s="236">
        <f t="shared" si="5"/>
        <v>181218</v>
      </c>
    </row>
    <row r="18" spans="1:26" s="23" customFormat="1" ht="38.25" customHeight="1">
      <c r="A18" s="321">
        <v>10</v>
      </c>
      <c r="B18" s="323" t="s">
        <v>665</v>
      </c>
      <c r="C18" s="25">
        <f>+'Loans Receivable'!C82</f>
        <v>1605566</v>
      </c>
      <c r="D18" s="93">
        <f t="shared" si="0"/>
        <v>2.8106481469344877E-5</v>
      </c>
      <c r="E18" s="26">
        <v>0</v>
      </c>
      <c r="F18" s="93">
        <f t="shared" si="1"/>
        <v>0</v>
      </c>
      <c r="G18" s="26">
        <v>0</v>
      </c>
      <c r="H18" s="93">
        <f t="shared" si="2"/>
        <v>0</v>
      </c>
      <c r="I18" s="25">
        <f t="shared" si="3"/>
        <v>13281</v>
      </c>
      <c r="J18" s="25">
        <f t="shared" si="3"/>
        <v>5677</v>
      </c>
      <c r="K18" s="93">
        <f t="shared" si="4"/>
        <v>1.344622951616978E-5</v>
      </c>
      <c r="L18" s="26">
        <v>0</v>
      </c>
      <c r="M18" s="26">
        <v>135</v>
      </c>
      <c r="N18" s="26">
        <v>0</v>
      </c>
      <c r="O18" s="26">
        <v>0</v>
      </c>
      <c r="P18" s="26">
        <v>0</v>
      </c>
      <c r="Q18" s="26">
        <v>0</v>
      </c>
      <c r="R18" s="26">
        <v>13281</v>
      </c>
      <c r="S18" s="26">
        <v>5542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36">
        <f t="shared" si="5"/>
        <v>18958</v>
      </c>
    </row>
    <row r="19" spans="1:26" s="23" customFormat="1" ht="26.25" customHeight="1">
      <c r="A19" s="321">
        <v>11</v>
      </c>
      <c r="B19" s="323" t="s">
        <v>666</v>
      </c>
      <c r="C19" s="25">
        <f>+'Loans Receivable'!C83</f>
        <v>0</v>
      </c>
      <c r="D19" s="93">
        <f t="shared" si="0"/>
        <v>0</v>
      </c>
      <c r="E19" s="26">
        <v>0</v>
      </c>
      <c r="F19" s="93">
        <f t="shared" si="1"/>
        <v>0</v>
      </c>
      <c r="G19" s="26">
        <v>0</v>
      </c>
      <c r="H19" s="93">
        <f t="shared" si="2"/>
        <v>0</v>
      </c>
      <c r="I19" s="25">
        <f t="shared" si="3"/>
        <v>0</v>
      </c>
      <c r="J19" s="25">
        <f t="shared" si="3"/>
        <v>0</v>
      </c>
      <c r="K19" s="93">
        <f t="shared" si="4"/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36">
        <f t="shared" si="5"/>
        <v>0</v>
      </c>
    </row>
    <row r="20" spans="1:26" s="23" customFormat="1" ht="26.25" customHeight="1">
      <c r="A20" s="321">
        <v>12</v>
      </c>
      <c r="B20" s="323" t="s">
        <v>667</v>
      </c>
      <c r="C20" s="25">
        <f>+'Loans Receivable'!C84</f>
        <v>0</v>
      </c>
      <c r="D20" s="93">
        <f t="shared" si="0"/>
        <v>0</v>
      </c>
      <c r="E20" s="26">
        <v>0</v>
      </c>
      <c r="F20" s="93">
        <f t="shared" si="1"/>
        <v>0</v>
      </c>
      <c r="G20" s="26">
        <v>0</v>
      </c>
      <c r="H20" s="93">
        <f t="shared" si="2"/>
        <v>0</v>
      </c>
      <c r="I20" s="25">
        <f t="shared" si="3"/>
        <v>0</v>
      </c>
      <c r="J20" s="25">
        <f t="shared" si="3"/>
        <v>0</v>
      </c>
      <c r="K20" s="93">
        <f t="shared" si="4"/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36">
        <f t="shared" si="5"/>
        <v>0</v>
      </c>
    </row>
    <row r="21" spans="1:26" s="23" customFormat="1" ht="18.75" customHeight="1">
      <c r="A21" s="24"/>
      <c r="B21" s="25"/>
      <c r="C21" s="25"/>
      <c r="D21" s="93"/>
      <c r="E21" s="92"/>
      <c r="F21" s="93"/>
      <c r="G21" s="92"/>
      <c r="H21" s="93"/>
      <c r="I21" s="25"/>
      <c r="J21" s="93"/>
      <c r="K21" s="93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36">
        <f>+I21+J21</f>
        <v>0</v>
      </c>
    </row>
    <row r="22" spans="1:26" s="23" customFormat="1" ht="27.75" customHeight="1">
      <c r="A22" s="100">
        <v>13</v>
      </c>
      <c r="B22" s="100" t="s">
        <v>668</v>
      </c>
      <c r="C22" s="470">
        <f>SUM(C9:C20)</f>
        <v>57124403912</v>
      </c>
      <c r="D22" s="471">
        <f>IF(C$22=0,"",C22/C$22)</f>
        <v>1</v>
      </c>
      <c r="E22" s="470">
        <f>SUM(E9:E20)</f>
        <v>58400842</v>
      </c>
      <c r="F22" s="471">
        <f>IF(E$22=0,"",E22/E$22)</f>
        <v>1</v>
      </c>
      <c r="G22" s="470">
        <f>SUM(G9:G20)</f>
        <v>157887462</v>
      </c>
      <c r="H22" s="471">
        <f>IF($G$22=0,"",G22/$G$22)</f>
        <v>1</v>
      </c>
      <c r="I22" s="470">
        <f>SUM(I9:I20)</f>
        <v>991154434</v>
      </c>
      <c r="J22" s="470">
        <f>SUM(J9:J20)</f>
        <v>418757540</v>
      </c>
      <c r="K22" s="471">
        <f>IF($Z$22=0,"",Z22/$Z$22)</f>
        <v>1</v>
      </c>
      <c r="L22" s="470">
        <f t="shared" ref="L22:Y22" si="6">SUM(L9:L20)</f>
        <v>294256686</v>
      </c>
      <c r="M22" s="470">
        <f t="shared" si="6"/>
        <v>287015394</v>
      </c>
      <c r="N22" s="470">
        <f t="shared" si="6"/>
        <v>192777183</v>
      </c>
      <c r="O22" s="470">
        <f t="shared" si="6"/>
        <v>20404805</v>
      </c>
      <c r="P22" s="470">
        <f t="shared" si="6"/>
        <v>136233760</v>
      </c>
      <c r="Q22" s="470">
        <f t="shared" si="6"/>
        <v>21072012</v>
      </c>
      <c r="R22" s="470">
        <f t="shared" si="6"/>
        <v>134536986</v>
      </c>
      <c r="S22" s="470">
        <f t="shared" si="6"/>
        <v>28533994</v>
      </c>
      <c r="T22" s="470">
        <f t="shared" si="6"/>
        <v>220354059</v>
      </c>
      <c r="U22" s="470">
        <f t="shared" si="6"/>
        <v>55461275</v>
      </c>
      <c r="V22" s="470">
        <f t="shared" si="6"/>
        <v>12995760</v>
      </c>
      <c r="W22" s="470">
        <f t="shared" si="6"/>
        <v>6270060</v>
      </c>
      <c r="X22" s="470">
        <f t="shared" si="6"/>
        <v>0</v>
      </c>
      <c r="Y22" s="470">
        <f t="shared" si="6"/>
        <v>0</v>
      </c>
      <c r="Z22" s="236">
        <f t="shared" si="5"/>
        <v>1409911974</v>
      </c>
    </row>
    <row r="23" spans="1:26" s="23" customFormat="1" ht="18.75" customHeight="1">
      <c r="A23" s="321"/>
      <c r="B23" s="322"/>
      <c r="C23" s="25"/>
      <c r="D23" s="472"/>
      <c r="E23" s="92"/>
      <c r="F23" s="93"/>
      <c r="G23" s="92"/>
      <c r="H23" s="472"/>
      <c r="I23" s="25"/>
      <c r="J23" s="93"/>
      <c r="K23" s="472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36">
        <f t="shared" si="5"/>
        <v>0</v>
      </c>
    </row>
    <row r="24" spans="1:26" s="23" customFormat="1" ht="27.75" customHeight="1">
      <c r="A24" s="100"/>
      <c r="B24" s="100" t="s">
        <v>669</v>
      </c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234">
        <f t="shared" si="5"/>
        <v>0</v>
      </c>
    </row>
    <row r="25" spans="1:26" s="23" customFormat="1" ht="26.25" customHeight="1">
      <c r="A25" s="24">
        <v>14</v>
      </c>
      <c r="B25" s="414" t="s">
        <v>468</v>
      </c>
      <c r="C25" s="25">
        <f>+'Loans Receivable'!C14</f>
        <v>29912501071</v>
      </c>
      <c r="D25" s="93">
        <f t="shared" ref="D25:D32" si="7">IF(C$35=0,"",C25/C$35)</f>
        <v>0.52363786792559153</v>
      </c>
      <c r="E25" s="26">
        <v>34378217</v>
      </c>
      <c r="F25" s="93">
        <f t="shared" ref="F25:F33" si="8">IF($E$35=0,"",E25/$E$35)</f>
        <v>0.58865961213367435</v>
      </c>
      <c r="G25" s="26">
        <v>71852496</v>
      </c>
      <c r="H25" s="93">
        <f t="shared" ref="H25:H33" si="9">IF($G$35=0,"",G25/$G$35)</f>
        <v>0.45508677566810213</v>
      </c>
      <c r="I25" s="25">
        <f t="shared" ref="I25:J32" si="10">+L25+N25+P25+R25+T25+V25+X25</f>
        <v>416894845</v>
      </c>
      <c r="J25" s="25">
        <f t="shared" si="10"/>
        <v>220635459</v>
      </c>
      <c r="K25" s="93">
        <f t="shared" ref="K25:K33" si="11">IF($Z$35=0,"",Z25/$Z$35)</f>
        <v>0.45217738111074446</v>
      </c>
      <c r="L25" s="26">
        <v>175273503</v>
      </c>
      <c r="M25" s="26">
        <v>170354551</v>
      </c>
      <c r="N25" s="26">
        <v>44261683</v>
      </c>
      <c r="O25" s="26">
        <v>6392554</v>
      </c>
      <c r="P25" s="26">
        <v>43153635</v>
      </c>
      <c r="Q25" s="26">
        <v>9499748</v>
      </c>
      <c r="R25" s="26">
        <v>71246613</v>
      </c>
      <c r="S25" s="26">
        <v>18117890</v>
      </c>
      <c r="T25" s="26">
        <v>76313651</v>
      </c>
      <c r="U25" s="26">
        <v>13342786</v>
      </c>
      <c r="V25" s="26">
        <v>6645760</v>
      </c>
      <c r="W25" s="26">
        <v>2927930</v>
      </c>
      <c r="X25" s="26">
        <v>0</v>
      </c>
      <c r="Y25" s="26">
        <v>0</v>
      </c>
      <c r="Z25" s="236">
        <f t="shared" si="5"/>
        <v>637530304</v>
      </c>
    </row>
    <row r="26" spans="1:26" s="23" customFormat="1" ht="26.25" customHeight="1">
      <c r="A26" s="24">
        <v>15</v>
      </c>
      <c r="B26" s="414" t="s">
        <v>469</v>
      </c>
      <c r="C26" s="25">
        <f>+'Loans Receivable'!C22</f>
        <v>4926336219</v>
      </c>
      <c r="D26" s="93">
        <f t="shared" si="7"/>
        <v>8.6238733039368048E-2</v>
      </c>
      <c r="E26" s="26">
        <v>2415555</v>
      </c>
      <c r="F26" s="93">
        <f t="shared" si="8"/>
        <v>4.1361646806393648E-2</v>
      </c>
      <c r="G26" s="26">
        <v>0</v>
      </c>
      <c r="H26" s="93">
        <f t="shared" si="9"/>
        <v>0</v>
      </c>
      <c r="I26" s="25">
        <f t="shared" si="10"/>
        <v>293400607</v>
      </c>
      <c r="J26" s="25">
        <f t="shared" si="10"/>
        <v>64935267</v>
      </c>
      <c r="K26" s="93">
        <f t="shared" si="11"/>
        <v>0.25415478455962104</v>
      </c>
      <c r="L26" s="26">
        <v>44832372</v>
      </c>
      <c r="M26" s="26">
        <v>33117186</v>
      </c>
      <c r="N26" s="26">
        <v>130600236</v>
      </c>
      <c r="O26" s="26">
        <v>11175199</v>
      </c>
      <c r="P26" s="26">
        <v>76132630</v>
      </c>
      <c r="Q26" s="26">
        <v>7675934</v>
      </c>
      <c r="R26" s="26">
        <v>15063040</v>
      </c>
      <c r="S26" s="26">
        <v>2232360</v>
      </c>
      <c r="T26" s="26">
        <v>26772329</v>
      </c>
      <c r="U26" s="26">
        <v>10734588</v>
      </c>
      <c r="V26" s="26">
        <v>0</v>
      </c>
      <c r="W26" s="26">
        <v>0</v>
      </c>
      <c r="X26" s="26">
        <v>0</v>
      </c>
      <c r="Y26" s="26">
        <v>0</v>
      </c>
      <c r="Z26" s="236">
        <f t="shared" si="5"/>
        <v>358335874</v>
      </c>
    </row>
    <row r="27" spans="1:26" s="23" customFormat="1" ht="26.25" customHeight="1">
      <c r="A27" s="24">
        <v>16</v>
      </c>
      <c r="B27" s="414" t="s">
        <v>470</v>
      </c>
      <c r="C27" s="25">
        <f>+'Loans Receivable'!C29</f>
        <v>3968113322</v>
      </c>
      <c r="D27" s="93">
        <f t="shared" si="7"/>
        <v>6.9464415385635678E-2</v>
      </c>
      <c r="E27" s="26">
        <v>899161</v>
      </c>
      <c r="F27" s="93">
        <f t="shared" si="8"/>
        <v>1.5396370483836517E-2</v>
      </c>
      <c r="G27" s="26">
        <v>1</v>
      </c>
      <c r="H27" s="93">
        <f t="shared" si="9"/>
        <v>6.3336251487784382E-9</v>
      </c>
      <c r="I27" s="25">
        <f t="shared" si="10"/>
        <v>21275638</v>
      </c>
      <c r="J27" s="25">
        <f t="shared" si="10"/>
        <v>8346740</v>
      </c>
      <c r="K27" s="93">
        <f t="shared" si="11"/>
        <v>2.1010090378876377E-2</v>
      </c>
      <c r="L27" s="26">
        <v>504602</v>
      </c>
      <c r="M27" s="26">
        <v>4274245</v>
      </c>
      <c r="N27" s="26">
        <v>2567655</v>
      </c>
      <c r="O27" s="26">
        <v>97835</v>
      </c>
      <c r="P27" s="26">
        <v>278902</v>
      </c>
      <c r="Q27" s="26">
        <v>671682</v>
      </c>
      <c r="R27" s="26">
        <v>16934495</v>
      </c>
      <c r="S27" s="26">
        <v>2387538</v>
      </c>
      <c r="T27" s="26">
        <v>989984</v>
      </c>
      <c r="U27" s="26">
        <v>915440</v>
      </c>
      <c r="V27" s="26">
        <v>0</v>
      </c>
      <c r="W27" s="26">
        <v>0</v>
      </c>
      <c r="X27" s="26">
        <v>0</v>
      </c>
      <c r="Y27" s="26">
        <v>0</v>
      </c>
      <c r="Z27" s="236">
        <f t="shared" si="5"/>
        <v>29622378</v>
      </c>
    </row>
    <row r="28" spans="1:26" s="23" customFormat="1" ht="26.25" customHeight="1">
      <c r="A28" s="24">
        <v>17</v>
      </c>
      <c r="B28" s="414" t="s">
        <v>471</v>
      </c>
      <c r="C28" s="25">
        <f>+'Loans Receivable'!C36</f>
        <v>1311758376</v>
      </c>
      <c r="D28" s="93">
        <f t="shared" si="7"/>
        <v>2.2963187117379123E-2</v>
      </c>
      <c r="E28" s="26">
        <v>493875</v>
      </c>
      <c r="F28" s="93">
        <f t="shared" si="8"/>
        <v>8.4566417723908847E-3</v>
      </c>
      <c r="G28" s="26">
        <v>11510424</v>
      </c>
      <c r="H28" s="93">
        <f t="shared" si="9"/>
        <v>7.29027109195029E-2</v>
      </c>
      <c r="I28" s="25">
        <f t="shared" si="10"/>
        <v>29147301</v>
      </c>
      <c r="J28" s="25">
        <f t="shared" si="10"/>
        <v>21660317</v>
      </c>
      <c r="K28" s="93">
        <f t="shared" si="11"/>
        <v>3.6036021352351462E-2</v>
      </c>
      <c r="L28" s="26">
        <v>3745843</v>
      </c>
      <c r="M28" s="26">
        <v>13941755</v>
      </c>
      <c r="N28" s="26">
        <v>664873</v>
      </c>
      <c r="O28" s="26">
        <v>432698</v>
      </c>
      <c r="P28" s="26">
        <v>2607789</v>
      </c>
      <c r="Q28" s="26">
        <v>861982</v>
      </c>
      <c r="R28" s="26">
        <v>2169141</v>
      </c>
      <c r="S28" s="26">
        <v>688812</v>
      </c>
      <c r="T28" s="26">
        <v>19959655</v>
      </c>
      <c r="U28" s="26">
        <v>5735070</v>
      </c>
      <c r="V28" s="26">
        <v>0</v>
      </c>
      <c r="W28" s="26">
        <v>0</v>
      </c>
      <c r="X28" s="26">
        <v>0</v>
      </c>
      <c r="Y28" s="26">
        <v>0</v>
      </c>
      <c r="Z28" s="236">
        <f t="shared" si="5"/>
        <v>50807618</v>
      </c>
    </row>
    <row r="29" spans="1:26" s="23" customFormat="1" ht="26.25" customHeight="1">
      <c r="A29" s="24">
        <v>18</v>
      </c>
      <c r="B29" s="415" t="s">
        <v>701</v>
      </c>
      <c r="C29" s="25">
        <f>+'Loans Receivable'!C43</f>
        <v>3466439372</v>
      </c>
      <c r="D29" s="93">
        <f t="shared" si="7"/>
        <v>6.0682285233821277E-2</v>
      </c>
      <c r="E29" s="26">
        <v>8827176</v>
      </c>
      <c r="F29" s="93">
        <f t="shared" si="8"/>
        <v>0.15114809474835997</v>
      </c>
      <c r="G29" s="26">
        <v>72906866</v>
      </c>
      <c r="H29" s="93">
        <f t="shared" si="9"/>
        <v>0.46176476001621963</v>
      </c>
      <c r="I29" s="25">
        <f t="shared" si="10"/>
        <v>144642842</v>
      </c>
      <c r="J29" s="25">
        <f t="shared" si="10"/>
        <v>54210292</v>
      </c>
      <c r="K29" s="93">
        <f t="shared" si="11"/>
        <v>0.14103939654887987</v>
      </c>
      <c r="L29" s="26">
        <v>6544435</v>
      </c>
      <c r="M29" s="26">
        <v>25602761</v>
      </c>
      <c r="N29" s="26">
        <v>9349182</v>
      </c>
      <c r="O29" s="26">
        <v>1090876</v>
      </c>
      <c r="P29" s="26">
        <v>11089066</v>
      </c>
      <c r="Q29" s="26">
        <v>830953</v>
      </c>
      <c r="R29" s="26">
        <v>25026725</v>
      </c>
      <c r="S29" s="26">
        <v>3600842</v>
      </c>
      <c r="T29" s="26">
        <v>86633434</v>
      </c>
      <c r="U29" s="26">
        <v>19935714</v>
      </c>
      <c r="V29" s="26">
        <v>6000000</v>
      </c>
      <c r="W29" s="26">
        <v>3149146</v>
      </c>
      <c r="X29" s="26">
        <v>0</v>
      </c>
      <c r="Y29" s="26">
        <v>0</v>
      </c>
      <c r="Z29" s="236">
        <f t="shared" si="5"/>
        <v>198853134</v>
      </c>
    </row>
    <row r="30" spans="1:26" s="23" customFormat="1" ht="38.25" customHeight="1">
      <c r="A30" s="24">
        <v>19</v>
      </c>
      <c r="B30" s="415" t="s">
        <v>473</v>
      </c>
      <c r="C30" s="25">
        <f>+'Loans Receivable'!C50</f>
        <v>2157776262</v>
      </c>
      <c r="D30" s="93">
        <f t="shared" si="7"/>
        <v>3.7773282769375569E-2</v>
      </c>
      <c r="E30" s="26">
        <v>0</v>
      </c>
      <c r="F30" s="93">
        <f t="shared" si="8"/>
        <v>0</v>
      </c>
      <c r="G30" s="26">
        <v>0</v>
      </c>
      <c r="H30" s="93">
        <f t="shared" si="9"/>
        <v>0</v>
      </c>
      <c r="I30" s="25">
        <f t="shared" si="10"/>
        <v>51801776</v>
      </c>
      <c r="J30" s="25">
        <f t="shared" si="10"/>
        <v>1363411</v>
      </c>
      <c r="K30" s="93">
        <f t="shared" si="11"/>
        <v>3.7708160495415442E-2</v>
      </c>
      <c r="L30" s="26">
        <v>50100000</v>
      </c>
      <c r="M30" s="26">
        <v>918440</v>
      </c>
      <c r="N30" s="26">
        <v>447990</v>
      </c>
      <c r="O30" s="26">
        <v>134319</v>
      </c>
      <c r="P30" s="26">
        <v>625833</v>
      </c>
      <c r="Q30" s="26">
        <v>116716</v>
      </c>
      <c r="R30" s="26">
        <v>246815</v>
      </c>
      <c r="S30" s="26">
        <v>515</v>
      </c>
      <c r="T30" s="26">
        <v>31138</v>
      </c>
      <c r="U30" s="26">
        <v>437</v>
      </c>
      <c r="V30" s="26">
        <v>350000</v>
      </c>
      <c r="W30" s="26">
        <v>192984</v>
      </c>
      <c r="X30" s="26">
        <v>0</v>
      </c>
      <c r="Y30" s="26">
        <v>0</v>
      </c>
      <c r="Z30" s="236">
        <f t="shared" si="5"/>
        <v>53165187</v>
      </c>
    </row>
    <row r="31" spans="1:26" s="23" customFormat="1" ht="26.25" customHeight="1">
      <c r="A31" s="24">
        <v>20</v>
      </c>
      <c r="B31" s="414" t="s">
        <v>702</v>
      </c>
      <c r="C31" s="25">
        <f>+'Loans Receivable'!C58</f>
        <v>1605566</v>
      </c>
      <c r="D31" s="93">
        <f t="shared" si="7"/>
        <v>2.8106481469344877E-5</v>
      </c>
      <c r="E31" s="26">
        <v>0</v>
      </c>
      <c r="F31" s="93">
        <f t="shared" si="8"/>
        <v>0</v>
      </c>
      <c r="G31" s="26">
        <v>0</v>
      </c>
      <c r="H31" s="93">
        <f t="shared" si="9"/>
        <v>0</v>
      </c>
      <c r="I31" s="25">
        <f t="shared" si="10"/>
        <v>13281</v>
      </c>
      <c r="J31" s="25">
        <f t="shared" si="10"/>
        <v>5677</v>
      </c>
      <c r="K31" s="93">
        <f t="shared" si="11"/>
        <v>1.344622951616978E-5</v>
      </c>
      <c r="L31" s="26">
        <v>0</v>
      </c>
      <c r="M31" s="26">
        <v>135</v>
      </c>
      <c r="N31" s="26">
        <v>0</v>
      </c>
      <c r="O31" s="26">
        <v>0</v>
      </c>
      <c r="P31" s="26">
        <v>0</v>
      </c>
      <c r="Q31" s="26">
        <v>0</v>
      </c>
      <c r="R31" s="26">
        <v>13281</v>
      </c>
      <c r="S31" s="26">
        <v>5542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36">
        <f t="shared" si="5"/>
        <v>18958</v>
      </c>
    </row>
    <row r="32" spans="1:26" s="23" customFormat="1" ht="26.25" customHeight="1">
      <c r="A32" s="24">
        <v>21</v>
      </c>
      <c r="B32" s="414" t="s">
        <v>475</v>
      </c>
      <c r="C32" s="25">
        <f>+'Loans Receivable'!C70</f>
        <v>3565380938</v>
      </c>
      <c r="D32" s="93">
        <f t="shared" si="7"/>
        <v>6.2414321968111218E-2</v>
      </c>
      <c r="E32" s="26">
        <v>40000</v>
      </c>
      <c r="F32" s="93">
        <f t="shared" si="8"/>
        <v>6.8492163178058294E-4</v>
      </c>
      <c r="G32" s="26">
        <v>1573816</v>
      </c>
      <c r="H32" s="93">
        <f t="shared" si="9"/>
        <v>9.9679605971498865E-3</v>
      </c>
      <c r="I32" s="25">
        <f t="shared" si="10"/>
        <v>26121482</v>
      </c>
      <c r="J32" s="25">
        <f t="shared" si="10"/>
        <v>40125531</v>
      </c>
      <c r="K32" s="93">
        <f t="shared" si="11"/>
        <v>4.6986630528467306E-2</v>
      </c>
      <c r="L32" s="26">
        <v>11507591</v>
      </c>
      <c r="M32" s="26">
        <v>36514734</v>
      </c>
      <c r="N32" s="26">
        <v>3640223</v>
      </c>
      <c r="O32" s="26">
        <v>376090</v>
      </c>
      <c r="P32" s="26">
        <v>1094193</v>
      </c>
      <c r="Q32" s="26">
        <v>475474</v>
      </c>
      <c r="R32" s="26">
        <v>2559892</v>
      </c>
      <c r="S32" s="26">
        <v>733379</v>
      </c>
      <c r="T32" s="26">
        <v>7319583</v>
      </c>
      <c r="U32" s="26">
        <v>2025854</v>
      </c>
      <c r="V32" s="26">
        <v>0</v>
      </c>
      <c r="W32" s="26">
        <v>0</v>
      </c>
      <c r="X32" s="26">
        <v>0</v>
      </c>
      <c r="Y32" s="26">
        <v>0</v>
      </c>
      <c r="Z32" s="236">
        <f t="shared" si="5"/>
        <v>66247013</v>
      </c>
    </row>
    <row r="33" spans="1:26" s="23" customFormat="1" ht="26.25" customHeight="1">
      <c r="A33" s="24">
        <v>22</v>
      </c>
      <c r="B33" s="414" t="s">
        <v>398</v>
      </c>
      <c r="C33" s="25">
        <f>+'Loans Receivable'!C71</f>
        <v>7814492786</v>
      </c>
      <c r="D33" s="93">
        <f t="shared" ref="D33" si="12">IF(C$35=0,"",C33/C$35)</f>
        <v>0.13679780007924822</v>
      </c>
      <c r="E33" s="26">
        <v>11346858</v>
      </c>
      <c r="F33" s="93">
        <f t="shared" si="8"/>
        <v>0.19429271242356402</v>
      </c>
      <c r="G33" s="26">
        <v>43859</v>
      </c>
      <c r="H33" s="93">
        <f t="shared" si="9"/>
        <v>2.7778646540027352E-4</v>
      </c>
      <c r="I33" s="25">
        <f t="shared" ref="I33" si="13">+L33+N33+P33+R33+T33+V33+X33</f>
        <v>7856662</v>
      </c>
      <c r="J33" s="25">
        <f t="shared" ref="J33" si="14">+M33+O33+Q33+S33+U33+W33+Y33</f>
        <v>7474846</v>
      </c>
      <c r="K33" s="93">
        <f t="shared" si="11"/>
        <v>1.0874088796127921E-2</v>
      </c>
      <c r="L33" s="26">
        <v>1748340</v>
      </c>
      <c r="M33" s="26">
        <v>2291587</v>
      </c>
      <c r="N33" s="26">
        <v>1245341</v>
      </c>
      <c r="O33" s="26">
        <v>705234</v>
      </c>
      <c r="P33" s="26">
        <v>1251712</v>
      </c>
      <c r="Q33" s="26">
        <v>939523</v>
      </c>
      <c r="R33" s="26">
        <v>1276984</v>
      </c>
      <c r="S33" s="26">
        <v>767116</v>
      </c>
      <c r="T33" s="26">
        <v>2334285</v>
      </c>
      <c r="U33" s="26">
        <v>2771386</v>
      </c>
      <c r="V33" s="26">
        <v>0</v>
      </c>
      <c r="W33" s="26">
        <v>0</v>
      </c>
      <c r="X33" s="26">
        <v>0</v>
      </c>
      <c r="Y33" s="26">
        <v>0</v>
      </c>
      <c r="Z33" s="236">
        <f t="shared" si="5"/>
        <v>15331508</v>
      </c>
    </row>
    <row r="34" spans="1:26" s="23" customFormat="1" ht="18.75" customHeight="1">
      <c r="A34" s="24"/>
      <c r="B34" s="25"/>
      <c r="C34" s="25"/>
      <c r="D34" s="93"/>
      <c r="E34" s="92"/>
      <c r="F34" s="93"/>
      <c r="G34" s="92"/>
      <c r="H34" s="93"/>
      <c r="I34" s="25"/>
      <c r="J34" s="93"/>
      <c r="K34" s="93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36">
        <f t="shared" si="5"/>
        <v>0</v>
      </c>
    </row>
    <row r="35" spans="1:26" s="23" customFormat="1" ht="27.75" customHeight="1">
      <c r="A35" s="324">
        <v>23</v>
      </c>
      <c r="B35" s="324" t="s">
        <v>668</v>
      </c>
      <c r="C35" s="470">
        <f>SUM(C25:C33)</f>
        <v>57124403912</v>
      </c>
      <c r="D35" s="471">
        <f>IF(C$35=0,"",C35/C$35)</f>
        <v>1</v>
      </c>
      <c r="E35" s="470">
        <f>SUM(E25:E33)</f>
        <v>58400842</v>
      </c>
      <c r="F35" s="471">
        <f>IF($E$35=0,"",E35/$E$35)</f>
        <v>1</v>
      </c>
      <c r="G35" s="470">
        <f>SUM(G25:G33)</f>
        <v>157887462</v>
      </c>
      <c r="H35" s="471">
        <f>IF($G$35=0,"",G35/$G$35)</f>
        <v>1</v>
      </c>
      <c r="I35" s="470">
        <f t="shared" ref="I35:J35" si="15">SUM(I25:I33)</f>
        <v>991154434</v>
      </c>
      <c r="J35" s="470">
        <f t="shared" si="15"/>
        <v>418757540</v>
      </c>
      <c r="K35" s="471">
        <f>IF($Z$35=0,"",Z35/$Z$35)</f>
        <v>1</v>
      </c>
      <c r="L35" s="470">
        <f t="shared" ref="L35:Y35" si="16">SUM(L25:L33)</f>
        <v>294256686</v>
      </c>
      <c r="M35" s="470">
        <f t="shared" si="16"/>
        <v>287015394</v>
      </c>
      <c r="N35" s="470">
        <f t="shared" si="16"/>
        <v>192777183</v>
      </c>
      <c r="O35" s="470">
        <f t="shared" si="16"/>
        <v>20404805</v>
      </c>
      <c r="P35" s="470">
        <f t="shared" si="16"/>
        <v>136233760</v>
      </c>
      <c r="Q35" s="470">
        <f t="shared" si="16"/>
        <v>21072012</v>
      </c>
      <c r="R35" s="470">
        <f t="shared" si="16"/>
        <v>134536986</v>
      </c>
      <c r="S35" s="470">
        <f t="shared" si="16"/>
        <v>28533994</v>
      </c>
      <c r="T35" s="470">
        <f t="shared" si="16"/>
        <v>220354059</v>
      </c>
      <c r="U35" s="470">
        <f t="shared" si="16"/>
        <v>55461275</v>
      </c>
      <c r="V35" s="470">
        <f t="shared" si="16"/>
        <v>12995760</v>
      </c>
      <c r="W35" s="470">
        <f t="shared" si="16"/>
        <v>6270060</v>
      </c>
      <c r="X35" s="470">
        <f t="shared" si="16"/>
        <v>0</v>
      </c>
      <c r="Y35" s="470">
        <f t="shared" si="16"/>
        <v>0</v>
      </c>
      <c r="Z35" s="236">
        <f t="shared" si="5"/>
        <v>1409911974</v>
      </c>
    </row>
    <row r="36" spans="1:26" ht="22.5" customHeight="1">
      <c r="A36" s="27"/>
    </row>
    <row r="37" spans="1:26" s="30" customFormat="1" ht="18.75" customHeight="1">
      <c r="B37" s="28" t="s">
        <v>778</v>
      </c>
      <c r="F37" s="183"/>
      <c r="G37" s="183"/>
      <c r="H37" s="183"/>
      <c r="I37" s="183"/>
      <c r="J37" s="183"/>
      <c r="K37" s="183"/>
      <c r="L37" s="183"/>
      <c r="M37" s="183"/>
    </row>
    <row r="38" spans="1:26" s="30" customFormat="1" ht="18.75" customHeight="1">
      <c r="B38" s="28"/>
      <c r="F38" s="183"/>
      <c r="G38" s="183"/>
      <c r="H38" s="183"/>
      <c r="I38" s="183"/>
      <c r="J38" s="183"/>
      <c r="K38" s="183"/>
      <c r="L38" s="183"/>
      <c r="M38" s="183"/>
    </row>
    <row r="39" spans="1:26" s="30" customFormat="1" ht="18.75" customHeight="1">
      <c r="B39" s="28" t="s">
        <v>779</v>
      </c>
      <c r="F39" s="183"/>
      <c r="G39" s="183"/>
      <c r="H39" s="183"/>
      <c r="I39" s="183"/>
      <c r="J39" s="183"/>
      <c r="K39" s="183"/>
      <c r="L39" s="183"/>
      <c r="M39" s="183"/>
    </row>
    <row r="40" spans="1:26" ht="15.75">
      <c r="A40" s="27"/>
      <c r="B40" s="28"/>
    </row>
    <row r="42" spans="1:26">
      <c r="G42" s="133">
        <f>+'[8]Bank Assets Analysis'!$S$31</f>
        <v>83375035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5" type="noConversion"/>
  <conditionalFormatting sqref="C35">
    <cfRule type="cellIs" dxfId="228" priority="5" operator="notEqual">
      <formula>C22</formula>
    </cfRule>
  </conditionalFormatting>
  <conditionalFormatting sqref="E35">
    <cfRule type="cellIs" dxfId="227" priority="4" operator="notEqual">
      <formula>E22</formula>
    </cfRule>
  </conditionalFormatting>
  <conditionalFormatting sqref="G35">
    <cfRule type="cellIs" dxfId="226" priority="3" operator="notEqual">
      <formula>G22</formula>
    </cfRule>
  </conditionalFormatting>
  <conditionalFormatting sqref="I35:J35">
    <cfRule type="cellIs" dxfId="225" priority="2" operator="notEqual">
      <formula>I22</formula>
    </cfRule>
  </conditionalFormatting>
  <conditionalFormatting sqref="L35:Y35">
    <cfRule type="cellIs" dxfId="224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topLeftCell="A4" zoomScale="85" zoomScaleNormal="62" zoomScaleSheetLayoutView="85" workbookViewId="0">
      <pane xSplit="4" ySplit="3" topLeftCell="E64" activePane="bottomRight" state="frozen"/>
      <selection activeCell="A4" sqref="A4"/>
      <selection pane="topRight" activeCell="E4" sqref="E4"/>
      <selection pane="bottomLeft" activeCell="A7" sqref="A7"/>
      <selection pane="bottomRight" activeCell="G71" sqref="G71"/>
    </sheetView>
  </sheetViews>
  <sheetFormatPr defaultColWidth="9.42578125" defaultRowHeight="12.75"/>
  <cols>
    <col min="1" max="1" width="5" style="30" customWidth="1"/>
    <col min="2" max="2" width="47.42578125" style="30" customWidth="1"/>
    <col min="3" max="4" width="21.28515625" style="30" customWidth="1"/>
    <col min="5" max="7" width="18.7109375" style="30" customWidth="1"/>
    <col min="8" max="8" width="17" style="30" customWidth="1"/>
    <col min="9" max="11" width="18" style="30" customWidth="1"/>
    <col min="12" max="12" width="17" style="30" customWidth="1"/>
    <col min="13" max="13" width="16.7109375" style="30" customWidth="1"/>
    <col min="14" max="14" width="14.7109375" style="30" customWidth="1"/>
    <col min="15" max="15" width="13.7109375" style="30" customWidth="1"/>
    <col min="16" max="16" width="17" style="30" customWidth="1"/>
    <col min="17" max="17" width="16.5703125" style="30" customWidth="1"/>
    <col min="18" max="19" width="14.7109375" style="30" customWidth="1"/>
    <col min="20" max="20" width="17" style="30" customWidth="1"/>
    <col min="21" max="21" width="18" style="30" customWidth="1"/>
    <col min="22" max="22" width="17" style="30" customWidth="1"/>
    <col min="23" max="24" width="16.5703125" style="30" customWidth="1"/>
    <col min="25" max="25" width="17" style="30" bestFit="1" customWidth="1"/>
    <col min="26" max="26" width="16.5703125" style="30" customWidth="1"/>
    <col min="27" max="28" width="14.7109375" style="30" customWidth="1"/>
    <col min="29" max="29" width="19.140625" style="183" customWidth="1"/>
    <col min="30" max="30" width="19" style="183" customWidth="1"/>
    <col min="31" max="36" width="9.42578125" style="183"/>
    <col min="37" max="16384" width="9.42578125" style="30"/>
  </cols>
  <sheetData>
    <row r="1" spans="1:36" ht="21" customHeight="1">
      <c r="A1" s="325" t="s">
        <v>642</v>
      </c>
      <c r="B1" s="226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X1" s="221"/>
      <c r="Y1" s="221"/>
      <c r="Z1" s="326" t="s">
        <v>643</v>
      </c>
      <c r="AA1" s="221"/>
    </row>
    <row r="2" spans="1:36" ht="12.75" customHeight="1">
      <c r="A2" s="325"/>
      <c r="B2" s="226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X2" s="221"/>
      <c r="Y2" s="221"/>
      <c r="Z2" s="326"/>
      <c r="AA2" s="221"/>
    </row>
    <row r="3" spans="1:36" ht="15.75">
      <c r="A3" s="224"/>
      <c r="B3" s="83" t="str">
        <f>+'Asset quality'!B3</f>
        <v>"Ўзсаноатқурилишибанк" АТБ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602">
        <f>+'Asset quality'!Q3</f>
        <v>45289</v>
      </c>
      <c r="V3" s="602"/>
      <c r="W3" s="82"/>
      <c r="X3" s="224"/>
      <c r="Y3" s="224"/>
      <c r="AA3" s="222"/>
      <c r="AB3" s="327" t="str">
        <f>+'Asset quality'!T3</f>
        <v>минг. сўмда</v>
      </c>
    </row>
    <row r="4" spans="1:36" ht="125.25" customHeight="1">
      <c r="A4" s="328" t="s">
        <v>61</v>
      </c>
      <c r="B4" s="329" t="s">
        <v>284</v>
      </c>
      <c r="C4" s="330" t="s">
        <v>644</v>
      </c>
      <c r="D4" s="330" t="s">
        <v>645</v>
      </c>
      <c r="E4" s="330" t="s">
        <v>646</v>
      </c>
      <c r="F4" s="330" t="s">
        <v>645</v>
      </c>
      <c r="G4" s="330" t="s">
        <v>780</v>
      </c>
      <c r="H4" s="330" t="s">
        <v>645</v>
      </c>
      <c r="I4" s="330" t="s">
        <v>647</v>
      </c>
      <c r="J4" s="330" t="s">
        <v>645</v>
      </c>
      <c r="K4" s="330" t="s">
        <v>648</v>
      </c>
      <c r="L4" s="330" t="s">
        <v>645</v>
      </c>
      <c r="M4" s="330" t="s">
        <v>649</v>
      </c>
      <c r="N4" s="330" t="s">
        <v>645</v>
      </c>
      <c r="O4" s="330" t="s">
        <v>650</v>
      </c>
      <c r="P4" s="330" t="s">
        <v>645</v>
      </c>
      <c r="Q4" s="330" t="s">
        <v>651</v>
      </c>
      <c r="R4" s="330" t="s">
        <v>645</v>
      </c>
      <c r="S4" s="330" t="s">
        <v>652</v>
      </c>
      <c r="T4" s="330" t="s">
        <v>645</v>
      </c>
      <c r="U4" s="330" t="s">
        <v>653</v>
      </c>
      <c r="V4" s="330" t="s">
        <v>645</v>
      </c>
      <c r="W4" s="330" t="s">
        <v>654</v>
      </c>
      <c r="X4" s="330" t="s">
        <v>645</v>
      </c>
      <c r="Y4" s="330" t="s">
        <v>655</v>
      </c>
      <c r="Z4" s="330" t="s">
        <v>645</v>
      </c>
      <c r="AA4" s="330" t="s">
        <v>656</v>
      </c>
      <c r="AB4" s="330" t="s">
        <v>657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733</v>
      </c>
      <c r="E5" s="14" t="s">
        <v>38</v>
      </c>
      <c r="F5" s="14" t="s">
        <v>734</v>
      </c>
      <c r="G5" s="14" t="s">
        <v>62</v>
      </c>
      <c r="H5" s="14" t="s">
        <v>735</v>
      </c>
      <c r="I5" s="14" t="s">
        <v>63</v>
      </c>
      <c r="J5" s="14" t="s">
        <v>736</v>
      </c>
      <c r="K5" s="14" t="s">
        <v>64</v>
      </c>
      <c r="L5" s="14" t="s">
        <v>737</v>
      </c>
      <c r="M5" s="14" t="s">
        <v>67</v>
      </c>
      <c r="N5" s="14" t="s">
        <v>738</v>
      </c>
      <c r="O5" s="14" t="s">
        <v>68</v>
      </c>
      <c r="P5" s="14" t="s">
        <v>739</v>
      </c>
      <c r="Q5" s="14" t="s">
        <v>69</v>
      </c>
      <c r="R5" s="14" t="s">
        <v>740</v>
      </c>
      <c r="S5" s="14" t="s">
        <v>70</v>
      </c>
      <c r="T5" s="14" t="s">
        <v>741</v>
      </c>
      <c r="U5" s="14" t="s">
        <v>71</v>
      </c>
      <c r="V5" s="14" t="s">
        <v>742</v>
      </c>
      <c r="W5" s="14" t="s">
        <v>72</v>
      </c>
      <c r="X5" s="14" t="s">
        <v>743</v>
      </c>
      <c r="Y5" s="14" t="s">
        <v>31</v>
      </c>
      <c r="Z5" s="14" t="s">
        <v>744</v>
      </c>
      <c r="AA5" s="14" t="s">
        <v>155</v>
      </c>
      <c r="AB5" s="14" t="s">
        <v>156</v>
      </c>
      <c r="AC5" s="234"/>
      <c r="AD5" s="234"/>
      <c r="AE5" s="234"/>
      <c r="AF5" s="234"/>
      <c r="AG5" s="234"/>
      <c r="AH5" s="234"/>
      <c r="AI5" s="234"/>
      <c r="AJ5" s="234"/>
    </row>
    <row r="6" spans="1:36" s="486" customFormat="1" ht="27.75" customHeight="1">
      <c r="A6" s="484"/>
      <c r="B6" s="484" t="s">
        <v>658</v>
      </c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4"/>
      <c r="AD6" s="558"/>
    </row>
    <row r="7" spans="1:36" s="15" customFormat="1" ht="23.25" customHeight="1">
      <c r="A7" s="329">
        <v>1</v>
      </c>
      <c r="B7" s="148" t="s">
        <v>659</v>
      </c>
      <c r="C7" s="463">
        <f t="shared" ref="C7:C30" si="0">E7+I7+M7+Q7+U7</f>
        <v>0</v>
      </c>
      <c r="D7" s="461">
        <f>F7+J7+N7+R7+V7</f>
        <v>0</v>
      </c>
      <c r="E7" s="462"/>
      <c r="F7" s="462"/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0">
        <f t="shared" ref="Y7:Y30" si="1">+W7+S7+O7+K7</f>
        <v>0</v>
      </c>
      <c r="Z7" s="461">
        <f t="shared" ref="Z7:Z30" si="2">+X7+T7+P7+L7</f>
        <v>0</v>
      </c>
      <c r="AA7" s="17"/>
      <c r="AB7" s="17"/>
      <c r="AC7" s="236">
        <f>+'Aging Analysis'!C9</f>
        <v>0</v>
      </c>
      <c r="AD7" s="558">
        <f>+C7-AC7</f>
        <v>0</v>
      </c>
      <c r="AE7" s="234"/>
      <c r="AF7" s="234"/>
      <c r="AG7" s="234"/>
      <c r="AH7" s="234"/>
      <c r="AI7" s="234"/>
      <c r="AJ7" s="234"/>
    </row>
    <row r="8" spans="1:36" s="15" customFormat="1" ht="14.25" customHeight="1">
      <c r="A8" s="329"/>
      <c r="B8" s="331" t="s">
        <v>660</v>
      </c>
      <c r="C8" s="463">
        <f t="shared" si="0"/>
        <v>0</v>
      </c>
      <c r="D8" s="461">
        <f t="shared" ref="D8:D30" si="3">F8+J8+N8+R8+V8</f>
        <v>0</v>
      </c>
      <c r="E8" s="464"/>
      <c r="F8" s="462"/>
      <c r="G8" s="464"/>
      <c r="H8" s="462"/>
      <c r="I8" s="464"/>
      <c r="J8" s="462"/>
      <c r="K8" s="464"/>
      <c r="L8" s="462"/>
      <c r="M8" s="464"/>
      <c r="N8" s="462"/>
      <c r="O8" s="464"/>
      <c r="P8" s="462"/>
      <c r="Q8" s="464"/>
      <c r="R8" s="462"/>
      <c r="S8" s="464"/>
      <c r="T8" s="462"/>
      <c r="U8" s="464"/>
      <c r="V8" s="462"/>
      <c r="W8" s="464"/>
      <c r="X8" s="462"/>
      <c r="Y8" s="460">
        <f t="shared" si="1"/>
        <v>0</v>
      </c>
      <c r="Z8" s="461">
        <f t="shared" si="2"/>
        <v>0</v>
      </c>
      <c r="AA8" s="17"/>
      <c r="AB8" s="17"/>
      <c r="AD8" s="558"/>
      <c r="AE8" s="234"/>
      <c r="AF8" s="234"/>
      <c r="AG8" s="234"/>
      <c r="AH8" s="234"/>
      <c r="AI8" s="234"/>
      <c r="AJ8" s="234"/>
    </row>
    <row r="9" spans="1:36" s="15" customFormat="1" ht="23.25" customHeight="1">
      <c r="A9" s="329">
        <v>2</v>
      </c>
      <c r="B9" s="148" t="s">
        <v>661</v>
      </c>
      <c r="C9" s="463">
        <f t="shared" si="0"/>
        <v>0</v>
      </c>
      <c r="D9" s="461">
        <f t="shared" si="3"/>
        <v>0</v>
      </c>
      <c r="E9" s="464"/>
      <c r="F9" s="462"/>
      <c r="G9" s="464"/>
      <c r="H9" s="462"/>
      <c r="I9" s="464"/>
      <c r="J9" s="462"/>
      <c r="K9" s="464"/>
      <c r="L9" s="462"/>
      <c r="M9" s="464"/>
      <c r="N9" s="462"/>
      <c r="O9" s="464"/>
      <c r="P9" s="462"/>
      <c r="Q9" s="464"/>
      <c r="R9" s="462"/>
      <c r="S9" s="464"/>
      <c r="T9" s="462"/>
      <c r="U9" s="464"/>
      <c r="V9" s="462"/>
      <c r="W9" s="464"/>
      <c r="X9" s="462"/>
      <c r="Y9" s="460">
        <f t="shared" si="1"/>
        <v>0</v>
      </c>
      <c r="Z9" s="461">
        <f t="shared" si="2"/>
        <v>0</v>
      </c>
      <c r="AA9" s="17"/>
      <c r="AB9" s="17"/>
      <c r="AC9" s="236">
        <f>+'Aging Analysis'!C10</f>
        <v>0</v>
      </c>
      <c r="AD9" s="558">
        <f>+C9-AC9</f>
        <v>0</v>
      </c>
      <c r="AE9" s="234"/>
      <c r="AF9" s="234"/>
      <c r="AG9" s="234"/>
      <c r="AH9" s="234"/>
      <c r="AI9" s="234"/>
      <c r="AJ9" s="234"/>
    </row>
    <row r="10" spans="1:36" s="15" customFormat="1" ht="14.25" customHeight="1">
      <c r="A10" s="329"/>
      <c r="B10" s="331" t="s">
        <v>660</v>
      </c>
      <c r="C10" s="463">
        <f t="shared" si="0"/>
        <v>0</v>
      </c>
      <c r="D10" s="461">
        <f t="shared" si="3"/>
        <v>0</v>
      </c>
      <c r="E10" s="464"/>
      <c r="F10" s="462"/>
      <c r="G10" s="464"/>
      <c r="H10" s="462"/>
      <c r="I10" s="464"/>
      <c r="J10" s="462"/>
      <c r="K10" s="464"/>
      <c r="L10" s="462"/>
      <c r="M10" s="464"/>
      <c r="N10" s="462"/>
      <c r="O10" s="464"/>
      <c r="P10" s="462"/>
      <c r="Q10" s="464"/>
      <c r="R10" s="462"/>
      <c r="S10" s="464"/>
      <c r="T10" s="462"/>
      <c r="U10" s="464"/>
      <c r="V10" s="462"/>
      <c r="W10" s="464"/>
      <c r="X10" s="462"/>
      <c r="Y10" s="460">
        <f t="shared" si="1"/>
        <v>0</v>
      </c>
      <c r="Z10" s="461">
        <f t="shared" si="2"/>
        <v>0</v>
      </c>
      <c r="AA10" s="17"/>
      <c r="AB10" s="17"/>
      <c r="AD10" s="558"/>
      <c r="AE10" s="234"/>
      <c r="AF10" s="234"/>
      <c r="AG10" s="234"/>
      <c r="AH10" s="234"/>
      <c r="AI10" s="234"/>
      <c r="AJ10" s="234"/>
    </row>
    <row r="11" spans="1:36" s="15" customFormat="1" ht="23.25" customHeight="1">
      <c r="A11" s="329">
        <v>3</v>
      </c>
      <c r="B11" s="148" t="s">
        <v>397</v>
      </c>
      <c r="C11" s="463">
        <f t="shared" si="0"/>
        <v>0</v>
      </c>
      <c r="D11" s="461">
        <f t="shared" si="3"/>
        <v>0</v>
      </c>
      <c r="E11" s="464"/>
      <c r="F11" s="462"/>
      <c r="G11" s="464"/>
      <c r="H11" s="462"/>
      <c r="I11" s="464"/>
      <c r="J11" s="462"/>
      <c r="K11" s="464"/>
      <c r="L11" s="462"/>
      <c r="M11" s="464"/>
      <c r="N11" s="462"/>
      <c r="O11" s="464"/>
      <c r="P11" s="462"/>
      <c r="Q11" s="464"/>
      <c r="R11" s="462"/>
      <c r="S11" s="464"/>
      <c r="T11" s="462"/>
      <c r="U11" s="464"/>
      <c r="V11" s="462"/>
      <c r="W11" s="464"/>
      <c r="X11" s="462"/>
      <c r="Y11" s="460">
        <f t="shared" si="1"/>
        <v>0</v>
      </c>
      <c r="Z11" s="461">
        <f t="shared" si="2"/>
        <v>0</v>
      </c>
      <c r="AA11" s="17"/>
      <c r="AB11" s="17"/>
      <c r="AC11" s="236">
        <f>+'Aging Analysis'!C11</f>
        <v>0</v>
      </c>
      <c r="AD11" s="558">
        <f>+C11-AC11</f>
        <v>0</v>
      </c>
      <c r="AE11" s="234"/>
      <c r="AF11" s="234"/>
      <c r="AG11" s="234"/>
      <c r="AH11" s="234"/>
      <c r="AI11" s="234"/>
      <c r="AJ11" s="234"/>
    </row>
    <row r="12" spans="1:36" s="15" customFormat="1" ht="14.25" customHeight="1">
      <c r="A12" s="329"/>
      <c r="B12" s="331" t="s">
        <v>660</v>
      </c>
      <c r="C12" s="463">
        <f t="shared" si="0"/>
        <v>0</v>
      </c>
      <c r="D12" s="461">
        <f t="shared" si="3"/>
        <v>0</v>
      </c>
      <c r="E12" s="464"/>
      <c r="F12" s="462"/>
      <c r="G12" s="464"/>
      <c r="H12" s="462"/>
      <c r="I12" s="464"/>
      <c r="J12" s="462"/>
      <c r="K12" s="464"/>
      <c r="L12" s="462"/>
      <c r="M12" s="464"/>
      <c r="N12" s="462"/>
      <c r="O12" s="464"/>
      <c r="P12" s="462"/>
      <c r="Q12" s="464"/>
      <c r="R12" s="462"/>
      <c r="S12" s="464"/>
      <c r="T12" s="462"/>
      <c r="U12" s="464"/>
      <c r="V12" s="462"/>
      <c r="W12" s="464"/>
      <c r="X12" s="462"/>
      <c r="Y12" s="460">
        <f t="shared" si="1"/>
        <v>0</v>
      </c>
      <c r="Z12" s="461">
        <f t="shared" si="2"/>
        <v>0</v>
      </c>
      <c r="AA12" s="17"/>
      <c r="AB12" s="17"/>
      <c r="AD12" s="558"/>
      <c r="AE12" s="234"/>
      <c r="AF12" s="234"/>
      <c r="AG12" s="234"/>
      <c r="AH12" s="234"/>
      <c r="AI12" s="234"/>
      <c r="AJ12" s="234"/>
    </row>
    <row r="13" spans="1:36" s="15" customFormat="1" ht="23.25" customHeight="1">
      <c r="A13" s="329">
        <v>4</v>
      </c>
      <c r="B13" s="148" t="s">
        <v>398</v>
      </c>
      <c r="C13" s="463">
        <f t="shared" si="0"/>
        <v>7814492786</v>
      </c>
      <c r="D13" s="461">
        <f t="shared" si="3"/>
        <v>0</v>
      </c>
      <c r="E13" s="464">
        <v>7625652230</v>
      </c>
      <c r="F13" s="462">
        <v>0</v>
      </c>
      <c r="G13" s="464">
        <v>76256522</v>
      </c>
      <c r="H13" s="462">
        <v>0</v>
      </c>
      <c r="I13" s="464">
        <v>147846643</v>
      </c>
      <c r="J13" s="462">
        <v>0</v>
      </c>
      <c r="K13" s="464">
        <v>14782772</v>
      </c>
      <c r="L13" s="462">
        <v>0</v>
      </c>
      <c r="M13" s="464">
        <v>19062315</v>
      </c>
      <c r="N13" s="462">
        <v>0</v>
      </c>
      <c r="O13" s="464">
        <v>4765590</v>
      </c>
      <c r="P13" s="462">
        <v>0</v>
      </c>
      <c r="Q13" s="464">
        <v>21931598</v>
      </c>
      <c r="R13" s="462">
        <v>0</v>
      </c>
      <c r="S13" s="464">
        <v>10965799</v>
      </c>
      <c r="T13" s="462">
        <v>0</v>
      </c>
      <c r="U13" s="464">
        <v>0</v>
      </c>
      <c r="V13" s="462">
        <v>0</v>
      </c>
      <c r="W13" s="464">
        <v>0</v>
      </c>
      <c r="X13" s="462">
        <v>0</v>
      </c>
      <c r="Y13" s="460">
        <f t="shared" si="1"/>
        <v>30514161</v>
      </c>
      <c r="Z13" s="461">
        <f t="shared" si="2"/>
        <v>0</v>
      </c>
      <c r="AA13" s="17">
        <v>1722561</v>
      </c>
      <c r="AB13" s="17">
        <v>1562025</v>
      </c>
      <c r="AC13" s="236">
        <f>+'Aging Analysis'!C12</f>
        <v>7814492786</v>
      </c>
      <c r="AD13" s="558">
        <f>+C13-AC13</f>
        <v>0</v>
      </c>
      <c r="AE13" s="234"/>
      <c r="AF13" s="234"/>
      <c r="AG13" s="234"/>
      <c r="AH13" s="234"/>
      <c r="AI13" s="234"/>
      <c r="AJ13" s="234"/>
    </row>
    <row r="14" spans="1:36" s="15" customFormat="1" ht="14.25" customHeight="1">
      <c r="A14" s="329"/>
      <c r="B14" s="331" t="s">
        <v>660</v>
      </c>
      <c r="C14" s="463">
        <f t="shared" si="0"/>
        <v>0</v>
      </c>
      <c r="D14" s="461">
        <f t="shared" si="3"/>
        <v>0</v>
      </c>
      <c r="E14" s="464">
        <v>0</v>
      </c>
      <c r="F14" s="462">
        <v>0</v>
      </c>
      <c r="G14" s="464">
        <v>0</v>
      </c>
      <c r="H14" s="462">
        <v>0</v>
      </c>
      <c r="I14" s="464">
        <v>0</v>
      </c>
      <c r="J14" s="462">
        <v>0</v>
      </c>
      <c r="K14" s="464">
        <v>0</v>
      </c>
      <c r="L14" s="462">
        <v>0</v>
      </c>
      <c r="M14" s="464">
        <v>0</v>
      </c>
      <c r="N14" s="462">
        <v>0</v>
      </c>
      <c r="O14" s="464">
        <v>0</v>
      </c>
      <c r="P14" s="462">
        <v>0</v>
      </c>
      <c r="Q14" s="464">
        <v>0</v>
      </c>
      <c r="R14" s="462">
        <v>0</v>
      </c>
      <c r="S14" s="464">
        <v>0</v>
      </c>
      <c r="T14" s="462">
        <v>0</v>
      </c>
      <c r="U14" s="464">
        <v>0</v>
      </c>
      <c r="V14" s="462">
        <v>0</v>
      </c>
      <c r="W14" s="464">
        <v>0</v>
      </c>
      <c r="X14" s="462">
        <v>0</v>
      </c>
      <c r="Y14" s="460">
        <f t="shared" si="1"/>
        <v>0</v>
      </c>
      <c r="Z14" s="461">
        <f t="shared" si="2"/>
        <v>0</v>
      </c>
      <c r="AA14" s="17"/>
      <c r="AB14" s="17"/>
      <c r="AD14" s="558"/>
      <c r="AE14" s="234"/>
      <c r="AF14" s="234"/>
      <c r="AG14" s="234"/>
      <c r="AH14" s="234"/>
      <c r="AI14" s="234"/>
      <c r="AJ14" s="234"/>
    </row>
    <row r="15" spans="1:36" s="15" customFormat="1" ht="23.25" customHeight="1">
      <c r="A15" s="329">
        <v>5</v>
      </c>
      <c r="B15" s="148" t="s">
        <v>662</v>
      </c>
      <c r="C15" s="463">
        <f t="shared" si="0"/>
        <v>14102735134</v>
      </c>
      <c r="D15" s="461">
        <f t="shared" si="3"/>
        <v>9901199639</v>
      </c>
      <c r="E15" s="464">
        <v>14098238653</v>
      </c>
      <c r="F15" s="462">
        <v>9901199639</v>
      </c>
      <c r="G15" s="464">
        <v>150448847</v>
      </c>
      <c r="H15" s="462">
        <v>0</v>
      </c>
      <c r="I15" s="464">
        <v>4496481</v>
      </c>
      <c r="J15" s="462">
        <v>0</v>
      </c>
      <c r="K15" s="464">
        <v>449648</v>
      </c>
      <c r="L15" s="462">
        <v>0</v>
      </c>
      <c r="M15" s="464">
        <v>0</v>
      </c>
      <c r="N15" s="462">
        <v>0</v>
      </c>
      <c r="O15" s="464">
        <v>0</v>
      </c>
      <c r="P15" s="462">
        <v>0</v>
      </c>
      <c r="Q15" s="464">
        <v>0</v>
      </c>
      <c r="R15" s="462">
        <v>0</v>
      </c>
      <c r="S15" s="464">
        <v>0</v>
      </c>
      <c r="T15" s="462">
        <v>0</v>
      </c>
      <c r="U15" s="464">
        <v>0</v>
      </c>
      <c r="V15" s="462">
        <v>0</v>
      </c>
      <c r="W15" s="464">
        <v>0</v>
      </c>
      <c r="X15" s="462">
        <v>0</v>
      </c>
      <c r="Y15" s="460">
        <f t="shared" si="1"/>
        <v>449648</v>
      </c>
      <c r="Z15" s="461">
        <f t="shared" si="2"/>
        <v>0</v>
      </c>
      <c r="AA15" s="17">
        <v>13166667</v>
      </c>
      <c r="AB15" s="17">
        <v>0</v>
      </c>
      <c r="AC15" s="236">
        <f>+'Aging Analysis'!C13</f>
        <v>14102735134</v>
      </c>
      <c r="AD15" s="558">
        <f>+C15-AC15</f>
        <v>0</v>
      </c>
      <c r="AE15" s="234"/>
      <c r="AF15" s="234"/>
      <c r="AG15" s="234"/>
      <c r="AH15" s="234"/>
      <c r="AI15" s="234"/>
      <c r="AJ15" s="234"/>
    </row>
    <row r="16" spans="1:36" s="15" customFormat="1" ht="14.25" customHeight="1">
      <c r="A16" s="329"/>
      <c r="B16" s="331" t="s">
        <v>660</v>
      </c>
      <c r="C16" s="463">
        <f t="shared" si="0"/>
        <v>0</v>
      </c>
      <c r="D16" s="461">
        <f t="shared" si="3"/>
        <v>0</v>
      </c>
      <c r="E16" s="464">
        <v>0</v>
      </c>
      <c r="F16" s="462">
        <v>0</v>
      </c>
      <c r="G16" s="464">
        <v>0</v>
      </c>
      <c r="H16" s="462">
        <v>0</v>
      </c>
      <c r="I16" s="464">
        <v>0</v>
      </c>
      <c r="J16" s="462">
        <v>0</v>
      </c>
      <c r="K16" s="464">
        <v>0</v>
      </c>
      <c r="L16" s="462">
        <v>0</v>
      </c>
      <c r="M16" s="464">
        <v>0</v>
      </c>
      <c r="N16" s="462">
        <v>0</v>
      </c>
      <c r="O16" s="464">
        <v>0</v>
      </c>
      <c r="P16" s="462">
        <v>0</v>
      </c>
      <c r="Q16" s="464">
        <v>0</v>
      </c>
      <c r="R16" s="462">
        <v>0</v>
      </c>
      <c r="S16" s="464">
        <v>0</v>
      </c>
      <c r="T16" s="462">
        <v>0</v>
      </c>
      <c r="U16" s="464">
        <v>0</v>
      </c>
      <c r="V16" s="462">
        <v>0</v>
      </c>
      <c r="W16" s="464">
        <v>0</v>
      </c>
      <c r="X16" s="462">
        <v>0</v>
      </c>
      <c r="Y16" s="460">
        <f t="shared" si="1"/>
        <v>0</v>
      </c>
      <c r="Z16" s="461">
        <f t="shared" si="2"/>
        <v>0</v>
      </c>
      <c r="AA16" s="17"/>
      <c r="AB16" s="17"/>
      <c r="AD16" s="558"/>
      <c r="AE16" s="234"/>
      <c r="AF16" s="234"/>
      <c r="AG16" s="234"/>
      <c r="AH16" s="234"/>
      <c r="AI16" s="234"/>
      <c r="AJ16" s="234"/>
    </row>
    <row r="17" spans="1:36" s="15" customFormat="1" ht="23.25" customHeight="1">
      <c r="A17" s="329">
        <v>6</v>
      </c>
      <c r="B17" s="148" t="s">
        <v>400</v>
      </c>
      <c r="C17" s="463">
        <f t="shared" si="0"/>
        <v>10296625676</v>
      </c>
      <c r="D17" s="461">
        <f t="shared" si="3"/>
        <v>9399133697</v>
      </c>
      <c r="E17" s="464">
        <v>7302774414</v>
      </c>
      <c r="F17" s="462">
        <v>6846681407</v>
      </c>
      <c r="G17" s="464">
        <v>73027744</v>
      </c>
      <c r="H17" s="462">
        <v>0</v>
      </c>
      <c r="I17" s="464">
        <v>2936824466</v>
      </c>
      <c r="J17" s="462">
        <v>2498999738</v>
      </c>
      <c r="K17" s="464">
        <v>293682447</v>
      </c>
      <c r="L17" s="462">
        <v>249899974</v>
      </c>
      <c r="M17" s="464">
        <v>810756</v>
      </c>
      <c r="N17" s="462">
        <v>0</v>
      </c>
      <c r="O17" s="464">
        <v>202689</v>
      </c>
      <c r="P17" s="462">
        <v>0</v>
      </c>
      <c r="Q17" s="464">
        <v>46247548</v>
      </c>
      <c r="R17" s="462">
        <v>43484060</v>
      </c>
      <c r="S17" s="464">
        <v>23123774</v>
      </c>
      <c r="T17" s="462">
        <v>21742030</v>
      </c>
      <c r="U17" s="464">
        <v>9968492</v>
      </c>
      <c r="V17" s="462">
        <v>9968492</v>
      </c>
      <c r="W17" s="464">
        <v>9968492</v>
      </c>
      <c r="X17" s="462">
        <v>9968492</v>
      </c>
      <c r="Y17" s="460">
        <f t="shared" si="1"/>
        <v>326977402</v>
      </c>
      <c r="Z17" s="461">
        <f t="shared" si="2"/>
        <v>281610496</v>
      </c>
      <c r="AA17" s="17">
        <v>0</v>
      </c>
      <c r="AB17" s="17">
        <v>0</v>
      </c>
      <c r="AC17" s="236">
        <f>+'Aging Analysis'!C14</f>
        <v>10296625676</v>
      </c>
      <c r="AD17" s="558">
        <f>+C17-AC17</f>
        <v>0</v>
      </c>
      <c r="AE17" s="234"/>
      <c r="AF17" s="234"/>
      <c r="AG17" s="234"/>
      <c r="AH17" s="234"/>
      <c r="AI17" s="234"/>
      <c r="AJ17" s="234"/>
    </row>
    <row r="18" spans="1:36" s="15" customFormat="1" ht="14.25" customHeight="1">
      <c r="A18" s="329"/>
      <c r="B18" s="331" t="s">
        <v>660</v>
      </c>
      <c r="C18" s="463">
        <f t="shared" si="0"/>
        <v>0</v>
      </c>
      <c r="D18" s="461">
        <f t="shared" si="3"/>
        <v>0</v>
      </c>
      <c r="E18" s="464">
        <v>0</v>
      </c>
      <c r="F18" s="462">
        <v>0</v>
      </c>
      <c r="G18" s="464">
        <v>0</v>
      </c>
      <c r="H18" s="462">
        <v>0</v>
      </c>
      <c r="I18" s="464">
        <v>0</v>
      </c>
      <c r="J18" s="462">
        <v>0</v>
      </c>
      <c r="K18" s="464">
        <v>0</v>
      </c>
      <c r="L18" s="462">
        <v>0</v>
      </c>
      <c r="M18" s="464">
        <v>0</v>
      </c>
      <c r="N18" s="462">
        <v>0</v>
      </c>
      <c r="O18" s="464">
        <v>0</v>
      </c>
      <c r="P18" s="462">
        <v>0</v>
      </c>
      <c r="Q18" s="464">
        <v>0</v>
      </c>
      <c r="R18" s="462">
        <v>0</v>
      </c>
      <c r="S18" s="464">
        <v>0</v>
      </c>
      <c r="T18" s="462">
        <v>0</v>
      </c>
      <c r="U18" s="464">
        <v>0</v>
      </c>
      <c r="V18" s="462">
        <v>0</v>
      </c>
      <c r="W18" s="464">
        <v>0</v>
      </c>
      <c r="X18" s="462">
        <v>0</v>
      </c>
      <c r="Y18" s="460">
        <f t="shared" si="1"/>
        <v>0</v>
      </c>
      <c r="Z18" s="461">
        <f t="shared" si="2"/>
        <v>0</v>
      </c>
      <c r="AA18" s="17"/>
      <c r="AB18" s="17"/>
      <c r="AD18" s="558"/>
      <c r="AE18" s="234"/>
      <c r="AF18" s="234"/>
      <c r="AG18" s="234"/>
      <c r="AH18" s="234"/>
      <c r="AI18" s="234"/>
      <c r="AJ18" s="234"/>
    </row>
    <row r="19" spans="1:36" s="15" customFormat="1" ht="23.25" customHeight="1">
      <c r="A19" s="329">
        <v>7</v>
      </c>
      <c r="B19" s="148" t="s">
        <v>401</v>
      </c>
      <c r="C19" s="463">
        <f t="shared" si="0"/>
        <v>24784649546</v>
      </c>
      <c r="D19" s="461">
        <f t="shared" si="3"/>
        <v>18619483630</v>
      </c>
      <c r="E19" s="464">
        <v>20465632095</v>
      </c>
      <c r="F19" s="462">
        <v>16120791382</v>
      </c>
      <c r="G19" s="464">
        <v>204656322</v>
      </c>
      <c r="H19" s="462">
        <v>0</v>
      </c>
      <c r="I19" s="464">
        <v>3151391318</v>
      </c>
      <c r="J19" s="462">
        <v>1742099388</v>
      </c>
      <c r="K19" s="464">
        <v>306015397</v>
      </c>
      <c r="L19" s="462">
        <v>164856170</v>
      </c>
      <c r="M19" s="464">
        <v>484458884</v>
      </c>
      <c r="N19" s="462">
        <v>263138435</v>
      </c>
      <c r="O19" s="464">
        <v>121114721</v>
      </c>
      <c r="P19" s="462">
        <v>65784610</v>
      </c>
      <c r="Q19" s="464">
        <v>665896409</v>
      </c>
      <c r="R19" s="462">
        <v>488765692</v>
      </c>
      <c r="S19" s="464">
        <v>332948207</v>
      </c>
      <c r="T19" s="462">
        <v>244382848</v>
      </c>
      <c r="U19" s="464">
        <v>17270840</v>
      </c>
      <c r="V19" s="462">
        <v>4688733</v>
      </c>
      <c r="W19" s="464">
        <v>17270840</v>
      </c>
      <c r="X19" s="462">
        <v>4688733</v>
      </c>
      <c r="Y19" s="460">
        <f t="shared" si="1"/>
        <v>777349165</v>
      </c>
      <c r="Z19" s="461">
        <f t="shared" si="2"/>
        <v>479712361</v>
      </c>
      <c r="AA19" s="17">
        <v>276036951</v>
      </c>
      <c r="AB19" s="17">
        <v>14399898</v>
      </c>
      <c r="AC19" s="236">
        <f>+'Aging Analysis'!C15</f>
        <v>24784649546</v>
      </c>
      <c r="AD19" s="558">
        <f>+C19-AC19</f>
        <v>0</v>
      </c>
      <c r="AE19" s="234"/>
      <c r="AF19" s="234"/>
      <c r="AG19" s="234"/>
      <c r="AH19" s="234"/>
      <c r="AI19" s="234"/>
      <c r="AJ19" s="234"/>
    </row>
    <row r="20" spans="1:36" s="15" customFormat="1" ht="14.25" customHeight="1">
      <c r="A20" s="329"/>
      <c r="B20" s="331" t="s">
        <v>660</v>
      </c>
      <c r="C20" s="463">
        <f t="shared" si="0"/>
        <v>0</v>
      </c>
      <c r="D20" s="461">
        <f t="shared" si="3"/>
        <v>0</v>
      </c>
      <c r="E20" s="464">
        <v>0</v>
      </c>
      <c r="F20" s="462">
        <v>0</v>
      </c>
      <c r="G20" s="464">
        <v>0</v>
      </c>
      <c r="H20" s="462">
        <v>0</v>
      </c>
      <c r="I20" s="464">
        <v>0</v>
      </c>
      <c r="J20" s="462">
        <v>0</v>
      </c>
      <c r="K20" s="464">
        <v>0</v>
      </c>
      <c r="L20" s="462">
        <v>0</v>
      </c>
      <c r="M20" s="464">
        <v>0</v>
      </c>
      <c r="N20" s="462">
        <v>0</v>
      </c>
      <c r="O20" s="464">
        <v>0</v>
      </c>
      <c r="P20" s="462">
        <v>0</v>
      </c>
      <c r="Q20" s="464">
        <v>0</v>
      </c>
      <c r="R20" s="462">
        <v>0</v>
      </c>
      <c r="S20" s="464">
        <v>0</v>
      </c>
      <c r="T20" s="462">
        <v>0</v>
      </c>
      <c r="U20" s="464">
        <v>0</v>
      </c>
      <c r="V20" s="462">
        <v>0</v>
      </c>
      <c r="W20" s="464">
        <v>0</v>
      </c>
      <c r="X20" s="462">
        <v>0</v>
      </c>
      <c r="Y20" s="460">
        <f t="shared" si="1"/>
        <v>0</v>
      </c>
      <c r="Z20" s="461">
        <f t="shared" si="2"/>
        <v>0</v>
      </c>
      <c r="AA20" s="17"/>
      <c r="AB20" s="17"/>
      <c r="AD20" s="558"/>
      <c r="AE20" s="234"/>
      <c r="AF20" s="234"/>
      <c r="AG20" s="234"/>
      <c r="AH20" s="234"/>
      <c r="AI20" s="234"/>
      <c r="AJ20" s="234"/>
    </row>
    <row r="21" spans="1:36" s="15" customFormat="1" ht="23.25" customHeight="1">
      <c r="A21" s="329">
        <v>8</v>
      </c>
      <c r="B21" s="148" t="s">
        <v>663</v>
      </c>
      <c r="C21" s="463">
        <f t="shared" si="0"/>
        <v>121348475</v>
      </c>
      <c r="D21" s="461">
        <f t="shared" si="3"/>
        <v>93143676</v>
      </c>
      <c r="E21" s="464">
        <v>52486428</v>
      </c>
      <c r="F21" s="462">
        <v>31214867</v>
      </c>
      <c r="G21" s="464">
        <v>524864</v>
      </c>
      <c r="H21" s="462">
        <v>0</v>
      </c>
      <c r="I21" s="464">
        <v>51917814</v>
      </c>
      <c r="J21" s="462">
        <v>48554449</v>
      </c>
      <c r="K21" s="464">
        <v>5191781</v>
      </c>
      <c r="L21" s="462">
        <v>4855445</v>
      </c>
      <c r="M21" s="464">
        <v>1534407</v>
      </c>
      <c r="N21" s="462">
        <v>0</v>
      </c>
      <c r="O21" s="464">
        <v>383602</v>
      </c>
      <c r="P21" s="462">
        <v>0</v>
      </c>
      <c r="Q21" s="464">
        <v>15409826</v>
      </c>
      <c r="R21" s="462">
        <v>13374360</v>
      </c>
      <c r="S21" s="464">
        <v>7704913</v>
      </c>
      <c r="T21" s="462">
        <v>6687180</v>
      </c>
      <c r="U21" s="464">
        <v>0</v>
      </c>
      <c r="V21" s="462">
        <v>0</v>
      </c>
      <c r="W21" s="464">
        <v>0</v>
      </c>
      <c r="X21" s="462">
        <v>0</v>
      </c>
      <c r="Y21" s="460">
        <f t="shared" si="1"/>
        <v>13280296</v>
      </c>
      <c r="Z21" s="461">
        <f t="shared" si="2"/>
        <v>11542625</v>
      </c>
      <c r="AA21" s="17">
        <v>2025920</v>
      </c>
      <c r="AB21" s="17">
        <v>647389</v>
      </c>
      <c r="AC21" s="236">
        <f>+'Aging Analysis'!C16</f>
        <v>121348475</v>
      </c>
      <c r="AD21" s="558">
        <f>+C21-AC21</f>
        <v>0</v>
      </c>
      <c r="AE21" s="234"/>
      <c r="AF21" s="234"/>
      <c r="AG21" s="234"/>
      <c r="AH21" s="234"/>
      <c r="AI21" s="234"/>
      <c r="AJ21" s="234"/>
    </row>
    <row r="22" spans="1:36" s="15" customFormat="1" ht="14.25" customHeight="1">
      <c r="A22" s="329"/>
      <c r="B22" s="331" t="s">
        <v>660</v>
      </c>
      <c r="C22" s="463">
        <f t="shared" si="0"/>
        <v>0</v>
      </c>
      <c r="D22" s="461">
        <f t="shared" si="3"/>
        <v>0</v>
      </c>
      <c r="E22" s="464">
        <v>0</v>
      </c>
      <c r="F22" s="462">
        <v>0</v>
      </c>
      <c r="G22" s="464">
        <v>0</v>
      </c>
      <c r="H22" s="462">
        <v>0</v>
      </c>
      <c r="I22" s="464">
        <v>0</v>
      </c>
      <c r="J22" s="462">
        <v>0</v>
      </c>
      <c r="K22" s="464">
        <v>0</v>
      </c>
      <c r="L22" s="462">
        <v>0</v>
      </c>
      <c r="M22" s="464">
        <v>0</v>
      </c>
      <c r="N22" s="462">
        <v>0</v>
      </c>
      <c r="O22" s="464">
        <v>0</v>
      </c>
      <c r="P22" s="462">
        <v>0</v>
      </c>
      <c r="Q22" s="464">
        <v>0</v>
      </c>
      <c r="R22" s="462">
        <v>0</v>
      </c>
      <c r="S22" s="464">
        <v>0</v>
      </c>
      <c r="T22" s="462">
        <v>0</v>
      </c>
      <c r="U22" s="464">
        <v>0</v>
      </c>
      <c r="V22" s="462">
        <v>0</v>
      </c>
      <c r="W22" s="464">
        <v>0</v>
      </c>
      <c r="X22" s="462">
        <v>0</v>
      </c>
      <c r="Y22" s="460">
        <f t="shared" si="1"/>
        <v>0</v>
      </c>
      <c r="Z22" s="461">
        <f t="shared" si="2"/>
        <v>0</v>
      </c>
      <c r="AA22" s="17"/>
      <c r="AB22" s="17"/>
      <c r="AD22" s="558"/>
      <c r="AE22" s="234"/>
      <c r="AF22" s="234"/>
      <c r="AG22" s="234"/>
      <c r="AH22" s="234"/>
      <c r="AI22" s="234"/>
      <c r="AJ22" s="234"/>
    </row>
    <row r="23" spans="1:36" s="15" customFormat="1" ht="23.25" customHeight="1">
      <c r="A23" s="329">
        <v>9</v>
      </c>
      <c r="B23" s="148" t="s">
        <v>664</v>
      </c>
      <c r="C23" s="463">
        <f t="shared" si="0"/>
        <v>2946729</v>
      </c>
      <c r="D23" s="461">
        <f t="shared" si="3"/>
        <v>0</v>
      </c>
      <c r="E23" s="464">
        <v>2500000</v>
      </c>
      <c r="F23" s="462">
        <v>0</v>
      </c>
      <c r="G23" s="464">
        <v>25000</v>
      </c>
      <c r="H23" s="462">
        <v>0</v>
      </c>
      <c r="I23" s="464">
        <v>0</v>
      </c>
      <c r="J23" s="462">
        <v>0</v>
      </c>
      <c r="K23" s="464">
        <v>0</v>
      </c>
      <c r="L23" s="462">
        <v>0</v>
      </c>
      <c r="M23" s="464">
        <v>0</v>
      </c>
      <c r="N23" s="462">
        <v>0</v>
      </c>
      <c r="O23" s="464">
        <v>0</v>
      </c>
      <c r="P23" s="462">
        <v>0</v>
      </c>
      <c r="Q23" s="464">
        <v>446729</v>
      </c>
      <c r="R23" s="462">
        <v>0</v>
      </c>
      <c r="S23" s="464">
        <v>223364</v>
      </c>
      <c r="T23" s="462">
        <v>0</v>
      </c>
      <c r="U23" s="464">
        <v>0</v>
      </c>
      <c r="V23" s="462">
        <v>0</v>
      </c>
      <c r="W23" s="464">
        <v>0</v>
      </c>
      <c r="X23" s="462">
        <v>0</v>
      </c>
      <c r="Y23" s="460">
        <f t="shared" si="1"/>
        <v>223364</v>
      </c>
      <c r="Z23" s="461">
        <f t="shared" si="2"/>
        <v>0</v>
      </c>
      <c r="AA23" s="17">
        <v>0</v>
      </c>
      <c r="AB23" s="17">
        <v>0</v>
      </c>
      <c r="AC23" s="236">
        <f>+'Aging Analysis'!C17</f>
        <v>2946729</v>
      </c>
      <c r="AD23" s="558">
        <f>+C23-AC23</f>
        <v>0</v>
      </c>
      <c r="AE23" s="234"/>
      <c r="AF23" s="234"/>
      <c r="AG23" s="234"/>
      <c r="AH23" s="234"/>
      <c r="AI23" s="234"/>
      <c r="AJ23" s="234"/>
    </row>
    <row r="24" spans="1:36" s="15" customFormat="1" ht="14.25" customHeight="1">
      <c r="A24" s="329"/>
      <c r="B24" s="331" t="s">
        <v>660</v>
      </c>
      <c r="C24" s="463">
        <f t="shared" si="0"/>
        <v>0</v>
      </c>
      <c r="D24" s="461">
        <f t="shared" si="3"/>
        <v>0</v>
      </c>
      <c r="E24" s="464">
        <v>0</v>
      </c>
      <c r="F24" s="462">
        <v>0</v>
      </c>
      <c r="G24" s="464">
        <v>0</v>
      </c>
      <c r="H24" s="462">
        <v>0</v>
      </c>
      <c r="I24" s="464">
        <v>0</v>
      </c>
      <c r="J24" s="462">
        <v>0</v>
      </c>
      <c r="K24" s="464">
        <v>0</v>
      </c>
      <c r="L24" s="462">
        <v>0</v>
      </c>
      <c r="M24" s="464">
        <v>0</v>
      </c>
      <c r="N24" s="462">
        <v>0</v>
      </c>
      <c r="O24" s="464">
        <v>0</v>
      </c>
      <c r="P24" s="462">
        <v>0</v>
      </c>
      <c r="Q24" s="464">
        <v>0</v>
      </c>
      <c r="R24" s="462">
        <v>0</v>
      </c>
      <c r="S24" s="464">
        <v>0</v>
      </c>
      <c r="T24" s="462">
        <v>0</v>
      </c>
      <c r="U24" s="464">
        <v>0</v>
      </c>
      <c r="V24" s="462">
        <v>0</v>
      </c>
      <c r="W24" s="464">
        <v>0</v>
      </c>
      <c r="X24" s="462">
        <v>0</v>
      </c>
      <c r="Y24" s="460">
        <f t="shared" si="1"/>
        <v>0</v>
      </c>
      <c r="Z24" s="461">
        <f t="shared" si="2"/>
        <v>0</v>
      </c>
      <c r="AA24" s="17"/>
      <c r="AB24" s="17"/>
      <c r="AD24" s="558"/>
      <c r="AE24" s="234"/>
      <c r="AF24" s="234"/>
      <c r="AG24" s="234"/>
      <c r="AH24" s="234"/>
      <c r="AI24" s="234"/>
      <c r="AJ24" s="234"/>
    </row>
    <row r="25" spans="1:36" s="15" customFormat="1" ht="23.25" customHeight="1">
      <c r="A25" s="329">
        <v>10</v>
      </c>
      <c r="B25" s="148" t="s">
        <v>665</v>
      </c>
      <c r="C25" s="463">
        <f t="shared" si="0"/>
        <v>1605566</v>
      </c>
      <c r="D25" s="461">
        <f t="shared" si="3"/>
        <v>0</v>
      </c>
      <c r="E25" s="464">
        <v>1467441</v>
      </c>
      <c r="F25" s="462">
        <v>0</v>
      </c>
      <c r="G25" s="464">
        <v>14674</v>
      </c>
      <c r="H25" s="462">
        <v>0</v>
      </c>
      <c r="I25" s="464">
        <v>0</v>
      </c>
      <c r="J25" s="462">
        <v>0</v>
      </c>
      <c r="K25" s="464">
        <v>0</v>
      </c>
      <c r="L25" s="462">
        <v>0</v>
      </c>
      <c r="M25" s="464">
        <v>138125</v>
      </c>
      <c r="N25" s="462">
        <v>0</v>
      </c>
      <c r="O25" s="464">
        <v>34531</v>
      </c>
      <c r="P25" s="462">
        <v>0</v>
      </c>
      <c r="Q25" s="464">
        <v>0</v>
      </c>
      <c r="R25" s="462">
        <v>0</v>
      </c>
      <c r="S25" s="464">
        <v>0</v>
      </c>
      <c r="T25" s="462">
        <v>0</v>
      </c>
      <c r="U25" s="464">
        <v>0</v>
      </c>
      <c r="V25" s="462">
        <v>0</v>
      </c>
      <c r="W25" s="464">
        <v>0</v>
      </c>
      <c r="X25" s="462">
        <v>0</v>
      </c>
      <c r="Y25" s="460">
        <f t="shared" si="1"/>
        <v>34531</v>
      </c>
      <c r="Z25" s="461">
        <f t="shared" si="2"/>
        <v>0</v>
      </c>
      <c r="AA25" s="17">
        <v>0</v>
      </c>
      <c r="AB25" s="17">
        <v>0</v>
      </c>
      <c r="AC25" s="236">
        <f>+'Aging Analysis'!C18</f>
        <v>1605566</v>
      </c>
      <c r="AD25" s="558">
        <f>+C25-AC25</f>
        <v>0</v>
      </c>
      <c r="AE25" s="234"/>
      <c r="AF25" s="234"/>
      <c r="AG25" s="234"/>
      <c r="AH25" s="234"/>
      <c r="AI25" s="234"/>
      <c r="AJ25" s="234"/>
    </row>
    <row r="26" spans="1:36" s="15" customFormat="1" ht="14.25" customHeight="1">
      <c r="A26" s="329"/>
      <c r="B26" s="331" t="s">
        <v>660</v>
      </c>
      <c r="C26" s="463">
        <f t="shared" si="0"/>
        <v>0</v>
      </c>
      <c r="D26" s="461">
        <f t="shared" si="3"/>
        <v>0</v>
      </c>
      <c r="E26" s="464"/>
      <c r="F26" s="462"/>
      <c r="G26" s="464"/>
      <c r="H26" s="462"/>
      <c r="I26" s="464"/>
      <c r="J26" s="462"/>
      <c r="K26" s="464"/>
      <c r="L26" s="462"/>
      <c r="M26" s="464"/>
      <c r="N26" s="462"/>
      <c r="O26" s="464"/>
      <c r="P26" s="462"/>
      <c r="Q26" s="464"/>
      <c r="R26" s="462"/>
      <c r="S26" s="464"/>
      <c r="T26" s="462"/>
      <c r="U26" s="464"/>
      <c r="V26" s="462"/>
      <c r="W26" s="464"/>
      <c r="X26" s="462"/>
      <c r="Y26" s="460">
        <f t="shared" si="1"/>
        <v>0</v>
      </c>
      <c r="Z26" s="461">
        <f t="shared" si="2"/>
        <v>0</v>
      </c>
      <c r="AA26" s="17"/>
      <c r="AB26" s="17"/>
      <c r="AD26" s="558"/>
      <c r="AE26" s="234"/>
      <c r="AF26" s="234"/>
      <c r="AG26" s="234"/>
      <c r="AH26" s="234"/>
      <c r="AI26" s="234"/>
      <c r="AJ26" s="234"/>
    </row>
    <row r="27" spans="1:36" s="15" customFormat="1" ht="23.25" customHeight="1">
      <c r="A27" s="329">
        <v>11</v>
      </c>
      <c r="B27" s="148" t="s">
        <v>666</v>
      </c>
      <c r="C27" s="463">
        <f t="shared" si="0"/>
        <v>0</v>
      </c>
      <c r="D27" s="461">
        <f t="shared" si="3"/>
        <v>0</v>
      </c>
      <c r="E27" s="464"/>
      <c r="F27" s="462"/>
      <c r="G27" s="464"/>
      <c r="H27" s="462"/>
      <c r="I27" s="464"/>
      <c r="J27" s="462"/>
      <c r="K27" s="464"/>
      <c r="L27" s="462"/>
      <c r="M27" s="464"/>
      <c r="N27" s="462"/>
      <c r="O27" s="464"/>
      <c r="P27" s="462"/>
      <c r="Q27" s="464"/>
      <c r="R27" s="462"/>
      <c r="S27" s="464"/>
      <c r="T27" s="462"/>
      <c r="U27" s="464"/>
      <c r="V27" s="462"/>
      <c r="W27" s="464"/>
      <c r="X27" s="462"/>
      <c r="Y27" s="460">
        <f t="shared" si="1"/>
        <v>0</v>
      </c>
      <c r="Z27" s="461">
        <f t="shared" si="2"/>
        <v>0</v>
      </c>
      <c r="AA27" s="17">
        <v>0</v>
      </c>
      <c r="AB27" s="17">
        <v>0</v>
      </c>
      <c r="AC27" s="236">
        <f>+'Aging Analysis'!C19</f>
        <v>0</v>
      </c>
      <c r="AD27" s="558">
        <f>+C27-AC27</f>
        <v>0</v>
      </c>
      <c r="AE27" s="234"/>
      <c r="AF27" s="234"/>
      <c r="AG27" s="234"/>
      <c r="AH27" s="234"/>
      <c r="AI27" s="234"/>
      <c r="AJ27" s="234"/>
    </row>
    <row r="28" spans="1:36" s="15" customFormat="1" ht="14.25" customHeight="1">
      <c r="A28" s="329"/>
      <c r="B28" s="331" t="s">
        <v>660</v>
      </c>
      <c r="C28" s="463">
        <f t="shared" si="0"/>
        <v>0</v>
      </c>
      <c r="D28" s="461">
        <f t="shared" si="3"/>
        <v>0</v>
      </c>
      <c r="E28" s="464"/>
      <c r="F28" s="462"/>
      <c r="G28" s="464"/>
      <c r="H28" s="462"/>
      <c r="I28" s="464"/>
      <c r="J28" s="462"/>
      <c r="K28" s="464"/>
      <c r="L28" s="462"/>
      <c r="M28" s="464"/>
      <c r="N28" s="462"/>
      <c r="O28" s="464"/>
      <c r="P28" s="462"/>
      <c r="Q28" s="464"/>
      <c r="R28" s="462"/>
      <c r="S28" s="464"/>
      <c r="T28" s="462"/>
      <c r="U28" s="464"/>
      <c r="V28" s="462"/>
      <c r="W28" s="464"/>
      <c r="X28" s="462"/>
      <c r="Y28" s="460">
        <f t="shared" si="1"/>
        <v>0</v>
      </c>
      <c r="Z28" s="461">
        <f t="shared" si="2"/>
        <v>0</v>
      </c>
      <c r="AA28" s="17"/>
      <c r="AB28" s="17"/>
      <c r="AD28" s="558"/>
      <c r="AE28" s="234"/>
      <c r="AF28" s="234"/>
      <c r="AG28" s="234"/>
      <c r="AH28" s="234"/>
      <c r="AI28" s="234"/>
      <c r="AJ28" s="234"/>
    </row>
    <row r="29" spans="1:36" s="15" customFormat="1" ht="23.25" customHeight="1">
      <c r="A29" s="329">
        <v>12</v>
      </c>
      <c r="B29" s="148" t="s">
        <v>667</v>
      </c>
      <c r="C29" s="463">
        <f t="shared" si="0"/>
        <v>0</v>
      </c>
      <c r="D29" s="461">
        <f t="shared" si="3"/>
        <v>0</v>
      </c>
      <c r="E29" s="464"/>
      <c r="F29" s="462"/>
      <c r="G29" s="464"/>
      <c r="H29" s="462"/>
      <c r="I29" s="464"/>
      <c r="J29" s="462"/>
      <c r="K29" s="464"/>
      <c r="L29" s="462"/>
      <c r="M29" s="464"/>
      <c r="N29" s="462"/>
      <c r="O29" s="464"/>
      <c r="P29" s="462"/>
      <c r="Q29" s="464"/>
      <c r="R29" s="462"/>
      <c r="S29" s="464"/>
      <c r="T29" s="462"/>
      <c r="U29" s="464"/>
      <c r="V29" s="462"/>
      <c r="W29" s="464"/>
      <c r="X29" s="462"/>
      <c r="Y29" s="460">
        <f t="shared" si="1"/>
        <v>0</v>
      </c>
      <c r="Z29" s="461">
        <f t="shared" si="2"/>
        <v>0</v>
      </c>
      <c r="AA29" s="17">
        <v>1800000</v>
      </c>
      <c r="AB29" s="17">
        <v>0</v>
      </c>
      <c r="AC29" s="236">
        <f>+'Aging Analysis'!C20</f>
        <v>0</v>
      </c>
      <c r="AD29" s="558">
        <f>+C29-AC29</f>
        <v>0</v>
      </c>
      <c r="AE29" s="234"/>
      <c r="AF29" s="234"/>
      <c r="AG29" s="234"/>
      <c r="AH29" s="234"/>
      <c r="AI29" s="234"/>
      <c r="AJ29" s="234"/>
    </row>
    <row r="30" spans="1:36" s="15" customFormat="1" ht="14.25" customHeight="1">
      <c r="A30" s="329"/>
      <c r="B30" s="331" t="s">
        <v>660</v>
      </c>
      <c r="C30" s="463">
        <f t="shared" si="0"/>
        <v>0</v>
      </c>
      <c r="D30" s="461">
        <f t="shared" si="3"/>
        <v>0</v>
      </c>
      <c r="E30" s="464"/>
      <c r="F30" s="461"/>
      <c r="G30" s="464"/>
      <c r="H30" s="461"/>
      <c r="I30" s="464"/>
      <c r="J30" s="461"/>
      <c r="K30" s="464"/>
      <c r="L30" s="461"/>
      <c r="M30" s="464"/>
      <c r="N30" s="461"/>
      <c r="O30" s="464"/>
      <c r="P30" s="461"/>
      <c r="Q30" s="464"/>
      <c r="R30" s="461"/>
      <c r="S30" s="464"/>
      <c r="T30" s="461"/>
      <c r="U30" s="464"/>
      <c r="V30" s="461"/>
      <c r="W30" s="464"/>
      <c r="X30" s="461"/>
      <c r="Y30" s="460">
        <f t="shared" si="1"/>
        <v>0</v>
      </c>
      <c r="Z30" s="461">
        <f t="shared" si="2"/>
        <v>0</v>
      </c>
      <c r="AA30" s="17"/>
      <c r="AB30" s="17"/>
      <c r="AC30" s="234"/>
      <c r="AD30" s="558"/>
      <c r="AE30" s="234"/>
      <c r="AF30" s="234"/>
      <c r="AG30" s="234"/>
      <c r="AH30" s="234"/>
      <c r="AI30" s="234"/>
      <c r="AJ30" s="234"/>
    </row>
    <row r="31" spans="1:36" s="486" customFormat="1" ht="28.5" customHeight="1">
      <c r="A31" s="484">
        <v>13</v>
      </c>
      <c r="B31" s="484" t="s">
        <v>668</v>
      </c>
      <c r="C31" s="484">
        <f t="shared" ref="C31:AB31" si="4">+C7+C9+C11+C13+C15+C17+C19+C21+C23+C25+C27+C29</f>
        <v>57124403912</v>
      </c>
      <c r="D31" s="484">
        <f t="shared" si="4"/>
        <v>38012960642</v>
      </c>
      <c r="E31" s="484">
        <f t="shared" si="4"/>
        <v>49548751261</v>
      </c>
      <c r="F31" s="484">
        <f t="shared" si="4"/>
        <v>32899887295</v>
      </c>
      <c r="G31" s="484">
        <f t="shared" si="4"/>
        <v>504953973</v>
      </c>
      <c r="H31" s="484">
        <f t="shared" si="4"/>
        <v>0</v>
      </c>
      <c r="I31" s="484">
        <f t="shared" si="4"/>
        <v>6292476722</v>
      </c>
      <c r="J31" s="484">
        <f t="shared" si="4"/>
        <v>4289653575</v>
      </c>
      <c r="K31" s="484">
        <f t="shared" si="4"/>
        <v>620122045</v>
      </c>
      <c r="L31" s="484">
        <f t="shared" si="4"/>
        <v>419611589</v>
      </c>
      <c r="M31" s="484">
        <f t="shared" si="4"/>
        <v>506004487</v>
      </c>
      <c r="N31" s="484">
        <f t="shared" si="4"/>
        <v>263138435</v>
      </c>
      <c r="O31" s="484">
        <f t="shared" si="4"/>
        <v>126501133</v>
      </c>
      <c r="P31" s="484">
        <f t="shared" si="4"/>
        <v>65784610</v>
      </c>
      <c r="Q31" s="484">
        <f t="shared" si="4"/>
        <v>749932110</v>
      </c>
      <c r="R31" s="484">
        <f t="shared" si="4"/>
        <v>545624112</v>
      </c>
      <c r="S31" s="484">
        <f t="shared" si="4"/>
        <v>374966057</v>
      </c>
      <c r="T31" s="484">
        <f t="shared" si="4"/>
        <v>272812058</v>
      </c>
      <c r="U31" s="484">
        <f t="shared" si="4"/>
        <v>27239332</v>
      </c>
      <c r="V31" s="484">
        <f t="shared" si="4"/>
        <v>14657225</v>
      </c>
      <c r="W31" s="484">
        <f t="shared" si="4"/>
        <v>27239332</v>
      </c>
      <c r="X31" s="484">
        <f t="shared" si="4"/>
        <v>14657225</v>
      </c>
      <c r="Y31" s="484">
        <f t="shared" si="4"/>
        <v>1148828567</v>
      </c>
      <c r="Z31" s="484">
        <f t="shared" si="4"/>
        <v>772865482</v>
      </c>
      <c r="AA31" s="484">
        <f>+AA7+AA9+AA11+AA13+AA15+AA17+AA19+AA21+AA23+AA25+AA27+AA29</f>
        <v>294752099</v>
      </c>
      <c r="AB31" s="484">
        <f t="shared" si="4"/>
        <v>16609312</v>
      </c>
      <c r="AC31" s="485">
        <f>+'Loans Receivable'!C85</f>
        <v>57124403912</v>
      </c>
      <c r="AD31" s="558">
        <f>+C31-AC31</f>
        <v>0</v>
      </c>
    </row>
    <row r="32" spans="1:36" s="15" customFormat="1" ht="13.5" customHeight="1">
      <c r="A32" s="329"/>
      <c r="B32" s="333" t="s">
        <v>660</v>
      </c>
      <c r="C32" s="14">
        <f t="shared" ref="C32:Z32" si="5">+C8+C10+C12+C14+C16+C18+C20+C22+C24+C26+C28+C30</f>
        <v>0</v>
      </c>
      <c r="D32" s="106">
        <f t="shared" si="5"/>
        <v>0</v>
      </c>
      <c r="E32" s="14">
        <f t="shared" si="5"/>
        <v>0</v>
      </c>
      <c r="F32" s="14">
        <f t="shared" si="5"/>
        <v>0</v>
      </c>
      <c r="G32" s="14">
        <f t="shared" si="5"/>
        <v>0</v>
      </c>
      <c r="H32" s="14">
        <f t="shared" si="5"/>
        <v>0</v>
      </c>
      <c r="I32" s="14">
        <f t="shared" si="5"/>
        <v>0</v>
      </c>
      <c r="J32" s="14">
        <f t="shared" si="5"/>
        <v>0</v>
      </c>
      <c r="K32" s="14">
        <f t="shared" si="5"/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/>
      <c r="AB32" s="14"/>
      <c r="AC32" s="234"/>
      <c r="AD32" s="558"/>
      <c r="AE32" s="234"/>
      <c r="AF32" s="234"/>
      <c r="AG32" s="234"/>
      <c r="AH32" s="234"/>
      <c r="AI32" s="234"/>
      <c r="AJ32" s="234"/>
    </row>
    <row r="33" spans="1:36" s="486" customFormat="1" ht="27.75" customHeight="1">
      <c r="A33" s="484"/>
      <c r="B33" s="484" t="s">
        <v>669</v>
      </c>
      <c r="C33" s="484"/>
      <c r="D33" s="484"/>
      <c r="E33" s="484"/>
      <c r="F33" s="484"/>
      <c r="G33" s="484"/>
      <c r="H33" s="484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4"/>
      <c r="T33" s="484"/>
      <c r="U33" s="484"/>
      <c r="V33" s="484"/>
      <c r="W33" s="484"/>
      <c r="X33" s="484"/>
      <c r="Y33" s="484"/>
      <c r="Z33" s="484"/>
      <c r="AA33" s="484"/>
      <c r="AB33" s="484"/>
      <c r="AD33" s="558"/>
    </row>
    <row r="34" spans="1:36" s="15" customFormat="1" ht="7.5" customHeight="1">
      <c r="A34" s="14"/>
      <c r="B34" s="14"/>
      <c r="C34" s="14"/>
      <c r="D34" s="10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234"/>
      <c r="AD34" s="558"/>
      <c r="AE34" s="234"/>
      <c r="AF34" s="234"/>
      <c r="AG34" s="234"/>
      <c r="AH34" s="234"/>
      <c r="AI34" s="234"/>
      <c r="AJ34" s="234"/>
    </row>
    <row r="35" spans="1:36" s="15" customFormat="1" ht="23.25" customHeight="1">
      <c r="A35" s="329">
        <v>14</v>
      </c>
      <c r="B35" s="332" t="s">
        <v>468</v>
      </c>
      <c r="C35" s="463">
        <f t="shared" ref="C35" si="6">E35+I35+M35+Q35+U35</f>
        <v>29912501071</v>
      </c>
      <c r="D35" s="149">
        <f t="shared" ref="C35:D50" si="7">F35+J35+N35+R35+V35</f>
        <v>25149127213</v>
      </c>
      <c r="E35" s="20">
        <v>25737314100</v>
      </c>
      <c r="F35" s="465">
        <v>21765633152</v>
      </c>
      <c r="G35" s="20">
        <v>266839601</v>
      </c>
      <c r="H35" s="465">
        <v>0</v>
      </c>
      <c r="I35" s="20">
        <v>3674332106</v>
      </c>
      <c r="J35" s="465">
        <v>2980287888</v>
      </c>
      <c r="K35" s="20">
        <v>358079441</v>
      </c>
      <c r="L35" s="465">
        <v>288675019</v>
      </c>
      <c r="M35" s="20">
        <v>201641115</v>
      </c>
      <c r="N35" s="465">
        <v>137499976</v>
      </c>
      <c r="O35" s="20">
        <v>50410279</v>
      </c>
      <c r="P35" s="465">
        <v>34374994</v>
      </c>
      <c r="Q35" s="20">
        <v>289245258</v>
      </c>
      <c r="R35" s="465">
        <v>255737705</v>
      </c>
      <c r="S35" s="20">
        <v>144622629</v>
      </c>
      <c r="T35" s="465">
        <v>127868853</v>
      </c>
      <c r="U35" s="20">
        <v>9968492</v>
      </c>
      <c r="V35" s="465">
        <v>9968492</v>
      </c>
      <c r="W35" s="20">
        <v>9968492</v>
      </c>
      <c r="X35" s="465">
        <v>9968492</v>
      </c>
      <c r="Y35" s="148">
        <f>+W35+S35+O35+K35</f>
        <v>563080841</v>
      </c>
      <c r="Z35" s="149">
        <f>+X35+T35+P35+L35</f>
        <v>460887358</v>
      </c>
      <c r="AA35" s="17">
        <v>119994736</v>
      </c>
      <c r="AB35" s="17">
        <v>3808526</v>
      </c>
      <c r="AC35" s="236">
        <f>+'Aging Analysis'!C25</f>
        <v>29912501071</v>
      </c>
      <c r="AD35" s="558">
        <f>+C35-AC35</f>
        <v>0</v>
      </c>
      <c r="AE35" s="234"/>
      <c r="AF35" s="234"/>
      <c r="AG35" s="234"/>
      <c r="AH35" s="234"/>
      <c r="AI35" s="234"/>
      <c r="AJ35" s="234"/>
    </row>
    <row r="36" spans="1:36" s="15" customFormat="1" ht="14.25" customHeight="1">
      <c r="A36" s="329"/>
      <c r="B36" s="333" t="s">
        <v>660</v>
      </c>
      <c r="C36" s="463">
        <f t="shared" si="7"/>
        <v>0</v>
      </c>
      <c r="D36" s="149">
        <f t="shared" si="7"/>
        <v>0</v>
      </c>
      <c r="E36" s="20">
        <v>0</v>
      </c>
      <c r="F36" s="465">
        <v>0</v>
      </c>
      <c r="G36" s="20">
        <v>0</v>
      </c>
      <c r="H36" s="465">
        <v>0</v>
      </c>
      <c r="I36" s="20">
        <v>0</v>
      </c>
      <c r="J36" s="465">
        <v>0</v>
      </c>
      <c r="K36" s="20">
        <v>0</v>
      </c>
      <c r="L36" s="465">
        <v>0</v>
      </c>
      <c r="M36" s="20">
        <v>0</v>
      </c>
      <c r="N36" s="465">
        <v>0</v>
      </c>
      <c r="O36" s="20">
        <v>0</v>
      </c>
      <c r="P36" s="465">
        <v>0</v>
      </c>
      <c r="Q36" s="20">
        <v>0</v>
      </c>
      <c r="R36" s="465">
        <v>0</v>
      </c>
      <c r="S36" s="20">
        <v>0</v>
      </c>
      <c r="T36" s="465">
        <v>0</v>
      </c>
      <c r="U36" s="20">
        <v>0</v>
      </c>
      <c r="V36" s="465">
        <v>0</v>
      </c>
      <c r="W36" s="20">
        <v>0</v>
      </c>
      <c r="X36" s="465">
        <v>0</v>
      </c>
      <c r="Y36" s="332">
        <f t="shared" ref="Y36:Y50" si="8">+W36+S36+O36+K36</f>
        <v>0</v>
      </c>
      <c r="Z36" s="149">
        <f t="shared" ref="Z36:Z50" si="9">+X36+T36+P36+L36</f>
        <v>0</v>
      </c>
      <c r="AA36" s="17"/>
      <c r="AB36" s="17"/>
      <c r="AD36" s="558"/>
      <c r="AE36" s="234"/>
      <c r="AF36" s="234"/>
      <c r="AG36" s="234"/>
      <c r="AH36" s="234"/>
      <c r="AI36" s="234"/>
      <c r="AJ36" s="234"/>
    </row>
    <row r="37" spans="1:36" s="15" customFormat="1" ht="23.25" customHeight="1">
      <c r="A37" s="329">
        <v>15</v>
      </c>
      <c r="B37" s="332" t="s">
        <v>469</v>
      </c>
      <c r="C37" s="463">
        <f t="shared" si="7"/>
        <v>4926336219</v>
      </c>
      <c r="D37" s="149">
        <f t="shared" si="7"/>
        <v>2565841116</v>
      </c>
      <c r="E37" s="20">
        <v>3549549874</v>
      </c>
      <c r="F37" s="465">
        <v>2221465659</v>
      </c>
      <c r="G37" s="20">
        <v>35495499</v>
      </c>
      <c r="H37" s="465">
        <v>0</v>
      </c>
      <c r="I37" s="20">
        <v>1099095807</v>
      </c>
      <c r="J37" s="465">
        <v>160927246</v>
      </c>
      <c r="K37" s="20">
        <v>110139615</v>
      </c>
      <c r="L37" s="465">
        <v>16092725</v>
      </c>
      <c r="M37" s="20">
        <v>109207519</v>
      </c>
      <c r="N37" s="465">
        <v>20364628</v>
      </c>
      <c r="O37" s="20">
        <v>27301880</v>
      </c>
      <c r="P37" s="465">
        <v>5091157</v>
      </c>
      <c r="Q37" s="20">
        <v>168483019</v>
      </c>
      <c r="R37" s="465">
        <v>163083583</v>
      </c>
      <c r="S37" s="20">
        <v>84241510</v>
      </c>
      <c r="T37" s="465">
        <v>81541792</v>
      </c>
      <c r="U37" s="20">
        <v>0</v>
      </c>
      <c r="V37" s="465">
        <v>0</v>
      </c>
      <c r="W37" s="20">
        <v>0</v>
      </c>
      <c r="X37" s="465">
        <v>0</v>
      </c>
      <c r="Y37" s="148">
        <f t="shared" si="8"/>
        <v>221683005</v>
      </c>
      <c r="Z37" s="149">
        <f t="shared" si="9"/>
        <v>102725674</v>
      </c>
      <c r="AA37" s="17">
        <v>78099323</v>
      </c>
      <c r="AB37" s="17">
        <v>2035699</v>
      </c>
      <c r="AC37" s="236">
        <f>+'Aging Analysis'!C26</f>
        <v>4926336219</v>
      </c>
      <c r="AD37" s="558">
        <f>+C37-AC37</f>
        <v>0</v>
      </c>
      <c r="AE37" s="234"/>
      <c r="AF37" s="234"/>
      <c r="AG37" s="234"/>
      <c r="AH37" s="234"/>
      <c r="AI37" s="234"/>
      <c r="AJ37" s="234"/>
    </row>
    <row r="38" spans="1:36" s="15" customFormat="1" ht="14.25" customHeight="1">
      <c r="A38" s="329"/>
      <c r="B38" s="333" t="s">
        <v>660</v>
      </c>
      <c r="C38" s="463">
        <f t="shared" si="7"/>
        <v>0</v>
      </c>
      <c r="D38" s="149">
        <f t="shared" si="7"/>
        <v>0</v>
      </c>
      <c r="E38" s="20">
        <v>0</v>
      </c>
      <c r="F38" s="465">
        <v>0</v>
      </c>
      <c r="G38" s="20">
        <v>0</v>
      </c>
      <c r="H38" s="465">
        <v>0</v>
      </c>
      <c r="I38" s="20">
        <v>0</v>
      </c>
      <c r="J38" s="465">
        <v>0</v>
      </c>
      <c r="K38" s="20">
        <v>0</v>
      </c>
      <c r="L38" s="465">
        <v>0</v>
      </c>
      <c r="M38" s="20">
        <v>0</v>
      </c>
      <c r="N38" s="465">
        <v>0</v>
      </c>
      <c r="O38" s="20">
        <v>0</v>
      </c>
      <c r="P38" s="465">
        <v>0</v>
      </c>
      <c r="Q38" s="20">
        <v>0</v>
      </c>
      <c r="R38" s="465">
        <v>0</v>
      </c>
      <c r="S38" s="20">
        <v>0</v>
      </c>
      <c r="T38" s="465">
        <v>0</v>
      </c>
      <c r="U38" s="20">
        <v>0</v>
      </c>
      <c r="V38" s="465">
        <v>0</v>
      </c>
      <c r="W38" s="20">
        <v>0</v>
      </c>
      <c r="X38" s="465">
        <v>0</v>
      </c>
      <c r="Y38" s="332">
        <f t="shared" si="8"/>
        <v>0</v>
      </c>
      <c r="Z38" s="149">
        <f t="shared" si="9"/>
        <v>0</v>
      </c>
      <c r="AA38" s="17"/>
      <c r="AB38" s="17"/>
      <c r="AD38" s="558"/>
      <c r="AE38" s="234"/>
      <c r="AF38" s="234"/>
      <c r="AG38" s="234"/>
      <c r="AH38" s="234"/>
      <c r="AI38" s="234"/>
      <c r="AJ38" s="234"/>
    </row>
    <row r="39" spans="1:36" s="15" customFormat="1" ht="23.25" customHeight="1">
      <c r="A39" s="329">
        <v>16</v>
      </c>
      <c r="B39" s="332" t="s">
        <v>470</v>
      </c>
      <c r="C39" s="463">
        <f t="shared" si="7"/>
        <v>3968113322</v>
      </c>
      <c r="D39" s="149">
        <f t="shared" si="7"/>
        <v>3847597829</v>
      </c>
      <c r="E39" s="20">
        <v>3879856301</v>
      </c>
      <c r="F39" s="465">
        <v>3779257642</v>
      </c>
      <c r="G39" s="20">
        <v>38798563</v>
      </c>
      <c r="H39" s="465">
        <v>0</v>
      </c>
      <c r="I39" s="20">
        <v>19500899</v>
      </c>
      <c r="J39" s="465">
        <v>17908156</v>
      </c>
      <c r="K39" s="20">
        <v>1950090</v>
      </c>
      <c r="L39" s="465">
        <v>1790816</v>
      </c>
      <c r="M39" s="20">
        <v>63274014</v>
      </c>
      <c r="N39" s="465">
        <v>50432031</v>
      </c>
      <c r="O39" s="20">
        <v>15818503</v>
      </c>
      <c r="P39" s="465">
        <v>12608008</v>
      </c>
      <c r="Q39" s="20">
        <v>3800001</v>
      </c>
      <c r="R39" s="465">
        <v>0</v>
      </c>
      <c r="S39" s="20">
        <v>1900001</v>
      </c>
      <c r="T39" s="465">
        <v>0</v>
      </c>
      <c r="U39" s="20">
        <v>1682107</v>
      </c>
      <c r="V39" s="465">
        <v>0</v>
      </c>
      <c r="W39" s="20">
        <v>1682107</v>
      </c>
      <c r="X39" s="465">
        <v>0</v>
      </c>
      <c r="Y39" s="148">
        <f t="shared" si="8"/>
        <v>21350701</v>
      </c>
      <c r="Z39" s="149">
        <f t="shared" si="9"/>
        <v>14398824</v>
      </c>
      <c r="AA39" s="17">
        <v>2990000</v>
      </c>
      <c r="AB39" s="17">
        <v>299102</v>
      </c>
      <c r="AC39" s="236">
        <f>+'Aging Analysis'!C27</f>
        <v>3968113322</v>
      </c>
      <c r="AD39" s="558">
        <f>+C39-AC39</f>
        <v>0</v>
      </c>
      <c r="AE39" s="234"/>
      <c r="AF39" s="234"/>
      <c r="AG39" s="234"/>
      <c r="AH39" s="234"/>
      <c r="AI39" s="234"/>
      <c r="AJ39" s="234"/>
    </row>
    <row r="40" spans="1:36" s="15" customFormat="1" ht="14.25" customHeight="1">
      <c r="A40" s="329"/>
      <c r="B40" s="333" t="s">
        <v>660</v>
      </c>
      <c r="C40" s="463">
        <f t="shared" si="7"/>
        <v>0</v>
      </c>
      <c r="D40" s="149">
        <f t="shared" si="7"/>
        <v>0</v>
      </c>
      <c r="E40" s="20">
        <v>0</v>
      </c>
      <c r="F40" s="465">
        <v>0</v>
      </c>
      <c r="G40" s="20">
        <v>0</v>
      </c>
      <c r="H40" s="465">
        <v>0</v>
      </c>
      <c r="I40" s="20">
        <v>0</v>
      </c>
      <c r="J40" s="465">
        <v>0</v>
      </c>
      <c r="K40" s="20">
        <v>0</v>
      </c>
      <c r="L40" s="465">
        <v>0</v>
      </c>
      <c r="M40" s="20">
        <v>0</v>
      </c>
      <c r="N40" s="465">
        <v>0</v>
      </c>
      <c r="O40" s="20">
        <v>0</v>
      </c>
      <c r="P40" s="465">
        <v>0</v>
      </c>
      <c r="Q40" s="20">
        <v>0</v>
      </c>
      <c r="R40" s="465">
        <v>0</v>
      </c>
      <c r="S40" s="20">
        <v>0</v>
      </c>
      <c r="T40" s="465">
        <v>0</v>
      </c>
      <c r="U40" s="20">
        <v>0</v>
      </c>
      <c r="V40" s="465">
        <v>0</v>
      </c>
      <c r="W40" s="20">
        <v>0</v>
      </c>
      <c r="X40" s="465">
        <v>0</v>
      </c>
      <c r="Y40" s="332">
        <f t="shared" si="8"/>
        <v>0</v>
      </c>
      <c r="Z40" s="149">
        <f t="shared" si="9"/>
        <v>0</v>
      </c>
      <c r="AA40" s="17"/>
      <c r="AB40" s="17"/>
      <c r="AD40" s="558"/>
      <c r="AE40" s="234"/>
      <c r="AF40" s="234"/>
      <c r="AG40" s="234"/>
      <c r="AH40" s="234"/>
      <c r="AI40" s="234"/>
      <c r="AJ40" s="234"/>
    </row>
    <row r="41" spans="1:36" s="15" customFormat="1" ht="23.25" customHeight="1">
      <c r="A41" s="329">
        <v>17</v>
      </c>
      <c r="B41" s="332" t="s">
        <v>471</v>
      </c>
      <c r="C41" s="463">
        <f t="shared" si="7"/>
        <v>1311758376</v>
      </c>
      <c r="D41" s="149">
        <f t="shared" si="7"/>
        <v>942129303</v>
      </c>
      <c r="E41" s="20">
        <v>1168102135</v>
      </c>
      <c r="F41" s="465">
        <v>903217007</v>
      </c>
      <c r="G41" s="20">
        <v>11681021</v>
      </c>
      <c r="H41" s="465">
        <v>0</v>
      </c>
      <c r="I41" s="20">
        <v>48928444</v>
      </c>
      <c r="J41" s="465">
        <v>14901457</v>
      </c>
      <c r="K41" s="20">
        <v>4892844</v>
      </c>
      <c r="L41" s="465">
        <v>1490146</v>
      </c>
      <c r="M41" s="20">
        <v>42918452</v>
      </c>
      <c r="N41" s="465">
        <v>1772113</v>
      </c>
      <c r="O41" s="20">
        <v>10729613</v>
      </c>
      <c r="P41" s="465">
        <v>443028</v>
      </c>
      <c r="Q41" s="20">
        <v>51809345</v>
      </c>
      <c r="R41" s="465">
        <v>22238726</v>
      </c>
      <c r="S41" s="20">
        <v>25904673</v>
      </c>
      <c r="T41" s="465">
        <v>11119363</v>
      </c>
      <c r="U41" s="20">
        <v>0</v>
      </c>
      <c r="V41" s="465">
        <v>0</v>
      </c>
      <c r="W41" s="20">
        <v>0</v>
      </c>
      <c r="X41" s="465">
        <v>0</v>
      </c>
      <c r="Y41" s="148">
        <f t="shared" si="8"/>
        <v>41527130</v>
      </c>
      <c r="Z41" s="149">
        <f t="shared" si="9"/>
        <v>13052537</v>
      </c>
      <c r="AA41" s="17">
        <v>52430587</v>
      </c>
      <c r="AB41" s="17">
        <v>0</v>
      </c>
      <c r="AC41" s="236">
        <f>+'Aging Analysis'!C28</f>
        <v>1311758376</v>
      </c>
      <c r="AD41" s="558">
        <f>+C41-AC41</f>
        <v>0</v>
      </c>
      <c r="AE41" s="234"/>
      <c r="AF41" s="234"/>
      <c r="AG41" s="234"/>
      <c r="AH41" s="234"/>
      <c r="AI41" s="234"/>
      <c r="AJ41" s="234"/>
    </row>
    <row r="42" spans="1:36" s="15" customFormat="1" ht="14.25" customHeight="1">
      <c r="A42" s="329"/>
      <c r="B42" s="333" t="s">
        <v>660</v>
      </c>
      <c r="C42" s="463">
        <f t="shared" si="7"/>
        <v>0</v>
      </c>
      <c r="D42" s="149">
        <f t="shared" si="7"/>
        <v>0</v>
      </c>
      <c r="E42" s="20">
        <v>0</v>
      </c>
      <c r="F42" s="465">
        <v>0</v>
      </c>
      <c r="G42" s="20">
        <v>0</v>
      </c>
      <c r="H42" s="465">
        <v>0</v>
      </c>
      <c r="I42" s="20">
        <v>0</v>
      </c>
      <c r="J42" s="465">
        <v>0</v>
      </c>
      <c r="K42" s="20">
        <v>0</v>
      </c>
      <c r="L42" s="465">
        <v>0</v>
      </c>
      <c r="M42" s="20">
        <v>0</v>
      </c>
      <c r="N42" s="465">
        <v>0</v>
      </c>
      <c r="O42" s="20">
        <v>0</v>
      </c>
      <c r="P42" s="465">
        <v>0</v>
      </c>
      <c r="Q42" s="20">
        <v>0</v>
      </c>
      <c r="R42" s="465">
        <v>0</v>
      </c>
      <c r="S42" s="20">
        <v>0</v>
      </c>
      <c r="T42" s="465">
        <v>0</v>
      </c>
      <c r="U42" s="20">
        <v>0</v>
      </c>
      <c r="V42" s="465">
        <v>0</v>
      </c>
      <c r="W42" s="20">
        <v>0</v>
      </c>
      <c r="X42" s="465">
        <v>0</v>
      </c>
      <c r="Y42" s="332">
        <f t="shared" si="8"/>
        <v>0</v>
      </c>
      <c r="Z42" s="149">
        <f t="shared" si="9"/>
        <v>0</v>
      </c>
      <c r="AA42" s="17"/>
      <c r="AB42" s="17"/>
      <c r="AD42" s="558"/>
      <c r="AE42" s="234"/>
      <c r="AF42" s="234"/>
      <c r="AG42" s="234"/>
      <c r="AH42" s="234"/>
      <c r="AI42" s="234"/>
      <c r="AJ42" s="234"/>
    </row>
    <row r="43" spans="1:36" s="15" customFormat="1" ht="23.25" customHeight="1">
      <c r="A43" s="329">
        <v>18</v>
      </c>
      <c r="B43" s="332" t="s">
        <v>472</v>
      </c>
      <c r="C43" s="463">
        <f t="shared" si="7"/>
        <v>3466439372</v>
      </c>
      <c r="D43" s="149">
        <f t="shared" si="7"/>
        <v>2756436726</v>
      </c>
      <c r="E43" s="20">
        <v>2960164849</v>
      </c>
      <c r="F43" s="465">
        <v>2404774456</v>
      </c>
      <c r="G43" s="20">
        <v>29601648</v>
      </c>
      <c r="H43" s="465">
        <v>0</v>
      </c>
      <c r="I43" s="20">
        <v>241286988</v>
      </c>
      <c r="J43" s="465">
        <v>200437929</v>
      </c>
      <c r="K43" s="20">
        <v>24128699</v>
      </c>
      <c r="L43" s="465">
        <v>20043793</v>
      </c>
      <c r="M43" s="20">
        <v>60676560</v>
      </c>
      <c r="N43" s="465">
        <v>52568517</v>
      </c>
      <c r="O43" s="20">
        <v>15169140</v>
      </c>
      <c r="P43" s="465">
        <v>13142129</v>
      </c>
      <c r="Q43" s="20">
        <v>193760975</v>
      </c>
      <c r="R43" s="465">
        <v>98655824</v>
      </c>
      <c r="S43" s="20">
        <v>96880488</v>
      </c>
      <c r="T43" s="465">
        <v>49327912</v>
      </c>
      <c r="U43" s="20">
        <v>10550000</v>
      </c>
      <c r="V43" s="465">
        <v>0</v>
      </c>
      <c r="W43" s="20">
        <v>10550000</v>
      </c>
      <c r="X43" s="465">
        <v>0</v>
      </c>
      <c r="Y43" s="148">
        <f t="shared" si="8"/>
        <v>146728327</v>
      </c>
      <c r="Z43" s="149">
        <f t="shared" si="9"/>
        <v>82513834</v>
      </c>
      <c r="AA43" s="17">
        <v>16096874</v>
      </c>
      <c r="AB43" s="17">
        <v>8896959</v>
      </c>
      <c r="AC43" s="236">
        <f>+'Aging Analysis'!C29</f>
        <v>3466439372</v>
      </c>
      <c r="AD43" s="558">
        <f>+C43-AC43</f>
        <v>0</v>
      </c>
      <c r="AE43" s="234"/>
      <c r="AF43" s="234"/>
      <c r="AG43" s="234"/>
      <c r="AH43" s="234"/>
      <c r="AI43" s="234"/>
      <c r="AJ43" s="234"/>
    </row>
    <row r="44" spans="1:36" s="15" customFormat="1" ht="14.25" customHeight="1">
      <c r="A44" s="329"/>
      <c r="B44" s="333" t="s">
        <v>660</v>
      </c>
      <c r="C44" s="463">
        <f t="shared" si="7"/>
        <v>0</v>
      </c>
      <c r="D44" s="149">
        <f t="shared" si="7"/>
        <v>0</v>
      </c>
      <c r="E44" s="20">
        <v>0</v>
      </c>
      <c r="F44" s="465">
        <v>0</v>
      </c>
      <c r="G44" s="20">
        <v>0</v>
      </c>
      <c r="H44" s="465">
        <v>0</v>
      </c>
      <c r="I44" s="20">
        <v>0</v>
      </c>
      <c r="J44" s="465">
        <v>0</v>
      </c>
      <c r="K44" s="20">
        <v>0</v>
      </c>
      <c r="L44" s="465">
        <v>0</v>
      </c>
      <c r="M44" s="20">
        <v>0</v>
      </c>
      <c r="N44" s="465">
        <v>0</v>
      </c>
      <c r="O44" s="20">
        <v>0</v>
      </c>
      <c r="P44" s="465">
        <v>0</v>
      </c>
      <c r="Q44" s="20">
        <v>0</v>
      </c>
      <c r="R44" s="465">
        <v>0</v>
      </c>
      <c r="S44" s="20">
        <v>0</v>
      </c>
      <c r="T44" s="465">
        <v>0</v>
      </c>
      <c r="U44" s="20">
        <v>0</v>
      </c>
      <c r="V44" s="465">
        <v>0</v>
      </c>
      <c r="W44" s="20">
        <v>0</v>
      </c>
      <c r="X44" s="465">
        <v>0</v>
      </c>
      <c r="Y44" s="332">
        <f t="shared" si="8"/>
        <v>0</v>
      </c>
      <c r="Z44" s="149">
        <f t="shared" si="9"/>
        <v>0</v>
      </c>
      <c r="AA44" s="17"/>
      <c r="AB44" s="17"/>
      <c r="AD44" s="558"/>
      <c r="AE44" s="234"/>
      <c r="AF44" s="234"/>
      <c r="AG44" s="234"/>
      <c r="AH44" s="234"/>
      <c r="AI44" s="234"/>
      <c r="AJ44" s="234"/>
    </row>
    <row r="45" spans="1:36" s="15" customFormat="1" ht="23.25" customHeight="1">
      <c r="A45" s="329">
        <v>19</v>
      </c>
      <c r="B45" s="332" t="s">
        <v>473</v>
      </c>
      <c r="C45" s="463">
        <f t="shared" si="7"/>
        <v>2157776262</v>
      </c>
      <c r="D45" s="149">
        <f t="shared" si="7"/>
        <v>300207520</v>
      </c>
      <c r="E45" s="20">
        <v>2139811852</v>
      </c>
      <c r="F45" s="465">
        <v>295271972</v>
      </c>
      <c r="G45" s="20">
        <v>21398119</v>
      </c>
      <c r="H45" s="465">
        <v>0</v>
      </c>
      <c r="I45" s="20">
        <v>12647724</v>
      </c>
      <c r="J45" s="465">
        <v>0</v>
      </c>
      <c r="K45" s="20">
        <v>1264772</v>
      </c>
      <c r="L45" s="465">
        <v>0</v>
      </c>
      <c r="M45" s="20">
        <v>246815</v>
      </c>
      <c r="N45" s="465">
        <v>246815</v>
      </c>
      <c r="O45" s="20">
        <v>61704</v>
      </c>
      <c r="P45" s="465">
        <v>61704</v>
      </c>
      <c r="Q45" s="20">
        <v>31138</v>
      </c>
      <c r="R45" s="465">
        <v>0</v>
      </c>
      <c r="S45" s="20">
        <v>15569</v>
      </c>
      <c r="T45" s="465">
        <v>0</v>
      </c>
      <c r="U45" s="20">
        <v>5038733</v>
      </c>
      <c r="V45" s="465">
        <v>4688733</v>
      </c>
      <c r="W45" s="20">
        <v>5038733</v>
      </c>
      <c r="X45" s="465">
        <v>4688733</v>
      </c>
      <c r="Y45" s="148">
        <f t="shared" si="8"/>
        <v>6380778</v>
      </c>
      <c r="Z45" s="149">
        <f t="shared" si="9"/>
        <v>4750437</v>
      </c>
      <c r="AA45" s="17">
        <v>6820513</v>
      </c>
      <c r="AB45" s="17">
        <v>0</v>
      </c>
      <c r="AC45" s="236">
        <f>+'Aging Analysis'!C30</f>
        <v>2157776262</v>
      </c>
      <c r="AD45" s="558">
        <f>+C45-AC45</f>
        <v>0</v>
      </c>
      <c r="AE45" s="234"/>
      <c r="AF45" s="234"/>
      <c r="AG45" s="234"/>
      <c r="AH45" s="234"/>
      <c r="AI45" s="234"/>
      <c r="AJ45" s="234"/>
    </row>
    <row r="46" spans="1:36" s="15" customFormat="1" ht="14.25" customHeight="1">
      <c r="A46" s="329"/>
      <c r="B46" s="333" t="s">
        <v>660</v>
      </c>
      <c r="C46" s="463">
        <f t="shared" si="7"/>
        <v>0</v>
      </c>
      <c r="D46" s="149">
        <f t="shared" si="7"/>
        <v>0</v>
      </c>
      <c r="E46" s="20">
        <v>0</v>
      </c>
      <c r="F46" s="465">
        <v>0</v>
      </c>
      <c r="G46" s="20">
        <v>0</v>
      </c>
      <c r="H46" s="465">
        <v>0</v>
      </c>
      <c r="I46" s="20">
        <v>0</v>
      </c>
      <c r="J46" s="465">
        <v>0</v>
      </c>
      <c r="K46" s="20">
        <v>0</v>
      </c>
      <c r="L46" s="465">
        <v>0</v>
      </c>
      <c r="M46" s="20">
        <v>0</v>
      </c>
      <c r="N46" s="465">
        <v>0</v>
      </c>
      <c r="O46" s="20">
        <v>0</v>
      </c>
      <c r="P46" s="465">
        <v>0</v>
      </c>
      <c r="Q46" s="20">
        <v>0</v>
      </c>
      <c r="R46" s="465">
        <v>0</v>
      </c>
      <c r="S46" s="20">
        <v>0</v>
      </c>
      <c r="T46" s="465">
        <v>0</v>
      </c>
      <c r="U46" s="20">
        <v>0</v>
      </c>
      <c r="V46" s="465">
        <v>0</v>
      </c>
      <c r="W46" s="20">
        <v>0</v>
      </c>
      <c r="X46" s="465">
        <v>0</v>
      </c>
      <c r="Y46" s="332">
        <f t="shared" si="8"/>
        <v>0</v>
      </c>
      <c r="Z46" s="149">
        <f t="shared" si="9"/>
        <v>0</v>
      </c>
      <c r="AA46" s="17"/>
      <c r="AB46" s="17"/>
      <c r="AD46" s="558"/>
      <c r="AE46" s="234"/>
      <c r="AF46" s="234"/>
      <c r="AG46" s="234"/>
      <c r="AH46" s="234"/>
      <c r="AI46" s="234"/>
      <c r="AJ46" s="234"/>
    </row>
    <row r="47" spans="1:36" s="15" customFormat="1" ht="23.25" customHeight="1">
      <c r="A47" s="329">
        <v>20</v>
      </c>
      <c r="B47" s="332" t="s">
        <v>474</v>
      </c>
      <c r="C47" s="463">
        <f t="shared" si="7"/>
        <v>1605566</v>
      </c>
      <c r="D47" s="149">
        <f t="shared" si="7"/>
        <v>0</v>
      </c>
      <c r="E47" s="20">
        <v>1467441</v>
      </c>
      <c r="F47" s="465">
        <v>0</v>
      </c>
      <c r="G47" s="20">
        <v>14674</v>
      </c>
      <c r="H47" s="465">
        <v>0</v>
      </c>
      <c r="I47" s="20">
        <v>0</v>
      </c>
      <c r="J47" s="465">
        <v>0</v>
      </c>
      <c r="K47" s="20">
        <v>0</v>
      </c>
      <c r="L47" s="465">
        <v>0</v>
      </c>
      <c r="M47" s="20">
        <v>138125</v>
      </c>
      <c r="N47" s="465">
        <v>0</v>
      </c>
      <c r="O47" s="20">
        <v>34531</v>
      </c>
      <c r="P47" s="465">
        <v>0</v>
      </c>
      <c r="Q47" s="20">
        <v>0</v>
      </c>
      <c r="R47" s="465">
        <v>0</v>
      </c>
      <c r="S47" s="20">
        <v>0</v>
      </c>
      <c r="T47" s="465">
        <v>0</v>
      </c>
      <c r="U47" s="20">
        <v>0</v>
      </c>
      <c r="V47" s="465">
        <v>0</v>
      </c>
      <c r="W47" s="20">
        <v>0</v>
      </c>
      <c r="X47" s="465">
        <v>0</v>
      </c>
      <c r="Y47" s="148">
        <f t="shared" si="8"/>
        <v>34531</v>
      </c>
      <c r="Z47" s="149">
        <f t="shared" si="9"/>
        <v>0</v>
      </c>
      <c r="AA47" s="17">
        <v>0</v>
      </c>
      <c r="AB47" s="17">
        <v>0</v>
      </c>
      <c r="AC47" s="236">
        <f>+'Aging Analysis'!C31</f>
        <v>1605566</v>
      </c>
      <c r="AD47" s="558">
        <f>+C47-AC47</f>
        <v>0</v>
      </c>
      <c r="AE47" s="234"/>
      <c r="AF47" s="234"/>
      <c r="AG47" s="234"/>
      <c r="AH47" s="234"/>
      <c r="AI47" s="234"/>
      <c r="AJ47" s="234"/>
    </row>
    <row r="48" spans="1:36" s="15" customFormat="1" ht="14.25" customHeight="1">
      <c r="A48" s="329"/>
      <c r="B48" s="333" t="s">
        <v>660</v>
      </c>
      <c r="C48" s="463">
        <f t="shared" si="7"/>
        <v>0</v>
      </c>
      <c r="D48" s="149">
        <f t="shared" si="7"/>
        <v>0</v>
      </c>
      <c r="E48" s="20">
        <v>0</v>
      </c>
      <c r="F48" s="465">
        <v>0</v>
      </c>
      <c r="G48" s="20">
        <v>0</v>
      </c>
      <c r="H48" s="465">
        <v>0</v>
      </c>
      <c r="I48" s="20">
        <v>0</v>
      </c>
      <c r="J48" s="465">
        <v>0</v>
      </c>
      <c r="K48" s="20">
        <v>0</v>
      </c>
      <c r="L48" s="465">
        <v>0</v>
      </c>
      <c r="M48" s="20">
        <v>0</v>
      </c>
      <c r="N48" s="465">
        <v>0</v>
      </c>
      <c r="O48" s="20">
        <v>0</v>
      </c>
      <c r="P48" s="465">
        <v>0</v>
      </c>
      <c r="Q48" s="20">
        <v>0</v>
      </c>
      <c r="R48" s="465">
        <v>0</v>
      </c>
      <c r="S48" s="20">
        <v>0</v>
      </c>
      <c r="T48" s="465">
        <v>0</v>
      </c>
      <c r="U48" s="20">
        <v>0</v>
      </c>
      <c r="V48" s="465">
        <v>0</v>
      </c>
      <c r="W48" s="20">
        <v>0</v>
      </c>
      <c r="X48" s="465">
        <v>0</v>
      </c>
      <c r="Y48" s="332">
        <f t="shared" si="8"/>
        <v>0</v>
      </c>
      <c r="Z48" s="149">
        <f t="shared" si="9"/>
        <v>0</v>
      </c>
      <c r="AA48" s="17"/>
      <c r="AB48" s="17"/>
      <c r="AD48" s="558"/>
      <c r="AE48" s="234"/>
      <c r="AF48" s="234"/>
      <c r="AG48" s="234"/>
      <c r="AH48" s="234"/>
      <c r="AI48" s="234"/>
      <c r="AJ48" s="234"/>
    </row>
    <row r="49" spans="1:36" s="15" customFormat="1" ht="23.25" customHeight="1">
      <c r="A49" s="329">
        <v>21</v>
      </c>
      <c r="B49" s="332" t="s">
        <v>475</v>
      </c>
      <c r="C49" s="463">
        <f t="shared" si="7"/>
        <v>3565380938</v>
      </c>
      <c r="D49" s="149">
        <f t="shared" si="7"/>
        <v>2451620935</v>
      </c>
      <c r="E49" s="20">
        <v>2486832479</v>
      </c>
      <c r="F49" s="465">
        <v>1530267407</v>
      </c>
      <c r="G49" s="20">
        <v>24868326</v>
      </c>
      <c r="H49" s="465">
        <v>0</v>
      </c>
      <c r="I49" s="20">
        <v>1048838111</v>
      </c>
      <c r="J49" s="465">
        <v>915190899</v>
      </c>
      <c r="K49" s="20">
        <v>104883812</v>
      </c>
      <c r="L49" s="465">
        <v>91519090</v>
      </c>
      <c r="M49" s="20">
        <v>8839572</v>
      </c>
      <c r="N49" s="465">
        <v>254355</v>
      </c>
      <c r="O49" s="20">
        <v>2209893</v>
      </c>
      <c r="P49" s="465">
        <v>63590</v>
      </c>
      <c r="Q49" s="20">
        <v>20870776</v>
      </c>
      <c r="R49" s="465">
        <v>5908274</v>
      </c>
      <c r="S49" s="20">
        <v>10435388</v>
      </c>
      <c r="T49" s="465">
        <v>2954138</v>
      </c>
      <c r="U49" s="20">
        <v>0</v>
      </c>
      <c r="V49" s="465">
        <v>0</v>
      </c>
      <c r="W49" s="20">
        <v>0</v>
      </c>
      <c r="X49" s="465">
        <v>0</v>
      </c>
      <c r="Y49" s="148">
        <f t="shared" si="8"/>
        <v>117529093</v>
      </c>
      <c r="Z49" s="149">
        <f t="shared" si="9"/>
        <v>94536818</v>
      </c>
      <c r="AA49" s="17">
        <v>16597505</v>
      </c>
      <c r="AB49" s="17">
        <v>7001</v>
      </c>
      <c r="AC49" s="236">
        <f>+'Aging Analysis'!C32</f>
        <v>3565380938</v>
      </c>
      <c r="AD49" s="558">
        <f>+C49-AC49</f>
        <v>0</v>
      </c>
      <c r="AE49" s="234"/>
      <c r="AF49" s="234"/>
      <c r="AG49" s="234"/>
      <c r="AH49" s="234"/>
      <c r="AI49" s="234"/>
      <c r="AJ49" s="234"/>
    </row>
    <row r="50" spans="1:36" s="15" customFormat="1" ht="14.25" customHeight="1">
      <c r="A50" s="329"/>
      <c r="B50" s="333" t="s">
        <v>660</v>
      </c>
      <c r="C50" s="463">
        <f t="shared" si="7"/>
        <v>0</v>
      </c>
      <c r="D50" s="149">
        <f t="shared" si="7"/>
        <v>0</v>
      </c>
      <c r="E50" s="20">
        <v>0</v>
      </c>
      <c r="F50" s="465">
        <v>0</v>
      </c>
      <c r="G50" s="20">
        <v>0</v>
      </c>
      <c r="H50" s="465">
        <v>0</v>
      </c>
      <c r="I50" s="20">
        <v>0</v>
      </c>
      <c r="J50" s="465">
        <v>0</v>
      </c>
      <c r="K50" s="20">
        <v>0</v>
      </c>
      <c r="L50" s="465">
        <v>0</v>
      </c>
      <c r="M50" s="20">
        <v>0</v>
      </c>
      <c r="N50" s="465">
        <v>0</v>
      </c>
      <c r="O50" s="20">
        <v>0</v>
      </c>
      <c r="P50" s="465">
        <v>0</v>
      </c>
      <c r="Q50" s="20">
        <v>0</v>
      </c>
      <c r="R50" s="465">
        <v>0</v>
      </c>
      <c r="S50" s="20">
        <v>0</v>
      </c>
      <c r="T50" s="465">
        <v>0</v>
      </c>
      <c r="U50" s="20">
        <v>0</v>
      </c>
      <c r="V50" s="465">
        <v>0</v>
      </c>
      <c r="W50" s="20">
        <v>0</v>
      </c>
      <c r="X50" s="465">
        <v>0</v>
      </c>
      <c r="Y50" s="332">
        <f t="shared" si="8"/>
        <v>0</v>
      </c>
      <c r="Z50" s="149">
        <f t="shared" si="9"/>
        <v>0</v>
      </c>
      <c r="AA50" s="17"/>
      <c r="AB50" s="17"/>
      <c r="AC50" s="234"/>
      <c r="AD50" s="558"/>
      <c r="AE50" s="234"/>
      <c r="AF50" s="234"/>
      <c r="AG50" s="234"/>
      <c r="AH50" s="234"/>
      <c r="AI50" s="234"/>
      <c r="AJ50" s="234"/>
    </row>
    <row r="51" spans="1:36" s="15" customFormat="1" ht="23.25" customHeight="1">
      <c r="A51" s="329">
        <v>22</v>
      </c>
      <c r="B51" s="332" t="s">
        <v>398</v>
      </c>
      <c r="C51" s="463">
        <f t="shared" ref="C51" si="10">E51+I51+M51+Q51+U51</f>
        <v>7814492786</v>
      </c>
      <c r="D51" s="149">
        <f t="shared" ref="D51:D52" si="11">F51+J51+N51+R51+V51</f>
        <v>0</v>
      </c>
      <c r="E51" s="20">
        <v>7625652230</v>
      </c>
      <c r="F51" s="465">
        <v>0</v>
      </c>
      <c r="G51" s="20">
        <v>76256522</v>
      </c>
      <c r="H51" s="465">
        <v>0</v>
      </c>
      <c r="I51" s="20">
        <v>147846643</v>
      </c>
      <c r="J51" s="465">
        <v>0</v>
      </c>
      <c r="K51" s="20">
        <v>14782772</v>
      </c>
      <c r="L51" s="465">
        <v>0</v>
      </c>
      <c r="M51" s="20">
        <v>19062315</v>
      </c>
      <c r="N51" s="465">
        <v>0</v>
      </c>
      <c r="O51" s="20">
        <v>4765590</v>
      </c>
      <c r="P51" s="465">
        <v>0</v>
      </c>
      <c r="Q51" s="20">
        <v>21931598</v>
      </c>
      <c r="R51" s="465">
        <v>0</v>
      </c>
      <c r="S51" s="20">
        <v>10965799</v>
      </c>
      <c r="T51" s="465">
        <v>0</v>
      </c>
      <c r="U51" s="20">
        <v>0</v>
      </c>
      <c r="V51" s="465">
        <v>0</v>
      </c>
      <c r="W51" s="20">
        <v>0</v>
      </c>
      <c r="X51" s="465">
        <v>0</v>
      </c>
      <c r="Y51" s="465">
        <f t="shared" ref="Y51:Y52" si="12">+W51+S51+O51+K51</f>
        <v>30514161</v>
      </c>
      <c r="Z51" s="465">
        <f t="shared" ref="Z51:Z52" si="13">+X51+T51+P51+L51</f>
        <v>0</v>
      </c>
      <c r="AA51" s="516">
        <v>1722561</v>
      </c>
      <c r="AB51" s="465">
        <v>1562025</v>
      </c>
      <c r="AC51" s="236">
        <f>+'Aging Analysis'!C33</f>
        <v>7814492786</v>
      </c>
      <c r="AD51" s="558">
        <f>+C51-AC51</f>
        <v>0</v>
      </c>
      <c r="AE51" s="234"/>
      <c r="AF51" s="234"/>
      <c r="AG51" s="234"/>
      <c r="AH51" s="234"/>
      <c r="AI51" s="234"/>
      <c r="AJ51" s="234"/>
    </row>
    <row r="52" spans="1:36" s="15" customFormat="1" ht="14.25" customHeight="1">
      <c r="A52" s="329"/>
      <c r="B52" s="333" t="s">
        <v>660</v>
      </c>
      <c r="C52" s="463">
        <f t="shared" ref="C52:C54" si="14">E52+I52+M52+Q52+U52</f>
        <v>0</v>
      </c>
      <c r="D52" s="149">
        <f t="shared" si="11"/>
        <v>0</v>
      </c>
      <c r="E52" s="20">
        <v>0</v>
      </c>
      <c r="F52" s="149"/>
      <c r="G52" s="20">
        <v>0</v>
      </c>
      <c r="H52" s="149"/>
      <c r="I52" s="20"/>
      <c r="J52" s="149"/>
      <c r="K52" s="20"/>
      <c r="L52" s="149"/>
      <c r="M52" s="20"/>
      <c r="N52" s="149"/>
      <c r="O52" s="20"/>
      <c r="P52" s="149"/>
      <c r="Q52" s="20"/>
      <c r="R52" s="149"/>
      <c r="S52" s="20"/>
      <c r="T52" s="149"/>
      <c r="U52" s="20"/>
      <c r="V52" s="149"/>
      <c r="W52" s="20"/>
      <c r="X52" s="149"/>
      <c r="Y52" s="332">
        <f t="shared" si="12"/>
        <v>0</v>
      </c>
      <c r="Z52" s="149">
        <f t="shared" si="13"/>
        <v>0</v>
      </c>
      <c r="AA52" s="17"/>
      <c r="AB52" s="17"/>
      <c r="AC52" s="234"/>
      <c r="AD52" s="558"/>
      <c r="AE52" s="234"/>
      <c r="AF52" s="234"/>
      <c r="AG52" s="234"/>
      <c r="AH52" s="234"/>
      <c r="AI52" s="234"/>
      <c r="AJ52" s="234"/>
    </row>
    <row r="53" spans="1:36" s="486" customFormat="1" ht="28.5" customHeight="1">
      <c r="A53" s="484">
        <v>23</v>
      </c>
      <c r="B53" s="484" t="s">
        <v>668</v>
      </c>
      <c r="C53" s="484">
        <f>+C35+C37+C39+C41+C43+C45+C47+C49+C51</f>
        <v>57124403912</v>
      </c>
      <c r="D53" s="484">
        <f t="shared" ref="D53:AB53" si="15">+D35+D37+D39+D41+D43+D45+D47+D49+D51</f>
        <v>38012960642</v>
      </c>
      <c r="E53" s="484">
        <f t="shared" si="15"/>
        <v>49548751261</v>
      </c>
      <c r="F53" s="484">
        <f t="shared" si="15"/>
        <v>32899887295</v>
      </c>
      <c r="G53" s="484">
        <f t="shared" si="15"/>
        <v>504953973</v>
      </c>
      <c r="H53" s="484">
        <f t="shared" si="15"/>
        <v>0</v>
      </c>
      <c r="I53" s="484">
        <f t="shared" si="15"/>
        <v>6292476722</v>
      </c>
      <c r="J53" s="484">
        <f t="shared" si="15"/>
        <v>4289653575</v>
      </c>
      <c r="K53" s="484">
        <f t="shared" si="15"/>
        <v>620122045</v>
      </c>
      <c r="L53" s="484">
        <f t="shared" si="15"/>
        <v>419611589</v>
      </c>
      <c r="M53" s="484">
        <f t="shared" si="15"/>
        <v>506004487</v>
      </c>
      <c r="N53" s="484">
        <f t="shared" si="15"/>
        <v>263138435</v>
      </c>
      <c r="O53" s="484">
        <f t="shared" si="15"/>
        <v>126501133</v>
      </c>
      <c r="P53" s="484">
        <f t="shared" si="15"/>
        <v>65784610</v>
      </c>
      <c r="Q53" s="484">
        <f t="shared" si="15"/>
        <v>749932110</v>
      </c>
      <c r="R53" s="484">
        <f t="shared" si="15"/>
        <v>545624112</v>
      </c>
      <c r="S53" s="484">
        <f t="shared" si="15"/>
        <v>374966057</v>
      </c>
      <c r="T53" s="484">
        <f t="shared" si="15"/>
        <v>272812058</v>
      </c>
      <c r="U53" s="484">
        <f t="shared" si="15"/>
        <v>27239332</v>
      </c>
      <c r="V53" s="484">
        <f t="shared" si="15"/>
        <v>14657225</v>
      </c>
      <c r="W53" s="484">
        <f t="shared" si="15"/>
        <v>27239332</v>
      </c>
      <c r="X53" s="484">
        <f t="shared" si="15"/>
        <v>14657225</v>
      </c>
      <c r="Y53" s="484">
        <f t="shared" si="15"/>
        <v>1148828567</v>
      </c>
      <c r="Z53" s="484">
        <f t="shared" si="15"/>
        <v>772865482</v>
      </c>
      <c r="AA53" s="484">
        <f t="shared" si="15"/>
        <v>294752099</v>
      </c>
      <c r="AB53" s="484">
        <f t="shared" si="15"/>
        <v>16609312</v>
      </c>
      <c r="AC53" s="485">
        <f>+'Aging Analysis'!C35</f>
        <v>57124403912</v>
      </c>
      <c r="AD53" s="558">
        <f>+C53-AC53</f>
        <v>0</v>
      </c>
    </row>
    <row r="54" spans="1:36" s="15" customFormat="1" ht="23.25" customHeight="1">
      <c r="A54" s="329"/>
      <c r="B54" s="333" t="s">
        <v>660</v>
      </c>
      <c r="C54" s="427">
        <f t="shared" si="14"/>
        <v>0</v>
      </c>
      <c r="D54" s="106">
        <f t="shared" ref="D54:AB54" si="16">+D36+D38+D40+D42+D44+D46+D48+D50+D52</f>
        <v>0</v>
      </c>
      <c r="E54" s="20">
        <v>0</v>
      </c>
      <c r="F54" s="20">
        <v>0</v>
      </c>
      <c r="G54" s="20">
        <f t="shared" si="16"/>
        <v>0</v>
      </c>
      <c r="H54" s="20">
        <f t="shared" si="16"/>
        <v>0</v>
      </c>
      <c r="I54" s="20">
        <f t="shared" si="16"/>
        <v>0</v>
      </c>
      <c r="J54" s="20">
        <f t="shared" si="16"/>
        <v>0</v>
      </c>
      <c r="K54" s="20">
        <f t="shared" si="16"/>
        <v>0</v>
      </c>
      <c r="L54" s="20">
        <f t="shared" si="16"/>
        <v>0</v>
      </c>
      <c r="M54" s="20">
        <f t="shared" si="16"/>
        <v>0</v>
      </c>
      <c r="N54" s="20">
        <f t="shared" si="16"/>
        <v>0</v>
      </c>
      <c r="O54" s="20">
        <f t="shared" si="16"/>
        <v>0</v>
      </c>
      <c r="P54" s="20">
        <f t="shared" si="16"/>
        <v>0</v>
      </c>
      <c r="Q54" s="20">
        <f t="shared" si="16"/>
        <v>0</v>
      </c>
      <c r="R54" s="20">
        <f t="shared" si="16"/>
        <v>0</v>
      </c>
      <c r="S54" s="20">
        <f t="shared" si="16"/>
        <v>0</v>
      </c>
      <c r="T54" s="20">
        <f t="shared" si="16"/>
        <v>0</v>
      </c>
      <c r="U54" s="20">
        <f t="shared" si="16"/>
        <v>0</v>
      </c>
      <c r="V54" s="20">
        <f t="shared" si="16"/>
        <v>0</v>
      </c>
      <c r="W54" s="20">
        <f t="shared" si="16"/>
        <v>0</v>
      </c>
      <c r="X54" s="20">
        <f t="shared" si="16"/>
        <v>0</v>
      </c>
      <c r="Y54" s="14">
        <f t="shared" si="16"/>
        <v>0</v>
      </c>
      <c r="Z54" s="14">
        <f t="shared" si="16"/>
        <v>0</v>
      </c>
      <c r="AA54" s="14">
        <f t="shared" si="16"/>
        <v>0</v>
      </c>
      <c r="AB54" s="14">
        <f t="shared" si="16"/>
        <v>0</v>
      </c>
      <c r="AC54" s="234"/>
      <c r="AD54" s="558"/>
      <c r="AE54" s="234"/>
      <c r="AF54" s="234"/>
      <c r="AG54" s="234"/>
      <c r="AH54" s="234"/>
      <c r="AI54" s="234"/>
      <c r="AJ54" s="234"/>
    </row>
    <row r="55" spans="1:36" s="486" customFormat="1" ht="27.75" customHeight="1">
      <c r="A55" s="484"/>
      <c r="B55" s="484" t="s">
        <v>670</v>
      </c>
      <c r="C55" s="484"/>
      <c r="D55" s="484"/>
      <c r="E55" s="484"/>
      <c r="F55" s="484"/>
      <c r="G55" s="484"/>
      <c r="H55" s="484"/>
      <c r="I55" s="484"/>
      <c r="J55" s="484"/>
      <c r="K55" s="484"/>
      <c r="L55" s="484"/>
      <c r="M55" s="484"/>
      <c r="N55" s="484"/>
      <c r="O55" s="484"/>
      <c r="P55" s="484"/>
      <c r="Q55" s="484"/>
      <c r="R55" s="484"/>
      <c r="S55" s="484"/>
      <c r="T55" s="484"/>
      <c r="U55" s="484"/>
      <c r="V55" s="484"/>
      <c r="W55" s="484"/>
      <c r="X55" s="484"/>
      <c r="Y55" s="484"/>
      <c r="Z55" s="484"/>
      <c r="AA55" s="484"/>
      <c r="AB55" s="484"/>
      <c r="AD55" s="558"/>
    </row>
    <row r="56" spans="1:36" s="15" customFormat="1" ht="7.5" customHeight="1">
      <c r="A56" s="14"/>
      <c r="B56" s="14"/>
      <c r="C56" s="14"/>
      <c r="D56" s="10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234"/>
      <c r="AD56" s="558"/>
      <c r="AE56" s="234"/>
      <c r="AF56" s="234"/>
      <c r="AG56" s="234"/>
      <c r="AH56" s="234"/>
      <c r="AI56" s="234"/>
      <c r="AJ56" s="234"/>
    </row>
    <row r="57" spans="1:36" s="15" customFormat="1" ht="21.75" customHeight="1">
      <c r="A57" s="329">
        <v>24</v>
      </c>
      <c r="B57" s="332" t="s">
        <v>671</v>
      </c>
      <c r="C57" s="463">
        <f t="shared" ref="C57:D73" si="17">E57+I57+M57+Q57+U57</f>
        <v>1932270015</v>
      </c>
      <c r="D57" s="461">
        <f t="shared" si="17"/>
        <v>857624905</v>
      </c>
      <c r="E57" s="464">
        <v>1874411554</v>
      </c>
      <c r="F57" s="462">
        <v>824920399</v>
      </c>
      <c r="G57" s="464">
        <v>11072659</v>
      </c>
      <c r="H57" s="462">
        <v>0</v>
      </c>
      <c r="I57" s="464">
        <v>43250729</v>
      </c>
      <c r="J57" s="462">
        <v>21635388</v>
      </c>
      <c r="K57" s="464">
        <v>4322768</v>
      </c>
      <c r="L57" s="462">
        <v>2163539</v>
      </c>
      <c r="M57" s="464">
        <v>2227600</v>
      </c>
      <c r="N57" s="462">
        <v>0</v>
      </c>
      <c r="O57" s="464">
        <v>556900</v>
      </c>
      <c r="P57" s="462">
        <v>0</v>
      </c>
      <c r="Q57" s="464">
        <v>12380132</v>
      </c>
      <c r="R57" s="462">
        <v>11069118</v>
      </c>
      <c r="S57" s="464">
        <v>6190066</v>
      </c>
      <c r="T57" s="462">
        <v>5534559</v>
      </c>
      <c r="U57" s="464">
        <v>0</v>
      </c>
      <c r="V57" s="462">
        <v>0</v>
      </c>
      <c r="W57" s="464">
        <v>0</v>
      </c>
      <c r="X57" s="462">
        <v>0</v>
      </c>
      <c r="Y57" s="148">
        <f>+W57+S57+O57+K57</f>
        <v>11069734</v>
      </c>
      <c r="Z57" s="461">
        <f>+X57+T57+P57+L57</f>
        <v>7698098</v>
      </c>
      <c r="AA57" s="17">
        <v>92665</v>
      </c>
      <c r="AB57" s="17">
        <v>297652</v>
      </c>
      <c r="AC57" s="234"/>
      <c r="AD57" s="558"/>
      <c r="AE57" s="234"/>
      <c r="AF57" s="234"/>
      <c r="AG57" s="234"/>
      <c r="AH57" s="234"/>
      <c r="AI57" s="234"/>
      <c r="AJ57" s="234"/>
    </row>
    <row r="58" spans="1:36" s="15" customFormat="1" ht="21.75" customHeight="1">
      <c r="A58" s="329">
        <v>25</v>
      </c>
      <c r="B58" s="332" t="s">
        <v>672</v>
      </c>
      <c r="C58" s="463">
        <f t="shared" si="17"/>
        <v>1624354054</v>
      </c>
      <c r="D58" s="461">
        <f t="shared" si="17"/>
        <v>1024737071</v>
      </c>
      <c r="E58" s="464">
        <v>1528489311</v>
      </c>
      <c r="F58" s="462">
        <v>979420203</v>
      </c>
      <c r="G58" s="464">
        <v>10254993</v>
      </c>
      <c r="H58" s="462">
        <v>0</v>
      </c>
      <c r="I58" s="464">
        <v>44728038</v>
      </c>
      <c r="J58" s="462">
        <v>7015679</v>
      </c>
      <c r="K58" s="464">
        <v>4472804</v>
      </c>
      <c r="L58" s="462">
        <v>701568</v>
      </c>
      <c r="M58" s="464">
        <v>4727552</v>
      </c>
      <c r="N58" s="462">
        <v>2539485</v>
      </c>
      <c r="O58" s="464">
        <v>1181888</v>
      </c>
      <c r="P58" s="462">
        <v>634871</v>
      </c>
      <c r="Q58" s="464">
        <v>46409153</v>
      </c>
      <c r="R58" s="462">
        <v>35761704</v>
      </c>
      <c r="S58" s="464">
        <v>23204576</v>
      </c>
      <c r="T58" s="462">
        <v>17880852</v>
      </c>
      <c r="U58" s="464">
        <v>0</v>
      </c>
      <c r="V58" s="462">
        <v>0</v>
      </c>
      <c r="W58" s="464">
        <v>0</v>
      </c>
      <c r="X58" s="462">
        <v>0</v>
      </c>
      <c r="Y58" s="148">
        <f t="shared" ref="Y58:Z70" si="18">+W58+S58+O58+K58</f>
        <v>28859268</v>
      </c>
      <c r="Z58" s="461">
        <f t="shared" si="18"/>
        <v>19217291</v>
      </c>
      <c r="AA58" s="17">
        <v>1523713</v>
      </c>
      <c r="AB58" s="17">
        <v>872098</v>
      </c>
      <c r="AC58" s="234"/>
      <c r="AD58" s="558"/>
      <c r="AE58" s="234"/>
      <c r="AF58" s="234"/>
      <c r="AG58" s="234"/>
      <c r="AH58" s="234"/>
      <c r="AI58" s="234"/>
      <c r="AJ58" s="234"/>
    </row>
    <row r="59" spans="1:36" s="15" customFormat="1" ht="21.75" customHeight="1">
      <c r="A59" s="329">
        <v>26</v>
      </c>
      <c r="B59" s="332" t="s">
        <v>673</v>
      </c>
      <c r="C59" s="463">
        <f t="shared" si="17"/>
        <v>1543780452</v>
      </c>
      <c r="D59" s="461">
        <f t="shared" si="17"/>
        <v>1043441361</v>
      </c>
      <c r="E59" s="464">
        <v>1230872943</v>
      </c>
      <c r="F59" s="462">
        <v>775653188</v>
      </c>
      <c r="G59" s="464">
        <v>11745891</v>
      </c>
      <c r="H59" s="462">
        <v>0</v>
      </c>
      <c r="I59" s="464">
        <v>146407337</v>
      </c>
      <c r="J59" s="462">
        <v>130296364</v>
      </c>
      <c r="K59" s="464">
        <v>14640734</v>
      </c>
      <c r="L59" s="462">
        <v>13029636</v>
      </c>
      <c r="M59" s="464">
        <v>71220860</v>
      </c>
      <c r="N59" s="462">
        <v>55655823</v>
      </c>
      <c r="O59" s="464">
        <v>17805215</v>
      </c>
      <c r="P59" s="462">
        <v>13913956</v>
      </c>
      <c r="Q59" s="464">
        <v>90240580</v>
      </c>
      <c r="R59" s="462">
        <v>77147253</v>
      </c>
      <c r="S59" s="464">
        <v>45120290</v>
      </c>
      <c r="T59" s="462">
        <v>38573627</v>
      </c>
      <c r="U59" s="464">
        <v>5038732</v>
      </c>
      <c r="V59" s="462">
        <v>4688733</v>
      </c>
      <c r="W59" s="464">
        <v>5038732</v>
      </c>
      <c r="X59" s="462">
        <v>4688733</v>
      </c>
      <c r="Y59" s="148">
        <f t="shared" si="18"/>
        <v>82604971</v>
      </c>
      <c r="Z59" s="461">
        <f t="shared" si="18"/>
        <v>70205952</v>
      </c>
      <c r="AA59" s="17">
        <v>30735961</v>
      </c>
      <c r="AB59" s="17">
        <v>3862733</v>
      </c>
      <c r="AC59" s="234"/>
      <c r="AD59" s="558"/>
      <c r="AE59" s="234"/>
      <c r="AF59" s="234"/>
      <c r="AG59" s="234"/>
      <c r="AH59" s="234"/>
      <c r="AI59" s="234"/>
      <c r="AJ59" s="234"/>
    </row>
    <row r="60" spans="1:36" s="15" customFormat="1" ht="21.75" customHeight="1">
      <c r="A60" s="329">
        <v>27</v>
      </c>
      <c r="B60" s="332" t="s">
        <v>674</v>
      </c>
      <c r="C60" s="463">
        <f t="shared" si="17"/>
        <v>1588226570</v>
      </c>
      <c r="D60" s="461">
        <f t="shared" si="17"/>
        <v>1189724174</v>
      </c>
      <c r="E60" s="464">
        <v>1570281102</v>
      </c>
      <c r="F60" s="462">
        <v>1176863602</v>
      </c>
      <c r="G60" s="464">
        <v>10609211</v>
      </c>
      <c r="H60" s="462">
        <v>0</v>
      </c>
      <c r="I60" s="464">
        <v>10567813</v>
      </c>
      <c r="J60" s="462">
        <v>7482668</v>
      </c>
      <c r="K60" s="464">
        <v>1056781</v>
      </c>
      <c r="L60" s="462">
        <v>748267</v>
      </c>
      <c r="M60" s="464">
        <v>4615651</v>
      </c>
      <c r="N60" s="462">
        <v>3800341</v>
      </c>
      <c r="O60" s="464">
        <v>1153913</v>
      </c>
      <c r="P60" s="462">
        <v>950085</v>
      </c>
      <c r="Q60" s="464">
        <v>2762004</v>
      </c>
      <c r="R60" s="462">
        <v>1577563</v>
      </c>
      <c r="S60" s="464">
        <v>1381002</v>
      </c>
      <c r="T60" s="462">
        <v>788782</v>
      </c>
      <c r="U60" s="464">
        <v>0</v>
      </c>
      <c r="V60" s="462">
        <v>0</v>
      </c>
      <c r="W60" s="464">
        <v>0</v>
      </c>
      <c r="X60" s="462">
        <v>0</v>
      </c>
      <c r="Y60" s="148">
        <f t="shared" si="18"/>
        <v>3591696</v>
      </c>
      <c r="Z60" s="461">
        <f t="shared" si="18"/>
        <v>2487134</v>
      </c>
      <c r="AA60" s="17">
        <v>4830013</v>
      </c>
      <c r="AB60" s="17">
        <v>500961</v>
      </c>
      <c r="AC60" s="234"/>
      <c r="AD60" s="559"/>
      <c r="AE60" s="234"/>
      <c r="AF60" s="234"/>
      <c r="AG60" s="234"/>
      <c r="AH60" s="234"/>
      <c r="AI60" s="234"/>
      <c r="AJ60" s="234"/>
    </row>
    <row r="61" spans="1:36" s="15" customFormat="1" ht="21.75" customHeight="1">
      <c r="A61" s="329">
        <v>28</v>
      </c>
      <c r="B61" s="332" t="s">
        <v>675</v>
      </c>
      <c r="C61" s="463">
        <f t="shared" si="17"/>
        <v>1376806860</v>
      </c>
      <c r="D61" s="461">
        <f t="shared" si="17"/>
        <v>240268756</v>
      </c>
      <c r="E61" s="464">
        <v>1115866566</v>
      </c>
      <c r="F61" s="462">
        <v>218807565</v>
      </c>
      <c r="G61" s="464">
        <v>14498781</v>
      </c>
      <c r="H61" s="462">
        <v>0</v>
      </c>
      <c r="I61" s="464">
        <v>212723119</v>
      </c>
      <c r="J61" s="462">
        <v>15284814</v>
      </c>
      <c r="K61" s="464">
        <v>21502346</v>
      </c>
      <c r="L61" s="462">
        <v>1528481</v>
      </c>
      <c r="M61" s="464">
        <v>40705179</v>
      </c>
      <c r="N61" s="462">
        <v>158035</v>
      </c>
      <c r="O61" s="464">
        <v>10176295</v>
      </c>
      <c r="P61" s="462">
        <v>39509</v>
      </c>
      <c r="Q61" s="464">
        <v>7511996</v>
      </c>
      <c r="R61" s="462">
        <v>6018342</v>
      </c>
      <c r="S61" s="464">
        <v>3755998</v>
      </c>
      <c r="T61" s="462">
        <v>3009171</v>
      </c>
      <c r="U61" s="464">
        <v>0</v>
      </c>
      <c r="V61" s="462">
        <v>0</v>
      </c>
      <c r="W61" s="464">
        <v>0</v>
      </c>
      <c r="X61" s="462">
        <v>0</v>
      </c>
      <c r="Y61" s="148">
        <f t="shared" si="18"/>
        <v>35434639</v>
      </c>
      <c r="Z61" s="461">
        <f t="shared" si="18"/>
        <v>4577161</v>
      </c>
      <c r="AA61" s="17">
        <v>1650003</v>
      </c>
      <c r="AB61" s="17">
        <v>44421</v>
      </c>
      <c r="AC61" s="234"/>
      <c r="AD61" s="559"/>
      <c r="AE61" s="234"/>
      <c r="AF61" s="234"/>
      <c r="AG61" s="234"/>
      <c r="AH61" s="234"/>
      <c r="AI61" s="234"/>
      <c r="AJ61" s="234"/>
    </row>
    <row r="62" spans="1:36" s="15" customFormat="1" ht="21.75" customHeight="1">
      <c r="A62" s="329">
        <v>29</v>
      </c>
      <c r="B62" s="332" t="s">
        <v>676</v>
      </c>
      <c r="C62" s="463">
        <f t="shared" si="17"/>
        <v>1374148502</v>
      </c>
      <c r="D62" s="461">
        <f t="shared" si="17"/>
        <v>642939126</v>
      </c>
      <c r="E62" s="464">
        <v>1277764880</v>
      </c>
      <c r="F62" s="462">
        <v>595764381</v>
      </c>
      <c r="G62" s="464">
        <v>11790777</v>
      </c>
      <c r="H62" s="462">
        <v>0</v>
      </c>
      <c r="I62" s="464">
        <v>91358258</v>
      </c>
      <c r="J62" s="462">
        <v>47174745</v>
      </c>
      <c r="K62" s="464">
        <v>9135826</v>
      </c>
      <c r="L62" s="462">
        <v>4717475</v>
      </c>
      <c r="M62" s="464">
        <v>1675898</v>
      </c>
      <c r="N62" s="462">
        <v>0</v>
      </c>
      <c r="O62" s="464">
        <v>418975</v>
      </c>
      <c r="P62" s="462">
        <v>0</v>
      </c>
      <c r="Q62" s="464">
        <v>3349466</v>
      </c>
      <c r="R62" s="462">
        <v>0</v>
      </c>
      <c r="S62" s="464">
        <v>1674733</v>
      </c>
      <c r="T62" s="462">
        <v>0</v>
      </c>
      <c r="U62" s="464">
        <v>0</v>
      </c>
      <c r="V62" s="462">
        <v>0</v>
      </c>
      <c r="W62" s="464">
        <v>0</v>
      </c>
      <c r="X62" s="462">
        <v>0</v>
      </c>
      <c r="Y62" s="148">
        <f t="shared" si="18"/>
        <v>11229534</v>
      </c>
      <c r="Z62" s="461">
        <f t="shared" si="18"/>
        <v>4717475</v>
      </c>
      <c r="AA62" s="17">
        <v>0</v>
      </c>
      <c r="AB62" s="17">
        <v>13426</v>
      </c>
      <c r="AC62" s="234"/>
      <c r="AD62" s="559"/>
      <c r="AE62" s="234"/>
      <c r="AF62" s="234"/>
      <c r="AG62" s="234"/>
      <c r="AH62" s="234"/>
      <c r="AI62" s="234"/>
      <c r="AJ62" s="234"/>
    </row>
    <row r="63" spans="1:36" s="15" customFormat="1" ht="21.75" customHeight="1">
      <c r="A63" s="329">
        <v>30</v>
      </c>
      <c r="B63" s="332" t="s">
        <v>677</v>
      </c>
      <c r="C63" s="463">
        <f t="shared" si="17"/>
        <v>757090397</v>
      </c>
      <c r="D63" s="461">
        <f t="shared" si="17"/>
        <v>429761206</v>
      </c>
      <c r="E63" s="464">
        <v>587397636</v>
      </c>
      <c r="F63" s="462">
        <v>261323790</v>
      </c>
      <c r="G63" s="464">
        <v>4925718</v>
      </c>
      <c r="H63" s="462">
        <v>0</v>
      </c>
      <c r="I63" s="464">
        <v>165531267</v>
      </c>
      <c r="J63" s="462">
        <v>164275922</v>
      </c>
      <c r="K63" s="464">
        <v>16553127</v>
      </c>
      <c r="L63" s="462">
        <v>16427592</v>
      </c>
      <c r="M63" s="464">
        <v>3838715</v>
      </c>
      <c r="N63" s="462">
        <v>3838715</v>
      </c>
      <c r="O63" s="464">
        <v>959679</v>
      </c>
      <c r="P63" s="462">
        <v>959679</v>
      </c>
      <c r="Q63" s="464">
        <v>322779</v>
      </c>
      <c r="R63" s="462">
        <v>322779</v>
      </c>
      <c r="S63" s="464">
        <v>161389</v>
      </c>
      <c r="T63" s="462">
        <v>161389</v>
      </c>
      <c r="U63" s="464">
        <v>0</v>
      </c>
      <c r="V63" s="462">
        <v>0</v>
      </c>
      <c r="W63" s="464">
        <v>0</v>
      </c>
      <c r="X63" s="462">
        <v>0</v>
      </c>
      <c r="Y63" s="148">
        <f t="shared" si="18"/>
        <v>17674195</v>
      </c>
      <c r="Z63" s="461">
        <f t="shared" si="18"/>
        <v>17548660</v>
      </c>
      <c r="AA63" s="17">
        <v>13277367</v>
      </c>
      <c r="AB63" s="17">
        <v>427677</v>
      </c>
      <c r="AC63" s="234"/>
      <c r="AD63" s="559"/>
      <c r="AE63" s="234"/>
      <c r="AF63" s="234"/>
      <c r="AG63" s="234"/>
      <c r="AH63" s="234"/>
      <c r="AI63" s="234"/>
      <c r="AJ63" s="234"/>
    </row>
    <row r="64" spans="1:36" s="15" customFormat="1" ht="21.75" customHeight="1">
      <c r="A64" s="329">
        <v>31</v>
      </c>
      <c r="B64" s="332" t="s">
        <v>678</v>
      </c>
      <c r="C64" s="463">
        <f t="shared" si="17"/>
        <v>2420982190</v>
      </c>
      <c r="D64" s="461">
        <f t="shared" si="17"/>
        <v>1648522478</v>
      </c>
      <c r="E64" s="464">
        <v>2264138921</v>
      </c>
      <c r="F64" s="462">
        <v>1518504487</v>
      </c>
      <c r="G64" s="464">
        <v>12742160</v>
      </c>
      <c r="H64" s="462">
        <v>0</v>
      </c>
      <c r="I64" s="464">
        <v>108600204</v>
      </c>
      <c r="J64" s="462">
        <v>96351118</v>
      </c>
      <c r="K64" s="464">
        <v>10860020</v>
      </c>
      <c r="L64" s="462">
        <v>9635112</v>
      </c>
      <c r="M64" s="464">
        <v>18060682</v>
      </c>
      <c r="N64" s="462">
        <v>15799240</v>
      </c>
      <c r="O64" s="464">
        <v>4515171</v>
      </c>
      <c r="P64" s="462">
        <v>3949810</v>
      </c>
      <c r="Q64" s="464">
        <v>7981783</v>
      </c>
      <c r="R64" s="462">
        <v>7899141</v>
      </c>
      <c r="S64" s="464">
        <v>3990891</v>
      </c>
      <c r="T64" s="462">
        <v>3949570</v>
      </c>
      <c r="U64" s="464">
        <v>22200600</v>
      </c>
      <c r="V64" s="462">
        <v>9968492</v>
      </c>
      <c r="W64" s="464">
        <v>22200600</v>
      </c>
      <c r="X64" s="462">
        <v>9968492</v>
      </c>
      <c r="Y64" s="148">
        <f t="shared" si="18"/>
        <v>41566682</v>
      </c>
      <c r="Z64" s="461">
        <f t="shared" si="18"/>
        <v>27502984</v>
      </c>
      <c r="AA64" s="17">
        <v>155244</v>
      </c>
      <c r="AB64" s="17">
        <v>6345</v>
      </c>
      <c r="AC64" s="234"/>
      <c r="AD64" s="559"/>
      <c r="AE64" s="234"/>
      <c r="AF64" s="234"/>
      <c r="AG64" s="234"/>
      <c r="AH64" s="234"/>
      <c r="AI64" s="234"/>
      <c r="AJ64" s="234"/>
    </row>
    <row r="65" spans="1:36" s="15" customFormat="1" ht="21.75" customHeight="1">
      <c r="A65" s="329">
        <v>32</v>
      </c>
      <c r="B65" s="332" t="s">
        <v>679</v>
      </c>
      <c r="C65" s="463">
        <f t="shared" si="17"/>
        <v>999816047</v>
      </c>
      <c r="D65" s="461">
        <f t="shared" si="17"/>
        <v>259963334</v>
      </c>
      <c r="E65" s="464">
        <v>792529739</v>
      </c>
      <c r="F65" s="462">
        <v>85767529</v>
      </c>
      <c r="G65" s="464">
        <v>5848868</v>
      </c>
      <c r="H65" s="462">
        <v>0</v>
      </c>
      <c r="I65" s="464">
        <v>92595748</v>
      </c>
      <c r="J65" s="462">
        <v>68026598</v>
      </c>
      <c r="K65" s="464">
        <v>9259575</v>
      </c>
      <c r="L65" s="462">
        <v>6802660</v>
      </c>
      <c r="M65" s="464">
        <v>8841301</v>
      </c>
      <c r="N65" s="462">
        <v>2718723</v>
      </c>
      <c r="O65" s="464">
        <v>2210325</v>
      </c>
      <c r="P65" s="462">
        <v>679681</v>
      </c>
      <c r="Q65" s="464">
        <v>105849259</v>
      </c>
      <c r="R65" s="462">
        <v>103450484</v>
      </c>
      <c r="S65" s="464">
        <v>52924630</v>
      </c>
      <c r="T65" s="462">
        <v>51725242</v>
      </c>
      <c r="U65" s="464">
        <v>0</v>
      </c>
      <c r="V65" s="462">
        <v>0</v>
      </c>
      <c r="W65" s="464">
        <v>0</v>
      </c>
      <c r="X65" s="462">
        <v>0</v>
      </c>
      <c r="Y65" s="148">
        <f t="shared" si="18"/>
        <v>64394530</v>
      </c>
      <c r="Z65" s="461">
        <f t="shared" si="18"/>
        <v>59207583</v>
      </c>
      <c r="AA65" s="17">
        <v>81517653</v>
      </c>
      <c r="AB65" s="17">
        <v>3909077</v>
      </c>
      <c r="AC65" s="234"/>
      <c r="AD65" s="559"/>
      <c r="AE65" s="234"/>
      <c r="AF65" s="234"/>
      <c r="AG65" s="234"/>
      <c r="AH65" s="234"/>
      <c r="AI65" s="234"/>
      <c r="AJ65" s="234"/>
    </row>
    <row r="66" spans="1:36" s="15" customFormat="1" ht="21.75" customHeight="1">
      <c r="A66" s="329">
        <v>33</v>
      </c>
      <c r="B66" s="332" t="s">
        <v>680</v>
      </c>
      <c r="C66" s="463">
        <f t="shared" si="17"/>
        <v>2265852466</v>
      </c>
      <c r="D66" s="461">
        <f t="shared" si="17"/>
        <v>1540817976</v>
      </c>
      <c r="E66" s="464">
        <v>610269867</v>
      </c>
      <c r="F66" s="462">
        <v>318117594</v>
      </c>
      <c r="G66" s="464">
        <v>18700461</v>
      </c>
      <c r="H66" s="462">
        <v>0</v>
      </c>
      <c r="I66" s="464">
        <v>1542004957</v>
      </c>
      <c r="J66" s="462">
        <v>1185870898</v>
      </c>
      <c r="K66" s="464">
        <v>154200496</v>
      </c>
      <c r="L66" s="462">
        <v>118587090</v>
      </c>
      <c r="M66" s="464">
        <v>75916115</v>
      </c>
      <c r="N66" s="462">
        <v>24677540</v>
      </c>
      <c r="O66" s="464">
        <v>18979029</v>
      </c>
      <c r="P66" s="462">
        <v>6169385</v>
      </c>
      <c r="Q66" s="464">
        <v>37661527</v>
      </c>
      <c r="R66" s="462">
        <v>12151944</v>
      </c>
      <c r="S66" s="464">
        <v>18830763</v>
      </c>
      <c r="T66" s="462">
        <v>6075972</v>
      </c>
      <c r="U66" s="464">
        <v>0</v>
      </c>
      <c r="V66" s="462">
        <v>0</v>
      </c>
      <c r="W66" s="464">
        <v>0</v>
      </c>
      <c r="X66" s="462">
        <v>0</v>
      </c>
      <c r="Y66" s="148">
        <f t="shared" si="18"/>
        <v>192010288</v>
      </c>
      <c r="Z66" s="461">
        <f t="shared" si="18"/>
        <v>130832447</v>
      </c>
      <c r="AA66" s="17">
        <v>25708968</v>
      </c>
      <c r="AB66" s="17">
        <v>32193</v>
      </c>
      <c r="AC66" s="234"/>
      <c r="AD66" s="559"/>
      <c r="AE66" s="234"/>
      <c r="AF66" s="234"/>
      <c r="AG66" s="234"/>
      <c r="AH66" s="234"/>
      <c r="AI66" s="234"/>
      <c r="AJ66" s="234"/>
    </row>
    <row r="67" spans="1:36" s="15" customFormat="1" ht="21.75" customHeight="1">
      <c r="A67" s="329">
        <v>34</v>
      </c>
      <c r="B67" s="332" t="s">
        <v>681</v>
      </c>
      <c r="C67" s="463">
        <f>E67+I67+M67+Q67+U67</f>
        <v>32506091616</v>
      </c>
      <c r="D67" s="461">
        <f t="shared" si="17"/>
        <v>23667576837</v>
      </c>
      <c r="E67" s="464">
        <v>28730287318</v>
      </c>
      <c r="F67" s="462">
        <v>21164359918</v>
      </c>
      <c r="G67" s="464">
        <v>349522662</v>
      </c>
      <c r="H67" s="462">
        <v>0</v>
      </c>
      <c r="I67" s="464">
        <v>3338153844</v>
      </c>
      <c r="J67" s="462">
        <v>2241537435</v>
      </c>
      <c r="K67" s="464">
        <v>324462027</v>
      </c>
      <c r="L67" s="462">
        <v>214799974</v>
      </c>
      <c r="M67" s="464">
        <v>187359052</v>
      </c>
      <c r="N67" s="462">
        <v>84699946</v>
      </c>
      <c r="O67" s="464">
        <v>46839761</v>
      </c>
      <c r="P67" s="462">
        <v>21174987</v>
      </c>
      <c r="Q67" s="464">
        <v>250291402</v>
      </c>
      <c r="R67" s="462">
        <v>176979538</v>
      </c>
      <c r="S67" s="464">
        <v>125145703</v>
      </c>
      <c r="T67" s="462">
        <v>88489770</v>
      </c>
      <c r="U67" s="464">
        <v>0</v>
      </c>
      <c r="V67" s="462">
        <v>0</v>
      </c>
      <c r="W67" s="464">
        <v>0</v>
      </c>
      <c r="X67" s="462">
        <v>0</v>
      </c>
      <c r="Y67" s="148">
        <f>+W67+S67+O67+K67</f>
        <v>496447491</v>
      </c>
      <c r="Z67" s="461">
        <f>+X67+T67+P67+L67</f>
        <v>324464731</v>
      </c>
      <c r="AA67" s="17">
        <v>106385984</v>
      </c>
      <c r="AB67" s="17">
        <v>3456641</v>
      </c>
      <c r="AC67" s="234"/>
      <c r="AD67" s="559"/>
      <c r="AE67" s="234"/>
      <c r="AF67" s="234"/>
      <c r="AG67" s="234"/>
      <c r="AH67" s="234"/>
      <c r="AI67" s="234"/>
      <c r="AJ67" s="234"/>
    </row>
    <row r="68" spans="1:36" s="15" customFormat="1" ht="21.75" customHeight="1">
      <c r="A68" s="329">
        <v>35</v>
      </c>
      <c r="B68" s="332" t="s">
        <v>682</v>
      </c>
      <c r="C68" s="463">
        <f t="shared" si="17"/>
        <v>3919137898</v>
      </c>
      <c r="D68" s="461">
        <f t="shared" si="17"/>
        <v>2325748995</v>
      </c>
      <c r="E68" s="464">
        <v>3667550057</v>
      </c>
      <c r="F68" s="462">
        <v>2140950655</v>
      </c>
      <c r="G68" s="464">
        <v>23872359</v>
      </c>
      <c r="H68" s="462">
        <v>0</v>
      </c>
      <c r="I68" s="464">
        <v>173763559</v>
      </c>
      <c r="J68" s="462">
        <v>140532042</v>
      </c>
      <c r="K68" s="464">
        <v>17376356</v>
      </c>
      <c r="L68" s="462">
        <v>14053204</v>
      </c>
      <c r="M68" s="464">
        <v>49304323</v>
      </c>
      <c r="N68" s="462">
        <v>43616456</v>
      </c>
      <c r="O68" s="464">
        <v>12326081</v>
      </c>
      <c r="P68" s="462">
        <v>10904114</v>
      </c>
      <c r="Q68" s="464">
        <v>28519959</v>
      </c>
      <c r="R68" s="462">
        <v>649842</v>
      </c>
      <c r="S68" s="464">
        <v>14259980</v>
      </c>
      <c r="T68" s="462">
        <v>324921</v>
      </c>
      <c r="U68" s="464">
        <v>0</v>
      </c>
      <c r="V68" s="462">
        <v>0</v>
      </c>
      <c r="W68" s="464">
        <v>0</v>
      </c>
      <c r="X68" s="462">
        <v>0</v>
      </c>
      <c r="Y68" s="148">
        <f t="shared" si="18"/>
        <v>43962417</v>
      </c>
      <c r="Z68" s="461">
        <f t="shared" si="18"/>
        <v>25282239</v>
      </c>
      <c r="AA68" s="17">
        <v>1048549</v>
      </c>
      <c r="AB68" s="17">
        <v>9497</v>
      </c>
      <c r="AC68" s="234"/>
      <c r="AD68" s="559"/>
      <c r="AE68" s="234"/>
      <c r="AF68" s="234"/>
      <c r="AG68" s="234"/>
      <c r="AH68" s="234"/>
      <c r="AI68" s="234"/>
      <c r="AJ68" s="234"/>
    </row>
    <row r="69" spans="1:36" s="15" customFormat="1" ht="21.75" customHeight="1">
      <c r="A69" s="329">
        <v>36</v>
      </c>
      <c r="B69" s="332" t="s">
        <v>683</v>
      </c>
      <c r="C69" s="463">
        <f t="shared" si="17"/>
        <v>3655295310</v>
      </c>
      <c r="D69" s="461">
        <f t="shared" si="17"/>
        <v>2382583097</v>
      </c>
      <c r="E69" s="464">
        <v>3410603475</v>
      </c>
      <c r="F69" s="462">
        <v>2219962984</v>
      </c>
      <c r="G69" s="464">
        <v>12354706</v>
      </c>
      <c r="H69" s="462">
        <v>0</v>
      </c>
      <c r="I69" s="464">
        <v>181125611</v>
      </c>
      <c r="J69" s="462">
        <v>124520249</v>
      </c>
      <c r="K69" s="464">
        <v>18112561</v>
      </c>
      <c r="L69" s="462">
        <v>12452025</v>
      </c>
      <c r="M69" s="464">
        <v>24425319</v>
      </c>
      <c r="N69" s="462">
        <v>17301357</v>
      </c>
      <c r="O69" s="464">
        <v>6106330</v>
      </c>
      <c r="P69" s="462">
        <v>4325339</v>
      </c>
      <c r="Q69" s="464">
        <v>39140905</v>
      </c>
      <c r="R69" s="462">
        <v>20798507</v>
      </c>
      <c r="S69" s="464">
        <v>19570453</v>
      </c>
      <c r="T69" s="462">
        <v>10399254</v>
      </c>
      <c r="U69" s="464">
        <v>0</v>
      </c>
      <c r="V69" s="462">
        <v>0</v>
      </c>
      <c r="W69" s="464">
        <v>0</v>
      </c>
      <c r="X69" s="462">
        <v>0</v>
      </c>
      <c r="Y69" s="148">
        <f t="shared" si="18"/>
        <v>43789344</v>
      </c>
      <c r="Z69" s="461">
        <f t="shared" si="18"/>
        <v>27176618</v>
      </c>
      <c r="AA69" s="17">
        <v>10064450</v>
      </c>
      <c r="AB69" s="17">
        <v>466231</v>
      </c>
      <c r="AC69" s="234"/>
      <c r="AD69" s="559"/>
      <c r="AE69" s="234"/>
      <c r="AF69" s="234"/>
      <c r="AG69" s="234"/>
      <c r="AH69" s="234"/>
      <c r="AI69" s="234"/>
      <c r="AJ69" s="234"/>
    </row>
    <row r="70" spans="1:36" s="15" customFormat="1" ht="21.75" customHeight="1">
      <c r="A70" s="329">
        <v>37</v>
      </c>
      <c r="B70" s="332" t="s">
        <v>684</v>
      </c>
      <c r="C70" s="463">
        <f t="shared" si="17"/>
        <v>1160551535</v>
      </c>
      <c r="D70" s="461">
        <f t="shared" si="17"/>
        <v>759251326</v>
      </c>
      <c r="E70" s="464">
        <v>888287892</v>
      </c>
      <c r="F70" s="462">
        <v>619471000</v>
      </c>
      <c r="G70" s="464">
        <v>7014727</v>
      </c>
      <c r="H70" s="462">
        <v>0</v>
      </c>
      <c r="I70" s="464">
        <v>141666238</v>
      </c>
      <c r="J70" s="462">
        <v>39649655</v>
      </c>
      <c r="K70" s="464">
        <v>14166624</v>
      </c>
      <c r="L70" s="462">
        <v>3964966</v>
      </c>
      <c r="M70" s="464">
        <v>13086240</v>
      </c>
      <c r="N70" s="462">
        <v>8332774</v>
      </c>
      <c r="O70" s="464">
        <v>3271571</v>
      </c>
      <c r="P70" s="462">
        <v>2083194</v>
      </c>
      <c r="Q70" s="464">
        <v>117511165</v>
      </c>
      <c r="R70" s="462">
        <v>91797897</v>
      </c>
      <c r="S70" s="464">
        <v>58755583</v>
      </c>
      <c r="T70" s="462">
        <v>45898949</v>
      </c>
      <c r="U70" s="464">
        <v>0</v>
      </c>
      <c r="V70" s="462">
        <v>0</v>
      </c>
      <c r="W70" s="464">
        <v>0</v>
      </c>
      <c r="X70" s="462">
        <v>0</v>
      </c>
      <c r="Y70" s="148">
        <f t="shared" si="18"/>
        <v>76193778</v>
      </c>
      <c r="Z70" s="461">
        <f t="shared" si="18"/>
        <v>51947109</v>
      </c>
      <c r="AA70" s="17">
        <v>17761529</v>
      </c>
      <c r="AB70" s="17">
        <v>2710360</v>
      </c>
      <c r="AC70" s="234"/>
      <c r="AD70" s="559"/>
      <c r="AE70" s="234"/>
      <c r="AF70" s="234"/>
      <c r="AG70" s="234"/>
      <c r="AH70" s="234"/>
      <c r="AI70" s="234"/>
      <c r="AJ70" s="234"/>
    </row>
    <row r="71" spans="1:36" s="486" customFormat="1" ht="28.5" customHeight="1">
      <c r="A71" s="484">
        <v>38</v>
      </c>
      <c r="B71" s="484" t="s">
        <v>668</v>
      </c>
      <c r="C71" s="484">
        <f t="shared" ref="C71:AB71" si="19">SUM(C57:C70)</f>
        <v>57124403912</v>
      </c>
      <c r="D71" s="484">
        <f t="shared" si="19"/>
        <v>38012960642</v>
      </c>
      <c r="E71" s="484">
        <f t="shared" si="19"/>
        <v>49548751261</v>
      </c>
      <c r="F71" s="484">
        <f t="shared" si="19"/>
        <v>32899887295</v>
      </c>
      <c r="G71" s="484">
        <f t="shared" si="19"/>
        <v>504953973</v>
      </c>
      <c r="H71" s="484">
        <f t="shared" si="19"/>
        <v>0</v>
      </c>
      <c r="I71" s="484">
        <f t="shared" si="19"/>
        <v>6292476722</v>
      </c>
      <c r="J71" s="484">
        <f t="shared" si="19"/>
        <v>4289653575</v>
      </c>
      <c r="K71" s="484">
        <f t="shared" si="19"/>
        <v>620122045</v>
      </c>
      <c r="L71" s="484">
        <f t="shared" si="19"/>
        <v>419611589</v>
      </c>
      <c r="M71" s="484">
        <f t="shared" si="19"/>
        <v>506004487</v>
      </c>
      <c r="N71" s="484">
        <f t="shared" si="19"/>
        <v>263138435</v>
      </c>
      <c r="O71" s="484">
        <f t="shared" si="19"/>
        <v>126501133</v>
      </c>
      <c r="P71" s="484">
        <f t="shared" si="19"/>
        <v>65784610</v>
      </c>
      <c r="Q71" s="484">
        <f t="shared" si="19"/>
        <v>749932110</v>
      </c>
      <c r="R71" s="484">
        <f t="shared" si="19"/>
        <v>545624112</v>
      </c>
      <c r="S71" s="484">
        <f t="shared" si="19"/>
        <v>374966057</v>
      </c>
      <c r="T71" s="484">
        <f t="shared" si="19"/>
        <v>272812058</v>
      </c>
      <c r="U71" s="484">
        <f t="shared" si="19"/>
        <v>27239332</v>
      </c>
      <c r="V71" s="484">
        <f t="shared" si="19"/>
        <v>14657225</v>
      </c>
      <c r="W71" s="484">
        <f t="shared" si="19"/>
        <v>27239332</v>
      </c>
      <c r="X71" s="484">
        <f t="shared" si="19"/>
        <v>14657225</v>
      </c>
      <c r="Y71" s="484">
        <f t="shared" si="19"/>
        <v>1148828567</v>
      </c>
      <c r="Z71" s="484">
        <f t="shared" si="19"/>
        <v>772865482</v>
      </c>
      <c r="AA71" s="484">
        <f t="shared" si="19"/>
        <v>294752099</v>
      </c>
      <c r="AB71" s="484">
        <f t="shared" si="19"/>
        <v>16609312</v>
      </c>
      <c r="AC71" s="485">
        <f>+'Loans Receivable'!C85</f>
        <v>57124403912</v>
      </c>
      <c r="AD71" s="558">
        <f>+C71-AC71</f>
        <v>0</v>
      </c>
    </row>
    <row r="72" spans="1:36" s="15" customFormat="1" ht="21.75" customHeight="1">
      <c r="A72" s="329">
        <v>39</v>
      </c>
      <c r="B72" s="332" t="s">
        <v>685</v>
      </c>
      <c r="C72" s="463">
        <f t="shared" ref="C72" si="20">E72+I72+M72+Q72+U72</f>
        <v>14832384791</v>
      </c>
      <c r="D72" s="461">
        <f t="shared" si="17"/>
        <v>0</v>
      </c>
      <c r="E72" s="464">
        <f>'Asset quality'!D12+'Asset quality'!D17+'Asset quality'!D47+'Asset quality'!D48+'Asset quality'!D49+'Asset quality'!D50+'Asset quality'!D53+'Asset quality'!D54+'Asset quality'!D58+'Asset quality'!D60+'Asset quality'!D62</f>
        <v>13100409935</v>
      </c>
      <c r="F72" s="462"/>
      <c r="G72" s="464">
        <f>'Asset quality'!P12+'Asset quality'!P17+'Asset quality'!P47+'Asset quality'!P48+'Asset quality'!P49+'Asset quality'!P50+'Asset quality'!P53+'Asset quality'!P54+'Asset quality'!P58+'Asset quality'!P60+'Asset quality'!P62+9</f>
        <v>126313827</v>
      </c>
      <c r="H72" s="462"/>
      <c r="I72" s="464">
        <f>'Asset quality'!E12+'Asset quality'!E17+'Asset quality'!E47+'Asset quality'!E48+'Asset quality'!E49+'Asset quality'!E50+'Asset quality'!E53+'Asset quality'!E54+'Asset quality'!E58+'Asset quality'!E60+'Asset quality'!E62</f>
        <v>892260841</v>
      </c>
      <c r="J72" s="462"/>
      <c r="K72" s="464">
        <f>'Asset quality'!Q12+'Asset quality'!Q17+'Asset quality'!Q47+'Asset quality'!Q48+'Asset quality'!Q49+'Asset quality'!Q50+'Asset quality'!Q53+'Asset quality'!Q54+'Asset quality'!Q58+'Asset quality'!Q60+'Asset quality'!Q62</f>
        <v>175966885</v>
      </c>
      <c r="L72" s="462"/>
      <c r="M72" s="464">
        <f>'Asset quality'!F12+'Asset quality'!F17+'Asset quality'!F47+'Asset quality'!F48+'Asset quality'!F49+'Asset quality'!F50+'Asset quality'!F53+'Asset quality'!F54+'Asset quality'!F58+'Asset quality'!F60+'Asset quality'!F62</f>
        <v>91982157</v>
      </c>
      <c r="N72" s="462"/>
      <c r="O72" s="464">
        <f>'Asset quality'!R12+'Asset quality'!R17+'Asset quality'!R47+'Asset quality'!R48+'Asset quality'!R49+'Asset quality'!R50+'Asset quality'!R53+'Asset quality'!R54+'Asset quality'!R58+'Asset quality'!R60+'Asset quality'!R62</f>
        <v>1287411</v>
      </c>
      <c r="P72" s="462"/>
      <c r="Q72" s="464">
        <f>'Asset quality'!G12+'Asset quality'!G17+'Asset quality'!G47+'Asset quality'!G48+'Asset quality'!G49+'Asset quality'!G50+'Asset quality'!G53+'Asset quality'!G54+'Asset quality'!G58+'Asset quality'!G60+'Asset quality'!G62</f>
        <v>174183476</v>
      </c>
      <c r="R72" s="462"/>
      <c r="S72" s="464">
        <f>'Asset quality'!S12+'Asset quality'!S17+'Asset quality'!S47+'Asset quality'!S48+'Asset quality'!S49+'Asset quality'!S50+'Asset quality'!S53+'Asset quality'!S54+'Asset quality'!S58+'Asset quality'!S60+'Asset quality'!S62</f>
        <v>7397831</v>
      </c>
      <c r="T72" s="462"/>
      <c r="U72" s="464">
        <f>'Asset quality'!H12+'Asset quality'!H17+'Asset quality'!H47+'Asset quality'!H48+'Asset quality'!H49+'Asset quality'!H50+'Asset quality'!H53+'Asset quality'!H54+'Asset quality'!H58+'Asset quality'!H60+'Asset quality'!H62</f>
        <v>573548382</v>
      </c>
      <c r="V72" s="462"/>
      <c r="W72" s="464">
        <f>'Asset quality'!T12+'Asset quality'!T17+'Asset quality'!T47+'Asset quality'!T48+'Asset quality'!T49+'Asset quality'!T50+'Asset quality'!T53+'Asset quality'!T54+'Asset quality'!T58+'Asset quality'!T60+'Asset quality'!T62</f>
        <v>277037073</v>
      </c>
      <c r="X72" s="462"/>
      <c r="Y72" s="148">
        <f t="shared" ref="Y72:Z72" si="21">+W72+S72+O72+K72</f>
        <v>461689200</v>
      </c>
      <c r="Z72" s="461">
        <f t="shared" si="21"/>
        <v>0</v>
      </c>
      <c r="AA72" s="17"/>
      <c r="AB72" s="17"/>
      <c r="AC72" s="234"/>
      <c r="AD72" s="559"/>
      <c r="AE72" s="234"/>
      <c r="AF72" s="234"/>
      <c r="AG72" s="234"/>
      <c r="AH72" s="234"/>
      <c r="AI72" s="234"/>
      <c r="AJ72" s="234"/>
    </row>
    <row r="73" spans="1:36" s="15" customFormat="1" ht="21.75" customHeight="1">
      <c r="A73" s="329"/>
      <c r="B73" s="332" t="s">
        <v>660</v>
      </c>
      <c r="C73" s="463">
        <f t="shared" ref="C73" si="22">E73+I73+M73+Q73+U73</f>
        <v>0</v>
      </c>
      <c r="D73" s="461">
        <f t="shared" si="17"/>
        <v>0</v>
      </c>
      <c r="E73" s="464"/>
      <c r="F73" s="462"/>
      <c r="G73" s="464"/>
      <c r="H73" s="462"/>
      <c r="I73" s="464"/>
      <c r="J73" s="462"/>
      <c r="K73" s="464"/>
      <c r="L73" s="462"/>
      <c r="M73" s="464"/>
      <c r="N73" s="462"/>
      <c r="O73" s="464"/>
      <c r="P73" s="462"/>
      <c r="Q73" s="464"/>
      <c r="R73" s="462"/>
      <c r="S73" s="464"/>
      <c r="T73" s="462"/>
      <c r="U73" s="464"/>
      <c r="V73" s="462"/>
      <c r="W73" s="464"/>
      <c r="X73" s="462"/>
      <c r="Y73" s="148">
        <f t="shared" ref="Y73" si="23">+W73+S73+O73+K73</f>
        <v>0</v>
      </c>
      <c r="Z73" s="461">
        <f t="shared" ref="Z73" si="24">+X73+T73+P73+L73</f>
        <v>0</v>
      </c>
      <c r="AA73" s="17"/>
      <c r="AB73" s="17"/>
      <c r="AC73" s="234"/>
      <c r="AD73" s="559"/>
      <c r="AE73" s="234"/>
      <c r="AF73" s="234"/>
      <c r="AG73" s="234"/>
      <c r="AH73" s="234"/>
      <c r="AI73" s="234"/>
      <c r="AJ73" s="234"/>
    </row>
    <row r="74" spans="1:36" s="486" customFormat="1" ht="28.5" customHeight="1">
      <c r="A74" s="484">
        <v>40</v>
      </c>
      <c r="B74" s="484" t="s">
        <v>686</v>
      </c>
      <c r="C74" s="484">
        <f t="shared" ref="C74:AB74" si="25">+C53+C72</f>
        <v>71956788703</v>
      </c>
      <c r="D74" s="484">
        <f t="shared" si="25"/>
        <v>38012960642</v>
      </c>
      <c r="E74" s="484">
        <f t="shared" si="25"/>
        <v>62649161196</v>
      </c>
      <c r="F74" s="484">
        <f t="shared" si="25"/>
        <v>32899887295</v>
      </c>
      <c r="G74" s="484">
        <f>+G53+G72</f>
        <v>631267800</v>
      </c>
      <c r="H74" s="484">
        <f>+H53+H72</f>
        <v>0</v>
      </c>
      <c r="I74" s="484">
        <f t="shared" si="25"/>
        <v>7184737563</v>
      </c>
      <c r="J74" s="484">
        <f t="shared" si="25"/>
        <v>4289653575</v>
      </c>
      <c r="K74" s="484">
        <f t="shared" si="25"/>
        <v>796088930</v>
      </c>
      <c r="L74" s="484">
        <f t="shared" si="25"/>
        <v>419611589</v>
      </c>
      <c r="M74" s="484">
        <f t="shared" si="25"/>
        <v>597986644</v>
      </c>
      <c r="N74" s="484">
        <f t="shared" si="25"/>
        <v>263138435</v>
      </c>
      <c r="O74" s="484">
        <f t="shared" si="25"/>
        <v>127788544</v>
      </c>
      <c r="P74" s="484">
        <f t="shared" si="25"/>
        <v>65784610</v>
      </c>
      <c r="Q74" s="484">
        <f t="shared" si="25"/>
        <v>924115586</v>
      </c>
      <c r="R74" s="484">
        <f t="shared" si="25"/>
        <v>545624112</v>
      </c>
      <c r="S74" s="484">
        <f t="shared" si="25"/>
        <v>382363888</v>
      </c>
      <c r="T74" s="484">
        <f t="shared" si="25"/>
        <v>272812058</v>
      </c>
      <c r="U74" s="484">
        <f t="shared" si="25"/>
        <v>600787714</v>
      </c>
      <c r="V74" s="484">
        <f t="shared" si="25"/>
        <v>14657225</v>
      </c>
      <c r="W74" s="484">
        <f t="shared" si="25"/>
        <v>304276405</v>
      </c>
      <c r="X74" s="484">
        <f t="shared" si="25"/>
        <v>14657225</v>
      </c>
      <c r="Y74" s="484">
        <f t="shared" si="25"/>
        <v>1610517767</v>
      </c>
      <c r="Z74" s="484">
        <f t="shared" si="25"/>
        <v>772865482</v>
      </c>
      <c r="AA74" s="484">
        <f t="shared" si="25"/>
        <v>294752099</v>
      </c>
      <c r="AB74" s="484">
        <f t="shared" si="25"/>
        <v>16609312</v>
      </c>
      <c r="AD74" s="558"/>
    </row>
    <row r="75" spans="1:36" ht="18">
      <c r="AD75" s="560"/>
    </row>
    <row r="76" spans="1:36" ht="15" customHeight="1">
      <c r="B76" s="201" t="s">
        <v>778</v>
      </c>
      <c r="F76" s="183"/>
      <c r="G76" s="183"/>
      <c r="H76" s="183"/>
      <c r="I76" s="183"/>
      <c r="J76" s="183"/>
      <c r="K76" s="183"/>
      <c r="L76" s="183"/>
      <c r="M76" s="183"/>
      <c r="AC76" s="30"/>
      <c r="AD76" s="561"/>
      <c r="AE76" s="30"/>
      <c r="AF76" s="30"/>
      <c r="AG76" s="30"/>
      <c r="AH76" s="30"/>
      <c r="AI76" s="30"/>
      <c r="AJ76" s="30"/>
    </row>
    <row r="77" spans="1:36" ht="11.25" customHeight="1">
      <c r="B77" s="201"/>
      <c r="F77" s="183"/>
      <c r="G77" s="183"/>
      <c r="H77" s="183"/>
      <c r="I77" s="183"/>
      <c r="J77" s="183"/>
      <c r="K77" s="183"/>
      <c r="L77" s="183"/>
      <c r="M77" s="183"/>
      <c r="AC77" s="30"/>
      <c r="AD77" s="561"/>
      <c r="AE77" s="30"/>
      <c r="AF77" s="30"/>
      <c r="AG77" s="30"/>
      <c r="AH77" s="30"/>
      <c r="AI77" s="30"/>
      <c r="AJ77" s="30"/>
    </row>
    <row r="78" spans="1:36" ht="15" customHeight="1">
      <c r="B78" s="201" t="s">
        <v>779</v>
      </c>
      <c r="F78" s="183"/>
      <c r="G78" s="183"/>
      <c r="H78" s="183"/>
      <c r="I78" s="183"/>
      <c r="J78" s="183"/>
      <c r="K78" s="183"/>
      <c r="L78" s="183"/>
      <c r="M78" s="183"/>
      <c r="AC78" s="30"/>
      <c r="AD78" s="561"/>
      <c r="AE78" s="30"/>
      <c r="AF78" s="30"/>
      <c r="AG78" s="30"/>
      <c r="AH78" s="30"/>
      <c r="AI78" s="30"/>
      <c r="AJ78" s="30"/>
    </row>
    <row r="79" spans="1:36" ht="18">
      <c r="B79" s="201"/>
      <c r="AD79" s="560"/>
    </row>
    <row r="80" spans="1:36" ht="18">
      <c r="E80" s="224">
        <f>SUM('Asset quality'!D20:D46)+'Asset quality'!D16</f>
        <v>49548751261</v>
      </c>
      <c r="F80" s="224"/>
      <c r="G80" s="224">
        <f>SUM('Asset quality'!P20:P46)+'Asset quality'!P16</f>
        <v>504953973</v>
      </c>
      <c r="H80" s="224"/>
      <c r="I80" s="224">
        <f>SUM('Asset quality'!E20:E46)+'Asset quality'!E16</f>
        <v>6292476722</v>
      </c>
      <c r="K80" s="224">
        <f>SUM('Asset quality'!Q20:Q46)+'Asset quality'!Q16</f>
        <v>620122045</v>
      </c>
      <c r="L80" s="224"/>
      <c r="M80" s="224">
        <f>SUM('Asset quality'!F20:F46)+'Asset quality'!F16</f>
        <v>506004487</v>
      </c>
      <c r="O80" s="224">
        <f>SUM('Asset quality'!R20:R46)+'Asset quality'!R16</f>
        <v>126501133</v>
      </c>
      <c r="P80" s="224"/>
      <c r="Q80" s="224">
        <f>SUM('Asset quality'!G20:G46)+'Asset quality'!G16</f>
        <v>749932110</v>
      </c>
      <c r="S80" s="224">
        <f>SUM('Asset quality'!S20:S46)+'Asset quality'!S16</f>
        <v>374966057</v>
      </c>
      <c r="T80" s="224"/>
      <c r="U80" s="224">
        <f>SUM('Asset quality'!H20:H46)+'Asset quality'!H16</f>
        <v>27239332</v>
      </c>
      <c r="W80" s="224">
        <f>SUM('Asset quality'!T20:T46)+'Asset quality'!T16</f>
        <v>27239332</v>
      </c>
      <c r="Y80" s="224">
        <f>+W80+S80+O80+K80</f>
        <v>1148828567</v>
      </c>
      <c r="AD80" s="560"/>
    </row>
    <row r="81" spans="5:36" ht="18">
      <c r="E81" s="224"/>
      <c r="G81" s="224">
        <f>+'Asset quality'!P9+'Asset quality'!P62</f>
        <v>631267800</v>
      </c>
      <c r="I81" s="224"/>
      <c r="K81" s="224">
        <f>+'Asset quality'!Q9+'Asset quality'!Q62</f>
        <v>796088930</v>
      </c>
      <c r="M81" s="224"/>
      <c r="O81" s="224">
        <f>+'Asset quality'!R9+'Asset quality'!R62</f>
        <v>127788544</v>
      </c>
      <c r="S81" s="224">
        <f>+'Asset quality'!S9+'Asset quality'!S62</f>
        <v>382363888</v>
      </c>
      <c r="U81" s="224"/>
      <c r="W81" s="224">
        <f>+'Asset quality'!T9+'Asset quality'!T62</f>
        <v>304276405</v>
      </c>
      <c r="Y81" s="224">
        <f>+W81+S81+O81+K81</f>
        <v>1610517767</v>
      </c>
      <c r="AD81" s="560"/>
    </row>
    <row r="82" spans="5:36">
      <c r="E82" s="334">
        <f>+E80-E53</f>
        <v>0</v>
      </c>
      <c r="F82" s="334"/>
      <c r="G82" s="334">
        <f>+G80-G53</f>
        <v>0</v>
      </c>
      <c r="I82" s="334">
        <f>+I80-I53</f>
        <v>0</v>
      </c>
      <c r="K82" s="334">
        <f>+K80-K53</f>
        <v>0</v>
      </c>
      <c r="M82" s="334">
        <f>+M80-M53</f>
        <v>0</v>
      </c>
      <c r="O82" s="334">
        <f>+O80-O53</f>
        <v>0</v>
      </c>
      <c r="Q82" s="334">
        <f>+Q80-Q53</f>
        <v>0</v>
      </c>
      <c r="S82" s="334">
        <f>+S80-S53</f>
        <v>0</v>
      </c>
      <c r="U82" s="334">
        <f>+U80-U53</f>
        <v>0</v>
      </c>
      <c r="W82" s="334">
        <f>+W80-W53</f>
        <v>0</v>
      </c>
      <c r="Y82" s="334">
        <f>+Y80-Y53</f>
        <v>0</v>
      </c>
    </row>
    <row r="83" spans="5:36">
      <c r="E83" s="335"/>
      <c r="F83" s="334"/>
      <c r="G83" s="479">
        <f>+G81-G74</f>
        <v>0</v>
      </c>
      <c r="I83" s="334"/>
      <c r="K83" s="334">
        <f>+K81-K74</f>
        <v>0</v>
      </c>
      <c r="M83" s="334"/>
      <c r="O83" s="334">
        <f>+O81-O74</f>
        <v>0</v>
      </c>
      <c r="Q83" s="334"/>
      <c r="S83" s="334">
        <f>+S81-S74</f>
        <v>0</v>
      </c>
      <c r="U83" s="334"/>
      <c r="W83" s="334">
        <f>+W81-W74</f>
        <v>0</v>
      </c>
      <c r="Y83" s="334">
        <f>+Y81-Y74</f>
        <v>0</v>
      </c>
    </row>
    <row r="84" spans="5:36">
      <c r="AC84" s="30"/>
      <c r="AD84" s="30"/>
      <c r="AE84" s="30"/>
      <c r="AF84" s="30"/>
      <c r="AG84" s="30"/>
      <c r="AH84" s="30"/>
      <c r="AI84" s="30"/>
      <c r="AJ84" s="30"/>
    </row>
    <row r="87" spans="5:36" ht="79.5" customHeight="1"/>
  </sheetData>
  <sheetProtection password="CACA" sheet="1" objects="1" scenarios="1"/>
  <mergeCells count="1">
    <mergeCell ref="U3:V3"/>
  </mergeCells>
  <phoneticPr fontId="15" type="noConversion"/>
  <conditionalFormatting sqref="C7">
    <cfRule type="cellIs" dxfId="223" priority="40" operator="notEqual">
      <formula>AC7</formula>
    </cfRule>
  </conditionalFormatting>
  <conditionalFormatting sqref="C9">
    <cfRule type="cellIs" dxfId="222" priority="38" operator="notEqual">
      <formula>AC9</formula>
    </cfRule>
  </conditionalFormatting>
  <conditionalFormatting sqref="C11">
    <cfRule type="cellIs" dxfId="221" priority="36" operator="notEqual">
      <formula>AC11</formula>
    </cfRule>
  </conditionalFormatting>
  <conditionalFormatting sqref="C13">
    <cfRule type="cellIs" dxfId="220" priority="34" operator="notEqual">
      <formula>AC13</formula>
    </cfRule>
  </conditionalFormatting>
  <conditionalFormatting sqref="C15">
    <cfRule type="cellIs" dxfId="219" priority="32" operator="notEqual">
      <formula>AC15</formula>
    </cfRule>
  </conditionalFormatting>
  <conditionalFormatting sqref="C17">
    <cfRule type="cellIs" dxfId="218" priority="30" operator="notEqual">
      <formula>AC17</formula>
    </cfRule>
  </conditionalFormatting>
  <conditionalFormatting sqref="C19">
    <cfRule type="cellIs" dxfId="217" priority="28" operator="notEqual">
      <formula>AC19</formula>
    </cfRule>
  </conditionalFormatting>
  <conditionalFormatting sqref="C21">
    <cfRule type="cellIs" dxfId="216" priority="26" operator="notEqual">
      <formula>AC21</formula>
    </cfRule>
  </conditionalFormatting>
  <conditionalFormatting sqref="C23">
    <cfRule type="cellIs" dxfId="215" priority="24" operator="notEqual">
      <formula>AC23</formula>
    </cfRule>
  </conditionalFormatting>
  <conditionalFormatting sqref="C25">
    <cfRule type="cellIs" dxfId="214" priority="22" operator="notEqual">
      <formula>AC25</formula>
    </cfRule>
  </conditionalFormatting>
  <conditionalFormatting sqref="C27">
    <cfRule type="cellIs" dxfId="213" priority="20" operator="notEqual">
      <formula>AC27</formula>
    </cfRule>
  </conditionalFormatting>
  <conditionalFormatting sqref="C29">
    <cfRule type="cellIs" dxfId="212" priority="18" operator="notEqual">
      <formula>AC29</formula>
    </cfRule>
  </conditionalFormatting>
  <conditionalFormatting sqref="C31">
    <cfRule type="cellIs" dxfId="211" priority="43" operator="notEqual">
      <formula>AC31</formula>
    </cfRule>
  </conditionalFormatting>
  <conditionalFormatting sqref="C35">
    <cfRule type="cellIs" dxfId="210" priority="16" operator="notEqual">
      <formula>AC35</formula>
    </cfRule>
  </conditionalFormatting>
  <conditionalFormatting sqref="C37 C39 C41 C43 C45 C47 C49 C51">
    <cfRule type="cellIs" dxfId="209" priority="14" operator="notEqual">
      <formula>AC37</formula>
    </cfRule>
  </conditionalFormatting>
  <conditionalFormatting sqref="C53">
    <cfRule type="cellIs" dxfId="208" priority="42" operator="notEqual">
      <formula>AC53</formula>
    </cfRule>
  </conditionalFormatting>
  <conditionalFormatting sqref="C71">
    <cfRule type="cellIs" dxfId="207" priority="41" operator="notEqual">
      <formula>AC71</formula>
    </cfRule>
  </conditionalFormatting>
  <conditionalFormatting sqref="D31">
    <cfRule type="cellIs" dxfId="206" priority="218" operator="notEqual">
      <formula>$D$53</formula>
    </cfRule>
  </conditionalFormatting>
  <conditionalFormatting sqref="D32">
    <cfRule type="cellIs" dxfId="205" priority="191" operator="notEqual">
      <formula>$D$54</formula>
    </cfRule>
  </conditionalFormatting>
  <conditionalFormatting sqref="D53">
    <cfRule type="cellIs" dxfId="204" priority="622" operator="notEqual">
      <formula>$D$71</formula>
    </cfRule>
  </conditionalFormatting>
  <conditionalFormatting sqref="E31">
    <cfRule type="cellIs" dxfId="203" priority="217" operator="notEqual">
      <formula>$E$53</formula>
    </cfRule>
  </conditionalFormatting>
  <conditionalFormatting sqref="E32">
    <cfRule type="cellIs" dxfId="202" priority="163" operator="notEqual">
      <formula>$E$54</formula>
    </cfRule>
  </conditionalFormatting>
  <conditionalFormatting sqref="E51">
    <cfRule type="cellIs" dxfId="201" priority="13" operator="notEqual">
      <formula>E13</formula>
    </cfRule>
  </conditionalFormatting>
  <conditionalFormatting sqref="E53">
    <cfRule type="cellIs" dxfId="200" priority="618" operator="notEqual">
      <formula>$E$71</formula>
    </cfRule>
  </conditionalFormatting>
  <conditionalFormatting sqref="E71">
    <cfRule type="cellIs" dxfId="199" priority="75" operator="notEqual">
      <formula>$E$80</formula>
    </cfRule>
    <cfRule type="cellIs" dxfId="198" priority="112" operator="notEqual">
      <formula>$E$31</formula>
    </cfRule>
  </conditionalFormatting>
  <conditionalFormatting sqref="F31">
    <cfRule type="cellIs" dxfId="197" priority="216" operator="notEqual">
      <formula>$F$53</formula>
    </cfRule>
  </conditionalFormatting>
  <conditionalFormatting sqref="F32">
    <cfRule type="cellIs" dxfId="196" priority="162" operator="notEqual">
      <formula>$F$54</formula>
    </cfRule>
  </conditionalFormatting>
  <conditionalFormatting sqref="F53">
    <cfRule type="cellIs" dxfId="195" priority="623" operator="notEqual">
      <formula>$F$71</formula>
    </cfRule>
  </conditionalFormatting>
  <conditionalFormatting sqref="G31">
    <cfRule type="cellIs" dxfId="194" priority="215" operator="notEqual">
      <formula>$G$53</formula>
    </cfRule>
  </conditionalFormatting>
  <conditionalFormatting sqref="G32">
    <cfRule type="cellIs" dxfId="193" priority="161" operator="notEqual">
      <formula>$G$54</formula>
    </cfRule>
  </conditionalFormatting>
  <conditionalFormatting sqref="G51">
    <cfRule type="cellIs" dxfId="192" priority="12" operator="notEqual">
      <formula>G13</formula>
    </cfRule>
  </conditionalFormatting>
  <conditionalFormatting sqref="G53">
    <cfRule type="cellIs" dxfId="191" priority="612" operator="notEqual">
      <formula>$G$71</formula>
    </cfRule>
  </conditionalFormatting>
  <conditionalFormatting sqref="G71">
    <cfRule type="cellIs" dxfId="190" priority="118" operator="notEqual">
      <formula>$G$31</formula>
    </cfRule>
    <cfRule type="cellIs" dxfId="189" priority="85" operator="notEqual">
      <formula>$G$80</formula>
    </cfRule>
  </conditionalFormatting>
  <conditionalFormatting sqref="G74">
    <cfRule type="cellIs" dxfId="188" priority="156" operator="notEqual">
      <formula>$G$81</formula>
    </cfRule>
    <cfRule type="cellIs" dxfId="187" priority="91" operator="notEqual">
      <formula>$G$81</formula>
    </cfRule>
  </conditionalFormatting>
  <conditionalFormatting sqref="H31">
    <cfRule type="cellIs" dxfId="186" priority="214" operator="notEqual">
      <formula>$H$53</formula>
    </cfRule>
  </conditionalFormatting>
  <conditionalFormatting sqref="H32">
    <cfRule type="cellIs" dxfId="185" priority="159" operator="notEqual">
      <formula>$H$50</formula>
    </cfRule>
  </conditionalFormatting>
  <conditionalFormatting sqref="H53">
    <cfRule type="cellIs" dxfId="184" priority="107" operator="notEqual">
      <formula>H71</formula>
    </cfRule>
  </conditionalFormatting>
  <conditionalFormatting sqref="I31">
    <cfRule type="cellIs" dxfId="183" priority="213" operator="notEqual">
      <formula>$I$53</formula>
    </cfRule>
  </conditionalFormatting>
  <conditionalFormatting sqref="I32">
    <cfRule type="cellIs" dxfId="182" priority="181" operator="notEqual">
      <formula>$I$54</formula>
    </cfRule>
  </conditionalFormatting>
  <conditionalFormatting sqref="I51">
    <cfRule type="cellIs" dxfId="181" priority="11" operator="notEqual">
      <formula>I13</formula>
    </cfRule>
  </conditionalFormatting>
  <conditionalFormatting sqref="I53">
    <cfRule type="cellIs" dxfId="180" priority="624" operator="notEqual">
      <formula>$I$71</formula>
    </cfRule>
  </conditionalFormatting>
  <conditionalFormatting sqref="I71">
    <cfRule type="cellIs" dxfId="179" priority="84" operator="notEqual">
      <formula>$I$80</formula>
    </cfRule>
  </conditionalFormatting>
  <conditionalFormatting sqref="J31">
    <cfRule type="cellIs" dxfId="178" priority="211" operator="notEqual">
      <formula>$J$53</formula>
    </cfRule>
  </conditionalFormatting>
  <conditionalFormatting sqref="J32">
    <cfRule type="cellIs" dxfId="177" priority="180" operator="notEqual">
      <formula>$J$54</formula>
    </cfRule>
  </conditionalFormatting>
  <conditionalFormatting sqref="J53">
    <cfRule type="cellIs" dxfId="176" priority="625" operator="notEqual">
      <formula>$J$71</formula>
    </cfRule>
  </conditionalFormatting>
  <conditionalFormatting sqref="J71">
    <cfRule type="cellIs" dxfId="175" priority="106" operator="notEqual">
      <formula>$J$31</formula>
    </cfRule>
  </conditionalFormatting>
  <conditionalFormatting sqref="K31">
    <cfRule type="cellIs" dxfId="174" priority="210" operator="notEqual">
      <formula>$K$53</formula>
    </cfRule>
  </conditionalFormatting>
  <conditionalFormatting sqref="K32">
    <cfRule type="cellIs" dxfId="173" priority="179" operator="notEqual">
      <formula>$K$54</formula>
    </cfRule>
  </conditionalFormatting>
  <conditionalFormatting sqref="K51">
    <cfRule type="cellIs" dxfId="172" priority="10" operator="notEqual">
      <formula>K13</formula>
    </cfRule>
  </conditionalFormatting>
  <conditionalFormatting sqref="K53">
    <cfRule type="cellIs" dxfId="171" priority="613" operator="notEqual">
      <formula>$K$71</formula>
    </cfRule>
  </conditionalFormatting>
  <conditionalFormatting sqref="K71">
    <cfRule type="cellIs" dxfId="170" priority="117" operator="notEqual">
      <formula>$K$31</formula>
    </cfRule>
    <cfRule type="cellIs" dxfId="169" priority="83" operator="notEqual">
      <formula>$K$80</formula>
    </cfRule>
  </conditionalFormatting>
  <conditionalFormatting sqref="K74">
    <cfRule type="cellIs" dxfId="168" priority="90" operator="notEqual">
      <formula>$K$81</formula>
    </cfRule>
    <cfRule type="cellIs" dxfId="167" priority="154" operator="notEqual">
      <formula>$K$81</formula>
    </cfRule>
  </conditionalFormatting>
  <conditionalFormatting sqref="L31">
    <cfRule type="cellIs" dxfId="166" priority="209" operator="notEqual">
      <formula>$L$53</formula>
    </cfRule>
  </conditionalFormatting>
  <conditionalFormatting sqref="L32">
    <cfRule type="cellIs" dxfId="165" priority="178" operator="notEqual">
      <formula>$L$54</formula>
    </cfRule>
  </conditionalFormatting>
  <conditionalFormatting sqref="L53">
    <cfRule type="cellIs" dxfId="164" priority="626" operator="notEqual">
      <formula>$L$71</formula>
    </cfRule>
  </conditionalFormatting>
  <conditionalFormatting sqref="M31">
    <cfRule type="cellIs" dxfId="163" priority="207" operator="notEqual">
      <formula>$M$53</formula>
    </cfRule>
  </conditionalFormatting>
  <conditionalFormatting sqref="M32">
    <cfRule type="cellIs" dxfId="162" priority="177" operator="notEqual">
      <formula>$M$54</formula>
    </cfRule>
  </conditionalFormatting>
  <conditionalFormatting sqref="M51">
    <cfRule type="cellIs" dxfId="161" priority="9" operator="notEqual">
      <formula>M13</formula>
    </cfRule>
  </conditionalFormatting>
  <conditionalFormatting sqref="M53">
    <cfRule type="cellIs" dxfId="160" priority="619" operator="notEqual">
      <formula>$M$71</formula>
    </cfRule>
  </conditionalFormatting>
  <conditionalFormatting sqref="M71">
    <cfRule type="cellIs" dxfId="159" priority="110" operator="notEqual">
      <formula>$M$31</formula>
    </cfRule>
    <cfRule type="cellIs" dxfId="158" priority="82" operator="notEqual">
      <formula>$M$80</formula>
    </cfRule>
  </conditionalFormatting>
  <conditionalFormatting sqref="N31">
    <cfRule type="cellIs" dxfId="157" priority="206" operator="notEqual">
      <formula>$N$53</formula>
    </cfRule>
  </conditionalFormatting>
  <conditionalFormatting sqref="N32">
    <cfRule type="cellIs" dxfId="156" priority="176" operator="notEqual">
      <formula>$N$54</formula>
    </cfRule>
  </conditionalFormatting>
  <conditionalFormatting sqref="N53">
    <cfRule type="cellIs" dxfId="155" priority="627" operator="notEqual">
      <formula>$N$71</formula>
    </cfRule>
  </conditionalFormatting>
  <conditionalFormatting sqref="O31">
    <cfRule type="cellIs" dxfId="154" priority="205" operator="notEqual">
      <formula>$O$53</formula>
    </cfRule>
  </conditionalFormatting>
  <conditionalFormatting sqref="O32">
    <cfRule type="cellIs" dxfId="153" priority="175" operator="notEqual">
      <formula>$O$54</formula>
    </cfRule>
  </conditionalFormatting>
  <conditionalFormatting sqref="O51">
    <cfRule type="cellIs" dxfId="152" priority="8" operator="notEqual">
      <formula>O13</formula>
    </cfRule>
  </conditionalFormatting>
  <conditionalFormatting sqref="O53">
    <cfRule type="cellIs" dxfId="151" priority="617" operator="notEqual">
      <formula>$O$71</formula>
    </cfRule>
  </conditionalFormatting>
  <conditionalFormatting sqref="O71">
    <cfRule type="cellIs" dxfId="150" priority="81" operator="notEqual">
      <formula>$O$80</formula>
    </cfRule>
    <cfRule type="cellIs" dxfId="149" priority="113" operator="notEqual">
      <formula>$O$31</formula>
    </cfRule>
  </conditionalFormatting>
  <conditionalFormatting sqref="O74">
    <cfRule type="cellIs" dxfId="148" priority="89" operator="notEqual">
      <formula>$O$81</formula>
    </cfRule>
    <cfRule type="cellIs" dxfId="147" priority="143" operator="notEqual">
      <formula>$O$81</formula>
    </cfRule>
  </conditionalFormatting>
  <conditionalFormatting sqref="P31">
    <cfRule type="cellIs" dxfId="146" priority="204" operator="notEqual">
      <formula>$P$53</formula>
    </cfRule>
  </conditionalFormatting>
  <conditionalFormatting sqref="P32">
    <cfRule type="cellIs" dxfId="145" priority="174" operator="notEqual">
      <formula>$P$54</formula>
    </cfRule>
  </conditionalFormatting>
  <conditionalFormatting sqref="P53">
    <cfRule type="cellIs" dxfId="144" priority="628" operator="notEqual">
      <formula>$P$71</formula>
    </cfRule>
  </conditionalFormatting>
  <conditionalFormatting sqref="Q31">
    <cfRule type="cellIs" dxfId="143" priority="202" operator="notEqual">
      <formula>$Q$53</formula>
    </cfRule>
  </conditionalFormatting>
  <conditionalFormatting sqref="Q32">
    <cfRule type="cellIs" dxfId="142" priority="173" operator="notEqual">
      <formula>$Q$54</formula>
    </cfRule>
  </conditionalFormatting>
  <conditionalFormatting sqref="Q51">
    <cfRule type="cellIs" dxfId="141" priority="7" operator="notEqual">
      <formula>Q13</formula>
    </cfRule>
  </conditionalFormatting>
  <conditionalFormatting sqref="Q53">
    <cfRule type="cellIs" dxfId="140" priority="620" operator="notEqual">
      <formula>$Q$71</formula>
    </cfRule>
  </conditionalFormatting>
  <conditionalFormatting sqref="Q71">
    <cfRule type="cellIs" dxfId="139" priority="109" operator="notEqual">
      <formula>$Q$31</formula>
    </cfRule>
    <cfRule type="cellIs" dxfId="138" priority="80" operator="notEqual">
      <formula>$Q$80</formula>
    </cfRule>
  </conditionalFormatting>
  <conditionalFormatting sqref="R31">
    <cfRule type="cellIs" dxfId="137" priority="201" operator="notEqual">
      <formula>$R$53</formula>
    </cfRule>
  </conditionalFormatting>
  <conditionalFormatting sqref="R32">
    <cfRule type="cellIs" dxfId="136" priority="172" operator="notEqual">
      <formula>$R$54</formula>
    </cfRule>
  </conditionalFormatting>
  <conditionalFormatting sqref="R53">
    <cfRule type="cellIs" dxfId="135" priority="629" operator="notEqual">
      <formula>$R$71</formula>
    </cfRule>
  </conditionalFormatting>
  <conditionalFormatting sqref="S31">
    <cfRule type="cellIs" dxfId="134" priority="200" operator="notEqual">
      <formula>$S$53</formula>
    </cfRule>
  </conditionalFormatting>
  <conditionalFormatting sqref="S32">
    <cfRule type="cellIs" dxfId="133" priority="171" operator="notEqual">
      <formula>$S$54</formula>
    </cfRule>
  </conditionalFormatting>
  <conditionalFormatting sqref="S51">
    <cfRule type="cellIs" dxfId="132" priority="6" operator="notEqual">
      <formula>S13</formula>
    </cfRule>
  </conditionalFormatting>
  <conditionalFormatting sqref="S53">
    <cfRule type="cellIs" dxfId="131" priority="614" operator="notEqual">
      <formula>$S$71</formula>
    </cfRule>
  </conditionalFormatting>
  <conditionalFormatting sqref="S71">
    <cfRule type="cellIs" dxfId="130" priority="79" operator="notEqual">
      <formula>$S$80</formula>
    </cfRule>
    <cfRule type="cellIs" dxfId="129" priority="116" operator="notEqual">
      <formula>$S$31</formula>
    </cfRule>
  </conditionalFormatting>
  <conditionalFormatting sqref="S74">
    <cfRule type="cellIs" dxfId="128" priority="150" operator="notEqual">
      <formula>$S$81</formula>
    </cfRule>
    <cfRule type="cellIs" dxfId="127" priority="88" operator="notEqual">
      <formula>$S$81</formula>
    </cfRule>
  </conditionalFormatting>
  <conditionalFormatting sqref="T31">
    <cfRule type="cellIs" dxfId="126" priority="199" operator="notEqual">
      <formula>$T$53</formula>
    </cfRule>
  </conditionalFormatting>
  <conditionalFormatting sqref="T32">
    <cfRule type="cellIs" dxfId="125" priority="170" operator="notEqual">
      <formula>$T$54</formula>
    </cfRule>
  </conditionalFormatting>
  <conditionalFormatting sqref="T53">
    <cfRule type="cellIs" dxfId="124" priority="630" operator="notEqual">
      <formula>$T$71</formula>
    </cfRule>
  </conditionalFormatting>
  <conditionalFormatting sqref="U31">
    <cfRule type="cellIs" dxfId="123" priority="198" operator="notEqual">
      <formula>$U$53</formula>
    </cfRule>
  </conditionalFormatting>
  <conditionalFormatting sqref="U32">
    <cfRule type="cellIs" dxfId="122" priority="169" operator="notEqual">
      <formula>$U$54</formula>
    </cfRule>
  </conditionalFormatting>
  <conditionalFormatting sqref="U51">
    <cfRule type="cellIs" dxfId="121" priority="5" operator="notEqual">
      <formula>U13</formula>
    </cfRule>
  </conditionalFormatting>
  <conditionalFormatting sqref="U53">
    <cfRule type="cellIs" dxfId="120" priority="621" operator="notEqual">
      <formula>$U$71</formula>
    </cfRule>
  </conditionalFormatting>
  <conditionalFormatting sqref="U71">
    <cfRule type="cellIs" dxfId="119" priority="108" operator="notEqual">
      <formula>$U$31</formula>
    </cfRule>
    <cfRule type="cellIs" dxfId="118" priority="78" operator="notEqual">
      <formula>$U$80</formula>
    </cfRule>
  </conditionalFormatting>
  <conditionalFormatting sqref="V31">
    <cfRule type="cellIs" dxfId="117" priority="197" operator="notEqual">
      <formula>$V$53</formula>
    </cfRule>
  </conditionalFormatting>
  <conditionalFormatting sqref="V32">
    <cfRule type="cellIs" dxfId="116" priority="168" operator="notEqual">
      <formula>$V$54</formula>
    </cfRule>
  </conditionalFormatting>
  <conditionalFormatting sqref="V53">
    <cfRule type="cellIs" dxfId="115" priority="631" operator="notEqual">
      <formula>$V$71</formula>
    </cfRule>
  </conditionalFormatting>
  <conditionalFormatting sqref="W31">
    <cfRule type="cellIs" dxfId="114" priority="196" operator="notEqual">
      <formula>$W$53</formula>
    </cfRule>
  </conditionalFormatting>
  <conditionalFormatting sqref="W32">
    <cfRule type="cellIs" dxfId="113" priority="167" operator="notEqual">
      <formula>$W$54</formula>
    </cfRule>
  </conditionalFormatting>
  <conditionalFormatting sqref="W51">
    <cfRule type="cellIs" dxfId="112" priority="4" operator="notEqual">
      <formula>W13</formula>
    </cfRule>
  </conditionalFormatting>
  <conditionalFormatting sqref="W53">
    <cfRule type="cellIs" dxfId="111" priority="615" operator="notEqual">
      <formula>$W$71</formula>
    </cfRule>
  </conditionalFormatting>
  <conditionalFormatting sqref="W71">
    <cfRule type="cellIs" dxfId="110" priority="115" operator="notEqual">
      <formula>$W$31</formula>
    </cfRule>
    <cfRule type="cellIs" dxfId="109" priority="77" operator="notEqual">
      <formula>$W$80</formula>
    </cfRule>
  </conditionalFormatting>
  <conditionalFormatting sqref="W74">
    <cfRule type="cellIs" dxfId="108" priority="87" operator="notEqual">
      <formula>$W$81</formula>
    </cfRule>
    <cfRule type="cellIs" dxfId="107" priority="148" operator="notEqual">
      <formula>$W$81</formula>
    </cfRule>
  </conditionalFormatting>
  <conditionalFormatting sqref="X31">
    <cfRule type="cellIs" dxfId="106" priority="195" operator="notEqual">
      <formula>$X$53</formula>
    </cfRule>
  </conditionalFormatting>
  <conditionalFormatting sqref="X32">
    <cfRule type="cellIs" dxfId="105" priority="166" operator="notEqual">
      <formula>$X$54</formula>
    </cfRule>
  </conditionalFormatting>
  <conditionalFormatting sqref="X53">
    <cfRule type="cellIs" dxfId="104" priority="632" operator="notEqual">
      <formula>$X$71</formula>
    </cfRule>
  </conditionalFormatting>
  <conditionalFormatting sqref="Y31">
    <cfRule type="cellIs" dxfId="103" priority="194" operator="notEqual">
      <formula>$Y$53</formula>
    </cfRule>
  </conditionalFormatting>
  <conditionalFormatting sqref="Y32">
    <cfRule type="cellIs" dxfId="102" priority="165" operator="notEqual">
      <formula>$Y$54</formula>
    </cfRule>
  </conditionalFormatting>
  <conditionalFormatting sqref="Y53">
    <cfRule type="cellIs" dxfId="101" priority="616" operator="notEqual">
      <formula>$Y$71</formula>
    </cfRule>
  </conditionalFormatting>
  <conditionalFormatting sqref="Y71">
    <cfRule type="cellIs" dxfId="100" priority="114" operator="notEqual">
      <formula>$Y$31</formula>
    </cfRule>
    <cfRule type="cellIs" dxfId="99" priority="76" operator="notEqual">
      <formula>$Y$80</formula>
    </cfRule>
  </conditionalFormatting>
  <conditionalFormatting sqref="Y74">
    <cfRule type="cellIs" dxfId="98" priority="86" operator="notEqual">
      <formula>$Y$81</formula>
    </cfRule>
    <cfRule type="cellIs" dxfId="97" priority="145" operator="notEqual">
      <formula>$Y$81</formula>
    </cfRule>
  </conditionalFormatting>
  <conditionalFormatting sqref="Y51:Z51">
    <cfRule type="cellIs" dxfId="96" priority="2" operator="notEqual">
      <formula>Y13</formula>
    </cfRule>
  </conditionalFormatting>
  <conditionalFormatting sqref="Z53">
    <cfRule type="cellIs" dxfId="95" priority="52" operator="notEqual">
      <formula>$Z$71</formula>
    </cfRule>
  </conditionalFormatting>
  <conditionalFormatting sqref="Z32:AB32">
    <cfRule type="cellIs" dxfId="94" priority="164" operator="notEqual">
      <formula>$Z$54</formula>
    </cfRule>
  </conditionalFormatting>
  <conditionalFormatting sqref="AA31">
    <cfRule type="cellIs" dxfId="93" priority="53" operator="notEqual">
      <formula>$AA$53</formula>
    </cfRule>
  </conditionalFormatting>
  <conditionalFormatting sqref="AA53">
    <cfRule type="cellIs" dxfId="92" priority="51" operator="notEqual">
      <formula>$AA$71</formula>
    </cfRule>
  </conditionalFormatting>
  <conditionalFormatting sqref="AB31">
    <cfRule type="cellIs" dxfId="91" priority="50" operator="notEqual">
      <formula>$AB$53</formula>
    </cfRule>
  </conditionalFormatting>
  <conditionalFormatting sqref="AB51">
    <cfRule type="cellIs" dxfId="90" priority="1" operator="notEqual">
      <formula>AB13</formula>
    </cfRule>
  </conditionalFormatting>
  <conditionalFormatting sqref="AB53">
    <cfRule type="cellIs" dxfId="89" priority="633" operator="notEqual">
      <formula>$AB$71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55" zoomScaleNormal="62" zoomScaleSheetLayoutView="55" workbookViewId="0">
      <pane xSplit="2" ySplit="6" topLeftCell="U37" activePane="bottomRight" state="frozen"/>
      <selection activeCell="J47" sqref="J47"/>
      <selection pane="topRight" activeCell="J47" sqref="J47"/>
      <selection pane="bottomLeft" activeCell="J47" sqref="J47"/>
      <selection pane="bottomRight" activeCell="C7" sqref="C7"/>
    </sheetView>
  </sheetViews>
  <sheetFormatPr defaultColWidth="9.42578125" defaultRowHeight="12.75"/>
  <cols>
    <col min="1" max="1" width="5" style="30" customWidth="1"/>
    <col min="2" max="2" width="47.42578125" style="30" customWidth="1"/>
    <col min="3" max="3" width="17.28515625" style="30" customWidth="1"/>
    <col min="4" max="4" width="16.85546875" style="30" customWidth="1"/>
    <col min="5" max="6" width="18.28515625" style="30" customWidth="1"/>
    <col min="7" max="8" width="15.42578125" style="30" customWidth="1"/>
    <col min="9" max="9" width="12.28515625" style="30" customWidth="1"/>
    <col min="10" max="11" width="18.28515625" style="30" customWidth="1"/>
    <col min="12" max="13" width="15.42578125" style="30" customWidth="1"/>
    <col min="14" max="14" width="13.28515625" style="30" customWidth="1"/>
    <col min="15" max="16" width="15.42578125" style="30" customWidth="1"/>
    <col min="17" max="17" width="14.28515625" style="30" customWidth="1"/>
    <col min="18" max="19" width="18.28515625" style="30" customWidth="1"/>
    <col min="20" max="21" width="15.42578125" style="30" customWidth="1"/>
    <col min="22" max="22" width="13.7109375" style="30" customWidth="1"/>
    <col min="23" max="24" width="15.42578125" style="30" customWidth="1"/>
    <col min="25" max="25" width="12.7109375" style="30" customWidth="1"/>
    <col min="26" max="27" width="18.28515625" style="30" customWidth="1"/>
    <col min="28" max="29" width="15.42578125" style="30" customWidth="1"/>
    <col min="30" max="30" width="13.7109375" style="30" customWidth="1"/>
    <col min="31" max="32" width="15.42578125" style="30" customWidth="1"/>
    <col min="33" max="33" width="13.7109375" style="30" customWidth="1"/>
    <col min="34" max="35" width="18.28515625" style="30" customWidth="1"/>
    <col min="36" max="37" width="15.42578125" style="30" customWidth="1"/>
    <col min="38" max="38" width="13.7109375" style="30" customWidth="1"/>
    <col min="39" max="40" width="15.42578125" style="30" customWidth="1"/>
    <col min="41" max="41" width="14.42578125" style="30" customWidth="1"/>
    <col min="42" max="43" width="15.42578125" style="30" customWidth="1"/>
    <col min="44" max="44" width="17.140625" style="30" customWidth="1"/>
    <col min="45" max="46" width="15.42578125" style="30" customWidth="1"/>
    <col min="47" max="47" width="14.42578125" style="30" customWidth="1"/>
    <col min="48" max="48" width="15.5703125" style="183" customWidth="1"/>
    <col min="49" max="49" width="14.7109375" style="183" customWidth="1"/>
    <col min="50" max="55" width="9.42578125" style="183"/>
    <col min="56" max="16384" width="9.42578125" style="30"/>
  </cols>
  <sheetData>
    <row r="1" spans="1:55" ht="21" customHeight="1">
      <c r="A1" s="325" t="s">
        <v>801</v>
      </c>
      <c r="B1" s="226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K1" s="221"/>
      <c r="AL1" s="221"/>
      <c r="AM1" s="221"/>
      <c r="AN1" s="221"/>
      <c r="AO1" s="221"/>
      <c r="AP1" s="221"/>
      <c r="AQ1" s="221"/>
      <c r="AR1" s="221"/>
      <c r="AS1" s="326"/>
      <c r="AT1" s="326" t="s">
        <v>793</v>
      </c>
      <c r="AU1" s="326"/>
    </row>
    <row r="2" spans="1:55" ht="12.75" customHeight="1">
      <c r="A2" s="325"/>
      <c r="B2" s="226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K2" s="221"/>
      <c r="AL2" s="221"/>
      <c r="AM2" s="221"/>
      <c r="AN2" s="221"/>
      <c r="AO2" s="221"/>
      <c r="AP2" s="221"/>
      <c r="AQ2" s="221"/>
      <c r="AR2" s="221"/>
      <c r="AS2" s="326"/>
      <c r="AT2" s="326"/>
      <c r="AU2" s="326"/>
    </row>
    <row r="3" spans="1:55" ht="15.75">
      <c r="A3" s="224"/>
      <c r="B3" s="83" t="str">
        <f>+'Asset quality'!B3</f>
        <v>"Ўзсаноатқурилишибанк" АТБ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610">
        <f>+'Asset quality'!Q3</f>
        <v>45289</v>
      </c>
      <c r="AI3" s="610"/>
      <c r="AJ3" s="82"/>
      <c r="AK3" s="224"/>
      <c r="AL3" s="224"/>
      <c r="AM3" s="224"/>
      <c r="AN3" s="224"/>
      <c r="AO3" s="224"/>
      <c r="AP3" s="224"/>
      <c r="AQ3" s="224"/>
      <c r="AR3" s="224"/>
      <c r="AT3" s="327"/>
      <c r="AU3" s="327" t="str">
        <f>+'Asset quality'!T3</f>
        <v>минг. сўмда</v>
      </c>
    </row>
    <row r="4" spans="1:55" ht="51" customHeight="1">
      <c r="A4" s="611" t="s">
        <v>61</v>
      </c>
      <c r="B4" s="613" t="s">
        <v>284</v>
      </c>
      <c r="C4" s="615" t="s">
        <v>644</v>
      </c>
      <c r="D4" s="615" t="s">
        <v>645</v>
      </c>
      <c r="E4" s="615" t="s">
        <v>646</v>
      </c>
      <c r="F4" s="615" t="s">
        <v>645</v>
      </c>
      <c r="G4" s="617" t="s">
        <v>786</v>
      </c>
      <c r="H4" s="618"/>
      <c r="I4" s="618"/>
      <c r="J4" s="615" t="s">
        <v>647</v>
      </c>
      <c r="K4" s="615" t="s">
        <v>645</v>
      </c>
      <c r="L4" s="617" t="s">
        <v>787</v>
      </c>
      <c r="M4" s="618"/>
      <c r="N4" s="618"/>
      <c r="O4" s="617" t="s">
        <v>645</v>
      </c>
      <c r="P4" s="618"/>
      <c r="Q4" s="618"/>
      <c r="R4" s="615" t="s">
        <v>649</v>
      </c>
      <c r="S4" s="615" t="s">
        <v>645</v>
      </c>
      <c r="T4" s="617" t="s">
        <v>788</v>
      </c>
      <c r="U4" s="618"/>
      <c r="V4" s="618"/>
      <c r="W4" s="617" t="s">
        <v>645</v>
      </c>
      <c r="X4" s="618"/>
      <c r="Y4" s="618"/>
      <c r="Z4" s="615" t="s">
        <v>651</v>
      </c>
      <c r="AA4" s="615" t="s">
        <v>645</v>
      </c>
      <c r="AB4" s="617" t="s">
        <v>789</v>
      </c>
      <c r="AC4" s="618"/>
      <c r="AD4" s="618"/>
      <c r="AE4" s="617" t="s">
        <v>645</v>
      </c>
      <c r="AF4" s="618"/>
      <c r="AG4" s="618"/>
      <c r="AH4" s="615" t="s">
        <v>653</v>
      </c>
      <c r="AI4" s="615" t="s">
        <v>645</v>
      </c>
      <c r="AJ4" s="617" t="s">
        <v>790</v>
      </c>
      <c r="AK4" s="618"/>
      <c r="AL4" s="618"/>
      <c r="AM4" s="617" t="s">
        <v>645</v>
      </c>
      <c r="AN4" s="618"/>
      <c r="AO4" s="618"/>
      <c r="AP4" s="617" t="s">
        <v>655</v>
      </c>
      <c r="AQ4" s="618"/>
      <c r="AR4" s="618"/>
      <c r="AS4" s="617" t="s">
        <v>645</v>
      </c>
      <c r="AT4" s="618"/>
      <c r="AU4" s="618"/>
    </row>
    <row r="5" spans="1:55" ht="51" customHeight="1">
      <c r="A5" s="612"/>
      <c r="B5" s="614"/>
      <c r="C5" s="616"/>
      <c r="D5" s="616"/>
      <c r="E5" s="616"/>
      <c r="F5" s="616"/>
      <c r="G5" s="14" t="s">
        <v>791</v>
      </c>
      <c r="H5" s="14" t="s">
        <v>792</v>
      </c>
      <c r="I5" s="14" t="s">
        <v>465</v>
      </c>
      <c r="J5" s="616"/>
      <c r="K5" s="616"/>
      <c r="L5" s="14" t="s">
        <v>791</v>
      </c>
      <c r="M5" s="14" t="s">
        <v>792</v>
      </c>
      <c r="N5" s="14" t="s">
        <v>465</v>
      </c>
      <c r="O5" s="14" t="s">
        <v>791</v>
      </c>
      <c r="P5" s="14" t="s">
        <v>792</v>
      </c>
      <c r="Q5" s="14" t="s">
        <v>465</v>
      </c>
      <c r="R5" s="616"/>
      <c r="S5" s="616"/>
      <c r="T5" s="14" t="s">
        <v>791</v>
      </c>
      <c r="U5" s="14" t="s">
        <v>792</v>
      </c>
      <c r="V5" s="14" t="s">
        <v>465</v>
      </c>
      <c r="W5" s="14" t="s">
        <v>791</v>
      </c>
      <c r="X5" s="14" t="s">
        <v>792</v>
      </c>
      <c r="Y5" s="14" t="s">
        <v>465</v>
      </c>
      <c r="Z5" s="616"/>
      <c r="AA5" s="616"/>
      <c r="AB5" s="14" t="s">
        <v>791</v>
      </c>
      <c r="AC5" s="14" t="s">
        <v>792</v>
      </c>
      <c r="AD5" s="14" t="s">
        <v>465</v>
      </c>
      <c r="AE5" s="14" t="s">
        <v>791</v>
      </c>
      <c r="AF5" s="14" t="s">
        <v>792</v>
      </c>
      <c r="AG5" s="14" t="s">
        <v>465</v>
      </c>
      <c r="AH5" s="616"/>
      <c r="AI5" s="616"/>
      <c r="AJ5" s="14" t="s">
        <v>791</v>
      </c>
      <c r="AK5" s="14" t="s">
        <v>792</v>
      </c>
      <c r="AL5" s="14" t="s">
        <v>465</v>
      </c>
      <c r="AM5" s="14" t="s">
        <v>791</v>
      </c>
      <c r="AN5" s="14" t="s">
        <v>792</v>
      </c>
      <c r="AO5" s="14" t="s">
        <v>465</v>
      </c>
      <c r="AP5" s="14" t="s">
        <v>791</v>
      </c>
      <c r="AQ5" s="14" t="s">
        <v>792</v>
      </c>
      <c r="AR5" s="14" t="s">
        <v>465</v>
      </c>
      <c r="AS5" s="14" t="s">
        <v>791</v>
      </c>
      <c r="AT5" s="14" t="s">
        <v>792</v>
      </c>
      <c r="AU5" s="14" t="s">
        <v>465</v>
      </c>
    </row>
    <row r="6" spans="1:55" s="486" customFormat="1" ht="27.75" customHeight="1">
      <c r="A6" s="484"/>
      <c r="B6" s="484" t="s">
        <v>658</v>
      </c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4"/>
      <c r="AC6" s="484"/>
      <c r="AD6" s="484"/>
      <c r="AE6" s="484"/>
      <c r="AF6" s="484"/>
      <c r="AG6" s="484"/>
      <c r="AH6" s="484"/>
      <c r="AI6" s="484"/>
      <c r="AJ6" s="484"/>
      <c r="AK6" s="484"/>
      <c r="AL6" s="484"/>
      <c r="AM6" s="484"/>
      <c r="AN6" s="484"/>
      <c r="AO6" s="484"/>
      <c r="AP6" s="484"/>
      <c r="AQ6" s="484"/>
      <c r="AR6" s="484"/>
      <c r="AS6" s="484"/>
      <c r="AT6" s="484"/>
      <c r="AU6" s="484"/>
    </row>
    <row r="7" spans="1:55" s="15" customFormat="1" ht="23.25" customHeight="1">
      <c r="A7" s="329">
        <v>1</v>
      </c>
      <c r="B7" s="148" t="s">
        <v>659</v>
      </c>
      <c r="C7" s="503">
        <f>+'Asset Classification'!C7</f>
        <v>0</v>
      </c>
      <c r="D7" s="504">
        <f>+'Asset Classification'!D7</f>
        <v>0</v>
      </c>
      <c r="E7" s="504">
        <f>+'Asset Classification'!E7</f>
        <v>0</v>
      </c>
      <c r="F7" s="504">
        <f>+'Asset Classification'!F7</f>
        <v>0</v>
      </c>
      <c r="G7" s="504">
        <f>+'Asset Classification'!G7</f>
        <v>0</v>
      </c>
      <c r="H7" s="504">
        <f>+E7*1%</f>
        <v>0</v>
      </c>
      <c r="I7" s="504">
        <f>+G7-H7</f>
        <v>0</v>
      </c>
      <c r="J7" s="504">
        <f>+'Asset Classification'!I7</f>
        <v>0</v>
      </c>
      <c r="K7" s="504">
        <f>+'Asset Classification'!J7</f>
        <v>0</v>
      </c>
      <c r="L7" s="504">
        <f>+'Asset Classification'!K7</f>
        <v>0</v>
      </c>
      <c r="M7" s="504">
        <f>+J7*10%</f>
        <v>0</v>
      </c>
      <c r="N7" s="504">
        <f>+L7-M7</f>
        <v>0</v>
      </c>
      <c r="O7" s="504">
        <f>+'Asset Classification'!L7</f>
        <v>0</v>
      </c>
      <c r="P7" s="504">
        <f>+K7*10%</f>
        <v>0</v>
      </c>
      <c r="Q7" s="504">
        <f>+O7-P7</f>
        <v>0</v>
      </c>
      <c r="R7" s="504">
        <f>+'Asset Classification'!M7</f>
        <v>0</v>
      </c>
      <c r="S7" s="504">
        <f>+'Asset Classification'!N7</f>
        <v>0</v>
      </c>
      <c r="T7" s="504">
        <f>+'Asset Classification'!O7</f>
        <v>0</v>
      </c>
      <c r="U7" s="504">
        <f>+R7*25%</f>
        <v>0</v>
      </c>
      <c r="V7" s="504">
        <f>+T7-U7</f>
        <v>0</v>
      </c>
      <c r="W7" s="504">
        <f>+'Asset Classification'!P7</f>
        <v>0</v>
      </c>
      <c r="X7" s="504">
        <f>+S7*25%</f>
        <v>0</v>
      </c>
      <c r="Y7" s="504">
        <f>+W7-X7</f>
        <v>0</v>
      </c>
      <c r="Z7" s="504">
        <f>+'Asset Classification'!Q7</f>
        <v>0</v>
      </c>
      <c r="AA7" s="504">
        <f>+'Asset Classification'!R7</f>
        <v>0</v>
      </c>
      <c r="AB7" s="504">
        <f>+'Asset Classification'!S7</f>
        <v>0</v>
      </c>
      <c r="AC7" s="504">
        <f>+Z7*50%</f>
        <v>0</v>
      </c>
      <c r="AD7" s="504">
        <f>+AB7-AC7</f>
        <v>0</v>
      </c>
      <c r="AE7" s="504">
        <f>+'Asset Classification'!T7</f>
        <v>0</v>
      </c>
      <c r="AF7" s="504">
        <f>+AA7*50%</f>
        <v>0</v>
      </c>
      <c r="AG7" s="504">
        <f>+AE7-AF7</f>
        <v>0</v>
      </c>
      <c r="AH7" s="504">
        <f>+'Asset Classification'!U7</f>
        <v>0</v>
      </c>
      <c r="AI7" s="504">
        <f>+'Asset Classification'!V7</f>
        <v>0</v>
      </c>
      <c r="AJ7" s="504">
        <f>+'Asset Classification'!W7</f>
        <v>0</v>
      </c>
      <c r="AK7" s="504">
        <f>+AH7*100%</f>
        <v>0</v>
      </c>
      <c r="AL7" s="504">
        <f>+AJ7-AK7</f>
        <v>0</v>
      </c>
      <c r="AM7" s="504">
        <f>+'Asset Classification'!X7</f>
        <v>0</v>
      </c>
      <c r="AN7" s="504">
        <f>+AI7*100%</f>
        <v>0</v>
      </c>
      <c r="AO7" s="504">
        <f>+AM7-AN7</f>
        <v>0</v>
      </c>
      <c r="AP7" s="499">
        <f>+L7+T7+AB7+AJ7</f>
        <v>0</v>
      </c>
      <c r="AQ7" s="499">
        <f>+M7+U7+AC7+AK7</f>
        <v>0</v>
      </c>
      <c r="AR7" s="499">
        <f>+AP7-AQ7</f>
        <v>0</v>
      </c>
      <c r="AS7" s="504">
        <f t="shared" ref="AS7:AT30" si="0">+O7+W7+AE7+AM7</f>
        <v>0</v>
      </c>
      <c r="AT7" s="504">
        <f t="shared" si="0"/>
        <v>0</v>
      </c>
      <c r="AU7" s="504">
        <f>+AS7-AT7</f>
        <v>0</v>
      </c>
      <c r="AV7" s="236">
        <f>+'Aging Analysis'!C9</f>
        <v>0</v>
      </c>
      <c r="AW7" s="234"/>
      <c r="AX7" s="234"/>
      <c r="AY7" s="234"/>
      <c r="AZ7" s="234"/>
      <c r="BA7" s="234"/>
      <c r="BB7" s="234"/>
      <c r="BC7" s="234"/>
    </row>
    <row r="8" spans="1:55" s="15" customFormat="1" ht="14.25" customHeight="1">
      <c r="A8" s="329"/>
      <c r="B8" s="331" t="s">
        <v>660</v>
      </c>
      <c r="C8" s="503">
        <f>+'Asset Classification'!C8</f>
        <v>0</v>
      </c>
      <c r="D8" s="504">
        <f>+'Asset Classification'!D8</f>
        <v>0</v>
      </c>
      <c r="E8" s="505">
        <f>+'Asset Classification'!E8</f>
        <v>0</v>
      </c>
      <c r="F8" s="504">
        <f>+'Asset Classification'!F8</f>
        <v>0</v>
      </c>
      <c r="G8" s="505">
        <f>+'Asset Classification'!G8</f>
        <v>0</v>
      </c>
      <c r="H8" s="504">
        <f t="shared" ref="H8:H30" si="1">+E8*1%</f>
        <v>0</v>
      </c>
      <c r="I8" s="504">
        <f t="shared" ref="I8:I30" si="2">+G8-H8</f>
        <v>0</v>
      </c>
      <c r="J8" s="505">
        <f>+'Asset Classification'!I8</f>
        <v>0</v>
      </c>
      <c r="K8" s="504">
        <f>+'Asset Classification'!J8</f>
        <v>0</v>
      </c>
      <c r="L8" s="505">
        <f>+'Asset Classification'!K8</f>
        <v>0</v>
      </c>
      <c r="M8" s="504">
        <f t="shared" ref="M8:M30" si="3">+J8*10%</f>
        <v>0</v>
      </c>
      <c r="N8" s="504">
        <f t="shared" ref="N8:N30" si="4">+L8-M8</f>
        <v>0</v>
      </c>
      <c r="O8" s="504">
        <f>+'Asset Classification'!L8</f>
        <v>0</v>
      </c>
      <c r="P8" s="504">
        <f t="shared" ref="P8:P30" si="5">+K8*10%</f>
        <v>0</v>
      </c>
      <c r="Q8" s="504">
        <f t="shared" ref="Q8:Q30" si="6">+O8-P8</f>
        <v>0</v>
      </c>
      <c r="R8" s="505">
        <f>+'Asset Classification'!M8</f>
        <v>0</v>
      </c>
      <c r="S8" s="504">
        <f>+'Asset Classification'!N8</f>
        <v>0</v>
      </c>
      <c r="T8" s="505">
        <f>+'Asset Classification'!O8</f>
        <v>0</v>
      </c>
      <c r="U8" s="504">
        <f t="shared" ref="U8:U30" si="7">+R8*25%</f>
        <v>0</v>
      </c>
      <c r="V8" s="504">
        <f t="shared" ref="V8:V30" si="8">+T8-U8</f>
        <v>0</v>
      </c>
      <c r="W8" s="504">
        <f>+'Asset Classification'!P8</f>
        <v>0</v>
      </c>
      <c r="X8" s="504">
        <f t="shared" ref="X8:X30" si="9">+S8*25%</f>
        <v>0</v>
      </c>
      <c r="Y8" s="504">
        <f t="shared" ref="Y8:Y30" si="10">+W8-X8</f>
        <v>0</v>
      </c>
      <c r="Z8" s="505">
        <f>+'Asset Classification'!Q8</f>
        <v>0</v>
      </c>
      <c r="AA8" s="504">
        <f>+'Asset Classification'!R8</f>
        <v>0</v>
      </c>
      <c r="AB8" s="505">
        <f>+'Asset Classification'!S8</f>
        <v>0</v>
      </c>
      <c r="AC8" s="504">
        <f t="shared" ref="AC8:AC30" si="11">+Z8*50%</f>
        <v>0</v>
      </c>
      <c r="AD8" s="504">
        <f t="shared" ref="AD8:AD30" si="12">+AB8-AC8</f>
        <v>0</v>
      </c>
      <c r="AE8" s="504">
        <f>+'Asset Classification'!T8</f>
        <v>0</v>
      </c>
      <c r="AF8" s="504">
        <f t="shared" ref="AF8:AF30" si="13">+AA8*50%</f>
        <v>0</v>
      </c>
      <c r="AG8" s="504">
        <f t="shared" ref="AG8:AG30" si="14">+AE8-AF8</f>
        <v>0</v>
      </c>
      <c r="AH8" s="505">
        <f>+'Asset Classification'!U8</f>
        <v>0</v>
      </c>
      <c r="AI8" s="504">
        <f>+'Asset Classification'!V8</f>
        <v>0</v>
      </c>
      <c r="AJ8" s="505">
        <f>+'Asset Classification'!W8</f>
        <v>0</v>
      </c>
      <c r="AK8" s="504">
        <f t="shared" ref="AK8:AK30" si="15">+AH8*100%</f>
        <v>0</v>
      </c>
      <c r="AL8" s="504">
        <f t="shared" ref="AL8:AL30" si="16">+AJ8-AK8</f>
        <v>0</v>
      </c>
      <c r="AM8" s="504">
        <f>+'Asset Classification'!X8</f>
        <v>0</v>
      </c>
      <c r="AN8" s="504">
        <f t="shared" ref="AN8:AN30" si="17">+AI8*100%</f>
        <v>0</v>
      </c>
      <c r="AO8" s="504">
        <f t="shared" ref="AO8:AO30" si="18">+AM8-AN8</f>
        <v>0</v>
      </c>
      <c r="AP8" s="499">
        <f t="shared" ref="AP8:AQ30" si="19">+L8+T8+AB8+AJ8</f>
        <v>0</v>
      </c>
      <c r="AQ8" s="499">
        <f t="shared" si="19"/>
        <v>0</v>
      </c>
      <c r="AR8" s="499">
        <f t="shared" ref="AR8:AR30" si="20">+AP8-AQ8</f>
        <v>0</v>
      </c>
      <c r="AS8" s="504">
        <f t="shared" si="0"/>
        <v>0</v>
      </c>
      <c r="AT8" s="504">
        <f t="shared" si="0"/>
        <v>0</v>
      </c>
      <c r="AU8" s="504">
        <f t="shared" ref="AU8:AU30" si="21">+AS8-AT8</f>
        <v>0</v>
      </c>
      <c r="AW8" s="234"/>
      <c r="AX8" s="234"/>
      <c r="AY8" s="234"/>
      <c r="AZ8" s="234"/>
      <c r="BA8" s="234"/>
      <c r="BB8" s="234"/>
      <c r="BC8" s="234"/>
    </row>
    <row r="9" spans="1:55" s="15" customFormat="1" ht="23.25" customHeight="1">
      <c r="A9" s="329">
        <v>2</v>
      </c>
      <c r="B9" s="148" t="s">
        <v>661</v>
      </c>
      <c r="C9" s="503">
        <f>+'Asset Classification'!C9</f>
        <v>0</v>
      </c>
      <c r="D9" s="504">
        <f>+'Asset Classification'!D9</f>
        <v>0</v>
      </c>
      <c r="E9" s="505">
        <f>+'Asset Classification'!E9</f>
        <v>0</v>
      </c>
      <c r="F9" s="504">
        <f>+'Asset Classification'!F9</f>
        <v>0</v>
      </c>
      <c r="G9" s="505">
        <f>+'Asset Classification'!G9</f>
        <v>0</v>
      </c>
      <c r="H9" s="504">
        <f t="shared" si="1"/>
        <v>0</v>
      </c>
      <c r="I9" s="504">
        <f t="shared" si="2"/>
        <v>0</v>
      </c>
      <c r="J9" s="505">
        <f>+'Asset Classification'!I9</f>
        <v>0</v>
      </c>
      <c r="K9" s="504">
        <f>+'Asset Classification'!J9</f>
        <v>0</v>
      </c>
      <c r="L9" s="505">
        <f>+'Asset Classification'!K9</f>
        <v>0</v>
      </c>
      <c r="M9" s="504">
        <f t="shared" si="3"/>
        <v>0</v>
      </c>
      <c r="N9" s="504">
        <f t="shared" si="4"/>
        <v>0</v>
      </c>
      <c r="O9" s="504">
        <f>+'Asset Classification'!L9</f>
        <v>0</v>
      </c>
      <c r="P9" s="504">
        <f t="shared" si="5"/>
        <v>0</v>
      </c>
      <c r="Q9" s="504">
        <f t="shared" si="6"/>
        <v>0</v>
      </c>
      <c r="R9" s="505">
        <f>+'Asset Classification'!M9</f>
        <v>0</v>
      </c>
      <c r="S9" s="504">
        <f>+'Asset Classification'!N9</f>
        <v>0</v>
      </c>
      <c r="T9" s="505">
        <f>+'Asset Classification'!O9</f>
        <v>0</v>
      </c>
      <c r="U9" s="504">
        <f t="shared" si="7"/>
        <v>0</v>
      </c>
      <c r="V9" s="504">
        <f t="shared" si="8"/>
        <v>0</v>
      </c>
      <c r="W9" s="504">
        <f>+'Asset Classification'!P9</f>
        <v>0</v>
      </c>
      <c r="X9" s="504">
        <f t="shared" si="9"/>
        <v>0</v>
      </c>
      <c r="Y9" s="504">
        <f t="shared" si="10"/>
        <v>0</v>
      </c>
      <c r="Z9" s="505">
        <f>+'Asset Classification'!Q9</f>
        <v>0</v>
      </c>
      <c r="AA9" s="504">
        <f>+'Asset Classification'!R9</f>
        <v>0</v>
      </c>
      <c r="AB9" s="505">
        <f>+'Asset Classification'!S9</f>
        <v>0</v>
      </c>
      <c r="AC9" s="504">
        <f t="shared" si="11"/>
        <v>0</v>
      </c>
      <c r="AD9" s="504">
        <f t="shared" si="12"/>
        <v>0</v>
      </c>
      <c r="AE9" s="504">
        <f>+'Asset Classification'!T9</f>
        <v>0</v>
      </c>
      <c r="AF9" s="504">
        <f t="shared" si="13"/>
        <v>0</v>
      </c>
      <c r="AG9" s="504">
        <f t="shared" si="14"/>
        <v>0</v>
      </c>
      <c r="AH9" s="505">
        <f>+'Asset Classification'!U9</f>
        <v>0</v>
      </c>
      <c r="AI9" s="504">
        <f>+'Asset Classification'!V9</f>
        <v>0</v>
      </c>
      <c r="AJ9" s="505">
        <f>+'Asset Classification'!W9</f>
        <v>0</v>
      </c>
      <c r="AK9" s="504">
        <f t="shared" si="15"/>
        <v>0</v>
      </c>
      <c r="AL9" s="504">
        <f t="shared" si="16"/>
        <v>0</v>
      </c>
      <c r="AM9" s="504">
        <f>+'Asset Classification'!X9</f>
        <v>0</v>
      </c>
      <c r="AN9" s="504">
        <f t="shared" si="17"/>
        <v>0</v>
      </c>
      <c r="AO9" s="504">
        <f t="shared" si="18"/>
        <v>0</v>
      </c>
      <c r="AP9" s="499">
        <f t="shared" si="19"/>
        <v>0</v>
      </c>
      <c r="AQ9" s="499">
        <f t="shared" si="19"/>
        <v>0</v>
      </c>
      <c r="AR9" s="499">
        <f t="shared" si="20"/>
        <v>0</v>
      </c>
      <c r="AS9" s="504">
        <f t="shared" si="0"/>
        <v>0</v>
      </c>
      <c r="AT9" s="504">
        <f t="shared" si="0"/>
        <v>0</v>
      </c>
      <c r="AU9" s="504">
        <f t="shared" si="21"/>
        <v>0</v>
      </c>
      <c r="AV9" s="236">
        <f>+'Aging Analysis'!C10</f>
        <v>0</v>
      </c>
      <c r="AW9" s="234"/>
      <c r="AX9" s="234"/>
      <c r="AY9" s="234"/>
      <c r="AZ9" s="234"/>
      <c r="BA9" s="234"/>
      <c r="BB9" s="234"/>
      <c r="BC9" s="234"/>
    </row>
    <row r="10" spans="1:55" s="15" customFormat="1" ht="14.25" customHeight="1">
      <c r="A10" s="329"/>
      <c r="B10" s="331" t="s">
        <v>660</v>
      </c>
      <c r="C10" s="503">
        <f>+'Asset Classification'!C10</f>
        <v>0</v>
      </c>
      <c r="D10" s="504">
        <f>+'Asset Classification'!D10</f>
        <v>0</v>
      </c>
      <c r="E10" s="505">
        <f>+'Asset Classification'!E10</f>
        <v>0</v>
      </c>
      <c r="F10" s="504">
        <f>+'Asset Classification'!F10</f>
        <v>0</v>
      </c>
      <c r="G10" s="505">
        <f>+'Asset Classification'!G10</f>
        <v>0</v>
      </c>
      <c r="H10" s="504">
        <f t="shared" si="1"/>
        <v>0</v>
      </c>
      <c r="I10" s="504">
        <f t="shared" si="2"/>
        <v>0</v>
      </c>
      <c r="J10" s="505">
        <f>+'Asset Classification'!I10</f>
        <v>0</v>
      </c>
      <c r="K10" s="504">
        <f>+'Asset Classification'!J10</f>
        <v>0</v>
      </c>
      <c r="L10" s="505">
        <f>+'Asset Classification'!K10</f>
        <v>0</v>
      </c>
      <c r="M10" s="504">
        <f t="shared" si="3"/>
        <v>0</v>
      </c>
      <c r="N10" s="504">
        <f t="shared" si="4"/>
        <v>0</v>
      </c>
      <c r="O10" s="504">
        <f>+'Asset Classification'!L10</f>
        <v>0</v>
      </c>
      <c r="P10" s="504">
        <f t="shared" si="5"/>
        <v>0</v>
      </c>
      <c r="Q10" s="504">
        <f t="shared" si="6"/>
        <v>0</v>
      </c>
      <c r="R10" s="505">
        <f>+'Asset Classification'!M10</f>
        <v>0</v>
      </c>
      <c r="S10" s="504">
        <f>+'Asset Classification'!N10</f>
        <v>0</v>
      </c>
      <c r="T10" s="505">
        <f>+'Asset Classification'!O10</f>
        <v>0</v>
      </c>
      <c r="U10" s="504">
        <f t="shared" si="7"/>
        <v>0</v>
      </c>
      <c r="V10" s="504">
        <f t="shared" si="8"/>
        <v>0</v>
      </c>
      <c r="W10" s="504">
        <f>+'Asset Classification'!P10</f>
        <v>0</v>
      </c>
      <c r="X10" s="504">
        <f t="shared" si="9"/>
        <v>0</v>
      </c>
      <c r="Y10" s="504">
        <f t="shared" si="10"/>
        <v>0</v>
      </c>
      <c r="Z10" s="505">
        <f>+'Asset Classification'!Q10</f>
        <v>0</v>
      </c>
      <c r="AA10" s="504">
        <f>+'Asset Classification'!R10</f>
        <v>0</v>
      </c>
      <c r="AB10" s="505">
        <f>+'Asset Classification'!S10</f>
        <v>0</v>
      </c>
      <c r="AC10" s="504">
        <f t="shared" si="11"/>
        <v>0</v>
      </c>
      <c r="AD10" s="504">
        <f t="shared" si="12"/>
        <v>0</v>
      </c>
      <c r="AE10" s="504">
        <f>+'Asset Classification'!T10</f>
        <v>0</v>
      </c>
      <c r="AF10" s="504">
        <f t="shared" si="13"/>
        <v>0</v>
      </c>
      <c r="AG10" s="504">
        <f t="shared" si="14"/>
        <v>0</v>
      </c>
      <c r="AH10" s="505">
        <f>+'Asset Classification'!U10</f>
        <v>0</v>
      </c>
      <c r="AI10" s="504">
        <f>+'Asset Classification'!V10</f>
        <v>0</v>
      </c>
      <c r="AJ10" s="505">
        <f>+'Asset Classification'!W10</f>
        <v>0</v>
      </c>
      <c r="AK10" s="504">
        <f t="shared" si="15"/>
        <v>0</v>
      </c>
      <c r="AL10" s="504">
        <f t="shared" si="16"/>
        <v>0</v>
      </c>
      <c r="AM10" s="504">
        <f>+'Asset Classification'!X10</f>
        <v>0</v>
      </c>
      <c r="AN10" s="504">
        <f t="shared" si="17"/>
        <v>0</v>
      </c>
      <c r="AO10" s="504">
        <f t="shared" si="18"/>
        <v>0</v>
      </c>
      <c r="AP10" s="499">
        <f t="shared" si="19"/>
        <v>0</v>
      </c>
      <c r="AQ10" s="499">
        <f t="shared" si="19"/>
        <v>0</v>
      </c>
      <c r="AR10" s="499">
        <f t="shared" si="20"/>
        <v>0</v>
      </c>
      <c r="AS10" s="504">
        <f t="shared" si="0"/>
        <v>0</v>
      </c>
      <c r="AT10" s="504">
        <f t="shared" si="0"/>
        <v>0</v>
      </c>
      <c r="AU10" s="504">
        <f t="shared" si="21"/>
        <v>0</v>
      </c>
      <c r="AW10" s="234"/>
      <c r="AX10" s="234"/>
      <c r="AY10" s="234"/>
      <c r="AZ10" s="234"/>
      <c r="BA10" s="234"/>
      <c r="BB10" s="234"/>
      <c r="BC10" s="234"/>
    </row>
    <row r="11" spans="1:55" s="15" customFormat="1" ht="23.25" customHeight="1">
      <c r="A11" s="329">
        <v>3</v>
      </c>
      <c r="B11" s="148" t="s">
        <v>397</v>
      </c>
      <c r="C11" s="503">
        <f>+'Asset Classification'!C11</f>
        <v>0</v>
      </c>
      <c r="D11" s="504">
        <f>+'Asset Classification'!D11</f>
        <v>0</v>
      </c>
      <c r="E11" s="505">
        <f>+'Asset Classification'!E11</f>
        <v>0</v>
      </c>
      <c r="F11" s="504">
        <f>+'Asset Classification'!F11</f>
        <v>0</v>
      </c>
      <c r="G11" s="505">
        <f>+'Asset Classification'!G11</f>
        <v>0</v>
      </c>
      <c r="H11" s="504">
        <f t="shared" si="1"/>
        <v>0</v>
      </c>
      <c r="I11" s="504">
        <f t="shared" si="2"/>
        <v>0</v>
      </c>
      <c r="J11" s="505">
        <f>+'Asset Classification'!I11</f>
        <v>0</v>
      </c>
      <c r="K11" s="504">
        <f>+'Asset Classification'!J11</f>
        <v>0</v>
      </c>
      <c r="L11" s="505">
        <f>+'Asset Classification'!K11</f>
        <v>0</v>
      </c>
      <c r="M11" s="504">
        <f t="shared" si="3"/>
        <v>0</v>
      </c>
      <c r="N11" s="504">
        <f t="shared" si="4"/>
        <v>0</v>
      </c>
      <c r="O11" s="504">
        <f>+'Asset Classification'!L11</f>
        <v>0</v>
      </c>
      <c r="P11" s="504">
        <f t="shared" si="5"/>
        <v>0</v>
      </c>
      <c r="Q11" s="504">
        <f t="shared" si="6"/>
        <v>0</v>
      </c>
      <c r="R11" s="505">
        <f>+'Asset Classification'!M11</f>
        <v>0</v>
      </c>
      <c r="S11" s="504">
        <f>+'Asset Classification'!N11</f>
        <v>0</v>
      </c>
      <c r="T11" s="505">
        <f>+'Asset Classification'!O11</f>
        <v>0</v>
      </c>
      <c r="U11" s="504">
        <f t="shared" si="7"/>
        <v>0</v>
      </c>
      <c r="V11" s="504">
        <f t="shared" si="8"/>
        <v>0</v>
      </c>
      <c r="W11" s="504">
        <f>+'Asset Classification'!P11</f>
        <v>0</v>
      </c>
      <c r="X11" s="504">
        <f t="shared" si="9"/>
        <v>0</v>
      </c>
      <c r="Y11" s="504">
        <f t="shared" si="10"/>
        <v>0</v>
      </c>
      <c r="Z11" s="505">
        <f>+'Asset Classification'!Q11</f>
        <v>0</v>
      </c>
      <c r="AA11" s="504">
        <f>+'Asset Classification'!R11</f>
        <v>0</v>
      </c>
      <c r="AB11" s="505">
        <f>+'Asset Classification'!S11</f>
        <v>0</v>
      </c>
      <c r="AC11" s="504">
        <f t="shared" si="11"/>
        <v>0</v>
      </c>
      <c r="AD11" s="504">
        <f t="shared" si="12"/>
        <v>0</v>
      </c>
      <c r="AE11" s="504">
        <f>+'Asset Classification'!T11</f>
        <v>0</v>
      </c>
      <c r="AF11" s="504">
        <f t="shared" si="13"/>
        <v>0</v>
      </c>
      <c r="AG11" s="504">
        <f t="shared" si="14"/>
        <v>0</v>
      </c>
      <c r="AH11" s="505">
        <f>+'Asset Classification'!U11</f>
        <v>0</v>
      </c>
      <c r="AI11" s="504">
        <f>+'Asset Classification'!V11</f>
        <v>0</v>
      </c>
      <c r="AJ11" s="505">
        <f>+'Asset Classification'!W11</f>
        <v>0</v>
      </c>
      <c r="AK11" s="504">
        <f t="shared" si="15"/>
        <v>0</v>
      </c>
      <c r="AL11" s="504">
        <f t="shared" si="16"/>
        <v>0</v>
      </c>
      <c r="AM11" s="504">
        <f>+'Asset Classification'!X11</f>
        <v>0</v>
      </c>
      <c r="AN11" s="504">
        <f t="shared" si="17"/>
        <v>0</v>
      </c>
      <c r="AO11" s="504">
        <f t="shared" si="18"/>
        <v>0</v>
      </c>
      <c r="AP11" s="499">
        <f t="shared" si="19"/>
        <v>0</v>
      </c>
      <c r="AQ11" s="499">
        <f t="shared" si="19"/>
        <v>0</v>
      </c>
      <c r="AR11" s="499">
        <f t="shared" si="20"/>
        <v>0</v>
      </c>
      <c r="AS11" s="504">
        <f t="shared" si="0"/>
        <v>0</v>
      </c>
      <c r="AT11" s="504">
        <f t="shared" si="0"/>
        <v>0</v>
      </c>
      <c r="AU11" s="504">
        <f t="shared" si="21"/>
        <v>0</v>
      </c>
      <c r="AV11" s="236">
        <f>+'Aging Analysis'!C11</f>
        <v>0</v>
      </c>
      <c r="AW11" s="234"/>
      <c r="AX11" s="234"/>
      <c r="AY11" s="234"/>
      <c r="AZ11" s="234"/>
      <c r="BA11" s="234"/>
      <c r="BB11" s="234"/>
      <c r="BC11" s="234"/>
    </row>
    <row r="12" spans="1:55" s="15" customFormat="1" ht="14.25" customHeight="1">
      <c r="A12" s="329"/>
      <c r="B12" s="331" t="s">
        <v>660</v>
      </c>
      <c r="C12" s="503">
        <f>+'Asset Classification'!C12</f>
        <v>0</v>
      </c>
      <c r="D12" s="504">
        <f>+'Asset Classification'!D12</f>
        <v>0</v>
      </c>
      <c r="E12" s="505">
        <f>+'Asset Classification'!E12</f>
        <v>0</v>
      </c>
      <c r="F12" s="504">
        <f>+'Asset Classification'!F12</f>
        <v>0</v>
      </c>
      <c r="G12" s="505">
        <f>+'Asset Classification'!G12</f>
        <v>0</v>
      </c>
      <c r="H12" s="504">
        <f t="shared" si="1"/>
        <v>0</v>
      </c>
      <c r="I12" s="504">
        <f t="shared" si="2"/>
        <v>0</v>
      </c>
      <c r="J12" s="505">
        <f>+'Asset Classification'!I12</f>
        <v>0</v>
      </c>
      <c r="K12" s="504">
        <f>+'Asset Classification'!J12</f>
        <v>0</v>
      </c>
      <c r="L12" s="505">
        <f>+'Asset Classification'!K12</f>
        <v>0</v>
      </c>
      <c r="M12" s="504">
        <f t="shared" si="3"/>
        <v>0</v>
      </c>
      <c r="N12" s="504">
        <f t="shared" si="4"/>
        <v>0</v>
      </c>
      <c r="O12" s="504">
        <f>+'Asset Classification'!L12</f>
        <v>0</v>
      </c>
      <c r="P12" s="504">
        <f t="shared" si="5"/>
        <v>0</v>
      </c>
      <c r="Q12" s="504">
        <f t="shared" si="6"/>
        <v>0</v>
      </c>
      <c r="R12" s="505">
        <f>+'Asset Classification'!M12</f>
        <v>0</v>
      </c>
      <c r="S12" s="504">
        <f>+'Asset Classification'!N12</f>
        <v>0</v>
      </c>
      <c r="T12" s="505">
        <f>+'Asset Classification'!O12</f>
        <v>0</v>
      </c>
      <c r="U12" s="504">
        <f t="shared" si="7"/>
        <v>0</v>
      </c>
      <c r="V12" s="504">
        <f t="shared" si="8"/>
        <v>0</v>
      </c>
      <c r="W12" s="504">
        <f>+'Asset Classification'!P12</f>
        <v>0</v>
      </c>
      <c r="X12" s="504">
        <f t="shared" si="9"/>
        <v>0</v>
      </c>
      <c r="Y12" s="504">
        <f t="shared" si="10"/>
        <v>0</v>
      </c>
      <c r="Z12" s="505">
        <f>+'Asset Classification'!Q12</f>
        <v>0</v>
      </c>
      <c r="AA12" s="504">
        <f>+'Asset Classification'!R12</f>
        <v>0</v>
      </c>
      <c r="AB12" s="505">
        <f>+'Asset Classification'!S12</f>
        <v>0</v>
      </c>
      <c r="AC12" s="504">
        <f t="shared" si="11"/>
        <v>0</v>
      </c>
      <c r="AD12" s="504">
        <f t="shared" si="12"/>
        <v>0</v>
      </c>
      <c r="AE12" s="504">
        <f>+'Asset Classification'!T12</f>
        <v>0</v>
      </c>
      <c r="AF12" s="504">
        <f t="shared" si="13"/>
        <v>0</v>
      </c>
      <c r="AG12" s="504">
        <f t="shared" si="14"/>
        <v>0</v>
      </c>
      <c r="AH12" s="505">
        <f>+'Asset Classification'!U12</f>
        <v>0</v>
      </c>
      <c r="AI12" s="504">
        <f>+'Asset Classification'!V12</f>
        <v>0</v>
      </c>
      <c r="AJ12" s="505">
        <f>+'Asset Classification'!W12</f>
        <v>0</v>
      </c>
      <c r="AK12" s="504">
        <f t="shared" si="15"/>
        <v>0</v>
      </c>
      <c r="AL12" s="504">
        <f t="shared" si="16"/>
        <v>0</v>
      </c>
      <c r="AM12" s="504">
        <f>+'Asset Classification'!X12</f>
        <v>0</v>
      </c>
      <c r="AN12" s="504">
        <f t="shared" si="17"/>
        <v>0</v>
      </c>
      <c r="AO12" s="504">
        <f t="shared" si="18"/>
        <v>0</v>
      </c>
      <c r="AP12" s="499">
        <f t="shared" si="19"/>
        <v>0</v>
      </c>
      <c r="AQ12" s="499">
        <f t="shared" si="19"/>
        <v>0</v>
      </c>
      <c r="AR12" s="499">
        <f t="shared" si="20"/>
        <v>0</v>
      </c>
      <c r="AS12" s="504">
        <f t="shared" si="0"/>
        <v>0</v>
      </c>
      <c r="AT12" s="504">
        <f t="shared" si="0"/>
        <v>0</v>
      </c>
      <c r="AU12" s="504">
        <f t="shared" si="21"/>
        <v>0</v>
      </c>
      <c r="AW12" s="234"/>
      <c r="AX12" s="234"/>
      <c r="AY12" s="234"/>
      <c r="AZ12" s="234"/>
      <c r="BA12" s="234"/>
      <c r="BB12" s="234"/>
      <c r="BC12" s="234"/>
    </row>
    <row r="13" spans="1:55" s="15" customFormat="1" ht="23.25" customHeight="1">
      <c r="A13" s="329">
        <v>4</v>
      </c>
      <c r="B13" s="148" t="s">
        <v>398</v>
      </c>
      <c r="C13" s="503">
        <f>+'Asset Classification'!C13</f>
        <v>7814492786</v>
      </c>
      <c r="D13" s="504">
        <f>+'Asset Classification'!D13</f>
        <v>0</v>
      </c>
      <c r="E13" s="505">
        <f>+'Asset Classification'!E13</f>
        <v>7625652230</v>
      </c>
      <c r="F13" s="504">
        <f>+'Asset Classification'!F13</f>
        <v>0</v>
      </c>
      <c r="G13" s="505">
        <f>+'Asset Classification'!G13</f>
        <v>76256522</v>
      </c>
      <c r="H13" s="504">
        <f t="shared" si="1"/>
        <v>76256522.299999997</v>
      </c>
      <c r="I13" s="504">
        <f t="shared" si="2"/>
        <v>-0.29999999701976776</v>
      </c>
      <c r="J13" s="505">
        <f>+'Asset Classification'!I13</f>
        <v>147846643</v>
      </c>
      <c r="K13" s="504">
        <f>+'Asset Classification'!J13</f>
        <v>0</v>
      </c>
      <c r="L13" s="505">
        <f>+'Asset Classification'!K13</f>
        <v>14782772</v>
      </c>
      <c r="M13" s="504">
        <f t="shared" si="3"/>
        <v>14784664.300000001</v>
      </c>
      <c r="N13" s="504">
        <f t="shared" si="4"/>
        <v>-1892.3000000007451</v>
      </c>
      <c r="O13" s="504">
        <f>+'Asset Classification'!L13</f>
        <v>0</v>
      </c>
      <c r="P13" s="504">
        <f t="shared" si="5"/>
        <v>0</v>
      </c>
      <c r="Q13" s="504">
        <f t="shared" si="6"/>
        <v>0</v>
      </c>
      <c r="R13" s="505">
        <f>+'Asset Classification'!M13</f>
        <v>19062315</v>
      </c>
      <c r="S13" s="504">
        <f>+'Asset Classification'!N13</f>
        <v>0</v>
      </c>
      <c r="T13" s="505">
        <f>+'Asset Classification'!O13</f>
        <v>4765590</v>
      </c>
      <c r="U13" s="504">
        <f t="shared" si="7"/>
        <v>4765578.75</v>
      </c>
      <c r="V13" s="504">
        <f t="shared" si="8"/>
        <v>11.25</v>
      </c>
      <c r="W13" s="504">
        <f>+'Asset Classification'!P13</f>
        <v>0</v>
      </c>
      <c r="X13" s="504">
        <f t="shared" si="9"/>
        <v>0</v>
      </c>
      <c r="Y13" s="504">
        <f t="shared" si="10"/>
        <v>0</v>
      </c>
      <c r="Z13" s="505">
        <f>+'Asset Classification'!Q13</f>
        <v>21931598</v>
      </c>
      <c r="AA13" s="504">
        <f>+'Asset Classification'!R13</f>
        <v>0</v>
      </c>
      <c r="AB13" s="505">
        <f>+'Asset Classification'!S13</f>
        <v>10965799</v>
      </c>
      <c r="AC13" s="504">
        <f t="shared" si="11"/>
        <v>10965799</v>
      </c>
      <c r="AD13" s="504">
        <f t="shared" si="12"/>
        <v>0</v>
      </c>
      <c r="AE13" s="504">
        <f>+'Asset Classification'!T13</f>
        <v>0</v>
      </c>
      <c r="AF13" s="504">
        <f t="shared" si="13"/>
        <v>0</v>
      </c>
      <c r="AG13" s="504">
        <f t="shared" si="14"/>
        <v>0</v>
      </c>
      <c r="AH13" s="505">
        <f>+'Asset Classification'!U13</f>
        <v>0</v>
      </c>
      <c r="AI13" s="504">
        <f>+'Asset Classification'!V13</f>
        <v>0</v>
      </c>
      <c r="AJ13" s="505">
        <f>+'Asset Classification'!W13</f>
        <v>0</v>
      </c>
      <c r="AK13" s="504">
        <f t="shared" si="15"/>
        <v>0</v>
      </c>
      <c r="AL13" s="504">
        <f t="shared" si="16"/>
        <v>0</v>
      </c>
      <c r="AM13" s="504">
        <f>+'Asset Classification'!X13</f>
        <v>0</v>
      </c>
      <c r="AN13" s="504">
        <f t="shared" si="17"/>
        <v>0</v>
      </c>
      <c r="AO13" s="504">
        <f t="shared" si="18"/>
        <v>0</v>
      </c>
      <c r="AP13" s="499">
        <f t="shared" si="19"/>
        <v>30514161</v>
      </c>
      <c r="AQ13" s="499">
        <f t="shared" si="19"/>
        <v>30516042.050000001</v>
      </c>
      <c r="AR13" s="499">
        <f t="shared" si="20"/>
        <v>-1881.0500000007451</v>
      </c>
      <c r="AS13" s="504">
        <f t="shared" si="0"/>
        <v>0</v>
      </c>
      <c r="AT13" s="504">
        <f t="shared" si="0"/>
        <v>0</v>
      </c>
      <c r="AU13" s="504">
        <f t="shared" si="21"/>
        <v>0</v>
      </c>
      <c r="AV13" s="236">
        <f>+'Aging Analysis'!C12</f>
        <v>7814492786</v>
      </c>
      <c r="AW13" s="234"/>
      <c r="AX13" s="234"/>
      <c r="AY13" s="234"/>
      <c r="AZ13" s="234"/>
      <c r="BA13" s="234"/>
      <c r="BB13" s="234"/>
      <c r="BC13" s="234"/>
    </row>
    <row r="14" spans="1:55" s="15" customFormat="1" ht="14.25" customHeight="1">
      <c r="A14" s="329"/>
      <c r="B14" s="331" t="s">
        <v>660</v>
      </c>
      <c r="C14" s="503">
        <f>+'Asset Classification'!C14</f>
        <v>0</v>
      </c>
      <c r="D14" s="504">
        <f>+'Asset Classification'!D14</f>
        <v>0</v>
      </c>
      <c r="E14" s="505">
        <f>+'Asset Classification'!E14</f>
        <v>0</v>
      </c>
      <c r="F14" s="504">
        <f>+'Asset Classification'!F14</f>
        <v>0</v>
      </c>
      <c r="G14" s="505">
        <f>+'Asset Classification'!G14</f>
        <v>0</v>
      </c>
      <c r="H14" s="504">
        <f t="shared" si="1"/>
        <v>0</v>
      </c>
      <c r="I14" s="504">
        <f t="shared" si="2"/>
        <v>0</v>
      </c>
      <c r="J14" s="505">
        <f>+'Asset Classification'!I14</f>
        <v>0</v>
      </c>
      <c r="K14" s="504">
        <f>+'Asset Classification'!J14</f>
        <v>0</v>
      </c>
      <c r="L14" s="505">
        <f>+'Asset Classification'!K14</f>
        <v>0</v>
      </c>
      <c r="M14" s="504">
        <f t="shared" si="3"/>
        <v>0</v>
      </c>
      <c r="N14" s="504">
        <f t="shared" si="4"/>
        <v>0</v>
      </c>
      <c r="O14" s="504">
        <f>+'Asset Classification'!L14</f>
        <v>0</v>
      </c>
      <c r="P14" s="504">
        <f t="shared" si="5"/>
        <v>0</v>
      </c>
      <c r="Q14" s="504">
        <f t="shared" si="6"/>
        <v>0</v>
      </c>
      <c r="R14" s="505">
        <f>+'Asset Classification'!M14</f>
        <v>0</v>
      </c>
      <c r="S14" s="504">
        <f>+'Asset Classification'!N14</f>
        <v>0</v>
      </c>
      <c r="T14" s="505">
        <f>+'Asset Classification'!O14</f>
        <v>0</v>
      </c>
      <c r="U14" s="504">
        <f t="shared" si="7"/>
        <v>0</v>
      </c>
      <c r="V14" s="504">
        <f t="shared" si="8"/>
        <v>0</v>
      </c>
      <c r="W14" s="504">
        <f>+'Asset Classification'!P14</f>
        <v>0</v>
      </c>
      <c r="X14" s="504">
        <f t="shared" si="9"/>
        <v>0</v>
      </c>
      <c r="Y14" s="504">
        <f t="shared" si="10"/>
        <v>0</v>
      </c>
      <c r="Z14" s="505">
        <f>+'Asset Classification'!Q14</f>
        <v>0</v>
      </c>
      <c r="AA14" s="504">
        <f>+'Asset Classification'!R14</f>
        <v>0</v>
      </c>
      <c r="AB14" s="505">
        <f>+'Asset Classification'!S14</f>
        <v>0</v>
      </c>
      <c r="AC14" s="504">
        <f t="shared" si="11"/>
        <v>0</v>
      </c>
      <c r="AD14" s="504">
        <f t="shared" si="12"/>
        <v>0</v>
      </c>
      <c r="AE14" s="504">
        <f>+'Asset Classification'!T14</f>
        <v>0</v>
      </c>
      <c r="AF14" s="504">
        <f t="shared" si="13"/>
        <v>0</v>
      </c>
      <c r="AG14" s="504">
        <f t="shared" si="14"/>
        <v>0</v>
      </c>
      <c r="AH14" s="505">
        <f>+'Asset Classification'!U14</f>
        <v>0</v>
      </c>
      <c r="AI14" s="504">
        <f>+'Asset Classification'!V14</f>
        <v>0</v>
      </c>
      <c r="AJ14" s="505">
        <f>+'Asset Classification'!W14</f>
        <v>0</v>
      </c>
      <c r="AK14" s="504">
        <f t="shared" si="15"/>
        <v>0</v>
      </c>
      <c r="AL14" s="504">
        <f t="shared" si="16"/>
        <v>0</v>
      </c>
      <c r="AM14" s="504">
        <f>+'Asset Classification'!X14</f>
        <v>0</v>
      </c>
      <c r="AN14" s="504">
        <f t="shared" si="17"/>
        <v>0</v>
      </c>
      <c r="AO14" s="504">
        <f t="shared" si="18"/>
        <v>0</v>
      </c>
      <c r="AP14" s="499">
        <f t="shared" si="19"/>
        <v>0</v>
      </c>
      <c r="AQ14" s="499">
        <f t="shared" si="19"/>
        <v>0</v>
      </c>
      <c r="AR14" s="499">
        <f t="shared" si="20"/>
        <v>0</v>
      </c>
      <c r="AS14" s="504">
        <f t="shared" si="0"/>
        <v>0</v>
      </c>
      <c r="AT14" s="504">
        <f t="shared" si="0"/>
        <v>0</v>
      </c>
      <c r="AU14" s="504">
        <f t="shared" si="21"/>
        <v>0</v>
      </c>
      <c r="AW14" s="234"/>
      <c r="AX14" s="234"/>
      <c r="AY14" s="234"/>
      <c r="AZ14" s="234"/>
      <c r="BA14" s="234"/>
      <c r="BB14" s="234"/>
      <c r="BC14" s="234"/>
    </row>
    <row r="15" spans="1:55" s="15" customFormat="1" ht="23.25" customHeight="1">
      <c r="A15" s="329">
        <v>5</v>
      </c>
      <c r="B15" s="148" t="s">
        <v>662</v>
      </c>
      <c r="C15" s="503">
        <f>+'Asset Classification'!C15</f>
        <v>14102735134</v>
      </c>
      <c r="D15" s="504">
        <f>+'Asset Classification'!D15</f>
        <v>9901199639</v>
      </c>
      <c r="E15" s="505">
        <f>+'Asset Classification'!E15</f>
        <v>14098238653</v>
      </c>
      <c r="F15" s="504">
        <f>+'Asset Classification'!F15</f>
        <v>9901199639</v>
      </c>
      <c r="G15" s="505">
        <f>+'Asset Classification'!G15</f>
        <v>150448847</v>
      </c>
      <c r="H15" s="504">
        <f t="shared" si="1"/>
        <v>140982386.53</v>
      </c>
      <c r="I15" s="504">
        <f t="shared" si="2"/>
        <v>9466460.4699999988</v>
      </c>
      <c r="J15" s="505">
        <f>+'Asset Classification'!I15</f>
        <v>4496481</v>
      </c>
      <c r="K15" s="504">
        <f>+'Asset Classification'!J15</f>
        <v>0</v>
      </c>
      <c r="L15" s="505">
        <f>+'Asset Classification'!K15</f>
        <v>449648</v>
      </c>
      <c r="M15" s="504">
        <f t="shared" si="3"/>
        <v>449648.10000000003</v>
      </c>
      <c r="N15" s="504">
        <f t="shared" si="4"/>
        <v>-0.1000000000349246</v>
      </c>
      <c r="O15" s="504">
        <f>+'Asset Classification'!L15</f>
        <v>0</v>
      </c>
      <c r="P15" s="504">
        <f t="shared" si="5"/>
        <v>0</v>
      </c>
      <c r="Q15" s="504">
        <f t="shared" si="6"/>
        <v>0</v>
      </c>
      <c r="R15" s="505">
        <f>+'Asset Classification'!M15</f>
        <v>0</v>
      </c>
      <c r="S15" s="504">
        <f>+'Asset Classification'!N15</f>
        <v>0</v>
      </c>
      <c r="T15" s="505">
        <f>+'Asset Classification'!O15</f>
        <v>0</v>
      </c>
      <c r="U15" s="504">
        <f t="shared" si="7"/>
        <v>0</v>
      </c>
      <c r="V15" s="504">
        <f t="shared" si="8"/>
        <v>0</v>
      </c>
      <c r="W15" s="504">
        <f>+'Asset Classification'!P15</f>
        <v>0</v>
      </c>
      <c r="X15" s="504">
        <f t="shared" si="9"/>
        <v>0</v>
      </c>
      <c r="Y15" s="504">
        <f t="shared" si="10"/>
        <v>0</v>
      </c>
      <c r="Z15" s="505">
        <f>+'Asset Classification'!Q15</f>
        <v>0</v>
      </c>
      <c r="AA15" s="504">
        <f>+'Asset Classification'!R15</f>
        <v>0</v>
      </c>
      <c r="AB15" s="505">
        <f>+'Asset Classification'!S15</f>
        <v>0</v>
      </c>
      <c r="AC15" s="504">
        <f t="shared" si="11"/>
        <v>0</v>
      </c>
      <c r="AD15" s="504">
        <f t="shared" si="12"/>
        <v>0</v>
      </c>
      <c r="AE15" s="504">
        <f>+'Asset Classification'!T15</f>
        <v>0</v>
      </c>
      <c r="AF15" s="504">
        <f t="shared" si="13"/>
        <v>0</v>
      </c>
      <c r="AG15" s="504">
        <f t="shared" si="14"/>
        <v>0</v>
      </c>
      <c r="AH15" s="505">
        <f>+'Asset Classification'!U15</f>
        <v>0</v>
      </c>
      <c r="AI15" s="504">
        <f>+'Asset Classification'!V15</f>
        <v>0</v>
      </c>
      <c r="AJ15" s="505">
        <f>+'Asset Classification'!W15</f>
        <v>0</v>
      </c>
      <c r="AK15" s="504">
        <f t="shared" si="15"/>
        <v>0</v>
      </c>
      <c r="AL15" s="504">
        <f t="shared" si="16"/>
        <v>0</v>
      </c>
      <c r="AM15" s="504">
        <f>+'Asset Classification'!X15</f>
        <v>0</v>
      </c>
      <c r="AN15" s="504">
        <f t="shared" si="17"/>
        <v>0</v>
      </c>
      <c r="AO15" s="504">
        <f t="shared" si="18"/>
        <v>0</v>
      </c>
      <c r="AP15" s="499">
        <f t="shared" si="19"/>
        <v>449648</v>
      </c>
      <c r="AQ15" s="499">
        <f t="shared" si="19"/>
        <v>449648.10000000003</v>
      </c>
      <c r="AR15" s="499">
        <f t="shared" si="20"/>
        <v>-0.1000000000349246</v>
      </c>
      <c r="AS15" s="504">
        <f t="shared" si="0"/>
        <v>0</v>
      </c>
      <c r="AT15" s="504">
        <f t="shared" si="0"/>
        <v>0</v>
      </c>
      <c r="AU15" s="504">
        <f t="shared" si="21"/>
        <v>0</v>
      </c>
      <c r="AV15" s="236">
        <f>+'Aging Analysis'!C13</f>
        <v>14102735134</v>
      </c>
      <c r="AW15" s="234"/>
      <c r="AX15" s="234"/>
      <c r="AY15" s="234"/>
      <c r="AZ15" s="234"/>
      <c r="BA15" s="234"/>
      <c r="BB15" s="234"/>
      <c r="BC15" s="234"/>
    </row>
    <row r="16" spans="1:55" s="15" customFormat="1" ht="14.25" customHeight="1">
      <c r="A16" s="329"/>
      <c r="B16" s="331" t="s">
        <v>660</v>
      </c>
      <c r="C16" s="503">
        <f>+'Asset Classification'!C16</f>
        <v>0</v>
      </c>
      <c r="D16" s="504">
        <f>+'Asset Classification'!D16</f>
        <v>0</v>
      </c>
      <c r="E16" s="505">
        <f>+'Asset Classification'!E16</f>
        <v>0</v>
      </c>
      <c r="F16" s="504">
        <f>+'Asset Classification'!F16</f>
        <v>0</v>
      </c>
      <c r="G16" s="505">
        <f>+'Asset Classification'!G16</f>
        <v>0</v>
      </c>
      <c r="H16" s="504">
        <f t="shared" si="1"/>
        <v>0</v>
      </c>
      <c r="I16" s="504">
        <f t="shared" si="2"/>
        <v>0</v>
      </c>
      <c r="J16" s="505">
        <f>+'Asset Classification'!I16</f>
        <v>0</v>
      </c>
      <c r="K16" s="504">
        <f>+'Asset Classification'!J16</f>
        <v>0</v>
      </c>
      <c r="L16" s="505">
        <f>+'Asset Classification'!K16</f>
        <v>0</v>
      </c>
      <c r="M16" s="504">
        <f t="shared" si="3"/>
        <v>0</v>
      </c>
      <c r="N16" s="504">
        <f t="shared" si="4"/>
        <v>0</v>
      </c>
      <c r="O16" s="504">
        <f>+'Asset Classification'!L16</f>
        <v>0</v>
      </c>
      <c r="P16" s="504">
        <f t="shared" si="5"/>
        <v>0</v>
      </c>
      <c r="Q16" s="504">
        <f t="shared" si="6"/>
        <v>0</v>
      </c>
      <c r="R16" s="505">
        <f>+'Asset Classification'!M16</f>
        <v>0</v>
      </c>
      <c r="S16" s="504">
        <f>+'Asset Classification'!N16</f>
        <v>0</v>
      </c>
      <c r="T16" s="505">
        <f>+'Asset Classification'!O16</f>
        <v>0</v>
      </c>
      <c r="U16" s="504">
        <f t="shared" si="7"/>
        <v>0</v>
      </c>
      <c r="V16" s="504">
        <f t="shared" si="8"/>
        <v>0</v>
      </c>
      <c r="W16" s="504">
        <f>+'Asset Classification'!P16</f>
        <v>0</v>
      </c>
      <c r="X16" s="504">
        <f t="shared" si="9"/>
        <v>0</v>
      </c>
      <c r="Y16" s="504">
        <f t="shared" si="10"/>
        <v>0</v>
      </c>
      <c r="Z16" s="505">
        <f>+'Asset Classification'!Q16</f>
        <v>0</v>
      </c>
      <c r="AA16" s="504">
        <f>+'Asset Classification'!R16</f>
        <v>0</v>
      </c>
      <c r="AB16" s="505">
        <f>+'Asset Classification'!S16</f>
        <v>0</v>
      </c>
      <c r="AC16" s="504">
        <f t="shared" si="11"/>
        <v>0</v>
      </c>
      <c r="AD16" s="504">
        <f t="shared" si="12"/>
        <v>0</v>
      </c>
      <c r="AE16" s="504">
        <f>+'Asset Classification'!T16</f>
        <v>0</v>
      </c>
      <c r="AF16" s="504">
        <f t="shared" si="13"/>
        <v>0</v>
      </c>
      <c r="AG16" s="504">
        <f t="shared" si="14"/>
        <v>0</v>
      </c>
      <c r="AH16" s="505">
        <f>+'Asset Classification'!U16</f>
        <v>0</v>
      </c>
      <c r="AI16" s="504">
        <f>+'Asset Classification'!V16</f>
        <v>0</v>
      </c>
      <c r="AJ16" s="505">
        <f>+'Asset Classification'!W16</f>
        <v>0</v>
      </c>
      <c r="AK16" s="504">
        <f t="shared" si="15"/>
        <v>0</v>
      </c>
      <c r="AL16" s="504">
        <f t="shared" si="16"/>
        <v>0</v>
      </c>
      <c r="AM16" s="504">
        <f>+'Asset Classification'!X16</f>
        <v>0</v>
      </c>
      <c r="AN16" s="504">
        <f t="shared" si="17"/>
        <v>0</v>
      </c>
      <c r="AO16" s="504">
        <f t="shared" si="18"/>
        <v>0</v>
      </c>
      <c r="AP16" s="499">
        <f t="shared" si="19"/>
        <v>0</v>
      </c>
      <c r="AQ16" s="499">
        <f t="shared" si="19"/>
        <v>0</v>
      </c>
      <c r="AR16" s="499">
        <f t="shared" si="20"/>
        <v>0</v>
      </c>
      <c r="AS16" s="504">
        <f t="shared" si="0"/>
        <v>0</v>
      </c>
      <c r="AT16" s="504">
        <f t="shared" si="0"/>
        <v>0</v>
      </c>
      <c r="AU16" s="504">
        <f t="shared" si="21"/>
        <v>0</v>
      </c>
      <c r="AW16" s="234"/>
      <c r="AX16" s="234"/>
      <c r="AY16" s="234"/>
      <c r="AZ16" s="234"/>
      <c r="BA16" s="234"/>
      <c r="BB16" s="234"/>
      <c r="BC16" s="234"/>
    </row>
    <row r="17" spans="1:55" s="15" customFormat="1" ht="23.25" customHeight="1">
      <c r="A17" s="329">
        <v>6</v>
      </c>
      <c r="B17" s="148" t="s">
        <v>400</v>
      </c>
      <c r="C17" s="503">
        <f>+'Asset Classification'!C17</f>
        <v>10296625676</v>
      </c>
      <c r="D17" s="504">
        <f>+'Asset Classification'!D17</f>
        <v>9399133697</v>
      </c>
      <c r="E17" s="505">
        <f>+'Asset Classification'!E17</f>
        <v>7302774414</v>
      </c>
      <c r="F17" s="504">
        <f>+'Asset Classification'!F17</f>
        <v>6846681407</v>
      </c>
      <c r="G17" s="505">
        <f>+'Asset Classification'!G17</f>
        <v>73027744</v>
      </c>
      <c r="H17" s="504">
        <f t="shared" si="1"/>
        <v>73027744.140000001</v>
      </c>
      <c r="I17" s="504">
        <f t="shared" si="2"/>
        <v>-0.14000000059604645</v>
      </c>
      <c r="J17" s="505">
        <f>+'Asset Classification'!I17</f>
        <v>2936824466</v>
      </c>
      <c r="K17" s="504">
        <f>+'Asset Classification'!J17</f>
        <v>2498999738</v>
      </c>
      <c r="L17" s="505">
        <f>+'Asset Classification'!K17</f>
        <v>293682447</v>
      </c>
      <c r="M17" s="504">
        <f t="shared" si="3"/>
        <v>293682446.60000002</v>
      </c>
      <c r="N17" s="504">
        <f t="shared" si="4"/>
        <v>0.39999997615814209</v>
      </c>
      <c r="O17" s="504">
        <f>+'Asset Classification'!L17</f>
        <v>249899974</v>
      </c>
      <c r="P17" s="504">
        <f t="shared" si="5"/>
        <v>249899973.80000001</v>
      </c>
      <c r="Q17" s="504">
        <f t="shared" si="6"/>
        <v>0.19999998807907104</v>
      </c>
      <c r="R17" s="505">
        <f>+'Asset Classification'!M17</f>
        <v>810756</v>
      </c>
      <c r="S17" s="504">
        <f>+'Asset Classification'!N17</f>
        <v>0</v>
      </c>
      <c r="T17" s="505">
        <f>+'Asset Classification'!O17</f>
        <v>202689</v>
      </c>
      <c r="U17" s="504">
        <f t="shared" si="7"/>
        <v>202689</v>
      </c>
      <c r="V17" s="504">
        <f t="shared" si="8"/>
        <v>0</v>
      </c>
      <c r="W17" s="504">
        <f>+'Asset Classification'!P17</f>
        <v>0</v>
      </c>
      <c r="X17" s="504">
        <f t="shared" si="9"/>
        <v>0</v>
      </c>
      <c r="Y17" s="504">
        <f t="shared" si="10"/>
        <v>0</v>
      </c>
      <c r="Z17" s="505">
        <f>+'Asset Classification'!Q17</f>
        <v>46247548</v>
      </c>
      <c r="AA17" s="504">
        <f>+'Asset Classification'!R17</f>
        <v>43484060</v>
      </c>
      <c r="AB17" s="505">
        <f>+'Asset Classification'!S17</f>
        <v>23123774</v>
      </c>
      <c r="AC17" s="504">
        <f t="shared" si="11"/>
        <v>23123774</v>
      </c>
      <c r="AD17" s="504">
        <f t="shared" si="12"/>
        <v>0</v>
      </c>
      <c r="AE17" s="504">
        <f>+'Asset Classification'!T17</f>
        <v>21742030</v>
      </c>
      <c r="AF17" s="504">
        <f t="shared" si="13"/>
        <v>21742030</v>
      </c>
      <c r="AG17" s="504">
        <f t="shared" si="14"/>
        <v>0</v>
      </c>
      <c r="AH17" s="505">
        <f>+'Asset Classification'!U17</f>
        <v>9968492</v>
      </c>
      <c r="AI17" s="504">
        <f>+'Asset Classification'!V17</f>
        <v>9968492</v>
      </c>
      <c r="AJ17" s="505">
        <f>+'Asset Classification'!W17</f>
        <v>9968492</v>
      </c>
      <c r="AK17" s="504">
        <f t="shared" si="15"/>
        <v>9968492</v>
      </c>
      <c r="AL17" s="504">
        <f t="shared" si="16"/>
        <v>0</v>
      </c>
      <c r="AM17" s="504">
        <f>+'Asset Classification'!X17</f>
        <v>9968492</v>
      </c>
      <c r="AN17" s="504">
        <f t="shared" si="17"/>
        <v>9968492</v>
      </c>
      <c r="AO17" s="504">
        <f t="shared" si="18"/>
        <v>0</v>
      </c>
      <c r="AP17" s="499">
        <f t="shared" si="19"/>
        <v>326977402</v>
      </c>
      <c r="AQ17" s="499">
        <f t="shared" si="19"/>
        <v>326977401.60000002</v>
      </c>
      <c r="AR17" s="499">
        <f t="shared" si="20"/>
        <v>0.39999997615814209</v>
      </c>
      <c r="AS17" s="504">
        <f t="shared" si="0"/>
        <v>281610496</v>
      </c>
      <c r="AT17" s="504">
        <f t="shared" si="0"/>
        <v>281610495.80000001</v>
      </c>
      <c r="AU17" s="504">
        <f t="shared" si="21"/>
        <v>0.19999998807907104</v>
      </c>
      <c r="AV17" s="236">
        <f>+'Aging Analysis'!C14</f>
        <v>10296625676</v>
      </c>
      <c r="AW17" s="234"/>
      <c r="AX17" s="234"/>
      <c r="AY17" s="234"/>
      <c r="AZ17" s="234"/>
      <c r="BA17" s="234"/>
      <c r="BB17" s="234"/>
      <c r="BC17" s="234"/>
    </row>
    <row r="18" spans="1:55" s="15" customFormat="1" ht="14.25" customHeight="1">
      <c r="A18" s="329"/>
      <c r="B18" s="331" t="s">
        <v>660</v>
      </c>
      <c r="C18" s="503">
        <f>+'Asset Classification'!C18</f>
        <v>0</v>
      </c>
      <c r="D18" s="504">
        <f>+'Asset Classification'!D18</f>
        <v>0</v>
      </c>
      <c r="E18" s="505">
        <f>+'Asset Classification'!E18</f>
        <v>0</v>
      </c>
      <c r="F18" s="504">
        <f>+'Asset Classification'!F18</f>
        <v>0</v>
      </c>
      <c r="G18" s="505">
        <f>+'Asset Classification'!G18</f>
        <v>0</v>
      </c>
      <c r="H18" s="504">
        <f t="shared" si="1"/>
        <v>0</v>
      </c>
      <c r="I18" s="504">
        <f t="shared" si="2"/>
        <v>0</v>
      </c>
      <c r="J18" s="505">
        <f>+'Asset Classification'!I18</f>
        <v>0</v>
      </c>
      <c r="K18" s="504">
        <f>+'Asset Classification'!J18</f>
        <v>0</v>
      </c>
      <c r="L18" s="505">
        <f>+'Asset Classification'!K18</f>
        <v>0</v>
      </c>
      <c r="M18" s="504">
        <f t="shared" si="3"/>
        <v>0</v>
      </c>
      <c r="N18" s="504">
        <f t="shared" si="4"/>
        <v>0</v>
      </c>
      <c r="O18" s="504">
        <f>+'Asset Classification'!L18</f>
        <v>0</v>
      </c>
      <c r="P18" s="504">
        <f t="shared" si="5"/>
        <v>0</v>
      </c>
      <c r="Q18" s="504">
        <f t="shared" si="6"/>
        <v>0</v>
      </c>
      <c r="R18" s="505">
        <f>+'Asset Classification'!M18</f>
        <v>0</v>
      </c>
      <c r="S18" s="504">
        <f>+'Asset Classification'!N18</f>
        <v>0</v>
      </c>
      <c r="T18" s="505">
        <f>+'Asset Classification'!O18</f>
        <v>0</v>
      </c>
      <c r="U18" s="504">
        <f t="shared" si="7"/>
        <v>0</v>
      </c>
      <c r="V18" s="504">
        <f t="shared" si="8"/>
        <v>0</v>
      </c>
      <c r="W18" s="504">
        <f>+'Asset Classification'!P18</f>
        <v>0</v>
      </c>
      <c r="X18" s="504">
        <f t="shared" si="9"/>
        <v>0</v>
      </c>
      <c r="Y18" s="504">
        <f t="shared" si="10"/>
        <v>0</v>
      </c>
      <c r="Z18" s="505">
        <f>+'Asset Classification'!Q18</f>
        <v>0</v>
      </c>
      <c r="AA18" s="504">
        <f>+'Asset Classification'!R18</f>
        <v>0</v>
      </c>
      <c r="AB18" s="505">
        <f>+'Asset Classification'!S18</f>
        <v>0</v>
      </c>
      <c r="AC18" s="504">
        <f t="shared" si="11"/>
        <v>0</v>
      </c>
      <c r="AD18" s="504">
        <f t="shared" si="12"/>
        <v>0</v>
      </c>
      <c r="AE18" s="504">
        <f>+'Asset Classification'!T18</f>
        <v>0</v>
      </c>
      <c r="AF18" s="504">
        <f t="shared" si="13"/>
        <v>0</v>
      </c>
      <c r="AG18" s="504">
        <f t="shared" si="14"/>
        <v>0</v>
      </c>
      <c r="AH18" s="505">
        <f>+'Asset Classification'!U18</f>
        <v>0</v>
      </c>
      <c r="AI18" s="504">
        <f>+'Asset Classification'!V18</f>
        <v>0</v>
      </c>
      <c r="AJ18" s="505">
        <f>+'Asset Classification'!W18</f>
        <v>0</v>
      </c>
      <c r="AK18" s="504">
        <f t="shared" si="15"/>
        <v>0</v>
      </c>
      <c r="AL18" s="504">
        <f t="shared" si="16"/>
        <v>0</v>
      </c>
      <c r="AM18" s="504">
        <f>+'Asset Classification'!X18</f>
        <v>0</v>
      </c>
      <c r="AN18" s="504">
        <f t="shared" si="17"/>
        <v>0</v>
      </c>
      <c r="AO18" s="504">
        <f t="shared" si="18"/>
        <v>0</v>
      </c>
      <c r="AP18" s="499">
        <f t="shared" si="19"/>
        <v>0</v>
      </c>
      <c r="AQ18" s="499">
        <f t="shared" si="19"/>
        <v>0</v>
      </c>
      <c r="AR18" s="499">
        <f t="shared" si="20"/>
        <v>0</v>
      </c>
      <c r="AS18" s="504">
        <f t="shared" si="0"/>
        <v>0</v>
      </c>
      <c r="AT18" s="504">
        <f t="shared" si="0"/>
        <v>0</v>
      </c>
      <c r="AU18" s="504">
        <f t="shared" si="21"/>
        <v>0</v>
      </c>
      <c r="AW18" s="234"/>
      <c r="AX18" s="234"/>
      <c r="AY18" s="234"/>
      <c r="AZ18" s="234"/>
      <c r="BA18" s="234"/>
      <c r="BB18" s="234"/>
      <c r="BC18" s="234"/>
    </row>
    <row r="19" spans="1:55" s="15" customFormat="1" ht="23.25" customHeight="1">
      <c r="A19" s="329">
        <v>7</v>
      </c>
      <c r="B19" s="148" t="s">
        <v>401</v>
      </c>
      <c r="C19" s="503">
        <f>+'Asset Classification'!C19</f>
        <v>24784649546</v>
      </c>
      <c r="D19" s="504">
        <f>+'Asset Classification'!D19</f>
        <v>18619483630</v>
      </c>
      <c r="E19" s="505">
        <f>+'Asset Classification'!E19</f>
        <v>20465632095</v>
      </c>
      <c r="F19" s="504">
        <f>+'Asset Classification'!F19</f>
        <v>16120791382</v>
      </c>
      <c r="G19" s="505">
        <f>+'Asset Classification'!G19</f>
        <v>204656322</v>
      </c>
      <c r="H19" s="504">
        <f t="shared" si="1"/>
        <v>204656320.95000002</v>
      </c>
      <c r="I19" s="504">
        <f t="shared" si="2"/>
        <v>1.0499999821186066</v>
      </c>
      <c r="J19" s="505">
        <f>+'Asset Classification'!I19</f>
        <v>3151391318</v>
      </c>
      <c r="K19" s="504">
        <f>+'Asset Classification'!J19</f>
        <v>1742099388</v>
      </c>
      <c r="L19" s="505">
        <f>+'Asset Classification'!K19</f>
        <v>306015397</v>
      </c>
      <c r="M19" s="504">
        <f t="shared" si="3"/>
        <v>315139131.80000001</v>
      </c>
      <c r="N19" s="504">
        <f t="shared" si="4"/>
        <v>-9123734.8000000119</v>
      </c>
      <c r="O19" s="504">
        <f>+'Asset Classification'!L19</f>
        <v>164856170</v>
      </c>
      <c r="P19" s="504">
        <f t="shared" si="5"/>
        <v>174209938.80000001</v>
      </c>
      <c r="Q19" s="504">
        <f t="shared" si="6"/>
        <v>-9353768.8000000119</v>
      </c>
      <c r="R19" s="505">
        <f>+'Asset Classification'!M19</f>
        <v>484458884</v>
      </c>
      <c r="S19" s="504">
        <f>+'Asset Classification'!N19</f>
        <v>263138435</v>
      </c>
      <c r="T19" s="505">
        <f>+'Asset Classification'!O19</f>
        <v>121114721</v>
      </c>
      <c r="U19" s="504">
        <f t="shared" si="7"/>
        <v>121114721</v>
      </c>
      <c r="V19" s="504">
        <f t="shared" si="8"/>
        <v>0</v>
      </c>
      <c r="W19" s="504">
        <f>+'Asset Classification'!P19</f>
        <v>65784610</v>
      </c>
      <c r="X19" s="504">
        <f t="shared" si="9"/>
        <v>65784608.75</v>
      </c>
      <c r="Y19" s="504">
        <f t="shared" si="10"/>
        <v>1.25</v>
      </c>
      <c r="Z19" s="505">
        <f>+'Asset Classification'!Q19</f>
        <v>665896409</v>
      </c>
      <c r="AA19" s="504">
        <f>+'Asset Classification'!R19</f>
        <v>488765692</v>
      </c>
      <c r="AB19" s="505">
        <f>+'Asset Classification'!S19</f>
        <v>332948207</v>
      </c>
      <c r="AC19" s="504">
        <f t="shared" si="11"/>
        <v>332948204.5</v>
      </c>
      <c r="AD19" s="504">
        <f t="shared" si="12"/>
        <v>2.5</v>
      </c>
      <c r="AE19" s="504">
        <f>+'Asset Classification'!T19</f>
        <v>244382848</v>
      </c>
      <c r="AF19" s="504">
        <f t="shared" si="13"/>
        <v>244382846</v>
      </c>
      <c r="AG19" s="504">
        <f t="shared" si="14"/>
        <v>2</v>
      </c>
      <c r="AH19" s="505">
        <f>+'Asset Classification'!U19</f>
        <v>17270840</v>
      </c>
      <c r="AI19" s="504">
        <f>+'Asset Classification'!V19</f>
        <v>4688733</v>
      </c>
      <c r="AJ19" s="505">
        <f>+'Asset Classification'!W19</f>
        <v>17270840</v>
      </c>
      <c r="AK19" s="504">
        <f t="shared" si="15"/>
        <v>17270840</v>
      </c>
      <c r="AL19" s="504">
        <f t="shared" si="16"/>
        <v>0</v>
      </c>
      <c r="AM19" s="504">
        <f>+'Asset Classification'!X19</f>
        <v>4688733</v>
      </c>
      <c r="AN19" s="504">
        <f t="shared" si="17"/>
        <v>4688733</v>
      </c>
      <c r="AO19" s="504">
        <f t="shared" si="18"/>
        <v>0</v>
      </c>
      <c r="AP19" s="499">
        <f t="shared" si="19"/>
        <v>777349165</v>
      </c>
      <c r="AQ19" s="499">
        <f t="shared" si="19"/>
        <v>786472897.29999995</v>
      </c>
      <c r="AR19" s="499">
        <f t="shared" si="20"/>
        <v>-9123732.2999999523</v>
      </c>
      <c r="AS19" s="504">
        <f t="shared" si="0"/>
        <v>479712361</v>
      </c>
      <c r="AT19" s="504">
        <f t="shared" si="0"/>
        <v>489066126.55000001</v>
      </c>
      <c r="AU19" s="504">
        <f t="shared" si="21"/>
        <v>-9353765.5500000119</v>
      </c>
      <c r="AV19" s="236">
        <f>+'Aging Analysis'!C15</f>
        <v>24784649546</v>
      </c>
      <c r="AW19" s="234"/>
      <c r="AX19" s="234"/>
      <c r="AY19" s="234"/>
      <c r="AZ19" s="234"/>
      <c r="BA19" s="234"/>
      <c r="BB19" s="234"/>
      <c r="BC19" s="234"/>
    </row>
    <row r="20" spans="1:55" s="15" customFormat="1" ht="14.25" customHeight="1">
      <c r="A20" s="329"/>
      <c r="B20" s="331" t="s">
        <v>660</v>
      </c>
      <c r="C20" s="503">
        <f>+'Asset Classification'!C20</f>
        <v>0</v>
      </c>
      <c r="D20" s="504">
        <f>+'Asset Classification'!D20</f>
        <v>0</v>
      </c>
      <c r="E20" s="505">
        <f>+'Asset Classification'!E20</f>
        <v>0</v>
      </c>
      <c r="F20" s="504">
        <f>+'Asset Classification'!F20</f>
        <v>0</v>
      </c>
      <c r="G20" s="505">
        <f>+'Asset Classification'!G20</f>
        <v>0</v>
      </c>
      <c r="H20" s="504">
        <f t="shared" si="1"/>
        <v>0</v>
      </c>
      <c r="I20" s="504">
        <f t="shared" si="2"/>
        <v>0</v>
      </c>
      <c r="J20" s="505">
        <f>+'Asset Classification'!I20</f>
        <v>0</v>
      </c>
      <c r="K20" s="504">
        <f>+'Asset Classification'!J20</f>
        <v>0</v>
      </c>
      <c r="L20" s="505">
        <f>+'Asset Classification'!K20</f>
        <v>0</v>
      </c>
      <c r="M20" s="504">
        <f t="shared" si="3"/>
        <v>0</v>
      </c>
      <c r="N20" s="504">
        <f t="shared" si="4"/>
        <v>0</v>
      </c>
      <c r="O20" s="504">
        <f>+'Asset Classification'!L20</f>
        <v>0</v>
      </c>
      <c r="P20" s="504">
        <f t="shared" si="5"/>
        <v>0</v>
      </c>
      <c r="Q20" s="504">
        <f t="shared" si="6"/>
        <v>0</v>
      </c>
      <c r="R20" s="505">
        <f>+'Asset Classification'!M20</f>
        <v>0</v>
      </c>
      <c r="S20" s="504">
        <f>+'Asset Classification'!N20</f>
        <v>0</v>
      </c>
      <c r="T20" s="505">
        <f>+'Asset Classification'!O20</f>
        <v>0</v>
      </c>
      <c r="U20" s="504">
        <f t="shared" si="7"/>
        <v>0</v>
      </c>
      <c r="V20" s="504">
        <f t="shared" si="8"/>
        <v>0</v>
      </c>
      <c r="W20" s="504">
        <f>+'Asset Classification'!P20</f>
        <v>0</v>
      </c>
      <c r="X20" s="504">
        <f t="shared" si="9"/>
        <v>0</v>
      </c>
      <c r="Y20" s="504">
        <f t="shared" si="10"/>
        <v>0</v>
      </c>
      <c r="Z20" s="505">
        <f>+'Asset Classification'!Q20</f>
        <v>0</v>
      </c>
      <c r="AA20" s="504">
        <f>+'Asset Classification'!R20</f>
        <v>0</v>
      </c>
      <c r="AB20" s="505">
        <f>+'Asset Classification'!S20</f>
        <v>0</v>
      </c>
      <c r="AC20" s="504">
        <f t="shared" si="11"/>
        <v>0</v>
      </c>
      <c r="AD20" s="504">
        <f t="shared" si="12"/>
        <v>0</v>
      </c>
      <c r="AE20" s="504">
        <f>+'Asset Classification'!T20</f>
        <v>0</v>
      </c>
      <c r="AF20" s="504">
        <f t="shared" si="13"/>
        <v>0</v>
      </c>
      <c r="AG20" s="504">
        <f t="shared" si="14"/>
        <v>0</v>
      </c>
      <c r="AH20" s="505">
        <f>+'Asset Classification'!U20</f>
        <v>0</v>
      </c>
      <c r="AI20" s="504">
        <f>+'Asset Classification'!V20</f>
        <v>0</v>
      </c>
      <c r="AJ20" s="505">
        <f>+'Asset Classification'!W20</f>
        <v>0</v>
      </c>
      <c r="AK20" s="504">
        <f t="shared" si="15"/>
        <v>0</v>
      </c>
      <c r="AL20" s="504">
        <f t="shared" si="16"/>
        <v>0</v>
      </c>
      <c r="AM20" s="504">
        <f>+'Asset Classification'!X20</f>
        <v>0</v>
      </c>
      <c r="AN20" s="504">
        <f t="shared" si="17"/>
        <v>0</v>
      </c>
      <c r="AO20" s="504">
        <f t="shared" si="18"/>
        <v>0</v>
      </c>
      <c r="AP20" s="499">
        <f t="shared" si="19"/>
        <v>0</v>
      </c>
      <c r="AQ20" s="499">
        <f t="shared" si="19"/>
        <v>0</v>
      </c>
      <c r="AR20" s="499">
        <f t="shared" si="20"/>
        <v>0</v>
      </c>
      <c r="AS20" s="504">
        <f t="shared" si="0"/>
        <v>0</v>
      </c>
      <c r="AT20" s="504">
        <f t="shared" si="0"/>
        <v>0</v>
      </c>
      <c r="AU20" s="504">
        <f t="shared" si="21"/>
        <v>0</v>
      </c>
      <c r="AW20" s="234"/>
      <c r="AX20" s="234"/>
      <c r="AY20" s="234"/>
      <c r="AZ20" s="234"/>
      <c r="BA20" s="234"/>
      <c r="BB20" s="234"/>
      <c r="BC20" s="234"/>
    </row>
    <row r="21" spans="1:55" s="15" customFormat="1" ht="23.25" customHeight="1">
      <c r="A21" s="329">
        <v>8</v>
      </c>
      <c r="B21" s="148" t="s">
        <v>663</v>
      </c>
      <c r="C21" s="503">
        <f>+'Asset Classification'!C21</f>
        <v>121348475</v>
      </c>
      <c r="D21" s="504">
        <f>+'Asset Classification'!D21</f>
        <v>93143676</v>
      </c>
      <c r="E21" s="505">
        <f>+'Asset Classification'!E21</f>
        <v>52486428</v>
      </c>
      <c r="F21" s="504">
        <f>+'Asset Classification'!F21</f>
        <v>31214867</v>
      </c>
      <c r="G21" s="505">
        <f>+'Asset Classification'!G21</f>
        <v>524864</v>
      </c>
      <c r="H21" s="504">
        <f t="shared" si="1"/>
        <v>524864.28</v>
      </c>
      <c r="I21" s="504">
        <f t="shared" si="2"/>
        <v>-0.28000000002793968</v>
      </c>
      <c r="J21" s="505">
        <f>+'Asset Classification'!I21</f>
        <v>51917814</v>
      </c>
      <c r="K21" s="504">
        <f>+'Asset Classification'!J21</f>
        <v>48554449</v>
      </c>
      <c r="L21" s="505">
        <f>+'Asset Classification'!K21</f>
        <v>5191781</v>
      </c>
      <c r="M21" s="504">
        <f t="shared" si="3"/>
        <v>5191781.4000000004</v>
      </c>
      <c r="N21" s="504">
        <f t="shared" si="4"/>
        <v>-0.40000000037252903</v>
      </c>
      <c r="O21" s="504">
        <f>+'Asset Classification'!L21</f>
        <v>4855445</v>
      </c>
      <c r="P21" s="504">
        <f t="shared" si="5"/>
        <v>4855444.9000000004</v>
      </c>
      <c r="Q21" s="504">
        <f t="shared" si="6"/>
        <v>9.999999962747097E-2</v>
      </c>
      <c r="R21" s="505">
        <f>+'Asset Classification'!M21</f>
        <v>1534407</v>
      </c>
      <c r="S21" s="504">
        <f>+'Asset Classification'!N21</f>
        <v>0</v>
      </c>
      <c r="T21" s="505">
        <f>+'Asset Classification'!O21</f>
        <v>383602</v>
      </c>
      <c r="U21" s="504">
        <f t="shared" si="7"/>
        <v>383601.75</v>
      </c>
      <c r="V21" s="504">
        <f t="shared" si="8"/>
        <v>0.25</v>
      </c>
      <c r="W21" s="504">
        <f>+'Asset Classification'!P21</f>
        <v>0</v>
      </c>
      <c r="X21" s="504">
        <f t="shared" si="9"/>
        <v>0</v>
      </c>
      <c r="Y21" s="504">
        <f t="shared" si="10"/>
        <v>0</v>
      </c>
      <c r="Z21" s="505">
        <f>+'Asset Classification'!Q21</f>
        <v>15409826</v>
      </c>
      <c r="AA21" s="504">
        <f>+'Asset Classification'!R21</f>
        <v>13374360</v>
      </c>
      <c r="AB21" s="505">
        <f>+'Asset Classification'!S21</f>
        <v>7704913</v>
      </c>
      <c r="AC21" s="504">
        <f t="shared" si="11"/>
        <v>7704913</v>
      </c>
      <c r="AD21" s="504">
        <f t="shared" si="12"/>
        <v>0</v>
      </c>
      <c r="AE21" s="504">
        <f>+'Asset Classification'!T21</f>
        <v>6687180</v>
      </c>
      <c r="AF21" s="504">
        <f t="shared" si="13"/>
        <v>6687180</v>
      </c>
      <c r="AG21" s="504">
        <f t="shared" si="14"/>
        <v>0</v>
      </c>
      <c r="AH21" s="505">
        <f>+'Asset Classification'!U21</f>
        <v>0</v>
      </c>
      <c r="AI21" s="504">
        <f>+'Asset Classification'!V21</f>
        <v>0</v>
      </c>
      <c r="AJ21" s="505">
        <f>+'Asset Classification'!W21</f>
        <v>0</v>
      </c>
      <c r="AK21" s="504">
        <f t="shared" si="15"/>
        <v>0</v>
      </c>
      <c r="AL21" s="504">
        <f t="shared" si="16"/>
        <v>0</v>
      </c>
      <c r="AM21" s="504">
        <f>+'Asset Classification'!X21</f>
        <v>0</v>
      </c>
      <c r="AN21" s="504">
        <f t="shared" si="17"/>
        <v>0</v>
      </c>
      <c r="AO21" s="504">
        <f t="shared" si="18"/>
        <v>0</v>
      </c>
      <c r="AP21" s="499">
        <f t="shared" si="19"/>
        <v>13280296</v>
      </c>
      <c r="AQ21" s="499">
        <f t="shared" si="19"/>
        <v>13280296.15</v>
      </c>
      <c r="AR21" s="499">
        <f t="shared" si="20"/>
        <v>-0.15000000037252903</v>
      </c>
      <c r="AS21" s="504">
        <f t="shared" si="0"/>
        <v>11542625</v>
      </c>
      <c r="AT21" s="504">
        <f t="shared" si="0"/>
        <v>11542624.9</v>
      </c>
      <c r="AU21" s="504">
        <f t="shared" si="21"/>
        <v>9.999999962747097E-2</v>
      </c>
      <c r="AV21" s="236">
        <f>+'Aging Analysis'!C16</f>
        <v>121348475</v>
      </c>
      <c r="AW21" s="234"/>
      <c r="AX21" s="234"/>
      <c r="AY21" s="234"/>
      <c r="AZ21" s="234"/>
      <c r="BA21" s="234"/>
      <c r="BB21" s="234"/>
      <c r="BC21" s="234"/>
    </row>
    <row r="22" spans="1:55" s="15" customFormat="1" ht="14.25" customHeight="1">
      <c r="A22" s="329"/>
      <c r="B22" s="331" t="s">
        <v>660</v>
      </c>
      <c r="C22" s="503">
        <f>+'Asset Classification'!C22</f>
        <v>0</v>
      </c>
      <c r="D22" s="504">
        <f>+'Asset Classification'!D22</f>
        <v>0</v>
      </c>
      <c r="E22" s="505">
        <f>+'Asset Classification'!E22</f>
        <v>0</v>
      </c>
      <c r="F22" s="504">
        <f>+'Asset Classification'!F22</f>
        <v>0</v>
      </c>
      <c r="G22" s="505">
        <f>+'Asset Classification'!G22</f>
        <v>0</v>
      </c>
      <c r="H22" s="504">
        <f t="shared" si="1"/>
        <v>0</v>
      </c>
      <c r="I22" s="504">
        <f t="shared" si="2"/>
        <v>0</v>
      </c>
      <c r="J22" s="505">
        <f>+'Asset Classification'!I22</f>
        <v>0</v>
      </c>
      <c r="K22" s="504">
        <f>+'Asset Classification'!J22</f>
        <v>0</v>
      </c>
      <c r="L22" s="505">
        <f>+'Asset Classification'!K22</f>
        <v>0</v>
      </c>
      <c r="M22" s="504">
        <f t="shared" si="3"/>
        <v>0</v>
      </c>
      <c r="N22" s="504">
        <f t="shared" si="4"/>
        <v>0</v>
      </c>
      <c r="O22" s="504">
        <f>+'Asset Classification'!L22</f>
        <v>0</v>
      </c>
      <c r="P22" s="504">
        <f t="shared" si="5"/>
        <v>0</v>
      </c>
      <c r="Q22" s="504">
        <f t="shared" si="6"/>
        <v>0</v>
      </c>
      <c r="R22" s="505">
        <f>+'Asset Classification'!M22</f>
        <v>0</v>
      </c>
      <c r="S22" s="504">
        <f>+'Asset Classification'!N22</f>
        <v>0</v>
      </c>
      <c r="T22" s="505">
        <f>+'Asset Classification'!O22</f>
        <v>0</v>
      </c>
      <c r="U22" s="504">
        <f t="shared" si="7"/>
        <v>0</v>
      </c>
      <c r="V22" s="504">
        <f t="shared" si="8"/>
        <v>0</v>
      </c>
      <c r="W22" s="504">
        <f>+'Asset Classification'!P22</f>
        <v>0</v>
      </c>
      <c r="X22" s="504">
        <f t="shared" si="9"/>
        <v>0</v>
      </c>
      <c r="Y22" s="504">
        <f t="shared" si="10"/>
        <v>0</v>
      </c>
      <c r="Z22" s="505">
        <f>+'Asset Classification'!Q22</f>
        <v>0</v>
      </c>
      <c r="AA22" s="504">
        <f>+'Asset Classification'!R22</f>
        <v>0</v>
      </c>
      <c r="AB22" s="505">
        <f>+'Asset Classification'!S22</f>
        <v>0</v>
      </c>
      <c r="AC22" s="504">
        <f t="shared" si="11"/>
        <v>0</v>
      </c>
      <c r="AD22" s="504">
        <f t="shared" si="12"/>
        <v>0</v>
      </c>
      <c r="AE22" s="504">
        <f>+'Asset Classification'!T22</f>
        <v>0</v>
      </c>
      <c r="AF22" s="504">
        <f t="shared" si="13"/>
        <v>0</v>
      </c>
      <c r="AG22" s="504">
        <f t="shared" si="14"/>
        <v>0</v>
      </c>
      <c r="AH22" s="505">
        <f>+'Asset Classification'!U22</f>
        <v>0</v>
      </c>
      <c r="AI22" s="504">
        <f>+'Asset Classification'!V22</f>
        <v>0</v>
      </c>
      <c r="AJ22" s="505">
        <f>+'Asset Classification'!W22</f>
        <v>0</v>
      </c>
      <c r="AK22" s="504">
        <f t="shared" si="15"/>
        <v>0</v>
      </c>
      <c r="AL22" s="504">
        <f t="shared" si="16"/>
        <v>0</v>
      </c>
      <c r="AM22" s="504">
        <f>+'Asset Classification'!X22</f>
        <v>0</v>
      </c>
      <c r="AN22" s="504">
        <f t="shared" si="17"/>
        <v>0</v>
      </c>
      <c r="AO22" s="504">
        <f t="shared" si="18"/>
        <v>0</v>
      </c>
      <c r="AP22" s="499">
        <f t="shared" si="19"/>
        <v>0</v>
      </c>
      <c r="AQ22" s="499">
        <f t="shared" si="19"/>
        <v>0</v>
      </c>
      <c r="AR22" s="499">
        <f t="shared" si="20"/>
        <v>0</v>
      </c>
      <c r="AS22" s="504">
        <f t="shared" si="0"/>
        <v>0</v>
      </c>
      <c r="AT22" s="504">
        <f t="shared" si="0"/>
        <v>0</v>
      </c>
      <c r="AU22" s="504">
        <f t="shared" si="21"/>
        <v>0</v>
      </c>
      <c r="AW22" s="234"/>
      <c r="AX22" s="234"/>
      <c r="AY22" s="234"/>
      <c r="AZ22" s="234"/>
      <c r="BA22" s="234"/>
      <c r="BB22" s="234"/>
      <c r="BC22" s="234"/>
    </row>
    <row r="23" spans="1:55" s="15" customFormat="1" ht="23.25" customHeight="1">
      <c r="A23" s="329">
        <v>9</v>
      </c>
      <c r="B23" s="148" t="s">
        <v>664</v>
      </c>
      <c r="C23" s="503">
        <f>+'Asset Classification'!C23</f>
        <v>2946729</v>
      </c>
      <c r="D23" s="504">
        <f>+'Asset Classification'!D23</f>
        <v>0</v>
      </c>
      <c r="E23" s="505">
        <f>+'Asset Classification'!E23</f>
        <v>2500000</v>
      </c>
      <c r="F23" s="504">
        <f>+'Asset Classification'!F23</f>
        <v>0</v>
      </c>
      <c r="G23" s="505">
        <f>+'Asset Classification'!G23</f>
        <v>25000</v>
      </c>
      <c r="H23" s="504">
        <f t="shared" si="1"/>
        <v>25000</v>
      </c>
      <c r="I23" s="504">
        <f t="shared" si="2"/>
        <v>0</v>
      </c>
      <c r="J23" s="505">
        <f>+'Asset Classification'!I23</f>
        <v>0</v>
      </c>
      <c r="K23" s="504">
        <f>+'Asset Classification'!J23</f>
        <v>0</v>
      </c>
      <c r="L23" s="505">
        <f>+'Asset Classification'!K23</f>
        <v>0</v>
      </c>
      <c r="M23" s="504">
        <f t="shared" si="3"/>
        <v>0</v>
      </c>
      <c r="N23" s="504">
        <f t="shared" si="4"/>
        <v>0</v>
      </c>
      <c r="O23" s="504">
        <f>+'Asset Classification'!L23</f>
        <v>0</v>
      </c>
      <c r="P23" s="504">
        <f t="shared" si="5"/>
        <v>0</v>
      </c>
      <c r="Q23" s="504">
        <f t="shared" si="6"/>
        <v>0</v>
      </c>
      <c r="R23" s="505">
        <f>+'Asset Classification'!M23</f>
        <v>0</v>
      </c>
      <c r="S23" s="504">
        <f>+'Asset Classification'!N23</f>
        <v>0</v>
      </c>
      <c r="T23" s="505">
        <f>+'Asset Classification'!O23</f>
        <v>0</v>
      </c>
      <c r="U23" s="504">
        <f t="shared" si="7"/>
        <v>0</v>
      </c>
      <c r="V23" s="504">
        <f t="shared" si="8"/>
        <v>0</v>
      </c>
      <c r="W23" s="504">
        <f>+'Asset Classification'!P23</f>
        <v>0</v>
      </c>
      <c r="X23" s="504">
        <f t="shared" si="9"/>
        <v>0</v>
      </c>
      <c r="Y23" s="504">
        <f t="shared" si="10"/>
        <v>0</v>
      </c>
      <c r="Z23" s="505">
        <f>+'Asset Classification'!Q23</f>
        <v>446729</v>
      </c>
      <c r="AA23" s="504">
        <f>+'Asset Classification'!R23</f>
        <v>0</v>
      </c>
      <c r="AB23" s="505">
        <f>+'Asset Classification'!S23</f>
        <v>223364</v>
      </c>
      <c r="AC23" s="504">
        <f t="shared" si="11"/>
        <v>223364.5</v>
      </c>
      <c r="AD23" s="504">
        <f t="shared" si="12"/>
        <v>-0.5</v>
      </c>
      <c r="AE23" s="504">
        <f>+'Asset Classification'!T23</f>
        <v>0</v>
      </c>
      <c r="AF23" s="504">
        <f t="shared" si="13"/>
        <v>0</v>
      </c>
      <c r="AG23" s="504">
        <f t="shared" si="14"/>
        <v>0</v>
      </c>
      <c r="AH23" s="505">
        <f>+'Asset Classification'!U23</f>
        <v>0</v>
      </c>
      <c r="AI23" s="504">
        <f>+'Asset Classification'!V23</f>
        <v>0</v>
      </c>
      <c r="AJ23" s="505">
        <f>+'Asset Classification'!W23</f>
        <v>0</v>
      </c>
      <c r="AK23" s="504">
        <f t="shared" si="15"/>
        <v>0</v>
      </c>
      <c r="AL23" s="504">
        <f t="shared" si="16"/>
        <v>0</v>
      </c>
      <c r="AM23" s="504">
        <f>+'Asset Classification'!X23</f>
        <v>0</v>
      </c>
      <c r="AN23" s="504">
        <f t="shared" si="17"/>
        <v>0</v>
      </c>
      <c r="AO23" s="504">
        <f t="shared" si="18"/>
        <v>0</v>
      </c>
      <c r="AP23" s="499">
        <f t="shared" si="19"/>
        <v>223364</v>
      </c>
      <c r="AQ23" s="499">
        <f t="shared" si="19"/>
        <v>223364.5</v>
      </c>
      <c r="AR23" s="499">
        <f t="shared" si="20"/>
        <v>-0.5</v>
      </c>
      <c r="AS23" s="504">
        <f t="shared" si="0"/>
        <v>0</v>
      </c>
      <c r="AT23" s="504">
        <f t="shared" si="0"/>
        <v>0</v>
      </c>
      <c r="AU23" s="504">
        <f t="shared" si="21"/>
        <v>0</v>
      </c>
      <c r="AV23" s="236">
        <f>+'Aging Analysis'!C17</f>
        <v>2946729</v>
      </c>
      <c r="AW23" s="234"/>
      <c r="AX23" s="234"/>
      <c r="AY23" s="234"/>
      <c r="AZ23" s="234"/>
      <c r="BA23" s="234"/>
      <c r="BB23" s="234"/>
      <c r="BC23" s="234"/>
    </row>
    <row r="24" spans="1:55" s="15" customFormat="1" ht="14.25" customHeight="1">
      <c r="A24" s="329"/>
      <c r="B24" s="331" t="s">
        <v>660</v>
      </c>
      <c r="C24" s="503">
        <f>+'Asset Classification'!C24</f>
        <v>0</v>
      </c>
      <c r="D24" s="504">
        <f>+'Asset Classification'!D24</f>
        <v>0</v>
      </c>
      <c r="E24" s="505">
        <f>+'Asset Classification'!E24</f>
        <v>0</v>
      </c>
      <c r="F24" s="504">
        <f>+'Asset Classification'!F24</f>
        <v>0</v>
      </c>
      <c r="G24" s="505">
        <f>+'Asset Classification'!G24</f>
        <v>0</v>
      </c>
      <c r="H24" s="504">
        <f t="shared" si="1"/>
        <v>0</v>
      </c>
      <c r="I24" s="504">
        <f t="shared" si="2"/>
        <v>0</v>
      </c>
      <c r="J24" s="505">
        <f>+'Asset Classification'!I24</f>
        <v>0</v>
      </c>
      <c r="K24" s="504">
        <f>+'Asset Classification'!J24</f>
        <v>0</v>
      </c>
      <c r="L24" s="505">
        <f>+'Asset Classification'!K24</f>
        <v>0</v>
      </c>
      <c r="M24" s="504">
        <f t="shared" si="3"/>
        <v>0</v>
      </c>
      <c r="N24" s="504">
        <f t="shared" si="4"/>
        <v>0</v>
      </c>
      <c r="O24" s="504">
        <f>+'Asset Classification'!L24</f>
        <v>0</v>
      </c>
      <c r="P24" s="504">
        <f t="shared" si="5"/>
        <v>0</v>
      </c>
      <c r="Q24" s="504">
        <f t="shared" si="6"/>
        <v>0</v>
      </c>
      <c r="R24" s="505">
        <f>+'Asset Classification'!M24</f>
        <v>0</v>
      </c>
      <c r="S24" s="504">
        <f>+'Asset Classification'!N24</f>
        <v>0</v>
      </c>
      <c r="T24" s="505">
        <f>+'Asset Classification'!O24</f>
        <v>0</v>
      </c>
      <c r="U24" s="504">
        <f t="shared" si="7"/>
        <v>0</v>
      </c>
      <c r="V24" s="504">
        <f t="shared" si="8"/>
        <v>0</v>
      </c>
      <c r="W24" s="504">
        <f>+'Asset Classification'!P24</f>
        <v>0</v>
      </c>
      <c r="X24" s="504">
        <f t="shared" si="9"/>
        <v>0</v>
      </c>
      <c r="Y24" s="504">
        <f t="shared" si="10"/>
        <v>0</v>
      </c>
      <c r="Z24" s="505">
        <f>+'Asset Classification'!Q24</f>
        <v>0</v>
      </c>
      <c r="AA24" s="504">
        <f>+'Asset Classification'!R24</f>
        <v>0</v>
      </c>
      <c r="AB24" s="505">
        <f>+'Asset Classification'!S24</f>
        <v>0</v>
      </c>
      <c r="AC24" s="504">
        <f t="shared" si="11"/>
        <v>0</v>
      </c>
      <c r="AD24" s="504">
        <f t="shared" si="12"/>
        <v>0</v>
      </c>
      <c r="AE24" s="504">
        <f>+'Asset Classification'!T24</f>
        <v>0</v>
      </c>
      <c r="AF24" s="504">
        <f t="shared" si="13"/>
        <v>0</v>
      </c>
      <c r="AG24" s="504">
        <f t="shared" si="14"/>
        <v>0</v>
      </c>
      <c r="AH24" s="505">
        <f>+'Asset Classification'!U24</f>
        <v>0</v>
      </c>
      <c r="AI24" s="504">
        <f>+'Asset Classification'!V24</f>
        <v>0</v>
      </c>
      <c r="AJ24" s="505">
        <f>+'Asset Classification'!W24</f>
        <v>0</v>
      </c>
      <c r="AK24" s="504">
        <f t="shared" si="15"/>
        <v>0</v>
      </c>
      <c r="AL24" s="504">
        <f t="shared" si="16"/>
        <v>0</v>
      </c>
      <c r="AM24" s="504">
        <f>+'Asset Classification'!X24</f>
        <v>0</v>
      </c>
      <c r="AN24" s="504">
        <f t="shared" si="17"/>
        <v>0</v>
      </c>
      <c r="AO24" s="504">
        <f t="shared" si="18"/>
        <v>0</v>
      </c>
      <c r="AP24" s="499">
        <f t="shared" si="19"/>
        <v>0</v>
      </c>
      <c r="AQ24" s="499">
        <f t="shared" si="19"/>
        <v>0</v>
      </c>
      <c r="AR24" s="499">
        <f t="shared" si="20"/>
        <v>0</v>
      </c>
      <c r="AS24" s="504">
        <f t="shared" si="0"/>
        <v>0</v>
      </c>
      <c r="AT24" s="504">
        <f t="shared" si="0"/>
        <v>0</v>
      </c>
      <c r="AU24" s="504">
        <f t="shared" si="21"/>
        <v>0</v>
      </c>
      <c r="AW24" s="234"/>
      <c r="AX24" s="234"/>
      <c r="AY24" s="234"/>
      <c r="AZ24" s="234"/>
      <c r="BA24" s="234"/>
      <c r="BB24" s="234"/>
      <c r="BC24" s="234"/>
    </row>
    <row r="25" spans="1:55" s="15" customFormat="1" ht="23.25" customHeight="1">
      <c r="A25" s="329">
        <v>10</v>
      </c>
      <c r="B25" s="148" t="s">
        <v>665</v>
      </c>
      <c r="C25" s="503">
        <f>+'Asset Classification'!C25</f>
        <v>1605566</v>
      </c>
      <c r="D25" s="504">
        <f>+'Asset Classification'!D25</f>
        <v>0</v>
      </c>
      <c r="E25" s="505">
        <f>+'Asset Classification'!E25</f>
        <v>1467441</v>
      </c>
      <c r="F25" s="504">
        <f>+'Asset Classification'!F25</f>
        <v>0</v>
      </c>
      <c r="G25" s="505">
        <f>+'Asset Classification'!G25</f>
        <v>14674</v>
      </c>
      <c r="H25" s="504">
        <f t="shared" si="1"/>
        <v>14674.41</v>
      </c>
      <c r="I25" s="504">
        <f t="shared" si="2"/>
        <v>-0.40999999999985448</v>
      </c>
      <c r="J25" s="505">
        <f>+'Asset Classification'!I25</f>
        <v>0</v>
      </c>
      <c r="K25" s="504">
        <f>+'Asset Classification'!J25</f>
        <v>0</v>
      </c>
      <c r="L25" s="505">
        <f>+'Asset Classification'!K25</f>
        <v>0</v>
      </c>
      <c r="M25" s="504">
        <f t="shared" si="3"/>
        <v>0</v>
      </c>
      <c r="N25" s="504">
        <f t="shared" si="4"/>
        <v>0</v>
      </c>
      <c r="O25" s="504">
        <f>+'Asset Classification'!L25</f>
        <v>0</v>
      </c>
      <c r="P25" s="504">
        <f t="shared" si="5"/>
        <v>0</v>
      </c>
      <c r="Q25" s="504">
        <f t="shared" si="6"/>
        <v>0</v>
      </c>
      <c r="R25" s="505">
        <f>+'Asset Classification'!M25</f>
        <v>138125</v>
      </c>
      <c r="S25" s="504">
        <f>+'Asset Classification'!N25</f>
        <v>0</v>
      </c>
      <c r="T25" s="505">
        <f>+'Asset Classification'!O25</f>
        <v>34531</v>
      </c>
      <c r="U25" s="504">
        <f t="shared" si="7"/>
        <v>34531.25</v>
      </c>
      <c r="V25" s="504">
        <f t="shared" si="8"/>
        <v>-0.25</v>
      </c>
      <c r="W25" s="504">
        <f>+'Asset Classification'!P25</f>
        <v>0</v>
      </c>
      <c r="X25" s="504">
        <f t="shared" si="9"/>
        <v>0</v>
      </c>
      <c r="Y25" s="504">
        <f t="shared" si="10"/>
        <v>0</v>
      </c>
      <c r="Z25" s="505">
        <f>+'Asset Classification'!Q25</f>
        <v>0</v>
      </c>
      <c r="AA25" s="504">
        <f>+'Asset Classification'!R25</f>
        <v>0</v>
      </c>
      <c r="AB25" s="505">
        <f>+'Asset Classification'!S25</f>
        <v>0</v>
      </c>
      <c r="AC25" s="504">
        <f t="shared" si="11"/>
        <v>0</v>
      </c>
      <c r="AD25" s="504">
        <f t="shared" si="12"/>
        <v>0</v>
      </c>
      <c r="AE25" s="504">
        <f>+'Asset Classification'!T25</f>
        <v>0</v>
      </c>
      <c r="AF25" s="504">
        <f t="shared" si="13"/>
        <v>0</v>
      </c>
      <c r="AG25" s="504">
        <f t="shared" si="14"/>
        <v>0</v>
      </c>
      <c r="AH25" s="505">
        <f>+'Asset Classification'!U25</f>
        <v>0</v>
      </c>
      <c r="AI25" s="504">
        <f>+'Asset Classification'!V25</f>
        <v>0</v>
      </c>
      <c r="AJ25" s="505">
        <f>+'Asset Classification'!W25</f>
        <v>0</v>
      </c>
      <c r="AK25" s="504">
        <f t="shared" si="15"/>
        <v>0</v>
      </c>
      <c r="AL25" s="504">
        <f t="shared" si="16"/>
        <v>0</v>
      </c>
      <c r="AM25" s="504">
        <f>+'Asset Classification'!X25</f>
        <v>0</v>
      </c>
      <c r="AN25" s="504">
        <f t="shared" si="17"/>
        <v>0</v>
      </c>
      <c r="AO25" s="504">
        <f t="shared" si="18"/>
        <v>0</v>
      </c>
      <c r="AP25" s="499">
        <f t="shared" si="19"/>
        <v>34531</v>
      </c>
      <c r="AQ25" s="499">
        <f t="shared" si="19"/>
        <v>34531.25</v>
      </c>
      <c r="AR25" s="499">
        <f t="shared" si="20"/>
        <v>-0.25</v>
      </c>
      <c r="AS25" s="504">
        <f t="shared" si="0"/>
        <v>0</v>
      </c>
      <c r="AT25" s="504">
        <f t="shared" si="0"/>
        <v>0</v>
      </c>
      <c r="AU25" s="504">
        <f t="shared" si="21"/>
        <v>0</v>
      </c>
      <c r="AV25" s="236">
        <f>+'Aging Analysis'!C18</f>
        <v>1605566</v>
      </c>
      <c r="AW25" s="234"/>
      <c r="AX25" s="234"/>
      <c r="AY25" s="234"/>
      <c r="AZ25" s="234"/>
      <c r="BA25" s="234"/>
      <c r="BB25" s="234"/>
      <c r="BC25" s="234"/>
    </row>
    <row r="26" spans="1:55" s="15" customFormat="1" ht="14.25" customHeight="1">
      <c r="A26" s="329"/>
      <c r="B26" s="331" t="s">
        <v>660</v>
      </c>
      <c r="C26" s="503">
        <f>+'Asset Classification'!C26</f>
        <v>0</v>
      </c>
      <c r="D26" s="504">
        <f>+'Asset Classification'!D26</f>
        <v>0</v>
      </c>
      <c r="E26" s="505">
        <f>+'Asset Classification'!E26</f>
        <v>0</v>
      </c>
      <c r="F26" s="504">
        <f>+'Asset Classification'!F26</f>
        <v>0</v>
      </c>
      <c r="G26" s="505">
        <f>+'Asset Classification'!G26</f>
        <v>0</v>
      </c>
      <c r="H26" s="504">
        <f t="shared" si="1"/>
        <v>0</v>
      </c>
      <c r="I26" s="504">
        <f t="shared" si="2"/>
        <v>0</v>
      </c>
      <c r="J26" s="505">
        <f>+'Asset Classification'!I26</f>
        <v>0</v>
      </c>
      <c r="K26" s="504">
        <f>+'Asset Classification'!J26</f>
        <v>0</v>
      </c>
      <c r="L26" s="505">
        <f>+'Asset Classification'!K26</f>
        <v>0</v>
      </c>
      <c r="M26" s="504">
        <f t="shared" si="3"/>
        <v>0</v>
      </c>
      <c r="N26" s="504">
        <f t="shared" si="4"/>
        <v>0</v>
      </c>
      <c r="O26" s="504">
        <f>+'Asset Classification'!L26</f>
        <v>0</v>
      </c>
      <c r="P26" s="504">
        <f t="shared" si="5"/>
        <v>0</v>
      </c>
      <c r="Q26" s="504">
        <f t="shared" si="6"/>
        <v>0</v>
      </c>
      <c r="R26" s="505">
        <f>+'Asset Classification'!M26</f>
        <v>0</v>
      </c>
      <c r="S26" s="504">
        <f>+'Asset Classification'!N26</f>
        <v>0</v>
      </c>
      <c r="T26" s="505">
        <f>+'Asset Classification'!O26</f>
        <v>0</v>
      </c>
      <c r="U26" s="504">
        <f t="shared" si="7"/>
        <v>0</v>
      </c>
      <c r="V26" s="504">
        <f t="shared" si="8"/>
        <v>0</v>
      </c>
      <c r="W26" s="504">
        <f>+'Asset Classification'!P26</f>
        <v>0</v>
      </c>
      <c r="X26" s="504">
        <f t="shared" si="9"/>
        <v>0</v>
      </c>
      <c r="Y26" s="504">
        <f t="shared" si="10"/>
        <v>0</v>
      </c>
      <c r="Z26" s="505">
        <f>+'Asset Classification'!Q26</f>
        <v>0</v>
      </c>
      <c r="AA26" s="504">
        <f>+'Asset Classification'!R26</f>
        <v>0</v>
      </c>
      <c r="AB26" s="505">
        <f>+'Asset Classification'!S26</f>
        <v>0</v>
      </c>
      <c r="AC26" s="504">
        <f t="shared" si="11"/>
        <v>0</v>
      </c>
      <c r="AD26" s="504">
        <f t="shared" si="12"/>
        <v>0</v>
      </c>
      <c r="AE26" s="504">
        <f>+'Asset Classification'!T26</f>
        <v>0</v>
      </c>
      <c r="AF26" s="504">
        <f t="shared" si="13"/>
        <v>0</v>
      </c>
      <c r="AG26" s="504">
        <f t="shared" si="14"/>
        <v>0</v>
      </c>
      <c r="AH26" s="505">
        <f>+'Asset Classification'!U26</f>
        <v>0</v>
      </c>
      <c r="AI26" s="504">
        <f>+'Asset Classification'!V26</f>
        <v>0</v>
      </c>
      <c r="AJ26" s="505">
        <f>+'Asset Classification'!W26</f>
        <v>0</v>
      </c>
      <c r="AK26" s="504">
        <f t="shared" si="15"/>
        <v>0</v>
      </c>
      <c r="AL26" s="504">
        <f t="shared" si="16"/>
        <v>0</v>
      </c>
      <c r="AM26" s="504">
        <f>+'Asset Classification'!X26</f>
        <v>0</v>
      </c>
      <c r="AN26" s="504">
        <f t="shared" si="17"/>
        <v>0</v>
      </c>
      <c r="AO26" s="504">
        <f t="shared" si="18"/>
        <v>0</v>
      </c>
      <c r="AP26" s="499">
        <f t="shared" si="19"/>
        <v>0</v>
      </c>
      <c r="AQ26" s="499">
        <f t="shared" si="19"/>
        <v>0</v>
      </c>
      <c r="AR26" s="499">
        <f t="shared" si="20"/>
        <v>0</v>
      </c>
      <c r="AS26" s="504">
        <f t="shared" si="0"/>
        <v>0</v>
      </c>
      <c r="AT26" s="504">
        <f t="shared" si="0"/>
        <v>0</v>
      </c>
      <c r="AU26" s="504">
        <f t="shared" si="21"/>
        <v>0</v>
      </c>
      <c r="AW26" s="234"/>
      <c r="AX26" s="234"/>
      <c r="AY26" s="234"/>
      <c r="AZ26" s="234"/>
      <c r="BA26" s="234"/>
      <c r="BB26" s="234"/>
      <c r="BC26" s="234"/>
    </row>
    <row r="27" spans="1:55" s="15" customFormat="1" ht="23.25" customHeight="1">
      <c r="A27" s="329">
        <v>11</v>
      </c>
      <c r="B27" s="148" t="s">
        <v>666</v>
      </c>
      <c r="C27" s="503">
        <f>+'Asset Classification'!C27</f>
        <v>0</v>
      </c>
      <c r="D27" s="504">
        <f>+'Asset Classification'!D27</f>
        <v>0</v>
      </c>
      <c r="E27" s="505">
        <f>+'Asset Classification'!E27</f>
        <v>0</v>
      </c>
      <c r="F27" s="504">
        <f>+'Asset Classification'!F27</f>
        <v>0</v>
      </c>
      <c r="G27" s="505">
        <f>+'Asset Classification'!G27</f>
        <v>0</v>
      </c>
      <c r="H27" s="504">
        <f t="shared" si="1"/>
        <v>0</v>
      </c>
      <c r="I27" s="504">
        <f t="shared" si="2"/>
        <v>0</v>
      </c>
      <c r="J27" s="505">
        <f>+'Asset Classification'!I27</f>
        <v>0</v>
      </c>
      <c r="K27" s="504">
        <f>+'Asset Classification'!J27</f>
        <v>0</v>
      </c>
      <c r="L27" s="505">
        <f>+'Asset Classification'!K27</f>
        <v>0</v>
      </c>
      <c r="M27" s="504">
        <f t="shared" si="3"/>
        <v>0</v>
      </c>
      <c r="N27" s="504">
        <f t="shared" si="4"/>
        <v>0</v>
      </c>
      <c r="O27" s="504">
        <f>+'Asset Classification'!L27</f>
        <v>0</v>
      </c>
      <c r="P27" s="504">
        <f t="shared" si="5"/>
        <v>0</v>
      </c>
      <c r="Q27" s="504">
        <f t="shared" si="6"/>
        <v>0</v>
      </c>
      <c r="R27" s="505">
        <f>+'Asset Classification'!M27</f>
        <v>0</v>
      </c>
      <c r="S27" s="504">
        <f>+'Asset Classification'!N27</f>
        <v>0</v>
      </c>
      <c r="T27" s="505">
        <f>+'Asset Classification'!O27</f>
        <v>0</v>
      </c>
      <c r="U27" s="504">
        <f t="shared" si="7"/>
        <v>0</v>
      </c>
      <c r="V27" s="504">
        <f t="shared" si="8"/>
        <v>0</v>
      </c>
      <c r="W27" s="504">
        <f>+'Asset Classification'!P27</f>
        <v>0</v>
      </c>
      <c r="X27" s="504">
        <f t="shared" si="9"/>
        <v>0</v>
      </c>
      <c r="Y27" s="504">
        <f t="shared" si="10"/>
        <v>0</v>
      </c>
      <c r="Z27" s="505">
        <f>+'Asset Classification'!Q27</f>
        <v>0</v>
      </c>
      <c r="AA27" s="504">
        <f>+'Asset Classification'!R27</f>
        <v>0</v>
      </c>
      <c r="AB27" s="505">
        <f>+'Asset Classification'!S27</f>
        <v>0</v>
      </c>
      <c r="AC27" s="504">
        <f t="shared" si="11"/>
        <v>0</v>
      </c>
      <c r="AD27" s="504">
        <f t="shared" si="12"/>
        <v>0</v>
      </c>
      <c r="AE27" s="504">
        <f>+'Asset Classification'!T27</f>
        <v>0</v>
      </c>
      <c r="AF27" s="504">
        <f t="shared" si="13"/>
        <v>0</v>
      </c>
      <c r="AG27" s="504">
        <f t="shared" si="14"/>
        <v>0</v>
      </c>
      <c r="AH27" s="505">
        <f>+'Asset Classification'!U27</f>
        <v>0</v>
      </c>
      <c r="AI27" s="504">
        <f>+'Asset Classification'!V27</f>
        <v>0</v>
      </c>
      <c r="AJ27" s="505">
        <f>+'Asset Classification'!W27</f>
        <v>0</v>
      </c>
      <c r="AK27" s="504">
        <f t="shared" si="15"/>
        <v>0</v>
      </c>
      <c r="AL27" s="504">
        <f t="shared" si="16"/>
        <v>0</v>
      </c>
      <c r="AM27" s="504">
        <f>+'Asset Classification'!X27</f>
        <v>0</v>
      </c>
      <c r="AN27" s="504">
        <f t="shared" si="17"/>
        <v>0</v>
      </c>
      <c r="AO27" s="504">
        <f t="shared" si="18"/>
        <v>0</v>
      </c>
      <c r="AP27" s="499">
        <f t="shared" si="19"/>
        <v>0</v>
      </c>
      <c r="AQ27" s="499">
        <f t="shared" si="19"/>
        <v>0</v>
      </c>
      <c r="AR27" s="499">
        <f t="shared" si="20"/>
        <v>0</v>
      </c>
      <c r="AS27" s="504">
        <f t="shared" si="0"/>
        <v>0</v>
      </c>
      <c r="AT27" s="504">
        <f t="shared" si="0"/>
        <v>0</v>
      </c>
      <c r="AU27" s="504">
        <f t="shared" si="21"/>
        <v>0</v>
      </c>
      <c r="AV27" s="236">
        <f>+'Aging Analysis'!C19</f>
        <v>0</v>
      </c>
      <c r="AW27" s="234"/>
      <c r="AX27" s="234"/>
      <c r="AY27" s="234"/>
      <c r="AZ27" s="234"/>
      <c r="BA27" s="234"/>
      <c r="BB27" s="234"/>
      <c r="BC27" s="234"/>
    </row>
    <row r="28" spans="1:55" s="15" customFormat="1" ht="14.25" customHeight="1">
      <c r="A28" s="329"/>
      <c r="B28" s="331" t="s">
        <v>660</v>
      </c>
      <c r="C28" s="503">
        <f>+'Asset Classification'!C28</f>
        <v>0</v>
      </c>
      <c r="D28" s="504">
        <f>+'Asset Classification'!D28</f>
        <v>0</v>
      </c>
      <c r="E28" s="505">
        <f>+'Asset Classification'!E28</f>
        <v>0</v>
      </c>
      <c r="F28" s="504">
        <f>+'Asset Classification'!F28</f>
        <v>0</v>
      </c>
      <c r="G28" s="505">
        <f>+'Asset Classification'!G28</f>
        <v>0</v>
      </c>
      <c r="H28" s="504">
        <f t="shared" si="1"/>
        <v>0</v>
      </c>
      <c r="I28" s="504">
        <f t="shared" si="2"/>
        <v>0</v>
      </c>
      <c r="J28" s="505">
        <f>+'Asset Classification'!I28</f>
        <v>0</v>
      </c>
      <c r="K28" s="504">
        <f>+'Asset Classification'!J28</f>
        <v>0</v>
      </c>
      <c r="L28" s="505">
        <f>+'Asset Classification'!K28</f>
        <v>0</v>
      </c>
      <c r="M28" s="504">
        <f t="shared" si="3"/>
        <v>0</v>
      </c>
      <c r="N28" s="504">
        <f t="shared" si="4"/>
        <v>0</v>
      </c>
      <c r="O28" s="504">
        <f>+'Asset Classification'!L28</f>
        <v>0</v>
      </c>
      <c r="P28" s="504">
        <f t="shared" si="5"/>
        <v>0</v>
      </c>
      <c r="Q28" s="504">
        <f t="shared" si="6"/>
        <v>0</v>
      </c>
      <c r="R28" s="505">
        <f>+'Asset Classification'!M28</f>
        <v>0</v>
      </c>
      <c r="S28" s="504">
        <f>+'Asset Classification'!N28</f>
        <v>0</v>
      </c>
      <c r="T28" s="505">
        <f>+'Asset Classification'!O28</f>
        <v>0</v>
      </c>
      <c r="U28" s="504">
        <f t="shared" si="7"/>
        <v>0</v>
      </c>
      <c r="V28" s="504">
        <f t="shared" si="8"/>
        <v>0</v>
      </c>
      <c r="W28" s="504">
        <f>+'Asset Classification'!P28</f>
        <v>0</v>
      </c>
      <c r="X28" s="504">
        <f t="shared" si="9"/>
        <v>0</v>
      </c>
      <c r="Y28" s="504">
        <f t="shared" si="10"/>
        <v>0</v>
      </c>
      <c r="Z28" s="505">
        <f>+'Asset Classification'!Q28</f>
        <v>0</v>
      </c>
      <c r="AA28" s="504">
        <f>+'Asset Classification'!R28</f>
        <v>0</v>
      </c>
      <c r="AB28" s="505">
        <f>+'Asset Classification'!S28</f>
        <v>0</v>
      </c>
      <c r="AC28" s="504">
        <f t="shared" si="11"/>
        <v>0</v>
      </c>
      <c r="AD28" s="504">
        <f t="shared" si="12"/>
        <v>0</v>
      </c>
      <c r="AE28" s="504">
        <f>+'Asset Classification'!T28</f>
        <v>0</v>
      </c>
      <c r="AF28" s="504">
        <f t="shared" si="13"/>
        <v>0</v>
      </c>
      <c r="AG28" s="504">
        <f t="shared" si="14"/>
        <v>0</v>
      </c>
      <c r="AH28" s="505">
        <f>+'Asset Classification'!U28</f>
        <v>0</v>
      </c>
      <c r="AI28" s="504">
        <f>+'Asset Classification'!V28</f>
        <v>0</v>
      </c>
      <c r="AJ28" s="505">
        <f>+'Asset Classification'!W28</f>
        <v>0</v>
      </c>
      <c r="AK28" s="504">
        <f t="shared" si="15"/>
        <v>0</v>
      </c>
      <c r="AL28" s="504">
        <f t="shared" si="16"/>
        <v>0</v>
      </c>
      <c r="AM28" s="504">
        <f>+'Asset Classification'!X28</f>
        <v>0</v>
      </c>
      <c r="AN28" s="504">
        <f t="shared" si="17"/>
        <v>0</v>
      </c>
      <c r="AO28" s="504">
        <f t="shared" si="18"/>
        <v>0</v>
      </c>
      <c r="AP28" s="499">
        <f t="shared" si="19"/>
        <v>0</v>
      </c>
      <c r="AQ28" s="499">
        <f t="shared" si="19"/>
        <v>0</v>
      </c>
      <c r="AR28" s="499">
        <f t="shared" si="20"/>
        <v>0</v>
      </c>
      <c r="AS28" s="504">
        <f t="shared" si="0"/>
        <v>0</v>
      </c>
      <c r="AT28" s="504">
        <f t="shared" si="0"/>
        <v>0</v>
      </c>
      <c r="AU28" s="504">
        <f t="shared" si="21"/>
        <v>0</v>
      </c>
      <c r="AW28" s="234"/>
      <c r="AX28" s="234"/>
      <c r="AY28" s="234"/>
      <c r="AZ28" s="234"/>
      <c r="BA28" s="234"/>
      <c r="BB28" s="234"/>
      <c r="BC28" s="234"/>
    </row>
    <row r="29" spans="1:55" s="15" customFormat="1" ht="23.25" customHeight="1">
      <c r="A29" s="329">
        <v>12</v>
      </c>
      <c r="B29" s="148" t="s">
        <v>667</v>
      </c>
      <c r="C29" s="503">
        <f>+'Asset Classification'!C29</f>
        <v>0</v>
      </c>
      <c r="D29" s="504">
        <f>+'Asset Classification'!D29</f>
        <v>0</v>
      </c>
      <c r="E29" s="505">
        <f>+'Asset Classification'!E29</f>
        <v>0</v>
      </c>
      <c r="F29" s="504">
        <f>+'Asset Classification'!F29</f>
        <v>0</v>
      </c>
      <c r="G29" s="505">
        <f>+'Asset Classification'!G29</f>
        <v>0</v>
      </c>
      <c r="H29" s="504">
        <f t="shared" si="1"/>
        <v>0</v>
      </c>
      <c r="I29" s="504">
        <f t="shared" si="2"/>
        <v>0</v>
      </c>
      <c r="J29" s="505">
        <f>+'Asset Classification'!I29</f>
        <v>0</v>
      </c>
      <c r="K29" s="504">
        <f>+'Asset Classification'!J29</f>
        <v>0</v>
      </c>
      <c r="L29" s="505">
        <f>+'Asset Classification'!K29</f>
        <v>0</v>
      </c>
      <c r="M29" s="504">
        <f t="shared" si="3"/>
        <v>0</v>
      </c>
      <c r="N29" s="504">
        <f t="shared" si="4"/>
        <v>0</v>
      </c>
      <c r="O29" s="504">
        <f>+'Asset Classification'!L29</f>
        <v>0</v>
      </c>
      <c r="P29" s="504">
        <f t="shared" si="5"/>
        <v>0</v>
      </c>
      <c r="Q29" s="504">
        <f t="shared" si="6"/>
        <v>0</v>
      </c>
      <c r="R29" s="505">
        <f>+'Asset Classification'!M29</f>
        <v>0</v>
      </c>
      <c r="S29" s="504">
        <f>+'Asset Classification'!N29</f>
        <v>0</v>
      </c>
      <c r="T29" s="505">
        <f>+'Asset Classification'!O29</f>
        <v>0</v>
      </c>
      <c r="U29" s="504">
        <f t="shared" si="7"/>
        <v>0</v>
      </c>
      <c r="V29" s="504">
        <f t="shared" si="8"/>
        <v>0</v>
      </c>
      <c r="W29" s="504">
        <f>+'Asset Classification'!P29</f>
        <v>0</v>
      </c>
      <c r="X29" s="504">
        <f t="shared" si="9"/>
        <v>0</v>
      </c>
      <c r="Y29" s="504">
        <f t="shared" si="10"/>
        <v>0</v>
      </c>
      <c r="Z29" s="505">
        <f>+'Asset Classification'!Q29</f>
        <v>0</v>
      </c>
      <c r="AA29" s="504">
        <f>+'Asset Classification'!R29</f>
        <v>0</v>
      </c>
      <c r="AB29" s="505">
        <f>+'Asset Classification'!S29</f>
        <v>0</v>
      </c>
      <c r="AC29" s="504">
        <f t="shared" si="11"/>
        <v>0</v>
      </c>
      <c r="AD29" s="504">
        <f t="shared" si="12"/>
        <v>0</v>
      </c>
      <c r="AE29" s="504">
        <f>+'Asset Classification'!T29</f>
        <v>0</v>
      </c>
      <c r="AF29" s="504">
        <f t="shared" si="13"/>
        <v>0</v>
      </c>
      <c r="AG29" s="504">
        <f t="shared" si="14"/>
        <v>0</v>
      </c>
      <c r="AH29" s="505">
        <f>+'Asset Classification'!U29</f>
        <v>0</v>
      </c>
      <c r="AI29" s="504">
        <f>+'Asset Classification'!V29</f>
        <v>0</v>
      </c>
      <c r="AJ29" s="505">
        <f>+'Asset Classification'!W29</f>
        <v>0</v>
      </c>
      <c r="AK29" s="504">
        <f t="shared" si="15"/>
        <v>0</v>
      </c>
      <c r="AL29" s="504">
        <f t="shared" si="16"/>
        <v>0</v>
      </c>
      <c r="AM29" s="504">
        <f>+'Asset Classification'!X29</f>
        <v>0</v>
      </c>
      <c r="AN29" s="504">
        <f t="shared" si="17"/>
        <v>0</v>
      </c>
      <c r="AO29" s="504">
        <f t="shared" si="18"/>
        <v>0</v>
      </c>
      <c r="AP29" s="499">
        <f t="shared" si="19"/>
        <v>0</v>
      </c>
      <c r="AQ29" s="499">
        <f t="shared" si="19"/>
        <v>0</v>
      </c>
      <c r="AR29" s="499">
        <f t="shared" si="20"/>
        <v>0</v>
      </c>
      <c r="AS29" s="504">
        <f t="shared" si="0"/>
        <v>0</v>
      </c>
      <c r="AT29" s="504">
        <f t="shared" si="0"/>
        <v>0</v>
      </c>
      <c r="AU29" s="504">
        <f t="shared" si="21"/>
        <v>0</v>
      </c>
      <c r="AV29" s="236">
        <f>+'Aging Analysis'!C20</f>
        <v>0</v>
      </c>
      <c r="AW29" s="234"/>
      <c r="AX29" s="234"/>
      <c r="AY29" s="234"/>
      <c r="AZ29" s="234"/>
      <c r="BA29" s="234"/>
      <c r="BB29" s="234"/>
      <c r="BC29" s="234"/>
    </row>
    <row r="30" spans="1:55" s="15" customFormat="1" ht="14.25" customHeight="1">
      <c r="A30" s="329"/>
      <c r="B30" s="331" t="s">
        <v>660</v>
      </c>
      <c r="C30" s="503">
        <f>+'Asset Classification'!C30</f>
        <v>0</v>
      </c>
      <c r="D30" s="504">
        <f>+'Asset Classification'!D30</f>
        <v>0</v>
      </c>
      <c r="E30" s="505">
        <f>+'Asset Classification'!E30</f>
        <v>0</v>
      </c>
      <c r="F30" s="504">
        <f>+'Asset Classification'!F30</f>
        <v>0</v>
      </c>
      <c r="G30" s="505">
        <f>+'Asset Classification'!G30</f>
        <v>0</v>
      </c>
      <c r="H30" s="504">
        <f t="shared" si="1"/>
        <v>0</v>
      </c>
      <c r="I30" s="504">
        <f t="shared" si="2"/>
        <v>0</v>
      </c>
      <c r="J30" s="505">
        <f>+'Asset Classification'!I30</f>
        <v>0</v>
      </c>
      <c r="K30" s="504">
        <f>+'Asset Classification'!J30</f>
        <v>0</v>
      </c>
      <c r="L30" s="505">
        <f>+'Asset Classification'!K30</f>
        <v>0</v>
      </c>
      <c r="M30" s="504">
        <f t="shared" si="3"/>
        <v>0</v>
      </c>
      <c r="N30" s="504">
        <f t="shared" si="4"/>
        <v>0</v>
      </c>
      <c r="O30" s="504">
        <f>+'Asset Classification'!L30</f>
        <v>0</v>
      </c>
      <c r="P30" s="504">
        <f t="shared" si="5"/>
        <v>0</v>
      </c>
      <c r="Q30" s="504">
        <f t="shared" si="6"/>
        <v>0</v>
      </c>
      <c r="R30" s="505">
        <f>+'Asset Classification'!M30</f>
        <v>0</v>
      </c>
      <c r="S30" s="504">
        <f>+'Asset Classification'!N30</f>
        <v>0</v>
      </c>
      <c r="T30" s="505">
        <f>+'Asset Classification'!O30</f>
        <v>0</v>
      </c>
      <c r="U30" s="504">
        <f t="shared" si="7"/>
        <v>0</v>
      </c>
      <c r="V30" s="504">
        <f t="shared" si="8"/>
        <v>0</v>
      </c>
      <c r="W30" s="504">
        <f>+'Asset Classification'!P30</f>
        <v>0</v>
      </c>
      <c r="X30" s="504">
        <f t="shared" si="9"/>
        <v>0</v>
      </c>
      <c r="Y30" s="504">
        <f t="shared" si="10"/>
        <v>0</v>
      </c>
      <c r="Z30" s="505">
        <f>+'Asset Classification'!Q30</f>
        <v>0</v>
      </c>
      <c r="AA30" s="504">
        <f>+'Asset Classification'!R30</f>
        <v>0</v>
      </c>
      <c r="AB30" s="505">
        <f>+'Asset Classification'!S30</f>
        <v>0</v>
      </c>
      <c r="AC30" s="504">
        <f t="shared" si="11"/>
        <v>0</v>
      </c>
      <c r="AD30" s="504">
        <f t="shared" si="12"/>
        <v>0</v>
      </c>
      <c r="AE30" s="504">
        <f>+'Asset Classification'!T30</f>
        <v>0</v>
      </c>
      <c r="AF30" s="504">
        <f t="shared" si="13"/>
        <v>0</v>
      </c>
      <c r="AG30" s="504">
        <f t="shared" si="14"/>
        <v>0</v>
      </c>
      <c r="AH30" s="505">
        <f>+'Asset Classification'!U30</f>
        <v>0</v>
      </c>
      <c r="AI30" s="504">
        <f>+'Asset Classification'!V30</f>
        <v>0</v>
      </c>
      <c r="AJ30" s="505">
        <f>+'Asset Classification'!W30</f>
        <v>0</v>
      </c>
      <c r="AK30" s="504">
        <f t="shared" si="15"/>
        <v>0</v>
      </c>
      <c r="AL30" s="504">
        <f t="shared" si="16"/>
        <v>0</v>
      </c>
      <c r="AM30" s="504">
        <f>+'Asset Classification'!X30</f>
        <v>0</v>
      </c>
      <c r="AN30" s="504">
        <f t="shared" si="17"/>
        <v>0</v>
      </c>
      <c r="AO30" s="504">
        <f t="shared" si="18"/>
        <v>0</v>
      </c>
      <c r="AP30" s="499">
        <f t="shared" si="19"/>
        <v>0</v>
      </c>
      <c r="AQ30" s="499">
        <f t="shared" si="19"/>
        <v>0</v>
      </c>
      <c r="AR30" s="499">
        <f t="shared" si="20"/>
        <v>0</v>
      </c>
      <c r="AS30" s="504">
        <f t="shared" si="0"/>
        <v>0</v>
      </c>
      <c r="AT30" s="504">
        <f t="shared" si="0"/>
        <v>0</v>
      </c>
      <c r="AU30" s="504">
        <f t="shared" si="21"/>
        <v>0</v>
      </c>
      <c r="AV30" s="234"/>
      <c r="AW30" s="234"/>
      <c r="AX30" s="234"/>
      <c r="AY30" s="234"/>
      <c r="AZ30" s="234"/>
      <c r="BA30" s="234"/>
      <c r="BB30" s="234"/>
      <c r="BC30" s="234"/>
    </row>
    <row r="31" spans="1:55" s="486" customFormat="1" ht="28.5" customHeight="1">
      <c r="A31" s="484">
        <v>13</v>
      </c>
      <c r="B31" s="484" t="s">
        <v>668</v>
      </c>
      <c r="C31" s="500">
        <f>+'Asset Classification'!C31</f>
        <v>57124403912</v>
      </c>
      <c r="D31" s="500">
        <f>+'Asset Classification'!D31</f>
        <v>38012960642</v>
      </c>
      <c r="E31" s="500">
        <f>+'Asset Classification'!E31</f>
        <v>49548751261</v>
      </c>
      <c r="F31" s="500">
        <f>+'Asset Classification'!F31</f>
        <v>32899887295</v>
      </c>
      <c r="G31" s="500">
        <f>+'Asset Classification'!G31</f>
        <v>504953973</v>
      </c>
      <c r="H31" s="500">
        <f t="shared" ref="H31:I31" si="22">+H7+H9+H11+H13+H15+H17+H19+H21+H23+H25+H27+H29</f>
        <v>495487512.60999995</v>
      </c>
      <c r="I31" s="500">
        <f t="shared" si="22"/>
        <v>9466460.3899999838</v>
      </c>
      <c r="J31" s="500">
        <f>+'Asset Classification'!I31</f>
        <v>6292476722</v>
      </c>
      <c r="K31" s="500">
        <f>+'Asset Classification'!J31</f>
        <v>4289653575</v>
      </c>
      <c r="L31" s="500">
        <f>+'Asset Classification'!K31</f>
        <v>620122045</v>
      </c>
      <c r="M31" s="500">
        <f t="shared" ref="M31:N31" si="23">+M7+M9+M11+M13+M15+M17+M19+M21+M23+M25+M27+M29</f>
        <v>629247672.19999993</v>
      </c>
      <c r="N31" s="500">
        <f t="shared" si="23"/>
        <v>-9125627.2000000365</v>
      </c>
      <c r="O31" s="500">
        <f>+'Asset Classification'!L31</f>
        <v>419611589</v>
      </c>
      <c r="P31" s="500">
        <f t="shared" ref="P31:Q31" si="24">+P7+P9+P11+P13+P15+P17+P19+P21+P23+P25+P27+P29</f>
        <v>428965357.5</v>
      </c>
      <c r="Q31" s="500">
        <f t="shared" si="24"/>
        <v>-9353768.5000000242</v>
      </c>
      <c r="R31" s="500">
        <f>+'Asset Classification'!M31</f>
        <v>506004487</v>
      </c>
      <c r="S31" s="500">
        <f>+'Asset Classification'!N31</f>
        <v>263138435</v>
      </c>
      <c r="T31" s="500">
        <f>+'Asset Classification'!O31</f>
        <v>126501133</v>
      </c>
      <c r="U31" s="500">
        <f t="shared" ref="U31:V31" si="25">+U7+U9+U11+U13+U15+U17+U19+U21+U23+U25+U27+U29</f>
        <v>126501121.75</v>
      </c>
      <c r="V31" s="500">
        <f t="shared" si="25"/>
        <v>11.25</v>
      </c>
      <c r="W31" s="500">
        <f>+'Asset Classification'!P31</f>
        <v>65784610</v>
      </c>
      <c r="X31" s="500">
        <f t="shared" ref="X31:Y31" si="26">+X7+X9+X11+X13+X15+X17+X19+X21+X23+X25+X27+X29</f>
        <v>65784608.75</v>
      </c>
      <c r="Y31" s="500">
        <f t="shared" si="26"/>
        <v>1.25</v>
      </c>
      <c r="Z31" s="500">
        <f>+'Asset Classification'!Q31</f>
        <v>749932110</v>
      </c>
      <c r="AA31" s="500">
        <f>+'Asset Classification'!R31</f>
        <v>545624112</v>
      </c>
      <c r="AB31" s="500">
        <f>+'Asset Classification'!S31</f>
        <v>374966057</v>
      </c>
      <c r="AC31" s="500">
        <f t="shared" ref="AC31:AD31" si="27">+AC7+AC9+AC11+AC13+AC15+AC17+AC19+AC21+AC23+AC25+AC27+AC29</f>
        <v>374966055</v>
      </c>
      <c r="AD31" s="500">
        <f t="shared" si="27"/>
        <v>2</v>
      </c>
      <c r="AE31" s="500">
        <f>+'Asset Classification'!T31</f>
        <v>272812058</v>
      </c>
      <c r="AF31" s="500">
        <f t="shared" ref="AF31:AG31" si="28">+AF7+AF9+AF11+AF13+AF15+AF17+AF19+AF21+AF23+AF25+AF27+AF29</f>
        <v>272812056</v>
      </c>
      <c r="AG31" s="500">
        <f t="shared" si="28"/>
        <v>2</v>
      </c>
      <c r="AH31" s="500">
        <f>+'Asset Classification'!U31</f>
        <v>27239332</v>
      </c>
      <c r="AI31" s="500">
        <f>+'Asset Classification'!V31</f>
        <v>14657225</v>
      </c>
      <c r="AJ31" s="500">
        <f>+'Asset Classification'!W31</f>
        <v>27239332</v>
      </c>
      <c r="AK31" s="500">
        <f t="shared" ref="AK31:AL31" si="29">+AK7+AK9+AK11+AK13+AK15+AK17+AK19+AK21+AK23+AK25+AK27+AK29</f>
        <v>27239332</v>
      </c>
      <c r="AL31" s="500">
        <f t="shared" si="29"/>
        <v>0</v>
      </c>
      <c r="AM31" s="500">
        <f>+'Asset Classification'!X31</f>
        <v>14657225</v>
      </c>
      <c r="AN31" s="500">
        <f t="shared" ref="AN31:AU31" si="30">+AN7+AN9+AN11+AN13+AN15+AN17+AN19+AN21+AN23+AN25+AN27+AN29</f>
        <v>14657225</v>
      </c>
      <c r="AO31" s="500">
        <f t="shared" si="30"/>
        <v>0</v>
      </c>
      <c r="AP31" s="500">
        <f t="shared" si="30"/>
        <v>1148828567</v>
      </c>
      <c r="AQ31" s="500">
        <f t="shared" si="30"/>
        <v>1157954180.95</v>
      </c>
      <c r="AR31" s="500">
        <f t="shared" si="30"/>
        <v>-9125613.9499999769</v>
      </c>
      <c r="AS31" s="500">
        <f t="shared" si="30"/>
        <v>772865482</v>
      </c>
      <c r="AT31" s="500">
        <f t="shared" si="30"/>
        <v>782219247.25</v>
      </c>
      <c r="AU31" s="500">
        <f t="shared" si="30"/>
        <v>-9353765.2500000242</v>
      </c>
      <c r="AV31" s="485">
        <f>+'Loans Receivable'!C85</f>
        <v>57124403912</v>
      </c>
    </row>
    <row r="32" spans="1:55" s="15" customFormat="1" ht="13.5" customHeight="1">
      <c r="A32" s="329"/>
      <c r="B32" s="333" t="s">
        <v>660</v>
      </c>
      <c r="C32" s="503">
        <f>+'Asset Classification'!C32</f>
        <v>0</v>
      </c>
      <c r="D32" s="504">
        <f>+'Asset Classification'!D32</f>
        <v>0</v>
      </c>
      <c r="E32" s="505">
        <f>+'Asset Classification'!E32</f>
        <v>0</v>
      </c>
      <c r="F32" s="504">
        <f>+'Asset Classification'!F32</f>
        <v>0</v>
      </c>
      <c r="G32" s="505">
        <f>+'Asset Classification'!G32</f>
        <v>0</v>
      </c>
      <c r="H32" s="504">
        <f t="shared" ref="H32" si="31">+E32*1%</f>
        <v>0</v>
      </c>
      <c r="I32" s="504">
        <f t="shared" ref="I32" si="32">+G32-H32</f>
        <v>0</v>
      </c>
      <c r="J32" s="505">
        <f>+'Asset Classification'!I32</f>
        <v>0</v>
      </c>
      <c r="K32" s="504">
        <f>+'Asset Classification'!J32</f>
        <v>0</v>
      </c>
      <c r="L32" s="505">
        <f>+'Asset Classification'!K32</f>
        <v>0</v>
      </c>
      <c r="M32" s="504">
        <f t="shared" ref="M32" si="33">+J32*10%</f>
        <v>0</v>
      </c>
      <c r="N32" s="504">
        <f t="shared" ref="N32" si="34">+L32-M32</f>
        <v>0</v>
      </c>
      <c r="O32" s="504">
        <f>+'Asset Classification'!L32</f>
        <v>0</v>
      </c>
      <c r="P32" s="504">
        <f t="shared" ref="P32" si="35">+K32*10%</f>
        <v>0</v>
      </c>
      <c r="Q32" s="504">
        <f t="shared" ref="Q32" si="36">+O32-P32</f>
        <v>0</v>
      </c>
      <c r="R32" s="505">
        <f>+'Asset Classification'!M32</f>
        <v>0</v>
      </c>
      <c r="S32" s="504">
        <f>+'Asset Classification'!N32</f>
        <v>0</v>
      </c>
      <c r="T32" s="505">
        <f>+'Asset Classification'!O32</f>
        <v>0</v>
      </c>
      <c r="U32" s="504">
        <f t="shared" ref="U32" si="37">+R32*25%</f>
        <v>0</v>
      </c>
      <c r="V32" s="504">
        <f t="shared" ref="V32" si="38">+T32-U32</f>
        <v>0</v>
      </c>
      <c r="W32" s="504">
        <f>+'Asset Classification'!P32</f>
        <v>0</v>
      </c>
      <c r="X32" s="504">
        <f t="shared" ref="X32" si="39">+S32*25%</f>
        <v>0</v>
      </c>
      <c r="Y32" s="504">
        <f t="shared" ref="Y32" si="40">+W32-X32</f>
        <v>0</v>
      </c>
      <c r="Z32" s="505">
        <f>+'Asset Classification'!Q32</f>
        <v>0</v>
      </c>
      <c r="AA32" s="504">
        <f>+'Asset Classification'!R32</f>
        <v>0</v>
      </c>
      <c r="AB32" s="505">
        <f>+'Asset Classification'!S32</f>
        <v>0</v>
      </c>
      <c r="AC32" s="504">
        <f t="shared" ref="AC32" si="41">+Z32*50%</f>
        <v>0</v>
      </c>
      <c r="AD32" s="504">
        <f t="shared" ref="AD32" si="42">+AB32-AC32</f>
        <v>0</v>
      </c>
      <c r="AE32" s="504">
        <f>+'Asset Classification'!T32</f>
        <v>0</v>
      </c>
      <c r="AF32" s="504">
        <f t="shared" ref="AF32" si="43">+AA32*50%</f>
        <v>0</v>
      </c>
      <c r="AG32" s="504">
        <f t="shared" ref="AG32" si="44">+AE32-AF32</f>
        <v>0</v>
      </c>
      <c r="AH32" s="505">
        <f>+'Asset Classification'!U32</f>
        <v>0</v>
      </c>
      <c r="AI32" s="504">
        <f>+'Asset Classification'!V32</f>
        <v>0</v>
      </c>
      <c r="AJ32" s="505">
        <f>+'Asset Classification'!W32</f>
        <v>0</v>
      </c>
      <c r="AK32" s="504">
        <f t="shared" ref="AK32" si="45">+AH32*100%</f>
        <v>0</v>
      </c>
      <c r="AL32" s="504">
        <f t="shared" ref="AL32" si="46">+AJ32-AK32</f>
        <v>0</v>
      </c>
      <c r="AM32" s="504">
        <f>+'Asset Classification'!X32</f>
        <v>0</v>
      </c>
      <c r="AN32" s="504">
        <f t="shared" ref="AN32" si="47">+AI32*100%</f>
        <v>0</v>
      </c>
      <c r="AO32" s="504">
        <f t="shared" ref="AO32" si="48">+AM32-AN32</f>
        <v>0</v>
      </c>
      <c r="AP32" s="499">
        <f t="shared" ref="AP32" si="49">+L32+T32+AB32+AJ32</f>
        <v>0</v>
      </c>
      <c r="AQ32" s="499">
        <f t="shared" ref="AQ32" si="50">+M32+U32+AC32+AK32</f>
        <v>0</v>
      </c>
      <c r="AR32" s="499">
        <f t="shared" ref="AR32" si="51">+AP32-AQ32</f>
        <v>0</v>
      </c>
      <c r="AS32" s="504">
        <f t="shared" ref="AS32" si="52">+O32+W32+AE32+AM32</f>
        <v>0</v>
      </c>
      <c r="AT32" s="504">
        <f t="shared" ref="AT32" si="53">+P32+X32+AF32+AN32</f>
        <v>0</v>
      </c>
      <c r="AU32" s="504">
        <f t="shared" ref="AU32" si="54">+AS32-AT32</f>
        <v>0</v>
      </c>
      <c r="AV32" s="234"/>
      <c r="AW32" s="234"/>
      <c r="AX32" s="234"/>
      <c r="AY32" s="234"/>
      <c r="AZ32" s="234"/>
      <c r="BA32" s="234"/>
      <c r="BB32" s="234"/>
      <c r="BC32" s="234"/>
    </row>
    <row r="33" spans="1:55" s="486" customFormat="1" ht="27.75" customHeight="1">
      <c r="A33" s="484"/>
      <c r="B33" s="484" t="s">
        <v>669</v>
      </c>
      <c r="C33" s="500"/>
      <c r="D33" s="500"/>
      <c r="E33" s="500"/>
      <c r="F33" s="500"/>
      <c r="G33" s="500"/>
      <c r="H33" s="500"/>
      <c r="I33" s="500"/>
      <c r="J33" s="500"/>
      <c r="K33" s="500"/>
      <c r="L33" s="500"/>
      <c r="M33" s="500"/>
      <c r="N33" s="500"/>
      <c r="O33" s="500"/>
      <c r="P33" s="500"/>
      <c r="Q33" s="500"/>
      <c r="R33" s="500"/>
      <c r="S33" s="500"/>
      <c r="T33" s="500"/>
      <c r="U33" s="500"/>
      <c r="V33" s="500"/>
      <c r="W33" s="500"/>
      <c r="X33" s="500"/>
      <c r="Y33" s="500"/>
      <c r="Z33" s="500"/>
      <c r="AA33" s="500"/>
      <c r="AB33" s="500"/>
      <c r="AC33" s="500"/>
      <c r="AD33" s="500"/>
      <c r="AE33" s="500"/>
      <c r="AF33" s="500"/>
      <c r="AG33" s="500"/>
      <c r="AH33" s="500"/>
      <c r="AI33" s="500"/>
      <c r="AJ33" s="500"/>
      <c r="AK33" s="500"/>
      <c r="AL33" s="500"/>
      <c r="AM33" s="500"/>
      <c r="AN33" s="500"/>
      <c r="AO33" s="500"/>
      <c r="AP33" s="500"/>
      <c r="AQ33" s="500"/>
      <c r="AR33" s="500"/>
      <c r="AS33" s="500"/>
      <c r="AT33" s="500"/>
      <c r="AU33" s="500"/>
    </row>
    <row r="34" spans="1:55" s="15" customFormat="1" ht="7.5" customHeight="1">
      <c r="A34" s="14"/>
      <c r="B34" s="14"/>
      <c r="C34" s="506"/>
      <c r="D34" s="507"/>
      <c r="E34" s="506"/>
      <c r="F34" s="506"/>
      <c r="G34" s="506"/>
      <c r="H34" s="506"/>
      <c r="I34" s="506"/>
      <c r="J34" s="506"/>
      <c r="K34" s="506"/>
      <c r="L34" s="506"/>
      <c r="M34" s="506"/>
      <c r="N34" s="506"/>
      <c r="O34" s="506"/>
      <c r="P34" s="506"/>
      <c r="Q34" s="506"/>
      <c r="R34" s="506"/>
      <c r="S34" s="506"/>
      <c r="T34" s="506"/>
      <c r="U34" s="506"/>
      <c r="V34" s="506"/>
      <c r="W34" s="506"/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6"/>
      <c r="AK34" s="506"/>
      <c r="AL34" s="506"/>
      <c r="AM34" s="506"/>
      <c r="AN34" s="506"/>
      <c r="AO34" s="506"/>
      <c r="AP34" s="506"/>
      <c r="AQ34" s="506"/>
      <c r="AR34" s="506"/>
      <c r="AS34" s="506"/>
      <c r="AT34" s="506"/>
      <c r="AU34" s="506"/>
      <c r="AV34" s="234"/>
      <c r="AW34" s="234"/>
      <c r="AX34" s="234"/>
      <c r="AY34" s="234"/>
      <c r="AZ34" s="234"/>
      <c r="BA34" s="234"/>
      <c r="BB34" s="234"/>
      <c r="BC34" s="234"/>
    </row>
    <row r="35" spans="1:55" s="15" customFormat="1" ht="23.25" customHeight="1">
      <c r="A35" s="329">
        <v>14</v>
      </c>
      <c r="B35" s="332" t="s">
        <v>468</v>
      </c>
      <c r="C35" s="503">
        <f>+'Asset Classification'!C35</f>
        <v>29912501071</v>
      </c>
      <c r="D35" s="508">
        <f>+'Asset Classification'!D35</f>
        <v>25149127213</v>
      </c>
      <c r="E35" s="506">
        <f>+'Asset Classification'!E35</f>
        <v>25737314100</v>
      </c>
      <c r="F35" s="508">
        <f>+'Asset Classification'!F35</f>
        <v>21765633152</v>
      </c>
      <c r="G35" s="506">
        <f>+'Asset Classification'!G35</f>
        <v>266839601</v>
      </c>
      <c r="H35" s="504">
        <f t="shared" ref="H35:H52" si="55">+E35*1%</f>
        <v>257373141</v>
      </c>
      <c r="I35" s="504">
        <f t="shared" ref="I35:I52" si="56">+G35-H35</f>
        <v>9466460</v>
      </c>
      <c r="J35" s="506">
        <f>+'Asset Classification'!I35</f>
        <v>3674332106</v>
      </c>
      <c r="K35" s="508">
        <f>+'Asset Classification'!J35</f>
        <v>2980287888</v>
      </c>
      <c r="L35" s="506">
        <f>+'Asset Classification'!K35</f>
        <v>358079441</v>
      </c>
      <c r="M35" s="504">
        <f t="shared" ref="M35:M52" si="57">+J35*10%</f>
        <v>367433210.60000002</v>
      </c>
      <c r="N35" s="504">
        <f t="shared" ref="N35:N52" si="58">+L35-M35</f>
        <v>-9353769.6000000238</v>
      </c>
      <c r="O35" s="508">
        <f>+'Asset Classification'!L35</f>
        <v>288675019</v>
      </c>
      <c r="P35" s="504">
        <f t="shared" ref="P35:P52" si="59">+K35*10%</f>
        <v>298028788.80000001</v>
      </c>
      <c r="Q35" s="504">
        <f t="shared" ref="Q35:Q52" si="60">+O35-P35</f>
        <v>-9353769.8000000119</v>
      </c>
      <c r="R35" s="506">
        <f>+'Asset Classification'!M35</f>
        <v>201641115</v>
      </c>
      <c r="S35" s="508">
        <f>+'Asset Classification'!N35</f>
        <v>137499976</v>
      </c>
      <c r="T35" s="506">
        <f>+'Asset Classification'!O35</f>
        <v>50410279</v>
      </c>
      <c r="U35" s="504">
        <f t="shared" ref="U35:U52" si="61">+R35*25%</f>
        <v>50410278.75</v>
      </c>
      <c r="V35" s="504">
        <f t="shared" ref="V35:V52" si="62">+T35-U35</f>
        <v>0.25</v>
      </c>
      <c r="W35" s="508">
        <f>+'Asset Classification'!P35</f>
        <v>34374994</v>
      </c>
      <c r="X35" s="504">
        <f t="shared" ref="X35:X52" si="63">+S35*25%</f>
        <v>34374994</v>
      </c>
      <c r="Y35" s="504">
        <f t="shared" ref="Y35:Y52" si="64">+W35-X35</f>
        <v>0</v>
      </c>
      <c r="Z35" s="506">
        <f>+'Asset Classification'!Q35</f>
        <v>289245258</v>
      </c>
      <c r="AA35" s="508">
        <f>+'Asset Classification'!R35</f>
        <v>255737705</v>
      </c>
      <c r="AB35" s="506">
        <f>+'Asset Classification'!S35</f>
        <v>144622629</v>
      </c>
      <c r="AC35" s="504">
        <f t="shared" ref="AC35:AC52" si="65">+Z35*50%</f>
        <v>144622629</v>
      </c>
      <c r="AD35" s="504">
        <f t="shared" ref="AD35:AD52" si="66">+AB35-AC35</f>
        <v>0</v>
      </c>
      <c r="AE35" s="508">
        <f>+'Asset Classification'!T35</f>
        <v>127868853</v>
      </c>
      <c r="AF35" s="504">
        <f t="shared" ref="AF35:AF52" si="67">+AA35*50%</f>
        <v>127868852.5</v>
      </c>
      <c r="AG35" s="504">
        <f t="shared" ref="AG35:AG52" si="68">+AE35-AF35</f>
        <v>0.5</v>
      </c>
      <c r="AH35" s="506">
        <f>+'Asset Classification'!U35</f>
        <v>9968492</v>
      </c>
      <c r="AI35" s="508">
        <f>+'Asset Classification'!V35</f>
        <v>9968492</v>
      </c>
      <c r="AJ35" s="506">
        <f>+'Asset Classification'!W35</f>
        <v>9968492</v>
      </c>
      <c r="AK35" s="504">
        <f t="shared" ref="AK35:AK52" si="69">+AH35*100%</f>
        <v>9968492</v>
      </c>
      <c r="AL35" s="504">
        <f t="shared" ref="AL35:AL52" si="70">+AJ35-AK35</f>
        <v>0</v>
      </c>
      <c r="AM35" s="508">
        <f>+'Asset Classification'!X35</f>
        <v>9968492</v>
      </c>
      <c r="AN35" s="504">
        <f t="shared" ref="AN35:AN52" si="71">+AI35*100%</f>
        <v>9968492</v>
      </c>
      <c r="AO35" s="504">
        <f t="shared" ref="AO35:AO52" si="72">+AM35-AN35</f>
        <v>0</v>
      </c>
      <c r="AP35" s="499">
        <f t="shared" ref="AP35:AQ52" si="73">+L35+T35+AB35+AJ35</f>
        <v>563080841</v>
      </c>
      <c r="AQ35" s="499">
        <f t="shared" si="73"/>
        <v>572434610.35000002</v>
      </c>
      <c r="AR35" s="499">
        <f t="shared" ref="AR35:AR52" si="74">+AP35-AQ35</f>
        <v>-9353769.3500000238</v>
      </c>
      <c r="AS35" s="504">
        <f t="shared" ref="AS35:AT52" si="75">+O35+W35+AE35+AM35</f>
        <v>460887358</v>
      </c>
      <c r="AT35" s="504">
        <f t="shared" si="75"/>
        <v>470241127.30000001</v>
      </c>
      <c r="AU35" s="504">
        <f t="shared" ref="AU35:AU52" si="76">+AS35-AT35</f>
        <v>-9353769.3000000119</v>
      </c>
      <c r="AV35" s="236">
        <f>+'Aging Analysis'!C25</f>
        <v>29912501071</v>
      </c>
      <c r="AW35" s="234"/>
      <c r="AX35" s="234"/>
      <c r="AY35" s="234"/>
      <c r="AZ35" s="234"/>
      <c r="BA35" s="234"/>
      <c r="BB35" s="234"/>
      <c r="BC35" s="234"/>
    </row>
    <row r="36" spans="1:55" s="15" customFormat="1" ht="14.25" customHeight="1">
      <c r="A36" s="329"/>
      <c r="B36" s="333" t="s">
        <v>660</v>
      </c>
      <c r="C36" s="503">
        <f>+'Asset Classification'!C36</f>
        <v>0</v>
      </c>
      <c r="D36" s="508">
        <f>+'Asset Classification'!D36</f>
        <v>0</v>
      </c>
      <c r="E36" s="506">
        <f>+'Asset Classification'!E36</f>
        <v>0</v>
      </c>
      <c r="F36" s="508">
        <f>+'Asset Classification'!F36</f>
        <v>0</v>
      </c>
      <c r="G36" s="506">
        <f>+'Asset Classification'!G36</f>
        <v>0</v>
      </c>
      <c r="H36" s="504">
        <f t="shared" si="55"/>
        <v>0</v>
      </c>
      <c r="I36" s="504">
        <f t="shared" si="56"/>
        <v>0</v>
      </c>
      <c r="J36" s="506">
        <f>+'Asset Classification'!I36</f>
        <v>0</v>
      </c>
      <c r="K36" s="508">
        <f>+'Asset Classification'!J36</f>
        <v>0</v>
      </c>
      <c r="L36" s="506">
        <f>+'Asset Classification'!K36</f>
        <v>0</v>
      </c>
      <c r="M36" s="504">
        <f t="shared" si="57"/>
        <v>0</v>
      </c>
      <c r="N36" s="504">
        <f t="shared" si="58"/>
        <v>0</v>
      </c>
      <c r="O36" s="508">
        <f>+'Asset Classification'!L36</f>
        <v>0</v>
      </c>
      <c r="P36" s="504">
        <f t="shared" si="59"/>
        <v>0</v>
      </c>
      <c r="Q36" s="504">
        <f t="shared" si="60"/>
        <v>0</v>
      </c>
      <c r="R36" s="506">
        <f>+'Asset Classification'!M36</f>
        <v>0</v>
      </c>
      <c r="S36" s="508">
        <f>+'Asset Classification'!N36</f>
        <v>0</v>
      </c>
      <c r="T36" s="506">
        <f>+'Asset Classification'!O36</f>
        <v>0</v>
      </c>
      <c r="U36" s="504">
        <f t="shared" si="61"/>
        <v>0</v>
      </c>
      <c r="V36" s="504">
        <f t="shared" si="62"/>
        <v>0</v>
      </c>
      <c r="W36" s="508">
        <f>+'Asset Classification'!P36</f>
        <v>0</v>
      </c>
      <c r="X36" s="504">
        <f t="shared" si="63"/>
        <v>0</v>
      </c>
      <c r="Y36" s="504">
        <f t="shared" si="64"/>
        <v>0</v>
      </c>
      <c r="Z36" s="506">
        <f>+'Asset Classification'!Q36</f>
        <v>0</v>
      </c>
      <c r="AA36" s="508">
        <f>+'Asset Classification'!R36</f>
        <v>0</v>
      </c>
      <c r="AB36" s="506">
        <f>+'Asset Classification'!S36</f>
        <v>0</v>
      </c>
      <c r="AC36" s="504">
        <f t="shared" si="65"/>
        <v>0</v>
      </c>
      <c r="AD36" s="504">
        <f t="shared" si="66"/>
        <v>0</v>
      </c>
      <c r="AE36" s="508">
        <f>+'Asset Classification'!T36</f>
        <v>0</v>
      </c>
      <c r="AF36" s="504">
        <f t="shared" si="67"/>
        <v>0</v>
      </c>
      <c r="AG36" s="504">
        <f t="shared" si="68"/>
        <v>0</v>
      </c>
      <c r="AH36" s="506">
        <f>+'Asset Classification'!U36</f>
        <v>0</v>
      </c>
      <c r="AI36" s="508">
        <f>+'Asset Classification'!V36</f>
        <v>0</v>
      </c>
      <c r="AJ36" s="506">
        <f>+'Asset Classification'!W36</f>
        <v>0</v>
      </c>
      <c r="AK36" s="504">
        <f t="shared" si="69"/>
        <v>0</v>
      </c>
      <c r="AL36" s="504">
        <f t="shared" si="70"/>
        <v>0</v>
      </c>
      <c r="AM36" s="508">
        <f>+'Asset Classification'!X36</f>
        <v>0</v>
      </c>
      <c r="AN36" s="504">
        <f t="shared" si="71"/>
        <v>0</v>
      </c>
      <c r="AO36" s="504">
        <f t="shared" si="72"/>
        <v>0</v>
      </c>
      <c r="AP36" s="499">
        <f t="shared" si="73"/>
        <v>0</v>
      </c>
      <c r="AQ36" s="499">
        <f t="shared" si="73"/>
        <v>0</v>
      </c>
      <c r="AR36" s="499">
        <f t="shared" si="74"/>
        <v>0</v>
      </c>
      <c r="AS36" s="504">
        <f t="shared" si="75"/>
        <v>0</v>
      </c>
      <c r="AT36" s="504">
        <f t="shared" si="75"/>
        <v>0</v>
      </c>
      <c r="AU36" s="504">
        <f t="shared" si="76"/>
        <v>0</v>
      </c>
      <c r="AW36" s="234"/>
      <c r="AX36" s="234"/>
      <c r="AY36" s="234"/>
      <c r="AZ36" s="234"/>
      <c r="BA36" s="234"/>
      <c r="BB36" s="234"/>
      <c r="BC36" s="234"/>
    </row>
    <row r="37" spans="1:55" s="15" customFormat="1" ht="23.25" customHeight="1">
      <c r="A37" s="329">
        <v>15</v>
      </c>
      <c r="B37" s="332" t="s">
        <v>469</v>
      </c>
      <c r="C37" s="503">
        <f>+'Asset Classification'!C37</f>
        <v>4926336219</v>
      </c>
      <c r="D37" s="508">
        <f>+'Asset Classification'!D37</f>
        <v>2565841116</v>
      </c>
      <c r="E37" s="506">
        <f>+'Asset Classification'!E37</f>
        <v>3549549874</v>
      </c>
      <c r="F37" s="508">
        <f>+'Asset Classification'!F37</f>
        <v>2221465659</v>
      </c>
      <c r="G37" s="506">
        <f>+'Asset Classification'!G37</f>
        <v>35495499</v>
      </c>
      <c r="H37" s="504">
        <f t="shared" si="55"/>
        <v>35495498.740000002</v>
      </c>
      <c r="I37" s="504">
        <f t="shared" si="56"/>
        <v>0.25999999791383743</v>
      </c>
      <c r="J37" s="506">
        <f>+'Asset Classification'!I37</f>
        <v>1099095807</v>
      </c>
      <c r="K37" s="508">
        <f>+'Asset Classification'!J37</f>
        <v>160927246</v>
      </c>
      <c r="L37" s="506">
        <f>+'Asset Classification'!K37</f>
        <v>110139615</v>
      </c>
      <c r="M37" s="504">
        <f t="shared" si="57"/>
        <v>109909580.7</v>
      </c>
      <c r="N37" s="504">
        <f t="shared" si="58"/>
        <v>230034.29999999702</v>
      </c>
      <c r="O37" s="508">
        <f>+'Asset Classification'!L37</f>
        <v>16092725</v>
      </c>
      <c r="P37" s="504">
        <f t="shared" si="59"/>
        <v>16092724.600000001</v>
      </c>
      <c r="Q37" s="504">
        <f t="shared" si="60"/>
        <v>0.39999999850988388</v>
      </c>
      <c r="R37" s="506">
        <f>+'Asset Classification'!M37</f>
        <v>109207519</v>
      </c>
      <c r="S37" s="508">
        <f>+'Asset Classification'!N37</f>
        <v>20364628</v>
      </c>
      <c r="T37" s="506">
        <f>+'Asset Classification'!O37</f>
        <v>27301880</v>
      </c>
      <c r="U37" s="504">
        <f t="shared" si="61"/>
        <v>27301879.75</v>
      </c>
      <c r="V37" s="504">
        <f t="shared" si="62"/>
        <v>0.25</v>
      </c>
      <c r="W37" s="508">
        <f>+'Asset Classification'!P37</f>
        <v>5091157</v>
      </c>
      <c r="X37" s="504">
        <f t="shared" si="63"/>
        <v>5091157</v>
      </c>
      <c r="Y37" s="504">
        <f t="shared" si="64"/>
        <v>0</v>
      </c>
      <c r="Z37" s="506">
        <f>+'Asset Classification'!Q37</f>
        <v>168483019</v>
      </c>
      <c r="AA37" s="508">
        <f>+'Asset Classification'!R37</f>
        <v>163083583</v>
      </c>
      <c r="AB37" s="506">
        <f>+'Asset Classification'!S37</f>
        <v>84241510</v>
      </c>
      <c r="AC37" s="504">
        <f t="shared" si="65"/>
        <v>84241509.5</v>
      </c>
      <c r="AD37" s="504">
        <f t="shared" si="66"/>
        <v>0.5</v>
      </c>
      <c r="AE37" s="508">
        <f>+'Asset Classification'!T37</f>
        <v>81541792</v>
      </c>
      <c r="AF37" s="504">
        <f t="shared" si="67"/>
        <v>81541791.5</v>
      </c>
      <c r="AG37" s="504">
        <f t="shared" si="68"/>
        <v>0.5</v>
      </c>
      <c r="AH37" s="506">
        <f>+'Asset Classification'!U37</f>
        <v>0</v>
      </c>
      <c r="AI37" s="508">
        <f>+'Asset Classification'!V37</f>
        <v>0</v>
      </c>
      <c r="AJ37" s="506">
        <f>+'Asset Classification'!W37</f>
        <v>0</v>
      </c>
      <c r="AK37" s="504">
        <f t="shared" si="69"/>
        <v>0</v>
      </c>
      <c r="AL37" s="504">
        <f t="shared" si="70"/>
        <v>0</v>
      </c>
      <c r="AM37" s="508">
        <f>+'Asset Classification'!X37</f>
        <v>0</v>
      </c>
      <c r="AN37" s="504">
        <f t="shared" si="71"/>
        <v>0</v>
      </c>
      <c r="AO37" s="504">
        <f t="shared" si="72"/>
        <v>0</v>
      </c>
      <c r="AP37" s="499">
        <f t="shared" si="73"/>
        <v>221683005</v>
      </c>
      <c r="AQ37" s="499">
        <f t="shared" si="73"/>
        <v>221452969.94999999</v>
      </c>
      <c r="AR37" s="499">
        <f t="shared" si="74"/>
        <v>230035.05000001192</v>
      </c>
      <c r="AS37" s="504">
        <f t="shared" si="75"/>
        <v>102725674</v>
      </c>
      <c r="AT37" s="504">
        <f t="shared" si="75"/>
        <v>102725673.09999999</v>
      </c>
      <c r="AU37" s="504">
        <f t="shared" si="76"/>
        <v>0.90000000596046448</v>
      </c>
      <c r="AV37" s="236">
        <f>+'Aging Analysis'!C26</f>
        <v>4926336219</v>
      </c>
      <c r="AW37" s="234"/>
      <c r="AX37" s="234"/>
      <c r="AY37" s="234"/>
      <c r="AZ37" s="234"/>
      <c r="BA37" s="234"/>
      <c r="BB37" s="234"/>
      <c r="BC37" s="234"/>
    </row>
    <row r="38" spans="1:55" s="15" customFormat="1" ht="14.25" customHeight="1">
      <c r="A38" s="329"/>
      <c r="B38" s="333" t="s">
        <v>660</v>
      </c>
      <c r="C38" s="503">
        <f>+'Asset Classification'!C38</f>
        <v>0</v>
      </c>
      <c r="D38" s="508">
        <f>+'Asset Classification'!D38</f>
        <v>0</v>
      </c>
      <c r="E38" s="506">
        <f>+'Asset Classification'!E38</f>
        <v>0</v>
      </c>
      <c r="F38" s="508">
        <f>+'Asset Classification'!F38</f>
        <v>0</v>
      </c>
      <c r="G38" s="506">
        <f>+'Asset Classification'!G38</f>
        <v>0</v>
      </c>
      <c r="H38" s="504">
        <f t="shared" si="55"/>
        <v>0</v>
      </c>
      <c r="I38" s="504">
        <f t="shared" si="56"/>
        <v>0</v>
      </c>
      <c r="J38" s="506">
        <f>+'Asset Classification'!I38</f>
        <v>0</v>
      </c>
      <c r="K38" s="508">
        <f>+'Asset Classification'!J38</f>
        <v>0</v>
      </c>
      <c r="L38" s="506">
        <f>+'Asset Classification'!K38</f>
        <v>0</v>
      </c>
      <c r="M38" s="504">
        <f t="shared" si="57"/>
        <v>0</v>
      </c>
      <c r="N38" s="504">
        <f t="shared" si="58"/>
        <v>0</v>
      </c>
      <c r="O38" s="508">
        <f>+'Asset Classification'!L38</f>
        <v>0</v>
      </c>
      <c r="P38" s="504">
        <f t="shared" si="59"/>
        <v>0</v>
      </c>
      <c r="Q38" s="504">
        <f t="shared" si="60"/>
        <v>0</v>
      </c>
      <c r="R38" s="506">
        <f>+'Asset Classification'!M38</f>
        <v>0</v>
      </c>
      <c r="S38" s="508">
        <f>+'Asset Classification'!N38</f>
        <v>0</v>
      </c>
      <c r="T38" s="506">
        <f>+'Asset Classification'!O38</f>
        <v>0</v>
      </c>
      <c r="U38" s="504">
        <f t="shared" si="61"/>
        <v>0</v>
      </c>
      <c r="V38" s="504">
        <f t="shared" si="62"/>
        <v>0</v>
      </c>
      <c r="W38" s="508">
        <f>+'Asset Classification'!P38</f>
        <v>0</v>
      </c>
      <c r="X38" s="504">
        <f t="shared" si="63"/>
        <v>0</v>
      </c>
      <c r="Y38" s="504">
        <f t="shared" si="64"/>
        <v>0</v>
      </c>
      <c r="Z38" s="506">
        <f>+'Asset Classification'!Q38</f>
        <v>0</v>
      </c>
      <c r="AA38" s="508">
        <f>+'Asset Classification'!R38</f>
        <v>0</v>
      </c>
      <c r="AB38" s="506">
        <f>+'Asset Classification'!S38</f>
        <v>0</v>
      </c>
      <c r="AC38" s="504">
        <f t="shared" si="65"/>
        <v>0</v>
      </c>
      <c r="AD38" s="504">
        <f t="shared" si="66"/>
        <v>0</v>
      </c>
      <c r="AE38" s="508">
        <f>+'Asset Classification'!T38</f>
        <v>0</v>
      </c>
      <c r="AF38" s="504">
        <f t="shared" si="67"/>
        <v>0</v>
      </c>
      <c r="AG38" s="504">
        <f t="shared" si="68"/>
        <v>0</v>
      </c>
      <c r="AH38" s="506">
        <f>+'Asset Classification'!U38</f>
        <v>0</v>
      </c>
      <c r="AI38" s="508">
        <f>+'Asset Classification'!V38</f>
        <v>0</v>
      </c>
      <c r="AJ38" s="506">
        <f>+'Asset Classification'!W38</f>
        <v>0</v>
      </c>
      <c r="AK38" s="504">
        <f t="shared" si="69"/>
        <v>0</v>
      </c>
      <c r="AL38" s="504">
        <f t="shared" si="70"/>
        <v>0</v>
      </c>
      <c r="AM38" s="508">
        <f>+'Asset Classification'!X38</f>
        <v>0</v>
      </c>
      <c r="AN38" s="504">
        <f t="shared" si="71"/>
        <v>0</v>
      </c>
      <c r="AO38" s="504">
        <f t="shared" si="72"/>
        <v>0</v>
      </c>
      <c r="AP38" s="499">
        <f t="shared" si="73"/>
        <v>0</v>
      </c>
      <c r="AQ38" s="499">
        <f t="shared" si="73"/>
        <v>0</v>
      </c>
      <c r="AR38" s="499">
        <f t="shared" si="74"/>
        <v>0</v>
      </c>
      <c r="AS38" s="504">
        <f t="shared" si="75"/>
        <v>0</v>
      </c>
      <c r="AT38" s="504">
        <f t="shared" si="75"/>
        <v>0</v>
      </c>
      <c r="AU38" s="504">
        <f t="shared" si="76"/>
        <v>0</v>
      </c>
      <c r="AW38" s="234"/>
      <c r="AX38" s="234"/>
      <c r="AY38" s="234"/>
      <c r="AZ38" s="234"/>
      <c r="BA38" s="234"/>
      <c r="BB38" s="234"/>
      <c r="BC38" s="234"/>
    </row>
    <row r="39" spans="1:55" s="15" customFormat="1" ht="23.25" customHeight="1">
      <c r="A39" s="329">
        <v>16</v>
      </c>
      <c r="B39" s="332" t="s">
        <v>470</v>
      </c>
      <c r="C39" s="503">
        <f>+'Asset Classification'!C39</f>
        <v>3968113322</v>
      </c>
      <c r="D39" s="508">
        <f>+'Asset Classification'!D39</f>
        <v>3847597829</v>
      </c>
      <c r="E39" s="506">
        <f>+'Asset Classification'!E39</f>
        <v>3879856301</v>
      </c>
      <c r="F39" s="508">
        <f>+'Asset Classification'!F39</f>
        <v>3779257642</v>
      </c>
      <c r="G39" s="506">
        <f>+'Asset Classification'!G39</f>
        <v>38798563</v>
      </c>
      <c r="H39" s="504">
        <f t="shared" si="55"/>
        <v>38798563.009999998</v>
      </c>
      <c r="I39" s="504">
        <f t="shared" si="56"/>
        <v>-9.9999979138374329E-3</v>
      </c>
      <c r="J39" s="506">
        <f>+'Asset Classification'!I39</f>
        <v>19500899</v>
      </c>
      <c r="K39" s="508">
        <f>+'Asset Classification'!J39</f>
        <v>17908156</v>
      </c>
      <c r="L39" s="506">
        <f>+'Asset Classification'!K39</f>
        <v>1950090</v>
      </c>
      <c r="M39" s="504">
        <f t="shared" si="57"/>
        <v>1950089.9000000001</v>
      </c>
      <c r="N39" s="504">
        <f t="shared" si="58"/>
        <v>9.9999999860301614E-2</v>
      </c>
      <c r="O39" s="508">
        <f>+'Asset Classification'!L39</f>
        <v>1790816</v>
      </c>
      <c r="P39" s="504">
        <f t="shared" si="59"/>
        <v>1790815.6</v>
      </c>
      <c r="Q39" s="504">
        <f t="shared" si="60"/>
        <v>0.39999999990686774</v>
      </c>
      <c r="R39" s="506">
        <f>+'Asset Classification'!M39</f>
        <v>63274014</v>
      </c>
      <c r="S39" s="508">
        <f>+'Asset Classification'!N39</f>
        <v>50432031</v>
      </c>
      <c r="T39" s="506">
        <f>+'Asset Classification'!O39</f>
        <v>15818503</v>
      </c>
      <c r="U39" s="504">
        <f t="shared" si="61"/>
        <v>15818503.5</v>
      </c>
      <c r="V39" s="504">
        <f t="shared" si="62"/>
        <v>-0.5</v>
      </c>
      <c r="W39" s="508">
        <f>+'Asset Classification'!P39</f>
        <v>12608008</v>
      </c>
      <c r="X39" s="504">
        <f t="shared" si="63"/>
        <v>12608007.75</v>
      </c>
      <c r="Y39" s="504">
        <f t="shared" si="64"/>
        <v>0.25</v>
      </c>
      <c r="Z39" s="506">
        <f>+'Asset Classification'!Q39</f>
        <v>3800001</v>
      </c>
      <c r="AA39" s="508">
        <f>+'Asset Classification'!R39</f>
        <v>0</v>
      </c>
      <c r="AB39" s="506">
        <f>+'Asset Classification'!S39</f>
        <v>1900001</v>
      </c>
      <c r="AC39" s="504">
        <f t="shared" si="65"/>
        <v>1900000.5</v>
      </c>
      <c r="AD39" s="504">
        <f t="shared" si="66"/>
        <v>0.5</v>
      </c>
      <c r="AE39" s="508">
        <f>+'Asset Classification'!T39</f>
        <v>0</v>
      </c>
      <c r="AF39" s="504">
        <f t="shared" si="67"/>
        <v>0</v>
      </c>
      <c r="AG39" s="504">
        <f t="shared" si="68"/>
        <v>0</v>
      </c>
      <c r="AH39" s="506">
        <f>+'Asset Classification'!U39</f>
        <v>1682107</v>
      </c>
      <c r="AI39" s="508">
        <f>+'Asset Classification'!V39</f>
        <v>0</v>
      </c>
      <c r="AJ39" s="506">
        <f>+'Asset Classification'!W39</f>
        <v>1682107</v>
      </c>
      <c r="AK39" s="504">
        <f t="shared" si="69"/>
        <v>1682107</v>
      </c>
      <c r="AL39" s="504">
        <f t="shared" si="70"/>
        <v>0</v>
      </c>
      <c r="AM39" s="508">
        <f>+'Asset Classification'!X39</f>
        <v>0</v>
      </c>
      <c r="AN39" s="504">
        <f t="shared" si="71"/>
        <v>0</v>
      </c>
      <c r="AO39" s="504">
        <f t="shared" si="72"/>
        <v>0</v>
      </c>
      <c r="AP39" s="499">
        <f t="shared" si="73"/>
        <v>21350701</v>
      </c>
      <c r="AQ39" s="499">
        <f t="shared" si="73"/>
        <v>21350700.899999999</v>
      </c>
      <c r="AR39" s="499">
        <f t="shared" si="74"/>
        <v>0.10000000149011612</v>
      </c>
      <c r="AS39" s="504">
        <f t="shared" si="75"/>
        <v>14398824</v>
      </c>
      <c r="AT39" s="504">
        <f t="shared" si="75"/>
        <v>14398823.35</v>
      </c>
      <c r="AU39" s="504">
        <f t="shared" si="76"/>
        <v>0.65000000037252903</v>
      </c>
      <c r="AV39" s="236">
        <f>+'Aging Analysis'!C27</f>
        <v>3968113322</v>
      </c>
      <c r="AW39" s="234"/>
      <c r="AX39" s="234"/>
      <c r="AY39" s="234"/>
      <c r="AZ39" s="234"/>
      <c r="BA39" s="234"/>
      <c r="BB39" s="234"/>
      <c r="BC39" s="234"/>
    </row>
    <row r="40" spans="1:55" s="15" customFormat="1" ht="14.25" customHeight="1">
      <c r="A40" s="329"/>
      <c r="B40" s="333" t="s">
        <v>660</v>
      </c>
      <c r="C40" s="503">
        <f>+'Asset Classification'!C40</f>
        <v>0</v>
      </c>
      <c r="D40" s="508">
        <f>+'Asset Classification'!D40</f>
        <v>0</v>
      </c>
      <c r="E40" s="506">
        <f>+'Asset Classification'!E40</f>
        <v>0</v>
      </c>
      <c r="F40" s="508">
        <f>+'Asset Classification'!F40</f>
        <v>0</v>
      </c>
      <c r="G40" s="506">
        <f>+'Asset Classification'!G40</f>
        <v>0</v>
      </c>
      <c r="H40" s="504">
        <f t="shared" si="55"/>
        <v>0</v>
      </c>
      <c r="I40" s="504">
        <f t="shared" si="56"/>
        <v>0</v>
      </c>
      <c r="J40" s="506">
        <f>+'Asset Classification'!I40</f>
        <v>0</v>
      </c>
      <c r="K40" s="508">
        <f>+'Asset Classification'!J40</f>
        <v>0</v>
      </c>
      <c r="L40" s="506">
        <f>+'Asset Classification'!K40</f>
        <v>0</v>
      </c>
      <c r="M40" s="504">
        <f t="shared" si="57"/>
        <v>0</v>
      </c>
      <c r="N40" s="504">
        <f t="shared" si="58"/>
        <v>0</v>
      </c>
      <c r="O40" s="508">
        <f>+'Asset Classification'!L40</f>
        <v>0</v>
      </c>
      <c r="P40" s="504">
        <f t="shared" si="59"/>
        <v>0</v>
      </c>
      <c r="Q40" s="504">
        <f t="shared" si="60"/>
        <v>0</v>
      </c>
      <c r="R40" s="506">
        <f>+'Asset Classification'!M40</f>
        <v>0</v>
      </c>
      <c r="S40" s="508">
        <f>+'Asset Classification'!N40</f>
        <v>0</v>
      </c>
      <c r="T40" s="506">
        <f>+'Asset Classification'!O40</f>
        <v>0</v>
      </c>
      <c r="U40" s="504">
        <f t="shared" si="61"/>
        <v>0</v>
      </c>
      <c r="V40" s="504">
        <f t="shared" si="62"/>
        <v>0</v>
      </c>
      <c r="W40" s="508">
        <f>+'Asset Classification'!P40</f>
        <v>0</v>
      </c>
      <c r="X40" s="504">
        <f t="shared" si="63"/>
        <v>0</v>
      </c>
      <c r="Y40" s="504">
        <f t="shared" si="64"/>
        <v>0</v>
      </c>
      <c r="Z40" s="506">
        <f>+'Asset Classification'!Q40</f>
        <v>0</v>
      </c>
      <c r="AA40" s="508">
        <f>+'Asset Classification'!R40</f>
        <v>0</v>
      </c>
      <c r="AB40" s="506">
        <f>+'Asset Classification'!S40</f>
        <v>0</v>
      </c>
      <c r="AC40" s="504">
        <f t="shared" si="65"/>
        <v>0</v>
      </c>
      <c r="AD40" s="504">
        <f t="shared" si="66"/>
        <v>0</v>
      </c>
      <c r="AE40" s="508">
        <f>+'Asset Classification'!T40</f>
        <v>0</v>
      </c>
      <c r="AF40" s="504">
        <f t="shared" si="67"/>
        <v>0</v>
      </c>
      <c r="AG40" s="504">
        <f t="shared" si="68"/>
        <v>0</v>
      </c>
      <c r="AH40" s="506">
        <f>+'Asset Classification'!U40</f>
        <v>0</v>
      </c>
      <c r="AI40" s="508">
        <f>+'Asset Classification'!V40</f>
        <v>0</v>
      </c>
      <c r="AJ40" s="506">
        <f>+'Asset Classification'!W40</f>
        <v>0</v>
      </c>
      <c r="AK40" s="504">
        <f t="shared" si="69"/>
        <v>0</v>
      </c>
      <c r="AL40" s="504">
        <f t="shared" si="70"/>
        <v>0</v>
      </c>
      <c r="AM40" s="508">
        <f>+'Asset Classification'!X40</f>
        <v>0</v>
      </c>
      <c r="AN40" s="504">
        <f t="shared" si="71"/>
        <v>0</v>
      </c>
      <c r="AO40" s="504">
        <f t="shared" si="72"/>
        <v>0</v>
      </c>
      <c r="AP40" s="499">
        <f t="shared" si="73"/>
        <v>0</v>
      </c>
      <c r="AQ40" s="499">
        <f t="shared" si="73"/>
        <v>0</v>
      </c>
      <c r="AR40" s="499">
        <f t="shared" si="74"/>
        <v>0</v>
      </c>
      <c r="AS40" s="504">
        <f t="shared" si="75"/>
        <v>0</v>
      </c>
      <c r="AT40" s="504">
        <f t="shared" si="75"/>
        <v>0</v>
      </c>
      <c r="AU40" s="504">
        <f t="shared" si="76"/>
        <v>0</v>
      </c>
      <c r="AW40" s="234"/>
      <c r="AX40" s="234"/>
      <c r="AY40" s="234"/>
      <c r="AZ40" s="234"/>
      <c r="BA40" s="234"/>
      <c r="BB40" s="234"/>
      <c r="BC40" s="234"/>
    </row>
    <row r="41" spans="1:55" s="15" customFormat="1" ht="23.25" customHeight="1">
      <c r="A41" s="329">
        <v>17</v>
      </c>
      <c r="B41" s="332" t="s">
        <v>471</v>
      </c>
      <c r="C41" s="503">
        <f>+'Asset Classification'!C41</f>
        <v>1311758376</v>
      </c>
      <c r="D41" s="508">
        <f>+'Asset Classification'!D41</f>
        <v>942129303</v>
      </c>
      <c r="E41" s="506">
        <f>+'Asset Classification'!E41</f>
        <v>1168102135</v>
      </c>
      <c r="F41" s="508">
        <f>+'Asset Classification'!F41</f>
        <v>903217007</v>
      </c>
      <c r="G41" s="506">
        <f>+'Asset Classification'!G41</f>
        <v>11681021</v>
      </c>
      <c r="H41" s="504">
        <f t="shared" si="55"/>
        <v>11681021.35</v>
      </c>
      <c r="I41" s="504">
        <f t="shared" si="56"/>
        <v>-0.34999999962747097</v>
      </c>
      <c r="J41" s="506">
        <f>+'Asset Classification'!I41</f>
        <v>48928444</v>
      </c>
      <c r="K41" s="508">
        <f>+'Asset Classification'!J41</f>
        <v>14901457</v>
      </c>
      <c r="L41" s="506">
        <f>+'Asset Classification'!K41</f>
        <v>4892844</v>
      </c>
      <c r="M41" s="504">
        <f t="shared" si="57"/>
        <v>4892844.4000000004</v>
      </c>
      <c r="N41" s="504">
        <f t="shared" si="58"/>
        <v>-0.40000000037252903</v>
      </c>
      <c r="O41" s="508">
        <f>+'Asset Classification'!L41</f>
        <v>1490146</v>
      </c>
      <c r="P41" s="504">
        <f t="shared" si="59"/>
        <v>1490145.7000000002</v>
      </c>
      <c r="Q41" s="504">
        <f t="shared" si="60"/>
        <v>0.29999999981373549</v>
      </c>
      <c r="R41" s="506">
        <f>+'Asset Classification'!M41</f>
        <v>42918452</v>
      </c>
      <c r="S41" s="508">
        <f>+'Asset Classification'!N41</f>
        <v>1772113</v>
      </c>
      <c r="T41" s="506">
        <f>+'Asset Classification'!O41</f>
        <v>10729613</v>
      </c>
      <c r="U41" s="504">
        <f t="shared" si="61"/>
        <v>10729613</v>
      </c>
      <c r="V41" s="504">
        <f t="shared" si="62"/>
        <v>0</v>
      </c>
      <c r="W41" s="508">
        <f>+'Asset Classification'!P41</f>
        <v>443028</v>
      </c>
      <c r="X41" s="504">
        <f t="shared" si="63"/>
        <v>443028.25</v>
      </c>
      <c r="Y41" s="504">
        <f t="shared" si="64"/>
        <v>-0.25</v>
      </c>
      <c r="Z41" s="506">
        <f>+'Asset Classification'!Q41</f>
        <v>51809345</v>
      </c>
      <c r="AA41" s="508">
        <f>+'Asset Classification'!R41</f>
        <v>22238726</v>
      </c>
      <c r="AB41" s="506">
        <f>+'Asset Classification'!S41</f>
        <v>25904673</v>
      </c>
      <c r="AC41" s="504">
        <f t="shared" si="65"/>
        <v>25904672.5</v>
      </c>
      <c r="AD41" s="504">
        <f t="shared" si="66"/>
        <v>0.5</v>
      </c>
      <c r="AE41" s="508">
        <f>+'Asset Classification'!T41</f>
        <v>11119363</v>
      </c>
      <c r="AF41" s="504">
        <f t="shared" si="67"/>
        <v>11119363</v>
      </c>
      <c r="AG41" s="504">
        <f t="shared" si="68"/>
        <v>0</v>
      </c>
      <c r="AH41" s="506">
        <f>+'Asset Classification'!U41</f>
        <v>0</v>
      </c>
      <c r="AI41" s="508">
        <f>+'Asset Classification'!V41</f>
        <v>0</v>
      </c>
      <c r="AJ41" s="506">
        <f>+'Asset Classification'!W41</f>
        <v>0</v>
      </c>
      <c r="AK41" s="504">
        <f t="shared" si="69"/>
        <v>0</v>
      </c>
      <c r="AL41" s="504">
        <f t="shared" si="70"/>
        <v>0</v>
      </c>
      <c r="AM41" s="508">
        <f>+'Asset Classification'!X41</f>
        <v>0</v>
      </c>
      <c r="AN41" s="504">
        <f t="shared" si="71"/>
        <v>0</v>
      </c>
      <c r="AO41" s="504">
        <f t="shared" si="72"/>
        <v>0</v>
      </c>
      <c r="AP41" s="499">
        <f t="shared" si="73"/>
        <v>41527130</v>
      </c>
      <c r="AQ41" s="499">
        <f t="shared" si="73"/>
        <v>41527129.899999999</v>
      </c>
      <c r="AR41" s="499">
        <f t="shared" si="74"/>
        <v>0.10000000149011612</v>
      </c>
      <c r="AS41" s="504">
        <f t="shared" si="75"/>
        <v>13052537</v>
      </c>
      <c r="AT41" s="504">
        <f t="shared" si="75"/>
        <v>13052536.949999999</v>
      </c>
      <c r="AU41" s="504">
        <f t="shared" si="76"/>
        <v>5.000000074505806E-2</v>
      </c>
      <c r="AV41" s="236">
        <f>+'Aging Analysis'!C28</f>
        <v>1311758376</v>
      </c>
      <c r="AW41" s="234"/>
      <c r="AX41" s="234"/>
      <c r="AY41" s="234"/>
      <c r="AZ41" s="234"/>
      <c r="BA41" s="234"/>
      <c r="BB41" s="234"/>
      <c r="BC41" s="234"/>
    </row>
    <row r="42" spans="1:55" s="15" customFormat="1" ht="14.25" customHeight="1">
      <c r="A42" s="329"/>
      <c r="B42" s="333" t="s">
        <v>660</v>
      </c>
      <c r="C42" s="503">
        <f>+'Asset Classification'!C42</f>
        <v>0</v>
      </c>
      <c r="D42" s="508">
        <f>+'Asset Classification'!D42</f>
        <v>0</v>
      </c>
      <c r="E42" s="506">
        <f>+'Asset Classification'!E42</f>
        <v>0</v>
      </c>
      <c r="F42" s="508">
        <f>+'Asset Classification'!F42</f>
        <v>0</v>
      </c>
      <c r="G42" s="506">
        <f>+'Asset Classification'!G42</f>
        <v>0</v>
      </c>
      <c r="H42" s="504">
        <f t="shared" si="55"/>
        <v>0</v>
      </c>
      <c r="I42" s="504">
        <f t="shared" si="56"/>
        <v>0</v>
      </c>
      <c r="J42" s="506">
        <f>+'Asset Classification'!I42</f>
        <v>0</v>
      </c>
      <c r="K42" s="508">
        <f>+'Asset Classification'!J42</f>
        <v>0</v>
      </c>
      <c r="L42" s="506">
        <f>+'Asset Classification'!K42</f>
        <v>0</v>
      </c>
      <c r="M42" s="504">
        <f t="shared" si="57"/>
        <v>0</v>
      </c>
      <c r="N42" s="504">
        <f t="shared" si="58"/>
        <v>0</v>
      </c>
      <c r="O42" s="508">
        <f>+'Asset Classification'!L42</f>
        <v>0</v>
      </c>
      <c r="P42" s="504">
        <f t="shared" si="59"/>
        <v>0</v>
      </c>
      <c r="Q42" s="504">
        <f t="shared" si="60"/>
        <v>0</v>
      </c>
      <c r="R42" s="506">
        <f>+'Asset Classification'!M42</f>
        <v>0</v>
      </c>
      <c r="S42" s="508">
        <f>+'Asset Classification'!N42</f>
        <v>0</v>
      </c>
      <c r="T42" s="506">
        <f>+'Asset Classification'!O42</f>
        <v>0</v>
      </c>
      <c r="U42" s="504">
        <f t="shared" si="61"/>
        <v>0</v>
      </c>
      <c r="V42" s="504">
        <f t="shared" si="62"/>
        <v>0</v>
      </c>
      <c r="W42" s="508">
        <f>+'Asset Classification'!P42</f>
        <v>0</v>
      </c>
      <c r="X42" s="504">
        <f t="shared" si="63"/>
        <v>0</v>
      </c>
      <c r="Y42" s="504">
        <f t="shared" si="64"/>
        <v>0</v>
      </c>
      <c r="Z42" s="506">
        <f>+'Asset Classification'!Q42</f>
        <v>0</v>
      </c>
      <c r="AA42" s="508">
        <f>+'Asset Classification'!R42</f>
        <v>0</v>
      </c>
      <c r="AB42" s="506">
        <f>+'Asset Classification'!S42</f>
        <v>0</v>
      </c>
      <c r="AC42" s="504">
        <f t="shared" si="65"/>
        <v>0</v>
      </c>
      <c r="AD42" s="504">
        <f t="shared" si="66"/>
        <v>0</v>
      </c>
      <c r="AE42" s="508">
        <f>+'Asset Classification'!T42</f>
        <v>0</v>
      </c>
      <c r="AF42" s="504">
        <f t="shared" si="67"/>
        <v>0</v>
      </c>
      <c r="AG42" s="504">
        <f t="shared" si="68"/>
        <v>0</v>
      </c>
      <c r="AH42" s="506">
        <f>+'Asset Classification'!U42</f>
        <v>0</v>
      </c>
      <c r="AI42" s="508">
        <f>+'Asset Classification'!V42</f>
        <v>0</v>
      </c>
      <c r="AJ42" s="506">
        <f>+'Asset Classification'!W42</f>
        <v>0</v>
      </c>
      <c r="AK42" s="504">
        <f t="shared" si="69"/>
        <v>0</v>
      </c>
      <c r="AL42" s="504">
        <f t="shared" si="70"/>
        <v>0</v>
      </c>
      <c r="AM42" s="508">
        <f>+'Asset Classification'!X42</f>
        <v>0</v>
      </c>
      <c r="AN42" s="504">
        <f t="shared" si="71"/>
        <v>0</v>
      </c>
      <c r="AO42" s="504">
        <f t="shared" si="72"/>
        <v>0</v>
      </c>
      <c r="AP42" s="499">
        <f t="shared" si="73"/>
        <v>0</v>
      </c>
      <c r="AQ42" s="499">
        <f t="shared" si="73"/>
        <v>0</v>
      </c>
      <c r="AR42" s="499">
        <f t="shared" si="74"/>
        <v>0</v>
      </c>
      <c r="AS42" s="504">
        <f t="shared" si="75"/>
        <v>0</v>
      </c>
      <c r="AT42" s="504">
        <f t="shared" si="75"/>
        <v>0</v>
      </c>
      <c r="AU42" s="504">
        <f t="shared" si="76"/>
        <v>0</v>
      </c>
      <c r="AW42" s="234"/>
      <c r="AX42" s="234"/>
      <c r="AY42" s="234"/>
      <c r="AZ42" s="234"/>
      <c r="BA42" s="234"/>
      <c r="BB42" s="234"/>
      <c r="BC42" s="234"/>
    </row>
    <row r="43" spans="1:55" s="15" customFormat="1" ht="23.25" customHeight="1">
      <c r="A43" s="329">
        <v>18</v>
      </c>
      <c r="B43" s="332" t="s">
        <v>472</v>
      </c>
      <c r="C43" s="503">
        <f>+'Asset Classification'!C43</f>
        <v>3466439372</v>
      </c>
      <c r="D43" s="508">
        <f>+'Asset Classification'!D43</f>
        <v>2756436726</v>
      </c>
      <c r="E43" s="506">
        <f>+'Asset Classification'!E43</f>
        <v>2960164849</v>
      </c>
      <c r="F43" s="508">
        <f>+'Asset Classification'!F43</f>
        <v>2404774456</v>
      </c>
      <c r="G43" s="506">
        <f>+'Asset Classification'!G43</f>
        <v>29601648</v>
      </c>
      <c r="H43" s="504">
        <f t="shared" si="55"/>
        <v>29601648.490000002</v>
      </c>
      <c r="I43" s="504">
        <f t="shared" si="56"/>
        <v>-0.49000000208616257</v>
      </c>
      <c r="J43" s="506">
        <f>+'Asset Classification'!I43</f>
        <v>241286988</v>
      </c>
      <c r="K43" s="508">
        <f>+'Asset Classification'!J43</f>
        <v>200437929</v>
      </c>
      <c r="L43" s="506">
        <f>+'Asset Classification'!K43</f>
        <v>24128699</v>
      </c>
      <c r="M43" s="504">
        <f t="shared" si="57"/>
        <v>24128698.800000001</v>
      </c>
      <c r="N43" s="504">
        <f t="shared" si="58"/>
        <v>0.19999999925494194</v>
      </c>
      <c r="O43" s="508">
        <f>+'Asset Classification'!L43</f>
        <v>20043793</v>
      </c>
      <c r="P43" s="504">
        <f t="shared" si="59"/>
        <v>20043792.900000002</v>
      </c>
      <c r="Q43" s="504">
        <f t="shared" si="60"/>
        <v>9.9999997764825821E-2</v>
      </c>
      <c r="R43" s="506">
        <f>+'Asset Classification'!M43</f>
        <v>60676560</v>
      </c>
      <c r="S43" s="508">
        <f>+'Asset Classification'!N43</f>
        <v>52568517</v>
      </c>
      <c r="T43" s="506">
        <f>+'Asset Classification'!O43</f>
        <v>15169140</v>
      </c>
      <c r="U43" s="504">
        <f t="shared" si="61"/>
        <v>15169140</v>
      </c>
      <c r="V43" s="504">
        <f t="shared" si="62"/>
        <v>0</v>
      </c>
      <c r="W43" s="508">
        <f>+'Asset Classification'!P43</f>
        <v>13142129</v>
      </c>
      <c r="X43" s="504">
        <f t="shared" si="63"/>
        <v>13142129.25</v>
      </c>
      <c r="Y43" s="504">
        <f t="shared" si="64"/>
        <v>-0.25</v>
      </c>
      <c r="Z43" s="506">
        <f>+'Asset Classification'!Q43</f>
        <v>193760975</v>
      </c>
      <c r="AA43" s="508">
        <f>+'Asset Classification'!R43</f>
        <v>98655824</v>
      </c>
      <c r="AB43" s="506">
        <f>+'Asset Classification'!S43</f>
        <v>96880488</v>
      </c>
      <c r="AC43" s="504">
        <f t="shared" si="65"/>
        <v>96880487.5</v>
      </c>
      <c r="AD43" s="504">
        <f t="shared" si="66"/>
        <v>0.5</v>
      </c>
      <c r="AE43" s="508">
        <f>+'Asset Classification'!T43</f>
        <v>49327912</v>
      </c>
      <c r="AF43" s="504">
        <f t="shared" si="67"/>
        <v>49327912</v>
      </c>
      <c r="AG43" s="504">
        <f t="shared" si="68"/>
        <v>0</v>
      </c>
      <c r="AH43" s="506">
        <f>+'Asset Classification'!U43</f>
        <v>10550000</v>
      </c>
      <c r="AI43" s="508">
        <f>+'Asset Classification'!V43</f>
        <v>0</v>
      </c>
      <c r="AJ43" s="506">
        <f>+'Asset Classification'!W43</f>
        <v>10550000</v>
      </c>
      <c r="AK43" s="504">
        <f t="shared" si="69"/>
        <v>10550000</v>
      </c>
      <c r="AL43" s="504">
        <f t="shared" si="70"/>
        <v>0</v>
      </c>
      <c r="AM43" s="508">
        <f>+'Asset Classification'!X43</f>
        <v>0</v>
      </c>
      <c r="AN43" s="504">
        <f t="shared" si="71"/>
        <v>0</v>
      </c>
      <c r="AO43" s="504">
        <f t="shared" si="72"/>
        <v>0</v>
      </c>
      <c r="AP43" s="499">
        <f t="shared" si="73"/>
        <v>146728327</v>
      </c>
      <c r="AQ43" s="499">
        <f t="shared" si="73"/>
        <v>146728326.30000001</v>
      </c>
      <c r="AR43" s="499">
        <f t="shared" si="74"/>
        <v>0.69999998807907104</v>
      </c>
      <c r="AS43" s="504">
        <f t="shared" si="75"/>
        <v>82513834</v>
      </c>
      <c r="AT43" s="504">
        <f t="shared" si="75"/>
        <v>82513834.150000006</v>
      </c>
      <c r="AU43" s="504">
        <f t="shared" si="76"/>
        <v>-0.15000000596046448</v>
      </c>
      <c r="AV43" s="236">
        <f>+'Aging Analysis'!C29</f>
        <v>3466439372</v>
      </c>
      <c r="AW43" s="234"/>
      <c r="AX43" s="234"/>
      <c r="AY43" s="234"/>
      <c r="AZ43" s="234"/>
      <c r="BA43" s="234"/>
      <c r="BB43" s="234"/>
      <c r="BC43" s="234"/>
    </row>
    <row r="44" spans="1:55" s="15" customFormat="1" ht="14.25" customHeight="1">
      <c r="A44" s="329"/>
      <c r="B44" s="333" t="s">
        <v>660</v>
      </c>
      <c r="C44" s="503">
        <f>+'Asset Classification'!C44</f>
        <v>0</v>
      </c>
      <c r="D44" s="508">
        <f>+'Asset Classification'!D44</f>
        <v>0</v>
      </c>
      <c r="E44" s="506">
        <f>+'Asset Classification'!E44</f>
        <v>0</v>
      </c>
      <c r="F44" s="508">
        <f>+'Asset Classification'!F44</f>
        <v>0</v>
      </c>
      <c r="G44" s="506">
        <f>+'Asset Classification'!G44</f>
        <v>0</v>
      </c>
      <c r="H44" s="504">
        <f t="shared" si="55"/>
        <v>0</v>
      </c>
      <c r="I44" s="504">
        <f t="shared" si="56"/>
        <v>0</v>
      </c>
      <c r="J44" s="506">
        <f>+'Asset Classification'!I44</f>
        <v>0</v>
      </c>
      <c r="K44" s="508">
        <f>+'Asset Classification'!J44</f>
        <v>0</v>
      </c>
      <c r="L44" s="506">
        <f>+'Asset Classification'!K44</f>
        <v>0</v>
      </c>
      <c r="M44" s="504">
        <f t="shared" si="57"/>
        <v>0</v>
      </c>
      <c r="N44" s="504">
        <f t="shared" si="58"/>
        <v>0</v>
      </c>
      <c r="O44" s="508">
        <f>+'Asset Classification'!L44</f>
        <v>0</v>
      </c>
      <c r="P44" s="504">
        <f t="shared" si="59"/>
        <v>0</v>
      </c>
      <c r="Q44" s="504">
        <f t="shared" si="60"/>
        <v>0</v>
      </c>
      <c r="R44" s="506">
        <f>+'Asset Classification'!M44</f>
        <v>0</v>
      </c>
      <c r="S44" s="508">
        <f>+'Asset Classification'!N44</f>
        <v>0</v>
      </c>
      <c r="T44" s="506">
        <f>+'Asset Classification'!O44</f>
        <v>0</v>
      </c>
      <c r="U44" s="504">
        <f t="shared" si="61"/>
        <v>0</v>
      </c>
      <c r="V44" s="504">
        <f t="shared" si="62"/>
        <v>0</v>
      </c>
      <c r="W44" s="508">
        <f>+'Asset Classification'!P44</f>
        <v>0</v>
      </c>
      <c r="X44" s="504">
        <f t="shared" si="63"/>
        <v>0</v>
      </c>
      <c r="Y44" s="504">
        <f t="shared" si="64"/>
        <v>0</v>
      </c>
      <c r="Z44" s="506">
        <f>+'Asset Classification'!Q44</f>
        <v>0</v>
      </c>
      <c r="AA44" s="508">
        <f>+'Asset Classification'!R44</f>
        <v>0</v>
      </c>
      <c r="AB44" s="506">
        <f>+'Asset Classification'!S44</f>
        <v>0</v>
      </c>
      <c r="AC44" s="504">
        <f t="shared" si="65"/>
        <v>0</v>
      </c>
      <c r="AD44" s="504">
        <f t="shared" si="66"/>
        <v>0</v>
      </c>
      <c r="AE44" s="508">
        <f>+'Asset Classification'!T44</f>
        <v>0</v>
      </c>
      <c r="AF44" s="504">
        <f t="shared" si="67"/>
        <v>0</v>
      </c>
      <c r="AG44" s="504">
        <f t="shared" si="68"/>
        <v>0</v>
      </c>
      <c r="AH44" s="506">
        <f>+'Asset Classification'!U44</f>
        <v>0</v>
      </c>
      <c r="AI44" s="508">
        <f>+'Asset Classification'!V44</f>
        <v>0</v>
      </c>
      <c r="AJ44" s="506">
        <f>+'Asset Classification'!W44</f>
        <v>0</v>
      </c>
      <c r="AK44" s="504">
        <f t="shared" si="69"/>
        <v>0</v>
      </c>
      <c r="AL44" s="504">
        <f t="shared" si="70"/>
        <v>0</v>
      </c>
      <c r="AM44" s="508">
        <f>+'Asset Classification'!X44</f>
        <v>0</v>
      </c>
      <c r="AN44" s="504">
        <f t="shared" si="71"/>
        <v>0</v>
      </c>
      <c r="AO44" s="504">
        <f t="shared" si="72"/>
        <v>0</v>
      </c>
      <c r="AP44" s="499">
        <f t="shared" si="73"/>
        <v>0</v>
      </c>
      <c r="AQ44" s="499">
        <f t="shared" si="73"/>
        <v>0</v>
      </c>
      <c r="AR44" s="499">
        <f t="shared" si="74"/>
        <v>0</v>
      </c>
      <c r="AS44" s="504">
        <f t="shared" si="75"/>
        <v>0</v>
      </c>
      <c r="AT44" s="504">
        <f t="shared" si="75"/>
        <v>0</v>
      </c>
      <c r="AU44" s="504">
        <f t="shared" si="76"/>
        <v>0</v>
      </c>
      <c r="AW44" s="234"/>
      <c r="AX44" s="234"/>
      <c r="AY44" s="234"/>
      <c r="AZ44" s="234"/>
      <c r="BA44" s="234"/>
      <c r="BB44" s="234"/>
      <c r="BC44" s="234"/>
    </row>
    <row r="45" spans="1:55" s="15" customFormat="1" ht="23.25" customHeight="1">
      <c r="A45" s="329">
        <v>19</v>
      </c>
      <c r="B45" s="332" t="s">
        <v>473</v>
      </c>
      <c r="C45" s="503">
        <f>+'Asset Classification'!C45</f>
        <v>2157776262</v>
      </c>
      <c r="D45" s="508">
        <f>+'Asset Classification'!D45</f>
        <v>300207520</v>
      </c>
      <c r="E45" s="506">
        <f>+'Asset Classification'!E45</f>
        <v>2139811852</v>
      </c>
      <c r="F45" s="508">
        <f>+'Asset Classification'!F45</f>
        <v>295271972</v>
      </c>
      <c r="G45" s="506">
        <f>+'Asset Classification'!G45</f>
        <v>21398119</v>
      </c>
      <c r="H45" s="504">
        <f t="shared" si="55"/>
        <v>21398118.52</v>
      </c>
      <c r="I45" s="504">
        <f t="shared" si="56"/>
        <v>0.48000000044703484</v>
      </c>
      <c r="J45" s="506">
        <f>+'Asset Classification'!I45</f>
        <v>12647724</v>
      </c>
      <c r="K45" s="508">
        <f>+'Asset Classification'!J45</f>
        <v>0</v>
      </c>
      <c r="L45" s="506">
        <f>+'Asset Classification'!K45</f>
        <v>1264772</v>
      </c>
      <c r="M45" s="504">
        <f t="shared" si="57"/>
        <v>1264772.4000000001</v>
      </c>
      <c r="N45" s="504">
        <f t="shared" si="58"/>
        <v>-0.40000000013969839</v>
      </c>
      <c r="O45" s="508">
        <f>+'Asset Classification'!L45</f>
        <v>0</v>
      </c>
      <c r="P45" s="504">
        <f t="shared" si="59"/>
        <v>0</v>
      </c>
      <c r="Q45" s="504">
        <f t="shared" si="60"/>
        <v>0</v>
      </c>
      <c r="R45" s="506">
        <f>+'Asset Classification'!M45</f>
        <v>246815</v>
      </c>
      <c r="S45" s="508">
        <f>+'Asset Classification'!N45</f>
        <v>246815</v>
      </c>
      <c r="T45" s="506">
        <f>+'Asset Classification'!O45</f>
        <v>61704</v>
      </c>
      <c r="U45" s="504">
        <f t="shared" si="61"/>
        <v>61703.75</v>
      </c>
      <c r="V45" s="504">
        <f t="shared" si="62"/>
        <v>0.25</v>
      </c>
      <c r="W45" s="508">
        <f>+'Asset Classification'!P45</f>
        <v>61704</v>
      </c>
      <c r="X45" s="504">
        <f t="shared" si="63"/>
        <v>61703.75</v>
      </c>
      <c r="Y45" s="504">
        <f t="shared" si="64"/>
        <v>0.25</v>
      </c>
      <c r="Z45" s="506">
        <f>+'Asset Classification'!Q45</f>
        <v>31138</v>
      </c>
      <c r="AA45" s="508">
        <f>+'Asset Classification'!R45</f>
        <v>0</v>
      </c>
      <c r="AB45" s="506">
        <f>+'Asset Classification'!S45</f>
        <v>15569</v>
      </c>
      <c r="AC45" s="504">
        <f t="shared" si="65"/>
        <v>15569</v>
      </c>
      <c r="AD45" s="504">
        <f t="shared" si="66"/>
        <v>0</v>
      </c>
      <c r="AE45" s="508">
        <f>+'Asset Classification'!T45</f>
        <v>0</v>
      </c>
      <c r="AF45" s="504">
        <f t="shared" si="67"/>
        <v>0</v>
      </c>
      <c r="AG45" s="504">
        <f t="shared" si="68"/>
        <v>0</v>
      </c>
      <c r="AH45" s="506">
        <f>+'Asset Classification'!U45</f>
        <v>5038733</v>
      </c>
      <c r="AI45" s="508">
        <f>+'Asset Classification'!V45</f>
        <v>4688733</v>
      </c>
      <c r="AJ45" s="506">
        <f>+'Asset Classification'!W45</f>
        <v>5038733</v>
      </c>
      <c r="AK45" s="504">
        <f t="shared" si="69"/>
        <v>5038733</v>
      </c>
      <c r="AL45" s="504">
        <f t="shared" si="70"/>
        <v>0</v>
      </c>
      <c r="AM45" s="508">
        <f>+'Asset Classification'!X45</f>
        <v>4688733</v>
      </c>
      <c r="AN45" s="504">
        <f t="shared" si="71"/>
        <v>4688733</v>
      </c>
      <c r="AO45" s="504">
        <f t="shared" si="72"/>
        <v>0</v>
      </c>
      <c r="AP45" s="499">
        <f t="shared" si="73"/>
        <v>6380778</v>
      </c>
      <c r="AQ45" s="499">
        <f t="shared" si="73"/>
        <v>6380778.1500000004</v>
      </c>
      <c r="AR45" s="499">
        <f t="shared" si="74"/>
        <v>-0.15000000037252903</v>
      </c>
      <c r="AS45" s="504">
        <f t="shared" si="75"/>
        <v>4750437</v>
      </c>
      <c r="AT45" s="504">
        <f t="shared" si="75"/>
        <v>4750436.75</v>
      </c>
      <c r="AU45" s="504">
        <f t="shared" si="76"/>
        <v>0.25</v>
      </c>
      <c r="AV45" s="236">
        <f>+'Aging Analysis'!C30</f>
        <v>2157776262</v>
      </c>
      <c r="AW45" s="234"/>
      <c r="AX45" s="234"/>
      <c r="AY45" s="234"/>
      <c r="AZ45" s="234"/>
      <c r="BA45" s="234"/>
      <c r="BB45" s="234"/>
      <c r="BC45" s="234"/>
    </row>
    <row r="46" spans="1:55" s="15" customFormat="1" ht="14.25" customHeight="1">
      <c r="A46" s="329"/>
      <c r="B46" s="333" t="s">
        <v>660</v>
      </c>
      <c r="C46" s="503">
        <f>+'Asset Classification'!C46</f>
        <v>0</v>
      </c>
      <c r="D46" s="508">
        <f>+'Asset Classification'!D46</f>
        <v>0</v>
      </c>
      <c r="E46" s="506">
        <f>+'Asset Classification'!E46</f>
        <v>0</v>
      </c>
      <c r="F46" s="508">
        <f>+'Asset Classification'!F46</f>
        <v>0</v>
      </c>
      <c r="G46" s="506">
        <f>+'Asset Classification'!G46</f>
        <v>0</v>
      </c>
      <c r="H46" s="504">
        <f t="shared" si="55"/>
        <v>0</v>
      </c>
      <c r="I46" s="504">
        <f t="shared" si="56"/>
        <v>0</v>
      </c>
      <c r="J46" s="506">
        <f>+'Asset Classification'!I46</f>
        <v>0</v>
      </c>
      <c r="K46" s="508">
        <f>+'Asset Classification'!J46</f>
        <v>0</v>
      </c>
      <c r="L46" s="506">
        <f>+'Asset Classification'!K46</f>
        <v>0</v>
      </c>
      <c r="M46" s="504">
        <f t="shared" si="57"/>
        <v>0</v>
      </c>
      <c r="N46" s="504">
        <f t="shared" si="58"/>
        <v>0</v>
      </c>
      <c r="O46" s="508">
        <f>+'Asset Classification'!L46</f>
        <v>0</v>
      </c>
      <c r="P46" s="504">
        <f t="shared" si="59"/>
        <v>0</v>
      </c>
      <c r="Q46" s="504">
        <f t="shared" si="60"/>
        <v>0</v>
      </c>
      <c r="R46" s="506">
        <f>+'Asset Classification'!M46</f>
        <v>0</v>
      </c>
      <c r="S46" s="508">
        <f>+'Asset Classification'!N46</f>
        <v>0</v>
      </c>
      <c r="T46" s="506">
        <f>+'Asset Classification'!O46</f>
        <v>0</v>
      </c>
      <c r="U46" s="504">
        <f t="shared" si="61"/>
        <v>0</v>
      </c>
      <c r="V46" s="504">
        <f t="shared" si="62"/>
        <v>0</v>
      </c>
      <c r="W46" s="508">
        <f>+'Asset Classification'!P46</f>
        <v>0</v>
      </c>
      <c r="X46" s="504">
        <f t="shared" si="63"/>
        <v>0</v>
      </c>
      <c r="Y46" s="504">
        <f t="shared" si="64"/>
        <v>0</v>
      </c>
      <c r="Z46" s="506">
        <f>+'Asset Classification'!Q46</f>
        <v>0</v>
      </c>
      <c r="AA46" s="508">
        <f>+'Asset Classification'!R46</f>
        <v>0</v>
      </c>
      <c r="AB46" s="506">
        <f>+'Asset Classification'!S46</f>
        <v>0</v>
      </c>
      <c r="AC46" s="504">
        <f t="shared" si="65"/>
        <v>0</v>
      </c>
      <c r="AD46" s="504">
        <f t="shared" si="66"/>
        <v>0</v>
      </c>
      <c r="AE46" s="508">
        <f>+'Asset Classification'!T46</f>
        <v>0</v>
      </c>
      <c r="AF46" s="504">
        <f t="shared" si="67"/>
        <v>0</v>
      </c>
      <c r="AG46" s="504">
        <f t="shared" si="68"/>
        <v>0</v>
      </c>
      <c r="AH46" s="506">
        <f>+'Asset Classification'!U46</f>
        <v>0</v>
      </c>
      <c r="AI46" s="508">
        <f>+'Asset Classification'!V46</f>
        <v>0</v>
      </c>
      <c r="AJ46" s="506">
        <f>+'Asset Classification'!W46</f>
        <v>0</v>
      </c>
      <c r="AK46" s="504">
        <f t="shared" si="69"/>
        <v>0</v>
      </c>
      <c r="AL46" s="504">
        <f t="shared" si="70"/>
        <v>0</v>
      </c>
      <c r="AM46" s="508">
        <f>+'Asset Classification'!X46</f>
        <v>0</v>
      </c>
      <c r="AN46" s="504">
        <f t="shared" si="71"/>
        <v>0</v>
      </c>
      <c r="AO46" s="504">
        <f t="shared" si="72"/>
        <v>0</v>
      </c>
      <c r="AP46" s="499">
        <f t="shared" si="73"/>
        <v>0</v>
      </c>
      <c r="AQ46" s="499">
        <f t="shared" si="73"/>
        <v>0</v>
      </c>
      <c r="AR46" s="499">
        <f t="shared" si="74"/>
        <v>0</v>
      </c>
      <c r="AS46" s="504">
        <f t="shared" si="75"/>
        <v>0</v>
      </c>
      <c r="AT46" s="504">
        <f t="shared" si="75"/>
        <v>0</v>
      </c>
      <c r="AU46" s="504">
        <f t="shared" si="76"/>
        <v>0</v>
      </c>
      <c r="AW46" s="234"/>
      <c r="AX46" s="234"/>
      <c r="AY46" s="234"/>
      <c r="AZ46" s="234"/>
      <c r="BA46" s="234"/>
      <c r="BB46" s="234"/>
      <c r="BC46" s="234"/>
    </row>
    <row r="47" spans="1:55" s="15" customFormat="1" ht="23.25" customHeight="1">
      <c r="A47" s="329">
        <v>20</v>
      </c>
      <c r="B47" s="332" t="s">
        <v>474</v>
      </c>
      <c r="C47" s="503">
        <f>+'Asset Classification'!C47</f>
        <v>1605566</v>
      </c>
      <c r="D47" s="508">
        <f>+'Asset Classification'!D47</f>
        <v>0</v>
      </c>
      <c r="E47" s="506">
        <f>+'Asset Classification'!E47</f>
        <v>1467441</v>
      </c>
      <c r="F47" s="508">
        <f>+'Asset Classification'!F47</f>
        <v>0</v>
      </c>
      <c r="G47" s="506">
        <f>+'Asset Classification'!G47</f>
        <v>14674</v>
      </c>
      <c r="H47" s="504">
        <f t="shared" si="55"/>
        <v>14674.41</v>
      </c>
      <c r="I47" s="504">
        <f t="shared" si="56"/>
        <v>-0.40999999999985448</v>
      </c>
      <c r="J47" s="506">
        <f>+'Asset Classification'!I47</f>
        <v>0</v>
      </c>
      <c r="K47" s="508">
        <f>+'Asset Classification'!J47</f>
        <v>0</v>
      </c>
      <c r="L47" s="506">
        <f>+'Asset Classification'!K47</f>
        <v>0</v>
      </c>
      <c r="M47" s="504">
        <f t="shared" si="57"/>
        <v>0</v>
      </c>
      <c r="N47" s="504">
        <f t="shared" si="58"/>
        <v>0</v>
      </c>
      <c r="O47" s="508">
        <f>+'Asset Classification'!L47</f>
        <v>0</v>
      </c>
      <c r="P47" s="504">
        <f t="shared" si="59"/>
        <v>0</v>
      </c>
      <c r="Q47" s="504">
        <f t="shared" si="60"/>
        <v>0</v>
      </c>
      <c r="R47" s="506">
        <f>+'Asset Classification'!M47</f>
        <v>138125</v>
      </c>
      <c r="S47" s="508">
        <f>+'Asset Classification'!N47</f>
        <v>0</v>
      </c>
      <c r="T47" s="506">
        <f>+'Asset Classification'!O47</f>
        <v>34531</v>
      </c>
      <c r="U47" s="504">
        <f t="shared" si="61"/>
        <v>34531.25</v>
      </c>
      <c r="V47" s="504">
        <f t="shared" si="62"/>
        <v>-0.25</v>
      </c>
      <c r="W47" s="508">
        <f>+'Asset Classification'!P47</f>
        <v>0</v>
      </c>
      <c r="X47" s="504">
        <f t="shared" si="63"/>
        <v>0</v>
      </c>
      <c r="Y47" s="504">
        <f t="shared" si="64"/>
        <v>0</v>
      </c>
      <c r="Z47" s="506">
        <f>+'Asset Classification'!Q47</f>
        <v>0</v>
      </c>
      <c r="AA47" s="508">
        <f>+'Asset Classification'!R47</f>
        <v>0</v>
      </c>
      <c r="AB47" s="506">
        <f>+'Asset Classification'!S47</f>
        <v>0</v>
      </c>
      <c r="AC47" s="504">
        <f t="shared" si="65"/>
        <v>0</v>
      </c>
      <c r="AD47" s="504">
        <f t="shared" si="66"/>
        <v>0</v>
      </c>
      <c r="AE47" s="508">
        <f>+'Asset Classification'!T47</f>
        <v>0</v>
      </c>
      <c r="AF47" s="504">
        <f t="shared" si="67"/>
        <v>0</v>
      </c>
      <c r="AG47" s="504">
        <f t="shared" si="68"/>
        <v>0</v>
      </c>
      <c r="AH47" s="506">
        <f>+'Asset Classification'!U47</f>
        <v>0</v>
      </c>
      <c r="AI47" s="508">
        <f>+'Asset Classification'!V47</f>
        <v>0</v>
      </c>
      <c r="AJ47" s="506">
        <f>+'Asset Classification'!W47</f>
        <v>0</v>
      </c>
      <c r="AK47" s="504">
        <f t="shared" si="69"/>
        <v>0</v>
      </c>
      <c r="AL47" s="504">
        <f t="shared" si="70"/>
        <v>0</v>
      </c>
      <c r="AM47" s="508">
        <f>+'Asset Classification'!X47</f>
        <v>0</v>
      </c>
      <c r="AN47" s="504">
        <f t="shared" si="71"/>
        <v>0</v>
      </c>
      <c r="AO47" s="504">
        <f t="shared" si="72"/>
        <v>0</v>
      </c>
      <c r="AP47" s="499">
        <f t="shared" si="73"/>
        <v>34531</v>
      </c>
      <c r="AQ47" s="499">
        <f t="shared" si="73"/>
        <v>34531.25</v>
      </c>
      <c r="AR47" s="499">
        <f t="shared" si="74"/>
        <v>-0.25</v>
      </c>
      <c r="AS47" s="504">
        <f t="shared" si="75"/>
        <v>0</v>
      </c>
      <c r="AT47" s="504">
        <f t="shared" si="75"/>
        <v>0</v>
      </c>
      <c r="AU47" s="504">
        <f t="shared" si="76"/>
        <v>0</v>
      </c>
      <c r="AV47" s="236">
        <f>+'Aging Analysis'!C31</f>
        <v>1605566</v>
      </c>
      <c r="AW47" s="234"/>
      <c r="AX47" s="234"/>
      <c r="AY47" s="234"/>
      <c r="AZ47" s="234"/>
      <c r="BA47" s="234"/>
      <c r="BB47" s="234"/>
      <c r="BC47" s="234"/>
    </row>
    <row r="48" spans="1:55" s="15" customFormat="1" ht="14.25" customHeight="1">
      <c r="A48" s="329"/>
      <c r="B48" s="333" t="s">
        <v>660</v>
      </c>
      <c r="C48" s="503">
        <f>+'Asset Classification'!C48</f>
        <v>0</v>
      </c>
      <c r="D48" s="508">
        <f>+'Asset Classification'!D48</f>
        <v>0</v>
      </c>
      <c r="E48" s="506">
        <f>+'Asset Classification'!E48</f>
        <v>0</v>
      </c>
      <c r="F48" s="508">
        <f>+'Asset Classification'!F48</f>
        <v>0</v>
      </c>
      <c r="G48" s="506">
        <f>+'Asset Classification'!G48</f>
        <v>0</v>
      </c>
      <c r="H48" s="504">
        <f t="shared" si="55"/>
        <v>0</v>
      </c>
      <c r="I48" s="504">
        <f t="shared" si="56"/>
        <v>0</v>
      </c>
      <c r="J48" s="506">
        <f>+'Asset Classification'!I48</f>
        <v>0</v>
      </c>
      <c r="K48" s="508">
        <f>+'Asset Classification'!J48</f>
        <v>0</v>
      </c>
      <c r="L48" s="506">
        <f>+'Asset Classification'!K48</f>
        <v>0</v>
      </c>
      <c r="M48" s="504">
        <f t="shared" si="57"/>
        <v>0</v>
      </c>
      <c r="N48" s="504">
        <f t="shared" si="58"/>
        <v>0</v>
      </c>
      <c r="O48" s="508">
        <f>+'Asset Classification'!L48</f>
        <v>0</v>
      </c>
      <c r="P48" s="504">
        <f t="shared" si="59"/>
        <v>0</v>
      </c>
      <c r="Q48" s="504">
        <f t="shared" si="60"/>
        <v>0</v>
      </c>
      <c r="R48" s="506">
        <f>+'Asset Classification'!M48</f>
        <v>0</v>
      </c>
      <c r="S48" s="508">
        <f>+'Asset Classification'!N48</f>
        <v>0</v>
      </c>
      <c r="T48" s="506">
        <f>+'Asset Classification'!O48</f>
        <v>0</v>
      </c>
      <c r="U48" s="504">
        <f t="shared" si="61"/>
        <v>0</v>
      </c>
      <c r="V48" s="504">
        <f t="shared" si="62"/>
        <v>0</v>
      </c>
      <c r="W48" s="508">
        <f>+'Asset Classification'!P48</f>
        <v>0</v>
      </c>
      <c r="X48" s="504">
        <f t="shared" si="63"/>
        <v>0</v>
      </c>
      <c r="Y48" s="504">
        <f t="shared" si="64"/>
        <v>0</v>
      </c>
      <c r="Z48" s="506">
        <f>+'Asset Classification'!Q48</f>
        <v>0</v>
      </c>
      <c r="AA48" s="508">
        <f>+'Asset Classification'!R48</f>
        <v>0</v>
      </c>
      <c r="AB48" s="506">
        <f>+'Asset Classification'!S48</f>
        <v>0</v>
      </c>
      <c r="AC48" s="504">
        <f t="shared" si="65"/>
        <v>0</v>
      </c>
      <c r="AD48" s="504">
        <f t="shared" si="66"/>
        <v>0</v>
      </c>
      <c r="AE48" s="508">
        <f>+'Asset Classification'!T48</f>
        <v>0</v>
      </c>
      <c r="AF48" s="504">
        <f t="shared" si="67"/>
        <v>0</v>
      </c>
      <c r="AG48" s="504">
        <f t="shared" si="68"/>
        <v>0</v>
      </c>
      <c r="AH48" s="506">
        <f>+'Asset Classification'!U48</f>
        <v>0</v>
      </c>
      <c r="AI48" s="508">
        <f>+'Asset Classification'!V48</f>
        <v>0</v>
      </c>
      <c r="AJ48" s="506">
        <f>+'Asset Classification'!W48</f>
        <v>0</v>
      </c>
      <c r="AK48" s="504">
        <f t="shared" si="69"/>
        <v>0</v>
      </c>
      <c r="AL48" s="504">
        <f t="shared" si="70"/>
        <v>0</v>
      </c>
      <c r="AM48" s="508">
        <f>+'Asset Classification'!X48</f>
        <v>0</v>
      </c>
      <c r="AN48" s="504">
        <f t="shared" si="71"/>
        <v>0</v>
      </c>
      <c r="AO48" s="504">
        <f t="shared" si="72"/>
        <v>0</v>
      </c>
      <c r="AP48" s="499">
        <f t="shared" si="73"/>
        <v>0</v>
      </c>
      <c r="AQ48" s="499">
        <f t="shared" si="73"/>
        <v>0</v>
      </c>
      <c r="AR48" s="499">
        <f t="shared" si="74"/>
        <v>0</v>
      </c>
      <c r="AS48" s="504">
        <f t="shared" si="75"/>
        <v>0</v>
      </c>
      <c r="AT48" s="504">
        <f t="shared" si="75"/>
        <v>0</v>
      </c>
      <c r="AU48" s="504">
        <f t="shared" si="76"/>
        <v>0</v>
      </c>
      <c r="AW48" s="234"/>
      <c r="AX48" s="234"/>
      <c r="AY48" s="234"/>
      <c r="AZ48" s="234"/>
      <c r="BA48" s="234"/>
      <c r="BB48" s="234"/>
      <c r="BC48" s="234"/>
    </row>
    <row r="49" spans="1:55" s="15" customFormat="1" ht="23.25" customHeight="1">
      <c r="A49" s="329">
        <v>21</v>
      </c>
      <c r="B49" s="332" t="s">
        <v>475</v>
      </c>
      <c r="C49" s="503">
        <f>+'Asset Classification'!C49</f>
        <v>3565380938</v>
      </c>
      <c r="D49" s="508">
        <f>+'Asset Classification'!D49</f>
        <v>2451620935</v>
      </c>
      <c r="E49" s="506">
        <f>+'Asset Classification'!E49</f>
        <v>2486832479</v>
      </c>
      <c r="F49" s="508">
        <f>+'Asset Classification'!F49</f>
        <v>1530267407</v>
      </c>
      <c r="G49" s="506">
        <f>+'Asset Classification'!G49</f>
        <v>24868326</v>
      </c>
      <c r="H49" s="504">
        <f t="shared" si="55"/>
        <v>24868324.789999999</v>
      </c>
      <c r="I49" s="504">
        <f t="shared" si="56"/>
        <v>1.2100000008940697</v>
      </c>
      <c r="J49" s="506">
        <f>+'Asset Classification'!I49</f>
        <v>1048838111</v>
      </c>
      <c r="K49" s="508">
        <f>+'Asset Classification'!J49</f>
        <v>915190899</v>
      </c>
      <c r="L49" s="506">
        <f>+'Asset Classification'!K49</f>
        <v>104883812</v>
      </c>
      <c r="M49" s="504">
        <f t="shared" si="57"/>
        <v>104883811.10000001</v>
      </c>
      <c r="N49" s="504">
        <f t="shared" si="58"/>
        <v>0.89999999105930328</v>
      </c>
      <c r="O49" s="508">
        <f>+'Asset Classification'!L49</f>
        <v>91519090</v>
      </c>
      <c r="P49" s="504">
        <f t="shared" si="59"/>
        <v>91519089.900000006</v>
      </c>
      <c r="Q49" s="504">
        <f t="shared" si="60"/>
        <v>9.9999994039535522E-2</v>
      </c>
      <c r="R49" s="506">
        <f>+'Asset Classification'!M49</f>
        <v>8839572</v>
      </c>
      <c r="S49" s="508">
        <f>+'Asset Classification'!N49</f>
        <v>254355</v>
      </c>
      <c r="T49" s="506">
        <f>+'Asset Classification'!O49</f>
        <v>2209893</v>
      </c>
      <c r="U49" s="504">
        <f t="shared" si="61"/>
        <v>2209893</v>
      </c>
      <c r="V49" s="504">
        <f t="shared" si="62"/>
        <v>0</v>
      </c>
      <c r="W49" s="508">
        <f>+'Asset Classification'!P49</f>
        <v>63590</v>
      </c>
      <c r="X49" s="504">
        <f t="shared" si="63"/>
        <v>63588.75</v>
      </c>
      <c r="Y49" s="504">
        <f t="shared" si="64"/>
        <v>1.25</v>
      </c>
      <c r="Z49" s="506">
        <f>+'Asset Classification'!Q49</f>
        <v>20870776</v>
      </c>
      <c r="AA49" s="508">
        <f>+'Asset Classification'!R49</f>
        <v>5908274</v>
      </c>
      <c r="AB49" s="506">
        <f>+'Asset Classification'!S49</f>
        <v>10435388</v>
      </c>
      <c r="AC49" s="504">
        <f t="shared" si="65"/>
        <v>10435388</v>
      </c>
      <c r="AD49" s="504">
        <f t="shared" si="66"/>
        <v>0</v>
      </c>
      <c r="AE49" s="508">
        <f>+'Asset Classification'!T49</f>
        <v>2954138</v>
      </c>
      <c r="AF49" s="504">
        <f t="shared" si="67"/>
        <v>2954137</v>
      </c>
      <c r="AG49" s="504">
        <f t="shared" si="68"/>
        <v>1</v>
      </c>
      <c r="AH49" s="506">
        <f>+'Asset Classification'!U49</f>
        <v>0</v>
      </c>
      <c r="AI49" s="508">
        <f>+'Asset Classification'!V49</f>
        <v>0</v>
      </c>
      <c r="AJ49" s="506">
        <f>+'Asset Classification'!W49</f>
        <v>0</v>
      </c>
      <c r="AK49" s="504">
        <f t="shared" si="69"/>
        <v>0</v>
      </c>
      <c r="AL49" s="504">
        <f t="shared" si="70"/>
        <v>0</v>
      </c>
      <c r="AM49" s="508">
        <f>+'Asset Classification'!X49</f>
        <v>0</v>
      </c>
      <c r="AN49" s="504">
        <f t="shared" si="71"/>
        <v>0</v>
      </c>
      <c r="AO49" s="504">
        <f t="shared" si="72"/>
        <v>0</v>
      </c>
      <c r="AP49" s="499">
        <f t="shared" si="73"/>
        <v>117529093</v>
      </c>
      <c r="AQ49" s="499">
        <f t="shared" si="73"/>
        <v>117529092.10000001</v>
      </c>
      <c r="AR49" s="499">
        <f t="shared" si="74"/>
        <v>0.89999999105930328</v>
      </c>
      <c r="AS49" s="504">
        <f t="shared" si="75"/>
        <v>94536818</v>
      </c>
      <c r="AT49" s="504">
        <f t="shared" si="75"/>
        <v>94536815.650000006</v>
      </c>
      <c r="AU49" s="504">
        <f t="shared" si="76"/>
        <v>2.3499999940395355</v>
      </c>
      <c r="AV49" s="236">
        <f>+'Aging Analysis'!C32</f>
        <v>3565380938</v>
      </c>
      <c r="AW49" s="234"/>
      <c r="AX49" s="234"/>
      <c r="AY49" s="234"/>
      <c r="AZ49" s="234"/>
      <c r="BA49" s="234"/>
      <c r="BB49" s="234"/>
      <c r="BC49" s="234"/>
    </row>
    <row r="50" spans="1:55" s="15" customFormat="1" ht="14.25" customHeight="1">
      <c r="A50" s="329"/>
      <c r="B50" s="333" t="s">
        <v>660</v>
      </c>
      <c r="C50" s="503">
        <f>+'Asset Classification'!C50</f>
        <v>0</v>
      </c>
      <c r="D50" s="508">
        <f>+'Asset Classification'!D50</f>
        <v>0</v>
      </c>
      <c r="E50" s="506">
        <f>+'Asset Classification'!E50</f>
        <v>0</v>
      </c>
      <c r="F50" s="508">
        <f>+'Asset Classification'!F50</f>
        <v>0</v>
      </c>
      <c r="G50" s="506">
        <f>+'Asset Classification'!G50</f>
        <v>0</v>
      </c>
      <c r="H50" s="504">
        <f t="shared" si="55"/>
        <v>0</v>
      </c>
      <c r="I50" s="504">
        <f t="shared" si="56"/>
        <v>0</v>
      </c>
      <c r="J50" s="506">
        <f>+'Asset Classification'!I50</f>
        <v>0</v>
      </c>
      <c r="K50" s="508">
        <f>+'Asset Classification'!J50</f>
        <v>0</v>
      </c>
      <c r="L50" s="506">
        <f>+'Asset Classification'!K50</f>
        <v>0</v>
      </c>
      <c r="M50" s="504">
        <f t="shared" si="57"/>
        <v>0</v>
      </c>
      <c r="N50" s="504">
        <f t="shared" si="58"/>
        <v>0</v>
      </c>
      <c r="O50" s="508">
        <f>+'Asset Classification'!L50</f>
        <v>0</v>
      </c>
      <c r="P50" s="504">
        <f t="shared" si="59"/>
        <v>0</v>
      </c>
      <c r="Q50" s="504">
        <f t="shared" si="60"/>
        <v>0</v>
      </c>
      <c r="R50" s="506">
        <f>+'Asset Classification'!M50</f>
        <v>0</v>
      </c>
      <c r="S50" s="508">
        <f>+'Asset Classification'!N50</f>
        <v>0</v>
      </c>
      <c r="T50" s="506">
        <f>+'Asset Classification'!O50</f>
        <v>0</v>
      </c>
      <c r="U50" s="504">
        <f t="shared" si="61"/>
        <v>0</v>
      </c>
      <c r="V50" s="504">
        <f t="shared" si="62"/>
        <v>0</v>
      </c>
      <c r="W50" s="508">
        <f>+'Asset Classification'!P50</f>
        <v>0</v>
      </c>
      <c r="X50" s="504">
        <f t="shared" si="63"/>
        <v>0</v>
      </c>
      <c r="Y50" s="504">
        <f t="shared" si="64"/>
        <v>0</v>
      </c>
      <c r="Z50" s="506">
        <f>+'Asset Classification'!Q50</f>
        <v>0</v>
      </c>
      <c r="AA50" s="508">
        <f>+'Asset Classification'!R50</f>
        <v>0</v>
      </c>
      <c r="AB50" s="506">
        <f>+'Asset Classification'!S50</f>
        <v>0</v>
      </c>
      <c r="AC50" s="504">
        <f t="shared" si="65"/>
        <v>0</v>
      </c>
      <c r="AD50" s="504">
        <f t="shared" si="66"/>
        <v>0</v>
      </c>
      <c r="AE50" s="508">
        <f>+'Asset Classification'!T50</f>
        <v>0</v>
      </c>
      <c r="AF50" s="504">
        <f t="shared" si="67"/>
        <v>0</v>
      </c>
      <c r="AG50" s="504">
        <f t="shared" si="68"/>
        <v>0</v>
      </c>
      <c r="AH50" s="506">
        <f>+'Asset Classification'!U50</f>
        <v>0</v>
      </c>
      <c r="AI50" s="508">
        <f>+'Asset Classification'!V50</f>
        <v>0</v>
      </c>
      <c r="AJ50" s="506">
        <f>+'Asset Classification'!W50</f>
        <v>0</v>
      </c>
      <c r="AK50" s="504">
        <f t="shared" si="69"/>
        <v>0</v>
      </c>
      <c r="AL50" s="504">
        <f t="shared" si="70"/>
        <v>0</v>
      </c>
      <c r="AM50" s="508">
        <f>+'Asset Classification'!X50</f>
        <v>0</v>
      </c>
      <c r="AN50" s="504">
        <f t="shared" si="71"/>
        <v>0</v>
      </c>
      <c r="AO50" s="504">
        <f t="shared" si="72"/>
        <v>0</v>
      </c>
      <c r="AP50" s="499">
        <f t="shared" si="73"/>
        <v>0</v>
      </c>
      <c r="AQ50" s="499">
        <f t="shared" si="73"/>
        <v>0</v>
      </c>
      <c r="AR50" s="499">
        <f t="shared" si="74"/>
        <v>0</v>
      </c>
      <c r="AS50" s="504">
        <f t="shared" si="75"/>
        <v>0</v>
      </c>
      <c r="AT50" s="504">
        <f t="shared" si="75"/>
        <v>0</v>
      </c>
      <c r="AU50" s="504">
        <f t="shared" si="76"/>
        <v>0</v>
      </c>
      <c r="AV50" s="234"/>
      <c r="AW50" s="234"/>
      <c r="AX50" s="234"/>
      <c r="AY50" s="234"/>
      <c r="AZ50" s="234"/>
      <c r="BA50" s="234"/>
      <c r="BB50" s="234"/>
      <c r="BC50" s="234"/>
    </row>
    <row r="51" spans="1:55" s="15" customFormat="1" ht="23.25" customHeight="1">
      <c r="A51" s="329">
        <v>22</v>
      </c>
      <c r="B51" s="332" t="s">
        <v>398</v>
      </c>
      <c r="C51" s="503">
        <f>+'Asset Classification'!C51</f>
        <v>7814492786</v>
      </c>
      <c r="D51" s="508">
        <f>+'Asset Classification'!D51</f>
        <v>0</v>
      </c>
      <c r="E51" s="506">
        <f>+'Asset Classification'!E51</f>
        <v>7625652230</v>
      </c>
      <c r="F51" s="508">
        <f>+'Asset Classification'!F51</f>
        <v>0</v>
      </c>
      <c r="G51" s="506">
        <f>+'Asset Classification'!G51</f>
        <v>76256522</v>
      </c>
      <c r="H51" s="504">
        <f t="shared" si="55"/>
        <v>76256522.299999997</v>
      </c>
      <c r="I51" s="504">
        <f t="shared" si="56"/>
        <v>-0.29999999701976776</v>
      </c>
      <c r="J51" s="506">
        <f>+'Asset Classification'!I51</f>
        <v>147846643</v>
      </c>
      <c r="K51" s="508">
        <f>+'Asset Classification'!J51</f>
        <v>0</v>
      </c>
      <c r="L51" s="506">
        <f>+'Asset Classification'!K51</f>
        <v>14782772</v>
      </c>
      <c r="M51" s="504">
        <f t="shared" si="57"/>
        <v>14784664.300000001</v>
      </c>
      <c r="N51" s="504">
        <f t="shared" si="58"/>
        <v>-1892.3000000007451</v>
      </c>
      <c r="O51" s="508">
        <f>+'Asset Classification'!L51</f>
        <v>0</v>
      </c>
      <c r="P51" s="504">
        <f t="shared" si="59"/>
        <v>0</v>
      </c>
      <c r="Q51" s="504">
        <f t="shared" si="60"/>
        <v>0</v>
      </c>
      <c r="R51" s="506">
        <f>+'Asset Classification'!M51</f>
        <v>19062315</v>
      </c>
      <c r="S51" s="508">
        <f>+'Asset Classification'!N51</f>
        <v>0</v>
      </c>
      <c r="T51" s="506">
        <f>+'Asset Classification'!O51</f>
        <v>4765590</v>
      </c>
      <c r="U51" s="504">
        <f t="shared" si="61"/>
        <v>4765578.75</v>
      </c>
      <c r="V51" s="504">
        <f t="shared" si="62"/>
        <v>11.25</v>
      </c>
      <c r="W51" s="508">
        <f>+'Asset Classification'!P51</f>
        <v>0</v>
      </c>
      <c r="X51" s="504">
        <f t="shared" si="63"/>
        <v>0</v>
      </c>
      <c r="Y51" s="504">
        <f t="shared" si="64"/>
        <v>0</v>
      </c>
      <c r="Z51" s="506">
        <f>+'Asset Classification'!Q51</f>
        <v>21931598</v>
      </c>
      <c r="AA51" s="508">
        <f>+'Asset Classification'!R51</f>
        <v>0</v>
      </c>
      <c r="AB51" s="506">
        <f>+'Asset Classification'!S51</f>
        <v>10965799</v>
      </c>
      <c r="AC51" s="504">
        <f t="shared" si="65"/>
        <v>10965799</v>
      </c>
      <c r="AD51" s="504">
        <f t="shared" si="66"/>
        <v>0</v>
      </c>
      <c r="AE51" s="508">
        <f>+'Asset Classification'!T51</f>
        <v>0</v>
      </c>
      <c r="AF51" s="504">
        <f t="shared" si="67"/>
        <v>0</v>
      </c>
      <c r="AG51" s="504">
        <f t="shared" si="68"/>
        <v>0</v>
      </c>
      <c r="AH51" s="506">
        <f>+'Asset Classification'!U51</f>
        <v>0</v>
      </c>
      <c r="AI51" s="508">
        <f>+'Asset Classification'!V51</f>
        <v>0</v>
      </c>
      <c r="AJ51" s="506">
        <f>+'Asset Classification'!W51</f>
        <v>0</v>
      </c>
      <c r="AK51" s="504">
        <f t="shared" si="69"/>
        <v>0</v>
      </c>
      <c r="AL51" s="504">
        <f t="shared" si="70"/>
        <v>0</v>
      </c>
      <c r="AM51" s="508">
        <f>+'Asset Classification'!X51</f>
        <v>0</v>
      </c>
      <c r="AN51" s="504">
        <f t="shared" si="71"/>
        <v>0</v>
      </c>
      <c r="AO51" s="504">
        <f t="shared" si="72"/>
        <v>0</v>
      </c>
      <c r="AP51" s="499">
        <f t="shared" si="73"/>
        <v>30514161</v>
      </c>
      <c r="AQ51" s="499">
        <f t="shared" si="73"/>
        <v>30516042.050000001</v>
      </c>
      <c r="AR51" s="499">
        <f t="shared" si="74"/>
        <v>-1881.0500000007451</v>
      </c>
      <c r="AS51" s="504">
        <f t="shared" si="75"/>
        <v>0</v>
      </c>
      <c r="AT51" s="504">
        <f t="shared" si="75"/>
        <v>0</v>
      </c>
      <c r="AU51" s="504">
        <f t="shared" si="76"/>
        <v>0</v>
      </c>
      <c r="AV51" s="236">
        <f>+'Aging Analysis'!C33</f>
        <v>7814492786</v>
      </c>
      <c r="AW51" s="234"/>
      <c r="AX51" s="234"/>
      <c r="AY51" s="234"/>
      <c r="AZ51" s="234"/>
      <c r="BA51" s="234"/>
      <c r="BB51" s="234"/>
      <c r="BC51" s="234"/>
    </row>
    <row r="52" spans="1:55" s="15" customFormat="1" ht="14.25" customHeight="1">
      <c r="A52" s="329"/>
      <c r="B52" s="333" t="s">
        <v>660</v>
      </c>
      <c r="C52" s="503">
        <f>+'Asset Classification'!C52</f>
        <v>0</v>
      </c>
      <c r="D52" s="508">
        <f>+'Asset Classification'!D52</f>
        <v>0</v>
      </c>
      <c r="E52" s="506">
        <f>+'Asset Classification'!E52</f>
        <v>0</v>
      </c>
      <c r="F52" s="508">
        <f>+'Asset Classification'!F52</f>
        <v>0</v>
      </c>
      <c r="G52" s="506">
        <f>+'Asset Classification'!G52</f>
        <v>0</v>
      </c>
      <c r="H52" s="504">
        <f t="shared" si="55"/>
        <v>0</v>
      </c>
      <c r="I52" s="504">
        <f t="shared" si="56"/>
        <v>0</v>
      </c>
      <c r="J52" s="506">
        <f>+'Asset Classification'!I52</f>
        <v>0</v>
      </c>
      <c r="K52" s="508">
        <f>+'Asset Classification'!J52</f>
        <v>0</v>
      </c>
      <c r="L52" s="506">
        <f>+'Asset Classification'!K52</f>
        <v>0</v>
      </c>
      <c r="M52" s="504">
        <f t="shared" si="57"/>
        <v>0</v>
      </c>
      <c r="N52" s="504">
        <f t="shared" si="58"/>
        <v>0</v>
      </c>
      <c r="O52" s="508">
        <f>+'Asset Classification'!L52</f>
        <v>0</v>
      </c>
      <c r="P52" s="504">
        <f t="shared" si="59"/>
        <v>0</v>
      </c>
      <c r="Q52" s="504">
        <f t="shared" si="60"/>
        <v>0</v>
      </c>
      <c r="R52" s="506">
        <f>+'Asset Classification'!M52</f>
        <v>0</v>
      </c>
      <c r="S52" s="508">
        <f>+'Asset Classification'!N52</f>
        <v>0</v>
      </c>
      <c r="T52" s="506">
        <f>+'Asset Classification'!O52</f>
        <v>0</v>
      </c>
      <c r="U52" s="504">
        <f t="shared" si="61"/>
        <v>0</v>
      </c>
      <c r="V52" s="504">
        <f t="shared" si="62"/>
        <v>0</v>
      </c>
      <c r="W52" s="508">
        <f>+'Asset Classification'!P52</f>
        <v>0</v>
      </c>
      <c r="X52" s="504">
        <f t="shared" si="63"/>
        <v>0</v>
      </c>
      <c r="Y52" s="504">
        <f t="shared" si="64"/>
        <v>0</v>
      </c>
      <c r="Z52" s="506">
        <f>+'Asset Classification'!Q52</f>
        <v>0</v>
      </c>
      <c r="AA52" s="508">
        <f>+'Asset Classification'!R52</f>
        <v>0</v>
      </c>
      <c r="AB52" s="506">
        <f>+'Asset Classification'!S52</f>
        <v>0</v>
      </c>
      <c r="AC52" s="504">
        <f t="shared" si="65"/>
        <v>0</v>
      </c>
      <c r="AD52" s="504">
        <f t="shared" si="66"/>
        <v>0</v>
      </c>
      <c r="AE52" s="508">
        <f>+'Asset Classification'!T52</f>
        <v>0</v>
      </c>
      <c r="AF52" s="504">
        <f t="shared" si="67"/>
        <v>0</v>
      </c>
      <c r="AG52" s="504">
        <f t="shared" si="68"/>
        <v>0</v>
      </c>
      <c r="AH52" s="506">
        <f>+'Asset Classification'!U52</f>
        <v>0</v>
      </c>
      <c r="AI52" s="508">
        <f>+'Asset Classification'!V52</f>
        <v>0</v>
      </c>
      <c r="AJ52" s="506">
        <f>+'Asset Classification'!W52</f>
        <v>0</v>
      </c>
      <c r="AK52" s="504">
        <f t="shared" si="69"/>
        <v>0</v>
      </c>
      <c r="AL52" s="504">
        <f t="shared" si="70"/>
        <v>0</v>
      </c>
      <c r="AM52" s="508">
        <f>+'Asset Classification'!X52</f>
        <v>0</v>
      </c>
      <c r="AN52" s="504">
        <f t="shared" si="71"/>
        <v>0</v>
      </c>
      <c r="AO52" s="504">
        <f t="shared" si="72"/>
        <v>0</v>
      </c>
      <c r="AP52" s="499">
        <f t="shared" si="73"/>
        <v>0</v>
      </c>
      <c r="AQ52" s="499">
        <f t="shared" si="73"/>
        <v>0</v>
      </c>
      <c r="AR52" s="499">
        <f t="shared" si="74"/>
        <v>0</v>
      </c>
      <c r="AS52" s="504">
        <f t="shared" si="75"/>
        <v>0</v>
      </c>
      <c r="AT52" s="504">
        <f t="shared" si="75"/>
        <v>0</v>
      </c>
      <c r="AU52" s="504">
        <f t="shared" si="76"/>
        <v>0</v>
      </c>
      <c r="AV52" s="234"/>
      <c r="AW52" s="234"/>
      <c r="AX52" s="234"/>
      <c r="AY52" s="234"/>
      <c r="AZ52" s="234"/>
      <c r="BA52" s="234"/>
      <c r="BB52" s="234"/>
      <c r="BC52" s="234"/>
    </row>
    <row r="53" spans="1:55" s="486" customFormat="1" ht="28.5" customHeight="1">
      <c r="A53" s="484">
        <v>23</v>
      </c>
      <c r="B53" s="484" t="s">
        <v>668</v>
      </c>
      <c r="C53" s="500">
        <f>+'Asset Classification'!C53</f>
        <v>57124403912</v>
      </c>
      <c r="D53" s="500">
        <f>+'Asset Classification'!D53</f>
        <v>38012960642</v>
      </c>
      <c r="E53" s="500">
        <f>+'Asset Classification'!E53</f>
        <v>49548751261</v>
      </c>
      <c r="F53" s="500">
        <f>+'Asset Classification'!F53</f>
        <v>32899887295</v>
      </c>
      <c r="G53" s="500">
        <f>+'Asset Classification'!G53</f>
        <v>504953973</v>
      </c>
      <c r="H53" s="500">
        <f t="shared" ref="H53:I53" si="77">+H35+H37+H39+H41+H43+H45+H47+H49+H51</f>
        <v>495487512.61000007</v>
      </c>
      <c r="I53" s="500">
        <f t="shared" si="77"/>
        <v>9466460.3900000025</v>
      </c>
      <c r="J53" s="500">
        <f>+'Asset Classification'!I53</f>
        <v>6292476722</v>
      </c>
      <c r="K53" s="500">
        <f>+'Asset Classification'!J53</f>
        <v>4289653575</v>
      </c>
      <c r="L53" s="500">
        <f>+'Asset Classification'!K53</f>
        <v>620122045</v>
      </c>
      <c r="M53" s="500">
        <f t="shared" ref="M53:N53" si="78">+M35+M37+M39+M41+M43+M45+M47+M49+M51</f>
        <v>629247672.19999993</v>
      </c>
      <c r="N53" s="500">
        <f t="shared" si="78"/>
        <v>-9125627.2000000384</v>
      </c>
      <c r="O53" s="500">
        <f>+'Asset Classification'!L53</f>
        <v>419611589</v>
      </c>
      <c r="P53" s="500">
        <f t="shared" ref="P53:Q53" si="79">+P35+P37+P39+P41+P43+P45+P47+P49+P51</f>
        <v>428965357.5</v>
      </c>
      <c r="Q53" s="500">
        <f t="shared" si="79"/>
        <v>-9353768.5000000224</v>
      </c>
      <c r="R53" s="500">
        <f>+'Asset Classification'!M53</f>
        <v>506004487</v>
      </c>
      <c r="S53" s="500">
        <f>+'Asset Classification'!N53</f>
        <v>263138435</v>
      </c>
      <c r="T53" s="500">
        <f>+'Asset Classification'!O53</f>
        <v>126501133</v>
      </c>
      <c r="U53" s="500">
        <f t="shared" ref="U53:V53" si="80">+U35+U37+U39+U41+U43+U45+U47+U49+U51</f>
        <v>126501121.75</v>
      </c>
      <c r="V53" s="500">
        <f t="shared" si="80"/>
        <v>11.25</v>
      </c>
      <c r="W53" s="500">
        <f>+'Asset Classification'!P53</f>
        <v>65784610</v>
      </c>
      <c r="X53" s="500">
        <f t="shared" ref="X53:Y53" si="81">+X35+X37+X39+X41+X43+X45+X47+X49+X51</f>
        <v>65784608.75</v>
      </c>
      <c r="Y53" s="500">
        <f t="shared" si="81"/>
        <v>1.25</v>
      </c>
      <c r="Z53" s="500">
        <f>+'Asset Classification'!Q53</f>
        <v>749932110</v>
      </c>
      <c r="AA53" s="500">
        <f>+'Asset Classification'!R53</f>
        <v>545624112</v>
      </c>
      <c r="AB53" s="500">
        <f>+'Asset Classification'!S53</f>
        <v>374966057</v>
      </c>
      <c r="AC53" s="500">
        <f t="shared" ref="AC53:AG53" si="82">+AC35+AC37+AC39+AC41+AC43+AC45+AC47+AC49+AC51</f>
        <v>374966055</v>
      </c>
      <c r="AD53" s="500">
        <f t="shared" si="82"/>
        <v>2</v>
      </c>
      <c r="AE53" s="500">
        <f>+'Asset Classification'!T53</f>
        <v>272812058</v>
      </c>
      <c r="AF53" s="500">
        <f t="shared" si="82"/>
        <v>272812056</v>
      </c>
      <c r="AG53" s="500">
        <f t="shared" si="82"/>
        <v>2</v>
      </c>
      <c r="AH53" s="500">
        <f>+'Asset Classification'!U53</f>
        <v>27239332</v>
      </c>
      <c r="AI53" s="500">
        <f>+'Asset Classification'!V53</f>
        <v>14657225</v>
      </c>
      <c r="AJ53" s="500">
        <f>+'Asset Classification'!W53</f>
        <v>27239332</v>
      </c>
      <c r="AK53" s="500">
        <f t="shared" ref="AK53:AL53" si="83">+AK35+AK37+AK39+AK41+AK43+AK45+AK47+AK49+AK51</f>
        <v>27239332</v>
      </c>
      <c r="AL53" s="500">
        <f t="shared" si="83"/>
        <v>0</v>
      </c>
      <c r="AM53" s="500">
        <f>+'Asset Classification'!X53</f>
        <v>14657225</v>
      </c>
      <c r="AN53" s="500">
        <f t="shared" ref="AN53:AU53" si="84">+AN35+AN37+AN39+AN41+AN43+AN45+AN47+AN49+AN51</f>
        <v>14657225</v>
      </c>
      <c r="AO53" s="500">
        <f t="shared" si="84"/>
        <v>0</v>
      </c>
      <c r="AP53" s="500">
        <f t="shared" si="84"/>
        <v>1148828567</v>
      </c>
      <c r="AQ53" s="500">
        <f t="shared" si="84"/>
        <v>1157954180.9499998</v>
      </c>
      <c r="AR53" s="500">
        <f t="shared" si="84"/>
        <v>-9125613.9500000309</v>
      </c>
      <c r="AS53" s="500">
        <f t="shared" si="84"/>
        <v>772865482</v>
      </c>
      <c r="AT53" s="500">
        <f t="shared" si="84"/>
        <v>782219247.25</v>
      </c>
      <c r="AU53" s="500">
        <f t="shared" si="84"/>
        <v>-9353765.2500000168</v>
      </c>
      <c r="AV53" s="485">
        <f>+'Aging Analysis'!C35</f>
        <v>57124403912</v>
      </c>
    </row>
    <row r="54" spans="1:55" s="15" customFormat="1" ht="23.25" customHeight="1">
      <c r="A54" s="329"/>
      <c r="B54" s="333" t="s">
        <v>660</v>
      </c>
      <c r="C54" s="503">
        <f>+'Asset Classification'!C54</f>
        <v>0</v>
      </c>
      <c r="D54" s="508">
        <f>+'Asset Classification'!D54</f>
        <v>0</v>
      </c>
      <c r="E54" s="506">
        <f>+'Asset Classification'!E54</f>
        <v>0</v>
      </c>
      <c r="F54" s="508">
        <f>+'Asset Classification'!F54</f>
        <v>0</v>
      </c>
      <c r="G54" s="506">
        <f>+'Asset Classification'!G54</f>
        <v>0</v>
      </c>
      <c r="H54" s="504">
        <f t="shared" ref="H54" si="85">+E54*1%</f>
        <v>0</v>
      </c>
      <c r="I54" s="504">
        <f t="shared" ref="I54" si="86">+G54-H54</f>
        <v>0</v>
      </c>
      <c r="J54" s="506">
        <f>+'Asset Classification'!I54</f>
        <v>0</v>
      </c>
      <c r="K54" s="508">
        <f>+'Asset Classification'!J54</f>
        <v>0</v>
      </c>
      <c r="L54" s="506">
        <f>+'Asset Classification'!K54</f>
        <v>0</v>
      </c>
      <c r="M54" s="504">
        <f t="shared" ref="M54" si="87">+J54*10%</f>
        <v>0</v>
      </c>
      <c r="N54" s="504">
        <f t="shared" ref="N54" si="88">+L54-M54</f>
        <v>0</v>
      </c>
      <c r="O54" s="508">
        <f>+'Asset Classification'!L54</f>
        <v>0</v>
      </c>
      <c r="P54" s="504">
        <f t="shared" ref="P54" si="89">+K54*10%</f>
        <v>0</v>
      </c>
      <c r="Q54" s="504">
        <f t="shared" ref="Q54" si="90">+O54-P54</f>
        <v>0</v>
      </c>
      <c r="R54" s="506">
        <f>+'Asset Classification'!M54</f>
        <v>0</v>
      </c>
      <c r="S54" s="508">
        <f>+'Asset Classification'!N54</f>
        <v>0</v>
      </c>
      <c r="T54" s="506">
        <f>+'Asset Classification'!O54</f>
        <v>0</v>
      </c>
      <c r="U54" s="504">
        <f t="shared" ref="U54" si="91">+R54*25%</f>
        <v>0</v>
      </c>
      <c r="V54" s="504">
        <f t="shared" ref="V54" si="92">+T54-U54</f>
        <v>0</v>
      </c>
      <c r="W54" s="508">
        <f>+'Asset Classification'!P54</f>
        <v>0</v>
      </c>
      <c r="X54" s="504">
        <f t="shared" ref="X54" si="93">+S54*25%</f>
        <v>0</v>
      </c>
      <c r="Y54" s="504">
        <f t="shared" ref="Y54" si="94">+W54-X54</f>
        <v>0</v>
      </c>
      <c r="Z54" s="506">
        <f>+'Asset Classification'!Q54</f>
        <v>0</v>
      </c>
      <c r="AA54" s="508">
        <f>+'Asset Classification'!R54</f>
        <v>0</v>
      </c>
      <c r="AB54" s="506">
        <f>+'Asset Classification'!S54</f>
        <v>0</v>
      </c>
      <c r="AC54" s="504">
        <f t="shared" ref="AC54" si="95">+Z54*50%</f>
        <v>0</v>
      </c>
      <c r="AD54" s="504">
        <f t="shared" ref="AD54" si="96">+AB54-AC54</f>
        <v>0</v>
      </c>
      <c r="AE54" s="508">
        <f>+'Asset Classification'!T54</f>
        <v>0</v>
      </c>
      <c r="AF54" s="504">
        <f t="shared" ref="AF54" si="97">+AA54*50%</f>
        <v>0</v>
      </c>
      <c r="AG54" s="504">
        <f t="shared" ref="AG54" si="98">+AE54-AF54</f>
        <v>0</v>
      </c>
      <c r="AH54" s="506">
        <f>+'Asset Classification'!U54</f>
        <v>0</v>
      </c>
      <c r="AI54" s="508">
        <f>+'Asset Classification'!V54</f>
        <v>0</v>
      </c>
      <c r="AJ54" s="506">
        <f>+'Asset Classification'!W54</f>
        <v>0</v>
      </c>
      <c r="AK54" s="504">
        <f t="shared" ref="AK54" si="99">+AH54*100%</f>
        <v>0</v>
      </c>
      <c r="AL54" s="504">
        <f t="shared" ref="AL54" si="100">+AJ54-AK54</f>
        <v>0</v>
      </c>
      <c r="AM54" s="508">
        <f>+'Asset Classification'!X54</f>
        <v>0</v>
      </c>
      <c r="AN54" s="504">
        <f t="shared" ref="AN54" si="101">+AI54*100%</f>
        <v>0</v>
      </c>
      <c r="AO54" s="504">
        <f t="shared" ref="AO54" si="102">+AM54-AN54</f>
        <v>0</v>
      </c>
      <c r="AP54" s="499">
        <f t="shared" ref="AP54" si="103">+L54+T54+AB54+AJ54</f>
        <v>0</v>
      </c>
      <c r="AQ54" s="499">
        <f t="shared" ref="AQ54" si="104">+M54+U54+AC54+AK54</f>
        <v>0</v>
      </c>
      <c r="AR54" s="499">
        <f t="shared" ref="AR54" si="105">+AP54-AQ54</f>
        <v>0</v>
      </c>
      <c r="AS54" s="504">
        <f t="shared" ref="AS54" si="106">+O54+W54+AE54+AM54</f>
        <v>0</v>
      </c>
      <c r="AT54" s="504">
        <f t="shared" ref="AT54" si="107">+P54+X54+AF54+AN54</f>
        <v>0</v>
      </c>
      <c r="AU54" s="504">
        <f t="shared" ref="AU54" si="108">+AS54-AT54</f>
        <v>0</v>
      </c>
      <c r="AV54" s="234"/>
      <c r="AW54" s="234"/>
      <c r="AX54" s="234"/>
      <c r="AY54" s="234"/>
      <c r="AZ54" s="234"/>
      <c r="BA54" s="234"/>
      <c r="BB54" s="234"/>
      <c r="BC54" s="234"/>
    </row>
    <row r="55" spans="1:55" s="486" customFormat="1" ht="27.75" customHeight="1">
      <c r="A55" s="484"/>
      <c r="B55" s="484" t="s">
        <v>670</v>
      </c>
      <c r="C55" s="500"/>
      <c r="D55" s="500"/>
      <c r="E55" s="500"/>
      <c r="F55" s="500"/>
      <c r="G55" s="500"/>
      <c r="H55" s="500"/>
      <c r="I55" s="500"/>
      <c r="J55" s="500"/>
      <c r="K55" s="500"/>
      <c r="L55" s="500"/>
      <c r="M55" s="500"/>
      <c r="N55" s="500"/>
      <c r="O55" s="500"/>
      <c r="P55" s="500"/>
      <c r="Q55" s="500"/>
      <c r="R55" s="500"/>
      <c r="S55" s="500"/>
      <c r="T55" s="500"/>
      <c r="U55" s="500"/>
      <c r="V55" s="500"/>
      <c r="W55" s="500"/>
      <c r="X55" s="500"/>
      <c r="Y55" s="500"/>
      <c r="Z55" s="500"/>
      <c r="AA55" s="500"/>
      <c r="AB55" s="500"/>
      <c r="AC55" s="500"/>
      <c r="AD55" s="500"/>
      <c r="AE55" s="500"/>
      <c r="AF55" s="500"/>
      <c r="AG55" s="500"/>
      <c r="AH55" s="500"/>
      <c r="AI55" s="500"/>
      <c r="AJ55" s="500"/>
      <c r="AK55" s="500"/>
      <c r="AL55" s="500"/>
      <c r="AM55" s="500"/>
      <c r="AN55" s="500"/>
      <c r="AO55" s="500"/>
      <c r="AP55" s="500"/>
      <c r="AQ55" s="500"/>
      <c r="AR55" s="500"/>
      <c r="AS55" s="500"/>
      <c r="AT55" s="500"/>
      <c r="AU55" s="500"/>
    </row>
    <row r="56" spans="1:55" s="15" customFormat="1" ht="7.5" customHeight="1">
      <c r="A56" s="14"/>
      <c r="B56" s="14"/>
      <c r="C56" s="506"/>
      <c r="D56" s="507"/>
      <c r="E56" s="506"/>
      <c r="F56" s="506"/>
      <c r="G56" s="506"/>
      <c r="H56" s="506"/>
      <c r="I56" s="506"/>
      <c r="J56" s="506"/>
      <c r="K56" s="506"/>
      <c r="L56" s="506"/>
      <c r="M56" s="506"/>
      <c r="N56" s="506"/>
      <c r="O56" s="506"/>
      <c r="P56" s="506"/>
      <c r="Q56" s="506"/>
      <c r="R56" s="506"/>
      <c r="S56" s="506"/>
      <c r="T56" s="506"/>
      <c r="U56" s="506"/>
      <c r="V56" s="506"/>
      <c r="W56" s="506"/>
      <c r="X56" s="506"/>
      <c r="Y56" s="506"/>
      <c r="Z56" s="506"/>
      <c r="AA56" s="506"/>
      <c r="AB56" s="506"/>
      <c r="AC56" s="506"/>
      <c r="AD56" s="506"/>
      <c r="AE56" s="506"/>
      <c r="AF56" s="506"/>
      <c r="AG56" s="506"/>
      <c r="AH56" s="506"/>
      <c r="AI56" s="506"/>
      <c r="AJ56" s="506"/>
      <c r="AK56" s="506"/>
      <c r="AL56" s="506"/>
      <c r="AM56" s="506"/>
      <c r="AN56" s="506"/>
      <c r="AO56" s="506"/>
      <c r="AP56" s="506"/>
      <c r="AQ56" s="506"/>
      <c r="AR56" s="506"/>
      <c r="AS56" s="506"/>
      <c r="AT56" s="506"/>
      <c r="AU56" s="506"/>
      <c r="AV56" s="234"/>
      <c r="AW56" s="234"/>
      <c r="AX56" s="234"/>
      <c r="AY56" s="234"/>
      <c r="AZ56" s="234"/>
      <c r="BA56" s="234"/>
      <c r="BB56" s="234"/>
      <c r="BC56" s="234"/>
    </row>
    <row r="57" spans="1:55" s="15" customFormat="1" ht="21.75" customHeight="1">
      <c r="A57" s="329">
        <v>24</v>
      </c>
      <c r="B57" s="332" t="s">
        <v>671</v>
      </c>
      <c r="C57" s="503">
        <f>+'Asset Classification'!C57</f>
        <v>1932270015</v>
      </c>
      <c r="D57" s="504">
        <f>+'Asset Classification'!D57</f>
        <v>857624905</v>
      </c>
      <c r="E57" s="505">
        <f>+'Asset Classification'!E57</f>
        <v>1874411554</v>
      </c>
      <c r="F57" s="504">
        <f>+'Asset Classification'!F57</f>
        <v>824920399</v>
      </c>
      <c r="G57" s="505">
        <f>+'Asset Classification'!G57</f>
        <v>11072659</v>
      </c>
      <c r="H57" s="504">
        <f t="shared" ref="H57:H70" si="109">+E57*1%</f>
        <v>18744115.539999999</v>
      </c>
      <c r="I57" s="504">
        <f t="shared" ref="I57:I70" si="110">+G57-H57</f>
        <v>-7671456.5399999991</v>
      </c>
      <c r="J57" s="505">
        <f>+'Asset Classification'!I57</f>
        <v>43250729</v>
      </c>
      <c r="K57" s="504">
        <f>+'Asset Classification'!J57</f>
        <v>21635388</v>
      </c>
      <c r="L57" s="505">
        <f>+'Asset Classification'!K57</f>
        <v>4322768</v>
      </c>
      <c r="M57" s="504">
        <f t="shared" ref="M57:M70" si="111">+J57*10%</f>
        <v>4325072.9000000004</v>
      </c>
      <c r="N57" s="504">
        <f t="shared" ref="N57:N70" si="112">+L57-M57</f>
        <v>-2304.9000000003725</v>
      </c>
      <c r="O57" s="504">
        <f>+'Asset Classification'!L57</f>
        <v>2163539</v>
      </c>
      <c r="P57" s="504">
        <f t="shared" ref="P57:P70" si="113">+K57*10%</f>
        <v>2163538.8000000003</v>
      </c>
      <c r="Q57" s="504">
        <f t="shared" ref="Q57:Q70" si="114">+O57-P57</f>
        <v>0.19999999972060323</v>
      </c>
      <c r="R57" s="505">
        <f>+'Asset Classification'!M57</f>
        <v>2227600</v>
      </c>
      <c r="S57" s="504">
        <f>+'Asset Classification'!N57</f>
        <v>0</v>
      </c>
      <c r="T57" s="505">
        <f>+'Asset Classification'!O57</f>
        <v>556900</v>
      </c>
      <c r="U57" s="504">
        <f t="shared" ref="U57:U70" si="115">+R57*25%</f>
        <v>556900</v>
      </c>
      <c r="V57" s="504">
        <f t="shared" ref="V57:V70" si="116">+T57-U57</f>
        <v>0</v>
      </c>
      <c r="W57" s="504">
        <f>+'Asset Classification'!P57</f>
        <v>0</v>
      </c>
      <c r="X57" s="504">
        <f t="shared" ref="X57:X70" si="117">+S57*25%</f>
        <v>0</v>
      </c>
      <c r="Y57" s="504">
        <f t="shared" ref="Y57:Y70" si="118">+W57-X57</f>
        <v>0</v>
      </c>
      <c r="Z57" s="505">
        <f>+'Asset Classification'!Q57</f>
        <v>12380132</v>
      </c>
      <c r="AA57" s="504">
        <f>+'Asset Classification'!R57</f>
        <v>11069118</v>
      </c>
      <c r="AB57" s="505">
        <f>+'Asset Classification'!S57</f>
        <v>6190066</v>
      </c>
      <c r="AC57" s="504">
        <f t="shared" ref="AC57:AC70" si="119">+Z57*50%</f>
        <v>6190066</v>
      </c>
      <c r="AD57" s="504">
        <f t="shared" ref="AD57:AD70" si="120">+AB57-AC57</f>
        <v>0</v>
      </c>
      <c r="AE57" s="504">
        <f>+'Asset Classification'!T57</f>
        <v>5534559</v>
      </c>
      <c r="AF57" s="504">
        <f t="shared" ref="AF57:AF70" si="121">+AA57*50%</f>
        <v>5534559</v>
      </c>
      <c r="AG57" s="504">
        <f t="shared" ref="AG57:AG70" si="122">+AE57-AF57</f>
        <v>0</v>
      </c>
      <c r="AH57" s="505">
        <f>+'Asset Classification'!U57</f>
        <v>0</v>
      </c>
      <c r="AI57" s="504">
        <f>+'Asset Classification'!V57</f>
        <v>0</v>
      </c>
      <c r="AJ57" s="505">
        <f>+'Asset Classification'!W57</f>
        <v>0</v>
      </c>
      <c r="AK57" s="504">
        <f t="shared" ref="AK57:AK70" si="123">+AH57*100%</f>
        <v>0</v>
      </c>
      <c r="AL57" s="504">
        <f t="shared" ref="AL57:AL70" si="124">+AJ57-AK57</f>
        <v>0</v>
      </c>
      <c r="AM57" s="504">
        <f>+'Asset Classification'!X57</f>
        <v>0</v>
      </c>
      <c r="AN57" s="504">
        <f t="shared" ref="AN57:AN70" si="125">+AI57*100%</f>
        <v>0</v>
      </c>
      <c r="AO57" s="504">
        <f t="shared" ref="AO57:AO70" si="126">+AM57-AN57</f>
        <v>0</v>
      </c>
      <c r="AP57" s="499">
        <f t="shared" ref="AP57:AQ70" si="127">+L57+T57+AB57+AJ57</f>
        <v>11069734</v>
      </c>
      <c r="AQ57" s="499">
        <f t="shared" si="127"/>
        <v>11072038.9</v>
      </c>
      <c r="AR57" s="499">
        <f t="shared" ref="AR57:AR70" si="128">+AP57-AQ57</f>
        <v>-2304.9000000003725</v>
      </c>
      <c r="AS57" s="504">
        <f t="shared" ref="AS57:AT70" si="129">+O57+W57+AE57+AM57</f>
        <v>7698098</v>
      </c>
      <c r="AT57" s="504">
        <f t="shared" si="129"/>
        <v>7698097.8000000007</v>
      </c>
      <c r="AU57" s="504">
        <f t="shared" ref="AU57:AU70" si="130">+AS57-AT57</f>
        <v>0.19999999925494194</v>
      </c>
      <c r="AV57" s="234"/>
      <c r="AW57" s="234"/>
      <c r="AX57" s="234"/>
      <c r="AY57" s="234"/>
      <c r="AZ57" s="234"/>
      <c r="BA57" s="234"/>
      <c r="BB57" s="234"/>
      <c r="BC57" s="234"/>
    </row>
    <row r="58" spans="1:55" s="15" customFormat="1" ht="21.75" customHeight="1">
      <c r="A58" s="329">
        <v>25</v>
      </c>
      <c r="B58" s="332" t="s">
        <v>672</v>
      </c>
      <c r="C58" s="503">
        <f>+'Asset Classification'!C58</f>
        <v>1624354054</v>
      </c>
      <c r="D58" s="504">
        <f>+'Asset Classification'!D58</f>
        <v>1024737071</v>
      </c>
      <c r="E58" s="505">
        <f>+'Asset Classification'!E58</f>
        <v>1528489311</v>
      </c>
      <c r="F58" s="504">
        <f>+'Asset Classification'!F58</f>
        <v>979420203</v>
      </c>
      <c r="G58" s="505">
        <f>+'Asset Classification'!G58</f>
        <v>10254993</v>
      </c>
      <c r="H58" s="504">
        <f t="shared" si="109"/>
        <v>15284893.109999999</v>
      </c>
      <c r="I58" s="504">
        <f t="shared" si="110"/>
        <v>-5029900.1099999994</v>
      </c>
      <c r="J58" s="505">
        <f>+'Asset Classification'!I58</f>
        <v>44728038</v>
      </c>
      <c r="K58" s="504">
        <f>+'Asset Classification'!J58</f>
        <v>7015679</v>
      </c>
      <c r="L58" s="505">
        <f>+'Asset Classification'!K58</f>
        <v>4472804</v>
      </c>
      <c r="M58" s="504">
        <f t="shared" si="111"/>
        <v>4472803.8</v>
      </c>
      <c r="N58" s="504">
        <f t="shared" si="112"/>
        <v>0.20000000018626451</v>
      </c>
      <c r="O58" s="504">
        <f>+'Asset Classification'!L58</f>
        <v>701568</v>
      </c>
      <c r="P58" s="504">
        <f t="shared" si="113"/>
        <v>701567.9</v>
      </c>
      <c r="Q58" s="504">
        <f t="shared" si="114"/>
        <v>9.9999999976716936E-2</v>
      </c>
      <c r="R58" s="505">
        <f>+'Asset Classification'!M58</f>
        <v>4727552</v>
      </c>
      <c r="S58" s="504">
        <f>+'Asset Classification'!N58</f>
        <v>2539485</v>
      </c>
      <c r="T58" s="505">
        <f>+'Asset Classification'!O58</f>
        <v>1181888</v>
      </c>
      <c r="U58" s="504">
        <f t="shared" si="115"/>
        <v>1181888</v>
      </c>
      <c r="V58" s="504">
        <f t="shared" si="116"/>
        <v>0</v>
      </c>
      <c r="W58" s="504">
        <f>+'Asset Classification'!P58</f>
        <v>634871</v>
      </c>
      <c r="X58" s="504">
        <f t="shared" si="117"/>
        <v>634871.25</v>
      </c>
      <c r="Y58" s="504">
        <f t="shared" si="118"/>
        <v>-0.25</v>
      </c>
      <c r="Z58" s="505">
        <f>+'Asset Classification'!Q58</f>
        <v>46409153</v>
      </c>
      <c r="AA58" s="504">
        <f>+'Asset Classification'!R58</f>
        <v>35761704</v>
      </c>
      <c r="AB58" s="505">
        <f>+'Asset Classification'!S58</f>
        <v>23204576</v>
      </c>
      <c r="AC58" s="504">
        <f t="shared" si="119"/>
        <v>23204576.5</v>
      </c>
      <c r="AD58" s="504">
        <f t="shared" si="120"/>
        <v>-0.5</v>
      </c>
      <c r="AE58" s="504">
        <f>+'Asset Classification'!T58</f>
        <v>17880852</v>
      </c>
      <c r="AF58" s="504">
        <f t="shared" si="121"/>
        <v>17880852</v>
      </c>
      <c r="AG58" s="504">
        <f t="shared" si="122"/>
        <v>0</v>
      </c>
      <c r="AH58" s="505">
        <f>+'Asset Classification'!U58</f>
        <v>0</v>
      </c>
      <c r="AI58" s="504">
        <f>+'Asset Classification'!V58</f>
        <v>0</v>
      </c>
      <c r="AJ58" s="505">
        <f>+'Asset Classification'!W58</f>
        <v>0</v>
      </c>
      <c r="AK58" s="504">
        <f t="shared" si="123"/>
        <v>0</v>
      </c>
      <c r="AL58" s="504">
        <f t="shared" si="124"/>
        <v>0</v>
      </c>
      <c r="AM58" s="504">
        <f>+'Asset Classification'!X58</f>
        <v>0</v>
      </c>
      <c r="AN58" s="504">
        <f t="shared" si="125"/>
        <v>0</v>
      </c>
      <c r="AO58" s="504">
        <f t="shared" si="126"/>
        <v>0</v>
      </c>
      <c r="AP58" s="499">
        <f t="shared" si="127"/>
        <v>28859268</v>
      </c>
      <c r="AQ58" s="499">
        <f t="shared" si="127"/>
        <v>28859268.300000001</v>
      </c>
      <c r="AR58" s="499">
        <f t="shared" si="128"/>
        <v>-0.30000000074505806</v>
      </c>
      <c r="AS58" s="504">
        <f t="shared" si="129"/>
        <v>19217291</v>
      </c>
      <c r="AT58" s="504">
        <f t="shared" si="129"/>
        <v>19217291.149999999</v>
      </c>
      <c r="AU58" s="504">
        <f t="shared" si="130"/>
        <v>-0.14999999850988388</v>
      </c>
      <c r="AV58" s="234"/>
      <c r="AW58" s="234"/>
      <c r="AX58" s="234"/>
      <c r="AY58" s="234"/>
      <c r="AZ58" s="234"/>
      <c r="BA58" s="234"/>
      <c r="BB58" s="234"/>
      <c r="BC58" s="234"/>
    </row>
    <row r="59" spans="1:55" s="15" customFormat="1" ht="21.75" customHeight="1">
      <c r="A59" s="329">
        <v>26</v>
      </c>
      <c r="B59" s="332" t="s">
        <v>673</v>
      </c>
      <c r="C59" s="503">
        <f>+'Asset Classification'!C59</f>
        <v>1543780452</v>
      </c>
      <c r="D59" s="504">
        <f>+'Asset Classification'!D59</f>
        <v>1043441361</v>
      </c>
      <c r="E59" s="505">
        <f>+'Asset Classification'!E59</f>
        <v>1230872943</v>
      </c>
      <c r="F59" s="504">
        <f>+'Asset Classification'!F59</f>
        <v>775653188</v>
      </c>
      <c r="G59" s="505">
        <f>+'Asset Classification'!G59</f>
        <v>11745891</v>
      </c>
      <c r="H59" s="504">
        <f t="shared" si="109"/>
        <v>12308729.43</v>
      </c>
      <c r="I59" s="504">
        <f t="shared" si="110"/>
        <v>-562838.4299999997</v>
      </c>
      <c r="J59" s="505">
        <f>+'Asset Classification'!I59</f>
        <v>146407337</v>
      </c>
      <c r="K59" s="504">
        <f>+'Asset Classification'!J59</f>
        <v>130296364</v>
      </c>
      <c r="L59" s="505">
        <f>+'Asset Classification'!K59</f>
        <v>14640734</v>
      </c>
      <c r="M59" s="504">
        <f t="shared" si="111"/>
        <v>14640733.700000001</v>
      </c>
      <c r="N59" s="504">
        <f t="shared" si="112"/>
        <v>0.29999999888241291</v>
      </c>
      <c r="O59" s="504">
        <f>+'Asset Classification'!L59</f>
        <v>13029636</v>
      </c>
      <c r="P59" s="504">
        <f t="shared" si="113"/>
        <v>13029636.4</v>
      </c>
      <c r="Q59" s="504">
        <f t="shared" si="114"/>
        <v>-0.40000000037252903</v>
      </c>
      <c r="R59" s="505">
        <f>+'Asset Classification'!M59</f>
        <v>71220860</v>
      </c>
      <c r="S59" s="504">
        <f>+'Asset Classification'!N59</f>
        <v>55655823</v>
      </c>
      <c r="T59" s="505">
        <f>+'Asset Classification'!O59</f>
        <v>17805215</v>
      </c>
      <c r="U59" s="504">
        <f t="shared" si="115"/>
        <v>17805215</v>
      </c>
      <c r="V59" s="504">
        <f t="shared" si="116"/>
        <v>0</v>
      </c>
      <c r="W59" s="504">
        <f>+'Asset Classification'!P59</f>
        <v>13913956</v>
      </c>
      <c r="X59" s="504">
        <f t="shared" si="117"/>
        <v>13913955.75</v>
      </c>
      <c r="Y59" s="504">
        <f t="shared" si="118"/>
        <v>0.25</v>
      </c>
      <c r="Z59" s="505">
        <f>+'Asset Classification'!Q59</f>
        <v>90240580</v>
      </c>
      <c r="AA59" s="504">
        <f>+'Asset Classification'!R59</f>
        <v>77147253</v>
      </c>
      <c r="AB59" s="505">
        <f>+'Asset Classification'!S59</f>
        <v>45120290</v>
      </c>
      <c r="AC59" s="504">
        <f t="shared" si="119"/>
        <v>45120290</v>
      </c>
      <c r="AD59" s="504">
        <f t="shared" si="120"/>
        <v>0</v>
      </c>
      <c r="AE59" s="504">
        <f>+'Asset Classification'!T59</f>
        <v>38573627</v>
      </c>
      <c r="AF59" s="504">
        <f t="shared" si="121"/>
        <v>38573626.5</v>
      </c>
      <c r="AG59" s="504">
        <f t="shared" si="122"/>
        <v>0.5</v>
      </c>
      <c r="AH59" s="505">
        <f>+'Asset Classification'!U59</f>
        <v>5038732</v>
      </c>
      <c r="AI59" s="504">
        <f>+'Asset Classification'!V59</f>
        <v>4688733</v>
      </c>
      <c r="AJ59" s="505">
        <f>+'Asset Classification'!W59</f>
        <v>5038732</v>
      </c>
      <c r="AK59" s="504">
        <f t="shared" si="123"/>
        <v>5038732</v>
      </c>
      <c r="AL59" s="504">
        <f t="shared" si="124"/>
        <v>0</v>
      </c>
      <c r="AM59" s="504">
        <f>+'Asset Classification'!X59</f>
        <v>4688733</v>
      </c>
      <c r="AN59" s="504">
        <f t="shared" si="125"/>
        <v>4688733</v>
      </c>
      <c r="AO59" s="504">
        <f t="shared" si="126"/>
        <v>0</v>
      </c>
      <c r="AP59" s="499">
        <f t="shared" si="127"/>
        <v>82604971</v>
      </c>
      <c r="AQ59" s="499">
        <f t="shared" si="127"/>
        <v>82604970.700000003</v>
      </c>
      <c r="AR59" s="499">
        <f t="shared" si="128"/>
        <v>0.29999999701976776</v>
      </c>
      <c r="AS59" s="504">
        <f t="shared" si="129"/>
        <v>70205952</v>
      </c>
      <c r="AT59" s="504">
        <f t="shared" si="129"/>
        <v>70205951.650000006</v>
      </c>
      <c r="AU59" s="504">
        <f t="shared" si="130"/>
        <v>0.34999999403953552</v>
      </c>
      <c r="AV59" s="234"/>
      <c r="AW59" s="234"/>
      <c r="AX59" s="234"/>
      <c r="AY59" s="234"/>
      <c r="AZ59" s="234"/>
      <c r="BA59" s="234"/>
      <c r="BB59" s="234"/>
      <c r="BC59" s="234"/>
    </row>
    <row r="60" spans="1:55" s="15" customFormat="1" ht="21.75" customHeight="1">
      <c r="A60" s="329">
        <v>27</v>
      </c>
      <c r="B60" s="332" t="s">
        <v>674</v>
      </c>
      <c r="C60" s="503">
        <f>+'Asset Classification'!C60</f>
        <v>1588226570</v>
      </c>
      <c r="D60" s="504">
        <f>+'Asset Classification'!D60</f>
        <v>1189724174</v>
      </c>
      <c r="E60" s="505">
        <f>+'Asset Classification'!E60</f>
        <v>1570281102</v>
      </c>
      <c r="F60" s="504">
        <f>+'Asset Classification'!F60</f>
        <v>1176863602</v>
      </c>
      <c r="G60" s="505">
        <f>+'Asset Classification'!G60</f>
        <v>10609211</v>
      </c>
      <c r="H60" s="504">
        <f t="shared" si="109"/>
        <v>15702811.02</v>
      </c>
      <c r="I60" s="504">
        <f t="shared" si="110"/>
        <v>-5093600.0199999996</v>
      </c>
      <c r="J60" s="505">
        <f>+'Asset Classification'!I60</f>
        <v>10567813</v>
      </c>
      <c r="K60" s="504">
        <f>+'Asset Classification'!J60</f>
        <v>7482668</v>
      </c>
      <c r="L60" s="505">
        <f>+'Asset Classification'!K60</f>
        <v>1056781</v>
      </c>
      <c r="M60" s="504">
        <f t="shared" si="111"/>
        <v>1056781.3</v>
      </c>
      <c r="N60" s="504">
        <f t="shared" si="112"/>
        <v>-0.30000000004656613</v>
      </c>
      <c r="O60" s="504">
        <f>+'Asset Classification'!L60</f>
        <v>748267</v>
      </c>
      <c r="P60" s="504">
        <f t="shared" si="113"/>
        <v>748266.8</v>
      </c>
      <c r="Q60" s="504">
        <f t="shared" si="114"/>
        <v>0.19999999995343387</v>
      </c>
      <c r="R60" s="505">
        <f>+'Asset Classification'!M60</f>
        <v>4615651</v>
      </c>
      <c r="S60" s="504">
        <f>+'Asset Classification'!N60</f>
        <v>3800341</v>
      </c>
      <c r="T60" s="505">
        <f>+'Asset Classification'!O60</f>
        <v>1153913</v>
      </c>
      <c r="U60" s="504">
        <f t="shared" si="115"/>
        <v>1153912.75</v>
      </c>
      <c r="V60" s="504">
        <f t="shared" si="116"/>
        <v>0.25</v>
      </c>
      <c r="W60" s="504">
        <f>+'Asset Classification'!P60</f>
        <v>950085</v>
      </c>
      <c r="X60" s="504">
        <f t="shared" si="117"/>
        <v>950085.25</v>
      </c>
      <c r="Y60" s="504">
        <f t="shared" si="118"/>
        <v>-0.25</v>
      </c>
      <c r="Z60" s="505">
        <f>+'Asset Classification'!Q60</f>
        <v>2762004</v>
      </c>
      <c r="AA60" s="504">
        <f>+'Asset Classification'!R60</f>
        <v>1577563</v>
      </c>
      <c r="AB60" s="505">
        <f>+'Asset Classification'!S60</f>
        <v>1381002</v>
      </c>
      <c r="AC60" s="504">
        <f t="shared" si="119"/>
        <v>1381002</v>
      </c>
      <c r="AD60" s="504">
        <f t="shared" si="120"/>
        <v>0</v>
      </c>
      <c r="AE60" s="504">
        <f>+'Asset Classification'!T60</f>
        <v>788782</v>
      </c>
      <c r="AF60" s="504">
        <f t="shared" si="121"/>
        <v>788781.5</v>
      </c>
      <c r="AG60" s="504">
        <f t="shared" si="122"/>
        <v>0.5</v>
      </c>
      <c r="AH60" s="505">
        <f>+'Asset Classification'!U60</f>
        <v>0</v>
      </c>
      <c r="AI60" s="504">
        <f>+'Asset Classification'!V60</f>
        <v>0</v>
      </c>
      <c r="AJ60" s="505">
        <f>+'Asset Classification'!W60</f>
        <v>0</v>
      </c>
      <c r="AK60" s="504">
        <f t="shared" si="123"/>
        <v>0</v>
      </c>
      <c r="AL60" s="504">
        <f t="shared" si="124"/>
        <v>0</v>
      </c>
      <c r="AM60" s="504">
        <f>+'Asset Classification'!X60</f>
        <v>0</v>
      </c>
      <c r="AN60" s="504">
        <f t="shared" si="125"/>
        <v>0</v>
      </c>
      <c r="AO60" s="504">
        <f t="shared" si="126"/>
        <v>0</v>
      </c>
      <c r="AP60" s="499">
        <f t="shared" si="127"/>
        <v>3591696</v>
      </c>
      <c r="AQ60" s="499">
        <f t="shared" si="127"/>
        <v>3591696.05</v>
      </c>
      <c r="AR60" s="499">
        <f t="shared" si="128"/>
        <v>-4.9999999813735485E-2</v>
      </c>
      <c r="AS60" s="504">
        <f t="shared" si="129"/>
        <v>2487134</v>
      </c>
      <c r="AT60" s="504">
        <f t="shared" si="129"/>
        <v>2487133.5499999998</v>
      </c>
      <c r="AU60" s="504">
        <f t="shared" si="130"/>
        <v>0.45000000018626451</v>
      </c>
      <c r="AV60" s="234"/>
      <c r="AW60" s="234"/>
      <c r="AX60" s="234"/>
      <c r="AY60" s="234"/>
      <c r="AZ60" s="234"/>
      <c r="BA60" s="234"/>
      <c r="BB60" s="234"/>
      <c r="BC60" s="234"/>
    </row>
    <row r="61" spans="1:55" s="15" customFormat="1" ht="21.75" customHeight="1">
      <c r="A61" s="329">
        <v>28</v>
      </c>
      <c r="B61" s="332" t="s">
        <v>675</v>
      </c>
      <c r="C61" s="503">
        <f>+'Asset Classification'!C61</f>
        <v>1376806860</v>
      </c>
      <c r="D61" s="504">
        <f>+'Asset Classification'!D61</f>
        <v>240268756</v>
      </c>
      <c r="E61" s="505">
        <f>+'Asset Classification'!E61</f>
        <v>1115866566</v>
      </c>
      <c r="F61" s="504">
        <f>+'Asset Classification'!F61</f>
        <v>218807565</v>
      </c>
      <c r="G61" s="505">
        <f>+'Asset Classification'!G61</f>
        <v>14498781</v>
      </c>
      <c r="H61" s="504">
        <f t="shared" si="109"/>
        <v>11158665.66</v>
      </c>
      <c r="I61" s="504">
        <f t="shared" si="110"/>
        <v>3340115.34</v>
      </c>
      <c r="J61" s="505">
        <f>+'Asset Classification'!I61</f>
        <v>212723119</v>
      </c>
      <c r="K61" s="504">
        <f>+'Asset Classification'!J61</f>
        <v>15284814</v>
      </c>
      <c r="L61" s="505">
        <f>+'Asset Classification'!K61</f>
        <v>21502346</v>
      </c>
      <c r="M61" s="504">
        <f t="shared" si="111"/>
        <v>21272311.900000002</v>
      </c>
      <c r="N61" s="504">
        <f t="shared" si="112"/>
        <v>230034.09999999776</v>
      </c>
      <c r="O61" s="504">
        <f>+'Asset Classification'!L61</f>
        <v>1528481</v>
      </c>
      <c r="P61" s="504">
        <f t="shared" si="113"/>
        <v>1528481.4000000001</v>
      </c>
      <c r="Q61" s="504">
        <f t="shared" si="114"/>
        <v>-0.40000000013969839</v>
      </c>
      <c r="R61" s="505">
        <f>+'Asset Classification'!M61</f>
        <v>40705179</v>
      </c>
      <c r="S61" s="504">
        <f>+'Asset Classification'!N61</f>
        <v>158035</v>
      </c>
      <c r="T61" s="505">
        <f>+'Asset Classification'!O61</f>
        <v>10176295</v>
      </c>
      <c r="U61" s="504">
        <f t="shared" si="115"/>
        <v>10176294.75</v>
      </c>
      <c r="V61" s="504">
        <f t="shared" si="116"/>
        <v>0.25</v>
      </c>
      <c r="W61" s="504">
        <f>+'Asset Classification'!P61</f>
        <v>39509</v>
      </c>
      <c r="X61" s="504">
        <f t="shared" si="117"/>
        <v>39508.75</v>
      </c>
      <c r="Y61" s="504">
        <f t="shared" si="118"/>
        <v>0.25</v>
      </c>
      <c r="Z61" s="505">
        <f>+'Asset Classification'!Q61</f>
        <v>7511996</v>
      </c>
      <c r="AA61" s="504">
        <f>+'Asset Classification'!R61</f>
        <v>6018342</v>
      </c>
      <c r="AB61" s="505">
        <f>+'Asset Classification'!S61</f>
        <v>3755998</v>
      </c>
      <c r="AC61" s="504">
        <f t="shared" si="119"/>
        <v>3755998</v>
      </c>
      <c r="AD61" s="504">
        <f t="shared" si="120"/>
        <v>0</v>
      </c>
      <c r="AE61" s="504">
        <f>+'Asset Classification'!T61</f>
        <v>3009171</v>
      </c>
      <c r="AF61" s="504">
        <f t="shared" si="121"/>
        <v>3009171</v>
      </c>
      <c r="AG61" s="504">
        <f t="shared" si="122"/>
        <v>0</v>
      </c>
      <c r="AH61" s="505">
        <f>+'Asset Classification'!U61</f>
        <v>0</v>
      </c>
      <c r="AI61" s="504">
        <f>+'Asset Classification'!V61</f>
        <v>0</v>
      </c>
      <c r="AJ61" s="505">
        <f>+'Asset Classification'!W61</f>
        <v>0</v>
      </c>
      <c r="AK61" s="504">
        <f t="shared" si="123"/>
        <v>0</v>
      </c>
      <c r="AL61" s="504">
        <f t="shared" si="124"/>
        <v>0</v>
      </c>
      <c r="AM61" s="504">
        <f>+'Asset Classification'!X61</f>
        <v>0</v>
      </c>
      <c r="AN61" s="504">
        <f t="shared" si="125"/>
        <v>0</v>
      </c>
      <c r="AO61" s="504">
        <f t="shared" si="126"/>
        <v>0</v>
      </c>
      <c r="AP61" s="499">
        <f t="shared" si="127"/>
        <v>35434639</v>
      </c>
      <c r="AQ61" s="499">
        <f t="shared" si="127"/>
        <v>35204604.650000006</v>
      </c>
      <c r="AR61" s="499">
        <f t="shared" si="128"/>
        <v>230034.34999999404</v>
      </c>
      <c r="AS61" s="504">
        <f t="shared" si="129"/>
        <v>4577161</v>
      </c>
      <c r="AT61" s="504">
        <f t="shared" si="129"/>
        <v>4577161.1500000004</v>
      </c>
      <c r="AU61" s="504">
        <f t="shared" si="130"/>
        <v>-0.15000000037252903</v>
      </c>
      <c r="AV61" s="234"/>
      <c r="AW61" s="234"/>
      <c r="AX61" s="234"/>
      <c r="AY61" s="234"/>
      <c r="AZ61" s="234"/>
      <c r="BA61" s="234"/>
      <c r="BB61" s="234"/>
      <c r="BC61" s="234"/>
    </row>
    <row r="62" spans="1:55" s="15" customFormat="1" ht="21.75" customHeight="1">
      <c r="A62" s="329">
        <v>29</v>
      </c>
      <c r="B62" s="332" t="s">
        <v>676</v>
      </c>
      <c r="C62" s="503">
        <f>+'Asset Classification'!C62</f>
        <v>1374148502</v>
      </c>
      <c r="D62" s="504">
        <f>+'Asset Classification'!D62</f>
        <v>642939126</v>
      </c>
      <c r="E62" s="505">
        <f>+'Asset Classification'!E62</f>
        <v>1277764880</v>
      </c>
      <c r="F62" s="504">
        <f>+'Asset Classification'!F62</f>
        <v>595764381</v>
      </c>
      <c r="G62" s="505">
        <f>+'Asset Classification'!G62</f>
        <v>11790777</v>
      </c>
      <c r="H62" s="504">
        <f t="shared" si="109"/>
        <v>12777648.800000001</v>
      </c>
      <c r="I62" s="504">
        <f t="shared" si="110"/>
        <v>-986871.80000000075</v>
      </c>
      <c r="J62" s="505">
        <f>+'Asset Classification'!I62</f>
        <v>91358258</v>
      </c>
      <c r="K62" s="504">
        <f>+'Asset Classification'!J62</f>
        <v>47174745</v>
      </c>
      <c r="L62" s="505">
        <f>+'Asset Classification'!K62</f>
        <v>9135826</v>
      </c>
      <c r="M62" s="504">
        <f t="shared" si="111"/>
        <v>9135825.8000000007</v>
      </c>
      <c r="N62" s="504">
        <f t="shared" si="112"/>
        <v>0.19999999925494194</v>
      </c>
      <c r="O62" s="504">
        <f>+'Asset Classification'!L62</f>
        <v>4717475</v>
      </c>
      <c r="P62" s="504">
        <f t="shared" si="113"/>
        <v>4717474.5</v>
      </c>
      <c r="Q62" s="504">
        <f t="shared" si="114"/>
        <v>0.5</v>
      </c>
      <c r="R62" s="505">
        <f>+'Asset Classification'!M62</f>
        <v>1675898</v>
      </c>
      <c r="S62" s="504">
        <f>+'Asset Classification'!N62</f>
        <v>0</v>
      </c>
      <c r="T62" s="505">
        <f>+'Asset Classification'!O62</f>
        <v>418975</v>
      </c>
      <c r="U62" s="504">
        <f t="shared" si="115"/>
        <v>418974.5</v>
      </c>
      <c r="V62" s="504">
        <f t="shared" si="116"/>
        <v>0.5</v>
      </c>
      <c r="W62" s="504">
        <f>+'Asset Classification'!P62</f>
        <v>0</v>
      </c>
      <c r="X62" s="504">
        <f t="shared" si="117"/>
        <v>0</v>
      </c>
      <c r="Y62" s="504">
        <f t="shared" si="118"/>
        <v>0</v>
      </c>
      <c r="Z62" s="505">
        <f>+'Asset Classification'!Q62</f>
        <v>3349466</v>
      </c>
      <c r="AA62" s="504">
        <f>+'Asset Classification'!R62</f>
        <v>0</v>
      </c>
      <c r="AB62" s="505">
        <f>+'Asset Classification'!S62</f>
        <v>1674733</v>
      </c>
      <c r="AC62" s="504">
        <f t="shared" si="119"/>
        <v>1674733</v>
      </c>
      <c r="AD62" s="504">
        <f t="shared" si="120"/>
        <v>0</v>
      </c>
      <c r="AE62" s="504">
        <f>+'Asset Classification'!T62</f>
        <v>0</v>
      </c>
      <c r="AF62" s="504">
        <f t="shared" si="121"/>
        <v>0</v>
      </c>
      <c r="AG62" s="504">
        <f t="shared" si="122"/>
        <v>0</v>
      </c>
      <c r="AH62" s="505">
        <f>+'Asset Classification'!U62</f>
        <v>0</v>
      </c>
      <c r="AI62" s="504">
        <f>+'Asset Classification'!V62</f>
        <v>0</v>
      </c>
      <c r="AJ62" s="505">
        <f>+'Asset Classification'!W62</f>
        <v>0</v>
      </c>
      <c r="AK62" s="504">
        <f t="shared" si="123"/>
        <v>0</v>
      </c>
      <c r="AL62" s="504">
        <f t="shared" si="124"/>
        <v>0</v>
      </c>
      <c r="AM62" s="504">
        <f>+'Asset Classification'!X62</f>
        <v>0</v>
      </c>
      <c r="AN62" s="504">
        <f t="shared" si="125"/>
        <v>0</v>
      </c>
      <c r="AO62" s="504">
        <f t="shared" si="126"/>
        <v>0</v>
      </c>
      <c r="AP62" s="499">
        <f t="shared" si="127"/>
        <v>11229534</v>
      </c>
      <c r="AQ62" s="499">
        <f t="shared" si="127"/>
        <v>11229533.300000001</v>
      </c>
      <c r="AR62" s="499">
        <f t="shared" si="128"/>
        <v>0.69999999925494194</v>
      </c>
      <c r="AS62" s="504">
        <f t="shared" si="129"/>
        <v>4717475</v>
      </c>
      <c r="AT62" s="504">
        <f t="shared" si="129"/>
        <v>4717474.5</v>
      </c>
      <c r="AU62" s="504">
        <f t="shared" si="130"/>
        <v>0.5</v>
      </c>
      <c r="AV62" s="234"/>
      <c r="AW62" s="234"/>
      <c r="AX62" s="234"/>
      <c r="AY62" s="234"/>
      <c r="AZ62" s="234"/>
      <c r="BA62" s="234"/>
      <c r="BB62" s="234"/>
      <c r="BC62" s="234"/>
    </row>
    <row r="63" spans="1:55" s="15" customFormat="1" ht="21.75" customHeight="1">
      <c r="A63" s="329">
        <v>30</v>
      </c>
      <c r="B63" s="332" t="s">
        <v>677</v>
      </c>
      <c r="C63" s="503">
        <f>+'Asset Classification'!C63</f>
        <v>757090397</v>
      </c>
      <c r="D63" s="504">
        <f>+'Asset Classification'!D63</f>
        <v>429761206</v>
      </c>
      <c r="E63" s="505">
        <f>+'Asset Classification'!E63</f>
        <v>587397636</v>
      </c>
      <c r="F63" s="504">
        <f>+'Asset Classification'!F63</f>
        <v>261323790</v>
      </c>
      <c r="G63" s="505">
        <f>+'Asset Classification'!G63</f>
        <v>4925718</v>
      </c>
      <c r="H63" s="504">
        <f t="shared" si="109"/>
        <v>5873976.3600000003</v>
      </c>
      <c r="I63" s="504">
        <f t="shared" si="110"/>
        <v>-948258.36000000034</v>
      </c>
      <c r="J63" s="505">
        <f>+'Asset Classification'!I63</f>
        <v>165531267</v>
      </c>
      <c r="K63" s="504">
        <f>+'Asset Classification'!J63</f>
        <v>164275922</v>
      </c>
      <c r="L63" s="505">
        <f>+'Asset Classification'!K63</f>
        <v>16553127</v>
      </c>
      <c r="M63" s="504">
        <f t="shared" si="111"/>
        <v>16553126.700000001</v>
      </c>
      <c r="N63" s="504">
        <f t="shared" si="112"/>
        <v>0.29999999888241291</v>
      </c>
      <c r="O63" s="504">
        <f>+'Asset Classification'!L63</f>
        <v>16427592</v>
      </c>
      <c r="P63" s="504">
        <f t="shared" si="113"/>
        <v>16427592.200000001</v>
      </c>
      <c r="Q63" s="504">
        <f t="shared" si="114"/>
        <v>-0.20000000111758709</v>
      </c>
      <c r="R63" s="505">
        <f>+'Asset Classification'!M63</f>
        <v>3838715</v>
      </c>
      <c r="S63" s="504">
        <f>+'Asset Classification'!N63</f>
        <v>3838715</v>
      </c>
      <c r="T63" s="505">
        <f>+'Asset Classification'!O63</f>
        <v>959679</v>
      </c>
      <c r="U63" s="504">
        <f t="shared" si="115"/>
        <v>959678.75</v>
      </c>
      <c r="V63" s="504">
        <f t="shared" si="116"/>
        <v>0.25</v>
      </c>
      <c r="W63" s="504">
        <f>+'Asset Classification'!P63</f>
        <v>959679</v>
      </c>
      <c r="X63" s="504">
        <f t="shared" si="117"/>
        <v>959678.75</v>
      </c>
      <c r="Y63" s="504">
        <f t="shared" si="118"/>
        <v>0.25</v>
      </c>
      <c r="Z63" s="505">
        <f>+'Asset Classification'!Q63</f>
        <v>322779</v>
      </c>
      <c r="AA63" s="504">
        <f>+'Asset Classification'!R63</f>
        <v>322779</v>
      </c>
      <c r="AB63" s="505">
        <f>+'Asset Classification'!S63</f>
        <v>161389</v>
      </c>
      <c r="AC63" s="504">
        <f t="shared" si="119"/>
        <v>161389.5</v>
      </c>
      <c r="AD63" s="504">
        <f t="shared" si="120"/>
        <v>-0.5</v>
      </c>
      <c r="AE63" s="504">
        <f>+'Asset Classification'!T63</f>
        <v>161389</v>
      </c>
      <c r="AF63" s="504">
        <f t="shared" si="121"/>
        <v>161389.5</v>
      </c>
      <c r="AG63" s="504">
        <f t="shared" si="122"/>
        <v>-0.5</v>
      </c>
      <c r="AH63" s="505">
        <f>+'Asset Classification'!U63</f>
        <v>0</v>
      </c>
      <c r="AI63" s="504">
        <f>+'Asset Classification'!V63</f>
        <v>0</v>
      </c>
      <c r="AJ63" s="505">
        <f>+'Asset Classification'!W63</f>
        <v>0</v>
      </c>
      <c r="AK63" s="504">
        <f t="shared" si="123"/>
        <v>0</v>
      </c>
      <c r="AL63" s="504">
        <f t="shared" si="124"/>
        <v>0</v>
      </c>
      <c r="AM63" s="504">
        <f>+'Asset Classification'!X63</f>
        <v>0</v>
      </c>
      <c r="AN63" s="504">
        <f t="shared" si="125"/>
        <v>0</v>
      </c>
      <c r="AO63" s="504">
        <f t="shared" si="126"/>
        <v>0</v>
      </c>
      <c r="AP63" s="499">
        <f t="shared" si="127"/>
        <v>17674195</v>
      </c>
      <c r="AQ63" s="499">
        <f t="shared" si="127"/>
        <v>17674194.950000003</v>
      </c>
      <c r="AR63" s="499">
        <f t="shared" si="128"/>
        <v>4.9999997019767761E-2</v>
      </c>
      <c r="AS63" s="504">
        <f t="shared" si="129"/>
        <v>17548660</v>
      </c>
      <c r="AT63" s="504">
        <f t="shared" si="129"/>
        <v>17548660.450000003</v>
      </c>
      <c r="AU63" s="504">
        <f t="shared" si="130"/>
        <v>-0.45000000298023224</v>
      </c>
      <c r="AV63" s="234"/>
      <c r="AW63" s="234"/>
      <c r="AX63" s="234"/>
      <c r="AY63" s="234"/>
      <c r="AZ63" s="234"/>
      <c r="BA63" s="234"/>
      <c r="BB63" s="234"/>
      <c r="BC63" s="234"/>
    </row>
    <row r="64" spans="1:55" s="15" customFormat="1" ht="21.75" customHeight="1">
      <c r="A64" s="329">
        <v>31</v>
      </c>
      <c r="B64" s="332" t="s">
        <v>678</v>
      </c>
      <c r="C64" s="503">
        <f>+'Asset Classification'!C64</f>
        <v>2420982190</v>
      </c>
      <c r="D64" s="504">
        <f>+'Asset Classification'!D64</f>
        <v>1648522478</v>
      </c>
      <c r="E64" s="505">
        <f>+'Asset Classification'!E64</f>
        <v>2264138921</v>
      </c>
      <c r="F64" s="504">
        <f>+'Asset Classification'!F64</f>
        <v>1518504487</v>
      </c>
      <c r="G64" s="505">
        <f>+'Asset Classification'!G64</f>
        <v>12742160</v>
      </c>
      <c r="H64" s="504">
        <f t="shared" si="109"/>
        <v>22641389.210000001</v>
      </c>
      <c r="I64" s="504">
        <f t="shared" si="110"/>
        <v>-9899229.2100000009</v>
      </c>
      <c r="J64" s="505">
        <f>+'Asset Classification'!I64</f>
        <v>108600204</v>
      </c>
      <c r="K64" s="504">
        <f>+'Asset Classification'!J64</f>
        <v>96351118</v>
      </c>
      <c r="L64" s="505">
        <f>+'Asset Classification'!K64</f>
        <v>10860020</v>
      </c>
      <c r="M64" s="504">
        <f t="shared" si="111"/>
        <v>10860020.4</v>
      </c>
      <c r="N64" s="504">
        <f t="shared" si="112"/>
        <v>-0.40000000037252903</v>
      </c>
      <c r="O64" s="504">
        <f>+'Asset Classification'!L64</f>
        <v>9635112</v>
      </c>
      <c r="P64" s="504">
        <f t="shared" si="113"/>
        <v>9635111.8000000007</v>
      </c>
      <c r="Q64" s="504">
        <f t="shared" si="114"/>
        <v>0.19999999925494194</v>
      </c>
      <c r="R64" s="505">
        <f>+'Asset Classification'!M64</f>
        <v>18060682</v>
      </c>
      <c r="S64" s="504">
        <f>+'Asset Classification'!N64</f>
        <v>15799240</v>
      </c>
      <c r="T64" s="505">
        <f>+'Asset Classification'!O64</f>
        <v>4515171</v>
      </c>
      <c r="U64" s="504">
        <f t="shared" si="115"/>
        <v>4515170.5</v>
      </c>
      <c r="V64" s="504">
        <f t="shared" si="116"/>
        <v>0.5</v>
      </c>
      <c r="W64" s="504">
        <f>+'Asset Classification'!P64</f>
        <v>3949810</v>
      </c>
      <c r="X64" s="504">
        <f t="shared" si="117"/>
        <v>3949810</v>
      </c>
      <c r="Y64" s="504">
        <f t="shared" si="118"/>
        <v>0</v>
      </c>
      <c r="Z64" s="505">
        <f>+'Asset Classification'!Q64</f>
        <v>7981783</v>
      </c>
      <c r="AA64" s="504">
        <f>+'Asset Classification'!R64</f>
        <v>7899141</v>
      </c>
      <c r="AB64" s="505">
        <f>+'Asset Classification'!S64</f>
        <v>3990891</v>
      </c>
      <c r="AC64" s="504">
        <f t="shared" si="119"/>
        <v>3990891.5</v>
      </c>
      <c r="AD64" s="504">
        <f t="shared" si="120"/>
        <v>-0.5</v>
      </c>
      <c r="AE64" s="504">
        <f>+'Asset Classification'!T64</f>
        <v>3949570</v>
      </c>
      <c r="AF64" s="504">
        <f t="shared" si="121"/>
        <v>3949570.5</v>
      </c>
      <c r="AG64" s="504">
        <f t="shared" si="122"/>
        <v>-0.5</v>
      </c>
      <c r="AH64" s="505">
        <f>+'Asset Classification'!U64</f>
        <v>22200600</v>
      </c>
      <c r="AI64" s="504">
        <f>+'Asset Classification'!V64</f>
        <v>9968492</v>
      </c>
      <c r="AJ64" s="505">
        <f>+'Asset Classification'!W64</f>
        <v>22200600</v>
      </c>
      <c r="AK64" s="504">
        <f t="shared" si="123"/>
        <v>22200600</v>
      </c>
      <c r="AL64" s="504">
        <f t="shared" si="124"/>
        <v>0</v>
      </c>
      <c r="AM64" s="504">
        <f>+'Asset Classification'!X64</f>
        <v>9968492</v>
      </c>
      <c r="AN64" s="504">
        <f t="shared" si="125"/>
        <v>9968492</v>
      </c>
      <c r="AO64" s="504">
        <f t="shared" si="126"/>
        <v>0</v>
      </c>
      <c r="AP64" s="499">
        <f t="shared" si="127"/>
        <v>41566682</v>
      </c>
      <c r="AQ64" s="499">
        <f t="shared" si="127"/>
        <v>41566682.399999999</v>
      </c>
      <c r="AR64" s="499">
        <f t="shared" si="128"/>
        <v>-0.39999999850988388</v>
      </c>
      <c r="AS64" s="504">
        <f t="shared" si="129"/>
        <v>27502984</v>
      </c>
      <c r="AT64" s="504">
        <f t="shared" si="129"/>
        <v>27502984.300000001</v>
      </c>
      <c r="AU64" s="504">
        <f t="shared" si="130"/>
        <v>-0.30000000074505806</v>
      </c>
      <c r="AV64" s="234"/>
      <c r="AW64" s="234"/>
      <c r="AX64" s="234"/>
      <c r="AY64" s="234"/>
      <c r="AZ64" s="234"/>
      <c r="BA64" s="234"/>
      <c r="BB64" s="234"/>
      <c r="BC64" s="234"/>
    </row>
    <row r="65" spans="1:55" s="15" customFormat="1" ht="21.75" customHeight="1">
      <c r="A65" s="329">
        <v>32</v>
      </c>
      <c r="B65" s="332" t="s">
        <v>679</v>
      </c>
      <c r="C65" s="503">
        <f>+'Asset Classification'!C65</f>
        <v>999816047</v>
      </c>
      <c r="D65" s="504">
        <f>+'Asset Classification'!D65</f>
        <v>259963334</v>
      </c>
      <c r="E65" s="505">
        <f>+'Asset Classification'!E65</f>
        <v>792529739</v>
      </c>
      <c r="F65" s="504">
        <f>+'Asset Classification'!F65</f>
        <v>85767529</v>
      </c>
      <c r="G65" s="505">
        <f>+'Asset Classification'!G65</f>
        <v>5848868</v>
      </c>
      <c r="H65" s="504">
        <f t="shared" si="109"/>
        <v>7925297.3900000006</v>
      </c>
      <c r="I65" s="504">
        <f t="shared" si="110"/>
        <v>-2076429.3900000006</v>
      </c>
      <c r="J65" s="505">
        <f>+'Asset Classification'!I65</f>
        <v>92595748</v>
      </c>
      <c r="K65" s="504">
        <f>+'Asset Classification'!J65</f>
        <v>68026598</v>
      </c>
      <c r="L65" s="505">
        <f>+'Asset Classification'!K65</f>
        <v>9259575</v>
      </c>
      <c r="M65" s="504">
        <f t="shared" si="111"/>
        <v>9259574.8000000007</v>
      </c>
      <c r="N65" s="504">
        <f t="shared" si="112"/>
        <v>0.19999999925494194</v>
      </c>
      <c r="O65" s="504">
        <f>+'Asset Classification'!L65</f>
        <v>6802660</v>
      </c>
      <c r="P65" s="504">
        <f t="shared" si="113"/>
        <v>6802659.8000000007</v>
      </c>
      <c r="Q65" s="504">
        <f t="shared" si="114"/>
        <v>0.19999999925494194</v>
      </c>
      <c r="R65" s="505">
        <f>+'Asset Classification'!M65</f>
        <v>8841301</v>
      </c>
      <c r="S65" s="504">
        <f>+'Asset Classification'!N65</f>
        <v>2718723</v>
      </c>
      <c r="T65" s="505">
        <f>+'Asset Classification'!O65</f>
        <v>2210325</v>
      </c>
      <c r="U65" s="504">
        <f t="shared" si="115"/>
        <v>2210325.25</v>
      </c>
      <c r="V65" s="504">
        <f t="shared" si="116"/>
        <v>-0.25</v>
      </c>
      <c r="W65" s="504">
        <f>+'Asset Classification'!P65</f>
        <v>679681</v>
      </c>
      <c r="X65" s="504">
        <f t="shared" si="117"/>
        <v>679680.75</v>
      </c>
      <c r="Y65" s="504">
        <f t="shared" si="118"/>
        <v>0.25</v>
      </c>
      <c r="Z65" s="505">
        <f>+'Asset Classification'!Q65</f>
        <v>105849259</v>
      </c>
      <c r="AA65" s="504">
        <f>+'Asset Classification'!R65</f>
        <v>103450484</v>
      </c>
      <c r="AB65" s="505">
        <f>+'Asset Classification'!S65</f>
        <v>52924630</v>
      </c>
      <c r="AC65" s="504">
        <f t="shared" si="119"/>
        <v>52924629.5</v>
      </c>
      <c r="AD65" s="504">
        <f t="shared" si="120"/>
        <v>0.5</v>
      </c>
      <c r="AE65" s="504">
        <f>+'Asset Classification'!T65</f>
        <v>51725242</v>
      </c>
      <c r="AF65" s="504">
        <f t="shared" si="121"/>
        <v>51725242</v>
      </c>
      <c r="AG65" s="504">
        <f t="shared" si="122"/>
        <v>0</v>
      </c>
      <c r="AH65" s="505">
        <f>+'Asset Classification'!U65</f>
        <v>0</v>
      </c>
      <c r="AI65" s="504">
        <f>+'Asset Classification'!V65</f>
        <v>0</v>
      </c>
      <c r="AJ65" s="505">
        <f>+'Asset Classification'!W65</f>
        <v>0</v>
      </c>
      <c r="AK65" s="504">
        <f t="shared" si="123"/>
        <v>0</v>
      </c>
      <c r="AL65" s="504">
        <f t="shared" si="124"/>
        <v>0</v>
      </c>
      <c r="AM65" s="504">
        <f>+'Asset Classification'!X65</f>
        <v>0</v>
      </c>
      <c r="AN65" s="504">
        <f t="shared" si="125"/>
        <v>0</v>
      </c>
      <c r="AO65" s="504">
        <f t="shared" si="126"/>
        <v>0</v>
      </c>
      <c r="AP65" s="499">
        <f t="shared" si="127"/>
        <v>64394530</v>
      </c>
      <c r="AQ65" s="499">
        <f t="shared" si="127"/>
        <v>64394529.549999997</v>
      </c>
      <c r="AR65" s="499">
        <f t="shared" si="128"/>
        <v>0.45000000298023224</v>
      </c>
      <c r="AS65" s="504">
        <f t="shared" si="129"/>
        <v>59207583</v>
      </c>
      <c r="AT65" s="504">
        <f t="shared" si="129"/>
        <v>59207582.549999997</v>
      </c>
      <c r="AU65" s="504">
        <f t="shared" si="130"/>
        <v>0.45000000298023224</v>
      </c>
      <c r="AV65" s="234"/>
      <c r="AW65" s="234"/>
      <c r="AX65" s="234"/>
      <c r="AY65" s="234"/>
      <c r="AZ65" s="234"/>
      <c r="BA65" s="234"/>
      <c r="BB65" s="234"/>
      <c r="BC65" s="234"/>
    </row>
    <row r="66" spans="1:55" s="15" customFormat="1" ht="21.75" customHeight="1">
      <c r="A66" s="329">
        <v>33</v>
      </c>
      <c r="B66" s="332" t="s">
        <v>680</v>
      </c>
      <c r="C66" s="503">
        <f>+'Asset Classification'!C66</f>
        <v>2265852466</v>
      </c>
      <c r="D66" s="504">
        <f>+'Asset Classification'!D66</f>
        <v>1540817976</v>
      </c>
      <c r="E66" s="505">
        <f>+'Asset Classification'!E66</f>
        <v>610269867</v>
      </c>
      <c r="F66" s="504">
        <f>+'Asset Classification'!F66</f>
        <v>318117594</v>
      </c>
      <c r="G66" s="505">
        <f>+'Asset Classification'!G66</f>
        <v>18700461</v>
      </c>
      <c r="H66" s="504">
        <f t="shared" si="109"/>
        <v>6102698.6699999999</v>
      </c>
      <c r="I66" s="504">
        <f t="shared" si="110"/>
        <v>12597762.33</v>
      </c>
      <c r="J66" s="505">
        <f>+'Asset Classification'!I66</f>
        <v>1542004957</v>
      </c>
      <c r="K66" s="504">
        <f>+'Asset Classification'!J66</f>
        <v>1185870898</v>
      </c>
      <c r="L66" s="505">
        <f>+'Asset Classification'!K66</f>
        <v>154200496</v>
      </c>
      <c r="M66" s="504">
        <f t="shared" si="111"/>
        <v>154200495.70000002</v>
      </c>
      <c r="N66" s="504">
        <f t="shared" si="112"/>
        <v>0.29999998211860657</v>
      </c>
      <c r="O66" s="504">
        <f>+'Asset Classification'!L66</f>
        <v>118587090</v>
      </c>
      <c r="P66" s="504">
        <f t="shared" si="113"/>
        <v>118587089.80000001</v>
      </c>
      <c r="Q66" s="504">
        <f t="shared" si="114"/>
        <v>0.19999998807907104</v>
      </c>
      <c r="R66" s="505">
        <f>+'Asset Classification'!M66</f>
        <v>75916115</v>
      </c>
      <c r="S66" s="504">
        <f>+'Asset Classification'!N66</f>
        <v>24677540</v>
      </c>
      <c r="T66" s="505">
        <f>+'Asset Classification'!O66</f>
        <v>18979029</v>
      </c>
      <c r="U66" s="504">
        <f t="shared" si="115"/>
        <v>18979028.75</v>
      </c>
      <c r="V66" s="504">
        <f t="shared" si="116"/>
        <v>0.25</v>
      </c>
      <c r="W66" s="504">
        <f>+'Asset Classification'!P66</f>
        <v>6169385</v>
      </c>
      <c r="X66" s="504">
        <f t="shared" si="117"/>
        <v>6169385</v>
      </c>
      <c r="Y66" s="504">
        <f t="shared" si="118"/>
        <v>0</v>
      </c>
      <c r="Z66" s="505">
        <f>+'Asset Classification'!Q66</f>
        <v>37661527</v>
      </c>
      <c r="AA66" s="504">
        <f>+'Asset Classification'!R66</f>
        <v>12151944</v>
      </c>
      <c r="AB66" s="505">
        <f>+'Asset Classification'!S66</f>
        <v>18830763</v>
      </c>
      <c r="AC66" s="504">
        <f t="shared" si="119"/>
        <v>18830763.5</v>
      </c>
      <c r="AD66" s="504">
        <f t="shared" si="120"/>
        <v>-0.5</v>
      </c>
      <c r="AE66" s="504">
        <f>+'Asset Classification'!T66</f>
        <v>6075972</v>
      </c>
      <c r="AF66" s="504">
        <f t="shared" si="121"/>
        <v>6075972</v>
      </c>
      <c r="AG66" s="504">
        <f t="shared" si="122"/>
        <v>0</v>
      </c>
      <c r="AH66" s="505">
        <f>+'Asset Classification'!U66</f>
        <v>0</v>
      </c>
      <c r="AI66" s="504">
        <f>+'Asset Classification'!V66</f>
        <v>0</v>
      </c>
      <c r="AJ66" s="505">
        <f>+'Asset Classification'!W66</f>
        <v>0</v>
      </c>
      <c r="AK66" s="504">
        <f t="shared" si="123"/>
        <v>0</v>
      </c>
      <c r="AL66" s="504">
        <f t="shared" si="124"/>
        <v>0</v>
      </c>
      <c r="AM66" s="504">
        <f>+'Asset Classification'!X66</f>
        <v>0</v>
      </c>
      <c r="AN66" s="504">
        <f t="shared" si="125"/>
        <v>0</v>
      </c>
      <c r="AO66" s="504">
        <f t="shared" si="126"/>
        <v>0</v>
      </c>
      <c r="AP66" s="499">
        <f t="shared" si="127"/>
        <v>192010288</v>
      </c>
      <c r="AQ66" s="499">
        <f t="shared" si="127"/>
        <v>192010287.95000002</v>
      </c>
      <c r="AR66" s="499">
        <f t="shared" si="128"/>
        <v>4.9999982118606567E-2</v>
      </c>
      <c r="AS66" s="504">
        <f t="shared" si="129"/>
        <v>130832447</v>
      </c>
      <c r="AT66" s="504">
        <f t="shared" si="129"/>
        <v>130832446.80000001</v>
      </c>
      <c r="AU66" s="504">
        <f t="shared" si="130"/>
        <v>0.19999998807907104</v>
      </c>
      <c r="AV66" s="234"/>
      <c r="AW66" s="234"/>
      <c r="AX66" s="234"/>
      <c r="AY66" s="234"/>
      <c r="AZ66" s="234"/>
      <c r="BA66" s="234"/>
      <c r="BB66" s="234"/>
      <c r="BC66" s="234"/>
    </row>
    <row r="67" spans="1:55" s="15" customFormat="1" ht="21.75" customHeight="1">
      <c r="A67" s="329">
        <v>34</v>
      </c>
      <c r="B67" s="332" t="s">
        <v>681</v>
      </c>
      <c r="C67" s="503">
        <f>+'Asset Classification'!C67</f>
        <v>32506091616</v>
      </c>
      <c r="D67" s="504">
        <f>+'Asset Classification'!D67</f>
        <v>23667576837</v>
      </c>
      <c r="E67" s="505">
        <f>+'Asset Classification'!E67</f>
        <v>28730287318</v>
      </c>
      <c r="F67" s="504">
        <f>+'Asset Classification'!F67</f>
        <v>21164359918</v>
      </c>
      <c r="G67" s="505">
        <f>+'Asset Classification'!G67</f>
        <v>349522662</v>
      </c>
      <c r="H67" s="504">
        <f t="shared" si="109"/>
        <v>287302873.18000001</v>
      </c>
      <c r="I67" s="504">
        <f t="shared" si="110"/>
        <v>62219788.819999993</v>
      </c>
      <c r="J67" s="505">
        <f>+'Asset Classification'!I67</f>
        <v>3338153844</v>
      </c>
      <c r="K67" s="504">
        <f>+'Asset Classification'!J67</f>
        <v>2241537435</v>
      </c>
      <c r="L67" s="505">
        <f>+'Asset Classification'!K67</f>
        <v>324462027</v>
      </c>
      <c r="M67" s="504">
        <f t="shared" si="111"/>
        <v>333815384.40000004</v>
      </c>
      <c r="N67" s="504">
        <f t="shared" si="112"/>
        <v>-9353357.4000000358</v>
      </c>
      <c r="O67" s="504">
        <f>+'Asset Classification'!L67</f>
        <v>214799974</v>
      </c>
      <c r="P67" s="504">
        <f t="shared" si="113"/>
        <v>224153743.5</v>
      </c>
      <c r="Q67" s="504">
        <f t="shared" si="114"/>
        <v>-9353769.5</v>
      </c>
      <c r="R67" s="505">
        <f>+'Asset Classification'!M67</f>
        <v>187359052</v>
      </c>
      <c r="S67" s="504">
        <f>+'Asset Classification'!N67</f>
        <v>84699946</v>
      </c>
      <c r="T67" s="505">
        <f>+'Asset Classification'!O67</f>
        <v>46839761</v>
      </c>
      <c r="U67" s="504">
        <f t="shared" si="115"/>
        <v>46839763</v>
      </c>
      <c r="V67" s="504">
        <f t="shared" si="116"/>
        <v>-2</v>
      </c>
      <c r="W67" s="504">
        <f>+'Asset Classification'!P67</f>
        <v>21174987</v>
      </c>
      <c r="X67" s="504">
        <f t="shared" si="117"/>
        <v>21174986.5</v>
      </c>
      <c r="Y67" s="504">
        <f t="shared" si="118"/>
        <v>0.5</v>
      </c>
      <c r="Z67" s="505">
        <f>+'Asset Classification'!Q67</f>
        <v>250291402</v>
      </c>
      <c r="AA67" s="504">
        <f>+'Asset Classification'!R67</f>
        <v>176979538</v>
      </c>
      <c r="AB67" s="505">
        <f>+'Asset Classification'!S67</f>
        <v>125145703</v>
      </c>
      <c r="AC67" s="504">
        <f t="shared" si="119"/>
        <v>125145701</v>
      </c>
      <c r="AD67" s="504">
        <f t="shared" si="120"/>
        <v>2</v>
      </c>
      <c r="AE67" s="504">
        <f>+'Asset Classification'!T67</f>
        <v>88489770</v>
      </c>
      <c r="AF67" s="504">
        <f t="shared" si="121"/>
        <v>88489769</v>
      </c>
      <c r="AG67" s="504">
        <f t="shared" si="122"/>
        <v>1</v>
      </c>
      <c r="AH67" s="505">
        <f>+'Asset Classification'!U67</f>
        <v>0</v>
      </c>
      <c r="AI67" s="504">
        <f>+'Asset Classification'!V67</f>
        <v>0</v>
      </c>
      <c r="AJ67" s="505">
        <f>+'Asset Classification'!W67</f>
        <v>0</v>
      </c>
      <c r="AK67" s="504">
        <f t="shared" si="123"/>
        <v>0</v>
      </c>
      <c r="AL67" s="504">
        <f t="shared" si="124"/>
        <v>0</v>
      </c>
      <c r="AM67" s="504">
        <f>+'Asset Classification'!X67</f>
        <v>0</v>
      </c>
      <c r="AN67" s="504">
        <f t="shared" si="125"/>
        <v>0</v>
      </c>
      <c r="AO67" s="504">
        <f t="shared" si="126"/>
        <v>0</v>
      </c>
      <c r="AP67" s="499">
        <f t="shared" si="127"/>
        <v>496447491</v>
      </c>
      <c r="AQ67" s="499">
        <f t="shared" si="127"/>
        <v>505800848.40000004</v>
      </c>
      <c r="AR67" s="499">
        <f t="shared" si="128"/>
        <v>-9353357.4000000358</v>
      </c>
      <c r="AS67" s="504">
        <f t="shared" si="129"/>
        <v>324464731</v>
      </c>
      <c r="AT67" s="504">
        <f t="shared" si="129"/>
        <v>333818499</v>
      </c>
      <c r="AU67" s="504">
        <f t="shared" si="130"/>
        <v>-9353768</v>
      </c>
      <c r="AV67" s="234"/>
      <c r="AW67" s="234"/>
      <c r="AX67" s="234"/>
      <c r="AY67" s="234"/>
      <c r="AZ67" s="234"/>
      <c r="BA67" s="234"/>
      <c r="BB67" s="234"/>
      <c r="BC67" s="234"/>
    </row>
    <row r="68" spans="1:55" s="15" customFormat="1" ht="21.75" customHeight="1">
      <c r="A68" s="329">
        <v>35</v>
      </c>
      <c r="B68" s="332" t="s">
        <v>682</v>
      </c>
      <c r="C68" s="503">
        <f>+'Asset Classification'!C68</f>
        <v>3919137898</v>
      </c>
      <c r="D68" s="504">
        <f>+'Asset Classification'!D68</f>
        <v>2325748995</v>
      </c>
      <c r="E68" s="505">
        <f>+'Asset Classification'!E68</f>
        <v>3667550057</v>
      </c>
      <c r="F68" s="504">
        <f>+'Asset Classification'!F68</f>
        <v>2140950655</v>
      </c>
      <c r="G68" s="505">
        <f>+'Asset Classification'!G68</f>
        <v>23872359</v>
      </c>
      <c r="H68" s="504">
        <f t="shared" si="109"/>
        <v>36675500.57</v>
      </c>
      <c r="I68" s="504">
        <f t="shared" si="110"/>
        <v>-12803141.57</v>
      </c>
      <c r="J68" s="505">
        <f>+'Asset Classification'!I68</f>
        <v>173763559</v>
      </c>
      <c r="K68" s="504">
        <f>+'Asset Classification'!J68</f>
        <v>140532042</v>
      </c>
      <c r="L68" s="505">
        <f>+'Asset Classification'!K68</f>
        <v>17376356</v>
      </c>
      <c r="M68" s="504">
        <f t="shared" si="111"/>
        <v>17376355.900000002</v>
      </c>
      <c r="N68" s="504">
        <f t="shared" si="112"/>
        <v>9.9999997764825821E-2</v>
      </c>
      <c r="O68" s="504">
        <f>+'Asset Classification'!L68</f>
        <v>14053204</v>
      </c>
      <c r="P68" s="504">
        <f t="shared" si="113"/>
        <v>14053204.200000001</v>
      </c>
      <c r="Q68" s="504">
        <f t="shared" si="114"/>
        <v>-0.20000000111758709</v>
      </c>
      <c r="R68" s="505">
        <f>+'Asset Classification'!M68</f>
        <v>49304323</v>
      </c>
      <c r="S68" s="504">
        <f>+'Asset Classification'!N68</f>
        <v>43616456</v>
      </c>
      <c r="T68" s="505">
        <f>+'Asset Classification'!O68</f>
        <v>12326081</v>
      </c>
      <c r="U68" s="504">
        <f t="shared" si="115"/>
        <v>12326080.75</v>
      </c>
      <c r="V68" s="504">
        <f t="shared" si="116"/>
        <v>0.25</v>
      </c>
      <c r="W68" s="504">
        <f>+'Asset Classification'!P68</f>
        <v>10904114</v>
      </c>
      <c r="X68" s="504">
        <f t="shared" si="117"/>
        <v>10904114</v>
      </c>
      <c r="Y68" s="504">
        <f t="shared" si="118"/>
        <v>0</v>
      </c>
      <c r="Z68" s="505">
        <f>+'Asset Classification'!Q68</f>
        <v>28519959</v>
      </c>
      <c r="AA68" s="504">
        <f>+'Asset Classification'!R68</f>
        <v>649842</v>
      </c>
      <c r="AB68" s="505">
        <f>+'Asset Classification'!S68</f>
        <v>14259980</v>
      </c>
      <c r="AC68" s="504">
        <f t="shared" si="119"/>
        <v>14259979.5</v>
      </c>
      <c r="AD68" s="504">
        <f t="shared" si="120"/>
        <v>0.5</v>
      </c>
      <c r="AE68" s="504">
        <f>+'Asset Classification'!T68</f>
        <v>324921</v>
      </c>
      <c r="AF68" s="504">
        <f t="shared" si="121"/>
        <v>324921</v>
      </c>
      <c r="AG68" s="504">
        <f t="shared" si="122"/>
        <v>0</v>
      </c>
      <c r="AH68" s="505">
        <f>+'Asset Classification'!U68</f>
        <v>0</v>
      </c>
      <c r="AI68" s="504">
        <f>+'Asset Classification'!V68</f>
        <v>0</v>
      </c>
      <c r="AJ68" s="505">
        <f>+'Asset Classification'!W68</f>
        <v>0</v>
      </c>
      <c r="AK68" s="504">
        <f t="shared" si="123"/>
        <v>0</v>
      </c>
      <c r="AL68" s="504">
        <f t="shared" si="124"/>
        <v>0</v>
      </c>
      <c r="AM68" s="504">
        <f>+'Asset Classification'!X68</f>
        <v>0</v>
      </c>
      <c r="AN68" s="504">
        <f t="shared" si="125"/>
        <v>0</v>
      </c>
      <c r="AO68" s="504">
        <f t="shared" si="126"/>
        <v>0</v>
      </c>
      <c r="AP68" s="499">
        <f t="shared" si="127"/>
        <v>43962417</v>
      </c>
      <c r="AQ68" s="499">
        <f t="shared" si="127"/>
        <v>43962416.150000006</v>
      </c>
      <c r="AR68" s="499">
        <f t="shared" si="128"/>
        <v>0.84999999403953552</v>
      </c>
      <c r="AS68" s="504">
        <f t="shared" si="129"/>
        <v>25282239</v>
      </c>
      <c r="AT68" s="504">
        <f t="shared" si="129"/>
        <v>25282239.200000003</v>
      </c>
      <c r="AU68" s="504">
        <f t="shared" si="130"/>
        <v>-0.20000000298023224</v>
      </c>
      <c r="AV68" s="234"/>
      <c r="AW68" s="234"/>
      <c r="AX68" s="234"/>
      <c r="AY68" s="234"/>
      <c r="AZ68" s="234"/>
      <c r="BA68" s="234"/>
      <c r="BB68" s="234"/>
      <c r="BC68" s="234"/>
    </row>
    <row r="69" spans="1:55" s="15" customFormat="1" ht="21.75" customHeight="1">
      <c r="A69" s="329">
        <v>36</v>
      </c>
      <c r="B69" s="332" t="s">
        <v>683</v>
      </c>
      <c r="C69" s="503">
        <f>+'Asset Classification'!C69</f>
        <v>3655295310</v>
      </c>
      <c r="D69" s="504">
        <f>+'Asset Classification'!D69</f>
        <v>2382583097</v>
      </c>
      <c r="E69" s="505">
        <f>+'Asset Classification'!E69</f>
        <v>3410603475</v>
      </c>
      <c r="F69" s="504">
        <f>+'Asset Classification'!F69</f>
        <v>2219962984</v>
      </c>
      <c r="G69" s="505">
        <f>+'Asset Classification'!G69</f>
        <v>12354706</v>
      </c>
      <c r="H69" s="504">
        <f t="shared" si="109"/>
        <v>34106034.75</v>
      </c>
      <c r="I69" s="504">
        <f t="shared" si="110"/>
        <v>-21751328.75</v>
      </c>
      <c r="J69" s="505">
        <f>+'Asset Classification'!I69</f>
        <v>181125611</v>
      </c>
      <c r="K69" s="504">
        <f>+'Asset Classification'!J69</f>
        <v>124520249</v>
      </c>
      <c r="L69" s="505">
        <f>+'Asset Classification'!K69</f>
        <v>18112561</v>
      </c>
      <c r="M69" s="504">
        <f t="shared" si="111"/>
        <v>18112561.100000001</v>
      </c>
      <c r="N69" s="504">
        <f t="shared" si="112"/>
        <v>-0.10000000149011612</v>
      </c>
      <c r="O69" s="504">
        <f>+'Asset Classification'!L69</f>
        <v>12452025</v>
      </c>
      <c r="P69" s="504">
        <f t="shared" si="113"/>
        <v>12452024.9</v>
      </c>
      <c r="Q69" s="504">
        <f t="shared" si="114"/>
        <v>9.999999962747097E-2</v>
      </c>
      <c r="R69" s="505">
        <f>+'Asset Classification'!M69</f>
        <v>24425319</v>
      </c>
      <c r="S69" s="504">
        <f>+'Asset Classification'!N69</f>
        <v>17301357</v>
      </c>
      <c r="T69" s="505">
        <f>+'Asset Classification'!O69</f>
        <v>6106330</v>
      </c>
      <c r="U69" s="504">
        <f t="shared" si="115"/>
        <v>6106329.75</v>
      </c>
      <c r="V69" s="504">
        <f t="shared" si="116"/>
        <v>0.25</v>
      </c>
      <c r="W69" s="504">
        <f>+'Asset Classification'!P69</f>
        <v>4325339</v>
      </c>
      <c r="X69" s="504">
        <f t="shared" si="117"/>
        <v>4325339.25</v>
      </c>
      <c r="Y69" s="504">
        <f t="shared" si="118"/>
        <v>-0.25</v>
      </c>
      <c r="Z69" s="505">
        <f>+'Asset Classification'!Q69</f>
        <v>39140905</v>
      </c>
      <c r="AA69" s="504">
        <f>+'Asset Classification'!R69</f>
        <v>20798507</v>
      </c>
      <c r="AB69" s="505">
        <f>+'Asset Classification'!S69</f>
        <v>19570453</v>
      </c>
      <c r="AC69" s="504">
        <f t="shared" si="119"/>
        <v>19570452.5</v>
      </c>
      <c r="AD69" s="504">
        <f t="shared" si="120"/>
        <v>0.5</v>
      </c>
      <c r="AE69" s="504">
        <f>+'Asset Classification'!T69</f>
        <v>10399254</v>
      </c>
      <c r="AF69" s="504">
        <f t="shared" si="121"/>
        <v>10399253.5</v>
      </c>
      <c r="AG69" s="504">
        <f t="shared" si="122"/>
        <v>0.5</v>
      </c>
      <c r="AH69" s="505">
        <f>+'Asset Classification'!U69</f>
        <v>0</v>
      </c>
      <c r="AI69" s="504">
        <f>+'Asset Classification'!V69</f>
        <v>0</v>
      </c>
      <c r="AJ69" s="505">
        <f>+'Asset Classification'!W69</f>
        <v>0</v>
      </c>
      <c r="AK69" s="504">
        <f t="shared" si="123"/>
        <v>0</v>
      </c>
      <c r="AL69" s="504">
        <f t="shared" si="124"/>
        <v>0</v>
      </c>
      <c r="AM69" s="504">
        <f>+'Asset Classification'!X69</f>
        <v>0</v>
      </c>
      <c r="AN69" s="504">
        <f t="shared" si="125"/>
        <v>0</v>
      </c>
      <c r="AO69" s="504">
        <f t="shared" si="126"/>
        <v>0</v>
      </c>
      <c r="AP69" s="499">
        <f t="shared" si="127"/>
        <v>43789344</v>
      </c>
      <c r="AQ69" s="499">
        <f t="shared" si="127"/>
        <v>43789343.350000001</v>
      </c>
      <c r="AR69" s="499">
        <f t="shared" si="128"/>
        <v>0.64999999850988388</v>
      </c>
      <c r="AS69" s="504">
        <f t="shared" si="129"/>
        <v>27176618</v>
      </c>
      <c r="AT69" s="504">
        <f t="shared" si="129"/>
        <v>27176617.649999999</v>
      </c>
      <c r="AU69" s="504">
        <f t="shared" si="130"/>
        <v>0.35000000149011612</v>
      </c>
      <c r="AV69" s="234"/>
      <c r="AW69" s="234"/>
      <c r="AX69" s="234"/>
      <c r="AY69" s="234"/>
      <c r="AZ69" s="234"/>
      <c r="BA69" s="234"/>
      <c r="BB69" s="234"/>
      <c r="BC69" s="234"/>
    </row>
    <row r="70" spans="1:55" s="15" customFormat="1" ht="21.75" customHeight="1">
      <c r="A70" s="329">
        <v>37</v>
      </c>
      <c r="B70" s="332" t="s">
        <v>684</v>
      </c>
      <c r="C70" s="503">
        <f>+'Asset Classification'!C70</f>
        <v>1160551535</v>
      </c>
      <c r="D70" s="504">
        <f>+'Asset Classification'!D70</f>
        <v>759251326</v>
      </c>
      <c r="E70" s="505">
        <f>+'Asset Classification'!E70</f>
        <v>888287892</v>
      </c>
      <c r="F70" s="504">
        <f>+'Asset Classification'!F70</f>
        <v>619471000</v>
      </c>
      <c r="G70" s="505">
        <f>+'Asset Classification'!G70</f>
        <v>7014727</v>
      </c>
      <c r="H70" s="504">
        <f t="shared" si="109"/>
        <v>8882878.9199999999</v>
      </c>
      <c r="I70" s="504">
        <f t="shared" si="110"/>
        <v>-1868151.92</v>
      </c>
      <c r="J70" s="505">
        <f>+'Asset Classification'!I70</f>
        <v>141666238</v>
      </c>
      <c r="K70" s="504">
        <f>+'Asset Classification'!J70</f>
        <v>39649655</v>
      </c>
      <c r="L70" s="505">
        <f>+'Asset Classification'!K70</f>
        <v>14166624</v>
      </c>
      <c r="M70" s="504">
        <f t="shared" si="111"/>
        <v>14166623.800000001</v>
      </c>
      <c r="N70" s="504">
        <f t="shared" si="112"/>
        <v>0.19999999925494194</v>
      </c>
      <c r="O70" s="504">
        <f>+'Asset Classification'!L70</f>
        <v>3964966</v>
      </c>
      <c r="P70" s="504">
        <f t="shared" si="113"/>
        <v>3964965.5</v>
      </c>
      <c r="Q70" s="504">
        <f t="shared" si="114"/>
        <v>0.5</v>
      </c>
      <c r="R70" s="505">
        <f>+'Asset Classification'!M70</f>
        <v>13086240</v>
      </c>
      <c r="S70" s="504">
        <f>+'Asset Classification'!N70</f>
        <v>8332774</v>
      </c>
      <c r="T70" s="505">
        <f>+'Asset Classification'!O70</f>
        <v>3271571</v>
      </c>
      <c r="U70" s="504">
        <f t="shared" si="115"/>
        <v>3271560</v>
      </c>
      <c r="V70" s="504">
        <f t="shared" si="116"/>
        <v>11</v>
      </c>
      <c r="W70" s="504">
        <f>+'Asset Classification'!P70</f>
        <v>2083194</v>
      </c>
      <c r="X70" s="504">
        <f t="shared" si="117"/>
        <v>2083193.5</v>
      </c>
      <c r="Y70" s="504">
        <f t="shared" si="118"/>
        <v>0.5</v>
      </c>
      <c r="Z70" s="505">
        <f>+'Asset Classification'!Q70</f>
        <v>117511165</v>
      </c>
      <c r="AA70" s="504">
        <f>+'Asset Classification'!R70</f>
        <v>91797897</v>
      </c>
      <c r="AB70" s="505">
        <f>+'Asset Classification'!S70</f>
        <v>58755583</v>
      </c>
      <c r="AC70" s="504">
        <f t="shared" si="119"/>
        <v>58755582.5</v>
      </c>
      <c r="AD70" s="504">
        <f t="shared" si="120"/>
        <v>0.5</v>
      </c>
      <c r="AE70" s="504">
        <f>+'Asset Classification'!T70</f>
        <v>45898949</v>
      </c>
      <c r="AF70" s="504">
        <f t="shared" si="121"/>
        <v>45898948.5</v>
      </c>
      <c r="AG70" s="504">
        <f t="shared" si="122"/>
        <v>0.5</v>
      </c>
      <c r="AH70" s="505">
        <f>+'Asset Classification'!U70</f>
        <v>0</v>
      </c>
      <c r="AI70" s="504">
        <f>+'Asset Classification'!V70</f>
        <v>0</v>
      </c>
      <c r="AJ70" s="505">
        <f>+'Asset Classification'!W70</f>
        <v>0</v>
      </c>
      <c r="AK70" s="504">
        <f t="shared" si="123"/>
        <v>0</v>
      </c>
      <c r="AL70" s="504">
        <f t="shared" si="124"/>
        <v>0</v>
      </c>
      <c r="AM70" s="504">
        <f>+'Asset Classification'!X70</f>
        <v>0</v>
      </c>
      <c r="AN70" s="504">
        <f t="shared" si="125"/>
        <v>0</v>
      </c>
      <c r="AO70" s="504">
        <f t="shared" si="126"/>
        <v>0</v>
      </c>
      <c r="AP70" s="499">
        <f t="shared" si="127"/>
        <v>76193778</v>
      </c>
      <c r="AQ70" s="499">
        <f t="shared" si="127"/>
        <v>76193766.299999997</v>
      </c>
      <c r="AR70" s="499">
        <f t="shared" si="128"/>
        <v>11.700000002980232</v>
      </c>
      <c r="AS70" s="504">
        <f t="shared" si="129"/>
        <v>51947109</v>
      </c>
      <c r="AT70" s="504">
        <f t="shared" si="129"/>
        <v>51947107.5</v>
      </c>
      <c r="AU70" s="504">
        <f t="shared" si="130"/>
        <v>1.5</v>
      </c>
      <c r="AV70" s="234"/>
      <c r="AW70" s="234"/>
      <c r="AX70" s="234"/>
      <c r="AY70" s="234"/>
      <c r="AZ70" s="234"/>
      <c r="BA70" s="234"/>
      <c r="BB70" s="234"/>
      <c r="BC70" s="234"/>
    </row>
    <row r="71" spans="1:55" s="486" customFormat="1" ht="28.5" customHeight="1">
      <c r="A71" s="484">
        <v>38</v>
      </c>
      <c r="B71" s="484" t="s">
        <v>668</v>
      </c>
      <c r="C71" s="500">
        <f>+'Asset Classification'!C71</f>
        <v>57124403912</v>
      </c>
      <c r="D71" s="500">
        <f>+'Asset Classification'!D71</f>
        <v>38012960642</v>
      </c>
      <c r="E71" s="500">
        <f>+'Asset Classification'!E71</f>
        <v>49548751261</v>
      </c>
      <c r="F71" s="500">
        <f>+'Asset Classification'!F71</f>
        <v>32899887295</v>
      </c>
      <c r="G71" s="500">
        <f>+'Asset Classification'!G71</f>
        <v>504953973</v>
      </c>
      <c r="H71" s="500">
        <f t="shared" ref="H71:I71" si="131">SUM(H57:H70)</f>
        <v>495487512.61000001</v>
      </c>
      <c r="I71" s="500">
        <f t="shared" si="131"/>
        <v>9466460.389999995</v>
      </c>
      <c r="J71" s="500">
        <f>+'Asset Classification'!I71</f>
        <v>6292476722</v>
      </c>
      <c r="K71" s="500">
        <f>+'Asset Classification'!J71</f>
        <v>4289653575</v>
      </c>
      <c r="L71" s="500">
        <f>+'Asset Classification'!K71</f>
        <v>620122045</v>
      </c>
      <c r="M71" s="500">
        <f t="shared" ref="M71:N71" si="132">SUM(M57:M70)</f>
        <v>629247672.20000005</v>
      </c>
      <c r="N71" s="500">
        <f t="shared" si="132"/>
        <v>-9125627.2000000644</v>
      </c>
      <c r="O71" s="500">
        <f>+'Asset Classification'!L71</f>
        <v>419611589</v>
      </c>
      <c r="P71" s="500">
        <f t="shared" ref="P71:Q71" si="133">SUM(P57:P70)</f>
        <v>428965357.49999994</v>
      </c>
      <c r="Q71" s="500">
        <f t="shared" si="133"/>
        <v>-9353768.5000000168</v>
      </c>
      <c r="R71" s="500">
        <f>+'Asset Classification'!M71</f>
        <v>506004487</v>
      </c>
      <c r="S71" s="500">
        <f>+'Asset Classification'!N71</f>
        <v>263138435</v>
      </c>
      <c r="T71" s="500">
        <f>+'Asset Classification'!O71</f>
        <v>126501133</v>
      </c>
      <c r="U71" s="500">
        <f t="shared" ref="U71:Y71" si="134">SUM(U57:U70)</f>
        <v>126501121.75</v>
      </c>
      <c r="V71" s="500">
        <f t="shared" si="134"/>
        <v>11.25</v>
      </c>
      <c r="W71" s="500">
        <f>+'Asset Classification'!P71</f>
        <v>65784610</v>
      </c>
      <c r="X71" s="500">
        <f t="shared" si="134"/>
        <v>65784608.75</v>
      </c>
      <c r="Y71" s="500">
        <f t="shared" si="134"/>
        <v>1.25</v>
      </c>
      <c r="Z71" s="500">
        <f>+'Asset Classification'!Q71</f>
        <v>749932110</v>
      </c>
      <c r="AA71" s="500">
        <f>+'Asset Classification'!R71</f>
        <v>545624112</v>
      </c>
      <c r="AB71" s="500">
        <f>+'Asset Classification'!S71</f>
        <v>374966057</v>
      </c>
      <c r="AC71" s="500">
        <f t="shared" ref="AC71:AD71" si="135">SUM(AC57:AC70)</f>
        <v>374966055</v>
      </c>
      <c r="AD71" s="500">
        <f t="shared" si="135"/>
        <v>2</v>
      </c>
      <c r="AE71" s="500">
        <f>+'Asset Classification'!T71</f>
        <v>272812058</v>
      </c>
      <c r="AF71" s="500">
        <f t="shared" ref="AF71:AG71" si="136">SUM(AF57:AF70)</f>
        <v>272812056</v>
      </c>
      <c r="AG71" s="500">
        <f t="shared" si="136"/>
        <v>2</v>
      </c>
      <c r="AH71" s="500">
        <f>+'Asset Classification'!U71</f>
        <v>27239332</v>
      </c>
      <c r="AI71" s="500">
        <f>+'Asset Classification'!V71</f>
        <v>14657225</v>
      </c>
      <c r="AJ71" s="500">
        <f>+'Asset Classification'!W71</f>
        <v>27239332</v>
      </c>
      <c r="AK71" s="500">
        <f t="shared" ref="AK71:AL71" si="137">SUM(AK57:AK70)</f>
        <v>27239332</v>
      </c>
      <c r="AL71" s="500">
        <f t="shared" si="137"/>
        <v>0</v>
      </c>
      <c r="AM71" s="500">
        <f>+'Asset Classification'!X71</f>
        <v>14657225</v>
      </c>
      <c r="AN71" s="500">
        <f t="shared" ref="AN71:AU71" si="138">SUM(AN57:AN70)</f>
        <v>14657225</v>
      </c>
      <c r="AO71" s="500">
        <f t="shared" si="138"/>
        <v>0</v>
      </c>
      <c r="AP71" s="500">
        <f t="shared" si="138"/>
        <v>1148828567</v>
      </c>
      <c r="AQ71" s="500">
        <f t="shared" si="138"/>
        <v>1157954180.95</v>
      </c>
      <c r="AR71" s="500">
        <f t="shared" si="138"/>
        <v>-9125613.9500000663</v>
      </c>
      <c r="AS71" s="500">
        <f t="shared" si="138"/>
        <v>772865482</v>
      </c>
      <c r="AT71" s="500">
        <f t="shared" si="138"/>
        <v>782219247.25000012</v>
      </c>
      <c r="AU71" s="500">
        <f t="shared" si="138"/>
        <v>-9353765.2500000186</v>
      </c>
      <c r="AV71" s="485">
        <f>+'Loans Receivable'!C85</f>
        <v>57124403912</v>
      </c>
    </row>
    <row r="72" spans="1:55" s="15" customFormat="1" ht="21.75" customHeight="1">
      <c r="A72" s="329">
        <v>39</v>
      </c>
      <c r="B72" s="332" t="s">
        <v>685</v>
      </c>
      <c r="C72" s="503">
        <f>+'Asset Classification'!C72</f>
        <v>14832384791</v>
      </c>
      <c r="D72" s="504">
        <f>+'Asset Classification'!D72</f>
        <v>0</v>
      </c>
      <c r="E72" s="505">
        <f>+'Asset Classification'!E72</f>
        <v>13100409935</v>
      </c>
      <c r="F72" s="504">
        <f>+'Asset Classification'!F72</f>
        <v>0</v>
      </c>
      <c r="G72" s="505">
        <f>+'Asset Classification'!G72</f>
        <v>126313827</v>
      </c>
      <c r="H72" s="504">
        <f t="shared" ref="H72:H73" si="139">+E72*1%</f>
        <v>131004099.35000001</v>
      </c>
      <c r="I72" s="504">
        <f t="shared" ref="I72:I73" si="140">+G72-H72</f>
        <v>-4690272.3500000089</v>
      </c>
      <c r="J72" s="505">
        <f>+'Asset Classification'!I72</f>
        <v>892260841</v>
      </c>
      <c r="K72" s="504">
        <f>+'Asset Classification'!J72</f>
        <v>0</v>
      </c>
      <c r="L72" s="505">
        <f>+'Asset Classification'!K72</f>
        <v>175966885</v>
      </c>
      <c r="M72" s="504">
        <f t="shared" ref="M72:M73" si="141">+J72*10%</f>
        <v>89226084.100000009</v>
      </c>
      <c r="N72" s="504">
        <f t="shared" ref="N72:N73" si="142">+L72-M72</f>
        <v>86740800.899999991</v>
      </c>
      <c r="O72" s="504">
        <f>+'Asset Classification'!L72</f>
        <v>0</v>
      </c>
      <c r="P72" s="504">
        <f t="shared" ref="P72:P73" si="143">+K72*10%</f>
        <v>0</v>
      </c>
      <c r="Q72" s="504">
        <f t="shared" ref="Q72:Q73" si="144">+O72-P72</f>
        <v>0</v>
      </c>
      <c r="R72" s="505">
        <f>+'Asset Classification'!M72</f>
        <v>91982157</v>
      </c>
      <c r="S72" s="504">
        <f>+'Asset Classification'!N72</f>
        <v>0</v>
      </c>
      <c r="T72" s="505">
        <f>+'Asset Classification'!O72</f>
        <v>1287411</v>
      </c>
      <c r="U72" s="504">
        <f t="shared" ref="U72:U73" si="145">+R72*25%</f>
        <v>22995539.25</v>
      </c>
      <c r="V72" s="504">
        <f t="shared" ref="V72:V73" si="146">+T72-U72</f>
        <v>-21708128.25</v>
      </c>
      <c r="W72" s="504">
        <f>+'Asset Classification'!P72</f>
        <v>0</v>
      </c>
      <c r="X72" s="504">
        <f t="shared" ref="X72:X73" si="147">+S72*25%</f>
        <v>0</v>
      </c>
      <c r="Y72" s="504">
        <f t="shared" ref="Y72:Y73" si="148">+W72-X72</f>
        <v>0</v>
      </c>
      <c r="Z72" s="505">
        <f>+'Asset Classification'!Q72</f>
        <v>174183476</v>
      </c>
      <c r="AA72" s="504">
        <f>+'Asset Classification'!R72</f>
        <v>0</v>
      </c>
      <c r="AB72" s="505">
        <f>+'Asset Classification'!S72</f>
        <v>7397831</v>
      </c>
      <c r="AC72" s="504">
        <f t="shared" ref="AC72:AC73" si="149">+Z72*50%</f>
        <v>87091738</v>
      </c>
      <c r="AD72" s="504">
        <f t="shared" ref="AD72:AD73" si="150">+AB72-AC72</f>
        <v>-79693907</v>
      </c>
      <c r="AE72" s="504">
        <f>+'Asset Classification'!T72</f>
        <v>0</v>
      </c>
      <c r="AF72" s="504">
        <f t="shared" ref="AF72:AF73" si="151">+AA72*50%</f>
        <v>0</v>
      </c>
      <c r="AG72" s="504">
        <f t="shared" ref="AG72:AG73" si="152">+AE72-AF72</f>
        <v>0</v>
      </c>
      <c r="AH72" s="505">
        <f>+'Asset Classification'!U72</f>
        <v>573548382</v>
      </c>
      <c r="AI72" s="504">
        <f>+'Asset Classification'!V72</f>
        <v>0</v>
      </c>
      <c r="AJ72" s="505">
        <f>+'Asset Classification'!W72</f>
        <v>277037073</v>
      </c>
      <c r="AK72" s="504">
        <f t="shared" ref="AK72:AK73" si="153">+AH72*100%</f>
        <v>573548382</v>
      </c>
      <c r="AL72" s="504">
        <f t="shared" ref="AL72:AL73" si="154">+AJ72-AK72</f>
        <v>-296511309</v>
      </c>
      <c r="AM72" s="504">
        <f>+'Asset Classification'!X72</f>
        <v>0</v>
      </c>
      <c r="AN72" s="504">
        <f t="shared" ref="AN72:AN73" si="155">+AI72*100%</f>
        <v>0</v>
      </c>
      <c r="AO72" s="504">
        <f t="shared" ref="AO72:AO73" si="156">+AM72-AN72</f>
        <v>0</v>
      </c>
      <c r="AP72" s="499">
        <f t="shared" ref="AP72:AP73" si="157">+L72+T72+AB72+AJ72</f>
        <v>461689200</v>
      </c>
      <c r="AQ72" s="499">
        <f t="shared" ref="AQ72:AQ73" si="158">+M72+U72+AC72+AK72</f>
        <v>772861743.35000002</v>
      </c>
      <c r="AR72" s="499">
        <f t="shared" ref="AR72:AR73" si="159">+AP72-AQ72</f>
        <v>-311172543.35000002</v>
      </c>
      <c r="AS72" s="504">
        <f t="shared" ref="AS72:AS73" si="160">+O72+W72+AE72+AM72</f>
        <v>0</v>
      </c>
      <c r="AT72" s="504">
        <f t="shared" ref="AT72:AT73" si="161">+P72+X72+AF72+AN72</f>
        <v>0</v>
      </c>
      <c r="AU72" s="504">
        <f t="shared" ref="AU72:AU73" si="162">+AS72-AT72</f>
        <v>0</v>
      </c>
      <c r="AV72" s="234"/>
      <c r="AW72" s="234"/>
      <c r="AX72" s="234"/>
      <c r="AY72" s="234"/>
      <c r="AZ72" s="234"/>
      <c r="BA72" s="234"/>
      <c r="BB72" s="234"/>
      <c r="BC72" s="234"/>
    </row>
    <row r="73" spans="1:55" s="15" customFormat="1" ht="21.75" customHeight="1">
      <c r="A73" s="329"/>
      <c r="B73" s="332" t="s">
        <v>660</v>
      </c>
      <c r="C73" s="503">
        <f>+'Asset Classification'!C73</f>
        <v>0</v>
      </c>
      <c r="D73" s="504">
        <f>+'Asset Classification'!D73</f>
        <v>0</v>
      </c>
      <c r="E73" s="505">
        <f>+'Asset Classification'!E73</f>
        <v>0</v>
      </c>
      <c r="F73" s="504">
        <f>+'Asset Classification'!F73</f>
        <v>0</v>
      </c>
      <c r="G73" s="505">
        <f>+'Asset Classification'!G73</f>
        <v>0</v>
      </c>
      <c r="H73" s="504">
        <f t="shared" si="139"/>
        <v>0</v>
      </c>
      <c r="I73" s="504">
        <f t="shared" si="140"/>
        <v>0</v>
      </c>
      <c r="J73" s="505">
        <f>+'Asset Classification'!I73</f>
        <v>0</v>
      </c>
      <c r="K73" s="504">
        <f>+'Asset Classification'!J73</f>
        <v>0</v>
      </c>
      <c r="L73" s="505">
        <f>+'Asset Classification'!K73</f>
        <v>0</v>
      </c>
      <c r="M73" s="504">
        <f t="shared" si="141"/>
        <v>0</v>
      </c>
      <c r="N73" s="504">
        <f t="shared" si="142"/>
        <v>0</v>
      </c>
      <c r="O73" s="504">
        <f>+'Asset Classification'!L73</f>
        <v>0</v>
      </c>
      <c r="P73" s="504">
        <f t="shared" si="143"/>
        <v>0</v>
      </c>
      <c r="Q73" s="504">
        <f t="shared" si="144"/>
        <v>0</v>
      </c>
      <c r="R73" s="505">
        <f>+'Asset Classification'!M73</f>
        <v>0</v>
      </c>
      <c r="S73" s="504">
        <f>+'Asset Classification'!N73</f>
        <v>0</v>
      </c>
      <c r="T73" s="505">
        <f>+'Asset Classification'!O73</f>
        <v>0</v>
      </c>
      <c r="U73" s="504">
        <f t="shared" si="145"/>
        <v>0</v>
      </c>
      <c r="V73" s="504">
        <f t="shared" si="146"/>
        <v>0</v>
      </c>
      <c r="W73" s="504">
        <f>+'Asset Classification'!P73</f>
        <v>0</v>
      </c>
      <c r="X73" s="504">
        <f t="shared" si="147"/>
        <v>0</v>
      </c>
      <c r="Y73" s="504">
        <f t="shared" si="148"/>
        <v>0</v>
      </c>
      <c r="Z73" s="505">
        <f>+'Asset Classification'!Q73</f>
        <v>0</v>
      </c>
      <c r="AA73" s="504">
        <f>+'Asset Classification'!R73</f>
        <v>0</v>
      </c>
      <c r="AB73" s="505">
        <f>+'Asset Classification'!S73</f>
        <v>0</v>
      </c>
      <c r="AC73" s="504">
        <f t="shared" si="149"/>
        <v>0</v>
      </c>
      <c r="AD73" s="504">
        <f t="shared" si="150"/>
        <v>0</v>
      </c>
      <c r="AE73" s="504">
        <f>+'Asset Classification'!T73</f>
        <v>0</v>
      </c>
      <c r="AF73" s="504">
        <f t="shared" si="151"/>
        <v>0</v>
      </c>
      <c r="AG73" s="504">
        <f t="shared" si="152"/>
        <v>0</v>
      </c>
      <c r="AH73" s="505">
        <f>+'Asset Classification'!U73</f>
        <v>0</v>
      </c>
      <c r="AI73" s="504">
        <f>+'Asset Classification'!V73</f>
        <v>0</v>
      </c>
      <c r="AJ73" s="505">
        <f>+'Asset Classification'!W73</f>
        <v>0</v>
      </c>
      <c r="AK73" s="504">
        <f t="shared" si="153"/>
        <v>0</v>
      </c>
      <c r="AL73" s="504">
        <f t="shared" si="154"/>
        <v>0</v>
      </c>
      <c r="AM73" s="504">
        <f>+'Asset Classification'!X73</f>
        <v>0</v>
      </c>
      <c r="AN73" s="504">
        <f t="shared" si="155"/>
        <v>0</v>
      </c>
      <c r="AO73" s="504">
        <f t="shared" si="156"/>
        <v>0</v>
      </c>
      <c r="AP73" s="499">
        <f t="shared" si="157"/>
        <v>0</v>
      </c>
      <c r="AQ73" s="499">
        <f t="shared" si="158"/>
        <v>0</v>
      </c>
      <c r="AR73" s="499">
        <f t="shared" si="159"/>
        <v>0</v>
      </c>
      <c r="AS73" s="504">
        <f t="shared" si="160"/>
        <v>0</v>
      </c>
      <c r="AT73" s="504">
        <f t="shared" si="161"/>
        <v>0</v>
      </c>
      <c r="AU73" s="504">
        <f t="shared" si="162"/>
        <v>0</v>
      </c>
      <c r="AV73" s="234"/>
      <c r="AW73" s="234"/>
      <c r="AX73" s="234"/>
      <c r="AY73" s="234"/>
      <c r="AZ73" s="234"/>
      <c r="BA73" s="234"/>
      <c r="BB73" s="234"/>
      <c r="BC73" s="234"/>
    </row>
    <row r="74" spans="1:55" s="486" customFormat="1" ht="28.5" customHeight="1">
      <c r="A74" s="484">
        <v>40</v>
      </c>
      <c r="B74" s="484" t="s">
        <v>686</v>
      </c>
      <c r="C74" s="500">
        <f t="shared" ref="C74:AU74" si="163">+C53+C72</f>
        <v>71956788703</v>
      </c>
      <c r="D74" s="500">
        <f t="shared" si="163"/>
        <v>38012960642</v>
      </c>
      <c r="E74" s="500">
        <f t="shared" si="163"/>
        <v>62649161196</v>
      </c>
      <c r="F74" s="500">
        <f t="shared" si="163"/>
        <v>32899887295</v>
      </c>
      <c r="G74" s="500">
        <f t="shared" si="163"/>
        <v>631267800</v>
      </c>
      <c r="H74" s="500">
        <f t="shared" si="163"/>
        <v>626491611.96000004</v>
      </c>
      <c r="I74" s="500">
        <f t="shared" si="163"/>
        <v>4776188.0399999935</v>
      </c>
      <c r="J74" s="500">
        <f t="shared" si="163"/>
        <v>7184737563</v>
      </c>
      <c r="K74" s="500">
        <f t="shared" si="163"/>
        <v>4289653575</v>
      </c>
      <c r="L74" s="500">
        <f t="shared" si="163"/>
        <v>796088930</v>
      </c>
      <c r="M74" s="500">
        <f t="shared" si="163"/>
        <v>718473756.29999995</v>
      </c>
      <c r="N74" s="500">
        <f t="shared" si="163"/>
        <v>77615173.699999958</v>
      </c>
      <c r="O74" s="500">
        <f t="shared" si="163"/>
        <v>419611589</v>
      </c>
      <c r="P74" s="500">
        <f t="shared" si="163"/>
        <v>428965357.5</v>
      </c>
      <c r="Q74" s="500">
        <f t="shared" si="163"/>
        <v>-9353768.5000000224</v>
      </c>
      <c r="R74" s="500">
        <f t="shared" si="163"/>
        <v>597986644</v>
      </c>
      <c r="S74" s="500">
        <f t="shared" si="163"/>
        <v>263138435</v>
      </c>
      <c r="T74" s="500">
        <f t="shared" si="163"/>
        <v>127788544</v>
      </c>
      <c r="U74" s="500">
        <f t="shared" si="163"/>
        <v>149496661</v>
      </c>
      <c r="V74" s="500">
        <f t="shared" si="163"/>
        <v>-21708117</v>
      </c>
      <c r="W74" s="500">
        <f t="shared" si="163"/>
        <v>65784610</v>
      </c>
      <c r="X74" s="500">
        <f t="shared" si="163"/>
        <v>65784608.75</v>
      </c>
      <c r="Y74" s="500">
        <f t="shared" ref="Y74" si="164">+Y53+Y72</f>
        <v>1.25</v>
      </c>
      <c r="Z74" s="500">
        <f t="shared" si="163"/>
        <v>924115586</v>
      </c>
      <c r="AA74" s="500">
        <f t="shared" si="163"/>
        <v>545624112</v>
      </c>
      <c r="AB74" s="500">
        <f t="shared" si="163"/>
        <v>382363888</v>
      </c>
      <c r="AC74" s="500">
        <f t="shared" si="163"/>
        <v>462057793</v>
      </c>
      <c r="AD74" s="500">
        <f t="shared" si="163"/>
        <v>-79693905</v>
      </c>
      <c r="AE74" s="500">
        <f t="shared" si="163"/>
        <v>272812058</v>
      </c>
      <c r="AF74" s="500">
        <f t="shared" si="163"/>
        <v>272812056</v>
      </c>
      <c r="AG74" s="500">
        <f t="shared" si="163"/>
        <v>2</v>
      </c>
      <c r="AH74" s="500">
        <f t="shared" si="163"/>
        <v>600787714</v>
      </c>
      <c r="AI74" s="500">
        <f t="shared" si="163"/>
        <v>14657225</v>
      </c>
      <c r="AJ74" s="500">
        <f t="shared" si="163"/>
        <v>304276405</v>
      </c>
      <c r="AK74" s="500">
        <f t="shared" si="163"/>
        <v>600787714</v>
      </c>
      <c r="AL74" s="500">
        <f t="shared" si="163"/>
        <v>-296511309</v>
      </c>
      <c r="AM74" s="500">
        <f t="shared" si="163"/>
        <v>14657225</v>
      </c>
      <c r="AN74" s="500">
        <f t="shared" si="163"/>
        <v>14657225</v>
      </c>
      <c r="AO74" s="500">
        <f t="shared" si="163"/>
        <v>0</v>
      </c>
      <c r="AP74" s="500">
        <f t="shared" si="163"/>
        <v>1610517767</v>
      </c>
      <c r="AQ74" s="500">
        <f t="shared" si="163"/>
        <v>1930815924.2999997</v>
      </c>
      <c r="AR74" s="500">
        <f t="shared" si="163"/>
        <v>-320298157.30000007</v>
      </c>
      <c r="AS74" s="500">
        <f t="shared" si="163"/>
        <v>772865482</v>
      </c>
      <c r="AT74" s="500">
        <f t="shared" si="163"/>
        <v>782219247.25</v>
      </c>
      <c r="AU74" s="500">
        <f t="shared" si="163"/>
        <v>-9353765.2500000168</v>
      </c>
    </row>
    <row r="75" spans="1:55">
      <c r="C75" s="501">
        <f>+C31-C53</f>
        <v>0</v>
      </c>
      <c r="D75" s="501">
        <f>+D31-D53</f>
        <v>0</v>
      </c>
      <c r="E75" s="501">
        <f>+E31-E53</f>
        <v>0</v>
      </c>
      <c r="F75" s="501">
        <f t="shared" ref="F75:AU75" si="165">+F31-F53</f>
        <v>0</v>
      </c>
      <c r="G75" s="501">
        <f t="shared" si="165"/>
        <v>0</v>
      </c>
      <c r="H75" s="501">
        <f t="shared" si="165"/>
        <v>0</v>
      </c>
      <c r="I75" s="501"/>
      <c r="J75" s="501">
        <f t="shared" si="165"/>
        <v>0</v>
      </c>
      <c r="K75" s="501">
        <f t="shared" si="165"/>
        <v>0</v>
      </c>
      <c r="L75" s="501">
        <f t="shared" si="165"/>
        <v>0</v>
      </c>
      <c r="M75" s="501">
        <f t="shared" si="165"/>
        <v>0</v>
      </c>
      <c r="N75" s="501"/>
      <c r="O75" s="501">
        <f t="shared" si="165"/>
        <v>0</v>
      </c>
      <c r="P75" s="501">
        <f t="shared" si="165"/>
        <v>0</v>
      </c>
      <c r="Q75" s="501"/>
      <c r="R75" s="501">
        <f t="shared" si="165"/>
        <v>0</v>
      </c>
      <c r="S75" s="501">
        <f t="shared" si="165"/>
        <v>0</v>
      </c>
      <c r="T75" s="501">
        <f t="shared" si="165"/>
        <v>0</v>
      </c>
      <c r="U75" s="501">
        <f t="shared" si="165"/>
        <v>0</v>
      </c>
      <c r="V75" s="501"/>
      <c r="W75" s="501">
        <f t="shared" si="165"/>
        <v>0</v>
      </c>
      <c r="X75" s="501">
        <f t="shared" si="165"/>
        <v>0</v>
      </c>
      <c r="Y75" s="501"/>
      <c r="Z75" s="501">
        <f t="shared" si="165"/>
        <v>0</v>
      </c>
      <c r="AA75" s="501">
        <f t="shared" si="165"/>
        <v>0</v>
      </c>
      <c r="AB75" s="501">
        <f t="shared" si="165"/>
        <v>0</v>
      </c>
      <c r="AC75" s="501">
        <f t="shared" si="165"/>
        <v>0</v>
      </c>
      <c r="AD75" s="501"/>
      <c r="AE75" s="501">
        <f t="shared" si="165"/>
        <v>0</v>
      </c>
      <c r="AF75" s="501">
        <f t="shared" si="165"/>
        <v>0</v>
      </c>
      <c r="AG75" s="501"/>
      <c r="AH75" s="501">
        <f t="shared" si="165"/>
        <v>0</v>
      </c>
      <c r="AI75" s="501">
        <f t="shared" si="165"/>
        <v>0</v>
      </c>
      <c r="AJ75" s="501">
        <f t="shared" si="165"/>
        <v>0</v>
      </c>
      <c r="AK75" s="501">
        <f t="shared" si="165"/>
        <v>0</v>
      </c>
      <c r="AL75" s="501"/>
      <c r="AM75" s="501">
        <f t="shared" si="165"/>
        <v>0</v>
      </c>
      <c r="AN75" s="501">
        <f t="shared" si="165"/>
        <v>0</v>
      </c>
      <c r="AO75" s="501"/>
      <c r="AP75" s="501">
        <f t="shared" si="165"/>
        <v>0</v>
      </c>
      <c r="AQ75" s="501">
        <f t="shared" si="165"/>
        <v>0</v>
      </c>
      <c r="AR75" s="501">
        <f t="shared" si="165"/>
        <v>5.4016709327697754E-8</v>
      </c>
      <c r="AS75" s="501">
        <f t="shared" si="165"/>
        <v>0</v>
      </c>
      <c r="AT75" s="501">
        <f t="shared" si="165"/>
        <v>0</v>
      </c>
      <c r="AU75" s="501">
        <f t="shared" si="165"/>
        <v>0</v>
      </c>
    </row>
    <row r="76" spans="1:55" ht="15" customHeight="1">
      <c r="B76" s="201" t="s">
        <v>778</v>
      </c>
      <c r="C76" s="501">
        <f>+C31-C71</f>
        <v>0</v>
      </c>
      <c r="D76" s="501">
        <f>+D31-D71</f>
        <v>0</v>
      </c>
      <c r="E76" s="501">
        <f>+E31-E71</f>
        <v>0</v>
      </c>
      <c r="F76" s="501">
        <f t="shared" ref="F76:AU76" si="166">+F31-F71</f>
        <v>0</v>
      </c>
      <c r="G76" s="501">
        <f t="shared" si="166"/>
        <v>0</v>
      </c>
      <c r="H76" s="501">
        <f t="shared" si="166"/>
        <v>0</v>
      </c>
      <c r="I76" s="501"/>
      <c r="J76" s="501">
        <f t="shared" si="166"/>
        <v>0</v>
      </c>
      <c r="K76" s="501">
        <f t="shared" si="166"/>
        <v>0</v>
      </c>
      <c r="L76" s="501">
        <f t="shared" si="166"/>
        <v>0</v>
      </c>
      <c r="M76" s="501">
        <f t="shared" si="166"/>
        <v>0</v>
      </c>
      <c r="N76" s="501"/>
      <c r="O76" s="501">
        <f t="shared" si="166"/>
        <v>0</v>
      </c>
      <c r="P76" s="501">
        <f t="shared" si="166"/>
        <v>0</v>
      </c>
      <c r="Q76" s="501"/>
      <c r="R76" s="501">
        <f t="shared" si="166"/>
        <v>0</v>
      </c>
      <c r="S76" s="501">
        <f t="shared" si="166"/>
        <v>0</v>
      </c>
      <c r="T76" s="501">
        <f t="shared" si="166"/>
        <v>0</v>
      </c>
      <c r="U76" s="501">
        <f t="shared" si="166"/>
        <v>0</v>
      </c>
      <c r="V76" s="501"/>
      <c r="W76" s="501">
        <f t="shared" si="166"/>
        <v>0</v>
      </c>
      <c r="X76" s="501">
        <f t="shared" si="166"/>
        <v>0</v>
      </c>
      <c r="Y76" s="501"/>
      <c r="Z76" s="501">
        <f t="shared" si="166"/>
        <v>0</v>
      </c>
      <c r="AA76" s="501">
        <f t="shared" si="166"/>
        <v>0</v>
      </c>
      <c r="AB76" s="501">
        <f t="shared" si="166"/>
        <v>0</v>
      </c>
      <c r="AC76" s="501">
        <f t="shared" si="166"/>
        <v>0</v>
      </c>
      <c r="AD76" s="501"/>
      <c r="AE76" s="501">
        <f t="shared" si="166"/>
        <v>0</v>
      </c>
      <c r="AF76" s="501">
        <f t="shared" si="166"/>
        <v>0</v>
      </c>
      <c r="AG76" s="501"/>
      <c r="AH76" s="501">
        <f t="shared" si="166"/>
        <v>0</v>
      </c>
      <c r="AI76" s="501">
        <f t="shared" si="166"/>
        <v>0</v>
      </c>
      <c r="AJ76" s="501">
        <f t="shared" si="166"/>
        <v>0</v>
      </c>
      <c r="AK76" s="501">
        <f t="shared" si="166"/>
        <v>0</v>
      </c>
      <c r="AL76" s="501"/>
      <c r="AM76" s="501">
        <f t="shared" si="166"/>
        <v>0</v>
      </c>
      <c r="AN76" s="501">
        <f t="shared" si="166"/>
        <v>0</v>
      </c>
      <c r="AO76" s="501"/>
      <c r="AP76" s="501">
        <f t="shared" si="166"/>
        <v>0</v>
      </c>
      <c r="AQ76" s="501">
        <f t="shared" si="166"/>
        <v>0</v>
      </c>
      <c r="AR76" s="501">
        <f t="shared" si="166"/>
        <v>8.9406967163085938E-8</v>
      </c>
      <c r="AS76" s="501">
        <f t="shared" si="166"/>
        <v>0</v>
      </c>
      <c r="AT76" s="501">
        <f t="shared" si="166"/>
        <v>0</v>
      </c>
      <c r="AU76" s="501">
        <f t="shared" si="166"/>
        <v>0</v>
      </c>
      <c r="AV76" s="30"/>
      <c r="AW76" s="30"/>
      <c r="AX76" s="30"/>
      <c r="AY76" s="30"/>
      <c r="AZ76" s="30"/>
      <c r="BA76" s="30"/>
      <c r="BB76" s="30"/>
      <c r="BC76" s="30"/>
    </row>
    <row r="77" spans="1:55" ht="11.25" customHeight="1">
      <c r="B77" s="201"/>
      <c r="C77" s="502">
        <f>+C53-C71</f>
        <v>0</v>
      </c>
      <c r="D77" s="502">
        <f>+D53-D71</f>
        <v>0</v>
      </c>
      <c r="E77" s="502">
        <f>+E53-E71</f>
        <v>0</v>
      </c>
      <c r="F77" s="502">
        <f t="shared" ref="F77:AU77" si="167">+F53-F71</f>
        <v>0</v>
      </c>
      <c r="G77" s="502">
        <f t="shared" si="167"/>
        <v>0</v>
      </c>
      <c r="H77" s="502">
        <f t="shared" si="167"/>
        <v>0</v>
      </c>
      <c r="I77" s="502"/>
      <c r="J77" s="502">
        <f t="shared" si="167"/>
        <v>0</v>
      </c>
      <c r="K77" s="502">
        <f t="shared" si="167"/>
        <v>0</v>
      </c>
      <c r="L77" s="502">
        <f t="shared" si="167"/>
        <v>0</v>
      </c>
      <c r="M77" s="502">
        <f t="shared" si="167"/>
        <v>0</v>
      </c>
      <c r="N77" s="502"/>
      <c r="O77" s="502">
        <f t="shared" si="167"/>
        <v>0</v>
      </c>
      <c r="P77" s="502">
        <f t="shared" si="167"/>
        <v>0</v>
      </c>
      <c r="Q77" s="502"/>
      <c r="R77" s="502">
        <f t="shared" si="167"/>
        <v>0</v>
      </c>
      <c r="S77" s="502">
        <f t="shared" si="167"/>
        <v>0</v>
      </c>
      <c r="T77" s="502">
        <f t="shared" si="167"/>
        <v>0</v>
      </c>
      <c r="U77" s="502">
        <f t="shared" si="167"/>
        <v>0</v>
      </c>
      <c r="V77" s="502"/>
      <c r="W77" s="502">
        <f t="shared" si="167"/>
        <v>0</v>
      </c>
      <c r="X77" s="502">
        <f t="shared" si="167"/>
        <v>0</v>
      </c>
      <c r="Y77" s="502"/>
      <c r="Z77" s="502">
        <f t="shared" si="167"/>
        <v>0</v>
      </c>
      <c r="AA77" s="502">
        <f t="shared" si="167"/>
        <v>0</v>
      </c>
      <c r="AB77" s="502">
        <f t="shared" si="167"/>
        <v>0</v>
      </c>
      <c r="AC77" s="502">
        <f t="shared" si="167"/>
        <v>0</v>
      </c>
      <c r="AD77" s="502"/>
      <c r="AE77" s="502">
        <f t="shared" si="167"/>
        <v>0</v>
      </c>
      <c r="AF77" s="502">
        <f t="shared" si="167"/>
        <v>0</v>
      </c>
      <c r="AG77" s="502"/>
      <c r="AH77" s="502">
        <f t="shared" si="167"/>
        <v>0</v>
      </c>
      <c r="AI77" s="502">
        <f t="shared" si="167"/>
        <v>0</v>
      </c>
      <c r="AJ77" s="502">
        <f t="shared" si="167"/>
        <v>0</v>
      </c>
      <c r="AK77" s="502">
        <f t="shared" si="167"/>
        <v>0</v>
      </c>
      <c r="AL77" s="502"/>
      <c r="AM77" s="502">
        <f t="shared" si="167"/>
        <v>0</v>
      </c>
      <c r="AN77" s="502">
        <f t="shared" si="167"/>
        <v>0</v>
      </c>
      <c r="AO77" s="502"/>
      <c r="AP77" s="502">
        <f t="shared" si="167"/>
        <v>0</v>
      </c>
      <c r="AQ77" s="502">
        <f t="shared" si="167"/>
        <v>0</v>
      </c>
      <c r="AR77" s="502">
        <f t="shared" si="167"/>
        <v>3.5390257835388184E-8</v>
      </c>
      <c r="AS77" s="502">
        <f t="shared" si="167"/>
        <v>0</v>
      </c>
      <c r="AT77" s="502">
        <f t="shared" si="167"/>
        <v>0</v>
      </c>
      <c r="AU77" s="502">
        <f t="shared" si="167"/>
        <v>0</v>
      </c>
      <c r="AV77" s="30"/>
      <c r="AW77" s="30"/>
      <c r="AX77" s="30"/>
      <c r="AY77" s="30"/>
      <c r="AZ77" s="30"/>
      <c r="BA77" s="30"/>
      <c r="BB77" s="30"/>
      <c r="BC77" s="30"/>
    </row>
    <row r="78" spans="1:55" ht="15" customHeight="1">
      <c r="B78" s="201" t="s">
        <v>779</v>
      </c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515"/>
      <c r="U78" s="515"/>
      <c r="V78" s="515"/>
      <c r="W78" s="515"/>
      <c r="X78" s="515"/>
      <c r="Y78" s="515"/>
      <c r="Z78" s="515"/>
      <c r="AA78" s="515"/>
      <c r="AB78" s="515"/>
      <c r="AC78" s="515"/>
      <c r="AD78" s="515"/>
      <c r="AE78" s="515"/>
      <c r="AF78" s="515"/>
      <c r="AG78" s="515"/>
      <c r="AH78" s="515"/>
      <c r="AI78" s="515"/>
      <c r="AJ78" s="515"/>
      <c r="AK78" s="515"/>
      <c r="AL78" s="515"/>
      <c r="AM78" s="515"/>
      <c r="AN78" s="515"/>
      <c r="AO78" s="515"/>
      <c r="AP78" s="515"/>
      <c r="AQ78" s="515"/>
      <c r="AR78" s="515"/>
      <c r="AS78" s="515"/>
      <c r="AT78" s="515"/>
      <c r="AU78" s="515"/>
      <c r="AV78" s="30"/>
      <c r="AW78" s="30"/>
      <c r="AX78" s="30"/>
      <c r="AY78" s="30"/>
      <c r="AZ78" s="30"/>
      <c r="BA78" s="30"/>
      <c r="BB78" s="30"/>
      <c r="BC78" s="30"/>
    </row>
    <row r="79" spans="1:55">
      <c r="B79" s="201"/>
      <c r="C79" s="511"/>
      <c r="D79" s="511"/>
      <c r="E79" s="511"/>
      <c r="F79" s="511"/>
      <c r="G79" s="511"/>
      <c r="H79" s="511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  <c r="AA79" s="511"/>
      <c r="AB79" s="511"/>
      <c r="AC79" s="511"/>
      <c r="AD79" s="511"/>
      <c r="AE79" s="511"/>
      <c r="AF79" s="511"/>
      <c r="AG79" s="511"/>
      <c r="AH79" s="511"/>
      <c r="AI79" s="511"/>
      <c r="AJ79" s="511"/>
      <c r="AK79" s="511"/>
      <c r="AL79" s="511"/>
      <c r="AM79" s="511"/>
      <c r="AN79" s="511"/>
      <c r="AO79" s="511"/>
      <c r="AP79" s="511"/>
      <c r="AQ79" s="511"/>
      <c r="AR79" s="511"/>
      <c r="AS79" s="511"/>
      <c r="AT79" s="511"/>
      <c r="AU79" s="511"/>
      <c r="AV79" s="512"/>
    </row>
    <row r="80" spans="1:55">
      <c r="C80" s="513">
        <f>+'Asset Classification'!C71</f>
        <v>57124403912</v>
      </c>
      <c r="D80" s="513">
        <f>+'Asset Classification'!D71</f>
        <v>38012960642</v>
      </c>
      <c r="E80" s="513">
        <f>+'Asset Classification'!E71</f>
        <v>49548751261</v>
      </c>
      <c r="F80" s="513">
        <f>+'Asset Classification'!F71</f>
        <v>32899887295</v>
      </c>
      <c r="G80" s="513">
        <f>+'Asset Classification'!G71</f>
        <v>504953973</v>
      </c>
      <c r="H80" s="513"/>
      <c r="I80" s="511"/>
      <c r="J80" s="513">
        <f>+'Asset Classification'!I71</f>
        <v>6292476722</v>
      </c>
      <c r="K80" s="513">
        <f>+'Asset Classification'!J71</f>
        <v>4289653575</v>
      </c>
      <c r="L80" s="513">
        <f>+'Asset Classification'!K71</f>
        <v>620122045</v>
      </c>
      <c r="M80" s="511"/>
      <c r="N80" s="511"/>
      <c r="O80" s="513">
        <f>+'Asset Classification'!L71</f>
        <v>419611589</v>
      </c>
      <c r="P80" s="511"/>
      <c r="Q80" s="511"/>
      <c r="R80" s="513">
        <f>+'Asset Classification'!M71</f>
        <v>506004487</v>
      </c>
      <c r="S80" s="513">
        <f>+'Asset Classification'!N71</f>
        <v>263138435</v>
      </c>
      <c r="T80" s="513">
        <f>+'Asset Classification'!O71</f>
        <v>126501133</v>
      </c>
      <c r="U80" s="511"/>
      <c r="V80" s="511"/>
      <c r="W80" s="513">
        <f>+'Asset Classification'!P71</f>
        <v>65784610</v>
      </c>
      <c r="X80" s="511"/>
      <c r="Y80" s="511"/>
      <c r="Z80" s="513">
        <f>+'Asset Classification'!Q71</f>
        <v>749932110</v>
      </c>
      <c r="AA80" s="513">
        <f>+'Asset Classification'!R71</f>
        <v>545624112</v>
      </c>
      <c r="AB80" s="513">
        <f>+'Asset Classification'!S71</f>
        <v>374966057</v>
      </c>
      <c r="AC80" s="511"/>
      <c r="AD80" s="511"/>
      <c r="AE80" s="513">
        <f>+'Asset Classification'!T71</f>
        <v>272812058</v>
      </c>
      <c r="AF80" s="511"/>
      <c r="AG80" s="511"/>
      <c r="AH80" s="513">
        <f>+'Asset Classification'!U71</f>
        <v>27239332</v>
      </c>
      <c r="AI80" s="513">
        <f>+'Asset Classification'!V71</f>
        <v>14657225</v>
      </c>
      <c r="AJ80" s="513">
        <f>+'Asset Classification'!W71</f>
        <v>27239332</v>
      </c>
      <c r="AK80" s="511"/>
      <c r="AL80" s="511"/>
      <c r="AM80" s="513">
        <f>+'Asset Classification'!X71</f>
        <v>14657225</v>
      </c>
      <c r="AN80" s="511"/>
      <c r="AO80" s="511"/>
      <c r="AP80" s="513">
        <f>+'Asset Classification'!Y71</f>
        <v>1148828567</v>
      </c>
      <c r="AQ80" s="511"/>
      <c r="AR80" s="511"/>
      <c r="AS80" s="513">
        <f>+'Asset Classification'!Z71</f>
        <v>772865482</v>
      </c>
      <c r="AT80" s="511"/>
      <c r="AU80" s="511"/>
      <c r="AV80" s="511"/>
      <c r="AW80" s="30"/>
      <c r="AX80" s="30"/>
      <c r="AY80" s="30"/>
    </row>
    <row r="81" spans="3:55">
      <c r="C81" s="514">
        <f>+C80-C71</f>
        <v>0</v>
      </c>
      <c r="D81" s="514">
        <f t="shared" ref="D81:G81" si="168">+D80-D71</f>
        <v>0</v>
      </c>
      <c r="E81" s="514">
        <f t="shared" si="168"/>
        <v>0</v>
      </c>
      <c r="F81" s="514">
        <f t="shared" si="168"/>
        <v>0</v>
      </c>
      <c r="G81" s="514">
        <f t="shared" si="168"/>
        <v>0</v>
      </c>
      <c r="H81" s="514"/>
      <c r="I81" s="511"/>
      <c r="J81" s="514">
        <f t="shared" ref="J81:L81" si="169">+J80-J71</f>
        <v>0</v>
      </c>
      <c r="K81" s="514">
        <f t="shared" si="169"/>
        <v>0</v>
      </c>
      <c r="L81" s="514">
        <f t="shared" si="169"/>
        <v>0</v>
      </c>
      <c r="M81" s="511"/>
      <c r="N81" s="511"/>
      <c r="O81" s="514">
        <f t="shared" ref="O81" si="170">+O80-O71</f>
        <v>0</v>
      </c>
      <c r="P81" s="511"/>
      <c r="Q81" s="511"/>
      <c r="R81" s="514">
        <f t="shared" ref="R81" si="171">+R80-R71</f>
        <v>0</v>
      </c>
      <c r="S81" s="514">
        <f t="shared" ref="S81" si="172">+S80-S71</f>
        <v>0</v>
      </c>
      <c r="T81" s="514">
        <f t="shared" ref="T81" si="173">+T80-T71</f>
        <v>0</v>
      </c>
      <c r="U81" s="511"/>
      <c r="V81" s="511"/>
      <c r="W81" s="514">
        <f t="shared" ref="W81" si="174">+W80-W71</f>
        <v>0</v>
      </c>
      <c r="X81" s="511"/>
      <c r="Y81" s="511"/>
      <c r="Z81" s="514">
        <f t="shared" ref="Z81" si="175">+Z80-Z71</f>
        <v>0</v>
      </c>
      <c r="AA81" s="514">
        <f t="shared" ref="AA81" si="176">+AA80-AA71</f>
        <v>0</v>
      </c>
      <c r="AB81" s="514">
        <f t="shared" ref="AB81" si="177">+AB80-AB71</f>
        <v>0</v>
      </c>
      <c r="AC81" s="511"/>
      <c r="AD81" s="511"/>
      <c r="AE81" s="514">
        <f t="shared" ref="AE81" si="178">+AE80-AE71</f>
        <v>0</v>
      </c>
      <c r="AF81" s="511"/>
      <c r="AG81" s="511"/>
      <c r="AH81" s="514">
        <f t="shared" ref="AH81" si="179">+AH80-AH71</f>
        <v>0</v>
      </c>
      <c r="AI81" s="514">
        <f t="shared" ref="AI81" si="180">+AI80-AI71</f>
        <v>0</v>
      </c>
      <c r="AJ81" s="514">
        <f t="shared" ref="AJ81" si="181">+AJ80-AJ71</f>
        <v>0</v>
      </c>
      <c r="AK81" s="511"/>
      <c r="AL81" s="511"/>
      <c r="AM81" s="514">
        <f t="shared" ref="AM81" si="182">+AM80-AM71</f>
        <v>0</v>
      </c>
      <c r="AN81" s="511"/>
      <c r="AO81" s="511"/>
      <c r="AP81" s="514">
        <f t="shared" ref="AP81" si="183">+AP80-AP71</f>
        <v>0</v>
      </c>
      <c r="AQ81" s="511"/>
      <c r="AR81" s="511"/>
      <c r="AS81" s="514">
        <f t="shared" ref="AS81" si="184">+AS80-AS71</f>
        <v>0</v>
      </c>
      <c r="AT81" s="511"/>
      <c r="AU81" s="511"/>
      <c r="AV81" s="512"/>
    </row>
    <row r="82" spans="3:55">
      <c r="C82" s="511"/>
      <c r="D82" s="511"/>
      <c r="E82" s="511"/>
      <c r="F82" s="511"/>
      <c r="G82" s="511"/>
      <c r="H82" s="511"/>
      <c r="I82" s="511"/>
      <c r="J82" s="511"/>
      <c r="K82" s="511"/>
      <c r="L82" s="511"/>
      <c r="M82" s="511"/>
      <c r="N82" s="511"/>
      <c r="O82" s="511"/>
      <c r="P82" s="511"/>
      <c r="Q82" s="511"/>
      <c r="R82" s="511"/>
      <c r="S82" s="511"/>
      <c r="T82" s="511"/>
      <c r="U82" s="511"/>
      <c r="V82" s="511"/>
      <c r="W82" s="511"/>
      <c r="X82" s="511"/>
      <c r="Y82" s="511"/>
      <c r="Z82" s="511"/>
      <c r="AA82" s="511"/>
      <c r="AB82" s="511"/>
      <c r="AC82" s="511"/>
      <c r="AD82" s="511"/>
      <c r="AE82" s="511"/>
      <c r="AF82" s="511"/>
      <c r="AG82" s="511"/>
      <c r="AH82" s="511"/>
      <c r="AI82" s="511"/>
      <c r="AJ82" s="511"/>
      <c r="AK82" s="511"/>
      <c r="AL82" s="511"/>
      <c r="AM82" s="511"/>
      <c r="AN82" s="511"/>
      <c r="AO82" s="511"/>
      <c r="AP82" s="511"/>
      <c r="AQ82" s="511"/>
      <c r="AR82" s="511"/>
      <c r="AS82" s="511"/>
      <c r="AT82" s="514"/>
      <c r="AU82" s="511"/>
      <c r="AV82" s="511"/>
      <c r="AW82" s="30"/>
      <c r="AX82" s="30"/>
      <c r="AY82" s="30"/>
    </row>
    <row r="83" spans="3:55">
      <c r="C83" s="513">
        <f>+'Asset Classification'!C72</f>
        <v>14832384791</v>
      </c>
      <c r="D83" s="513">
        <f>+'Asset Classification'!D72</f>
        <v>0</v>
      </c>
      <c r="E83" s="513">
        <f>+'Asset Classification'!E72</f>
        <v>13100409935</v>
      </c>
      <c r="F83" s="513">
        <f>+'Asset Classification'!F72</f>
        <v>0</v>
      </c>
      <c r="G83" s="513">
        <f>+'Asset Classification'!G72</f>
        <v>126313827</v>
      </c>
      <c r="H83" s="513"/>
      <c r="I83" s="511"/>
      <c r="J83" s="513">
        <f>+'Asset Classification'!I72</f>
        <v>892260841</v>
      </c>
      <c r="K83" s="513">
        <f>+'Asset Classification'!J72</f>
        <v>0</v>
      </c>
      <c r="L83" s="513">
        <f>+'Asset Classification'!K72</f>
        <v>175966885</v>
      </c>
      <c r="M83" s="511"/>
      <c r="N83" s="511"/>
      <c r="O83" s="513">
        <f>+'Asset Classification'!L72</f>
        <v>0</v>
      </c>
      <c r="P83" s="511"/>
      <c r="Q83" s="511"/>
      <c r="R83" s="513">
        <f>+'Asset Classification'!M72</f>
        <v>91982157</v>
      </c>
      <c r="S83" s="513">
        <f>+'Asset Classification'!N72</f>
        <v>0</v>
      </c>
      <c r="T83" s="513">
        <f>+'Asset Classification'!O72</f>
        <v>1287411</v>
      </c>
      <c r="U83" s="511"/>
      <c r="V83" s="511"/>
      <c r="W83" s="513">
        <f>+'Asset Classification'!P72</f>
        <v>0</v>
      </c>
      <c r="X83" s="511"/>
      <c r="Y83" s="511"/>
      <c r="Z83" s="513">
        <f>+'Asset Classification'!Q72</f>
        <v>174183476</v>
      </c>
      <c r="AA83" s="513">
        <f>+'Asset Classification'!R72</f>
        <v>0</v>
      </c>
      <c r="AB83" s="513">
        <f>+'Asset Classification'!S72</f>
        <v>7397831</v>
      </c>
      <c r="AC83" s="511"/>
      <c r="AD83" s="511"/>
      <c r="AE83" s="513">
        <f>+'Asset Classification'!T72</f>
        <v>0</v>
      </c>
      <c r="AF83" s="511"/>
      <c r="AG83" s="511"/>
      <c r="AH83" s="513">
        <f>+'Asset Classification'!U72</f>
        <v>573548382</v>
      </c>
      <c r="AI83" s="513">
        <f>+'Asset Classification'!V72</f>
        <v>0</v>
      </c>
      <c r="AJ83" s="513">
        <f>+'Asset Classification'!W72</f>
        <v>277037073</v>
      </c>
      <c r="AK83" s="511"/>
      <c r="AL83" s="511"/>
      <c r="AM83" s="513">
        <f>+'Asset Classification'!X72</f>
        <v>0</v>
      </c>
      <c r="AN83" s="511"/>
      <c r="AO83" s="511"/>
      <c r="AP83" s="513">
        <f>+'Asset Classification'!Y72</f>
        <v>461689200</v>
      </c>
      <c r="AQ83" s="511"/>
      <c r="AR83" s="511"/>
      <c r="AS83" s="513">
        <f>+'Asset Classification'!Z72</f>
        <v>0</v>
      </c>
      <c r="AT83" s="511"/>
      <c r="AU83" s="511"/>
      <c r="AV83" s="512"/>
    </row>
    <row r="84" spans="3:55">
      <c r="C84" s="514">
        <f>+C83-C72</f>
        <v>0</v>
      </c>
      <c r="D84" s="514">
        <f>+D83-D72</f>
        <v>0</v>
      </c>
      <c r="E84" s="514">
        <f>+E83-E72</f>
        <v>0</v>
      </c>
      <c r="F84" s="514">
        <f>+F83-F72</f>
        <v>0</v>
      </c>
      <c r="G84" s="514">
        <f>+G83-G72</f>
        <v>0</v>
      </c>
      <c r="H84" s="514"/>
      <c r="I84" s="511"/>
      <c r="J84" s="514">
        <f>+J83-J72</f>
        <v>0</v>
      </c>
      <c r="K84" s="514">
        <f>+K83-K72</f>
        <v>0</v>
      </c>
      <c r="L84" s="514">
        <f>+L83-L72</f>
        <v>0</v>
      </c>
      <c r="M84" s="511"/>
      <c r="N84" s="511"/>
      <c r="O84" s="514">
        <f>+O83-O72</f>
        <v>0</v>
      </c>
      <c r="P84" s="511"/>
      <c r="Q84" s="511"/>
      <c r="R84" s="514">
        <f>+R83-R72</f>
        <v>0</v>
      </c>
      <c r="S84" s="514">
        <f>+S83-S72</f>
        <v>0</v>
      </c>
      <c r="T84" s="514">
        <f>+T83-T72</f>
        <v>0</v>
      </c>
      <c r="U84" s="511"/>
      <c r="V84" s="511"/>
      <c r="W84" s="514">
        <f>+W83-W72</f>
        <v>0</v>
      </c>
      <c r="X84" s="511"/>
      <c r="Y84" s="511"/>
      <c r="Z84" s="514">
        <f>+Z83-Z72</f>
        <v>0</v>
      </c>
      <c r="AA84" s="514">
        <f>+AA83-AA72</f>
        <v>0</v>
      </c>
      <c r="AB84" s="514">
        <f>+AB83-AB72</f>
        <v>0</v>
      </c>
      <c r="AC84" s="511"/>
      <c r="AD84" s="511"/>
      <c r="AE84" s="514">
        <f>+AE83-AE72</f>
        <v>0</v>
      </c>
      <c r="AF84" s="511"/>
      <c r="AG84" s="511"/>
      <c r="AH84" s="514">
        <f>+AH83-AH72</f>
        <v>0</v>
      </c>
      <c r="AI84" s="514">
        <f>+AI83-AI72</f>
        <v>0</v>
      </c>
      <c r="AJ84" s="514">
        <f>+AJ83-AJ72</f>
        <v>0</v>
      </c>
      <c r="AK84" s="511"/>
      <c r="AL84" s="511"/>
      <c r="AM84" s="514">
        <f>+AM83-AM72</f>
        <v>0</v>
      </c>
      <c r="AN84" s="511"/>
      <c r="AO84" s="511"/>
      <c r="AP84" s="514">
        <f>+AP83-AP72</f>
        <v>0</v>
      </c>
      <c r="AQ84" s="511"/>
      <c r="AR84" s="511"/>
      <c r="AS84" s="514">
        <f>+AS83-AS72</f>
        <v>0</v>
      </c>
      <c r="AT84" s="511"/>
      <c r="AU84" s="511"/>
      <c r="AV84" s="511"/>
      <c r="AW84" s="30"/>
      <c r="AX84" s="30"/>
      <c r="AY84" s="30"/>
      <c r="AZ84" s="30"/>
      <c r="BA84" s="30"/>
      <c r="BB84" s="30"/>
      <c r="BC84" s="30"/>
    </row>
    <row r="85" spans="3:55">
      <c r="C85" s="511"/>
      <c r="D85" s="511"/>
      <c r="E85" s="511"/>
      <c r="F85" s="511"/>
      <c r="G85" s="511"/>
      <c r="H85" s="511"/>
      <c r="I85" s="511"/>
      <c r="J85" s="511"/>
      <c r="K85" s="511"/>
      <c r="L85" s="511"/>
      <c r="M85" s="511"/>
      <c r="N85" s="511"/>
      <c r="O85" s="511"/>
      <c r="P85" s="511"/>
      <c r="Q85" s="511"/>
      <c r="R85" s="511"/>
      <c r="S85" s="511"/>
      <c r="T85" s="511"/>
      <c r="U85" s="511"/>
      <c r="V85" s="511"/>
      <c r="W85" s="511"/>
      <c r="X85" s="511"/>
      <c r="Y85" s="511"/>
      <c r="Z85" s="511"/>
      <c r="AA85" s="511"/>
      <c r="AB85" s="511"/>
      <c r="AC85" s="511"/>
      <c r="AD85" s="511"/>
      <c r="AE85" s="511"/>
      <c r="AF85" s="511"/>
      <c r="AG85" s="511"/>
      <c r="AH85" s="511"/>
      <c r="AI85" s="511"/>
      <c r="AJ85" s="511"/>
      <c r="AK85" s="511"/>
      <c r="AL85" s="511"/>
      <c r="AM85" s="511"/>
      <c r="AN85" s="511"/>
      <c r="AO85" s="511"/>
      <c r="AP85" s="511"/>
      <c r="AQ85" s="511"/>
      <c r="AR85" s="511"/>
      <c r="AS85" s="511"/>
      <c r="AT85" s="511"/>
      <c r="AU85" s="511"/>
      <c r="AV85" s="512"/>
    </row>
    <row r="86" spans="3:55">
      <c r="C86" s="513">
        <f>+'Asset Classification'!C74</f>
        <v>71956788703</v>
      </c>
      <c r="D86" s="513">
        <f>+'Asset Classification'!D74</f>
        <v>38012960642</v>
      </c>
      <c r="E86" s="513">
        <f>+'Asset Classification'!E74</f>
        <v>62649161196</v>
      </c>
      <c r="F86" s="513">
        <f>+'Asset Classification'!F74</f>
        <v>32899887295</v>
      </c>
      <c r="G86" s="513">
        <f>+'Asset Classification'!G74</f>
        <v>631267800</v>
      </c>
      <c r="H86" s="513"/>
      <c r="I86" s="511"/>
      <c r="J86" s="513">
        <f>+'Asset Classification'!I74</f>
        <v>7184737563</v>
      </c>
      <c r="K86" s="513">
        <f>+'Asset Classification'!J74</f>
        <v>4289653575</v>
      </c>
      <c r="L86" s="513">
        <f>+'Asset Classification'!K74</f>
        <v>796088930</v>
      </c>
      <c r="M86" s="511"/>
      <c r="N86" s="511"/>
      <c r="O86" s="513">
        <f>+'Asset Classification'!L74</f>
        <v>419611589</v>
      </c>
      <c r="P86" s="511"/>
      <c r="Q86" s="511"/>
      <c r="R86" s="513">
        <f>+'Asset Classification'!M74</f>
        <v>597986644</v>
      </c>
      <c r="S86" s="513">
        <f>+'Asset Classification'!N74</f>
        <v>263138435</v>
      </c>
      <c r="T86" s="513">
        <f>+'Asset Classification'!O74</f>
        <v>127788544</v>
      </c>
      <c r="U86" s="511"/>
      <c r="V86" s="511"/>
      <c r="W86" s="513">
        <f>+'Asset Classification'!P74</f>
        <v>65784610</v>
      </c>
      <c r="X86" s="511"/>
      <c r="Y86" s="511"/>
      <c r="Z86" s="513">
        <f>+'Asset Classification'!Q74</f>
        <v>924115586</v>
      </c>
      <c r="AA86" s="513">
        <f>+'Asset Classification'!R74</f>
        <v>545624112</v>
      </c>
      <c r="AB86" s="513">
        <f>+'Asset Classification'!S74</f>
        <v>382363888</v>
      </c>
      <c r="AC86" s="511"/>
      <c r="AD86" s="511"/>
      <c r="AE86" s="513">
        <f>+'Asset Classification'!T74</f>
        <v>272812058</v>
      </c>
      <c r="AF86" s="511"/>
      <c r="AG86" s="511"/>
      <c r="AH86" s="513">
        <f>+'Asset Classification'!U74</f>
        <v>600787714</v>
      </c>
      <c r="AI86" s="513">
        <f>+'Asset Classification'!V74</f>
        <v>14657225</v>
      </c>
      <c r="AJ86" s="513">
        <f>+'Asset Classification'!W74</f>
        <v>304276405</v>
      </c>
      <c r="AK86" s="511"/>
      <c r="AL86" s="511"/>
      <c r="AM86" s="513">
        <f>+'Asset Classification'!X74</f>
        <v>14657225</v>
      </c>
      <c r="AN86" s="511"/>
      <c r="AO86" s="511"/>
      <c r="AP86" s="513">
        <f>+'Asset Classification'!Y74</f>
        <v>1610517767</v>
      </c>
      <c r="AQ86" s="511"/>
      <c r="AR86" s="511"/>
      <c r="AS86" s="513">
        <f>+'Asset Classification'!Z74</f>
        <v>772865482</v>
      </c>
      <c r="AT86" s="511"/>
      <c r="AU86" s="511"/>
      <c r="AV86" s="512"/>
    </row>
    <row r="87" spans="3:55">
      <c r="C87" s="514">
        <f>+C86-C74</f>
        <v>0</v>
      </c>
      <c r="D87" s="514">
        <f>+D86-D74</f>
        <v>0</v>
      </c>
      <c r="E87" s="514">
        <f>+E86-E74</f>
        <v>0</v>
      </c>
      <c r="F87" s="514">
        <f>+F86-F74</f>
        <v>0</v>
      </c>
      <c r="G87" s="514">
        <f>+G86-G74</f>
        <v>0</v>
      </c>
      <c r="H87" s="514"/>
      <c r="I87" s="511"/>
      <c r="J87" s="514">
        <f>+J86-J74</f>
        <v>0</v>
      </c>
      <c r="K87" s="514">
        <f>+K86-K74</f>
        <v>0</v>
      </c>
      <c r="L87" s="514">
        <f>+L86-L74</f>
        <v>0</v>
      </c>
      <c r="M87" s="511"/>
      <c r="N87" s="511"/>
      <c r="O87" s="514">
        <f>+O86-O74</f>
        <v>0</v>
      </c>
      <c r="P87" s="511"/>
      <c r="Q87" s="511"/>
      <c r="R87" s="514">
        <f>+R86-R74</f>
        <v>0</v>
      </c>
      <c r="S87" s="514">
        <f>+S86-S74</f>
        <v>0</v>
      </c>
      <c r="T87" s="514">
        <f>+T86-T74</f>
        <v>0</v>
      </c>
      <c r="U87" s="511"/>
      <c r="V87" s="511"/>
      <c r="W87" s="514">
        <f>+W86-W74</f>
        <v>0</v>
      </c>
      <c r="X87" s="511"/>
      <c r="Y87" s="511"/>
      <c r="Z87" s="514">
        <f>+Z86-Z74</f>
        <v>0</v>
      </c>
      <c r="AA87" s="514">
        <f>+AA86-AA74</f>
        <v>0</v>
      </c>
      <c r="AB87" s="514">
        <f>+AB86-AB74</f>
        <v>0</v>
      </c>
      <c r="AC87" s="511"/>
      <c r="AD87" s="511"/>
      <c r="AE87" s="514">
        <f>+AE86-AE74</f>
        <v>0</v>
      </c>
      <c r="AF87" s="511"/>
      <c r="AG87" s="511"/>
      <c r="AH87" s="514">
        <f>+AH86-AH74</f>
        <v>0</v>
      </c>
      <c r="AI87" s="514">
        <f>+AI86-AI74</f>
        <v>0</v>
      </c>
      <c r="AJ87" s="514">
        <f>+AJ86-AJ74</f>
        <v>0</v>
      </c>
      <c r="AK87" s="511"/>
      <c r="AL87" s="511"/>
      <c r="AM87" s="514">
        <f>+AM86-AM74</f>
        <v>0</v>
      </c>
      <c r="AN87" s="511"/>
      <c r="AO87" s="511"/>
      <c r="AP87" s="514">
        <f>+AP86-AP74</f>
        <v>0</v>
      </c>
      <c r="AQ87" s="511"/>
      <c r="AR87" s="511"/>
      <c r="AS87" s="514">
        <f>+AS86-AS74</f>
        <v>0</v>
      </c>
      <c r="AT87" s="511"/>
      <c r="AU87" s="511"/>
      <c r="AV87" s="512"/>
    </row>
    <row r="88" spans="3:55">
      <c r="C88" s="511"/>
      <c r="D88" s="511"/>
      <c r="E88" s="511"/>
      <c r="F88" s="511"/>
      <c r="G88" s="511"/>
      <c r="H88" s="511"/>
      <c r="I88" s="511"/>
      <c r="J88" s="511"/>
      <c r="K88" s="511"/>
      <c r="L88" s="511"/>
      <c r="M88" s="511"/>
      <c r="N88" s="511"/>
      <c r="O88" s="511"/>
      <c r="P88" s="511"/>
      <c r="Q88" s="511"/>
      <c r="R88" s="511"/>
      <c r="S88" s="511"/>
      <c r="T88" s="511"/>
      <c r="U88" s="511"/>
      <c r="V88" s="511"/>
      <c r="W88" s="511"/>
      <c r="X88" s="511"/>
      <c r="Y88" s="511"/>
      <c r="Z88" s="511"/>
      <c r="AA88" s="511"/>
      <c r="AB88" s="511"/>
      <c r="AC88" s="511"/>
      <c r="AD88" s="511"/>
      <c r="AE88" s="511"/>
      <c r="AF88" s="511"/>
      <c r="AG88" s="511"/>
      <c r="AH88" s="511"/>
      <c r="AI88" s="511"/>
      <c r="AJ88" s="511"/>
      <c r="AK88" s="511"/>
      <c r="AL88" s="511"/>
      <c r="AM88" s="511"/>
      <c r="AN88" s="511"/>
      <c r="AO88" s="511"/>
      <c r="AP88" s="511"/>
      <c r="AQ88" s="511"/>
      <c r="AR88" s="511"/>
      <c r="AS88" s="511"/>
      <c r="AT88" s="511"/>
      <c r="AU88" s="511"/>
      <c r="AV88" s="512"/>
    </row>
    <row r="89" spans="3:55">
      <c r="C89" s="511"/>
      <c r="D89" s="511"/>
      <c r="E89" s="511"/>
      <c r="F89" s="511"/>
      <c r="G89" s="511"/>
      <c r="H89" s="511"/>
      <c r="I89" s="511"/>
      <c r="J89" s="511"/>
      <c r="K89" s="511"/>
      <c r="L89" s="511"/>
      <c r="M89" s="511"/>
      <c r="N89" s="511"/>
      <c r="O89" s="511"/>
      <c r="P89" s="511"/>
      <c r="Q89" s="511"/>
      <c r="R89" s="511"/>
      <c r="S89" s="511"/>
      <c r="T89" s="511"/>
      <c r="U89" s="511"/>
      <c r="V89" s="511"/>
      <c r="W89" s="511"/>
      <c r="X89" s="511"/>
      <c r="Y89" s="511"/>
      <c r="Z89" s="511"/>
      <c r="AA89" s="511"/>
      <c r="AB89" s="511"/>
      <c r="AC89" s="511"/>
      <c r="AD89" s="511"/>
      <c r="AE89" s="511"/>
      <c r="AF89" s="511"/>
      <c r="AG89" s="511"/>
      <c r="AH89" s="511"/>
      <c r="AI89" s="511"/>
      <c r="AJ89" s="511"/>
      <c r="AK89" s="511"/>
      <c r="AL89" s="511"/>
      <c r="AM89" s="511"/>
      <c r="AN89" s="511"/>
      <c r="AO89" s="511"/>
      <c r="AP89" s="511"/>
      <c r="AQ89" s="511"/>
      <c r="AR89" s="511"/>
      <c r="AS89" s="511"/>
      <c r="AT89" s="511"/>
      <c r="AU89" s="511"/>
      <c r="AV89" s="512"/>
    </row>
    <row r="90" spans="3:55">
      <c r="C90" s="511"/>
      <c r="D90" s="511"/>
      <c r="E90" s="511"/>
      <c r="F90" s="511"/>
      <c r="G90" s="511"/>
      <c r="H90" s="511"/>
      <c r="I90" s="511"/>
      <c r="J90" s="511"/>
      <c r="K90" s="511"/>
      <c r="L90" s="511"/>
      <c r="M90" s="511"/>
      <c r="N90" s="511"/>
      <c r="O90" s="511"/>
      <c r="P90" s="511"/>
      <c r="Q90" s="511"/>
      <c r="R90" s="511"/>
      <c r="S90" s="511"/>
      <c r="T90" s="511"/>
      <c r="U90" s="511"/>
      <c r="V90" s="511"/>
      <c r="W90" s="511"/>
      <c r="X90" s="511"/>
      <c r="Y90" s="511"/>
      <c r="Z90" s="511"/>
      <c r="AA90" s="511"/>
      <c r="AB90" s="511"/>
      <c r="AC90" s="511"/>
      <c r="AD90" s="511"/>
      <c r="AE90" s="511"/>
      <c r="AF90" s="511"/>
      <c r="AG90" s="511"/>
      <c r="AH90" s="511"/>
      <c r="AI90" s="511"/>
      <c r="AJ90" s="511"/>
      <c r="AK90" s="511"/>
      <c r="AL90" s="511"/>
      <c r="AM90" s="511"/>
      <c r="AN90" s="511"/>
      <c r="AO90" s="511"/>
      <c r="AP90" s="511"/>
      <c r="AQ90" s="511"/>
      <c r="AR90" s="511"/>
      <c r="AS90" s="511"/>
      <c r="AT90" s="511"/>
      <c r="AU90" s="511"/>
      <c r="AV90" s="512"/>
    </row>
    <row r="91" spans="3:55">
      <c r="C91" s="511"/>
      <c r="D91" s="511"/>
      <c r="E91" s="511"/>
      <c r="F91" s="511"/>
      <c r="G91" s="511"/>
      <c r="H91" s="511"/>
      <c r="I91" s="511"/>
      <c r="J91" s="511"/>
      <c r="K91" s="511"/>
      <c r="L91" s="511"/>
      <c r="M91" s="511"/>
      <c r="N91" s="511"/>
      <c r="O91" s="511"/>
      <c r="P91" s="511"/>
      <c r="Q91" s="511"/>
      <c r="R91" s="511"/>
      <c r="S91" s="511"/>
      <c r="T91" s="511"/>
      <c r="U91" s="511"/>
      <c r="V91" s="511"/>
      <c r="W91" s="511"/>
      <c r="X91" s="511"/>
      <c r="Y91" s="511"/>
      <c r="Z91" s="511"/>
      <c r="AA91" s="511"/>
      <c r="AB91" s="511"/>
      <c r="AC91" s="511"/>
      <c r="AD91" s="511"/>
      <c r="AE91" s="511"/>
      <c r="AF91" s="511"/>
      <c r="AG91" s="511"/>
      <c r="AH91" s="511"/>
      <c r="AI91" s="511"/>
      <c r="AJ91" s="511"/>
      <c r="AK91" s="511"/>
      <c r="AL91" s="511"/>
      <c r="AM91" s="511"/>
      <c r="AN91" s="511"/>
      <c r="AO91" s="511"/>
      <c r="AP91" s="511"/>
      <c r="AQ91" s="511"/>
      <c r="AR91" s="511"/>
      <c r="AS91" s="511"/>
      <c r="AT91" s="511"/>
      <c r="AU91" s="511"/>
      <c r="AV91" s="512"/>
    </row>
    <row r="92" spans="3:55">
      <c r="C92" s="511"/>
      <c r="D92" s="511"/>
      <c r="E92" s="511"/>
      <c r="F92" s="511"/>
      <c r="G92" s="511"/>
      <c r="H92" s="511"/>
      <c r="I92" s="511"/>
      <c r="J92" s="511"/>
      <c r="K92" s="511"/>
      <c r="L92" s="511"/>
      <c r="M92" s="511"/>
      <c r="N92" s="511"/>
      <c r="O92" s="511"/>
      <c r="P92" s="511"/>
      <c r="Q92" s="511"/>
      <c r="R92" s="511"/>
      <c r="S92" s="511"/>
      <c r="T92" s="511"/>
      <c r="U92" s="511"/>
      <c r="V92" s="511"/>
      <c r="W92" s="511"/>
      <c r="X92" s="511"/>
      <c r="Y92" s="511"/>
      <c r="Z92" s="511"/>
      <c r="AA92" s="511"/>
      <c r="AB92" s="511"/>
      <c r="AC92" s="511"/>
      <c r="AD92" s="511"/>
      <c r="AE92" s="511"/>
      <c r="AF92" s="511"/>
      <c r="AG92" s="511"/>
      <c r="AH92" s="511"/>
      <c r="AI92" s="511"/>
      <c r="AJ92" s="511"/>
      <c r="AK92" s="511"/>
      <c r="AL92" s="511"/>
      <c r="AM92" s="511"/>
      <c r="AN92" s="511"/>
      <c r="AO92" s="511"/>
      <c r="AP92" s="511"/>
      <c r="AQ92" s="511"/>
      <c r="AR92" s="511"/>
      <c r="AS92" s="511"/>
      <c r="AT92" s="511"/>
      <c r="AU92" s="511"/>
      <c r="AV92" s="512"/>
    </row>
    <row r="93" spans="3:55">
      <c r="C93" s="511"/>
      <c r="D93" s="511"/>
      <c r="E93" s="511"/>
      <c r="F93" s="511"/>
      <c r="G93" s="511"/>
      <c r="H93" s="511"/>
      <c r="I93" s="511"/>
      <c r="J93" s="511"/>
      <c r="K93" s="511"/>
      <c r="L93" s="511"/>
      <c r="M93" s="511"/>
      <c r="N93" s="511"/>
      <c r="O93" s="511"/>
      <c r="P93" s="511"/>
      <c r="Q93" s="511"/>
      <c r="R93" s="511"/>
      <c r="S93" s="511"/>
      <c r="T93" s="511"/>
      <c r="U93" s="511"/>
      <c r="V93" s="511"/>
      <c r="W93" s="511"/>
      <c r="X93" s="511"/>
      <c r="Y93" s="511"/>
      <c r="Z93" s="511"/>
      <c r="AA93" s="511"/>
      <c r="AB93" s="511"/>
      <c r="AC93" s="511"/>
      <c r="AD93" s="511"/>
      <c r="AE93" s="511"/>
      <c r="AF93" s="511"/>
      <c r="AG93" s="511"/>
      <c r="AH93" s="511"/>
      <c r="AI93" s="511"/>
      <c r="AJ93" s="511"/>
      <c r="AK93" s="511"/>
      <c r="AL93" s="511"/>
      <c r="AM93" s="511"/>
      <c r="AN93" s="511"/>
      <c r="AO93" s="511"/>
      <c r="AP93" s="511"/>
      <c r="AQ93" s="511"/>
      <c r="AR93" s="511"/>
      <c r="AS93" s="511"/>
      <c r="AT93" s="511"/>
      <c r="AU93" s="511"/>
      <c r="AV93" s="512"/>
    </row>
    <row r="94" spans="3:55">
      <c r="C94" s="511"/>
      <c r="D94" s="511"/>
      <c r="E94" s="511"/>
      <c r="F94" s="511"/>
      <c r="G94" s="511"/>
      <c r="H94" s="511"/>
      <c r="I94" s="511"/>
      <c r="J94" s="511"/>
      <c r="K94" s="511"/>
      <c r="L94" s="511"/>
      <c r="M94" s="511"/>
      <c r="N94" s="511"/>
      <c r="O94" s="511"/>
      <c r="P94" s="511"/>
      <c r="Q94" s="511"/>
      <c r="R94" s="511"/>
      <c r="S94" s="511"/>
      <c r="T94" s="511"/>
      <c r="U94" s="511"/>
      <c r="V94" s="511"/>
      <c r="W94" s="511"/>
      <c r="X94" s="511"/>
      <c r="Y94" s="511"/>
      <c r="Z94" s="511"/>
      <c r="AA94" s="511"/>
      <c r="AB94" s="511"/>
      <c r="AC94" s="511"/>
      <c r="AD94" s="511"/>
      <c r="AE94" s="511"/>
      <c r="AF94" s="511"/>
      <c r="AG94" s="511"/>
      <c r="AH94" s="511"/>
      <c r="AI94" s="511"/>
      <c r="AJ94" s="511"/>
      <c r="AK94" s="511"/>
      <c r="AL94" s="511"/>
      <c r="AM94" s="511"/>
      <c r="AN94" s="511"/>
      <c r="AO94" s="511"/>
      <c r="AP94" s="511"/>
      <c r="AQ94" s="511"/>
      <c r="AR94" s="511"/>
      <c r="AS94" s="511"/>
      <c r="AT94" s="511"/>
      <c r="AU94" s="511"/>
      <c r="AV94" s="512"/>
    </row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C7">
    <cfRule type="cellIs" dxfId="88" priority="10" operator="notEqual">
      <formula>AV7</formula>
    </cfRule>
  </conditionalFormatting>
  <conditionalFormatting sqref="C31">
    <cfRule type="cellIs" dxfId="87" priority="9" operator="notEqual">
      <formula>AV31</formula>
    </cfRule>
  </conditionalFormatting>
  <conditionalFormatting sqref="C53">
    <cfRule type="cellIs" dxfId="86" priority="8" operator="notEqual">
      <formula>AV53</formula>
    </cfRule>
  </conditionalFormatting>
  <conditionalFormatting sqref="D53">
    <cfRule type="cellIs" dxfId="85" priority="68" operator="notEqual">
      <formula>$D$71</formula>
    </cfRule>
  </conditionalFormatting>
  <conditionalFormatting sqref="E53">
    <cfRule type="cellIs" dxfId="84" priority="67" operator="notEqual">
      <formula>$E$71</formula>
    </cfRule>
  </conditionalFormatting>
  <conditionalFormatting sqref="F53">
    <cfRule type="cellIs" dxfId="83" priority="69" operator="notEqual">
      <formula>$F$71</formula>
    </cfRule>
  </conditionalFormatting>
  <conditionalFormatting sqref="G53">
    <cfRule type="cellIs" dxfId="82" priority="66" operator="notEqual">
      <formula>$G$71</formula>
    </cfRule>
  </conditionalFormatting>
  <conditionalFormatting sqref="O53">
    <cfRule type="cellIs" dxfId="81" priority="70" operator="notEqual">
      <formula>$O$71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view="pageBreakPreview" topLeftCell="A4" zoomScale="85" zoomScaleNormal="74" zoomScaleSheetLayoutView="85" workbookViewId="0">
      <pane xSplit="7" ySplit="4" topLeftCell="K8" activePane="bottomRight" state="frozen"/>
      <selection activeCell="J47" sqref="J47"/>
      <selection pane="topRight" activeCell="J47" sqref="J47"/>
      <selection pane="bottomLeft" activeCell="J47" sqref="J47"/>
      <selection pane="bottomRight" activeCell="I17" sqref="I17"/>
    </sheetView>
  </sheetViews>
  <sheetFormatPr defaultRowHeight="12.75"/>
  <cols>
    <col min="1" max="1" width="5.140625" style="30" customWidth="1"/>
    <col min="2" max="2" width="43.42578125" style="30" customWidth="1"/>
    <col min="3" max="3" width="14.140625" style="30" customWidth="1"/>
    <col min="4" max="6" width="10.140625" style="30" customWidth="1"/>
    <col min="7" max="7" width="17.28515625" style="30" customWidth="1"/>
    <col min="8" max="8" width="14.28515625" style="30" customWidth="1"/>
    <col min="9" max="10" width="17.28515625" style="30" customWidth="1"/>
    <col min="11" max="19" width="13.85546875" style="30" customWidth="1"/>
    <col min="20" max="20" width="8.28515625" style="30" customWidth="1"/>
    <col min="21" max="21" width="8.140625" style="30" customWidth="1"/>
    <col min="22" max="22" width="17.28515625" style="30" customWidth="1"/>
    <col min="23" max="23" width="9.85546875" style="30" customWidth="1"/>
    <col min="24" max="24" width="15.140625" style="30" customWidth="1"/>
    <col min="25" max="25" width="13.28515625" style="30" customWidth="1"/>
    <col min="26" max="26" width="14.7109375" style="30" customWidth="1"/>
    <col min="27" max="27" width="26.140625" style="336" customWidth="1"/>
    <col min="28" max="16384" width="9.140625" style="30"/>
  </cols>
  <sheetData>
    <row r="1" spans="1:27" ht="20.25">
      <c r="A1" s="629" t="s">
        <v>425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Y1" s="326" t="s">
        <v>426</v>
      </c>
    </row>
    <row r="2" spans="1:27">
      <c r="A2" s="248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Q2" s="222"/>
      <c r="R2" s="222"/>
      <c r="S2" s="222"/>
      <c r="T2" s="222"/>
    </row>
    <row r="3" spans="1:27" ht="15.75">
      <c r="A3" s="224"/>
      <c r="B3" s="83" t="str">
        <f>+'Asset quality'!B3</f>
        <v>"Ўзсаноатқурилишибанк" АТБ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633"/>
      <c r="O3" s="633"/>
      <c r="P3" s="633"/>
      <c r="Q3" s="224"/>
      <c r="R3" s="224"/>
      <c r="T3" s="222"/>
      <c r="U3" s="594">
        <f>+'Asset quality'!Q3</f>
        <v>45289</v>
      </c>
      <c r="V3" s="594"/>
      <c r="W3" s="263"/>
      <c r="Y3" s="628" t="str">
        <f>+'Asset quality'!T3</f>
        <v>минг. сўмда</v>
      </c>
      <c r="Z3" s="628"/>
    </row>
    <row r="4" spans="1:27" ht="27.75" customHeight="1">
      <c r="A4" s="630" t="s">
        <v>61</v>
      </c>
      <c r="B4" s="630" t="s">
        <v>427</v>
      </c>
      <c r="C4" s="619" t="s">
        <v>428</v>
      </c>
      <c r="D4" s="619" t="s">
        <v>429</v>
      </c>
      <c r="E4" s="619" t="s">
        <v>430</v>
      </c>
      <c r="F4" s="619" t="s">
        <v>431</v>
      </c>
      <c r="G4" s="619" t="s">
        <v>432</v>
      </c>
      <c r="H4" s="622" t="s">
        <v>334</v>
      </c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4"/>
      <c r="T4" s="619" t="s">
        <v>433</v>
      </c>
      <c r="U4" s="636" t="s">
        <v>434</v>
      </c>
      <c r="V4" s="637"/>
      <c r="W4" s="619" t="s">
        <v>435</v>
      </c>
      <c r="X4" s="619" t="s">
        <v>436</v>
      </c>
      <c r="Y4" s="619" t="s">
        <v>437</v>
      </c>
      <c r="Z4" s="619" t="s">
        <v>438</v>
      </c>
    </row>
    <row r="5" spans="1:27" ht="27.75" customHeight="1">
      <c r="A5" s="631"/>
      <c r="B5" s="631"/>
      <c r="C5" s="620"/>
      <c r="D5" s="620"/>
      <c r="E5" s="620"/>
      <c r="F5" s="620"/>
      <c r="G5" s="620"/>
      <c r="H5" s="622" t="s">
        <v>439</v>
      </c>
      <c r="I5" s="623"/>
      <c r="J5" s="623"/>
      <c r="K5" s="624"/>
      <c r="L5" s="622" t="s">
        <v>440</v>
      </c>
      <c r="M5" s="623"/>
      <c r="N5" s="623"/>
      <c r="O5" s="623"/>
      <c r="P5" s="623"/>
      <c r="Q5" s="623"/>
      <c r="R5" s="623"/>
      <c r="S5" s="624"/>
      <c r="T5" s="620"/>
      <c r="U5" s="638"/>
      <c r="V5" s="639"/>
      <c r="W5" s="620"/>
      <c r="X5" s="620"/>
      <c r="Y5" s="620"/>
      <c r="Z5" s="620"/>
    </row>
    <row r="6" spans="1:27" ht="108.75" customHeight="1">
      <c r="A6" s="631"/>
      <c r="B6" s="631"/>
      <c r="C6" s="620"/>
      <c r="D6" s="620"/>
      <c r="E6" s="620"/>
      <c r="F6" s="620"/>
      <c r="G6" s="620"/>
      <c r="H6" s="619" t="s">
        <v>441</v>
      </c>
      <c r="I6" s="619" t="s">
        <v>442</v>
      </c>
      <c r="J6" s="619" t="s">
        <v>443</v>
      </c>
      <c r="K6" s="619" t="s">
        <v>444</v>
      </c>
      <c r="L6" s="625" t="s">
        <v>445</v>
      </c>
      <c r="M6" s="626"/>
      <c r="N6" s="625" t="s">
        <v>446</v>
      </c>
      <c r="O6" s="626"/>
      <c r="P6" s="625" t="s">
        <v>447</v>
      </c>
      <c r="Q6" s="626"/>
      <c r="R6" s="625" t="s">
        <v>448</v>
      </c>
      <c r="S6" s="626"/>
      <c r="T6" s="620"/>
      <c r="U6" s="619" t="s">
        <v>449</v>
      </c>
      <c r="V6" s="619" t="s">
        <v>163</v>
      </c>
      <c r="W6" s="620"/>
      <c r="X6" s="620"/>
      <c r="Y6" s="620"/>
      <c r="Z6" s="620"/>
    </row>
    <row r="7" spans="1:27" ht="41.25" customHeight="1">
      <c r="A7" s="632"/>
      <c r="B7" s="632"/>
      <c r="C7" s="621"/>
      <c r="D7" s="621"/>
      <c r="E7" s="621"/>
      <c r="F7" s="621"/>
      <c r="G7" s="621"/>
      <c r="H7" s="621"/>
      <c r="I7" s="621"/>
      <c r="J7" s="621"/>
      <c r="K7" s="621"/>
      <c r="L7" s="337" t="s">
        <v>450</v>
      </c>
      <c r="M7" s="337" t="s">
        <v>451</v>
      </c>
      <c r="N7" s="337" t="s">
        <v>450</v>
      </c>
      <c r="O7" s="337" t="s">
        <v>451</v>
      </c>
      <c r="P7" s="337" t="s">
        <v>450</v>
      </c>
      <c r="Q7" s="337" t="s">
        <v>451</v>
      </c>
      <c r="R7" s="337" t="s">
        <v>450</v>
      </c>
      <c r="S7" s="337" t="s">
        <v>451</v>
      </c>
      <c r="T7" s="621"/>
      <c r="U7" s="621"/>
      <c r="V7" s="621"/>
      <c r="W7" s="621"/>
      <c r="X7" s="621"/>
      <c r="Y7" s="621"/>
      <c r="Z7" s="621"/>
    </row>
    <row r="8" spans="1:27" s="247" customFormat="1" ht="15">
      <c r="A8" s="237"/>
      <c r="B8" s="237" t="s">
        <v>78</v>
      </c>
      <c r="C8" s="237" t="s">
        <v>79</v>
      </c>
      <c r="D8" s="237" t="s">
        <v>89</v>
      </c>
      <c r="E8" s="237" t="s">
        <v>80</v>
      </c>
      <c r="F8" s="237" t="s">
        <v>81</v>
      </c>
      <c r="G8" s="237" t="s">
        <v>90</v>
      </c>
      <c r="H8" s="237" t="s">
        <v>228</v>
      </c>
      <c r="I8" s="237" t="s">
        <v>227</v>
      </c>
      <c r="J8" s="237" t="s">
        <v>226</v>
      </c>
      <c r="K8" s="237" t="s">
        <v>225</v>
      </c>
      <c r="L8" s="634" t="s">
        <v>224</v>
      </c>
      <c r="M8" s="635"/>
      <c r="N8" s="634" t="s">
        <v>223</v>
      </c>
      <c r="O8" s="635"/>
      <c r="P8" s="634" t="s">
        <v>222</v>
      </c>
      <c r="Q8" s="635"/>
      <c r="R8" s="634" t="s">
        <v>221</v>
      </c>
      <c r="S8" s="635"/>
      <c r="T8" s="237" t="s">
        <v>82</v>
      </c>
      <c r="U8" s="237" t="s">
        <v>83</v>
      </c>
      <c r="V8" s="237" t="s">
        <v>84</v>
      </c>
      <c r="W8" s="237" t="s">
        <v>85</v>
      </c>
      <c r="X8" s="237" t="s">
        <v>86</v>
      </c>
      <c r="Y8" s="237" t="s">
        <v>87</v>
      </c>
      <c r="Z8" s="237" t="s">
        <v>88</v>
      </c>
      <c r="AA8" s="339"/>
    </row>
    <row r="9" spans="1:27" s="240" customFormat="1">
      <c r="A9" s="488">
        <v>1</v>
      </c>
      <c r="B9" s="489" t="s">
        <v>807</v>
      </c>
      <c r="C9" s="490">
        <v>305678140</v>
      </c>
      <c r="D9" s="490">
        <v>70220</v>
      </c>
      <c r="E9" s="491" t="s">
        <v>808</v>
      </c>
      <c r="F9" s="491">
        <v>1</v>
      </c>
      <c r="G9" s="239">
        <f t="shared" ref="G9:G40" si="0">+H9+I9+J9+K9+M9+O9+Q9+S9</f>
        <v>334145028</v>
      </c>
      <c r="H9" s="312"/>
      <c r="I9" s="312">
        <v>0</v>
      </c>
      <c r="J9" s="312">
        <v>334145028</v>
      </c>
      <c r="K9" s="312">
        <v>0</v>
      </c>
      <c r="L9" s="312">
        <v>0</v>
      </c>
      <c r="M9" s="312">
        <v>0</v>
      </c>
      <c r="N9" s="312">
        <v>0</v>
      </c>
      <c r="O9" s="312">
        <v>0</v>
      </c>
      <c r="P9" s="312">
        <v>0</v>
      </c>
      <c r="Q9" s="490">
        <v>0</v>
      </c>
      <c r="R9" s="490">
        <v>0</v>
      </c>
      <c r="S9" s="244">
        <v>0</v>
      </c>
      <c r="T9" s="490">
        <v>0</v>
      </c>
      <c r="U9" s="490">
        <v>0</v>
      </c>
      <c r="V9" s="490">
        <v>0</v>
      </c>
      <c r="W9" s="340">
        <v>1</v>
      </c>
      <c r="X9" s="490">
        <v>0</v>
      </c>
      <c r="Y9" s="490"/>
      <c r="Z9" s="492">
        <f t="shared" ref="Z9:Z40" si="1">+G9-V9-X9</f>
        <v>334145028</v>
      </c>
      <c r="AA9" s="341">
        <f t="shared" ref="AA9:AA72" si="2">SUMIF($F$9:$F$88,$F9,$Z$9:$Z$88)</f>
        <v>334145028</v>
      </c>
    </row>
    <row r="10" spans="1:27" s="240" customFormat="1">
      <c r="A10" s="14">
        <v>2</v>
      </c>
      <c r="B10" s="242" t="s">
        <v>809</v>
      </c>
      <c r="C10" s="244">
        <v>305880294</v>
      </c>
      <c r="D10" s="244">
        <v>65120</v>
      </c>
      <c r="E10" s="243" t="s">
        <v>808</v>
      </c>
      <c r="F10" s="243">
        <v>2</v>
      </c>
      <c r="G10" s="239">
        <f t="shared" si="0"/>
        <v>53085375</v>
      </c>
      <c r="H10" s="17"/>
      <c r="I10" s="17">
        <v>0</v>
      </c>
      <c r="J10" s="17">
        <v>53085375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244">
        <v>0</v>
      </c>
      <c r="R10" s="244">
        <v>0</v>
      </c>
      <c r="S10" s="244">
        <v>0</v>
      </c>
      <c r="T10" s="244">
        <v>0</v>
      </c>
      <c r="U10" s="244">
        <v>0</v>
      </c>
      <c r="V10" s="244">
        <v>0</v>
      </c>
      <c r="W10" s="340">
        <v>1</v>
      </c>
      <c r="X10" s="244">
        <v>0</v>
      </c>
      <c r="Y10" s="244"/>
      <c r="Z10" s="241">
        <f t="shared" si="1"/>
        <v>53085375</v>
      </c>
      <c r="AA10" s="341">
        <f t="shared" si="2"/>
        <v>53085375</v>
      </c>
    </row>
    <row r="11" spans="1:27" s="240" customFormat="1">
      <c r="A11" s="14">
        <v>3</v>
      </c>
      <c r="B11" s="242" t="s">
        <v>810</v>
      </c>
      <c r="C11" s="244">
        <v>497068763</v>
      </c>
      <c r="D11" s="244"/>
      <c r="E11" s="243" t="s">
        <v>808</v>
      </c>
      <c r="F11" s="243">
        <v>3</v>
      </c>
      <c r="G11" s="239">
        <f t="shared" si="0"/>
        <v>576697</v>
      </c>
      <c r="H11" s="17"/>
      <c r="I11" s="17">
        <v>145657</v>
      </c>
      <c r="J11" s="17">
        <v>0</v>
      </c>
      <c r="K11" s="17">
        <v>430945</v>
      </c>
      <c r="L11" s="17">
        <v>0</v>
      </c>
      <c r="M11" s="17">
        <v>0</v>
      </c>
      <c r="N11" s="17">
        <v>0</v>
      </c>
      <c r="O11" s="17">
        <v>0</v>
      </c>
      <c r="P11" s="17">
        <v>473</v>
      </c>
      <c r="Q11" s="244">
        <v>95</v>
      </c>
      <c r="R11" s="244">
        <v>0</v>
      </c>
      <c r="S11" s="244">
        <v>0</v>
      </c>
      <c r="T11" s="242">
        <v>0</v>
      </c>
      <c r="U11" s="244">
        <v>0</v>
      </c>
      <c r="V11" s="244">
        <v>0</v>
      </c>
      <c r="W11" s="340">
        <v>1</v>
      </c>
      <c r="X11" s="244">
        <v>0</v>
      </c>
      <c r="Y11" s="242"/>
      <c r="Z11" s="241">
        <f t="shared" si="1"/>
        <v>576697</v>
      </c>
      <c r="AA11" s="341">
        <f t="shared" si="2"/>
        <v>576697</v>
      </c>
    </row>
    <row r="12" spans="1:27" s="240" customFormat="1">
      <c r="A12" s="14">
        <v>4</v>
      </c>
      <c r="B12" s="242" t="s">
        <v>811</v>
      </c>
      <c r="C12" s="244">
        <v>521139268</v>
      </c>
      <c r="D12" s="244"/>
      <c r="E12" s="243" t="s">
        <v>808</v>
      </c>
      <c r="F12" s="243">
        <v>4</v>
      </c>
      <c r="G12" s="239">
        <f t="shared" si="0"/>
        <v>49348</v>
      </c>
      <c r="H12" s="17"/>
      <c r="I12" s="17">
        <v>49160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942</v>
      </c>
      <c r="Q12" s="244">
        <v>188</v>
      </c>
      <c r="R12" s="244">
        <v>0</v>
      </c>
      <c r="S12" s="244">
        <v>0</v>
      </c>
      <c r="T12" s="242">
        <v>0</v>
      </c>
      <c r="U12" s="244">
        <v>0</v>
      </c>
      <c r="V12" s="244">
        <v>0</v>
      </c>
      <c r="W12" s="340">
        <v>1</v>
      </c>
      <c r="X12" s="244">
        <v>0</v>
      </c>
      <c r="Y12" s="242"/>
      <c r="Z12" s="241">
        <f t="shared" si="1"/>
        <v>49348</v>
      </c>
      <c r="AA12" s="341">
        <f t="shared" si="2"/>
        <v>365721</v>
      </c>
    </row>
    <row r="13" spans="1:27" s="240" customFormat="1">
      <c r="A13" s="14">
        <v>5</v>
      </c>
      <c r="B13" s="242" t="s">
        <v>812</v>
      </c>
      <c r="C13" s="242">
        <v>502999363</v>
      </c>
      <c r="D13" s="244"/>
      <c r="E13" s="243" t="s">
        <v>808</v>
      </c>
      <c r="F13" s="243">
        <v>4</v>
      </c>
      <c r="G13" s="239">
        <f t="shared" si="0"/>
        <v>310832</v>
      </c>
      <c r="H13" s="242"/>
      <c r="I13" s="242">
        <v>310832</v>
      </c>
      <c r="J13" s="242">
        <v>0</v>
      </c>
      <c r="K13" s="17">
        <v>0</v>
      </c>
      <c r="L13" s="242">
        <v>0</v>
      </c>
      <c r="M13" s="17">
        <v>0</v>
      </c>
      <c r="N13" s="17">
        <v>0</v>
      </c>
      <c r="O13" s="17">
        <v>0</v>
      </c>
      <c r="P13" s="17">
        <v>0</v>
      </c>
      <c r="Q13" s="244">
        <v>0</v>
      </c>
      <c r="R13" s="244">
        <v>0</v>
      </c>
      <c r="S13" s="244">
        <v>0</v>
      </c>
      <c r="T13" s="242">
        <v>0</v>
      </c>
      <c r="U13" s="244">
        <v>0</v>
      </c>
      <c r="V13" s="244">
        <v>0</v>
      </c>
      <c r="W13" s="340">
        <v>1</v>
      </c>
      <c r="X13" s="244">
        <v>0</v>
      </c>
      <c r="Y13" s="242"/>
      <c r="Z13" s="241">
        <f t="shared" si="1"/>
        <v>310832</v>
      </c>
      <c r="AA13" s="341">
        <f t="shared" si="2"/>
        <v>365721</v>
      </c>
    </row>
    <row r="14" spans="1:27" s="240" customFormat="1">
      <c r="A14" s="14">
        <v>6</v>
      </c>
      <c r="B14" s="242" t="s">
        <v>813</v>
      </c>
      <c r="C14" s="242">
        <v>621190125</v>
      </c>
      <c r="D14" s="244"/>
      <c r="E14" s="243" t="s">
        <v>808</v>
      </c>
      <c r="F14" s="243">
        <v>4</v>
      </c>
      <c r="G14" s="239">
        <f t="shared" si="0"/>
        <v>5541</v>
      </c>
      <c r="H14" s="17"/>
      <c r="I14" s="17">
        <v>5541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244">
        <v>0</v>
      </c>
      <c r="R14" s="244">
        <v>0</v>
      </c>
      <c r="S14" s="244">
        <v>0</v>
      </c>
      <c r="T14" s="242">
        <v>0</v>
      </c>
      <c r="U14" s="244">
        <v>0</v>
      </c>
      <c r="V14" s="244">
        <v>0</v>
      </c>
      <c r="W14" s="340">
        <v>1</v>
      </c>
      <c r="X14" s="244">
        <v>0</v>
      </c>
      <c r="Y14" s="242"/>
      <c r="Z14" s="241">
        <f t="shared" si="1"/>
        <v>5541</v>
      </c>
      <c r="AA14" s="341">
        <f t="shared" si="2"/>
        <v>365721</v>
      </c>
    </row>
    <row r="15" spans="1:27" s="240" customFormat="1">
      <c r="A15" s="14">
        <v>7</v>
      </c>
      <c r="B15" s="242" t="s">
        <v>814</v>
      </c>
      <c r="C15" s="244">
        <v>447541589</v>
      </c>
      <c r="D15" s="244"/>
      <c r="E15" s="243" t="s">
        <v>808</v>
      </c>
      <c r="F15" s="243">
        <v>5</v>
      </c>
      <c r="G15" s="239">
        <f t="shared" si="0"/>
        <v>351854</v>
      </c>
      <c r="H15" s="17"/>
      <c r="I15" s="17">
        <v>351854</v>
      </c>
      <c r="J15" s="17">
        <v>0</v>
      </c>
      <c r="K15" s="17">
        <v>0</v>
      </c>
      <c r="L15" s="17">
        <v>0</v>
      </c>
      <c r="M15" s="242">
        <v>0</v>
      </c>
      <c r="N15" s="17">
        <v>0</v>
      </c>
      <c r="O15" s="17">
        <v>0</v>
      </c>
      <c r="P15" s="17">
        <v>0</v>
      </c>
      <c r="Q15" s="17">
        <v>0</v>
      </c>
      <c r="R15" s="242">
        <v>0</v>
      </c>
      <c r="S15" s="244">
        <v>0</v>
      </c>
      <c r="T15" s="244">
        <v>0</v>
      </c>
      <c r="U15" s="17">
        <v>0</v>
      </c>
      <c r="V15" s="244">
        <v>0</v>
      </c>
      <c r="W15" s="340">
        <v>1</v>
      </c>
      <c r="X15" s="244">
        <v>0</v>
      </c>
      <c r="Y15" s="244"/>
      <c r="Z15" s="241">
        <f t="shared" si="1"/>
        <v>351854</v>
      </c>
      <c r="AA15" s="341">
        <f t="shared" si="2"/>
        <v>351854</v>
      </c>
    </row>
    <row r="16" spans="1:27" s="240" customFormat="1">
      <c r="A16" s="14">
        <v>8</v>
      </c>
      <c r="B16" s="242" t="s">
        <v>815</v>
      </c>
      <c r="C16" s="242">
        <v>501652543</v>
      </c>
      <c r="D16" s="244"/>
      <c r="E16" s="243" t="s">
        <v>808</v>
      </c>
      <c r="F16" s="243">
        <v>6</v>
      </c>
      <c r="G16" s="239">
        <f t="shared" si="0"/>
        <v>175590</v>
      </c>
      <c r="H16" s="17"/>
      <c r="I16" s="17">
        <v>175584</v>
      </c>
      <c r="J16" s="17">
        <v>0</v>
      </c>
      <c r="K16" s="17">
        <v>0</v>
      </c>
      <c r="L16" s="17">
        <v>0</v>
      </c>
      <c r="M16" s="242">
        <v>0</v>
      </c>
      <c r="N16" s="17">
        <v>0</v>
      </c>
      <c r="O16" s="17">
        <v>0</v>
      </c>
      <c r="P16" s="17">
        <v>29</v>
      </c>
      <c r="Q16" s="17">
        <v>6</v>
      </c>
      <c r="R16" s="242">
        <v>0</v>
      </c>
      <c r="S16" s="244">
        <v>0</v>
      </c>
      <c r="T16" s="244">
        <v>0</v>
      </c>
      <c r="U16" s="17">
        <v>0</v>
      </c>
      <c r="V16" s="244">
        <v>0</v>
      </c>
      <c r="W16" s="340">
        <v>1</v>
      </c>
      <c r="X16" s="244">
        <v>0</v>
      </c>
      <c r="Y16" s="244"/>
      <c r="Z16" s="241">
        <f t="shared" si="1"/>
        <v>175590</v>
      </c>
      <c r="AA16" s="341">
        <f t="shared" si="2"/>
        <v>274217</v>
      </c>
    </row>
    <row r="17" spans="1:27" s="240" customFormat="1">
      <c r="A17" s="14">
        <v>9</v>
      </c>
      <c r="B17" s="242" t="s">
        <v>816</v>
      </c>
      <c r="C17" s="244">
        <v>514991083</v>
      </c>
      <c r="D17" s="244"/>
      <c r="E17" s="243" t="s">
        <v>808</v>
      </c>
      <c r="F17" s="243">
        <v>6</v>
      </c>
      <c r="G17" s="239">
        <f t="shared" si="0"/>
        <v>39145</v>
      </c>
      <c r="H17" s="17"/>
      <c r="I17" s="245">
        <v>39145</v>
      </c>
      <c r="J17" s="17">
        <v>0</v>
      </c>
      <c r="K17" s="17">
        <v>0</v>
      </c>
      <c r="L17" s="17">
        <v>0</v>
      </c>
      <c r="M17" s="242">
        <v>0</v>
      </c>
      <c r="N17" s="17">
        <v>0</v>
      </c>
      <c r="O17" s="17">
        <v>0</v>
      </c>
      <c r="P17" s="17">
        <v>0</v>
      </c>
      <c r="Q17" s="17">
        <v>0</v>
      </c>
      <c r="R17" s="242">
        <v>0</v>
      </c>
      <c r="S17" s="244">
        <v>0</v>
      </c>
      <c r="T17" s="244">
        <v>0</v>
      </c>
      <c r="U17" s="17">
        <v>0</v>
      </c>
      <c r="V17" s="244">
        <v>0</v>
      </c>
      <c r="W17" s="340">
        <v>1</v>
      </c>
      <c r="X17" s="244">
        <v>0</v>
      </c>
      <c r="Y17" s="244"/>
      <c r="Z17" s="241">
        <f t="shared" si="1"/>
        <v>39145</v>
      </c>
      <c r="AA17" s="341">
        <f t="shared" si="2"/>
        <v>274217</v>
      </c>
    </row>
    <row r="18" spans="1:27" s="240" customFormat="1">
      <c r="A18" s="14">
        <v>10</v>
      </c>
      <c r="B18" s="242" t="s">
        <v>817</v>
      </c>
      <c r="C18" s="244">
        <v>623019809</v>
      </c>
      <c r="D18" s="244"/>
      <c r="E18" s="243" t="s">
        <v>808</v>
      </c>
      <c r="F18" s="243">
        <v>6</v>
      </c>
      <c r="G18" s="239">
        <f t="shared" si="0"/>
        <v>45482</v>
      </c>
      <c r="H18" s="17"/>
      <c r="I18" s="245">
        <v>45358</v>
      </c>
      <c r="J18" s="17">
        <v>0</v>
      </c>
      <c r="K18" s="17">
        <v>0</v>
      </c>
      <c r="L18" s="17">
        <v>0</v>
      </c>
      <c r="M18" s="242">
        <v>0</v>
      </c>
      <c r="N18" s="17">
        <v>0</v>
      </c>
      <c r="O18" s="17">
        <v>0</v>
      </c>
      <c r="P18" s="17">
        <v>622</v>
      </c>
      <c r="Q18" s="17">
        <v>124</v>
      </c>
      <c r="R18" s="242">
        <v>0</v>
      </c>
      <c r="S18" s="244">
        <v>0</v>
      </c>
      <c r="T18" s="244">
        <v>0</v>
      </c>
      <c r="U18" s="17">
        <v>0</v>
      </c>
      <c r="V18" s="244">
        <v>0</v>
      </c>
      <c r="W18" s="340">
        <v>1</v>
      </c>
      <c r="X18" s="244">
        <v>0</v>
      </c>
      <c r="Y18" s="244"/>
      <c r="Z18" s="241">
        <f t="shared" si="1"/>
        <v>45482</v>
      </c>
      <c r="AA18" s="341">
        <f t="shared" si="2"/>
        <v>274217</v>
      </c>
    </row>
    <row r="19" spans="1:27" s="240" customFormat="1">
      <c r="A19" s="14">
        <v>11</v>
      </c>
      <c r="B19" s="242" t="s">
        <v>818</v>
      </c>
      <c r="C19" s="242">
        <v>623020018</v>
      </c>
      <c r="D19" s="242"/>
      <c r="E19" s="243" t="s">
        <v>808</v>
      </c>
      <c r="F19" s="243">
        <v>6</v>
      </c>
      <c r="G19" s="239">
        <f t="shared" si="0"/>
        <v>14000</v>
      </c>
      <c r="H19" s="17"/>
      <c r="I19" s="17">
        <v>13864</v>
      </c>
      <c r="J19" s="17">
        <v>0</v>
      </c>
      <c r="K19" s="17">
        <v>0</v>
      </c>
      <c r="L19" s="17">
        <v>0</v>
      </c>
      <c r="M19" s="242">
        <v>0</v>
      </c>
      <c r="N19" s="17">
        <v>0</v>
      </c>
      <c r="O19" s="17">
        <v>0</v>
      </c>
      <c r="P19" s="17">
        <v>678</v>
      </c>
      <c r="Q19" s="17">
        <v>136</v>
      </c>
      <c r="R19" s="242">
        <v>0</v>
      </c>
      <c r="S19" s="244">
        <v>0</v>
      </c>
      <c r="T19" s="244">
        <v>0</v>
      </c>
      <c r="U19" s="244">
        <v>0</v>
      </c>
      <c r="V19" s="244">
        <v>0</v>
      </c>
      <c r="W19" s="340">
        <v>1</v>
      </c>
      <c r="X19" s="244">
        <v>0</v>
      </c>
      <c r="Y19" s="244"/>
      <c r="Z19" s="241">
        <f t="shared" si="1"/>
        <v>14000</v>
      </c>
      <c r="AA19" s="341">
        <f t="shared" si="2"/>
        <v>274217</v>
      </c>
    </row>
    <row r="20" spans="1:27" s="240" customFormat="1">
      <c r="A20" s="14">
        <v>12</v>
      </c>
      <c r="B20" s="242" t="s">
        <v>819</v>
      </c>
      <c r="C20" s="242">
        <v>483772964</v>
      </c>
      <c r="D20" s="242"/>
      <c r="E20" s="243" t="s">
        <v>808</v>
      </c>
      <c r="F20" s="243">
        <v>7</v>
      </c>
      <c r="G20" s="239">
        <f t="shared" si="0"/>
        <v>267144</v>
      </c>
      <c r="H20" s="17"/>
      <c r="I20" s="245">
        <v>267144</v>
      </c>
      <c r="J20" s="17">
        <v>0</v>
      </c>
      <c r="K20" s="17">
        <v>0</v>
      </c>
      <c r="L20" s="17">
        <v>0</v>
      </c>
      <c r="M20" s="242">
        <v>0</v>
      </c>
      <c r="N20" s="17">
        <v>0</v>
      </c>
      <c r="O20" s="17">
        <v>0</v>
      </c>
      <c r="P20" s="17">
        <v>0</v>
      </c>
      <c r="Q20" s="17">
        <v>0</v>
      </c>
      <c r="R20" s="242">
        <v>0</v>
      </c>
      <c r="S20" s="244">
        <v>0</v>
      </c>
      <c r="T20" s="244">
        <v>0</v>
      </c>
      <c r="U20" s="244">
        <v>0</v>
      </c>
      <c r="V20" s="244">
        <v>0</v>
      </c>
      <c r="W20" s="340">
        <v>1</v>
      </c>
      <c r="X20" s="244">
        <v>0</v>
      </c>
      <c r="Y20" s="244"/>
      <c r="Z20" s="241">
        <f t="shared" si="1"/>
        <v>267144</v>
      </c>
      <c r="AA20" s="341">
        <f t="shared" si="2"/>
        <v>267144</v>
      </c>
    </row>
    <row r="21" spans="1:27" s="240" customFormat="1">
      <c r="A21" s="14">
        <v>13</v>
      </c>
      <c r="B21" s="242" t="s">
        <v>820</v>
      </c>
      <c r="C21" s="242">
        <v>502088864</v>
      </c>
      <c r="D21" s="242"/>
      <c r="E21" s="243" t="s">
        <v>808</v>
      </c>
      <c r="F21" s="243">
        <v>8</v>
      </c>
      <c r="G21" s="239">
        <f t="shared" si="0"/>
        <v>265883</v>
      </c>
      <c r="H21" s="17"/>
      <c r="I21" s="245">
        <v>265883</v>
      </c>
      <c r="J21" s="17">
        <v>0</v>
      </c>
      <c r="K21" s="17">
        <v>0</v>
      </c>
      <c r="L21" s="17">
        <v>0</v>
      </c>
      <c r="M21" s="242">
        <v>0</v>
      </c>
      <c r="N21" s="17">
        <v>0</v>
      </c>
      <c r="O21" s="17">
        <v>0</v>
      </c>
      <c r="P21" s="17">
        <v>0</v>
      </c>
      <c r="Q21" s="17">
        <v>0</v>
      </c>
      <c r="R21" s="242">
        <v>0</v>
      </c>
      <c r="S21" s="244">
        <v>0</v>
      </c>
      <c r="T21" s="244">
        <v>0</v>
      </c>
      <c r="U21" s="244">
        <v>0</v>
      </c>
      <c r="V21" s="244">
        <v>0</v>
      </c>
      <c r="W21" s="340">
        <v>1</v>
      </c>
      <c r="X21" s="244">
        <v>0</v>
      </c>
      <c r="Y21" s="244"/>
      <c r="Z21" s="241">
        <f t="shared" si="1"/>
        <v>265883</v>
      </c>
      <c r="AA21" s="341">
        <f t="shared" si="2"/>
        <v>265883</v>
      </c>
    </row>
    <row r="22" spans="1:27" s="240" customFormat="1">
      <c r="A22" s="14">
        <v>14</v>
      </c>
      <c r="B22" s="242" t="s">
        <v>821</v>
      </c>
      <c r="C22" s="242">
        <v>501222064</v>
      </c>
      <c r="D22" s="242"/>
      <c r="E22" s="243" t="s">
        <v>808</v>
      </c>
      <c r="F22" s="243">
        <v>9</v>
      </c>
      <c r="G22" s="239">
        <f t="shared" si="0"/>
        <v>173378</v>
      </c>
      <c r="H22" s="17"/>
      <c r="I22" s="245">
        <v>172848</v>
      </c>
      <c r="J22" s="17">
        <v>0</v>
      </c>
      <c r="K22" s="17">
        <v>0</v>
      </c>
      <c r="L22" s="17">
        <v>0</v>
      </c>
      <c r="M22" s="242">
        <v>0</v>
      </c>
      <c r="N22" s="17">
        <v>0</v>
      </c>
      <c r="O22" s="17">
        <v>0</v>
      </c>
      <c r="P22" s="17">
        <v>2649</v>
      </c>
      <c r="Q22" s="17">
        <v>530</v>
      </c>
      <c r="R22" s="242">
        <v>0</v>
      </c>
      <c r="S22" s="244">
        <v>0</v>
      </c>
      <c r="T22" s="244">
        <v>0</v>
      </c>
      <c r="U22" s="244">
        <v>0</v>
      </c>
      <c r="V22" s="244">
        <v>0</v>
      </c>
      <c r="W22" s="340">
        <v>1</v>
      </c>
      <c r="X22" s="244">
        <v>0</v>
      </c>
      <c r="Y22" s="244"/>
      <c r="Z22" s="241">
        <f t="shared" si="1"/>
        <v>173378</v>
      </c>
      <c r="AA22" s="341">
        <f t="shared" si="2"/>
        <v>173378</v>
      </c>
    </row>
    <row r="23" spans="1:27" s="240" customFormat="1">
      <c r="A23" s="14">
        <v>15</v>
      </c>
      <c r="B23" s="242" t="s">
        <v>822</v>
      </c>
      <c r="C23" s="242">
        <v>500432255</v>
      </c>
      <c r="D23" s="242"/>
      <c r="E23" s="243" t="s">
        <v>808</v>
      </c>
      <c r="F23" s="243">
        <v>10</v>
      </c>
      <c r="G23" s="239">
        <f t="shared" si="0"/>
        <v>168892</v>
      </c>
      <c r="H23" s="242"/>
      <c r="I23" s="242">
        <v>163189</v>
      </c>
      <c r="J23" s="242">
        <v>0</v>
      </c>
      <c r="K23" s="242">
        <v>0</v>
      </c>
      <c r="L23" s="242">
        <v>0</v>
      </c>
      <c r="M23" s="242">
        <v>0</v>
      </c>
      <c r="N23" s="17">
        <v>0</v>
      </c>
      <c r="O23" s="17">
        <v>0</v>
      </c>
      <c r="P23" s="17">
        <v>28513</v>
      </c>
      <c r="Q23" s="17">
        <v>5703</v>
      </c>
      <c r="R23" s="242">
        <v>0</v>
      </c>
      <c r="S23" s="244">
        <v>0</v>
      </c>
      <c r="T23" s="244">
        <v>0</v>
      </c>
      <c r="U23" s="244">
        <v>0</v>
      </c>
      <c r="V23" s="244">
        <v>0</v>
      </c>
      <c r="W23" s="340">
        <v>1</v>
      </c>
      <c r="X23" s="244">
        <v>0</v>
      </c>
      <c r="Y23" s="244"/>
      <c r="Z23" s="241">
        <f t="shared" si="1"/>
        <v>168892</v>
      </c>
      <c r="AA23" s="341">
        <f t="shared" si="2"/>
        <v>168892</v>
      </c>
    </row>
    <row r="24" spans="1:27" s="240" customFormat="1">
      <c r="A24" s="14">
        <v>16</v>
      </c>
      <c r="B24" s="242" t="s">
        <v>823</v>
      </c>
      <c r="C24" s="244">
        <v>485258160</v>
      </c>
      <c r="D24" s="244"/>
      <c r="E24" s="243" t="s">
        <v>808</v>
      </c>
      <c r="F24" s="243">
        <v>11</v>
      </c>
      <c r="G24" s="239">
        <f t="shared" si="0"/>
        <v>111850</v>
      </c>
      <c r="H24" s="242"/>
      <c r="I24" s="245">
        <v>96331</v>
      </c>
      <c r="J24" s="242">
        <v>0</v>
      </c>
      <c r="K24" s="242">
        <v>0</v>
      </c>
      <c r="L24" s="242">
        <v>0</v>
      </c>
      <c r="M24" s="242">
        <v>0</v>
      </c>
      <c r="N24" s="17">
        <v>0</v>
      </c>
      <c r="O24" s="17">
        <v>0</v>
      </c>
      <c r="P24" s="17">
        <v>77596</v>
      </c>
      <c r="Q24" s="17">
        <v>15519</v>
      </c>
      <c r="R24" s="242">
        <v>0</v>
      </c>
      <c r="S24" s="244">
        <v>0</v>
      </c>
      <c r="T24" s="244">
        <v>0</v>
      </c>
      <c r="U24" s="244">
        <v>0</v>
      </c>
      <c r="V24" s="244">
        <v>0</v>
      </c>
      <c r="W24" s="340">
        <v>1</v>
      </c>
      <c r="X24" s="244">
        <v>0</v>
      </c>
      <c r="Y24" s="244"/>
      <c r="Z24" s="241">
        <f t="shared" si="1"/>
        <v>111850</v>
      </c>
      <c r="AA24" s="341">
        <f t="shared" si="2"/>
        <v>111850</v>
      </c>
    </row>
    <row r="25" spans="1:27" s="240" customFormat="1">
      <c r="A25" s="14">
        <v>17</v>
      </c>
      <c r="B25" s="342" t="s">
        <v>824</v>
      </c>
      <c r="C25" s="242">
        <v>489835628</v>
      </c>
      <c r="D25" s="242"/>
      <c r="E25" s="243" t="s">
        <v>808</v>
      </c>
      <c r="F25" s="243">
        <v>12</v>
      </c>
      <c r="G25" s="239">
        <f t="shared" si="0"/>
        <v>104745</v>
      </c>
      <c r="H25" s="242"/>
      <c r="I25" s="245">
        <v>104545</v>
      </c>
      <c r="J25" s="242">
        <v>0</v>
      </c>
      <c r="K25" s="242">
        <v>0</v>
      </c>
      <c r="L25" s="242">
        <v>0</v>
      </c>
      <c r="M25" s="242">
        <v>0</v>
      </c>
      <c r="N25" s="17">
        <v>0</v>
      </c>
      <c r="O25" s="17">
        <v>0</v>
      </c>
      <c r="P25" s="17">
        <v>1000</v>
      </c>
      <c r="Q25" s="17">
        <v>200</v>
      </c>
      <c r="R25" s="242">
        <v>0</v>
      </c>
      <c r="S25" s="244">
        <v>0</v>
      </c>
      <c r="T25" s="244">
        <v>0</v>
      </c>
      <c r="U25" s="244">
        <v>0</v>
      </c>
      <c r="V25" s="244">
        <v>0</v>
      </c>
      <c r="W25" s="340">
        <v>1</v>
      </c>
      <c r="X25" s="244">
        <v>0</v>
      </c>
      <c r="Y25" s="244"/>
      <c r="Z25" s="241">
        <f t="shared" si="1"/>
        <v>104745</v>
      </c>
      <c r="AA25" s="341">
        <f t="shared" si="2"/>
        <v>104745</v>
      </c>
    </row>
    <row r="26" spans="1:27" s="240" customFormat="1">
      <c r="A26" s="14">
        <v>18</v>
      </c>
      <c r="B26" s="342" t="s">
        <v>825</v>
      </c>
      <c r="C26" s="242">
        <v>495185841</v>
      </c>
      <c r="D26" s="244"/>
      <c r="E26" s="243" t="s">
        <v>808</v>
      </c>
      <c r="F26" s="243">
        <v>13</v>
      </c>
      <c r="G26" s="239">
        <f t="shared" si="0"/>
        <v>103996</v>
      </c>
      <c r="H26" s="242"/>
      <c r="I26" s="242">
        <v>103930</v>
      </c>
      <c r="J26" s="242">
        <v>0</v>
      </c>
      <c r="K26" s="242">
        <v>0</v>
      </c>
      <c r="L26" s="242">
        <v>0</v>
      </c>
      <c r="M26" s="242">
        <v>0</v>
      </c>
      <c r="N26" s="17">
        <v>0</v>
      </c>
      <c r="O26" s="17">
        <v>0</v>
      </c>
      <c r="P26" s="17">
        <v>328</v>
      </c>
      <c r="Q26" s="17">
        <v>66</v>
      </c>
      <c r="R26" s="242">
        <v>0</v>
      </c>
      <c r="S26" s="242">
        <v>0</v>
      </c>
      <c r="T26" s="242">
        <v>0</v>
      </c>
      <c r="U26" s="242">
        <v>0</v>
      </c>
      <c r="V26" s="242">
        <v>0</v>
      </c>
      <c r="W26" s="340">
        <v>1</v>
      </c>
      <c r="X26" s="244">
        <v>0</v>
      </c>
      <c r="Y26" s="242"/>
      <c r="Z26" s="241">
        <f t="shared" si="1"/>
        <v>103996</v>
      </c>
      <c r="AA26" s="341">
        <f t="shared" si="2"/>
        <v>103996</v>
      </c>
    </row>
    <row r="27" spans="1:27" s="240" customFormat="1">
      <c r="A27" s="14">
        <v>19</v>
      </c>
      <c r="B27" s="342" t="s">
        <v>826</v>
      </c>
      <c r="C27" s="242">
        <v>490047114</v>
      </c>
      <c r="D27" s="242"/>
      <c r="E27" s="243" t="s">
        <v>808</v>
      </c>
      <c r="F27" s="243">
        <v>14</v>
      </c>
      <c r="G27" s="239">
        <f t="shared" si="0"/>
        <v>101201</v>
      </c>
      <c r="H27" s="242"/>
      <c r="I27" s="245">
        <v>101201</v>
      </c>
      <c r="J27" s="242">
        <v>0</v>
      </c>
      <c r="K27" s="242">
        <v>0</v>
      </c>
      <c r="L27" s="242">
        <v>0</v>
      </c>
      <c r="M27" s="242">
        <v>0</v>
      </c>
      <c r="N27" s="17">
        <v>0</v>
      </c>
      <c r="O27" s="17">
        <v>0</v>
      </c>
      <c r="P27" s="17">
        <v>0</v>
      </c>
      <c r="Q27" s="17">
        <v>0</v>
      </c>
      <c r="R27" s="242">
        <v>0</v>
      </c>
      <c r="S27" s="242">
        <v>0</v>
      </c>
      <c r="T27" s="242">
        <v>0</v>
      </c>
      <c r="U27" s="242">
        <v>0</v>
      </c>
      <c r="V27" s="242">
        <v>0</v>
      </c>
      <c r="W27" s="340">
        <v>1</v>
      </c>
      <c r="X27" s="244">
        <v>0</v>
      </c>
      <c r="Y27" s="242"/>
      <c r="Z27" s="241">
        <f t="shared" si="1"/>
        <v>101201</v>
      </c>
      <c r="AA27" s="341">
        <f t="shared" si="2"/>
        <v>101201</v>
      </c>
    </row>
    <row r="28" spans="1:27" s="240" customFormat="1">
      <c r="A28" s="14">
        <v>20</v>
      </c>
      <c r="B28" s="342" t="s">
        <v>827</v>
      </c>
      <c r="C28" s="242">
        <v>494210408</v>
      </c>
      <c r="D28" s="242"/>
      <c r="E28" s="243" t="s">
        <v>808</v>
      </c>
      <c r="F28" s="243">
        <v>15</v>
      </c>
      <c r="G28" s="239">
        <f t="shared" si="0"/>
        <v>50925</v>
      </c>
      <c r="H28" s="242"/>
      <c r="I28" s="245">
        <v>50925</v>
      </c>
      <c r="J28" s="242">
        <v>0</v>
      </c>
      <c r="K28" s="242">
        <v>0</v>
      </c>
      <c r="L28" s="242">
        <v>0</v>
      </c>
      <c r="M28" s="242">
        <v>0</v>
      </c>
      <c r="N28" s="17">
        <v>0</v>
      </c>
      <c r="O28" s="17">
        <v>0</v>
      </c>
      <c r="P28" s="17">
        <v>0</v>
      </c>
      <c r="Q28" s="17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340">
        <v>1</v>
      </c>
      <c r="X28" s="244">
        <v>0</v>
      </c>
      <c r="Y28" s="242"/>
      <c r="Z28" s="241">
        <f t="shared" si="1"/>
        <v>50925</v>
      </c>
      <c r="AA28" s="341">
        <f t="shared" si="2"/>
        <v>81578</v>
      </c>
    </row>
    <row r="29" spans="1:27" s="240" customFormat="1">
      <c r="A29" s="14">
        <v>21</v>
      </c>
      <c r="B29" s="342" t="s">
        <v>828</v>
      </c>
      <c r="C29" s="242">
        <v>518906040</v>
      </c>
      <c r="D29" s="242"/>
      <c r="E29" s="243" t="s">
        <v>808</v>
      </c>
      <c r="F29" s="243">
        <v>15</v>
      </c>
      <c r="G29" s="239">
        <f t="shared" si="0"/>
        <v>30653</v>
      </c>
      <c r="H29" s="242"/>
      <c r="I29" s="245">
        <v>30653</v>
      </c>
      <c r="J29" s="242">
        <v>0</v>
      </c>
      <c r="K29" s="242">
        <v>0</v>
      </c>
      <c r="L29" s="242">
        <v>0</v>
      </c>
      <c r="M29" s="242">
        <v>0</v>
      </c>
      <c r="N29" s="17">
        <v>0</v>
      </c>
      <c r="O29" s="17">
        <v>0</v>
      </c>
      <c r="P29" s="17">
        <v>0</v>
      </c>
      <c r="Q29" s="17">
        <v>0</v>
      </c>
      <c r="R29" s="242">
        <v>0</v>
      </c>
      <c r="S29" s="242">
        <v>0</v>
      </c>
      <c r="T29" s="242">
        <v>0</v>
      </c>
      <c r="U29" s="242">
        <v>0</v>
      </c>
      <c r="V29" s="242">
        <v>0</v>
      </c>
      <c r="W29" s="340">
        <v>1</v>
      </c>
      <c r="X29" s="244">
        <v>0</v>
      </c>
      <c r="Y29" s="242"/>
      <c r="Z29" s="241">
        <f t="shared" si="1"/>
        <v>30653</v>
      </c>
      <c r="AA29" s="341">
        <f t="shared" si="2"/>
        <v>81578</v>
      </c>
    </row>
    <row r="30" spans="1:27" s="240" customFormat="1">
      <c r="A30" s="14">
        <v>22</v>
      </c>
      <c r="B30" s="342" t="s">
        <v>829</v>
      </c>
      <c r="C30" s="242">
        <v>505028230</v>
      </c>
      <c r="D30" s="242"/>
      <c r="E30" s="243" t="s">
        <v>808</v>
      </c>
      <c r="F30" s="243">
        <v>16</v>
      </c>
      <c r="G30" s="239">
        <f t="shared" si="0"/>
        <v>500</v>
      </c>
      <c r="H30" s="242"/>
      <c r="I30" s="245">
        <v>0</v>
      </c>
      <c r="J30" s="242">
        <v>0</v>
      </c>
      <c r="K30" s="242">
        <v>0</v>
      </c>
      <c r="L30" s="242">
        <v>0</v>
      </c>
      <c r="M30" s="242">
        <v>0</v>
      </c>
      <c r="N30" s="17">
        <v>0</v>
      </c>
      <c r="O30" s="17">
        <v>0</v>
      </c>
      <c r="P30" s="17">
        <v>2500</v>
      </c>
      <c r="Q30" s="17">
        <v>500</v>
      </c>
      <c r="R30" s="242">
        <v>0</v>
      </c>
      <c r="S30" s="242">
        <v>0</v>
      </c>
      <c r="T30" s="242">
        <v>0</v>
      </c>
      <c r="U30" s="242">
        <v>0</v>
      </c>
      <c r="V30" s="242">
        <v>0</v>
      </c>
      <c r="W30" s="340">
        <v>1</v>
      </c>
      <c r="X30" s="244">
        <v>0</v>
      </c>
      <c r="Y30" s="242"/>
      <c r="Z30" s="241">
        <f t="shared" si="1"/>
        <v>500</v>
      </c>
      <c r="AA30" s="341">
        <f t="shared" si="2"/>
        <v>56691</v>
      </c>
    </row>
    <row r="31" spans="1:27" s="240" customFormat="1">
      <c r="A31" s="14">
        <v>23</v>
      </c>
      <c r="B31" s="342" t="s">
        <v>830</v>
      </c>
      <c r="C31" s="242">
        <v>534762999</v>
      </c>
      <c r="D31" s="242"/>
      <c r="E31" s="243" t="s">
        <v>808</v>
      </c>
      <c r="F31" s="243">
        <v>16</v>
      </c>
      <c r="G31" s="239">
        <f t="shared" si="0"/>
        <v>56191</v>
      </c>
      <c r="H31" s="242"/>
      <c r="I31" s="245">
        <v>56191</v>
      </c>
      <c r="J31" s="242">
        <v>0</v>
      </c>
      <c r="K31" s="242">
        <v>0</v>
      </c>
      <c r="L31" s="242">
        <v>0</v>
      </c>
      <c r="M31" s="242">
        <v>0</v>
      </c>
      <c r="N31" s="17">
        <v>0</v>
      </c>
      <c r="O31" s="17">
        <v>0</v>
      </c>
      <c r="P31" s="17">
        <v>0</v>
      </c>
      <c r="Q31" s="17">
        <v>0</v>
      </c>
      <c r="R31" s="242">
        <v>0</v>
      </c>
      <c r="S31" s="242">
        <v>0</v>
      </c>
      <c r="T31" s="242">
        <v>0</v>
      </c>
      <c r="U31" s="242">
        <v>0</v>
      </c>
      <c r="V31" s="242">
        <v>0</v>
      </c>
      <c r="W31" s="340">
        <v>1</v>
      </c>
      <c r="X31" s="244">
        <v>0</v>
      </c>
      <c r="Y31" s="242"/>
      <c r="Z31" s="241">
        <f t="shared" si="1"/>
        <v>56191</v>
      </c>
      <c r="AA31" s="341">
        <f t="shared" si="2"/>
        <v>56691</v>
      </c>
    </row>
    <row r="32" spans="1:27" s="240" customFormat="1">
      <c r="A32" s="14">
        <v>24</v>
      </c>
      <c r="B32" s="342" t="s">
        <v>831</v>
      </c>
      <c r="C32" s="242">
        <v>484303754</v>
      </c>
      <c r="D32" s="242"/>
      <c r="E32" s="243" t="s">
        <v>808</v>
      </c>
      <c r="F32" s="243">
        <v>17</v>
      </c>
      <c r="G32" s="239">
        <f t="shared" si="0"/>
        <v>50925</v>
      </c>
      <c r="H32" s="242"/>
      <c r="I32" s="245">
        <v>50925</v>
      </c>
      <c r="J32" s="242">
        <v>0</v>
      </c>
      <c r="K32" s="242">
        <v>0</v>
      </c>
      <c r="L32" s="242">
        <v>0</v>
      </c>
      <c r="M32" s="242">
        <v>0</v>
      </c>
      <c r="N32" s="242">
        <v>0</v>
      </c>
      <c r="O32" s="242">
        <v>0</v>
      </c>
      <c r="P32" s="242">
        <v>0</v>
      </c>
      <c r="Q32" s="242">
        <v>0</v>
      </c>
      <c r="R32" s="242">
        <v>0</v>
      </c>
      <c r="S32" s="242">
        <v>0</v>
      </c>
      <c r="T32" s="242">
        <v>0</v>
      </c>
      <c r="U32" s="242">
        <v>0</v>
      </c>
      <c r="V32" s="242">
        <v>0</v>
      </c>
      <c r="W32" s="340">
        <v>1</v>
      </c>
      <c r="X32" s="244">
        <v>0</v>
      </c>
      <c r="Y32" s="242"/>
      <c r="Z32" s="241">
        <f t="shared" si="1"/>
        <v>50925</v>
      </c>
      <c r="AA32" s="341">
        <f t="shared" si="2"/>
        <v>50925</v>
      </c>
    </row>
    <row r="33" spans="1:27" s="240" customFormat="1">
      <c r="A33" s="14">
        <v>25</v>
      </c>
      <c r="B33" s="242" t="s">
        <v>832</v>
      </c>
      <c r="C33" s="242">
        <v>451689213</v>
      </c>
      <c r="D33" s="242"/>
      <c r="E33" s="243" t="s">
        <v>808</v>
      </c>
      <c r="F33" s="243">
        <v>18</v>
      </c>
      <c r="G33" s="239">
        <f t="shared" si="0"/>
        <v>49816</v>
      </c>
      <c r="H33" s="242"/>
      <c r="I33" s="245">
        <v>49689</v>
      </c>
      <c r="J33" s="242">
        <v>0</v>
      </c>
      <c r="K33" s="242">
        <v>0</v>
      </c>
      <c r="L33" s="242">
        <v>0</v>
      </c>
      <c r="M33" s="242">
        <v>0</v>
      </c>
      <c r="N33" s="17">
        <v>0</v>
      </c>
      <c r="O33" s="17">
        <v>0</v>
      </c>
      <c r="P33" s="17">
        <v>635</v>
      </c>
      <c r="Q33" s="17">
        <v>127</v>
      </c>
      <c r="R33" s="242">
        <v>0</v>
      </c>
      <c r="S33" s="242">
        <v>0</v>
      </c>
      <c r="T33" s="242">
        <v>0</v>
      </c>
      <c r="U33" s="242">
        <v>0</v>
      </c>
      <c r="V33" s="242">
        <v>0</v>
      </c>
      <c r="W33" s="340">
        <v>1</v>
      </c>
      <c r="X33" s="244">
        <v>0</v>
      </c>
      <c r="Y33" s="242"/>
      <c r="Z33" s="241">
        <f t="shared" si="1"/>
        <v>49816</v>
      </c>
      <c r="AA33" s="341">
        <f t="shared" si="2"/>
        <v>49816</v>
      </c>
    </row>
    <row r="34" spans="1:27" s="240" customFormat="1">
      <c r="A34" s="14">
        <v>26</v>
      </c>
      <c r="B34" s="342" t="s">
        <v>833</v>
      </c>
      <c r="C34" s="242">
        <v>507715016</v>
      </c>
      <c r="D34" s="242"/>
      <c r="E34" s="243" t="s">
        <v>808</v>
      </c>
      <c r="F34" s="243">
        <v>19</v>
      </c>
      <c r="G34" s="239">
        <f t="shared" si="0"/>
        <v>38896</v>
      </c>
      <c r="H34" s="242"/>
      <c r="I34" s="246">
        <v>38896</v>
      </c>
      <c r="J34" s="242">
        <v>0</v>
      </c>
      <c r="K34" s="242">
        <v>0</v>
      </c>
      <c r="L34" s="242">
        <v>0</v>
      </c>
      <c r="M34" s="242">
        <v>0</v>
      </c>
      <c r="N34" s="17">
        <v>0</v>
      </c>
      <c r="O34" s="17">
        <v>0</v>
      </c>
      <c r="P34" s="17">
        <v>0</v>
      </c>
      <c r="Q34" s="17">
        <v>0</v>
      </c>
      <c r="R34" s="242">
        <v>0</v>
      </c>
      <c r="S34" s="242">
        <v>0</v>
      </c>
      <c r="T34" s="242">
        <v>0</v>
      </c>
      <c r="U34" s="242">
        <v>0</v>
      </c>
      <c r="V34" s="242">
        <v>0</v>
      </c>
      <c r="W34" s="340">
        <v>1</v>
      </c>
      <c r="X34" s="244">
        <v>0</v>
      </c>
      <c r="Y34" s="242"/>
      <c r="Z34" s="241">
        <f t="shared" si="1"/>
        <v>38896</v>
      </c>
      <c r="AA34" s="341">
        <f t="shared" si="2"/>
        <v>38896</v>
      </c>
    </row>
    <row r="35" spans="1:27" s="240" customFormat="1">
      <c r="A35" s="14">
        <v>27</v>
      </c>
      <c r="B35" s="342" t="s">
        <v>834</v>
      </c>
      <c r="C35" s="242" t="s">
        <v>835</v>
      </c>
      <c r="D35" s="242"/>
      <c r="E35" s="243" t="s">
        <v>808</v>
      </c>
      <c r="F35" s="243">
        <v>20</v>
      </c>
      <c r="G35" s="239">
        <f t="shared" si="0"/>
        <v>33331</v>
      </c>
      <c r="H35" s="242"/>
      <c r="I35" s="242">
        <v>32331</v>
      </c>
      <c r="J35" s="242">
        <v>0</v>
      </c>
      <c r="K35" s="242">
        <v>0</v>
      </c>
      <c r="L35" s="242">
        <v>0</v>
      </c>
      <c r="M35" s="242">
        <v>0</v>
      </c>
      <c r="N35" s="17">
        <v>0</v>
      </c>
      <c r="O35" s="17">
        <v>0</v>
      </c>
      <c r="P35" s="17">
        <v>5000</v>
      </c>
      <c r="Q35" s="17">
        <v>1000</v>
      </c>
      <c r="R35" s="242">
        <v>0</v>
      </c>
      <c r="S35" s="242">
        <v>0</v>
      </c>
      <c r="T35" s="242">
        <v>0</v>
      </c>
      <c r="U35" s="242">
        <v>0</v>
      </c>
      <c r="V35" s="242">
        <v>0</v>
      </c>
      <c r="W35" s="340">
        <v>1</v>
      </c>
      <c r="X35" s="244">
        <v>0</v>
      </c>
      <c r="Y35" s="242"/>
      <c r="Z35" s="241">
        <f t="shared" si="1"/>
        <v>33331</v>
      </c>
      <c r="AA35" s="341">
        <f t="shared" si="2"/>
        <v>33331</v>
      </c>
    </row>
    <row r="36" spans="1:27" s="240" customFormat="1">
      <c r="A36" s="14">
        <v>28</v>
      </c>
      <c r="B36" s="342" t="s">
        <v>836</v>
      </c>
      <c r="C36" s="242">
        <v>487879638</v>
      </c>
      <c r="D36" s="242"/>
      <c r="E36" s="243" t="s">
        <v>808</v>
      </c>
      <c r="F36" s="243">
        <v>21</v>
      </c>
      <c r="G36" s="239">
        <f t="shared" si="0"/>
        <v>30734</v>
      </c>
      <c r="H36" s="242"/>
      <c r="I36" s="245">
        <v>6348</v>
      </c>
      <c r="J36" s="242">
        <v>0</v>
      </c>
      <c r="K36" s="242">
        <v>11656</v>
      </c>
      <c r="L36" s="242">
        <v>0</v>
      </c>
      <c r="M36" s="242">
        <v>0</v>
      </c>
      <c r="N36" s="17">
        <v>0</v>
      </c>
      <c r="O36" s="17">
        <v>0</v>
      </c>
      <c r="P36" s="17">
        <v>63652</v>
      </c>
      <c r="Q36" s="17">
        <v>12730</v>
      </c>
      <c r="R36" s="242">
        <v>0</v>
      </c>
      <c r="S36" s="242">
        <v>0</v>
      </c>
      <c r="T36" s="242">
        <v>0</v>
      </c>
      <c r="U36" s="242">
        <v>0</v>
      </c>
      <c r="V36" s="242">
        <v>0</v>
      </c>
      <c r="W36" s="340">
        <v>1</v>
      </c>
      <c r="X36" s="244">
        <v>0</v>
      </c>
      <c r="Y36" s="242"/>
      <c r="Z36" s="241">
        <f t="shared" si="1"/>
        <v>30734</v>
      </c>
      <c r="AA36" s="341">
        <f t="shared" si="2"/>
        <v>30734</v>
      </c>
    </row>
    <row r="37" spans="1:27" s="240" customFormat="1">
      <c r="A37" s="14">
        <v>29</v>
      </c>
      <c r="B37" s="342" t="s">
        <v>837</v>
      </c>
      <c r="C37" s="242">
        <v>516676021</v>
      </c>
      <c r="D37" s="242"/>
      <c r="E37" s="243" t="s">
        <v>808</v>
      </c>
      <c r="F37" s="243">
        <v>22</v>
      </c>
      <c r="G37" s="239">
        <f t="shared" si="0"/>
        <v>30546</v>
      </c>
      <c r="H37" s="242"/>
      <c r="I37" s="245">
        <v>29790</v>
      </c>
      <c r="J37" s="242">
        <v>0</v>
      </c>
      <c r="K37" s="242">
        <v>0</v>
      </c>
      <c r="L37" s="242">
        <v>0</v>
      </c>
      <c r="M37" s="242">
        <v>0</v>
      </c>
      <c r="N37" s="17">
        <v>0</v>
      </c>
      <c r="O37" s="17">
        <v>0</v>
      </c>
      <c r="P37" s="17">
        <v>3778</v>
      </c>
      <c r="Q37" s="17">
        <v>756</v>
      </c>
      <c r="R37" s="242">
        <v>0</v>
      </c>
      <c r="S37" s="242">
        <v>0</v>
      </c>
      <c r="T37" s="242">
        <v>0</v>
      </c>
      <c r="U37" s="242">
        <v>0</v>
      </c>
      <c r="V37" s="242">
        <v>0</v>
      </c>
      <c r="W37" s="340">
        <v>1</v>
      </c>
      <c r="X37" s="244">
        <v>0</v>
      </c>
      <c r="Y37" s="242"/>
      <c r="Z37" s="241">
        <f t="shared" si="1"/>
        <v>30546</v>
      </c>
      <c r="AA37" s="341">
        <f t="shared" si="2"/>
        <v>30546</v>
      </c>
    </row>
    <row r="38" spans="1:27" s="240" customFormat="1">
      <c r="A38" s="14">
        <v>30</v>
      </c>
      <c r="B38" s="242" t="s">
        <v>838</v>
      </c>
      <c r="C38" s="242">
        <v>504112444</v>
      </c>
      <c r="D38" s="242"/>
      <c r="E38" s="243" t="s">
        <v>808</v>
      </c>
      <c r="F38" s="243">
        <v>23</v>
      </c>
      <c r="G38" s="239">
        <f t="shared" si="0"/>
        <v>30294</v>
      </c>
      <c r="H38" s="242"/>
      <c r="I38" s="242">
        <v>30234</v>
      </c>
      <c r="J38" s="242">
        <v>0</v>
      </c>
      <c r="K38" s="242">
        <v>0</v>
      </c>
      <c r="L38" s="242">
        <v>0</v>
      </c>
      <c r="M38" s="242">
        <v>0</v>
      </c>
      <c r="N38" s="17">
        <v>0</v>
      </c>
      <c r="O38" s="17">
        <v>0</v>
      </c>
      <c r="P38" s="17">
        <v>301</v>
      </c>
      <c r="Q38" s="17">
        <v>60</v>
      </c>
      <c r="R38" s="242">
        <v>0</v>
      </c>
      <c r="S38" s="242">
        <v>0</v>
      </c>
      <c r="T38" s="242">
        <v>0</v>
      </c>
      <c r="U38" s="242">
        <v>0</v>
      </c>
      <c r="V38" s="242">
        <v>0</v>
      </c>
      <c r="W38" s="340">
        <v>1</v>
      </c>
      <c r="X38" s="244">
        <v>0</v>
      </c>
      <c r="Y38" s="242"/>
      <c r="Z38" s="241">
        <f t="shared" si="1"/>
        <v>30294</v>
      </c>
      <c r="AA38" s="341">
        <f t="shared" si="2"/>
        <v>30294</v>
      </c>
    </row>
    <row r="39" spans="1:27" s="240" customFormat="1">
      <c r="A39" s="14">
        <v>31</v>
      </c>
      <c r="B39" s="242" t="s">
        <v>839</v>
      </c>
      <c r="C39" s="242">
        <v>518064275</v>
      </c>
      <c r="D39" s="242"/>
      <c r="E39" s="243" t="s">
        <v>808</v>
      </c>
      <c r="F39" s="243">
        <v>24</v>
      </c>
      <c r="G39" s="239">
        <f t="shared" si="0"/>
        <v>16410</v>
      </c>
      <c r="H39" s="242"/>
      <c r="I39" s="242">
        <v>16010</v>
      </c>
      <c r="J39" s="242">
        <v>0</v>
      </c>
      <c r="K39" s="242">
        <v>0</v>
      </c>
      <c r="L39" s="242">
        <v>0</v>
      </c>
      <c r="M39" s="242">
        <v>0</v>
      </c>
      <c r="N39" s="17">
        <v>0</v>
      </c>
      <c r="O39" s="17">
        <v>0</v>
      </c>
      <c r="P39" s="17">
        <v>2000</v>
      </c>
      <c r="Q39" s="17">
        <v>400</v>
      </c>
      <c r="R39" s="242">
        <v>0</v>
      </c>
      <c r="S39" s="242">
        <v>0</v>
      </c>
      <c r="T39" s="242">
        <v>0</v>
      </c>
      <c r="U39" s="242">
        <v>0</v>
      </c>
      <c r="V39" s="242">
        <v>0</v>
      </c>
      <c r="W39" s="340">
        <v>1</v>
      </c>
      <c r="X39" s="244">
        <v>0</v>
      </c>
      <c r="Y39" s="242"/>
      <c r="Z39" s="241">
        <f t="shared" si="1"/>
        <v>16410</v>
      </c>
      <c r="AA39" s="341">
        <f t="shared" si="2"/>
        <v>16410</v>
      </c>
    </row>
    <row r="40" spans="1:27" s="240" customFormat="1">
      <c r="A40" s="14">
        <v>32</v>
      </c>
      <c r="B40" s="242" t="s">
        <v>840</v>
      </c>
      <c r="C40" s="242">
        <v>453636198</v>
      </c>
      <c r="D40" s="242"/>
      <c r="E40" s="243" t="s">
        <v>808</v>
      </c>
      <c r="F40" s="243">
        <v>25</v>
      </c>
      <c r="G40" s="239">
        <f t="shared" si="0"/>
        <v>16000</v>
      </c>
      <c r="H40" s="242"/>
      <c r="I40" s="242">
        <v>0</v>
      </c>
      <c r="J40" s="242">
        <v>0</v>
      </c>
      <c r="K40" s="242">
        <v>0</v>
      </c>
      <c r="L40" s="242">
        <v>0</v>
      </c>
      <c r="M40" s="242">
        <v>0</v>
      </c>
      <c r="N40" s="17">
        <v>0</v>
      </c>
      <c r="O40" s="17">
        <v>0</v>
      </c>
      <c r="P40" s="17">
        <v>80000</v>
      </c>
      <c r="Q40" s="17">
        <v>16000</v>
      </c>
      <c r="R40" s="242">
        <v>0</v>
      </c>
      <c r="S40" s="242">
        <v>0</v>
      </c>
      <c r="T40" s="242">
        <v>0</v>
      </c>
      <c r="U40" s="242">
        <v>0</v>
      </c>
      <c r="V40" s="242">
        <v>0</v>
      </c>
      <c r="W40" s="340">
        <v>1</v>
      </c>
      <c r="X40" s="244">
        <v>0</v>
      </c>
      <c r="Y40" s="242"/>
      <c r="Z40" s="241">
        <f t="shared" si="1"/>
        <v>16000</v>
      </c>
      <c r="AA40" s="341">
        <f t="shared" si="2"/>
        <v>16000</v>
      </c>
    </row>
    <row r="41" spans="1:27" s="240" customFormat="1">
      <c r="A41" s="14">
        <v>33</v>
      </c>
      <c r="B41" s="342" t="s">
        <v>841</v>
      </c>
      <c r="C41" s="242">
        <v>516056943</v>
      </c>
      <c r="D41" s="244"/>
      <c r="E41" s="243" t="s">
        <v>808</v>
      </c>
      <c r="F41" s="243">
        <v>26</v>
      </c>
      <c r="G41" s="239">
        <f t="shared" ref="G41:G88" si="3">+H41+I41+J41+K41+M41+O41+Q41+S41</f>
        <v>11808</v>
      </c>
      <c r="H41" s="242"/>
      <c r="I41" s="245">
        <v>3931</v>
      </c>
      <c r="J41" s="242">
        <v>0</v>
      </c>
      <c r="K41" s="242">
        <v>6663</v>
      </c>
      <c r="L41" s="242">
        <v>0</v>
      </c>
      <c r="M41" s="242">
        <v>0</v>
      </c>
      <c r="N41" s="17">
        <v>0</v>
      </c>
      <c r="O41" s="17">
        <v>0</v>
      </c>
      <c r="P41" s="17">
        <v>6069</v>
      </c>
      <c r="Q41" s="17">
        <v>1214</v>
      </c>
      <c r="R41" s="242">
        <v>0</v>
      </c>
      <c r="S41" s="242">
        <v>0</v>
      </c>
      <c r="T41" s="242">
        <v>0</v>
      </c>
      <c r="U41" s="242">
        <v>0</v>
      </c>
      <c r="V41" s="242">
        <v>0</v>
      </c>
      <c r="W41" s="340">
        <v>1</v>
      </c>
      <c r="X41" s="244">
        <v>0</v>
      </c>
      <c r="Y41" s="242"/>
      <c r="Z41" s="241">
        <f t="shared" ref="Z41:Z88" si="4">+G41-V41-X41</f>
        <v>11808</v>
      </c>
      <c r="AA41" s="341">
        <f t="shared" si="2"/>
        <v>11808</v>
      </c>
    </row>
    <row r="42" spans="1:27" s="240" customFormat="1">
      <c r="A42" s="14">
        <v>34</v>
      </c>
      <c r="B42" s="342" t="s">
        <v>842</v>
      </c>
      <c r="C42" s="242">
        <v>523997774</v>
      </c>
      <c r="D42" s="244"/>
      <c r="E42" s="243" t="s">
        <v>808</v>
      </c>
      <c r="F42" s="243">
        <v>27</v>
      </c>
      <c r="G42" s="239">
        <f t="shared" si="3"/>
        <v>10835</v>
      </c>
      <c r="H42" s="242"/>
      <c r="I42" s="242">
        <v>10835</v>
      </c>
      <c r="J42" s="242">
        <v>0</v>
      </c>
      <c r="K42" s="242">
        <v>0</v>
      </c>
      <c r="L42" s="242">
        <v>0</v>
      </c>
      <c r="M42" s="242">
        <v>0</v>
      </c>
      <c r="N42" s="17">
        <v>0</v>
      </c>
      <c r="O42" s="17">
        <v>0</v>
      </c>
      <c r="P42" s="17">
        <v>0</v>
      </c>
      <c r="Q42" s="17">
        <v>0</v>
      </c>
      <c r="R42" s="242">
        <v>0</v>
      </c>
      <c r="S42" s="242">
        <v>0</v>
      </c>
      <c r="T42" s="242">
        <v>0</v>
      </c>
      <c r="U42" s="242">
        <v>0</v>
      </c>
      <c r="V42" s="242">
        <v>0</v>
      </c>
      <c r="W42" s="340">
        <v>1</v>
      </c>
      <c r="X42" s="244">
        <v>0</v>
      </c>
      <c r="Y42" s="242"/>
      <c r="Z42" s="241">
        <f t="shared" si="4"/>
        <v>10835</v>
      </c>
      <c r="AA42" s="341">
        <f t="shared" si="2"/>
        <v>10835</v>
      </c>
    </row>
    <row r="43" spans="1:27" s="240" customFormat="1">
      <c r="A43" s="14">
        <v>35</v>
      </c>
      <c r="B43" s="342" t="s">
        <v>843</v>
      </c>
      <c r="C43" s="242">
        <v>472401759</v>
      </c>
      <c r="D43" s="244"/>
      <c r="E43" s="243" t="s">
        <v>808</v>
      </c>
      <c r="F43" s="243">
        <v>28</v>
      </c>
      <c r="G43" s="239">
        <f t="shared" si="3"/>
        <v>10000</v>
      </c>
      <c r="H43" s="242"/>
      <c r="I43" s="242">
        <v>10000</v>
      </c>
      <c r="J43" s="242">
        <v>0</v>
      </c>
      <c r="K43" s="242">
        <v>0</v>
      </c>
      <c r="L43" s="242">
        <v>0</v>
      </c>
      <c r="M43" s="242">
        <v>0</v>
      </c>
      <c r="N43" s="17">
        <v>0</v>
      </c>
      <c r="O43" s="17">
        <v>0</v>
      </c>
      <c r="P43" s="17">
        <v>0</v>
      </c>
      <c r="Q43" s="17">
        <v>0</v>
      </c>
      <c r="R43" s="242">
        <v>0</v>
      </c>
      <c r="S43" s="242">
        <v>0</v>
      </c>
      <c r="T43" s="242">
        <v>0</v>
      </c>
      <c r="U43" s="242">
        <v>0</v>
      </c>
      <c r="V43" s="242">
        <v>0</v>
      </c>
      <c r="W43" s="340">
        <v>1</v>
      </c>
      <c r="X43" s="244">
        <v>0</v>
      </c>
      <c r="Y43" s="242"/>
      <c r="Z43" s="241">
        <f t="shared" si="4"/>
        <v>10000</v>
      </c>
      <c r="AA43" s="341">
        <f t="shared" si="2"/>
        <v>10000</v>
      </c>
    </row>
    <row r="44" spans="1:27" s="240" customFormat="1">
      <c r="A44" s="14">
        <v>36</v>
      </c>
      <c r="B44" s="242" t="s">
        <v>844</v>
      </c>
      <c r="C44" s="242">
        <v>432012108</v>
      </c>
      <c r="D44" s="242"/>
      <c r="E44" s="243" t="s">
        <v>808</v>
      </c>
      <c r="F44" s="243">
        <v>29</v>
      </c>
      <c r="G44" s="239">
        <f t="shared" si="3"/>
        <v>5351</v>
      </c>
      <c r="H44" s="242"/>
      <c r="I44" s="242">
        <v>5351</v>
      </c>
      <c r="J44" s="242">
        <v>0</v>
      </c>
      <c r="K44" s="242">
        <v>0</v>
      </c>
      <c r="L44" s="242">
        <v>0</v>
      </c>
      <c r="M44" s="242">
        <v>0</v>
      </c>
      <c r="N44" s="17">
        <v>0</v>
      </c>
      <c r="O44" s="17">
        <v>0</v>
      </c>
      <c r="P44" s="17">
        <v>0</v>
      </c>
      <c r="Q44" s="17">
        <v>0</v>
      </c>
      <c r="R44" s="242">
        <v>0</v>
      </c>
      <c r="S44" s="242">
        <v>0</v>
      </c>
      <c r="T44" s="242">
        <v>0</v>
      </c>
      <c r="U44" s="242">
        <v>0</v>
      </c>
      <c r="V44" s="242">
        <v>0</v>
      </c>
      <c r="W44" s="340">
        <v>1</v>
      </c>
      <c r="X44" s="242">
        <v>0</v>
      </c>
      <c r="Y44" s="242"/>
      <c r="Z44" s="241">
        <f t="shared" si="4"/>
        <v>5351</v>
      </c>
      <c r="AA44" s="341">
        <f t="shared" si="2"/>
        <v>5351</v>
      </c>
    </row>
    <row r="45" spans="1:27" s="240" customFormat="1">
      <c r="A45" s="14">
        <v>37</v>
      </c>
      <c r="B45" s="242" t="s">
        <v>845</v>
      </c>
      <c r="C45" s="242">
        <v>637144495</v>
      </c>
      <c r="D45" s="242"/>
      <c r="E45" s="243" t="s">
        <v>808</v>
      </c>
      <c r="F45" s="243">
        <v>30</v>
      </c>
      <c r="G45" s="239">
        <f t="shared" si="3"/>
        <v>5273</v>
      </c>
      <c r="H45" s="242"/>
      <c r="I45" s="242">
        <v>4086</v>
      </c>
      <c r="J45" s="242">
        <v>0</v>
      </c>
      <c r="K45" s="242">
        <v>0</v>
      </c>
      <c r="L45" s="242">
        <v>0</v>
      </c>
      <c r="M45" s="242">
        <v>0</v>
      </c>
      <c r="N45" s="17">
        <v>0</v>
      </c>
      <c r="O45" s="17">
        <v>0</v>
      </c>
      <c r="P45" s="17">
        <v>5934</v>
      </c>
      <c r="Q45" s="17">
        <v>1187</v>
      </c>
      <c r="R45" s="242">
        <v>0</v>
      </c>
      <c r="S45" s="242">
        <v>0</v>
      </c>
      <c r="T45" s="242">
        <v>0</v>
      </c>
      <c r="U45" s="242">
        <v>0</v>
      </c>
      <c r="V45" s="242">
        <v>0</v>
      </c>
      <c r="W45" s="340">
        <v>1</v>
      </c>
      <c r="X45" s="242">
        <v>0</v>
      </c>
      <c r="Y45" s="242"/>
      <c r="Z45" s="241">
        <f t="shared" si="4"/>
        <v>5273</v>
      </c>
      <c r="AA45" s="341">
        <f t="shared" si="2"/>
        <v>5273</v>
      </c>
    </row>
    <row r="46" spans="1:27" s="240" customFormat="1">
      <c r="A46" s="14">
        <v>38</v>
      </c>
      <c r="B46" s="242" t="s">
        <v>846</v>
      </c>
      <c r="C46" s="242">
        <v>485880308</v>
      </c>
      <c r="D46" s="242"/>
      <c r="E46" s="243" t="s">
        <v>808</v>
      </c>
      <c r="F46" s="243">
        <v>31</v>
      </c>
      <c r="G46" s="239">
        <f t="shared" si="3"/>
        <v>4767</v>
      </c>
      <c r="H46" s="242"/>
      <c r="I46" s="242">
        <v>3459</v>
      </c>
      <c r="J46" s="242">
        <v>0</v>
      </c>
      <c r="K46" s="242">
        <v>0</v>
      </c>
      <c r="L46" s="242">
        <v>0</v>
      </c>
      <c r="M46" s="242">
        <v>0</v>
      </c>
      <c r="N46" s="17">
        <v>0</v>
      </c>
      <c r="O46" s="17">
        <v>0</v>
      </c>
      <c r="P46" s="17">
        <v>6541</v>
      </c>
      <c r="Q46" s="17">
        <v>1308</v>
      </c>
      <c r="R46" s="242">
        <v>0</v>
      </c>
      <c r="S46" s="242">
        <v>0</v>
      </c>
      <c r="T46" s="242">
        <v>0</v>
      </c>
      <c r="U46" s="242">
        <v>0</v>
      </c>
      <c r="V46" s="242">
        <v>0</v>
      </c>
      <c r="W46" s="340">
        <v>1</v>
      </c>
      <c r="X46" s="242">
        <v>0</v>
      </c>
      <c r="Y46" s="242"/>
      <c r="Z46" s="241">
        <f t="shared" si="4"/>
        <v>4767</v>
      </c>
      <c r="AA46" s="341">
        <f t="shared" si="2"/>
        <v>4767</v>
      </c>
    </row>
    <row r="47" spans="1:27" s="240" customFormat="1">
      <c r="A47" s="14">
        <v>39</v>
      </c>
      <c r="B47" s="242" t="s">
        <v>847</v>
      </c>
      <c r="C47" s="242">
        <v>487396796</v>
      </c>
      <c r="D47" s="242"/>
      <c r="E47" s="243" t="s">
        <v>808</v>
      </c>
      <c r="F47" s="243">
        <v>32</v>
      </c>
      <c r="G47" s="239">
        <f t="shared" ref="G47:G53" si="5">+H47+I47+J47+K47+M47+O47+Q47+S47</f>
        <v>2996</v>
      </c>
      <c r="H47" s="242"/>
      <c r="I47" s="242">
        <v>0</v>
      </c>
      <c r="J47" s="242">
        <v>0</v>
      </c>
      <c r="K47" s="242">
        <v>0</v>
      </c>
      <c r="L47" s="242">
        <v>0</v>
      </c>
      <c r="M47" s="242">
        <v>0</v>
      </c>
      <c r="N47" s="17">
        <v>0</v>
      </c>
      <c r="O47" s="17">
        <v>0</v>
      </c>
      <c r="P47" s="17">
        <v>14980</v>
      </c>
      <c r="Q47" s="17">
        <v>2996</v>
      </c>
      <c r="R47" s="242">
        <v>0</v>
      </c>
      <c r="S47" s="242">
        <v>0</v>
      </c>
      <c r="T47" s="242">
        <v>0</v>
      </c>
      <c r="U47" s="242">
        <v>0</v>
      </c>
      <c r="V47" s="242">
        <v>0</v>
      </c>
      <c r="W47" s="340">
        <v>1</v>
      </c>
      <c r="X47" s="242">
        <v>0</v>
      </c>
      <c r="Y47" s="242"/>
      <c r="Z47" s="241">
        <f t="shared" ref="Z47:Z53" si="6">+G47-V47-X47</f>
        <v>2996</v>
      </c>
      <c r="AA47" s="341">
        <f t="shared" si="2"/>
        <v>2996</v>
      </c>
    </row>
    <row r="48" spans="1:27" s="240" customFormat="1">
      <c r="A48" s="14">
        <v>40</v>
      </c>
      <c r="B48" s="242" t="s">
        <v>848</v>
      </c>
      <c r="C48" s="242">
        <v>490897354</v>
      </c>
      <c r="D48" s="242"/>
      <c r="E48" s="243" t="s">
        <v>808</v>
      </c>
      <c r="F48" s="243">
        <v>33</v>
      </c>
      <c r="G48" s="239">
        <f t="shared" si="5"/>
        <v>2838</v>
      </c>
      <c r="H48" s="242"/>
      <c r="I48" s="242">
        <v>0</v>
      </c>
      <c r="J48" s="242">
        <v>0</v>
      </c>
      <c r="K48" s="242">
        <v>338</v>
      </c>
      <c r="L48" s="242">
        <v>0</v>
      </c>
      <c r="M48" s="242">
        <v>0</v>
      </c>
      <c r="N48" s="17">
        <v>0</v>
      </c>
      <c r="O48" s="17">
        <v>0</v>
      </c>
      <c r="P48" s="17">
        <v>12500</v>
      </c>
      <c r="Q48" s="17">
        <v>2500</v>
      </c>
      <c r="R48" s="242">
        <v>0</v>
      </c>
      <c r="S48" s="242">
        <v>0</v>
      </c>
      <c r="T48" s="242">
        <v>0</v>
      </c>
      <c r="U48" s="242">
        <v>0</v>
      </c>
      <c r="V48" s="242">
        <v>0</v>
      </c>
      <c r="W48" s="340">
        <v>1</v>
      </c>
      <c r="X48" s="242">
        <v>0</v>
      </c>
      <c r="Y48" s="242"/>
      <c r="Z48" s="241">
        <f t="shared" si="6"/>
        <v>2838</v>
      </c>
      <c r="AA48" s="341">
        <f t="shared" si="2"/>
        <v>2838</v>
      </c>
    </row>
    <row r="49" spans="1:27" s="240" customFormat="1">
      <c r="A49" s="14">
        <v>41</v>
      </c>
      <c r="B49" s="242"/>
      <c r="C49" s="242"/>
      <c r="D49" s="242"/>
      <c r="E49" s="243"/>
      <c r="F49" s="243"/>
      <c r="G49" s="239">
        <f t="shared" si="5"/>
        <v>0</v>
      </c>
      <c r="H49" s="242"/>
      <c r="I49" s="242"/>
      <c r="J49" s="242"/>
      <c r="K49" s="242"/>
      <c r="L49" s="242"/>
      <c r="M49" s="242"/>
      <c r="N49" s="17"/>
      <c r="O49" s="17"/>
      <c r="P49" s="17"/>
      <c r="Q49" s="17"/>
      <c r="R49" s="242"/>
      <c r="S49" s="242"/>
      <c r="T49" s="242"/>
      <c r="U49" s="242"/>
      <c r="V49" s="242"/>
      <c r="W49" s="242"/>
      <c r="X49" s="242"/>
      <c r="Y49" s="242"/>
      <c r="Z49" s="241">
        <f t="shared" si="6"/>
        <v>0</v>
      </c>
      <c r="AA49" s="341">
        <f t="shared" si="2"/>
        <v>0</v>
      </c>
    </row>
    <row r="50" spans="1:27" s="240" customFormat="1">
      <c r="A50" s="14">
        <v>42</v>
      </c>
      <c r="B50" s="242"/>
      <c r="C50" s="242"/>
      <c r="D50" s="242"/>
      <c r="E50" s="243"/>
      <c r="F50" s="243"/>
      <c r="G50" s="239">
        <f t="shared" si="5"/>
        <v>0</v>
      </c>
      <c r="H50" s="242"/>
      <c r="I50" s="242"/>
      <c r="J50" s="242"/>
      <c r="K50" s="242"/>
      <c r="L50" s="242"/>
      <c r="M50" s="242"/>
      <c r="N50" s="17"/>
      <c r="O50" s="17"/>
      <c r="P50" s="17"/>
      <c r="Q50" s="17"/>
      <c r="R50" s="242"/>
      <c r="S50" s="242"/>
      <c r="T50" s="242"/>
      <c r="U50" s="242"/>
      <c r="V50" s="242"/>
      <c r="W50" s="242"/>
      <c r="X50" s="242"/>
      <c r="Y50" s="242"/>
      <c r="Z50" s="241">
        <f t="shared" si="6"/>
        <v>0</v>
      </c>
      <c r="AA50" s="341">
        <f t="shared" si="2"/>
        <v>0</v>
      </c>
    </row>
    <row r="51" spans="1:27" s="240" customFormat="1">
      <c r="A51" s="14">
        <v>43</v>
      </c>
      <c r="B51" s="242"/>
      <c r="C51" s="242"/>
      <c r="D51" s="242"/>
      <c r="E51" s="243"/>
      <c r="F51" s="243"/>
      <c r="G51" s="239">
        <f t="shared" si="5"/>
        <v>0</v>
      </c>
      <c r="H51" s="242"/>
      <c r="I51" s="242"/>
      <c r="J51" s="242"/>
      <c r="K51" s="242"/>
      <c r="L51" s="242"/>
      <c r="M51" s="242"/>
      <c r="N51" s="17"/>
      <c r="O51" s="17"/>
      <c r="P51" s="17"/>
      <c r="Q51" s="17"/>
      <c r="R51" s="242"/>
      <c r="S51" s="242"/>
      <c r="T51" s="242"/>
      <c r="U51" s="242"/>
      <c r="V51" s="242"/>
      <c r="W51" s="242"/>
      <c r="X51" s="242"/>
      <c r="Y51" s="242"/>
      <c r="Z51" s="241">
        <f t="shared" si="6"/>
        <v>0</v>
      </c>
      <c r="AA51" s="341">
        <f t="shared" si="2"/>
        <v>0</v>
      </c>
    </row>
    <row r="52" spans="1:27" s="240" customFormat="1">
      <c r="A52" s="14">
        <v>44</v>
      </c>
      <c r="B52" s="242"/>
      <c r="C52" s="242"/>
      <c r="D52" s="242"/>
      <c r="E52" s="243"/>
      <c r="F52" s="243"/>
      <c r="G52" s="239">
        <f t="shared" si="5"/>
        <v>0</v>
      </c>
      <c r="H52" s="242"/>
      <c r="I52" s="242"/>
      <c r="J52" s="242"/>
      <c r="K52" s="242"/>
      <c r="L52" s="242"/>
      <c r="M52" s="242"/>
      <c r="N52" s="17"/>
      <c r="O52" s="17"/>
      <c r="P52" s="17"/>
      <c r="Q52" s="17"/>
      <c r="R52" s="242"/>
      <c r="S52" s="242"/>
      <c r="T52" s="242"/>
      <c r="U52" s="242"/>
      <c r="V52" s="242"/>
      <c r="W52" s="242"/>
      <c r="X52" s="242"/>
      <c r="Y52" s="242"/>
      <c r="Z52" s="241">
        <f t="shared" si="6"/>
        <v>0</v>
      </c>
      <c r="AA52" s="341">
        <f t="shared" si="2"/>
        <v>0</v>
      </c>
    </row>
    <row r="53" spans="1:27" s="240" customFormat="1">
      <c r="A53" s="14">
        <v>45</v>
      </c>
      <c r="B53" s="242"/>
      <c r="C53" s="242"/>
      <c r="D53" s="242"/>
      <c r="E53" s="243"/>
      <c r="F53" s="243"/>
      <c r="G53" s="239">
        <f t="shared" si="5"/>
        <v>0</v>
      </c>
      <c r="H53" s="242"/>
      <c r="I53" s="242"/>
      <c r="J53" s="242"/>
      <c r="K53" s="242"/>
      <c r="L53" s="242"/>
      <c r="M53" s="242"/>
      <c r="N53" s="17"/>
      <c r="O53" s="17"/>
      <c r="P53" s="17"/>
      <c r="Q53" s="17"/>
      <c r="R53" s="242"/>
      <c r="S53" s="242"/>
      <c r="T53" s="242"/>
      <c r="U53" s="242"/>
      <c r="V53" s="242"/>
      <c r="W53" s="242"/>
      <c r="X53" s="242"/>
      <c r="Y53" s="242"/>
      <c r="Z53" s="241">
        <f t="shared" si="6"/>
        <v>0</v>
      </c>
      <c r="AA53" s="341">
        <f t="shared" si="2"/>
        <v>0</v>
      </c>
    </row>
    <row r="54" spans="1:27" s="240" customFormat="1">
      <c r="A54" s="14">
        <v>46</v>
      </c>
      <c r="B54" s="242"/>
      <c r="C54" s="242"/>
      <c r="D54" s="242"/>
      <c r="E54" s="243"/>
      <c r="F54" s="243"/>
      <c r="G54" s="239">
        <f t="shared" ref="G54:G75" si="7">+H54+I54+J54+K54+M54+O54+Q54+S54</f>
        <v>0</v>
      </c>
      <c r="H54" s="242"/>
      <c r="I54" s="242"/>
      <c r="J54" s="242"/>
      <c r="K54" s="242"/>
      <c r="L54" s="242"/>
      <c r="M54" s="242"/>
      <c r="N54" s="17"/>
      <c r="O54" s="17"/>
      <c r="P54" s="17"/>
      <c r="Q54" s="17"/>
      <c r="R54" s="242"/>
      <c r="S54" s="242"/>
      <c r="T54" s="242"/>
      <c r="U54" s="242"/>
      <c r="V54" s="242"/>
      <c r="W54" s="242"/>
      <c r="X54" s="242"/>
      <c r="Y54" s="242"/>
      <c r="Z54" s="241">
        <f t="shared" ref="Z54:Z75" si="8">+G54-V54-X54</f>
        <v>0</v>
      </c>
      <c r="AA54" s="341">
        <f t="shared" si="2"/>
        <v>0</v>
      </c>
    </row>
    <row r="55" spans="1:27" s="240" customFormat="1">
      <c r="A55" s="14">
        <v>47</v>
      </c>
      <c r="B55" s="242"/>
      <c r="C55" s="242"/>
      <c r="D55" s="242"/>
      <c r="E55" s="243"/>
      <c r="F55" s="243"/>
      <c r="G55" s="239">
        <f t="shared" si="7"/>
        <v>0</v>
      </c>
      <c r="H55" s="242"/>
      <c r="I55" s="242"/>
      <c r="J55" s="242"/>
      <c r="K55" s="242"/>
      <c r="L55" s="242"/>
      <c r="M55" s="242"/>
      <c r="N55" s="17"/>
      <c r="O55" s="17"/>
      <c r="P55" s="17"/>
      <c r="Q55" s="17"/>
      <c r="R55" s="242"/>
      <c r="S55" s="242"/>
      <c r="T55" s="242"/>
      <c r="U55" s="242"/>
      <c r="V55" s="242"/>
      <c r="W55" s="242"/>
      <c r="X55" s="242"/>
      <c r="Y55" s="242"/>
      <c r="Z55" s="241">
        <f t="shared" si="8"/>
        <v>0</v>
      </c>
      <c r="AA55" s="341">
        <f t="shared" si="2"/>
        <v>0</v>
      </c>
    </row>
    <row r="56" spans="1:27" s="240" customFormat="1">
      <c r="A56" s="14">
        <v>48</v>
      </c>
      <c r="B56" s="242"/>
      <c r="C56" s="242"/>
      <c r="D56" s="242"/>
      <c r="E56" s="243"/>
      <c r="F56" s="243"/>
      <c r="G56" s="239">
        <f t="shared" si="7"/>
        <v>0</v>
      </c>
      <c r="H56" s="242"/>
      <c r="I56" s="242"/>
      <c r="J56" s="242"/>
      <c r="K56" s="242"/>
      <c r="L56" s="242"/>
      <c r="M56" s="242"/>
      <c r="N56" s="17"/>
      <c r="O56" s="17"/>
      <c r="P56" s="17"/>
      <c r="Q56" s="17"/>
      <c r="R56" s="242"/>
      <c r="S56" s="242"/>
      <c r="T56" s="242"/>
      <c r="U56" s="242"/>
      <c r="V56" s="242"/>
      <c r="W56" s="242"/>
      <c r="X56" s="242"/>
      <c r="Y56" s="242"/>
      <c r="Z56" s="241">
        <f t="shared" si="8"/>
        <v>0</v>
      </c>
      <c r="AA56" s="341">
        <f t="shared" si="2"/>
        <v>0</v>
      </c>
    </row>
    <row r="57" spans="1:27" s="240" customFormat="1">
      <c r="A57" s="14">
        <v>49</v>
      </c>
      <c r="B57" s="242"/>
      <c r="C57" s="242"/>
      <c r="D57" s="242"/>
      <c r="E57" s="243"/>
      <c r="F57" s="243"/>
      <c r="G57" s="239">
        <f t="shared" si="7"/>
        <v>0</v>
      </c>
      <c r="H57" s="242"/>
      <c r="I57" s="242"/>
      <c r="J57" s="242"/>
      <c r="K57" s="242"/>
      <c r="L57" s="242"/>
      <c r="M57" s="242"/>
      <c r="N57" s="17"/>
      <c r="O57" s="17"/>
      <c r="P57" s="17"/>
      <c r="Q57" s="17"/>
      <c r="R57" s="242"/>
      <c r="S57" s="242"/>
      <c r="T57" s="242"/>
      <c r="U57" s="242"/>
      <c r="V57" s="242"/>
      <c r="W57" s="242"/>
      <c r="X57" s="242"/>
      <c r="Y57" s="242"/>
      <c r="Z57" s="241">
        <f t="shared" si="8"/>
        <v>0</v>
      </c>
      <c r="AA57" s="341">
        <f t="shared" si="2"/>
        <v>0</v>
      </c>
    </row>
    <row r="58" spans="1:27" s="240" customFormat="1">
      <c r="A58" s="14">
        <v>50</v>
      </c>
      <c r="B58" s="242"/>
      <c r="C58" s="242"/>
      <c r="D58" s="242"/>
      <c r="E58" s="243"/>
      <c r="F58" s="243"/>
      <c r="G58" s="239">
        <f t="shared" si="7"/>
        <v>0</v>
      </c>
      <c r="H58" s="242"/>
      <c r="I58" s="242"/>
      <c r="J58" s="242"/>
      <c r="K58" s="242"/>
      <c r="L58" s="242"/>
      <c r="M58" s="242"/>
      <c r="N58" s="17"/>
      <c r="O58" s="17"/>
      <c r="P58" s="17"/>
      <c r="Q58" s="17"/>
      <c r="R58" s="242"/>
      <c r="S58" s="242"/>
      <c r="T58" s="242"/>
      <c r="U58" s="242"/>
      <c r="V58" s="242"/>
      <c r="W58" s="242"/>
      <c r="X58" s="242"/>
      <c r="Y58" s="242"/>
      <c r="Z58" s="241">
        <f t="shared" si="8"/>
        <v>0</v>
      </c>
      <c r="AA58" s="341">
        <f t="shared" si="2"/>
        <v>0</v>
      </c>
    </row>
    <row r="59" spans="1:27" s="240" customFormat="1">
      <c r="A59" s="14">
        <v>51</v>
      </c>
      <c r="B59" s="242"/>
      <c r="C59" s="242"/>
      <c r="D59" s="242"/>
      <c r="E59" s="243"/>
      <c r="F59" s="243"/>
      <c r="G59" s="239">
        <f t="shared" si="7"/>
        <v>0</v>
      </c>
      <c r="H59" s="242"/>
      <c r="I59" s="242"/>
      <c r="J59" s="242"/>
      <c r="K59" s="242"/>
      <c r="L59" s="242"/>
      <c r="M59" s="242"/>
      <c r="N59" s="17"/>
      <c r="O59" s="17"/>
      <c r="P59" s="17"/>
      <c r="Q59" s="17"/>
      <c r="R59" s="242"/>
      <c r="S59" s="242"/>
      <c r="T59" s="242"/>
      <c r="U59" s="242"/>
      <c r="V59" s="242"/>
      <c r="W59" s="242"/>
      <c r="X59" s="242"/>
      <c r="Y59" s="242"/>
      <c r="Z59" s="241">
        <f t="shared" si="8"/>
        <v>0</v>
      </c>
      <c r="AA59" s="341">
        <f t="shared" si="2"/>
        <v>0</v>
      </c>
    </row>
    <row r="60" spans="1:27" s="240" customFormat="1">
      <c r="A60" s="14">
        <v>52</v>
      </c>
      <c r="B60" s="242"/>
      <c r="C60" s="242"/>
      <c r="D60" s="242"/>
      <c r="E60" s="243"/>
      <c r="F60" s="243"/>
      <c r="G60" s="239">
        <f t="shared" si="7"/>
        <v>0</v>
      </c>
      <c r="H60" s="242"/>
      <c r="I60" s="242"/>
      <c r="J60" s="242"/>
      <c r="K60" s="242"/>
      <c r="L60" s="242"/>
      <c r="M60" s="242"/>
      <c r="N60" s="17"/>
      <c r="O60" s="17"/>
      <c r="P60" s="17"/>
      <c r="Q60" s="17"/>
      <c r="R60" s="242"/>
      <c r="S60" s="242"/>
      <c r="T60" s="242"/>
      <c r="U60" s="242"/>
      <c r="V60" s="242"/>
      <c r="W60" s="242"/>
      <c r="X60" s="242"/>
      <c r="Y60" s="242"/>
      <c r="Z60" s="241">
        <f t="shared" si="8"/>
        <v>0</v>
      </c>
      <c r="AA60" s="341">
        <f t="shared" si="2"/>
        <v>0</v>
      </c>
    </row>
    <row r="61" spans="1:27" s="240" customFormat="1">
      <c r="A61" s="14">
        <v>53</v>
      </c>
      <c r="B61" s="242"/>
      <c r="C61" s="242"/>
      <c r="D61" s="242"/>
      <c r="E61" s="243"/>
      <c r="F61" s="243"/>
      <c r="G61" s="239">
        <f t="shared" si="7"/>
        <v>0</v>
      </c>
      <c r="H61" s="242"/>
      <c r="I61" s="242"/>
      <c r="J61" s="242"/>
      <c r="K61" s="242"/>
      <c r="L61" s="242"/>
      <c r="M61" s="242"/>
      <c r="N61" s="17"/>
      <c r="O61" s="17"/>
      <c r="P61" s="17"/>
      <c r="Q61" s="17"/>
      <c r="R61" s="242"/>
      <c r="S61" s="242"/>
      <c r="T61" s="242"/>
      <c r="U61" s="242"/>
      <c r="V61" s="242"/>
      <c r="W61" s="242"/>
      <c r="X61" s="242"/>
      <c r="Y61" s="242"/>
      <c r="Z61" s="241">
        <f t="shared" si="8"/>
        <v>0</v>
      </c>
      <c r="AA61" s="341">
        <f t="shared" si="2"/>
        <v>0</v>
      </c>
    </row>
    <row r="62" spans="1:27" s="240" customFormat="1">
      <c r="A62" s="14">
        <v>54</v>
      </c>
      <c r="B62" s="242"/>
      <c r="C62" s="242"/>
      <c r="D62" s="242"/>
      <c r="E62" s="243"/>
      <c r="F62" s="243"/>
      <c r="G62" s="239">
        <f t="shared" si="7"/>
        <v>0</v>
      </c>
      <c r="H62" s="242"/>
      <c r="I62" s="242"/>
      <c r="J62" s="242"/>
      <c r="K62" s="242"/>
      <c r="L62" s="242"/>
      <c r="M62" s="242"/>
      <c r="N62" s="17"/>
      <c r="O62" s="17"/>
      <c r="P62" s="17"/>
      <c r="Q62" s="17"/>
      <c r="R62" s="242"/>
      <c r="S62" s="242"/>
      <c r="T62" s="242"/>
      <c r="U62" s="242"/>
      <c r="V62" s="242"/>
      <c r="W62" s="242"/>
      <c r="X62" s="242"/>
      <c r="Y62" s="242"/>
      <c r="Z62" s="241">
        <f t="shared" si="8"/>
        <v>0</v>
      </c>
      <c r="AA62" s="341">
        <f t="shared" si="2"/>
        <v>0</v>
      </c>
    </row>
    <row r="63" spans="1:27" s="240" customFormat="1">
      <c r="A63" s="14">
        <v>55</v>
      </c>
      <c r="B63" s="242"/>
      <c r="C63" s="242"/>
      <c r="D63" s="242"/>
      <c r="E63" s="243"/>
      <c r="F63" s="243"/>
      <c r="G63" s="239">
        <f t="shared" si="7"/>
        <v>0</v>
      </c>
      <c r="H63" s="242"/>
      <c r="I63" s="242"/>
      <c r="J63" s="242"/>
      <c r="K63" s="242"/>
      <c r="L63" s="242"/>
      <c r="M63" s="242"/>
      <c r="N63" s="17"/>
      <c r="O63" s="17"/>
      <c r="P63" s="17"/>
      <c r="Q63" s="17"/>
      <c r="R63" s="242"/>
      <c r="S63" s="242"/>
      <c r="T63" s="242"/>
      <c r="U63" s="242"/>
      <c r="V63" s="242"/>
      <c r="W63" s="242"/>
      <c r="X63" s="242"/>
      <c r="Y63" s="242"/>
      <c r="Z63" s="241">
        <f t="shared" si="8"/>
        <v>0</v>
      </c>
      <c r="AA63" s="341">
        <f t="shared" si="2"/>
        <v>0</v>
      </c>
    </row>
    <row r="64" spans="1:27" s="240" customFormat="1">
      <c r="A64" s="14">
        <v>56</v>
      </c>
      <c r="B64" s="242"/>
      <c r="C64" s="242"/>
      <c r="D64" s="242"/>
      <c r="E64" s="243"/>
      <c r="F64" s="243"/>
      <c r="G64" s="239">
        <f t="shared" si="7"/>
        <v>0</v>
      </c>
      <c r="H64" s="242"/>
      <c r="I64" s="242"/>
      <c r="J64" s="242"/>
      <c r="K64" s="242"/>
      <c r="L64" s="242"/>
      <c r="M64" s="242"/>
      <c r="N64" s="17"/>
      <c r="O64" s="17"/>
      <c r="P64" s="17"/>
      <c r="Q64" s="17"/>
      <c r="R64" s="242"/>
      <c r="S64" s="242"/>
      <c r="T64" s="242"/>
      <c r="U64" s="242"/>
      <c r="V64" s="242"/>
      <c r="W64" s="242"/>
      <c r="X64" s="242"/>
      <c r="Y64" s="242"/>
      <c r="Z64" s="241">
        <f t="shared" si="8"/>
        <v>0</v>
      </c>
      <c r="AA64" s="341">
        <f t="shared" si="2"/>
        <v>0</v>
      </c>
    </row>
    <row r="65" spans="1:27" s="240" customFormat="1">
      <c r="A65" s="14">
        <v>57</v>
      </c>
      <c r="B65" s="242"/>
      <c r="C65" s="242"/>
      <c r="D65" s="242"/>
      <c r="E65" s="243"/>
      <c r="F65" s="243"/>
      <c r="G65" s="239">
        <f t="shared" si="7"/>
        <v>0</v>
      </c>
      <c r="H65" s="242"/>
      <c r="I65" s="242"/>
      <c r="J65" s="242"/>
      <c r="K65" s="242"/>
      <c r="L65" s="242"/>
      <c r="M65" s="242"/>
      <c r="N65" s="17"/>
      <c r="O65" s="17"/>
      <c r="P65" s="17"/>
      <c r="Q65" s="17"/>
      <c r="R65" s="242"/>
      <c r="S65" s="242"/>
      <c r="T65" s="242"/>
      <c r="U65" s="242"/>
      <c r="V65" s="242"/>
      <c r="W65" s="242"/>
      <c r="X65" s="242"/>
      <c r="Y65" s="242"/>
      <c r="Z65" s="241">
        <f t="shared" si="8"/>
        <v>0</v>
      </c>
      <c r="AA65" s="341">
        <f t="shared" si="2"/>
        <v>0</v>
      </c>
    </row>
    <row r="66" spans="1:27" s="240" customFormat="1">
      <c r="A66" s="14">
        <v>58</v>
      </c>
      <c r="B66" s="242"/>
      <c r="C66" s="242"/>
      <c r="D66" s="242"/>
      <c r="E66" s="243"/>
      <c r="F66" s="243"/>
      <c r="G66" s="239">
        <f t="shared" si="7"/>
        <v>0</v>
      </c>
      <c r="H66" s="242"/>
      <c r="I66" s="242"/>
      <c r="J66" s="242"/>
      <c r="K66" s="242"/>
      <c r="L66" s="242"/>
      <c r="M66" s="242"/>
      <c r="N66" s="17"/>
      <c r="O66" s="17"/>
      <c r="P66" s="17"/>
      <c r="Q66" s="17"/>
      <c r="R66" s="242"/>
      <c r="S66" s="242"/>
      <c r="T66" s="242"/>
      <c r="U66" s="242"/>
      <c r="V66" s="242"/>
      <c r="W66" s="242"/>
      <c r="X66" s="242"/>
      <c r="Y66" s="242"/>
      <c r="Z66" s="241">
        <f t="shared" si="8"/>
        <v>0</v>
      </c>
      <c r="AA66" s="341">
        <f t="shared" si="2"/>
        <v>0</v>
      </c>
    </row>
    <row r="67" spans="1:27" s="240" customFormat="1">
      <c r="A67" s="14">
        <v>59</v>
      </c>
      <c r="B67" s="242"/>
      <c r="C67" s="242"/>
      <c r="D67" s="242"/>
      <c r="E67" s="243"/>
      <c r="F67" s="243"/>
      <c r="G67" s="239">
        <f t="shared" si="7"/>
        <v>0</v>
      </c>
      <c r="H67" s="242"/>
      <c r="I67" s="242"/>
      <c r="J67" s="242"/>
      <c r="K67" s="242"/>
      <c r="L67" s="242"/>
      <c r="M67" s="242"/>
      <c r="N67" s="17"/>
      <c r="O67" s="17"/>
      <c r="P67" s="17"/>
      <c r="Q67" s="17"/>
      <c r="R67" s="242"/>
      <c r="S67" s="242"/>
      <c r="T67" s="242"/>
      <c r="U67" s="242"/>
      <c r="V67" s="242"/>
      <c r="W67" s="242"/>
      <c r="X67" s="242"/>
      <c r="Y67" s="242"/>
      <c r="Z67" s="241">
        <f t="shared" si="8"/>
        <v>0</v>
      </c>
      <c r="AA67" s="341">
        <f t="shared" si="2"/>
        <v>0</v>
      </c>
    </row>
    <row r="68" spans="1:27" s="240" customFormat="1">
      <c r="A68" s="14">
        <v>60</v>
      </c>
      <c r="B68" s="242"/>
      <c r="C68" s="242"/>
      <c r="D68" s="242"/>
      <c r="E68" s="243"/>
      <c r="F68" s="243"/>
      <c r="G68" s="239">
        <f t="shared" si="7"/>
        <v>0</v>
      </c>
      <c r="H68" s="242"/>
      <c r="I68" s="242"/>
      <c r="J68" s="242"/>
      <c r="K68" s="242"/>
      <c r="L68" s="242"/>
      <c r="M68" s="242"/>
      <c r="N68" s="17"/>
      <c r="O68" s="17"/>
      <c r="P68" s="17"/>
      <c r="Q68" s="17"/>
      <c r="R68" s="242"/>
      <c r="S68" s="242"/>
      <c r="T68" s="242"/>
      <c r="U68" s="242"/>
      <c r="V68" s="242"/>
      <c r="W68" s="242"/>
      <c r="X68" s="242"/>
      <c r="Y68" s="242"/>
      <c r="Z68" s="241">
        <f t="shared" si="8"/>
        <v>0</v>
      </c>
      <c r="AA68" s="341">
        <f t="shared" si="2"/>
        <v>0</v>
      </c>
    </row>
    <row r="69" spans="1:27" s="240" customFormat="1">
      <c r="A69" s="14">
        <v>61</v>
      </c>
      <c r="B69" s="242"/>
      <c r="C69" s="242"/>
      <c r="D69" s="242"/>
      <c r="E69" s="243"/>
      <c r="F69" s="243"/>
      <c r="G69" s="239">
        <f t="shared" si="7"/>
        <v>0</v>
      </c>
      <c r="H69" s="242"/>
      <c r="I69" s="242"/>
      <c r="J69" s="242"/>
      <c r="K69" s="242"/>
      <c r="L69" s="242"/>
      <c r="M69" s="242"/>
      <c r="N69" s="17"/>
      <c r="O69" s="17"/>
      <c r="P69" s="17"/>
      <c r="Q69" s="17"/>
      <c r="R69" s="242"/>
      <c r="S69" s="242"/>
      <c r="T69" s="242"/>
      <c r="U69" s="242"/>
      <c r="V69" s="242"/>
      <c r="W69" s="242"/>
      <c r="X69" s="242"/>
      <c r="Y69" s="242"/>
      <c r="Z69" s="241">
        <f t="shared" si="8"/>
        <v>0</v>
      </c>
      <c r="AA69" s="341">
        <f t="shared" si="2"/>
        <v>0</v>
      </c>
    </row>
    <row r="70" spans="1:27" s="240" customFormat="1">
      <c r="A70" s="14">
        <v>62</v>
      </c>
      <c r="B70" s="242"/>
      <c r="C70" s="242"/>
      <c r="D70" s="242"/>
      <c r="E70" s="243"/>
      <c r="F70" s="243"/>
      <c r="G70" s="239">
        <f t="shared" si="7"/>
        <v>0</v>
      </c>
      <c r="H70" s="242"/>
      <c r="I70" s="242"/>
      <c r="J70" s="242"/>
      <c r="K70" s="242"/>
      <c r="L70" s="242"/>
      <c r="M70" s="242"/>
      <c r="N70" s="17"/>
      <c r="O70" s="17"/>
      <c r="P70" s="17"/>
      <c r="Q70" s="17"/>
      <c r="R70" s="242"/>
      <c r="S70" s="242"/>
      <c r="T70" s="242"/>
      <c r="U70" s="242"/>
      <c r="V70" s="242"/>
      <c r="W70" s="242"/>
      <c r="X70" s="242"/>
      <c r="Y70" s="242"/>
      <c r="Z70" s="241">
        <f t="shared" si="8"/>
        <v>0</v>
      </c>
      <c r="AA70" s="341">
        <f t="shared" si="2"/>
        <v>0</v>
      </c>
    </row>
    <row r="71" spans="1:27" s="240" customFormat="1">
      <c r="A71" s="14">
        <v>63</v>
      </c>
      <c r="B71" s="242"/>
      <c r="C71" s="242"/>
      <c r="D71" s="242"/>
      <c r="E71" s="243"/>
      <c r="F71" s="243"/>
      <c r="G71" s="239">
        <f t="shared" si="7"/>
        <v>0</v>
      </c>
      <c r="H71" s="242"/>
      <c r="I71" s="242"/>
      <c r="J71" s="242"/>
      <c r="K71" s="242"/>
      <c r="L71" s="242"/>
      <c r="M71" s="242"/>
      <c r="N71" s="17"/>
      <c r="O71" s="17"/>
      <c r="P71" s="17"/>
      <c r="Q71" s="17"/>
      <c r="R71" s="242"/>
      <c r="S71" s="242"/>
      <c r="T71" s="242"/>
      <c r="U71" s="242"/>
      <c r="V71" s="242"/>
      <c r="W71" s="242"/>
      <c r="X71" s="242"/>
      <c r="Y71" s="242"/>
      <c r="Z71" s="241">
        <f t="shared" si="8"/>
        <v>0</v>
      </c>
      <c r="AA71" s="341">
        <f t="shared" si="2"/>
        <v>0</v>
      </c>
    </row>
    <row r="72" spans="1:27" s="240" customFormat="1">
      <c r="A72" s="14">
        <v>64</v>
      </c>
      <c r="B72" s="242"/>
      <c r="C72" s="242"/>
      <c r="D72" s="242"/>
      <c r="E72" s="243"/>
      <c r="F72" s="243"/>
      <c r="G72" s="239">
        <f t="shared" si="7"/>
        <v>0</v>
      </c>
      <c r="H72" s="242"/>
      <c r="I72" s="242"/>
      <c r="J72" s="242"/>
      <c r="K72" s="242"/>
      <c r="L72" s="242"/>
      <c r="M72" s="242"/>
      <c r="N72" s="17"/>
      <c r="O72" s="17"/>
      <c r="P72" s="17"/>
      <c r="Q72" s="17"/>
      <c r="R72" s="242"/>
      <c r="S72" s="242"/>
      <c r="T72" s="242"/>
      <c r="U72" s="242"/>
      <c r="V72" s="242"/>
      <c r="W72" s="242"/>
      <c r="X72" s="242"/>
      <c r="Y72" s="242"/>
      <c r="Z72" s="241">
        <f t="shared" si="8"/>
        <v>0</v>
      </c>
      <c r="AA72" s="341">
        <f t="shared" si="2"/>
        <v>0</v>
      </c>
    </row>
    <row r="73" spans="1:27" s="240" customFormat="1">
      <c r="A73" s="14">
        <v>65</v>
      </c>
      <c r="B73" s="242"/>
      <c r="C73" s="242"/>
      <c r="D73" s="242"/>
      <c r="E73" s="243"/>
      <c r="F73" s="243"/>
      <c r="G73" s="239">
        <f t="shared" si="7"/>
        <v>0</v>
      </c>
      <c r="H73" s="242"/>
      <c r="I73" s="242"/>
      <c r="J73" s="242"/>
      <c r="K73" s="242"/>
      <c r="L73" s="242"/>
      <c r="M73" s="242"/>
      <c r="N73" s="17"/>
      <c r="O73" s="17"/>
      <c r="P73" s="17"/>
      <c r="Q73" s="17"/>
      <c r="R73" s="242"/>
      <c r="S73" s="242"/>
      <c r="T73" s="242"/>
      <c r="U73" s="242"/>
      <c r="V73" s="242"/>
      <c r="W73" s="242"/>
      <c r="X73" s="242"/>
      <c r="Y73" s="242"/>
      <c r="Z73" s="241">
        <f t="shared" si="8"/>
        <v>0</v>
      </c>
      <c r="AA73" s="341">
        <f t="shared" ref="AA73:AA88" si="9">SUMIF($F$9:$F$88,$F73,$Z$9:$Z$88)</f>
        <v>0</v>
      </c>
    </row>
    <row r="74" spans="1:27" s="240" customFormat="1">
      <c r="A74" s="14">
        <v>66</v>
      </c>
      <c r="B74" s="242"/>
      <c r="C74" s="242"/>
      <c r="D74" s="242"/>
      <c r="E74" s="243"/>
      <c r="F74" s="243"/>
      <c r="G74" s="239">
        <f t="shared" si="7"/>
        <v>0</v>
      </c>
      <c r="H74" s="242"/>
      <c r="I74" s="242"/>
      <c r="J74" s="242"/>
      <c r="K74" s="242"/>
      <c r="L74" s="242"/>
      <c r="M74" s="242"/>
      <c r="N74" s="17"/>
      <c r="O74" s="17"/>
      <c r="P74" s="17"/>
      <c r="Q74" s="17"/>
      <c r="R74" s="242"/>
      <c r="S74" s="242"/>
      <c r="T74" s="242"/>
      <c r="U74" s="242"/>
      <c r="V74" s="242"/>
      <c r="W74" s="242"/>
      <c r="X74" s="242"/>
      <c r="Y74" s="242"/>
      <c r="Z74" s="241">
        <f t="shared" si="8"/>
        <v>0</v>
      </c>
      <c r="AA74" s="341">
        <f t="shared" si="9"/>
        <v>0</v>
      </c>
    </row>
    <row r="75" spans="1:27" s="240" customFormat="1">
      <c r="A75" s="14">
        <v>67</v>
      </c>
      <c r="B75" s="242"/>
      <c r="C75" s="242"/>
      <c r="D75" s="242"/>
      <c r="E75" s="243"/>
      <c r="F75" s="243"/>
      <c r="G75" s="239">
        <f t="shared" si="7"/>
        <v>0</v>
      </c>
      <c r="H75" s="242"/>
      <c r="I75" s="242"/>
      <c r="J75" s="242"/>
      <c r="K75" s="242"/>
      <c r="L75" s="242"/>
      <c r="M75" s="242"/>
      <c r="N75" s="17"/>
      <c r="O75" s="17"/>
      <c r="P75" s="17"/>
      <c r="Q75" s="17"/>
      <c r="R75" s="242"/>
      <c r="S75" s="242"/>
      <c r="T75" s="242"/>
      <c r="U75" s="242"/>
      <c r="V75" s="242"/>
      <c r="W75" s="242"/>
      <c r="X75" s="242"/>
      <c r="Y75" s="242"/>
      <c r="Z75" s="241">
        <f t="shared" si="8"/>
        <v>0</v>
      </c>
      <c r="AA75" s="341">
        <f t="shared" si="9"/>
        <v>0</v>
      </c>
    </row>
    <row r="76" spans="1:27" s="240" customFormat="1">
      <c r="A76" s="14">
        <v>68</v>
      </c>
      <c r="B76" s="242"/>
      <c r="C76" s="242"/>
      <c r="D76" s="242"/>
      <c r="E76" s="243"/>
      <c r="F76" s="243"/>
      <c r="G76" s="239">
        <f t="shared" si="3"/>
        <v>0</v>
      </c>
      <c r="H76" s="242"/>
      <c r="I76" s="242"/>
      <c r="J76" s="242"/>
      <c r="K76" s="242"/>
      <c r="L76" s="242"/>
      <c r="M76" s="242"/>
      <c r="N76" s="17"/>
      <c r="O76" s="17"/>
      <c r="P76" s="17"/>
      <c r="Q76" s="17"/>
      <c r="R76" s="242"/>
      <c r="S76" s="242"/>
      <c r="T76" s="242"/>
      <c r="U76" s="242"/>
      <c r="V76" s="242"/>
      <c r="W76" s="242"/>
      <c r="X76" s="242"/>
      <c r="Y76" s="242"/>
      <c r="Z76" s="241">
        <f t="shared" si="4"/>
        <v>0</v>
      </c>
      <c r="AA76" s="341">
        <f t="shared" si="9"/>
        <v>0</v>
      </c>
    </row>
    <row r="77" spans="1:27" s="240" customFormat="1">
      <c r="A77" s="14">
        <v>69</v>
      </c>
      <c r="B77" s="242"/>
      <c r="C77" s="242"/>
      <c r="D77" s="242"/>
      <c r="E77" s="243"/>
      <c r="F77" s="243"/>
      <c r="G77" s="239">
        <f t="shared" si="3"/>
        <v>0</v>
      </c>
      <c r="H77" s="242"/>
      <c r="I77" s="242"/>
      <c r="J77" s="242"/>
      <c r="K77" s="242"/>
      <c r="L77" s="242"/>
      <c r="M77" s="242"/>
      <c r="N77" s="17"/>
      <c r="O77" s="17"/>
      <c r="P77" s="17"/>
      <c r="Q77" s="17"/>
      <c r="R77" s="242"/>
      <c r="S77" s="242"/>
      <c r="T77" s="242"/>
      <c r="U77" s="242"/>
      <c r="V77" s="242"/>
      <c r="W77" s="242"/>
      <c r="X77" s="242"/>
      <c r="Y77" s="242"/>
      <c r="Z77" s="241">
        <f t="shared" si="4"/>
        <v>0</v>
      </c>
      <c r="AA77" s="341">
        <f t="shared" si="9"/>
        <v>0</v>
      </c>
    </row>
    <row r="78" spans="1:27" s="240" customFormat="1">
      <c r="A78" s="14">
        <v>70</v>
      </c>
      <c r="B78" s="242"/>
      <c r="C78" s="242"/>
      <c r="D78" s="242"/>
      <c r="E78" s="243"/>
      <c r="F78" s="243"/>
      <c r="G78" s="239">
        <f t="shared" si="3"/>
        <v>0</v>
      </c>
      <c r="H78" s="242"/>
      <c r="I78" s="242"/>
      <c r="J78" s="242"/>
      <c r="K78" s="242"/>
      <c r="L78" s="242"/>
      <c r="M78" s="242"/>
      <c r="N78" s="17"/>
      <c r="O78" s="17"/>
      <c r="P78" s="17"/>
      <c r="Q78" s="17"/>
      <c r="R78" s="242"/>
      <c r="S78" s="242"/>
      <c r="T78" s="242"/>
      <c r="U78" s="242"/>
      <c r="V78" s="242"/>
      <c r="W78" s="242"/>
      <c r="X78" s="242"/>
      <c r="Y78" s="242"/>
      <c r="Z78" s="241">
        <f t="shared" si="4"/>
        <v>0</v>
      </c>
      <c r="AA78" s="341">
        <f t="shared" si="9"/>
        <v>0</v>
      </c>
    </row>
    <row r="79" spans="1:27" s="240" customFormat="1">
      <c r="A79" s="14">
        <v>71</v>
      </c>
      <c r="B79" s="242"/>
      <c r="C79" s="242"/>
      <c r="D79" s="242"/>
      <c r="E79" s="243"/>
      <c r="F79" s="243"/>
      <c r="G79" s="239">
        <f t="shared" si="3"/>
        <v>0</v>
      </c>
      <c r="H79" s="242"/>
      <c r="I79" s="242"/>
      <c r="J79" s="242"/>
      <c r="K79" s="242"/>
      <c r="L79" s="242"/>
      <c r="M79" s="242"/>
      <c r="N79" s="17"/>
      <c r="O79" s="17"/>
      <c r="P79" s="17"/>
      <c r="Q79" s="17"/>
      <c r="R79" s="242"/>
      <c r="S79" s="242"/>
      <c r="T79" s="242"/>
      <c r="U79" s="242"/>
      <c r="V79" s="242"/>
      <c r="W79" s="242"/>
      <c r="X79" s="242"/>
      <c r="Y79" s="242"/>
      <c r="Z79" s="241">
        <f t="shared" si="4"/>
        <v>0</v>
      </c>
      <c r="AA79" s="341">
        <f t="shared" si="9"/>
        <v>0</v>
      </c>
    </row>
    <row r="80" spans="1:27" s="240" customFormat="1">
      <c r="A80" s="14">
        <v>72</v>
      </c>
      <c r="B80" s="242"/>
      <c r="C80" s="242"/>
      <c r="D80" s="242"/>
      <c r="E80" s="243"/>
      <c r="F80" s="243"/>
      <c r="G80" s="239">
        <f t="shared" si="3"/>
        <v>0</v>
      </c>
      <c r="H80" s="242"/>
      <c r="I80" s="242"/>
      <c r="J80" s="242"/>
      <c r="K80" s="242"/>
      <c r="L80" s="242"/>
      <c r="M80" s="242"/>
      <c r="N80" s="17"/>
      <c r="O80" s="17"/>
      <c r="P80" s="17"/>
      <c r="Q80" s="17"/>
      <c r="R80" s="242"/>
      <c r="S80" s="242"/>
      <c r="T80" s="242"/>
      <c r="U80" s="242"/>
      <c r="V80" s="242"/>
      <c r="W80" s="242"/>
      <c r="X80" s="242"/>
      <c r="Y80" s="242"/>
      <c r="Z80" s="241">
        <f t="shared" si="4"/>
        <v>0</v>
      </c>
      <c r="AA80" s="341">
        <f t="shared" si="9"/>
        <v>0</v>
      </c>
    </row>
    <row r="81" spans="1:27" s="240" customFormat="1">
      <c r="A81" s="14">
        <v>73</v>
      </c>
      <c r="B81" s="242"/>
      <c r="C81" s="242"/>
      <c r="D81" s="242"/>
      <c r="E81" s="243"/>
      <c r="F81" s="243"/>
      <c r="G81" s="239">
        <f t="shared" si="3"/>
        <v>0</v>
      </c>
      <c r="H81" s="242"/>
      <c r="I81" s="242"/>
      <c r="J81" s="242"/>
      <c r="K81" s="242"/>
      <c r="L81" s="242"/>
      <c r="M81" s="242"/>
      <c r="N81" s="17"/>
      <c r="O81" s="17"/>
      <c r="P81" s="17"/>
      <c r="Q81" s="17"/>
      <c r="R81" s="242"/>
      <c r="S81" s="242"/>
      <c r="T81" s="242"/>
      <c r="U81" s="242"/>
      <c r="V81" s="242"/>
      <c r="W81" s="242"/>
      <c r="X81" s="242"/>
      <c r="Y81" s="242"/>
      <c r="Z81" s="241">
        <f t="shared" si="4"/>
        <v>0</v>
      </c>
      <c r="AA81" s="341">
        <f t="shared" si="9"/>
        <v>0</v>
      </c>
    </row>
    <row r="82" spans="1:27" s="240" customFormat="1">
      <c r="A82" s="14">
        <v>74</v>
      </c>
      <c r="B82" s="242"/>
      <c r="C82" s="242"/>
      <c r="D82" s="242"/>
      <c r="E82" s="243"/>
      <c r="F82" s="243"/>
      <c r="G82" s="239">
        <f t="shared" si="3"/>
        <v>0</v>
      </c>
      <c r="H82" s="242"/>
      <c r="I82" s="242"/>
      <c r="J82" s="242"/>
      <c r="K82" s="242"/>
      <c r="L82" s="242"/>
      <c r="M82" s="242"/>
      <c r="N82" s="17"/>
      <c r="O82" s="17"/>
      <c r="P82" s="17"/>
      <c r="Q82" s="17"/>
      <c r="R82" s="242"/>
      <c r="S82" s="242"/>
      <c r="T82" s="242"/>
      <c r="U82" s="242"/>
      <c r="V82" s="242"/>
      <c r="W82" s="242"/>
      <c r="X82" s="242"/>
      <c r="Y82" s="242"/>
      <c r="Z82" s="241">
        <f t="shared" si="4"/>
        <v>0</v>
      </c>
      <c r="AA82" s="341">
        <f t="shared" si="9"/>
        <v>0</v>
      </c>
    </row>
    <row r="83" spans="1:27" s="240" customFormat="1">
      <c r="A83" s="14">
        <v>75</v>
      </c>
      <c r="B83" s="242"/>
      <c r="C83" s="242"/>
      <c r="D83" s="242"/>
      <c r="E83" s="243"/>
      <c r="F83" s="243"/>
      <c r="G83" s="239">
        <f t="shared" si="3"/>
        <v>0</v>
      </c>
      <c r="H83" s="242"/>
      <c r="I83" s="242"/>
      <c r="J83" s="242"/>
      <c r="K83" s="242"/>
      <c r="L83" s="242"/>
      <c r="M83" s="242"/>
      <c r="N83" s="17"/>
      <c r="O83" s="17"/>
      <c r="P83" s="17"/>
      <c r="Q83" s="17"/>
      <c r="R83" s="242"/>
      <c r="S83" s="242"/>
      <c r="T83" s="242"/>
      <c r="U83" s="242"/>
      <c r="V83" s="242"/>
      <c r="W83" s="242"/>
      <c r="X83" s="242"/>
      <c r="Y83" s="242"/>
      <c r="Z83" s="241">
        <f t="shared" si="4"/>
        <v>0</v>
      </c>
      <c r="AA83" s="341">
        <f t="shared" si="9"/>
        <v>0</v>
      </c>
    </row>
    <row r="84" spans="1:27" s="240" customFormat="1">
      <c r="A84" s="14">
        <v>76</v>
      </c>
      <c r="B84" s="242"/>
      <c r="C84" s="242"/>
      <c r="D84" s="242"/>
      <c r="E84" s="243"/>
      <c r="F84" s="243"/>
      <c r="G84" s="239">
        <f t="shared" si="3"/>
        <v>0</v>
      </c>
      <c r="H84" s="242"/>
      <c r="I84" s="242"/>
      <c r="J84" s="242"/>
      <c r="K84" s="242"/>
      <c r="L84" s="242"/>
      <c r="M84" s="242"/>
      <c r="N84" s="17"/>
      <c r="O84" s="17"/>
      <c r="P84" s="17"/>
      <c r="Q84" s="17"/>
      <c r="R84" s="242"/>
      <c r="S84" s="242"/>
      <c r="T84" s="242"/>
      <c r="U84" s="242"/>
      <c r="V84" s="242"/>
      <c r="W84" s="242"/>
      <c r="X84" s="242"/>
      <c r="Y84" s="242"/>
      <c r="Z84" s="241">
        <f t="shared" si="4"/>
        <v>0</v>
      </c>
      <c r="AA84" s="341">
        <f t="shared" si="9"/>
        <v>0</v>
      </c>
    </row>
    <row r="85" spans="1:27" s="240" customFormat="1">
      <c r="A85" s="14">
        <v>77</v>
      </c>
      <c r="B85" s="242"/>
      <c r="C85" s="242"/>
      <c r="D85" s="242"/>
      <c r="E85" s="243"/>
      <c r="F85" s="243"/>
      <c r="G85" s="239">
        <f t="shared" si="3"/>
        <v>0</v>
      </c>
      <c r="H85" s="242"/>
      <c r="I85" s="242"/>
      <c r="J85" s="242"/>
      <c r="K85" s="242"/>
      <c r="L85" s="242"/>
      <c r="M85" s="242"/>
      <c r="N85" s="17"/>
      <c r="O85" s="17"/>
      <c r="P85" s="17"/>
      <c r="Q85" s="17"/>
      <c r="R85" s="242"/>
      <c r="S85" s="242"/>
      <c r="T85" s="242"/>
      <c r="U85" s="242"/>
      <c r="V85" s="242"/>
      <c r="W85" s="242"/>
      <c r="X85" s="242"/>
      <c r="Y85" s="242"/>
      <c r="Z85" s="241">
        <f t="shared" si="4"/>
        <v>0</v>
      </c>
      <c r="AA85" s="341">
        <f t="shared" si="9"/>
        <v>0</v>
      </c>
    </row>
    <row r="86" spans="1:27" s="240" customFormat="1">
      <c r="A86" s="14">
        <v>78</v>
      </c>
      <c r="B86" s="242"/>
      <c r="C86" s="242"/>
      <c r="D86" s="242"/>
      <c r="E86" s="243"/>
      <c r="F86" s="243"/>
      <c r="G86" s="239">
        <f t="shared" si="3"/>
        <v>0</v>
      </c>
      <c r="H86" s="242"/>
      <c r="I86" s="242"/>
      <c r="J86" s="242"/>
      <c r="K86" s="242"/>
      <c r="L86" s="242"/>
      <c r="M86" s="242"/>
      <c r="N86" s="17"/>
      <c r="O86" s="17"/>
      <c r="P86" s="17"/>
      <c r="Q86" s="17"/>
      <c r="R86" s="242"/>
      <c r="S86" s="242"/>
      <c r="T86" s="242"/>
      <c r="U86" s="242"/>
      <c r="V86" s="242"/>
      <c r="W86" s="242"/>
      <c r="X86" s="242"/>
      <c r="Y86" s="242"/>
      <c r="Z86" s="241">
        <f t="shared" si="4"/>
        <v>0</v>
      </c>
      <c r="AA86" s="341">
        <f t="shared" si="9"/>
        <v>0</v>
      </c>
    </row>
    <row r="87" spans="1:27" s="240" customFormat="1">
      <c r="A87" s="14">
        <v>79</v>
      </c>
      <c r="B87" s="242"/>
      <c r="C87" s="242"/>
      <c r="D87" s="242"/>
      <c r="E87" s="243"/>
      <c r="F87" s="243"/>
      <c r="G87" s="239">
        <f t="shared" si="3"/>
        <v>0</v>
      </c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1">
        <f t="shared" si="4"/>
        <v>0</v>
      </c>
      <c r="AA87" s="341">
        <f t="shared" si="9"/>
        <v>0</v>
      </c>
    </row>
    <row r="88" spans="1:27" s="240" customFormat="1">
      <c r="A88" s="14">
        <v>80</v>
      </c>
      <c r="B88" s="242"/>
      <c r="C88" s="242"/>
      <c r="D88" s="242"/>
      <c r="E88" s="243"/>
      <c r="F88" s="243"/>
      <c r="G88" s="239">
        <f t="shared" si="3"/>
        <v>0</v>
      </c>
      <c r="H88" s="242"/>
      <c r="I88" s="242"/>
      <c r="J88" s="242"/>
      <c r="K88" s="242"/>
      <c r="L88" s="242"/>
      <c r="M88" s="242"/>
      <c r="N88" s="17"/>
      <c r="O88" s="17"/>
      <c r="P88" s="17"/>
      <c r="Q88" s="17"/>
      <c r="R88" s="242"/>
      <c r="S88" s="242"/>
      <c r="T88" s="242"/>
      <c r="U88" s="242"/>
      <c r="V88" s="242"/>
      <c r="W88" s="242"/>
      <c r="X88" s="242"/>
      <c r="Y88" s="242"/>
      <c r="Z88" s="241">
        <f t="shared" si="4"/>
        <v>0</v>
      </c>
      <c r="AA88" s="341">
        <f t="shared" si="9"/>
        <v>0</v>
      </c>
    </row>
    <row r="89" spans="1:27" s="15" customFormat="1" ht="29.25" customHeight="1">
      <c r="A89" s="640" t="s">
        <v>452</v>
      </c>
      <c r="B89" s="641"/>
      <c r="C89" s="641"/>
      <c r="D89" s="641"/>
      <c r="E89" s="641"/>
      <c r="F89" s="642"/>
      <c r="G89" s="257">
        <f t="shared" ref="G89:T89" si="10">SUM(G9:G88)</f>
        <v>390585070</v>
      </c>
      <c r="H89" s="257">
        <f t="shared" si="10"/>
        <v>0</v>
      </c>
      <c r="I89" s="257">
        <f t="shared" si="10"/>
        <v>2841720</v>
      </c>
      <c r="J89" s="257">
        <f t="shared" si="10"/>
        <v>387230403</v>
      </c>
      <c r="K89" s="257">
        <f t="shared" si="10"/>
        <v>449602</v>
      </c>
      <c r="L89" s="257">
        <f t="shared" si="10"/>
        <v>0</v>
      </c>
      <c r="M89" s="257">
        <f t="shared" si="10"/>
        <v>0</v>
      </c>
      <c r="N89" s="257">
        <f t="shared" si="10"/>
        <v>0</v>
      </c>
      <c r="O89" s="257">
        <f t="shared" si="10"/>
        <v>0</v>
      </c>
      <c r="P89" s="257">
        <f t="shared" si="10"/>
        <v>316720</v>
      </c>
      <c r="Q89" s="257">
        <f t="shared" si="10"/>
        <v>63345</v>
      </c>
      <c r="R89" s="257">
        <f t="shared" si="10"/>
        <v>0</v>
      </c>
      <c r="S89" s="257">
        <f t="shared" si="10"/>
        <v>0</v>
      </c>
      <c r="T89" s="257">
        <f t="shared" si="10"/>
        <v>0</v>
      </c>
      <c r="U89" s="258"/>
      <c r="V89" s="257">
        <f>SUM(V9:V88)</f>
        <v>0</v>
      </c>
      <c r="W89" s="258"/>
      <c r="X89" s="257">
        <f>SUM(X9:X88)</f>
        <v>0</v>
      </c>
      <c r="Y89" s="257">
        <f>SUM(Y9:Y88)</f>
        <v>0</v>
      </c>
      <c r="Z89" s="257">
        <f>SUM(Z9:Z88)</f>
        <v>390585070</v>
      </c>
      <c r="AA89" s="341"/>
    </row>
    <row r="90" spans="1:27" s="15" customFormat="1" ht="29.25" customHeight="1">
      <c r="A90" s="640" t="s">
        <v>453</v>
      </c>
      <c r="B90" s="641"/>
      <c r="C90" s="641"/>
      <c r="D90" s="641"/>
      <c r="E90" s="641"/>
      <c r="F90" s="642"/>
      <c r="G90" s="257">
        <f>+SUMIF($F$9:$F$88,$AA$90,$G$9:$G$88)</f>
        <v>334145028</v>
      </c>
      <c r="H90" s="257">
        <f>+SUMIF($F$9:$F$88,$AA$90,$H$9:$H$88)</f>
        <v>0</v>
      </c>
      <c r="I90" s="257">
        <f>+SUMIF($F$9:$F$88,$AA$90,$I$9:$I$88)</f>
        <v>0</v>
      </c>
      <c r="J90" s="257">
        <f>+SUMIF($F$9:$F$88,$AA$90,$J$9:$J$88)</f>
        <v>334145028</v>
      </c>
      <c r="K90" s="257">
        <f>+SUMIF($F$9:$F$88,$AA$90,$K$9:$K$88)</f>
        <v>0</v>
      </c>
      <c r="L90" s="257">
        <f>+SUMIF($F$9:$F$88,$AA$90,$L$9:$L$88)</f>
        <v>0</v>
      </c>
      <c r="M90" s="257">
        <f>+SUMIF($F$9:$F$88,$AA$90,$M$9:$M$88)</f>
        <v>0</v>
      </c>
      <c r="N90" s="257">
        <f>+SUMIF($F$9:$F$88,$AA$90,$N$9:$N$88)</f>
        <v>0</v>
      </c>
      <c r="O90" s="257">
        <f>+SUMIF($F$9:$F$88,$AA$90,$O$9:$O$88)</f>
        <v>0</v>
      </c>
      <c r="P90" s="257">
        <f>+SUMIF($F$9:$F$88,$AA$90,$P$9:$P$88)</f>
        <v>0</v>
      </c>
      <c r="Q90" s="257">
        <f>+SUMIF($F$9:$F$88,$AA$90,$Q$9:$Q$88)</f>
        <v>0</v>
      </c>
      <c r="R90" s="257">
        <f>+SUMIF($F$9:$F$88,$AA$90,$R$9:$R$88)</f>
        <v>0</v>
      </c>
      <c r="S90" s="257">
        <f>+SUMIF($F$9:$F$88,$AA$90,$S$9:$S$88)</f>
        <v>0</v>
      </c>
      <c r="T90" s="257">
        <f>+SUMIF($F$9:$F$88,$AA$90,$T$9:$T$88)</f>
        <v>0</v>
      </c>
      <c r="U90" s="258"/>
      <c r="V90" s="257">
        <f>+SUMIF($F$9:$F$88,$AA$90,$V$9:$V$88)</f>
        <v>0</v>
      </c>
      <c r="W90" s="258"/>
      <c r="X90" s="257">
        <f>+SUMIF($F$9:$F$88,$AA$90,$X$9:$X$88)</f>
        <v>0</v>
      </c>
      <c r="Y90" s="257">
        <f>+SUMIF($F$9:$F$88,$AA$90,$Y$9:$Y$88)</f>
        <v>0</v>
      </c>
      <c r="Z90" s="257">
        <f>+MAX(AA9:AA88)</f>
        <v>334145028</v>
      </c>
      <c r="AA90" s="341">
        <f>INDEX($F$9:$F$88,MATCH($Z90,$AA$9:$AA$88,0))</f>
        <v>1</v>
      </c>
    </row>
    <row r="91" spans="1:27" s="15" customFormat="1">
      <c r="AA91" s="343"/>
    </row>
    <row r="92" spans="1:27" ht="16.5" customHeight="1">
      <c r="B92" s="201" t="s">
        <v>778</v>
      </c>
      <c r="F92" s="183"/>
      <c r="G92" s="183"/>
      <c r="H92" s="183"/>
      <c r="I92" s="183"/>
      <c r="J92" s="183"/>
      <c r="K92" s="183"/>
      <c r="L92" s="183"/>
      <c r="M92" s="183"/>
      <c r="AA92" s="30"/>
    </row>
    <row r="93" spans="1:27" ht="11.25" customHeight="1">
      <c r="B93" s="201"/>
      <c r="F93" s="183"/>
      <c r="G93" s="183"/>
      <c r="H93" s="183"/>
      <c r="I93" s="183"/>
      <c r="J93" s="183"/>
      <c r="K93" s="183"/>
      <c r="L93" s="183"/>
      <c r="M93" s="183"/>
      <c r="AA93" s="30"/>
    </row>
    <row r="94" spans="1:27" ht="16.5" customHeight="1">
      <c r="B94" s="201" t="s">
        <v>779</v>
      </c>
      <c r="F94" s="183"/>
      <c r="G94" s="183"/>
      <c r="H94" s="183"/>
      <c r="I94" s="183"/>
      <c r="J94" s="183"/>
      <c r="K94" s="183"/>
      <c r="L94" s="183"/>
      <c r="M94" s="183"/>
      <c r="AA94" s="30"/>
    </row>
    <row r="95" spans="1:27" s="15" customFormat="1">
      <c r="B95" s="202"/>
      <c r="AA95" s="343"/>
    </row>
    <row r="96" spans="1:27" s="15" customFormat="1">
      <c r="B96" s="202"/>
      <c r="AA96" s="343"/>
    </row>
    <row r="97" spans="2:27" s="15" customFormat="1">
      <c r="B97" s="202"/>
      <c r="AA97" s="343"/>
    </row>
    <row r="98" spans="2:27" s="15" customFormat="1">
      <c r="AA98" s="343"/>
    </row>
    <row r="99" spans="2:27" s="15" customFormat="1" ht="15.75"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7"/>
      <c r="P99" s="627"/>
      <c r="Q99" s="627"/>
      <c r="R99" s="627"/>
      <c r="S99" s="627"/>
      <c r="T99" s="627"/>
      <c r="AA99" s="343"/>
    </row>
    <row r="100" spans="2:27">
      <c r="AA100" s="344"/>
    </row>
    <row r="101" spans="2:27">
      <c r="AA101" s="344"/>
    </row>
    <row r="102" spans="2:27">
      <c r="AA102" s="344"/>
    </row>
    <row r="103" spans="2:27">
      <c r="AA103" s="344"/>
    </row>
    <row r="104" spans="2:27">
      <c r="AA104" s="344"/>
    </row>
    <row r="105" spans="2:27">
      <c r="AA105" s="344"/>
    </row>
    <row r="106" spans="2:27">
      <c r="AA106" s="344"/>
    </row>
    <row r="107" spans="2:27">
      <c r="AA107" s="344"/>
    </row>
    <row r="108" spans="2:27">
      <c r="AA108" s="344"/>
    </row>
    <row r="109" spans="2:27">
      <c r="AA109" s="344"/>
    </row>
    <row r="110" spans="2:27">
      <c r="AA110" s="344"/>
    </row>
    <row r="111" spans="2:27">
      <c r="AA111" s="344"/>
    </row>
    <row r="112" spans="2:27">
      <c r="AA112" s="344"/>
    </row>
    <row r="113" spans="27:27">
      <c r="AA113" s="344"/>
    </row>
    <row r="114" spans="27:27">
      <c r="AA114" s="344"/>
    </row>
    <row r="115" spans="27:27">
      <c r="AA115" s="344"/>
    </row>
    <row r="116" spans="27:27">
      <c r="AA116" s="344"/>
    </row>
    <row r="117" spans="27:27">
      <c r="AA117" s="344"/>
    </row>
    <row r="118" spans="27:27">
      <c r="AA118" s="344"/>
    </row>
    <row r="119" spans="27:27">
      <c r="AA119" s="344"/>
    </row>
    <row r="120" spans="27:27">
      <c r="AA120" s="344"/>
    </row>
    <row r="121" spans="27:27">
      <c r="AA121" s="344"/>
    </row>
    <row r="122" spans="27:27">
      <c r="AA122" s="344"/>
    </row>
    <row r="123" spans="27:27">
      <c r="AA123" s="344"/>
    </row>
    <row r="124" spans="27:27">
      <c r="AA124" s="344"/>
    </row>
    <row r="125" spans="27:27">
      <c r="AA125" s="344"/>
    </row>
    <row r="126" spans="27:27">
      <c r="AA126" s="344"/>
    </row>
    <row r="127" spans="27:27">
      <c r="AA127" s="344"/>
    </row>
    <row r="128" spans="27:27">
      <c r="AA128" s="344"/>
    </row>
    <row r="129" spans="27:27">
      <c r="AA129" s="344"/>
    </row>
    <row r="130" spans="27:27">
      <c r="AA130" s="344"/>
    </row>
    <row r="131" spans="27:27">
      <c r="AA131" s="344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85" zoomScaleNormal="40" zoomScaleSheetLayoutView="85" workbookViewId="0">
      <pane xSplit="7" ySplit="8" topLeftCell="H9" activePane="bottomRight" state="frozen"/>
      <selection activeCell="J47" sqref="J47"/>
      <selection pane="topRight" activeCell="J47" sqref="J47"/>
      <selection pane="bottomLeft" activeCell="J47" sqref="J47"/>
      <selection pane="bottomRight" activeCell="D4" sqref="D4:D7"/>
    </sheetView>
  </sheetViews>
  <sheetFormatPr defaultRowHeight="12.75"/>
  <cols>
    <col min="1" max="1" width="5.140625" style="30" customWidth="1"/>
    <col min="2" max="2" width="43.42578125" style="30" customWidth="1"/>
    <col min="3" max="3" width="14.140625" style="30" customWidth="1"/>
    <col min="4" max="6" width="10.140625" style="30" customWidth="1"/>
    <col min="7" max="7" width="16" style="30" customWidth="1"/>
    <col min="8" max="8" width="14.28515625" style="30" customWidth="1"/>
    <col min="9" max="9" width="16" style="30" customWidth="1"/>
    <col min="10" max="19" width="13.85546875" style="30" customWidth="1"/>
    <col min="20" max="20" width="8.28515625" style="30" customWidth="1"/>
    <col min="21" max="21" width="10.140625" style="30" customWidth="1"/>
    <col min="22" max="22" width="14" style="30" customWidth="1"/>
    <col min="23" max="23" width="9.85546875" style="30" customWidth="1"/>
    <col min="24" max="24" width="14" style="30" customWidth="1"/>
    <col min="25" max="25" width="13.28515625" style="30" customWidth="1"/>
    <col min="26" max="26" width="14.7109375" style="30" customWidth="1"/>
    <col min="27" max="27" width="17.42578125" style="336" customWidth="1"/>
    <col min="28" max="16384" width="9.140625" style="30"/>
  </cols>
  <sheetData>
    <row r="1" spans="1:27" ht="20.25">
      <c r="A1" s="629" t="s">
        <v>454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29"/>
      <c r="S1" s="629"/>
      <c r="T1" s="629"/>
      <c r="U1" s="629"/>
      <c r="V1" s="629"/>
      <c r="W1" s="629"/>
      <c r="Y1" s="326" t="s">
        <v>455</v>
      </c>
    </row>
    <row r="2" spans="1:27">
      <c r="A2" s="248"/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Q2" s="222"/>
      <c r="R2" s="222"/>
      <c r="S2" s="222"/>
      <c r="T2" s="222"/>
    </row>
    <row r="3" spans="1:27" ht="15.75">
      <c r="A3" s="224"/>
      <c r="B3" s="83" t="str">
        <f>+'Asset quality'!B3</f>
        <v>"Ўзсаноатқурилишибанк" АТБ</v>
      </c>
      <c r="D3" s="224"/>
      <c r="E3" s="224"/>
      <c r="F3" s="224"/>
      <c r="G3" s="224"/>
      <c r="H3" s="224"/>
      <c r="I3" s="224"/>
      <c r="J3" s="224"/>
      <c r="K3" s="224"/>
      <c r="L3" s="224"/>
      <c r="M3" s="224"/>
      <c r="Q3" s="224"/>
      <c r="R3" s="224"/>
      <c r="T3" s="222"/>
      <c r="U3" s="594">
        <f>+'Asset quality'!Q3</f>
        <v>45289</v>
      </c>
      <c r="V3" s="594"/>
      <c r="W3" s="261"/>
      <c r="Y3" s="628" t="str">
        <f>+'Asset quality'!T3</f>
        <v>минг. сўмда</v>
      </c>
      <c r="Z3" s="628"/>
    </row>
    <row r="4" spans="1:27" ht="27.75" customHeight="1">
      <c r="A4" s="630" t="s">
        <v>61</v>
      </c>
      <c r="B4" s="630" t="s">
        <v>427</v>
      </c>
      <c r="C4" s="619" t="s">
        <v>428</v>
      </c>
      <c r="D4" s="619" t="s">
        <v>429</v>
      </c>
      <c r="E4" s="619" t="s">
        <v>430</v>
      </c>
      <c r="F4" s="619" t="s">
        <v>431</v>
      </c>
      <c r="G4" s="619" t="s">
        <v>432</v>
      </c>
      <c r="H4" s="622" t="s">
        <v>334</v>
      </c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19" t="s">
        <v>433</v>
      </c>
      <c r="U4" s="636" t="s">
        <v>434</v>
      </c>
      <c r="V4" s="637"/>
      <c r="W4" s="619" t="s">
        <v>435</v>
      </c>
      <c r="X4" s="619" t="s">
        <v>436</v>
      </c>
      <c r="Y4" s="619" t="s">
        <v>437</v>
      </c>
      <c r="Z4" s="619" t="s">
        <v>438</v>
      </c>
    </row>
    <row r="5" spans="1:27" ht="27.75" customHeight="1">
      <c r="A5" s="631"/>
      <c r="B5" s="631"/>
      <c r="C5" s="620"/>
      <c r="D5" s="620"/>
      <c r="E5" s="620"/>
      <c r="F5" s="620"/>
      <c r="G5" s="620"/>
      <c r="H5" s="622" t="s">
        <v>439</v>
      </c>
      <c r="I5" s="623"/>
      <c r="J5" s="623"/>
      <c r="K5" s="623"/>
      <c r="L5" s="622" t="s">
        <v>440</v>
      </c>
      <c r="M5" s="623"/>
      <c r="N5" s="623"/>
      <c r="O5" s="623"/>
      <c r="P5" s="623"/>
      <c r="Q5" s="623"/>
      <c r="R5" s="623"/>
      <c r="S5" s="623"/>
      <c r="T5" s="620"/>
      <c r="U5" s="638"/>
      <c r="V5" s="639"/>
      <c r="W5" s="620"/>
      <c r="X5" s="620"/>
      <c r="Y5" s="620"/>
      <c r="Z5" s="620"/>
    </row>
    <row r="6" spans="1:27" ht="108.75" customHeight="1">
      <c r="A6" s="631"/>
      <c r="B6" s="631"/>
      <c r="C6" s="620"/>
      <c r="D6" s="620"/>
      <c r="E6" s="620"/>
      <c r="F6" s="620"/>
      <c r="G6" s="620"/>
      <c r="H6" s="619" t="s">
        <v>441</v>
      </c>
      <c r="I6" s="619" t="s">
        <v>442</v>
      </c>
      <c r="J6" s="619" t="s">
        <v>443</v>
      </c>
      <c r="K6" s="619" t="s">
        <v>444</v>
      </c>
      <c r="L6" s="625" t="s">
        <v>445</v>
      </c>
      <c r="M6" s="626"/>
      <c r="N6" s="625" t="s">
        <v>446</v>
      </c>
      <c r="O6" s="626"/>
      <c r="P6" s="625" t="s">
        <v>447</v>
      </c>
      <c r="Q6" s="626"/>
      <c r="R6" s="625" t="s">
        <v>448</v>
      </c>
      <c r="S6" s="626"/>
      <c r="T6" s="620"/>
      <c r="U6" s="619" t="s">
        <v>449</v>
      </c>
      <c r="V6" s="619" t="s">
        <v>163</v>
      </c>
      <c r="W6" s="620"/>
      <c r="X6" s="620"/>
      <c r="Y6" s="620"/>
      <c r="Z6" s="620"/>
    </row>
    <row r="7" spans="1:27" ht="41.25" customHeight="1">
      <c r="A7" s="632"/>
      <c r="B7" s="632"/>
      <c r="C7" s="621"/>
      <c r="D7" s="621"/>
      <c r="E7" s="621"/>
      <c r="F7" s="621"/>
      <c r="G7" s="621"/>
      <c r="H7" s="621"/>
      <c r="I7" s="621"/>
      <c r="J7" s="621"/>
      <c r="K7" s="621"/>
      <c r="L7" s="337" t="s">
        <v>450</v>
      </c>
      <c r="M7" s="337" t="s">
        <v>451</v>
      </c>
      <c r="N7" s="337" t="s">
        <v>450</v>
      </c>
      <c r="O7" s="337" t="s">
        <v>451</v>
      </c>
      <c r="P7" s="337" t="s">
        <v>450</v>
      </c>
      <c r="Q7" s="337" t="s">
        <v>451</v>
      </c>
      <c r="R7" s="337" t="s">
        <v>450</v>
      </c>
      <c r="S7" s="337" t="s">
        <v>451</v>
      </c>
      <c r="T7" s="621"/>
      <c r="U7" s="621"/>
      <c r="V7" s="621"/>
      <c r="W7" s="621"/>
      <c r="X7" s="621"/>
      <c r="Y7" s="621"/>
      <c r="Z7" s="621"/>
    </row>
    <row r="8" spans="1:27" s="247" customFormat="1" ht="15">
      <c r="A8" s="338"/>
      <c r="B8" s="338" t="s">
        <v>78</v>
      </c>
      <c r="C8" s="338" t="s">
        <v>79</v>
      </c>
      <c r="D8" s="338" t="s">
        <v>89</v>
      </c>
      <c r="E8" s="338" t="s">
        <v>80</v>
      </c>
      <c r="F8" s="338" t="s">
        <v>81</v>
      </c>
      <c r="G8" s="237" t="s">
        <v>90</v>
      </c>
      <c r="H8" s="338" t="s">
        <v>228</v>
      </c>
      <c r="I8" s="338" t="s">
        <v>227</v>
      </c>
      <c r="J8" s="338" t="s">
        <v>226</v>
      </c>
      <c r="K8" s="338" t="s">
        <v>225</v>
      </c>
      <c r="L8" s="634" t="s">
        <v>224</v>
      </c>
      <c r="M8" s="635"/>
      <c r="N8" s="634" t="s">
        <v>223</v>
      </c>
      <c r="O8" s="635"/>
      <c r="P8" s="634" t="s">
        <v>222</v>
      </c>
      <c r="Q8" s="635"/>
      <c r="R8" s="634" t="s">
        <v>221</v>
      </c>
      <c r="S8" s="635"/>
      <c r="T8" s="338" t="s">
        <v>82</v>
      </c>
      <c r="U8" s="338" t="s">
        <v>83</v>
      </c>
      <c r="V8" s="338" t="s">
        <v>84</v>
      </c>
      <c r="W8" s="338" t="s">
        <v>85</v>
      </c>
      <c r="X8" s="338" t="s">
        <v>86</v>
      </c>
      <c r="Y8" s="338" t="s">
        <v>87</v>
      </c>
      <c r="Z8" s="338" t="s">
        <v>88</v>
      </c>
      <c r="AA8" s="339"/>
    </row>
    <row r="9" spans="1:27" s="240" customFormat="1">
      <c r="A9" s="14">
        <v>1</v>
      </c>
      <c r="B9" s="242" t="s">
        <v>849</v>
      </c>
      <c r="C9" s="244" t="s">
        <v>850</v>
      </c>
      <c r="D9" s="244" t="s">
        <v>851</v>
      </c>
      <c r="E9" s="243" t="s">
        <v>852</v>
      </c>
      <c r="F9" s="243">
        <v>1</v>
      </c>
      <c r="G9" s="252">
        <f t="shared" ref="G9:G65" si="0">+H9+I9+J9+K9+M9+O9+Q9+S9</f>
        <v>1532045416</v>
      </c>
      <c r="H9" s="250">
        <v>0</v>
      </c>
      <c r="I9" s="250">
        <v>1532045416</v>
      </c>
      <c r="J9" s="250">
        <v>0</v>
      </c>
      <c r="K9" s="250">
        <v>0</v>
      </c>
      <c r="L9" s="250">
        <v>0</v>
      </c>
      <c r="M9" s="250">
        <v>0</v>
      </c>
      <c r="N9" s="251">
        <v>0</v>
      </c>
      <c r="O9" s="250">
        <v>0</v>
      </c>
      <c r="P9" s="250">
        <v>0</v>
      </c>
      <c r="Q9" s="250">
        <v>0</v>
      </c>
      <c r="R9" s="250">
        <v>0</v>
      </c>
      <c r="S9" s="250">
        <v>0</v>
      </c>
      <c r="T9" s="253"/>
      <c r="U9" s="253">
        <v>3</v>
      </c>
      <c r="V9" s="250">
        <v>1286488735</v>
      </c>
      <c r="W9" s="242">
        <v>1</v>
      </c>
      <c r="X9" s="250">
        <v>0</v>
      </c>
      <c r="Y9" s="250"/>
      <c r="Z9" s="249">
        <f t="shared" ref="Z9:Z65" si="1">+G9-V9-X9</f>
        <v>245556681</v>
      </c>
      <c r="AA9" s="341">
        <f t="shared" ref="AA9:AA40" si="2">SUMIF($F$9:$F$88,$F9,$Z$9:$Z$88)</f>
        <v>687483698</v>
      </c>
    </row>
    <row r="10" spans="1:27" s="240" customFormat="1">
      <c r="A10" s="14">
        <v>2</v>
      </c>
      <c r="B10" s="242" t="s">
        <v>853</v>
      </c>
      <c r="C10" s="244" t="s">
        <v>854</v>
      </c>
      <c r="D10" s="244" t="s">
        <v>851</v>
      </c>
      <c r="E10" s="243" t="s">
        <v>855</v>
      </c>
      <c r="F10" s="243">
        <v>1</v>
      </c>
      <c r="G10" s="252">
        <f t="shared" si="0"/>
        <v>886012901</v>
      </c>
      <c r="H10" s="250">
        <v>0</v>
      </c>
      <c r="I10" s="250">
        <v>886012901</v>
      </c>
      <c r="J10" s="250">
        <v>0</v>
      </c>
      <c r="K10" s="250">
        <v>0</v>
      </c>
      <c r="L10" s="250">
        <v>0</v>
      </c>
      <c r="M10" s="250">
        <v>0</v>
      </c>
      <c r="N10" s="251">
        <v>0</v>
      </c>
      <c r="O10" s="250">
        <v>0</v>
      </c>
      <c r="P10" s="250">
        <v>0</v>
      </c>
      <c r="Q10" s="250">
        <v>0</v>
      </c>
      <c r="R10" s="250">
        <v>0</v>
      </c>
      <c r="S10" s="250">
        <v>0</v>
      </c>
      <c r="T10" s="253"/>
      <c r="U10" s="253">
        <v>3</v>
      </c>
      <c r="V10" s="250">
        <v>886012901</v>
      </c>
      <c r="W10" s="340">
        <v>1</v>
      </c>
      <c r="X10" s="250">
        <v>0</v>
      </c>
      <c r="Y10" s="253"/>
      <c r="Z10" s="249">
        <f t="shared" si="1"/>
        <v>0</v>
      </c>
      <c r="AA10" s="341">
        <f t="shared" si="2"/>
        <v>687483698</v>
      </c>
    </row>
    <row r="11" spans="1:27" s="240" customFormat="1">
      <c r="A11" s="14">
        <v>3</v>
      </c>
      <c r="B11" s="242" t="s">
        <v>856</v>
      </c>
      <c r="C11" s="244" t="s">
        <v>857</v>
      </c>
      <c r="D11" s="244" t="s">
        <v>858</v>
      </c>
      <c r="E11" s="243" t="s">
        <v>855</v>
      </c>
      <c r="F11" s="243">
        <v>1</v>
      </c>
      <c r="G11" s="252">
        <f t="shared" si="0"/>
        <v>576939494</v>
      </c>
      <c r="H11" s="250">
        <v>0</v>
      </c>
      <c r="I11" s="250">
        <v>576939494</v>
      </c>
      <c r="J11" s="250">
        <v>0</v>
      </c>
      <c r="K11" s="250">
        <v>0</v>
      </c>
      <c r="L11" s="250">
        <v>0</v>
      </c>
      <c r="M11" s="250">
        <v>0</v>
      </c>
      <c r="N11" s="251">
        <v>0</v>
      </c>
      <c r="O11" s="250">
        <v>0</v>
      </c>
      <c r="P11" s="250">
        <v>0</v>
      </c>
      <c r="Q11" s="250">
        <v>0</v>
      </c>
      <c r="R11" s="250">
        <v>0</v>
      </c>
      <c r="S11" s="250">
        <v>0</v>
      </c>
      <c r="T11" s="253"/>
      <c r="U11" s="250">
        <v>3</v>
      </c>
      <c r="V11" s="250">
        <v>576939494</v>
      </c>
      <c r="W11" s="340">
        <v>1</v>
      </c>
      <c r="X11" s="250">
        <v>0</v>
      </c>
      <c r="Y11" s="253"/>
      <c r="Z11" s="249">
        <f t="shared" si="1"/>
        <v>0</v>
      </c>
      <c r="AA11" s="341">
        <f t="shared" si="2"/>
        <v>687483698</v>
      </c>
    </row>
    <row r="12" spans="1:27" s="240" customFormat="1" ht="25.5">
      <c r="A12" s="14">
        <v>4</v>
      </c>
      <c r="B12" s="242" t="s">
        <v>859</v>
      </c>
      <c r="C12" s="244" t="s">
        <v>860</v>
      </c>
      <c r="D12" s="244" t="s">
        <v>858</v>
      </c>
      <c r="E12" s="243" t="s">
        <v>855</v>
      </c>
      <c r="F12" s="243">
        <v>1</v>
      </c>
      <c r="G12" s="252">
        <f t="shared" si="0"/>
        <v>58765346</v>
      </c>
      <c r="H12" s="250">
        <v>0</v>
      </c>
      <c r="I12" s="250">
        <v>58765346</v>
      </c>
      <c r="J12" s="250">
        <v>0</v>
      </c>
      <c r="K12" s="250">
        <v>0</v>
      </c>
      <c r="L12" s="250">
        <v>0</v>
      </c>
      <c r="M12" s="250">
        <v>0</v>
      </c>
      <c r="N12" s="251">
        <v>0</v>
      </c>
      <c r="O12" s="250">
        <v>0</v>
      </c>
      <c r="P12" s="250">
        <v>0</v>
      </c>
      <c r="Q12" s="250">
        <v>0</v>
      </c>
      <c r="R12" s="250">
        <v>0</v>
      </c>
      <c r="S12" s="250">
        <v>0</v>
      </c>
      <c r="T12" s="253"/>
      <c r="U12" s="250">
        <v>0</v>
      </c>
      <c r="V12" s="250">
        <v>0</v>
      </c>
      <c r="W12" s="340">
        <v>2</v>
      </c>
      <c r="X12" s="250">
        <v>5873970</v>
      </c>
      <c r="Y12" s="250"/>
      <c r="Z12" s="249">
        <f t="shared" si="1"/>
        <v>52891376</v>
      </c>
      <c r="AA12" s="341">
        <f t="shared" si="2"/>
        <v>687483698</v>
      </c>
    </row>
    <row r="13" spans="1:27" s="240" customFormat="1" ht="25.5">
      <c r="A13" s="14">
        <v>5</v>
      </c>
      <c r="B13" s="242" t="s">
        <v>861</v>
      </c>
      <c r="C13" s="244" t="s">
        <v>862</v>
      </c>
      <c r="D13" s="244" t="s">
        <v>863</v>
      </c>
      <c r="E13" s="243" t="s">
        <v>855</v>
      </c>
      <c r="F13" s="243">
        <v>1</v>
      </c>
      <c r="G13" s="252">
        <f t="shared" si="0"/>
        <v>12454401</v>
      </c>
      <c r="H13" s="250">
        <v>0</v>
      </c>
      <c r="I13" s="250">
        <v>12243291</v>
      </c>
      <c r="J13" s="250">
        <v>0</v>
      </c>
      <c r="K13" s="250">
        <v>211110</v>
      </c>
      <c r="L13" s="250">
        <v>0</v>
      </c>
      <c r="M13" s="250">
        <v>0</v>
      </c>
      <c r="N13" s="251">
        <v>0</v>
      </c>
      <c r="O13" s="250">
        <v>0</v>
      </c>
      <c r="P13" s="250">
        <v>0</v>
      </c>
      <c r="Q13" s="250">
        <v>0</v>
      </c>
      <c r="R13" s="250">
        <v>0</v>
      </c>
      <c r="S13" s="250">
        <v>0</v>
      </c>
      <c r="T13" s="253"/>
      <c r="U13" s="250">
        <v>0</v>
      </c>
      <c r="V13" s="250">
        <v>0</v>
      </c>
      <c r="W13" s="340">
        <v>1</v>
      </c>
      <c r="X13" s="250">
        <v>0</v>
      </c>
      <c r="Y13" s="250"/>
      <c r="Z13" s="249">
        <f t="shared" si="1"/>
        <v>12454401</v>
      </c>
      <c r="AA13" s="341">
        <f t="shared" si="2"/>
        <v>687483698</v>
      </c>
    </row>
    <row r="14" spans="1:27" s="240" customFormat="1">
      <c r="A14" s="14">
        <v>6</v>
      </c>
      <c r="B14" s="242" t="s">
        <v>864</v>
      </c>
      <c r="C14" s="244" t="s">
        <v>865</v>
      </c>
      <c r="D14" s="244" t="s">
        <v>866</v>
      </c>
      <c r="E14" s="243" t="s">
        <v>852</v>
      </c>
      <c r="F14" s="243">
        <v>1</v>
      </c>
      <c r="G14" s="252">
        <f t="shared" si="0"/>
        <v>117780996</v>
      </c>
      <c r="H14" s="250">
        <v>0</v>
      </c>
      <c r="I14" s="250">
        <v>117764030</v>
      </c>
      <c r="J14" s="250">
        <v>0</v>
      </c>
      <c r="K14" s="250">
        <v>0</v>
      </c>
      <c r="L14" s="250">
        <v>0</v>
      </c>
      <c r="M14" s="250">
        <v>0</v>
      </c>
      <c r="N14" s="251">
        <v>0</v>
      </c>
      <c r="O14" s="250">
        <v>0</v>
      </c>
      <c r="P14" s="250">
        <v>84832</v>
      </c>
      <c r="Q14" s="244">
        <v>16966</v>
      </c>
      <c r="R14" s="250">
        <v>0</v>
      </c>
      <c r="S14" s="250">
        <v>0</v>
      </c>
      <c r="T14" s="253"/>
      <c r="U14" s="250">
        <v>0</v>
      </c>
      <c r="V14" s="250">
        <v>0</v>
      </c>
      <c r="W14" s="340">
        <v>1</v>
      </c>
      <c r="X14" s="250">
        <v>0</v>
      </c>
      <c r="Y14" s="250"/>
      <c r="Z14" s="249">
        <f t="shared" si="1"/>
        <v>117780996</v>
      </c>
      <c r="AA14" s="341">
        <f t="shared" si="2"/>
        <v>687483698</v>
      </c>
    </row>
    <row r="15" spans="1:27" s="240" customFormat="1">
      <c r="A15" s="14">
        <v>7</v>
      </c>
      <c r="B15" s="242" t="s">
        <v>867</v>
      </c>
      <c r="C15" s="244" t="s">
        <v>868</v>
      </c>
      <c r="D15" s="244" t="s">
        <v>851</v>
      </c>
      <c r="E15" s="243" t="s">
        <v>869</v>
      </c>
      <c r="F15" s="243">
        <v>1</v>
      </c>
      <c r="G15" s="252">
        <f t="shared" si="0"/>
        <v>132758274</v>
      </c>
      <c r="H15" s="250">
        <v>0</v>
      </c>
      <c r="I15" s="250">
        <v>131358274</v>
      </c>
      <c r="J15" s="250">
        <v>0</v>
      </c>
      <c r="K15" s="250">
        <v>0</v>
      </c>
      <c r="L15" s="250">
        <v>0</v>
      </c>
      <c r="M15" s="250">
        <v>0</v>
      </c>
      <c r="N15" s="251">
        <v>0</v>
      </c>
      <c r="O15" s="250">
        <v>0</v>
      </c>
      <c r="P15" s="250">
        <v>7000000</v>
      </c>
      <c r="Q15" s="251">
        <v>1400000</v>
      </c>
      <c r="R15" s="250">
        <v>0</v>
      </c>
      <c r="S15" s="250">
        <v>0</v>
      </c>
      <c r="T15" s="253"/>
      <c r="U15" s="250">
        <v>0</v>
      </c>
      <c r="V15" s="250">
        <v>0</v>
      </c>
      <c r="W15" s="340">
        <v>1</v>
      </c>
      <c r="X15" s="250">
        <v>0</v>
      </c>
      <c r="Y15" s="250"/>
      <c r="Z15" s="249">
        <f t="shared" si="1"/>
        <v>132758274</v>
      </c>
      <c r="AA15" s="341">
        <f t="shared" si="2"/>
        <v>687483698</v>
      </c>
    </row>
    <row r="16" spans="1:27" s="240" customFormat="1">
      <c r="A16" s="14">
        <v>8</v>
      </c>
      <c r="B16" s="242" t="s">
        <v>870</v>
      </c>
      <c r="C16" s="244" t="s">
        <v>871</v>
      </c>
      <c r="D16" s="244" t="s">
        <v>872</v>
      </c>
      <c r="E16" s="243" t="s">
        <v>869</v>
      </c>
      <c r="F16" s="243">
        <v>1</v>
      </c>
      <c r="G16" s="252">
        <f t="shared" si="0"/>
        <v>126041970</v>
      </c>
      <c r="H16" s="250">
        <v>0</v>
      </c>
      <c r="I16" s="250">
        <v>125351970</v>
      </c>
      <c r="J16" s="250">
        <v>0</v>
      </c>
      <c r="K16" s="250">
        <v>0</v>
      </c>
      <c r="L16" s="250">
        <v>0</v>
      </c>
      <c r="M16" s="250">
        <v>0</v>
      </c>
      <c r="N16" s="251">
        <v>0</v>
      </c>
      <c r="O16" s="250">
        <v>0</v>
      </c>
      <c r="P16" s="250">
        <v>3450000</v>
      </c>
      <c r="Q16" s="251">
        <v>690000</v>
      </c>
      <c r="R16" s="250">
        <v>0</v>
      </c>
      <c r="S16" s="250">
        <v>0</v>
      </c>
      <c r="T16" s="253"/>
      <c r="U16" s="250">
        <v>0</v>
      </c>
      <c r="V16" s="250">
        <v>0</v>
      </c>
      <c r="W16" s="340">
        <v>1</v>
      </c>
      <c r="X16" s="250">
        <v>0</v>
      </c>
      <c r="Y16" s="250"/>
      <c r="Z16" s="249">
        <f t="shared" si="1"/>
        <v>126041970</v>
      </c>
      <c r="AA16" s="341">
        <f t="shared" si="2"/>
        <v>687483698</v>
      </c>
    </row>
    <row r="17" spans="1:27" s="240" customFormat="1">
      <c r="A17" s="14">
        <v>9</v>
      </c>
      <c r="B17" s="242" t="s">
        <v>873</v>
      </c>
      <c r="C17" s="244" t="s">
        <v>874</v>
      </c>
      <c r="D17" s="244" t="s">
        <v>875</v>
      </c>
      <c r="E17" s="243" t="s">
        <v>855</v>
      </c>
      <c r="F17" s="243">
        <v>2</v>
      </c>
      <c r="G17" s="252">
        <f t="shared" si="0"/>
        <v>1983007449</v>
      </c>
      <c r="H17" s="250">
        <v>0</v>
      </c>
      <c r="I17" s="250">
        <v>1963099414</v>
      </c>
      <c r="J17" s="250">
        <v>0</v>
      </c>
      <c r="K17" s="250">
        <v>515610</v>
      </c>
      <c r="L17" s="250">
        <v>0</v>
      </c>
      <c r="M17" s="250">
        <v>0</v>
      </c>
      <c r="N17" s="251">
        <v>0</v>
      </c>
      <c r="O17" s="250">
        <v>0</v>
      </c>
      <c r="P17" s="250">
        <v>96962123</v>
      </c>
      <c r="Q17" s="251">
        <v>19392425</v>
      </c>
      <c r="R17" s="250">
        <v>0</v>
      </c>
      <c r="S17" s="250">
        <v>0</v>
      </c>
      <c r="T17" s="253"/>
      <c r="U17" s="250">
        <v>3</v>
      </c>
      <c r="V17" s="250">
        <v>1597877699</v>
      </c>
      <c r="W17" s="340">
        <v>1</v>
      </c>
      <c r="X17" s="250">
        <v>0</v>
      </c>
      <c r="Y17" s="250"/>
      <c r="Z17" s="249">
        <f t="shared" si="1"/>
        <v>385129750</v>
      </c>
      <c r="AA17" s="341">
        <f t="shared" si="2"/>
        <v>959073308</v>
      </c>
    </row>
    <row r="18" spans="1:27" s="240" customFormat="1">
      <c r="A18" s="14">
        <v>10</v>
      </c>
      <c r="B18" s="242" t="s">
        <v>876</v>
      </c>
      <c r="C18" s="244" t="s">
        <v>877</v>
      </c>
      <c r="D18" s="244" t="s">
        <v>878</v>
      </c>
      <c r="E18" s="243" t="s">
        <v>855</v>
      </c>
      <c r="F18" s="243">
        <v>2</v>
      </c>
      <c r="G18" s="252">
        <f t="shared" si="0"/>
        <v>63145783</v>
      </c>
      <c r="H18" s="250">
        <v>0</v>
      </c>
      <c r="I18" s="250">
        <v>61636506</v>
      </c>
      <c r="J18" s="250">
        <v>0</v>
      </c>
      <c r="K18" s="250">
        <v>1509277</v>
      </c>
      <c r="L18" s="250">
        <v>0</v>
      </c>
      <c r="M18" s="250">
        <v>0</v>
      </c>
      <c r="N18" s="251">
        <v>0</v>
      </c>
      <c r="O18" s="250">
        <v>0</v>
      </c>
      <c r="P18" s="250">
        <v>0</v>
      </c>
      <c r="Q18" s="250">
        <v>0</v>
      </c>
      <c r="R18" s="250">
        <v>0</v>
      </c>
      <c r="S18" s="250">
        <v>0</v>
      </c>
      <c r="T18" s="253"/>
      <c r="U18" s="250">
        <v>0</v>
      </c>
      <c r="V18" s="250">
        <v>0</v>
      </c>
      <c r="W18" s="340">
        <v>1</v>
      </c>
      <c r="X18" s="250">
        <v>0</v>
      </c>
      <c r="Y18" s="250"/>
      <c r="Z18" s="249">
        <f t="shared" si="1"/>
        <v>63145783</v>
      </c>
      <c r="AA18" s="341">
        <f t="shared" si="2"/>
        <v>959073308</v>
      </c>
    </row>
    <row r="19" spans="1:27" s="240" customFormat="1" ht="25.5">
      <c r="A19" s="14">
        <v>11</v>
      </c>
      <c r="B19" s="242" t="s">
        <v>879</v>
      </c>
      <c r="C19" s="244" t="s">
        <v>880</v>
      </c>
      <c r="D19" s="244" t="s">
        <v>863</v>
      </c>
      <c r="E19" s="243" t="s">
        <v>855</v>
      </c>
      <c r="F19" s="243">
        <v>2</v>
      </c>
      <c r="G19" s="252">
        <f t="shared" si="0"/>
        <v>308762529</v>
      </c>
      <c r="H19" s="250">
        <v>0</v>
      </c>
      <c r="I19" s="250">
        <v>308762529</v>
      </c>
      <c r="J19" s="250">
        <v>0</v>
      </c>
      <c r="K19" s="250">
        <v>0</v>
      </c>
      <c r="L19" s="250">
        <v>0</v>
      </c>
      <c r="M19" s="250">
        <v>0</v>
      </c>
      <c r="N19" s="251">
        <v>0</v>
      </c>
      <c r="O19" s="250">
        <v>0</v>
      </c>
      <c r="P19" s="250">
        <v>0</v>
      </c>
      <c r="Q19" s="250">
        <v>0</v>
      </c>
      <c r="R19" s="250">
        <v>0</v>
      </c>
      <c r="S19" s="250">
        <v>0</v>
      </c>
      <c r="T19" s="253"/>
      <c r="U19" s="250">
        <v>0</v>
      </c>
      <c r="V19" s="250">
        <v>0</v>
      </c>
      <c r="W19" s="340">
        <v>1</v>
      </c>
      <c r="X19" s="250">
        <v>0</v>
      </c>
      <c r="Y19" s="250"/>
      <c r="Z19" s="249">
        <f t="shared" si="1"/>
        <v>308762529</v>
      </c>
      <c r="AA19" s="341">
        <f t="shared" si="2"/>
        <v>959073308</v>
      </c>
    </row>
    <row r="20" spans="1:27" s="240" customFormat="1">
      <c r="A20" s="14">
        <v>12</v>
      </c>
      <c r="B20" s="242" t="s">
        <v>881</v>
      </c>
      <c r="C20" s="244" t="s">
        <v>882</v>
      </c>
      <c r="D20" s="244" t="s">
        <v>883</v>
      </c>
      <c r="E20" s="243" t="s">
        <v>855</v>
      </c>
      <c r="F20" s="243">
        <v>2</v>
      </c>
      <c r="G20" s="252">
        <f t="shared" si="0"/>
        <v>202035246</v>
      </c>
      <c r="H20" s="250">
        <v>0</v>
      </c>
      <c r="I20" s="250">
        <v>202035246</v>
      </c>
      <c r="J20" s="250">
        <v>0</v>
      </c>
      <c r="K20" s="250">
        <v>0</v>
      </c>
      <c r="L20" s="250">
        <v>0</v>
      </c>
      <c r="M20" s="250">
        <v>0</v>
      </c>
      <c r="N20" s="251">
        <v>0</v>
      </c>
      <c r="O20" s="250">
        <v>0</v>
      </c>
      <c r="P20" s="250">
        <v>0</v>
      </c>
      <c r="Q20" s="250">
        <v>0</v>
      </c>
      <c r="R20" s="250">
        <v>0</v>
      </c>
      <c r="S20" s="250">
        <v>0</v>
      </c>
      <c r="T20" s="253"/>
      <c r="U20" s="250">
        <v>0</v>
      </c>
      <c r="V20" s="250">
        <v>0</v>
      </c>
      <c r="W20" s="340">
        <v>1</v>
      </c>
      <c r="X20" s="250">
        <v>0</v>
      </c>
      <c r="Y20" s="250"/>
      <c r="Z20" s="249">
        <f t="shared" si="1"/>
        <v>202035246</v>
      </c>
      <c r="AA20" s="341">
        <f t="shared" si="2"/>
        <v>959073308</v>
      </c>
    </row>
    <row r="21" spans="1:27" s="240" customFormat="1">
      <c r="A21" s="14">
        <v>13</v>
      </c>
      <c r="B21" s="242" t="s">
        <v>884</v>
      </c>
      <c r="C21" s="244" t="s">
        <v>885</v>
      </c>
      <c r="D21" s="244" t="s">
        <v>886</v>
      </c>
      <c r="E21" s="243" t="s">
        <v>855</v>
      </c>
      <c r="F21" s="243">
        <v>3</v>
      </c>
      <c r="G21" s="252">
        <f t="shared" si="0"/>
        <v>1366500015</v>
      </c>
      <c r="H21" s="250">
        <v>0</v>
      </c>
      <c r="I21" s="250">
        <v>1366500015</v>
      </c>
      <c r="J21" s="250">
        <v>0</v>
      </c>
      <c r="K21" s="250">
        <v>0</v>
      </c>
      <c r="L21" s="250">
        <v>0</v>
      </c>
      <c r="M21" s="250">
        <v>0</v>
      </c>
      <c r="N21" s="251">
        <v>0</v>
      </c>
      <c r="O21" s="250">
        <v>0</v>
      </c>
      <c r="P21" s="250">
        <v>0</v>
      </c>
      <c r="Q21" s="244">
        <v>0</v>
      </c>
      <c r="R21" s="250">
        <v>0</v>
      </c>
      <c r="S21" s="250">
        <v>0</v>
      </c>
      <c r="T21" s="253"/>
      <c r="U21" s="250">
        <v>3</v>
      </c>
      <c r="V21" s="250">
        <v>1366500015</v>
      </c>
      <c r="W21" s="340">
        <v>1</v>
      </c>
      <c r="X21" s="250">
        <v>0</v>
      </c>
      <c r="Y21" s="250"/>
      <c r="Z21" s="249">
        <f t="shared" si="1"/>
        <v>0</v>
      </c>
      <c r="AA21" s="341">
        <f t="shared" si="2"/>
        <v>771549888</v>
      </c>
    </row>
    <row r="22" spans="1:27" s="240" customFormat="1" ht="25.5">
      <c r="A22" s="14">
        <v>14</v>
      </c>
      <c r="B22" s="242" t="s">
        <v>887</v>
      </c>
      <c r="C22" s="244" t="s">
        <v>888</v>
      </c>
      <c r="D22" s="244" t="s">
        <v>886</v>
      </c>
      <c r="E22" s="243" t="s">
        <v>869</v>
      </c>
      <c r="F22" s="243">
        <v>3</v>
      </c>
      <c r="G22" s="252">
        <f t="shared" si="0"/>
        <v>72243755</v>
      </c>
      <c r="H22" s="250">
        <v>0</v>
      </c>
      <c r="I22" s="250">
        <v>72243755</v>
      </c>
      <c r="J22" s="250">
        <v>0</v>
      </c>
      <c r="K22" s="250">
        <v>0</v>
      </c>
      <c r="L22" s="250">
        <v>0</v>
      </c>
      <c r="M22" s="250">
        <v>0</v>
      </c>
      <c r="N22" s="251">
        <v>0</v>
      </c>
      <c r="O22" s="250">
        <v>0</v>
      </c>
      <c r="P22" s="250">
        <v>0</v>
      </c>
      <c r="Q22" s="251">
        <v>0</v>
      </c>
      <c r="R22" s="250">
        <v>0</v>
      </c>
      <c r="S22" s="250">
        <v>0</v>
      </c>
      <c r="T22" s="253"/>
      <c r="U22" s="250">
        <v>3</v>
      </c>
      <c r="V22" s="250">
        <v>72243755</v>
      </c>
      <c r="W22" s="340">
        <v>1</v>
      </c>
      <c r="X22" s="250">
        <v>0</v>
      </c>
      <c r="Y22" s="250"/>
      <c r="Z22" s="249">
        <f t="shared" si="1"/>
        <v>0</v>
      </c>
      <c r="AA22" s="341">
        <f t="shared" si="2"/>
        <v>771549888</v>
      </c>
    </row>
    <row r="23" spans="1:27" s="240" customFormat="1" ht="25.5">
      <c r="A23" s="14">
        <v>15</v>
      </c>
      <c r="B23" s="242" t="s">
        <v>889</v>
      </c>
      <c r="C23" s="244" t="s">
        <v>890</v>
      </c>
      <c r="D23" s="244" t="s">
        <v>886</v>
      </c>
      <c r="E23" s="243" t="s">
        <v>869</v>
      </c>
      <c r="F23" s="243">
        <v>3</v>
      </c>
      <c r="G23" s="252">
        <f t="shared" si="0"/>
        <v>3911</v>
      </c>
      <c r="H23" s="250">
        <v>0</v>
      </c>
      <c r="I23" s="250">
        <v>3911</v>
      </c>
      <c r="J23" s="250">
        <v>0</v>
      </c>
      <c r="K23" s="250">
        <v>0</v>
      </c>
      <c r="L23" s="250">
        <v>0</v>
      </c>
      <c r="M23" s="250">
        <v>0</v>
      </c>
      <c r="N23" s="251">
        <v>0</v>
      </c>
      <c r="O23" s="250">
        <v>0</v>
      </c>
      <c r="P23" s="250">
        <v>0</v>
      </c>
      <c r="Q23" s="251">
        <v>0</v>
      </c>
      <c r="R23" s="250">
        <v>0</v>
      </c>
      <c r="S23" s="250">
        <v>0</v>
      </c>
      <c r="T23" s="253"/>
      <c r="U23" s="250">
        <v>0</v>
      </c>
      <c r="V23" s="250">
        <v>0</v>
      </c>
      <c r="W23" s="340">
        <v>1</v>
      </c>
      <c r="X23" s="250">
        <v>0</v>
      </c>
      <c r="Y23" s="250"/>
      <c r="Z23" s="249">
        <f t="shared" si="1"/>
        <v>3911</v>
      </c>
      <c r="AA23" s="341">
        <f t="shared" si="2"/>
        <v>771549888</v>
      </c>
    </row>
    <row r="24" spans="1:27" s="240" customFormat="1">
      <c r="A24" s="14">
        <v>16</v>
      </c>
      <c r="B24" s="242" t="s">
        <v>891</v>
      </c>
      <c r="C24" s="244" t="s">
        <v>892</v>
      </c>
      <c r="D24" s="244" t="s">
        <v>893</v>
      </c>
      <c r="E24" s="243" t="s">
        <v>869</v>
      </c>
      <c r="F24" s="243">
        <v>3</v>
      </c>
      <c r="G24" s="252">
        <f t="shared" si="0"/>
        <v>771545977</v>
      </c>
      <c r="H24" s="250">
        <v>0</v>
      </c>
      <c r="I24" s="250">
        <v>771413775</v>
      </c>
      <c r="J24" s="250">
        <v>0</v>
      </c>
      <c r="K24" s="250">
        <v>0</v>
      </c>
      <c r="L24" s="250">
        <v>0</v>
      </c>
      <c r="M24" s="250">
        <v>0</v>
      </c>
      <c r="N24" s="251">
        <v>0</v>
      </c>
      <c r="O24" s="250">
        <v>0</v>
      </c>
      <c r="P24" s="250">
        <v>661009</v>
      </c>
      <c r="Q24" s="251">
        <v>132202</v>
      </c>
      <c r="R24" s="250">
        <v>0</v>
      </c>
      <c r="S24" s="250">
        <v>0</v>
      </c>
      <c r="T24" s="253"/>
      <c r="U24" s="250">
        <v>0</v>
      </c>
      <c r="V24" s="250">
        <v>0</v>
      </c>
      <c r="W24" s="340">
        <v>1</v>
      </c>
      <c r="X24" s="250">
        <v>0</v>
      </c>
      <c r="Y24" s="250"/>
      <c r="Z24" s="249">
        <f t="shared" si="1"/>
        <v>771545977</v>
      </c>
      <c r="AA24" s="341">
        <f t="shared" si="2"/>
        <v>771549888</v>
      </c>
    </row>
    <row r="25" spans="1:27" s="240" customFormat="1">
      <c r="A25" s="14">
        <v>17</v>
      </c>
      <c r="B25" s="242" t="s">
        <v>894</v>
      </c>
      <c r="C25" s="244" t="s">
        <v>895</v>
      </c>
      <c r="D25" s="244" t="s">
        <v>896</v>
      </c>
      <c r="E25" s="243" t="s">
        <v>897</v>
      </c>
      <c r="F25" s="243">
        <v>4</v>
      </c>
      <c r="G25" s="252">
        <f t="shared" si="0"/>
        <v>1982887880</v>
      </c>
      <c r="H25" s="250">
        <v>0</v>
      </c>
      <c r="I25" s="250">
        <v>1815457984</v>
      </c>
      <c r="J25" s="250">
        <v>0</v>
      </c>
      <c r="K25" s="250">
        <v>167429896</v>
      </c>
      <c r="L25" s="250">
        <v>0</v>
      </c>
      <c r="M25" s="250">
        <v>0</v>
      </c>
      <c r="N25" s="251">
        <v>0</v>
      </c>
      <c r="O25" s="250">
        <v>0</v>
      </c>
      <c r="P25" s="250">
        <v>0</v>
      </c>
      <c r="Q25" s="251">
        <v>0</v>
      </c>
      <c r="R25" s="250">
        <v>0</v>
      </c>
      <c r="S25" s="250">
        <v>0</v>
      </c>
      <c r="T25" s="253"/>
      <c r="U25" s="250">
        <v>0</v>
      </c>
      <c r="V25" s="250">
        <v>0</v>
      </c>
      <c r="W25" s="340">
        <v>2</v>
      </c>
      <c r="X25" s="250">
        <v>198182181</v>
      </c>
      <c r="Y25" s="250"/>
      <c r="Z25" s="249">
        <f t="shared" si="1"/>
        <v>1784705699</v>
      </c>
      <c r="AA25" s="341">
        <f t="shared" si="2"/>
        <v>1784705699</v>
      </c>
    </row>
    <row r="26" spans="1:27" s="240" customFormat="1">
      <c r="A26" s="14">
        <v>18</v>
      </c>
      <c r="B26" s="242" t="s">
        <v>898</v>
      </c>
      <c r="C26" s="244" t="s">
        <v>899</v>
      </c>
      <c r="D26" s="244" t="s">
        <v>900</v>
      </c>
      <c r="E26" s="243" t="s">
        <v>901</v>
      </c>
      <c r="F26" s="243">
        <v>5</v>
      </c>
      <c r="G26" s="252">
        <f t="shared" si="0"/>
        <v>1657570942</v>
      </c>
      <c r="H26" s="250">
        <v>0</v>
      </c>
      <c r="I26" s="250">
        <v>1657570942</v>
      </c>
      <c r="J26" s="250">
        <v>0</v>
      </c>
      <c r="K26" s="250">
        <v>0</v>
      </c>
      <c r="L26" s="250">
        <v>0</v>
      </c>
      <c r="M26" s="250">
        <v>0</v>
      </c>
      <c r="N26" s="251">
        <v>0</v>
      </c>
      <c r="O26" s="250">
        <v>0</v>
      </c>
      <c r="P26" s="250">
        <v>0</v>
      </c>
      <c r="Q26" s="251">
        <v>0</v>
      </c>
      <c r="R26" s="250">
        <v>0</v>
      </c>
      <c r="S26" s="250">
        <v>0</v>
      </c>
      <c r="T26" s="253"/>
      <c r="U26" s="250">
        <v>6</v>
      </c>
      <c r="V26" s="250">
        <v>859285564</v>
      </c>
      <c r="W26" s="340">
        <v>1</v>
      </c>
      <c r="X26" s="250">
        <v>0</v>
      </c>
      <c r="Y26" s="250"/>
      <c r="Z26" s="249">
        <f t="shared" si="1"/>
        <v>798285378</v>
      </c>
      <c r="AA26" s="341">
        <f t="shared" si="2"/>
        <v>798285378</v>
      </c>
    </row>
    <row r="27" spans="1:27" s="240" customFormat="1">
      <c r="A27" s="14">
        <v>19</v>
      </c>
      <c r="B27" s="242" t="s">
        <v>902</v>
      </c>
      <c r="C27" s="244" t="s">
        <v>903</v>
      </c>
      <c r="D27" s="244" t="s">
        <v>904</v>
      </c>
      <c r="E27" s="243" t="s">
        <v>901</v>
      </c>
      <c r="F27" s="243">
        <v>6</v>
      </c>
      <c r="G27" s="252">
        <f t="shared" si="0"/>
        <v>787024306</v>
      </c>
      <c r="H27" s="250">
        <v>0</v>
      </c>
      <c r="I27" s="250">
        <v>762340426</v>
      </c>
      <c r="J27" s="250">
        <v>0</v>
      </c>
      <c r="K27" s="250">
        <v>0</v>
      </c>
      <c r="L27" s="250">
        <v>24683880</v>
      </c>
      <c r="M27" s="250">
        <v>24683880</v>
      </c>
      <c r="N27" s="251">
        <v>0</v>
      </c>
      <c r="O27" s="250">
        <v>0</v>
      </c>
      <c r="P27" s="250">
        <v>0</v>
      </c>
      <c r="Q27" s="251">
        <v>0</v>
      </c>
      <c r="R27" s="250">
        <v>0</v>
      </c>
      <c r="S27" s="250">
        <v>0</v>
      </c>
      <c r="T27" s="253"/>
      <c r="U27" s="250">
        <v>0</v>
      </c>
      <c r="V27" s="250">
        <v>0</v>
      </c>
      <c r="W27" s="340">
        <v>1</v>
      </c>
      <c r="X27" s="250">
        <v>0</v>
      </c>
      <c r="Y27" s="250"/>
      <c r="Z27" s="249">
        <f t="shared" si="1"/>
        <v>787024306</v>
      </c>
      <c r="AA27" s="341">
        <f t="shared" si="2"/>
        <v>1540459673</v>
      </c>
    </row>
    <row r="28" spans="1:27" s="240" customFormat="1">
      <c r="A28" s="14">
        <v>20</v>
      </c>
      <c r="B28" s="242" t="s">
        <v>905</v>
      </c>
      <c r="C28" s="244" t="s">
        <v>906</v>
      </c>
      <c r="D28" s="244" t="s">
        <v>904</v>
      </c>
      <c r="E28" s="243" t="s">
        <v>855</v>
      </c>
      <c r="F28" s="243">
        <v>6</v>
      </c>
      <c r="G28" s="252">
        <f t="shared" si="0"/>
        <v>383403033</v>
      </c>
      <c r="H28" s="250">
        <v>0</v>
      </c>
      <c r="I28" s="250">
        <v>383403033</v>
      </c>
      <c r="J28" s="250">
        <v>0</v>
      </c>
      <c r="K28" s="250">
        <v>0</v>
      </c>
      <c r="L28" s="250">
        <v>0</v>
      </c>
      <c r="M28" s="250">
        <v>0</v>
      </c>
      <c r="N28" s="251">
        <v>0</v>
      </c>
      <c r="O28" s="250">
        <v>0</v>
      </c>
      <c r="P28" s="250">
        <v>0</v>
      </c>
      <c r="Q28" s="251">
        <v>0</v>
      </c>
      <c r="R28" s="250">
        <v>0</v>
      </c>
      <c r="S28" s="250">
        <v>0</v>
      </c>
      <c r="T28" s="253"/>
      <c r="U28" s="250">
        <v>0</v>
      </c>
      <c r="V28" s="250">
        <v>0</v>
      </c>
      <c r="W28" s="340">
        <v>1</v>
      </c>
      <c r="X28" s="250">
        <v>0</v>
      </c>
      <c r="Y28" s="250"/>
      <c r="Z28" s="249">
        <f t="shared" si="1"/>
        <v>383403033</v>
      </c>
      <c r="AA28" s="341">
        <f t="shared" si="2"/>
        <v>1540459673</v>
      </c>
    </row>
    <row r="29" spans="1:27" s="240" customFormat="1">
      <c r="A29" s="14">
        <v>21</v>
      </c>
      <c r="B29" s="242" t="s">
        <v>907</v>
      </c>
      <c r="C29" s="244" t="s">
        <v>908</v>
      </c>
      <c r="D29" s="244" t="s">
        <v>909</v>
      </c>
      <c r="E29" s="243" t="s">
        <v>855</v>
      </c>
      <c r="F29" s="243">
        <v>6</v>
      </c>
      <c r="G29" s="252">
        <f t="shared" si="0"/>
        <v>283591167</v>
      </c>
      <c r="H29" s="250">
        <v>0</v>
      </c>
      <c r="I29" s="250">
        <v>283591167</v>
      </c>
      <c r="J29" s="250">
        <v>0</v>
      </c>
      <c r="K29" s="250">
        <v>0</v>
      </c>
      <c r="L29" s="250">
        <v>0</v>
      </c>
      <c r="M29" s="250">
        <v>0</v>
      </c>
      <c r="N29" s="251">
        <v>0</v>
      </c>
      <c r="O29" s="250">
        <v>0</v>
      </c>
      <c r="P29" s="250">
        <v>0</v>
      </c>
      <c r="Q29" s="251">
        <v>0</v>
      </c>
      <c r="R29" s="250">
        <v>0</v>
      </c>
      <c r="S29" s="250">
        <v>0</v>
      </c>
      <c r="T29" s="253"/>
      <c r="U29" s="250">
        <v>0</v>
      </c>
      <c r="V29" s="250">
        <v>0</v>
      </c>
      <c r="W29" s="340">
        <v>1</v>
      </c>
      <c r="X29" s="250">
        <v>0</v>
      </c>
      <c r="Y29" s="250"/>
      <c r="Z29" s="249">
        <f t="shared" si="1"/>
        <v>283591167</v>
      </c>
      <c r="AA29" s="341">
        <f t="shared" si="2"/>
        <v>1540459673</v>
      </c>
    </row>
    <row r="30" spans="1:27" s="240" customFormat="1">
      <c r="A30" s="14">
        <v>22</v>
      </c>
      <c r="B30" s="242" t="s">
        <v>910</v>
      </c>
      <c r="C30" s="244" t="s">
        <v>911</v>
      </c>
      <c r="D30" s="244" t="s">
        <v>909</v>
      </c>
      <c r="E30" s="243" t="s">
        <v>901</v>
      </c>
      <c r="F30" s="243">
        <v>6</v>
      </c>
      <c r="G30" s="252">
        <f t="shared" si="0"/>
        <v>86441167</v>
      </c>
      <c r="H30" s="250">
        <v>0</v>
      </c>
      <c r="I30" s="250">
        <v>86441167</v>
      </c>
      <c r="J30" s="250">
        <v>0</v>
      </c>
      <c r="K30" s="250">
        <v>0</v>
      </c>
      <c r="L30" s="250">
        <v>0</v>
      </c>
      <c r="M30" s="250">
        <v>0</v>
      </c>
      <c r="N30" s="251">
        <v>0</v>
      </c>
      <c r="O30" s="250">
        <v>0</v>
      </c>
      <c r="P30" s="250">
        <v>0</v>
      </c>
      <c r="Q30" s="251">
        <v>0</v>
      </c>
      <c r="R30" s="250">
        <v>0</v>
      </c>
      <c r="S30" s="250">
        <v>0</v>
      </c>
      <c r="T30" s="253"/>
      <c r="U30" s="250">
        <v>0</v>
      </c>
      <c r="V30" s="250">
        <v>0</v>
      </c>
      <c r="W30" s="340">
        <v>1</v>
      </c>
      <c r="X30" s="250">
        <v>0</v>
      </c>
      <c r="Y30" s="250"/>
      <c r="Z30" s="249">
        <f t="shared" si="1"/>
        <v>86441167</v>
      </c>
      <c r="AA30" s="341">
        <f t="shared" si="2"/>
        <v>1540459673</v>
      </c>
    </row>
    <row r="31" spans="1:27" s="240" customFormat="1">
      <c r="A31" s="14">
        <v>23</v>
      </c>
      <c r="B31" s="242" t="s">
        <v>912</v>
      </c>
      <c r="C31" s="244" t="s">
        <v>913</v>
      </c>
      <c r="D31" s="244" t="s">
        <v>914</v>
      </c>
      <c r="E31" s="243" t="s">
        <v>897</v>
      </c>
      <c r="F31" s="243">
        <v>7</v>
      </c>
      <c r="G31" s="252">
        <f t="shared" si="0"/>
        <v>1434017733</v>
      </c>
      <c r="H31" s="250">
        <v>0</v>
      </c>
      <c r="I31" s="250">
        <v>1434017733</v>
      </c>
      <c r="J31" s="250">
        <v>0</v>
      </c>
      <c r="K31" s="250">
        <v>0</v>
      </c>
      <c r="L31" s="250">
        <v>0</v>
      </c>
      <c r="M31" s="250">
        <v>0</v>
      </c>
      <c r="N31" s="251">
        <v>0</v>
      </c>
      <c r="O31" s="250">
        <v>0</v>
      </c>
      <c r="P31" s="250">
        <v>0</v>
      </c>
      <c r="Q31" s="251">
        <v>0</v>
      </c>
      <c r="R31" s="250">
        <v>0</v>
      </c>
      <c r="S31" s="250">
        <v>0</v>
      </c>
      <c r="T31" s="253"/>
      <c r="U31" s="250">
        <v>0</v>
      </c>
      <c r="V31" s="250">
        <v>0</v>
      </c>
      <c r="W31" s="340">
        <v>1</v>
      </c>
      <c r="X31" s="250">
        <v>0</v>
      </c>
      <c r="Y31" s="250"/>
      <c r="Z31" s="249">
        <f t="shared" si="1"/>
        <v>1434017733</v>
      </c>
      <c r="AA31" s="341">
        <f t="shared" si="2"/>
        <v>1434017733</v>
      </c>
    </row>
    <row r="32" spans="1:27" s="240" customFormat="1">
      <c r="A32" s="14">
        <v>24</v>
      </c>
      <c r="B32" s="242" t="s">
        <v>915</v>
      </c>
      <c r="C32" s="244" t="s">
        <v>916</v>
      </c>
      <c r="D32" s="244" t="s">
        <v>917</v>
      </c>
      <c r="E32" s="243" t="s">
        <v>897</v>
      </c>
      <c r="F32" s="243">
        <v>8</v>
      </c>
      <c r="G32" s="252">
        <f t="shared" si="0"/>
        <v>1406040969</v>
      </c>
      <c r="H32" s="250">
        <v>0</v>
      </c>
      <c r="I32" s="250">
        <v>1379389226</v>
      </c>
      <c r="J32" s="250">
        <v>0</v>
      </c>
      <c r="K32" s="250">
        <v>0</v>
      </c>
      <c r="L32" s="250">
        <v>133258716</v>
      </c>
      <c r="M32" s="250">
        <v>26651743</v>
      </c>
      <c r="N32" s="251">
        <v>0</v>
      </c>
      <c r="O32" s="250">
        <v>0</v>
      </c>
      <c r="P32" s="250">
        <v>0</v>
      </c>
      <c r="Q32" s="251">
        <v>0</v>
      </c>
      <c r="R32" s="250">
        <v>0</v>
      </c>
      <c r="S32" s="250">
        <v>0</v>
      </c>
      <c r="T32" s="253"/>
      <c r="U32" s="250">
        <v>0</v>
      </c>
      <c r="V32" s="250">
        <v>0</v>
      </c>
      <c r="W32" s="340">
        <v>1</v>
      </c>
      <c r="X32" s="250">
        <v>0</v>
      </c>
      <c r="Y32" s="250"/>
      <c r="Z32" s="249">
        <f t="shared" si="1"/>
        <v>1406040969</v>
      </c>
      <c r="AA32" s="341">
        <f t="shared" si="2"/>
        <v>1422037559</v>
      </c>
    </row>
    <row r="33" spans="1:27" s="240" customFormat="1" ht="25.5">
      <c r="A33" s="14">
        <v>25</v>
      </c>
      <c r="B33" s="242" t="s">
        <v>918</v>
      </c>
      <c r="C33" s="244" t="s">
        <v>919</v>
      </c>
      <c r="D33" s="244">
        <v>19200</v>
      </c>
      <c r="E33" s="244" t="s">
        <v>855</v>
      </c>
      <c r="F33" s="243">
        <v>8</v>
      </c>
      <c r="G33" s="252">
        <f t="shared" si="0"/>
        <v>63202</v>
      </c>
      <c r="H33" s="250">
        <v>0</v>
      </c>
      <c r="I33" s="250">
        <v>0</v>
      </c>
      <c r="J33" s="250">
        <v>0</v>
      </c>
      <c r="K33" s="250">
        <v>0</v>
      </c>
      <c r="L33" s="250">
        <v>0</v>
      </c>
      <c r="M33" s="250">
        <v>0</v>
      </c>
      <c r="N33" s="251">
        <v>0</v>
      </c>
      <c r="O33" s="250">
        <v>0</v>
      </c>
      <c r="P33" s="250">
        <v>0</v>
      </c>
      <c r="Q33" s="251">
        <v>0</v>
      </c>
      <c r="R33" s="250">
        <v>63202</v>
      </c>
      <c r="S33" s="250">
        <v>63202</v>
      </c>
      <c r="T33" s="253"/>
      <c r="U33" s="250">
        <v>0</v>
      </c>
      <c r="V33" s="250">
        <v>0</v>
      </c>
      <c r="W33" s="253"/>
      <c r="X33" s="250">
        <v>0</v>
      </c>
      <c r="Y33" s="250"/>
      <c r="Z33" s="249">
        <f t="shared" si="1"/>
        <v>63202</v>
      </c>
      <c r="AA33" s="341">
        <f t="shared" si="2"/>
        <v>1422037559</v>
      </c>
    </row>
    <row r="34" spans="1:27" s="240" customFormat="1">
      <c r="A34" s="14">
        <v>26</v>
      </c>
      <c r="B34" s="242" t="s">
        <v>920</v>
      </c>
      <c r="C34" s="244" t="s">
        <v>921</v>
      </c>
      <c r="D34" s="244" t="s">
        <v>922</v>
      </c>
      <c r="E34" s="243" t="s">
        <v>869</v>
      </c>
      <c r="F34" s="243">
        <v>8</v>
      </c>
      <c r="G34" s="252">
        <f t="shared" ref="G34:G58" si="3">+H34+I34+J34+K34+M34+O34+Q34+S34</f>
        <v>1723963</v>
      </c>
      <c r="H34" s="250">
        <v>0</v>
      </c>
      <c r="I34" s="250">
        <v>1723963</v>
      </c>
      <c r="J34" s="250">
        <v>0</v>
      </c>
      <c r="K34" s="250">
        <v>0</v>
      </c>
      <c r="L34" s="250">
        <v>0</v>
      </c>
      <c r="M34" s="250">
        <v>0</v>
      </c>
      <c r="N34" s="251">
        <v>0</v>
      </c>
      <c r="O34" s="250">
        <v>0</v>
      </c>
      <c r="P34" s="250">
        <v>0</v>
      </c>
      <c r="Q34" s="250">
        <v>0</v>
      </c>
      <c r="R34" s="250">
        <v>0</v>
      </c>
      <c r="S34" s="250">
        <v>0</v>
      </c>
      <c r="T34" s="253"/>
      <c r="U34" s="250">
        <v>0</v>
      </c>
      <c r="V34" s="250">
        <v>0</v>
      </c>
      <c r="W34" s="340">
        <v>1</v>
      </c>
      <c r="X34" s="250">
        <v>0</v>
      </c>
      <c r="Y34" s="250"/>
      <c r="Z34" s="249">
        <f t="shared" ref="Z34:Z58" si="4">+G34-V34-X34</f>
        <v>1723963</v>
      </c>
      <c r="AA34" s="341">
        <f t="shared" si="2"/>
        <v>1422037559</v>
      </c>
    </row>
    <row r="35" spans="1:27" s="240" customFormat="1">
      <c r="A35" s="14">
        <v>27</v>
      </c>
      <c r="B35" s="242" t="s">
        <v>923</v>
      </c>
      <c r="C35" s="244" t="s">
        <v>924</v>
      </c>
      <c r="D35" s="244" t="s">
        <v>925</v>
      </c>
      <c r="E35" s="243" t="s">
        <v>869</v>
      </c>
      <c r="F35" s="243">
        <v>8</v>
      </c>
      <c r="G35" s="252">
        <f t="shared" si="3"/>
        <v>14209425</v>
      </c>
      <c r="H35" s="250">
        <v>0</v>
      </c>
      <c r="I35" s="250">
        <v>14209425</v>
      </c>
      <c r="J35" s="250">
        <v>0</v>
      </c>
      <c r="K35" s="250">
        <v>0</v>
      </c>
      <c r="L35" s="250">
        <v>0</v>
      </c>
      <c r="M35" s="250">
        <v>0</v>
      </c>
      <c r="N35" s="251">
        <v>0</v>
      </c>
      <c r="O35" s="250">
        <v>0</v>
      </c>
      <c r="P35" s="250">
        <v>0</v>
      </c>
      <c r="Q35" s="250">
        <v>0</v>
      </c>
      <c r="R35" s="250">
        <v>0</v>
      </c>
      <c r="S35" s="250">
        <v>0</v>
      </c>
      <c r="T35" s="253"/>
      <c r="U35" s="250">
        <v>0</v>
      </c>
      <c r="V35" s="250">
        <v>0</v>
      </c>
      <c r="W35" s="340">
        <v>1</v>
      </c>
      <c r="X35" s="250">
        <v>0</v>
      </c>
      <c r="Y35" s="250"/>
      <c r="Z35" s="249">
        <f t="shared" si="4"/>
        <v>14209425</v>
      </c>
      <c r="AA35" s="341">
        <f t="shared" si="2"/>
        <v>1422037559</v>
      </c>
    </row>
    <row r="36" spans="1:27" s="240" customFormat="1">
      <c r="A36" s="14">
        <v>28</v>
      </c>
      <c r="B36" s="242" t="s">
        <v>926</v>
      </c>
      <c r="C36" s="244" t="s">
        <v>927</v>
      </c>
      <c r="D36" s="244" t="s">
        <v>928</v>
      </c>
      <c r="E36" s="243" t="s">
        <v>897</v>
      </c>
      <c r="F36" s="243">
        <v>9</v>
      </c>
      <c r="G36" s="252">
        <f t="shared" si="3"/>
        <v>1099600426</v>
      </c>
      <c r="H36" s="250">
        <v>0</v>
      </c>
      <c r="I36" s="250">
        <v>1067728920</v>
      </c>
      <c r="J36" s="250">
        <v>0</v>
      </c>
      <c r="K36" s="250">
        <v>30620223</v>
      </c>
      <c r="L36" s="250">
        <v>6256414</v>
      </c>
      <c r="M36" s="250">
        <v>1251283</v>
      </c>
      <c r="N36" s="251">
        <v>0</v>
      </c>
      <c r="O36" s="250">
        <v>0</v>
      </c>
      <c r="P36" s="250">
        <v>0</v>
      </c>
      <c r="Q36" s="250">
        <v>0</v>
      </c>
      <c r="R36" s="250">
        <v>0</v>
      </c>
      <c r="S36" s="250">
        <v>0</v>
      </c>
      <c r="T36" s="253"/>
      <c r="U36" s="250">
        <v>0</v>
      </c>
      <c r="V36" s="250">
        <v>0</v>
      </c>
      <c r="W36" s="340">
        <v>2</v>
      </c>
      <c r="X36" s="250">
        <v>109741764</v>
      </c>
      <c r="Y36" s="250"/>
      <c r="Z36" s="249">
        <f t="shared" si="4"/>
        <v>989858662</v>
      </c>
      <c r="AA36" s="341">
        <f t="shared" si="2"/>
        <v>1191893908</v>
      </c>
    </row>
    <row r="37" spans="1:27" s="240" customFormat="1">
      <c r="A37" s="14">
        <v>29</v>
      </c>
      <c r="B37" s="242" t="s">
        <v>881</v>
      </c>
      <c r="C37" s="244" t="s">
        <v>882</v>
      </c>
      <c r="D37" s="244" t="s">
        <v>883</v>
      </c>
      <c r="E37" s="243" t="s">
        <v>855</v>
      </c>
      <c r="F37" s="243">
        <v>9</v>
      </c>
      <c r="G37" s="252">
        <f t="shared" si="3"/>
        <v>202035246</v>
      </c>
      <c r="H37" s="250">
        <v>0</v>
      </c>
      <c r="I37" s="250">
        <v>202035246</v>
      </c>
      <c r="J37" s="250">
        <v>0</v>
      </c>
      <c r="K37" s="250">
        <v>0</v>
      </c>
      <c r="L37" s="250">
        <v>0</v>
      </c>
      <c r="M37" s="250">
        <v>0</v>
      </c>
      <c r="N37" s="251">
        <v>0</v>
      </c>
      <c r="O37" s="250">
        <v>0</v>
      </c>
      <c r="P37" s="250">
        <v>0</v>
      </c>
      <c r="Q37" s="250">
        <v>0</v>
      </c>
      <c r="R37" s="250">
        <v>0</v>
      </c>
      <c r="S37" s="250">
        <v>0</v>
      </c>
      <c r="T37" s="253"/>
      <c r="U37" s="250">
        <v>0</v>
      </c>
      <c r="V37" s="250">
        <v>0</v>
      </c>
      <c r="W37" s="340">
        <v>1</v>
      </c>
      <c r="X37" s="250">
        <v>0</v>
      </c>
      <c r="Y37" s="250"/>
      <c r="Z37" s="249">
        <f t="shared" si="4"/>
        <v>202035246</v>
      </c>
      <c r="AA37" s="341">
        <f t="shared" si="2"/>
        <v>1191893908</v>
      </c>
    </row>
    <row r="38" spans="1:27" s="240" customFormat="1">
      <c r="A38" s="14">
        <v>30</v>
      </c>
      <c r="B38" s="242" t="s">
        <v>929</v>
      </c>
      <c r="C38" s="244" t="s">
        <v>930</v>
      </c>
      <c r="D38" s="244" t="s">
        <v>931</v>
      </c>
      <c r="E38" s="243" t="s">
        <v>901</v>
      </c>
      <c r="F38" s="243">
        <v>10</v>
      </c>
      <c r="G38" s="252">
        <f t="shared" si="3"/>
        <v>1274260957</v>
      </c>
      <c r="H38" s="250">
        <v>0</v>
      </c>
      <c r="I38" s="250">
        <v>1124420359</v>
      </c>
      <c r="J38" s="250">
        <v>0</v>
      </c>
      <c r="K38" s="250">
        <v>149840598</v>
      </c>
      <c r="L38" s="250">
        <v>0</v>
      </c>
      <c r="M38" s="250">
        <v>0</v>
      </c>
      <c r="N38" s="251">
        <v>0</v>
      </c>
      <c r="O38" s="250">
        <v>0</v>
      </c>
      <c r="P38" s="250">
        <v>0</v>
      </c>
      <c r="Q38" s="250">
        <v>0</v>
      </c>
      <c r="R38" s="250">
        <v>0</v>
      </c>
      <c r="S38" s="250">
        <v>0</v>
      </c>
      <c r="T38" s="253"/>
      <c r="U38" s="250">
        <v>2</v>
      </c>
      <c r="V38" s="250">
        <v>1031960966</v>
      </c>
      <c r="W38" s="340">
        <v>1</v>
      </c>
      <c r="X38" s="250">
        <v>0</v>
      </c>
      <c r="Y38" s="250"/>
      <c r="Z38" s="249">
        <f t="shared" si="4"/>
        <v>242299991</v>
      </c>
      <c r="AA38" s="341">
        <f t="shared" si="2"/>
        <v>242299991</v>
      </c>
    </row>
    <row r="39" spans="1:27" s="240" customFormat="1">
      <c r="A39" s="14">
        <v>31</v>
      </c>
      <c r="B39" s="242" t="s">
        <v>932</v>
      </c>
      <c r="C39" s="244" t="s">
        <v>933</v>
      </c>
      <c r="D39" s="244" t="s">
        <v>933</v>
      </c>
      <c r="E39" s="243" t="s">
        <v>9</v>
      </c>
      <c r="F39" s="243">
        <v>11</v>
      </c>
      <c r="G39" s="252">
        <f t="shared" si="3"/>
        <v>1232539735</v>
      </c>
      <c r="H39" s="250">
        <v>1232487611</v>
      </c>
      <c r="I39" s="250">
        <v>0</v>
      </c>
      <c r="J39" s="250">
        <v>0</v>
      </c>
      <c r="K39" s="250">
        <v>52124</v>
      </c>
      <c r="L39" s="250">
        <v>0</v>
      </c>
      <c r="M39" s="250">
        <v>0</v>
      </c>
      <c r="N39" s="251">
        <v>0</v>
      </c>
      <c r="O39" s="250">
        <v>0</v>
      </c>
      <c r="P39" s="250">
        <v>0</v>
      </c>
      <c r="Q39" s="250">
        <v>0</v>
      </c>
      <c r="R39" s="250">
        <v>0</v>
      </c>
      <c r="S39" s="250">
        <v>0</v>
      </c>
      <c r="T39" s="253"/>
      <c r="U39" s="250">
        <v>0</v>
      </c>
      <c r="V39" s="250">
        <v>0</v>
      </c>
      <c r="W39" s="253"/>
      <c r="X39" s="250">
        <v>0</v>
      </c>
      <c r="Y39" s="250"/>
      <c r="Z39" s="249">
        <f t="shared" si="4"/>
        <v>1232539735</v>
      </c>
      <c r="AA39" s="341">
        <f t="shared" si="2"/>
        <v>1232539735</v>
      </c>
    </row>
    <row r="40" spans="1:27" s="240" customFormat="1">
      <c r="A40" s="14">
        <v>32</v>
      </c>
      <c r="B40" s="242" t="s">
        <v>934</v>
      </c>
      <c r="C40" s="244" t="s">
        <v>933</v>
      </c>
      <c r="D40" s="244" t="s">
        <v>933</v>
      </c>
      <c r="E40" s="243" t="s">
        <v>9</v>
      </c>
      <c r="F40" s="243">
        <v>12</v>
      </c>
      <c r="G40" s="252">
        <f t="shared" si="3"/>
        <v>1207953652</v>
      </c>
      <c r="H40" s="250">
        <v>1207953652</v>
      </c>
      <c r="I40" s="250">
        <v>0</v>
      </c>
      <c r="J40" s="250">
        <v>0</v>
      </c>
      <c r="K40" s="250">
        <v>0</v>
      </c>
      <c r="L40" s="250">
        <v>0</v>
      </c>
      <c r="M40" s="250">
        <v>0</v>
      </c>
      <c r="N40" s="251">
        <v>0</v>
      </c>
      <c r="O40" s="250">
        <v>0</v>
      </c>
      <c r="P40" s="250">
        <v>0</v>
      </c>
      <c r="Q40" s="250">
        <v>0</v>
      </c>
      <c r="R40" s="250">
        <v>0</v>
      </c>
      <c r="S40" s="250">
        <v>0</v>
      </c>
      <c r="T40" s="253"/>
      <c r="U40" s="250">
        <v>0</v>
      </c>
      <c r="V40" s="250">
        <v>0</v>
      </c>
      <c r="W40" s="253"/>
      <c r="X40" s="250">
        <v>0</v>
      </c>
      <c r="Y40" s="250"/>
      <c r="Z40" s="249">
        <f t="shared" si="4"/>
        <v>1207953652</v>
      </c>
      <c r="AA40" s="341">
        <f t="shared" si="2"/>
        <v>1207953652</v>
      </c>
    </row>
    <row r="41" spans="1:27" s="240" customFormat="1">
      <c r="A41" s="14">
        <v>33</v>
      </c>
      <c r="B41" s="242" t="s">
        <v>935</v>
      </c>
      <c r="C41" s="244" t="s">
        <v>936</v>
      </c>
      <c r="D41" s="244" t="s">
        <v>937</v>
      </c>
      <c r="E41" s="243" t="s">
        <v>852</v>
      </c>
      <c r="F41" s="243">
        <v>13</v>
      </c>
      <c r="G41" s="252">
        <f t="shared" si="3"/>
        <v>1169870705</v>
      </c>
      <c r="H41" s="250">
        <v>0</v>
      </c>
      <c r="I41" s="250">
        <v>1169868345</v>
      </c>
      <c r="J41" s="250">
        <v>0</v>
      </c>
      <c r="K41" s="250">
        <v>2360</v>
      </c>
      <c r="L41" s="250">
        <v>0</v>
      </c>
      <c r="M41" s="250">
        <v>0</v>
      </c>
      <c r="N41" s="251">
        <v>0</v>
      </c>
      <c r="O41" s="250">
        <v>0</v>
      </c>
      <c r="P41" s="250">
        <v>0</v>
      </c>
      <c r="Q41" s="251">
        <v>0</v>
      </c>
      <c r="R41" s="250">
        <v>0</v>
      </c>
      <c r="S41" s="250">
        <v>0</v>
      </c>
      <c r="T41" s="253"/>
      <c r="U41" s="250">
        <v>0</v>
      </c>
      <c r="V41" s="250">
        <v>0</v>
      </c>
      <c r="W41" s="253">
        <v>1</v>
      </c>
      <c r="X41" s="250">
        <v>0</v>
      </c>
      <c r="Y41" s="250"/>
      <c r="Z41" s="249">
        <f t="shared" si="4"/>
        <v>1169870705</v>
      </c>
      <c r="AA41" s="341">
        <f t="shared" ref="AA41:AA72" si="5">SUMIF($F$9:$F$88,$F41,$Z$9:$Z$88)</f>
        <v>1169870705</v>
      </c>
    </row>
    <row r="42" spans="1:27" s="240" customFormat="1">
      <c r="A42" s="14">
        <v>34</v>
      </c>
      <c r="B42" s="242" t="s">
        <v>938</v>
      </c>
      <c r="C42" s="244" t="s">
        <v>933</v>
      </c>
      <c r="D42" s="244" t="s">
        <v>933</v>
      </c>
      <c r="E42" s="243" t="s">
        <v>9</v>
      </c>
      <c r="F42" s="243">
        <v>14</v>
      </c>
      <c r="G42" s="252">
        <f t="shared" si="3"/>
        <v>1164660196</v>
      </c>
      <c r="H42" s="250">
        <v>1160991130</v>
      </c>
      <c r="I42" s="250">
        <v>0</v>
      </c>
      <c r="J42" s="250">
        <v>0</v>
      </c>
      <c r="K42" s="250">
        <v>3669066</v>
      </c>
      <c r="L42" s="250">
        <v>0</v>
      </c>
      <c r="M42" s="250">
        <v>0</v>
      </c>
      <c r="N42" s="251">
        <v>0</v>
      </c>
      <c r="O42" s="250">
        <v>0</v>
      </c>
      <c r="P42" s="250">
        <v>0</v>
      </c>
      <c r="Q42" s="251">
        <v>0</v>
      </c>
      <c r="R42" s="250">
        <v>0</v>
      </c>
      <c r="S42" s="250">
        <v>0</v>
      </c>
      <c r="T42" s="253"/>
      <c r="U42" s="250">
        <v>0</v>
      </c>
      <c r="V42" s="250">
        <v>0</v>
      </c>
      <c r="W42" s="253"/>
      <c r="X42" s="250">
        <v>0</v>
      </c>
      <c r="Y42" s="250"/>
      <c r="Z42" s="249">
        <f t="shared" si="4"/>
        <v>1164660196</v>
      </c>
      <c r="AA42" s="341">
        <f t="shared" si="5"/>
        <v>1164660196</v>
      </c>
    </row>
    <row r="43" spans="1:27" s="240" customFormat="1">
      <c r="A43" s="14">
        <v>35</v>
      </c>
      <c r="B43" s="242" t="s">
        <v>939</v>
      </c>
      <c r="C43" s="244" t="s">
        <v>940</v>
      </c>
      <c r="D43" s="244" t="s">
        <v>941</v>
      </c>
      <c r="E43" s="243" t="s">
        <v>901</v>
      </c>
      <c r="F43" s="243">
        <v>15</v>
      </c>
      <c r="G43" s="252">
        <f t="shared" si="3"/>
        <v>563279887</v>
      </c>
      <c r="H43" s="250">
        <v>0</v>
      </c>
      <c r="I43" s="250">
        <v>377889868</v>
      </c>
      <c r="J43" s="250">
        <v>0</v>
      </c>
      <c r="K43" s="250">
        <v>308469</v>
      </c>
      <c r="L43" s="250">
        <v>0</v>
      </c>
      <c r="M43" s="250">
        <v>0</v>
      </c>
      <c r="N43" s="251">
        <v>185081550</v>
      </c>
      <c r="O43" s="250">
        <v>185081550</v>
      </c>
      <c r="P43" s="250">
        <v>0</v>
      </c>
      <c r="Q43" s="251">
        <v>0</v>
      </c>
      <c r="R43" s="250">
        <v>0</v>
      </c>
      <c r="S43" s="250">
        <v>0</v>
      </c>
      <c r="T43" s="253"/>
      <c r="U43" s="250">
        <v>0</v>
      </c>
      <c r="V43" s="250">
        <v>0</v>
      </c>
      <c r="W43" s="253">
        <v>1</v>
      </c>
      <c r="X43" s="250">
        <v>0</v>
      </c>
      <c r="Y43" s="250"/>
      <c r="Z43" s="249">
        <f t="shared" si="4"/>
        <v>563279887</v>
      </c>
      <c r="AA43" s="341">
        <f t="shared" si="5"/>
        <v>1117295382</v>
      </c>
    </row>
    <row r="44" spans="1:27" s="240" customFormat="1">
      <c r="A44" s="14">
        <v>36</v>
      </c>
      <c r="B44" s="242" t="s">
        <v>942</v>
      </c>
      <c r="C44" s="244" t="s">
        <v>943</v>
      </c>
      <c r="D44" s="244" t="s">
        <v>941</v>
      </c>
      <c r="E44" s="243" t="s">
        <v>901</v>
      </c>
      <c r="F44" s="243">
        <v>15</v>
      </c>
      <c r="G44" s="252">
        <f t="shared" si="3"/>
        <v>554015495</v>
      </c>
      <c r="H44" s="250">
        <v>0</v>
      </c>
      <c r="I44" s="250">
        <v>492218822</v>
      </c>
      <c r="J44" s="250">
        <v>0</v>
      </c>
      <c r="K44" s="250">
        <v>102823</v>
      </c>
      <c r="L44" s="250">
        <v>0</v>
      </c>
      <c r="M44" s="250">
        <v>0</v>
      </c>
      <c r="N44" s="251">
        <v>61693850</v>
      </c>
      <c r="O44" s="250">
        <v>61693850</v>
      </c>
      <c r="P44" s="250">
        <v>0</v>
      </c>
      <c r="Q44" s="251">
        <v>0</v>
      </c>
      <c r="R44" s="250">
        <v>0</v>
      </c>
      <c r="S44" s="250">
        <v>0</v>
      </c>
      <c r="T44" s="253"/>
      <c r="U44" s="250">
        <v>0</v>
      </c>
      <c r="V44" s="250">
        <v>0</v>
      </c>
      <c r="W44" s="253">
        <v>1</v>
      </c>
      <c r="X44" s="250">
        <v>0</v>
      </c>
      <c r="Y44" s="250"/>
      <c r="Z44" s="249">
        <f t="shared" si="4"/>
        <v>554015495</v>
      </c>
      <c r="AA44" s="341">
        <f t="shared" si="5"/>
        <v>1117295382</v>
      </c>
    </row>
    <row r="45" spans="1:27" s="240" customFormat="1">
      <c r="A45" s="14">
        <v>37</v>
      </c>
      <c r="B45" s="242" t="s">
        <v>944</v>
      </c>
      <c r="C45" s="244" t="s">
        <v>945</v>
      </c>
      <c r="D45" s="244" t="s">
        <v>946</v>
      </c>
      <c r="E45" s="243" t="s">
        <v>901</v>
      </c>
      <c r="F45" s="243">
        <v>16</v>
      </c>
      <c r="G45" s="252">
        <f t="shared" si="3"/>
        <v>1107412540</v>
      </c>
      <c r="H45" s="250">
        <v>0</v>
      </c>
      <c r="I45" s="250">
        <v>1102377535</v>
      </c>
      <c r="J45" s="250">
        <v>0</v>
      </c>
      <c r="K45" s="250">
        <v>0</v>
      </c>
      <c r="L45" s="250">
        <v>0</v>
      </c>
      <c r="M45" s="250">
        <v>0</v>
      </c>
      <c r="N45" s="251">
        <v>0</v>
      </c>
      <c r="O45" s="250">
        <v>0</v>
      </c>
      <c r="P45" s="250">
        <v>25175026</v>
      </c>
      <c r="Q45" s="251">
        <v>5035005</v>
      </c>
      <c r="R45" s="250">
        <v>0</v>
      </c>
      <c r="S45" s="250">
        <v>0</v>
      </c>
      <c r="T45" s="253"/>
      <c r="U45" s="250">
        <v>0</v>
      </c>
      <c r="V45" s="250">
        <v>0</v>
      </c>
      <c r="W45" s="253">
        <v>1</v>
      </c>
      <c r="X45" s="250">
        <v>0</v>
      </c>
      <c r="Y45" s="250"/>
      <c r="Z45" s="249">
        <f t="shared" si="4"/>
        <v>1107412540</v>
      </c>
      <c r="AA45" s="341">
        <f t="shared" si="5"/>
        <v>1107412540</v>
      </c>
    </row>
    <row r="46" spans="1:27" s="240" customFormat="1">
      <c r="A46" s="14">
        <v>38</v>
      </c>
      <c r="B46" s="242" t="s">
        <v>947</v>
      </c>
      <c r="C46" s="244" t="s">
        <v>948</v>
      </c>
      <c r="D46" s="244" t="s">
        <v>949</v>
      </c>
      <c r="E46" s="243" t="s">
        <v>897</v>
      </c>
      <c r="F46" s="243">
        <v>17</v>
      </c>
      <c r="G46" s="252">
        <f t="shared" si="3"/>
        <v>980233757</v>
      </c>
      <c r="H46" s="250">
        <v>0</v>
      </c>
      <c r="I46" s="250">
        <v>978881917</v>
      </c>
      <c r="J46" s="250">
        <v>0</v>
      </c>
      <c r="K46" s="250">
        <v>764916</v>
      </c>
      <c r="L46" s="250">
        <v>0</v>
      </c>
      <c r="M46" s="250">
        <v>0</v>
      </c>
      <c r="N46" s="251">
        <v>0</v>
      </c>
      <c r="O46" s="250">
        <v>0</v>
      </c>
      <c r="P46" s="250">
        <v>2934618</v>
      </c>
      <c r="Q46" s="251">
        <v>586924</v>
      </c>
      <c r="R46" s="250">
        <v>0</v>
      </c>
      <c r="S46" s="250">
        <v>0</v>
      </c>
      <c r="T46" s="253"/>
      <c r="U46" s="250">
        <v>0</v>
      </c>
      <c r="V46" s="250">
        <v>0</v>
      </c>
      <c r="W46" s="253">
        <v>2</v>
      </c>
      <c r="X46" s="250">
        <v>97850313</v>
      </c>
      <c r="Y46" s="250"/>
      <c r="Z46" s="249">
        <f t="shared" si="4"/>
        <v>882383444</v>
      </c>
      <c r="AA46" s="341">
        <f t="shared" si="5"/>
        <v>882383444</v>
      </c>
    </row>
    <row r="47" spans="1:27" s="240" customFormat="1">
      <c r="A47" s="14">
        <v>39</v>
      </c>
      <c r="B47" s="242" t="s">
        <v>950</v>
      </c>
      <c r="C47" s="242" t="s">
        <v>951</v>
      </c>
      <c r="D47" s="244" t="s">
        <v>952</v>
      </c>
      <c r="E47" s="244" t="s">
        <v>953</v>
      </c>
      <c r="F47" s="243">
        <v>18</v>
      </c>
      <c r="G47" s="252">
        <f t="shared" si="3"/>
        <v>304895401</v>
      </c>
      <c r="H47" s="250">
        <v>0</v>
      </c>
      <c r="I47" s="250">
        <v>275081382</v>
      </c>
      <c r="J47" s="250">
        <v>0</v>
      </c>
      <c r="K47" s="250">
        <v>0</v>
      </c>
      <c r="L47" s="250">
        <v>148982008</v>
      </c>
      <c r="M47" s="250">
        <v>29796402</v>
      </c>
      <c r="N47" s="251">
        <v>0</v>
      </c>
      <c r="O47" s="250">
        <v>0</v>
      </c>
      <c r="P47" s="250">
        <v>88086</v>
      </c>
      <c r="Q47" s="251">
        <v>17617</v>
      </c>
      <c r="R47" s="250">
        <v>0</v>
      </c>
      <c r="S47" s="250">
        <v>0</v>
      </c>
      <c r="T47" s="253"/>
      <c r="U47" s="250">
        <v>0</v>
      </c>
      <c r="V47" s="250">
        <v>0</v>
      </c>
      <c r="W47" s="253">
        <v>1</v>
      </c>
      <c r="X47" s="250">
        <v>1</v>
      </c>
      <c r="Y47" s="250"/>
      <c r="Z47" s="249">
        <f t="shared" si="4"/>
        <v>304895400</v>
      </c>
      <c r="AA47" s="341">
        <f t="shared" si="5"/>
        <v>926806840</v>
      </c>
    </row>
    <row r="48" spans="1:27" s="240" customFormat="1">
      <c r="A48" s="14">
        <v>40</v>
      </c>
      <c r="B48" s="242" t="s">
        <v>954</v>
      </c>
      <c r="C48" s="242" t="s">
        <v>955</v>
      </c>
      <c r="D48" s="242" t="s">
        <v>956</v>
      </c>
      <c r="E48" s="243" t="s">
        <v>901</v>
      </c>
      <c r="F48" s="243">
        <v>18</v>
      </c>
      <c r="G48" s="252">
        <f t="shared" si="3"/>
        <v>145717923</v>
      </c>
      <c r="H48" s="250">
        <v>0</v>
      </c>
      <c r="I48" s="250">
        <v>144972661</v>
      </c>
      <c r="J48" s="250">
        <v>0</v>
      </c>
      <c r="K48" s="250">
        <v>0</v>
      </c>
      <c r="L48" s="250">
        <v>0</v>
      </c>
      <c r="M48" s="250">
        <v>0</v>
      </c>
      <c r="N48" s="251">
        <v>0</v>
      </c>
      <c r="O48" s="250">
        <v>0</v>
      </c>
      <c r="P48" s="250">
        <v>3726309</v>
      </c>
      <c r="Q48" s="251">
        <v>745262</v>
      </c>
      <c r="R48" s="250">
        <v>0</v>
      </c>
      <c r="S48" s="250">
        <v>0</v>
      </c>
      <c r="T48" s="253"/>
      <c r="U48" s="250">
        <v>0</v>
      </c>
      <c r="V48" s="250">
        <v>0</v>
      </c>
      <c r="W48" s="253">
        <v>1</v>
      </c>
      <c r="X48" s="250">
        <v>4957866</v>
      </c>
      <c r="Y48" s="250"/>
      <c r="Z48" s="249">
        <f t="shared" si="4"/>
        <v>140760057</v>
      </c>
      <c r="AA48" s="341">
        <f t="shared" si="5"/>
        <v>926806840</v>
      </c>
    </row>
    <row r="49" spans="1:27" s="240" customFormat="1">
      <c r="A49" s="14">
        <v>41</v>
      </c>
      <c r="B49" s="242" t="s">
        <v>957</v>
      </c>
      <c r="C49" s="242" t="s">
        <v>958</v>
      </c>
      <c r="D49" s="242" t="s">
        <v>914</v>
      </c>
      <c r="E49" s="243" t="s">
        <v>953</v>
      </c>
      <c r="F49" s="243">
        <v>18</v>
      </c>
      <c r="G49" s="252">
        <f t="shared" si="3"/>
        <v>114089615</v>
      </c>
      <c r="H49" s="250">
        <v>0</v>
      </c>
      <c r="I49" s="250">
        <v>78216746</v>
      </c>
      <c r="J49" s="250">
        <v>0</v>
      </c>
      <c r="K49" s="250">
        <v>0</v>
      </c>
      <c r="L49" s="250">
        <v>179364346</v>
      </c>
      <c r="M49" s="250">
        <v>35872869</v>
      </c>
      <c r="N49" s="251">
        <v>0</v>
      </c>
      <c r="O49" s="251">
        <v>0</v>
      </c>
      <c r="P49" s="251">
        <v>0</v>
      </c>
      <c r="Q49" s="251">
        <v>0</v>
      </c>
      <c r="R49" s="250">
        <v>0</v>
      </c>
      <c r="S49" s="250">
        <v>0</v>
      </c>
      <c r="T49" s="253"/>
      <c r="U49" s="250">
        <v>0</v>
      </c>
      <c r="V49" s="250">
        <v>0</v>
      </c>
      <c r="W49" s="253">
        <v>1</v>
      </c>
      <c r="X49" s="250">
        <v>0</v>
      </c>
      <c r="Y49" s="250"/>
      <c r="Z49" s="249">
        <f t="shared" si="4"/>
        <v>114089615</v>
      </c>
      <c r="AA49" s="341">
        <f t="shared" si="5"/>
        <v>926806840</v>
      </c>
    </row>
    <row r="50" spans="1:27" s="240" customFormat="1">
      <c r="A50" s="14">
        <v>42</v>
      </c>
      <c r="B50" s="242" t="s">
        <v>959</v>
      </c>
      <c r="C50" s="242" t="s">
        <v>960</v>
      </c>
      <c r="D50" s="242" t="s">
        <v>961</v>
      </c>
      <c r="E50" s="243" t="s">
        <v>852</v>
      </c>
      <c r="F50" s="243">
        <v>18</v>
      </c>
      <c r="G50" s="252">
        <f t="shared" si="3"/>
        <v>86194095</v>
      </c>
      <c r="H50" s="250">
        <v>0</v>
      </c>
      <c r="I50" s="250">
        <v>86194095</v>
      </c>
      <c r="J50" s="250">
        <v>0</v>
      </c>
      <c r="K50" s="250">
        <v>0</v>
      </c>
      <c r="L50" s="250">
        <v>0</v>
      </c>
      <c r="M50" s="250">
        <v>0</v>
      </c>
      <c r="N50" s="251">
        <v>0</v>
      </c>
      <c r="O50" s="251">
        <v>0</v>
      </c>
      <c r="P50" s="251">
        <v>0</v>
      </c>
      <c r="Q50" s="251">
        <v>0</v>
      </c>
      <c r="R50" s="250">
        <v>0</v>
      </c>
      <c r="S50" s="250">
        <v>0</v>
      </c>
      <c r="T50" s="253"/>
      <c r="U50" s="250">
        <v>0</v>
      </c>
      <c r="V50" s="250">
        <v>0</v>
      </c>
      <c r="W50" s="253">
        <v>3</v>
      </c>
      <c r="X50" s="250">
        <v>21570719</v>
      </c>
      <c r="Y50" s="250"/>
      <c r="Z50" s="249">
        <f t="shared" si="4"/>
        <v>64623376</v>
      </c>
      <c r="AA50" s="341">
        <f t="shared" si="5"/>
        <v>926806840</v>
      </c>
    </row>
    <row r="51" spans="1:27" s="240" customFormat="1">
      <c r="A51" s="14">
        <v>43</v>
      </c>
      <c r="B51" s="242" t="s">
        <v>962</v>
      </c>
      <c r="C51" s="242" t="s">
        <v>963</v>
      </c>
      <c r="D51" s="242" t="s">
        <v>964</v>
      </c>
      <c r="E51" s="243" t="s">
        <v>901</v>
      </c>
      <c r="F51" s="243">
        <v>18</v>
      </c>
      <c r="G51" s="252">
        <f t="shared" si="3"/>
        <v>25881166</v>
      </c>
      <c r="H51" s="250">
        <v>0</v>
      </c>
      <c r="I51" s="250">
        <v>25881166</v>
      </c>
      <c r="J51" s="250">
        <v>0</v>
      </c>
      <c r="K51" s="250">
        <v>0</v>
      </c>
      <c r="L51" s="250">
        <v>0</v>
      </c>
      <c r="M51" s="250">
        <v>0</v>
      </c>
      <c r="N51" s="251">
        <v>0</v>
      </c>
      <c r="O51" s="251">
        <v>0</v>
      </c>
      <c r="P51" s="251">
        <v>0</v>
      </c>
      <c r="Q51" s="251">
        <v>0</v>
      </c>
      <c r="R51" s="250">
        <v>0</v>
      </c>
      <c r="S51" s="250">
        <v>0</v>
      </c>
      <c r="T51" s="253"/>
      <c r="U51" s="250">
        <v>0</v>
      </c>
      <c r="V51" s="250">
        <v>0</v>
      </c>
      <c r="W51" s="250">
        <v>1</v>
      </c>
      <c r="X51" s="250">
        <v>0</v>
      </c>
      <c r="Y51" s="250"/>
      <c r="Z51" s="249">
        <f t="shared" si="4"/>
        <v>25881166</v>
      </c>
      <c r="AA51" s="341">
        <f t="shared" si="5"/>
        <v>926806840</v>
      </c>
    </row>
    <row r="52" spans="1:27" s="240" customFormat="1">
      <c r="A52" s="14">
        <v>44</v>
      </c>
      <c r="B52" s="242" t="s">
        <v>965</v>
      </c>
      <c r="C52" s="242" t="s">
        <v>966</v>
      </c>
      <c r="D52" s="242" t="s">
        <v>967</v>
      </c>
      <c r="E52" s="243" t="s">
        <v>869</v>
      </c>
      <c r="F52" s="243">
        <v>18</v>
      </c>
      <c r="G52" s="252">
        <f t="shared" si="3"/>
        <v>5334946</v>
      </c>
      <c r="H52" s="250">
        <v>0</v>
      </c>
      <c r="I52" s="250">
        <v>5334946</v>
      </c>
      <c r="J52" s="250">
        <v>0</v>
      </c>
      <c r="K52" s="250">
        <v>0</v>
      </c>
      <c r="L52" s="250">
        <v>0</v>
      </c>
      <c r="M52" s="250">
        <v>0</v>
      </c>
      <c r="N52" s="251">
        <v>0</v>
      </c>
      <c r="O52" s="251">
        <v>0</v>
      </c>
      <c r="P52" s="250">
        <v>0</v>
      </c>
      <c r="Q52" s="251">
        <v>0</v>
      </c>
      <c r="R52" s="250">
        <v>0</v>
      </c>
      <c r="S52" s="250">
        <v>0</v>
      </c>
      <c r="T52" s="253"/>
      <c r="U52" s="250">
        <v>0</v>
      </c>
      <c r="V52" s="250">
        <v>0</v>
      </c>
      <c r="W52" s="250">
        <v>1</v>
      </c>
      <c r="X52" s="250">
        <v>0</v>
      </c>
      <c r="Y52" s="250"/>
      <c r="Z52" s="249">
        <f t="shared" si="4"/>
        <v>5334946</v>
      </c>
      <c r="AA52" s="341">
        <f t="shared" si="5"/>
        <v>926806840</v>
      </c>
    </row>
    <row r="53" spans="1:27" s="240" customFormat="1">
      <c r="A53" s="14">
        <v>45</v>
      </c>
      <c r="B53" s="242" t="s">
        <v>968</v>
      </c>
      <c r="C53" s="242" t="s">
        <v>969</v>
      </c>
      <c r="D53" s="242" t="s">
        <v>970</v>
      </c>
      <c r="E53" s="243" t="s">
        <v>953</v>
      </c>
      <c r="F53" s="243">
        <v>18</v>
      </c>
      <c r="G53" s="252">
        <f t="shared" si="3"/>
        <v>84394970</v>
      </c>
      <c r="H53" s="250">
        <v>0</v>
      </c>
      <c r="I53" s="250">
        <v>50128808</v>
      </c>
      <c r="J53" s="250">
        <v>0</v>
      </c>
      <c r="K53" s="250">
        <v>0</v>
      </c>
      <c r="L53" s="250">
        <v>169851628</v>
      </c>
      <c r="M53" s="250">
        <v>33970326</v>
      </c>
      <c r="N53" s="251">
        <v>0</v>
      </c>
      <c r="O53" s="251">
        <v>0</v>
      </c>
      <c r="P53" s="250">
        <v>1479178</v>
      </c>
      <c r="Q53" s="251">
        <v>295836</v>
      </c>
      <c r="R53" s="250">
        <v>0</v>
      </c>
      <c r="S53" s="250">
        <v>0</v>
      </c>
      <c r="T53" s="253"/>
      <c r="U53" s="250">
        <v>0</v>
      </c>
      <c r="V53" s="250">
        <v>0</v>
      </c>
      <c r="W53" s="250">
        <v>1</v>
      </c>
      <c r="X53" s="250">
        <v>0</v>
      </c>
      <c r="Y53" s="250"/>
      <c r="Z53" s="249">
        <f t="shared" si="4"/>
        <v>84394970</v>
      </c>
      <c r="AA53" s="341">
        <f t="shared" si="5"/>
        <v>926806840</v>
      </c>
    </row>
    <row r="54" spans="1:27" s="240" customFormat="1">
      <c r="A54" s="14">
        <v>46</v>
      </c>
      <c r="B54" s="242" t="s">
        <v>971</v>
      </c>
      <c r="C54" s="242" t="s">
        <v>972</v>
      </c>
      <c r="D54" s="242" t="s">
        <v>973</v>
      </c>
      <c r="E54" s="243" t="s">
        <v>855</v>
      </c>
      <c r="F54" s="243">
        <v>18</v>
      </c>
      <c r="G54" s="252">
        <f t="shared" si="3"/>
        <v>186769645</v>
      </c>
      <c r="H54" s="250">
        <v>0</v>
      </c>
      <c r="I54" s="250">
        <v>186769645</v>
      </c>
      <c r="J54" s="250">
        <v>0</v>
      </c>
      <c r="K54" s="250">
        <v>0</v>
      </c>
      <c r="L54" s="250">
        <v>0</v>
      </c>
      <c r="M54" s="250">
        <v>0</v>
      </c>
      <c r="N54" s="251">
        <v>0</v>
      </c>
      <c r="O54" s="251">
        <v>0</v>
      </c>
      <c r="P54" s="250">
        <v>0</v>
      </c>
      <c r="Q54" s="251">
        <v>0</v>
      </c>
      <c r="R54" s="250">
        <v>0</v>
      </c>
      <c r="S54" s="250">
        <v>0</v>
      </c>
      <c r="T54" s="253"/>
      <c r="U54" s="250">
        <v>0</v>
      </c>
      <c r="V54" s="250">
        <v>0</v>
      </c>
      <c r="W54" s="250">
        <v>1</v>
      </c>
      <c r="X54" s="250">
        <v>0</v>
      </c>
      <c r="Y54" s="250"/>
      <c r="Z54" s="249">
        <f t="shared" si="4"/>
        <v>186769645</v>
      </c>
      <c r="AA54" s="341">
        <f t="shared" si="5"/>
        <v>926806840</v>
      </c>
    </row>
    <row r="55" spans="1:27" s="240" customFormat="1">
      <c r="A55" s="14">
        <v>47</v>
      </c>
      <c r="B55" s="242" t="s">
        <v>974</v>
      </c>
      <c r="C55" s="242" t="s">
        <v>975</v>
      </c>
      <c r="D55" s="242" t="s">
        <v>967</v>
      </c>
      <c r="E55" s="243" t="s">
        <v>869</v>
      </c>
      <c r="F55" s="243">
        <v>18</v>
      </c>
      <c r="G55" s="252">
        <f t="shared" si="3"/>
        <v>57665</v>
      </c>
      <c r="H55" s="250">
        <v>0</v>
      </c>
      <c r="I55" s="250">
        <v>57665</v>
      </c>
      <c r="J55" s="250">
        <v>0</v>
      </c>
      <c r="K55" s="250">
        <v>0</v>
      </c>
      <c r="L55" s="250">
        <v>0</v>
      </c>
      <c r="M55" s="250">
        <v>0</v>
      </c>
      <c r="N55" s="251">
        <v>0</v>
      </c>
      <c r="O55" s="251">
        <v>0</v>
      </c>
      <c r="P55" s="17">
        <v>0</v>
      </c>
      <c r="Q55" s="251">
        <v>0</v>
      </c>
      <c r="R55" s="250">
        <v>0</v>
      </c>
      <c r="S55" s="250">
        <v>0</v>
      </c>
      <c r="T55" s="253"/>
      <c r="U55" s="250">
        <v>0</v>
      </c>
      <c r="V55" s="250">
        <v>0</v>
      </c>
      <c r="W55" s="250">
        <v>1</v>
      </c>
      <c r="X55" s="250">
        <v>0</v>
      </c>
      <c r="Y55" s="250"/>
      <c r="Z55" s="249">
        <f t="shared" si="4"/>
        <v>57665</v>
      </c>
      <c r="AA55" s="341">
        <f t="shared" si="5"/>
        <v>926806840</v>
      </c>
    </row>
    <row r="56" spans="1:27" s="240" customFormat="1">
      <c r="A56" s="14">
        <v>48</v>
      </c>
      <c r="B56" s="242" t="s">
        <v>976</v>
      </c>
      <c r="C56" s="242" t="s">
        <v>977</v>
      </c>
      <c r="D56" s="242" t="s">
        <v>883</v>
      </c>
      <c r="E56" s="243" t="s">
        <v>978</v>
      </c>
      <c r="F56" s="243">
        <v>19</v>
      </c>
      <c r="G56" s="252">
        <f t="shared" si="3"/>
        <v>571097009</v>
      </c>
      <c r="H56" s="250">
        <v>0</v>
      </c>
      <c r="I56" s="250">
        <v>571097009</v>
      </c>
      <c r="J56" s="250">
        <v>0</v>
      </c>
      <c r="K56" s="250">
        <v>0</v>
      </c>
      <c r="L56" s="250">
        <v>0</v>
      </c>
      <c r="M56" s="250">
        <v>0</v>
      </c>
      <c r="N56" s="251">
        <v>0</v>
      </c>
      <c r="O56" s="251">
        <v>0</v>
      </c>
      <c r="P56" s="251">
        <v>0</v>
      </c>
      <c r="Q56" s="251">
        <v>0</v>
      </c>
      <c r="R56" s="250">
        <v>0</v>
      </c>
      <c r="S56" s="250">
        <v>0</v>
      </c>
      <c r="T56" s="253"/>
      <c r="U56" s="250">
        <v>0</v>
      </c>
      <c r="V56" s="250">
        <v>0</v>
      </c>
      <c r="W56" s="250">
        <v>1</v>
      </c>
      <c r="X56" s="250">
        <v>0</v>
      </c>
      <c r="Y56" s="250"/>
      <c r="Z56" s="249">
        <f t="shared" si="4"/>
        <v>571097009</v>
      </c>
      <c r="AA56" s="341">
        <f t="shared" si="5"/>
        <v>939214513</v>
      </c>
    </row>
    <row r="57" spans="1:27" s="240" customFormat="1">
      <c r="A57" s="14">
        <v>49</v>
      </c>
      <c r="B57" s="242" t="s">
        <v>979</v>
      </c>
      <c r="C57" s="242" t="s">
        <v>980</v>
      </c>
      <c r="D57" s="242" t="s">
        <v>981</v>
      </c>
      <c r="E57" s="243" t="s">
        <v>852</v>
      </c>
      <c r="F57" s="243">
        <v>19</v>
      </c>
      <c r="G57" s="252">
        <f t="shared" si="3"/>
        <v>154046897</v>
      </c>
      <c r="H57" s="250">
        <v>0</v>
      </c>
      <c r="I57" s="250">
        <v>154046897</v>
      </c>
      <c r="J57" s="250">
        <v>0</v>
      </c>
      <c r="K57" s="250">
        <v>0</v>
      </c>
      <c r="L57" s="250">
        <v>0</v>
      </c>
      <c r="M57" s="250">
        <v>0</v>
      </c>
      <c r="N57" s="251">
        <v>0</v>
      </c>
      <c r="O57" s="251">
        <v>0</v>
      </c>
      <c r="P57" s="251">
        <v>0</v>
      </c>
      <c r="Q57" s="251">
        <v>0</v>
      </c>
      <c r="R57" s="250">
        <v>0</v>
      </c>
      <c r="S57" s="250">
        <v>0</v>
      </c>
      <c r="T57" s="253"/>
      <c r="U57" s="250">
        <v>0</v>
      </c>
      <c r="V57" s="250">
        <v>0</v>
      </c>
      <c r="W57" s="250">
        <v>1</v>
      </c>
      <c r="X57" s="250">
        <v>0</v>
      </c>
      <c r="Y57" s="250"/>
      <c r="Z57" s="249">
        <f t="shared" si="4"/>
        <v>154046897</v>
      </c>
      <c r="AA57" s="341">
        <f t="shared" si="5"/>
        <v>939214513</v>
      </c>
    </row>
    <row r="58" spans="1:27" s="240" customFormat="1">
      <c r="A58" s="14">
        <v>50</v>
      </c>
      <c r="B58" s="242" t="s">
        <v>982</v>
      </c>
      <c r="C58" s="242" t="s">
        <v>983</v>
      </c>
      <c r="D58" s="242" t="s">
        <v>984</v>
      </c>
      <c r="E58" s="243" t="s">
        <v>869</v>
      </c>
      <c r="F58" s="243">
        <v>19</v>
      </c>
      <c r="G58" s="252">
        <f t="shared" si="3"/>
        <v>214070607</v>
      </c>
      <c r="H58" s="250">
        <v>0</v>
      </c>
      <c r="I58" s="250">
        <v>213870607</v>
      </c>
      <c r="J58" s="250">
        <v>0</v>
      </c>
      <c r="K58" s="250">
        <v>0</v>
      </c>
      <c r="L58" s="250">
        <v>0</v>
      </c>
      <c r="M58" s="250">
        <v>0</v>
      </c>
      <c r="N58" s="251">
        <v>0</v>
      </c>
      <c r="O58" s="251">
        <v>0</v>
      </c>
      <c r="P58" s="251">
        <v>1000000</v>
      </c>
      <c r="Q58" s="251">
        <v>200000</v>
      </c>
      <c r="R58" s="250">
        <v>0</v>
      </c>
      <c r="S58" s="250">
        <v>0</v>
      </c>
      <c r="T58" s="250"/>
      <c r="U58" s="250">
        <v>0</v>
      </c>
      <c r="V58" s="250">
        <v>0</v>
      </c>
      <c r="W58" s="250">
        <v>1</v>
      </c>
      <c r="X58" s="250">
        <v>0</v>
      </c>
      <c r="Y58" s="250"/>
      <c r="Z58" s="249">
        <f t="shared" si="4"/>
        <v>214070607</v>
      </c>
      <c r="AA58" s="341">
        <f t="shared" si="5"/>
        <v>939214513</v>
      </c>
    </row>
    <row r="59" spans="1:27" s="240" customFormat="1">
      <c r="A59" s="14">
        <v>51</v>
      </c>
      <c r="B59" s="242" t="s">
        <v>985</v>
      </c>
      <c r="C59" s="244" t="s">
        <v>986</v>
      </c>
      <c r="D59" s="244" t="s">
        <v>914</v>
      </c>
      <c r="E59" s="243" t="s">
        <v>897</v>
      </c>
      <c r="F59" s="243">
        <v>20</v>
      </c>
      <c r="G59" s="252">
        <f t="shared" si="0"/>
        <v>885054355</v>
      </c>
      <c r="H59" s="250">
        <v>0</v>
      </c>
      <c r="I59" s="250">
        <v>880766935</v>
      </c>
      <c r="J59" s="250">
        <v>0</v>
      </c>
      <c r="K59" s="250">
        <v>0</v>
      </c>
      <c r="L59" s="250">
        <v>0</v>
      </c>
      <c r="M59" s="250">
        <v>0</v>
      </c>
      <c r="N59" s="251">
        <v>0</v>
      </c>
      <c r="O59" s="250">
        <v>0</v>
      </c>
      <c r="P59" s="250">
        <v>21437099</v>
      </c>
      <c r="Q59" s="250">
        <v>4287420</v>
      </c>
      <c r="R59" s="250">
        <v>0</v>
      </c>
      <c r="S59" s="250">
        <v>0</v>
      </c>
      <c r="T59" s="253"/>
      <c r="U59" s="250">
        <v>0</v>
      </c>
      <c r="V59" s="250">
        <v>0</v>
      </c>
      <c r="W59" s="340">
        <v>1</v>
      </c>
      <c r="X59" s="250">
        <v>466323</v>
      </c>
      <c r="Y59" s="250"/>
      <c r="Z59" s="249">
        <f t="shared" si="1"/>
        <v>884588032</v>
      </c>
      <c r="AA59" s="341">
        <f t="shared" si="5"/>
        <v>884588032</v>
      </c>
    </row>
    <row r="60" spans="1:27" s="240" customFormat="1">
      <c r="A60" s="14">
        <v>52</v>
      </c>
      <c r="B60" s="242" t="s">
        <v>987</v>
      </c>
      <c r="C60" s="244" t="s">
        <v>988</v>
      </c>
      <c r="D60" s="244" t="s">
        <v>914</v>
      </c>
      <c r="E60" s="243" t="s">
        <v>901</v>
      </c>
      <c r="F60" s="243">
        <v>21</v>
      </c>
      <c r="G60" s="252">
        <f t="shared" si="0"/>
        <v>473980550</v>
      </c>
      <c r="H60" s="250">
        <v>0</v>
      </c>
      <c r="I60" s="250">
        <v>380341134</v>
      </c>
      <c r="J60" s="250">
        <v>0</v>
      </c>
      <c r="K60" s="250">
        <v>93639416</v>
      </c>
      <c r="L60" s="250">
        <v>0</v>
      </c>
      <c r="M60" s="250">
        <v>0</v>
      </c>
      <c r="N60" s="251">
        <v>0</v>
      </c>
      <c r="O60" s="250">
        <v>0</v>
      </c>
      <c r="P60" s="250">
        <v>0</v>
      </c>
      <c r="Q60" s="250">
        <v>0</v>
      </c>
      <c r="R60" s="250">
        <v>0</v>
      </c>
      <c r="S60" s="250">
        <v>0</v>
      </c>
      <c r="T60" s="253"/>
      <c r="U60" s="250">
        <v>0</v>
      </c>
      <c r="V60" s="250">
        <v>0</v>
      </c>
      <c r="W60" s="340">
        <v>1</v>
      </c>
      <c r="X60" s="250">
        <v>0</v>
      </c>
      <c r="Y60" s="250"/>
      <c r="Z60" s="249">
        <f t="shared" si="1"/>
        <v>473980550</v>
      </c>
      <c r="AA60" s="341">
        <f t="shared" si="5"/>
        <v>881975584</v>
      </c>
    </row>
    <row r="61" spans="1:27" s="240" customFormat="1">
      <c r="A61" s="14">
        <v>53</v>
      </c>
      <c r="B61" s="242" t="s">
        <v>989</v>
      </c>
      <c r="C61" s="244" t="s">
        <v>990</v>
      </c>
      <c r="D61" s="244" t="s">
        <v>991</v>
      </c>
      <c r="E61" s="243" t="s">
        <v>978</v>
      </c>
      <c r="F61" s="243">
        <v>21</v>
      </c>
      <c r="G61" s="252">
        <f t="shared" si="0"/>
        <v>407995034</v>
      </c>
      <c r="H61" s="250">
        <v>0</v>
      </c>
      <c r="I61" s="250">
        <v>386214550</v>
      </c>
      <c r="J61" s="250">
        <v>0</v>
      </c>
      <c r="K61" s="250">
        <v>21756199</v>
      </c>
      <c r="L61" s="250">
        <v>0</v>
      </c>
      <c r="M61" s="250">
        <v>0</v>
      </c>
      <c r="N61" s="251">
        <v>0</v>
      </c>
      <c r="O61" s="250">
        <v>0</v>
      </c>
      <c r="P61" s="250">
        <v>121426</v>
      </c>
      <c r="Q61" s="250">
        <v>24285</v>
      </c>
      <c r="R61" s="250">
        <v>0</v>
      </c>
      <c r="S61" s="250">
        <v>0</v>
      </c>
      <c r="T61" s="253"/>
      <c r="U61" s="250">
        <v>0</v>
      </c>
      <c r="V61" s="250">
        <v>0</v>
      </c>
      <c r="W61" s="340">
        <v>1</v>
      </c>
      <c r="X61" s="250">
        <v>0</v>
      </c>
      <c r="Y61" s="250"/>
      <c r="Z61" s="249">
        <f t="shared" si="1"/>
        <v>407995034</v>
      </c>
      <c r="AA61" s="341">
        <f t="shared" si="5"/>
        <v>881975584</v>
      </c>
    </row>
    <row r="62" spans="1:27" s="240" customFormat="1" ht="25.5">
      <c r="A62" s="14">
        <v>54</v>
      </c>
      <c r="B62" s="242" t="s">
        <v>992</v>
      </c>
      <c r="C62" s="244" t="s">
        <v>993</v>
      </c>
      <c r="D62" s="244" t="s">
        <v>994</v>
      </c>
      <c r="E62" s="243" t="s">
        <v>978</v>
      </c>
      <c r="F62" s="243">
        <v>22</v>
      </c>
      <c r="G62" s="252">
        <f t="shared" si="0"/>
        <v>880439853</v>
      </c>
      <c r="H62" s="250">
        <v>0</v>
      </c>
      <c r="I62" s="250">
        <v>880439853</v>
      </c>
      <c r="J62" s="250">
        <v>0</v>
      </c>
      <c r="K62" s="250">
        <v>0</v>
      </c>
      <c r="L62" s="250">
        <v>0</v>
      </c>
      <c r="M62" s="250">
        <v>0</v>
      </c>
      <c r="N62" s="251">
        <v>0</v>
      </c>
      <c r="O62" s="250">
        <v>0</v>
      </c>
      <c r="P62" s="250">
        <v>0</v>
      </c>
      <c r="Q62" s="250">
        <v>0</v>
      </c>
      <c r="R62" s="250">
        <v>0</v>
      </c>
      <c r="S62" s="250">
        <v>0</v>
      </c>
      <c r="T62" s="253"/>
      <c r="U62" s="250">
        <v>0</v>
      </c>
      <c r="V62" s="250">
        <v>0</v>
      </c>
      <c r="W62" s="340">
        <v>1</v>
      </c>
      <c r="X62" s="250">
        <v>0</v>
      </c>
      <c r="Y62" s="250"/>
      <c r="Z62" s="249">
        <f t="shared" si="1"/>
        <v>880439853</v>
      </c>
      <c r="AA62" s="341">
        <f t="shared" si="5"/>
        <v>880439853</v>
      </c>
    </row>
    <row r="63" spans="1:27" s="240" customFormat="1">
      <c r="A63" s="14">
        <v>55</v>
      </c>
      <c r="B63" s="242" t="s">
        <v>995</v>
      </c>
      <c r="C63" s="244" t="s">
        <v>996</v>
      </c>
      <c r="D63" s="244" t="s">
        <v>914</v>
      </c>
      <c r="E63" s="243" t="s">
        <v>978</v>
      </c>
      <c r="F63" s="243">
        <v>23</v>
      </c>
      <c r="G63" s="252">
        <f t="shared" si="0"/>
        <v>879637190</v>
      </c>
      <c r="H63" s="250">
        <v>0</v>
      </c>
      <c r="I63" s="250">
        <v>859725224</v>
      </c>
      <c r="J63" s="250">
        <v>0</v>
      </c>
      <c r="K63" s="250">
        <v>0</v>
      </c>
      <c r="L63" s="250">
        <v>99559831</v>
      </c>
      <c r="M63" s="250">
        <v>19911966</v>
      </c>
      <c r="N63" s="251">
        <v>0</v>
      </c>
      <c r="O63" s="250">
        <v>0</v>
      </c>
      <c r="P63" s="250">
        <v>0</v>
      </c>
      <c r="Q63" s="250">
        <v>0</v>
      </c>
      <c r="R63" s="250">
        <v>0</v>
      </c>
      <c r="S63" s="250">
        <v>0</v>
      </c>
      <c r="T63" s="253"/>
      <c r="U63" s="250">
        <v>0</v>
      </c>
      <c r="V63" s="250">
        <v>0</v>
      </c>
      <c r="W63" s="340">
        <v>1</v>
      </c>
      <c r="X63" s="250">
        <v>0</v>
      </c>
      <c r="Y63" s="250"/>
      <c r="Z63" s="249">
        <f t="shared" si="1"/>
        <v>879637190</v>
      </c>
      <c r="AA63" s="341">
        <f t="shared" si="5"/>
        <v>879637190</v>
      </c>
    </row>
    <row r="64" spans="1:27" s="240" customFormat="1">
      <c r="A64" s="14">
        <v>56</v>
      </c>
      <c r="B64" s="242" t="s">
        <v>997</v>
      </c>
      <c r="C64" s="244" t="s">
        <v>998</v>
      </c>
      <c r="D64" s="244" t="s">
        <v>952</v>
      </c>
      <c r="E64" s="243" t="s">
        <v>869</v>
      </c>
      <c r="F64" s="243">
        <v>24</v>
      </c>
      <c r="G64" s="252">
        <f t="shared" si="0"/>
        <v>248664875</v>
      </c>
      <c r="H64" s="250">
        <v>0</v>
      </c>
      <c r="I64" s="250">
        <v>248601311</v>
      </c>
      <c r="J64" s="250">
        <v>0</v>
      </c>
      <c r="K64" s="250">
        <v>63564</v>
      </c>
      <c r="L64" s="250">
        <v>0</v>
      </c>
      <c r="M64" s="250">
        <v>0</v>
      </c>
      <c r="N64" s="251">
        <v>0</v>
      </c>
      <c r="O64" s="250">
        <v>0</v>
      </c>
      <c r="P64" s="250">
        <v>0</v>
      </c>
      <c r="Q64" s="250">
        <v>0</v>
      </c>
      <c r="R64" s="250">
        <v>0</v>
      </c>
      <c r="S64" s="250">
        <v>0</v>
      </c>
      <c r="T64" s="253"/>
      <c r="U64" s="250">
        <v>0</v>
      </c>
      <c r="V64" s="250">
        <v>0</v>
      </c>
      <c r="W64" s="253">
        <v>2</v>
      </c>
      <c r="X64" s="250">
        <v>24870350</v>
      </c>
      <c r="Y64" s="250"/>
      <c r="Z64" s="249">
        <f t="shared" si="1"/>
        <v>223794525</v>
      </c>
      <c r="AA64" s="341">
        <f t="shared" si="5"/>
        <v>722761883</v>
      </c>
    </row>
    <row r="65" spans="1:27" s="240" customFormat="1">
      <c r="A65" s="14">
        <v>57</v>
      </c>
      <c r="B65" s="242" t="s">
        <v>999</v>
      </c>
      <c r="C65" s="244" t="s">
        <v>1000</v>
      </c>
      <c r="D65" s="244" t="s">
        <v>952</v>
      </c>
      <c r="E65" s="243" t="s">
        <v>869</v>
      </c>
      <c r="F65" s="243">
        <v>24</v>
      </c>
      <c r="G65" s="252">
        <f t="shared" si="0"/>
        <v>260025863</v>
      </c>
      <c r="H65" s="250">
        <v>0</v>
      </c>
      <c r="I65" s="250">
        <v>259956540</v>
      </c>
      <c r="J65" s="250">
        <v>0</v>
      </c>
      <c r="K65" s="250">
        <v>69323</v>
      </c>
      <c r="L65" s="250">
        <v>0</v>
      </c>
      <c r="M65" s="250">
        <v>0</v>
      </c>
      <c r="N65" s="251">
        <v>0</v>
      </c>
      <c r="O65" s="250">
        <v>0</v>
      </c>
      <c r="P65" s="250">
        <v>0</v>
      </c>
      <c r="Q65" s="250">
        <v>0</v>
      </c>
      <c r="R65" s="250">
        <v>0</v>
      </c>
      <c r="S65" s="250">
        <v>0</v>
      </c>
      <c r="T65" s="253"/>
      <c r="U65" s="250">
        <v>0</v>
      </c>
      <c r="V65" s="250">
        <v>0</v>
      </c>
      <c r="W65" s="253">
        <v>2</v>
      </c>
      <c r="X65" s="250">
        <v>26026284</v>
      </c>
      <c r="Y65" s="250"/>
      <c r="Z65" s="249">
        <f t="shared" si="1"/>
        <v>233999579</v>
      </c>
      <c r="AA65" s="341">
        <f t="shared" si="5"/>
        <v>722761883</v>
      </c>
    </row>
    <row r="66" spans="1:27" s="240" customFormat="1">
      <c r="A66" s="14">
        <v>58</v>
      </c>
      <c r="B66" s="242" t="s">
        <v>1001</v>
      </c>
      <c r="C66" s="244" t="s">
        <v>1002</v>
      </c>
      <c r="D66" s="244" t="s">
        <v>914</v>
      </c>
      <c r="E66" s="243" t="s">
        <v>901</v>
      </c>
      <c r="F66" s="243">
        <v>24</v>
      </c>
      <c r="G66" s="252">
        <f t="shared" ref="G66:G88" si="6">+H66+I66+J66+K66+M66+O66+Q66+S66</f>
        <v>57707560</v>
      </c>
      <c r="H66" s="250">
        <v>0</v>
      </c>
      <c r="I66" s="250">
        <v>22728901</v>
      </c>
      <c r="J66" s="250">
        <v>0</v>
      </c>
      <c r="K66" s="250">
        <v>380579</v>
      </c>
      <c r="L66" s="250">
        <v>0</v>
      </c>
      <c r="M66" s="250">
        <v>0</v>
      </c>
      <c r="N66" s="251">
        <v>34598080</v>
      </c>
      <c r="O66" s="250">
        <v>34598080</v>
      </c>
      <c r="P66" s="250">
        <v>0</v>
      </c>
      <c r="Q66" s="251">
        <v>0</v>
      </c>
      <c r="R66" s="250">
        <v>0</v>
      </c>
      <c r="S66" s="250">
        <v>0</v>
      </c>
      <c r="T66" s="253"/>
      <c r="U66" s="250">
        <v>0</v>
      </c>
      <c r="V66" s="250">
        <v>0</v>
      </c>
      <c r="W66" s="253">
        <v>2</v>
      </c>
      <c r="X66" s="250">
        <v>2272018</v>
      </c>
      <c r="Y66" s="250"/>
      <c r="Z66" s="249">
        <f t="shared" ref="Z66:Z88" si="7">+G66-V66-X66</f>
        <v>55435542</v>
      </c>
      <c r="AA66" s="341">
        <f t="shared" si="5"/>
        <v>722761883</v>
      </c>
    </row>
    <row r="67" spans="1:27" s="240" customFormat="1">
      <c r="A67" s="14">
        <v>59</v>
      </c>
      <c r="B67" s="242" t="s">
        <v>1003</v>
      </c>
      <c r="C67" s="244" t="s">
        <v>1004</v>
      </c>
      <c r="D67" s="244" t="s">
        <v>952</v>
      </c>
      <c r="E67" s="243" t="s">
        <v>869</v>
      </c>
      <c r="F67" s="243">
        <v>24</v>
      </c>
      <c r="G67" s="252">
        <f t="shared" si="6"/>
        <v>91899687</v>
      </c>
      <c r="H67" s="250">
        <v>0</v>
      </c>
      <c r="I67" s="250">
        <v>91849933</v>
      </c>
      <c r="J67" s="250">
        <v>0</v>
      </c>
      <c r="K67" s="250">
        <v>49754</v>
      </c>
      <c r="L67" s="250">
        <v>0</v>
      </c>
      <c r="M67" s="250">
        <v>0</v>
      </c>
      <c r="N67" s="251">
        <v>0</v>
      </c>
      <c r="O67" s="250">
        <v>0</v>
      </c>
      <c r="P67" s="250">
        <v>0</v>
      </c>
      <c r="Q67" s="251">
        <v>0</v>
      </c>
      <c r="R67" s="250">
        <v>0</v>
      </c>
      <c r="S67" s="250">
        <v>0</v>
      </c>
      <c r="T67" s="253"/>
      <c r="U67" s="250">
        <v>0</v>
      </c>
      <c r="V67" s="250">
        <v>0</v>
      </c>
      <c r="W67" s="253">
        <v>3</v>
      </c>
      <c r="X67" s="250">
        <v>23005465</v>
      </c>
      <c r="Y67" s="250"/>
      <c r="Z67" s="249">
        <f t="shared" si="7"/>
        <v>68894222</v>
      </c>
      <c r="AA67" s="341">
        <f t="shared" si="5"/>
        <v>722761883</v>
      </c>
    </row>
    <row r="68" spans="1:27" s="240" customFormat="1">
      <c r="A68" s="14">
        <v>60</v>
      </c>
      <c r="B68" s="242" t="s">
        <v>1005</v>
      </c>
      <c r="C68" s="244" t="s">
        <v>1006</v>
      </c>
      <c r="D68" s="244" t="s">
        <v>1007</v>
      </c>
      <c r="E68" s="243" t="s">
        <v>869</v>
      </c>
      <c r="F68" s="243">
        <v>24</v>
      </c>
      <c r="G68" s="252">
        <f t="shared" si="6"/>
        <v>156284126</v>
      </c>
      <c r="H68" s="250">
        <v>0</v>
      </c>
      <c r="I68" s="250">
        <v>156173097</v>
      </c>
      <c r="J68" s="250">
        <v>0</v>
      </c>
      <c r="K68" s="250">
        <v>111029</v>
      </c>
      <c r="L68" s="250">
        <v>0</v>
      </c>
      <c r="M68" s="250">
        <v>0</v>
      </c>
      <c r="N68" s="251">
        <v>0</v>
      </c>
      <c r="O68" s="250">
        <v>0</v>
      </c>
      <c r="P68" s="250">
        <v>0</v>
      </c>
      <c r="Q68" s="251">
        <v>0</v>
      </c>
      <c r="R68" s="250">
        <v>0</v>
      </c>
      <c r="S68" s="250">
        <v>0</v>
      </c>
      <c r="T68" s="253"/>
      <c r="U68" s="250">
        <v>0</v>
      </c>
      <c r="V68" s="250">
        <v>0</v>
      </c>
      <c r="W68" s="253">
        <v>2</v>
      </c>
      <c r="X68" s="250">
        <v>15646111</v>
      </c>
      <c r="Y68" s="250"/>
      <c r="Z68" s="249">
        <f t="shared" si="7"/>
        <v>140638015</v>
      </c>
      <c r="AA68" s="341">
        <f t="shared" si="5"/>
        <v>722761883</v>
      </c>
    </row>
    <row r="69" spans="1:27" s="240" customFormat="1">
      <c r="A69" s="14">
        <v>61</v>
      </c>
      <c r="B69" s="242"/>
      <c r="C69" s="244"/>
      <c r="D69" s="244"/>
      <c r="E69" s="243"/>
      <c r="F69" s="243"/>
      <c r="G69" s="252">
        <f t="shared" si="6"/>
        <v>0</v>
      </c>
      <c r="H69" s="250"/>
      <c r="I69" s="250"/>
      <c r="J69" s="250"/>
      <c r="K69" s="250"/>
      <c r="L69" s="250"/>
      <c r="M69" s="250"/>
      <c r="N69" s="251"/>
      <c r="O69" s="250"/>
      <c r="P69" s="250"/>
      <c r="Q69" s="251"/>
      <c r="R69" s="250"/>
      <c r="S69" s="250"/>
      <c r="T69" s="253"/>
      <c r="U69" s="250"/>
      <c r="V69" s="250"/>
      <c r="W69" s="253"/>
      <c r="X69" s="250"/>
      <c r="Y69" s="250"/>
      <c r="Z69" s="249">
        <f t="shared" si="7"/>
        <v>0</v>
      </c>
      <c r="AA69" s="341">
        <f t="shared" si="5"/>
        <v>0</v>
      </c>
    </row>
    <row r="70" spans="1:27" s="240" customFormat="1">
      <c r="A70" s="14">
        <v>62</v>
      </c>
      <c r="B70" s="242"/>
      <c r="C70" s="244"/>
      <c r="D70" s="244"/>
      <c r="E70" s="243"/>
      <c r="F70" s="243"/>
      <c r="G70" s="252">
        <f t="shared" si="6"/>
        <v>0</v>
      </c>
      <c r="H70" s="250"/>
      <c r="I70" s="250"/>
      <c r="J70" s="250"/>
      <c r="K70" s="250"/>
      <c r="L70" s="250"/>
      <c r="M70" s="250"/>
      <c r="N70" s="251"/>
      <c r="O70" s="250"/>
      <c r="P70" s="250"/>
      <c r="Q70" s="251"/>
      <c r="R70" s="250"/>
      <c r="S70" s="250"/>
      <c r="T70" s="253"/>
      <c r="U70" s="250"/>
      <c r="V70" s="250"/>
      <c r="W70" s="253"/>
      <c r="X70" s="250"/>
      <c r="Y70" s="250"/>
      <c r="Z70" s="249">
        <f t="shared" si="7"/>
        <v>0</v>
      </c>
      <c r="AA70" s="341">
        <f t="shared" si="5"/>
        <v>0</v>
      </c>
    </row>
    <row r="71" spans="1:27" s="240" customFormat="1">
      <c r="A71" s="14">
        <v>63</v>
      </c>
      <c r="B71" s="242"/>
      <c r="C71" s="244"/>
      <c r="D71" s="244"/>
      <c r="E71" s="243"/>
      <c r="F71" s="243"/>
      <c r="G71" s="252">
        <f t="shared" si="6"/>
        <v>0</v>
      </c>
      <c r="H71" s="250"/>
      <c r="I71" s="250"/>
      <c r="J71" s="250"/>
      <c r="K71" s="250"/>
      <c r="L71" s="250"/>
      <c r="M71" s="250"/>
      <c r="N71" s="251"/>
      <c r="O71" s="250"/>
      <c r="P71" s="250"/>
      <c r="Q71" s="251"/>
      <c r="R71" s="250"/>
      <c r="S71" s="250"/>
      <c r="T71" s="253"/>
      <c r="U71" s="250"/>
      <c r="V71" s="250"/>
      <c r="W71" s="253"/>
      <c r="X71" s="250"/>
      <c r="Y71" s="250"/>
      <c r="Z71" s="249">
        <f t="shared" si="7"/>
        <v>0</v>
      </c>
      <c r="AA71" s="341">
        <f t="shared" si="5"/>
        <v>0</v>
      </c>
    </row>
    <row r="72" spans="1:27" s="240" customFormat="1">
      <c r="A72" s="14">
        <v>64</v>
      </c>
      <c r="B72" s="242"/>
      <c r="C72" s="242"/>
      <c r="D72" s="244"/>
      <c r="E72" s="244"/>
      <c r="F72" s="243"/>
      <c r="G72" s="252">
        <f t="shared" si="6"/>
        <v>0</v>
      </c>
      <c r="H72" s="250"/>
      <c r="I72" s="250"/>
      <c r="J72" s="250"/>
      <c r="K72" s="250"/>
      <c r="L72" s="250"/>
      <c r="M72" s="250"/>
      <c r="N72" s="251"/>
      <c r="O72" s="250"/>
      <c r="P72" s="250"/>
      <c r="Q72" s="251"/>
      <c r="R72" s="250"/>
      <c r="S72" s="250"/>
      <c r="T72" s="253"/>
      <c r="U72" s="250"/>
      <c r="V72" s="250"/>
      <c r="W72" s="253"/>
      <c r="X72" s="250"/>
      <c r="Y72" s="250"/>
      <c r="Z72" s="249">
        <f t="shared" si="7"/>
        <v>0</v>
      </c>
      <c r="AA72" s="341">
        <f t="shared" si="5"/>
        <v>0</v>
      </c>
    </row>
    <row r="73" spans="1:27" s="240" customFormat="1">
      <c r="A73" s="14">
        <v>65</v>
      </c>
      <c r="B73" s="242"/>
      <c r="C73" s="242"/>
      <c r="D73" s="242"/>
      <c r="E73" s="243"/>
      <c r="F73" s="243"/>
      <c r="G73" s="252">
        <f t="shared" si="6"/>
        <v>0</v>
      </c>
      <c r="H73" s="250"/>
      <c r="I73" s="250"/>
      <c r="J73" s="250"/>
      <c r="K73" s="250"/>
      <c r="L73" s="250"/>
      <c r="M73" s="250"/>
      <c r="N73" s="251"/>
      <c r="O73" s="250"/>
      <c r="P73" s="250"/>
      <c r="Q73" s="251"/>
      <c r="R73" s="250"/>
      <c r="S73" s="250"/>
      <c r="T73" s="253"/>
      <c r="U73" s="250"/>
      <c r="V73" s="250"/>
      <c r="W73" s="253"/>
      <c r="X73" s="250"/>
      <c r="Y73" s="250"/>
      <c r="Z73" s="249">
        <f t="shared" si="7"/>
        <v>0</v>
      </c>
      <c r="AA73" s="341">
        <f t="shared" ref="AA73:AA88" si="8">SUMIF($F$9:$F$88,$F73,$Z$9:$Z$88)</f>
        <v>0</v>
      </c>
    </row>
    <row r="74" spans="1:27" s="240" customFormat="1">
      <c r="A74" s="14">
        <v>66</v>
      </c>
      <c r="B74" s="242"/>
      <c r="C74" s="242"/>
      <c r="D74" s="242"/>
      <c r="E74" s="243"/>
      <c r="F74" s="243"/>
      <c r="G74" s="252">
        <f t="shared" si="6"/>
        <v>0</v>
      </c>
      <c r="H74" s="250"/>
      <c r="I74" s="250"/>
      <c r="J74" s="250"/>
      <c r="K74" s="250"/>
      <c r="L74" s="250"/>
      <c r="M74" s="250"/>
      <c r="N74" s="251"/>
      <c r="O74" s="251"/>
      <c r="P74" s="251"/>
      <c r="Q74" s="251"/>
      <c r="R74" s="250"/>
      <c r="S74" s="250"/>
      <c r="T74" s="253"/>
      <c r="U74" s="250"/>
      <c r="V74" s="250"/>
      <c r="W74" s="253"/>
      <c r="X74" s="250"/>
      <c r="Y74" s="250"/>
      <c r="Z74" s="249">
        <f t="shared" si="7"/>
        <v>0</v>
      </c>
      <c r="AA74" s="341">
        <f t="shared" si="8"/>
        <v>0</v>
      </c>
    </row>
    <row r="75" spans="1:27" s="240" customFormat="1">
      <c r="A75" s="14">
        <v>67</v>
      </c>
      <c r="B75" s="242"/>
      <c r="C75" s="242"/>
      <c r="D75" s="242"/>
      <c r="E75" s="243"/>
      <c r="F75" s="243"/>
      <c r="G75" s="252">
        <f t="shared" si="6"/>
        <v>0</v>
      </c>
      <c r="H75" s="250"/>
      <c r="I75" s="250"/>
      <c r="J75" s="250"/>
      <c r="K75" s="250"/>
      <c r="L75" s="250"/>
      <c r="M75" s="250"/>
      <c r="N75" s="251"/>
      <c r="O75" s="251"/>
      <c r="P75" s="251"/>
      <c r="Q75" s="251"/>
      <c r="R75" s="250"/>
      <c r="S75" s="250"/>
      <c r="T75" s="253"/>
      <c r="U75" s="250"/>
      <c r="V75" s="250"/>
      <c r="W75" s="253"/>
      <c r="X75" s="250"/>
      <c r="Y75" s="250"/>
      <c r="Z75" s="249">
        <f t="shared" si="7"/>
        <v>0</v>
      </c>
      <c r="AA75" s="341">
        <f t="shared" si="8"/>
        <v>0</v>
      </c>
    </row>
    <row r="76" spans="1:27" s="240" customFormat="1">
      <c r="A76" s="14">
        <v>68</v>
      </c>
      <c r="B76" s="242"/>
      <c r="C76" s="242"/>
      <c r="D76" s="242"/>
      <c r="E76" s="243"/>
      <c r="F76" s="243"/>
      <c r="G76" s="252">
        <f t="shared" si="6"/>
        <v>0</v>
      </c>
      <c r="H76" s="250"/>
      <c r="I76" s="250"/>
      <c r="J76" s="250"/>
      <c r="K76" s="250"/>
      <c r="L76" s="250"/>
      <c r="M76" s="250"/>
      <c r="N76" s="251"/>
      <c r="O76" s="251"/>
      <c r="P76" s="251"/>
      <c r="Q76" s="251"/>
      <c r="R76" s="250"/>
      <c r="S76" s="250"/>
      <c r="T76" s="253"/>
      <c r="U76" s="250"/>
      <c r="V76" s="250"/>
      <c r="W76" s="250"/>
      <c r="X76" s="250"/>
      <c r="Y76" s="250"/>
      <c r="Z76" s="249">
        <f t="shared" si="7"/>
        <v>0</v>
      </c>
      <c r="AA76" s="341">
        <f t="shared" si="8"/>
        <v>0</v>
      </c>
    </row>
    <row r="77" spans="1:27" s="240" customFormat="1">
      <c r="A77" s="14">
        <v>69</v>
      </c>
      <c r="B77" s="242"/>
      <c r="C77" s="242"/>
      <c r="D77" s="242"/>
      <c r="E77" s="243"/>
      <c r="F77" s="243"/>
      <c r="G77" s="252">
        <f t="shared" si="6"/>
        <v>0</v>
      </c>
      <c r="H77" s="250"/>
      <c r="I77" s="250"/>
      <c r="J77" s="250"/>
      <c r="K77" s="250"/>
      <c r="L77" s="250"/>
      <c r="M77" s="250"/>
      <c r="N77" s="251"/>
      <c r="O77" s="251"/>
      <c r="P77" s="250"/>
      <c r="Q77" s="251"/>
      <c r="R77" s="250"/>
      <c r="S77" s="250"/>
      <c r="T77" s="253"/>
      <c r="U77" s="250"/>
      <c r="V77" s="250"/>
      <c r="W77" s="250"/>
      <c r="X77" s="250"/>
      <c r="Y77" s="250"/>
      <c r="Z77" s="249">
        <f t="shared" si="7"/>
        <v>0</v>
      </c>
      <c r="AA77" s="341">
        <f t="shared" si="8"/>
        <v>0</v>
      </c>
    </row>
    <row r="78" spans="1:27" s="240" customFormat="1">
      <c r="A78" s="14">
        <v>70</v>
      </c>
      <c r="B78" s="242"/>
      <c r="C78" s="242"/>
      <c r="D78" s="242"/>
      <c r="E78" s="243"/>
      <c r="F78" s="243"/>
      <c r="G78" s="252">
        <f t="shared" si="6"/>
        <v>0</v>
      </c>
      <c r="H78" s="250"/>
      <c r="I78" s="250"/>
      <c r="J78" s="250"/>
      <c r="K78" s="250"/>
      <c r="L78" s="250"/>
      <c r="M78" s="250"/>
      <c r="N78" s="251"/>
      <c r="O78" s="251"/>
      <c r="P78" s="250"/>
      <c r="Q78" s="251"/>
      <c r="R78" s="250"/>
      <c r="S78" s="250"/>
      <c r="T78" s="253"/>
      <c r="U78" s="250"/>
      <c r="V78" s="250"/>
      <c r="W78" s="250"/>
      <c r="X78" s="250"/>
      <c r="Y78" s="250"/>
      <c r="Z78" s="249">
        <f t="shared" si="7"/>
        <v>0</v>
      </c>
      <c r="AA78" s="341">
        <f t="shared" si="8"/>
        <v>0</v>
      </c>
    </row>
    <row r="79" spans="1:27" s="240" customFormat="1">
      <c r="A79" s="14">
        <v>71</v>
      </c>
      <c r="B79" s="242"/>
      <c r="C79" s="242"/>
      <c r="D79" s="242"/>
      <c r="E79" s="243"/>
      <c r="F79" s="243"/>
      <c r="G79" s="252">
        <f t="shared" si="6"/>
        <v>0</v>
      </c>
      <c r="H79" s="250"/>
      <c r="I79" s="250"/>
      <c r="J79" s="250"/>
      <c r="K79" s="250"/>
      <c r="L79" s="250"/>
      <c r="M79" s="250"/>
      <c r="N79" s="251"/>
      <c r="O79" s="251"/>
      <c r="P79" s="250"/>
      <c r="Q79" s="251"/>
      <c r="R79" s="250"/>
      <c r="S79" s="250"/>
      <c r="T79" s="253"/>
      <c r="U79" s="250"/>
      <c r="V79" s="250"/>
      <c r="W79" s="250"/>
      <c r="X79" s="250"/>
      <c r="Y79" s="250"/>
      <c r="Z79" s="249">
        <f t="shared" si="7"/>
        <v>0</v>
      </c>
      <c r="AA79" s="341">
        <f t="shared" si="8"/>
        <v>0</v>
      </c>
    </row>
    <row r="80" spans="1:27" s="240" customFormat="1">
      <c r="A80" s="14">
        <v>72</v>
      </c>
      <c r="B80" s="242"/>
      <c r="C80" s="242"/>
      <c r="D80" s="242"/>
      <c r="E80" s="243"/>
      <c r="F80" s="243"/>
      <c r="G80" s="252">
        <f t="shared" si="6"/>
        <v>0</v>
      </c>
      <c r="H80" s="250"/>
      <c r="I80" s="250"/>
      <c r="J80" s="250"/>
      <c r="K80" s="250"/>
      <c r="L80" s="250"/>
      <c r="M80" s="250"/>
      <c r="N80" s="251"/>
      <c r="O80" s="251"/>
      <c r="P80" s="17"/>
      <c r="Q80" s="251"/>
      <c r="R80" s="250"/>
      <c r="S80" s="250"/>
      <c r="T80" s="253"/>
      <c r="U80" s="250"/>
      <c r="V80" s="250"/>
      <c r="W80" s="250"/>
      <c r="X80" s="250"/>
      <c r="Y80" s="250"/>
      <c r="Z80" s="249">
        <f t="shared" si="7"/>
        <v>0</v>
      </c>
      <c r="AA80" s="341">
        <f t="shared" si="8"/>
        <v>0</v>
      </c>
    </row>
    <row r="81" spans="1:27" s="240" customFormat="1">
      <c r="A81" s="14">
        <v>73</v>
      </c>
      <c r="B81" s="242"/>
      <c r="C81" s="242"/>
      <c r="D81" s="242"/>
      <c r="E81" s="243"/>
      <c r="F81" s="243"/>
      <c r="G81" s="252">
        <f t="shared" si="6"/>
        <v>0</v>
      </c>
      <c r="H81" s="250"/>
      <c r="I81" s="250"/>
      <c r="J81" s="250"/>
      <c r="K81" s="250"/>
      <c r="L81" s="250"/>
      <c r="M81" s="250"/>
      <c r="N81" s="251"/>
      <c r="O81" s="251"/>
      <c r="P81" s="251"/>
      <c r="Q81" s="251"/>
      <c r="R81" s="250"/>
      <c r="S81" s="250"/>
      <c r="T81" s="253"/>
      <c r="U81" s="250"/>
      <c r="V81" s="250"/>
      <c r="W81" s="250"/>
      <c r="X81" s="250"/>
      <c r="Y81" s="250"/>
      <c r="Z81" s="249">
        <f t="shared" si="7"/>
        <v>0</v>
      </c>
      <c r="AA81" s="341">
        <f t="shared" si="8"/>
        <v>0</v>
      </c>
    </row>
    <row r="82" spans="1:27" s="240" customFormat="1">
      <c r="A82" s="14">
        <v>74</v>
      </c>
      <c r="B82" s="242"/>
      <c r="C82" s="242"/>
      <c r="D82" s="242"/>
      <c r="E82" s="243"/>
      <c r="F82" s="243"/>
      <c r="G82" s="252">
        <f t="shared" si="6"/>
        <v>0</v>
      </c>
      <c r="H82" s="250"/>
      <c r="I82" s="250"/>
      <c r="J82" s="250"/>
      <c r="K82" s="250"/>
      <c r="L82" s="250"/>
      <c r="M82" s="250"/>
      <c r="N82" s="251"/>
      <c r="O82" s="251"/>
      <c r="P82" s="251"/>
      <c r="Q82" s="251"/>
      <c r="R82" s="250"/>
      <c r="S82" s="250"/>
      <c r="T82" s="253"/>
      <c r="U82" s="250"/>
      <c r="V82" s="250"/>
      <c r="W82" s="250"/>
      <c r="X82" s="250"/>
      <c r="Y82" s="250"/>
      <c r="Z82" s="249">
        <f t="shared" si="7"/>
        <v>0</v>
      </c>
      <c r="AA82" s="341">
        <f t="shared" si="8"/>
        <v>0</v>
      </c>
    </row>
    <row r="83" spans="1:27" s="240" customFormat="1">
      <c r="A83" s="14">
        <v>75</v>
      </c>
      <c r="B83" s="242"/>
      <c r="C83" s="242"/>
      <c r="D83" s="242"/>
      <c r="E83" s="243"/>
      <c r="F83" s="243"/>
      <c r="G83" s="252">
        <f t="shared" si="6"/>
        <v>0</v>
      </c>
      <c r="H83" s="250"/>
      <c r="I83" s="250"/>
      <c r="J83" s="250"/>
      <c r="K83" s="250"/>
      <c r="L83" s="250"/>
      <c r="M83" s="250"/>
      <c r="N83" s="251"/>
      <c r="O83" s="251"/>
      <c r="P83" s="251"/>
      <c r="Q83" s="251"/>
      <c r="R83" s="250"/>
      <c r="S83" s="250"/>
      <c r="T83" s="250"/>
      <c r="U83" s="250"/>
      <c r="V83" s="250"/>
      <c r="W83" s="250"/>
      <c r="X83" s="250"/>
      <c r="Y83" s="250"/>
      <c r="Z83" s="249">
        <f t="shared" si="7"/>
        <v>0</v>
      </c>
      <c r="AA83" s="341">
        <f t="shared" si="8"/>
        <v>0</v>
      </c>
    </row>
    <row r="84" spans="1:27" s="240" customFormat="1">
      <c r="A84" s="14">
        <v>76</v>
      </c>
      <c r="B84" s="242"/>
      <c r="C84" s="242"/>
      <c r="D84" s="242"/>
      <c r="E84" s="243"/>
      <c r="F84" s="243"/>
      <c r="G84" s="252">
        <f t="shared" si="6"/>
        <v>0</v>
      </c>
      <c r="H84" s="250"/>
      <c r="I84" s="250"/>
      <c r="J84" s="250"/>
      <c r="K84" s="250"/>
      <c r="L84" s="250"/>
      <c r="M84" s="250"/>
      <c r="N84" s="251"/>
      <c r="O84" s="251"/>
      <c r="P84" s="251"/>
      <c r="Q84" s="251"/>
      <c r="R84" s="250"/>
      <c r="S84" s="250"/>
      <c r="T84" s="250"/>
      <c r="U84" s="250"/>
      <c r="V84" s="250"/>
      <c r="W84" s="250"/>
      <c r="X84" s="250"/>
      <c r="Y84" s="250"/>
      <c r="Z84" s="249">
        <f t="shared" si="7"/>
        <v>0</v>
      </c>
      <c r="AA84" s="341">
        <f t="shared" si="8"/>
        <v>0</v>
      </c>
    </row>
    <row r="85" spans="1:27" s="240" customFormat="1">
      <c r="A85" s="14">
        <v>77</v>
      </c>
      <c r="B85" s="242"/>
      <c r="C85" s="242"/>
      <c r="D85" s="242"/>
      <c r="E85" s="243"/>
      <c r="F85" s="243"/>
      <c r="G85" s="252">
        <f t="shared" si="6"/>
        <v>0</v>
      </c>
      <c r="H85" s="250"/>
      <c r="I85" s="250"/>
      <c r="J85" s="250"/>
      <c r="K85" s="250"/>
      <c r="L85" s="250"/>
      <c r="M85" s="250"/>
      <c r="N85" s="251"/>
      <c r="O85" s="251"/>
      <c r="P85" s="251"/>
      <c r="Q85" s="251"/>
      <c r="R85" s="250"/>
      <c r="S85" s="250"/>
      <c r="T85" s="250"/>
      <c r="U85" s="250"/>
      <c r="V85" s="250"/>
      <c r="W85" s="250"/>
      <c r="X85" s="250"/>
      <c r="Y85" s="250"/>
      <c r="Z85" s="249">
        <f t="shared" si="7"/>
        <v>0</v>
      </c>
      <c r="AA85" s="341">
        <f t="shared" si="8"/>
        <v>0</v>
      </c>
    </row>
    <row r="86" spans="1:27" s="240" customFormat="1">
      <c r="A86" s="14">
        <v>78</v>
      </c>
      <c r="B86" s="242"/>
      <c r="C86" s="242"/>
      <c r="D86" s="242"/>
      <c r="E86" s="243"/>
      <c r="F86" s="243"/>
      <c r="G86" s="252">
        <f t="shared" si="6"/>
        <v>0</v>
      </c>
      <c r="H86" s="250"/>
      <c r="I86" s="250"/>
      <c r="J86" s="250"/>
      <c r="K86" s="250"/>
      <c r="L86" s="250"/>
      <c r="M86" s="250"/>
      <c r="N86" s="251"/>
      <c r="O86" s="251"/>
      <c r="P86" s="251"/>
      <c r="Q86" s="251"/>
      <c r="R86" s="250"/>
      <c r="S86" s="250"/>
      <c r="T86" s="250"/>
      <c r="U86" s="250"/>
      <c r="V86" s="250"/>
      <c r="W86" s="250"/>
      <c r="X86" s="250"/>
      <c r="Y86" s="250"/>
      <c r="Z86" s="249">
        <f t="shared" si="7"/>
        <v>0</v>
      </c>
      <c r="AA86" s="341">
        <f t="shared" si="8"/>
        <v>0</v>
      </c>
    </row>
    <row r="87" spans="1:27" s="240" customFormat="1">
      <c r="A87" s="14">
        <v>79</v>
      </c>
      <c r="B87" s="242"/>
      <c r="C87" s="242"/>
      <c r="D87" s="242"/>
      <c r="E87" s="243"/>
      <c r="F87" s="243"/>
      <c r="G87" s="252">
        <f t="shared" si="6"/>
        <v>0</v>
      </c>
      <c r="H87" s="250"/>
      <c r="I87" s="250"/>
      <c r="J87" s="250"/>
      <c r="K87" s="250"/>
      <c r="L87" s="250"/>
      <c r="M87" s="250"/>
      <c r="N87" s="251"/>
      <c r="O87" s="251"/>
      <c r="P87" s="251"/>
      <c r="Q87" s="251"/>
      <c r="R87" s="250"/>
      <c r="S87" s="250"/>
      <c r="T87" s="250"/>
      <c r="U87" s="250"/>
      <c r="V87" s="250"/>
      <c r="W87" s="250"/>
      <c r="X87" s="250"/>
      <c r="Y87" s="250"/>
      <c r="Z87" s="249">
        <f t="shared" si="7"/>
        <v>0</v>
      </c>
      <c r="AA87" s="341">
        <f t="shared" si="8"/>
        <v>0</v>
      </c>
    </row>
    <row r="88" spans="1:27" s="240" customFormat="1">
      <c r="A88" s="14">
        <v>80</v>
      </c>
      <c r="B88" s="242"/>
      <c r="C88" s="242"/>
      <c r="D88" s="242"/>
      <c r="E88" s="243"/>
      <c r="F88" s="243"/>
      <c r="G88" s="252">
        <f t="shared" si="6"/>
        <v>0</v>
      </c>
      <c r="H88" s="250"/>
      <c r="I88" s="250"/>
      <c r="J88" s="250"/>
      <c r="K88" s="250"/>
      <c r="L88" s="250"/>
      <c r="M88" s="250"/>
      <c r="N88" s="251"/>
      <c r="O88" s="251"/>
      <c r="P88" s="251"/>
      <c r="Q88" s="251"/>
      <c r="R88" s="250"/>
      <c r="S88" s="250"/>
      <c r="T88" s="250"/>
      <c r="U88" s="250"/>
      <c r="V88" s="250"/>
      <c r="W88" s="250"/>
      <c r="X88" s="250"/>
      <c r="Y88" s="250"/>
      <c r="Z88" s="249">
        <f t="shared" si="7"/>
        <v>0</v>
      </c>
      <c r="AA88" s="341">
        <f t="shared" si="8"/>
        <v>0</v>
      </c>
    </row>
    <row r="89" spans="1:27" s="259" customFormat="1" ht="19.5" customHeight="1">
      <c r="A89" s="643" t="s">
        <v>456</v>
      </c>
      <c r="B89" s="644"/>
      <c r="C89" s="644"/>
      <c r="D89" s="644"/>
      <c r="E89" s="644"/>
      <c r="F89" s="645"/>
      <c r="G89" s="239">
        <f>SUM(G9:G88)</f>
        <v>33037118878</v>
      </c>
      <c r="H89" s="239">
        <f t="shared" ref="H89:V89" si="9">SUM(H9:H88)</f>
        <v>3601432393</v>
      </c>
      <c r="I89" s="239">
        <f t="shared" si="9"/>
        <v>28478191056</v>
      </c>
      <c r="J89" s="239">
        <f t="shared" si="9"/>
        <v>0</v>
      </c>
      <c r="K89" s="239">
        <f t="shared" si="9"/>
        <v>471096336</v>
      </c>
      <c r="L89" s="239">
        <f t="shared" si="9"/>
        <v>761956823</v>
      </c>
      <c r="M89" s="239">
        <f t="shared" si="9"/>
        <v>172138469</v>
      </c>
      <c r="N89" s="239">
        <f t="shared" si="9"/>
        <v>281373480</v>
      </c>
      <c r="O89" s="239">
        <f t="shared" si="9"/>
        <v>281373480</v>
      </c>
      <c r="P89" s="239">
        <f t="shared" si="9"/>
        <v>164119706</v>
      </c>
      <c r="Q89" s="239">
        <f t="shared" si="9"/>
        <v>32823942</v>
      </c>
      <c r="R89" s="239">
        <f t="shared" si="9"/>
        <v>63202</v>
      </c>
      <c r="S89" s="239">
        <f t="shared" si="9"/>
        <v>63202</v>
      </c>
      <c r="T89" s="239">
        <f t="shared" si="9"/>
        <v>0</v>
      </c>
      <c r="U89" s="256"/>
      <c r="V89" s="239">
        <f t="shared" si="9"/>
        <v>7677309129</v>
      </c>
      <c r="W89" s="256"/>
      <c r="X89" s="239">
        <f t="shared" ref="X89:Z89" si="10">SUM(X9:X88)</f>
        <v>530463365</v>
      </c>
      <c r="Y89" s="239">
        <f t="shared" si="10"/>
        <v>0</v>
      </c>
      <c r="Z89" s="239">
        <f t="shared" si="10"/>
        <v>24829346384</v>
      </c>
      <c r="AA89" s="345"/>
    </row>
    <row r="90" spans="1:27" s="259" customFormat="1" ht="19.5" customHeight="1">
      <c r="A90" s="643" t="s">
        <v>457</v>
      </c>
      <c r="B90" s="644"/>
      <c r="C90" s="644"/>
      <c r="D90" s="644"/>
      <c r="E90" s="644"/>
      <c r="F90" s="645"/>
      <c r="G90" s="239">
        <f>+SUMIF($F$9:$F$88,$AA$90,$G$9:$G$88)</f>
        <v>1982887880</v>
      </c>
      <c r="H90" s="239">
        <f>+SUMIF($F$9:$F$88,$AA$90,$H$9:$H$88)</f>
        <v>0</v>
      </c>
      <c r="I90" s="239">
        <f>+SUMIF($F$9:$F$88,$AA$90,$I$9:$I$88)</f>
        <v>1815457984</v>
      </c>
      <c r="J90" s="239">
        <f>+SUMIF($F$9:$F$88,$AA$90,$J$9:$J$88)</f>
        <v>0</v>
      </c>
      <c r="K90" s="239">
        <f>+SUMIF($F$9:$F$88,$AA$90,$K$9:$K$88)</f>
        <v>167429896</v>
      </c>
      <c r="L90" s="239">
        <f>+SUMIF($F$9:$F$88,$AA$90,$L$9:$L$88)</f>
        <v>0</v>
      </c>
      <c r="M90" s="239">
        <f>+SUMIF($F$9:$F$88,$AA$90,$M$9:$M$88)</f>
        <v>0</v>
      </c>
      <c r="N90" s="239">
        <f>+SUMIF($F$9:$F$88,$AA$90,$N$9:$N$88)</f>
        <v>0</v>
      </c>
      <c r="O90" s="239">
        <f>+SUMIF($F$9:$F$88,$AA$90,$O$9:$O$88)</f>
        <v>0</v>
      </c>
      <c r="P90" s="239">
        <f>+SUMIF($F$9:$F$88,$AA$90,$P$9:$P$88)</f>
        <v>0</v>
      </c>
      <c r="Q90" s="239">
        <f>+SUMIF($F$9:$F$88,$AA$90,$Q$9:$Q$88)</f>
        <v>0</v>
      </c>
      <c r="R90" s="239">
        <f>+SUMIF($F$9:$F$88,$AA$90,$R$9:$R$88)</f>
        <v>0</v>
      </c>
      <c r="S90" s="239">
        <f>+SUMIF($F$9:$F$88,$AA$90,$S$9:$S$88)</f>
        <v>0</v>
      </c>
      <c r="T90" s="239">
        <f>+SUMIF($F$9:$F$88,$AA$90,$T$9:$T$88)</f>
        <v>0</v>
      </c>
      <c r="U90" s="256"/>
      <c r="V90" s="239">
        <f>+SUMIF($F$9:$F$88,$AA$90,$V$9:$V$88)</f>
        <v>0</v>
      </c>
      <c r="W90" s="256"/>
      <c r="X90" s="239">
        <f>+SUMIF($F$9:$F$88,$AA$90,$X$9:$X$88)</f>
        <v>198182181</v>
      </c>
      <c r="Y90" s="239">
        <f>+SUMIF($F$9:$F$88,$AA$90,$Y$9:$Y$88)</f>
        <v>0</v>
      </c>
      <c r="Z90" s="239">
        <f>+MAX(AA9:AA88)</f>
        <v>1784705699</v>
      </c>
      <c r="AA90" s="345">
        <f>INDEX($F$9:$F$88,MATCH($Z90,$AA$9:$AA$88,0))</f>
        <v>4</v>
      </c>
    </row>
    <row r="91" spans="1:27" s="15" customFormat="1">
      <c r="AA91" s="343"/>
    </row>
    <row r="92" spans="1:27" ht="15" customHeight="1">
      <c r="B92" s="201" t="s">
        <v>778</v>
      </c>
      <c r="F92" s="183"/>
      <c r="G92" s="183"/>
      <c r="H92" s="183"/>
      <c r="I92" s="183"/>
      <c r="J92" s="183"/>
      <c r="K92" s="183"/>
      <c r="L92" s="183"/>
      <c r="M92" s="183"/>
      <c r="AA92" s="30"/>
    </row>
    <row r="93" spans="1:27" ht="11.25" customHeight="1">
      <c r="B93" s="201"/>
      <c r="F93" s="183"/>
      <c r="G93" s="183"/>
      <c r="H93" s="183"/>
      <c r="I93" s="183"/>
      <c r="J93" s="183"/>
      <c r="K93" s="183"/>
      <c r="L93" s="183"/>
      <c r="M93" s="183"/>
      <c r="AA93" s="30"/>
    </row>
    <row r="94" spans="1:27" ht="15" customHeight="1">
      <c r="B94" s="201" t="s">
        <v>779</v>
      </c>
      <c r="F94" s="183"/>
      <c r="G94" s="183"/>
      <c r="H94" s="183"/>
      <c r="I94" s="183"/>
      <c r="J94" s="183"/>
      <c r="K94" s="183"/>
      <c r="L94" s="183"/>
      <c r="M94" s="183"/>
      <c r="AA94" s="30"/>
    </row>
    <row r="95" spans="1:27" s="15" customFormat="1">
      <c r="B95" s="202"/>
      <c r="AA95" s="343"/>
    </row>
    <row r="96" spans="1:27" s="15" customFormat="1">
      <c r="B96" s="202"/>
      <c r="AA96" s="343"/>
    </row>
    <row r="97" spans="2:27" s="15" customFormat="1">
      <c r="B97" s="202"/>
      <c r="AA97" s="343"/>
    </row>
    <row r="98" spans="2:27" s="15" customFormat="1">
      <c r="AA98" s="343"/>
    </row>
    <row r="99" spans="2:27" s="15" customFormat="1" ht="15.75"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7"/>
      <c r="P99" s="627"/>
      <c r="Q99" s="627"/>
      <c r="R99" s="627"/>
      <c r="S99" s="627"/>
      <c r="T99" s="627"/>
      <c r="AA99" s="343"/>
    </row>
    <row r="100" spans="2:27">
      <c r="AA100" s="344"/>
    </row>
    <row r="101" spans="2:27">
      <c r="AA101" s="344"/>
    </row>
    <row r="102" spans="2:27">
      <c r="AA102" s="344"/>
    </row>
    <row r="103" spans="2:27">
      <c r="AA103" s="344"/>
    </row>
    <row r="104" spans="2:27">
      <c r="AA104" s="344"/>
    </row>
    <row r="105" spans="2:27">
      <c r="AA105" s="344"/>
    </row>
    <row r="106" spans="2:27">
      <c r="AA106" s="344"/>
    </row>
    <row r="107" spans="2:27">
      <c r="AA107" s="344"/>
    </row>
    <row r="108" spans="2:27">
      <c r="AA108" s="344"/>
    </row>
    <row r="109" spans="2:27">
      <c r="AA109" s="344"/>
    </row>
    <row r="110" spans="2:27">
      <c r="AA110" s="344"/>
    </row>
    <row r="111" spans="2:27">
      <c r="AA111" s="344"/>
    </row>
    <row r="112" spans="2:27">
      <c r="AA112" s="344"/>
    </row>
    <row r="113" spans="27:27">
      <c r="AA113" s="344"/>
    </row>
    <row r="114" spans="27:27">
      <c r="AA114" s="344"/>
    </row>
    <row r="115" spans="27:27">
      <c r="AA115" s="344"/>
    </row>
    <row r="116" spans="27:27">
      <c r="AA116" s="344"/>
    </row>
    <row r="117" spans="27:27">
      <c r="AA117" s="344"/>
    </row>
    <row r="118" spans="27:27">
      <c r="AA118" s="344"/>
    </row>
    <row r="119" spans="27:27">
      <c r="AA119" s="344"/>
    </row>
    <row r="120" spans="27:27">
      <c r="AA120" s="344"/>
    </row>
    <row r="121" spans="27:27">
      <c r="AA121" s="344"/>
    </row>
    <row r="122" spans="27:27">
      <c r="AA122" s="344"/>
    </row>
    <row r="123" spans="27:27">
      <c r="AA123" s="344"/>
    </row>
    <row r="124" spans="27:27">
      <c r="AA124" s="344"/>
    </row>
    <row r="125" spans="27:27">
      <c r="AA125" s="344"/>
    </row>
    <row r="126" spans="27:27">
      <c r="AA126" s="344"/>
    </row>
    <row r="127" spans="27:27">
      <c r="AA127" s="344"/>
    </row>
    <row r="128" spans="27:27">
      <c r="AA128" s="344"/>
    </row>
    <row r="129" spans="27:27">
      <c r="AA129" s="344"/>
    </row>
    <row r="130" spans="27:27">
      <c r="AA130" s="344"/>
    </row>
    <row r="131" spans="27:27">
      <c r="AA131" s="344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38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view="pageBreakPreview" topLeftCell="A4" zoomScale="85" zoomScaleNormal="75" zoomScaleSheetLayoutView="85" workbookViewId="0">
      <pane xSplit="2" ySplit="3" topLeftCell="C7" activePane="bottomRight" state="frozen"/>
      <selection activeCell="J47" sqref="J47"/>
      <selection pane="topRight" activeCell="J47" sqref="J47"/>
      <selection pane="bottomLeft" activeCell="J47" sqref="J47"/>
      <selection pane="bottomRight" activeCell="I49" sqref="I49"/>
    </sheetView>
  </sheetViews>
  <sheetFormatPr defaultColWidth="9.42578125" defaultRowHeight="15"/>
  <cols>
    <col min="1" max="1" width="11" style="133" bestFit="1" customWidth="1"/>
    <col min="2" max="2" width="31" style="6" customWidth="1"/>
    <col min="3" max="3" width="17.28515625" style="6" customWidth="1"/>
    <col min="4" max="9" width="17.42578125" style="6" customWidth="1"/>
    <col min="10" max="10" width="16.28515625" style="6" customWidth="1"/>
    <col min="11" max="11" width="9.42578125" style="6"/>
    <col min="12" max="14" width="18.85546875" style="6" customWidth="1"/>
    <col min="15" max="16384" width="9.42578125" style="6"/>
  </cols>
  <sheetData>
    <row r="1" spans="1:14" s="15" customFormat="1" ht="35.25" customHeight="1">
      <c r="A1" s="646" t="s">
        <v>459</v>
      </c>
      <c r="B1" s="646"/>
      <c r="C1" s="646"/>
      <c r="D1" s="646"/>
      <c r="E1" s="646"/>
      <c r="F1" s="646"/>
      <c r="G1" s="646"/>
      <c r="H1" s="646"/>
      <c r="I1" s="646"/>
      <c r="J1" s="346" t="s">
        <v>458</v>
      </c>
    </row>
    <row r="2" spans="1:14" s="30" customFormat="1" ht="15.75" customHeight="1">
      <c r="A2" s="224"/>
      <c r="B2" s="225"/>
      <c r="C2" s="225"/>
      <c r="E2" s="226"/>
    </row>
    <row r="3" spans="1:14" s="30" customFormat="1" ht="16.5" customHeight="1">
      <c r="A3" s="227" t="s">
        <v>460</v>
      </c>
      <c r="C3" s="227"/>
      <c r="F3" s="228"/>
      <c r="G3" s="594">
        <f>+'Asset quality'!Q3</f>
        <v>45289</v>
      </c>
      <c r="H3" s="594"/>
      <c r="J3" s="255" t="str">
        <f>+'Asset quality'!T3</f>
        <v>минг. сўмда</v>
      </c>
      <c r="L3" s="255"/>
    </row>
    <row r="4" spans="1:14" s="202" customFormat="1" ht="36" customHeight="1">
      <c r="A4" s="647" t="s">
        <v>61</v>
      </c>
      <c r="B4" s="647" t="s">
        <v>461</v>
      </c>
      <c r="C4" s="630" t="str">
        <f>"Ҳисобдан чиқарилган кредит ва лизинглар қолдиғи"&amp;" "&amp;DAY(G3)&amp;"."&amp;IF(LEN(MONTH(G3))&lt;2,"0"&amp;MONTH(G3),MONTH(G3))&amp;"."&amp;YEAR(G3)-1&amp;"г"</f>
        <v>Ҳисобдан чиқарилган кредит ва лизинглар қолдиғи 29.12.2022г</v>
      </c>
      <c r="D4" s="634" t="s">
        <v>462</v>
      </c>
      <c r="E4" s="650"/>
      <c r="F4" s="650"/>
      <c r="G4" s="650"/>
      <c r="H4" s="650"/>
      <c r="I4" s="635"/>
      <c r="J4" s="630" t="str">
        <f>"Хисобдан чиқарилган кредит ва лизинглар қолдиғи"&amp;" "&amp;DAY(G3)&amp;"."&amp;IF(LEN(MONTH(G3))&lt;2,"0"&amp;MONTH(G3),MONTH(G3))&amp;"."&amp;YEAR(G3)&amp;"г"</f>
        <v>Хисобдан чиқарилган кредит ва лизинглар қолдиғи 29.12.2023г</v>
      </c>
    </row>
    <row r="5" spans="1:14" s="202" customFormat="1" ht="33.75" customHeight="1">
      <c r="A5" s="648"/>
      <c r="B5" s="648"/>
      <c r="C5" s="631"/>
      <c r="D5" s="651" t="s">
        <v>463</v>
      </c>
      <c r="E5" s="652"/>
      <c r="F5" s="638" t="s">
        <v>464</v>
      </c>
      <c r="G5" s="653"/>
      <c r="H5" s="638" t="s">
        <v>465</v>
      </c>
      <c r="I5" s="653"/>
      <c r="J5" s="631"/>
      <c r="N5" s="229"/>
    </row>
    <row r="6" spans="1:14" s="202" customFormat="1" ht="44.25" customHeight="1">
      <c r="A6" s="649"/>
      <c r="B6" s="649"/>
      <c r="C6" s="632"/>
      <c r="D6" s="237" t="s">
        <v>234</v>
      </c>
      <c r="E6" s="237" t="s">
        <v>466</v>
      </c>
      <c r="F6" s="237" t="s">
        <v>234</v>
      </c>
      <c r="G6" s="237" t="s">
        <v>466</v>
      </c>
      <c r="H6" s="237" t="s">
        <v>234</v>
      </c>
      <c r="I6" s="237" t="s">
        <v>466</v>
      </c>
      <c r="J6" s="632"/>
    </row>
    <row r="7" spans="1:14" ht="19.5" customHeight="1">
      <c r="A7" s="237"/>
      <c r="B7" s="237" t="s">
        <v>78</v>
      </c>
      <c r="C7" s="237" t="s">
        <v>79</v>
      </c>
      <c r="D7" s="237" t="s">
        <v>89</v>
      </c>
      <c r="E7" s="237" t="s">
        <v>80</v>
      </c>
      <c r="F7" s="237" t="s">
        <v>81</v>
      </c>
      <c r="G7" s="237" t="s">
        <v>90</v>
      </c>
      <c r="H7" s="237" t="s">
        <v>82</v>
      </c>
      <c r="I7" s="237" t="s">
        <v>83</v>
      </c>
      <c r="J7" s="237" t="s">
        <v>84</v>
      </c>
    </row>
    <row r="8" spans="1:14" ht="19.5" customHeight="1">
      <c r="A8" s="237">
        <v>1</v>
      </c>
      <c r="B8" s="237" t="s">
        <v>467</v>
      </c>
      <c r="C8" s="237">
        <f>SUM(C10:C17)</f>
        <v>1366523964</v>
      </c>
      <c r="D8" s="237">
        <f t="shared" ref="D8:J8" si="0">SUM(D10:D17)</f>
        <v>960252594</v>
      </c>
      <c r="E8" s="237">
        <f t="shared" si="0"/>
        <v>613949035</v>
      </c>
      <c r="F8" s="237">
        <f t="shared" si="0"/>
        <v>515543119</v>
      </c>
      <c r="G8" s="237">
        <f t="shared" si="0"/>
        <v>384585807</v>
      </c>
      <c r="H8" s="237">
        <f t="shared" si="0"/>
        <v>444709473</v>
      </c>
      <c r="I8" s="237">
        <f t="shared" si="0"/>
        <v>229363227</v>
      </c>
      <c r="J8" s="237">
        <f t="shared" si="0"/>
        <v>1910517708</v>
      </c>
      <c r="L8" s="133">
        <f>+'loans type'!Y27</f>
        <v>1910517708</v>
      </c>
    </row>
    <row r="9" spans="1:14" ht="19.5" customHeight="1">
      <c r="A9" s="347"/>
      <c r="B9" s="348" t="s">
        <v>334</v>
      </c>
      <c r="C9" s="230"/>
      <c r="D9" s="231"/>
      <c r="E9" s="231"/>
      <c r="F9" s="231"/>
      <c r="G9" s="231"/>
      <c r="H9" s="231"/>
      <c r="I9" s="231"/>
      <c r="J9" s="231"/>
      <c r="K9" s="133"/>
    </row>
    <row r="10" spans="1:14" ht="28.5" customHeight="1">
      <c r="A10" s="349" t="s">
        <v>110</v>
      </c>
      <c r="B10" s="230" t="s">
        <v>468</v>
      </c>
      <c r="C10" s="238">
        <v>1041823849</v>
      </c>
      <c r="D10" s="238">
        <v>557364023</v>
      </c>
      <c r="E10" s="238">
        <v>429680329</v>
      </c>
      <c r="F10" s="238">
        <v>416159067</v>
      </c>
      <c r="G10" s="238">
        <v>345511196</v>
      </c>
      <c r="H10" s="238">
        <v>141204956</v>
      </c>
      <c r="I10" s="238">
        <v>84169132</v>
      </c>
      <c r="J10" s="238">
        <v>1268664938</v>
      </c>
    </row>
    <row r="11" spans="1:14" ht="28.5" customHeight="1">
      <c r="A11" s="349" t="s">
        <v>111</v>
      </c>
      <c r="B11" s="230" t="s">
        <v>469</v>
      </c>
      <c r="C11" s="238">
        <v>83564391</v>
      </c>
      <c r="D11" s="238">
        <v>180304720</v>
      </c>
      <c r="E11" s="238">
        <v>105210660</v>
      </c>
      <c r="F11" s="238">
        <v>14887205</v>
      </c>
      <c r="G11" s="238">
        <v>7608608</v>
      </c>
      <c r="H11" s="238">
        <v>165417514</v>
      </c>
      <c r="I11" s="238">
        <v>97602052</v>
      </c>
      <c r="J11" s="238">
        <v>280239654</v>
      </c>
    </row>
    <row r="12" spans="1:14" ht="28.5" customHeight="1">
      <c r="A12" s="349" t="s">
        <v>112</v>
      </c>
      <c r="B12" s="230" t="s">
        <v>470</v>
      </c>
      <c r="C12" s="238">
        <v>11636516</v>
      </c>
      <c r="D12" s="238">
        <v>16594421</v>
      </c>
      <c r="E12" s="238">
        <v>11611413</v>
      </c>
      <c r="F12" s="238">
        <v>6958247</v>
      </c>
      <c r="G12" s="238">
        <v>5330044</v>
      </c>
      <c r="H12" s="238">
        <v>9636174</v>
      </c>
      <c r="I12" s="238">
        <v>6281369</v>
      </c>
      <c r="J12" s="238">
        <v>22420063</v>
      </c>
    </row>
    <row r="13" spans="1:14" ht="28.5" customHeight="1">
      <c r="A13" s="349" t="s">
        <v>116</v>
      </c>
      <c r="B13" s="230" t="s">
        <v>471</v>
      </c>
      <c r="C13" s="238">
        <v>108166730</v>
      </c>
      <c r="D13" s="238">
        <v>83418853</v>
      </c>
      <c r="E13" s="238">
        <v>4038443</v>
      </c>
      <c r="F13" s="238">
        <v>32121066</v>
      </c>
      <c r="G13" s="238">
        <v>7019127</v>
      </c>
      <c r="H13" s="238">
        <v>51297787</v>
      </c>
      <c r="I13" s="238">
        <v>-2980684</v>
      </c>
      <c r="J13" s="238">
        <v>161413011</v>
      </c>
    </row>
    <row r="14" spans="1:14" ht="28.5" customHeight="1">
      <c r="A14" s="349" t="s">
        <v>117</v>
      </c>
      <c r="B14" s="230" t="s">
        <v>472</v>
      </c>
      <c r="C14" s="238">
        <v>77307890</v>
      </c>
      <c r="D14" s="238">
        <v>70804355</v>
      </c>
      <c r="E14" s="238">
        <v>42180363</v>
      </c>
      <c r="F14" s="238">
        <v>31956064</v>
      </c>
      <c r="G14" s="238">
        <v>18590953</v>
      </c>
      <c r="H14" s="238">
        <v>38848291</v>
      </c>
      <c r="I14" s="238">
        <v>23589410</v>
      </c>
      <c r="J14" s="238">
        <v>96254440</v>
      </c>
    </row>
    <row r="15" spans="1:14" ht="28.5" customHeight="1">
      <c r="A15" s="349" t="s">
        <v>146</v>
      </c>
      <c r="B15" s="230" t="s">
        <v>473</v>
      </c>
      <c r="C15" s="238">
        <v>13479508</v>
      </c>
      <c r="D15" s="238">
        <v>9846520</v>
      </c>
      <c r="E15" s="238">
        <v>7882875</v>
      </c>
      <c r="F15" s="238">
        <v>1036694</v>
      </c>
      <c r="G15" s="238">
        <v>1569</v>
      </c>
      <c r="H15" s="238">
        <v>8809825</v>
      </c>
      <c r="I15" s="238">
        <v>7881306</v>
      </c>
      <c r="J15" s="238">
        <v>23034330</v>
      </c>
    </row>
    <row r="16" spans="1:14" ht="28.5" customHeight="1">
      <c r="A16" s="349" t="s">
        <v>219</v>
      </c>
      <c r="B16" s="230" t="s">
        <v>474</v>
      </c>
      <c r="C16" s="238">
        <v>33829</v>
      </c>
      <c r="D16" s="238">
        <v>3528875</v>
      </c>
      <c r="E16" s="238">
        <v>0</v>
      </c>
      <c r="F16" s="238">
        <v>1384397</v>
      </c>
      <c r="G16" s="238">
        <v>0</v>
      </c>
      <c r="H16" s="238">
        <v>2144478</v>
      </c>
      <c r="I16" s="238">
        <v>0</v>
      </c>
      <c r="J16" s="238">
        <v>2178307</v>
      </c>
    </row>
    <row r="17" spans="1:15" ht="28.5" customHeight="1">
      <c r="A17" s="349" t="s">
        <v>220</v>
      </c>
      <c r="B17" s="230" t="s">
        <v>475</v>
      </c>
      <c r="C17" s="238">
        <v>30511251</v>
      </c>
      <c r="D17" s="238">
        <v>38390827</v>
      </c>
      <c r="E17" s="238">
        <v>13344952</v>
      </c>
      <c r="F17" s="238">
        <v>11040379</v>
      </c>
      <c r="G17" s="238">
        <v>524310</v>
      </c>
      <c r="H17" s="238">
        <v>27350448</v>
      </c>
      <c r="I17" s="238">
        <v>12820642</v>
      </c>
      <c r="J17" s="238">
        <v>56312965</v>
      </c>
    </row>
    <row r="18" spans="1:15" ht="19.5" customHeight="1">
      <c r="A18" s="237">
        <v>2</v>
      </c>
      <c r="B18" s="237" t="s">
        <v>398</v>
      </c>
      <c r="C18" s="237">
        <f>SUM(C20:C24)</f>
        <v>56028610</v>
      </c>
      <c r="D18" s="237">
        <f t="shared" ref="D18:J18" si="1">SUM(D20:D24)</f>
        <v>14683557</v>
      </c>
      <c r="E18" s="237">
        <f t="shared" si="1"/>
        <v>0</v>
      </c>
      <c r="F18" s="237">
        <f t="shared" si="1"/>
        <v>23670530</v>
      </c>
      <c r="G18" s="237">
        <f t="shared" si="1"/>
        <v>0</v>
      </c>
      <c r="H18" s="237">
        <f t="shared" si="1"/>
        <v>-8986972</v>
      </c>
      <c r="I18" s="237">
        <f t="shared" si="1"/>
        <v>0</v>
      </c>
      <c r="J18" s="237">
        <f t="shared" si="1"/>
        <v>47041639</v>
      </c>
      <c r="L18" s="133">
        <f>+'loans type'!Y9</f>
        <v>47041639</v>
      </c>
    </row>
    <row r="19" spans="1:15" ht="19.5" customHeight="1">
      <c r="A19" s="132"/>
      <c r="B19" s="348" t="s">
        <v>334</v>
      </c>
      <c r="C19" s="230"/>
      <c r="D19" s="231"/>
      <c r="E19" s="231"/>
      <c r="F19" s="231"/>
      <c r="G19" s="231"/>
      <c r="H19" s="231"/>
      <c r="I19" s="231"/>
      <c r="J19" s="231"/>
    </row>
    <row r="20" spans="1:15" ht="28.5" customHeight="1">
      <c r="A20" s="349" t="s">
        <v>123</v>
      </c>
      <c r="B20" s="230" t="s">
        <v>476</v>
      </c>
      <c r="C20" s="238">
        <v>17441693</v>
      </c>
      <c r="D20" s="238">
        <v>12048439</v>
      </c>
      <c r="E20" s="238">
        <v>0</v>
      </c>
      <c r="F20" s="238">
        <v>10773994</v>
      </c>
      <c r="G20" s="238">
        <v>0</v>
      </c>
      <c r="H20" s="238">
        <v>1274445</v>
      </c>
      <c r="I20" s="238">
        <v>0</v>
      </c>
      <c r="J20" s="238">
        <v>18394343</v>
      </c>
    </row>
    <row r="21" spans="1:15" ht="28.5" customHeight="1">
      <c r="A21" s="349" t="s">
        <v>124</v>
      </c>
      <c r="B21" s="230" t="s">
        <v>174</v>
      </c>
      <c r="C21" s="238">
        <v>1607481</v>
      </c>
      <c r="D21" s="238">
        <v>398075</v>
      </c>
      <c r="E21" s="238">
        <v>0</v>
      </c>
      <c r="F21" s="238">
        <v>847482</v>
      </c>
      <c r="G21" s="238">
        <v>0</v>
      </c>
      <c r="H21" s="238">
        <v>-449407</v>
      </c>
      <c r="I21" s="238">
        <v>0</v>
      </c>
      <c r="J21" s="238">
        <v>1082909</v>
      </c>
    </row>
    <row r="22" spans="1:15" ht="28.5" customHeight="1">
      <c r="A22" s="349" t="s">
        <v>126</v>
      </c>
      <c r="B22" s="230" t="s">
        <v>477</v>
      </c>
      <c r="C22" s="238">
        <v>13125534</v>
      </c>
      <c r="D22" s="238">
        <v>710953</v>
      </c>
      <c r="E22" s="238">
        <v>0</v>
      </c>
      <c r="F22" s="238">
        <v>3872195</v>
      </c>
      <c r="G22" s="238">
        <v>0</v>
      </c>
      <c r="H22" s="238">
        <v>-3161242</v>
      </c>
      <c r="I22" s="238">
        <v>0</v>
      </c>
      <c r="J22" s="238">
        <v>10020807</v>
      </c>
    </row>
    <row r="23" spans="1:15" ht="28.5" customHeight="1">
      <c r="A23" s="349" t="s">
        <v>128</v>
      </c>
      <c r="B23" s="230" t="s">
        <v>478</v>
      </c>
      <c r="C23" s="238">
        <v>12120322</v>
      </c>
      <c r="D23" s="238">
        <v>736459</v>
      </c>
      <c r="E23" s="238">
        <v>0</v>
      </c>
      <c r="F23" s="238">
        <v>4069032</v>
      </c>
      <c r="G23" s="238">
        <v>0</v>
      </c>
      <c r="H23" s="238">
        <v>-3332573</v>
      </c>
      <c r="I23" s="238">
        <v>0</v>
      </c>
      <c r="J23" s="238">
        <v>8748788</v>
      </c>
    </row>
    <row r="24" spans="1:15" ht="28.5" customHeight="1">
      <c r="A24" s="349" t="s">
        <v>175</v>
      </c>
      <c r="B24" s="230" t="s">
        <v>479</v>
      </c>
      <c r="C24" s="238">
        <v>11733580</v>
      </c>
      <c r="D24" s="238">
        <v>789631</v>
      </c>
      <c r="E24" s="238">
        <v>0</v>
      </c>
      <c r="F24" s="238">
        <v>4107827</v>
      </c>
      <c r="G24" s="238">
        <v>0</v>
      </c>
      <c r="H24" s="238">
        <v>-3318195</v>
      </c>
      <c r="I24" s="238">
        <v>0</v>
      </c>
      <c r="J24" s="238">
        <v>8794792</v>
      </c>
    </row>
    <row r="25" spans="1:15" ht="19.5" customHeight="1">
      <c r="A25" s="237">
        <v>3</v>
      </c>
      <c r="B25" s="237" t="s">
        <v>234</v>
      </c>
      <c r="C25" s="237">
        <f>+C18+C8</f>
        <v>1422552574</v>
      </c>
      <c r="D25" s="237">
        <f t="shared" ref="D25:J25" si="2">+D18+D8</f>
        <v>974936151</v>
      </c>
      <c r="E25" s="237">
        <f t="shared" si="2"/>
        <v>613949035</v>
      </c>
      <c r="F25" s="237">
        <f t="shared" si="2"/>
        <v>539213649</v>
      </c>
      <c r="G25" s="237">
        <f t="shared" si="2"/>
        <v>384585807</v>
      </c>
      <c r="H25" s="237">
        <f t="shared" si="2"/>
        <v>435722501</v>
      </c>
      <c r="I25" s="237">
        <f t="shared" si="2"/>
        <v>229363227</v>
      </c>
      <c r="J25" s="237">
        <f t="shared" si="2"/>
        <v>1957559347</v>
      </c>
      <c r="L25" s="476">
        <f>+'loans type'!Y8</f>
        <v>1957559347</v>
      </c>
    </row>
    <row r="26" spans="1:15">
      <c r="B26" s="224"/>
      <c r="C26" s="224"/>
      <c r="D26" s="224"/>
      <c r="E26" s="224"/>
      <c r="F26" s="224"/>
      <c r="G26" s="224"/>
      <c r="H26" s="224"/>
      <c r="I26" s="224"/>
      <c r="J26" s="224"/>
    </row>
    <row r="27" spans="1:15" s="30" customFormat="1" ht="16.5" customHeight="1">
      <c r="A27" s="227" t="s">
        <v>484</v>
      </c>
      <c r="B27" s="227"/>
      <c r="C27" s="227"/>
      <c r="G27" s="232"/>
      <c r="H27" s="220"/>
      <c r="L27" s="6"/>
      <c r="N27" s="21"/>
      <c r="O27" s="21"/>
    </row>
    <row r="28" spans="1:15" s="202" customFormat="1" ht="33.75" customHeight="1">
      <c r="A28" s="654" t="s">
        <v>61</v>
      </c>
      <c r="B28" s="630" t="s">
        <v>461</v>
      </c>
      <c r="C28" s="630" t="str">
        <f>"Кредит ва лизинг бўйича эҳтимолий йўқотишларга қарши захиралар"&amp;" "&amp;DAY(G3)&amp;"."&amp;IF(LEN(MONTH(G3))&lt;2,"0"&amp;MONTH(G3),MONTH(G3))&amp;"."&amp;YEAR(G3)-1&amp;"г"</f>
        <v>Кредит ва лизинг бўйича эҳтимолий йўқотишларга қарши захиралар 29.12.2022г</v>
      </c>
      <c r="D28" s="634" t="s">
        <v>480</v>
      </c>
      <c r="E28" s="650"/>
      <c r="F28" s="650"/>
      <c r="G28" s="635"/>
      <c r="H28" s="630" t="s">
        <v>483</v>
      </c>
      <c r="I28" s="630" t="str">
        <f>"Кредит ва лизинг бўйича эҳтимолий йўқотишларга қарши захиралар"&amp;" "&amp;DAY(G3)&amp;"."&amp;IF(LEN(MONTH(G3))&lt;2,"0"&amp;MONTH(G3),MONTH(G3))&amp;"."&amp;YEAR(G3)&amp;"г"</f>
        <v>Кредит ва лизинг бўйича эҳтимолий йўқотишларга қарши захиралар 29.12.2023г</v>
      </c>
      <c r="L28" s="6"/>
    </row>
    <row r="29" spans="1:15" s="202" customFormat="1" ht="28.5" customHeight="1">
      <c r="A29" s="655"/>
      <c r="B29" s="631"/>
      <c r="C29" s="631"/>
      <c r="D29" s="634" t="s">
        <v>481</v>
      </c>
      <c r="E29" s="635"/>
      <c r="F29" s="634" t="s">
        <v>482</v>
      </c>
      <c r="G29" s="635"/>
      <c r="H29" s="631"/>
      <c r="I29" s="631"/>
      <c r="L29" s="6"/>
    </row>
    <row r="30" spans="1:15" s="202" customFormat="1" ht="37.5" customHeight="1">
      <c r="A30" s="656"/>
      <c r="B30" s="632"/>
      <c r="C30" s="632"/>
      <c r="D30" s="237" t="s">
        <v>234</v>
      </c>
      <c r="E30" s="237" t="s">
        <v>466</v>
      </c>
      <c r="F30" s="237" t="s">
        <v>234</v>
      </c>
      <c r="G30" s="237" t="s">
        <v>466</v>
      </c>
      <c r="H30" s="632"/>
      <c r="I30" s="632"/>
      <c r="L30" s="6"/>
    </row>
    <row r="31" spans="1:15" ht="19.5" customHeight="1">
      <c r="A31" s="237"/>
      <c r="B31" s="237" t="s">
        <v>78</v>
      </c>
      <c r="C31" s="237" t="s">
        <v>79</v>
      </c>
      <c r="D31" s="237" t="s">
        <v>89</v>
      </c>
      <c r="E31" s="237" t="s">
        <v>80</v>
      </c>
      <c r="F31" s="237" t="s">
        <v>81</v>
      </c>
      <c r="G31" s="237" t="s">
        <v>90</v>
      </c>
      <c r="H31" s="237" t="s">
        <v>82</v>
      </c>
      <c r="I31" s="237" t="s">
        <v>83</v>
      </c>
    </row>
    <row r="32" spans="1:15" ht="19.5" customHeight="1">
      <c r="A32" s="237">
        <v>1</v>
      </c>
      <c r="B32" s="237" t="s">
        <v>467</v>
      </c>
      <c r="C32" s="237">
        <f>SUM(C34:C41)</f>
        <v>839064056</v>
      </c>
      <c r="D32" s="237">
        <f t="shared" ref="D32:H32" si="3">SUM(D34:D41)</f>
        <v>0</v>
      </c>
      <c r="E32" s="237">
        <f t="shared" si="3"/>
        <v>0</v>
      </c>
      <c r="F32" s="237">
        <f t="shared" si="3"/>
        <v>0</v>
      </c>
      <c r="G32" s="237">
        <f t="shared" si="3"/>
        <v>0</v>
      </c>
      <c r="H32" s="237">
        <f t="shared" si="3"/>
        <v>0</v>
      </c>
      <c r="I32" s="237">
        <f>SUM(I34:I41)</f>
        <v>1118314406</v>
      </c>
      <c r="L32" s="133">
        <f>+'Asset Classification'!Y31-'Asset Classification'!Y13</f>
        <v>1118314406</v>
      </c>
    </row>
    <row r="33" spans="1:12" ht="19.5" customHeight="1">
      <c r="A33" s="132"/>
      <c r="B33" s="348" t="s">
        <v>334</v>
      </c>
      <c r="C33" s="230"/>
      <c r="D33" s="231"/>
      <c r="E33" s="231"/>
      <c r="F33" s="231"/>
      <c r="G33" s="231"/>
      <c r="H33" s="231"/>
      <c r="I33" s="231"/>
    </row>
    <row r="34" spans="1:12" ht="28.5" customHeight="1">
      <c r="A34" s="349" t="s">
        <v>110</v>
      </c>
      <c r="B34" s="230" t="s">
        <v>468</v>
      </c>
      <c r="C34" s="238">
        <v>481517137</v>
      </c>
      <c r="D34" s="238"/>
      <c r="E34" s="238"/>
      <c r="F34" s="238"/>
      <c r="G34" s="238"/>
      <c r="H34" s="238"/>
      <c r="I34" s="498">
        <v>563080841</v>
      </c>
    </row>
    <row r="35" spans="1:12" ht="28.5" customHeight="1">
      <c r="A35" s="349" t="s">
        <v>111</v>
      </c>
      <c r="B35" s="230" t="s">
        <v>469</v>
      </c>
      <c r="C35" s="238">
        <v>115099221</v>
      </c>
      <c r="D35" s="238"/>
      <c r="E35" s="238"/>
      <c r="F35" s="238"/>
      <c r="G35" s="238"/>
      <c r="H35" s="238"/>
      <c r="I35" s="498">
        <v>221683005</v>
      </c>
    </row>
    <row r="36" spans="1:12" ht="28.5" customHeight="1">
      <c r="A36" s="349" t="s">
        <v>112</v>
      </c>
      <c r="B36" s="230" t="s">
        <v>470</v>
      </c>
      <c r="C36" s="238">
        <v>26934443</v>
      </c>
      <c r="D36" s="238"/>
      <c r="E36" s="238"/>
      <c r="F36" s="238"/>
      <c r="G36" s="238"/>
      <c r="H36" s="238"/>
      <c r="I36" s="498">
        <v>21350701</v>
      </c>
    </row>
    <row r="37" spans="1:12" ht="28.5" customHeight="1">
      <c r="A37" s="349" t="s">
        <v>116</v>
      </c>
      <c r="B37" s="230" t="s">
        <v>471</v>
      </c>
      <c r="C37" s="238">
        <v>59666503</v>
      </c>
      <c r="D37" s="238"/>
      <c r="E37" s="238"/>
      <c r="F37" s="238"/>
      <c r="G37" s="238"/>
      <c r="H37" s="238"/>
      <c r="I37" s="498">
        <v>41527130</v>
      </c>
    </row>
    <row r="38" spans="1:12" ht="28.5" customHeight="1">
      <c r="A38" s="349" t="s">
        <v>117</v>
      </c>
      <c r="B38" s="230" t="s">
        <v>472</v>
      </c>
      <c r="C38" s="238">
        <v>73823011</v>
      </c>
      <c r="D38" s="238"/>
      <c r="E38" s="238"/>
      <c r="F38" s="238"/>
      <c r="G38" s="238"/>
      <c r="H38" s="238"/>
      <c r="I38" s="498">
        <v>146728327</v>
      </c>
    </row>
    <row r="39" spans="1:12" ht="28.5" customHeight="1">
      <c r="A39" s="349" t="s">
        <v>146</v>
      </c>
      <c r="B39" s="230" t="s">
        <v>473</v>
      </c>
      <c r="C39" s="238">
        <v>1813507</v>
      </c>
      <c r="D39" s="238"/>
      <c r="E39" s="238"/>
      <c r="F39" s="238"/>
      <c r="G39" s="238"/>
      <c r="H39" s="238"/>
      <c r="I39" s="498">
        <v>6380778</v>
      </c>
    </row>
    <row r="40" spans="1:12" ht="28.5" customHeight="1">
      <c r="A40" s="349" t="s">
        <v>219</v>
      </c>
      <c r="B40" s="230" t="s">
        <v>474</v>
      </c>
      <c r="C40" s="238">
        <v>4191366</v>
      </c>
      <c r="D40" s="238"/>
      <c r="E40" s="238"/>
      <c r="F40" s="238"/>
      <c r="G40" s="238"/>
      <c r="H40" s="238"/>
      <c r="I40" s="498">
        <v>34531</v>
      </c>
    </row>
    <row r="41" spans="1:12" ht="28.5" customHeight="1">
      <c r="A41" s="349" t="s">
        <v>220</v>
      </c>
      <c r="B41" s="230" t="s">
        <v>475</v>
      </c>
      <c r="C41" s="238">
        <v>76018868</v>
      </c>
      <c r="D41" s="238"/>
      <c r="E41" s="238"/>
      <c r="F41" s="238"/>
      <c r="G41" s="238"/>
      <c r="H41" s="238"/>
      <c r="I41" s="498">
        <v>117529093</v>
      </c>
    </row>
    <row r="42" spans="1:12" ht="19.5" customHeight="1">
      <c r="A42" s="237">
        <v>2</v>
      </c>
      <c r="B42" s="237" t="s">
        <v>398</v>
      </c>
      <c r="C42" s="237">
        <f>SUM(C44:C48)</f>
        <v>29748683</v>
      </c>
      <c r="D42" s="237">
        <f t="shared" ref="D42:H42" si="4">SUM(D44:D48)</f>
        <v>0</v>
      </c>
      <c r="E42" s="237">
        <f t="shared" si="4"/>
        <v>0</v>
      </c>
      <c r="F42" s="237">
        <f t="shared" si="4"/>
        <v>0</v>
      </c>
      <c r="G42" s="237">
        <f t="shared" si="4"/>
        <v>0</v>
      </c>
      <c r="H42" s="237">
        <f t="shared" si="4"/>
        <v>0</v>
      </c>
      <c r="I42" s="237">
        <f>SUM(I44:I48)</f>
        <v>30514161</v>
      </c>
      <c r="L42" s="133">
        <f>+'Asset Classification'!Y13</f>
        <v>30514161</v>
      </c>
    </row>
    <row r="43" spans="1:12" ht="19.5" customHeight="1">
      <c r="A43" s="132"/>
      <c r="B43" s="348" t="s">
        <v>334</v>
      </c>
      <c r="C43" s="233"/>
      <c r="D43" s="90"/>
      <c r="E43" s="90"/>
      <c r="F43" s="90"/>
      <c r="G43" s="90"/>
      <c r="H43" s="90"/>
      <c r="I43" s="90"/>
    </row>
    <row r="44" spans="1:12" ht="28.5" customHeight="1">
      <c r="A44" s="349" t="s">
        <v>123</v>
      </c>
      <c r="B44" s="230" t="s">
        <v>476</v>
      </c>
      <c r="C44" s="238">
        <v>25310573</v>
      </c>
      <c r="D44" s="238"/>
      <c r="E44" s="238"/>
      <c r="F44" s="238"/>
      <c r="G44" s="238"/>
      <c r="H44" s="238"/>
      <c r="I44" s="238">
        <v>22209963</v>
      </c>
    </row>
    <row r="45" spans="1:12" ht="28.5" customHeight="1">
      <c r="A45" s="349" t="s">
        <v>124</v>
      </c>
      <c r="B45" s="230" t="s">
        <v>174</v>
      </c>
      <c r="C45" s="238">
        <v>1103335</v>
      </c>
      <c r="D45" s="238"/>
      <c r="E45" s="238"/>
      <c r="F45" s="238"/>
      <c r="G45" s="238"/>
      <c r="H45" s="238"/>
      <c r="I45" s="238">
        <v>1166894</v>
      </c>
    </row>
    <row r="46" spans="1:12" ht="28.5" customHeight="1">
      <c r="A46" s="349" t="s">
        <v>126</v>
      </c>
      <c r="B46" s="230" t="s">
        <v>477</v>
      </c>
      <c r="C46" s="238">
        <v>1703060</v>
      </c>
      <c r="D46" s="238"/>
      <c r="E46" s="238"/>
      <c r="F46" s="238"/>
      <c r="G46" s="238"/>
      <c r="H46" s="238"/>
      <c r="I46" s="238">
        <v>7051430</v>
      </c>
    </row>
    <row r="47" spans="1:12" ht="28.5" customHeight="1">
      <c r="A47" s="349" t="s">
        <v>128</v>
      </c>
      <c r="B47" s="230" t="s">
        <v>478</v>
      </c>
      <c r="C47" s="238">
        <v>918436</v>
      </c>
      <c r="D47" s="238"/>
      <c r="E47" s="238"/>
      <c r="F47" s="238"/>
      <c r="G47" s="238"/>
      <c r="H47" s="238"/>
      <c r="I47" s="238">
        <v>52900</v>
      </c>
    </row>
    <row r="48" spans="1:12" ht="28.5" customHeight="1">
      <c r="A48" s="349" t="s">
        <v>175</v>
      </c>
      <c r="B48" s="230" t="s">
        <v>479</v>
      </c>
      <c r="C48" s="238">
        <v>713279</v>
      </c>
      <c r="D48" s="238"/>
      <c r="E48" s="238"/>
      <c r="F48" s="238"/>
      <c r="G48" s="238"/>
      <c r="H48" s="238"/>
      <c r="I48" s="238">
        <v>32974</v>
      </c>
    </row>
    <row r="49" spans="1:13" ht="19.5" customHeight="1">
      <c r="A49" s="237">
        <v>3</v>
      </c>
      <c r="B49" s="237" t="s">
        <v>234</v>
      </c>
      <c r="C49" s="237">
        <f>+C42+C32</f>
        <v>868812739</v>
      </c>
      <c r="D49" s="237">
        <f t="shared" ref="D49:H49" si="5">+D42+D32</f>
        <v>0</v>
      </c>
      <c r="E49" s="237">
        <f t="shared" si="5"/>
        <v>0</v>
      </c>
      <c r="F49" s="237">
        <f t="shared" si="5"/>
        <v>0</v>
      </c>
      <c r="G49" s="237">
        <f t="shared" si="5"/>
        <v>0</v>
      </c>
      <c r="H49" s="237">
        <f t="shared" si="5"/>
        <v>0</v>
      </c>
      <c r="I49" s="237">
        <f>+I42+I32</f>
        <v>1148828567</v>
      </c>
      <c r="L49" s="133">
        <f>+'Asset Classification'!Y31</f>
        <v>1148828567</v>
      </c>
      <c r="M49" s="133">
        <f>+[8]Balance!$C$26</f>
        <v>1148828567</v>
      </c>
    </row>
    <row r="51" spans="1:13" s="30" customFormat="1" ht="18.75" customHeight="1">
      <c r="B51" s="201" t="s">
        <v>778</v>
      </c>
      <c r="F51" s="183"/>
      <c r="G51" s="183"/>
      <c r="H51" s="183"/>
      <c r="I51" s="183"/>
      <c r="J51" s="183"/>
      <c r="K51" s="183"/>
      <c r="L51" s="183"/>
      <c r="M51" s="183"/>
    </row>
    <row r="52" spans="1:13" s="30" customFormat="1" ht="11.25" customHeight="1">
      <c r="B52" s="201"/>
      <c r="F52" s="183"/>
      <c r="G52" s="183"/>
      <c r="H52" s="183"/>
      <c r="I52" s="183"/>
      <c r="J52" s="183"/>
      <c r="K52" s="183"/>
      <c r="L52" s="183"/>
      <c r="M52" s="183"/>
    </row>
    <row r="53" spans="1:13" s="30" customFormat="1" ht="18.75" customHeight="1">
      <c r="B53" s="201" t="s">
        <v>779</v>
      </c>
      <c r="F53" s="183"/>
      <c r="G53" s="183"/>
      <c r="H53" s="183"/>
      <c r="I53" s="183"/>
      <c r="J53" s="183"/>
      <c r="K53" s="183"/>
      <c r="L53" s="183"/>
      <c r="M53" s="183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5" type="noConversion"/>
  <conditionalFormatting sqref="I32">
    <cfRule type="cellIs" dxfId="80" priority="2" operator="notEqual">
      <formula>$L$32</formula>
    </cfRule>
  </conditionalFormatting>
  <conditionalFormatting sqref="I42">
    <cfRule type="cellIs" dxfId="79" priority="3" operator="notEqual">
      <formula>$L$42</formula>
    </cfRule>
  </conditionalFormatting>
  <conditionalFormatting sqref="I49">
    <cfRule type="cellIs" dxfId="78" priority="1" operator="notEqual">
      <formula>$M$49</formula>
    </cfRule>
    <cfRule type="cellIs" dxfId="77" priority="4" operator="notEqual">
      <formula>$L$49</formula>
    </cfRule>
  </conditionalFormatting>
  <conditionalFormatting sqref="J8">
    <cfRule type="cellIs" dxfId="76" priority="5" operator="notEqual">
      <formula>$L$8</formula>
    </cfRule>
  </conditionalFormatting>
  <conditionalFormatting sqref="J18">
    <cfRule type="cellIs" dxfId="75" priority="6" operator="notEqual">
      <formula>$L$18</formula>
    </cfRule>
  </conditionalFormatting>
  <conditionalFormatting sqref="J25">
    <cfRule type="cellIs" dxfId="74" priority="7" operator="notEqual">
      <formula>$L$25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  <ignoredErrors>
    <ignoredError sqref="H42:H43 J18:J19 H18:I19 H49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topLeftCell="A4" zoomScale="75" zoomScaleNormal="75" zoomScaleSheetLayoutView="75" workbookViewId="0">
      <pane xSplit="2" ySplit="3" topLeftCell="C7" activePane="bottomRight" state="frozen"/>
      <selection activeCell="J47" sqref="J47"/>
      <selection pane="topRight" activeCell="J47" sqref="J47"/>
      <selection pane="bottomLeft" activeCell="J47" sqref="J47"/>
      <selection pane="bottomRight" activeCell="F14" sqref="F14"/>
    </sheetView>
  </sheetViews>
  <sheetFormatPr defaultRowHeight="15.75"/>
  <cols>
    <col min="1" max="1" width="10.140625" style="65" customWidth="1"/>
    <col min="2" max="2" width="49.140625" style="65" customWidth="1"/>
    <col min="3" max="3" width="19.140625" style="65" customWidth="1"/>
    <col min="4" max="4" width="13.85546875" style="98" customWidth="1"/>
    <col min="5" max="5" width="19.140625" style="65" customWidth="1"/>
    <col min="6" max="6" width="13.85546875" style="65" customWidth="1"/>
    <col min="7" max="7" width="19.140625" style="65" customWidth="1"/>
    <col min="8" max="8" width="13.85546875" style="65" customWidth="1"/>
    <col min="9" max="9" width="9.140625" style="65"/>
    <col min="10" max="12" width="16.85546875" style="65" customWidth="1"/>
    <col min="13" max="16384" width="9.140625" style="65"/>
  </cols>
  <sheetData>
    <row r="1" spans="1:12" s="67" customFormat="1" ht="37.5" customHeight="1">
      <c r="A1" s="657" t="s">
        <v>486</v>
      </c>
      <c r="B1" s="657"/>
      <c r="C1" s="657"/>
      <c r="D1" s="657"/>
      <c r="E1" s="657"/>
      <c r="F1" s="657"/>
      <c r="G1" s="657"/>
      <c r="H1" s="16" t="s">
        <v>485</v>
      </c>
    </row>
    <row r="2" spans="1:12" ht="19.5" customHeight="1">
      <c r="B2" s="658"/>
      <c r="C2" s="658"/>
      <c r="D2" s="658"/>
      <c r="E2" s="658"/>
      <c r="F2" s="658"/>
      <c r="G2" s="658"/>
      <c r="H2" s="658"/>
    </row>
    <row r="3" spans="1:12" ht="19.5" customHeight="1">
      <c r="B3" s="84" t="str">
        <f>+'Asset quality'!B3</f>
        <v>"Ўзсаноатқурилишибанк" АТБ</v>
      </c>
      <c r="C3" s="350"/>
      <c r="D3" s="351"/>
      <c r="F3" s="666">
        <f>+'Asset quality'!Q3</f>
        <v>45289</v>
      </c>
      <c r="G3" s="666"/>
      <c r="H3" s="352" t="str">
        <f>+'Asset quality'!T3</f>
        <v>минг. сўмда</v>
      </c>
    </row>
    <row r="4" spans="1:12" s="66" customFormat="1" ht="29.25" customHeight="1">
      <c r="A4" s="654" t="s">
        <v>61</v>
      </c>
      <c r="B4" s="654" t="s">
        <v>487</v>
      </c>
      <c r="C4" s="659" t="s">
        <v>488</v>
      </c>
      <c r="D4" s="660"/>
      <c r="E4" s="663" t="s">
        <v>489</v>
      </c>
      <c r="F4" s="664"/>
      <c r="G4" s="664"/>
      <c r="H4" s="665"/>
    </row>
    <row r="5" spans="1:12" s="66" customFormat="1" ht="30" customHeight="1">
      <c r="A5" s="655"/>
      <c r="B5" s="655"/>
      <c r="C5" s="661"/>
      <c r="D5" s="662"/>
      <c r="E5" s="663" t="s">
        <v>285</v>
      </c>
      <c r="F5" s="665"/>
      <c r="G5" s="663" t="s">
        <v>490</v>
      </c>
      <c r="H5" s="665"/>
    </row>
    <row r="6" spans="1:12" s="66" customFormat="1" ht="72.75" customHeight="1">
      <c r="A6" s="655"/>
      <c r="B6" s="656"/>
      <c r="C6" s="353" t="s">
        <v>491</v>
      </c>
      <c r="D6" s="353" t="s">
        <v>492</v>
      </c>
      <c r="E6" s="353" t="s">
        <v>491</v>
      </c>
      <c r="F6" s="353" t="s">
        <v>492</v>
      </c>
      <c r="G6" s="353" t="s">
        <v>491</v>
      </c>
      <c r="H6" s="353" t="s">
        <v>492</v>
      </c>
    </row>
    <row r="7" spans="1:12" s="66" customFormat="1">
      <c r="A7" s="656"/>
      <c r="B7" s="353" t="s">
        <v>78</v>
      </c>
      <c r="C7" s="353" t="s">
        <v>79</v>
      </c>
      <c r="D7" s="353" t="s">
        <v>89</v>
      </c>
      <c r="E7" s="353" t="s">
        <v>80</v>
      </c>
      <c r="F7" s="353" t="s">
        <v>81</v>
      </c>
      <c r="G7" s="353" t="s">
        <v>90</v>
      </c>
      <c r="H7" s="353" t="s">
        <v>82</v>
      </c>
    </row>
    <row r="8" spans="1:12" s="66" customFormat="1" ht="24" customHeight="1">
      <c r="A8" s="354">
        <v>1</v>
      </c>
      <c r="B8" s="355" t="s">
        <v>493</v>
      </c>
      <c r="C8" s="147">
        <f>SUM(C10:C16)</f>
        <v>2351580797</v>
      </c>
      <c r="D8" s="356">
        <f>IFERROR(((C10*D10)/C8)+((C11*D11)/C8)+((C12*D12)/C8)+((C13*D13)/C8)+((C14*D14)/C8)+((C15*D15)/C8)+((C16*D16)/C8),0)</f>
        <v>9.5918090813163853E-2</v>
      </c>
      <c r="E8" s="147">
        <f>SUM(E10:E16)</f>
        <v>2351580797</v>
      </c>
      <c r="F8" s="356">
        <f>IFERROR(((E10*F10)/E8)+((E11*F11)/E8)+((E12*F12)/E8)+((E13*F13)/E8)+((E14*F14)/E8)+((E15*F15)/E8)+((E16*F16)/E8),0)</f>
        <v>9.5918090813163853E-2</v>
      </c>
      <c r="G8" s="147">
        <f>SUM(G10:G16)</f>
        <v>0</v>
      </c>
      <c r="H8" s="356">
        <f>IFERROR(((G10*H10)/G8)+((G11*H11)/G8)+((G12*H12)/G8)+((G13*H13)/G8)+((G14*H14)/G8)+((G15*H15)/G8)+((G16*H16)/G8),0)</f>
        <v>0</v>
      </c>
      <c r="J8" s="447">
        <f>+C8+C18+C28+C37</f>
        <v>57124403912</v>
      </c>
      <c r="K8" s="447">
        <f>+E8+E18+E28+E37</f>
        <v>19111443270</v>
      </c>
      <c r="L8" s="447">
        <f>+G8+G18+G28+G37</f>
        <v>38012960642</v>
      </c>
    </row>
    <row r="9" spans="1:12" s="66" customFormat="1" ht="17.25" customHeight="1">
      <c r="A9" s="354"/>
      <c r="B9" s="357" t="s">
        <v>494</v>
      </c>
      <c r="C9" s="145"/>
      <c r="D9" s="91"/>
      <c r="E9" s="145"/>
      <c r="F9" s="91"/>
      <c r="G9" s="145"/>
      <c r="H9" s="91"/>
      <c r="J9" s="447">
        <f>+'loans type'!C8</f>
        <v>57124403912</v>
      </c>
      <c r="K9" s="447">
        <f>+'loans type'!E8</f>
        <v>19111443270</v>
      </c>
      <c r="L9" s="447">
        <f>+'loans type'!G8</f>
        <v>38012960642</v>
      </c>
    </row>
    <row r="10" spans="1:12" s="66" customFormat="1" ht="24" customHeight="1">
      <c r="A10" s="349" t="s">
        <v>110</v>
      </c>
      <c r="B10" s="358" t="s">
        <v>476</v>
      </c>
      <c r="C10" s="145">
        <f>+E10+G10</f>
        <v>2072403267</v>
      </c>
      <c r="D10" s="495">
        <f>IFERROR((((E10*F10)+(G10*H10))/C10),0)</f>
        <v>8.9611981435807925E-2</v>
      </c>
      <c r="E10" s="146">
        <v>2072403267</v>
      </c>
      <c r="F10" s="359">
        <v>8.9611981435807925E-2</v>
      </c>
      <c r="G10" s="146">
        <v>0</v>
      </c>
      <c r="H10" s="359">
        <v>0</v>
      </c>
      <c r="J10" s="447">
        <f>+J8-J9</f>
        <v>0</v>
      </c>
      <c r="K10" s="447">
        <f t="shared" ref="K10:L10" si="0">+K8-K9</f>
        <v>0</v>
      </c>
      <c r="L10" s="447">
        <f t="shared" si="0"/>
        <v>0</v>
      </c>
    </row>
    <row r="11" spans="1:12" s="66" customFormat="1" ht="24" customHeight="1">
      <c r="A11" s="349" t="s">
        <v>111</v>
      </c>
      <c r="B11" s="358" t="s">
        <v>174</v>
      </c>
      <c r="C11" s="145">
        <f t="shared" ref="C11:C16" si="1">+E11+G11</f>
        <v>61478035</v>
      </c>
      <c r="D11" s="495">
        <f t="shared" ref="D11:D16" si="2">IFERROR((((E11*F11)+(G11*H11))/C11),0)</f>
        <v>0.15062566029797947</v>
      </c>
      <c r="E11" s="146">
        <v>61478035</v>
      </c>
      <c r="F11" s="359">
        <v>0.15062566029797947</v>
      </c>
      <c r="G11" s="146">
        <v>0</v>
      </c>
      <c r="H11" s="359">
        <v>0</v>
      </c>
    </row>
    <row r="12" spans="1:12" s="66" customFormat="1" ht="24" customHeight="1">
      <c r="A12" s="349" t="s">
        <v>112</v>
      </c>
      <c r="B12" s="358" t="s">
        <v>495</v>
      </c>
      <c r="C12" s="145">
        <f t="shared" si="1"/>
        <v>8462250</v>
      </c>
      <c r="D12" s="495">
        <f t="shared" si="2"/>
        <v>0.14848315050798544</v>
      </c>
      <c r="E12" s="146">
        <v>8462250</v>
      </c>
      <c r="F12" s="359">
        <v>0.14848315050798544</v>
      </c>
      <c r="G12" s="146">
        <v>0</v>
      </c>
      <c r="H12" s="359">
        <v>0</v>
      </c>
    </row>
    <row r="13" spans="1:12" s="66" customFormat="1" ht="24" customHeight="1">
      <c r="A13" s="349" t="s">
        <v>116</v>
      </c>
      <c r="B13" s="358" t="s">
        <v>478</v>
      </c>
      <c r="C13" s="145">
        <f t="shared" si="1"/>
        <v>561024</v>
      </c>
      <c r="D13" s="495">
        <f t="shared" si="2"/>
        <v>0.11528272108893754</v>
      </c>
      <c r="E13" s="146">
        <v>561024</v>
      </c>
      <c r="F13" s="359">
        <v>0.11528272108893754</v>
      </c>
      <c r="G13" s="146">
        <v>0</v>
      </c>
      <c r="H13" s="359">
        <v>0</v>
      </c>
    </row>
    <row r="14" spans="1:12" s="66" customFormat="1" ht="24" customHeight="1">
      <c r="A14" s="349" t="s">
        <v>117</v>
      </c>
      <c r="B14" s="358" t="s">
        <v>522</v>
      </c>
      <c r="C14" s="145">
        <f t="shared" si="1"/>
        <v>208555464</v>
      </c>
      <c r="D14" s="495">
        <f t="shared" si="2"/>
        <v>0.14027908322595858</v>
      </c>
      <c r="E14" s="146">
        <v>208555464</v>
      </c>
      <c r="F14" s="359">
        <v>0.14027908322595858</v>
      </c>
      <c r="G14" s="146">
        <v>0</v>
      </c>
      <c r="H14" s="359">
        <v>0</v>
      </c>
    </row>
    <row r="15" spans="1:12" s="66" customFormat="1" ht="33.75" customHeight="1">
      <c r="A15" s="349" t="s">
        <v>146</v>
      </c>
      <c r="B15" s="358" t="s">
        <v>523</v>
      </c>
      <c r="C15" s="145">
        <f t="shared" si="1"/>
        <v>120757</v>
      </c>
      <c r="D15" s="495">
        <f t="shared" si="2"/>
        <v>7.9999752746424652E-2</v>
      </c>
      <c r="E15" s="146">
        <v>120757</v>
      </c>
      <c r="F15" s="359">
        <v>7.9999752746424652E-2</v>
      </c>
      <c r="G15" s="146">
        <v>0</v>
      </c>
      <c r="H15" s="359">
        <v>0</v>
      </c>
    </row>
    <row r="16" spans="1:12" s="66" customFormat="1" ht="24" customHeight="1">
      <c r="A16" s="349" t="s">
        <v>219</v>
      </c>
      <c r="B16" s="358" t="s">
        <v>479</v>
      </c>
      <c r="C16" s="145">
        <f t="shared" si="1"/>
        <v>0</v>
      </c>
      <c r="D16" s="495">
        <f t="shared" si="2"/>
        <v>0</v>
      </c>
      <c r="E16" s="146">
        <v>0</v>
      </c>
      <c r="F16" s="359">
        <v>0</v>
      </c>
      <c r="G16" s="146">
        <v>0</v>
      </c>
      <c r="H16" s="359">
        <v>0</v>
      </c>
    </row>
    <row r="17" spans="1:8" s="66" customFormat="1">
      <c r="A17" s="360"/>
      <c r="B17" s="361"/>
      <c r="C17" s="145"/>
      <c r="D17" s="99"/>
      <c r="E17" s="145"/>
      <c r="F17" s="99"/>
      <c r="G17" s="145"/>
      <c r="H17" s="99"/>
    </row>
    <row r="18" spans="1:8" s="66" customFormat="1" ht="24" customHeight="1">
      <c r="A18" s="360">
        <v>2</v>
      </c>
      <c r="B18" s="355" t="s">
        <v>496</v>
      </c>
      <c r="C18" s="147">
        <f>SUM(C20:C26)</f>
        <v>5462911989</v>
      </c>
      <c r="D18" s="356">
        <f>IFERROR(((C20*D20)/C18)+((C21*D21)/C18)+((C22*D22)/C18)+((C23*D23)/C18)+((C24*D24)/C18)+((C25*D25)/C18)+((C26*D26)/C18),0)</f>
        <v>0.23023669241905326</v>
      </c>
      <c r="E18" s="147">
        <f>SUM(E20:E26)</f>
        <v>5462911989</v>
      </c>
      <c r="F18" s="356">
        <f>IFERROR(((E20*F20)/E18)+((E21*F21)/E18)+((E22*F22)/E18)+((E23*F23)/E18)+((E24*F24)/E18)+((E25*F25)/E18)+((E26*F26)/E18),0)</f>
        <v>0.23023669241905326</v>
      </c>
      <c r="G18" s="147">
        <f>SUM(G20:G26)</f>
        <v>0</v>
      </c>
      <c r="H18" s="356">
        <f>IFERROR(((G20*H20)/G18)+((G21*H21)/G18)+((G22*H22)/G18)+((G23*H23)/G18)+((G24*H24)/G18)+((G25*H25)/G18)+((G26*H26)/G18),0)</f>
        <v>0</v>
      </c>
    </row>
    <row r="19" spans="1:8" s="66" customFormat="1" ht="17.25" customHeight="1">
      <c r="A19" s="360"/>
      <c r="B19" s="357" t="s">
        <v>494</v>
      </c>
      <c r="C19" s="145"/>
      <c r="D19" s="91"/>
      <c r="E19" s="145"/>
      <c r="F19" s="91"/>
      <c r="G19" s="145"/>
      <c r="H19" s="91"/>
    </row>
    <row r="20" spans="1:8" s="66" customFormat="1" ht="24" customHeight="1">
      <c r="A20" s="349" t="s">
        <v>123</v>
      </c>
      <c r="B20" s="358" t="s">
        <v>476</v>
      </c>
      <c r="C20" s="145">
        <f t="shared" ref="C20:C26" si="3">+E20+G20</f>
        <v>3076760951</v>
      </c>
      <c r="D20" s="495">
        <f>IFERROR((((E20*F20)+(G20*H20))/C20),0)</f>
        <v>0.18976249592639258</v>
      </c>
      <c r="E20" s="146">
        <v>3076760951</v>
      </c>
      <c r="F20" s="359">
        <v>0.18976249592639258</v>
      </c>
      <c r="G20" s="146">
        <v>0</v>
      </c>
      <c r="H20" s="359">
        <v>0</v>
      </c>
    </row>
    <row r="21" spans="1:8" s="66" customFormat="1" ht="24" customHeight="1">
      <c r="A21" s="349" t="s">
        <v>124</v>
      </c>
      <c r="B21" s="358" t="s">
        <v>174</v>
      </c>
      <c r="C21" s="145">
        <f t="shared" si="3"/>
        <v>590670332</v>
      </c>
      <c r="D21" s="495">
        <f t="shared" ref="D21:D26" si="4">IFERROR((((E21*F21)+(G21*H21))/C21),0)</f>
        <v>0.23837410677448198</v>
      </c>
      <c r="E21" s="146">
        <v>590670332</v>
      </c>
      <c r="F21" s="359">
        <v>0.23837410677448198</v>
      </c>
      <c r="G21" s="146">
        <v>0</v>
      </c>
      <c r="H21" s="359">
        <v>0</v>
      </c>
    </row>
    <row r="22" spans="1:8" s="66" customFormat="1" ht="24" customHeight="1">
      <c r="A22" s="349" t="s">
        <v>126</v>
      </c>
      <c r="B22" s="358" t="s">
        <v>495</v>
      </c>
      <c r="C22" s="145">
        <f t="shared" si="3"/>
        <v>1780892231</v>
      </c>
      <c r="D22" s="495">
        <f t="shared" si="4"/>
        <v>0.29749929329570474</v>
      </c>
      <c r="E22" s="146">
        <v>1780892231</v>
      </c>
      <c r="F22" s="359">
        <v>0.29749929329570474</v>
      </c>
      <c r="G22" s="146">
        <v>0</v>
      </c>
      <c r="H22" s="359">
        <v>0</v>
      </c>
    </row>
    <row r="23" spans="1:8" s="66" customFormat="1" ht="24" customHeight="1">
      <c r="A23" s="349" t="s">
        <v>128</v>
      </c>
      <c r="B23" s="358" t="s">
        <v>478</v>
      </c>
      <c r="C23" s="145">
        <f t="shared" si="3"/>
        <v>13350527</v>
      </c>
      <c r="D23" s="495">
        <f t="shared" si="4"/>
        <v>0.23206046186865151</v>
      </c>
      <c r="E23" s="146">
        <v>13350527</v>
      </c>
      <c r="F23" s="359">
        <v>0.23206046186865151</v>
      </c>
      <c r="G23" s="146">
        <v>0</v>
      </c>
      <c r="H23" s="359">
        <v>0</v>
      </c>
    </row>
    <row r="24" spans="1:8" s="66" customFormat="1" ht="24" customHeight="1">
      <c r="A24" s="349" t="s">
        <v>175</v>
      </c>
      <c r="B24" s="358" t="s">
        <v>522</v>
      </c>
      <c r="C24" s="145">
        <f t="shared" si="3"/>
        <v>1237948</v>
      </c>
      <c r="D24" s="495">
        <f t="shared" si="4"/>
        <v>0.15842950133818229</v>
      </c>
      <c r="E24" s="146">
        <v>1237948</v>
      </c>
      <c r="F24" s="359">
        <v>0.15842950133818229</v>
      </c>
      <c r="G24" s="146">
        <v>0</v>
      </c>
      <c r="H24" s="359">
        <v>0</v>
      </c>
    </row>
    <row r="25" spans="1:8" s="66" customFormat="1" ht="33.75" customHeight="1">
      <c r="A25" s="349" t="s">
        <v>781</v>
      </c>
      <c r="B25" s="358" t="s">
        <v>523</v>
      </c>
      <c r="C25" s="145">
        <f t="shared" si="3"/>
        <v>0</v>
      </c>
      <c r="D25" s="495">
        <f t="shared" si="4"/>
        <v>0</v>
      </c>
      <c r="E25" s="146">
        <v>0</v>
      </c>
      <c r="F25" s="359">
        <v>0</v>
      </c>
      <c r="G25" s="146">
        <v>0</v>
      </c>
      <c r="H25" s="359">
        <v>0</v>
      </c>
    </row>
    <row r="26" spans="1:8" s="66" customFormat="1" ht="24" customHeight="1">
      <c r="A26" s="349" t="s">
        <v>782</v>
      </c>
      <c r="B26" s="358" t="s">
        <v>479</v>
      </c>
      <c r="C26" s="145">
        <f t="shared" si="3"/>
        <v>0</v>
      </c>
      <c r="D26" s="495">
        <f t="shared" si="4"/>
        <v>0</v>
      </c>
      <c r="E26" s="146">
        <v>0</v>
      </c>
      <c r="F26" s="359">
        <v>0</v>
      </c>
      <c r="G26" s="146">
        <v>0</v>
      </c>
      <c r="H26" s="359">
        <v>0</v>
      </c>
    </row>
    <row r="27" spans="1:8" s="66" customFormat="1">
      <c r="A27" s="360"/>
      <c r="B27" s="361"/>
      <c r="C27" s="145"/>
      <c r="D27" s="99"/>
      <c r="E27" s="145"/>
      <c r="F27" s="99"/>
      <c r="G27" s="145"/>
      <c r="H27" s="99"/>
    </row>
    <row r="28" spans="1:8" s="66" customFormat="1" ht="36.75" customHeight="1">
      <c r="A28" s="360">
        <v>3</v>
      </c>
      <c r="B28" s="355" t="s">
        <v>497</v>
      </c>
      <c r="C28" s="147">
        <f>SUM(C30:C35)</f>
        <v>9113080416</v>
      </c>
      <c r="D28" s="356">
        <f>IFERROR(((C30*D30)/C28)+((C31*D31)/C28)+((C32*D32)/C28)+((C33*D33)/C28)+((C34*D34)/C28)+((C35*D35)/C28),0)</f>
        <v>5.5885653842587341E-2</v>
      </c>
      <c r="E28" s="147">
        <f>SUM(E30:E35)</f>
        <v>459243736</v>
      </c>
      <c r="F28" s="356">
        <f>IFERROR(((E30*F30)/E28)+((E31*F31)/E28)+((E32*F32)/E28)+((E33*F33)/E28)+((E34*F34)/E28)+((E35*F35)/E28),0)</f>
        <v>0.11176138069298001</v>
      </c>
      <c r="G28" s="147">
        <f>SUM(G30:G35)</f>
        <v>8653836680</v>
      </c>
      <c r="H28" s="356">
        <f>IFERROR(((G30*H30)/G28)+((G31*H31)/G28)+((G32*H32)/G28)+((G33*H33)/G28)+((G34*H34)/G28)+((G35*H35)/G28),0)</f>
        <v>5.2920428301666947E-2</v>
      </c>
    </row>
    <row r="29" spans="1:8" s="66" customFormat="1">
      <c r="A29" s="360"/>
      <c r="B29" s="357" t="s">
        <v>494</v>
      </c>
      <c r="C29" s="145"/>
      <c r="D29" s="99"/>
      <c r="E29" s="145"/>
      <c r="F29" s="99"/>
      <c r="G29" s="145"/>
      <c r="H29" s="99"/>
    </row>
    <row r="30" spans="1:8" s="66" customFormat="1" ht="24" customHeight="1">
      <c r="A30" s="349" t="s">
        <v>131</v>
      </c>
      <c r="B30" s="361" t="s">
        <v>176</v>
      </c>
      <c r="C30" s="145">
        <f t="shared" ref="C30:C35" si="5">+E30+G30</f>
        <v>11004476</v>
      </c>
      <c r="D30" s="495">
        <f t="shared" ref="D30:D35" si="6">IFERROR((((E30*F30)+(G30*H30))/C30),0)</f>
        <v>7.4404831316224426E-2</v>
      </c>
      <c r="E30" s="146">
        <v>1490485</v>
      </c>
      <c r="F30" s="359">
        <v>9.8331039049705291E-2</v>
      </c>
      <c r="G30" s="146">
        <v>9513991</v>
      </c>
      <c r="H30" s="359">
        <v>7.0656493343901644E-2</v>
      </c>
    </row>
    <row r="31" spans="1:8" s="66" customFormat="1" ht="24" customHeight="1">
      <c r="A31" s="349" t="s">
        <v>132</v>
      </c>
      <c r="B31" s="361" t="s">
        <v>498</v>
      </c>
      <c r="C31" s="145">
        <f t="shared" si="5"/>
        <v>176212442</v>
      </c>
      <c r="D31" s="495">
        <f t="shared" si="6"/>
        <v>9.155142991625756E-2</v>
      </c>
      <c r="E31" s="146">
        <v>0</v>
      </c>
      <c r="F31" s="359">
        <v>0</v>
      </c>
      <c r="G31" s="146">
        <v>176212442</v>
      </c>
      <c r="H31" s="359">
        <v>9.155142991625756E-2</v>
      </c>
    </row>
    <row r="32" spans="1:8" s="66" customFormat="1" ht="24" customHeight="1">
      <c r="A32" s="349" t="s">
        <v>133</v>
      </c>
      <c r="B32" s="361" t="s">
        <v>177</v>
      </c>
      <c r="C32" s="145">
        <f t="shared" si="5"/>
        <v>0</v>
      </c>
      <c r="D32" s="495">
        <f t="shared" si="6"/>
        <v>0</v>
      </c>
      <c r="E32" s="146">
        <v>0</v>
      </c>
      <c r="F32" s="359">
        <v>0</v>
      </c>
      <c r="G32" s="146">
        <v>0</v>
      </c>
      <c r="H32" s="359">
        <v>0</v>
      </c>
    </row>
    <row r="33" spans="1:13" s="66" customFormat="1" ht="32.25" customHeight="1">
      <c r="A33" s="349" t="s">
        <v>134</v>
      </c>
      <c r="B33" s="361" t="s">
        <v>178</v>
      </c>
      <c r="C33" s="145">
        <f t="shared" si="5"/>
        <v>0</v>
      </c>
      <c r="D33" s="495">
        <f t="shared" si="6"/>
        <v>0</v>
      </c>
      <c r="E33" s="146">
        <v>0</v>
      </c>
      <c r="F33" s="359">
        <v>0</v>
      </c>
      <c r="G33" s="146">
        <v>0</v>
      </c>
      <c r="H33" s="359">
        <v>0</v>
      </c>
    </row>
    <row r="34" spans="1:13" s="66" customFormat="1" ht="32.25" customHeight="1">
      <c r="A34" s="349" t="s">
        <v>136</v>
      </c>
      <c r="B34" s="361" t="s">
        <v>499</v>
      </c>
      <c r="C34" s="145">
        <f t="shared" si="5"/>
        <v>0</v>
      </c>
      <c r="D34" s="495">
        <f t="shared" si="6"/>
        <v>0</v>
      </c>
      <c r="E34" s="146">
        <v>0</v>
      </c>
      <c r="F34" s="359">
        <v>0</v>
      </c>
      <c r="G34" s="146">
        <v>0</v>
      </c>
      <c r="H34" s="359">
        <v>0</v>
      </c>
    </row>
    <row r="35" spans="1:13" s="66" customFormat="1" ht="32.25" customHeight="1">
      <c r="A35" s="349" t="s">
        <v>137</v>
      </c>
      <c r="B35" s="358" t="s">
        <v>500</v>
      </c>
      <c r="C35" s="145">
        <f t="shared" si="5"/>
        <v>8925863498</v>
      </c>
      <c r="D35" s="495">
        <f t="shared" si="6"/>
        <v>5.5158716068637648E-2</v>
      </c>
      <c r="E35" s="146">
        <v>457753251</v>
      </c>
      <c r="F35" s="359">
        <v>0.11180511107112685</v>
      </c>
      <c r="G35" s="146">
        <v>8468110247</v>
      </c>
      <c r="H35" s="359">
        <v>5.2096631292520588E-2</v>
      </c>
    </row>
    <row r="36" spans="1:13" s="66" customFormat="1">
      <c r="A36" s="360"/>
      <c r="B36" s="361"/>
      <c r="C36" s="145"/>
      <c r="D36" s="495"/>
      <c r="E36" s="146"/>
      <c r="F36" s="359"/>
      <c r="G36" s="146"/>
      <c r="H36" s="359"/>
    </row>
    <row r="37" spans="1:13" s="66" customFormat="1" ht="36.75" customHeight="1">
      <c r="A37" s="360">
        <v>4</v>
      </c>
      <c r="B37" s="355" t="s">
        <v>501</v>
      </c>
      <c r="C37" s="147">
        <f>SUM(C39:C44)</f>
        <v>40196830710</v>
      </c>
      <c r="D37" s="356">
        <f>IFERROR(((C39*D39)/C37)+((C40*D40)/C37)+((C41*D41)/C37)+((C42*D42)/C37)+((C43*D43)/C37)+((C44*D44)/C37),0)</f>
        <v>0.12348211809615554</v>
      </c>
      <c r="E37" s="147">
        <f>SUM(E39:E44)</f>
        <v>10837706748</v>
      </c>
      <c r="F37" s="356">
        <f>IFERROR(((E39*F39)/E37)+((E40*F40)/E37)+((E41*F41)/E37)+((E42*F42)/E37)+((E43*F43)/E37)+((E44*F44)/E37),0)</f>
        <v>0.19376065792035219</v>
      </c>
      <c r="G37" s="147">
        <f>SUM(G39:G44)</f>
        <v>29359123962</v>
      </c>
      <c r="H37" s="356">
        <f>IFERROR(((G39*H39)/G37)+((G40*H40)/G37)+((G41*H41)/G37)+((G42*H42)/G37)+((G43*H43)/G37)+((G44*H44)/G37),0)</f>
        <v>9.7539307054582608E-2</v>
      </c>
    </row>
    <row r="38" spans="1:13" s="66" customFormat="1">
      <c r="A38" s="360"/>
      <c r="B38" s="357" t="s">
        <v>494</v>
      </c>
      <c r="C38" s="145"/>
      <c r="D38" s="99"/>
      <c r="E38" s="145"/>
      <c r="F38" s="99"/>
      <c r="G38" s="145"/>
      <c r="H38" s="99"/>
    </row>
    <row r="39" spans="1:13" s="66" customFormat="1" ht="24" customHeight="1">
      <c r="A39" s="349" t="s">
        <v>161</v>
      </c>
      <c r="B39" s="361" t="s">
        <v>176</v>
      </c>
      <c r="C39" s="145">
        <f t="shared" ref="C39:C44" si="7">+E39+G39</f>
        <v>671881758</v>
      </c>
      <c r="D39" s="495">
        <f t="shared" ref="D39:D44" si="8">IFERROR((((E39*F39)+(G39*H39))/C39),0)</f>
        <v>0.14420588205416132</v>
      </c>
      <c r="E39" s="146">
        <v>270451651</v>
      </c>
      <c r="F39" s="359">
        <v>0.18838234498272907</v>
      </c>
      <c r="G39" s="146">
        <v>401430107</v>
      </c>
      <c r="H39" s="359">
        <v>0.11444329791801068</v>
      </c>
    </row>
    <row r="40" spans="1:13" s="66" customFormat="1" ht="24" customHeight="1">
      <c r="A40" s="349" t="s">
        <v>162</v>
      </c>
      <c r="B40" s="361" t="s">
        <v>498</v>
      </c>
      <c r="C40" s="145">
        <f t="shared" si="7"/>
        <v>1334383045</v>
      </c>
      <c r="D40" s="495">
        <f t="shared" si="8"/>
        <v>8.7666733763553842E-2</v>
      </c>
      <c r="E40" s="146">
        <v>0</v>
      </c>
      <c r="F40" s="359">
        <v>0</v>
      </c>
      <c r="G40" s="146">
        <v>1334383045</v>
      </c>
      <c r="H40" s="359">
        <v>8.7666733763553842E-2</v>
      </c>
    </row>
    <row r="41" spans="1:13" s="66" customFormat="1" ht="24" customHeight="1">
      <c r="A41" s="349" t="s">
        <v>183</v>
      </c>
      <c r="B41" s="361" t="s">
        <v>177</v>
      </c>
      <c r="C41" s="145">
        <f t="shared" si="7"/>
        <v>401306653</v>
      </c>
      <c r="D41" s="495">
        <f t="shared" si="8"/>
        <v>6.056176485661053E-2</v>
      </c>
      <c r="E41" s="146">
        <v>1127200</v>
      </c>
      <c r="F41" s="359">
        <v>0.26</v>
      </c>
      <c r="G41" s="146">
        <v>400179453</v>
      </c>
      <c r="H41" s="359">
        <v>5.9999999935977218E-2</v>
      </c>
    </row>
    <row r="42" spans="1:13" s="66" customFormat="1" ht="32.25" customHeight="1">
      <c r="A42" s="349" t="s">
        <v>184</v>
      </c>
      <c r="B42" s="361" t="s">
        <v>178</v>
      </c>
      <c r="C42" s="145">
        <f t="shared" si="7"/>
        <v>98000001</v>
      </c>
      <c r="D42" s="495">
        <f t="shared" si="8"/>
        <v>0.11999999946122451</v>
      </c>
      <c r="E42" s="146">
        <v>98000001</v>
      </c>
      <c r="F42" s="359">
        <v>0.11999999946122451</v>
      </c>
      <c r="G42" s="146">
        <v>0</v>
      </c>
      <c r="H42" s="359">
        <v>0</v>
      </c>
    </row>
    <row r="43" spans="1:13" s="66" customFormat="1" ht="32.25" customHeight="1">
      <c r="A43" s="349" t="s">
        <v>185</v>
      </c>
      <c r="B43" s="361" t="s">
        <v>499</v>
      </c>
      <c r="C43" s="145">
        <f t="shared" si="7"/>
        <v>204175014</v>
      </c>
      <c r="D43" s="495">
        <f t="shared" si="8"/>
        <v>0.11024018237724828</v>
      </c>
      <c r="E43" s="146">
        <v>322800</v>
      </c>
      <c r="F43" s="359">
        <v>0.27140000336307313</v>
      </c>
      <c r="G43" s="146">
        <v>203852214</v>
      </c>
      <c r="H43" s="359">
        <v>0.10998498578559279</v>
      </c>
    </row>
    <row r="44" spans="1:13" s="66" customFormat="1" ht="32.25" customHeight="1">
      <c r="A44" s="349" t="s">
        <v>186</v>
      </c>
      <c r="B44" s="358" t="s">
        <v>500</v>
      </c>
      <c r="C44" s="145">
        <f t="shared" si="7"/>
        <v>37487084239</v>
      </c>
      <c r="D44" s="495">
        <f t="shared" si="8"/>
        <v>0.12514036387092478</v>
      </c>
      <c r="E44" s="146">
        <v>10467805096</v>
      </c>
      <c r="F44" s="359">
        <v>0.19458063796110672</v>
      </c>
      <c r="G44" s="146">
        <v>27019279143</v>
      </c>
      <c r="H44" s="359">
        <v>9.8237823239038208E-2</v>
      </c>
    </row>
    <row r="45" spans="1:13" s="15" customFormat="1" ht="22.5" customHeight="1">
      <c r="B45" s="240"/>
    </row>
    <row r="46" spans="1:13" s="30" customFormat="1" ht="20.25" customHeight="1">
      <c r="B46" s="28" t="s">
        <v>778</v>
      </c>
      <c r="F46" s="183"/>
      <c r="G46" s="183"/>
      <c r="H46" s="183"/>
      <c r="I46" s="183"/>
      <c r="J46" s="183"/>
      <c r="K46" s="183"/>
      <c r="L46" s="183"/>
      <c r="M46" s="183"/>
    </row>
    <row r="47" spans="1:13" s="30" customFormat="1" ht="11.25" customHeight="1">
      <c r="B47" s="28"/>
      <c r="F47" s="183"/>
      <c r="G47" s="183"/>
      <c r="H47" s="183"/>
      <c r="I47" s="183"/>
      <c r="J47" s="183"/>
      <c r="K47" s="183"/>
      <c r="L47" s="183"/>
      <c r="M47" s="183"/>
    </row>
    <row r="48" spans="1:13" s="30" customFormat="1" ht="20.25" customHeight="1">
      <c r="B48" s="28" t="s">
        <v>779</v>
      </c>
      <c r="F48" s="183"/>
      <c r="G48" s="183"/>
      <c r="H48" s="183"/>
      <c r="I48" s="183"/>
      <c r="J48" s="183"/>
      <c r="K48" s="183"/>
      <c r="L48" s="183"/>
      <c r="M48" s="183"/>
    </row>
    <row r="49" spans="1:10" s="6" customFormat="1">
      <c r="A49" s="23"/>
      <c r="B49" s="28"/>
      <c r="J49" s="23"/>
    </row>
    <row r="50" spans="1:10" s="6" customFormat="1">
      <c r="A50" s="23"/>
      <c r="B50" s="439"/>
      <c r="C50" s="440"/>
      <c r="D50" s="440"/>
      <c r="E50" s="440"/>
      <c r="F50" s="440"/>
      <c r="G50" s="440"/>
      <c r="J50" s="23"/>
    </row>
    <row r="51" spans="1:10">
      <c r="A51" s="77"/>
      <c r="B51" s="441" t="s">
        <v>77</v>
      </c>
      <c r="C51" s="442">
        <f>+C8+C18+C28+C37</f>
        <v>57124403912</v>
      </c>
      <c r="D51" s="442"/>
      <c r="E51" s="442">
        <f>+E8+E18+E28+E37</f>
        <v>19111443270</v>
      </c>
      <c r="F51" s="442"/>
      <c r="G51" s="442">
        <f>+G8+G18+G28+G37</f>
        <v>38012960642</v>
      </c>
    </row>
    <row r="52" spans="1:10">
      <c r="A52" s="77"/>
      <c r="B52" s="443"/>
      <c r="C52" s="442">
        <f>+C54+C58</f>
        <v>57124403912</v>
      </c>
      <c r="D52" s="442"/>
      <c r="E52" s="442">
        <f>+E9+E19+E29+E38</f>
        <v>0</v>
      </c>
      <c r="F52" s="442"/>
      <c r="G52" s="442">
        <f>+G54+G58</f>
        <v>38012960642</v>
      </c>
    </row>
    <row r="53" spans="1:10">
      <c r="A53" s="77"/>
      <c r="B53" s="441"/>
      <c r="C53" s="442"/>
      <c r="D53" s="442"/>
      <c r="E53" s="442"/>
      <c r="F53" s="442"/>
      <c r="G53" s="442"/>
    </row>
    <row r="54" spans="1:10">
      <c r="B54" s="441" t="s">
        <v>189</v>
      </c>
      <c r="C54" s="442">
        <f>+'Asset Classification'!C13</f>
        <v>7814492786</v>
      </c>
      <c r="D54" s="442"/>
      <c r="E54" s="442"/>
      <c r="F54" s="442"/>
      <c r="G54" s="442">
        <f>+'Asset Classification'!D13</f>
        <v>0</v>
      </c>
      <c r="H54" s="362"/>
    </row>
    <row r="55" spans="1:10">
      <c r="B55" s="441"/>
      <c r="C55" s="442">
        <f>C8+C18</f>
        <v>7814492786</v>
      </c>
      <c r="D55" s="442"/>
      <c r="E55" s="442"/>
      <c r="F55" s="442"/>
      <c r="G55" s="442">
        <f>G8+G18</f>
        <v>0</v>
      </c>
      <c r="H55" s="362"/>
    </row>
    <row r="56" spans="1:10">
      <c r="B56" s="441"/>
      <c r="C56" s="442">
        <f>+C54-C55</f>
        <v>0</v>
      </c>
      <c r="D56" s="442"/>
      <c r="E56" s="442"/>
      <c r="F56" s="442"/>
      <c r="G56" s="442">
        <f>+G54-G55</f>
        <v>0</v>
      </c>
      <c r="H56" s="362"/>
    </row>
    <row r="57" spans="1:10">
      <c r="B57" s="441"/>
      <c r="C57" s="444"/>
      <c r="D57" s="444"/>
      <c r="E57" s="444"/>
      <c r="F57" s="444"/>
      <c r="G57" s="444"/>
      <c r="H57" s="362"/>
    </row>
    <row r="58" spans="1:10">
      <c r="B58" s="441" t="s">
        <v>190</v>
      </c>
      <c r="C58" s="442">
        <f>+'Asset Classification'!C31-'Asset Classification'!C13</f>
        <v>49309911126</v>
      </c>
      <c r="D58" s="442"/>
      <c r="E58" s="442"/>
      <c r="F58" s="442"/>
      <c r="G58" s="442">
        <f>+'Asset Classification'!D31-'Asset Classification'!D13</f>
        <v>38012960642</v>
      </c>
      <c r="H58" s="362"/>
    </row>
    <row r="59" spans="1:10">
      <c r="B59" s="441"/>
      <c r="C59" s="442">
        <f>C28+C37</f>
        <v>49309911126</v>
      </c>
      <c r="D59" s="442"/>
      <c r="E59" s="442"/>
      <c r="F59" s="442"/>
      <c r="G59" s="442">
        <f>G28+G37</f>
        <v>38012960642</v>
      </c>
      <c r="H59" s="362"/>
    </row>
    <row r="60" spans="1:10">
      <c r="B60" s="441"/>
      <c r="C60" s="442">
        <f>+C58-C59</f>
        <v>0</v>
      </c>
      <c r="D60" s="442"/>
      <c r="E60" s="442"/>
      <c r="F60" s="442"/>
      <c r="G60" s="442">
        <f>+G58-G59</f>
        <v>0</v>
      </c>
      <c r="H60" s="362"/>
    </row>
    <row r="61" spans="1:10">
      <c r="B61" s="441"/>
      <c r="C61" s="445"/>
      <c r="D61" s="445"/>
      <c r="E61" s="445"/>
      <c r="F61" s="445"/>
      <c r="G61" s="445"/>
      <c r="H61" s="362"/>
    </row>
    <row r="62" spans="1:10">
      <c r="B62" s="441"/>
      <c r="C62" s="445"/>
      <c r="D62" s="445"/>
      <c r="E62" s="445"/>
      <c r="F62" s="445"/>
      <c r="G62" s="445"/>
      <c r="H62" s="362"/>
    </row>
    <row r="63" spans="1:10">
      <c r="B63" s="441"/>
      <c r="C63" s="443"/>
      <c r="D63" s="446"/>
      <c r="E63" s="443"/>
      <c r="F63" s="443"/>
      <c r="G63" s="443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8">
    <cfRule type="cellIs" dxfId="73" priority="39" operator="notEqual">
      <formula>$C$54-$C$8</formula>
    </cfRule>
  </conditionalFormatting>
  <conditionalFormatting sqref="C37">
    <cfRule type="cellIs" dxfId="72" priority="38" operator="notEqual">
      <formula>$C$58-$C$28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  <ignoredErrors>
    <ignoredError sqref="F3" unlockedFormula="1"/>
    <ignoredError sqref="D9 E28:H29 E9:J9 E17:J17 I10:J10 D17 I11:J16 I20:J22 D27 E38:H38 D37:D38 E45:H46 D45:D57 E8 G8 I8:J8 D19 E19:J19 E18 G18 I18:J18 D29 E37:G3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2" customWidth="1"/>
    <col min="2" max="2" width="105.140625" style="32" customWidth="1"/>
    <col min="3" max="3" width="19.7109375" style="57" customWidth="1"/>
    <col min="4" max="4" width="10.28515625" style="107" bestFit="1" customWidth="1"/>
    <col min="5" max="5" width="19.42578125" style="108" bestFit="1" customWidth="1"/>
    <col min="6" max="6" width="9.28515625" style="107" bestFit="1" customWidth="1"/>
    <col min="7" max="7" width="9.140625" style="107"/>
    <col min="8" max="8" width="17.42578125" style="107" bestFit="1" customWidth="1"/>
    <col min="9" max="16384" width="9.140625" style="32"/>
  </cols>
  <sheetData>
    <row r="1" spans="1:8" ht="23.25" customHeight="1">
      <c r="A1" s="667" t="s">
        <v>180</v>
      </c>
      <c r="B1" s="668"/>
      <c r="C1" s="31" t="s">
        <v>173</v>
      </c>
    </row>
    <row r="2" spans="1:8">
      <c r="A2" s="59"/>
      <c r="B2" s="59"/>
      <c r="C2" s="59"/>
    </row>
    <row r="3" spans="1:8" ht="15.75">
      <c r="A3" s="33"/>
      <c r="B3" s="81" t="e">
        <f>#REF!</f>
        <v>#REF!</v>
      </c>
      <c r="C3" s="80" t="e">
        <f>+#REF!</f>
        <v>#REF!</v>
      </c>
    </row>
    <row r="4" spans="1:8" s="34" customFormat="1" ht="43.5" customHeight="1">
      <c r="A4" s="101" t="s">
        <v>61</v>
      </c>
      <c r="B4" s="101" t="s">
        <v>35</v>
      </c>
      <c r="C4" s="101" t="s">
        <v>10</v>
      </c>
      <c r="D4" s="109"/>
      <c r="E4" s="110"/>
      <c r="F4" s="109"/>
      <c r="G4" s="109"/>
      <c r="H4" s="109"/>
    </row>
    <row r="5" spans="1:8" ht="12.75" customHeight="1">
      <c r="A5" s="47" t="s">
        <v>39</v>
      </c>
      <c r="B5" s="36" t="s">
        <v>106</v>
      </c>
      <c r="C5" s="37"/>
    </row>
    <row r="6" spans="1:8" ht="12.75" customHeight="1">
      <c r="A6" s="35">
        <v>1</v>
      </c>
      <c r="B6" s="36" t="s">
        <v>107</v>
      </c>
      <c r="C6" s="38"/>
    </row>
    <row r="7" spans="1:8" s="44" customFormat="1" ht="18" customHeight="1">
      <c r="A7" s="41" t="s">
        <v>110</v>
      </c>
      <c r="B7" s="42" t="s">
        <v>108</v>
      </c>
      <c r="C7" s="64" t="s">
        <v>96</v>
      </c>
      <c r="D7" s="111"/>
      <c r="E7" s="72"/>
      <c r="F7" s="111"/>
      <c r="G7" s="111"/>
      <c r="H7" s="111"/>
    </row>
    <row r="8" spans="1:8" s="34" customFormat="1" ht="18" customHeight="1">
      <c r="A8" s="46" t="s">
        <v>40</v>
      </c>
      <c r="B8" s="97" t="s">
        <v>41</v>
      </c>
      <c r="C8" s="60"/>
      <c r="D8" s="109"/>
      <c r="E8" s="110"/>
      <c r="F8" s="109"/>
      <c r="G8" s="109"/>
      <c r="H8" s="109"/>
    </row>
    <row r="9" spans="1:8" s="34" customFormat="1" ht="18" customHeight="1">
      <c r="A9" s="46" t="s">
        <v>42</v>
      </c>
      <c r="B9" s="97" t="s">
        <v>43</v>
      </c>
      <c r="C9" s="61"/>
      <c r="D9" s="109"/>
      <c r="E9" s="110"/>
      <c r="F9" s="109"/>
      <c r="G9" s="109"/>
      <c r="H9" s="109"/>
    </row>
    <row r="10" spans="1:8" s="44" customFormat="1" ht="18" customHeight="1">
      <c r="A10" s="41" t="s">
        <v>111</v>
      </c>
      <c r="B10" s="42" t="s">
        <v>109</v>
      </c>
      <c r="C10" s="69">
        <v>0</v>
      </c>
      <c r="D10" s="111"/>
      <c r="E10" s="72"/>
      <c r="F10" s="111"/>
      <c r="G10" s="111"/>
      <c r="H10" s="111"/>
    </row>
    <row r="11" spans="1:8" s="34" customFormat="1" ht="18" customHeight="1">
      <c r="A11" s="46" t="s">
        <v>112</v>
      </c>
      <c r="B11" s="97" t="s">
        <v>113</v>
      </c>
      <c r="C11" s="64" t="s">
        <v>96</v>
      </c>
      <c r="D11" s="109"/>
      <c r="E11" s="110"/>
      <c r="F11" s="109"/>
      <c r="G11" s="109"/>
      <c r="H11" s="109"/>
    </row>
    <row r="12" spans="1:8" s="34" customFormat="1" ht="18" customHeight="1">
      <c r="A12" s="46" t="s">
        <v>46</v>
      </c>
      <c r="B12" s="97" t="s">
        <v>49</v>
      </c>
      <c r="C12" s="71"/>
      <c r="D12" s="109"/>
      <c r="E12" s="110"/>
      <c r="F12" s="109"/>
      <c r="G12" s="109"/>
      <c r="H12" s="109"/>
    </row>
    <row r="13" spans="1:8" s="34" customFormat="1" ht="18" customHeight="1">
      <c r="A13" s="46" t="s">
        <v>42</v>
      </c>
      <c r="B13" s="97" t="s">
        <v>50</v>
      </c>
      <c r="C13" s="71"/>
      <c r="D13" s="109"/>
      <c r="E13" s="110"/>
      <c r="F13" s="109"/>
      <c r="G13" s="109"/>
      <c r="H13" s="109"/>
    </row>
    <row r="14" spans="1:8" s="44" customFormat="1" ht="18" customHeight="1">
      <c r="A14" s="52" t="s">
        <v>44</v>
      </c>
      <c r="B14" s="95" t="s">
        <v>114</v>
      </c>
      <c r="C14" s="68"/>
      <c r="D14" s="111"/>
      <c r="E14" s="72"/>
      <c r="F14" s="111"/>
      <c r="G14" s="111"/>
      <c r="H14" s="111"/>
    </row>
    <row r="15" spans="1:8" s="44" customFormat="1" ht="18" customHeight="1">
      <c r="A15" s="52" t="s">
        <v>51</v>
      </c>
      <c r="B15" s="95" t="s">
        <v>115</v>
      </c>
      <c r="C15" s="68"/>
      <c r="D15" s="111"/>
      <c r="E15" s="72"/>
      <c r="F15" s="111"/>
      <c r="G15" s="111"/>
      <c r="H15" s="111"/>
    </row>
    <row r="16" spans="1:8" s="34" customFormat="1" ht="18" customHeight="1">
      <c r="A16" s="46" t="s">
        <v>116</v>
      </c>
      <c r="B16" s="97" t="s">
        <v>52</v>
      </c>
      <c r="C16" s="69"/>
      <c r="D16" s="109"/>
      <c r="E16" s="110"/>
      <c r="F16" s="109"/>
      <c r="G16" s="109"/>
      <c r="H16" s="109"/>
    </row>
    <row r="17" spans="1:8" s="34" customFormat="1" ht="18" customHeight="1">
      <c r="A17" s="46" t="s">
        <v>117</v>
      </c>
      <c r="B17" s="97" t="s">
        <v>11</v>
      </c>
      <c r="C17" s="69"/>
      <c r="D17" s="109"/>
      <c r="E17" s="110"/>
      <c r="F17" s="109"/>
      <c r="G17" s="109"/>
      <c r="H17" s="109"/>
    </row>
    <row r="18" spans="1:8" s="34" customFormat="1" ht="18" customHeight="1">
      <c r="A18" s="46"/>
      <c r="B18" s="97" t="s">
        <v>118</v>
      </c>
      <c r="C18" s="64" t="s">
        <v>96</v>
      </c>
      <c r="D18" s="109"/>
      <c r="E18" s="110"/>
      <c r="F18" s="109"/>
      <c r="G18" s="109"/>
      <c r="H18" s="109"/>
    </row>
    <row r="19" spans="1:8" s="34" customFormat="1" ht="18" customHeight="1">
      <c r="A19" s="46" t="s">
        <v>146</v>
      </c>
      <c r="B19" s="97" t="s">
        <v>119</v>
      </c>
      <c r="C19" s="64" t="s">
        <v>96</v>
      </c>
      <c r="D19" s="109"/>
      <c r="E19" s="110"/>
      <c r="F19" s="109"/>
      <c r="G19" s="109"/>
      <c r="H19" s="109"/>
    </row>
    <row r="20" spans="1:8" s="44" customFormat="1" ht="18" customHeight="1">
      <c r="A20" s="88" t="s">
        <v>46</v>
      </c>
      <c r="B20" s="162" t="s">
        <v>54</v>
      </c>
      <c r="C20" s="68"/>
      <c r="D20" s="111"/>
      <c r="E20" s="72"/>
      <c r="F20" s="111"/>
      <c r="G20" s="111"/>
      <c r="H20" s="111"/>
    </row>
    <row r="21" spans="1:8" s="43" customFormat="1" ht="25.5">
      <c r="A21" s="88" t="s">
        <v>42</v>
      </c>
      <c r="B21" s="95" t="s">
        <v>20</v>
      </c>
      <c r="C21" s="68"/>
      <c r="D21" s="111"/>
      <c r="E21" s="72"/>
      <c r="F21" s="111"/>
      <c r="G21" s="111"/>
      <c r="H21" s="111"/>
    </row>
    <row r="22" spans="1:8" s="44" customFormat="1" ht="18" customHeight="1">
      <c r="A22" s="88" t="s">
        <v>44</v>
      </c>
      <c r="B22" s="95" t="s">
        <v>12</v>
      </c>
      <c r="C22" s="68"/>
      <c r="D22" s="111"/>
      <c r="E22" s="72"/>
      <c r="F22" s="111"/>
      <c r="G22" s="111"/>
      <c r="H22" s="111"/>
    </row>
    <row r="23" spans="1:8" s="44" customFormat="1" ht="15" customHeight="1">
      <c r="A23" s="41" t="s">
        <v>120</v>
      </c>
      <c r="B23" s="42" t="s">
        <v>121</v>
      </c>
      <c r="C23" s="64" t="s">
        <v>96</v>
      </c>
      <c r="D23" s="111"/>
      <c r="E23" s="72"/>
      <c r="F23" s="111"/>
      <c r="G23" s="111"/>
      <c r="H23" s="111"/>
    </row>
    <row r="24" spans="1:8" ht="16.5" customHeight="1">
      <c r="A24" s="35">
        <v>2</v>
      </c>
      <c r="B24" s="45" t="s">
        <v>122</v>
      </c>
      <c r="C24" s="39"/>
    </row>
    <row r="25" spans="1:8" s="44" customFormat="1" ht="18" customHeight="1">
      <c r="A25" s="52" t="s">
        <v>123</v>
      </c>
      <c r="B25" s="95" t="s">
        <v>45</v>
      </c>
      <c r="C25" s="94">
        <f>+C26+C27</f>
        <v>0</v>
      </c>
      <c r="D25" s="111"/>
      <c r="E25" s="72"/>
      <c r="F25" s="111"/>
      <c r="G25" s="111"/>
      <c r="H25" s="111"/>
    </row>
    <row r="26" spans="1:8" s="44" customFormat="1" ht="18" customHeight="1">
      <c r="A26" s="52" t="s">
        <v>46</v>
      </c>
      <c r="B26" s="95" t="s">
        <v>47</v>
      </c>
      <c r="C26" s="68"/>
      <c r="D26" s="111"/>
      <c r="E26" s="72"/>
      <c r="F26" s="111"/>
      <c r="G26" s="111"/>
      <c r="H26" s="111"/>
    </row>
    <row r="27" spans="1:8" s="44" customFormat="1" ht="18" customHeight="1">
      <c r="A27" s="52" t="s">
        <v>42</v>
      </c>
      <c r="B27" s="95" t="s">
        <v>48</v>
      </c>
      <c r="C27" s="68"/>
      <c r="D27" s="111"/>
      <c r="E27" s="72"/>
      <c r="F27" s="111"/>
      <c r="G27" s="111"/>
      <c r="H27" s="111"/>
    </row>
    <row r="28" spans="1:8" s="44" customFormat="1" ht="18" customHeight="1">
      <c r="A28" s="52" t="s">
        <v>124</v>
      </c>
      <c r="B28" s="95" t="s">
        <v>125</v>
      </c>
      <c r="C28" s="68">
        <v>0</v>
      </c>
      <c r="D28" s="111"/>
      <c r="E28" s="72"/>
      <c r="F28" s="111"/>
      <c r="G28" s="111"/>
      <c r="H28" s="111"/>
    </row>
    <row r="29" spans="1:8">
      <c r="A29" s="46" t="s">
        <v>126</v>
      </c>
      <c r="B29" s="96" t="s">
        <v>127</v>
      </c>
      <c r="C29" s="62">
        <v>0</v>
      </c>
    </row>
    <row r="30" spans="1:8" s="44" customFormat="1" ht="29.25" customHeight="1">
      <c r="A30" s="52" t="s">
        <v>128</v>
      </c>
      <c r="B30" s="95" t="s">
        <v>19</v>
      </c>
      <c r="C30" s="68">
        <v>0</v>
      </c>
      <c r="D30" s="111"/>
      <c r="E30" s="72"/>
      <c r="F30" s="111"/>
      <c r="G30" s="111"/>
      <c r="H30" s="111"/>
    </row>
    <row r="31" spans="1:8" s="48" customFormat="1">
      <c r="A31" s="47" t="s">
        <v>53</v>
      </c>
      <c r="B31" s="74" t="s">
        <v>129</v>
      </c>
      <c r="C31" s="70">
        <f>+C25+C28+C29+C30</f>
        <v>0</v>
      </c>
      <c r="D31" s="112"/>
      <c r="E31" s="113"/>
      <c r="F31" s="114"/>
      <c r="G31" s="114"/>
      <c r="H31" s="114"/>
    </row>
    <row r="32" spans="1:8" s="48" customFormat="1" ht="16.5" customHeight="1">
      <c r="A32" s="47" t="s">
        <v>55</v>
      </c>
      <c r="B32" s="63" t="s">
        <v>130</v>
      </c>
      <c r="C32" s="64" t="s">
        <v>96</v>
      </c>
      <c r="D32" s="114"/>
      <c r="E32" s="113"/>
      <c r="F32" s="114"/>
      <c r="G32" s="114"/>
      <c r="H32" s="114"/>
    </row>
    <row r="33" spans="1:8" s="50" customFormat="1" ht="13.5" customHeight="1">
      <c r="A33" s="49"/>
      <c r="B33" s="49" t="s">
        <v>57</v>
      </c>
      <c r="C33" s="40"/>
      <c r="D33" s="115"/>
      <c r="E33" s="116"/>
      <c r="F33" s="115"/>
      <c r="G33" s="115"/>
      <c r="H33" s="117"/>
    </row>
    <row r="34" spans="1:8" s="44" customFormat="1" ht="18" customHeight="1">
      <c r="A34" s="52" t="s">
        <v>131</v>
      </c>
      <c r="B34" s="155" t="s">
        <v>192</v>
      </c>
      <c r="C34" s="68"/>
      <c r="D34" s="111"/>
      <c r="E34" s="72"/>
      <c r="F34" s="111"/>
      <c r="G34" s="111"/>
      <c r="H34" s="111"/>
    </row>
    <row r="35" spans="1:8" s="44" customFormat="1" ht="25.5">
      <c r="A35" s="52" t="s">
        <v>132</v>
      </c>
      <c r="B35" s="95" t="s">
        <v>21</v>
      </c>
      <c r="C35" s="154" t="e">
        <f>IF(#REF!&lt;(C43*1.25%),#REF!,(C43*1.25%))</f>
        <v>#REF!</v>
      </c>
      <c r="D35" s="111"/>
      <c r="E35" s="72"/>
      <c r="F35" s="111"/>
      <c r="G35" s="111"/>
      <c r="H35" s="111"/>
    </row>
    <row r="36" spans="1:8" s="44" customFormat="1" ht="18" customHeight="1">
      <c r="A36" s="52" t="s">
        <v>133</v>
      </c>
      <c r="B36" s="95" t="s">
        <v>13</v>
      </c>
      <c r="C36" s="68"/>
      <c r="D36" s="111"/>
      <c r="E36" s="72"/>
      <c r="F36" s="111"/>
      <c r="G36" s="111"/>
      <c r="H36" s="111"/>
    </row>
    <row r="37" spans="1:8" s="44" customFormat="1" ht="18" customHeight="1">
      <c r="A37" s="52" t="s">
        <v>134</v>
      </c>
      <c r="B37" s="95" t="s">
        <v>135</v>
      </c>
      <c r="C37" s="68"/>
      <c r="D37" s="111"/>
      <c r="E37" s="72"/>
      <c r="F37" s="111"/>
      <c r="G37" s="111"/>
      <c r="H37" s="111"/>
    </row>
    <row r="38" spans="1:8" s="44" customFormat="1" ht="18" customHeight="1">
      <c r="A38" s="52" t="s">
        <v>136</v>
      </c>
      <c r="B38" s="95" t="s">
        <v>14</v>
      </c>
      <c r="C38" s="68"/>
      <c r="D38" s="111"/>
      <c r="E38" s="72"/>
      <c r="F38" s="111"/>
      <c r="G38" s="111"/>
      <c r="H38" s="111"/>
    </row>
    <row r="39" spans="1:8" s="44" customFormat="1" ht="18" customHeight="1">
      <c r="A39" s="52" t="s">
        <v>137</v>
      </c>
      <c r="B39" s="95" t="s">
        <v>58</v>
      </c>
      <c r="C39" s="64" t="s">
        <v>96</v>
      </c>
      <c r="D39" s="111"/>
      <c r="E39" s="72"/>
      <c r="F39" s="111"/>
      <c r="G39" s="111"/>
      <c r="H39" s="111"/>
    </row>
    <row r="40" spans="1:8" ht="18.75" customHeight="1">
      <c r="A40" s="46"/>
      <c r="B40" s="45" t="s">
        <v>26</v>
      </c>
      <c r="C40" s="40" t="e">
        <f>SUM(C34:C38)</f>
        <v>#REF!</v>
      </c>
      <c r="D40" s="112"/>
    </row>
    <row r="41" spans="1:8" s="34" customFormat="1" ht="22.5" customHeight="1">
      <c r="A41" s="49" t="s">
        <v>56</v>
      </c>
      <c r="B41" s="42" t="s">
        <v>27</v>
      </c>
      <c r="C41" s="64" t="s">
        <v>96</v>
      </c>
      <c r="D41" s="118"/>
      <c r="E41" s="110"/>
      <c r="F41" s="109"/>
      <c r="G41" s="109"/>
      <c r="H41" s="109"/>
    </row>
    <row r="42" spans="1:8" s="34" customFormat="1" ht="15.75" customHeight="1">
      <c r="A42" s="49" t="s">
        <v>59</v>
      </c>
      <c r="B42" s="42" t="s">
        <v>138</v>
      </c>
      <c r="C42" s="64" t="s">
        <v>96</v>
      </c>
      <c r="D42" s="118"/>
      <c r="E42" s="110"/>
      <c r="F42" s="109"/>
      <c r="G42" s="109"/>
      <c r="H42" s="109"/>
    </row>
    <row r="43" spans="1:8" s="34" customFormat="1" ht="21.75" customHeight="1">
      <c r="A43" s="49" t="s">
        <v>17</v>
      </c>
      <c r="B43" s="42" t="s">
        <v>139</v>
      </c>
      <c r="C43" s="51" t="e">
        <f>+C44+C45+C46</f>
        <v>#REF!</v>
      </c>
      <c r="D43" s="109"/>
      <c r="E43" s="110"/>
      <c r="F43" s="109"/>
      <c r="G43" s="109"/>
      <c r="H43" s="109"/>
    </row>
    <row r="44" spans="1:8" s="44" customFormat="1" ht="18" customHeight="1">
      <c r="A44" s="52" t="s">
        <v>46</v>
      </c>
      <c r="B44" s="95" t="s">
        <v>22</v>
      </c>
      <c r="C44" s="94" t="e">
        <f>+#REF!</f>
        <v>#REF!</v>
      </c>
      <c r="D44" s="111"/>
      <c r="E44" s="72"/>
      <c r="F44" s="111"/>
      <c r="G44" s="111"/>
      <c r="H44" s="111"/>
    </row>
    <row r="45" spans="1:8" s="44" customFormat="1" ht="18" customHeight="1">
      <c r="A45" s="52" t="s">
        <v>42</v>
      </c>
      <c r="B45" s="95" t="s">
        <v>15</v>
      </c>
      <c r="C45" s="94" t="e">
        <f>+#REF!</f>
        <v>#REF!</v>
      </c>
      <c r="D45" s="111"/>
      <c r="E45" s="72"/>
      <c r="F45" s="111"/>
      <c r="G45" s="111"/>
      <c r="H45" s="111"/>
    </row>
    <row r="46" spans="1:8" s="44" customFormat="1" ht="18" customHeight="1">
      <c r="A46" s="52" t="s">
        <v>44</v>
      </c>
      <c r="B46" s="95" t="s">
        <v>16</v>
      </c>
      <c r="C46" s="94" t="e">
        <f>+#REF!</f>
        <v>#REF!</v>
      </c>
      <c r="D46" s="111"/>
      <c r="E46" s="72" t="e">
        <f>+#REF!</f>
        <v>#REF!</v>
      </c>
      <c r="F46" s="111"/>
      <c r="G46" s="111"/>
      <c r="H46" s="111"/>
    </row>
    <row r="47" spans="1:8" s="50" customFormat="1" ht="21.75" customHeight="1">
      <c r="A47" s="49" t="s">
        <v>18</v>
      </c>
      <c r="B47" s="63" t="s">
        <v>140</v>
      </c>
      <c r="C47" s="64" t="s">
        <v>96</v>
      </c>
      <c r="D47" s="115"/>
      <c r="E47" s="116"/>
      <c r="F47" s="115"/>
      <c r="G47" s="115"/>
      <c r="H47" s="115"/>
    </row>
    <row r="48" spans="1:8" s="50" customFormat="1" ht="21.75" customHeight="1">
      <c r="A48" s="49" t="s">
        <v>60</v>
      </c>
      <c r="B48" s="63" t="s">
        <v>141</v>
      </c>
      <c r="C48" s="64" t="s">
        <v>96</v>
      </c>
      <c r="D48" s="115"/>
      <c r="E48" s="116"/>
      <c r="F48" s="115"/>
      <c r="G48" s="115"/>
      <c r="H48" s="115"/>
    </row>
    <row r="49" spans="1:8" s="50" customFormat="1" ht="21.75" customHeight="1">
      <c r="A49" s="49" t="s">
        <v>28</v>
      </c>
      <c r="B49" s="63" t="s">
        <v>142</v>
      </c>
      <c r="C49" s="64" t="s">
        <v>96</v>
      </c>
      <c r="D49" s="115"/>
      <c r="E49" s="116"/>
      <c r="F49" s="115"/>
      <c r="G49" s="115"/>
      <c r="H49" s="115"/>
    </row>
    <row r="50" spans="1:8" s="34" customFormat="1" ht="21.75" customHeight="1">
      <c r="A50" s="49" t="s">
        <v>29</v>
      </c>
      <c r="B50" s="42" t="s">
        <v>24</v>
      </c>
      <c r="C50" s="64" t="s">
        <v>96</v>
      </c>
      <c r="D50" s="109"/>
      <c r="E50" s="119"/>
      <c r="F50" s="118"/>
      <c r="G50" s="109"/>
      <c r="H50" s="109"/>
    </row>
    <row r="51" spans="1:8" s="55" customFormat="1" ht="21.75" customHeight="1">
      <c r="A51" s="52" t="s">
        <v>46</v>
      </c>
      <c r="B51" s="53" t="s">
        <v>32</v>
      </c>
      <c r="C51" s="54" t="e">
        <f>+#REF!</f>
        <v>#REF!</v>
      </c>
      <c r="D51" s="120"/>
      <c r="E51" s="121"/>
      <c r="F51" s="122"/>
      <c r="G51" s="120"/>
      <c r="H51" s="120"/>
    </row>
    <row r="52" spans="1:8" s="55" customFormat="1" ht="21.75" customHeight="1">
      <c r="A52" s="52" t="s">
        <v>42</v>
      </c>
      <c r="B52" s="53" t="s">
        <v>143</v>
      </c>
      <c r="C52" s="128" t="e">
        <f>SUM(#REF!)</f>
        <v>#REF!</v>
      </c>
      <c r="D52" s="122" t="e">
        <f>+#REF!</f>
        <v>#REF!</v>
      </c>
      <c r="E52" s="121"/>
      <c r="F52" s="122"/>
      <c r="G52" s="120"/>
      <c r="H52" s="120"/>
    </row>
    <row r="53" spans="1:8" s="55" customFormat="1" ht="21.75" customHeight="1">
      <c r="A53" s="52" t="s">
        <v>44</v>
      </c>
      <c r="B53" s="53" t="s">
        <v>144</v>
      </c>
      <c r="C53" s="130" t="e">
        <f>SUM(#REF!)</f>
        <v>#REF!</v>
      </c>
      <c r="D53" s="127"/>
      <c r="E53" s="129"/>
      <c r="F53" s="120"/>
      <c r="G53" s="120"/>
      <c r="H53" s="120"/>
    </row>
    <row r="54" spans="1:8" s="55" customFormat="1" ht="21.75" customHeight="1">
      <c r="A54" s="52" t="s">
        <v>51</v>
      </c>
      <c r="B54" s="53" t="s">
        <v>145</v>
      </c>
      <c r="C54" s="76" t="str">
        <f>+C19</f>
        <v>Формула</v>
      </c>
      <c r="D54" s="120"/>
      <c r="E54" s="123"/>
      <c r="F54" s="120"/>
      <c r="G54" s="120"/>
      <c r="H54" s="120"/>
    </row>
    <row r="55" spans="1:8" s="50" customFormat="1" ht="21.75" customHeight="1">
      <c r="A55" s="49" t="s">
        <v>30</v>
      </c>
      <c r="B55" s="63" t="s">
        <v>33</v>
      </c>
      <c r="C55" s="64" t="s">
        <v>96</v>
      </c>
      <c r="D55" s="115"/>
      <c r="E55" s="116"/>
      <c r="F55" s="115"/>
      <c r="G55" s="115"/>
      <c r="H55" s="115"/>
    </row>
    <row r="56" spans="1:8">
      <c r="B56" s="56"/>
    </row>
    <row r="57" spans="1:8" s="1" customFormat="1">
      <c r="A57" s="13"/>
      <c r="B57" s="2" t="s">
        <v>0</v>
      </c>
      <c r="D57" s="29"/>
      <c r="E57" s="29"/>
      <c r="F57" s="29"/>
      <c r="G57" s="29"/>
      <c r="H57" s="29"/>
    </row>
    <row r="58" spans="1:8" s="1" customFormat="1">
      <c r="A58" s="13"/>
      <c r="B58" s="2"/>
      <c r="D58" s="29"/>
      <c r="E58" s="29"/>
      <c r="F58" s="29"/>
      <c r="G58" s="29"/>
      <c r="H58" s="29"/>
    </row>
    <row r="59" spans="1:8" s="1" customFormat="1">
      <c r="A59" s="13"/>
      <c r="B59" s="2" t="s">
        <v>1</v>
      </c>
      <c r="D59" s="29"/>
      <c r="E59" s="29"/>
      <c r="F59" s="29"/>
      <c r="G59" s="29"/>
      <c r="H59" s="29"/>
    </row>
    <row r="60" spans="1:8">
      <c r="B60" s="58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topLeftCell="A4" zoomScale="55" zoomScaleNormal="50" zoomScaleSheetLayoutView="55" workbookViewId="0">
      <pane xSplit="4" ySplit="6" topLeftCell="N10" activePane="bottomRight" state="frozen"/>
      <selection activeCell="A4" sqref="A4"/>
      <selection pane="topRight" activeCell="E4" sqref="E4"/>
      <selection pane="bottomLeft" activeCell="A10" sqref="A10"/>
      <selection pane="bottomRight" activeCell="W43" sqref="W43"/>
    </sheetView>
  </sheetViews>
  <sheetFormatPr defaultRowHeight="18.75"/>
  <cols>
    <col min="1" max="1" width="9.5703125" style="156" customWidth="1"/>
    <col min="2" max="2" width="61.7109375" style="156" customWidth="1"/>
    <col min="3" max="3" width="19.140625" style="156" customWidth="1"/>
    <col min="4" max="4" width="19.140625" style="157" customWidth="1"/>
    <col min="5" max="8" width="19.140625" style="156" customWidth="1"/>
    <col min="9" max="25" width="18.85546875" style="156" customWidth="1"/>
    <col min="26" max="26" width="21.7109375" style="156" customWidth="1"/>
    <col min="27" max="29" width="27.42578125" style="156" customWidth="1"/>
    <col min="30" max="34" width="22.140625" style="156" customWidth="1"/>
    <col min="35" max="16384" width="9.140625" style="156"/>
  </cols>
  <sheetData>
    <row r="1" spans="1:35">
      <c r="Z1" s="16" t="s">
        <v>503</v>
      </c>
    </row>
    <row r="2" spans="1:35" s="158" customFormat="1" ht="50.25" customHeight="1">
      <c r="A2" s="670" t="s">
        <v>502</v>
      </c>
      <c r="B2" s="670"/>
      <c r="C2" s="670"/>
      <c r="D2" s="670"/>
      <c r="E2" s="670"/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</row>
    <row r="3" spans="1:35" ht="19.5" customHeight="1">
      <c r="B3" s="363" t="str">
        <f>+'Asset quality'!B3</f>
        <v>"Ўзсаноатқурилишибанк" АТБ</v>
      </c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V3" s="683">
        <f>+'Asset quality'!Q3</f>
        <v>45289</v>
      </c>
      <c r="W3" s="683"/>
      <c r="Z3" s="78" t="str">
        <f>+'Asset quality'!T3</f>
        <v>минг. сўмда</v>
      </c>
    </row>
    <row r="4" spans="1:35" s="159" customFormat="1" ht="29.25" customHeight="1">
      <c r="A4" s="671" t="s">
        <v>61</v>
      </c>
      <c r="B4" s="671" t="s">
        <v>487</v>
      </c>
      <c r="C4" s="674" t="s">
        <v>234</v>
      </c>
      <c r="D4" s="675"/>
      <c r="E4" s="675"/>
      <c r="F4" s="675"/>
      <c r="G4" s="675"/>
      <c r="H4" s="676"/>
      <c r="I4" s="680" t="s">
        <v>504</v>
      </c>
      <c r="J4" s="681"/>
      <c r="K4" s="681"/>
      <c r="L4" s="681"/>
      <c r="M4" s="682"/>
      <c r="N4" s="674" t="s">
        <v>505</v>
      </c>
      <c r="O4" s="675"/>
      <c r="P4" s="675"/>
      <c r="Q4" s="675"/>
      <c r="R4" s="676"/>
      <c r="S4" s="669" t="s">
        <v>233</v>
      </c>
      <c r="T4" s="669"/>
      <c r="U4" s="669"/>
      <c r="V4" s="669"/>
      <c r="W4" s="669"/>
      <c r="X4" s="669"/>
      <c r="Y4" s="671" t="s">
        <v>506</v>
      </c>
      <c r="Z4" s="671" t="s">
        <v>507</v>
      </c>
    </row>
    <row r="5" spans="1:35" s="159" customFormat="1" ht="29.25" customHeight="1">
      <c r="A5" s="672"/>
      <c r="B5" s="672"/>
      <c r="C5" s="677"/>
      <c r="D5" s="678"/>
      <c r="E5" s="678"/>
      <c r="F5" s="678"/>
      <c r="G5" s="678"/>
      <c r="H5" s="679"/>
      <c r="I5" s="669" t="s">
        <v>508</v>
      </c>
      <c r="J5" s="669" t="s">
        <v>509</v>
      </c>
      <c r="K5" s="669" t="s">
        <v>510</v>
      </c>
      <c r="L5" s="669" t="s">
        <v>511</v>
      </c>
      <c r="M5" s="669" t="s">
        <v>512</v>
      </c>
      <c r="N5" s="677"/>
      <c r="O5" s="678"/>
      <c r="P5" s="678"/>
      <c r="Q5" s="678"/>
      <c r="R5" s="679"/>
      <c r="S5" s="669" t="s">
        <v>234</v>
      </c>
      <c r="T5" s="680" t="s">
        <v>513</v>
      </c>
      <c r="U5" s="681"/>
      <c r="V5" s="681"/>
      <c r="W5" s="681"/>
      <c r="X5" s="682"/>
      <c r="Y5" s="672"/>
      <c r="Z5" s="672"/>
    </row>
    <row r="6" spans="1:35" s="159" customFormat="1" ht="90" customHeight="1">
      <c r="A6" s="672"/>
      <c r="B6" s="673"/>
      <c r="C6" s="254" t="s">
        <v>491</v>
      </c>
      <c r="D6" s="254" t="s">
        <v>492</v>
      </c>
      <c r="E6" s="254" t="s">
        <v>285</v>
      </c>
      <c r="F6" s="254" t="s">
        <v>492</v>
      </c>
      <c r="G6" s="254" t="s">
        <v>286</v>
      </c>
      <c r="H6" s="254" t="s">
        <v>492</v>
      </c>
      <c r="I6" s="669"/>
      <c r="J6" s="669"/>
      <c r="K6" s="669"/>
      <c r="L6" s="669"/>
      <c r="M6" s="669"/>
      <c r="N6" s="364" t="s">
        <v>120</v>
      </c>
      <c r="O6" s="364" t="s">
        <v>53</v>
      </c>
      <c r="P6" s="364" t="s">
        <v>55</v>
      </c>
      <c r="Q6" s="364" t="s">
        <v>56</v>
      </c>
      <c r="R6" s="364" t="s">
        <v>59</v>
      </c>
      <c r="S6" s="669"/>
      <c r="T6" s="364" t="s">
        <v>120</v>
      </c>
      <c r="U6" s="364" t="s">
        <v>53</v>
      </c>
      <c r="V6" s="364" t="s">
        <v>55</v>
      </c>
      <c r="W6" s="364" t="s">
        <v>56</v>
      </c>
      <c r="X6" s="364" t="s">
        <v>59</v>
      </c>
      <c r="Y6" s="673"/>
      <c r="Z6" s="673"/>
      <c r="AA6" s="365"/>
      <c r="AB6" s="365"/>
      <c r="AC6" s="365"/>
      <c r="AD6" s="364" t="s">
        <v>120</v>
      </c>
      <c r="AE6" s="364" t="s">
        <v>53</v>
      </c>
      <c r="AF6" s="364" t="s">
        <v>55</v>
      </c>
      <c r="AG6" s="364" t="s">
        <v>56</v>
      </c>
      <c r="AH6" s="364" t="s">
        <v>59</v>
      </c>
    </row>
    <row r="7" spans="1:35" s="159" customFormat="1">
      <c r="A7" s="673"/>
      <c r="B7" s="254" t="s">
        <v>78</v>
      </c>
      <c r="C7" s="254" t="s">
        <v>79</v>
      </c>
      <c r="D7" s="254" t="s">
        <v>89</v>
      </c>
      <c r="E7" s="254" t="s">
        <v>80</v>
      </c>
      <c r="F7" s="254" t="s">
        <v>81</v>
      </c>
      <c r="G7" s="254" t="s">
        <v>90</v>
      </c>
      <c r="H7" s="254" t="s">
        <v>82</v>
      </c>
      <c r="I7" s="254" t="s">
        <v>83</v>
      </c>
      <c r="J7" s="254" t="s">
        <v>84</v>
      </c>
      <c r="K7" s="254" t="s">
        <v>85</v>
      </c>
      <c r="L7" s="254" t="s">
        <v>86</v>
      </c>
      <c r="M7" s="254" t="s">
        <v>87</v>
      </c>
      <c r="N7" s="254" t="s">
        <v>88</v>
      </c>
      <c r="O7" s="254" t="s">
        <v>154</v>
      </c>
      <c r="P7" s="254" t="s">
        <v>155</v>
      </c>
      <c r="Q7" s="254" t="s">
        <v>156</v>
      </c>
      <c r="R7" s="254" t="s">
        <v>157</v>
      </c>
      <c r="S7" s="254" t="s">
        <v>179</v>
      </c>
      <c r="T7" s="254" t="s">
        <v>188</v>
      </c>
      <c r="U7" s="254" t="s">
        <v>193</v>
      </c>
      <c r="V7" s="254" t="s">
        <v>194</v>
      </c>
      <c r="W7" s="254" t="s">
        <v>195</v>
      </c>
      <c r="X7" s="254" t="s">
        <v>196</v>
      </c>
      <c r="Y7" s="254" t="s">
        <v>197</v>
      </c>
      <c r="Z7" s="254" t="s">
        <v>514</v>
      </c>
      <c r="AA7" s="365"/>
      <c r="AB7" s="365"/>
      <c r="AC7" s="365"/>
    </row>
    <row r="8" spans="1:35" s="159" customFormat="1" ht="49.5" customHeight="1">
      <c r="A8" s="366"/>
      <c r="B8" s="367" t="s">
        <v>515</v>
      </c>
      <c r="C8" s="160">
        <f>+C9+C27</f>
        <v>57124403912</v>
      </c>
      <c r="D8" s="368">
        <f>IFERROR(((C9*D9)/C8)+((C27*D27)/C8),0)</f>
        <v>0.12177286248141522</v>
      </c>
      <c r="E8" s="160">
        <f t="shared" ref="E8:G8" si="0">+E9+E27</f>
        <v>19111443270</v>
      </c>
      <c r="F8" s="368">
        <f>IFERROR(((E9*F9)/E8)+((E27*F27)/E8),0)</f>
        <v>0.19017762186881443</v>
      </c>
      <c r="G8" s="160">
        <f t="shared" si="0"/>
        <v>38012960642</v>
      </c>
      <c r="H8" s="368">
        <f>IFERROR(((G9*H9)/G8)+((G27*H27)/G8),0)</f>
        <v>8.7381600755122663E-2</v>
      </c>
      <c r="I8" s="160">
        <f t="shared" ref="I8:Z8" si="1">+I9+I27</f>
        <v>22264304893</v>
      </c>
      <c r="J8" s="160">
        <f t="shared" si="1"/>
        <v>24556280088</v>
      </c>
      <c r="K8" s="160">
        <f t="shared" si="1"/>
        <v>7412399248</v>
      </c>
      <c r="L8" s="160">
        <f t="shared" si="1"/>
        <v>1710822521</v>
      </c>
      <c r="M8" s="160">
        <f t="shared" si="1"/>
        <v>1180597162</v>
      </c>
      <c r="N8" s="160">
        <f t="shared" si="1"/>
        <v>49548751261</v>
      </c>
      <c r="O8" s="160">
        <f t="shared" si="1"/>
        <v>6292476722</v>
      </c>
      <c r="P8" s="160">
        <f t="shared" si="1"/>
        <v>506004487</v>
      </c>
      <c r="Q8" s="160">
        <f t="shared" si="1"/>
        <v>749932110</v>
      </c>
      <c r="R8" s="160">
        <f t="shared" si="1"/>
        <v>27239332</v>
      </c>
      <c r="S8" s="160">
        <f t="shared" si="1"/>
        <v>1653782540</v>
      </c>
      <c r="T8" s="160">
        <f t="shared" si="1"/>
        <v>504953973</v>
      </c>
      <c r="U8" s="160">
        <f t="shared" si="1"/>
        <v>620122045</v>
      </c>
      <c r="V8" s="160">
        <f t="shared" si="1"/>
        <v>126501133</v>
      </c>
      <c r="W8" s="160">
        <f t="shared" si="1"/>
        <v>374966057</v>
      </c>
      <c r="X8" s="160">
        <f t="shared" si="1"/>
        <v>27239332</v>
      </c>
      <c r="Y8" s="160">
        <f t="shared" si="1"/>
        <v>1957559347</v>
      </c>
      <c r="Z8" s="160">
        <f t="shared" si="1"/>
        <v>58400841</v>
      </c>
      <c r="AA8" s="365">
        <f>+'Loans Receivable'!C85</f>
        <v>57124403912</v>
      </c>
      <c r="AB8" s="365">
        <f>+AA8-AC8</f>
        <v>19111443270</v>
      </c>
      <c r="AC8" s="365">
        <f>+'Asset Classification'!D31</f>
        <v>38012960642</v>
      </c>
      <c r="AD8" s="369">
        <f>+'Asset Classification'!E31</f>
        <v>49548751261</v>
      </c>
      <c r="AE8" s="369">
        <f>+'Asset Classification'!I31</f>
        <v>6292476722</v>
      </c>
      <c r="AF8" s="369">
        <f>+'Asset Classification'!M31</f>
        <v>506004487</v>
      </c>
      <c r="AG8" s="369">
        <f>+'Asset Classification'!Q31</f>
        <v>749932110</v>
      </c>
      <c r="AH8" s="369">
        <f>+'Asset Classification'!U31</f>
        <v>27239332</v>
      </c>
    </row>
    <row r="9" spans="1:35" s="163" customFormat="1" ht="49.5" customHeight="1">
      <c r="A9" s="367" t="s">
        <v>120</v>
      </c>
      <c r="B9" s="367" t="s">
        <v>516</v>
      </c>
      <c r="C9" s="160">
        <f>+C11+C16+C21+C22+C24+C25+C26</f>
        <v>7814492786</v>
      </c>
      <c r="D9" s="368">
        <f>IFERROR(((C11*D11)/C9)+((C16*D16)/C9)+((C21*D21)/C9)+((C22*D22)/C9)+((C24*D24)/C9)+((C25*D25)/C9)+((C26*D26)/C9),0)</f>
        <v>0.18981678892715625</v>
      </c>
      <c r="E9" s="160">
        <f>+E11+E16+E21+E22+E24+E25+E26</f>
        <v>7814492786</v>
      </c>
      <c r="F9" s="368">
        <f>IFERROR(((E11*F11)/E9)+((E16*F16)/E9)+((E21*F21)/E9)+((E22*F22)/E9)+((E24*F24)/E9)+((E25*F25)/E9)+((E26*F26)/E9),0)</f>
        <v>0.18981678892715625</v>
      </c>
      <c r="G9" s="160">
        <f>+G11+G16+G21+G22+G24+G25+G26</f>
        <v>0</v>
      </c>
      <c r="H9" s="368">
        <f>IFERROR(((G11*H11)/G9)+((G16*H16)/G9)+((G21*H21)/G9)+((G22*H22)/G9)+((G24*H24)/G9)+((G25*H25)/G9)+((G26*H26)/G9),0)</f>
        <v>0</v>
      </c>
      <c r="I9" s="160">
        <f>+I11+I16+I21+I22+I24+I25+I26</f>
        <v>1163601075</v>
      </c>
      <c r="J9" s="160">
        <f t="shared" ref="J9:Z9" si="2">+J11+J16+J21+J22+J24+J25+J26</f>
        <v>2537144335</v>
      </c>
      <c r="K9" s="160">
        <f t="shared" si="2"/>
        <v>1583731340</v>
      </c>
      <c r="L9" s="160">
        <f t="shared" si="2"/>
        <v>1349418874</v>
      </c>
      <c r="M9" s="160">
        <f t="shared" si="2"/>
        <v>1180597162</v>
      </c>
      <c r="N9" s="160">
        <f t="shared" si="2"/>
        <v>7625652230</v>
      </c>
      <c r="O9" s="160">
        <f t="shared" si="2"/>
        <v>147846643</v>
      </c>
      <c r="P9" s="160">
        <f t="shared" si="2"/>
        <v>19062315</v>
      </c>
      <c r="Q9" s="160">
        <f t="shared" si="2"/>
        <v>21931598</v>
      </c>
      <c r="R9" s="160">
        <f t="shared" si="2"/>
        <v>0</v>
      </c>
      <c r="S9" s="160">
        <f t="shared" si="2"/>
        <v>106770683</v>
      </c>
      <c r="T9" s="160">
        <f t="shared" si="2"/>
        <v>76256522</v>
      </c>
      <c r="U9" s="160">
        <f t="shared" si="2"/>
        <v>14782772</v>
      </c>
      <c r="V9" s="160">
        <f t="shared" si="2"/>
        <v>4765590</v>
      </c>
      <c r="W9" s="160">
        <f t="shared" si="2"/>
        <v>10965799</v>
      </c>
      <c r="X9" s="160">
        <f t="shared" si="2"/>
        <v>0</v>
      </c>
      <c r="Y9" s="160">
        <f t="shared" si="2"/>
        <v>47041639</v>
      </c>
      <c r="Z9" s="160">
        <f t="shared" si="2"/>
        <v>11346857</v>
      </c>
      <c r="AA9" s="365">
        <f>+'Loans Receivable'!C73</f>
        <v>7814492786</v>
      </c>
      <c r="AB9" s="365">
        <f>+'Loans Receivable'!D71</f>
        <v>7814492786</v>
      </c>
      <c r="AC9" s="365">
        <f>+'Loans Receivable'!E71</f>
        <v>0</v>
      </c>
      <c r="AD9" s="455">
        <f>+N8-AD8</f>
        <v>0</v>
      </c>
      <c r="AE9" s="455">
        <f>+O8-AE8</f>
        <v>0</v>
      </c>
      <c r="AF9" s="455">
        <f>+P8-AF8</f>
        <v>0</v>
      </c>
      <c r="AG9" s="455">
        <f>+Q8-AG8</f>
        <v>0</v>
      </c>
      <c r="AH9" s="455">
        <f>+R8-AH8</f>
        <v>0</v>
      </c>
      <c r="AI9" s="159"/>
    </row>
    <row r="10" spans="1:35" s="159" customFormat="1" ht="33.75" customHeight="1">
      <c r="A10" s="366"/>
      <c r="B10" s="367" t="s">
        <v>494</v>
      </c>
      <c r="C10" s="160"/>
      <c r="D10" s="160"/>
      <c r="E10" s="454"/>
      <c r="F10" s="454"/>
      <c r="G10" s="454"/>
      <c r="H10" s="454"/>
      <c r="I10" s="454"/>
      <c r="J10" s="454"/>
      <c r="K10" s="454"/>
      <c r="L10" s="454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365"/>
      <c r="AB10" s="365"/>
      <c r="AC10" s="365"/>
      <c r="AD10" s="365">
        <f>+'Asset Classification'!G31</f>
        <v>504953973</v>
      </c>
      <c r="AE10" s="365">
        <f>+'Asset Classification'!K31</f>
        <v>620122045</v>
      </c>
      <c r="AF10" s="365">
        <f>+'Asset Classification'!O53</f>
        <v>126501133</v>
      </c>
      <c r="AG10" s="365">
        <f>+'Asset Classification'!S53</f>
        <v>374966057</v>
      </c>
      <c r="AH10" s="365">
        <f>+'Asset Classification'!W53</f>
        <v>27239332</v>
      </c>
      <c r="AI10" s="163"/>
    </row>
    <row r="11" spans="1:35" s="159" customFormat="1" ht="49.5" customHeight="1">
      <c r="A11" s="370">
        <v>1</v>
      </c>
      <c r="B11" s="371" t="s">
        <v>745</v>
      </c>
      <c r="C11" s="169">
        <f>SUM(C12:C15)</f>
        <v>2072403267</v>
      </c>
      <c r="D11" s="372">
        <f>IFERROR(((C12*D12)/C11)+((C13*D13)/C11)+((C14*D14)/C11)+((C15*D15)/C11),0)</f>
        <v>8.9611981476475783E-2</v>
      </c>
      <c r="E11" s="169">
        <f t="shared" ref="E11:Z11" si="3">SUM(E12:E15)</f>
        <v>2072403267</v>
      </c>
      <c r="F11" s="372">
        <f>IFERROR(((E12*F12)/E11)+((E13*F13)/E11)+((E14*F14)/E11)+((E15*F15)/E11),0)</f>
        <v>8.9611981476475783E-2</v>
      </c>
      <c r="G11" s="169">
        <f t="shared" si="3"/>
        <v>0</v>
      </c>
      <c r="H11" s="372">
        <f>IFERROR(((G12*H12)/G11)+((G13*H13)/G11)+((G14*H14)/G11)+((G15*H15)/G11),0)</f>
        <v>0</v>
      </c>
      <c r="I11" s="169">
        <f t="shared" si="3"/>
        <v>140774329</v>
      </c>
      <c r="J11" s="169">
        <f t="shared" si="3"/>
        <v>599750140</v>
      </c>
      <c r="K11" s="169">
        <f t="shared" si="3"/>
        <v>701373838</v>
      </c>
      <c r="L11" s="169">
        <f t="shared" si="3"/>
        <v>526351267</v>
      </c>
      <c r="M11" s="169">
        <f t="shared" si="3"/>
        <v>104153693</v>
      </c>
      <c r="N11" s="169">
        <f t="shared" si="3"/>
        <v>1984622597</v>
      </c>
      <c r="O11" s="169">
        <f t="shared" si="3"/>
        <v>71497798</v>
      </c>
      <c r="P11" s="169">
        <f t="shared" si="3"/>
        <v>8007926</v>
      </c>
      <c r="Q11" s="169">
        <f t="shared" si="3"/>
        <v>8274946</v>
      </c>
      <c r="R11" s="169">
        <f t="shared" si="3"/>
        <v>0</v>
      </c>
      <c r="S11" s="169">
        <f t="shared" si="3"/>
        <v>33133156</v>
      </c>
      <c r="T11" s="169">
        <f t="shared" si="3"/>
        <v>19846226</v>
      </c>
      <c r="U11" s="169">
        <f t="shared" si="3"/>
        <v>7147475</v>
      </c>
      <c r="V11" s="169">
        <f t="shared" si="3"/>
        <v>2001982</v>
      </c>
      <c r="W11" s="169">
        <f t="shared" si="3"/>
        <v>4137473</v>
      </c>
      <c r="X11" s="169">
        <f t="shared" si="3"/>
        <v>0</v>
      </c>
      <c r="Y11" s="169">
        <f t="shared" si="3"/>
        <v>7180719</v>
      </c>
      <c r="Z11" s="169">
        <f t="shared" si="3"/>
        <v>11038215</v>
      </c>
      <c r="AA11" s="365">
        <f>+'loans_av rate'!C10</f>
        <v>2072403267</v>
      </c>
      <c r="AB11" s="159">
        <f>+'loans_av rate'!E10</f>
        <v>2072403267</v>
      </c>
      <c r="AC11" s="159">
        <f>+'loans_av rate'!G10</f>
        <v>0</v>
      </c>
      <c r="AD11" s="473">
        <f>+T8-AD10</f>
        <v>0</v>
      </c>
      <c r="AE11" s="473">
        <f t="shared" ref="AE11:AH11" si="4">+U8-AE10</f>
        <v>0</v>
      </c>
      <c r="AF11" s="473">
        <f t="shared" si="4"/>
        <v>0</v>
      </c>
      <c r="AG11" s="473">
        <f t="shared" si="4"/>
        <v>0</v>
      </c>
      <c r="AH11" s="473">
        <f t="shared" si="4"/>
        <v>0</v>
      </c>
    </row>
    <row r="12" spans="1:35" s="159" customFormat="1" ht="49.5" customHeight="1">
      <c r="A12" s="373" t="s">
        <v>110</v>
      </c>
      <c r="B12" s="374" t="s">
        <v>517</v>
      </c>
      <c r="C12" s="167">
        <f>+E12+G12</f>
        <v>1615704132</v>
      </c>
      <c r="D12" s="496">
        <f>IFERROR((((E12*F12)+(G12*H12))/C12),0)</f>
        <v>8.4281939013623533E-2</v>
      </c>
      <c r="E12" s="168">
        <v>1615704132</v>
      </c>
      <c r="F12" s="375">
        <v>8.4281939013623533E-2</v>
      </c>
      <c r="G12" s="168">
        <v>0</v>
      </c>
      <c r="H12" s="375">
        <v>0</v>
      </c>
      <c r="I12" s="168">
        <v>103532156</v>
      </c>
      <c r="J12" s="168">
        <v>444266475</v>
      </c>
      <c r="K12" s="168">
        <v>530446312</v>
      </c>
      <c r="L12" s="168">
        <v>442583432</v>
      </c>
      <c r="M12" s="168">
        <v>94875757</v>
      </c>
      <c r="N12" s="168">
        <v>1561746310</v>
      </c>
      <c r="O12" s="168">
        <v>42319597</v>
      </c>
      <c r="P12" s="168">
        <v>4607604</v>
      </c>
      <c r="Q12" s="168">
        <v>7030621</v>
      </c>
      <c r="R12" s="168">
        <v>0</v>
      </c>
      <c r="S12" s="167">
        <f>SUM(T12:X12)</f>
        <v>24516635</v>
      </c>
      <c r="T12" s="168">
        <v>15617463</v>
      </c>
      <c r="U12" s="168">
        <v>4231960</v>
      </c>
      <c r="V12" s="168">
        <v>1151901</v>
      </c>
      <c r="W12" s="168">
        <v>3515311</v>
      </c>
      <c r="X12" s="168">
        <v>0</v>
      </c>
      <c r="Y12" s="168">
        <v>1813021</v>
      </c>
      <c r="Z12" s="168">
        <v>9394032</v>
      </c>
      <c r="AA12" s="477">
        <f>+'loans_av rate'!D10</f>
        <v>8.9611981435807925E-2</v>
      </c>
      <c r="AB12" s="477">
        <f>+'loans_av rate'!F10</f>
        <v>8.9611981435807925E-2</v>
      </c>
      <c r="AC12" s="477">
        <f>+'loans_av rate'!H10</f>
        <v>0</v>
      </c>
    </row>
    <row r="13" spans="1:35" s="159" customFormat="1" ht="49.5" customHeight="1">
      <c r="A13" s="373" t="s">
        <v>111</v>
      </c>
      <c r="B13" s="374" t="s">
        <v>518</v>
      </c>
      <c r="C13" s="167">
        <f>+E13+G13</f>
        <v>2139415</v>
      </c>
      <c r="D13" s="496">
        <f>IFERROR((((E13*F13)+(G13*H13))/C13),0)</f>
        <v>0.16460593346545671</v>
      </c>
      <c r="E13" s="168">
        <v>2139415</v>
      </c>
      <c r="F13" s="375">
        <v>0.16460593346545671</v>
      </c>
      <c r="G13" s="168">
        <v>0</v>
      </c>
      <c r="H13" s="375">
        <v>0</v>
      </c>
      <c r="I13" s="168">
        <v>130605</v>
      </c>
      <c r="J13" s="168">
        <v>786944</v>
      </c>
      <c r="K13" s="168">
        <v>1211327</v>
      </c>
      <c r="L13" s="168">
        <v>10539</v>
      </c>
      <c r="M13" s="168">
        <v>0</v>
      </c>
      <c r="N13" s="168">
        <v>2139415</v>
      </c>
      <c r="O13" s="168">
        <v>0</v>
      </c>
      <c r="P13" s="168">
        <v>0</v>
      </c>
      <c r="Q13" s="168">
        <v>0</v>
      </c>
      <c r="R13" s="168">
        <v>0</v>
      </c>
      <c r="S13" s="167">
        <f t="shared" ref="S13:S26" si="5">SUM(T13:X13)</f>
        <v>21394</v>
      </c>
      <c r="T13" s="168">
        <v>21394</v>
      </c>
      <c r="U13" s="168">
        <v>0</v>
      </c>
      <c r="V13" s="168">
        <v>0</v>
      </c>
      <c r="W13" s="168">
        <v>0</v>
      </c>
      <c r="X13" s="168">
        <v>0</v>
      </c>
      <c r="Y13" s="168">
        <v>0</v>
      </c>
      <c r="Z13" s="168">
        <v>0</v>
      </c>
      <c r="AA13" s="365"/>
      <c r="AD13" s="365">
        <f>+'Asset Classification'!E13</f>
        <v>7625652230</v>
      </c>
      <c r="AE13" s="365">
        <f>+'Asset Classification'!I13</f>
        <v>147846643</v>
      </c>
      <c r="AF13" s="365">
        <f>+'Asset Classification'!M13</f>
        <v>19062315</v>
      </c>
      <c r="AG13" s="365">
        <f>+'Asset Classification'!Q13</f>
        <v>21931598</v>
      </c>
      <c r="AH13" s="365">
        <f>+'Asset Classification'!U13</f>
        <v>0</v>
      </c>
    </row>
    <row r="14" spans="1:35" s="159" customFormat="1" ht="49.5" customHeight="1">
      <c r="A14" s="373" t="s">
        <v>112</v>
      </c>
      <c r="B14" s="374" t="s">
        <v>519</v>
      </c>
      <c r="C14" s="167">
        <f>+E14+G14</f>
        <v>2710385</v>
      </c>
      <c r="D14" s="496">
        <f>IFERROR((((E14*F14)+(G14*H14))/C14),0)</f>
        <v>0.15086449062664528</v>
      </c>
      <c r="E14" s="168">
        <v>2710385</v>
      </c>
      <c r="F14" s="375">
        <v>0.15086449062664528</v>
      </c>
      <c r="G14" s="168">
        <v>0</v>
      </c>
      <c r="H14" s="375">
        <v>0</v>
      </c>
      <c r="I14" s="168">
        <v>253579</v>
      </c>
      <c r="J14" s="168">
        <v>1080586</v>
      </c>
      <c r="K14" s="168">
        <v>1239195</v>
      </c>
      <c r="L14" s="168">
        <v>137025</v>
      </c>
      <c r="M14" s="168">
        <v>0</v>
      </c>
      <c r="N14" s="168">
        <v>2710385</v>
      </c>
      <c r="O14" s="168">
        <v>0</v>
      </c>
      <c r="P14" s="168">
        <v>0</v>
      </c>
      <c r="Q14" s="168">
        <v>0</v>
      </c>
      <c r="R14" s="168">
        <v>0</v>
      </c>
      <c r="S14" s="167">
        <f t="shared" si="5"/>
        <v>27104</v>
      </c>
      <c r="T14" s="168">
        <v>27104</v>
      </c>
      <c r="U14" s="168">
        <v>0</v>
      </c>
      <c r="V14" s="168">
        <v>0</v>
      </c>
      <c r="W14" s="168">
        <v>0</v>
      </c>
      <c r="X14" s="168">
        <v>0</v>
      </c>
      <c r="Y14" s="168">
        <v>0</v>
      </c>
      <c r="Z14" s="168">
        <v>0</v>
      </c>
      <c r="AA14" s="365"/>
      <c r="AD14" s="473">
        <f>+N9-AD13</f>
        <v>0</v>
      </c>
      <c r="AE14" s="473">
        <f t="shared" ref="AE14:AH14" si="6">+O9-AE13</f>
        <v>0</v>
      </c>
      <c r="AF14" s="473">
        <f t="shared" si="6"/>
        <v>0</v>
      </c>
      <c r="AG14" s="473">
        <f t="shared" si="6"/>
        <v>0</v>
      </c>
      <c r="AH14" s="473">
        <f t="shared" si="6"/>
        <v>0</v>
      </c>
    </row>
    <row r="15" spans="1:35" s="159" customFormat="1" ht="49.5" customHeight="1">
      <c r="A15" s="373" t="s">
        <v>116</v>
      </c>
      <c r="B15" s="374" t="s">
        <v>520</v>
      </c>
      <c r="C15" s="167">
        <f>+E15+G15</f>
        <v>451849335</v>
      </c>
      <c r="D15" s="496">
        <f>IFERROR((((E15*F15)+(G15*H15))/C15),0)</f>
        <v>0.1079484266615912</v>
      </c>
      <c r="E15" s="168">
        <v>451849335</v>
      </c>
      <c r="F15" s="375">
        <v>0.1079484266615912</v>
      </c>
      <c r="G15" s="168">
        <v>0</v>
      </c>
      <c r="H15" s="375">
        <v>0</v>
      </c>
      <c r="I15" s="168">
        <v>36857989</v>
      </c>
      <c r="J15" s="168">
        <v>153616135</v>
      </c>
      <c r="K15" s="168">
        <v>168477004</v>
      </c>
      <c r="L15" s="168">
        <v>83620271</v>
      </c>
      <c r="M15" s="168">
        <v>9277936</v>
      </c>
      <c r="N15" s="168">
        <v>418026487</v>
      </c>
      <c r="O15" s="168">
        <v>29178201</v>
      </c>
      <c r="P15" s="168">
        <v>3400322</v>
      </c>
      <c r="Q15" s="168">
        <v>1244325</v>
      </c>
      <c r="R15" s="168">
        <v>0</v>
      </c>
      <c r="S15" s="167">
        <f t="shared" si="5"/>
        <v>8568023</v>
      </c>
      <c r="T15" s="168">
        <v>4180265</v>
      </c>
      <c r="U15" s="168">
        <v>2915515</v>
      </c>
      <c r="V15" s="168">
        <v>850081</v>
      </c>
      <c r="W15" s="168">
        <v>622162</v>
      </c>
      <c r="X15" s="168">
        <v>0</v>
      </c>
      <c r="Y15" s="168">
        <v>5367698</v>
      </c>
      <c r="Z15" s="168">
        <v>1644183</v>
      </c>
      <c r="AA15" s="365"/>
      <c r="AD15" s="365">
        <f>+'Asset Classification'!G13</f>
        <v>76256522</v>
      </c>
      <c r="AE15" s="365">
        <f>+'Asset Classification'!K13</f>
        <v>14782772</v>
      </c>
      <c r="AF15" s="365">
        <f>+'Asset Classification'!O13</f>
        <v>4765590</v>
      </c>
      <c r="AG15" s="365">
        <f>+'Asset Classification'!S13</f>
        <v>10965799</v>
      </c>
      <c r="AH15" s="365">
        <f>+'Asset Classification'!W13</f>
        <v>0</v>
      </c>
    </row>
    <row r="16" spans="1:35" s="159" customFormat="1" ht="49.5" customHeight="1">
      <c r="A16" s="370">
        <v>2</v>
      </c>
      <c r="B16" s="371" t="s">
        <v>746</v>
      </c>
      <c r="C16" s="169">
        <f>SUM(C17:C20)</f>
        <v>3076760951</v>
      </c>
      <c r="D16" s="372">
        <f>IFERROR(((C17*D17)/C16)+((C18*D18)/C16)+((C19*D19)/C16)+((C20*D20)/C16),0)</f>
        <v>0.18976249586445598</v>
      </c>
      <c r="E16" s="169">
        <f t="shared" ref="E16:Z16" si="7">SUM(E17:E20)</f>
        <v>3076760951</v>
      </c>
      <c r="F16" s="372">
        <f>IFERROR(((E17*F17)/E16)+((E18*F18)/E16)+((E19*F19)/E16)+((E20*F20)/E16),0)</f>
        <v>0.18976249586445598</v>
      </c>
      <c r="G16" s="169">
        <f t="shared" si="7"/>
        <v>0</v>
      </c>
      <c r="H16" s="372">
        <f>IFERROR(((G17*H17)/G16)+((G18*H18)/G16)+((G19*H19)/G16)+((G20*H20)/G16),0)</f>
        <v>0</v>
      </c>
      <c r="I16" s="169">
        <f t="shared" si="7"/>
        <v>67499654</v>
      </c>
      <c r="J16" s="169">
        <f t="shared" si="7"/>
        <v>386442141</v>
      </c>
      <c r="K16" s="169">
        <f t="shared" si="7"/>
        <v>741560939</v>
      </c>
      <c r="L16" s="169">
        <f t="shared" si="7"/>
        <v>804878998</v>
      </c>
      <c r="M16" s="169">
        <f t="shared" si="7"/>
        <v>1076379219</v>
      </c>
      <c r="N16" s="169">
        <f t="shared" si="7"/>
        <v>3014132745</v>
      </c>
      <c r="O16" s="169">
        <f t="shared" si="7"/>
        <v>53382400</v>
      </c>
      <c r="P16" s="169">
        <f t="shared" si="7"/>
        <v>4152516</v>
      </c>
      <c r="Q16" s="169">
        <f t="shared" si="7"/>
        <v>5093290</v>
      </c>
      <c r="R16" s="169">
        <f t="shared" si="7"/>
        <v>0</v>
      </c>
      <c r="S16" s="169">
        <f>SUM(S17:S20)</f>
        <v>39064360</v>
      </c>
      <c r="T16" s="169">
        <f t="shared" si="7"/>
        <v>30141327</v>
      </c>
      <c r="U16" s="169">
        <f t="shared" si="7"/>
        <v>5338260</v>
      </c>
      <c r="V16" s="169">
        <f t="shared" si="7"/>
        <v>1038128</v>
      </c>
      <c r="W16" s="169">
        <f t="shared" si="7"/>
        <v>2546645</v>
      </c>
      <c r="X16" s="169">
        <f t="shared" si="7"/>
        <v>0</v>
      </c>
      <c r="Y16" s="169">
        <f t="shared" si="7"/>
        <v>11213625</v>
      </c>
      <c r="Z16" s="169">
        <f t="shared" si="7"/>
        <v>308642</v>
      </c>
      <c r="AA16" s="365">
        <f>+'loans_av rate'!C20</f>
        <v>3076760951</v>
      </c>
      <c r="AB16" s="159">
        <f>+'loans_av rate'!E20</f>
        <v>3076760951</v>
      </c>
      <c r="AC16" s="159">
        <f>+'loans_av rate'!G20</f>
        <v>0</v>
      </c>
      <c r="AD16" s="473">
        <f>+AD15-T9</f>
        <v>0</v>
      </c>
      <c r="AE16" s="473">
        <f t="shared" ref="AE16:AH16" si="8">+AE15-U9</f>
        <v>0</v>
      </c>
      <c r="AF16" s="473">
        <f t="shared" si="8"/>
        <v>0</v>
      </c>
      <c r="AG16" s="473">
        <f t="shared" si="8"/>
        <v>0</v>
      </c>
      <c r="AH16" s="473">
        <f t="shared" si="8"/>
        <v>0</v>
      </c>
    </row>
    <row r="17" spans="1:29" s="161" customFormat="1" ht="49.5" customHeight="1">
      <c r="A17" s="376" t="s">
        <v>123</v>
      </c>
      <c r="B17" s="377" t="s">
        <v>517</v>
      </c>
      <c r="C17" s="167">
        <f t="shared" ref="C17:C26" si="9">+E17+G17</f>
        <v>2957187113</v>
      </c>
      <c r="D17" s="496">
        <f t="shared" ref="D17:D26" si="10">IFERROR((((E17*F17)+(G17*H17))/C17),0)</f>
        <v>0.19056518011771595</v>
      </c>
      <c r="E17" s="168">
        <v>2957187113</v>
      </c>
      <c r="F17" s="375">
        <v>0.19056518011771595</v>
      </c>
      <c r="G17" s="168">
        <v>0</v>
      </c>
      <c r="H17" s="375">
        <v>0</v>
      </c>
      <c r="I17" s="168">
        <v>64019760</v>
      </c>
      <c r="J17" s="168">
        <v>366301756</v>
      </c>
      <c r="K17" s="168">
        <v>703596892</v>
      </c>
      <c r="L17" s="168">
        <v>783147991</v>
      </c>
      <c r="M17" s="168">
        <v>1040120714</v>
      </c>
      <c r="N17" s="168">
        <v>2897518239</v>
      </c>
      <c r="O17" s="168">
        <v>51444192</v>
      </c>
      <c r="P17" s="168">
        <v>3781392</v>
      </c>
      <c r="Q17" s="168">
        <v>4443290</v>
      </c>
      <c r="R17" s="168">
        <v>0</v>
      </c>
      <c r="S17" s="167">
        <f t="shared" si="5"/>
        <v>37286613</v>
      </c>
      <c r="T17" s="168">
        <v>28975182</v>
      </c>
      <c r="U17" s="168">
        <v>5144439</v>
      </c>
      <c r="V17" s="168">
        <v>945347</v>
      </c>
      <c r="W17" s="168">
        <v>2221645</v>
      </c>
      <c r="X17" s="168">
        <v>0</v>
      </c>
      <c r="Y17" s="168">
        <v>11213625</v>
      </c>
      <c r="Z17" s="168">
        <v>308642</v>
      </c>
      <c r="AA17" s="477">
        <f>+'loans_av rate'!D20</f>
        <v>0.18976249592639258</v>
      </c>
      <c r="AB17" s="477">
        <f>+'loans_av rate'!F20</f>
        <v>0.18976249592639258</v>
      </c>
      <c r="AC17" s="477">
        <f>+'loans_av rate'!H20</f>
        <v>0</v>
      </c>
    </row>
    <row r="18" spans="1:29" s="161" customFormat="1" ht="49.5" customHeight="1">
      <c r="A18" s="376" t="s">
        <v>124</v>
      </c>
      <c r="B18" s="377" t="s">
        <v>518</v>
      </c>
      <c r="C18" s="167">
        <f t="shared" si="9"/>
        <v>45461512</v>
      </c>
      <c r="D18" s="496">
        <f t="shared" si="10"/>
        <v>0.16701078394789506</v>
      </c>
      <c r="E18" s="168">
        <v>45461512</v>
      </c>
      <c r="F18" s="375">
        <v>0.16701078394789506</v>
      </c>
      <c r="G18" s="168">
        <v>0</v>
      </c>
      <c r="H18" s="375">
        <v>0</v>
      </c>
      <c r="I18" s="168">
        <v>2218108</v>
      </c>
      <c r="J18" s="168">
        <v>13908431</v>
      </c>
      <c r="K18" s="168">
        <v>25933355</v>
      </c>
      <c r="L18" s="168">
        <v>1474761</v>
      </c>
      <c r="M18" s="168">
        <v>1926857</v>
      </c>
      <c r="N18" s="168">
        <v>44897107</v>
      </c>
      <c r="O18" s="168">
        <v>350421</v>
      </c>
      <c r="P18" s="168">
        <v>213984</v>
      </c>
      <c r="Q18" s="168">
        <v>0</v>
      </c>
      <c r="R18" s="168">
        <v>0</v>
      </c>
      <c r="S18" s="167">
        <f t="shared" si="5"/>
        <v>537509</v>
      </c>
      <c r="T18" s="168">
        <v>448971</v>
      </c>
      <c r="U18" s="168">
        <v>35042</v>
      </c>
      <c r="V18" s="168">
        <v>53496</v>
      </c>
      <c r="W18" s="168">
        <v>0</v>
      </c>
      <c r="X18" s="168">
        <v>0</v>
      </c>
      <c r="Y18" s="168">
        <v>0</v>
      </c>
      <c r="Z18" s="168">
        <v>0</v>
      </c>
      <c r="AA18" s="365"/>
    </row>
    <row r="19" spans="1:29" s="161" customFormat="1" ht="49.5" customHeight="1">
      <c r="A19" s="376" t="s">
        <v>126</v>
      </c>
      <c r="B19" s="377" t="s">
        <v>519</v>
      </c>
      <c r="C19" s="167">
        <f t="shared" si="9"/>
        <v>73468771</v>
      </c>
      <c r="D19" s="496">
        <f t="shared" si="10"/>
        <v>0.171466341058754</v>
      </c>
      <c r="E19" s="168">
        <v>73468771</v>
      </c>
      <c r="F19" s="375">
        <v>0.171466341058754</v>
      </c>
      <c r="G19" s="168">
        <v>0</v>
      </c>
      <c r="H19" s="375">
        <v>0</v>
      </c>
      <c r="I19" s="168">
        <v>1119979</v>
      </c>
      <c r="J19" s="168">
        <v>6044362</v>
      </c>
      <c r="K19" s="168">
        <v>11968823</v>
      </c>
      <c r="L19" s="168">
        <v>20116742</v>
      </c>
      <c r="M19" s="168">
        <v>34218865</v>
      </c>
      <c r="N19" s="168">
        <v>71073844</v>
      </c>
      <c r="O19" s="168">
        <v>1587787</v>
      </c>
      <c r="P19" s="168">
        <v>157140</v>
      </c>
      <c r="Q19" s="168">
        <v>650000</v>
      </c>
      <c r="R19" s="168">
        <v>0</v>
      </c>
      <c r="S19" s="167">
        <f t="shared" si="5"/>
        <v>1233802</v>
      </c>
      <c r="T19" s="168">
        <v>710738</v>
      </c>
      <c r="U19" s="168">
        <v>158779</v>
      </c>
      <c r="V19" s="168">
        <v>39285</v>
      </c>
      <c r="W19" s="168">
        <v>325000</v>
      </c>
      <c r="X19" s="168">
        <v>0</v>
      </c>
      <c r="Y19" s="168">
        <v>0</v>
      </c>
      <c r="Z19" s="168">
        <v>0</v>
      </c>
      <c r="AA19" s="365"/>
    </row>
    <row r="20" spans="1:29" s="161" customFormat="1" ht="49.5" customHeight="1">
      <c r="A20" s="376" t="s">
        <v>128</v>
      </c>
      <c r="B20" s="377" t="s">
        <v>520</v>
      </c>
      <c r="C20" s="167">
        <f t="shared" si="9"/>
        <v>643555</v>
      </c>
      <c r="D20" s="496">
        <f t="shared" si="10"/>
        <v>0.19727654263209829</v>
      </c>
      <c r="E20" s="168">
        <v>643555</v>
      </c>
      <c r="F20" s="375">
        <v>0.19727654263209829</v>
      </c>
      <c r="G20" s="168">
        <v>0</v>
      </c>
      <c r="H20" s="375">
        <v>0</v>
      </c>
      <c r="I20" s="168">
        <v>141807</v>
      </c>
      <c r="J20" s="168">
        <v>187592</v>
      </c>
      <c r="K20" s="168">
        <v>61869</v>
      </c>
      <c r="L20" s="168">
        <v>139504</v>
      </c>
      <c r="M20" s="168">
        <v>112783</v>
      </c>
      <c r="N20" s="168">
        <v>643555</v>
      </c>
      <c r="O20" s="168">
        <v>0</v>
      </c>
      <c r="P20" s="168">
        <v>0</v>
      </c>
      <c r="Q20" s="168">
        <v>0</v>
      </c>
      <c r="R20" s="168">
        <v>0</v>
      </c>
      <c r="S20" s="167">
        <f t="shared" si="5"/>
        <v>6436</v>
      </c>
      <c r="T20" s="168">
        <v>6436</v>
      </c>
      <c r="U20" s="168">
        <v>0</v>
      </c>
      <c r="V20" s="168">
        <v>0</v>
      </c>
      <c r="W20" s="168">
        <v>0</v>
      </c>
      <c r="X20" s="168">
        <v>0</v>
      </c>
      <c r="Y20" s="168">
        <v>0</v>
      </c>
      <c r="Z20" s="168">
        <v>0</v>
      </c>
      <c r="AA20" s="365"/>
    </row>
    <row r="21" spans="1:29" s="159" customFormat="1" ht="49.5" customHeight="1">
      <c r="A21" s="373">
        <v>3</v>
      </c>
      <c r="B21" s="378" t="s">
        <v>495</v>
      </c>
      <c r="C21" s="167">
        <f t="shared" si="9"/>
        <v>1789354481</v>
      </c>
      <c r="D21" s="496">
        <f t="shared" si="10"/>
        <v>0.29679456309060298</v>
      </c>
      <c r="E21" s="168">
        <v>1789354481</v>
      </c>
      <c r="F21" s="375">
        <v>0.29679456309060298</v>
      </c>
      <c r="G21" s="168">
        <v>0</v>
      </c>
      <c r="H21" s="375">
        <v>0</v>
      </c>
      <c r="I21" s="168">
        <v>738055350</v>
      </c>
      <c r="J21" s="168">
        <v>1051180450</v>
      </c>
      <c r="K21" s="168">
        <v>11568</v>
      </c>
      <c r="L21" s="168">
        <v>42863</v>
      </c>
      <c r="M21" s="168">
        <v>64250</v>
      </c>
      <c r="N21" s="168">
        <v>1759236376</v>
      </c>
      <c r="O21" s="168">
        <v>15908262</v>
      </c>
      <c r="P21" s="168">
        <v>6578887</v>
      </c>
      <c r="Q21" s="168">
        <v>7630956</v>
      </c>
      <c r="R21" s="168">
        <v>0</v>
      </c>
      <c r="S21" s="167">
        <f t="shared" si="5"/>
        <v>24643794</v>
      </c>
      <c r="T21" s="168">
        <v>17592364</v>
      </c>
      <c r="U21" s="168">
        <v>1591219</v>
      </c>
      <c r="V21" s="168">
        <v>1644733</v>
      </c>
      <c r="W21" s="168">
        <v>3815478</v>
      </c>
      <c r="X21" s="168">
        <v>0</v>
      </c>
      <c r="Y21" s="168">
        <v>10020807</v>
      </c>
      <c r="Z21" s="168">
        <v>0</v>
      </c>
      <c r="AA21" s="365">
        <f>+'loans_av rate'!C12+'loans_av rate'!C22</f>
        <v>1789354481</v>
      </c>
      <c r="AB21" s="365">
        <f>+'loans_av rate'!E12+'loans_av rate'!E22</f>
        <v>1789354481</v>
      </c>
      <c r="AC21" s="365">
        <f>+'loans_av rate'!G12+'loans_av rate'!G22</f>
        <v>0</v>
      </c>
    </row>
    <row r="22" spans="1:29" s="159" customFormat="1" ht="49.5" customHeight="1">
      <c r="A22" s="373">
        <v>4</v>
      </c>
      <c r="B22" s="378" t="s">
        <v>478</v>
      </c>
      <c r="C22" s="167">
        <f t="shared" si="9"/>
        <v>666059918</v>
      </c>
      <c r="D22" s="496">
        <f t="shared" si="10"/>
        <v>0.23004460158726245</v>
      </c>
      <c r="E22" s="168">
        <v>666059918</v>
      </c>
      <c r="F22" s="375">
        <v>0.23004460158726245</v>
      </c>
      <c r="G22" s="168">
        <v>0</v>
      </c>
      <c r="H22" s="375">
        <v>0</v>
      </c>
      <c r="I22" s="168">
        <v>214632993</v>
      </c>
      <c r="J22" s="168">
        <v>442172953</v>
      </c>
      <c r="K22" s="168">
        <v>9253972</v>
      </c>
      <c r="L22" s="168">
        <v>0</v>
      </c>
      <c r="M22" s="168">
        <v>0</v>
      </c>
      <c r="N22" s="168">
        <v>657973824</v>
      </c>
      <c r="O22" s="168">
        <v>6865540</v>
      </c>
      <c r="P22" s="168">
        <v>308148</v>
      </c>
      <c r="Q22" s="168">
        <v>912406</v>
      </c>
      <c r="R22" s="168">
        <v>0</v>
      </c>
      <c r="S22" s="167">
        <f t="shared" si="5"/>
        <v>7799532</v>
      </c>
      <c r="T22" s="168">
        <v>6579738</v>
      </c>
      <c r="U22" s="168">
        <v>686554</v>
      </c>
      <c r="V22" s="168">
        <v>77037</v>
      </c>
      <c r="W22" s="168">
        <v>456203</v>
      </c>
      <c r="X22" s="168">
        <v>0</v>
      </c>
      <c r="Y22" s="168">
        <v>9831697</v>
      </c>
      <c r="Z22" s="168">
        <v>0</v>
      </c>
      <c r="AA22" s="365">
        <f>+'loans_av rate'!C11+'loans_av rate'!C13+'loans_av rate'!C21+'loans_av rate'!C23</f>
        <v>666059918</v>
      </c>
      <c r="AB22" s="365">
        <f>+'loans_av rate'!E11+'loans_av rate'!E13+'loans_av rate'!E21+'loans_av rate'!E23</f>
        <v>666059918</v>
      </c>
      <c r="AC22" s="365">
        <f>+'loans_av rate'!G11+'loans_av rate'!G13+'loans_av rate'!G21+'loans_av rate'!G23</f>
        <v>0</v>
      </c>
    </row>
    <row r="23" spans="1:29" s="159" customFormat="1" ht="49.5" customHeight="1">
      <c r="A23" s="373" t="s">
        <v>161</v>
      </c>
      <c r="B23" s="378" t="s">
        <v>521</v>
      </c>
      <c r="C23" s="167">
        <f t="shared" si="9"/>
        <v>652148367</v>
      </c>
      <c r="D23" s="496">
        <f t="shared" si="10"/>
        <v>0.23010205958912416</v>
      </c>
      <c r="E23" s="168">
        <v>652148367</v>
      </c>
      <c r="F23" s="375">
        <v>0.23010205958912416</v>
      </c>
      <c r="G23" s="168">
        <v>0</v>
      </c>
      <c r="H23" s="375">
        <v>0</v>
      </c>
      <c r="I23" s="168">
        <v>211231072</v>
      </c>
      <c r="J23" s="168">
        <v>431663323</v>
      </c>
      <c r="K23" s="168">
        <v>9253972</v>
      </c>
      <c r="L23" s="168">
        <v>0</v>
      </c>
      <c r="M23" s="168">
        <v>0</v>
      </c>
      <c r="N23" s="168">
        <v>644356135</v>
      </c>
      <c r="O23" s="168">
        <v>6641829</v>
      </c>
      <c r="P23" s="168">
        <v>289963</v>
      </c>
      <c r="Q23" s="168">
        <v>860440</v>
      </c>
      <c r="R23" s="168">
        <v>0</v>
      </c>
      <c r="S23" s="167">
        <f t="shared" si="5"/>
        <v>1166894</v>
      </c>
      <c r="T23" s="168">
        <v>0</v>
      </c>
      <c r="U23" s="168">
        <v>664183</v>
      </c>
      <c r="V23" s="168">
        <v>72491</v>
      </c>
      <c r="W23" s="168">
        <v>430220</v>
      </c>
      <c r="X23" s="168">
        <v>0</v>
      </c>
      <c r="Y23" s="168">
        <v>1082909</v>
      </c>
      <c r="Z23" s="168">
        <v>0</v>
      </c>
      <c r="AA23" s="365">
        <f>+'loans_av rate'!C11+'loans_av rate'!C21</f>
        <v>652148367</v>
      </c>
      <c r="AB23" s="365">
        <f>+'loans_av rate'!E11+'loans_av rate'!E21</f>
        <v>652148367</v>
      </c>
      <c r="AC23" s="365">
        <f>+'loans_av rate'!G11+'loans_av rate'!G21</f>
        <v>0</v>
      </c>
    </row>
    <row r="24" spans="1:29" s="159" customFormat="1" ht="49.5" customHeight="1">
      <c r="A24" s="373">
        <v>5</v>
      </c>
      <c r="B24" s="378" t="s">
        <v>522</v>
      </c>
      <c r="C24" s="167">
        <f t="shared" si="9"/>
        <v>209793412</v>
      </c>
      <c r="D24" s="496">
        <f t="shared" si="10"/>
        <v>0.14038618579878573</v>
      </c>
      <c r="E24" s="168">
        <v>209793412</v>
      </c>
      <c r="F24" s="375">
        <v>0.14038618579878573</v>
      </c>
      <c r="G24" s="168">
        <v>0</v>
      </c>
      <c r="H24" s="375">
        <v>0</v>
      </c>
      <c r="I24" s="168">
        <v>2517992</v>
      </c>
      <c r="J24" s="168">
        <v>57598651</v>
      </c>
      <c r="K24" s="168">
        <v>131531023</v>
      </c>
      <c r="L24" s="168">
        <v>18145746</v>
      </c>
      <c r="M24" s="168">
        <v>0</v>
      </c>
      <c r="N24" s="168">
        <v>209585931</v>
      </c>
      <c r="O24" s="168">
        <v>192643</v>
      </c>
      <c r="P24" s="168">
        <v>14838</v>
      </c>
      <c r="Q24" s="168">
        <v>0</v>
      </c>
      <c r="R24" s="168">
        <v>0</v>
      </c>
      <c r="S24" s="167">
        <f t="shared" si="5"/>
        <v>2118833</v>
      </c>
      <c r="T24" s="168">
        <v>2095859</v>
      </c>
      <c r="U24" s="168">
        <v>19264</v>
      </c>
      <c r="V24" s="168">
        <v>3710</v>
      </c>
      <c r="W24" s="168">
        <v>0</v>
      </c>
      <c r="X24" s="168">
        <v>0</v>
      </c>
      <c r="Y24" s="168">
        <v>7880</v>
      </c>
      <c r="Z24" s="168">
        <v>0</v>
      </c>
      <c r="AA24" s="365">
        <f>+'loans_av rate'!C14+'loans_av rate'!C24</f>
        <v>209793412</v>
      </c>
      <c r="AB24" s="365">
        <f>+'loans_av rate'!E14+'loans_av rate'!E24</f>
        <v>209793412</v>
      </c>
      <c r="AC24" s="365">
        <f>+'loans_av rate'!G14+'loans_av rate'!G24</f>
        <v>0</v>
      </c>
    </row>
    <row r="25" spans="1:29" s="159" customFormat="1" ht="49.5" customHeight="1">
      <c r="A25" s="373">
        <v>6</v>
      </c>
      <c r="B25" s="378" t="s">
        <v>523</v>
      </c>
      <c r="C25" s="167">
        <f t="shared" si="9"/>
        <v>120757</v>
      </c>
      <c r="D25" s="496">
        <f t="shared" si="10"/>
        <v>7.9999752746424652E-2</v>
      </c>
      <c r="E25" s="168">
        <v>120757</v>
      </c>
      <c r="F25" s="375">
        <v>7.9999752746424652E-2</v>
      </c>
      <c r="G25" s="168">
        <v>0</v>
      </c>
      <c r="H25" s="375">
        <v>0</v>
      </c>
      <c r="I25" s="168">
        <v>120757</v>
      </c>
      <c r="J25" s="168">
        <v>0</v>
      </c>
      <c r="K25" s="168">
        <v>0</v>
      </c>
      <c r="L25" s="168">
        <v>0</v>
      </c>
      <c r="M25" s="168">
        <v>0</v>
      </c>
      <c r="N25" s="168">
        <v>100757</v>
      </c>
      <c r="O25" s="168">
        <v>0</v>
      </c>
      <c r="P25" s="168">
        <v>0</v>
      </c>
      <c r="Q25" s="168">
        <v>20000</v>
      </c>
      <c r="R25" s="168">
        <v>0</v>
      </c>
      <c r="S25" s="167">
        <f t="shared" si="5"/>
        <v>11008</v>
      </c>
      <c r="T25" s="168">
        <v>1008</v>
      </c>
      <c r="U25" s="168">
        <v>0</v>
      </c>
      <c r="V25" s="168">
        <v>0</v>
      </c>
      <c r="W25" s="168">
        <v>10000</v>
      </c>
      <c r="X25" s="168">
        <v>0</v>
      </c>
      <c r="Y25" s="168">
        <v>8746096</v>
      </c>
      <c r="Z25" s="168">
        <v>0</v>
      </c>
      <c r="AA25" s="365">
        <f>+'loans_av rate'!C15+'loans_av rate'!C25</f>
        <v>120757</v>
      </c>
      <c r="AB25" s="365">
        <f>+'loans_av rate'!E15+'loans_av rate'!E25</f>
        <v>120757</v>
      </c>
      <c r="AC25" s="365">
        <f>+'loans_av rate'!G15+'loans_av rate'!G25</f>
        <v>0</v>
      </c>
    </row>
    <row r="26" spans="1:29" s="159" customFormat="1" ht="49.5" customHeight="1">
      <c r="A26" s="373">
        <v>7</v>
      </c>
      <c r="B26" s="378" t="s">
        <v>479</v>
      </c>
      <c r="C26" s="167">
        <f t="shared" si="9"/>
        <v>0</v>
      </c>
      <c r="D26" s="496">
        <f t="shared" si="10"/>
        <v>0</v>
      </c>
      <c r="E26" s="168">
        <v>0</v>
      </c>
      <c r="F26" s="375">
        <v>0</v>
      </c>
      <c r="G26" s="168">
        <v>0</v>
      </c>
      <c r="H26" s="375">
        <v>0</v>
      </c>
      <c r="I26" s="168">
        <v>0</v>
      </c>
      <c r="J26" s="168">
        <v>0</v>
      </c>
      <c r="K26" s="168">
        <v>0</v>
      </c>
      <c r="L26" s="168">
        <v>0</v>
      </c>
      <c r="M26" s="168">
        <v>0</v>
      </c>
      <c r="N26" s="168">
        <v>0</v>
      </c>
      <c r="O26" s="168">
        <v>0</v>
      </c>
      <c r="P26" s="168">
        <v>0</v>
      </c>
      <c r="Q26" s="168">
        <v>0</v>
      </c>
      <c r="R26" s="168">
        <v>0</v>
      </c>
      <c r="S26" s="167">
        <f t="shared" si="5"/>
        <v>0</v>
      </c>
      <c r="T26" s="168">
        <v>0</v>
      </c>
      <c r="U26" s="168">
        <v>0</v>
      </c>
      <c r="V26" s="168">
        <v>0</v>
      </c>
      <c r="W26" s="168">
        <v>0</v>
      </c>
      <c r="X26" s="168">
        <v>0</v>
      </c>
      <c r="Y26" s="168">
        <v>40815</v>
      </c>
      <c r="Z26" s="168">
        <v>0</v>
      </c>
      <c r="AA26" s="365">
        <f>+'loans_av rate'!C16+'loans_av rate'!C26</f>
        <v>0</v>
      </c>
      <c r="AB26" s="365">
        <f>+'loans_av rate'!E16+'loans_av rate'!E26</f>
        <v>0</v>
      </c>
      <c r="AC26" s="365">
        <f>+'loans_av rate'!G16+'loans_av rate'!G26</f>
        <v>0</v>
      </c>
    </row>
    <row r="27" spans="1:29" s="163" customFormat="1" ht="49.5" customHeight="1">
      <c r="A27" s="367" t="s">
        <v>53</v>
      </c>
      <c r="B27" s="367" t="s">
        <v>524</v>
      </c>
      <c r="C27" s="160">
        <f>+C28</f>
        <v>49309911126</v>
      </c>
      <c r="D27" s="368">
        <f>IFERROR(((C29*D29)/C27)+((C30*D30)/C27)+((C31*D31)/C27)+((C32*D32)/C27)+((C33*D33)/C27)+((C34*D34)/C27)+((C35*D35)/C27),0)</f>
        <v>0.11098945686986082</v>
      </c>
      <c r="E27" s="160">
        <f t="shared" ref="E27:Z27" si="11">+E28</f>
        <v>11296950484</v>
      </c>
      <c r="F27" s="368">
        <f>IFERROR(((E29*F29)/E27)+((E30*F30)/E27)+((E31*F31)/E27)+((E32*F32)/E27)+((E33*F33)/E27)+((E34*F34)/E27)+((E35*F35)/E27),0)</f>
        <v>0.19042722253967975</v>
      </c>
      <c r="G27" s="160">
        <f t="shared" si="11"/>
        <v>38012960642</v>
      </c>
      <c r="H27" s="368">
        <f>IFERROR(((G29*H29)/G27)+((G30*H30)/G27)+((G31*H31)/G27)+((G32*H32)/G27)+((G33*H33)/G27)+((G34*H34)/G27)+((G35*H35)/G27),0)</f>
        <v>8.7381600755122663E-2</v>
      </c>
      <c r="I27" s="160">
        <f t="shared" si="11"/>
        <v>21100703818</v>
      </c>
      <c r="J27" s="160">
        <f t="shared" si="11"/>
        <v>22019135753</v>
      </c>
      <c r="K27" s="160">
        <f t="shared" si="11"/>
        <v>5828667908</v>
      </c>
      <c r="L27" s="160">
        <f t="shared" si="11"/>
        <v>361403647</v>
      </c>
      <c r="M27" s="160">
        <f t="shared" si="11"/>
        <v>0</v>
      </c>
      <c r="N27" s="160">
        <f t="shared" si="11"/>
        <v>41923099031</v>
      </c>
      <c r="O27" s="160">
        <f t="shared" si="11"/>
        <v>6144630079</v>
      </c>
      <c r="P27" s="160">
        <f t="shared" si="11"/>
        <v>486942172</v>
      </c>
      <c r="Q27" s="160">
        <f t="shared" si="11"/>
        <v>728000512</v>
      </c>
      <c r="R27" s="160">
        <f t="shared" si="11"/>
        <v>27239332</v>
      </c>
      <c r="S27" s="160">
        <f t="shared" si="11"/>
        <v>1547011857</v>
      </c>
      <c r="T27" s="160">
        <f t="shared" si="11"/>
        <v>428697451</v>
      </c>
      <c r="U27" s="160">
        <f t="shared" si="11"/>
        <v>605339273</v>
      </c>
      <c r="V27" s="160">
        <f t="shared" si="11"/>
        <v>121735543</v>
      </c>
      <c r="W27" s="160">
        <f t="shared" si="11"/>
        <v>364000258</v>
      </c>
      <c r="X27" s="160">
        <f t="shared" si="11"/>
        <v>27239332</v>
      </c>
      <c r="Y27" s="160">
        <f t="shared" si="11"/>
        <v>1910517708</v>
      </c>
      <c r="Z27" s="160">
        <f t="shared" si="11"/>
        <v>47053984</v>
      </c>
      <c r="AA27" s="365">
        <f>+'loans_av rate'!C28+'loans_av rate'!C37</f>
        <v>49309911126</v>
      </c>
      <c r="AB27" s="365">
        <f>+'loans_av rate'!E28+'loans_av rate'!E37</f>
        <v>11296950484</v>
      </c>
      <c r="AC27" s="365">
        <f>+'loans_av rate'!G28+'loans_av rate'!G37</f>
        <v>38012960642</v>
      </c>
    </row>
    <row r="28" spans="1:29" s="163" customFormat="1" ht="33.75" customHeight="1">
      <c r="A28" s="367"/>
      <c r="B28" s="367" t="s">
        <v>525</v>
      </c>
      <c r="C28" s="160">
        <f>SUM(C29:C35)</f>
        <v>49309911126</v>
      </c>
      <c r="D28" s="368">
        <f>IFERROR(((C29*D29)/C28)+((C30*D30)/C28)+((C31*D31)/C28)+((C32*D32)/C28)+((C33*D33)/C28)+((C34*D34)/C28)+((C35*D35)/C28),0)</f>
        <v>0.11098945686986082</v>
      </c>
      <c r="E28" s="160">
        <f>SUM(E29:E35)</f>
        <v>11296950484</v>
      </c>
      <c r="F28" s="368">
        <f>IFERROR(((E29*F29)/E28)+((E30*F30)/E28)+((E31*F31)/E28)+((E32*F32)/E28)+((E33*F33)/E28)+((E34*F34)/E28)+((E35*F35)/E28),0)</f>
        <v>0.19042722253967975</v>
      </c>
      <c r="G28" s="160">
        <f>SUM(G29:G35)</f>
        <v>38012960642</v>
      </c>
      <c r="H28" s="368">
        <f>IFERROR(+((G29*H29)/G28)+((G30*H30)/G28)+((G31*H31)/G28)+((G32*H32)/G28)+((G33*H33)/G28)+((G34*H34)/G28)+((G35*H35)/G28),0)</f>
        <v>8.7381600755122663E-2</v>
      </c>
      <c r="I28" s="160">
        <f>SUM(I29:I35)</f>
        <v>21100703818</v>
      </c>
      <c r="J28" s="160">
        <f t="shared" ref="J28:R28" si="12">SUM(J29:J35)</f>
        <v>22019135753</v>
      </c>
      <c r="K28" s="160">
        <f t="shared" si="12"/>
        <v>5828667908</v>
      </c>
      <c r="L28" s="160">
        <f t="shared" si="12"/>
        <v>361403647</v>
      </c>
      <c r="M28" s="160">
        <f t="shared" si="12"/>
        <v>0</v>
      </c>
      <c r="N28" s="160">
        <f t="shared" si="12"/>
        <v>41923099031</v>
      </c>
      <c r="O28" s="160">
        <f t="shared" si="12"/>
        <v>6144630079</v>
      </c>
      <c r="P28" s="160">
        <f t="shared" si="12"/>
        <v>486942172</v>
      </c>
      <c r="Q28" s="160">
        <f t="shared" si="12"/>
        <v>728000512</v>
      </c>
      <c r="R28" s="160">
        <f t="shared" si="12"/>
        <v>27239332</v>
      </c>
      <c r="S28" s="160">
        <f t="shared" ref="S28" si="13">SUM(S29:S35)</f>
        <v>1547011857</v>
      </c>
      <c r="T28" s="160">
        <f t="shared" ref="T28" si="14">SUM(T29:T35)</f>
        <v>428697451</v>
      </c>
      <c r="U28" s="160">
        <f t="shared" ref="U28" si="15">SUM(U29:U35)</f>
        <v>605339273</v>
      </c>
      <c r="V28" s="160">
        <f t="shared" ref="V28" si="16">SUM(V29:V35)</f>
        <v>121735543</v>
      </c>
      <c r="W28" s="160">
        <f t="shared" ref="W28" si="17">SUM(W29:W35)</f>
        <v>364000258</v>
      </c>
      <c r="X28" s="160">
        <f t="shared" ref="X28" si="18">SUM(X29:X35)</f>
        <v>27239332</v>
      </c>
      <c r="Y28" s="160">
        <f t="shared" ref="Y28" si="19">SUM(Y29:Y35)</f>
        <v>1910517708</v>
      </c>
      <c r="Z28" s="160">
        <f t="shared" ref="Z28" si="20">SUM(Z29:Z35)</f>
        <v>47053984</v>
      </c>
      <c r="AA28" s="365">
        <f>+'loans_av rate'!C28+'loans_av rate'!C37</f>
        <v>49309911126</v>
      </c>
      <c r="AB28" s="365">
        <f>+'loans_av rate'!E28+'loans_av rate'!E37</f>
        <v>11296950484</v>
      </c>
      <c r="AC28" s="365">
        <f>+'loans_av rate'!G28+'loans_av rate'!G37</f>
        <v>38012960642</v>
      </c>
    </row>
    <row r="29" spans="1:29" s="159" customFormat="1" ht="49.5" customHeight="1">
      <c r="A29" s="373">
        <v>1</v>
      </c>
      <c r="B29" s="378" t="s">
        <v>176</v>
      </c>
      <c r="C29" s="167">
        <f t="shared" ref="C29:C34" si="21">+E29+G29</f>
        <v>682886234</v>
      </c>
      <c r="D29" s="496">
        <f t="shared" ref="D29:D35" si="22">IFERROR((((E29*F29)+(G29*H29))/C29),0)</f>
        <v>0.14308106204267332</v>
      </c>
      <c r="E29" s="168">
        <v>271942136</v>
      </c>
      <c r="F29" s="375">
        <v>0.18788878365862602</v>
      </c>
      <c r="G29" s="168">
        <v>410944098</v>
      </c>
      <c r="H29" s="375">
        <v>0.11342956544048692</v>
      </c>
      <c r="I29" s="168">
        <v>476831315</v>
      </c>
      <c r="J29" s="168">
        <v>165923389</v>
      </c>
      <c r="K29" s="168">
        <v>40019533</v>
      </c>
      <c r="L29" s="168">
        <v>111997</v>
      </c>
      <c r="M29" s="168">
        <v>0</v>
      </c>
      <c r="N29" s="168">
        <v>652632305</v>
      </c>
      <c r="O29" s="168">
        <v>22258189</v>
      </c>
      <c r="P29" s="168">
        <v>5362942</v>
      </c>
      <c r="Q29" s="168">
        <v>2632798</v>
      </c>
      <c r="R29" s="168">
        <v>0</v>
      </c>
      <c r="S29" s="167">
        <f t="shared" ref="S29:S35" si="23">SUM(T29:X29)</f>
        <v>11409276</v>
      </c>
      <c r="T29" s="168">
        <v>6526323</v>
      </c>
      <c r="U29" s="168">
        <v>2225819</v>
      </c>
      <c r="V29" s="168">
        <v>1340735</v>
      </c>
      <c r="W29" s="168">
        <v>1316399</v>
      </c>
      <c r="X29" s="168">
        <v>0</v>
      </c>
      <c r="Y29" s="168">
        <v>25609</v>
      </c>
      <c r="Z29" s="168">
        <v>47053984</v>
      </c>
      <c r="AA29" s="365">
        <f>+'loans_av rate'!C30+'loans_av rate'!C39</f>
        <v>682886234</v>
      </c>
      <c r="AB29" s="365">
        <f>+'loans_av rate'!E30+'loans_av rate'!E39</f>
        <v>271942136</v>
      </c>
      <c r="AC29" s="365">
        <f>+'loans_av rate'!G30+'loans_av rate'!G39</f>
        <v>410944098</v>
      </c>
    </row>
    <row r="30" spans="1:29" s="159" customFormat="1" ht="49.5" customHeight="1">
      <c r="A30" s="373">
        <v>2</v>
      </c>
      <c r="B30" s="378" t="s">
        <v>498</v>
      </c>
      <c r="C30" s="167">
        <f t="shared" si="21"/>
        <v>1510595487</v>
      </c>
      <c r="D30" s="496">
        <f t="shared" si="22"/>
        <v>8.8119887371774508E-2</v>
      </c>
      <c r="E30" s="168">
        <v>0</v>
      </c>
      <c r="F30" s="375">
        <v>0</v>
      </c>
      <c r="G30" s="168">
        <v>1510595487</v>
      </c>
      <c r="H30" s="375">
        <v>8.8119887371774508E-2</v>
      </c>
      <c r="I30" s="168">
        <v>262505212</v>
      </c>
      <c r="J30" s="168">
        <v>1158207981</v>
      </c>
      <c r="K30" s="168">
        <v>89882294</v>
      </c>
      <c r="L30" s="168">
        <v>0</v>
      </c>
      <c r="M30" s="168">
        <v>0</v>
      </c>
      <c r="N30" s="168">
        <v>1510595487</v>
      </c>
      <c r="O30" s="168">
        <v>0</v>
      </c>
      <c r="P30" s="168">
        <v>0</v>
      </c>
      <c r="Q30" s="168">
        <v>0</v>
      </c>
      <c r="R30" s="168">
        <v>0</v>
      </c>
      <c r="S30" s="167">
        <f t="shared" si="23"/>
        <v>15105955</v>
      </c>
      <c r="T30" s="168">
        <v>15105955</v>
      </c>
      <c r="U30" s="168">
        <v>0</v>
      </c>
      <c r="V30" s="168">
        <v>0</v>
      </c>
      <c r="W30" s="168">
        <v>0</v>
      </c>
      <c r="X30" s="168">
        <v>0</v>
      </c>
      <c r="Y30" s="168">
        <v>43392405</v>
      </c>
      <c r="Z30" s="168">
        <v>0</v>
      </c>
      <c r="AA30" s="365">
        <f>+'loans_av rate'!C31+'loans_av rate'!C40</f>
        <v>1510595487</v>
      </c>
      <c r="AB30" s="365">
        <f>+'loans_av rate'!E31+'loans_av rate'!E40</f>
        <v>0</v>
      </c>
      <c r="AC30" s="365">
        <f>+'loans_av rate'!G31+'loans_av rate'!G40</f>
        <v>1510595487</v>
      </c>
    </row>
    <row r="31" spans="1:29" s="159" customFormat="1" ht="49.5" customHeight="1">
      <c r="A31" s="373">
        <v>3</v>
      </c>
      <c r="B31" s="378" t="s">
        <v>177</v>
      </c>
      <c r="C31" s="167">
        <f t="shared" si="21"/>
        <v>401306653</v>
      </c>
      <c r="D31" s="496">
        <f t="shared" si="22"/>
        <v>6.056176485661053E-2</v>
      </c>
      <c r="E31" s="168">
        <v>1127200</v>
      </c>
      <c r="F31" s="375">
        <v>0.26</v>
      </c>
      <c r="G31" s="168">
        <v>400179453</v>
      </c>
      <c r="H31" s="375">
        <v>5.9999999935977218E-2</v>
      </c>
      <c r="I31" s="168">
        <v>2845308</v>
      </c>
      <c r="J31" s="168">
        <v>137065567</v>
      </c>
      <c r="K31" s="168">
        <v>261395778</v>
      </c>
      <c r="L31" s="168">
        <v>0</v>
      </c>
      <c r="M31" s="168">
        <v>0</v>
      </c>
      <c r="N31" s="168">
        <v>401306653</v>
      </c>
      <c r="O31" s="168">
        <v>0</v>
      </c>
      <c r="P31" s="168">
        <v>0</v>
      </c>
      <c r="Q31" s="168">
        <v>0</v>
      </c>
      <c r="R31" s="168">
        <v>0</v>
      </c>
      <c r="S31" s="167">
        <f t="shared" si="23"/>
        <v>4013067</v>
      </c>
      <c r="T31" s="168">
        <v>4013067</v>
      </c>
      <c r="U31" s="168">
        <v>0</v>
      </c>
      <c r="V31" s="168">
        <v>0</v>
      </c>
      <c r="W31" s="168">
        <v>0</v>
      </c>
      <c r="X31" s="168">
        <v>0</v>
      </c>
      <c r="Y31" s="168">
        <v>0</v>
      </c>
      <c r="Z31" s="168">
        <v>0</v>
      </c>
      <c r="AA31" s="365">
        <f>+'loans_av rate'!C32+'loans_av rate'!C41</f>
        <v>401306653</v>
      </c>
      <c r="AB31" s="365">
        <f>+'loans_av rate'!E32+'loans_av rate'!E41</f>
        <v>1127200</v>
      </c>
      <c r="AC31" s="365">
        <f>+'loans_av rate'!G32+'loans_av rate'!G41</f>
        <v>400179453</v>
      </c>
    </row>
    <row r="32" spans="1:29" s="159" customFormat="1" ht="49.5" customHeight="1">
      <c r="A32" s="373">
        <v>4</v>
      </c>
      <c r="B32" s="378" t="s">
        <v>178</v>
      </c>
      <c r="C32" s="167">
        <f t="shared" si="21"/>
        <v>98000001</v>
      </c>
      <c r="D32" s="496">
        <f t="shared" si="22"/>
        <v>0.11999999946122451</v>
      </c>
      <c r="E32" s="168">
        <v>98000001</v>
      </c>
      <c r="F32" s="375">
        <v>0.11999999946122451</v>
      </c>
      <c r="G32" s="168">
        <v>0</v>
      </c>
      <c r="H32" s="375">
        <v>0</v>
      </c>
      <c r="I32" s="168">
        <v>98000001</v>
      </c>
      <c r="J32" s="168">
        <v>0</v>
      </c>
      <c r="K32" s="168">
        <v>0</v>
      </c>
      <c r="L32" s="168">
        <v>0</v>
      </c>
      <c r="M32" s="168">
        <v>0</v>
      </c>
      <c r="N32" s="168">
        <v>98000001</v>
      </c>
      <c r="O32" s="168">
        <v>0</v>
      </c>
      <c r="P32" s="168">
        <v>0</v>
      </c>
      <c r="Q32" s="168">
        <v>0</v>
      </c>
      <c r="R32" s="168">
        <v>0</v>
      </c>
      <c r="S32" s="167">
        <f t="shared" si="23"/>
        <v>980000</v>
      </c>
      <c r="T32" s="168">
        <v>980000</v>
      </c>
      <c r="U32" s="168">
        <v>0</v>
      </c>
      <c r="V32" s="168">
        <v>0</v>
      </c>
      <c r="W32" s="168">
        <v>0</v>
      </c>
      <c r="X32" s="168">
        <v>0</v>
      </c>
      <c r="Y32" s="168">
        <v>0</v>
      </c>
      <c r="Z32" s="168">
        <v>0</v>
      </c>
      <c r="AA32" s="365">
        <f>+'loans_av rate'!C33+'loans_av rate'!C42</f>
        <v>98000001</v>
      </c>
      <c r="AB32" s="365">
        <f>+'loans_av rate'!E33+'loans_av rate'!E42</f>
        <v>98000001</v>
      </c>
      <c r="AC32" s="365">
        <f>+'loans_av rate'!G33+'loans_av rate'!G42</f>
        <v>0</v>
      </c>
    </row>
    <row r="33" spans="1:29" s="159" customFormat="1" ht="49.5" customHeight="1">
      <c r="A33" s="373">
        <v>5</v>
      </c>
      <c r="B33" s="378" t="s">
        <v>499</v>
      </c>
      <c r="C33" s="167">
        <f t="shared" si="21"/>
        <v>204175014</v>
      </c>
      <c r="D33" s="496">
        <f t="shared" si="22"/>
        <v>0.11024018183856833</v>
      </c>
      <c r="E33" s="168">
        <v>322800</v>
      </c>
      <c r="F33" s="375">
        <v>0.27140000336307313</v>
      </c>
      <c r="G33" s="168">
        <v>203852214</v>
      </c>
      <c r="H33" s="375">
        <v>0.10998498524605985</v>
      </c>
      <c r="I33" s="168">
        <v>168654263</v>
      </c>
      <c r="J33" s="168">
        <v>35520751</v>
      </c>
      <c r="K33" s="168">
        <v>0</v>
      </c>
      <c r="L33" s="168">
        <v>0</v>
      </c>
      <c r="M33" s="168">
        <v>0</v>
      </c>
      <c r="N33" s="168">
        <v>192125210</v>
      </c>
      <c r="O33" s="168">
        <v>5312836</v>
      </c>
      <c r="P33" s="168">
        <v>3800341</v>
      </c>
      <c r="Q33" s="168">
        <v>2936627</v>
      </c>
      <c r="R33" s="168">
        <v>0</v>
      </c>
      <c r="S33" s="167">
        <f t="shared" si="23"/>
        <v>4870935</v>
      </c>
      <c r="T33" s="168">
        <v>1921252</v>
      </c>
      <c r="U33" s="168">
        <v>531284</v>
      </c>
      <c r="V33" s="168">
        <v>950085</v>
      </c>
      <c r="W33" s="168">
        <v>1468314</v>
      </c>
      <c r="X33" s="168">
        <v>0</v>
      </c>
      <c r="Y33" s="168">
        <v>0</v>
      </c>
      <c r="Z33" s="168">
        <v>0</v>
      </c>
      <c r="AA33" s="365">
        <f>+'loans_av rate'!C34+'loans_av rate'!C43</f>
        <v>204175014</v>
      </c>
      <c r="AB33" s="365">
        <f>+'loans_av rate'!E34+'loans_av rate'!E43</f>
        <v>322800</v>
      </c>
      <c r="AC33" s="365">
        <f>+'loans_av rate'!G34+'loans_av rate'!G43</f>
        <v>203852214</v>
      </c>
    </row>
    <row r="34" spans="1:29" s="159" customFormat="1" ht="49.5" customHeight="1">
      <c r="A34" s="373">
        <v>6</v>
      </c>
      <c r="B34" s="378" t="s">
        <v>526</v>
      </c>
      <c r="C34" s="167">
        <f t="shared" si="21"/>
        <v>0</v>
      </c>
      <c r="D34" s="496">
        <f t="shared" si="22"/>
        <v>0</v>
      </c>
      <c r="E34" s="168">
        <v>0</v>
      </c>
      <c r="F34" s="375">
        <v>0</v>
      </c>
      <c r="G34" s="168">
        <v>0</v>
      </c>
      <c r="H34" s="375">
        <v>0</v>
      </c>
      <c r="I34" s="168">
        <v>0</v>
      </c>
      <c r="J34" s="168">
        <v>0</v>
      </c>
      <c r="K34" s="168">
        <v>0</v>
      </c>
      <c r="L34" s="168">
        <v>0</v>
      </c>
      <c r="M34" s="168">
        <v>0</v>
      </c>
      <c r="N34" s="168">
        <v>0</v>
      </c>
      <c r="O34" s="168">
        <v>0</v>
      </c>
      <c r="P34" s="168">
        <v>0</v>
      </c>
      <c r="Q34" s="168">
        <v>0</v>
      </c>
      <c r="R34" s="168">
        <v>0</v>
      </c>
      <c r="S34" s="167">
        <f t="shared" si="23"/>
        <v>0</v>
      </c>
      <c r="T34" s="168">
        <v>0</v>
      </c>
      <c r="U34" s="168">
        <v>0</v>
      </c>
      <c r="V34" s="168">
        <v>0</v>
      </c>
      <c r="W34" s="168">
        <v>0</v>
      </c>
      <c r="X34" s="168">
        <v>0</v>
      </c>
      <c r="Y34" s="168">
        <v>0</v>
      </c>
      <c r="Z34" s="168">
        <v>0</v>
      </c>
      <c r="AA34" s="365"/>
      <c r="AB34" s="365"/>
      <c r="AC34" s="365"/>
    </row>
    <row r="35" spans="1:29" s="159" customFormat="1" ht="49.5" customHeight="1">
      <c r="A35" s="373">
        <v>7</v>
      </c>
      <c r="B35" s="378" t="s">
        <v>527</v>
      </c>
      <c r="C35" s="167">
        <f t="shared" ref="C35" si="24">+E35+G35</f>
        <v>46412947737</v>
      </c>
      <c r="D35" s="496">
        <f t="shared" si="22"/>
        <v>0.11168190742511259</v>
      </c>
      <c r="E35" s="168">
        <v>10925558347</v>
      </c>
      <c r="F35" s="375">
        <v>0.19111255282096354</v>
      </c>
      <c r="G35" s="168">
        <v>35487389390</v>
      </c>
      <c r="H35" s="375">
        <v>8.7227469786011938E-2</v>
      </c>
      <c r="I35" s="168">
        <v>20091867719</v>
      </c>
      <c r="J35" s="168">
        <v>20522418065</v>
      </c>
      <c r="K35" s="168">
        <v>5437370303</v>
      </c>
      <c r="L35" s="168">
        <v>361291650</v>
      </c>
      <c r="M35" s="168">
        <v>0</v>
      </c>
      <c r="N35" s="168">
        <v>39068439375</v>
      </c>
      <c r="O35" s="168">
        <v>6117059054</v>
      </c>
      <c r="P35" s="168">
        <v>477778889</v>
      </c>
      <c r="Q35" s="168">
        <v>722431087</v>
      </c>
      <c r="R35" s="168">
        <v>27239332</v>
      </c>
      <c r="S35" s="167">
        <f t="shared" si="23"/>
        <v>1510632624</v>
      </c>
      <c r="T35" s="168">
        <f>390684394+9466460</f>
        <v>400150854</v>
      </c>
      <c r="U35" s="168">
        <v>602582170</v>
      </c>
      <c r="V35" s="168">
        <v>119444723</v>
      </c>
      <c r="W35" s="168">
        <v>361215545</v>
      </c>
      <c r="X35" s="168">
        <v>27239332</v>
      </c>
      <c r="Y35" s="168">
        <v>1867099694</v>
      </c>
      <c r="Z35" s="168">
        <v>0</v>
      </c>
      <c r="AA35" s="365">
        <f>+'loans_av rate'!C35+'loans_av rate'!C44</f>
        <v>46412947737</v>
      </c>
      <c r="AB35" s="365">
        <f>+'loans_av rate'!E35+'loans_av rate'!E44</f>
        <v>10925558347</v>
      </c>
      <c r="AC35" s="365">
        <f>+'loans_av rate'!G35+'loans_av rate'!G44</f>
        <v>35487389390</v>
      </c>
    </row>
    <row r="36" spans="1:29" s="163" customFormat="1" ht="33.75" customHeight="1">
      <c r="A36" s="367"/>
      <c r="B36" s="367" t="s">
        <v>528</v>
      </c>
      <c r="C36" s="160">
        <f>SUM(C37:C42)</f>
        <v>49309911126</v>
      </c>
      <c r="D36" s="368">
        <f>IFERROR(((C37*D37)/C36)+((C38*D38)/C36)+((C39*D39)/C36)+((C40*D40)/C36)+((C41*D41)/C36)+((C42*D42)/C36),0)</f>
        <v>0.11098945687042998</v>
      </c>
      <c r="E36" s="160">
        <f>SUM(E37:E42)</f>
        <v>11296950484</v>
      </c>
      <c r="F36" s="368">
        <f>IFERROR(((E37*F37)/E36)+((E38*F38)/E36)+((E39*F39)/E36)+((E40*F40)/E36)+((E41*F41)/E36)+((E42*F42)/E36),0)</f>
        <v>0.1904272225309227</v>
      </c>
      <c r="G36" s="160">
        <f>SUM(G37:G42)</f>
        <v>38012960642</v>
      </c>
      <c r="H36" s="368">
        <f>IFERROR(((G37*H37)/G36)+((G38*H38)/G36)+((G39*H39)/G36)+((G40*H40)/G36)+((G41*H41)/G36)+((G42*H42)/G36),0)</f>
        <v>8.7381600758463462E-2</v>
      </c>
      <c r="I36" s="160">
        <f t="shared" ref="I36:Z36" si="25">SUM(I37:I42)</f>
        <v>21100703818</v>
      </c>
      <c r="J36" s="160">
        <f t="shared" si="25"/>
        <v>22019135753</v>
      </c>
      <c r="K36" s="160">
        <f t="shared" si="25"/>
        <v>5828667908</v>
      </c>
      <c r="L36" s="160">
        <f t="shared" si="25"/>
        <v>361403647</v>
      </c>
      <c r="M36" s="160">
        <f t="shared" si="25"/>
        <v>0</v>
      </c>
      <c r="N36" s="160">
        <f t="shared" si="25"/>
        <v>41923099031</v>
      </c>
      <c r="O36" s="160">
        <f t="shared" si="25"/>
        <v>6144630079</v>
      </c>
      <c r="P36" s="160">
        <f t="shared" si="25"/>
        <v>486942172</v>
      </c>
      <c r="Q36" s="160">
        <f t="shared" si="25"/>
        <v>728000512</v>
      </c>
      <c r="R36" s="160">
        <f t="shared" si="25"/>
        <v>27239332</v>
      </c>
      <c r="S36" s="160">
        <f t="shared" si="25"/>
        <v>1547011857</v>
      </c>
      <c r="T36" s="160">
        <f t="shared" si="25"/>
        <v>428697451</v>
      </c>
      <c r="U36" s="160">
        <f t="shared" si="25"/>
        <v>605339273</v>
      </c>
      <c r="V36" s="160">
        <f t="shared" si="25"/>
        <v>121735543</v>
      </c>
      <c r="W36" s="160">
        <f t="shared" si="25"/>
        <v>364000258</v>
      </c>
      <c r="X36" s="160">
        <f t="shared" si="25"/>
        <v>27239332</v>
      </c>
      <c r="Y36" s="160">
        <f t="shared" si="25"/>
        <v>1910517708</v>
      </c>
      <c r="Z36" s="160">
        <f t="shared" si="25"/>
        <v>47053984</v>
      </c>
      <c r="AA36" s="365">
        <f>+'loans_av rate'!C28+'loans_av rate'!C37</f>
        <v>49309911126</v>
      </c>
      <c r="AB36" s="365">
        <f>+'loans_av rate'!E28+'loans_av rate'!E37</f>
        <v>11296950484</v>
      </c>
      <c r="AC36" s="365">
        <f>+'loans_av rate'!G28+'loans_av rate'!G37</f>
        <v>38012960642</v>
      </c>
    </row>
    <row r="37" spans="1:29" s="159" customFormat="1" ht="49.5" customHeight="1">
      <c r="A37" s="373">
        <v>1</v>
      </c>
      <c r="B37" s="378" t="s">
        <v>529</v>
      </c>
      <c r="C37" s="167">
        <f t="shared" ref="C37:C42" si="26">+E37+G37</f>
        <v>257114474</v>
      </c>
      <c r="D37" s="496">
        <f t="shared" ref="D37:D42" si="27">IFERROR((((E37*F37)+(G37*H37))/C37),0)</f>
        <v>0.19645815047547996</v>
      </c>
      <c r="E37" s="168">
        <v>227707911</v>
      </c>
      <c r="F37" s="375">
        <v>0.20710041780886787</v>
      </c>
      <c r="G37" s="168">
        <v>29406563</v>
      </c>
      <c r="H37" s="375">
        <v>0.11405040827217296</v>
      </c>
      <c r="I37" s="168">
        <v>111558204</v>
      </c>
      <c r="J37" s="168">
        <v>108269796</v>
      </c>
      <c r="K37" s="168">
        <v>37286474</v>
      </c>
      <c r="L37" s="168">
        <v>0</v>
      </c>
      <c r="M37" s="168">
        <v>0</v>
      </c>
      <c r="N37" s="168">
        <v>197024865</v>
      </c>
      <c r="O37" s="168">
        <v>7450168</v>
      </c>
      <c r="P37" s="168">
        <v>50605624</v>
      </c>
      <c r="Q37" s="168">
        <v>2033817</v>
      </c>
      <c r="R37" s="168">
        <v>0</v>
      </c>
      <c r="S37" s="167">
        <f t="shared" ref="S37:S42" si="28">SUM(T37:X37)</f>
        <v>16383580</v>
      </c>
      <c r="T37" s="168">
        <v>1970249</v>
      </c>
      <c r="U37" s="168">
        <v>745017</v>
      </c>
      <c r="V37" s="168">
        <v>12651406</v>
      </c>
      <c r="W37" s="168">
        <v>1016908</v>
      </c>
      <c r="X37" s="168">
        <v>0</v>
      </c>
      <c r="Y37" s="168">
        <v>0</v>
      </c>
      <c r="Z37" s="168">
        <v>0</v>
      </c>
    </row>
    <row r="38" spans="1:29" s="159" customFormat="1" ht="49.5" customHeight="1">
      <c r="A38" s="373">
        <v>2</v>
      </c>
      <c r="B38" s="378" t="s">
        <v>530</v>
      </c>
      <c r="C38" s="167">
        <f t="shared" si="26"/>
        <v>2591243193</v>
      </c>
      <c r="D38" s="496">
        <f t="shared" si="27"/>
        <v>0.21481009778719365</v>
      </c>
      <c r="E38" s="168">
        <v>2414891842</v>
      </c>
      <c r="F38" s="375">
        <v>0.22357398187579416</v>
      </c>
      <c r="G38" s="168">
        <v>176351351</v>
      </c>
      <c r="H38" s="375">
        <v>9.480062765960115E-2</v>
      </c>
      <c r="I38" s="168">
        <v>2025725813</v>
      </c>
      <c r="J38" s="168">
        <v>538675859</v>
      </c>
      <c r="K38" s="168">
        <v>25359178</v>
      </c>
      <c r="L38" s="168">
        <v>1482343</v>
      </c>
      <c r="M38" s="168">
        <v>0</v>
      </c>
      <c r="N38" s="168">
        <v>2103555401</v>
      </c>
      <c r="O38" s="168">
        <v>298782756</v>
      </c>
      <c r="P38" s="168">
        <v>49502757</v>
      </c>
      <c r="Q38" s="168">
        <v>128852279</v>
      </c>
      <c r="R38" s="168">
        <v>10550000</v>
      </c>
      <c r="S38" s="167">
        <f t="shared" si="28"/>
        <v>138303793</v>
      </c>
      <c r="T38" s="168">
        <v>21035554</v>
      </c>
      <c r="U38" s="168">
        <v>29916410</v>
      </c>
      <c r="V38" s="168">
        <v>12375689</v>
      </c>
      <c r="W38" s="168">
        <v>64426140</v>
      </c>
      <c r="X38" s="168">
        <v>10550000</v>
      </c>
      <c r="Y38" s="168">
        <v>526796128</v>
      </c>
      <c r="Z38" s="168">
        <v>21659313</v>
      </c>
    </row>
    <row r="39" spans="1:29" s="159" customFormat="1" ht="58.5" customHeight="1">
      <c r="A39" s="373">
        <v>3</v>
      </c>
      <c r="B39" s="378" t="s">
        <v>531</v>
      </c>
      <c r="C39" s="167">
        <f t="shared" si="26"/>
        <v>2570759776</v>
      </c>
      <c r="D39" s="496">
        <f t="shared" si="27"/>
        <v>0.20441165199767244</v>
      </c>
      <c r="E39" s="168">
        <v>2366317136</v>
      </c>
      <c r="F39" s="375">
        <v>0.21306941353563916</v>
      </c>
      <c r="G39" s="168">
        <v>204442640</v>
      </c>
      <c r="H39" s="375">
        <v>0.10420256896737941</v>
      </c>
      <c r="I39" s="168">
        <v>1110660037</v>
      </c>
      <c r="J39" s="168">
        <v>1260000424</v>
      </c>
      <c r="K39" s="168">
        <v>199618925</v>
      </c>
      <c r="L39" s="168">
        <v>480390</v>
      </c>
      <c r="M39" s="168">
        <v>0</v>
      </c>
      <c r="N39" s="168">
        <v>2484331002</v>
      </c>
      <c r="O39" s="168">
        <v>26948777</v>
      </c>
      <c r="P39" s="168">
        <v>18712633</v>
      </c>
      <c r="Q39" s="168">
        <v>40767364</v>
      </c>
      <c r="R39" s="168">
        <v>0</v>
      </c>
      <c r="S39" s="167">
        <f t="shared" si="28"/>
        <v>52600028</v>
      </c>
      <c r="T39" s="168">
        <v>24843310</v>
      </c>
      <c r="U39" s="168">
        <v>2694878</v>
      </c>
      <c r="V39" s="168">
        <v>4678158</v>
      </c>
      <c r="W39" s="168">
        <v>20383682</v>
      </c>
      <c r="X39" s="168">
        <v>0</v>
      </c>
      <c r="Y39" s="168">
        <v>1120024669</v>
      </c>
      <c r="Z39" s="168">
        <v>20434682</v>
      </c>
    </row>
    <row r="40" spans="1:29" s="159" customFormat="1" ht="49.5" customHeight="1">
      <c r="A40" s="373">
        <v>4</v>
      </c>
      <c r="B40" s="378" t="s">
        <v>532</v>
      </c>
      <c r="C40" s="167">
        <f t="shared" si="26"/>
        <v>20810017222</v>
      </c>
      <c r="D40" s="496">
        <f t="shared" si="27"/>
        <v>0.10287827118799564</v>
      </c>
      <c r="E40" s="168">
        <v>0</v>
      </c>
      <c r="F40" s="375">
        <v>0</v>
      </c>
      <c r="G40" s="168">
        <v>20810017222</v>
      </c>
      <c r="H40" s="375">
        <v>0.10287827118799564</v>
      </c>
      <c r="I40" s="168">
        <v>9777033889</v>
      </c>
      <c r="J40" s="168">
        <v>8899978815</v>
      </c>
      <c r="K40" s="168">
        <v>2109671645</v>
      </c>
      <c r="L40" s="168">
        <v>23332873</v>
      </c>
      <c r="M40" s="168">
        <v>0</v>
      </c>
      <c r="N40" s="168">
        <v>19135070161</v>
      </c>
      <c r="O40" s="168">
        <v>1562251571</v>
      </c>
      <c r="P40" s="168">
        <v>76302345</v>
      </c>
      <c r="Q40" s="168">
        <v>36393145</v>
      </c>
      <c r="R40" s="168">
        <v>0</v>
      </c>
      <c r="S40" s="167">
        <f t="shared" si="28"/>
        <v>384848018</v>
      </c>
      <c r="T40" s="168">
        <v>191350702</v>
      </c>
      <c r="U40" s="168">
        <v>156225157</v>
      </c>
      <c r="V40" s="168">
        <v>19075586</v>
      </c>
      <c r="W40" s="168">
        <v>18196573</v>
      </c>
      <c r="X40" s="168">
        <v>0</v>
      </c>
      <c r="Y40" s="168">
        <v>0</v>
      </c>
      <c r="Z40" s="168">
        <v>0</v>
      </c>
    </row>
    <row r="41" spans="1:29" s="159" customFormat="1" ht="49.5" customHeight="1">
      <c r="A41" s="373">
        <v>5</v>
      </c>
      <c r="B41" s="378" t="s">
        <v>533</v>
      </c>
      <c r="C41" s="167">
        <f t="shared" si="26"/>
        <v>185349565</v>
      </c>
      <c r="D41" s="496">
        <f t="shared" si="27"/>
        <v>0.24076989399279144</v>
      </c>
      <c r="E41" s="168">
        <v>185349565</v>
      </c>
      <c r="F41" s="375">
        <v>0.24076989399279144</v>
      </c>
      <c r="G41" s="168">
        <v>0</v>
      </c>
      <c r="H41" s="375">
        <v>0</v>
      </c>
      <c r="I41" s="168">
        <v>152085215</v>
      </c>
      <c r="J41" s="168">
        <v>16637717</v>
      </c>
      <c r="K41" s="168">
        <v>16626633</v>
      </c>
      <c r="L41" s="168">
        <v>0</v>
      </c>
      <c r="M41" s="168">
        <v>0</v>
      </c>
      <c r="N41" s="168">
        <v>168349565</v>
      </c>
      <c r="O41" s="168">
        <v>17000000</v>
      </c>
      <c r="P41" s="168">
        <v>0</v>
      </c>
      <c r="Q41" s="168">
        <v>0</v>
      </c>
      <c r="R41" s="168">
        <v>0</v>
      </c>
      <c r="S41" s="167">
        <f t="shared" si="28"/>
        <v>3383496</v>
      </c>
      <c r="T41" s="168">
        <v>1683496</v>
      </c>
      <c r="U41" s="168">
        <v>1700000</v>
      </c>
      <c r="V41" s="168">
        <v>0</v>
      </c>
      <c r="W41" s="168">
        <v>0</v>
      </c>
      <c r="X41" s="168">
        <v>0</v>
      </c>
      <c r="Y41" s="168">
        <v>0</v>
      </c>
      <c r="Z41" s="168">
        <v>0</v>
      </c>
    </row>
    <row r="42" spans="1:29" s="159" customFormat="1" ht="49.5" customHeight="1">
      <c r="A42" s="373">
        <v>6</v>
      </c>
      <c r="B42" s="378" t="s">
        <v>534</v>
      </c>
      <c r="C42" s="167">
        <f t="shared" si="26"/>
        <v>22895426896</v>
      </c>
      <c r="D42" s="496">
        <f t="shared" si="27"/>
        <v>9.4111561373391592E-2</v>
      </c>
      <c r="E42" s="168">
        <v>6102684030</v>
      </c>
      <c r="F42" s="375">
        <v>0.16638008961315567</v>
      </c>
      <c r="G42" s="168">
        <v>16792742866</v>
      </c>
      <c r="H42" s="375">
        <v>6.784831202337846E-2</v>
      </c>
      <c r="I42" s="168">
        <v>7923640660</v>
      </c>
      <c r="J42" s="168">
        <v>11195573142</v>
      </c>
      <c r="K42" s="168">
        <v>3440105053</v>
      </c>
      <c r="L42" s="168">
        <v>336108041</v>
      </c>
      <c r="M42" s="168">
        <v>0</v>
      </c>
      <c r="N42" s="168">
        <v>17834768037</v>
      </c>
      <c r="O42" s="168">
        <v>4232196807</v>
      </c>
      <c r="P42" s="168">
        <v>291818813</v>
      </c>
      <c r="Q42" s="168">
        <v>519953907</v>
      </c>
      <c r="R42" s="168">
        <v>16689332</v>
      </c>
      <c r="S42" s="167">
        <f t="shared" si="28"/>
        <v>951492942</v>
      </c>
      <c r="T42" s="168">
        <f>178347680+9466460</f>
        <v>187814140</v>
      </c>
      <c r="U42" s="168">
        <v>414057811</v>
      </c>
      <c r="V42" s="168">
        <v>72954704</v>
      </c>
      <c r="W42" s="168">
        <v>259976955</v>
      </c>
      <c r="X42" s="168">
        <v>16689332</v>
      </c>
      <c r="Y42" s="168">
        <v>263696911</v>
      </c>
      <c r="Z42" s="168">
        <v>4959989</v>
      </c>
    </row>
    <row r="43" spans="1:29" s="159" customFormat="1" ht="37.5" customHeight="1">
      <c r="A43" s="379"/>
      <c r="B43" s="380"/>
      <c r="C43" s="164"/>
      <c r="D43" s="381"/>
      <c r="E43" s="164"/>
      <c r="F43" s="164"/>
      <c r="G43" s="164"/>
      <c r="H43" s="164"/>
      <c r="I43" s="380"/>
      <c r="J43" s="380"/>
      <c r="K43" s="380"/>
      <c r="L43" s="380"/>
      <c r="M43" s="380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</row>
    <row r="44" spans="1:29" s="30" customFormat="1" ht="21" customHeight="1">
      <c r="B44" s="459" t="s">
        <v>778</v>
      </c>
      <c r="F44" s="183"/>
      <c r="G44" s="183"/>
      <c r="H44" s="183"/>
      <c r="I44" s="183"/>
      <c r="J44" s="183"/>
      <c r="K44" s="183"/>
      <c r="L44" s="183"/>
      <c r="M44" s="183"/>
    </row>
    <row r="45" spans="1:29" s="30" customFormat="1" ht="21" customHeight="1">
      <c r="B45" s="459"/>
      <c r="F45" s="183"/>
      <c r="G45" s="183"/>
      <c r="H45" s="183"/>
      <c r="I45" s="183"/>
      <c r="J45" s="183"/>
      <c r="K45" s="183"/>
      <c r="L45" s="183"/>
      <c r="M45" s="183"/>
    </row>
    <row r="46" spans="1:29" s="30" customFormat="1" ht="21" customHeight="1">
      <c r="B46" s="459" t="s">
        <v>779</v>
      </c>
      <c r="F46" s="183"/>
      <c r="G46" s="183"/>
      <c r="H46" s="183"/>
      <c r="I46" s="183"/>
      <c r="J46" s="183"/>
      <c r="K46" s="183"/>
      <c r="L46" s="183"/>
      <c r="M46" s="183"/>
    </row>
    <row r="47" spans="1:29" s="65" customFormat="1" ht="15.75">
      <c r="A47" s="77"/>
    </row>
    <row r="48" spans="1:29" s="6" customFormat="1" ht="15.75">
      <c r="A48" s="23"/>
      <c r="B48" s="28"/>
      <c r="J48" s="23"/>
    </row>
    <row r="49" spans="1:10" s="6" customFormat="1" ht="15.75">
      <c r="A49" s="23"/>
      <c r="B49" s="28"/>
      <c r="J49" s="23"/>
    </row>
    <row r="50" spans="1:10" s="6" customFormat="1" ht="15.75">
      <c r="A50" s="23"/>
      <c r="B50" s="28"/>
      <c r="J50" s="23"/>
    </row>
    <row r="51" spans="1:10" s="166" customFormat="1" ht="15.75">
      <c r="A51" s="165"/>
    </row>
  </sheetData>
  <sheetProtection password="CAFC" sheet="1" objects="1" scenarios="1"/>
  <mergeCells count="17"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  <mergeCell ref="L5:L6"/>
  </mergeCells>
  <conditionalFormatting sqref="C8:C9">
    <cfRule type="cellIs" dxfId="71" priority="188" operator="notEqual">
      <formula>I8+J8+K8+L8+M8</formula>
    </cfRule>
    <cfRule type="cellIs" dxfId="70" priority="187" operator="notEqual">
      <formula>N8+O8+P8+Q8+R8</formula>
    </cfRule>
    <cfRule type="cellIs" dxfId="69" priority="186" operator="notEqual">
      <formula>AA8</formula>
    </cfRule>
  </conditionalFormatting>
  <conditionalFormatting sqref="C11 C16">
    <cfRule type="cellIs" dxfId="68" priority="831" operator="notEqual">
      <formula>I11+J11+K11+L11+M11</formula>
    </cfRule>
    <cfRule type="cellIs" dxfId="67" priority="830" operator="notEqual">
      <formula>N11+O11+P11+Q11+R11</formula>
    </cfRule>
    <cfRule type="cellIs" dxfId="66" priority="829" operator="notEqual">
      <formula>AA11</formula>
    </cfRule>
  </conditionalFormatting>
  <conditionalFormatting sqref="C12:C15">
    <cfRule type="cellIs" dxfId="65" priority="310" operator="notEqual">
      <formula>I12+J12+K12+L12+M12</formula>
    </cfRule>
    <cfRule type="cellIs" dxfId="64" priority="309" operator="notEqual">
      <formula>N12+O12+P12+Q12+R12</formula>
    </cfRule>
  </conditionalFormatting>
  <conditionalFormatting sqref="C17:C26">
    <cfRule type="cellIs" dxfId="63" priority="4" operator="notEqual">
      <formula>N17+O17+P17+Q17+R17</formula>
    </cfRule>
    <cfRule type="cellIs" dxfId="62" priority="5" operator="notEqual">
      <formula>I17+J17+K17+L17+M17</formula>
    </cfRule>
  </conditionalFormatting>
  <conditionalFormatting sqref="C21:C26">
    <cfRule type="cellIs" dxfId="61" priority="3" operator="notEqual">
      <formula>AA21</formula>
    </cfRule>
  </conditionalFormatting>
  <conditionalFormatting sqref="C27">
    <cfRule type="cellIs" dxfId="60" priority="80" operator="notEqual">
      <formula>C36</formula>
    </cfRule>
  </conditionalFormatting>
  <conditionalFormatting sqref="C27:C28">
    <cfRule type="cellIs" dxfId="59" priority="167" operator="notEqual">
      <formula>AA27</formula>
    </cfRule>
    <cfRule type="cellIs" dxfId="58" priority="168" operator="notEqual">
      <formula>N27+O27+P27+Q27+R27</formula>
    </cfRule>
    <cfRule type="cellIs" dxfId="57" priority="169" operator="notEqual">
      <formula>I27+J27+K27+L27+M27</formula>
    </cfRule>
  </conditionalFormatting>
  <conditionalFormatting sqref="C29:C33">
    <cfRule type="cellIs" dxfId="56" priority="124" operator="notEqual">
      <formula>I29+J29+K29+L29+M29</formula>
    </cfRule>
    <cfRule type="cellIs" dxfId="55" priority="122" operator="notEqual">
      <formula>AA29</formula>
    </cfRule>
    <cfRule type="cellIs" dxfId="54" priority="123" operator="notEqual">
      <formula>N29+O29+P29+Q29+R29</formula>
    </cfRule>
  </conditionalFormatting>
  <conditionalFormatting sqref="C35:C42">
    <cfRule type="cellIs" dxfId="53" priority="96" operator="notEqual">
      <formula>N35+O35+P35+Q35+R35</formula>
    </cfRule>
    <cfRule type="cellIs" dxfId="52" priority="97" operator="notEqual">
      <formula>I35+J35+K35+L35+M35</formula>
    </cfRule>
  </conditionalFormatting>
  <conditionalFormatting sqref="C36">
    <cfRule type="cellIs" dxfId="51" priority="94" operator="notEqual">
      <formula>C27</formula>
    </cfRule>
    <cfRule type="cellIs" dxfId="50" priority="95" operator="notEqual">
      <formula>AA36</formula>
    </cfRule>
  </conditionalFormatting>
  <conditionalFormatting sqref="E8">
    <cfRule type="cellIs" dxfId="49" priority="185" operator="notEqual">
      <formula>$AB$8</formula>
    </cfRule>
  </conditionalFormatting>
  <conditionalFormatting sqref="E9">
    <cfRule type="cellIs" dxfId="48" priority="183" operator="notEqual">
      <formula>$AB$9</formula>
    </cfRule>
  </conditionalFormatting>
  <conditionalFormatting sqref="E11">
    <cfRule type="cellIs" dxfId="47" priority="181" operator="notEqual">
      <formula>$AB$11</formula>
    </cfRule>
  </conditionalFormatting>
  <conditionalFormatting sqref="E16">
    <cfRule type="cellIs" dxfId="46" priority="179" operator="notEqual">
      <formula>$AB$16</formula>
    </cfRule>
  </conditionalFormatting>
  <conditionalFormatting sqref="E27">
    <cfRule type="cellIs" dxfId="45" priority="79" operator="notEqual">
      <formula>E36</formula>
    </cfRule>
  </conditionalFormatting>
  <conditionalFormatting sqref="E27:E28">
    <cfRule type="cellIs" dxfId="44" priority="166" operator="notEqual">
      <formula>AB27</formula>
    </cfRule>
  </conditionalFormatting>
  <conditionalFormatting sqref="E36">
    <cfRule type="cellIs" dxfId="43" priority="93" operator="notEqual">
      <formula>E27</formula>
    </cfRule>
    <cfRule type="cellIs" dxfId="42" priority="361" operator="notEqual">
      <formula>$AB$36</formula>
    </cfRule>
  </conditionalFormatting>
  <conditionalFormatting sqref="G8">
    <cfRule type="cellIs" dxfId="41" priority="184" operator="notEqual">
      <formula>$AC$8</formula>
    </cfRule>
  </conditionalFormatting>
  <conditionalFormatting sqref="G9">
    <cfRule type="cellIs" dxfId="40" priority="182" operator="notEqual">
      <formula>$AC$9</formula>
    </cfRule>
  </conditionalFormatting>
  <conditionalFormatting sqref="G11">
    <cfRule type="cellIs" dxfId="39" priority="180" operator="notEqual">
      <formula>$AC$11</formula>
    </cfRule>
  </conditionalFormatting>
  <conditionalFormatting sqref="G16">
    <cfRule type="cellIs" dxfId="38" priority="178" operator="notEqual">
      <formula>$AC$16</formula>
    </cfRule>
  </conditionalFormatting>
  <conditionalFormatting sqref="G27">
    <cfRule type="cellIs" dxfId="37" priority="78" operator="notEqual">
      <formula>$G$36</formula>
    </cfRule>
    <cfRule type="cellIs" dxfId="36" priority="170" operator="notEqual">
      <formula>$AC$27</formula>
    </cfRule>
  </conditionalFormatting>
  <conditionalFormatting sqref="G28">
    <cfRule type="cellIs" dxfId="35" priority="165" operator="notEqual">
      <formula>$AC$28</formula>
    </cfRule>
  </conditionalFormatting>
  <conditionalFormatting sqref="G36">
    <cfRule type="cellIs" dxfId="34" priority="92" operator="notEqual">
      <formula>G27</formula>
    </cfRule>
    <cfRule type="cellIs" dxfId="33" priority="360" operator="notEqual">
      <formula>$AC$36</formula>
    </cfRule>
  </conditionalFormatting>
  <conditionalFormatting sqref="I27:Z27">
    <cfRule type="cellIs" dxfId="32" priority="24" operator="notEqual">
      <formula>I36</formula>
    </cfRule>
    <cfRule type="cellIs" dxfId="31" priority="26" operator="notEqual">
      <formula>I28</formula>
    </cfRule>
  </conditionalFormatting>
  <conditionalFormatting sqref="I28:Z28">
    <cfRule type="cellIs" dxfId="30" priority="25" operator="notEqual">
      <formula>I27</formula>
    </cfRule>
  </conditionalFormatting>
  <conditionalFormatting sqref="I36:Z36">
    <cfRule type="cellIs" dxfId="29" priority="6" operator="notEqual">
      <formula>I27</formula>
    </cfRule>
  </conditionalFormatting>
  <conditionalFormatting sqref="N8">
    <cfRule type="cellIs" dxfId="28" priority="832" operator="notEqual">
      <formula>AD8</formula>
    </cfRule>
  </conditionalFormatting>
  <conditionalFormatting sqref="N9">
    <cfRule type="cellIs" dxfId="27" priority="235" operator="notEqual">
      <formula>$AD$13</formula>
    </cfRule>
  </conditionalFormatting>
  <conditionalFormatting sqref="O8">
    <cfRule type="cellIs" dxfId="26" priority="833" operator="notEqual">
      <formula>$AE$8</formula>
    </cfRule>
  </conditionalFormatting>
  <conditionalFormatting sqref="O9">
    <cfRule type="cellIs" dxfId="25" priority="234" operator="notEqual">
      <formula>$AE$13</formula>
    </cfRule>
  </conditionalFormatting>
  <conditionalFormatting sqref="P8">
    <cfRule type="cellIs" dxfId="24" priority="834" operator="notEqual">
      <formula>$AF$8</formula>
    </cfRule>
  </conditionalFormatting>
  <conditionalFormatting sqref="P9">
    <cfRule type="cellIs" dxfId="23" priority="233" operator="notEqual">
      <formula>$AF$13</formula>
    </cfRule>
  </conditionalFormatting>
  <conditionalFormatting sqref="Q8">
    <cfRule type="cellIs" dxfId="22" priority="835" operator="notEqual">
      <formula>$AG$8</formula>
    </cfRule>
  </conditionalFormatting>
  <conditionalFormatting sqref="Q9">
    <cfRule type="cellIs" dxfId="21" priority="232" operator="notEqual">
      <formula>$AG$13</formula>
    </cfRule>
  </conditionalFormatting>
  <conditionalFormatting sqref="R8">
    <cfRule type="cellIs" dxfId="20" priority="836" operator="notEqual">
      <formula>$AH$8</formula>
    </cfRule>
  </conditionalFormatting>
  <conditionalFormatting sqref="R9">
    <cfRule type="cellIs" dxfId="19" priority="231" operator="notEqual">
      <formula>$AH$13</formula>
    </cfRule>
  </conditionalFormatting>
  <conditionalFormatting sqref="T8">
    <cfRule type="cellIs" dxfId="18" priority="372" operator="notEqual">
      <formula>$AD$10</formula>
    </cfRule>
  </conditionalFormatting>
  <conditionalFormatting sqref="T9">
    <cfRule type="cellIs" dxfId="17" priority="230" operator="notEqual">
      <formula>$AD$15</formula>
    </cfRule>
  </conditionalFormatting>
  <conditionalFormatting sqref="U8">
    <cfRule type="cellIs" dxfId="16" priority="371" operator="notEqual">
      <formula>$AE$10</formula>
    </cfRule>
  </conditionalFormatting>
  <conditionalFormatting sqref="U9">
    <cfRule type="cellIs" dxfId="15" priority="229" operator="notEqual">
      <formula>$AE$15</formula>
    </cfRule>
  </conditionalFormatting>
  <conditionalFormatting sqref="V8">
    <cfRule type="cellIs" dxfId="14" priority="370" operator="notEqual">
      <formula>$AF$10</formula>
    </cfRule>
  </conditionalFormatting>
  <conditionalFormatting sqref="V9">
    <cfRule type="cellIs" dxfId="13" priority="228" operator="notEqual">
      <formula>$AF$15</formula>
    </cfRule>
  </conditionalFormatting>
  <conditionalFormatting sqref="W8">
    <cfRule type="cellIs" dxfId="12" priority="369" operator="notEqual">
      <formula>$AG$10</formula>
    </cfRule>
  </conditionalFormatting>
  <conditionalFormatting sqref="W9">
    <cfRule type="cellIs" dxfId="11" priority="227" operator="notEqual">
      <formula>$AG$15</formula>
    </cfRule>
  </conditionalFormatting>
  <conditionalFormatting sqref="X8">
    <cfRule type="cellIs" dxfId="10" priority="368" operator="notEqual">
      <formula>$AH$10</formula>
    </cfRule>
  </conditionalFormatting>
  <conditionalFormatting sqref="X9">
    <cfRule type="cellIs" dxfId="9" priority="226" operator="notEqual">
      <formula>$AH$15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4"/>
  <dimension ref="A1:Z29"/>
  <sheetViews>
    <sheetView view="pageBreakPreview" zoomScale="75" zoomScaleNormal="65" zoomScaleSheetLayoutView="75" workbookViewId="0">
      <selection activeCell="L12" sqref="L12"/>
    </sheetView>
  </sheetViews>
  <sheetFormatPr defaultRowHeight="15.75"/>
  <cols>
    <col min="1" max="1" width="9.7109375" style="77" customWidth="1"/>
    <col min="2" max="2" width="31.7109375" style="65" customWidth="1"/>
    <col min="3" max="3" width="17.140625" style="65" customWidth="1"/>
    <col min="4" max="4" width="16.5703125" style="65" customWidth="1"/>
    <col min="5" max="5" width="17.140625" style="65" customWidth="1"/>
    <col min="6" max="6" width="16.5703125" style="65" customWidth="1"/>
    <col min="7" max="7" width="17.140625" style="65" customWidth="1"/>
    <col min="8" max="8" width="16.5703125" style="65" customWidth="1"/>
    <col min="9" max="9" width="19" style="65" customWidth="1"/>
    <col min="10" max="10" width="16.5703125" style="65" customWidth="1"/>
    <col min="11" max="11" width="17.140625" style="65" customWidth="1"/>
    <col min="12" max="12" width="16.5703125" style="65" customWidth="1"/>
    <col min="13" max="13" width="19" style="65" customWidth="1"/>
    <col min="14" max="14" width="16.5703125" style="65" customWidth="1"/>
    <col min="15" max="15" width="9.140625" style="65"/>
    <col min="16" max="17" width="26.7109375" style="65" customWidth="1"/>
    <col min="18" max="16384" width="9.140625" style="65"/>
  </cols>
  <sheetData>
    <row r="1" spans="1:26" s="67" customFormat="1" ht="48.75" customHeight="1">
      <c r="A1" s="657" t="s">
        <v>535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16" t="s">
        <v>536</v>
      </c>
    </row>
    <row r="2" spans="1:26" ht="18.75">
      <c r="B2" s="84" t="str">
        <f>+'Asset quality'!B3</f>
        <v>"Ўзсаноатқурилишибанк" АТБ</v>
      </c>
      <c r="K2" s="594">
        <f>+'loans_av rate'!F3</f>
        <v>45289</v>
      </c>
      <c r="L2" s="594"/>
      <c r="N2" s="78" t="str">
        <f>+'Asset quality'!T3</f>
        <v>минг. сўмда</v>
      </c>
    </row>
    <row r="3" spans="1:26" s="66" customFormat="1" ht="38.25" customHeight="1">
      <c r="A3" s="684" t="s">
        <v>61</v>
      </c>
      <c r="B3" s="684" t="s">
        <v>537</v>
      </c>
      <c r="C3" s="684" t="s">
        <v>538</v>
      </c>
      <c r="D3" s="684"/>
      <c r="E3" s="684"/>
      <c r="F3" s="684"/>
      <c r="G3" s="684"/>
      <c r="H3" s="684"/>
      <c r="I3" s="684" t="s">
        <v>539</v>
      </c>
      <c r="J3" s="684"/>
      <c r="K3" s="684"/>
      <c r="L3" s="684"/>
      <c r="M3" s="684"/>
      <c r="N3" s="684"/>
    </row>
    <row r="4" spans="1:26" s="66" customFormat="1" ht="24" customHeight="1">
      <c r="A4" s="684"/>
      <c r="B4" s="684"/>
      <c r="C4" s="684" t="s">
        <v>540</v>
      </c>
      <c r="D4" s="684" t="s">
        <v>492</v>
      </c>
      <c r="E4" s="684" t="s">
        <v>489</v>
      </c>
      <c r="F4" s="684"/>
      <c r="G4" s="684"/>
      <c r="H4" s="684"/>
      <c r="I4" s="684" t="s">
        <v>540</v>
      </c>
      <c r="J4" s="684" t="s">
        <v>492</v>
      </c>
      <c r="K4" s="684" t="s">
        <v>489</v>
      </c>
      <c r="L4" s="684"/>
      <c r="M4" s="684"/>
      <c r="N4" s="684"/>
    </row>
    <row r="5" spans="1:26" s="66" customFormat="1" ht="54.75" customHeight="1">
      <c r="A5" s="684"/>
      <c r="B5" s="684"/>
      <c r="C5" s="684"/>
      <c r="D5" s="684"/>
      <c r="E5" s="684" t="s">
        <v>285</v>
      </c>
      <c r="F5" s="684"/>
      <c r="G5" s="684" t="s">
        <v>490</v>
      </c>
      <c r="H5" s="684"/>
      <c r="I5" s="684"/>
      <c r="J5" s="684"/>
      <c r="K5" s="684" t="s">
        <v>285</v>
      </c>
      <c r="L5" s="684"/>
      <c r="M5" s="684" t="s">
        <v>490</v>
      </c>
      <c r="N5" s="684"/>
    </row>
    <row r="6" spans="1:26" s="66" customFormat="1" ht="63" customHeight="1">
      <c r="A6" s="684"/>
      <c r="B6" s="684"/>
      <c r="C6" s="684"/>
      <c r="D6" s="684"/>
      <c r="E6" s="382" t="s">
        <v>491</v>
      </c>
      <c r="F6" s="382" t="s">
        <v>492</v>
      </c>
      <c r="G6" s="382" t="s">
        <v>491</v>
      </c>
      <c r="H6" s="382" t="s">
        <v>492</v>
      </c>
      <c r="I6" s="684"/>
      <c r="J6" s="684"/>
      <c r="K6" s="382" t="s">
        <v>491</v>
      </c>
      <c r="L6" s="382" t="s">
        <v>492</v>
      </c>
      <c r="M6" s="382" t="s">
        <v>491</v>
      </c>
      <c r="N6" s="382" t="s">
        <v>492</v>
      </c>
    </row>
    <row r="7" spans="1:26" s="66" customFormat="1" ht="22.5" customHeight="1">
      <c r="A7" s="684"/>
      <c r="B7" s="382" t="s">
        <v>78</v>
      </c>
      <c r="C7" s="382" t="s">
        <v>79</v>
      </c>
      <c r="D7" s="382" t="s">
        <v>89</v>
      </c>
      <c r="E7" s="382" t="s">
        <v>80</v>
      </c>
      <c r="F7" s="382" t="s">
        <v>81</v>
      </c>
      <c r="G7" s="382" t="s">
        <v>90</v>
      </c>
      <c r="H7" s="382" t="s">
        <v>82</v>
      </c>
      <c r="I7" s="382" t="s">
        <v>83</v>
      </c>
      <c r="J7" s="382" t="s">
        <v>84</v>
      </c>
      <c r="K7" s="382" t="s">
        <v>85</v>
      </c>
      <c r="L7" s="382" t="s">
        <v>86</v>
      </c>
      <c r="M7" s="382" t="s">
        <v>87</v>
      </c>
      <c r="N7" s="382" t="s">
        <v>88</v>
      </c>
      <c r="P7" s="266"/>
    </row>
    <row r="8" spans="1:26" s="144" customFormat="1" ht="41.25" customHeight="1">
      <c r="A8" s="383">
        <v>1</v>
      </c>
      <c r="B8" s="384" t="s">
        <v>541</v>
      </c>
      <c r="C8" s="153">
        <f>+E8+G8</f>
        <v>1505455771</v>
      </c>
      <c r="D8" s="497">
        <f t="shared" ref="D8:D15" si="0">IFERROR((((E8*F8)+(G8*H8))/C8),0)</f>
        <v>0</v>
      </c>
      <c r="E8" s="150">
        <f>'[8]Bank Liabilities Analysis (нац)'!$C$9+'[8]Bank Liabilities Analysis (нац)'!$C$14+'[8]Bank Liabilities Analysis (нац)'!$C$17</f>
        <v>1218144741</v>
      </c>
      <c r="F8" s="142">
        <v>0</v>
      </c>
      <c r="G8" s="150">
        <f>'[8]Bank Liabilities Analysis'!$D$8+'[8]Bank Liabilities Analysis'!$D$13+'[8]Bank Liabilities Analysis'!$D$16+1</f>
        <v>287311030</v>
      </c>
      <c r="H8" s="142">
        <v>0</v>
      </c>
      <c r="I8" s="153">
        <f>+K8+M8</f>
        <v>3185342269</v>
      </c>
      <c r="J8" s="497">
        <f t="shared" ref="J8:J15" si="1">IFERROR((((K8*L8)+(M8*N8))/I8),0)</f>
        <v>1.00460161884098E-5</v>
      </c>
      <c r="K8" s="150">
        <f>'[8]Bank Liabilities Analysis (нац)'!$C$21-'[8]Bank Liabilities Analysis (нац)'!$C$9-'[8]Bank Liabilities Analysis (нац)'!$C$14-'[8]Bank Liabilities Analysis (нац)'!$C$17</f>
        <v>2368519834</v>
      </c>
      <c r="L8" s="142">
        <v>1.3510547617394366E-5</v>
      </c>
      <c r="M8" s="150">
        <f>'[8]Bank Liabilities Analysis'!$D$20-'[8]Bank Liabilities Analysis'!$D$8-'[8]Bank Liabilities Analysis'!$D$13-'[8]Bank Liabilities Analysis'!$D$16-1</f>
        <v>816822435</v>
      </c>
      <c r="N8" s="142">
        <v>0</v>
      </c>
      <c r="O8" s="143"/>
      <c r="P8" s="385">
        <f>+'[8]Bank Liabilities Analysis'!$C$20</f>
        <v>4690798040</v>
      </c>
      <c r="Q8" s="474">
        <f t="shared" ref="Q8:Q15" si="2">+P8-C8-I8</f>
        <v>0</v>
      </c>
      <c r="R8" s="143"/>
      <c r="S8" s="143"/>
      <c r="T8" s="143"/>
      <c r="U8" s="143"/>
      <c r="V8" s="143"/>
      <c r="W8" s="143"/>
      <c r="X8" s="143"/>
      <c r="Y8" s="143"/>
      <c r="Z8" s="143"/>
    </row>
    <row r="9" spans="1:26" s="144" customFormat="1" ht="41.25" customHeight="1">
      <c r="A9" s="383">
        <v>2</v>
      </c>
      <c r="B9" s="384" t="s">
        <v>542</v>
      </c>
      <c r="C9" s="153">
        <f t="shared" ref="C9" si="3">+E9+G9</f>
        <v>51564606</v>
      </c>
      <c r="D9" s="497">
        <f t="shared" si="0"/>
        <v>15.506168356061906</v>
      </c>
      <c r="E9" s="150">
        <f>'[8]Bank Liabilities Analysis (нац)'!$D$9+'[8]Bank Liabilities Analysis (нац)'!$D$14+'[8]Bank Liabilities Analysis (нац)'!$D$17</f>
        <v>37284099</v>
      </c>
      <c r="F9" s="142">
        <v>21.43</v>
      </c>
      <c r="G9" s="150">
        <f>'[8]Bank Liabilities Analysis'!$F$8+'[8]Bank Liabilities Analysis'!$F$13+'[8]Bank Liabilities Analysis'!$F$16</f>
        <v>14280507</v>
      </c>
      <c r="H9" s="142">
        <v>0.04</v>
      </c>
      <c r="I9" s="153">
        <f t="shared" ref="I9" si="4">+K9+M9</f>
        <v>1821130</v>
      </c>
      <c r="J9" s="497">
        <f t="shared" si="1"/>
        <v>1.3550671884582394E-3</v>
      </c>
      <c r="K9" s="150">
        <f>'[8]Bank Liabilities Analysis (нац)'!$D$21-'[8]Bank Liabilities Analysis (нац)'!$D$9-'[8]Bank Liabilities Analysis (нац)'!$D$14-'[8]Bank Liabilities Analysis (нац)'!$D$17</f>
        <v>1780001</v>
      </c>
      <c r="L9" s="142">
        <v>0</v>
      </c>
      <c r="M9" s="150">
        <f>'[8]Bank Liabilities Analysis'!$F$20-'[8]Bank Liabilities Analysis'!$F$8-'[8]Bank Liabilities Analysis'!$F$13-'[8]Bank Liabilities Analysis'!$F$16</f>
        <v>41129</v>
      </c>
      <c r="N9" s="142">
        <v>6.0000328452356089E-2</v>
      </c>
      <c r="O9" s="143"/>
      <c r="P9" s="385">
        <f>+'[8]Bank Liabilities Analysis'!$E$20</f>
        <v>53385736</v>
      </c>
      <c r="Q9" s="474">
        <f t="shared" si="2"/>
        <v>0</v>
      </c>
      <c r="R9" s="143"/>
      <c r="S9" s="143"/>
      <c r="T9" s="143"/>
      <c r="U9" s="143"/>
      <c r="V9" s="143"/>
      <c r="W9" s="143"/>
      <c r="X9" s="143"/>
      <c r="Y9" s="143"/>
      <c r="Z9" s="143"/>
    </row>
    <row r="10" spans="1:26" s="144" customFormat="1" ht="41.25" customHeight="1">
      <c r="A10" s="383">
        <v>3</v>
      </c>
      <c r="B10" s="384" t="s">
        <v>543</v>
      </c>
      <c r="C10" s="153">
        <f t="shared" ref="C10:C15" si="5">+E10+G10</f>
        <v>169803898</v>
      </c>
      <c r="D10" s="497">
        <f t="shared" si="0"/>
        <v>0.18741351672268441</v>
      </c>
      <c r="E10" s="150">
        <f>'[8]Bank Liabilities Analysis (нац)'!$E$9+'[8]Bank Liabilities Analysis (нац)'!$E$14+'[8]Bank Liabilities Analysis (нац)'!$E$17</f>
        <v>143693397</v>
      </c>
      <c r="F10" s="142">
        <v>0.2142</v>
      </c>
      <c r="G10" s="150">
        <f>'[8]Bank Liabilities Analysis'!$H$8+'[8]Bank Liabilities Analysis'!$H$13+'[8]Bank Liabilities Analysis'!$H$16</f>
        <v>26110501</v>
      </c>
      <c r="H10" s="142">
        <v>0.04</v>
      </c>
      <c r="I10" s="153">
        <f t="shared" ref="I10:I15" si="6">+K10+M10</f>
        <v>275956789</v>
      </c>
      <c r="J10" s="497">
        <f t="shared" si="1"/>
        <v>7.9247391740472614E-2</v>
      </c>
      <c r="K10" s="150">
        <f>'[8]Bank Liabilities Analysis (нац)'!$E$21-'[8]Bank Liabilities Analysis (нац)'!$E$9-'[8]Bank Liabilities Analysis (нац)'!$E$14-'[8]Bank Liabilities Analysis (нац)'!$E$17</f>
        <v>94266296</v>
      </c>
      <c r="L10" s="142">
        <v>0.19133551589227482</v>
      </c>
      <c r="M10" s="150">
        <f>'[8]Bank Liabilities Analysis'!$H$20-'[8]Bank Liabilities Analysis'!$H$8-'[8]Bank Liabilities Analysis'!$H$13-'[8]Bank Liabilities Analysis'!$H$16</f>
        <v>181690493</v>
      </c>
      <c r="N10" s="142">
        <v>2.1092822863946235E-2</v>
      </c>
      <c r="O10" s="143"/>
      <c r="P10" s="385">
        <f>+'[8]Bank Liabilities Analysis'!$G$20</f>
        <v>445760687</v>
      </c>
      <c r="Q10" s="474">
        <f t="shared" si="2"/>
        <v>0</v>
      </c>
      <c r="R10" s="143"/>
      <c r="S10" s="143"/>
      <c r="T10" s="143"/>
      <c r="U10" s="143"/>
      <c r="V10" s="143"/>
      <c r="W10" s="143"/>
      <c r="X10" s="143"/>
      <c r="Y10" s="143"/>
      <c r="Z10" s="143"/>
    </row>
    <row r="11" spans="1:26" s="144" customFormat="1" ht="41.25" customHeight="1">
      <c r="A11" s="383">
        <v>4</v>
      </c>
      <c r="B11" s="384" t="s">
        <v>544</v>
      </c>
      <c r="C11" s="153">
        <f t="shared" si="5"/>
        <v>659000160</v>
      </c>
      <c r="D11" s="497">
        <f t="shared" si="0"/>
        <v>0.19049232467394242</v>
      </c>
      <c r="E11" s="150">
        <f>'[8]Bank Liabilities Analysis (нац)'!$F$9+'[8]Bank Liabilities Analysis (нац)'!$F$14+'[8]Bank Liabilities Analysis (нац)'!$F$17</f>
        <v>572270433</v>
      </c>
      <c r="F11" s="142">
        <v>0.21329999999999999</v>
      </c>
      <c r="G11" s="150">
        <f>'[8]Bank Liabilities Analysis'!$J$8+'[8]Bank Liabilities Analysis'!$J$13+'[8]Bank Liabilities Analysis'!$J$16</f>
        <v>86729727</v>
      </c>
      <c r="H11" s="142">
        <v>0.04</v>
      </c>
      <c r="I11" s="153">
        <f t="shared" si="6"/>
        <v>369424494</v>
      </c>
      <c r="J11" s="497">
        <f t="shared" si="1"/>
        <v>6.8280285494553672E-2</v>
      </c>
      <c r="K11" s="150">
        <f>'[8]Bank Liabilities Analysis (нац)'!$F$21-'[8]Bank Liabilities Analysis (нац)'!$F$9-'[8]Bank Liabilities Analysis (нац)'!$F$14-'[8]Bank Liabilities Analysis (нац)'!$F$17</f>
        <v>119579797</v>
      </c>
      <c r="L11" s="142">
        <v>0.16744046370970989</v>
      </c>
      <c r="M11" s="150">
        <f>'[8]Bank Liabilities Analysis'!$J$20-'[8]Bank Liabilities Analysis'!$J$8-'[8]Bank Liabilities Analysis'!$J$13-'[8]Bank Liabilities Analysis'!$J$16</f>
        <v>249844697</v>
      </c>
      <c r="N11" s="142">
        <v>2.0820587034545111E-2</v>
      </c>
      <c r="O11" s="143"/>
      <c r="P11" s="385">
        <f>+'[8]Bank Liabilities Analysis'!$I$20</f>
        <v>1028424654</v>
      </c>
      <c r="Q11" s="474">
        <f t="shared" si="2"/>
        <v>0</v>
      </c>
      <c r="R11" s="143"/>
      <c r="S11" s="143"/>
      <c r="T11" s="143"/>
      <c r="U11" s="143"/>
      <c r="V11" s="143"/>
      <c r="W11" s="143"/>
      <c r="X11" s="143"/>
      <c r="Y11" s="143"/>
      <c r="Z11" s="143"/>
    </row>
    <row r="12" spans="1:26" s="144" customFormat="1" ht="41.25" customHeight="1">
      <c r="A12" s="383">
        <v>5</v>
      </c>
      <c r="B12" s="384" t="s">
        <v>545</v>
      </c>
      <c r="C12" s="153">
        <f t="shared" si="5"/>
        <v>449272024</v>
      </c>
      <c r="D12" s="497">
        <f t="shared" si="0"/>
        <v>0.15666649455141679</v>
      </c>
      <c r="E12" s="150">
        <f>'[8]Bank Liabilities Analysis (нац)'!$G$9+'[8]Bank Liabilities Analysis (нац)'!$G$14+'[8]Bank Liabilities Analysis (нац)'!$G$17</f>
        <v>338379549</v>
      </c>
      <c r="F12" s="142">
        <v>0.19489999999999999</v>
      </c>
      <c r="G12" s="150">
        <f>'[8]Bank Liabilities Analysis'!$L$8+'[8]Bank Liabilities Analysis'!$L$13+'[8]Bank Liabilities Analysis'!$L$16</f>
        <v>110892475</v>
      </c>
      <c r="H12" s="142">
        <v>0.04</v>
      </c>
      <c r="I12" s="153">
        <f t="shared" si="6"/>
        <v>1120527255</v>
      </c>
      <c r="J12" s="497">
        <f t="shared" si="1"/>
        <v>0.11221088605367724</v>
      </c>
      <c r="K12" s="150">
        <f>'[8]Bank Liabilities Analysis (нац)'!$G$21-'[8]Bank Liabilities Analysis (нац)'!$G$9-'[8]Bank Liabilities Analysis (нац)'!$G$14-'[8]Bank Liabilities Analysis (нац)'!$G$17</f>
        <v>610545801</v>
      </c>
      <c r="L12" s="142">
        <v>0.19922193722913289</v>
      </c>
      <c r="M12" s="150">
        <f>'[8]Bank Liabilities Analysis'!$L$20-'[8]Bank Liabilities Analysis'!$L$8-'[8]Bank Liabilities Analysis'!$L$13-'[8]Bank Liabilities Analysis'!$L$16</f>
        <v>509981454</v>
      </c>
      <c r="N12" s="142">
        <v>8.0419373221208949E-3</v>
      </c>
      <c r="O12" s="143"/>
      <c r="P12" s="385">
        <f>+'[8]Bank Liabilities Analysis'!$K$20</f>
        <v>1569799279</v>
      </c>
      <c r="Q12" s="474">
        <f t="shared" si="2"/>
        <v>0</v>
      </c>
      <c r="R12" s="143"/>
      <c r="S12" s="143"/>
      <c r="T12" s="143"/>
      <c r="U12" s="143"/>
      <c r="V12" s="143"/>
      <c r="W12" s="143"/>
      <c r="X12" s="143"/>
      <c r="Y12" s="143"/>
      <c r="Z12" s="143"/>
    </row>
    <row r="13" spans="1:26" s="144" customFormat="1" ht="41.25" customHeight="1">
      <c r="A13" s="383">
        <v>6</v>
      </c>
      <c r="B13" s="384" t="s">
        <v>546</v>
      </c>
      <c r="C13" s="153">
        <f t="shared" si="5"/>
        <v>1187993589</v>
      </c>
      <c r="D13" s="497">
        <f t="shared" si="0"/>
        <v>0.19284734433966716</v>
      </c>
      <c r="E13" s="150">
        <f>'[8]Bank Liabilities Analysis (нац)'!$H$9+'[8]Bank Liabilities Analysis (нац)'!$H$14+'[8]Bank Liabilities Analysis (нац)'!$H$17</f>
        <v>1169984956</v>
      </c>
      <c r="F13" s="142">
        <v>0.19520000000000001</v>
      </c>
      <c r="G13" s="150">
        <f>'[8]Bank Liabilities Analysis'!$N$8+'[8]Bank Liabilities Analysis'!$N$13+'[8]Bank Liabilities Analysis'!$N$16</f>
        <v>18008633</v>
      </c>
      <c r="H13" s="142">
        <v>0.04</v>
      </c>
      <c r="I13" s="153">
        <f t="shared" si="6"/>
        <v>775376127</v>
      </c>
      <c r="J13" s="497">
        <f t="shared" si="1"/>
        <v>6.3483439701015817E-2</v>
      </c>
      <c r="K13" s="150">
        <f>'[8]Bank Liabilities Analysis (нац)'!$H$21-'[8]Bank Liabilities Analysis (нац)'!$H$9-'[8]Bank Liabilities Analysis (нац)'!$H$14-'[8]Bank Liabilities Analysis (нац)'!$H$17</f>
        <v>268937357</v>
      </c>
      <c r="L13" s="142">
        <v>0.1382993508550131</v>
      </c>
      <c r="M13" s="150">
        <f>'[8]Bank Liabilities Analysis'!$N$20-'[8]Bank Liabilities Analysis'!$N$8-'[8]Bank Liabilities Analysis'!$N$13-'[8]Bank Liabilities Analysis'!$N$16</f>
        <v>506438770</v>
      </c>
      <c r="N13" s="142">
        <v>2.3753477069397271E-2</v>
      </c>
      <c r="O13" s="143"/>
      <c r="P13" s="385">
        <f>+'[8]Bank Liabilities Analysis'!$M$20</f>
        <v>1963369716</v>
      </c>
      <c r="Q13" s="474">
        <f t="shared" si="2"/>
        <v>0</v>
      </c>
      <c r="R13" s="143"/>
      <c r="S13" s="143"/>
      <c r="T13" s="143"/>
      <c r="U13" s="143"/>
      <c r="V13" s="143"/>
      <c r="W13" s="143"/>
      <c r="X13" s="143"/>
      <c r="Y13" s="143"/>
      <c r="Z13" s="143"/>
    </row>
    <row r="14" spans="1:26" s="144" customFormat="1" ht="41.25" customHeight="1">
      <c r="A14" s="383">
        <v>7</v>
      </c>
      <c r="B14" s="384" t="s">
        <v>547</v>
      </c>
      <c r="C14" s="153">
        <f t="shared" si="5"/>
        <v>412935434</v>
      </c>
      <c r="D14" s="497">
        <f t="shared" si="0"/>
        <v>0.19300000000000003</v>
      </c>
      <c r="E14" s="150">
        <f>'[8]Bank Liabilities Analysis (нац)'!$I$9+'[8]Bank Liabilities Analysis (нац)'!$I$14+'[8]Bank Liabilities Analysis (нац)'!$I$17</f>
        <v>412935434</v>
      </c>
      <c r="F14" s="142">
        <v>0.193</v>
      </c>
      <c r="G14" s="150">
        <f>'[8]Bank Liabilities Analysis'!$P$8+'[8]Bank Liabilities Analysis'!$P$13+'[8]Bank Liabilities Analysis'!$P$16</f>
        <v>0</v>
      </c>
      <c r="H14" s="142">
        <v>0</v>
      </c>
      <c r="I14" s="153">
        <f t="shared" si="6"/>
        <v>1487008105</v>
      </c>
      <c r="J14" s="497">
        <f t="shared" si="1"/>
        <v>5.0719732685626427E-2</v>
      </c>
      <c r="K14" s="150">
        <f>'[8]Bank Liabilities Analysis (нац)'!$I$21-'[8]Bank Liabilities Analysis (нац)'!$I$9-'[8]Bank Liabilities Analysis (нац)'!$I$14-'[8]Bank Liabilities Analysis (нац)'!$I$17</f>
        <v>243107576</v>
      </c>
      <c r="L14" s="142">
        <v>0.17880499259497534</v>
      </c>
      <c r="M14" s="150">
        <f>'[8]Bank Liabilities Analysis'!$P$20-'[8]Bank Liabilities Analysis'!$P$8-'[8]Bank Liabilities Analysis'!$P$13-'[8]Bank Liabilities Analysis'!$P$16</f>
        <v>1243900529</v>
      </c>
      <c r="N14" s="142">
        <v>2.568678484780796E-2</v>
      </c>
      <c r="O14" s="143"/>
      <c r="P14" s="385">
        <f>+'[8]Bank Liabilities Analysis'!$O$20</f>
        <v>1899943539</v>
      </c>
      <c r="Q14" s="474">
        <f t="shared" si="2"/>
        <v>0</v>
      </c>
      <c r="R14" s="143"/>
      <c r="S14" s="143"/>
      <c r="T14" s="143"/>
      <c r="U14" s="143"/>
      <c r="V14" s="143"/>
      <c r="W14" s="143"/>
      <c r="X14" s="143"/>
      <c r="Y14" s="143"/>
      <c r="Z14" s="143"/>
    </row>
    <row r="15" spans="1:26" s="144" customFormat="1" ht="41.25" customHeight="1">
      <c r="A15" s="383">
        <v>8</v>
      </c>
      <c r="B15" s="384" t="s">
        <v>548</v>
      </c>
      <c r="C15" s="153">
        <f t="shared" si="5"/>
        <v>4092035</v>
      </c>
      <c r="D15" s="497">
        <f t="shared" si="0"/>
        <v>3.8399999999999997E-2</v>
      </c>
      <c r="E15" s="150">
        <f>'[8]Bank Liabilities Analysis (нац)'!$J$9+'[8]Bank Liabilities Analysis (нац)'!$J$14+'[8]Bank Liabilities Analysis (нац)'!$J$17</f>
        <v>4092035</v>
      </c>
      <c r="F15" s="142">
        <v>3.8399999999999997E-2</v>
      </c>
      <c r="G15" s="150">
        <f>'[8]Bank Liabilities Analysis'!$R$8+'[8]Bank Liabilities Analysis'!$R$13+'[8]Bank Liabilities Analysis'!$R$16</f>
        <v>0</v>
      </c>
      <c r="H15" s="142">
        <v>0</v>
      </c>
      <c r="I15" s="153">
        <f t="shared" si="6"/>
        <v>2143017462</v>
      </c>
      <c r="J15" s="497">
        <f t="shared" si="1"/>
        <v>9.5570914146249034E-2</v>
      </c>
      <c r="K15" s="150">
        <f>'[8]Bank Liabilities Analysis (нац)'!$J$21-'[8]Bank Liabilities Analysis (нац)'!$J$9-'[8]Bank Liabilities Analysis (нац)'!$J$14-'[8]Bank Liabilities Analysis (нац)'!$J$17</f>
        <v>1306059676</v>
      </c>
      <c r="L15" s="142">
        <v>0.12489593970533311</v>
      </c>
      <c r="M15" s="150">
        <f>'[8]Bank Liabilities Analysis'!$R$20-'[8]Bank Liabilities Analysis'!$R$8-'[8]Bank Liabilities Analysis'!$R$13-'[8]Bank Liabilities Analysis'!$R$16</f>
        <v>836957786</v>
      </c>
      <c r="N15" s="142">
        <v>4.9809665465555014E-2</v>
      </c>
      <c r="O15" s="143"/>
      <c r="P15" s="385">
        <f>+'[8]Bank Liabilities Analysis'!$Q$20</f>
        <v>2147109497</v>
      </c>
      <c r="Q15" s="474">
        <f t="shared" si="2"/>
        <v>0</v>
      </c>
      <c r="R15" s="143"/>
      <c r="S15" s="143"/>
      <c r="T15" s="143"/>
      <c r="U15" s="143"/>
      <c r="V15" s="143"/>
      <c r="W15" s="143"/>
      <c r="X15" s="143"/>
      <c r="Y15" s="143"/>
      <c r="Z15" s="143"/>
    </row>
    <row r="16" spans="1:26" s="144" customFormat="1" ht="41.25" customHeight="1">
      <c r="A16" s="383">
        <v>9</v>
      </c>
      <c r="B16" s="386" t="s">
        <v>549</v>
      </c>
      <c r="C16" s="151">
        <f>SUM(C8:C15)</f>
        <v>4440117517</v>
      </c>
      <c r="D16" s="152">
        <f>IFERROR(((C8*D8)/C16)+((C9*D9)/C16)+((C10*D10)/C16)+((C11*D11)/C16)+((C12*D12)/C16)+((C13*D13)/C16)+((C14*D14)/C16)+((C15*D15)/C16),0)</f>
        <v>0.30095339359541551</v>
      </c>
      <c r="E16" s="151">
        <f t="shared" ref="E16:M16" si="7">SUM(E8:E15)</f>
        <v>3896784644</v>
      </c>
      <c r="F16" s="152">
        <f>IFERROR(((E8*F8)/E16)+((E9*F9)/E16)+((E10*F10)/E16)+((E11*F11)/E16)+((E12*F12)/E16)+((E13*F13)/E16)+((E14*F14)/E16)+((E15*F15)/E16),0)</f>
        <v>0.34028761713206956</v>
      </c>
      <c r="G16" s="151">
        <f t="shared" si="7"/>
        <v>543332873</v>
      </c>
      <c r="H16" s="152">
        <f>IFERROR(((G8*H8)/G16)+((G9*H9)/G16)+((G10*H10)/G16)+((G11*H11)/G16)+((G12*H12)/G16)+((G13*H13)/G16)+((G14*H14)/G16)+((G15*H15)/G16),0)</f>
        <v>1.8848249809468091E-2</v>
      </c>
      <c r="I16" s="151">
        <f t="shared" si="7"/>
        <v>9358473631</v>
      </c>
      <c r="J16" s="152">
        <f>IFERROR(((I8*J8)/I16)+((I9*J9)/I16)+((I10*J10)/I16)+((I11*J11)/I16)+((I12*J12)/I16)+((I13*J13)/I16)+((I14*J14)/I16)+((I15*J15)/I16),0)</f>
        <v>5.3675144519982107E-2</v>
      </c>
      <c r="K16" s="151">
        <f t="shared" si="7"/>
        <v>5012796338</v>
      </c>
      <c r="L16" s="152">
        <f>IFERROR(((K8*L8)/K16)+((K9*L9)/K16)+((K10*L10)/K16)+((K11*L11)/K16)+((K12*L12)/K16)+((K13*L13)/K16)+((K14*L14)/K16)+((K15*L15)/K16),0)</f>
        <v>8.0495862555872266E-2</v>
      </c>
      <c r="M16" s="151">
        <f t="shared" si="7"/>
        <v>4345677293</v>
      </c>
      <c r="N16" s="152">
        <f>IFERROR(((M8*N8)/M16)+((M9*N9)/M16)+((M10*N10)/M16)+((M11*N11)/M16)+((M12*N12)/M16)+((M13*N13)/M16)+((M14*N14)/M16)+((M15*N15)/M16),0)</f>
        <v>2.2737090889215036E-2</v>
      </c>
      <c r="O16" s="143"/>
      <c r="P16" s="387">
        <f>+'[8]Bank Liabilities Analysis'!$S$20</f>
        <v>13798591148</v>
      </c>
      <c r="Q16" s="474">
        <f>+P16-C16-I16</f>
        <v>0</v>
      </c>
      <c r="R16" s="143"/>
      <c r="S16" s="143"/>
      <c r="T16" s="143"/>
      <c r="U16" s="143"/>
      <c r="V16" s="143"/>
      <c r="W16" s="143"/>
      <c r="X16" s="143"/>
      <c r="Y16" s="143"/>
      <c r="Z16" s="143"/>
    </row>
    <row r="17" spans="1:26" s="15" customFormat="1" ht="15.75" customHeight="1">
      <c r="B17" s="240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spans="1:26" s="30" customFormat="1" ht="15" customHeight="1">
      <c r="B18" s="456" t="s">
        <v>778</v>
      </c>
      <c r="F18" s="183"/>
      <c r="G18" s="183"/>
      <c r="H18" s="183"/>
      <c r="I18" s="183"/>
      <c r="J18" s="183"/>
      <c r="K18" s="183"/>
      <c r="L18" s="183"/>
      <c r="M18" s="183"/>
    </row>
    <row r="19" spans="1:26" s="30" customFormat="1" ht="11.25" customHeight="1">
      <c r="B19" s="456"/>
      <c r="F19" s="183"/>
      <c r="G19" s="183"/>
      <c r="H19" s="183"/>
      <c r="I19" s="183"/>
      <c r="J19" s="183"/>
      <c r="K19" s="183"/>
      <c r="L19" s="183"/>
      <c r="M19" s="183"/>
    </row>
    <row r="20" spans="1:26" s="30" customFormat="1" ht="15" customHeight="1">
      <c r="B20" s="456" t="s">
        <v>779</v>
      </c>
      <c r="F20" s="183"/>
      <c r="G20" s="183"/>
      <c r="H20" s="183"/>
      <c r="I20" s="183"/>
      <c r="J20" s="183"/>
      <c r="K20" s="183"/>
      <c r="L20" s="183"/>
      <c r="M20" s="183"/>
    </row>
    <row r="21" spans="1:26" s="6" customFormat="1">
      <c r="A21" s="23"/>
      <c r="B21" s="28"/>
      <c r="J21" s="23"/>
    </row>
    <row r="24" spans="1:26">
      <c r="B24" s="65" t="s">
        <v>189</v>
      </c>
      <c r="C24" s="475">
        <f>+'[8]Deposits by Client'!$C$6+'[8]Deposits by Client'!$C$15</f>
        <v>4440117517</v>
      </c>
      <c r="D24" s="475"/>
      <c r="E24" s="475">
        <f>+C24-G24</f>
        <v>3896784644</v>
      </c>
      <c r="F24" s="475"/>
      <c r="G24" s="475">
        <f>+'[8]Deposits by Client'!$D$6+'[8]Deposits by Client'!$D$15</f>
        <v>543332873</v>
      </c>
      <c r="H24" s="429"/>
      <c r="I24" s="429"/>
      <c r="J24" s="429"/>
      <c r="K24" s="429"/>
      <c r="L24" s="429"/>
      <c r="M24" s="429"/>
      <c r="N24" s="430"/>
    </row>
    <row r="25" spans="1:26">
      <c r="C25" s="475">
        <f>+C16</f>
        <v>4440117517</v>
      </c>
      <c r="D25" s="475"/>
      <c r="E25" s="475">
        <f>+C16-G16</f>
        <v>3896784644</v>
      </c>
      <c r="F25" s="475"/>
      <c r="G25" s="475">
        <f>+G16</f>
        <v>543332873</v>
      </c>
      <c r="H25" s="429"/>
      <c r="I25" s="431"/>
      <c r="J25" s="431"/>
      <c r="K25" s="431"/>
      <c r="L25" s="431"/>
      <c r="M25" s="431"/>
      <c r="N25" s="430"/>
    </row>
    <row r="26" spans="1:26">
      <c r="C26" s="429">
        <f>+C24-C25</f>
        <v>0</v>
      </c>
      <c r="D26" s="429"/>
      <c r="E26" s="429">
        <f>+E24-E25</f>
        <v>0</v>
      </c>
      <c r="F26" s="429"/>
      <c r="G26" s="429">
        <f>+G24-G25</f>
        <v>0</v>
      </c>
      <c r="H26" s="429"/>
      <c r="I26" s="431"/>
      <c r="J26" s="431"/>
      <c r="K26" s="431"/>
      <c r="L26" s="431"/>
      <c r="M26" s="431"/>
      <c r="N26" s="430"/>
    </row>
    <row r="27" spans="1:26">
      <c r="B27" s="65" t="s">
        <v>190</v>
      </c>
      <c r="C27" s="431"/>
      <c r="D27" s="431"/>
      <c r="E27" s="431"/>
      <c r="F27" s="431"/>
      <c r="G27" s="431"/>
      <c r="H27" s="431"/>
      <c r="I27" s="475">
        <f>+'[8]Deposits by Client'!$C$22-'[8]Deposits by Client'!$C$6-'[8]Deposits by Client'!$C$15</f>
        <v>9358473631</v>
      </c>
      <c r="J27" s="475"/>
      <c r="K27" s="475">
        <f>+I27-M27</f>
        <v>5012796338</v>
      </c>
      <c r="L27" s="475"/>
      <c r="M27" s="475">
        <f>+'[8]Deposits by Client'!$D$22-'[8]Deposits by Client'!$D$6-'[8]Deposits by Client'!$D$15</f>
        <v>4345677293</v>
      </c>
      <c r="N27" s="432"/>
    </row>
    <row r="28" spans="1:26">
      <c r="C28" s="431"/>
      <c r="D28" s="431"/>
      <c r="E28" s="431"/>
      <c r="F28" s="431"/>
      <c r="G28" s="431"/>
      <c r="H28" s="431"/>
      <c r="I28" s="475">
        <f>+I16</f>
        <v>9358473631</v>
      </c>
      <c r="J28" s="475"/>
      <c r="K28" s="475">
        <f>+I16-M16</f>
        <v>5012796338</v>
      </c>
      <c r="L28" s="475"/>
      <c r="M28" s="475">
        <f>+M16</f>
        <v>4345677293</v>
      </c>
      <c r="N28" s="432"/>
    </row>
    <row r="29" spans="1:26">
      <c r="C29" s="431"/>
      <c r="D29" s="431"/>
      <c r="E29" s="431"/>
      <c r="F29" s="431"/>
      <c r="G29" s="431"/>
      <c r="H29" s="431"/>
      <c r="I29" s="429">
        <f>+I27-I28</f>
        <v>0</v>
      </c>
      <c r="J29" s="431"/>
      <c r="K29" s="429">
        <f>+K27-K28</f>
        <v>0</v>
      </c>
      <c r="L29" s="431"/>
      <c r="M29" s="429">
        <f>+M27-M28</f>
        <v>0</v>
      </c>
      <c r="N29" s="432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conditionalFormatting sqref="C16">
    <cfRule type="cellIs" dxfId="8" priority="9" operator="notEqual">
      <formula>C24</formula>
    </cfRule>
  </conditionalFormatting>
  <conditionalFormatting sqref="E16">
    <cfRule type="cellIs" dxfId="7" priority="8" operator="notEqual">
      <formula>E24</formula>
    </cfRule>
  </conditionalFormatting>
  <conditionalFormatting sqref="G16">
    <cfRule type="cellIs" dxfId="6" priority="7" operator="notEqual">
      <formula>G24</formula>
    </cfRule>
  </conditionalFormatting>
  <conditionalFormatting sqref="I16">
    <cfRule type="cellIs" dxfId="5" priority="6" operator="notEqual">
      <formula>I27</formula>
    </cfRule>
  </conditionalFormatting>
  <conditionalFormatting sqref="K16">
    <cfRule type="cellIs" dxfId="4" priority="5" operator="notEqual">
      <formula>K27</formula>
    </cfRule>
  </conditionalFormatting>
  <conditionalFormatting sqref="M16">
    <cfRule type="cellIs" dxfId="3" priority="4" operator="notEqual">
      <formula>M27</formula>
    </cfRule>
  </conditionalFormatting>
  <conditionalFormatting sqref="P8:P16">
    <cfRule type="cellIs" dxfId="2" priority="1" operator="notEqual">
      <formula>+(C8+I8)</formula>
    </cfRule>
  </conditionalFormatting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  <ignoredErrors>
    <ignoredError sqref="D16:N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/>
  <dimension ref="A1:M52"/>
  <sheetViews>
    <sheetView view="pageBreakPreview" zoomScaleSheetLayoutView="100" workbookViewId="0">
      <pane xSplit="1" ySplit="5" topLeftCell="B12" activePane="bottomRight" state="frozen"/>
      <selection activeCell="J47" sqref="J47"/>
      <selection pane="topRight" activeCell="J47" sqref="J47"/>
      <selection pane="bottomLeft" activeCell="J47" sqref="J47"/>
      <selection pane="bottomRight" activeCell="I44" sqref="I44:I45"/>
    </sheetView>
  </sheetViews>
  <sheetFormatPr defaultColWidth="9" defaultRowHeight="12.75"/>
  <cols>
    <col min="1" max="1" width="5" style="15" customWidth="1"/>
    <col min="2" max="3" width="9" style="30" customWidth="1"/>
    <col min="4" max="4" width="25.42578125" style="30" customWidth="1"/>
    <col min="5" max="5" width="46.85546875" style="30" customWidth="1"/>
    <col min="6" max="6" width="15.42578125" style="30" bestFit="1" customWidth="1"/>
    <col min="7" max="7" width="9" style="30" customWidth="1"/>
    <col min="8" max="8" width="41.42578125" style="30" customWidth="1"/>
    <col min="9" max="9" width="20" style="30" customWidth="1"/>
    <col min="10" max="10" width="15" style="15" customWidth="1"/>
    <col min="11" max="11" width="15.5703125" style="30" customWidth="1"/>
    <col min="12" max="12" width="9" style="30"/>
    <col min="13" max="13" width="9" style="451"/>
    <col min="14" max="16384" width="9" style="30"/>
  </cols>
  <sheetData>
    <row r="1" spans="1:13" ht="27" customHeight="1">
      <c r="A1" s="584" t="s">
        <v>785</v>
      </c>
      <c r="B1" s="584"/>
      <c r="C1" s="584"/>
      <c r="D1" s="584"/>
      <c r="E1" s="584"/>
      <c r="F1" s="584"/>
      <c r="G1" s="584"/>
      <c r="H1" s="584"/>
      <c r="I1" s="685" t="s">
        <v>550</v>
      </c>
      <c r="J1" s="685"/>
      <c r="K1" s="685"/>
    </row>
    <row r="2" spans="1:13" ht="21" customHeight="1">
      <c r="A2" s="388"/>
      <c r="B2" s="710" t="str">
        <f>+'Asset quality'!B3</f>
        <v>"Ўзсаноатқурилишибанк" АТБ</v>
      </c>
      <c r="C2" s="710"/>
      <c r="D2" s="710"/>
      <c r="E2" s="389"/>
      <c r="F2" s="389"/>
      <c r="G2" s="389"/>
      <c r="H2" s="389"/>
      <c r="I2" s="261">
        <f>+'Asset quality'!Q3</f>
        <v>45289</v>
      </c>
      <c r="J2" s="89"/>
      <c r="K2" s="7"/>
    </row>
    <row r="3" spans="1:13" ht="6.75" customHeight="1">
      <c r="A3" s="686"/>
      <c r="B3" s="687"/>
      <c r="C3" s="687"/>
      <c r="D3" s="687"/>
      <c r="E3" s="687"/>
      <c r="F3" s="687"/>
      <c r="G3" s="687"/>
      <c r="H3" s="687"/>
      <c r="I3" s="687"/>
      <c r="J3" s="687"/>
      <c r="K3" s="688"/>
    </row>
    <row r="4" spans="1:13" s="202" customFormat="1" ht="48.75" customHeight="1">
      <c r="A4" s="699" t="s">
        <v>61</v>
      </c>
      <c r="B4" s="699" t="s">
        <v>551</v>
      </c>
      <c r="C4" s="699"/>
      <c r="D4" s="699"/>
      <c r="E4" s="699"/>
      <c r="F4" s="699" t="s">
        <v>552</v>
      </c>
      <c r="G4" s="699"/>
      <c r="H4" s="699"/>
      <c r="I4" s="265" t="s">
        <v>553</v>
      </c>
      <c r="J4" s="265" t="s">
        <v>554</v>
      </c>
      <c r="K4" s="265" t="s">
        <v>465</v>
      </c>
      <c r="M4" s="452"/>
    </row>
    <row r="5" spans="1:13" s="202" customFormat="1" ht="14.25" customHeight="1">
      <c r="A5" s="699"/>
      <c r="B5" s="699" t="s">
        <v>97</v>
      </c>
      <c r="C5" s="699"/>
      <c r="D5" s="699"/>
      <c r="E5" s="699"/>
      <c r="F5" s="699" t="s">
        <v>79</v>
      </c>
      <c r="G5" s="699"/>
      <c r="H5" s="699"/>
      <c r="I5" s="265" t="s">
        <v>89</v>
      </c>
      <c r="J5" s="265" t="s">
        <v>80</v>
      </c>
      <c r="K5" s="265" t="s">
        <v>81</v>
      </c>
      <c r="M5" s="452"/>
    </row>
    <row r="6" spans="1:13" s="201" customFormat="1">
      <c r="A6" s="390">
        <v>1</v>
      </c>
      <c r="B6" s="694" t="s">
        <v>555</v>
      </c>
      <c r="C6" s="695"/>
      <c r="D6" s="695"/>
      <c r="E6" s="695"/>
      <c r="F6" s="696"/>
      <c r="G6" s="696"/>
      <c r="H6" s="696"/>
      <c r="I6" s="696"/>
      <c r="J6" s="696"/>
      <c r="K6" s="696"/>
      <c r="M6" s="453"/>
    </row>
    <row r="7" spans="1:13" ht="24" customHeight="1">
      <c r="A7" s="700" t="s">
        <v>92</v>
      </c>
      <c r="B7" s="691" t="s">
        <v>556</v>
      </c>
      <c r="C7" s="702"/>
      <c r="D7" s="702"/>
      <c r="E7" s="703"/>
      <c r="F7" s="707" t="s">
        <v>559</v>
      </c>
      <c r="G7" s="708"/>
      <c r="H7" s="709"/>
      <c r="I7" s="689">
        <f>+'[9]Bank Capital Calc'!$C$51</f>
        <v>0.16107929177170313</v>
      </c>
      <c r="J7" s="197" t="s">
        <v>98</v>
      </c>
      <c r="K7" s="697" t="str">
        <f>IF(I7="",0-J8,(IF((I7-J8)&gt;0,"",I7-J8)))</f>
        <v/>
      </c>
    </row>
    <row r="8" spans="1:13">
      <c r="A8" s="701"/>
      <c r="B8" s="704"/>
      <c r="C8" s="705"/>
      <c r="D8" s="705"/>
      <c r="E8" s="706"/>
      <c r="F8" s="691" t="s">
        <v>560</v>
      </c>
      <c r="G8" s="692"/>
      <c r="H8" s="693"/>
      <c r="I8" s="690"/>
      <c r="J8" s="391">
        <v>0.13</v>
      </c>
      <c r="K8" s="698"/>
    </row>
    <row r="9" spans="1:13">
      <c r="A9" s="700" t="s">
        <v>93</v>
      </c>
      <c r="B9" s="691" t="s">
        <v>557</v>
      </c>
      <c r="C9" s="702"/>
      <c r="D9" s="702"/>
      <c r="E9" s="703"/>
      <c r="F9" s="723" t="s">
        <v>561</v>
      </c>
      <c r="G9" s="724"/>
      <c r="H9" s="725"/>
      <c r="I9" s="689">
        <f>+'[9]Bank Capital Calc'!$C$50</f>
        <v>0.11037299005072049</v>
      </c>
      <c r="J9" s="197" t="s">
        <v>98</v>
      </c>
      <c r="K9" s="697" t="str">
        <f>IF(I9="",0-J10,(IF((I9-J10)&gt;0,"",I9-J10)))</f>
        <v/>
      </c>
    </row>
    <row r="10" spans="1:13">
      <c r="A10" s="701"/>
      <c r="B10" s="711"/>
      <c r="C10" s="712"/>
      <c r="D10" s="712"/>
      <c r="E10" s="713"/>
      <c r="F10" s="717" t="s">
        <v>560</v>
      </c>
      <c r="G10" s="718"/>
      <c r="H10" s="719"/>
      <c r="I10" s="690"/>
      <c r="J10" s="391">
        <v>0.1</v>
      </c>
      <c r="K10" s="698"/>
    </row>
    <row r="11" spans="1:13" ht="12.75" customHeight="1">
      <c r="A11" s="700" t="s">
        <v>94</v>
      </c>
      <c r="B11" s="720" t="s">
        <v>558</v>
      </c>
      <c r="C11" s="721"/>
      <c r="D11" s="721"/>
      <c r="E11" s="722"/>
      <c r="F11" s="723" t="s">
        <v>562</v>
      </c>
      <c r="G11" s="724"/>
      <c r="H11" s="725"/>
      <c r="I11" s="689">
        <f>+'[9]Bank Capital Calc'!$C$49</f>
        <v>0.11026267115476318</v>
      </c>
      <c r="J11" s="197" t="s">
        <v>98</v>
      </c>
      <c r="K11" s="697" t="str">
        <f>IF(I11="",0-J12,(IF((I11-J12)&gt;0,"",I11-J12)))</f>
        <v/>
      </c>
    </row>
    <row r="12" spans="1:13" ht="24.75" customHeight="1">
      <c r="A12" s="701"/>
      <c r="B12" s="704"/>
      <c r="C12" s="705"/>
      <c r="D12" s="705"/>
      <c r="E12" s="706"/>
      <c r="F12" s="707" t="s">
        <v>560</v>
      </c>
      <c r="G12" s="708"/>
      <c r="H12" s="709"/>
      <c r="I12" s="690"/>
      <c r="J12" s="391">
        <v>0.08</v>
      </c>
      <c r="K12" s="698"/>
    </row>
    <row r="13" spans="1:13">
      <c r="A13" s="700" t="s">
        <v>95</v>
      </c>
      <c r="B13" s="720" t="s">
        <v>99</v>
      </c>
      <c r="C13" s="721"/>
      <c r="D13" s="721"/>
      <c r="E13" s="722"/>
      <c r="F13" s="714" t="s">
        <v>561</v>
      </c>
      <c r="G13" s="715"/>
      <c r="H13" s="716"/>
      <c r="I13" s="689">
        <f>+'[9]Bank Capital Calc'!$C$57</f>
        <v>9.6637034646342601E-2</v>
      </c>
      <c r="J13" s="197" t="s">
        <v>98</v>
      </c>
      <c r="K13" s="697" t="str">
        <f>IF(I13="",0-J14,(IF((I13-J14)&gt;0,"",I13-J14)))</f>
        <v/>
      </c>
    </row>
    <row r="14" spans="1:13" ht="24.75" customHeight="1">
      <c r="A14" s="701"/>
      <c r="B14" s="704"/>
      <c r="C14" s="705"/>
      <c r="D14" s="705"/>
      <c r="E14" s="706"/>
      <c r="F14" s="707" t="s">
        <v>563</v>
      </c>
      <c r="G14" s="708"/>
      <c r="H14" s="709"/>
      <c r="I14" s="690"/>
      <c r="J14" s="391">
        <v>0.06</v>
      </c>
      <c r="K14" s="698"/>
    </row>
    <row r="15" spans="1:13" s="201" customFormat="1">
      <c r="A15" s="191">
        <v>2</v>
      </c>
      <c r="B15" s="694" t="s">
        <v>564</v>
      </c>
      <c r="C15" s="695"/>
      <c r="D15" s="695"/>
      <c r="E15" s="695"/>
      <c r="F15" s="696"/>
      <c r="G15" s="696"/>
      <c r="H15" s="696"/>
      <c r="I15" s="696"/>
      <c r="J15" s="696"/>
      <c r="K15" s="696"/>
      <c r="M15" s="453"/>
    </row>
    <row r="16" spans="1:13" s="201" customFormat="1" ht="12.75" customHeight="1">
      <c r="A16" s="700" t="s">
        <v>100</v>
      </c>
      <c r="B16" s="720" t="s">
        <v>565</v>
      </c>
      <c r="C16" s="721"/>
      <c r="D16" s="721"/>
      <c r="E16" s="722"/>
      <c r="F16" s="723" t="s">
        <v>569</v>
      </c>
      <c r="G16" s="724"/>
      <c r="H16" s="725"/>
      <c r="I16" s="689">
        <f>+'[8]Liquidity Analysis'!$C$18</f>
        <v>0.10943290914681444</v>
      </c>
      <c r="J16" s="197" t="s">
        <v>98</v>
      </c>
      <c r="K16" s="697" t="str">
        <f>IF(I16="",0-J17,(IF((I16-J17)&gt;0,"",I16-J17)))</f>
        <v/>
      </c>
      <c r="M16" s="453"/>
    </row>
    <row r="17" spans="1:13" s="201" customFormat="1">
      <c r="A17" s="701"/>
      <c r="B17" s="704"/>
      <c r="C17" s="705"/>
      <c r="D17" s="705"/>
      <c r="E17" s="706"/>
      <c r="F17" s="707" t="s">
        <v>281</v>
      </c>
      <c r="G17" s="708"/>
      <c r="H17" s="709"/>
      <c r="I17" s="745"/>
      <c r="J17" s="391">
        <v>0.1</v>
      </c>
      <c r="K17" s="698"/>
      <c r="M17" s="453"/>
    </row>
    <row r="18" spans="1:13" ht="15.75" customHeight="1">
      <c r="A18" s="700" t="s">
        <v>34</v>
      </c>
      <c r="B18" s="729" t="s">
        <v>566</v>
      </c>
      <c r="C18" s="721"/>
      <c r="D18" s="721"/>
      <c r="E18" s="392" t="s">
        <v>234</v>
      </c>
      <c r="F18" s="734" t="s">
        <v>569</v>
      </c>
      <c r="G18" s="735"/>
      <c r="H18" s="736"/>
      <c r="I18" s="264">
        <f>+'[8]Liquidity Analysis'!$C$24</f>
        <v>1.7727613514083835</v>
      </c>
      <c r="J18" s="746" t="s">
        <v>98</v>
      </c>
      <c r="K18" s="264" t="str">
        <f>IF(I18="",0-$J$20,(IF((I18-$J$20)&gt;0,"",I18-$J$20)))</f>
        <v/>
      </c>
    </row>
    <row r="19" spans="1:13" ht="15.75" customHeight="1">
      <c r="A19" s="740"/>
      <c r="B19" s="730"/>
      <c r="C19" s="731"/>
      <c r="D19" s="731"/>
      <c r="E19" s="393" t="s">
        <v>285</v>
      </c>
      <c r="F19" s="737"/>
      <c r="G19" s="738"/>
      <c r="H19" s="739"/>
      <c r="I19" s="264">
        <f>+'[8]Liquidity Analysis'!$D$24</f>
        <v>1.1596058072202307</v>
      </c>
      <c r="J19" s="747"/>
      <c r="K19" s="264" t="str">
        <f>IF(I19="",0-$J$20,(IF((I19-$J$20)&gt;0,"",I19-$J$20)))</f>
        <v/>
      </c>
    </row>
    <row r="20" spans="1:13" ht="15.75" customHeight="1">
      <c r="A20" s="701"/>
      <c r="B20" s="732"/>
      <c r="C20" s="733"/>
      <c r="D20" s="733"/>
      <c r="E20" s="393" t="s">
        <v>490</v>
      </c>
      <c r="F20" s="741" t="s">
        <v>570</v>
      </c>
      <c r="G20" s="741"/>
      <c r="H20" s="741"/>
      <c r="I20" s="264">
        <f>+'[8]Liquidity Analysis'!$E$24</f>
        <v>2.2240678589597969</v>
      </c>
      <c r="J20" s="196">
        <v>1</v>
      </c>
      <c r="K20" s="264" t="str">
        <f>IF(I20="",0-$J$20,(IF((I20-$J$20)&gt;0,"",I20-$J$20)))</f>
        <v/>
      </c>
    </row>
    <row r="21" spans="1:13" ht="15" customHeight="1">
      <c r="A21" s="700" t="s">
        <v>567</v>
      </c>
      <c r="B21" s="729" t="s">
        <v>568</v>
      </c>
      <c r="C21" s="721"/>
      <c r="D21" s="721"/>
      <c r="E21" s="392" t="s">
        <v>234</v>
      </c>
      <c r="F21" s="734" t="s">
        <v>571</v>
      </c>
      <c r="G21" s="735"/>
      <c r="H21" s="736"/>
      <c r="I21" s="264">
        <f>+'[8]Liquidity Analysis'!$C$29</f>
        <v>1.0417986165736799</v>
      </c>
      <c r="J21" s="746" t="s">
        <v>98</v>
      </c>
      <c r="K21" s="264" t="str">
        <f>IF(I21="",0-$J$23,(IF((I21-$J$23)&gt;0,"",I21-$J$23)))</f>
        <v/>
      </c>
    </row>
    <row r="22" spans="1:13" ht="15" customHeight="1">
      <c r="A22" s="740"/>
      <c r="B22" s="730"/>
      <c r="C22" s="731"/>
      <c r="D22" s="731"/>
      <c r="E22" s="393" t="s">
        <v>285</v>
      </c>
      <c r="F22" s="737"/>
      <c r="G22" s="738"/>
      <c r="H22" s="739"/>
      <c r="I22" s="264">
        <f>+'[8]Liquidity Analysis'!$D$29</f>
        <v>1.0332123714043993</v>
      </c>
      <c r="J22" s="747"/>
      <c r="K22" s="264" t="str">
        <f>IF(I22="",0-$J$23,(IF((I22-$J$23)&gt;0,"",I22-$J$23)))</f>
        <v/>
      </c>
    </row>
    <row r="23" spans="1:13" ht="15" customHeight="1">
      <c r="A23" s="701"/>
      <c r="B23" s="732"/>
      <c r="C23" s="733"/>
      <c r="D23" s="733"/>
      <c r="E23" s="393" t="s">
        <v>490</v>
      </c>
      <c r="F23" s="741" t="s">
        <v>572</v>
      </c>
      <c r="G23" s="741"/>
      <c r="H23" s="741"/>
      <c r="I23" s="264">
        <f>+'[8]Liquidity Analysis'!$E$29</f>
        <v>1.0484544062965189</v>
      </c>
      <c r="J23" s="195">
        <v>1</v>
      </c>
      <c r="K23" s="264" t="str">
        <f>IF(I23="",0-$J$23,(IF((I23-$J$23)&gt;0,"",I23-$J$23)))</f>
        <v/>
      </c>
    </row>
    <row r="24" spans="1:13" s="201" customFormat="1">
      <c r="A24" s="191">
        <v>3</v>
      </c>
      <c r="B24" s="694" t="s">
        <v>573</v>
      </c>
      <c r="C24" s="695"/>
      <c r="D24" s="695"/>
      <c r="E24" s="695"/>
      <c r="F24" s="696"/>
      <c r="G24" s="696"/>
      <c r="H24" s="696"/>
      <c r="I24" s="696"/>
      <c r="J24" s="696"/>
      <c r="K24" s="696"/>
      <c r="M24" s="453"/>
    </row>
    <row r="25" spans="1:13" ht="24" customHeight="1">
      <c r="A25" s="700" t="s">
        <v>101</v>
      </c>
      <c r="B25" s="729" t="s">
        <v>574</v>
      </c>
      <c r="C25" s="721"/>
      <c r="D25" s="721"/>
      <c r="E25" s="722"/>
      <c r="F25" s="726" t="s">
        <v>578</v>
      </c>
      <c r="G25" s="727"/>
      <c r="H25" s="728"/>
      <c r="I25" s="689">
        <f>IFERROR((+' Largest risk'!Z90/'[9]Bank Capital Calc'!$C$34),0)</f>
        <v>0.23088313139695099</v>
      </c>
      <c r="J25" s="197" t="s">
        <v>102</v>
      </c>
      <c r="K25" s="689" t="str">
        <f>IF(I25="","",IF(I25&lt;0,"ОТР",IF((I25-J26)&lt;0,"",I25-J26)))</f>
        <v/>
      </c>
    </row>
    <row r="26" spans="1:13">
      <c r="A26" s="701"/>
      <c r="B26" s="748"/>
      <c r="C26" s="749"/>
      <c r="D26" s="749"/>
      <c r="E26" s="750"/>
      <c r="F26" s="714" t="s">
        <v>561</v>
      </c>
      <c r="G26" s="715"/>
      <c r="H26" s="716"/>
      <c r="I26" s="745"/>
      <c r="J26" s="196">
        <v>0.25</v>
      </c>
      <c r="K26" s="751"/>
    </row>
    <row r="27" spans="1:13" ht="28.5" customHeight="1">
      <c r="A27" s="700" t="s">
        <v>103</v>
      </c>
      <c r="B27" s="720" t="s">
        <v>575</v>
      </c>
      <c r="C27" s="721"/>
      <c r="D27" s="721"/>
      <c r="E27" s="722"/>
      <c r="F27" s="707" t="s">
        <v>579</v>
      </c>
      <c r="G27" s="708"/>
      <c r="H27" s="709"/>
      <c r="I27" s="742">
        <f>IFERROR((' Largest risk'!H39/'[9]Bank Capital Calc'!$C$34),0)</f>
        <v>0.15944399079079044</v>
      </c>
      <c r="J27" s="197" t="s">
        <v>102</v>
      </c>
      <c r="K27" s="697" t="str">
        <f>IF(I27&lt;0,"ОТР",IF((I27-J28)&lt;0,"",I27-J28))</f>
        <v/>
      </c>
      <c r="M27" s="451" t="s">
        <v>774</v>
      </c>
    </row>
    <row r="28" spans="1:13">
      <c r="A28" s="701"/>
      <c r="B28" s="737"/>
      <c r="C28" s="738"/>
      <c r="D28" s="738"/>
      <c r="E28" s="739"/>
      <c r="F28" s="714" t="s">
        <v>561</v>
      </c>
      <c r="G28" s="715"/>
      <c r="H28" s="716"/>
      <c r="I28" s="743"/>
      <c r="J28" s="196">
        <v>0.25</v>
      </c>
      <c r="K28" s="698"/>
    </row>
    <row r="29" spans="1:13" ht="36" customHeight="1">
      <c r="A29" s="700" t="s">
        <v>23</v>
      </c>
      <c r="B29" s="729" t="s">
        <v>576</v>
      </c>
      <c r="C29" s="721"/>
      <c r="D29" s="721"/>
      <c r="E29" s="722"/>
      <c r="F29" s="726" t="s">
        <v>580</v>
      </c>
      <c r="G29" s="727"/>
      <c r="H29" s="728"/>
      <c r="I29" s="742">
        <f>IFERROR((98000001/'[9]Bank Capital Calc'!$C$34),0)</f>
        <v>1.267802703855451E-2</v>
      </c>
      <c r="J29" s="197" t="s">
        <v>102</v>
      </c>
      <c r="K29" s="697" t="str">
        <f>IF(I29&lt;0,"ОТР",IF((I29-J30)&lt;0,"",I29-J30))</f>
        <v/>
      </c>
      <c r="M29" s="451" t="s">
        <v>774</v>
      </c>
    </row>
    <row r="30" spans="1:13">
      <c r="A30" s="701"/>
      <c r="B30" s="737"/>
      <c r="C30" s="738"/>
      <c r="D30" s="738"/>
      <c r="E30" s="739"/>
      <c r="F30" s="714" t="s">
        <v>561</v>
      </c>
      <c r="G30" s="715"/>
      <c r="H30" s="716"/>
      <c r="I30" s="743"/>
      <c r="J30" s="196">
        <v>0.05</v>
      </c>
      <c r="K30" s="698"/>
    </row>
    <row r="31" spans="1:13" ht="14.25" customHeight="1">
      <c r="A31" s="700" t="s">
        <v>164</v>
      </c>
      <c r="B31" s="759" t="s">
        <v>577</v>
      </c>
      <c r="C31" s="731"/>
      <c r="D31" s="731"/>
      <c r="E31" s="760"/>
      <c r="F31" s="714" t="s">
        <v>581</v>
      </c>
      <c r="G31" s="715"/>
      <c r="H31" s="716"/>
      <c r="I31" s="689">
        <f>IFERROR((+' Largest risk'!Z89/'[9]Bank Capital Calc'!$C$34),0)</f>
        <v>3.2121134856517775</v>
      </c>
      <c r="J31" s="195" t="s">
        <v>102</v>
      </c>
      <c r="K31" s="697" t="str">
        <f>IF(I31="","",IF(I31&lt;0,"ОТР",IF((I31-J32)&lt;0,"",I31-J32)))</f>
        <v/>
      </c>
    </row>
    <row r="32" spans="1:13">
      <c r="A32" s="701"/>
      <c r="B32" s="737"/>
      <c r="C32" s="738"/>
      <c r="D32" s="738"/>
      <c r="E32" s="739"/>
      <c r="F32" s="714" t="s">
        <v>561</v>
      </c>
      <c r="G32" s="715"/>
      <c r="H32" s="716"/>
      <c r="I32" s="745"/>
      <c r="J32" s="195">
        <v>5</v>
      </c>
      <c r="K32" s="698"/>
    </row>
    <row r="33" spans="1:13" s="201" customFormat="1">
      <c r="A33" s="191">
        <v>4</v>
      </c>
      <c r="B33" s="744" t="s">
        <v>582</v>
      </c>
      <c r="C33" s="695"/>
      <c r="D33" s="695"/>
      <c r="E33" s="695"/>
      <c r="F33" s="696"/>
      <c r="G33" s="696"/>
      <c r="H33" s="696"/>
      <c r="I33" s="696"/>
      <c r="J33" s="696"/>
      <c r="K33" s="696"/>
      <c r="M33" s="453"/>
    </row>
    <row r="34" spans="1:13" ht="29.25" customHeight="1">
      <c r="A34" s="700" t="s">
        <v>104</v>
      </c>
      <c r="B34" s="758" t="s">
        <v>583</v>
      </c>
      <c r="C34" s="735"/>
      <c r="D34" s="735"/>
      <c r="E34" s="736"/>
      <c r="F34" s="707" t="s">
        <v>583</v>
      </c>
      <c r="G34" s="708"/>
      <c r="H34" s="709"/>
      <c r="I34" s="742">
        <f>314145028/'[9]Bank Capital Calc'!$C$34</f>
        <v>4.0640195085421112E-2</v>
      </c>
      <c r="J34" s="197" t="s">
        <v>102</v>
      </c>
      <c r="K34" s="697" t="str">
        <f>IF(I34&lt;0,"ОТР",IF((I34-J35)&lt;0,"",I34-J35))</f>
        <v/>
      </c>
      <c r="M34" s="451" t="s">
        <v>774</v>
      </c>
    </row>
    <row r="35" spans="1:13">
      <c r="A35" s="701"/>
      <c r="B35" s="749"/>
      <c r="C35" s="749"/>
      <c r="D35" s="749"/>
      <c r="E35" s="750"/>
      <c r="F35" s="714" t="s">
        <v>561</v>
      </c>
      <c r="G35" s="715"/>
      <c r="H35" s="716"/>
      <c r="I35" s="743"/>
      <c r="J35" s="196">
        <v>0.15</v>
      </c>
      <c r="K35" s="698"/>
    </row>
    <row r="36" spans="1:13" ht="36" customHeight="1">
      <c r="A36" s="700" t="s">
        <v>25</v>
      </c>
      <c r="B36" s="758" t="s">
        <v>802</v>
      </c>
      <c r="C36" s="735"/>
      <c r="D36" s="735"/>
      <c r="E36" s="736"/>
      <c r="F36" s="707" t="s">
        <v>802</v>
      </c>
      <c r="G36" s="756"/>
      <c r="H36" s="757"/>
      <c r="I36" s="689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5.3873534967977345E-2</v>
      </c>
      <c r="J36" s="195" t="s">
        <v>102</v>
      </c>
      <c r="K36" s="697" t="str">
        <f>IF(I36="","",IF(I36&lt;0,"ОТР",IF((I36-J37)&lt;0,"",I36-J37)))</f>
        <v/>
      </c>
    </row>
    <row r="37" spans="1:13">
      <c r="A37" s="701"/>
      <c r="B37" s="749"/>
      <c r="C37" s="749"/>
      <c r="D37" s="749"/>
      <c r="E37" s="750"/>
      <c r="F37" s="714" t="s">
        <v>561</v>
      </c>
      <c r="G37" s="715"/>
      <c r="H37" s="716"/>
      <c r="I37" s="745"/>
      <c r="J37" s="195">
        <v>0.5</v>
      </c>
      <c r="K37" s="698"/>
    </row>
    <row r="38" spans="1:13" s="201" customFormat="1">
      <c r="A38" s="191">
        <v>5</v>
      </c>
      <c r="B38" s="744" t="s">
        <v>584</v>
      </c>
      <c r="C38" s="695"/>
      <c r="D38" s="695"/>
      <c r="E38" s="695"/>
      <c r="F38" s="696"/>
      <c r="G38" s="696"/>
      <c r="H38" s="696"/>
      <c r="I38" s="696"/>
      <c r="J38" s="696"/>
      <c r="K38" s="696"/>
      <c r="M38" s="453"/>
    </row>
    <row r="39" spans="1:13" ht="23.25" customHeight="1">
      <c r="A39" s="700" t="s">
        <v>105</v>
      </c>
      <c r="B39" s="752" t="s">
        <v>585</v>
      </c>
      <c r="C39" s="741"/>
      <c r="D39" s="741"/>
      <c r="E39" s="741"/>
      <c r="F39" s="707" t="s">
        <v>587</v>
      </c>
      <c r="G39" s="708"/>
      <c r="H39" s="709"/>
      <c r="I39" s="689">
        <f>IFERROR(((+'Transactions of related parties'!Z90-'[9]Bank Capital Calc'!$C$24)/'[9]Bank Capital Calc'!$C$34),0)</f>
        <v>4.3227547515867416E-2</v>
      </c>
      <c r="J39" s="197" t="s">
        <v>102</v>
      </c>
      <c r="K39" s="697" t="str">
        <f>IF(I39="","",IF(I39&lt;0,"ОТР",IF((I39-J40)&lt;0,"",I39-J40)))</f>
        <v/>
      </c>
    </row>
    <row r="40" spans="1:13">
      <c r="A40" s="701"/>
      <c r="B40" s="741"/>
      <c r="C40" s="741"/>
      <c r="D40" s="741"/>
      <c r="E40" s="741"/>
      <c r="F40" s="714" t="s">
        <v>561</v>
      </c>
      <c r="G40" s="715"/>
      <c r="H40" s="716"/>
      <c r="I40" s="755"/>
      <c r="J40" s="196">
        <v>0.25</v>
      </c>
      <c r="K40" s="698"/>
    </row>
    <row r="41" spans="1:13">
      <c r="A41" s="700" t="s">
        <v>217</v>
      </c>
      <c r="B41" s="752" t="s">
        <v>586</v>
      </c>
      <c r="C41" s="741"/>
      <c r="D41" s="741"/>
      <c r="E41" s="741"/>
      <c r="F41" s="732" t="s">
        <v>588</v>
      </c>
      <c r="G41" s="753"/>
      <c r="H41" s="754"/>
      <c r="I41" s="689">
        <f>IFERROR(((+'Transactions of related parties'!Z89-'[9]Bank Capital Calc'!$C$24)/'[9]Bank Capital Calc'!$C$34),0)</f>
        <v>5.0529061508026989E-2</v>
      </c>
      <c r="J41" s="195" t="s">
        <v>102</v>
      </c>
      <c r="K41" s="697" t="str">
        <f>IF(I41="","",IF(I41&lt;0,"ОТР",IF((I41-J42)&lt;0,"",I41-J42)))</f>
        <v/>
      </c>
    </row>
    <row r="42" spans="1:13">
      <c r="A42" s="701"/>
      <c r="B42" s="741"/>
      <c r="C42" s="741"/>
      <c r="D42" s="741"/>
      <c r="E42" s="741"/>
      <c r="F42" s="714" t="s">
        <v>561</v>
      </c>
      <c r="G42" s="715"/>
      <c r="H42" s="716"/>
      <c r="I42" s="755"/>
      <c r="J42" s="195">
        <v>0.5</v>
      </c>
      <c r="K42" s="698"/>
    </row>
    <row r="43" spans="1:13" s="201" customFormat="1">
      <c r="A43" s="191">
        <v>6</v>
      </c>
      <c r="B43" s="744" t="s">
        <v>804</v>
      </c>
      <c r="C43" s="695"/>
      <c r="D43" s="695"/>
      <c r="E43" s="695"/>
      <c r="F43" s="696"/>
      <c r="G43" s="696"/>
      <c r="H43" s="696"/>
      <c r="I43" s="696"/>
      <c r="J43" s="696"/>
      <c r="K43" s="696"/>
      <c r="M43" s="453"/>
    </row>
    <row r="44" spans="1:13">
      <c r="A44" s="700" t="s">
        <v>199</v>
      </c>
      <c r="B44" s="720" t="s">
        <v>803</v>
      </c>
      <c r="C44" s="735"/>
      <c r="D44" s="735"/>
      <c r="E44" s="736"/>
      <c r="F44" s="707" t="s">
        <v>803</v>
      </c>
      <c r="G44" s="708"/>
      <c r="H44" s="709"/>
      <c r="I44" s="742">
        <v>0.43</v>
      </c>
      <c r="J44" s="195" t="s">
        <v>102</v>
      </c>
      <c r="K44" s="697" t="str">
        <f>IF(I44="","",IF(I44&lt;0,"ОТР",IF((I44-J45)&lt;0,"",I44-J45)))</f>
        <v/>
      </c>
      <c r="M44" s="451" t="s">
        <v>774</v>
      </c>
    </row>
    <row r="45" spans="1:13">
      <c r="A45" s="701"/>
      <c r="B45" s="737"/>
      <c r="C45" s="738"/>
      <c r="D45" s="738"/>
      <c r="E45" s="739"/>
      <c r="F45" s="714" t="s">
        <v>561</v>
      </c>
      <c r="G45" s="715"/>
      <c r="H45" s="716"/>
      <c r="I45" s="743"/>
      <c r="J45" s="196">
        <v>1</v>
      </c>
      <c r="K45" s="698"/>
    </row>
    <row r="47" spans="1:13" ht="15" customHeight="1">
      <c r="A47" s="30"/>
      <c r="B47" s="201" t="s">
        <v>778</v>
      </c>
      <c r="F47" s="183"/>
      <c r="G47" s="183"/>
      <c r="H47" s="183"/>
      <c r="I47" s="183"/>
      <c r="J47" s="183"/>
      <c r="K47" s="183"/>
      <c r="L47" s="183"/>
      <c r="M47" s="183"/>
    </row>
    <row r="48" spans="1:13" ht="11.25" customHeight="1">
      <c r="A48" s="30"/>
      <c r="B48" s="201"/>
      <c r="F48" s="183"/>
      <c r="G48" s="183"/>
      <c r="H48" s="183"/>
      <c r="I48" s="183"/>
      <c r="J48" s="183"/>
      <c r="K48" s="183"/>
      <c r="L48" s="183"/>
      <c r="M48" s="183"/>
    </row>
    <row r="49" spans="1:13" ht="15" customHeight="1">
      <c r="A49" s="30"/>
      <c r="B49" s="201" t="s">
        <v>779</v>
      </c>
      <c r="F49" s="183"/>
      <c r="G49" s="183"/>
      <c r="H49" s="183"/>
      <c r="I49" s="183"/>
      <c r="J49" s="183"/>
      <c r="K49" s="183"/>
      <c r="L49" s="183"/>
      <c r="M49" s="183"/>
    </row>
    <row r="50" spans="1:13" ht="12.75" customHeight="1"/>
    <row r="51" spans="1:13" ht="16.5" customHeight="1"/>
    <row r="52" spans="1:13" ht="27" customHeight="1"/>
  </sheetData>
  <sheetProtection password="CACA" sheet="1" objects="1" scenarios="1"/>
  <mergeCells count="115"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5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 xr:uid="{00000000-0002-0000-0F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0F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>
    <pageSetUpPr fitToPage="1"/>
  </sheetPr>
  <dimension ref="A1:M30"/>
  <sheetViews>
    <sheetView view="pageBreakPreview" zoomScaleSheetLayoutView="100" workbookViewId="0">
      <pane xSplit="1" ySplit="2" topLeftCell="B3" activePane="bottomRight" state="frozen"/>
      <selection activeCell="J47" sqref="J47"/>
      <selection pane="topRight" activeCell="J47" sqref="J47"/>
      <selection pane="bottomLeft" activeCell="J47" sqref="J47"/>
      <selection pane="bottomRight" activeCell="E16" sqref="E16"/>
    </sheetView>
  </sheetViews>
  <sheetFormatPr defaultRowHeight="12.75"/>
  <cols>
    <col min="1" max="1" width="6" style="30" customWidth="1"/>
    <col min="2" max="2" width="71.85546875" style="259" customWidth="1"/>
    <col min="3" max="3" width="19.28515625" style="30" customWidth="1"/>
    <col min="4" max="16384" width="9.140625" style="30"/>
  </cols>
  <sheetData>
    <row r="1" spans="1:5" s="15" customFormat="1" ht="39.75" customHeight="1">
      <c r="B1" s="16" t="s">
        <v>589</v>
      </c>
      <c r="C1" s="16" t="s">
        <v>590</v>
      </c>
    </row>
    <row r="2" spans="1:5" s="15" customFormat="1" ht="35.25" customHeight="1">
      <c r="A2" s="193"/>
      <c r="B2" s="193" t="str">
        <f>+'Asset quality'!B3</f>
        <v>"Ўзсаноатқурилишибанк" АТБ</v>
      </c>
      <c r="C2" s="428">
        <f>+'Economic Normatives'!I2</f>
        <v>45289</v>
      </c>
    </row>
    <row r="3" spans="1:5" s="15" customFormat="1" ht="32.25" customHeight="1">
      <c r="A3" s="307">
        <v>1</v>
      </c>
      <c r="B3" s="178" t="s">
        <v>591</v>
      </c>
      <c r="C3" s="18"/>
    </row>
    <row r="4" spans="1:5" s="19" customFormat="1" ht="30" customHeight="1">
      <c r="A4" s="394" t="s">
        <v>46</v>
      </c>
      <c r="B4" s="395" t="s">
        <v>592</v>
      </c>
      <c r="C4" s="18">
        <v>4164</v>
      </c>
    </row>
    <row r="5" spans="1:5" s="19" customFormat="1" ht="30" customHeight="1">
      <c r="A5" s="394" t="s">
        <v>42</v>
      </c>
      <c r="B5" s="395" t="s">
        <v>593</v>
      </c>
      <c r="C5" s="18">
        <v>4057</v>
      </c>
    </row>
    <row r="6" spans="1:5" s="15" customFormat="1" ht="32.25" customHeight="1">
      <c r="A6" s="307">
        <v>2</v>
      </c>
      <c r="B6" s="178" t="s">
        <v>594</v>
      </c>
      <c r="C6" s="18"/>
    </row>
    <row r="7" spans="1:5" s="15" customFormat="1">
      <c r="A7" s="307"/>
      <c r="B7" s="396" t="s">
        <v>595</v>
      </c>
      <c r="C7" s="243"/>
    </row>
    <row r="8" spans="1:5" s="19" customFormat="1" ht="30" customHeight="1">
      <c r="A8" s="394" t="s">
        <v>46</v>
      </c>
      <c r="B8" s="395" t="s">
        <v>596</v>
      </c>
      <c r="C8" s="18">
        <v>1</v>
      </c>
    </row>
    <row r="9" spans="1:5" s="19" customFormat="1" ht="30" customHeight="1">
      <c r="A9" s="394" t="s">
        <v>42</v>
      </c>
      <c r="B9" s="395" t="s">
        <v>597</v>
      </c>
      <c r="C9" s="18">
        <v>0</v>
      </c>
    </row>
    <row r="10" spans="1:5" s="19" customFormat="1" ht="30" customHeight="1">
      <c r="A10" s="394" t="s">
        <v>44</v>
      </c>
      <c r="B10" s="395" t="s">
        <v>598</v>
      </c>
      <c r="C10" s="18">
        <v>26</v>
      </c>
    </row>
    <row r="11" spans="1:5" s="19" customFormat="1" ht="30" customHeight="1">
      <c r="A11" s="394" t="s">
        <v>51</v>
      </c>
      <c r="B11" s="395" t="s">
        <v>599</v>
      </c>
      <c r="C11" s="18">
        <v>90</v>
      </c>
    </row>
    <row r="12" spans="1:5" s="15" customFormat="1" ht="30" customHeight="1">
      <c r="A12" s="397">
        <v>3</v>
      </c>
      <c r="B12" s="398" t="s">
        <v>600</v>
      </c>
      <c r="C12" s="223">
        <f>C14+C15+C16</f>
        <v>1609225</v>
      </c>
    </row>
    <row r="13" spans="1:5" s="15" customFormat="1">
      <c r="A13" s="399"/>
      <c r="B13" s="400" t="s">
        <v>595</v>
      </c>
      <c r="C13" s="243"/>
    </row>
    <row r="14" spans="1:5" s="19" customFormat="1" ht="30" customHeight="1">
      <c r="A14" s="194" t="s">
        <v>46</v>
      </c>
      <c r="B14" s="400" t="s">
        <v>601</v>
      </c>
      <c r="C14" s="18">
        <v>1537969</v>
      </c>
    </row>
    <row r="15" spans="1:5" s="19" customFormat="1" ht="30" customHeight="1">
      <c r="A15" s="194" t="s">
        <v>42</v>
      </c>
      <c r="B15" s="400" t="s">
        <v>602</v>
      </c>
      <c r="C15" s="18">
        <v>28839</v>
      </c>
    </row>
    <row r="16" spans="1:5" s="19" customFormat="1" ht="30" customHeight="1">
      <c r="A16" s="194" t="s">
        <v>44</v>
      </c>
      <c r="B16" s="400" t="s">
        <v>603</v>
      </c>
      <c r="C16" s="223">
        <f>+C18+C19+C20+C21+C22</f>
        <v>42417</v>
      </c>
      <c r="E16" s="19" t="s">
        <v>775</v>
      </c>
    </row>
    <row r="17" spans="1:13" s="19" customFormat="1">
      <c r="A17" s="194"/>
      <c r="B17" s="400" t="s">
        <v>604</v>
      </c>
      <c r="C17" s="18"/>
      <c r="E17" s="19" t="s">
        <v>776</v>
      </c>
    </row>
    <row r="18" spans="1:13" s="19" customFormat="1" ht="30" customHeight="1">
      <c r="A18" s="194" t="s">
        <v>218</v>
      </c>
      <c r="B18" s="401" t="s">
        <v>605</v>
      </c>
      <c r="C18" s="18">
        <v>695</v>
      </c>
    </row>
    <row r="19" spans="1:13" s="19" customFormat="1" ht="29.25" customHeight="1">
      <c r="A19" s="194" t="s">
        <v>218</v>
      </c>
      <c r="B19" s="401" t="s">
        <v>606</v>
      </c>
      <c r="C19" s="18">
        <v>37591</v>
      </c>
    </row>
    <row r="20" spans="1:13" s="19" customFormat="1" ht="30" customHeight="1">
      <c r="A20" s="194" t="s">
        <v>218</v>
      </c>
      <c r="B20" s="401" t="s">
        <v>607</v>
      </c>
      <c r="C20" s="18">
        <v>1277</v>
      </c>
    </row>
    <row r="21" spans="1:13" s="19" customFormat="1" ht="30" customHeight="1">
      <c r="A21" s="194" t="s">
        <v>218</v>
      </c>
      <c r="B21" s="401" t="s">
        <v>608</v>
      </c>
      <c r="C21" s="18">
        <v>3</v>
      </c>
    </row>
    <row r="22" spans="1:13" s="19" customFormat="1" ht="30" customHeight="1">
      <c r="A22" s="194" t="s">
        <v>218</v>
      </c>
      <c r="B22" s="401" t="s">
        <v>609</v>
      </c>
      <c r="C22" s="18">
        <v>2851</v>
      </c>
    </row>
    <row r="23" spans="1:13" s="15" customFormat="1" ht="32.25" customHeight="1">
      <c r="A23" s="397">
        <v>4</v>
      </c>
      <c r="B23" s="190" t="s">
        <v>610</v>
      </c>
      <c r="C23" s="402"/>
    </row>
    <row r="24" spans="1:13" s="19" customFormat="1" ht="30" customHeight="1">
      <c r="A24" s="194" t="s">
        <v>46</v>
      </c>
      <c r="B24" s="400" t="s">
        <v>611</v>
      </c>
      <c r="C24" s="18" t="s">
        <v>1008</v>
      </c>
    </row>
    <row r="25" spans="1:13" s="19" customFormat="1" ht="30" customHeight="1">
      <c r="A25" s="194" t="s">
        <v>42</v>
      </c>
      <c r="B25" s="400" t="s">
        <v>612</v>
      </c>
      <c r="C25" s="18" t="s">
        <v>1009</v>
      </c>
    </row>
    <row r="26" spans="1:13" s="15" customFormat="1" ht="12" customHeight="1">
      <c r="B26" s="240"/>
    </row>
    <row r="27" spans="1:13" ht="15" customHeight="1">
      <c r="B27" s="201" t="s">
        <v>778</v>
      </c>
      <c r="F27" s="183"/>
      <c r="G27" s="183"/>
      <c r="H27" s="183"/>
      <c r="I27" s="183"/>
      <c r="J27" s="183"/>
      <c r="K27" s="183"/>
      <c r="L27" s="183"/>
      <c r="M27" s="183"/>
    </row>
    <row r="28" spans="1:13" ht="11.25" customHeight="1">
      <c r="B28" s="201"/>
      <c r="F28" s="183"/>
      <c r="G28" s="183"/>
      <c r="H28" s="183"/>
      <c r="I28" s="183"/>
      <c r="J28" s="183"/>
      <c r="K28" s="183"/>
      <c r="L28" s="183"/>
      <c r="M28" s="183"/>
    </row>
    <row r="29" spans="1:13" ht="15" customHeight="1">
      <c r="B29" s="201" t="s">
        <v>779</v>
      </c>
      <c r="F29" s="183"/>
      <c r="G29" s="183"/>
      <c r="H29" s="183"/>
      <c r="I29" s="183"/>
      <c r="J29" s="183"/>
      <c r="K29" s="183"/>
      <c r="L29" s="183"/>
      <c r="M29" s="183"/>
    </row>
    <row r="30" spans="1:13">
      <c r="A30" s="15"/>
      <c r="B30" s="201"/>
    </row>
  </sheetData>
  <sheetProtection password="CACA" sheet="1" objects="1" scenarios="1"/>
  <phoneticPr fontId="15" type="noConversion"/>
  <dataValidations count="1">
    <dataValidation type="whole" operator="greaterThanOrEqual" allowBlank="1" showErrorMessage="1" error="Введите как целое положительное число." sqref="C8 C4:C5" xr:uid="{00000000-0002-0000-10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1"/>
  <dimension ref="A1:P54"/>
  <sheetViews>
    <sheetView view="pageBreakPreview" zoomScale="70" zoomScaleNormal="40" zoomScaleSheetLayoutView="70" workbookViewId="0">
      <pane xSplit="1" ySplit="3" topLeftCell="B13" activePane="bottomRight" state="frozen"/>
      <selection activeCell="L77" sqref="L77"/>
      <selection pane="topRight" activeCell="L77" sqref="L77"/>
      <selection pane="bottomLeft" activeCell="L77" sqref="L77"/>
      <selection pane="bottomRight" activeCell="M16" sqref="M16"/>
    </sheetView>
  </sheetViews>
  <sheetFormatPr defaultColWidth="97.7109375" defaultRowHeight="18.75"/>
  <cols>
    <col min="1" max="1" width="103.140625" style="175" customWidth="1"/>
    <col min="2" max="2" width="24.85546875" style="176" bestFit="1" customWidth="1"/>
    <col min="3" max="3" width="14.7109375" style="173" customWidth="1"/>
    <col min="4" max="4" width="16.5703125" style="269" customWidth="1"/>
    <col min="5" max="5" width="25.85546875" style="176" bestFit="1" customWidth="1"/>
    <col min="6" max="6" width="9.7109375" style="176" customWidth="1"/>
    <col min="7" max="7" width="10.7109375" style="173" bestFit="1" customWidth="1"/>
    <col min="8" max="9" width="9.7109375" style="173" customWidth="1"/>
    <col min="10" max="10" width="19.140625" style="173" bestFit="1" customWidth="1"/>
    <col min="11" max="11" width="10.140625" style="176" customWidth="1"/>
    <col min="12" max="13" width="19.5703125" style="173" customWidth="1"/>
    <col min="14" max="14" width="3.85546875" style="173" bestFit="1" customWidth="1"/>
    <col min="15" max="16" width="26.140625" style="173" customWidth="1"/>
    <col min="17" max="16384" width="97.7109375" style="173"/>
  </cols>
  <sheetData>
    <row r="1" spans="1:16" s="177" customFormat="1" ht="33.75" customHeight="1">
      <c r="A1" s="761" t="s">
        <v>613</v>
      </c>
      <c r="B1" s="761"/>
      <c r="D1" s="267"/>
    </row>
    <row r="2" spans="1:16" ht="20.25">
      <c r="A2" s="458" t="str">
        <f>+'Asset quality'!B3</f>
        <v>"Ўзсаноатқурилишибанк" АТБ</v>
      </c>
      <c r="B2" s="284" t="str">
        <f>+'Asset quality'!T3</f>
        <v>минг. сўмда</v>
      </c>
      <c r="C2" s="179" t="s">
        <v>204</v>
      </c>
      <c r="D2" s="268"/>
      <c r="E2" s="199"/>
      <c r="F2" s="199"/>
      <c r="K2" s="173"/>
    </row>
    <row r="3" spans="1:16" s="174" customFormat="1" ht="47.25" customHeight="1">
      <c r="A3" s="193" t="s">
        <v>614</v>
      </c>
      <c r="B3" s="262">
        <f>+'Asset quality'!Q3</f>
        <v>45289</v>
      </c>
      <c r="C3" s="192"/>
      <c r="D3" s="268"/>
      <c r="E3" s="199"/>
      <c r="F3" s="199"/>
      <c r="K3" s="179" t="s">
        <v>747</v>
      </c>
      <c r="L3" s="181" t="s">
        <v>202</v>
      </c>
      <c r="M3" s="179" t="s">
        <v>203</v>
      </c>
      <c r="N3" s="199"/>
      <c r="O3" s="180" t="s">
        <v>200</v>
      </c>
      <c r="P3" s="182" t="s">
        <v>201</v>
      </c>
    </row>
    <row r="4" spans="1:16" ht="37.5">
      <c r="A4" s="288" t="s">
        <v>615</v>
      </c>
      <c r="B4" s="187">
        <f>IFERROR((B5/B6),0)</f>
        <v>0.16107929177170313</v>
      </c>
      <c r="D4" s="268"/>
      <c r="E4" s="199"/>
      <c r="F4" s="199"/>
      <c r="G4" s="174"/>
      <c r="H4" s="174"/>
      <c r="I4" s="174"/>
      <c r="J4" s="289" t="s">
        <v>216</v>
      </c>
      <c r="K4" s="176">
        <v>1</v>
      </c>
      <c r="L4" s="203">
        <v>64263771349</v>
      </c>
      <c r="M4" s="203">
        <v>7828121193</v>
      </c>
      <c r="N4" s="199"/>
      <c r="O4" s="174"/>
      <c r="P4" s="174"/>
    </row>
    <row r="5" spans="1:16" ht="24" customHeight="1">
      <c r="A5" s="290" t="s">
        <v>559</v>
      </c>
      <c r="B5" s="188">
        <f>+'[9]Bank Capital Calc'!$C$44</f>
        <v>11281096389</v>
      </c>
      <c r="D5" s="268"/>
      <c r="E5" s="199"/>
      <c r="F5" s="199"/>
      <c r="G5" s="174"/>
      <c r="H5" s="174"/>
      <c r="I5" s="174"/>
      <c r="J5" s="289" t="s">
        <v>205</v>
      </c>
      <c r="K5" s="176">
        <v>2</v>
      </c>
      <c r="L5" s="203">
        <v>66161626631</v>
      </c>
      <c r="M5" s="203">
        <v>7886851194</v>
      </c>
      <c r="N5" s="173">
        <v>1</v>
      </c>
      <c r="O5" s="403">
        <f>+(L4+L5)/2</f>
        <v>65212698990</v>
      </c>
      <c r="P5" s="403">
        <f>+(M4+M5)/2</f>
        <v>7857486193.5</v>
      </c>
    </row>
    <row r="6" spans="1:16" ht="24" customHeight="1">
      <c r="A6" s="291" t="s">
        <v>616</v>
      </c>
      <c r="B6" s="189">
        <f>+'[9]Bank Capital Calc'!$C$45</f>
        <v>70034430030.823837</v>
      </c>
      <c r="D6" s="268"/>
      <c r="E6" s="199"/>
      <c r="F6" s="199"/>
      <c r="G6" s="174"/>
      <c r="H6" s="174"/>
      <c r="I6" s="174"/>
      <c r="J6" s="289" t="s">
        <v>206</v>
      </c>
      <c r="K6" s="176">
        <v>3</v>
      </c>
      <c r="L6" s="203">
        <v>67726877700</v>
      </c>
      <c r="M6" s="203">
        <v>7942747285</v>
      </c>
      <c r="N6" s="173">
        <v>2</v>
      </c>
      <c r="O6" s="403">
        <f>+(L4+L5+L6)/3</f>
        <v>66050758560</v>
      </c>
      <c r="P6" s="403">
        <f>+(M4+M5+M6)/3</f>
        <v>7885906557.333333</v>
      </c>
    </row>
    <row r="7" spans="1:16" ht="37.5">
      <c r="A7" s="288" t="s">
        <v>617</v>
      </c>
      <c r="B7" s="187">
        <f>IFERROR((B8/B9),0)</f>
        <v>0.11037299005072049</v>
      </c>
      <c r="D7" s="268"/>
      <c r="E7" s="199"/>
      <c r="F7" s="199"/>
      <c r="G7" s="174"/>
      <c r="H7" s="174"/>
      <c r="I7" s="174"/>
      <c r="J7" s="289" t="s">
        <v>207</v>
      </c>
      <c r="K7" s="176">
        <v>4</v>
      </c>
      <c r="L7" s="203">
        <v>67763189614</v>
      </c>
      <c r="M7" s="203">
        <v>7998692280</v>
      </c>
      <c r="N7" s="173">
        <v>3</v>
      </c>
      <c r="O7" s="404">
        <f>+(L4+L7)/2</f>
        <v>66013480481.5</v>
      </c>
      <c r="P7" s="404">
        <f>+(M4+M7)/2</f>
        <v>7913406736.5</v>
      </c>
    </row>
    <row r="8" spans="1:16" ht="24" customHeight="1">
      <c r="A8" s="290" t="s">
        <v>561</v>
      </c>
      <c r="B8" s="188">
        <f>+'[9]Bank Capital Calc'!$C$34</f>
        <v>7729909449</v>
      </c>
      <c r="D8" s="268"/>
      <c r="E8" s="199"/>
      <c r="F8" s="199"/>
      <c r="G8" s="174"/>
      <c r="H8" s="174"/>
      <c r="I8" s="174"/>
      <c r="J8" s="289" t="s">
        <v>208</v>
      </c>
      <c r="K8" s="176">
        <v>5</v>
      </c>
      <c r="L8" s="203">
        <v>68329102210</v>
      </c>
      <c r="M8" s="203">
        <v>8070459643</v>
      </c>
      <c r="N8" s="173">
        <v>4</v>
      </c>
      <c r="O8" s="403">
        <f>+(+L4+L5+L6+L7+L8)/5</f>
        <v>66848913500.800003</v>
      </c>
      <c r="P8" s="403">
        <f>+(+M4+M5+M6+M7+M8)/5</f>
        <v>7945374319</v>
      </c>
    </row>
    <row r="9" spans="1:16" ht="24" customHeight="1">
      <c r="A9" s="291" t="s">
        <v>616</v>
      </c>
      <c r="B9" s="189">
        <f>+'[9]Bank Capital Calc'!$C$45</f>
        <v>70034430030.823837</v>
      </c>
      <c r="D9" s="268"/>
      <c r="E9" s="199"/>
      <c r="F9" s="199"/>
      <c r="G9" s="174"/>
      <c r="H9" s="174"/>
      <c r="I9" s="174"/>
      <c r="J9" s="289" t="s">
        <v>209</v>
      </c>
      <c r="K9" s="176">
        <v>6</v>
      </c>
      <c r="L9" s="203">
        <v>67721293299</v>
      </c>
      <c r="M9" s="203">
        <v>8142207325</v>
      </c>
      <c r="N9" s="173">
        <v>5</v>
      </c>
      <c r="O9" s="403">
        <f>+(+L4+L5+L6+L7+L8+L9)/6</f>
        <v>66994310133.833336</v>
      </c>
      <c r="P9" s="403">
        <f>+(+M4+M5+M6+M7+M8+M9)/6</f>
        <v>7978179820</v>
      </c>
    </row>
    <row r="10" spans="1:16" ht="24" customHeight="1">
      <c r="A10" s="288" t="s">
        <v>618</v>
      </c>
      <c r="B10" s="187">
        <f>IFERROR((B11/B12),0)</f>
        <v>8.6438849206643048E-2</v>
      </c>
      <c r="D10" s="268"/>
      <c r="E10" s="199"/>
      <c r="F10" s="199"/>
      <c r="G10" s="174"/>
      <c r="H10" s="174"/>
      <c r="I10" s="174"/>
      <c r="J10" s="289" t="s">
        <v>210</v>
      </c>
      <c r="K10" s="176">
        <v>7</v>
      </c>
      <c r="L10" s="203">
        <v>66125283884</v>
      </c>
      <c r="M10" s="203">
        <v>8220502245</v>
      </c>
      <c r="N10" s="173">
        <v>6</v>
      </c>
      <c r="O10" s="404">
        <f>+(L4+L7+L10)/3</f>
        <v>66050748282.333336</v>
      </c>
      <c r="P10" s="404">
        <f>+(M4+M7+M10)/3</f>
        <v>8015771906</v>
      </c>
    </row>
    <row r="11" spans="1:16" ht="24" customHeight="1">
      <c r="A11" s="290" t="s">
        <v>619</v>
      </c>
      <c r="B11" s="188">
        <f>+('Asset Classification'!M31-'Asset Classification'!O31+'Asset Classification'!Q31-'Asset Classification'!S31+'Asset Classification'!U31-'Asset Classification'!W31)</f>
        <v>754469407</v>
      </c>
      <c r="D11" s="268"/>
      <c r="E11" s="199"/>
      <c r="F11" s="199"/>
      <c r="G11" s="174"/>
      <c r="H11" s="174"/>
      <c r="I11" s="174"/>
      <c r="J11" s="289" t="s">
        <v>211</v>
      </c>
      <c r="K11" s="176">
        <v>8</v>
      </c>
      <c r="L11" s="203">
        <v>67926520028</v>
      </c>
      <c r="M11" s="203">
        <v>8307992699</v>
      </c>
      <c r="N11" s="173">
        <v>7</v>
      </c>
      <c r="O11" s="403">
        <f>(L4+L5+L6+L7+L8+L9+L10+L11)/8</f>
        <v>67002208089.375</v>
      </c>
      <c r="P11" s="403">
        <f>(M4+M5+M6+M7+M8+M9+M10+M11)/8</f>
        <v>8049696733</v>
      </c>
    </row>
    <row r="12" spans="1:16" ht="24" customHeight="1">
      <c r="A12" s="291" t="s">
        <v>620</v>
      </c>
      <c r="B12" s="189">
        <f>+B35</f>
        <v>8728360152</v>
      </c>
      <c r="D12" s="268"/>
      <c r="E12" s="199"/>
      <c r="F12" s="199"/>
      <c r="G12" s="174"/>
      <c r="H12" s="174"/>
      <c r="I12" s="174"/>
      <c r="J12" s="289" t="s">
        <v>212</v>
      </c>
      <c r="K12" s="176">
        <v>9</v>
      </c>
      <c r="L12" s="203">
        <v>72954599527</v>
      </c>
      <c r="M12" s="203">
        <v>8339237935</v>
      </c>
      <c r="N12" s="173">
        <v>8</v>
      </c>
      <c r="O12" s="403">
        <f>(L4+L5+L6+L7+L8+L9+L10+L11+L12)/9</f>
        <v>67663584915.777779</v>
      </c>
      <c r="P12" s="403">
        <f>(M4+M5+M6+M7+M8+M9+M10+M11+M12)/9</f>
        <v>8081867977.666667</v>
      </c>
    </row>
    <row r="13" spans="1:16" ht="24" customHeight="1">
      <c r="A13" s="288" t="s">
        <v>621</v>
      </c>
      <c r="B13" s="187">
        <f>IFERROR((B14/B15),0)</f>
        <v>2.2462832714661308E-2</v>
      </c>
      <c r="D13" s="268"/>
      <c r="E13" s="199"/>
      <c r="F13" s="199"/>
      <c r="G13" s="174"/>
      <c r="H13" s="174"/>
      <c r="I13" s="174"/>
      <c r="J13" s="289" t="s">
        <v>213</v>
      </c>
      <c r="K13" s="176">
        <v>10</v>
      </c>
      <c r="L13" s="203">
        <v>72501520052</v>
      </c>
      <c r="M13" s="203">
        <v>8412471325</v>
      </c>
      <c r="N13" s="173">
        <v>9</v>
      </c>
      <c r="O13" s="404">
        <f>+(L4+L7+L10+L13)/4</f>
        <v>67663441224.75</v>
      </c>
      <c r="P13" s="404">
        <f>+(M4+M7+M10+M13)/4</f>
        <v>8114946760.75</v>
      </c>
    </row>
    <row r="14" spans="1:16" ht="24" customHeight="1">
      <c r="A14" s="290" t="s">
        <v>622</v>
      </c>
      <c r="B14" s="188">
        <f>+('Asset Classification'!M31+'Asset Classification'!Q31+'Asset Classification'!U31)</f>
        <v>1283175929</v>
      </c>
      <c r="D14" s="268"/>
      <c r="E14" s="199"/>
      <c r="F14" s="199"/>
      <c r="G14" s="174"/>
      <c r="H14" s="174"/>
      <c r="I14" s="174"/>
      <c r="J14" s="289" t="s">
        <v>214</v>
      </c>
      <c r="K14" s="176">
        <v>11</v>
      </c>
      <c r="L14" s="203">
        <v>72874336733</v>
      </c>
      <c r="M14" s="203">
        <v>8488526426</v>
      </c>
      <c r="N14" s="173">
        <v>10</v>
      </c>
      <c r="O14" s="403">
        <f>(+L4+L5+L6+L7+L8+L9+L10+L11+L12+L13+L14)/11</f>
        <v>68577101911.545456</v>
      </c>
      <c r="P14" s="403">
        <f>(+M4+M5+M6+M7+M8+M9+M10+M11+M12+M13+M14)/11</f>
        <v>8148891777.272727</v>
      </c>
    </row>
    <row r="15" spans="1:16" ht="24" customHeight="1">
      <c r="A15" s="291" t="s">
        <v>623</v>
      </c>
      <c r="B15" s="189">
        <f>+'Loans Receivable'!C85</f>
        <v>57124403912</v>
      </c>
      <c r="D15" s="268"/>
      <c r="E15" s="199"/>
      <c r="F15" s="199"/>
      <c r="G15" s="174"/>
      <c r="H15" s="174"/>
      <c r="I15" s="174"/>
      <c r="J15" s="289" t="s">
        <v>215</v>
      </c>
      <c r="K15" s="176">
        <v>12</v>
      </c>
      <c r="L15" s="203">
        <v>73182708247</v>
      </c>
      <c r="M15" s="203">
        <v>8624938986</v>
      </c>
      <c r="N15" s="173">
        <v>11</v>
      </c>
      <c r="O15" s="403">
        <f>(+L4+L5+L6+L7+L8+L9+L10+L11+L12+L13+L14+L15)/12</f>
        <v>68960902439.5</v>
      </c>
      <c r="P15" s="403">
        <f>(+M4+M5+M6+M7+M8+M9+M10+M11+M12+M13+M14+M15)/12</f>
        <v>8188562378</v>
      </c>
    </row>
    <row r="16" spans="1:16" ht="24" customHeight="1">
      <c r="A16" s="288" t="s">
        <v>624</v>
      </c>
      <c r="B16" s="187">
        <f>IFERROR((B17/B18),0)</f>
        <v>1.638401984203048E-2</v>
      </c>
      <c r="D16" s="268"/>
      <c r="E16" s="199"/>
      <c r="F16" s="199"/>
      <c r="G16" s="174"/>
      <c r="H16" s="174"/>
      <c r="I16" s="174"/>
      <c r="J16" s="289" t="s">
        <v>216</v>
      </c>
      <c r="K16" s="176">
        <v>13</v>
      </c>
      <c r="L16" s="203">
        <v>74634423198</v>
      </c>
      <c r="M16" s="203">
        <v>8728360152</v>
      </c>
      <c r="N16" s="173">
        <v>12</v>
      </c>
      <c r="O16" s="404">
        <f>+(L4+L7+L10+L13+L16)/5</f>
        <v>69057637619.399994</v>
      </c>
      <c r="P16" s="404">
        <f>+(M4+M7+M10+M13+M16)/5</f>
        <v>8237629439</v>
      </c>
    </row>
    <row r="17" spans="1:16" ht="24" customHeight="1">
      <c r="A17" s="290" t="s">
        <v>625</v>
      </c>
      <c r="B17" s="188">
        <f>(+'Income '!C70)/MONTH(B3)*12</f>
        <v>1131441705</v>
      </c>
      <c r="C17" s="186"/>
      <c r="D17" s="268"/>
      <c r="E17" s="199"/>
      <c r="F17" s="199"/>
      <c r="G17" s="174"/>
      <c r="H17" s="174"/>
      <c r="I17" s="174"/>
      <c r="J17" s="269"/>
      <c r="K17" s="173"/>
      <c r="O17" s="403"/>
      <c r="P17" s="403"/>
    </row>
    <row r="18" spans="1:16" ht="24" customHeight="1">
      <c r="A18" s="291" t="s">
        <v>626</v>
      </c>
      <c r="B18" s="189">
        <f>VLOOKUP(MONTH(B3),$N$4:$P$16,2,0)</f>
        <v>69057637619.399994</v>
      </c>
      <c r="D18" s="268"/>
      <c r="E18" s="199"/>
      <c r="F18" s="199"/>
      <c r="G18" s="174"/>
      <c r="H18" s="174"/>
      <c r="I18" s="174"/>
      <c r="J18" s="269"/>
      <c r="K18" s="173"/>
    </row>
    <row r="19" spans="1:16" ht="24" customHeight="1">
      <c r="A19" s="292" t="s">
        <v>627</v>
      </c>
      <c r="B19" s="187">
        <f>IFERROR((B20/B21),0)</f>
        <v>0.11067311606464701</v>
      </c>
      <c r="D19" s="268"/>
      <c r="E19" s="199"/>
      <c r="F19" s="199"/>
      <c r="G19" s="174"/>
      <c r="H19" s="174"/>
      <c r="I19" s="174"/>
      <c r="K19" s="173"/>
    </row>
    <row r="20" spans="1:16" ht="24" customHeight="1">
      <c r="A20" s="293" t="s">
        <v>628</v>
      </c>
      <c r="B20" s="188">
        <f>(+'Income '!C77)/MONTH(B3)*12</f>
        <v>911684119</v>
      </c>
      <c r="D20" s="268"/>
      <c r="E20" s="199"/>
      <c r="F20" s="199"/>
      <c r="G20" s="174"/>
      <c r="H20" s="174"/>
      <c r="I20" s="174"/>
      <c r="K20" s="173"/>
    </row>
    <row r="21" spans="1:16" ht="24" customHeight="1">
      <c r="A21" s="294" t="s">
        <v>629</v>
      </c>
      <c r="B21" s="189">
        <f>VLOOKUP(MONTH(B3),$N$4:$P$16,3,0)</f>
        <v>8237629439</v>
      </c>
      <c r="D21" s="268"/>
      <c r="E21" s="199"/>
      <c r="F21" s="199"/>
      <c r="G21" s="174"/>
      <c r="H21" s="174"/>
      <c r="I21" s="174"/>
      <c r="K21" s="173"/>
    </row>
    <row r="22" spans="1:16" ht="24" customHeight="1">
      <c r="A22" s="292" t="s">
        <v>630</v>
      </c>
      <c r="B22" s="187">
        <f>IFERROR((B23/B24),0)</f>
        <v>0.43382190290763423</v>
      </c>
      <c r="D22" s="268"/>
      <c r="E22" s="199"/>
      <c r="F22" s="199"/>
      <c r="G22" s="174"/>
      <c r="H22" s="174"/>
      <c r="I22" s="174"/>
      <c r="K22" s="173"/>
    </row>
    <row r="23" spans="1:16" ht="24" customHeight="1">
      <c r="A23" s="293" t="s">
        <v>631</v>
      </c>
      <c r="B23" s="188">
        <f>+'Income '!C29</f>
        <v>2981962014</v>
      </c>
      <c r="D23" s="268"/>
      <c r="E23" s="199"/>
      <c r="F23" s="199"/>
      <c r="G23" s="174"/>
      <c r="H23" s="174"/>
      <c r="I23" s="174"/>
      <c r="K23" s="173"/>
    </row>
    <row r="24" spans="1:16" ht="24" customHeight="1">
      <c r="A24" s="294" t="s">
        <v>632</v>
      </c>
      <c r="B24" s="189">
        <f>+B27</f>
        <v>6873700922</v>
      </c>
      <c r="D24" s="268"/>
      <c r="E24" s="199"/>
      <c r="F24" s="199"/>
      <c r="G24" s="174"/>
      <c r="H24" s="174"/>
      <c r="I24" s="174"/>
      <c r="K24" s="173"/>
    </row>
    <row r="25" spans="1:16" ht="24" customHeight="1">
      <c r="A25" s="292" t="s">
        <v>633</v>
      </c>
      <c r="B25" s="187">
        <f>IFERROR((B26/B27),0)</f>
        <v>0.50491667158398368</v>
      </c>
      <c r="D25" s="268"/>
      <c r="E25" s="199"/>
      <c r="F25" s="199"/>
      <c r="G25" s="174"/>
      <c r="H25" s="174"/>
      <c r="I25" s="174"/>
      <c r="K25" s="173"/>
    </row>
    <row r="26" spans="1:16" ht="24" customHeight="1">
      <c r="A26" s="293" t="s">
        <v>634</v>
      </c>
      <c r="B26" s="188">
        <f>+'Income '!C52+'Income '!C68</f>
        <v>3470646191</v>
      </c>
      <c r="D26" s="268"/>
      <c r="E26" s="199"/>
      <c r="F26" s="199"/>
      <c r="G26" s="174"/>
      <c r="H26" s="174"/>
      <c r="I26" s="174"/>
      <c r="K26" s="173"/>
    </row>
    <row r="27" spans="1:16" ht="24" customHeight="1">
      <c r="A27" s="294" t="s">
        <v>632</v>
      </c>
      <c r="B27" s="189">
        <f>+'Income '!C29+'Income '!C44</f>
        <v>6873700922</v>
      </c>
      <c r="D27" s="268"/>
      <c r="E27" s="199"/>
      <c r="F27" s="199"/>
      <c r="G27" s="174"/>
      <c r="H27" s="174"/>
      <c r="I27" s="174"/>
      <c r="K27" s="173"/>
    </row>
    <row r="28" spans="1:16" ht="24" customHeight="1">
      <c r="A28" s="292" t="s">
        <v>635</v>
      </c>
      <c r="B28" s="187">
        <f>IFERROR((B29/B30),0)</f>
        <v>0.12208888772177418</v>
      </c>
      <c r="D28" s="268"/>
      <c r="E28" s="199"/>
      <c r="F28" s="199"/>
      <c r="G28" s="174"/>
      <c r="H28" s="174"/>
      <c r="I28" s="174"/>
      <c r="K28" s="173"/>
    </row>
    <row r="29" spans="1:16" ht="24" customHeight="1">
      <c r="A29" s="293" t="s">
        <v>636</v>
      </c>
      <c r="B29" s="188">
        <f>+B32</f>
        <v>9112033714</v>
      </c>
      <c r="D29" s="268"/>
      <c r="E29" s="199"/>
      <c r="F29" s="199"/>
      <c r="G29" s="174"/>
      <c r="H29" s="174"/>
      <c r="I29" s="174"/>
      <c r="K29" s="173"/>
    </row>
    <row r="30" spans="1:16" ht="24" customHeight="1">
      <c r="A30" s="294" t="s">
        <v>281</v>
      </c>
      <c r="B30" s="189">
        <f>+B36</f>
        <v>74634423198</v>
      </c>
      <c r="D30" s="268"/>
      <c r="E30" s="199"/>
      <c r="F30" s="199"/>
      <c r="G30" s="174"/>
      <c r="H30" s="174"/>
      <c r="I30" s="174"/>
      <c r="K30" s="173"/>
    </row>
    <row r="31" spans="1:16" ht="24" customHeight="1">
      <c r="A31" s="292" t="s">
        <v>637</v>
      </c>
      <c r="B31" s="187">
        <f>IFERROR((B29/B33),0)</f>
        <v>0.26565318734755639</v>
      </c>
      <c r="D31" s="268"/>
      <c r="E31" s="199"/>
      <c r="F31" s="199"/>
      <c r="G31" s="174"/>
      <c r="H31" s="174"/>
      <c r="I31" s="174"/>
      <c r="K31" s="173"/>
    </row>
    <row r="32" spans="1:16" ht="24" customHeight="1">
      <c r="A32" s="293" t="s">
        <v>636</v>
      </c>
      <c r="B32" s="188">
        <f>+B54</f>
        <v>9112033714</v>
      </c>
      <c r="D32" s="268"/>
      <c r="E32" s="199"/>
      <c r="F32" s="199"/>
      <c r="G32" s="174"/>
      <c r="H32" s="174"/>
      <c r="I32" s="174"/>
      <c r="K32" s="173"/>
    </row>
    <row r="33" spans="1:13" ht="24" customHeight="1">
      <c r="A33" s="294" t="s">
        <v>638</v>
      </c>
      <c r="B33" s="189">
        <f>+('[8]Bank Liabilities Analysis'!$C$40+'[8]Bank Liabilities Analysis'!$E$40+'[8]Bank Liabilities Analysis'!$G$40+'[8]Bank Liabilities Analysis'!$I$40+'[8]Bank Liabilities Analysis'!$K$40+'[8]Bank Liabilities Analysis'!$M$40)</f>
        <v>34300487056</v>
      </c>
      <c r="D33" s="268"/>
      <c r="E33" s="199"/>
      <c r="F33" s="199"/>
      <c r="G33" s="174"/>
      <c r="H33" s="174"/>
      <c r="I33" s="174"/>
      <c r="K33" s="173"/>
    </row>
    <row r="34" spans="1:13" ht="24" customHeight="1">
      <c r="A34" s="292" t="s">
        <v>639</v>
      </c>
      <c r="B34" s="187">
        <f>IFERROR((B35/B36),0)</f>
        <v>0.11694818259456846</v>
      </c>
      <c r="D34" s="268"/>
      <c r="E34" s="199"/>
      <c r="F34" s="199"/>
      <c r="G34" s="174"/>
      <c r="H34" s="174"/>
      <c r="I34" s="174"/>
      <c r="K34" s="173"/>
    </row>
    <row r="35" spans="1:13" ht="24" customHeight="1">
      <c r="A35" s="293" t="s">
        <v>620</v>
      </c>
      <c r="B35" s="188">
        <f>+[8]Balance!$C$77</f>
        <v>8728360152</v>
      </c>
      <c r="D35" s="268"/>
      <c r="E35" s="199"/>
      <c r="F35" s="199"/>
      <c r="G35" s="174"/>
      <c r="H35" s="174"/>
      <c r="I35" s="174"/>
      <c r="K35" s="173"/>
    </row>
    <row r="36" spans="1:13" ht="24" customHeight="1">
      <c r="A36" s="294" t="s">
        <v>281</v>
      </c>
      <c r="B36" s="189">
        <f>+[8]Balance!$C$47</f>
        <v>74634423198</v>
      </c>
      <c r="D36" s="268"/>
      <c r="E36" s="199"/>
      <c r="F36" s="199"/>
      <c r="G36" s="174"/>
      <c r="H36" s="174"/>
      <c r="I36" s="174"/>
      <c r="K36" s="173"/>
    </row>
    <row r="37" spans="1:13" ht="24" customHeight="1">
      <c r="A37" s="292" t="s">
        <v>640</v>
      </c>
      <c r="B37" s="187">
        <f>IFERROR((B38/B39),0)</f>
        <v>2.0623145340623199E-2</v>
      </c>
      <c r="D37" s="268"/>
      <c r="E37" s="199"/>
      <c r="F37" s="199"/>
      <c r="G37" s="174"/>
      <c r="H37" s="174"/>
      <c r="I37" s="174"/>
      <c r="K37" s="173"/>
    </row>
    <row r="38" spans="1:13" ht="24" customHeight="1">
      <c r="A38" s="293" t="s">
        <v>641</v>
      </c>
      <c r="B38" s="188">
        <f>+'[9]Calculation of Risk'!$C$26</f>
        <v>180006240</v>
      </c>
      <c r="D38" s="268"/>
      <c r="E38" s="199"/>
      <c r="F38" s="199"/>
      <c r="G38" s="174"/>
      <c r="H38" s="174"/>
      <c r="I38" s="174"/>
      <c r="K38" s="173"/>
    </row>
    <row r="39" spans="1:13" ht="24" customHeight="1">
      <c r="A39" s="294" t="s">
        <v>620</v>
      </c>
      <c r="B39" s="189">
        <f>+B35</f>
        <v>8728360152</v>
      </c>
      <c r="D39" s="268"/>
      <c r="E39" s="199"/>
      <c r="F39" s="199"/>
      <c r="G39" s="174"/>
      <c r="H39" s="174"/>
      <c r="I39" s="174"/>
      <c r="K39" s="173"/>
    </row>
    <row r="40" spans="1:13">
      <c r="E40" s="173"/>
      <c r="F40" s="173"/>
      <c r="K40" s="173"/>
    </row>
    <row r="41" spans="1:13" s="30" customFormat="1" ht="18">
      <c r="A41" s="457" t="s">
        <v>778</v>
      </c>
      <c r="F41" s="183"/>
      <c r="G41" s="183"/>
      <c r="H41" s="183"/>
      <c r="I41" s="183"/>
      <c r="J41" s="183"/>
      <c r="K41" s="183"/>
      <c r="L41" s="183"/>
      <c r="M41" s="183"/>
    </row>
    <row r="42" spans="1:13" s="30" customFormat="1" ht="11.25" customHeight="1">
      <c r="A42" s="457"/>
      <c r="F42" s="183"/>
      <c r="G42" s="183"/>
      <c r="H42" s="183"/>
      <c r="I42" s="183"/>
      <c r="J42" s="183"/>
      <c r="K42" s="183"/>
      <c r="L42" s="183"/>
      <c r="M42" s="183"/>
    </row>
    <row r="43" spans="1:13" s="30" customFormat="1" ht="18">
      <c r="A43" s="457" t="s">
        <v>779</v>
      </c>
      <c r="F43" s="183"/>
      <c r="G43" s="183"/>
      <c r="H43" s="183"/>
      <c r="I43" s="183"/>
      <c r="J43" s="183"/>
      <c r="K43" s="183"/>
      <c r="L43" s="183"/>
      <c r="M43" s="183"/>
    </row>
    <row r="44" spans="1:13" s="172" customFormat="1" ht="15.75">
      <c r="A44" s="171"/>
      <c r="D44" s="270"/>
      <c r="J44" s="170"/>
    </row>
    <row r="46" spans="1:13">
      <c r="A46" s="100" t="s">
        <v>748</v>
      </c>
      <c r="B46" s="100" t="s">
        <v>234</v>
      </c>
    </row>
    <row r="47" spans="1:13" s="30" customFormat="1" ht="13.5" customHeight="1">
      <c r="A47" s="178" t="s">
        <v>749</v>
      </c>
      <c r="B47" s="448">
        <f>+'[8]Liquidity Analysis'!C51</f>
        <v>1565390456</v>
      </c>
      <c r="C47" s="173"/>
      <c r="D47" s="269"/>
      <c r="E47" s="176"/>
      <c r="F47" s="183"/>
      <c r="G47" s="183"/>
      <c r="H47" s="184"/>
      <c r="I47" s="184"/>
      <c r="J47" s="183"/>
      <c r="K47" s="183"/>
      <c r="L47" s="183"/>
    </row>
    <row r="48" spans="1:13" s="30" customFormat="1" ht="13.5" customHeight="1">
      <c r="A48" s="178" t="s">
        <v>750</v>
      </c>
      <c r="B48" s="448">
        <f>+'[8]Liquidity Analysis'!C52</f>
        <v>2526034447</v>
      </c>
      <c r="C48" s="173"/>
      <c r="D48" s="269"/>
      <c r="E48" s="176"/>
      <c r="F48" s="183"/>
      <c r="G48" s="183"/>
      <c r="H48" s="184"/>
      <c r="I48" s="184"/>
      <c r="J48" s="183"/>
      <c r="K48" s="183"/>
      <c r="L48" s="183"/>
    </row>
    <row r="49" spans="1:12" s="30" customFormat="1" ht="13.5" customHeight="1">
      <c r="A49" s="178" t="s">
        <v>751</v>
      </c>
      <c r="B49" s="448">
        <f>+'[8]Liquidity Analysis'!C53</f>
        <v>2973816111</v>
      </c>
      <c r="C49" s="173"/>
      <c r="D49" s="269"/>
      <c r="E49" s="176"/>
      <c r="F49" s="183"/>
      <c r="G49" s="183"/>
      <c r="H49" s="184"/>
      <c r="I49" s="184"/>
      <c r="J49" s="183"/>
      <c r="K49" s="183"/>
      <c r="L49" s="183"/>
    </row>
    <row r="50" spans="1:12" s="30" customFormat="1" ht="13.5" customHeight="1">
      <c r="A50" s="178" t="s">
        <v>752</v>
      </c>
      <c r="B50" s="448">
        <f>+'[8]Liquidity Analysis'!C54</f>
        <v>0</v>
      </c>
      <c r="C50" s="173"/>
      <c r="D50" s="269"/>
      <c r="E50" s="176"/>
      <c r="F50" s="185"/>
      <c r="G50" s="185"/>
      <c r="H50" s="185"/>
      <c r="I50" s="184"/>
      <c r="J50" s="183"/>
      <c r="K50" s="183"/>
      <c r="L50" s="183"/>
    </row>
    <row r="51" spans="1:12" s="30" customFormat="1" ht="27.75" customHeight="1">
      <c r="A51" s="178" t="s">
        <v>753</v>
      </c>
      <c r="B51" s="448">
        <f>+'[8]Liquidity Analysis'!C55</f>
        <v>2046792700</v>
      </c>
      <c r="C51" s="173"/>
      <c r="D51" s="269"/>
      <c r="E51" s="176"/>
      <c r="F51" s="183"/>
      <c r="G51" s="183"/>
      <c r="H51" s="184"/>
      <c r="I51" s="184"/>
      <c r="J51" s="183"/>
      <c r="K51" s="183"/>
      <c r="L51" s="183"/>
    </row>
    <row r="52" spans="1:12" s="30" customFormat="1" ht="13.5" customHeight="1">
      <c r="A52" s="178" t="s">
        <v>754</v>
      </c>
      <c r="B52" s="448">
        <f>+'[8]Liquidity Analysis'!C56</f>
        <v>0</v>
      </c>
      <c r="C52" s="173"/>
      <c r="D52" s="269"/>
      <c r="E52" s="176"/>
      <c r="F52" s="183"/>
      <c r="G52" s="183"/>
      <c r="H52" s="184"/>
      <c r="I52" s="184"/>
      <c r="J52" s="183"/>
      <c r="K52" s="183"/>
      <c r="L52" s="183"/>
    </row>
    <row r="53" spans="1:12" s="30" customFormat="1" ht="13.5" customHeight="1">
      <c r="A53" s="178" t="s">
        <v>755</v>
      </c>
      <c r="B53" s="448">
        <f>+'[8]Liquidity Analysis'!C57</f>
        <v>0</v>
      </c>
      <c r="C53" s="173"/>
      <c r="D53" s="269"/>
      <c r="E53" s="176"/>
      <c r="F53" s="183"/>
      <c r="G53" s="183"/>
      <c r="H53" s="184"/>
      <c r="I53" s="184"/>
      <c r="J53" s="183"/>
      <c r="K53" s="183"/>
      <c r="L53" s="183"/>
    </row>
    <row r="54" spans="1:12" s="30" customFormat="1" ht="13.5" customHeight="1">
      <c r="A54" s="190" t="s">
        <v>756</v>
      </c>
      <c r="B54" s="487">
        <f>+'[8]Liquidity Analysis'!C58</f>
        <v>9112033714</v>
      </c>
      <c r="C54" s="173"/>
      <c r="D54" s="269"/>
      <c r="E54" s="176"/>
      <c r="F54" s="183"/>
      <c r="G54" s="183"/>
      <c r="H54" s="184"/>
      <c r="I54" s="185"/>
      <c r="J54" s="183"/>
      <c r="K54" s="183"/>
      <c r="L54" s="183"/>
    </row>
  </sheetData>
  <sheetProtection password="CACA" sheet="1" objects="1" scenarios="1"/>
  <mergeCells count="1">
    <mergeCell ref="A1:B1"/>
  </mergeCells>
  <conditionalFormatting sqref="B4 B7 B10 B13 B16 B19 B22 B25 B28 B31 B34 B37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1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ACER</cp:lastModifiedBy>
  <cp:lastPrinted>2023-12-29T12:26:46Z</cp:lastPrinted>
  <dcterms:created xsi:type="dcterms:W3CDTF">2014-01-27T05:06:32Z</dcterms:created>
  <dcterms:modified xsi:type="dcterms:W3CDTF">2026-02-25T07:57:43Z</dcterms:modified>
</cp:coreProperties>
</file>